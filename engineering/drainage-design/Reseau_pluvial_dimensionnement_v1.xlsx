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davila\Downloads\"/>
    </mc:Choice>
  </mc:AlternateContent>
  <xr:revisionPtr revIDLastSave="0" documentId="13_ncr:1_{068EDC5A-DAC5-4B60-BACE-400352872B79}" xr6:coauthVersionLast="47" xr6:coauthVersionMax="47" xr10:uidLastSave="{00000000-0000-0000-0000-000000000000}"/>
  <bookViews>
    <workbookView xWindow="4185" yWindow="2985" windowWidth="21600" windowHeight="11385" tabRatio="500" firstSheet="4" activeTab="4" xr2:uid="{00000000-000D-0000-FFFF-FFFF00000000}"/>
  </bookViews>
  <sheets>
    <sheet name="Guide" sheetId="1" r:id="rId1"/>
    <sheet name="Inputs" sheetId="2" r:id="rId2"/>
    <sheet name="Noeuds_plan" sheetId="3" r:id="rId3"/>
    <sheet name="CB_plan" sheetId="4" r:id="rId4"/>
    <sheet name="Conduites_plan_noeuds" sheetId="5" r:id="rId5"/>
    <sheet name="Profils_P10" sheetId="6" r:id="rId6"/>
    <sheet name="Releves_image_2026_06_30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1" i="6" l="1"/>
  <c r="I61" i="6"/>
  <c r="E61" i="6"/>
  <c r="D61" i="6"/>
  <c r="C61" i="6"/>
  <c r="J60" i="6"/>
  <c r="I60" i="6"/>
  <c r="G60" i="6" s="1"/>
  <c r="E60" i="6"/>
  <c r="F60" i="6" s="1"/>
  <c r="D60" i="6"/>
  <c r="C60" i="6"/>
  <c r="J59" i="6"/>
  <c r="F59" i="6" s="1"/>
  <c r="I59" i="6"/>
  <c r="G59" i="6"/>
  <c r="E59" i="6"/>
  <c r="D59" i="6"/>
  <c r="C59" i="6"/>
  <c r="J58" i="6"/>
  <c r="F58" i="6" s="1"/>
  <c r="I58" i="6"/>
  <c r="E58" i="6"/>
  <c r="D58" i="6"/>
  <c r="C58" i="6"/>
  <c r="J57" i="6"/>
  <c r="I57" i="6"/>
  <c r="E57" i="6"/>
  <c r="D57" i="6"/>
  <c r="C57" i="6"/>
  <c r="J56" i="6"/>
  <c r="G56" i="6" s="1"/>
  <c r="I56" i="6"/>
  <c r="E56" i="6"/>
  <c r="D56" i="6"/>
  <c r="C56" i="6"/>
  <c r="J55" i="6"/>
  <c r="I55" i="6"/>
  <c r="E55" i="6"/>
  <c r="D55" i="6"/>
  <c r="J36" i="6"/>
  <c r="F36" i="6" s="1"/>
  <c r="I36" i="6"/>
  <c r="E36" i="6"/>
  <c r="D36" i="6"/>
  <c r="C36" i="6"/>
  <c r="J35" i="6"/>
  <c r="I35" i="6"/>
  <c r="E35" i="6"/>
  <c r="D35" i="6"/>
  <c r="C35" i="6"/>
  <c r="J34" i="6"/>
  <c r="G34" i="6" s="1"/>
  <c r="I34" i="6"/>
  <c r="E34" i="6"/>
  <c r="D34" i="6"/>
  <c r="C34" i="6"/>
  <c r="J33" i="6"/>
  <c r="I33" i="6"/>
  <c r="F33" i="6"/>
  <c r="E33" i="6"/>
  <c r="D33" i="6"/>
  <c r="C33" i="6"/>
  <c r="J32" i="6"/>
  <c r="I32" i="6"/>
  <c r="E32" i="6"/>
  <c r="D32" i="6"/>
  <c r="I13" i="6"/>
  <c r="C13" i="6"/>
  <c r="C12" i="6"/>
  <c r="C11" i="6"/>
  <c r="C10" i="6"/>
  <c r="P204" i="4"/>
  <c r="O204" i="4"/>
  <c r="N204" i="4"/>
  <c r="M204" i="4"/>
  <c r="L204" i="4"/>
  <c r="H204" i="4"/>
  <c r="G204" i="4"/>
  <c r="I204" i="4" s="1"/>
  <c r="P203" i="4"/>
  <c r="O203" i="4"/>
  <c r="N203" i="4"/>
  <c r="M203" i="4"/>
  <c r="L203" i="4"/>
  <c r="H203" i="4"/>
  <c r="G203" i="4"/>
  <c r="I203" i="4" s="1"/>
  <c r="P202" i="4"/>
  <c r="O202" i="4"/>
  <c r="N202" i="4"/>
  <c r="M202" i="4"/>
  <c r="L202" i="4"/>
  <c r="H202" i="4"/>
  <c r="G202" i="4"/>
  <c r="I202" i="4" s="1"/>
  <c r="P201" i="4"/>
  <c r="O201" i="4"/>
  <c r="N201" i="4"/>
  <c r="M201" i="4"/>
  <c r="L201" i="4"/>
  <c r="H201" i="4"/>
  <c r="G201" i="4"/>
  <c r="I201" i="4" s="1"/>
  <c r="P200" i="4"/>
  <c r="O200" i="4"/>
  <c r="N200" i="4"/>
  <c r="M200" i="4"/>
  <c r="L200" i="4"/>
  <c r="H200" i="4"/>
  <c r="G200" i="4"/>
  <c r="I200" i="4" s="1"/>
  <c r="P199" i="4"/>
  <c r="O199" i="4"/>
  <c r="N199" i="4"/>
  <c r="M199" i="4"/>
  <c r="L199" i="4"/>
  <c r="H199" i="4"/>
  <c r="G199" i="4"/>
  <c r="I199" i="4" s="1"/>
  <c r="P198" i="4"/>
  <c r="O198" i="4"/>
  <c r="N198" i="4"/>
  <c r="M198" i="4"/>
  <c r="L198" i="4"/>
  <c r="H198" i="4"/>
  <c r="G198" i="4"/>
  <c r="I198" i="4" s="1"/>
  <c r="P197" i="4"/>
  <c r="O197" i="4"/>
  <c r="N197" i="4"/>
  <c r="M197" i="4"/>
  <c r="L197" i="4"/>
  <c r="H197" i="4"/>
  <c r="G197" i="4"/>
  <c r="I197" i="4" s="1"/>
  <c r="P196" i="4"/>
  <c r="O196" i="4"/>
  <c r="N196" i="4"/>
  <c r="M196" i="4"/>
  <c r="L196" i="4"/>
  <c r="H196" i="4"/>
  <c r="G196" i="4"/>
  <c r="I196" i="4" s="1"/>
  <c r="P195" i="4"/>
  <c r="O195" i="4"/>
  <c r="N195" i="4"/>
  <c r="M195" i="4"/>
  <c r="L195" i="4"/>
  <c r="H195" i="4"/>
  <c r="G195" i="4"/>
  <c r="I195" i="4" s="1"/>
  <c r="P194" i="4"/>
  <c r="O194" i="4"/>
  <c r="N194" i="4"/>
  <c r="M194" i="4"/>
  <c r="L194" i="4"/>
  <c r="H194" i="4"/>
  <c r="G194" i="4"/>
  <c r="I194" i="4" s="1"/>
  <c r="P193" i="4"/>
  <c r="O193" i="4"/>
  <c r="N193" i="4"/>
  <c r="M193" i="4"/>
  <c r="L193" i="4"/>
  <c r="H193" i="4"/>
  <c r="G193" i="4"/>
  <c r="I193" i="4" s="1"/>
  <c r="P192" i="4"/>
  <c r="O192" i="4"/>
  <c r="N192" i="4"/>
  <c r="M192" i="4"/>
  <c r="L192" i="4"/>
  <c r="H192" i="4"/>
  <c r="G192" i="4"/>
  <c r="I192" i="4" s="1"/>
  <c r="P191" i="4"/>
  <c r="O191" i="4"/>
  <c r="N191" i="4"/>
  <c r="M191" i="4"/>
  <c r="L191" i="4"/>
  <c r="H191" i="4"/>
  <c r="G191" i="4"/>
  <c r="I191" i="4" s="1"/>
  <c r="P190" i="4"/>
  <c r="O190" i="4"/>
  <c r="N190" i="4"/>
  <c r="M190" i="4"/>
  <c r="L190" i="4"/>
  <c r="H190" i="4"/>
  <c r="G190" i="4"/>
  <c r="I190" i="4" s="1"/>
  <c r="P189" i="4"/>
  <c r="O189" i="4"/>
  <c r="N189" i="4"/>
  <c r="M189" i="4"/>
  <c r="L189" i="4"/>
  <c r="H189" i="4"/>
  <c r="G189" i="4"/>
  <c r="I189" i="4" s="1"/>
  <c r="P188" i="4"/>
  <c r="O188" i="4"/>
  <c r="N188" i="4"/>
  <c r="M188" i="4"/>
  <c r="L188" i="4"/>
  <c r="H188" i="4"/>
  <c r="G188" i="4"/>
  <c r="I188" i="4" s="1"/>
  <c r="P187" i="4"/>
  <c r="O187" i="4"/>
  <c r="M187" i="4"/>
  <c r="L187" i="4"/>
  <c r="H187" i="4"/>
  <c r="G187" i="4"/>
  <c r="I187" i="4" s="1"/>
  <c r="P186" i="4"/>
  <c r="O186" i="4"/>
  <c r="N186" i="4"/>
  <c r="M186" i="4"/>
  <c r="L186" i="4"/>
  <c r="H186" i="4"/>
  <c r="G186" i="4"/>
  <c r="I186" i="4" s="1"/>
  <c r="P185" i="4"/>
  <c r="O185" i="4"/>
  <c r="M185" i="4"/>
  <c r="L185" i="4"/>
  <c r="H185" i="4"/>
  <c r="G185" i="4"/>
  <c r="I185" i="4" s="1"/>
  <c r="P184" i="4"/>
  <c r="O184" i="4"/>
  <c r="M184" i="4"/>
  <c r="L184" i="4"/>
  <c r="H184" i="4"/>
  <c r="G184" i="4"/>
  <c r="I184" i="4" s="1"/>
  <c r="P183" i="4"/>
  <c r="O183" i="4"/>
  <c r="N183" i="4"/>
  <c r="M183" i="4"/>
  <c r="L183" i="4"/>
  <c r="H183" i="4"/>
  <c r="G183" i="4"/>
  <c r="I183" i="4" s="1"/>
  <c r="P182" i="4"/>
  <c r="O182" i="4"/>
  <c r="M182" i="4"/>
  <c r="L182" i="4"/>
  <c r="H182" i="4"/>
  <c r="G182" i="4"/>
  <c r="I182" i="4" s="1"/>
  <c r="P181" i="4"/>
  <c r="O181" i="4"/>
  <c r="N181" i="4"/>
  <c r="M181" i="4"/>
  <c r="L181" i="4"/>
  <c r="H181" i="4"/>
  <c r="G181" i="4"/>
  <c r="I181" i="4" s="1"/>
  <c r="P180" i="4"/>
  <c r="O180" i="4"/>
  <c r="N180" i="4"/>
  <c r="M180" i="4"/>
  <c r="L180" i="4"/>
  <c r="H180" i="4"/>
  <c r="G180" i="4"/>
  <c r="I180" i="4" s="1"/>
  <c r="P179" i="4"/>
  <c r="O179" i="4"/>
  <c r="M179" i="4"/>
  <c r="L179" i="4"/>
  <c r="H179" i="4"/>
  <c r="G179" i="4"/>
  <c r="I179" i="4" s="1"/>
  <c r="P178" i="4"/>
  <c r="O178" i="4"/>
  <c r="N178" i="4"/>
  <c r="M178" i="4"/>
  <c r="L178" i="4"/>
  <c r="H178" i="4"/>
  <c r="G178" i="4"/>
  <c r="I178" i="4" s="1"/>
  <c r="P177" i="4"/>
  <c r="O177" i="4"/>
  <c r="M177" i="4"/>
  <c r="L177" i="4"/>
  <c r="H177" i="4"/>
  <c r="G177" i="4"/>
  <c r="I177" i="4" s="1"/>
  <c r="P176" i="4"/>
  <c r="O176" i="4"/>
  <c r="M176" i="4"/>
  <c r="L176" i="4"/>
  <c r="H176" i="4"/>
  <c r="G176" i="4"/>
  <c r="I176" i="4" s="1"/>
  <c r="P175" i="4"/>
  <c r="O175" i="4"/>
  <c r="N175" i="4"/>
  <c r="M175" i="4"/>
  <c r="L175" i="4"/>
  <c r="H175" i="4"/>
  <c r="G175" i="4"/>
  <c r="I175" i="4" s="1"/>
  <c r="P174" i="4"/>
  <c r="O174" i="4"/>
  <c r="M174" i="4"/>
  <c r="L174" i="4"/>
  <c r="H174" i="4"/>
  <c r="G174" i="4"/>
  <c r="I174" i="4" s="1"/>
  <c r="P173" i="4"/>
  <c r="O173" i="4"/>
  <c r="N173" i="4"/>
  <c r="M173" i="4"/>
  <c r="L173" i="4"/>
  <c r="H173" i="4"/>
  <c r="G173" i="4"/>
  <c r="I173" i="4" s="1"/>
  <c r="P172" i="4"/>
  <c r="O172" i="4"/>
  <c r="N172" i="4"/>
  <c r="M172" i="4"/>
  <c r="L172" i="4"/>
  <c r="H172" i="4"/>
  <c r="G172" i="4"/>
  <c r="I172" i="4" s="1"/>
  <c r="P171" i="4"/>
  <c r="O171" i="4"/>
  <c r="M171" i="4"/>
  <c r="L171" i="4"/>
  <c r="H171" i="4"/>
  <c r="G171" i="4"/>
  <c r="I171" i="4" s="1"/>
  <c r="P170" i="4"/>
  <c r="O170" i="4"/>
  <c r="N170" i="4"/>
  <c r="M170" i="4"/>
  <c r="L170" i="4"/>
  <c r="H170" i="4"/>
  <c r="G170" i="4"/>
  <c r="I170" i="4" s="1"/>
  <c r="P169" i="4"/>
  <c r="O169" i="4"/>
  <c r="M169" i="4"/>
  <c r="L169" i="4"/>
  <c r="H169" i="4"/>
  <c r="G169" i="4"/>
  <c r="I169" i="4" s="1"/>
  <c r="P168" i="4"/>
  <c r="O168" i="4"/>
  <c r="M168" i="4"/>
  <c r="L168" i="4"/>
  <c r="H168" i="4"/>
  <c r="G168" i="4"/>
  <c r="I168" i="4" s="1"/>
  <c r="P167" i="4"/>
  <c r="O167" i="4"/>
  <c r="N167" i="4"/>
  <c r="M167" i="4"/>
  <c r="L167" i="4"/>
  <c r="H167" i="4"/>
  <c r="G167" i="4"/>
  <c r="I167" i="4" s="1"/>
  <c r="P166" i="4"/>
  <c r="O166" i="4"/>
  <c r="M166" i="4"/>
  <c r="L166" i="4"/>
  <c r="H166" i="4"/>
  <c r="G166" i="4"/>
  <c r="I166" i="4" s="1"/>
  <c r="P165" i="4"/>
  <c r="O165" i="4"/>
  <c r="N165" i="4"/>
  <c r="M165" i="4"/>
  <c r="L165" i="4"/>
  <c r="H165" i="4"/>
  <c r="G165" i="4"/>
  <c r="I165" i="4" s="1"/>
  <c r="P164" i="4"/>
  <c r="O164" i="4"/>
  <c r="N164" i="4"/>
  <c r="M164" i="4"/>
  <c r="L164" i="4"/>
  <c r="H164" i="4"/>
  <c r="G164" i="4"/>
  <c r="I164" i="4" s="1"/>
  <c r="P163" i="4"/>
  <c r="O163" i="4"/>
  <c r="M163" i="4"/>
  <c r="L163" i="4"/>
  <c r="H163" i="4"/>
  <c r="G163" i="4"/>
  <c r="I163" i="4" s="1"/>
  <c r="P162" i="4"/>
  <c r="O162" i="4"/>
  <c r="N162" i="4"/>
  <c r="M162" i="4"/>
  <c r="L162" i="4"/>
  <c r="H162" i="4"/>
  <c r="G162" i="4"/>
  <c r="I162" i="4" s="1"/>
  <c r="P161" i="4"/>
  <c r="O161" i="4"/>
  <c r="M161" i="4"/>
  <c r="L161" i="4"/>
  <c r="H161" i="4"/>
  <c r="G161" i="4"/>
  <c r="I161" i="4" s="1"/>
  <c r="P160" i="4"/>
  <c r="O160" i="4"/>
  <c r="M160" i="4"/>
  <c r="L160" i="4"/>
  <c r="H160" i="4"/>
  <c r="G160" i="4"/>
  <c r="I160" i="4" s="1"/>
  <c r="P159" i="4"/>
  <c r="O159" i="4"/>
  <c r="N159" i="4"/>
  <c r="M159" i="4"/>
  <c r="L159" i="4"/>
  <c r="H159" i="4"/>
  <c r="G159" i="4"/>
  <c r="I159" i="4" s="1"/>
  <c r="P158" i="4"/>
  <c r="O158" i="4"/>
  <c r="M158" i="4"/>
  <c r="L158" i="4"/>
  <c r="H158" i="4"/>
  <c r="G158" i="4"/>
  <c r="I158" i="4" s="1"/>
  <c r="P157" i="4"/>
  <c r="O157" i="4"/>
  <c r="N157" i="4"/>
  <c r="M157" i="4"/>
  <c r="L157" i="4"/>
  <c r="H157" i="4"/>
  <c r="G157" i="4"/>
  <c r="I157" i="4" s="1"/>
  <c r="P156" i="4"/>
  <c r="O156" i="4"/>
  <c r="N156" i="4"/>
  <c r="M156" i="4"/>
  <c r="L156" i="4"/>
  <c r="H156" i="4"/>
  <c r="G156" i="4"/>
  <c r="I156" i="4" s="1"/>
  <c r="P155" i="4"/>
  <c r="O155" i="4"/>
  <c r="M155" i="4"/>
  <c r="L155" i="4"/>
  <c r="H155" i="4"/>
  <c r="G155" i="4"/>
  <c r="I155" i="4" s="1"/>
  <c r="P154" i="4"/>
  <c r="O154" i="4"/>
  <c r="N154" i="4"/>
  <c r="M154" i="4"/>
  <c r="L154" i="4"/>
  <c r="H154" i="4"/>
  <c r="G154" i="4"/>
  <c r="I154" i="4" s="1"/>
  <c r="P153" i="4"/>
  <c r="O153" i="4"/>
  <c r="M153" i="4"/>
  <c r="L153" i="4"/>
  <c r="H153" i="4"/>
  <c r="G153" i="4"/>
  <c r="I153" i="4" s="1"/>
  <c r="P152" i="4"/>
  <c r="O152" i="4"/>
  <c r="M152" i="4"/>
  <c r="L152" i="4"/>
  <c r="H152" i="4"/>
  <c r="G152" i="4"/>
  <c r="I152" i="4" s="1"/>
  <c r="P151" i="4"/>
  <c r="O151" i="4"/>
  <c r="N151" i="4"/>
  <c r="M151" i="4"/>
  <c r="L151" i="4"/>
  <c r="H151" i="4"/>
  <c r="G151" i="4"/>
  <c r="I151" i="4" s="1"/>
  <c r="P150" i="4"/>
  <c r="O150" i="4"/>
  <c r="M150" i="4"/>
  <c r="L150" i="4"/>
  <c r="H150" i="4"/>
  <c r="G150" i="4"/>
  <c r="I150" i="4" s="1"/>
  <c r="P149" i="4"/>
  <c r="O149" i="4"/>
  <c r="N149" i="4"/>
  <c r="M149" i="4"/>
  <c r="L149" i="4"/>
  <c r="H149" i="4"/>
  <c r="G149" i="4"/>
  <c r="I149" i="4" s="1"/>
  <c r="P148" i="4"/>
  <c r="O148" i="4"/>
  <c r="N148" i="4"/>
  <c r="M148" i="4"/>
  <c r="L148" i="4"/>
  <c r="H148" i="4"/>
  <c r="G148" i="4"/>
  <c r="I148" i="4" s="1"/>
  <c r="P147" i="4"/>
  <c r="O147" i="4"/>
  <c r="M147" i="4"/>
  <c r="L147" i="4"/>
  <c r="H147" i="4"/>
  <c r="G147" i="4"/>
  <c r="I147" i="4" s="1"/>
  <c r="P146" i="4"/>
  <c r="O146" i="4"/>
  <c r="N146" i="4"/>
  <c r="M146" i="4"/>
  <c r="L146" i="4"/>
  <c r="H146" i="4"/>
  <c r="G146" i="4"/>
  <c r="I146" i="4" s="1"/>
  <c r="P145" i="4"/>
  <c r="O145" i="4"/>
  <c r="M145" i="4"/>
  <c r="L145" i="4"/>
  <c r="H145" i="4"/>
  <c r="G145" i="4"/>
  <c r="I145" i="4" s="1"/>
  <c r="P144" i="4"/>
  <c r="O144" i="4"/>
  <c r="M144" i="4"/>
  <c r="L144" i="4"/>
  <c r="H144" i="4"/>
  <c r="G144" i="4"/>
  <c r="I144" i="4" s="1"/>
  <c r="P143" i="4"/>
  <c r="O143" i="4"/>
  <c r="N143" i="4"/>
  <c r="M143" i="4"/>
  <c r="L143" i="4"/>
  <c r="H143" i="4"/>
  <c r="G143" i="4"/>
  <c r="I143" i="4" s="1"/>
  <c r="P142" i="4"/>
  <c r="O142" i="4"/>
  <c r="M142" i="4"/>
  <c r="L142" i="4"/>
  <c r="H142" i="4"/>
  <c r="G142" i="4"/>
  <c r="I142" i="4" s="1"/>
  <c r="P141" i="4"/>
  <c r="O141" i="4"/>
  <c r="N141" i="4"/>
  <c r="M141" i="4"/>
  <c r="L141" i="4"/>
  <c r="H141" i="4"/>
  <c r="G141" i="4"/>
  <c r="I141" i="4" s="1"/>
  <c r="P140" i="4"/>
  <c r="O140" i="4"/>
  <c r="N140" i="4"/>
  <c r="M140" i="4"/>
  <c r="L140" i="4"/>
  <c r="H140" i="4"/>
  <c r="G140" i="4"/>
  <c r="I140" i="4" s="1"/>
  <c r="P139" i="4"/>
  <c r="O139" i="4"/>
  <c r="M139" i="4"/>
  <c r="L139" i="4"/>
  <c r="H139" i="4"/>
  <c r="G139" i="4"/>
  <c r="I139" i="4" s="1"/>
  <c r="P138" i="4"/>
  <c r="O138" i="4"/>
  <c r="N138" i="4"/>
  <c r="M138" i="4"/>
  <c r="L138" i="4"/>
  <c r="H138" i="4"/>
  <c r="G138" i="4"/>
  <c r="I138" i="4" s="1"/>
  <c r="P137" i="4"/>
  <c r="O137" i="4"/>
  <c r="M137" i="4"/>
  <c r="L137" i="4"/>
  <c r="H137" i="4"/>
  <c r="G137" i="4"/>
  <c r="I137" i="4" s="1"/>
  <c r="P136" i="4"/>
  <c r="O136" i="4"/>
  <c r="M136" i="4"/>
  <c r="L136" i="4"/>
  <c r="H136" i="4"/>
  <c r="G136" i="4"/>
  <c r="I136" i="4" s="1"/>
  <c r="P135" i="4"/>
  <c r="O135" i="4"/>
  <c r="N135" i="4"/>
  <c r="M135" i="4"/>
  <c r="L135" i="4"/>
  <c r="H135" i="4"/>
  <c r="G135" i="4"/>
  <c r="I135" i="4" s="1"/>
  <c r="P134" i="4"/>
  <c r="O134" i="4"/>
  <c r="M134" i="4"/>
  <c r="L134" i="4"/>
  <c r="H134" i="4"/>
  <c r="G134" i="4"/>
  <c r="I134" i="4" s="1"/>
  <c r="P133" i="4"/>
  <c r="O133" i="4"/>
  <c r="N133" i="4"/>
  <c r="M133" i="4"/>
  <c r="L133" i="4"/>
  <c r="H133" i="4"/>
  <c r="G133" i="4"/>
  <c r="I133" i="4" s="1"/>
  <c r="P132" i="4"/>
  <c r="O132" i="4"/>
  <c r="N132" i="4"/>
  <c r="M132" i="4"/>
  <c r="L132" i="4"/>
  <c r="H132" i="4"/>
  <c r="G132" i="4"/>
  <c r="I132" i="4" s="1"/>
  <c r="P131" i="4"/>
  <c r="O131" i="4"/>
  <c r="M131" i="4"/>
  <c r="L131" i="4"/>
  <c r="H131" i="4"/>
  <c r="G131" i="4"/>
  <c r="I131" i="4" s="1"/>
  <c r="P130" i="4"/>
  <c r="O130" i="4"/>
  <c r="N130" i="4"/>
  <c r="M130" i="4"/>
  <c r="L130" i="4"/>
  <c r="H130" i="4"/>
  <c r="G130" i="4"/>
  <c r="I130" i="4" s="1"/>
  <c r="P129" i="4"/>
  <c r="O129" i="4"/>
  <c r="M129" i="4"/>
  <c r="L129" i="4"/>
  <c r="H129" i="4"/>
  <c r="G129" i="4"/>
  <c r="I129" i="4" s="1"/>
  <c r="P128" i="4"/>
  <c r="O128" i="4"/>
  <c r="M128" i="4"/>
  <c r="L128" i="4"/>
  <c r="H128" i="4"/>
  <c r="G128" i="4"/>
  <c r="I128" i="4" s="1"/>
  <c r="P127" i="4"/>
  <c r="O127" i="4"/>
  <c r="M127" i="4"/>
  <c r="L127" i="4"/>
  <c r="I127" i="4"/>
  <c r="H127" i="4"/>
  <c r="G127" i="4"/>
  <c r="N127" i="4" s="1"/>
  <c r="P126" i="4"/>
  <c r="O126" i="4"/>
  <c r="M126" i="4"/>
  <c r="L126" i="4"/>
  <c r="I126" i="4"/>
  <c r="H126" i="4"/>
  <c r="G126" i="4"/>
  <c r="N126" i="4" s="1"/>
  <c r="P125" i="4"/>
  <c r="O125" i="4"/>
  <c r="M125" i="4"/>
  <c r="L125" i="4"/>
  <c r="I125" i="4"/>
  <c r="H125" i="4"/>
  <c r="G125" i="4"/>
  <c r="N125" i="4" s="1"/>
  <c r="P124" i="4"/>
  <c r="O124" i="4"/>
  <c r="M124" i="4"/>
  <c r="L124" i="4"/>
  <c r="I124" i="4"/>
  <c r="H124" i="4"/>
  <c r="G124" i="4"/>
  <c r="N124" i="4" s="1"/>
  <c r="P123" i="4"/>
  <c r="O123" i="4"/>
  <c r="M123" i="4"/>
  <c r="L123" i="4"/>
  <c r="I123" i="4"/>
  <c r="H123" i="4"/>
  <c r="G123" i="4"/>
  <c r="N123" i="4" s="1"/>
  <c r="P122" i="4"/>
  <c r="O122" i="4"/>
  <c r="M122" i="4"/>
  <c r="L122" i="4"/>
  <c r="I122" i="4"/>
  <c r="H122" i="4"/>
  <c r="G122" i="4"/>
  <c r="N122" i="4" s="1"/>
  <c r="P121" i="4"/>
  <c r="O121" i="4"/>
  <c r="M121" i="4"/>
  <c r="L121" i="4"/>
  <c r="I121" i="4"/>
  <c r="H121" i="4"/>
  <c r="G121" i="4"/>
  <c r="N121" i="4" s="1"/>
  <c r="P120" i="4"/>
  <c r="O120" i="4"/>
  <c r="M120" i="4"/>
  <c r="L120" i="4"/>
  <c r="I120" i="4"/>
  <c r="H120" i="4"/>
  <c r="G120" i="4"/>
  <c r="N120" i="4" s="1"/>
  <c r="P119" i="4"/>
  <c r="O119" i="4"/>
  <c r="M119" i="4"/>
  <c r="L119" i="4"/>
  <c r="I119" i="4"/>
  <c r="H119" i="4"/>
  <c r="G119" i="4"/>
  <c r="N119" i="4" s="1"/>
  <c r="P118" i="4"/>
  <c r="O118" i="4"/>
  <c r="M118" i="4"/>
  <c r="L118" i="4"/>
  <c r="I118" i="4"/>
  <c r="H118" i="4"/>
  <c r="G118" i="4"/>
  <c r="N118" i="4" s="1"/>
  <c r="P117" i="4"/>
  <c r="O117" i="4"/>
  <c r="M117" i="4"/>
  <c r="L117" i="4"/>
  <c r="I117" i="4"/>
  <c r="H117" i="4"/>
  <c r="G117" i="4"/>
  <c r="N117" i="4" s="1"/>
  <c r="P116" i="4"/>
  <c r="O116" i="4"/>
  <c r="M116" i="4"/>
  <c r="L116" i="4"/>
  <c r="I116" i="4"/>
  <c r="H116" i="4"/>
  <c r="G116" i="4"/>
  <c r="N116" i="4" s="1"/>
  <c r="P115" i="4"/>
  <c r="O115" i="4"/>
  <c r="M115" i="4"/>
  <c r="L115" i="4"/>
  <c r="I115" i="4"/>
  <c r="H115" i="4"/>
  <c r="G115" i="4"/>
  <c r="N115" i="4" s="1"/>
  <c r="P114" i="4"/>
  <c r="O114" i="4"/>
  <c r="M114" i="4"/>
  <c r="L114" i="4"/>
  <c r="I114" i="4"/>
  <c r="H114" i="4"/>
  <c r="G114" i="4"/>
  <c r="N114" i="4" s="1"/>
  <c r="P113" i="4"/>
  <c r="O113" i="4"/>
  <c r="M113" i="4"/>
  <c r="L113" i="4"/>
  <c r="I113" i="4"/>
  <c r="H113" i="4"/>
  <c r="G113" i="4"/>
  <c r="N113" i="4" s="1"/>
  <c r="P112" i="4"/>
  <c r="O112" i="4"/>
  <c r="M112" i="4"/>
  <c r="L112" i="4"/>
  <c r="I112" i="4"/>
  <c r="H112" i="4"/>
  <c r="G112" i="4"/>
  <c r="N112" i="4" s="1"/>
  <c r="P111" i="4"/>
  <c r="O111" i="4"/>
  <c r="M111" i="4"/>
  <c r="L111" i="4"/>
  <c r="I111" i="4"/>
  <c r="H111" i="4"/>
  <c r="G111" i="4"/>
  <c r="N111" i="4" s="1"/>
  <c r="P110" i="4"/>
  <c r="O110" i="4"/>
  <c r="M110" i="4"/>
  <c r="L110" i="4"/>
  <c r="I110" i="4"/>
  <c r="H110" i="4"/>
  <c r="G110" i="4"/>
  <c r="N110" i="4" s="1"/>
  <c r="P109" i="4"/>
  <c r="O109" i="4"/>
  <c r="M109" i="4"/>
  <c r="L109" i="4"/>
  <c r="I109" i="4"/>
  <c r="H109" i="4"/>
  <c r="G109" i="4"/>
  <c r="N109" i="4" s="1"/>
  <c r="P108" i="4"/>
  <c r="O108" i="4"/>
  <c r="M108" i="4"/>
  <c r="L108" i="4"/>
  <c r="I108" i="4"/>
  <c r="H108" i="4"/>
  <c r="G108" i="4"/>
  <c r="N108" i="4" s="1"/>
  <c r="P107" i="4"/>
  <c r="O107" i="4"/>
  <c r="M107" i="4"/>
  <c r="L107" i="4"/>
  <c r="I107" i="4"/>
  <c r="H107" i="4"/>
  <c r="G107" i="4"/>
  <c r="N107" i="4" s="1"/>
  <c r="P106" i="4"/>
  <c r="O106" i="4"/>
  <c r="M106" i="4"/>
  <c r="L106" i="4"/>
  <c r="I106" i="4"/>
  <c r="H106" i="4"/>
  <c r="G106" i="4"/>
  <c r="N106" i="4" s="1"/>
  <c r="P105" i="4"/>
  <c r="O105" i="4"/>
  <c r="M105" i="4"/>
  <c r="L105" i="4"/>
  <c r="I105" i="4"/>
  <c r="H105" i="4"/>
  <c r="G105" i="4"/>
  <c r="N105" i="4" s="1"/>
  <c r="P104" i="4"/>
  <c r="O104" i="4"/>
  <c r="M104" i="4"/>
  <c r="L104" i="4"/>
  <c r="I104" i="4"/>
  <c r="H104" i="4"/>
  <c r="G104" i="4"/>
  <c r="N104" i="4" s="1"/>
  <c r="P103" i="4"/>
  <c r="O103" i="4"/>
  <c r="M103" i="4"/>
  <c r="L103" i="4"/>
  <c r="I103" i="4"/>
  <c r="H103" i="4"/>
  <c r="G103" i="4"/>
  <c r="N103" i="4" s="1"/>
  <c r="P102" i="4"/>
  <c r="O102" i="4"/>
  <c r="M102" i="4"/>
  <c r="L102" i="4"/>
  <c r="I102" i="4"/>
  <c r="H102" i="4"/>
  <c r="G102" i="4"/>
  <c r="N102" i="4" s="1"/>
  <c r="P101" i="4"/>
  <c r="O101" i="4"/>
  <c r="M101" i="4"/>
  <c r="L101" i="4"/>
  <c r="I101" i="4"/>
  <c r="H101" i="4"/>
  <c r="G101" i="4"/>
  <c r="N101" i="4" s="1"/>
  <c r="P100" i="4"/>
  <c r="O100" i="4"/>
  <c r="M100" i="4"/>
  <c r="L100" i="4"/>
  <c r="I100" i="4"/>
  <c r="H100" i="4"/>
  <c r="G100" i="4"/>
  <c r="N100" i="4" s="1"/>
  <c r="P99" i="4"/>
  <c r="O99" i="4"/>
  <c r="M99" i="4"/>
  <c r="L99" i="4"/>
  <c r="I99" i="4"/>
  <c r="H99" i="4"/>
  <c r="G99" i="4"/>
  <c r="N99" i="4" s="1"/>
  <c r="P98" i="4"/>
  <c r="O98" i="4"/>
  <c r="M98" i="4"/>
  <c r="L98" i="4"/>
  <c r="I98" i="4"/>
  <c r="H98" i="4"/>
  <c r="G98" i="4"/>
  <c r="N98" i="4" s="1"/>
  <c r="P97" i="4"/>
  <c r="O97" i="4"/>
  <c r="M97" i="4"/>
  <c r="L97" i="4"/>
  <c r="I97" i="4"/>
  <c r="H97" i="4"/>
  <c r="G97" i="4"/>
  <c r="N97" i="4" s="1"/>
  <c r="P96" i="4"/>
  <c r="O96" i="4"/>
  <c r="M96" i="4"/>
  <c r="L96" i="4"/>
  <c r="I96" i="4"/>
  <c r="H96" i="4"/>
  <c r="G96" i="4"/>
  <c r="N96" i="4" s="1"/>
  <c r="P95" i="4"/>
  <c r="O95" i="4"/>
  <c r="M95" i="4"/>
  <c r="L95" i="4"/>
  <c r="I95" i="4"/>
  <c r="H95" i="4"/>
  <c r="G95" i="4"/>
  <c r="N95" i="4" s="1"/>
  <c r="P94" i="4"/>
  <c r="O94" i="4"/>
  <c r="M94" i="4"/>
  <c r="L94" i="4"/>
  <c r="I94" i="4"/>
  <c r="H94" i="4"/>
  <c r="G94" i="4"/>
  <c r="N94" i="4" s="1"/>
  <c r="P93" i="4"/>
  <c r="O93" i="4"/>
  <c r="M93" i="4"/>
  <c r="L93" i="4"/>
  <c r="I93" i="4"/>
  <c r="H93" i="4"/>
  <c r="G93" i="4"/>
  <c r="N93" i="4" s="1"/>
  <c r="P92" i="4"/>
  <c r="O92" i="4"/>
  <c r="M92" i="4"/>
  <c r="L92" i="4"/>
  <c r="I92" i="4"/>
  <c r="H92" i="4"/>
  <c r="G92" i="4"/>
  <c r="N92" i="4" s="1"/>
  <c r="P91" i="4"/>
  <c r="O91" i="4"/>
  <c r="M91" i="4"/>
  <c r="L91" i="4"/>
  <c r="I91" i="4"/>
  <c r="H91" i="4"/>
  <c r="G91" i="4"/>
  <c r="N91" i="4" s="1"/>
  <c r="P90" i="4"/>
  <c r="O90" i="4"/>
  <c r="M90" i="4"/>
  <c r="L90" i="4"/>
  <c r="I90" i="4"/>
  <c r="H90" i="4"/>
  <c r="G90" i="4"/>
  <c r="N90" i="4" s="1"/>
  <c r="P89" i="4"/>
  <c r="O89" i="4"/>
  <c r="M89" i="4"/>
  <c r="L89" i="4"/>
  <c r="I89" i="4"/>
  <c r="H89" i="4"/>
  <c r="G89" i="4"/>
  <c r="N89" i="4" s="1"/>
  <c r="P88" i="4"/>
  <c r="O88" i="4"/>
  <c r="M88" i="4"/>
  <c r="L88" i="4"/>
  <c r="I88" i="4"/>
  <c r="H88" i="4"/>
  <c r="G88" i="4"/>
  <c r="N88" i="4" s="1"/>
  <c r="P87" i="4"/>
  <c r="O87" i="4"/>
  <c r="M87" i="4"/>
  <c r="L87" i="4"/>
  <c r="I87" i="4"/>
  <c r="H87" i="4"/>
  <c r="G87" i="4"/>
  <c r="N87" i="4" s="1"/>
  <c r="P86" i="4"/>
  <c r="O86" i="4"/>
  <c r="M86" i="4"/>
  <c r="L86" i="4"/>
  <c r="I86" i="4"/>
  <c r="H86" i="4"/>
  <c r="G86" i="4"/>
  <c r="N86" i="4" s="1"/>
  <c r="P85" i="4"/>
  <c r="O85" i="4"/>
  <c r="M85" i="4"/>
  <c r="L85" i="4"/>
  <c r="I85" i="4"/>
  <c r="H85" i="4"/>
  <c r="G85" i="4"/>
  <c r="N85" i="4" s="1"/>
  <c r="P84" i="4"/>
  <c r="O84" i="4"/>
  <c r="M84" i="4"/>
  <c r="L84" i="4"/>
  <c r="I84" i="4"/>
  <c r="H84" i="4"/>
  <c r="G84" i="4"/>
  <c r="N84" i="4" s="1"/>
  <c r="P83" i="4"/>
  <c r="O83" i="4"/>
  <c r="M83" i="4"/>
  <c r="L83" i="4"/>
  <c r="I83" i="4"/>
  <c r="H83" i="4"/>
  <c r="G83" i="4"/>
  <c r="N83" i="4" s="1"/>
  <c r="P82" i="4"/>
  <c r="O82" i="4"/>
  <c r="M82" i="4"/>
  <c r="L82" i="4"/>
  <c r="I82" i="4"/>
  <c r="H82" i="4"/>
  <c r="G82" i="4"/>
  <c r="N82" i="4" s="1"/>
  <c r="P81" i="4"/>
  <c r="O81" i="4"/>
  <c r="M81" i="4"/>
  <c r="L81" i="4"/>
  <c r="I81" i="4"/>
  <c r="H81" i="4"/>
  <c r="G81" i="4"/>
  <c r="N81" i="4" s="1"/>
  <c r="P80" i="4"/>
  <c r="O80" i="4"/>
  <c r="M80" i="4"/>
  <c r="L80" i="4"/>
  <c r="I80" i="4"/>
  <c r="H80" i="4"/>
  <c r="G80" i="4"/>
  <c r="N80" i="4" s="1"/>
  <c r="P79" i="4"/>
  <c r="O79" i="4"/>
  <c r="M79" i="4"/>
  <c r="L79" i="4"/>
  <c r="I79" i="4"/>
  <c r="H79" i="4"/>
  <c r="G79" i="4"/>
  <c r="N79" i="4" s="1"/>
  <c r="P78" i="4"/>
  <c r="O78" i="4"/>
  <c r="M78" i="4"/>
  <c r="L78" i="4"/>
  <c r="I78" i="4"/>
  <c r="H78" i="4"/>
  <c r="G78" i="4"/>
  <c r="N78" i="4" s="1"/>
  <c r="P77" i="4"/>
  <c r="O77" i="4"/>
  <c r="M77" i="4"/>
  <c r="L77" i="4"/>
  <c r="I77" i="4"/>
  <c r="H77" i="4"/>
  <c r="G77" i="4"/>
  <c r="N77" i="4" s="1"/>
  <c r="P76" i="4"/>
  <c r="O76" i="4"/>
  <c r="M76" i="4"/>
  <c r="L76" i="4"/>
  <c r="I76" i="4"/>
  <c r="H76" i="4"/>
  <c r="G76" i="4"/>
  <c r="N76" i="4" s="1"/>
  <c r="P75" i="4"/>
  <c r="O75" i="4"/>
  <c r="M75" i="4"/>
  <c r="L75" i="4"/>
  <c r="I75" i="4"/>
  <c r="H75" i="4"/>
  <c r="G75" i="4"/>
  <c r="N75" i="4" s="1"/>
  <c r="P74" i="4"/>
  <c r="O74" i="4"/>
  <c r="M74" i="4"/>
  <c r="L74" i="4"/>
  <c r="I74" i="4"/>
  <c r="H74" i="4"/>
  <c r="G74" i="4"/>
  <c r="N74" i="4" s="1"/>
  <c r="P73" i="4"/>
  <c r="O73" i="4"/>
  <c r="M73" i="4"/>
  <c r="L73" i="4"/>
  <c r="I73" i="4"/>
  <c r="H73" i="4"/>
  <c r="G73" i="4"/>
  <c r="N73" i="4" s="1"/>
  <c r="P72" i="4"/>
  <c r="O72" i="4"/>
  <c r="M72" i="4"/>
  <c r="L72" i="4"/>
  <c r="I72" i="4"/>
  <c r="H72" i="4"/>
  <c r="G72" i="4"/>
  <c r="N72" i="4" s="1"/>
  <c r="P71" i="4"/>
  <c r="O71" i="4"/>
  <c r="M71" i="4"/>
  <c r="L71" i="4"/>
  <c r="I71" i="4"/>
  <c r="H71" i="4"/>
  <c r="G71" i="4"/>
  <c r="N71" i="4" s="1"/>
  <c r="P70" i="4"/>
  <c r="O70" i="4"/>
  <c r="M70" i="4"/>
  <c r="L70" i="4"/>
  <c r="I70" i="4"/>
  <c r="H70" i="4"/>
  <c r="G70" i="4"/>
  <c r="N70" i="4" s="1"/>
  <c r="P69" i="4"/>
  <c r="O69" i="4"/>
  <c r="M69" i="4"/>
  <c r="L69" i="4"/>
  <c r="I69" i="4"/>
  <c r="H69" i="4"/>
  <c r="G69" i="4"/>
  <c r="N69" i="4" s="1"/>
  <c r="P68" i="4"/>
  <c r="O68" i="4"/>
  <c r="M68" i="4"/>
  <c r="L68" i="4"/>
  <c r="I68" i="4"/>
  <c r="H68" i="4"/>
  <c r="G68" i="4"/>
  <c r="N68" i="4" s="1"/>
  <c r="P67" i="4"/>
  <c r="O67" i="4"/>
  <c r="M67" i="4"/>
  <c r="L67" i="4"/>
  <c r="I67" i="4"/>
  <c r="H67" i="4"/>
  <c r="G67" i="4"/>
  <c r="N67" i="4" s="1"/>
  <c r="P66" i="4"/>
  <c r="O66" i="4"/>
  <c r="M66" i="4"/>
  <c r="L66" i="4"/>
  <c r="I66" i="4"/>
  <c r="H66" i="4"/>
  <c r="G66" i="4"/>
  <c r="N66" i="4" s="1"/>
  <c r="P65" i="4"/>
  <c r="O65" i="4"/>
  <c r="M65" i="4"/>
  <c r="L65" i="4"/>
  <c r="I65" i="4"/>
  <c r="H65" i="4"/>
  <c r="G65" i="4"/>
  <c r="N65" i="4" s="1"/>
  <c r="P64" i="4"/>
  <c r="O64" i="4"/>
  <c r="M64" i="4"/>
  <c r="L64" i="4"/>
  <c r="I64" i="4"/>
  <c r="H64" i="4"/>
  <c r="G64" i="4"/>
  <c r="N64" i="4" s="1"/>
  <c r="P63" i="4"/>
  <c r="O63" i="4"/>
  <c r="M63" i="4"/>
  <c r="L63" i="4"/>
  <c r="I63" i="4"/>
  <c r="H63" i="4"/>
  <c r="G63" i="4"/>
  <c r="N63" i="4" s="1"/>
  <c r="P62" i="4"/>
  <c r="O62" i="4"/>
  <c r="M62" i="4"/>
  <c r="L62" i="4"/>
  <c r="I62" i="4"/>
  <c r="H62" i="4"/>
  <c r="G62" i="4"/>
  <c r="N62" i="4" s="1"/>
  <c r="P61" i="4"/>
  <c r="O61" i="4"/>
  <c r="M61" i="4"/>
  <c r="L61" i="4"/>
  <c r="I61" i="4"/>
  <c r="H61" i="4"/>
  <c r="G61" i="4"/>
  <c r="N61" i="4" s="1"/>
  <c r="P60" i="4"/>
  <c r="O60" i="4"/>
  <c r="M60" i="4"/>
  <c r="L60" i="4"/>
  <c r="I60" i="4"/>
  <c r="H60" i="4"/>
  <c r="G60" i="4"/>
  <c r="N60" i="4" s="1"/>
  <c r="P59" i="4"/>
  <c r="O59" i="4"/>
  <c r="M59" i="4"/>
  <c r="L59" i="4"/>
  <c r="I59" i="4"/>
  <c r="H59" i="4"/>
  <c r="G59" i="4"/>
  <c r="N59" i="4" s="1"/>
  <c r="P58" i="4"/>
  <c r="O58" i="4"/>
  <c r="M58" i="4"/>
  <c r="L58" i="4"/>
  <c r="I58" i="4"/>
  <c r="H58" i="4"/>
  <c r="G58" i="4"/>
  <c r="N58" i="4" s="1"/>
  <c r="P57" i="4"/>
  <c r="O57" i="4"/>
  <c r="M57" i="4"/>
  <c r="L57" i="4"/>
  <c r="I57" i="4"/>
  <c r="H57" i="4"/>
  <c r="G57" i="4"/>
  <c r="N57" i="4" s="1"/>
  <c r="P56" i="4"/>
  <c r="O56" i="4"/>
  <c r="M56" i="4"/>
  <c r="L56" i="4"/>
  <c r="I56" i="4"/>
  <c r="H56" i="4"/>
  <c r="G56" i="4"/>
  <c r="N56" i="4" s="1"/>
  <c r="P55" i="4"/>
  <c r="O55" i="4"/>
  <c r="M55" i="4"/>
  <c r="L55" i="4"/>
  <c r="I55" i="4"/>
  <c r="H55" i="4"/>
  <c r="G55" i="4"/>
  <c r="N55" i="4" s="1"/>
  <c r="P54" i="4"/>
  <c r="O54" i="4"/>
  <c r="M54" i="4"/>
  <c r="L54" i="4"/>
  <c r="I54" i="4"/>
  <c r="H54" i="4"/>
  <c r="G54" i="4"/>
  <c r="N54" i="4" s="1"/>
  <c r="P53" i="4"/>
  <c r="O53" i="4"/>
  <c r="M53" i="4"/>
  <c r="L53" i="4"/>
  <c r="I53" i="4"/>
  <c r="H53" i="4"/>
  <c r="G53" i="4"/>
  <c r="N53" i="4" s="1"/>
  <c r="P52" i="4"/>
  <c r="O52" i="4"/>
  <c r="M52" i="4"/>
  <c r="L52" i="4"/>
  <c r="I52" i="4"/>
  <c r="H52" i="4"/>
  <c r="G52" i="4"/>
  <c r="N52" i="4" s="1"/>
  <c r="P51" i="4"/>
  <c r="O51" i="4"/>
  <c r="M51" i="4"/>
  <c r="L51" i="4"/>
  <c r="I51" i="4"/>
  <c r="H51" i="4"/>
  <c r="G51" i="4"/>
  <c r="N51" i="4" s="1"/>
  <c r="P50" i="4"/>
  <c r="O50" i="4"/>
  <c r="M50" i="4"/>
  <c r="L50" i="4"/>
  <c r="I50" i="4"/>
  <c r="H50" i="4"/>
  <c r="G50" i="4"/>
  <c r="N50" i="4" s="1"/>
  <c r="P49" i="4"/>
  <c r="O49" i="4"/>
  <c r="M49" i="4"/>
  <c r="L49" i="4"/>
  <c r="I49" i="4"/>
  <c r="H49" i="4"/>
  <c r="G49" i="4"/>
  <c r="N49" i="4" s="1"/>
  <c r="P48" i="4"/>
  <c r="O48" i="4"/>
  <c r="M48" i="4"/>
  <c r="L48" i="4"/>
  <c r="I48" i="4"/>
  <c r="H48" i="4"/>
  <c r="G48" i="4"/>
  <c r="N48" i="4" s="1"/>
  <c r="P47" i="4"/>
  <c r="O47" i="4"/>
  <c r="M47" i="4"/>
  <c r="L47" i="4"/>
  <c r="I47" i="4"/>
  <c r="H47" i="4"/>
  <c r="G47" i="4"/>
  <c r="N47" i="4" s="1"/>
  <c r="P46" i="4"/>
  <c r="O46" i="4"/>
  <c r="M46" i="4"/>
  <c r="L46" i="4"/>
  <c r="I46" i="4"/>
  <c r="H46" i="4"/>
  <c r="G46" i="4"/>
  <c r="N46" i="4" s="1"/>
  <c r="P45" i="4"/>
  <c r="O45" i="4"/>
  <c r="M45" i="4"/>
  <c r="L45" i="4"/>
  <c r="I45" i="4"/>
  <c r="H45" i="4"/>
  <c r="G45" i="4"/>
  <c r="N45" i="4" s="1"/>
  <c r="P44" i="4"/>
  <c r="O44" i="4"/>
  <c r="M44" i="4"/>
  <c r="L44" i="4"/>
  <c r="I44" i="4"/>
  <c r="H44" i="4"/>
  <c r="G44" i="4"/>
  <c r="N44" i="4" s="1"/>
  <c r="P43" i="4"/>
  <c r="O43" i="4"/>
  <c r="M43" i="4"/>
  <c r="L43" i="4"/>
  <c r="I43" i="4"/>
  <c r="H43" i="4"/>
  <c r="G43" i="4"/>
  <c r="N43" i="4" s="1"/>
  <c r="P42" i="4"/>
  <c r="O42" i="4"/>
  <c r="M42" i="4"/>
  <c r="L42" i="4"/>
  <c r="I42" i="4"/>
  <c r="H42" i="4"/>
  <c r="G42" i="4"/>
  <c r="N42" i="4" s="1"/>
  <c r="P41" i="4"/>
  <c r="O41" i="4"/>
  <c r="M41" i="4"/>
  <c r="L41" i="4"/>
  <c r="I41" i="4"/>
  <c r="H41" i="4"/>
  <c r="G41" i="4"/>
  <c r="N41" i="4" s="1"/>
  <c r="P40" i="4"/>
  <c r="O40" i="4"/>
  <c r="M40" i="4"/>
  <c r="L40" i="4"/>
  <c r="I40" i="4"/>
  <c r="H40" i="4"/>
  <c r="G40" i="4"/>
  <c r="N40" i="4" s="1"/>
  <c r="P39" i="4"/>
  <c r="O39" i="4"/>
  <c r="M39" i="4"/>
  <c r="L39" i="4"/>
  <c r="I39" i="4"/>
  <c r="H39" i="4"/>
  <c r="G39" i="4"/>
  <c r="N39" i="4" s="1"/>
  <c r="P38" i="4"/>
  <c r="O38" i="4"/>
  <c r="M38" i="4"/>
  <c r="L38" i="4"/>
  <c r="I38" i="4"/>
  <c r="H38" i="4"/>
  <c r="G38" i="4"/>
  <c r="N38" i="4" s="1"/>
  <c r="P37" i="4"/>
  <c r="O37" i="4"/>
  <c r="M37" i="4"/>
  <c r="L37" i="4"/>
  <c r="I37" i="4"/>
  <c r="H37" i="4"/>
  <c r="G37" i="4"/>
  <c r="N37" i="4" s="1"/>
  <c r="P36" i="4"/>
  <c r="O36" i="4"/>
  <c r="M36" i="4"/>
  <c r="L36" i="4"/>
  <c r="I36" i="4"/>
  <c r="H36" i="4"/>
  <c r="G36" i="4"/>
  <c r="N36" i="4" s="1"/>
  <c r="P35" i="4"/>
  <c r="O35" i="4"/>
  <c r="M35" i="4"/>
  <c r="L35" i="4"/>
  <c r="I35" i="4"/>
  <c r="H35" i="4"/>
  <c r="G35" i="4"/>
  <c r="N35" i="4" s="1"/>
  <c r="P34" i="4"/>
  <c r="O34" i="4"/>
  <c r="M34" i="4"/>
  <c r="L34" i="4"/>
  <c r="I34" i="4"/>
  <c r="H34" i="4"/>
  <c r="G34" i="4"/>
  <c r="N34" i="4" s="1"/>
  <c r="P33" i="4"/>
  <c r="O33" i="4"/>
  <c r="M33" i="4"/>
  <c r="L33" i="4"/>
  <c r="I33" i="4"/>
  <c r="H33" i="4"/>
  <c r="G33" i="4"/>
  <c r="N33" i="4" s="1"/>
  <c r="P32" i="4"/>
  <c r="O32" i="4"/>
  <c r="M32" i="4"/>
  <c r="L32" i="4"/>
  <c r="I32" i="4"/>
  <c r="H32" i="4"/>
  <c r="G32" i="4"/>
  <c r="N32" i="4" s="1"/>
  <c r="P31" i="4"/>
  <c r="O31" i="4"/>
  <c r="M31" i="4"/>
  <c r="L31" i="4"/>
  <c r="I31" i="4"/>
  <c r="H31" i="4"/>
  <c r="G31" i="4"/>
  <c r="N31" i="4" s="1"/>
  <c r="P30" i="4"/>
  <c r="O30" i="4"/>
  <c r="M30" i="4"/>
  <c r="L30" i="4"/>
  <c r="I30" i="4"/>
  <c r="H30" i="4"/>
  <c r="G30" i="4"/>
  <c r="N30" i="4" s="1"/>
  <c r="P29" i="4"/>
  <c r="O29" i="4"/>
  <c r="M29" i="4"/>
  <c r="L29" i="4"/>
  <c r="I29" i="4"/>
  <c r="H29" i="4"/>
  <c r="G29" i="4"/>
  <c r="N29" i="4" s="1"/>
  <c r="P28" i="4"/>
  <c r="O28" i="4"/>
  <c r="M28" i="4"/>
  <c r="L28" i="4"/>
  <c r="I28" i="4"/>
  <c r="H28" i="4"/>
  <c r="G28" i="4"/>
  <c r="N28" i="4" s="1"/>
  <c r="P27" i="4"/>
  <c r="O27" i="4"/>
  <c r="M27" i="4"/>
  <c r="L27" i="4"/>
  <c r="I27" i="4"/>
  <c r="H27" i="4"/>
  <c r="G27" i="4"/>
  <c r="N27" i="4" s="1"/>
  <c r="P26" i="4"/>
  <c r="O26" i="4"/>
  <c r="M26" i="4"/>
  <c r="L26" i="4"/>
  <c r="I26" i="4"/>
  <c r="H26" i="4"/>
  <c r="G26" i="4"/>
  <c r="N26" i="4" s="1"/>
  <c r="P25" i="4"/>
  <c r="O25" i="4"/>
  <c r="M25" i="4"/>
  <c r="L25" i="4"/>
  <c r="I25" i="4"/>
  <c r="H25" i="4"/>
  <c r="G25" i="4"/>
  <c r="N25" i="4" s="1"/>
  <c r="P24" i="4"/>
  <c r="O24" i="4"/>
  <c r="M24" i="4"/>
  <c r="L24" i="4"/>
  <c r="I24" i="4"/>
  <c r="H24" i="4"/>
  <c r="G24" i="4"/>
  <c r="N24" i="4" s="1"/>
  <c r="P23" i="4"/>
  <c r="O23" i="4"/>
  <c r="M23" i="4"/>
  <c r="L23" i="4"/>
  <c r="H23" i="4"/>
  <c r="G23" i="4"/>
  <c r="N23" i="4" s="1"/>
  <c r="P22" i="4"/>
  <c r="O22" i="4"/>
  <c r="M22" i="4"/>
  <c r="L22" i="4"/>
  <c r="I22" i="4"/>
  <c r="H22" i="4"/>
  <c r="G22" i="4"/>
  <c r="N22" i="4" s="1"/>
  <c r="C22" i="4"/>
  <c r="P21" i="4"/>
  <c r="O21" i="4"/>
  <c r="N21" i="4"/>
  <c r="M21" i="4"/>
  <c r="L21" i="4"/>
  <c r="I21" i="4"/>
  <c r="H21" i="4"/>
  <c r="G21" i="4"/>
  <c r="C21" i="4"/>
  <c r="P20" i="4"/>
  <c r="O20" i="4"/>
  <c r="M20" i="4"/>
  <c r="L20" i="4"/>
  <c r="I20" i="4"/>
  <c r="H20" i="4"/>
  <c r="G20" i="4"/>
  <c r="N20" i="4" s="1"/>
  <c r="C20" i="4"/>
  <c r="B20" i="4"/>
  <c r="P19" i="4"/>
  <c r="O19" i="4"/>
  <c r="N19" i="4"/>
  <c r="M19" i="4"/>
  <c r="L19" i="4"/>
  <c r="I19" i="4"/>
  <c r="H19" i="4"/>
  <c r="G19" i="4"/>
  <c r="H18" i="4"/>
  <c r="D18" i="4"/>
  <c r="M18" i="4" s="1"/>
  <c r="C18" i="4"/>
  <c r="L18" i="4" s="1"/>
  <c r="O17" i="4"/>
  <c r="M17" i="4"/>
  <c r="L17" i="4"/>
  <c r="H17" i="4"/>
  <c r="G17" i="4"/>
  <c r="N17" i="4" s="1"/>
  <c r="O16" i="4"/>
  <c r="L16" i="4"/>
  <c r="H16" i="4"/>
  <c r="G16" i="4"/>
  <c r="D16" i="4"/>
  <c r="O15" i="4"/>
  <c r="M15" i="4"/>
  <c r="H15" i="4"/>
  <c r="C15" i="4"/>
  <c r="G15" i="4" s="1"/>
  <c r="P14" i="4"/>
  <c r="O14" i="4"/>
  <c r="N14" i="4"/>
  <c r="M14" i="4"/>
  <c r="L14" i="4"/>
  <c r="I14" i="4"/>
  <c r="H14" i="4"/>
  <c r="G14" i="4"/>
  <c r="P13" i="4"/>
  <c r="O13" i="4"/>
  <c r="N13" i="4"/>
  <c r="M13" i="4"/>
  <c r="L13" i="4"/>
  <c r="I13" i="4"/>
  <c r="H13" i="4"/>
  <c r="G13" i="4"/>
  <c r="O12" i="4"/>
  <c r="M12" i="4"/>
  <c r="C12" i="4"/>
  <c r="O11" i="4"/>
  <c r="M11" i="4"/>
  <c r="L11" i="4"/>
  <c r="H11" i="4"/>
  <c r="G11" i="4"/>
  <c r="O10" i="4"/>
  <c r="M10" i="4"/>
  <c r="L10" i="4"/>
  <c r="H10" i="4"/>
  <c r="G10" i="4"/>
  <c r="M9" i="4"/>
  <c r="C9" i="4"/>
  <c r="O8" i="4"/>
  <c r="M8" i="4"/>
  <c r="L8" i="4"/>
  <c r="H8" i="4"/>
  <c r="G8" i="4"/>
  <c r="O7" i="4"/>
  <c r="M7" i="4"/>
  <c r="L7" i="4"/>
  <c r="H7" i="4"/>
  <c r="G7" i="4"/>
  <c r="L6" i="4"/>
  <c r="D6" i="4"/>
  <c r="O5" i="4"/>
  <c r="M5" i="4"/>
  <c r="L5" i="4"/>
  <c r="H5" i="4"/>
  <c r="G5" i="4"/>
  <c r="N5" i="4" s="1"/>
  <c r="L4" i="4"/>
  <c r="I4" i="4"/>
  <c r="H4" i="4"/>
  <c r="G4" i="4"/>
  <c r="N4" i="4" s="1"/>
  <c r="D4" i="4"/>
  <c r="M4" i="4" s="1"/>
  <c r="H52" i="3"/>
  <c r="H41" i="3"/>
  <c r="H39" i="3"/>
  <c r="H29" i="3"/>
  <c r="H31" i="3" s="1"/>
  <c r="H33" i="3" s="1"/>
  <c r="H19" i="3"/>
  <c r="H21" i="3" s="1"/>
  <c r="E16" i="3"/>
  <c r="D16" i="3"/>
  <c r="D15" i="3"/>
  <c r="E15" i="3" s="1"/>
  <c r="D14" i="3"/>
  <c r="E14" i="3" s="1"/>
  <c r="D13" i="3"/>
  <c r="E13" i="3" s="1"/>
  <c r="E12" i="3"/>
  <c r="D12" i="3"/>
  <c r="D11" i="3"/>
  <c r="E11" i="3" s="1"/>
  <c r="D10" i="3"/>
  <c r="E10" i="3" s="1"/>
  <c r="E9" i="3"/>
  <c r="D9" i="3"/>
  <c r="E8" i="3"/>
  <c r="D8" i="3"/>
  <c r="D7" i="3"/>
  <c r="E7" i="3" s="1"/>
  <c r="D6" i="3"/>
  <c r="E6" i="3" s="1"/>
  <c r="E5" i="3"/>
  <c r="D5" i="3"/>
  <c r="E4" i="3"/>
  <c r="D4" i="3"/>
  <c r="B45" i="2"/>
  <c r="B44" i="2"/>
  <c r="B43" i="2"/>
  <c r="B49" i="2" s="1"/>
  <c r="B40" i="2"/>
  <c r="B39" i="2"/>
  <c r="B35" i="2"/>
  <c r="B22" i="2"/>
  <c r="CC201" i="5"/>
  <c r="BM201" i="5"/>
  <c r="BL201" i="5"/>
  <c r="BC201" i="5"/>
  <c r="BB201" i="5" s="1"/>
  <c r="BT201" i="5" s="1"/>
  <c r="AY201" i="5"/>
  <c r="AW201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E201" i="5"/>
  <c r="AD201" i="5"/>
  <c r="AC201" i="5"/>
  <c r="AB201" i="5"/>
  <c r="AA201" i="5"/>
  <c r="Y201" i="5"/>
  <c r="Z201" i="5" s="1"/>
  <c r="W201" i="5"/>
  <c r="V201" i="5"/>
  <c r="U201" i="5"/>
  <c r="T201" i="5"/>
  <c r="S201" i="5"/>
  <c r="Q201" i="5"/>
  <c r="P201" i="5"/>
  <c r="N201" i="5"/>
  <c r="M201" i="5"/>
  <c r="L201" i="5"/>
  <c r="K201" i="5"/>
  <c r="G201" i="5"/>
  <c r="H201" i="5" s="1"/>
  <c r="BC200" i="5"/>
  <c r="AY200" i="5"/>
  <c r="AW200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E200" i="5"/>
  <c r="AB200" i="5"/>
  <c r="AA200" i="5"/>
  <c r="Y200" i="5"/>
  <c r="AC200" i="5" s="1"/>
  <c r="U200" i="5"/>
  <c r="T200" i="5"/>
  <c r="S200" i="5"/>
  <c r="Q200" i="5"/>
  <c r="P200" i="5"/>
  <c r="AX200" i="5" s="1"/>
  <c r="N200" i="5"/>
  <c r="M200" i="5"/>
  <c r="L200" i="5"/>
  <c r="K200" i="5"/>
  <c r="G200" i="5"/>
  <c r="H200" i="5" s="1"/>
  <c r="AY199" i="5"/>
  <c r="AX199" i="5"/>
  <c r="AW199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E199" i="5"/>
  <c r="AB199" i="5"/>
  <c r="AA199" i="5"/>
  <c r="Z199" i="5"/>
  <c r="Y199" i="5"/>
  <c r="W199" i="5"/>
  <c r="U199" i="5"/>
  <c r="V199" i="5" s="1"/>
  <c r="S199" i="5"/>
  <c r="T199" i="5" s="1"/>
  <c r="Q199" i="5"/>
  <c r="P199" i="5"/>
  <c r="N199" i="5"/>
  <c r="M199" i="5"/>
  <c r="L199" i="5"/>
  <c r="K199" i="5"/>
  <c r="G199" i="5"/>
  <c r="H199" i="5" s="1"/>
  <c r="AY198" i="5"/>
  <c r="AW198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E198" i="5"/>
  <c r="AD198" i="5"/>
  <c r="AC198" i="5"/>
  <c r="AB198" i="5"/>
  <c r="AA198" i="5"/>
  <c r="Z198" i="5"/>
  <c r="Y198" i="5"/>
  <c r="S198" i="5"/>
  <c r="T198" i="5" s="1"/>
  <c r="Q198" i="5"/>
  <c r="P198" i="5"/>
  <c r="N198" i="5"/>
  <c r="M198" i="5"/>
  <c r="L198" i="5"/>
  <c r="K198" i="5"/>
  <c r="G198" i="5"/>
  <c r="H198" i="5" s="1"/>
  <c r="CB197" i="5"/>
  <c r="BZ197" i="5"/>
  <c r="BC197" i="5"/>
  <c r="BB197" i="5" s="1"/>
  <c r="AY197" i="5"/>
  <c r="AW197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E197" i="5"/>
  <c r="AC197" i="5"/>
  <c r="AB197" i="5"/>
  <c r="AD197" i="5" s="1"/>
  <c r="AA197" i="5"/>
  <c r="Y197" i="5"/>
  <c r="T197" i="5"/>
  <c r="S197" i="5"/>
  <c r="Q197" i="5"/>
  <c r="P197" i="5"/>
  <c r="Z197" i="5" s="1"/>
  <c r="N197" i="5"/>
  <c r="M197" i="5"/>
  <c r="L197" i="5"/>
  <c r="K197" i="5"/>
  <c r="H197" i="5"/>
  <c r="G197" i="5"/>
  <c r="AY196" i="5"/>
  <c r="AW196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E196" i="5"/>
  <c r="AB196" i="5"/>
  <c r="AA196" i="5"/>
  <c r="Y196" i="5"/>
  <c r="AC196" i="5" s="1"/>
  <c r="U196" i="5"/>
  <c r="V196" i="5" s="1"/>
  <c r="S196" i="5"/>
  <c r="T196" i="5" s="1"/>
  <c r="Q196" i="5"/>
  <c r="P196" i="5"/>
  <c r="BC196" i="5" s="1"/>
  <c r="N196" i="5"/>
  <c r="M196" i="5"/>
  <c r="L196" i="5"/>
  <c r="K196" i="5"/>
  <c r="G196" i="5"/>
  <c r="H196" i="5" s="1"/>
  <c r="AY195" i="5"/>
  <c r="AW195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E195" i="5"/>
  <c r="AB195" i="5"/>
  <c r="AA195" i="5"/>
  <c r="Y195" i="5"/>
  <c r="U195" i="5"/>
  <c r="S195" i="5"/>
  <c r="T195" i="5" s="1"/>
  <c r="Q195" i="5"/>
  <c r="P195" i="5"/>
  <c r="N195" i="5"/>
  <c r="M195" i="5"/>
  <c r="L195" i="5"/>
  <c r="K195" i="5"/>
  <c r="G195" i="5"/>
  <c r="H195" i="5" s="1"/>
  <c r="AY194" i="5"/>
  <c r="AW194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E194" i="5"/>
  <c r="AC194" i="5"/>
  <c r="AB194" i="5"/>
  <c r="AA194" i="5"/>
  <c r="Z194" i="5"/>
  <c r="Y194" i="5"/>
  <c r="S194" i="5"/>
  <c r="T194" i="5" s="1"/>
  <c r="Q194" i="5"/>
  <c r="P194" i="5"/>
  <c r="N194" i="5"/>
  <c r="M194" i="5"/>
  <c r="L194" i="5"/>
  <c r="K194" i="5"/>
  <c r="G194" i="5"/>
  <c r="H194" i="5" s="1"/>
  <c r="AY193" i="5"/>
  <c r="AW193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E193" i="5"/>
  <c r="AB193" i="5"/>
  <c r="AD193" i="5" s="1"/>
  <c r="AA193" i="5"/>
  <c r="AC193" i="5" s="1"/>
  <c r="Y193" i="5"/>
  <c r="S193" i="5"/>
  <c r="T193" i="5" s="1"/>
  <c r="Q193" i="5"/>
  <c r="P193" i="5"/>
  <c r="Z193" i="5" s="1"/>
  <c r="N193" i="5"/>
  <c r="M193" i="5"/>
  <c r="L193" i="5"/>
  <c r="K193" i="5"/>
  <c r="G193" i="5"/>
  <c r="H193" i="5" s="1"/>
  <c r="AY192" i="5"/>
  <c r="AX192" i="5"/>
  <c r="AW192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E192" i="5"/>
  <c r="AB192" i="5"/>
  <c r="AA192" i="5"/>
  <c r="Y192" i="5"/>
  <c r="S192" i="5"/>
  <c r="T192" i="5" s="1"/>
  <c r="Q192" i="5"/>
  <c r="P192" i="5"/>
  <c r="Z192" i="5" s="1"/>
  <c r="N192" i="5"/>
  <c r="M192" i="5"/>
  <c r="L192" i="5"/>
  <c r="K192" i="5"/>
  <c r="G192" i="5"/>
  <c r="H192" i="5" s="1"/>
  <c r="BC191" i="5"/>
  <c r="AY191" i="5"/>
  <c r="AW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E191" i="5"/>
  <c r="AB191" i="5"/>
  <c r="AD191" i="5" s="1"/>
  <c r="AA191" i="5"/>
  <c r="Y191" i="5"/>
  <c r="Z191" i="5" s="1"/>
  <c r="U191" i="5"/>
  <c r="V191" i="5" s="1"/>
  <c r="S191" i="5"/>
  <c r="T191" i="5" s="1"/>
  <c r="Q191" i="5"/>
  <c r="P191" i="5"/>
  <c r="N191" i="5"/>
  <c r="M191" i="5"/>
  <c r="L191" i="5"/>
  <c r="K191" i="5"/>
  <c r="G191" i="5"/>
  <c r="H191" i="5" s="1"/>
  <c r="AY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E190" i="5"/>
  <c r="AD190" i="5"/>
  <c r="AC190" i="5"/>
  <c r="AB190" i="5"/>
  <c r="AA190" i="5"/>
  <c r="Y190" i="5"/>
  <c r="T190" i="5"/>
  <c r="S190" i="5"/>
  <c r="Q190" i="5"/>
  <c r="P190" i="5"/>
  <c r="Z190" i="5" s="1"/>
  <c r="N190" i="5"/>
  <c r="M190" i="5"/>
  <c r="L190" i="5"/>
  <c r="K190" i="5"/>
  <c r="H190" i="5"/>
  <c r="G190" i="5"/>
  <c r="AY189" i="5"/>
  <c r="AW189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E189" i="5"/>
  <c r="AC189" i="5"/>
  <c r="AB189" i="5"/>
  <c r="AA189" i="5"/>
  <c r="Y189" i="5"/>
  <c r="U189" i="5"/>
  <c r="V189" i="5" s="1"/>
  <c r="T189" i="5"/>
  <c r="S189" i="5"/>
  <c r="Q189" i="5"/>
  <c r="P189" i="5"/>
  <c r="Z189" i="5" s="1"/>
  <c r="AD189" i="5" s="1"/>
  <c r="N189" i="5"/>
  <c r="M189" i="5"/>
  <c r="L189" i="5"/>
  <c r="K189" i="5"/>
  <c r="H189" i="5"/>
  <c r="G189" i="5"/>
  <c r="BC188" i="5"/>
  <c r="AY188" i="5"/>
  <c r="AW188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E188" i="5"/>
  <c r="AB188" i="5"/>
  <c r="AA188" i="5"/>
  <c r="Y188" i="5"/>
  <c r="Z188" i="5" s="1"/>
  <c r="AD188" i="5" s="1"/>
  <c r="S188" i="5"/>
  <c r="T188" i="5" s="1"/>
  <c r="Q188" i="5"/>
  <c r="P188" i="5"/>
  <c r="AX188" i="5" s="1"/>
  <c r="N188" i="5"/>
  <c r="M188" i="5"/>
  <c r="L188" i="5"/>
  <c r="K188" i="5"/>
  <c r="G188" i="5"/>
  <c r="H188" i="5" s="1"/>
  <c r="AY187" i="5"/>
  <c r="AX187" i="5"/>
  <c r="AW187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E187" i="5"/>
  <c r="AB187" i="5"/>
  <c r="AA187" i="5"/>
  <c r="Y187" i="5"/>
  <c r="Z187" i="5" s="1"/>
  <c r="W187" i="5"/>
  <c r="U187" i="5"/>
  <c r="V187" i="5" s="1"/>
  <c r="S187" i="5"/>
  <c r="T187" i="5" s="1"/>
  <c r="Q187" i="5"/>
  <c r="P187" i="5"/>
  <c r="N187" i="5"/>
  <c r="M187" i="5"/>
  <c r="L187" i="5"/>
  <c r="K187" i="5"/>
  <c r="G187" i="5"/>
  <c r="H187" i="5" s="1"/>
  <c r="AY186" i="5"/>
  <c r="AW186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E186" i="5"/>
  <c r="AD186" i="5"/>
  <c r="AC186" i="5"/>
  <c r="AB186" i="5"/>
  <c r="AA186" i="5"/>
  <c r="Z186" i="5"/>
  <c r="Y186" i="5"/>
  <c r="S186" i="5"/>
  <c r="T186" i="5" s="1"/>
  <c r="Q186" i="5"/>
  <c r="P186" i="5"/>
  <c r="N186" i="5"/>
  <c r="M186" i="5"/>
  <c r="L186" i="5"/>
  <c r="K186" i="5"/>
  <c r="G186" i="5"/>
  <c r="H186" i="5" s="1"/>
  <c r="AY185" i="5"/>
  <c r="AW185" i="5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E185" i="5"/>
  <c r="AB185" i="5"/>
  <c r="AA185" i="5"/>
  <c r="AC185" i="5" s="1"/>
  <c r="Z185" i="5"/>
  <c r="AD185" i="5" s="1"/>
  <c r="Y185" i="5"/>
  <c r="T185" i="5"/>
  <c r="S185" i="5"/>
  <c r="Q185" i="5"/>
  <c r="P185" i="5"/>
  <c r="N185" i="5"/>
  <c r="M185" i="5"/>
  <c r="L185" i="5"/>
  <c r="K185" i="5"/>
  <c r="G185" i="5"/>
  <c r="H185" i="5" s="1"/>
  <c r="AY184" i="5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E184" i="5"/>
  <c r="AB184" i="5"/>
  <c r="AD184" i="5" s="1"/>
  <c r="AA184" i="5"/>
  <c r="AC184" i="5" s="1"/>
  <c r="Y184" i="5"/>
  <c r="S184" i="5"/>
  <c r="T184" i="5" s="1"/>
  <c r="Q184" i="5"/>
  <c r="P184" i="5"/>
  <c r="Z184" i="5" s="1"/>
  <c r="N184" i="5"/>
  <c r="M184" i="5"/>
  <c r="L184" i="5"/>
  <c r="K184" i="5"/>
  <c r="G184" i="5"/>
  <c r="H184" i="5" s="1"/>
  <c r="BZ183" i="5"/>
  <c r="BT183" i="5"/>
  <c r="BC183" i="5"/>
  <c r="BB183" i="5"/>
  <c r="AY183" i="5"/>
  <c r="AW183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E183" i="5"/>
  <c r="AC183" i="5"/>
  <c r="AB183" i="5"/>
  <c r="AA183" i="5"/>
  <c r="Y183" i="5"/>
  <c r="Z183" i="5" s="1"/>
  <c r="AD183" i="5" s="1"/>
  <c r="T183" i="5"/>
  <c r="S183" i="5"/>
  <c r="Q183" i="5"/>
  <c r="P183" i="5"/>
  <c r="N183" i="5"/>
  <c r="M183" i="5"/>
  <c r="L183" i="5"/>
  <c r="K183" i="5"/>
  <c r="H183" i="5"/>
  <c r="G183" i="5"/>
  <c r="AY182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E182" i="5"/>
  <c r="AD182" i="5"/>
  <c r="AB182" i="5"/>
  <c r="AA182" i="5"/>
  <c r="AC182" i="5" s="1"/>
  <c r="Y182" i="5"/>
  <c r="Z182" i="5" s="1"/>
  <c r="S182" i="5"/>
  <c r="T182" i="5" s="1"/>
  <c r="Q182" i="5"/>
  <c r="P182" i="5"/>
  <c r="N182" i="5"/>
  <c r="BC182" i="5" s="1"/>
  <c r="M182" i="5"/>
  <c r="L182" i="5"/>
  <c r="K182" i="5"/>
  <c r="G182" i="5"/>
  <c r="H182" i="5" s="1"/>
  <c r="AY181" i="5"/>
  <c r="AW181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E181" i="5"/>
  <c r="AB181" i="5"/>
  <c r="AA181" i="5"/>
  <c r="Z181" i="5"/>
  <c r="AD181" i="5" s="1"/>
  <c r="Y181" i="5"/>
  <c r="W181" i="5"/>
  <c r="S181" i="5"/>
  <c r="T181" i="5" s="1"/>
  <c r="Q181" i="5"/>
  <c r="P181" i="5"/>
  <c r="N181" i="5"/>
  <c r="M181" i="5"/>
  <c r="L181" i="5"/>
  <c r="K181" i="5"/>
  <c r="G181" i="5"/>
  <c r="H181" i="5" s="1"/>
  <c r="AY180" i="5"/>
  <c r="AW180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E180" i="5"/>
  <c r="AC180" i="5"/>
  <c r="AB180" i="5"/>
  <c r="AD180" i="5" s="1"/>
  <c r="AA180" i="5"/>
  <c r="Y180" i="5"/>
  <c r="S180" i="5"/>
  <c r="T180" i="5" s="1"/>
  <c r="Q180" i="5"/>
  <c r="P180" i="5"/>
  <c r="Z180" i="5" s="1"/>
  <c r="N180" i="5"/>
  <c r="M180" i="5"/>
  <c r="L180" i="5"/>
  <c r="K180" i="5"/>
  <c r="G180" i="5"/>
  <c r="H180" i="5" s="1"/>
  <c r="AY179" i="5"/>
  <c r="AW179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E179" i="5"/>
  <c r="AC179" i="5"/>
  <c r="AB179" i="5"/>
  <c r="AD179" i="5" s="1"/>
  <c r="AA179" i="5"/>
  <c r="Y179" i="5"/>
  <c r="T179" i="5"/>
  <c r="S179" i="5"/>
  <c r="Q179" i="5"/>
  <c r="P179" i="5"/>
  <c r="Z179" i="5" s="1"/>
  <c r="N179" i="5"/>
  <c r="M179" i="5"/>
  <c r="L179" i="5"/>
  <c r="K179" i="5"/>
  <c r="H179" i="5"/>
  <c r="G179" i="5"/>
  <c r="AY178" i="5"/>
  <c r="AW178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E178" i="5"/>
  <c r="AD178" i="5"/>
  <c r="AB178" i="5"/>
  <c r="AA178" i="5"/>
  <c r="AC178" i="5" s="1"/>
  <c r="Y178" i="5"/>
  <c r="Z178" i="5" s="1"/>
  <c r="S178" i="5"/>
  <c r="T178" i="5" s="1"/>
  <c r="Q178" i="5"/>
  <c r="P178" i="5"/>
  <c r="N178" i="5"/>
  <c r="M178" i="5"/>
  <c r="L178" i="5"/>
  <c r="K178" i="5"/>
  <c r="G178" i="5"/>
  <c r="H178" i="5" s="1"/>
  <c r="AY177" i="5"/>
  <c r="AW177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E177" i="5"/>
  <c r="AB177" i="5"/>
  <c r="AA177" i="5"/>
  <c r="Z177" i="5"/>
  <c r="Y177" i="5"/>
  <c r="W177" i="5"/>
  <c r="S177" i="5"/>
  <c r="T177" i="5" s="1"/>
  <c r="Q177" i="5"/>
  <c r="P177" i="5"/>
  <c r="N177" i="5"/>
  <c r="M177" i="5"/>
  <c r="L177" i="5"/>
  <c r="K177" i="5"/>
  <c r="G177" i="5"/>
  <c r="H177" i="5" s="1"/>
  <c r="AY176" i="5"/>
  <c r="AW176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E176" i="5"/>
  <c r="AB176" i="5"/>
  <c r="AA176" i="5"/>
  <c r="AC176" i="5" s="1"/>
  <c r="Z176" i="5"/>
  <c r="Y176" i="5"/>
  <c r="S176" i="5"/>
  <c r="T176" i="5" s="1"/>
  <c r="Q176" i="5"/>
  <c r="P176" i="5"/>
  <c r="N176" i="5"/>
  <c r="M176" i="5"/>
  <c r="L176" i="5"/>
  <c r="K176" i="5"/>
  <c r="G176" i="5"/>
  <c r="H176" i="5" s="1"/>
  <c r="AY175" i="5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E175" i="5"/>
  <c r="AC175" i="5"/>
  <c r="AB175" i="5"/>
  <c r="AA175" i="5"/>
  <c r="Z175" i="5"/>
  <c r="Y175" i="5"/>
  <c r="S175" i="5"/>
  <c r="T175" i="5" s="1"/>
  <c r="Q175" i="5"/>
  <c r="P175" i="5"/>
  <c r="N175" i="5"/>
  <c r="M175" i="5"/>
  <c r="L175" i="5"/>
  <c r="K175" i="5"/>
  <c r="G175" i="5"/>
  <c r="H175" i="5" s="1"/>
  <c r="AY174" i="5"/>
  <c r="AX174" i="5"/>
  <c r="AW174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E174" i="5"/>
  <c r="AB174" i="5"/>
  <c r="AA174" i="5"/>
  <c r="Y174" i="5"/>
  <c r="Z174" i="5" s="1"/>
  <c r="AD174" i="5" s="1"/>
  <c r="W174" i="5"/>
  <c r="U174" i="5"/>
  <c r="V174" i="5" s="1"/>
  <c r="S174" i="5"/>
  <c r="T174" i="5" s="1"/>
  <c r="Q174" i="5"/>
  <c r="P174" i="5"/>
  <c r="N174" i="5"/>
  <c r="M174" i="5"/>
  <c r="L174" i="5"/>
  <c r="K174" i="5"/>
  <c r="G174" i="5"/>
  <c r="H174" i="5" s="1"/>
  <c r="AY173" i="5"/>
  <c r="AX173" i="5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E173" i="5"/>
  <c r="AB173" i="5"/>
  <c r="AA173" i="5"/>
  <c r="Y173" i="5"/>
  <c r="Z173" i="5" s="1"/>
  <c r="S173" i="5"/>
  <c r="T173" i="5" s="1"/>
  <c r="Q173" i="5"/>
  <c r="P173" i="5"/>
  <c r="N173" i="5"/>
  <c r="M173" i="5"/>
  <c r="L173" i="5"/>
  <c r="K173" i="5"/>
  <c r="G173" i="5"/>
  <c r="H173" i="5" s="1"/>
  <c r="AY172" i="5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E172" i="5"/>
  <c r="AC172" i="5"/>
  <c r="AB172" i="5"/>
  <c r="AD172" i="5" s="1"/>
  <c r="AA172" i="5"/>
  <c r="Z172" i="5"/>
  <c r="Y172" i="5"/>
  <c r="S172" i="5"/>
  <c r="T172" i="5" s="1"/>
  <c r="Q172" i="5"/>
  <c r="P172" i="5"/>
  <c r="N172" i="5"/>
  <c r="M172" i="5"/>
  <c r="L172" i="5"/>
  <c r="K172" i="5"/>
  <c r="G172" i="5"/>
  <c r="H172" i="5" s="1"/>
  <c r="AY171" i="5"/>
  <c r="AW171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E171" i="5"/>
  <c r="AC171" i="5"/>
  <c r="AB171" i="5"/>
  <c r="AD171" i="5" s="1"/>
  <c r="AA171" i="5"/>
  <c r="Y171" i="5"/>
  <c r="S171" i="5"/>
  <c r="T171" i="5" s="1"/>
  <c r="Q171" i="5"/>
  <c r="P171" i="5"/>
  <c r="Z171" i="5" s="1"/>
  <c r="N171" i="5"/>
  <c r="M171" i="5"/>
  <c r="L171" i="5"/>
  <c r="K171" i="5"/>
  <c r="G171" i="5"/>
  <c r="H171" i="5" s="1"/>
  <c r="BC170" i="5"/>
  <c r="AY170" i="5"/>
  <c r="AW170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E170" i="5"/>
  <c r="AB170" i="5"/>
  <c r="AA170" i="5"/>
  <c r="AC170" i="5" s="1"/>
  <c r="Z170" i="5"/>
  <c r="Y170" i="5"/>
  <c r="S170" i="5"/>
  <c r="T170" i="5" s="1"/>
  <c r="Q170" i="5"/>
  <c r="P170" i="5"/>
  <c r="N170" i="5"/>
  <c r="M170" i="5"/>
  <c r="L170" i="5"/>
  <c r="K170" i="5"/>
  <c r="G170" i="5"/>
  <c r="H170" i="5" s="1"/>
  <c r="AY169" i="5"/>
  <c r="AX169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E169" i="5"/>
  <c r="AB169" i="5"/>
  <c r="AA169" i="5"/>
  <c r="Y169" i="5"/>
  <c r="Z169" i="5" s="1"/>
  <c r="W169" i="5"/>
  <c r="S169" i="5"/>
  <c r="T169" i="5" s="1"/>
  <c r="Q169" i="5"/>
  <c r="P169" i="5"/>
  <c r="N169" i="5"/>
  <c r="M169" i="5"/>
  <c r="L169" i="5"/>
  <c r="K169" i="5"/>
  <c r="G169" i="5"/>
  <c r="H169" i="5" s="1"/>
  <c r="AY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E168" i="5"/>
  <c r="AD168" i="5"/>
  <c r="AC168" i="5"/>
  <c r="AB168" i="5"/>
  <c r="AA168" i="5"/>
  <c r="Z168" i="5"/>
  <c r="Y168" i="5"/>
  <c r="T168" i="5"/>
  <c r="S168" i="5"/>
  <c r="Q168" i="5"/>
  <c r="P168" i="5"/>
  <c r="N168" i="5"/>
  <c r="M168" i="5"/>
  <c r="L168" i="5"/>
  <c r="K168" i="5"/>
  <c r="H168" i="5"/>
  <c r="G168" i="5"/>
  <c r="AY167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E167" i="5"/>
  <c r="AC167" i="5"/>
  <c r="AB167" i="5"/>
  <c r="AA167" i="5"/>
  <c r="Y167" i="5"/>
  <c r="U167" i="5"/>
  <c r="V167" i="5" s="1"/>
  <c r="T167" i="5"/>
  <c r="S167" i="5"/>
  <c r="Q167" i="5"/>
  <c r="P167" i="5"/>
  <c r="Z167" i="5" s="1"/>
  <c r="AD167" i="5" s="1"/>
  <c r="N167" i="5"/>
  <c r="M167" i="5"/>
  <c r="L167" i="5"/>
  <c r="K167" i="5"/>
  <c r="H167" i="5"/>
  <c r="G167" i="5"/>
  <c r="AY166" i="5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E166" i="5"/>
  <c r="AC166" i="5"/>
  <c r="AB166" i="5"/>
  <c r="AD166" i="5" s="1"/>
  <c r="AA166" i="5"/>
  <c r="Y166" i="5"/>
  <c r="Z166" i="5" s="1"/>
  <c r="S166" i="5"/>
  <c r="T166" i="5" s="1"/>
  <c r="Q166" i="5"/>
  <c r="P166" i="5"/>
  <c r="N166" i="5"/>
  <c r="M166" i="5"/>
  <c r="L166" i="5"/>
  <c r="K166" i="5"/>
  <c r="G166" i="5"/>
  <c r="H166" i="5" s="1"/>
  <c r="BC165" i="5"/>
  <c r="AY165" i="5"/>
  <c r="AX165" i="5"/>
  <c r="AW165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E165" i="5"/>
  <c r="AB165" i="5"/>
  <c r="AA165" i="5"/>
  <c r="Y165" i="5"/>
  <c r="W165" i="5"/>
  <c r="U165" i="5"/>
  <c r="V165" i="5" s="1"/>
  <c r="T165" i="5"/>
  <c r="S165" i="5"/>
  <c r="Q165" i="5"/>
  <c r="P165" i="5"/>
  <c r="N165" i="5"/>
  <c r="M165" i="5"/>
  <c r="L165" i="5"/>
  <c r="K165" i="5"/>
  <c r="H165" i="5"/>
  <c r="G165" i="5"/>
  <c r="AY164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E164" i="5"/>
  <c r="AB164" i="5"/>
  <c r="AA164" i="5"/>
  <c r="AC164" i="5" s="1"/>
  <c r="Y164" i="5"/>
  <c r="S164" i="5"/>
  <c r="T164" i="5" s="1"/>
  <c r="Q164" i="5"/>
  <c r="P164" i="5"/>
  <c r="N164" i="5"/>
  <c r="M164" i="5"/>
  <c r="L164" i="5"/>
  <c r="K164" i="5"/>
  <c r="G164" i="5"/>
  <c r="H164" i="5" s="1"/>
  <c r="AY163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E163" i="5"/>
  <c r="AD163" i="5"/>
  <c r="AC163" i="5"/>
  <c r="AB163" i="5"/>
  <c r="AA163" i="5"/>
  <c r="Y163" i="5"/>
  <c r="S163" i="5"/>
  <c r="T163" i="5" s="1"/>
  <c r="Q163" i="5"/>
  <c r="P163" i="5"/>
  <c r="Z163" i="5" s="1"/>
  <c r="N163" i="5"/>
  <c r="M163" i="5"/>
  <c r="L163" i="5"/>
  <c r="K163" i="5"/>
  <c r="G163" i="5"/>
  <c r="H163" i="5" s="1"/>
  <c r="AY162" i="5"/>
  <c r="AW162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E162" i="5"/>
  <c r="AD162" i="5"/>
  <c r="AC162" i="5"/>
  <c r="AB162" i="5"/>
  <c r="AA162" i="5"/>
  <c r="Y162" i="5"/>
  <c r="T162" i="5"/>
  <c r="S162" i="5"/>
  <c r="Q162" i="5"/>
  <c r="P162" i="5"/>
  <c r="Z162" i="5" s="1"/>
  <c r="N162" i="5"/>
  <c r="M162" i="5"/>
  <c r="L162" i="5"/>
  <c r="K162" i="5"/>
  <c r="H162" i="5"/>
  <c r="G162" i="5"/>
  <c r="AY161" i="5"/>
  <c r="AX161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E161" i="5"/>
  <c r="AB161" i="5"/>
  <c r="AA161" i="5"/>
  <c r="Y161" i="5"/>
  <c r="W161" i="5"/>
  <c r="V161" i="5"/>
  <c r="U161" i="5"/>
  <c r="T161" i="5"/>
  <c r="S161" i="5"/>
  <c r="Q161" i="5"/>
  <c r="P161" i="5"/>
  <c r="N161" i="5"/>
  <c r="M161" i="5"/>
  <c r="L161" i="5"/>
  <c r="K161" i="5"/>
  <c r="G161" i="5"/>
  <c r="H161" i="5" s="1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E160" i="5"/>
  <c r="AB160" i="5"/>
  <c r="AA160" i="5"/>
  <c r="AC160" i="5" s="1"/>
  <c r="Z160" i="5"/>
  <c r="AD160" i="5" s="1"/>
  <c r="Y160" i="5"/>
  <c r="U160" i="5"/>
  <c r="V160" i="5" s="1"/>
  <c r="S160" i="5"/>
  <c r="T160" i="5" s="1"/>
  <c r="Q160" i="5"/>
  <c r="P160" i="5"/>
  <c r="N160" i="5"/>
  <c r="M160" i="5"/>
  <c r="L160" i="5"/>
  <c r="K160" i="5"/>
  <c r="G160" i="5"/>
  <c r="H160" i="5" s="1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E159" i="5"/>
  <c r="AB159" i="5"/>
  <c r="AA159" i="5"/>
  <c r="Y159" i="5"/>
  <c r="Z159" i="5" s="1"/>
  <c r="AD159" i="5" s="1"/>
  <c r="S159" i="5"/>
  <c r="T159" i="5" s="1"/>
  <c r="Q159" i="5"/>
  <c r="P159" i="5"/>
  <c r="N159" i="5"/>
  <c r="M159" i="5"/>
  <c r="L159" i="5"/>
  <c r="K159" i="5"/>
  <c r="G159" i="5"/>
  <c r="H159" i="5" s="1"/>
  <c r="AY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E158" i="5"/>
  <c r="AC158" i="5"/>
  <c r="AB158" i="5"/>
  <c r="AA158" i="5"/>
  <c r="Y158" i="5"/>
  <c r="T158" i="5"/>
  <c r="S158" i="5"/>
  <c r="Q158" i="5"/>
  <c r="P158" i="5"/>
  <c r="Z158" i="5" s="1"/>
  <c r="AD158" i="5" s="1"/>
  <c r="N158" i="5"/>
  <c r="M158" i="5"/>
  <c r="L158" i="5"/>
  <c r="K158" i="5"/>
  <c r="H158" i="5"/>
  <c r="G158" i="5"/>
  <c r="AY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E157" i="5"/>
  <c r="AB157" i="5"/>
  <c r="AA157" i="5"/>
  <c r="Z157" i="5"/>
  <c r="Y157" i="5"/>
  <c r="AC157" i="5" s="1"/>
  <c r="S157" i="5"/>
  <c r="T157" i="5" s="1"/>
  <c r="Q157" i="5"/>
  <c r="P157" i="5"/>
  <c r="N157" i="5"/>
  <c r="M157" i="5"/>
  <c r="L157" i="5"/>
  <c r="K157" i="5"/>
  <c r="G157" i="5"/>
  <c r="H157" i="5" s="1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E156" i="5"/>
  <c r="AB156" i="5"/>
  <c r="AA156" i="5"/>
  <c r="AC156" i="5" s="1"/>
  <c r="Z156" i="5"/>
  <c r="AD156" i="5" s="1"/>
  <c r="Y156" i="5"/>
  <c r="W156" i="5"/>
  <c r="U156" i="5"/>
  <c r="V156" i="5" s="1"/>
  <c r="S156" i="5"/>
  <c r="T156" i="5" s="1"/>
  <c r="Q156" i="5"/>
  <c r="P156" i="5"/>
  <c r="N156" i="5"/>
  <c r="M156" i="5"/>
  <c r="L156" i="5"/>
  <c r="K156" i="5"/>
  <c r="G156" i="5"/>
  <c r="H156" i="5" s="1"/>
  <c r="AY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E155" i="5"/>
  <c r="AB155" i="5"/>
  <c r="AA155" i="5"/>
  <c r="AC155" i="5" s="1"/>
  <c r="Y155" i="5"/>
  <c r="T155" i="5"/>
  <c r="S155" i="5"/>
  <c r="Q155" i="5"/>
  <c r="P155" i="5"/>
  <c r="Z155" i="5" s="1"/>
  <c r="AD155" i="5" s="1"/>
  <c r="N155" i="5"/>
  <c r="M155" i="5"/>
  <c r="L155" i="5"/>
  <c r="K155" i="5"/>
  <c r="H155" i="5"/>
  <c r="G155" i="5"/>
  <c r="AY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E154" i="5"/>
  <c r="AC154" i="5"/>
  <c r="AB154" i="5"/>
  <c r="AA154" i="5"/>
  <c r="Z154" i="5"/>
  <c r="AD154" i="5" s="1"/>
  <c r="Y154" i="5"/>
  <c r="W154" i="5"/>
  <c r="U154" i="5"/>
  <c r="V154" i="5" s="1"/>
  <c r="T154" i="5"/>
  <c r="S154" i="5"/>
  <c r="Q154" i="5"/>
  <c r="P154" i="5"/>
  <c r="N154" i="5"/>
  <c r="M154" i="5"/>
  <c r="L154" i="5"/>
  <c r="K154" i="5"/>
  <c r="H154" i="5"/>
  <c r="G154" i="5"/>
  <c r="AY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E153" i="5"/>
  <c r="AC153" i="5"/>
  <c r="AB153" i="5"/>
  <c r="AA153" i="5"/>
  <c r="Y153" i="5"/>
  <c r="S153" i="5"/>
  <c r="T153" i="5" s="1"/>
  <c r="Q153" i="5"/>
  <c r="P153" i="5"/>
  <c r="Z153" i="5" s="1"/>
  <c r="N153" i="5"/>
  <c r="M153" i="5"/>
  <c r="L153" i="5"/>
  <c r="K153" i="5"/>
  <c r="G153" i="5"/>
  <c r="H153" i="5" s="1"/>
  <c r="AY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E152" i="5"/>
  <c r="AC152" i="5"/>
  <c r="AB152" i="5"/>
  <c r="AA152" i="5"/>
  <c r="Y152" i="5"/>
  <c r="Z152" i="5" s="1"/>
  <c r="AD152" i="5" s="1"/>
  <c r="U152" i="5"/>
  <c r="T152" i="5"/>
  <c r="S152" i="5"/>
  <c r="Q152" i="5"/>
  <c r="P152" i="5"/>
  <c r="N152" i="5"/>
  <c r="M152" i="5"/>
  <c r="L152" i="5"/>
  <c r="K152" i="5"/>
  <c r="H152" i="5"/>
  <c r="G152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E151" i="5"/>
  <c r="AD151" i="5"/>
  <c r="AB151" i="5"/>
  <c r="AA151" i="5"/>
  <c r="AC151" i="5" s="1"/>
  <c r="Y151" i="5"/>
  <c r="Z151" i="5" s="1"/>
  <c r="S151" i="5"/>
  <c r="T151" i="5" s="1"/>
  <c r="Q151" i="5"/>
  <c r="P151" i="5"/>
  <c r="N151" i="5"/>
  <c r="M151" i="5"/>
  <c r="L151" i="5"/>
  <c r="K151" i="5"/>
  <c r="G151" i="5"/>
  <c r="H151" i="5" s="1"/>
  <c r="AY150" i="5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E150" i="5"/>
  <c r="AC150" i="5"/>
  <c r="AB150" i="5"/>
  <c r="AA150" i="5"/>
  <c r="Y150" i="5"/>
  <c r="Z150" i="5" s="1"/>
  <c r="AD150" i="5" s="1"/>
  <c r="T150" i="5"/>
  <c r="S150" i="5"/>
  <c r="Q150" i="5"/>
  <c r="P150" i="5"/>
  <c r="N150" i="5"/>
  <c r="M150" i="5"/>
  <c r="L150" i="5"/>
  <c r="K150" i="5"/>
  <c r="H150" i="5"/>
  <c r="G150" i="5"/>
  <c r="AY149" i="5"/>
  <c r="AW149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E149" i="5"/>
  <c r="AB149" i="5"/>
  <c r="AD149" i="5" s="1"/>
  <c r="AA149" i="5"/>
  <c r="AC149" i="5" s="1"/>
  <c r="Y149" i="5"/>
  <c r="S149" i="5"/>
  <c r="T149" i="5" s="1"/>
  <c r="Q149" i="5"/>
  <c r="P149" i="5"/>
  <c r="Z149" i="5" s="1"/>
  <c r="N149" i="5"/>
  <c r="M149" i="5"/>
  <c r="L149" i="5"/>
  <c r="K149" i="5"/>
  <c r="G149" i="5"/>
  <c r="H149" i="5" s="1"/>
  <c r="AY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E148" i="5"/>
  <c r="AC148" i="5"/>
  <c r="AB148" i="5"/>
  <c r="AA148" i="5"/>
  <c r="Y148" i="5"/>
  <c r="S148" i="5"/>
  <c r="T148" i="5" s="1"/>
  <c r="Q148" i="5"/>
  <c r="P148" i="5"/>
  <c r="N148" i="5"/>
  <c r="M148" i="5"/>
  <c r="L148" i="5"/>
  <c r="K148" i="5"/>
  <c r="G148" i="5"/>
  <c r="H148" i="5" s="1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E147" i="5"/>
  <c r="AB147" i="5"/>
  <c r="AA147" i="5"/>
  <c r="AC147" i="5" s="1"/>
  <c r="Y147" i="5"/>
  <c r="Z147" i="5" s="1"/>
  <c r="AD147" i="5" s="1"/>
  <c r="W147" i="5"/>
  <c r="V147" i="5"/>
  <c r="U147" i="5"/>
  <c r="S147" i="5"/>
  <c r="T147" i="5" s="1"/>
  <c r="Q147" i="5"/>
  <c r="P147" i="5"/>
  <c r="N147" i="5"/>
  <c r="M147" i="5"/>
  <c r="L147" i="5"/>
  <c r="K147" i="5"/>
  <c r="G147" i="5"/>
  <c r="H147" i="5" s="1"/>
  <c r="AY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E146" i="5"/>
  <c r="AB146" i="5"/>
  <c r="AD146" i="5" s="1"/>
  <c r="AA146" i="5"/>
  <c r="AC146" i="5" s="1"/>
  <c r="Z146" i="5"/>
  <c r="Y146" i="5"/>
  <c r="S146" i="5"/>
  <c r="T146" i="5" s="1"/>
  <c r="Q146" i="5"/>
  <c r="P146" i="5"/>
  <c r="N146" i="5"/>
  <c r="M146" i="5"/>
  <c r="L146" i="5"/>
  <c r="K146" i="5"/>
  <c r="G146" i="5"/>
  <c r="H146" i="5" s="1"/>
  <c r="AY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E145" i="5"/>
  <c r="AD145" i="5"/>
  <c r="AC145" i="5"/>
  <c r="AB145" i="5"/>
  <c r="AA145" i="5"/>
  <c r="Y145" i="5"/>
  <c r="W145" i="5"/>
  <c r="V145" i="5"/>
  <c r="U145" i="5"/>
  <c r="T145" i="5"/>
  <c r="AX145" i="5" s="1"/>
  <c r="S145" i="5"/>
  <c r="Q145" i="5"/>
  <c r="P145" i="5"/>
  <c r="Z145" i="5" s="1"/>
  <c r="N145" i="5"/>
  <c r="M145" i="5"/>
  <c r="L145" i="5"/>
  <c r="K145" i="5"/>
  <c r="H145" i="5"/>
  <c r="G145" i="5"/>
  <c r="AY144" i="5"/>
  <c r="AW144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E144" i="5"/>
  <c r="AC144" i="5"/>
  <c r="AB144" i="5"/>
  <c r="AD144" i="5" s="1"/>
  <c r="AA144" i="5"/>
  <c r="Y144" i="5"/>
  <c r="S144" i="5"/>
  <c r="T144" i="5" s="1"/>
  <c r="Q144" i="5"/>
  <c r="P144" i="5"/>
  <c r="Z144" i="5" s="1"/>
  <c r="N144" i="5"/>
  <c r="M144" i="5"/>
  <c r="L144" i="5"/>
  <c r="K144" i="5"/>
  <c r="G144" i="5"/>
  <c r="H144" i="5" s="1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E143" i="5"/>
  <c r="AB143" i="5"/>
  <c r="AA143" i="5"/>
  <c r="Y143" i="5"/>
  <c r="W143" i="5"/>
  <c r="T143" i="5"/>
  <c r="S143" i="5"/>
  <c r="Q143" i="5"/>
  <c r="P143" i="5"/>
  <c r="N143" i="5"/>
  <c r="M143" i="5"/>
  <c r="L143" i="5"/>
  <c r="K143" i="5"/>
  <c r="H143" i="5"/>
  <c r="G143" i="5"/>
  <c r="AY142" i="5"/>
  <c r="AW142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E142" i="5"/>
  <c r="AB142" i="5"/>
  <c r="AA142" i="5"/>
  <c r="AC142" i="5" s="1"/>
  <c r="Y142" i="5"/>
  <c r="S142" i="5"/>
  <c r="T142" i="5" s="1"/>
  <c r="Q142" i="5"/>
  <c r="P142" i="5"/>
  <c r="Z142" i="5" s="1"/>
  <c r="N142" i="5"/>
  <c r="M142" i="5"/>
  <c r="L142" i="5"/>
  <c r="K142" i="5"/>
  <c r="G142" i="5"/>
  <c r="H142" i="5" s="1"/>
  <c r="AY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E141" i="5"/>
  <c r="AD141" i="5"/>
  <c r="AC141" i="5"/>
  <c r="AB141" i="5"/>
  <c r="AA141" i="5"/>
  <c r="Y141" i="5"/>
  <c r="Z141" i="5" s="1"/>
  <c r="T141" i="5"/>
  <c r="S141" i="5"/>
  <c r="Q141" i="5"/>
  <c r="P141" i="5"/>
  <c r="N141" i="5"/>
  <c r="M141" i="5"/>
  <c r="L141" i="5"/>
  <c r="K141" i="5"/>
  <c r="G141" i="5"/>
  <c r="H141" i="5" s="1"/>
  <c r="CC140" i="5"/>
  <c r="BT140" i="5"/>
  <c r="BM140" i="5"/>
  <c r="BL140" i="5"/>
  <c r="BC140" i="5"/>
  <c r="BB140" i="5" s="1"/>
  <c r="AY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E140" i="5"/>
  <c r="AD140" i="5"/>
  <c r="AC140" i="5"/>
  <c r="AB140" i="5"/>
  <c r="AA140" i="5"/>
  <c r="Y140" i="5"/>
  <c r="W140" i="5"/>
  <c r="U140" i="5"/>
  <c r="V140" i="5" s="1"/>
  <c r="T140" i="5"/>
  <c r="S140" i="5"/>
  <c r="Q140" i="5"/>
  <c r="P140" i="5"/>
  <c r="Z140" i="5" s="1"/>
  <c r="N140" i="5"/>
  <c r="M140" i="5"/>
  <c r="L140" i="5"/>
  <c r="K140" i="5"/>
  <c r="H140" i="5"/>
  <c r="G140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E139" i="5"/>
  <c r="AB139" i="5"/>
  <c r="AA139" i="5"/>
  <c r="Y139" i="5"/>
  <c r="AC139" i="5" s="1"/>
  <c r="W139" i="5"/>
  <c r="T139" i="5"/>
  <c r="S139" i="5"/>
  <c r="Q139" i="5"/>
  <c r="P139" i="5"/>
  <c r="N139" i="5"/>
  <c r="M139" i="5"/>
  <c r="L139" i="5"/>
  <c r="K139" i="5"/>
  <c r="G139" i="5"/>
  <c r="H139" i="5" s="1"/>
  <c r="AY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E138" i="5"/>
  <c r="AB138" i="5"/>
  <c r="AA138" i="5"/>
  <c r="AC138" i="5" s="1"/>
  <c r="Y138" i="5"/>
  <c r="S138" i="5"/>
  <c r="T138" i="5" s="1"/>
  <c r="Q138" i="5"/>
  <c r="P138" i="5"/>
  <c r="Z138" i="5" s="1"/>
  <c r="N138" i="5"/>
  <c r="M138" i="5"/>
  <c r="L138" i="5"/>
  <c r="K138" i="5"/>
  <c r="G138" i="5"/>
  <c r="H138" i="5" s="1"/>
  <c r="AY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E137" i="5"/>
  <c r="AB137" i="5"/>
  <c r="AA137" i="5"/>
  <c r="AC137" i="5" s="1"/>
  <c r="Y137" i="5"/>
  <c r="Z137" i="5" s="1"/>
  <c r="S137" i="5"/>
  <c r="T137" i="5" s="1"/>
  <c r="Q137" i="5"/>
  <c r="P137" i="5"/>
  <c r="N137" i="5"/>
  <c r="M137" i="5"/>
  <c r="L137" i="5"/>
  <c r="K137" i="5"/>
  <c r="G137" i="5"/>
  <c r="H137" i="5" s="1"/>
  <c r="AY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E136" i="5"/>
  <c r="AD136" i="5"/>
  <c r="AC136" i="5"/>
  <c r="AB136" i="5"/>
  <c r="AA136" i="5"/>
  <c r="Y136" i="5"/>
  <c r="U136" i="5"/>
  <c r="V136" i="5" s="1"/>
  <c r="T136" i="5"/>
  <c r="S136" i="5"/>
  <c r="Q136" i="5"/>
  <c r="P136" i="5"/>
  <c r="Z136" i="5" s="1"/>
  <c r="N136" i="5"/>
  <c r="M136" i="5"/>
  <c r="L136" i="5"/>
  <c r="K136" i="5"/>
  <c r="H136" i="5"/>
  <c r="G136" i="5"/>
  <c r="AY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E135" i="5"/>
  <c r="AB135" i="5"/>
  <c r="AA135" i="5"/>
  <c r="Y135" i="5"/>
  <c r="AC135" i="5" s="1"/>
  <c r="S135" i="5"/>
  <c r="T135" i="5" s="1"/>
  <c r="Q135" i="5"/>
  <c r="P135" i="5"/>
  <c r="N135" i="5"/>
  <c r="M135" i="5"/>
  <c r="L135" i="5"/>
  <c r="K135" i="5"/>
  <c r="G135" i="5"/>
  <c r="H135" i="5" s="1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E134" i="5"/>
  <c r="AB134" i="5"/>
  <c r="AA134" i="5"/>
  <c r="Y134" i="5"/>
  <c r="Z134" i="5" s="1"/>
  <c r="U134" i="5"/>
  <c r="V134" i="5" s="1"/>
  <c r="S134" i="5"/>
  <c r="T134" i="5" s="1"/>
  <c r="Q134" i="5"/>
  <c r="P134" i="5"/>
  <c r="N134" i="5"/>
  <c r="M134" i="5"/>
  <c r="L134" i="5"/>
  <c r="K134" i="5"/>
  <c r="G134" i="5"/>
  <c r="H134" i="5" s="1"/>
  <c r="CH133" i="5"/>
  <c r="BY133" i="5"/>
  <c r="BX133" i="5"/>
  <c r="BU133" i="5"/>
  <c r="BJ133" i="5"/>
  <c r="BK133" i="5" s="1"/>
  <c r="BI133" i="5"/>
  <c r="BC133" i="5"/>
  <c r="BB133" i="5"/>
  <c r="BZ133" i="5" s="1"/>
  <c r="CA133" i="5" s="1"/>
  <c r="AZ133" i="5"/>
  <c r="AY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E133" i="5"/>
  <c r="AC133" i="5"/>
  <c r="AB133" i="5"/>
  <c r="AD133" i="5" s="1"/>
  <c r="AA133" i="5"/>
  <c r="Y133" i="5"/>
  <c r="W133" i="5"/>
  <c r="U133" i="5"/>
  <c r="V133" i="5" s="1"/>
  <c r="T133" i="5"/>
  <c r="S133" i="5"/>
  <c r="Q133" i="5"/>
  <c r="P133" i="5"/>
  <c r="Z133" i="5" s="1"/>
  <c r="N133" i="5"/>
  <c r="M133" i="5"/>
  <c r="L133" i="5"/>
  <c r="K133" i="5"/>
  <c r="G133" i="5"/>
  <c r="H133" i="5" s="1"/>
  <c r="AY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E132" i="5"/>
  <c r="AC132" i="5"/>
  <c r="AB132" i="5"/>
  <c r="AA132" i="5"/>
  <c r="Y132" i="5"/>
  <c r="T132" i="5"/>
  <c r="S132" i="5"/>
  <c r="Q132" i="5"/>
  <c r="P132" i="5"/>
  <c r="N132" i="5"/>
  <c r="M132" i="5"/>
  <c r="L132" i="5"/>
  <c r="K132" i="5"/>
  <c r="H132" i="5"/>
  <c r="G132" i="5"/>
  <c r="AY131" i="5"/>
  <c r="AX131" i="5"/>
  <c r="AW131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E131" i="5"/>
  <c r="AB131" i="5"/>
  <c r="AA131" i="5"/>
  <c r="Z131" i="5"/>
  <c r="Y131" i="5"/>
  <c r="AC131" i="5" s="1"/>
  <c r="S131" i="5"/>
  <c r="T131" i="5" s="1"/>
  <c r="Q131" i="5"/>
  <c r="P131" i="5"/>
  <c r="N131" i="5"/>
  <c r="M131" i="5"/>
  <c r="L131" i="5"/>
  <c r="K131" i="5"/>
  <c r="G131" i="5"/>
  <c r="H131" i="5" s="1"/>
  <c r="AY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E130" i="5"/>
  <c r="AB130" i="5"/>
  <c r="AD130" i="5" s="1"/>
  <c r="AA130" i="5"/>
  <c r="AC130" i="5" s="1"/>
  <c r="Z130" i="5"/>
  <c r="Y130" i="5"/>
  <c r="W130" i="5"/>
  <c r="S130" i="5"/>
  <c r="T130" i="5" s="1"/>
  <c r="Q130" i="5"/>
  <c r="P130" i="5"/>
  <c r="N130" i="5"/>
  <c r="M130" i="5"/>
  <c r="L130" i="5"/>
  <c r="K130" i="5"/>
  <c r="G130" i="5"/>
  <c r="H130" i="5" s="1"/>
  <c r="AY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E129" i="5"/>
  <c r="AC129" i="5"/>
  <c r="AB129" i="5"/>
  <c r="AD129" i="5" s="1"/>
  <c r="AA129" i="5"/>
  <c r="Z129" i="5"/>
  <c r="Y129" i="5"/>
  <c r="T129" i="5"/>
  <c r="S129" i="5"/>
  <c r="Q129" i="5"/>
  <c r="P129" i="5"/>
  <c r="N129" i="5"/>
  <c r="M129" i="5"/>
  <c r="L129" i="5"/>
  <c r="K129" i="5"/>
  <c r="H129" i="5"/>
  <c r="G129" i="5"/>
  <c r="AY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E128" i="5"/>
  <c r="AC128" i="5"/>
  <c r="AB128" i="5"/>
  <c r="AD128" i="5" s="1"/>
  <c r="AA128" i="5"/>
  <c r="Y128" i="5"/>
  <c r="T128" i="5"/>
  <c r="S128" i="5"/>
  <c r="Q128" i="5"/>
  <c r="P128" i="5"/>
  <c r="Z128" i="5" s="1"/>
  <c r="N128" i="5"/>
  <c r="M128" i="5"/>
  <c r="L128" i="5"/>
  <c r="K128" i="5"/>
  <c r="H128" i="5"/>
  <c r="G128" i="5"/>
  <c r="BC127" i="5"/>
  <c r="AY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E127" i="5"/>
  <c r="AB127" i="5"/>
  <c r="AA127" i="5"/>
  <c r="AC127" i="5" s="1"/>
  <c r="Z127" i="5"/>
  <c r="Y127" i="5"/>
  <c r="U127" i="5"/>
  <c r="V127" i="5" s="1"/>
  <c r="S127" i="5"/>
  <c r="T127" i="5" s="1"/>
  <c r="Q127" i="5"/>
  <c r="P127" i="5"/>
  <c r="N127" i="5"/>
  <c r="M127" i="5"/>
  <c r="L127" i="5"/>
  <c r="K127" i="5"/>
  <c r="G127" i="5"/>
  <c r="H127" i="5" s="1"/>
  <c r="AY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E126" i="5"/>
  <c r="AD126" i="5"/>
  <c r="AC126" i="5"/>
  <c r="AB126" i="5"/>
  <c r="AA126" i="5"/>
  <c r="Y126" i="5"/>
  <c r="Z126" i="5" s="1"/>
  <c r="U126" i="5"/>
  <c r="V126" i="5" s="1"/>
  <c r="T126" i="5"/>
  <c r="S126" i="5"/>
  <c r="Q126" i="5"/>
  <c r="P126" i="5"/>
  <c r="N126" i="5"/>
  <c r="M126" i="5"/>
  <c r="L126" i="5"/>
  <c r="K126" i="5"/>
  <c r="H126" i="5"/>
  <c r="G126" i="5"/>
  <c r="AY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E125" i="5"/>
  <c r="AB125" i="5"/>
  <c r="AD125" i="5" s="1"/>
  <c r="AA125" i="5"/>
  <c r="AC125" i="5" s="1"/>
  <c r="Y125" i="5"/>
  <c r="Z125" i="5" s="1"/>
  <c r="S125" i="5"/>
  <c r="T125" i="5" s="1"/>
  <c r="Q125" i="5"/>
  <c r="P125" i="5"/>
  <c r="N125" i="5"/>
  <c r="M125" i="5"/>
  <c r="L125" i="5"/>
  <c r="K125" i="5"/>
  <c r="G125" i="5"/>
  <c r="H125" i="5" s="1"/>
  <c r="AY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E124" i="5"/>
  <c r="AB124" i="5"/>
  <c r="AA124" i="5"/>
  <c r="Y124" i="5"/>
  <c r="Z124" i="5" s="1"/>
  <c r="AD124" i="5" s="1"/>
  <c r="T124" i="5"/>
  <c r="S124" i="5"/>
  <c r="Q124" i="5"/>
  <c r="P124" i="5"/>
  <c r="AX124" i="5" s="1"/>
  <c r="N124" i="5"/>
  <c r="M124" i="5"/>
  <c r="L124" i="5"/>
  <c r="K124" i="5"/>
  <c r="H124" i="5"/>
  <c r="G124" i="5"/>
  <c r="AY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E123" i="5"/>
  <c r="AB123" i="5"/>
  <c r="AD123" i="5" s="1"/>
  <c r="AA123" i="5"/>
  <c r="AC123" i="5" s="1"/>
  <c r="Y123" i="5"/>
  <c r="S123" i="5"/>
  <c r="T123" i="5" s="1"/>
  <c r="Q123" i="5"/>
  <c r="P123" i="5"/>
  <c r="Z123" i="5" s="1"/>
  <c r="N123" i="5"/>
  <c r="M123" i="5"/>
  <c r="L123" i="5"/>
  <c r="K123" i="5"/>
  <c r="G123" i="5"/>
  <c r="H123" i="5" s="1"/>
  <c r="BC122" i="5"/>
  <c r="BB122" i="5" s="1"/>
  <c r="AY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E122" i="5"/>
  <c r="AC122" i="5"/>
  <c r="AB122" i="5"/>
  <c r="AA122" i="5"/>
  <c r="Y122" i="5"/>
  <c r="Z122" i="5" s="1"/>
  <c r="AD122" i="5" s="1"/>
  <c r="T122" i="5"/>
  <c r="S122" i="5"/>
  <c r="Q122" i="5"/>
  <c r="P122" i="5"/>
  <c r="N122" i="5"/>
  <c r="M122" i="5"/>
  <c r="L122" i="5"/>
  <c r="K122" i="5"/>
  <c r="H122" i="5"/>
  <c r="G122" i="5"/>
  <c r="AY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E121" i="5"/>
  <c r="AB121" i="5"/>
  <c r="AA121" i="5"/>
  <c r="Y121" i="5"/>
  <c r="Z121" i="5" s="1"/>
  <c r="W121" i="5"/>
  <c r="S121" i="5"/>
  <c r="T121" i="5" s="1"/>
  <c r="Q121" i="5"/>
  <c r="P121" i="5"/>
  <c r="N121" i="5"/>
  <c r="M121" i="5"/>
  <c r="L121" i="5"/>
  <c r="K121" i="5"/>
  <c r="G121" i="5"/>
  <c r="H121" i="5" s="1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E120" i="5"/>
  <c r="AB120" i="5"/>
  <c r="AA120" i="5"/>
  <c r="AC120" i="5" s="1"/>
  <c r="Z120" i="5"/>
  <c r="AD120" i="5" s="1"/>
  <c r="Y120" i="5"/>
  <c r="T120" i="5"/>
  <c r="W120" i="5" s="1"/>
  <c r="S120" i="5"/>
  <c r="Q120" i="5"/>
  <c r="P120" i="5"/>
  <c r="N120" i="5"/>
  <c r="M120" i="5"/>
  <c r="L120" i="5"/>
  <c r="K120" i="5"/>
  <c r="H120" i="5"/>
  <c r="G120" i="5"/>
  <c r="AY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E119" i="5"/>
  <c r="AB119" i="5"/>
  <c r="AD119" i="5" s="1"/>
  <c r="AA119" i="5"/>
  <c r="AC119" i="5" s="1"/>
  <c r="Y119" i="5"/>
  <c r="T119" i="5"/>
  <c r="S119" i="5"/>
  <c r="Q119" i="5"/>
  <c r="P119" i="5"/>
  <c r="Z119" i="5" s="1"/>
  <c r="N119" i="5"/>
  <c r="M119" i="5"/>
  <c r="L119" i="5"/>
  <c r="K119" i="5"/>
  <c r="H119" i="5"/>
  <c r="G119" i="5"/>
  <c r="AY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E118" i="5"/>
  <c r="AD118" i="5"/>
  <c r="AC118" i="5"/>
  <c r="AB118" i="5"/>
  <c r="AA118" i="5"/>
  <c r="Y118" i="5"/>
  <c r="Z118" i="5" s="1"/>
  <c r="U118" i="5"/>
  <c r="V118" i="5" s="1"/>
  <c r="T118" i="5"/>
  <c r="S118" i="5"/>
  <c r="Q118" i="5"/>
  <c r="P118" i="5"/>
  <c r="N118" i="5"/>
  <c r="M118" i="5"/>
  <c r="L118" i="5"/>
  <c r="K118" i="5"/>
  <c r="H118" i="5"/>
  <c r="G118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E117" i="5"/>
  <c r="AB117" i="5"/>
  <c r="AA117" i="5"/>
  <c r="Y117" i="5"/>
  <c r="Z117" i="5" s="1"/>
  <c r="S117" i="5"/>
  <c r="T117" i="5" s="1"/>
  <c r="Q117" i="5"/>
  <c r="P117" i="5"/>
  <c r="N117" i="5"/>
  <c r="M117" i="5"/>
  <c r="L117" i="5"/>
  <c r="K117" i="5"/>
  <c r="G117" i="5"/>
  <c r="H117" i="5" s="1"/>
  <c r="AY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E116" i="5"/>
  <c r="AB116" i="5"/>
  <c r="AA116" i="5"/>
  <c r="AC116" i="5" s="1"/>
  <c r="Y116" i="5"/>
  <c r="Z116" i="5" s="1"/>
  <c r="AD116" i="5" s="1"/>
  <c r="U116" i="5"/>
  <c r="T116" i="5"/>
  <c r="S116" i="5"/>
  <c r="Q116" i="5"/>
  <c r="P116" i="5"/>
  <c r="N116" i="5"/>
  <c r="M116" i="5"/>
  <c r="L116" i="5"/>
  <c r="K116" i="5"/>
  <c r="G116" i="5"/>
  <c r="H116" i="5" s="1"/>
  <c r="AY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E115" i="5"/>
  <c r="AC115" i="5"/>
  <c r="AB115" i="5"/>
  <c r="AA115" i="5"/>
  <c r="Y115" i="5"/>
  <c r="S115" i="5"/>
  <c r="T115" i="5" s="1"/>
  <c r="Q115" i="5"/>
  <c r="P115" i="5"/>
  <c r="Z115" i="5" s="1"/>
  <c r="N115" i="5"/>
  <c r="M115" i="5"/>
  <c r="L115" i="5"/>
  <c r="K115" i="5"/>
  <c r="G115" i="5"/>
  <c r="H115" i="5" s="1"/>
  <c r="AY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E114" i="5"/>
  <c r="AC114" i="5"/>
  <c r="AB114" i="5"/>
  <c r="AA114" i="5"/>
  <c r="Y114" i="5"/>
  <c r="U114" i="5"/>
  <c r="V114" i="5" s="1"/>
  <c r="T114" i="5"/>
  <c r="S114" i="5"/>
  <c r="Q114" i="5"/>
  <c r="P114" i="5"/>
  <c r="N114" i="5"/>
  <c r="M114" i="5"/>
  <c r="L114" i="5"/>
  <c r="K114" i="5"/>
  <c r="H114" i="5"/>
  <c r="G114" i="5"/>
  <c r="AY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E113" i="5"/>
  <c r="AB113" i="5"/>
  <c r="AD113" i="5" s="1"/>
  <c r="AA113" i="5"/>
  <c r="Y113" i="5"/>
  <c r="Z113" i="5" s="1"/>
  <c r="S113" i="5"/>
  <c r="T113" i="5" s="1"/>
  <c r="Q113" i="5"/>
  <c r="P113" i="5"/>
  <c r="N113" i="5"/>
  <c r="M113" i="5"/>
  <c r="L113" i="5"/>
  <c r="K113" i="5"/>
  <c r="G113" i="5"/>
  <c r="H113" i="5" s="1"/>
  <c r="AY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E112" i="5"/>
  <c r="AB112" i="5"/>
  <c r="AA112" i="5"/>
  <c r="AC112" i="5" s="1"/>
  <c r="Y112" i="5"/>
  <c r="S112" i="5"/>
  <c r="T112" i="5" s="1"/>
  <c r="Q112" i="5"/>
  <c r="P112" i="5"/>
  <c r="N112" i="5"/>
  <c r="M112" i="5"/>
  <c r="L112" i="5"/>
  <c r="K112" i="5"/>
  <c r="G112" i="5"/>
  <c r="H112" i="5" s="1"/>
  <c r="AY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E111" i="5"/>
  <c r="AC111" i="5"/>
  <c r="AB111" i="5"/>
  <c r="AA111" i="5"/>
  <c r="Z111" i="5"/>
  <c r="Y111" i="5"/>
  <c r="W111" i="5"/>
  <c r="S111" i="5"/>
  <c r="T111" i="5" s="1"/>
  <c r="Q111" i="5"/>
  <c r="P111" i="5"/>
  <c r="N111" i="5"/>
  <c r="M111" i="5"/>
  <c r="L111" i="5"/>
  <c r="K111" i="5"/>
  <c r="G111" i="5"/>
  <c r="H111" i="5" s="1"/>
  <c r="AY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E110" i="5"/>
  <c r="AC110" i="5"/>
  <c r="AB110" i="5"/>
  <c r="AA110" i="5"/>
  <c r="Y110" i="5"/>
  <c r="W110" i="5"/>
  <c r="S110" i="5"/>
  <c r="T110" i="5" s="1"/>
  <c r="Q110" i="5"/>
  <c r="P110" i="5"/>
  <c r="Z110" i="5" s="1"/>
  <c r="N110" i="5"/>
  <c r="M110" i="5"/>
  <c r="L110" i="5"/>
  <c r="K110" i="5"/>
  <c r="G110" i="5"/>
  <c r="H110" i="5" s="1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E109" i="5"/>
  <c r="AB109" i="5"/>
  <c r="AA109" i="5"/>
  <c r="AC109" i="5" s="1"/>
  <c r="Y109" i="5"/>
  <c r="W109" i="5"/>
  <c r="U109" i="5"/>
  <c r="V109" i="5" s="1"/>
  <c r="S109" i="5"/>
  <c r="T109" i="5" s="1"/>
  <c r="Q109" i="5"/>
  <c r="P109" i="5"/>
  <c r="N109" i="5"/>
  <c r="M109" i="5"/>
  <c r="L109" i="5"/>
  <c r="K109" i="5"/>
  <c r="G109" i="5"/>
  <c r="H109" i="5" s="1"/>
  <c r="AY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E108" i="5"/>
  <c r="AB108" i="5"/>
  <c r="AD108" i="5" s="1"/>
  <c r="AA108" i="5"/>
  <c r="Y108" i="5"/>
  <c r="Z108" i="5" s="1"/>
  <c r="S108" i="5"/>
  <c r="T108" i="5" s="1"/>
  <c r="Q108" i="5"/>
  <c r="P108" i="5"/>
  <c r="N108" i="5"/>
  <c r="M108" i="5"/>
  <c r="L108" i="5"/>
  <c r="K108" i="5"/>
  <c r="G108" i="5"/>
  <c r="H108" i="5" s="1"/>
  <c r="BC107" i="5"/>
  <c r="BB107" i="5" s="1"/>
  <c r="AY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E107" i="5"/>
  <c r="AB107" i="5"/>
  <c r="AD107" i="5" s="1"/>
  <c r="AA107" i="5"/>
  <c r="AC107" i="5" s="1"/>
  <c r="Y107" i="5"/>
  <c r="W107" i="5"/>
  <c r="T107" i="5"/>
  <c r="S107" i="5"/>
  <c r="Q107" i="5"/>
  <c r="P107" i="5"/>
  <c r="Z107" i="5" s="1"/>
  <c r="N107" i="5"/>
  <c r="M107" i="5"/>
  <c r="L107" i="5"/>
  <c r="K107" i="5"/>
  <c r="H107" i="5"/>
  <c r="G107" i="5"/>
  <c r="AY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E106" i="5"/>
  <c r="AB106" i="5"/>
  <c r="AA106" i="5"/>
  <c r="Z106" i="5"/>
  <c r="Y106" i="5"/>
  <c r="AC106" i="5" s="1"/>
  <c r="T106" i="5"/>
  <c r="S106" i="5"/>
  <c r="Q106" i="5"/>
  <c r="P106" i="5"/>
  <c r="N106" i="5"/>
  <c r="M106" i="5"/>
  <c r="L106" i="5"/>
  <c r="K106" i="5"/>
  <c r="H106" i="5"/>
  <c r="G106" i="5"/>
  <c r="AY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E105" i="5"/>
  <c r="AD105" i="5"/>
  <c r="AB105" i="5"/>
  <c r="AA105" i="5"/>
  <c r="Y105" i="5"/>
  <c r="Z105" i="5" s="1"/>
  <c r="S105" i="5"/>
  <c r="T105" i="5" s="1"/>
  <c r="Q105" i="5"/>
  <c r="P105" i="5"/>
  <c r="N105" i="5"/>
  <c r="M105" i="5"/>
  <c r="L105" i="5"/>
  <c r="K105" i="5"/>
  <c r="G105" i="5"/>
  <c r="H105" i="5" s="1"/>
  <c r="AY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E104" i="5"/>
  <c r="AC104" i="5"/>
  <c r="AB104" i="5"/>
  <c r="AD104" i="5" s="1"/>
  <c r="AA104" i="5"/>
  <c r="Z104" i="5"/>
  <c r="Y104" i="5"/>
  <c r="S104" i="5"/>
  <c r="T104" i="5" s="1"/>
  <c r="Q104" i="5"/>
  <c r="P104" i="5"/>
  <c r="N104" i="5"/>
  <c r="M104" i="5"/>
  <c r="L104" i="5"/>
  <c r="K104" i="5"/>
  <c r="G104" i="5"/>
  <c r="H104" i="5" s="1"/>
  <c r="AY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E103" i="5"/>
  <c r="AB103" i="5"/>
  <c r="AA103" i="5"/>
  <c r="AC103" i="5" s="1"/>
  <c r="Z103" i="5"/>
  <c r="AD103" i="5" s="1"/>
  <c r="Y103" i="5"/>
  <c r="W103" i="5"/>
  <c r="S103" i="5"/>
  <c r="T103" i="5" s="1"/>
  <c r="Q103" i="5"/>
  <c r="P103" i="5"/>
  <c r="BC103" i="5" s="1"/>
  <c r="N103" i="5"/>
  <c r="M103" i="5"/>
  <c r="L103" i="5"/>
  <c r="K103" i="5"/>
  <c r="G103" i="5"/>
  <c r="H103" i="5" s="1"/>
  <c r="AY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E102" i="5"/>
  <c r="AC102" i="5"/>
  <c r="AB102" i="5"/>
  <c r="AA102" i="5"/>
  <c r="Y102" i="5"/>
  <c r="T102" i="5"/>
  <c r="S102" i="5"/>
  <c r="Q102" i="5"/>
  <c r="P102" i="5"/>
  <c r="N102" i="5"/>
  <c r="M102" i="5"/>
  <c r="L102" i="5"/>
  <c r="K102" i="5"/>
  <c r="G102" i="5"/>
  <c r="H102" i="5" s="1"/>
  <c r="AY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E101" i="5"/>
  <c r="AB101" i="5"/>
  <c r="AA101" i="5"/>
  <c r="AC101" i="5" s="1"/>
  <c r="Y101" i="5"/>
  <c r="S101" i="5"/>
  <c r="T101" i="5" s="1"/>
  <c r="Q101" i="5"/>
  <c r="P101" i="5"/>
  <c r="Z101" i="5" s="1"/>
  <c r="AD101" i="5" s="1"/>
  <c r="N101" i="5"/>
  <c r="M101" i="5"/>
  <c r="L101" i="5"/>
  <c r="K101" i="5"/>
  <c r="G101" i="5"/>
  <c r="H101" i="5" s="1"/>
  <c r="AY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E100" i="5"/>
  <c r="AD100" i="5"/>
  <c r="AC100" i="5"/>
  <c r="AB100" i="5"/>
  <c r="AA100" i="5"/>
  <c r="Y100" i="5"/>
  <c r="Z100" i="5" s="1"/>
  <c r="T100" i="5"/>
  <c r="S100" i="5"/>
  <c r="Q100" i="5"/>
  <c r="P100" i="5"/>
  <c r="N100" i="5"/>
  <c r="M100" i="5"/>
  <c r="L100" i="5"/>
  <c r="K100" i="5"/>
  <c r="H100" i="5"/>
  <c r="G100" i="5"/>
  <c r="AY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E99" i="5"/>
  <c r="AB99" i="5"/>
  <c r="AA99" i="5"/>
  <c r="AC99" i="5" s="1"/>
  <c r="Z99" i="5"/>
  <c r="AD99" i="5" s="1"/>
  <c r="Y99" i="5"/>
  <c r="W99" i="5"/>
  <c r="U99" i="5"/>
  <c r="V99" i="5" s="1"/>
  <c r="S99" i="5"/>
  <c r="T99" i="5" s="1"/>
  <c r="AX99" i="5" s="1"/>
  <c r="Q99" i="5"/>
  <c r="P99" i="5"/>
  <c r="N99" i="5"/>
  <c r="M99" i="5"/>
  <c r="L99" i="5"/>
  <c r="K99" i="5"/>
  <c r="G99" i="5"/>
  <c r="H99" i="5" s="1"/>
  <c r="BC98" i="5"/>
  <c r="BB98" i="5" s="1"/>
  <c r="AY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E98" i="5"/>
  <c r="AC98" i="5"/>
  <c r="AB98" i="5"/>
  <c r="AA98" i="5"/>
  <c r="Y98" i="5"/>
  <c r="Z98" i="5" s="1"/>
  <c r="AD98" i="5" s="1"/>
  <c r="T98" i="5"/>
  <c r="S98" i="5"/>
  <c r="Q98" i="5"/>
  <c r="P98" i="5"/>
  <c r="N98" i="5"/>
  <c r="M98" i="5"/>
  <c r="L98" i="5"/>
  <c r="K98" i="5"/>
  <c r="G98" i="5"/>
  <c r="H98" i="5" s="1"/>
  <c r="AY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E97" i="5"/>
  <c r="AD97" i="5"/>
  <c r="AC97" i="5"/>
  <c r="AB97" i="5"/>
  <c r="AA97" i="5"/>
  <c r="Y97" i="5"/>
  <c r="S97" i="5"/>
  <c r="T97" i="5" s="1"/>
  <c r="Q97" i="5"/>
  <c r="P97" i="5"/>
  <c r="Z97" i="5" s="1"/>
  <c r="N97" i="5"/>
  <c r="M97" i="5"/>
  <c r="L97" i="5"/>
  <c r="K97" i="5"/>
  <c r="G97" i="5"/>
  <c r="H97" i="5" s="1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E96" i="5"/>
  <c r="AB96" i="5"/>
  <c r="AA96" i="5"/>
  <c r="Z96" i="5"/>
  <c r="Y96" i="5"/>
  <c r="AC96" i="5" s="1"/>
  <c r="S96" i="5"/>
  <c r="T96" i="5" s="1"/>
  <c r="Q96" i="5"/>
  <c r="P96" i="5"/>
  <c r="N96" i="5"/>
  <c r="M96" i="5"/>
  <c r="L96" i="5"/>
  <c r="K96" i="5"/>
  <c r="G96" i="5"/>
  <c r="H96" i="5" s="1"/>
  <c r="AY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E95" i="5"/>
  <c r="AB95" i="5"/>
  <c r="AA95" i="5"/>
  <c r="Y95" i="5"/>
  <c r="Z95" i="5" s="1"/>
  <c r="AD95" i="5" s="1"/>
  <c r="S95" i="5"/>
  <c r="T95" i="5" s="1"/>
  <c r="Q95" i="5"/>
  <c r="P95" i="5"/>
  <c r="N95" i="5"/>
  <c r="M95" i="5"/>
  <c r="L95" i="5"/>
  <c r="K95" i="5"/>
  <c r="G95" i="5"/>
  <c r="H95" i="5" s="1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E94" i="5"/>
  <c r="AB94" i="5"/>
  <c r="AD94" i="5" s="1"/>
  <c r="AA94" i="5"/>
  <c r="AC94" i="5" s="1"/>
  <c r="Z94" i="5"/>
  <c r="Y94" i="5"/>
  <c r="S94" i="5"/>
  <c r="T94" i="5" s="1"/>
  <c r="Q94" i="5"/>
  <c r="P94" i="5"/>
  <c r="N94" i="5"/>
  <c r="M94" i="5"/>
  <c r="L94" i="5"/>
  <c r="K94" i="5"/>
  <c r="G94" i="5"/>
  <c r="H94" i="5" s="1"/>
  <c r="AY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E93" i="5"/>
  <c r="AC93" i="5"/>
  <c r="AB93" i="5"/>
  <c r="AA93" i="5"/>
  <c r="Y93" i="5"/>
  <c r="T93" i="5"/>
  <c r="S93" i="5"/>
  <c r="Q93" i="5"/>
  <c r="P93" i="5"/>
  <c r="Z93" i="5" s="1"/>
  <c r="AD93" i="5" s="1"/>
  <c r="N93" i="5"/>
  <c r="M93" i="5"/>
  <c r="L93" i="5"/>
  <c r="K93" i="5"/>
  <c r="H93" i="5"/>
  <c r="G93" i="5"/>
  <c r="AY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E92" i="5"/>
  <c r="AC92" i="5"/>
  <c r="AB92" i="5"/>
  <c r="AA92" i="5"/>
  <c r="Y92" i="5"/>
  <c r="S92" i="5"/>
  <c r="T92" i="5" s="1"/>
  <c r="Q92" i="5"/>
  <c r="P92" i="5"/>
  <c r="N92" i="5"/>
  <c r="M92" i="5"/>
  <c r="L92" i="5"/>
  <c r="K92" i="5"/>
  <c r="G92" i="5"/>
  <c r="H92" i="5" s="1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E91" i="5"/>
  <c r="AB91" i="5"/>
  <c r="AA91" i="5"/>
  <c r="Y91" i="5"/>
  <c r="Z91" i="5" s="1"/>
  <c r="AD91" i="5" s="1"/>
  <c r="W91" i="5"/>
  <c r="V91" i="5"/>
  <c r="U91" i="5"/>
  <c r="T91" i="5"/>
  <c r="S91" i="5"/>
  <c r="Q91" i="5"/>
  <c r="P91" i="5"/>
  <c r="N91" i="5"/>
  <c r="M91" i="5"/>
  <c r="L91" i="5"/>
  <c r="K91" i="5"/>
  <c r="G91" i="5"/>
  <c r="H91" i="5" s="1"/>
  <c r="AY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E90" i="5"/>
  <c r="AB90" i="5"/>
  <c r="AA90" i="5"/>
  <c r="Z90" i="5"/>
  <c r="Y90" i="5"/>
  <c r="S90" i="5"/>
  <c r="T90" i="5" s="1"/>
  <c r="Q90" i="5"/>
  <c r="P90" i="5"/>
  <c r="N90" i="5"/>
  <c r="M90" i="5"/>
  <c r="L90" i="5"/>
  <c r="K90" i="5"/>
  <c r="G90" i="5"/>
  <c r="H90" i="5" s="1"/>
  <c r="AY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E89" i="5"/>
  <c r="AB89" i="5"/>
  <c r="AD89" i="5" s="1"/>
  <c r="AA89" i="5"/>
  <c r="AC89" i="5" s="1"/>
  <c r="Y89" i="5"/>
  <c r="T89" i="5"/>
  <c r="S89" i="5"/>
  <c r="Q89" i="5"/>
  <c r="P89" i="5"/>
  <c r="Z89" i="5" s="1"/>
  <c r="N89" i="5"/>
  <c r="M89" i="5"/>
  <c r="L89" i="5"/>
  <c r="K89" i="5"/>
  <c r="H89" i="5"/>
  <c r="G89" i="5"/>
  <c r="AY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E88" i="5"/>
  <c r="AD88" i="5"/>
  <c r="AC88" i="5"/>
  <c r="AB88" i="5"/>
  <c r="AA88" i="5"/>
  <c r="Y88" i="5"/>
  <c r="Z88" i="5" s="1"/>
  <c r="T88" i="5"/>
  <c r="S88" i="5"/>
  <c r="Q88" i="5"/>
  <c r="P88" i="5"/>
  <c r="N88" i="5"/>
  <c r="M88" i="5"/>
  <c r="L88" i="5"/>
  <c r="K88" i="5"/>
  <c r="H88" i="5"/>
  <c r="G88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E87" i="5"/>
  <c r="AB87" i="5"/>
  <c r="AA87" i="5"/>
  <c r="Y87" i="5"/>
  <c r="Z87" i="5" s="1"/>
  <c r="AD87" i="5" s="1"/>
  <c r="S87" i="5"/>
  <c r="T87" i="5" s="1"/>
  <c r="Q87" i="5"/>
  <c r="P87" i="5"/>
  <c r="N87" i="5"/>
  <c r="M87" i="5"/>
  <c r="L87" i="5"/>
  <c r="K87" i="5"/>
  <c r="G87" i="5"/>
  <c r="H87" i="5" s="1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E86" i="5"/>
  <c r="AB86" i="5"/>
  <c r="AD86" i="5" s="1"/>
  <c r="AA86" i="5"/>
  <c r="AC86" i="5" s="1"/>
  <c r="Y86" i="5"/>
  <c r="Z86" i="5" s="1"/>
  <c r="S86" i="5"/>
  <c r="T86" i="5" s="1"/>
  <c r="Q86" i="5"/>
  <c r="P86" i="5"/>
  <c r="N86" i="5"/>
  <c r="M86" i="5"/>
  <c r="L86" i="5"/>
  <c r="K86" i="5"/>
  <c r="G86" i="5"/>
  <c r="H86" i="5" s="1"/>
  <c r="AY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E85" i="5"/>
  <c r="AC85" i="5"/>
  <c r="AB85" i="5"/>
  <c r="AA85" i="5"/>
  <c r="Y85" i="5"/>
  <c r="S85" i="5"/>
  <c r="T85" i="5" s="1"/>
  <c r="Q85" i="5"/>
  <c r="P85" i="5"/>
  <c r="Z85" i="5" s="1"/>
  <c r="N85" i="5"/>
  <c r="M85" i="5"/>
  <c r="L85" i="5"/>
  <c r="K85" i="5"/>
  <c r="G85" i="5"/>
  <c r="H85" i="5" s="1"/>
  <c r="CC84" i="5"/>
  <c r="BM84" i="5"/>
  <c r="BL84" i="5"/>
  <c r="BC84" i="5"/>
  <c r="BB84" i="5" s="1"/>
  <c r="CB84" i="5" s="1"/>
  <c r="AY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E84" i="5"/>
  <c r="AC84" i="5"/>
  <c r="AB84" i="5"/>
  <c r="AA84" i="5"/>
  <c r="Y84" i="5"/>
  <c r="Z84" i="5" s="1"/>
  <c r="AD84" i="5" s="1"/>
  <c r="W84" i="5"/>
  <c r="U84" i="5"/>
  <c r="V84" i="5" s="1"/>
  <c r="T84" i="5"/>
  <c r="S84" i="5"/>
  <c r="Q84" i="5"/>
  <c r="P84" i="5"/>
  <c r="N84" i="5"/>
  <c r="M84" i="5"/>
  <c r="L84" i="5"/>
  <c r="K84" i="5"/>
  <c r="H84" i="5"/>
  <c r="G84" i="5"/>
  <c r="AY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E83" i="5"/>
  <c r="AB83" i="5"/>
  <c r="AA83" i="5"/>
  <c r="AC83" i="5" s="1"/>
  <c r="Y83" i="5"/>
  <c r="Z83" i="5" s="1"/>
  <c r="AD83" i="5" s="1"/>
  <c r="S83" i="5"/>
  <c r="T83" i="5" s="1"/>
  <c r="Q83" i="5"/>
  <c r="P83" i="5"/>
  <c r="N83" i="5"/>
  <c r="M83" i="5"/>
  <c r="L83" i="5"/>
  <c r="K83" i="5"/>
  <c r="G83" i="5"/>
  <c r="H83" i="5" s="1"/>
  <c r="AY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E82" i="5"/>
  <c r="AB82" i="5"/>
  <c r="AA82" i="5"/>
  <c r="Y82" i="5"/>
  <c r="Z82" i="5" s="1"/>
  <c r="S82" i="5"/>
  <c r="T82" i="5" s="1"/>
  <c r="AX82" i="5" s="1"/>
  <c r="Q82" i="5"/>
  <c r="P82" i="5"/>
  <c r="N82" i="5"/>
  <c r="M82" i="5"/>
  <c r="L82" i="5"/>
  <c r="K82" i="5"/>
  <c r="G82" i="5"/>
  <c r="H82" i="5" s="1"/>
  <c r="BR81" i="5"/>
  <c r="BC81" i="5"/>
  <c r="BB81" i="5"/>
  <c r="AY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E81" i="5"/>
  <c r="AC81" i="5"/>
  <c r="AB81" i="5"/>
  <c r="AA81" i="5"/>
  <c r="Y81" i="5"/>
  <c r="S81" i="5"/>
  <c r="T81" i="5" s="1"/>
  <c r="Q81" i="5"/>
  <c r="P81" i="5"/>
  <c r="Z81" i="5" s="1"/>
  <c r="N81" i="5"/>
  <c r="M81" i="5"/>
  <c r="L81" i="5"/>
  <c r="K81" i="5"/>
  <c r="G81" i="5"/>
  <c r="H81" i="5" s="1"/>
  <c r="BC80" i="5"/>
  <c r="BB80" i="5" s="1"/>
  <c r="AY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E80" i="5"/>
  <c r="AC80" i="5"/>
  <c r="AB80" i="5"/>
  <c r="AA80" i="5"/>
  <c r="Y80" i="5"/>
  <c r="S80" i="5"/>
  <c r="T80" i="5" s="1"/>
  <c r="Q80" i="5"/>
  <c r="P80" i="5"/>
  <c r="Z80" i="5" s="1"/>
  <c r="N80" i="5"/>
  <c r="M80" i="5"/>
  <c r="L80" i="5"/>
  <c r="K80" i="5"/>
  <c r="G80" i="5"/>
  <c r="H80" i="5" s="1"/>
  <c r="AY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E79" i="5"/>
  <c r="AB79" i="5"/>
  <c r="AA79" i="5"/>
  <c r="Y79" i="5"/>
  <c r="Z79" i="5" s="1"/>
  <c r="AD79" i="5" s="1"/>
  <c r="U79" i="5"/>
  <c r="V79" i="5" s="1"/>
  <c r="S79" i="5"/>
  <c r="T79" i="5" s="1"/>
  <c r="Q79" i="5"/>
  <c r="P79" i="5"/>
  <c r="N79" i="5"/>
  <c r="M79" i="5"/>
  <c r="L79" i="5"/>
  <c r="K79" i="5"/>
  <c r="G79" i="5"/>
  <c r="H79" i="5" s="1"/>
  <c r="AY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E78" i="5"/>
  <c r="AB78" i="5"/>
  <c r="AA78" i="5"/>
  <c r="Y78" i="5"/>
  <c r="Z78" i="5" s="1"/>
  <c r="S78" i="5"/>
  <c r="T78" i="5" s="1"/>
  <c r="Q78" i="5"/>
  <c r="P78" i="5"/>
  <c r="N78" i="5"/>
  <c r="M78" i="5"/>
  <c r="L78" i="5"/>
  <c r="K78" i="5"/>
  <c r="G78" i="5"/>
  <c r="H78" i="5" s="1"/>
  <c r="AY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E77" i="5"/>
  <c r="AD77" i="5"/>
  <c r="AB77" i="5"/>
  <c r="AA77" i="5"/>
  <c r="AC77" i="5" s="1"/>
  <c r="Z77" i="5"/>
  <c r="Y77" i="5"/>
  <c r="U77" i="5"/>
  <c r="V77" i="5" s="1"/>
  <c r="T77" i="5"/>
  <c r="S77" i="5"/>
  <c r="Q77" i="5"/>
  <c r="P77" i="5"/>
  <c r="N77" i="5"/>
  <c r="M77" i="5"/>
  <c r="L77" i="5"/>
  <c r="K77" i="5"/>
  <c r="H77" i="5"/>
  <c r="G77" i="5"/>
  <c r="AY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E76" i="5"/>
  <c r="AC76" i="5"/>
  <c r="AB76" i="5"/>
  <c r="AD76" i="5" s="1"/>
  <c r="AA76" i="5"/>
  <c r="Y76" i="5"/>
  <c r="W76" i="5"/>
  <c r="S76" i="5"/>
  <c r="T76" i="5" s="1"/>
  <c r="Q76" i="5"/>
  <c r="P76" i="5"/>
  <c r="Z76" i="5" s="1"/>
  <c r="N76" i="5"/>
  <c r="M76" i="5"/>
  <c r="L76" i="5"/>
  <c r="K76" i="5"/>
  <c r="G76" i="5"/>
  <c r="H76" i="5" s="1"/>
  <c r="AY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E75" i="5"/>
  <c r="AB75" i="5"/>
  <c r="AA75" i="5"/>
  <c r="AC75" i="5" s="1"/>
  <c r="Y75" i="5"/>
  <c r="S75" i="5"/>
  <c r="T75" i="5" s="1"/>
  <c r="Q75" i="5"/>
  <c r="P75" i="5"/>
  <c r="N75" i="5"/>
  <c r="M75" i="5"/>
  <c r="L75" i="5"/>
  <c r="K75" i="5"/>
  <c r="G75" i="5"/>
  <c r="H75" i="5" s="1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E74" i="5"/>
  <c r="AB74" i="5"/>
  <c r="AD74" i="5" s="1"/>
  <c r="AA74" i="5"/>
  <c r="Y74" i="5"/>
  <c r="Z74" i="5" s="1"/>
  <c r="W74" i="5"/>
  <c r="U74" i="5"/>
  <c r="V74" i="5" s="1"/>
  <c r="S74" i="5"/>
  <c r="T74" i="5" s="1"/>
  <c r="Q74" i="5"/>
  <c r="P74" i="5"/>
  <c r="N74" i="5"/>
  <c r="M74" i="5"/>
  <c r="L74" i="5"/>
  <c r="K74" i="5"/>
  <c r="G74" i="5"/>
  <c r="H74" i="5" s="1"/>
  <c r="AY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E73" i="5"/>
  <c r="AD73" i="5"/>
  <c r="AC73" i="5"/>
  <c r="AB73" i="5"/>
  <c r="AA73" i="5"/>
  <c r="Z73" i="5"/>
  <c r="Y73" i="5"/>
  <c r="T73" i="5"/>
  <c r="S73" i="5"/>
  <c r="Q73" i="5"/>
  <c r="P73" i="5"/>
  <c r="N73" i="5"/>
  <c r="M73" i="5"/>
  <c r="L73" i="5"/>
  <c r="K73" i="5"/>
  <c r="H73" i="5"/>
  <c r="G73" i="5"/>
  <c r="AY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E72" i="5"/>
  <c r="AC72" i="5"/>
  <c r="AB72" i="5"/>
  <c r="AD72" i="5" s="1"/>
  <c r="AA72" i="5"/>
  <c r="Y72" i="5"/>
  <c r="S72" i="5"/>
  <c r="T72" i="5" s="1"/>
  <c r="Q72" i="5"/>
  <c r="P72" i="5"/>
  <c r="Z72" i="5" s="1"/>
  <c r="N72" i="5"/>
  <c r="M72" i="5"/>
  <c r="L72" i="5"/>
  <c r="K72" i="5"/>
  <c r="G72" i="5"/>
  <c r="H72" i="5" s="1"/>
  <c r="AY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E71" i="5"/>
  <c r="AB71" i="5"/>
  <c r="AA71" i="5"/>
  <c r="AC71" i="5" s="1"/>
  <c r="Y71" i="5"/>
  <c r="Z71" i="5" s="1"/>
  <c r="AD71" i="5" s="1"/>
  <c r="S71" i="5"/>
  <c r="T71" i="5" s="1"/>
  <c r="Q71" i="5"/>
  <c r="P71" i="5"/>
  <c r="N71" i="5"/>
  <c r="M71" i="5"/>
  <c r="L71" i="5"/>
  <c r="K71" i="5"/>
  <c r="G71" i="5"/>
  <c r="H71" i="5" s="1"/>
  <c r="AY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E70" i="5"/>
  <c r="AB70" i="5"/>
  <c r="AA70" i="5"/>
  <c r="Y70" i="5"/>
  <c r="Z70" i="5" s="1"/>
  <c r="AD70" i="5" s="1"/>
  <c r="S70" i="5"/>
  <c r="T70" i="5" s="1"/>
  <c r="Q70" i="5"/>
  <c r="P70" i="5"/>
  <c r="N70" i="5"/>
  <c r="M70" i="5"/>
  <c r="L70" i="5"/>
  <c r="K70" i="5"/>
  <c r="G70" i="5"/>
  <c r="H70" i="5" s="1"/>
  <c r="AY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E69" i="5"/>
  <c r="AB69" i="5"/>
  <c r="AA69" i="5"/>
  <c r="AC69" i="5" s="1"/>
  <c r="Y69" i="5"/>
  <c r="W69" i="5"/>
  <c r="S69" i="5"/>
  <c r="T69" i="5" s="1"/>
  <c r="Q69" i="5"/>
  <c r="P69" i="5"/>
  <c r="Z69" i="5" s="1"/>
  <c r="N69" i="5"/>
  <c r="M69" i="5"/>
  <c r="L69" i="5"/>
  <c r="K69" i="5"/>
  <c r="G69" i="5"/>
  <c r="H69" i="5" s="1"/>
  <c r="AY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E68" i="5"/>
  <c r="AD68" i="5"/>
  <c r="AC68" i="5"/>
  <c r="AB68" i="5"/>
  <c r="AA68" i="5"/>
  <c r="Y68" i="5"/>
  <c r="S68" i="5"/>
  <c r="T68" i="5" s="1"/>
  <c r="Q68" i="5"/>
  <c r="P68" i="5"/>
  <c r="Z68" i="5" s="1"/>
  <c r="N68" i="5"/>
  <c r="M68" i="5"/>
  <c r="L68" i="5"/>
  <c r="K68" i="5"/>
  <c r="G68" i="5"/>
  <c r="H68" i="5" s="1"/>
  <c r="AY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E67" i="5"/>
  <c r="AD67" i="5"/>
  <c r="AB67" i="5"/>
  <c r="AA67" i="5"/>
  <c r="Y67" i="5"/>
  <c r="Z67" i="5" s="1"/>
  <c r="S67" i="5"/>
  <c r="T67" i="5" s="1"/>
  <c r="Q67" i="5"/>
  <c r="P67" i="5"/>
  <c r="N67" i="5"/>
  <c r="M67" i="5"/>
  <c r="L67" i="5"/>
  <c r="K67" i="5"/>
  <c r="G67" i="5"/>
  <c r="H67" i="5" s="1"/>
  <c r="BC66" i="5"/>
  <c r="AY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E66" i="5"/>
  <c r="AB66" i="5"/>
  <c r="AA66" i="5"/>
  <c r="AC66" i="5" s="1"/>
  <c r="Y66" i="5"/>
  <c r="Z66" i="5" s="1"/>
  <c r="U66" i="5"/>
  <c r="S66" i="5"/>
  <c r="T66" i="5" s="1"/>
  <c r="Q66" i="5"/>
  <c r="P66" i="5"/>
  <c r="N66" i="5"/>
  <c r="M66" i="5"/>
  <c r="L66" i="5"/>
  <c r="K66" i="5"/>
  <c r="G66" i="5"/>
  <c r="H66" i="5" s="1"/>
  <c r="AY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E65" i="5"/>
  <c r="AB65" i="5"/>
  <c r="AA65" i="5"/>
  <c r="AC65" i="5" s="1"/>
  <c r="Y65" i="5"/>
  <c r="S65" i="5"/>
  <c r="T65" i="5" s="1"/>
  <c r="Q65" i="5"/>
  <c r="P65" i="5"/>
  <c r="N65" i="5"/>
  <c r="M65" i="5"/>
  <c r="L65" i="5"/>
  <c r="K65" i="5"/>
  <c r="G65" i="5"/>
  <c r="H65" i="5" s="1"/>
  <c r="AY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E64" i="5"/>
  <c r="AB64" i="5"/>
  <c r="AD64" i="5" s="1"/>
  <c r="AA64" i="5"/>
  <c r="Y64" i="5"/>
  <c r="AC64" i="5" s="1"/>
  <c r="S64" i="5"/>
  <c r="T64" i="5" s="1"/>
  <c r="Q64" i="5"/>
  <c r="P64" i="5"/>
  <c r="Z64" i="5" s="1"/>
  <c r="N64" i="5"/>
  <c r="M64" i="5"/>
  <c r="L64" i="5"/>
  <c r="K64" i="5"/>
  <c r="G64" i="5"/>
  <c r="H64" i="5" s="1"/>
  <c r="AY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E63" i="5"/>
  <c r="AB63" i="5"/>
  <c r="AA63" i="5"/>
  <c r="AC63" i="5" s="1"/>
  <c r="Z63" i="5"/>
  <c r="Y63" i="5"/>
  <c r="S63" i="5"/>
  <c r="T63" i="5" s="1"/>
  <c r="Q63" i="5"/>
  <c r="P63" i="5"/>
  <c r="N63" i="5"/>
  <c r="M63" i="5"/>
  <c r="L63" i="5"/>
  <c r="K63" i="5"/>
  <c r="G63" i="5"/>
  <c r="H63" i="5" s="1"/>
  <c r="BZ62" i="5"/>
  <c r="BS62" i="5"/>
  <c r="BR62" i="5"/>
  <c r="BC62" i="5"/>
  <c r="BB62" i="5" s="1"/>
  <c r="AY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E62" i="5"/>
  <c r="AC62" i="5"/>
  <c r="AB62" i="5"/>
  <c r="AD62" i="5" s="1"/>
  <c r="AA62" i="5"/>
  <c r="Y62" i="5"/>
  <c r="T62" i="5"/>
  <c r="S62" i="5"/>
  <c r="Q62" i="5"/>
  <c r="P62" i="5"/>
  <c r="Z62" i="5" s="1"/>
  <c r="N62" i="5"/>
  <c r="M62" i="5"/>
  <c r="L62" i="5"/>
  <c r="K62" i="5"/>
  <c r="H62" i="5"/>
  <c r="G62" i="5"/>
  <c r="AY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E61" i="5"/>
  <c r="AD61" i="5"/>
  <c r="AB61" i="5"/>
  <c r="AA61" i="5"/>
  <c r="AC61" i="5" s="1"/>
  <c r="Y61" i="5"/>
  <c r="S61" i="5"/>
  <c r="T61" i="5" s="1"/>
  <c r="Q61" i="5"/>
  <c r="P61" i="5"/>
  <c r="Z61" i="5" s="1"/>
  <c r="N61" i="5"/>
  <c r="M61" i="5"/>
  <c r="L61" i="5"/>
  <c r="K61" i="5"/>
  <c r="G61" i="5"/>
  <c r="H61" i="5" s="1"/>
  <c r="AY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E60" i="5"/>
  <c r="AB60" i="5"/>
  <c r="AA60" i="5"/>
  <c r="Y60" i="5"/>
  <c r="AC60" i="5" s="1"/>
  <c r="W60" i="5"/>
  <c r="S60" i="5"/>
  <c r="T60" i="5" s="1"/>
  <c r="Q60" i="5"/>
  <c r="P60" i="5"/>
  <c r="N60" i="5"/>
  <c r="M60" i="5"/>
  <c r="L60" i="5"/>
  <c r="K60" i="5"/>
  <c r="G60" i="5"/>
  <c r="H60" i="5" s="1"/>
  <c r="BC59" i="5"/>
  <c r="BB59" i="5" s="1"/>
  <c r="AY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E59" i="5"/>
  <c r="AB59" i="5"/>
  <c r="AA59" i="5"/>
  <c r="AC59" i="5" s="1"/>
  <c r="Y59" i="5"/>
  <c r="U59" i="5"/>
  <c r="V59" i="5" s="1"/>
  <c r="S59" i="5"/>
  <c r="T59" i="5" s="1"/>
  <c r="Q59" i="5"/>
  <c r="P59" i="5"/>
  <c r="Z59" i="5" s="1"/>
  <c r="N59" i="5"/>
  <c r="M59" i="5"/>
  <c r="L59" i="5"/>
  <c r="K59" i="5"/>
  <c r="G59" i="5"/>
  <c r="H59" i="5" s="1"/>
  <c r="BE58" i="5"/>
  <c r="BC58" i="5"/>
  <c r="BB58" i="5" s="1"/>
  <c r="AY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E58" i="5"/>
  <c r="AC58" i="5"/>
  <c r="AB58" i="5"/>
  <c r="AD58" i="5" s="1"/>
  <c r="AA58" i="5"/>
  <c r="Y58" i="5"/>
  <c r="T58" i="5"/>
  <c r="S58" i="5"/>
  <c r="Q58" i="5"/>
  <c r="P58" i="5"/>
  <c r="Z58" i="5" s="1"/>
  <c r="N58" i="5"/>
  <c r="M58" i="5"/>
  <c r="L58" i="5"/>
  <c r="K58" i="5"/>
  <c r="H58" i="5"/>
  <c r="G58" i="5"/>
  <c r="AY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E57" i="5"/>
  <c r="AB57" i="5"/>
  <c r="AA57" i="5"/>
  <c r="AC57" i="5" s="1"/>
  <c r="Z57" i="5"/>
  <c r="AD57" i="5" s="1"/>
  <c r="Y57" i="5"/>
  <c r="W57" i="5"/>
  <c r="V57" i="5"/>
  <c r="U57" i="5"/>
  <c r="S57" i="5"/>
  <c r="T57" i="5" s="1"/>
  <c r="AX57" i="5" s="1"/>
  <c r="Q57" i="5"/>
  <c r="P57" i="5"/>
  <c r="N57" i="5"/>
  <c r="M57" i="5"/>
  <c r="L57" i="5"/>
  <c r="K57" i="5"/>
  <c r="G57" i="5"/>
  <c r="H57" i="5" s="1"/>
  <c r="AY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E56" i="5"/>
  <c r="AB56" i="5"/>
  <c r="AD56" i="5" s="1"/>
  <c r="AA56" i="5"/>
  <c r="Z56" i="5"/>
  <c r="Y56" i="5"/>
  <c r="AC56" i="5" s="1"/>
  <c r="S56" i="5"/>
  <c r="T56" i="5" s="1"/>
  <c r="Q56" i="5"/>
  <c r="P56" i="5"/>
  <c r="N56" i="5"/>
  <c r="M56" i="5"/>
  <c r="L56" i="5"/>
  <c r="K56" i="5"/>
  <c r="G56" i="5"/>
  <c r="H56" i="5" s="1"/>
  <c r="AY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E55" i="5"/>
  <c r="AD55" i="5"/>
  <c r="AB55" i="5"/>
  <c r="AA55" i="5"/>
  <c r="AC55" i="5" s="1"/>
  <c r="Y55" i="5"/>
  <c r="S55" i="5"/>
  <c r="T55" i="5" s="1"/>
  <c r="Q55" i="5"/>
  <c r="P55" i="5"/>
  <c r="Z55" i="5" s="1"/>
  <c r="N55" i="5"/>
  <c r="M55" i="5"/>
  <c r="L55" i="5"/>
  <c r="K55" i="5"/>
  <c r="G55" i="5"/>
  <c r="H55" i="5" s="1"/>
  <c r="CC54" i="5"/>
  <c r="BU54" i="5"/>
  <c r="BR54" i="5"/>
  <c r="BS54" i="5" s="1"/>
  <c r="BQ54" i="5"/>
  <c r="BE54" i="5"/>
  <c r="BC54" i="5"/>
  <c r="BB54" i="5"/>
  <c r="AY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E54" i="5"/>
  <c r="AC54" i="5"/>
  <c r="AB54" i="5"/>
  <c r="AD54" i="5" s="1"/>
  <c r="AA54" i="5"/>
  <c r="Y54" i="5"/>
  <c r="W54" i="5"/>
  <c r="U54" i="5"/>
  <c r="V54" i="5" s="1"/>
  <c r="T54" i="5"/>
  <c r="S54" i="5"/>
  <c r="Q54" i="5"/>
  <c r="P54" i="5"/>
  <c r="Z54" i="5" s="1"/>
  <c r="N54" i="5"/>
  <c r="M54" i="5"/>
  <c r="L54" i="5"/>
  <c r="K54" i="5"/>
  <c r="G54" i="5"/>
  <c r="H54" i="5" s="1"/>
  <c r="AY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E53" i="5"/>
  <c r="AB53" i="5"/>
  <c r="AA53" i="5"/>
  <c r="AC53" i="5" s="1"/>
  <c r="Y53" i="5"/>
  <c r="W53" i="5"/>
  <c r="U53" i="5"/>
  <c r="V53" i="5" s="1"/>
  <c r="S53" i="5"/>
  <c r="T53" i="5" s="1"/>
  <c r="Q53" i="5"/>
  <c r="P53" i="5"/>
  <c r="Z53" i="5" s="1"/>
  <c r="AD53" i="5" s="1"/>
  <c r="N53" i="5"/>
  <c r="M53" i="5"/>
  <c r="L53" i="5"/>
  <c r="K53" i="5"/>
  <c r="G53" i="5"/>
  <c r="H53" i="5" s="1"/>
  <c r="AY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E52" i="5"/>
  <c r="AB52" i="5"/>
  <c r="AA52" i="5"/>
  <c r="Y52" i="5"/>
  <c r="U52" i="5"/>
  <c r="V52" i="5" s="1"/>
  <c r="S52" i="5"/>
  <c r="T52" i="5" s="1"/>
  <c r="Q52" i="5"/>
  <c r="P52" i="5"/>
  <c r="N52" i="5"/>
  <c r="M52" i="5"/>
  <c r="L52" i="5"/>
  <c r="K52" i="5"/>
  <c r="G52" i="5"/>
  <c r="H52" i="5" s="1"/>
  <c r="AY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E51" i="5"/>
  <c r="AB51" i="5"/>
  <c r="AA51" i="5"/>
  <c r="AC51" i="5" s="1"/>
  <c r="Y51" i="5"/>
  <c r="S51" i="5"/>
  <c r="T51" i="5" s="1"/>
  <c r="Q51" i="5"/>
  <c r="P51" i="5"/>
  <c r="Z51" i="5" s="1"/>
  <c r="AD51" i="5" s="1"/>
  <c r="N51" i="5"/>
  <c r="M51" i="5"/>
  <c r="L51" i="5"/>
  <c r="K51" i="5"/>
  <c r="G51" i="5"/>
  <c r="H51" i="5" s="1"/>
  <c r="AY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E50" i="5"/>
  <c r="AC50" i="5"/>
  <c r="AB50" i="5"/>
  <c r="AA50" i="5"/>
  <c r="Z50" i="5"/>
  <c r="AD50" i="5" s="1"/>
  <c r="Y50" i="5"/>
  <c r="W50" i="5"/>
  <c r="T50" i="5"/>
  <c r="S50" i="5"/>
  <c r="Q50" i="5"/>
  <c r="P50" i="5"/>
  <c r="N50" i="5"/>
  <c r="M50" i="5"/>
  <c r="L50" i="5"/>
  <c r="K50" i="5"/>
  <c r="H50" i="5"/>
  <c r="G50" i="5"/>
  <c r="AY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E49" i="5"/>
  <c r="AB49" i="5"/>
  <c r="AA49" i="5"/>
  <c r="AC49" i="5" s="1"/>
  <c r="Y49" i="5"/>
  <c r="W49" i="5"/>
  <c r="U49" i="5"/>
  <c r="V49" i="5" s="1"/>
  <c r="S49" i="5"/>
  <c r="T49" i="5" s="1"/>
  <c r="Q49" i="5"/>
  <c r="P49" i="5"/>
  <c r="N49" i="5"/>
  <c r="M49" i="5"/>
  <c r="L49" i="5"/>
  <c r="K49" i="5"/>
  <c r="G49" i="5"/>
  <c r="H49" i="5" s="1"/>
  <c r="BC48" i="5"/>
  <c r="AY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E48" i="5"/>
  <c r="AB48" i="5"/>
  <c r="AA48" i="5"/>
  <c r="Z48" i="5"/>
  <c r="Y48" i="5"/>
  <c r="AC48" i="5" s="1"/>
  <c r="W48" i="5"/>
  <c r="U48" i="5"/>
  <c r="S48" i="5"/>
  <c r="T48" i="5" s="1"/>
  <c r="Q48" i="5"/>
  <c r="P48" i="5"/>
  <c r="N48" i="5"/>
  <c r="M48" i="5"/>
  <c r="L48" i="5"/>
  <c r="K48" i="5"/>
  <c r="G48" i="5"/>
  <c r="H48" i="5" s="1"/>
  <c r="BX47" i="5"/>
  <c r="BE47" i="5"/>
  <c r="BC47" i="5"/>
  <c r="BB47" i="5" s="1"/>
  <c r="AY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E47" i="5"/>
  <c r="AB47" i="5"/>
  <c r="AA47" i="5"/>
  <c r="AC47" i="5" s="1"/>
  <c r="Z47" i="5"/>
  <c r="Y47" i="5"/>
  <c r="W47" i="5"/>
  <c r="U47" i="5"/>
  <c r="V47" i="5" s="1"/>
  <c r="S47" i="5"/>
  <c r="T47" i="5" s="1"/>
  <c r="Q47" i="5"/>
  <c r="P47" i="5"/>
  <c r="N47" i="5"/>
  <c r="M47" i="5"/>
  <c r="L47" i="5"/>
  <c r="K47" i="5"/>
  <c r="G47" i="5"/>
  <c r="H47" i="5" s="1"/>
  <c r="AY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E46" i="5"/>
  <c r="AC46" i="5"/>
  <c r="AB46" i="5"/>
  <c r="AA46" i="5"/>
  <c r="Y46" i="5"/>
  <c r="S46" i="5"/>
  <c r="T46" i="5" s="1"/>
  <c r="Q46" i="5"/>
  <c r="P46" i="5"/>
  <c r="N46" i="5"/>
  <c r="M46" i="5"/>
  <c r="L46" i="5"/>
  <c r="K46" i="5"/>
  <c r="G46" i="5"/>
  <c r="H46" i="5" s="1"/>
  <c r="AY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E45" i="5"/>
  <c r="AB45" i="5"/>
  <c r="AA45" i="5"/>
  <c r="AC45" i="5" s="1"/>
  <c r="Y45" i="5"/>
  <c r="S45" i="5"/>
  <c r="T45" i="5" s="1"/>
  <c r="Q45" i="5"/>
  <c r="P45" i="5"/>
  <c r="Z45" i="5" s="1"/>
  <c r="AD45" i="5" s="1"/>
  <c r="N45" i="5"/>
  <c r="M45" i="5"/>
  <c r="L45" i="5"/>
  <c r="K45" i="5"/>
  <c r="G45" i="5"/>
  <c r="H45" i="5" s="1"/>
  <c r="AY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E44" i="5"/>
  <c r="AB44" i="5"/>
  <c r="AA44" i="5"/>
  <c r="Y44" i="5"/>
  <c r="AC44" i="5" s="1"/>
  <c r="U44" i="5"/>
  <c r="V44" i="5" s="1"/>
  <c r="S44" i="5"/>
  <c r="T44" i="5" s="1"/>
  <c r="Q44" i="5"/>
  <c r="P44" i="5"/>
  <c r="N44" i="5"/>
  <c r="M44" i="5"/>
  <c r="L44" i="5"/>
  <c r="K44" i="5"/>
  <c r="G44" i="5"/>
  <c r="H44" i="5" s="1"/>
  <c r="BC43" i="5"/>
  <c r="BB43" i="5" s="1"/>
  <c r="AY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E43" i="5"/>
  <c r="AB43" i="5"/>
  <c r="AD43" i="5" s="1"/>
  <c r="AA43" i="5"/>
  <c r="AC43" i="5" s="1"/>
  <c r="Z43" i="5"/>
  <c r="Y43" i="5"/>
  <c r="S43" i="5"/>
  <c r="T43" i="5" s="1"/>
  <c r="Q43" i="5"/>
  <c r="P43" i="5"/>
  <c r="N43" i="5"/>
  <c r="M43" i="5"/>
  <c r="L43" i="5"/>
  <c r="K43" i="5"/>
  <c r="G43" i="5"/>
  <c r="H43" i="5" s="1"/>
  <c r="AY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E42" i="5"/>
  <c r="AD42" i="5"/>
  <c r="AC42" i="5"/>
  <c r="AB42" i="5"/>
  <c r="AA42" i="5"/>
  <c r="Y42" i="5"/>
  <c r="S42" i="5"/>
  <c r="T42" i="5" s="1"/>
  <c r="Q42" i="5"/>
  <c r="P42" i="5"/>
  <c r="Z42" i="5" s="1"/>
  <c r="N42" i="5"/>
  <c r="M42" i="5"/>
  <c r="L42" i="5"/>
  <c r="K42" i="5"/>
  <c r="G42" i="5"/>
  <c r="H42" i="5" s="1"/>
  <c r="AY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E41" i="5"/>
  <c r="AB41" i="5"/>
  <c r="AD41" i="5" s="1"/>
  <c r="AA41" i="5"/>
  <c r="AC41" i="5" s="1"/>
  <c r="Z41" i="5"/>
  <c r="Y41" i="5"/>
  <c r="W41" i="5"/>
  <c r="V41" i="5"/>
  <c r="U41" i="5"/>
  <c r="S41" i="5"/>
  <c r="T41" i="5" s="1"/>
  <c r="Q41" i="5"/>
  <c r="P41" i="5"/>
  <c r="N41" i="5"/>
  <c r="M41" i="5"/>
  <c r="L41" i="5"/>
  <c r="K41" i="5"/>
  <c r="G41" i="5"/>
  <c r="H41" i="5" s="1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E40" i="5"/>
  <c r="AB40" i="5"/>
  <c r="AA40" i="5"/>
  <c r="Z40" i="5"/>
  <c r="AD40" i="5" s="1"/>
  <c r="Y40" i="5"/>
  <c r="AC40" i="5" s="1"/>
  <c r="W40" i="5"/>
  <c r="U40" i="5"/>
  <c r="V40" i="5" s="1"/>
  <c r="S40" i="5"/>
  <c r="T40" i="5" s="1"/>
  <c r="Q40" i="5"/>
  <c r="P40" i="5"/>
  <c r="N40" i="5"/>
  <c r="M40" i="5"/>
  <c r="L40" i="5"/>
  <c r="K40" i="5"/>
  <c r="G40" i="5"/>
  <c r="H40" i="5" s="1"/>
  <c r="AY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E39" i="5"/>
  <c r="AD39" i="5"/>
  <c r="AB39" i="5"/>
  <c r="AA39" i="5"/>
  <c r="AC39" i="5" s="1"/>
  <c r="Z39" i="5"/>
  <c r="Y39" i="5"/>
  <c r="S39" i="5"/>
  <c r="T39" i="5" s="1"/>
  <c r="Q39" i="5"/>
  <c r="P39" i="5"/>
  <c r="N39" i="5"/>
  <c r="M39" i="5"/>
  <c r="L39" i="5"/>
  <c r="K39" i="5"/>
  <c r="G39" i="5"/>
  <c r="H39" i="5" s="1"/>
  <c r="AY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E38" i="5"/>
  <c r="AD38" i="5"/>
  <c r="AC38" i="5"/>
  <c r="AB38" i="5"/>
  <c r="AA38" i="5"/>
  <c r="Z38" i="5"/>
  <c r="Y38" i="5"/>
  <c r="W38" i="5"/>
  <c r="U38" i="5"/>
  <c r="V38" i="5" s="1"/>
  <c r="T38" i="5"/>
  <c r="S38" i="5"/>
  <c r="Q38" i="5"/>
  <c r="P38" i="5"/>
  <c r="N38" i="5"/>
  <c r="M38" i="5"/>
  <c r="L38" i="5"/>
  <c r="K38" i="5"/>
  <c r="H38" i="5"/>
  <c r="G38" i="5"/>
  <c r="AY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E37" i="5"/>
  <c r="AB37" i="5"/>
  <c r="AA37" i="5"/>
  <c r="AC37" i="5" s="1"/>
  <c r="Y37" i="5"/>
  <c r="W37" i="5"/>
  <c r="V37" i="5"/>
  <c r="U37" i="5"/>
  <c r="S37" i="5"/>
  <c r="T37" i="5" s="1"/>
  <c r="Q37" i="5"/>
  <c r="P37" i="5"/>
  <c r="N37" i="5"/>
  <c r="M37" i="5"/>
  <c r="L37" i="5"/>
  <c r="K37" i="5"/>
  <c r="G37" i="5"/>
  <c r="H37" i="5" s="1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E36" i="5"/>
  <c r="AB36" i="5"/>
  <c r="AA36" i="5"/>
  <c r="Y36" i="5"/>
  <c r="AC36" i="5" s="1"/>
  <c r="U36" i="5"/>
  <c r="S36" i="5"/>
  <c r="T36" i="5" s="1"/>
  <c r="Q36" i="5"/>
  <c r="P36" i="5"/>
  <c r="N36" i="5"/>
  <c r="W36" i="5" s="1"/>
  <c r="M36" i="5"/>
  <c r="L36" i="5"/>
  <c r="K36" i="5"/>
  <c r="G36" i="5"/>
  <c r="H36" i="5" s="1"/>
  <c r="CF35" i="5"/>
  <c r="BQ35" i="5"/>
  <c r="BE35" i="5"/>
  <c r="BC35" i="5"/>
  <c r="BB35" i="5" s="1"/>
  <c r="AY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E35" i="5"/>
  <c r="AB35" i="5"/>
  <c r="AA35" i="5"/>
  <c r="AC35" i="5" s="1"/>
  <c r="Y35" i="5"/>
  <c r="W35" i="5"/>
  <c r="U35" i="5"/>
  <c r="V35" i="5" s="1"/>
  <c r="S35" i="5"/>
  <c r="T35" i="5" s="1"/>
  <c r="Q35" i="5"/>
  <c r="P35" i="5"/>
  <c r="N35" i="5"/>
  <c r="M35" i="5"/>
  <c r="L35" i="5"/>
  <c r="K35" i="5"/>
  <c r="G35" i="5"/>
  <c r="H35" i="5" s="1"/>
  <c r="AY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E34" i="5"/>
  <c r="AC34" i="5"/>
  <c r="AB34" i="5"/>
  <c r="AA34" i="5"/>
  <c r="Z34" i="5"/>
  <c r="AD34" i="5" s="1"/>
  <c r="Y34" i="5"/>
  <c r="S34" i="5"/>
  <c r="T34" i="5" s="1"/>
  <c r="Q34" i="5"/>
  <c r="P34" i="5"/>
  <c r="N34" i="5"/>
  <c r="M34" i="5"/>
  <c r="L34" i="5"/>
  <c r="K34" i="5"/>
  <c r="G34" i="5"/>
  <c r="H34" i="5" s="1"/>
  <c r="AY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E33" i="5"/>
  <c r="AB33" i="5"/>
  <c r="AD33" i="5" s="1"/>
  <c r="AA33" i="5"/>
  <c r="AC33" i="5" s="1"/>
  <c r="Y33" i="5"/>
  <c r="U33" i="5"/>
  <c r="V33" i="5" s="1"/>
  <c r="S33" i="5"/>
  <c r="T33" i="5" s="1"/>
  <c r="Q33" i="5"/>
  <c r="P33" i="5"/>
  <c r="Z33" i="5" s="1"/>
  <c r="N33" i="5"/>
  <c r="M33" i="5"/>
  <c r="L33" i="5"/>
  <c r="K33" i="5"/>
  <c r="G33" i="5"/>
  <c r="H33" i="5" s="1"/>
  <c r="AY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E32" i="5"/>
  <c r="AD32" i="5"/>
  <c r="AB32" i="5"/>
  <c r="AA32" i="5"/>
  <c r="Z32" i="5"/>
  <c r="Y32" i="5"/>
  <c r="AC32" i="5" s="1"/>
  <c r="S32" i="5"/>
  <c r="T32" i="5" s="1"/>
  <c r="Q32" i="5"/>
  <c r="P32" i="5"/>
  <c r="N32" i="5"/>
  <c r="M32" i="5"/>
  <c r="L32" i="5"/>
  <c r="K32" i="5"/>
  <c r="G32" i="5"/>
  <c r="H32" i="5" s="1"/>
  <c r="CG31" i="5"/>
  <c r="CF31" i="5"/>
  <c r="BQ31" i="5"/>
  <c r="BE31" i="5"/>
  <c r="BC31" i="5"/>
  <c r="BB31" i="5" s="1"/>
  <c r="AY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E31" i="5"/>
  <c r="AB31" i="5"/>
  <c r="AD31" i="5" s="1"/>
  <c r="AA31" i="5"/>
  <c r="AC31" i="5" s="1"/>
  <c r="Z31" i="5"/>
  <c r="Y31" i="5"/>
  <c r="U31" i="5"/>
  <c r="V31" i="5" s="1"/>
  <c r="S31" i="5"/>
  <c r="T31" i="5" s="1"/>
  <c r="Q31" i="5"/>
  <c r="P31" i="5"/>
  <c r="N31" i="5"/>
  <c r="M31" i="5"/>
  <c r="L31" i="5"/>
  <c r="K31" i="5"/>
  <c r="G31" i="5"/>
  <c r="H31" i="5" s="1"/>
  <c r="AY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E30" i="5"/>
  <c r="AC30" i="5"/>
  <c r="AB30" i="5"/>
  <c r="AD30" i="5" s="1"/>
  <c r="AA30" i="5"/>
  <c r="Y30" i="5"/>
  <c r="W30" i="5"/>
  <c r="U30" i="5"/>
  <c r="V30" i="5" s="1"/>
  <c r="T30" i="5"/>
  <c r="AX30" i="5" s="1"/>
  <c r="S30" i="5"/>
  <c r="Q30" i="5"/>
  <c r="P30" i="5"/>
  <c r="Z30" i="5" s="1"/>
  <c r="N30" i="5"/>
  <c r="M30" i="5"/>
  <c r="L30" i="5"/>
  <c r="K30" i="5"/>
  <c r="H30" i="5"/>
  <c r="G30" i="5"/>
  <c r="BC29" i="5"/>
  <c r="AY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E29" i="5"/>
  <c r="AB29" i="5"/>
  <c r="AA29" i="5"/>
  <c r="AC29" i="5" s="1"/>
  <c r="Z29" i="5"/>
  <c r="Y29" i="5"/>
  <c r="U29" i="5"/>
  <c r="V29" i="5" s="1"/>
  <c r="S29" i="5"/>
  <c r="T29" i="5" s="1"/>
  <c r="Q29" i="5"/>
  <c r="P29" i="5"/>
  <c r="N29" i="5"/>
  <c r="M29" i="5"/>
  <c r="L29" i="5"/>
  <c r="K29" i="5"/>
  <c r="G29" i="5"/>
  <c r="H29" i="5" s="1"/>
  <c r="BC28" i="5"/>
  <c r="BB28" i="5" s="1"/>
  <c r="BE28" i="5" s="1"/>
  <c r="AY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E28" i="5"/>
  <c r="AD28" i="5"/>
  <c r="AC28" i="5"/>
  <c r="AB28" i="5"/>
  <c r="AA28" i="5"/>
  <c r="Z28" i="5"/>
  <c r="Y28" i="5"/>
  <c r="S28" i="5"/>
  <c r="T28" i="5" s="1"/>
  <c r="Q28" i="5"/>
  <c r="P28" i="5"/>
  <c r="N28" i="5"/>
  <c r="M28" i="5"/>
  <c r="L28" i="5"/>
  <c r="K28" i="5"/>
  <c r="G28" i="5"/>
  <c r="H28" i="5" s="1"/>
  <c r="AY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E27" i="5"/>
  <c r="AB27" i="5"/>
  <c r="AA27" i="5"/>
  <c r="AC27" i="5" s="1"/>
  <c r="Y27" i="5"/>
  <c r="T27" i="5"/>
  <c r="S27" i="5"/>
  <c r="Q27" i="5"/>
  <c r="P27" i="5"/>
  <c r="Z27" i="5" s="1"/>
  <c r="N27" i="5"/>
  <c r="M27" i="5"/>
  <c r="L27" i="5"/>
  <c r="K27" i="5"/>
  <c r="H27" i="5"/>
  <c r="G27" i="5"/>
  <c r="AY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E26" i="5"/>
  <c r="AB26" i="5"/>
  <c r="AA26" i="5"/>
  <c r="AC26" i="5" s="1"/>
  <c r="Y26" i="5"/>
  <c r="S26" i="5"/>
  <c r="T26" i="5" s="1"/>
  <c r="Q26" i="5"/>
  <c r="P26" i="5"/>
  <c r="Z26" i="5" s="1"/>
  <c r="N26" i="5"/>
  <c r="M26" i="5"/>
  <c r="L26" i="5"/>
  <c r="K26" i="5"/>
  <c r="G26" i="5"/>
  <c r="H26" i="5" s="1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E25" i="5"/>
  <c r="AC25" i="5"/>
  <c r="AB25" i="5"/>
  <c r="AA25" i="5"/>
  <c r="Y25" i="5"/>
  <c r="Z25" i="5" s="1"/>
  <c r="AD25" i="5" s="1"/>
  <c r="W25" i="5"/>
  <c r="S25" i="5"/>
  <c r="T25" i="5" s="1"/>
  <c r="Q25" i="5"/>
  <c r="P25" i="5"/>
  <c r="N25" i="5"/>
  <c r="M25" i="5"/>
  <c r="L25" i="5"/>
  <c r="K25" i="5"/>
  <c r="G25" i="5"/>
  <c r="H25" i="5" s="1"/>
  <c r="AY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E24" i="5"/>
  <c r="AC24" i="5"/>
  <c r="AB24" i="5"/>
  <c r="AA24" i="5"/>
  <c r="Y24" i="5"/>
  <c r="Z24" i="5" s="1"/>
  <c r="AD24" i="5" s="1"/>
  <c r="T24" i="5"/>
  <c r="S24" i="5"/>
  <c r="Q24" i="5"/>
  <c r="P24" i="5"/>
  <c r="N24" i="5"/>
  <c r="M24" i="5"/>
  <c r="L24" i="5"/>
  <c r="K24" i="5"/>
  <c r="H24" i="5"/>
  <c r="G24" i="5"/>
  <c r="CB23" i="5"/>
  <c r="BL23" i="5"/>
  <c r="BD23" i="5"/>
  <c r="BC23" i="5"/>
  <c r="BB23" i="5" s="1"/>
  <c r="BT23" i="5" s="1"/>
  <c r="AY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E23" i="5"/>
  <c r="AB23" i="5"/>
  <c r="AA23" i="5"/>
  <c r="AC23" i="5" s="1"/>
  <c r="Y23" i="5"/>
  <c r="U23" i="5"/>
  <c r="V23" i="5" s="1"/>
  <c r="T23" i="5"/>
  <c r="S23" i="5"/>
  <c r="Q23" i="5"/>
  <c r="P23" i="5"/>
  <c r="Z23" i="5" s="1"/>
  <c r="AD23" i="5" s="1"/>
  <c r="N23" i="5"/>
  <c r="M23" i="5"/>
  <c r="L23" i="5"/>
  <c r="K23" i="5"/>
  <c r="H23" i="5"/>
  <c r="G23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E22" i="5"/>
  <c r="AB22" i="5"/>
  <c r="AA22" i="5"/>
  <c r="Y22" i="5"/>
  <c r="T22" i="5"/>
  <c r="S22" i="5"/>
  <c r="Q22" i="5"/>
  <c r="P22" i="5"/>
  <c r="N22" i="5"/>
  <c r="W22" i="5" s="1"/>
  <c r="M22" i="5"/>
  <c r="L22" i="5"/>
  <c r="K22" i="5"/>
  <c r="H22" i="5"/>
  <c r="G22" i="5"/>
  <c r="AY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E21" i="5"/>
  <c r="AB21" i="5"/>
  <c r="AA21" i="5"/>
  <c r="AC21" i="5" s="1"/>
  <c r="Y21" i="5"/>
  <c r="S21" i="5"/>
  <c r="T21" i="5" s="1"/>
  <c r="Q21" i="5"/>
  <c r="P21" i="5"/>
  <c r="Z21" i="5" s="1"/>
  <c r="N21" i="5"/>
  <c r="M21" i="5"/>
  <c r="L21" i="5"/>
  <c r="K21" i="5"/>
  <c r="G21" i="5"/>
  <c r="H21" i="5" s="1"/>
  <c r="AY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E20" i="5"/>
  <c r="AC20" i="5"/>
  <c r="AB20" i="5"/>
  <c r="AA20" i="5"/>
  <c r="Y20" i="5"/>
  <c r="Z20" i="5" s="1"/>
  <c r="T20" i="5"/>
  <c r="S20" i="5"/>
  <c r="Q20" i="5"/>
  <c r="P20" i="5"/>
  <c r="N20" i="5"/>
  <c r="M20" i="5"/>
  <c r="L20" i="5"/>
  <c r="K20" i="5"/>
  <c r="H20" i="5"/>
  <c r="G20" i="5"/>
  <c r="CB19" i="5"/>
  <c r="BL19" i="5"/>
  <c r="BD19" i="5"/>
  <c r="BC19" i="5"/>
  <c r="BB19" i="5" s="1"/>
  <c r="BT19" i="5" s="1"/>
  <c r="AY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E19" i="5"/>
  <c r="AB19" i="5"/>
  <c r="AA19" i="5"/>
  <c r="AC19" i="5" s="1"/>
  <c r="Y19" i="5"/>
  <c r="W19" i="5"/>
  <c r="V19" i="5"/>
  <c r="U19" i="5"/>
  <c r="T19" i="5"/>
  <c r="S19" i="5"/>
  <c r="Q19" i="5"/>
  <c r="P19" i="5"/>
  <c r="Z19" i="5" s="1"/>
  <c r="AD19" i="5" s="1"/>
  <c r="N19" i="5"/>
  <c r="M19" i="5"/>
  <c r="L19" i="5"/>
  <c r="K19" i="5"/>
  <c r="H19" i="5"/>
  <c r="G19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E18" i="5"/>
  <c r="AB18" i="5"/>
  <c r="AA18" i="5"/>
  <c r="Y18" i="5"/>
  <c r="T18" i="5"/>
  <c r="S18" i="5"/>
  <c r="Q18" i="5"/>
  <c r="P18" i="5"/>
  <c r="N18" i="5"/>
  <c r="W18" i="5" s="1"/>
  <c r="M18" i="5"/>
  <c r="L18" i="5"/>
  <c r="K18" i="5"/>
  <c r="H18" i="5"/>
  <c r="G18" i="5"/>
  <c r="AY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E17" i="5"/>
  <c r="AB17" i="5"/>
  <c r="AA17" i="5"/>
  <c r="AC17" i="5" s="1"/>
  <c r="Z17" i="5"/>
  <c r="Y17" i="5"/>
  <c r="S17" i="5"/>
  <c r="T17" i="5" s="1"/>
  <c r="Q17" i="5"/>
  <c r="P17" i="5"/>
  <c r="N17" i="5"/>
  <c r="M17" i="5"/>
  <c r="L17" i="5"/>
  <c r="K17" i="5"/>
  <c r="G17" i="5"/>
  <c r="H17" i="5" s="1"/>
  <c r="AY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E16" i="5"/>
  <c r="AC16" i="5"/>
  <c r="AB16" i="5"/>
  <c r="AA16" i="5"/>
  <c r="Y16" i="5"/>
  <c r="Z16" i="5" s="1"/>
  <c r="S16" i="5"/>
  <c r="T16" i="5" s="1"/>
  <c r="Q16" i="5"/>
  <c r="P16" i="5"/>
  <c r="N16" i="5"/>
  <c r="M16" i="5"/>
  <c r="L16" i="5"/>
  <c r="K16" i="5"/>
  <c r="G16" i="5"/>
  <c r="H16" i="5" s="1"/>
  <c r="BL15" i="5"/>
  <c r="BC15" i="5"/>
  <c r="BB15" i="5" s="1"/>
  <c r="CB15" i="5" s="1"/>
  <c r="AY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E15" i="5"/>
  <c r="AB15" i="5"/>
  <c r="AA15" i="5"/>
  <c r="AC15" i="5" s="1"/>
  <c r="Y15" i="5"/>
  <c r="W15" i="5"/>
  <c r="V15" i="5"/>
  <c r="U15" i="5"/>
  <c r="T15" i="5"/>
  <c r="S15" i="5"/>
  <c r="Q15" i="5"/>
  <c r="P15" i="5"/>
  <c r="Z15" i="5" s="1"/>
  <c r="AD15" i="5" s="1"/>
  <c r="N15" i="5"/>
  <c r="M15" i="5"/>
  <c r="L15" i="5"/>
  <c r="K15" i="5"/>
  <c r="H15" i="5"/>
  <c r="G15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E14" i="5"/>
  <c r="AB14" i="5"/>
  <c r="AA14" i="5"/>
  <c r="Y14" i="5"/>
  <c r="W14" i="5"/>
  <c r="T14" i="5"/>
  <c r="S14" i="5"/>
  <c r="Q14" i="5"/>
  <c r="P14" i="5"/>
  <c r="N14" i="5"/>
  <c r="M14" i="5"/>
  <c r="L14" i="5"/>
  <c r="K14" i="5"/>
  <c r="H14" i="5"/>
  <c r="G14" i="5"/>
  <c r="AY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E13" i="5"/>
  <c r="AB13" i="5"/>
  <c r="AA13" i="5"/>
  <c r="AC13" i="5" s="1"/>
  <c r="Z13" i="5"/>
  <c r="Y13" i="5"/>
  <c r="S13" i="5"/>
  <c r="T13" i="5" s="1"/>
  <c r="Q13" i="5"/>
  <c r="P13" i="5"/>
  <c r="N13" i="5"/>
  <c r="M13" i="5"/>
  <c r="L13" i="5"/>
  <c r="K13" i="5"/>
  <c r="G13" i="5"/>
  <c r="H13" i="5" s="1"/>
  <c r="AU12" i="5"/>
  <c r="AT12" i="5"/>
  <c r="AS12" i="5"/>
  <c r="AQ12" i="5"/>
  <c r="AR12" i="5" s="1"/>
  <c r="AL12" i="5"/>
  <c r="AK12" i="5"/>
  <c r="AI12" i="5"/>
  <c r="AB12" i="5"/>
  <c r="AA12" i="5"/>
  <c r="Y12" i="5"/>
  <c r="AC12" i="5" s="1"/>
  <c r="S12" i="5"/>
  <c r="T12" i="5" s="1"/>
  <c r="P12" i="5"/>
  <c r="AP12" i="5" s="1"/>
  <c r="AU11" i="5"/>
  <c r="AT11" i="5"/>
  <c r="AS11" i="5"/>
  <c r="AR11" i="5"/>
  <c r="AQ11" i="5"/>
  <c r="AB11" i="5"/>
  <c r="AA11" i="5"/>
  <c r="P11" i="5"/>
  <c r="AJ11" i="5" s="1"/>
  <c r="G11" i="5"/>
  <c r="H11" i="5" s="1"/>
  <c r="AU10" i="5"/>
  <c r="AT10" i="5"/>
  <c r="AS10" i="5"/>
  <c r="AQ10" i="5"/>
  <c r="AL10" i="5"/>
  <c r="AK10" i="5"/>
  <c r="AB10" i="5"/>
  <c r="AA10" i="5"/>
  <c r="P10" i="5"/>
  <c r="H10" i="5"/>
  <c r="G10" i="5"/>
  <c r="AU9" i="5"/>
  <c r="AT9" i="5"/>
  <c r="AV9" i="5" s="1"/>
  <c r="K9" i="5" s="1"/>
  <c r="L9" i="5" s="1"/>
  <c r="AS9" i="5"/>
  <c r="AQ9" i="5"/>
  <c r="AR9" i="5" s="1"/>
  <c r="AM9" i="5"/>
  <c r="AB9" i="5"/>
  <c r="AA9" i="5"/>
  <c r="P9" i="5"/>
  <c r="AO9" i="5" s="1"/>
  <c r="G9" i="5"/>
  <c r="H9" i="5" s="1"/>
  <c r="AU8" i="5"/>
  <c r="AT8" i="5"/>
  <c r="AS8" i="5"/>
  <c r="AQ8" i="5"/>
  <c r="AL8" i="5"/>
  <c r="AB8" i="5"/>
  <c r="AA8" i="5"/>
  <c r="S8" i="5"/>
  <c r="T8" i="5" s="1"/>
  <c r="P8" i="5"/>
  <c r="AG8" i="5" s="1"/>
  <c r="AU7" i="5"/>
  <c r="AT7" i="5"/>
  <c r="AS7" i="5"/>
  <c r="AQ7" i="5"/>
  <c r="AV7" i="5" s="1"/>
  <c r="K7" i="5" s="1"/>
  <c r="L7" i="5" s="1"/>
  <c r="N7" i="5" s="1"/>
  <c r="AB7" i="5"/>
  <c r="AA7" i="5"/>
  <c r="P7" i="5"/>
  <c r="AG7" i="5" s="1"/>
  <c r="M7" i="5"/>
  <c r="G7" i="5"/>
  <c r="H7" i="5" s="1"/>
  <c r="AU6" i="5"/>
  <c r="AT6" i="5"/>
  <c r="AS6" i="5"/>
  <c r="AQ6" i="5"/>
  <c r="AB6" i="5"/>
  <c r="AA6" i="5"/>
  <c r="S6" i="5"/>
  <c r="T6" i="5" s="1"/>
  <c r="P6" i="5"/>
  <c r="AI6" i="5" s="1"/>
  <c r="G6" i="5"/>
  <c r="H6" i="5" s="1"/>
  <c r="AU5" i="5"/>
  <c r="AT5" i="5"/>
  <c r="AS5" i="5"/>
  <c r="AQ5" i="5"/>
  <c r="AO5" i="5"/>
  <c r="AM5" i="5"/>
  <c r="AG5" i="5"/>
  <c r="AB5" i="5"/>
  <c r="AA5" i="5"/>
  <c r="P5" i="5"/>
  <c r="AK5" i="5" s="1"/>
  <c r="AU4" i="5"/>
  <c r="AT4" i="5"/>
  <c r="AS4" i="5"/>
  <c r="AQ4" i="5"/>
  <c r="AP4" i="5"/>
  <c r="AO4" i="5"/>
  <c r="AG4" i="5"/>
  <c r="AB4" i="5"/>
  <c r="D9" i="6" s="1"/>
  <c r="AA4" i="5"/>
  <c r="D10" i="6" s="1"/>
  <c r="P4" i="5"/>
  <c r="AK4" i="5" s="1"/>
  <c r="G4" i="5"/>
  <c r="H4" i="5" s="1"/>
  <c r="F32" i="6" l="1"/>
  <c r="F56" i="6"/>
  <c r="G61" i="6"/>
  <c r="F57" i="6"/>
  <c r="AV5" i="5"/>
  <c r="K5" i="5" s="1"/>
  <c r="AV11" i="5"/>
  <c r="K11" i="5" s="1"/>
  <c r="L11" i="5" s="1"/>
  <c r="AX6" i="5"/>
  <c r="U6" i="5"/>
  <c r="U12" i="5"/>
  <c r="AX12" i="5"/>
  <c r="AX16" i="5"/>
  <c r="W16" i="5"/>
  <c r="U16" i="5"/>
  <c r="V16" i="5" s="1"/>
  <c r="AX8" i="5"/>
  <c r="U8" i="5"/>
  <c r="M8" i="5"/>
  <c r="Q7" i="5"/>
  <c r="S7" i="5" s="1"/>
  <c r="T7" i="5" s="1"/>
  <c r="BC7" i="5" s="1"/>
  <c r="BB7" i="5" s="1"/>
  <c r="AX45" i="5"/>
  <c r="W45" i="5"/>
  <c r="BC45" i="5"/>
  <c r="U45" i="5"/>
  <c r="V45" i="5" s="1"/>
  <c r="CD59" i="5"/>
  <c r="BV59" i="5"/>
  <c r="BN59" i="5"/>
  <c r="BO59" i="5" s="1"/>
  <c r="BF59" i="5"/>
  <c r="CC59" i="5"/>
  <c r="BU59" i="5"/>
  <c r="BM59" i="5"/>
  <c r="BE59" i="5"/>
  <c r="CB59" i="5"/>
  <c r="BT59" i="5"/>
  <c r="BL59" i="5"/>
  <c r="BD59" i="5"/>
  <c r="CH59" i="5"/>
  <c r="BZ59" i="5"/>
  <c r="CA59" i="5" s="1"/>
  <c r="BR59" i="5"/>
  <c r="BS59" i="5" s="1"/>
  <c r="BJ59" i="5"/>
  <c r="BK59" i="5" s="1"/>
  <c r="BY59" i="5"/>
  <c r="BI59" i="5"/>
  <c r="BX59" i="5"/>
  <c r="BH59" i="5"/>
  <c r="CG59" i="5"/>
  <c r="BQ59" i="5"/>
  <c r="BA59" i="5"/>
  <c r="CF59" i="5"/>
  <c r="AZ59" i="5"/>
  <c r="BP59" i="5"/>
  <c r="AX68" i="5"/>
  <c r="BC68" i="5"/>
  <c r="BB68" i="5" s="1"/>
  <c r="W68" i="5"/>
  <c r="U68" i="5"/>
  <c r="V68" i="5" s="1"/>
  <c r="AP6" i="5"/>
  <c r="AN10" i="5"/>
  <c r="AJ10" i="5"/>
  <c r="AM10" i="5"/>
  <c r="AD16" i="5"/>
  <c r="AX51" i="5"/>
  <c r="BC51" i="5"/>
  <c r="BB51" i="5" s="1"/>
  <c r="W51" i="5"/>
  <c r="U51" i="5"/>
  <c r="V51" i="5" s="1"/>
  <c r="AH4" i="5"/>
  <c r="AI5" i="5"/>
  <c r="AG6" i="5"/>
  <c r="AV6" i="5"/>
  <c r="K6" i="5" s="1"/>
  <c r="L6" i="5" s="1"/>
  <c r="AR6" i="5"/>
  <c r="AR7" i="5"/>
  <c r="AP8" i="5"/>
  <c r="AO10" i="5"/>
  <c r="Z12" i="5"/>
  <c r="Y11" i="5" s="1"/>
  <c r="Z11" i="5" s="1"/>
  <c r="BC13" i="5"/>
  <c r="AD13" i="5"/>
  <c r="AC14" i="5"/>
  <c r="Z14" i="5"/>
  <c r="AD14" i="5" s="1"/>
  <c r="CE15" i="5"/>
  <c r="BT15" i="5"/>
  <c r="BC16" i="5"/>
  <c r="BB16" i="5" s="1"/>
  <c r="AD20" i="5"/>
  <c r="BB29" i="5"/>
  <c r="AD29" i="5"/>
  <c r="BW31" i="5"/>
  <c r="AD35" i="5"/>
  <c r="AL7" i="5"/>
  <c r="AP7" i="5"/>
  <c r="AH7" i="5"/>
  <c r="AL11" i="5"/>
  <c r="AP11" i="5"/>
  <c r="AH11" i="5"/>
  <c r="AO11" i="5"/>
  <c r="AG11" i="5"/>
  <c r="CE59" i="5"/>
  <c r="AP9" i="5"/>
  <c r="AH9" i="5"/>
  <c r="AL9" i="5"/>
  <c r="CB28" i="5"/>
  <c r="BT28" i="5"/>
  <c r="BL28" i="5"/>
  <c r="BD28" i="5"/>
  <c r="CF28" i="5"/>
  <c r="BX28" i="5"/>
  <c r="BP28" i="5"/>
  <c r="BH28" i="5"/>
  <c r="AZ28" i="5"/>
  <c r="BA28" i="5" s="1"/>
  <c r="BQ28" i="5"/>
  <c r="BF28" i="5"/>
  <c r="BG28" i="5" s="1"/>
  <c r="BZ28" i="5"/>
  <c r="BN28" i="5"/>
  <c r="BO28" i="5" s="1"/>
  <c r="BY28" i="5"/>
  <c r="BM28" i="5"/>
  <c r="CH28" i="5"/>
  <c r="BV28" i="5"/>
  <c r="BW28" i="5" s="1"/>
  <c r="BJ28" i="5"/>
  <c r="BK28" i="5" s="1"/>
  <c r="CG28" i="5"/>
  <c r="BU28" i="5"/>
  <c r="BI28" i="5"/>
  <c r="CD43" i="5"/>
  <c r="BV43" i="5"/>
  <c r="BN43" i="5"/>
  <c r="BF43" i="5"/>
  <c r="CB43" i="5"/>
  <c r="BT43" i="5"/>
  <c r="BL43" i="5"/>
  <c r="BD43" i="5"/>
  <c r="CH43" i="5"/>
  <c r="BZ43" i="5"/>
  <c r="BR43" i="5"/>
  <c r="BS43" i="5" s="1"/>
  <c r="BJ43" i="5"/>
  <c r="BK43" i="5" s="1"/>
  <c r="BY43" i="5"/>
  <c r="BM43" i="5"/>
  <c r="AZ43" i="5"/>
  <c r="BX43" i="5"/>
  <c r="CG43" i="5"/>
  <c r="BQ43" i="5"/>
  <c r="BA43" i="5"/>
  <c r="CF43" i="5"/>
  <c r="BP43" i="5"/>
  <c r="CC43" i="5"/>
  <c r="BI43" i="5"/>
  <c r="BH43" i="5"/>
  <c r="AO8" i="5"/>
  <c r="AI11" i="5"/>
  <c r="AI4" i="5"/>
  <c r="AJ5" i="5"/>
  <c r="AH6" i="5"/>
  <c r="AI7" i="5"/>
  <c r="AR8" i="5"/>
  <c r="AV8" i="5"/>
  <c r="K8" i="5" s="1"/>
  <c r="AG9" i="5"/>
  <c r="AP10" i="5"/>
  <c r="AK11" i="5"/>
  <c r="AD17" i="5"/>
  <c r="AC18" i="5"/>
  <c r="Z18" i="5"/>
  <c r="AD18" i="5" s="1"/>
  <c r="BC20" i="5"/>
  <c r="BB20" i="5" s="1"/>
  <c r="BC25" i="5"/>
  <c r="BB25" i="5" s="1"/>
  <c r="AD26" i="5"/>
  <c r="BR28" i="5"/>
  <c r="BS28" i="5" s="1"/>
  <c r="CD31" i="5"/>
  <c r="CE31" i="5" s="1"/>
  <c r="BV31" i="5"/>
  <c r="BN31" i="5"/>
  <c r="BF31" i="5"/>
  <c r="CB31" i="5"/>
  <c r="BT31" i="5"/>
  <c r="BL31" i="5"/>
  <c r="BD31" i="5"/>
  <c r="CH31" i="5"/>
  <c r="BZ31" i="5"/>
  <c r="CA31" i="5" s="1"/>
  <c r="BR31" i="5"/>
  <c r="BS31" i="5" s="1"/>
  <c r="BJ31" i="5"/>
  <c r="BK31" i="5" s="1"/>
  <c r="BY31" i="5"/>
  <c r="BM31" i="5"/>
  <c r="AZ31" i="5"/>
  <c r="BA31" i="5" s="1"/>
  <c r="BP31" i="5"/>
  <c r="CC31" i="5"/>
  <c r="BX31" i="5"/>
  <c r="BI31" i="5"/>
  <c r="BH31" i="5"/>
  <c r="BU31" i="5"/>
  <c r="CE35" i="5"/>
  <c r="Z35" i="5"/>
  <c r="CA35" i="5"/>
  <c r="BB37" i="5"/>
  <c r="Z37" i="5"/>
  <c r="AD37" i="5" s="1"/>
  <c r="BU43" i="5"/>
  <c r="AX24" i="5"/>
  <c r="W24" i="5"/>
  <c r="U24" i="5"/>
  <c r="V24" i="5" s="1"/>
  <c r="AO6" i="5"/>
  <c r="AJ8" i="5"/>
  <c r="AN8" i="5"/>
  <c r="W26" i="5"/>
  <c r="AX26" i="5"/>
  <c r="U26" i="5"/>
  <c r="V26" i="5" s="1"/>
  <c r="BG31" i="5"/>
  <c r="AX34" i="5"/>
  <c r="U34" i="5"/>
  <c r="V34" i="5" s="1"/>
  <c r="W34" i="5"/>
  <c r="BC34" i="5"/>
  <c r="BB34" i="5" s="1"/>
  <c r="AX72" i="5"/>
  <c r="W72" i="5"/>
  <c r="BC72" i="5"/>
  <c r="BB72" i="5" s="1"/>
  <c r="U72" i="5"/>
  <c r="V72" i="5" s="1"/>
  <c r="AR5" i="5"/>
  <c r="BE43" i="5"/>
  <c r="AJ7" i="5"/>
  <c r="AH8" i="5"/>
  <c r="AI9" i="5"/>
  <c r="AG10" i="5"/>
  <c r="AV10" i="5"/>
  <c r="K10" i="5" s="1"/>
  <c r="L10" i="5" s="1"/>
  <c r="AR10" i="5"/>
  <c r="AM11" i="5"/>
  <c r="BC14" i="5"/>
  <c r="BB14" i="5"/>
  <c r="BC17" i="5"/>
  <c r="BB17" i="5" s="1"/>
  <c r="AD21" i="5"/>
  <c r="AC22" i="5"/>
  <c r="Z22" i="5"/>
  <c r="AD22" i="5" s="1"/>
  <c r="CC28" i="5"/>
  <c r="BC37" i="5"/>
  <c r="AX42" i="5"/>
  <c r="BC42" i="5"/>
  <c r="BB42" i="5" s="1"/>
  <c r="W42" i="5"/>
  <c r="U42" i="5"/>
  <c r="V42" i="5" s="1"/>
  <c r="BC56" i="5"/>
  <c r="BB56" i="5" s="1"/>
  <c r="Z75" i="5"/>
  <c r="AD75" i="5" s="1"/>
  <c r="BC75" i="5"/>
  <c r="AN6" i="5"/>
  <c r="AJ6" i="5"/>
  <c r="AX20" i="5"/>
  <c r="W20" i="5"/>
  <c r="U20" i="5"/>
  <c r="V20" i="5" s="1"/>
  <c r="AX21" i="5"/>
  <c r="W21" i="5"/>
  <c r="U21" i="5"/>
  <c r="V21" i="5" s="1"/>
  <c r="AX32" i="5"/>
  <c r="W32" i="5"/>
  <c r="U32" i="5"/>
  <c r="V32" i="5" s="1"/>
  <c r="AR4" i="5"/>
  <c r="AV4" i="5"/>
  <c r="K4" i="5" s="1"/>
  <c r="L4" i="5" s="1"/>
  <c r="AK7" i="5"/>
  <c r="AI8" i="5"/>
  <c r="AJ9" i="5"/>
  <c r="AH10" i="5"/>
  <c r="AC11" i="5"/>
  <c r="AN11" i="5"/>
  <c r="AX13" i="5"/>
  <c r="W13" i="5"/>
  <c r="U13" i="5"/>
  <c r="V13" i="5" s="1"/>
  <c r="CH15" i="5"/>
  <c r="BZ15" i="5"/>
  <c r="CA15" i="5" s="1"/>
  <c r="BR15" i="5"/>
  <c r="BS15" i="5" s="1"/>
  <c r="BJ15" i="5"/>
  <c r="BK15" i="5" s="1"/>
  <c r="CG15" i="5"/>
  <c r="BY15" i="5"/>
  <c r="BQ15" i="5"/>
  <c r="BI15" i="5"/>
  <c r="CF15" i="5"/>
  <c r="BX15" i="5"/>
  <c r="BP15" i="5"/>
  <c r="BH15" i="5"/>
  <c r="AZ15" i="5"/>
  <c r="BA15" i="5" s="1"/>
  <c r="CD15" i="5"/>
  <c r="BV15" i="5"/>
  <c r="BN15" i="5"/>
  <c r="BF15" i="5"/>
  <c r="CC15" i="5"/>
  <c r="BU15" i="5"/>
  <c r="BM15" i="5"/>
  <c r="BE15" i="5"/>
  <c r="BC18" i="5"/>
  <c r="BB18" i="5"/>
  <c r="BC21" i="5"/>
  <c r="BC26" i="5"/>
  <c r="CD28" i="5"/>
  <c r="CE28" i="5" s="1"/>
  <c r="AM6" i="5"/>
  <c r="AN7" i="5"/>
  <c r="AX17" i="5"/>
  <c r="W17" i="5"/>
  <c r="U17" i="5"/>
  <c r="V17" i="5" s="1"/>
  <c r="BC46" i="5"/>
  <c r="BB46" i="5" s="1"/>
  <c r="Z46" i="5"/>
  <c r="AD46" i="5" s="1"/>
  <c r="AO7" i="5"/>
  <c r="AM8" i="5"/>
  <c r="AN9" i="5"/>
  <c r="BC24" i="5"/>
  <c r="BB24" i="5" s="1"/>
  <c r="U27" i="5"/>
  <c r="V27" i="5" s="1"/>
  <c r="AX27" i="5"/>
  <c r="W27" i="5"/>
  <c r="CA43" i="5"/>
  <c r="AX64" i="5"/>
  <c r="U64" i="5"/>
  <c r="V64" i="5" s="1"/>
  <c r="W64" i="5"/>
  <c r="AJ4" i="5"/>
  <c r="AN4" i="5"/>
  <c r="AL4" i="5"/>
  <c r="D11" i="6"/>
  <c r="D13" i="6"/>
  <c r="D12" i="6"/>
  <c r="AK6" i="5"/>
  <c r="AM4" i="5"/>
  <c r="AP5" i="5"/>
  <c r="AH5" i="5"/>
  <c r="AL5" i="5"/>
  <c r="AN5" i="5"/>
  <c r="AL6" i="5"/>
  <c r="AM7" i="5"/>
  <c r="AK8" i="5"/>
  <c r="AK9" i="5"/>
  <c r="AI10" i="5"/>
  <c r="AJ12" i="5"/>
  <c r="AO12" i="5"/>
  <c r="AG12" i="5"/>
  <c r="AN12" i="5"/>
  <c r="AM12" i="5"/>
  <c r="AH12" i="5"/>
  <c r="BD15" i="5"/>
  <c r="CH19" i="5"/>
  <c r="BZ19" i="5"/>
  <c r="CA19" i="5" s="1"/>
  <c r="BR19" i="5"/>
  <c r="BS19" i="5" s="1"/>
  <c r="BJ19" i="5"/>
  <c r="BK19" i="5" s="1"/>
  <c r="CG19" i="5"/>
  <c r="BY19" i="5"/>
  <c r="BQ19" i="5"/>
  <c r="BI19" i="5"/>
  <c r="CF19" i="5"/>
  <c r="BX19" i="5"/>
  <c r="BP19" i="5"/>
  <c r="BH19" i="5"/>
  <c r="AZ19" i="5"/>
  <c r="BA19" i="5" s="1"/>
  <c r="CD19" i="5"/>
  <c r="CE19" i="5" s="1"/>
  <c r="BV19" i="5"/>
  <c r="BN19" i="5"/>
  <c r="BF19" i="5"/>
  <c r="BG19" i="5" s="1"/>
  <c r="CC19" i="5"/>
  <c r="BU19" i="5"/>
  <c r="BM19" i="5"/>
  <c r="BE19" i="5"/>
  <c r="BC22" i="5"/>
  <c r="BB22" i="5" s="1"/>
  <c r="CH23" i="5"/>
  <c r="BZ23" i="5"/>
  <c r="CA23" i="5" s="1"/>
  <c r="BR23" i="5"/>
  <c r="BS23" i="5" s="1"/>
  <c r="BJ23" i="5"/>
  <c r="BK23" i="5" s="1"/>
  <c r="CG23" i="5"/>
  <c r="BY23" i="5"/>
  <c r="BQ23" i="5"/>
  <c r="BI23" i="5"/>
  <c r="CF23" i="5"/>
  <c r="BX23" i="5"/>
  <c r="BP23" i="5"/>
  <c r="BH23" i="5"/>
  <c r="AZ23" i="5"/>
  <c r="BA23" i="5" s="1"/>
  <c r="CD23" i="5"/>
  <c r="CE23" i="5" s="1"/>
  <c r="BV23" i="5"/>
  <c r="BN23" i="5"/>
  <c r="BF23" i="5"/>
  <c r="CC23" i="5"/>
  <c r="BU23" i="5"/>
  <c r="BM23" i="5"/>
  <c r="BE23" i="5"/>
  <c r="U25" i="5"/>
  <c r="V25" i="5" s="1"/>
  <c r="CA28" i="5"/>
  <c r="U28" i="5"/>
  <c r="V28" i="5" s="1"/>
  <c r="AX28" i="5"/>
  <c r="W28" i="5"/>
  <c r="CD35" i="5"/>
  <c r="BV35" i="5"/>
  <c r="BW35" i="5" s="1"/>
  <c r="BN35" i="5"/>
  <c r="BO35" i="5" s="1"/>
  <c r="BF35" i="5"/>
  <c r="BG35" i="5" s="1"/>
  <c r="CB35" i="5"/>
  <c r="BT35" i="5"/>
  <c r="BL35" i="5"/>
  <c r="BD35" i="5"/>
  <c r="CH35" i="5"/>
  <c r="BZ35" i="5"/>
  <c r="BR35" i="5"/>
  <c r="BS35" i="5" s="1"/>
  <c r="BJ35" i="5"/>
  <c r="BK35" i="5" s="1"/>
  <c r="CG35" i="5"/>
  <c r="BU35" i="5"/>
  <c r="BH35" i="5"/>
  <c r="BP35" i="5"/>
  <c r="CC35" i="5"/>
  <c r="AZ35" i="5"/>
  <c r="BA35" i="5" s="1"/>
  <c r="BM35" i="5"/>
  <c r="BY35" i="5"/>
  <c r="BX35" i="5"/>
  <c r="BI35" i="5"/>
  <c r="CD47" i="5"/>
  <c r="BV47" i="5"/>
  <c r="BW47" i="5" s="1"/>
  <c r="BN47" i="5"/>
  <c r="BO47" i="5" s="1"/>
  <c r="BF47" i="5"/>
  <c r="BG47" i="5" s="1"/>
  <c r="CB47" i="5"/>
  <c r="BT47" i="5"/>
  <c r="BL47" i="5"/>
  <c r="BD47" i="5"/>
  <c r="CH47" i="5"/>
  <c r="BZ47" i="5"/>
  <c r="BR47" i="5"/>
  <c r="BS47" i="5" s="1"/>
  <c r="BJ47" i="5"/>
  <c r="BK47" i="5" s="1"/>
  <c r="CG47" i="5"/>
  <c r="BU47" i="5"/>
  <c r="BH47" i="5"/>
  <c r="CF47" i="5"/>
  <c r="BQ47" i="5"/>
  <c r="BP47" i="5"/>
  <c r="AZ47" i="5"/>
  <c r="BA47" i="5" s="1"/>
  <c r="CC47" i="5"/>
  <c r="BM47" i="5"/>
  <c r="BY47" i="5"/>
  <c r="BI47" i="5"/>
  <c r="CF58" i="5"/>
  <c r="BX58" i="5"/>
  <c r="BP58" i="5"/>
  <c r="BH58" i="5"/>
  <c r="AZ58" i="5"/>
  <c r="BA58" i="5" s="1"/>
  <c r="CD58" i="5"/>
  <c r="BV58" i="5"/>
  <c r="BN58" i="5"/>
  <c r="BF58" i="5"/>
  <c r="CB58" i="5"/>
  <c r="BT58" i="5"/>
  <c r="BL58" i="5"/>
  <c r="BD58" i="5"/>
  <c r="CG58" i="5"/>
  <c r="BQ58" i="5"/>
  <c r="CC58" i="5"/>
  <c r="BM58" i="5"/>
  <c r="BY58" i="5"/>
  <c r="BI58" i="5"/>
  <c r="CH58" i="5"/>
  <c r="BZ58" i="5"/>
  <c r="BU58" i="5"/>
  <c r="BR58" i="5"/>
  <c r="BS58" i="5" s="1"/>
  <c r="BJ58" i="5"/>
  <c r="Z65" i="5"/>
  <c r="AD65" i="5" s="1"/>
  <c r="W23" i="5"/>
  <c r="BB26" i="5"/>
  <c r="AX39" i="5"/>
  <c r="BC39" i="5"/>
  <c r="BB39" i="5" s="1"/>
  <c r="BG43" i="5"/>
  <c r="BW43" i="5"/>
  <c r="Z44" i="5"/>
  <c r="AD44" i="5" s="1"/>
  <c r="BC44" i="5"/>
  <c r="AD47" i="5"/>
  <c r="BB48" i="5"/>
  <c r="BC49" i="5"/>
  <c r="Z49" i="5"/>
  <c r="AD49" i="5" s="1"/>
  <c r="AD66" i="5"/>
  <c r="AX93" i="5"/>
  <c r="W93" i="5"/>
  <c r="BC93" i="5"/>
  <c r="BB93" i="5" s="1"/>
  <c r="U93" i="5"/>
  <c r="V93" i="5" s="1"/>
  <c r="AX97" i="5"/>
  <c r="W97" i="5"/>
  <c r="BC97" i="5"/>
  <c r="BB97" i="5" s="1"/>
  <c r="U97" i="5"/>
  <c r="V97" i="5" s="1"/>
  <c r="CG122" i="5"/>
  <c r="BY122" i="5"/>
  <c r="BQ122" i="5"/>
  <c r="BI122" i="5"/>
  <c r="CF122" i="5"/>
  <c r="BX122" i="5"/>
  <c r="BP122" i="5"/>
  <c r="BH122" i="5"/>
  <c r="AZ122" i="5"/>
  <c r="BA122" i="5" s="1"/>
  <c r="CD122" i="5"/>
  <c r="BV122" i="5"/>
  <c r="BN122" i="5"/>
  <c r="BF122" i="5"/>
  <c r="CC122" i="5"/>
  <c r="BU122" i="5"/>
  <c r="BM122" i="5"/>
  <c r="BE122" i="5"/>
  <c r="BR122" i="5"/>
  <c r="BS122" i="5" s="1"/>
  <c r="BL122" i="5"/>
  <c r="CH122" i="5"/>
  <c r="CB122" i="5"/>
  <c r="BJ122" i="5"/>
  <c r="BD122" i="5"/>
  <c r="BZ122" i="5"/>
  <c r="CA122" i="5" s="1"/>
  <c r="BT122" i="5"/>
  <c r="AV12" i="5"/>
  <c r="K12" i="5" s="1"/>
  <c r="BB13" i="5"/>
  <c r="AX15" i="5"/>
  <c r="AX19" i="5"/>
  <c r="BB21" i="5"/>
  <c r="AX23" i="5"/>
  <c r="BC30" i="5"/>
  <c r="BB30" i="5" s="1"/>
  <c r="BC33" i="5"/>
  <c r="BB33" i="5" s="1"/>
  <c r="U39" i="5"/>
  <c r="V39" i="5" s="1"/>
  <c r="AX46" i="5"/>
  <c r="U46" i="5"/>
  <c r="V46" i="5" s="1"/>
  <c r="CA47" i="5"/>
  <c r="AD48" i="5"/>
  <c r="AX50" i="5"/>
  <c r="BC50" i="5"/>
  <c r="BB50" i="5" s="1"/>
  <c r="CF54" i="5"/>
  <c r="BX54" i="5"/>
  <c r="BP54" i="5"/>
  <c r="BH54" i="5"/>
  <c r="AZ54" i="5"/>
  <c r="BA54" i="5" s="1"/>
  <c r="CD54" i="5"/>
  <c r="BV54" i="5"/>
  <c r="BW54" i="5" s="1"/>
  <c r="BN54" i="5"/>
  <c r="BF54" i="5"/>
  <c r="CB54" i="5"/>
  <c r="BT54" i="5"/>
  <c r="BL54" i="5"/>
  <c r="BD54" i="5"/>
  <c r="BZ54" i="5"/>
  <c r="CA54" i="5" s="1"/>
  <c r="BJ54" i="5"/>
  <c r="BK54" i="5" s="1"/>
  <c r="BY54" i="5"/>
  <c r="BI54" i="5"/>
  <c r="CG54" i="5"/>
  <c r="AD59" i="5"/>
  <c r="AX61" i="5"/>
  <c r="BC61" i="5"/>
  <c r="BB61" i="5" s="1"/>
  <c r="W61" i="5"/>
  <c r="CE62" i="5"/>
  <c r="AX62" i="5"/>
  <c r="W62" i="5"/>
  <c r="CA62" i="5"/>
  <c r="BC67" i="5"/>
  <c r="AX67" i="5"/>
  <c r="W67" i="5"/>
  <c r="U67" i="5"/>
  <c r="V67" i="5" s="1"/>
  <c r="U78" i="5"/>
  <c r="V78" i="5" s="1"/>
  <c r="W78" i="5"/>
  <c r="AX78" i="5"/>
  <c r="BO98" i="5"/>
  <c r="CB98" i="5"/>
  <c r="BT98" i="5"/>
  <c r="BL98" i="5"/>
  <c r="BD98" i="5"/>
  <c r="CF98" i="5"/>
  <c r="BX98" i="5"/>
  <c r="BP98" i="5"/>
  <c r="BH98" i="5"/>
  <c r="AZ98" i="5"/>
  <c r="BA98" i="5" s="1"/>
  <c r="CH98" i="5"/>
  <c r="BM98" i="5"/>
  <c r="CG98" i="5"/>
  <c r="BV98" i="5"/>
  <c r="BU98" i="5"/>
  <c r="BJ98" i="5"/>
  <c r="BK98" i="5" s="1"/>
  <c r="CD98" i="5"/>
  <c r="CE98" i="5" s="1"/>
  <c r="BI98" i="5"/>
  <c r="CC98" i="5"/>
  <c r="BR98" i="5"/>
  <c r="BZ98" i="5"/>
  <c r="CA98" i="5" s="1"/>
  <c r="BY98" i="5"/>
  <c r="BQ98" i="5"/>
  <c r="BN98" i="5"/>
  <c r="BF98" i="5"/>
  <c r="BE98" i="5"/>
  <c r="BG15" i="5"/>
  <c r="BO15" i="5"/>
  <c r="BW15" i="5"/>
  <c r="BO19" i="5"/>
  <c r="BW19" i="5"/>
  <c r="BG23" i="5"/>
  <c r="BO23" i="5"/>
  <c r="BW23" i="5"/>
  <c r="BC27" i="5"/>
  <c r="BB27" i="5" s="1"/>
  <c r="AX29" i="5"/>
  <c r="W29" i="5"/>
  <c r="AX31" i="5"/>
  <c r="Z36" i="5"/>
  <c r="AD36" i="5" s="1"/>
  <c r="W39" i="5"/>
  <c r="BB44" i="5"/>
  <c r="W46" i="5"/>
  <c r="U50" i="5"/>
  <c r="V50" i="5" s="1"/>
  <c r="AX52" i="5"/>
  <c r="W52" i="5"/>
  <c r="CH54" i="5"/>
  <c r="AX55" i="5"/>
  <c r="W55" i="5"/>
  <c r="BC55" i="5"/>
  <c r="BB55" i="5" s="1"/>
  <c r="U55" i="5"/>
  <c r="V55" i="5" s="1"/>
  <c r="BC60" i="5"/>
  <c r="BB60" i="5" s="1"/>
  <c r="U61" i="5"/>
  <c r="V61" i="5" s="1"/>
  <c r="U62" i="5"/>
  <c r="V62" i="5" s="1"/>
  <c r="AC70" i="5"/>
  <c r="AX73" i="5"/>
  <c r="W73" i="5"/>
  <c r="U73" i="5"/>
  <c r="V73" i="5" s="1"/>
  <c r="CA80" i="5"/>
  <c r="CG80" i="5"/>
  <c r="CF80" i="5"/>
  <c r="BX80" i="5"/>
  <c r="BP80" i="5"/>
  <c r="BH80" i="5"/>
  <c r="AZ80" i="5"/>
  <c r="BA80" i="5" s="1"/>
  <c r="CD80" i="5"/>
  <c r="BV80" i="5"/>
  <c r="BN80" i="5"/>
  <c r="BF80" i="5"/>
  <c r="BG80" i="5" s="1"/>
  <c r="BZ80" i="5"/>
  <c r="BL80" i="5"/>
  <c r="BY80" i="5"/>
  <c r="BU80" i="5"/>
  <c r="BJ80" i="5"/>
  <c r="BT80" i="5"/>
  <c r="BI80" i="5"/>
  <c r="CH80" i="5"/>
  <c r="BE80" i="5"/>
  <c r="CC80" i="5"/>
  <c r="CB80" i="5"/>
  <c r="BR80" i="5"/>
  <c r="BM80" i="5"/>
  <c r="BD80" i="5"/>
  <c r="AX89" i="5"/>
  <c r="W89" i="5"/>
  <c r="BC89" i="5"/>
  <c r="BB89" i="5" s="1"/>
  <c r="U89" i="5"/>
  <c r="V89" i="5" s="1"/>
  <c r="W90" i="5"/>
  <c r="U90" i="5"/>
  <c r="V90" i="5" s="1"/>
  <c r="AX90" i="5"/>
  <c r="BB36" i="5"/>
  <c r="BC36" i="5"/>
  <c r="AX43" i="5"/>
  <c r="W43" i="5"/>
  <c r="BO43" i="5"/>
  <c r="CE43" i="5"/>
  <c r="CE47" i="5"/>
  <c r="Z60" i="5"/>
  <c r="AD60" i="5" s="1"/>
  <c r="CF62" i="5"/>
  <c r="BX62" i="5"/>
  <c r="BP62" i="5"/>
  <c r="BH62" i="5"/>
  <c r="AZ62" i="5"/>
  <c r="BA62" i="5" s="1"/>
  <c r="CD62" i="5"/>
  <c r="BV62" i="5"/>
  <c r="BW62" i="5" s="1"/>
  <c r="BN62" i="5"/>
  <c r="BO62" i="5" s="1"/>
  <c r="BF62" i="5"/>
  <c r="BG62" i="5" s="1"/>
  <c r="CC62" i="5"/>
  <c r="BU62" i="5"/>
  <c r="BM62" i="5"/>
  <c r="BE62" i="5"/>
  <c r="CB62" i="5"/>
  <c r="BT62" i="5"/>
  <c r="BL62" i="5"/>
  <c r="BD62" i="5"/>
  <c r="CH62" i="5"/>
  <c r="CG62" i="5"/>
  <c r="BJ62" i="5"/>
  <c r="BK62" i="5" s="1"/>
  <c r="BI62" i="5"/>
  <c r="BY62" i="5"/>
  <c r="BC64" i="5"/>
  <c r="BB64" i="5"/>
  <c r="AX69" i="5"/>
  <c r="BC69" i="5"/>
  <c r="BB69" i="5" s="1"/>
  <c r="BQ80" i="5"/>
  <c r="BS81" i="5"/>
  <c r="CD81" i="5"/>
  <c r="BV81" i="5"/>
  <c r="BN81" i="5"/>
  <c r="BO81" i="5" s="1"/>
  <c r="BF81" i="5"/>
  <c r="CC81" i="5"/>
  <c r="BU81" i="5"/>
  <c r="BM81" i="5"/>
  <c r="BE81" i="5"/>
  <c r="CB81" i="5"/>
  <c r="BT81" i="5"/>
  <c r="BL81" i="5"/>
  <c r="BD81" i="5"/>
  <c r="CF81" i="5"/>
  <c r="BP81" i="5"/>
  <c r="AZ81" i="5"/>
  <c r="BA81" i="5" s="1"/>
  <c r="BZ81" i="5"/>
  <c r="CA81" i="5" s="1"/>
  <c r="BJ81" i="5"/>
  <c r="BY81" i="5"/>
  <c r="BI81" i="5"/>
  <c r="BX81" i="5"/>
  <c r="BH81" i="5"/>
  <c r="CH81" i="5"/>
  <c r="CG81" i="5"/>
  <c r="BQ81" i="5"/>
  <c r="Z102" i="5"/>
  <c r="U14" i="5"/>
  <c r="V14" i="5" s="1"/>
  <c r="U18" i="5"/>
  <c r="V18" i="5" s="1"/>
  <c r="U22" i="5"/>
  <c r="V22" i="5" s="1"/>
  <c r="AD27" i="5"/>
  <c r="W31" i="5"/>
  <c r="BO31" i="5"/>
  <c r="BB32" i="5"/>
  <c r="BC32" i="5"/>
  <c r="AX41" i="5"/>
  <c r="BC41" i="5"/>
  <c r="U43" i="5"/>
  <c r="V43" i="5" s="1"/>
  <c r="BB45" i="5"/>
  <c r="V48" i="5"/>
  <c r="AX48" i="5"/>
  <c r="AC52" i="5"/>
  <c r="Z52" i="5"/>
  <c r="AD52" i="5" s="1"/>
  <c r="AX53" i="5"/>
  <c r="BC53" i="5"/>
  <c r="BM54" i="5"/>
  <c r="BQ62" i="5"/>
  <c r="U69" i="5"/>
  <c r="V69" i="5" s="1"/>
  <c r="BC73" i="5"/>
  <c r="BB73" i="5" s="1"/>
  <c r="AX85" i="5"/>
  <c r="W85" i="5"/>
  <c r="BC85" i="5"/>
  <c r="BB85" i="5" s="1"/>
  <c r="U85" i="5"/>
  <c r="V85" i="5" s="1"/>
  <c r="AX33" i="5"/>
  <c r="W33" i="5"/>
  <c r="AX38" i="5"/>
  <c r="BC38" i="5"/>
  <c r="BB38" i="5" s="1"/>
  <c r="AX44" i="5"/>
  <c r="W44" i="5"/>
  <c r="CE58" i="5"/>
  <c r="BW58" i="5"/>
  <c r="BO58" i="5"/>
  <c r="BG58" i="5"/>
  <c r="AX58" i="5"/>
  <c r="W58" i="5"/>
  <c r="CA58" i="5"/>
  <c r="BK58" i="5"/>
  <c r="U58" i="5"/>
  <c r="V58" i="5" s="1"/>
  <c r="AX59" i="5"/>
  <c r="W59" i="5"/>
  <c r="BW59" i="5"/>
  <c r="BG59" i="5"/>
  <c r="BC100" i="5"/>
  <c r="BB100" i="5" s="1"/>
  <c r="AX100" i="5"/>
  <c r="W100" i="5"/>
  <c r="U100" i="5"/>
  <c r="V100" i="5" s="1"/>
  <c r="BC83" i="5"/>
  <c r="BB83" i="5"/>
  <c r="W83" i="5"/>
  <c r="AX88" i="5"/>
  <c r="W88" i="5"/>
  <c r="BC88" i="5"/>
  <c r="BB88" i="5" s="1"/>
  <c r="AD102" i="5"/>
  <c r="BC112" i="5"/>
  <c r="BB112" i="5" s="1"/>
  <c r="BC135" i="5"/>
  <c r="BB135" i="5" s="1"/>
  <c r="AX171" i="5"/>
  <c r="W171" i="5"/>
  <c r="U171" i="5"/>
  <c r="V171" i="5" s="1"/>
  <c r="BC171" i="5"/>
  <c r="BB171" i="5" s="1"/>
  <c r="BB49" i="5"/>
  <c r="BC57" i="5"/>
  <c r="BB57" i="5" s="1"/>
  <c r="U60" i="5"/>
  <c r="V60" i="5" s="1"/>
  <c r="AX60" i="5"/>
  <c r="AD63" i="5"/>
  <c r="AX71" i="5"/>
  <c r="W71" i="5"/>
  <c r="U71" i="5"/>
  <c r="V71" i="5" s="1"/>
  <c r="BC71" i="5"/>
  <c r="BB75" i="5"/>
  <c r="AD80" i="5"/>
  <c r="AD81" i="5"/>
  <c r="AX83" i="5"/>
  <c r="U88" i="5"/>
  <c r="V88" i="5" s="1"/>
  <c r="AD96" i="5"/>
  <c r="BC102" i="5"/>
  <c r="BB102" i="5"/>
  <c r="AX111" i="5"/>
  <c r="U111" i="5"/>
  <c r="V111" i="5" s="1"/>
  <c r="BC111" i="5"/>
  <c r="BB111" i="5" s="1"/>
  <c r="Z112" i="5"/>
  <c r="AD112" i="5" s="1"/>
  <c r="AX35" i="5"/>
  <c r="AX37" i="5"/>
  <c r="BC40" i="5"/>
  <c r="BB40" i="5" s="1"/>
  <c r="BB41" i="5"/>
  <c r="U56" i="5"/>
  <c r="V56" i="5" s="1"/>
  <c r="AX56" i="5"/>
  <c r="BB66" i="5"/>
  <c r="W66" i="5"/>
  <c r="AD69" i="5"/>
  <c r="AX76" i="5"/>
  <c r="U76" i="5"/>
  <c r="V76" i="5" s="1"/>
  <c r="BC76" i="5"/>
  <c r="BB76" i="5" s="1"/>
  <c r="BB91" i="5"/>
  <c r="BC91" i="5"/>
  <c r="BC95" i="5"/>
  <c r="AX95" i="5"/>
  <c r="W95" i="5"/>
  <c r="V36" i="5"/>
  <c r="AX47" i="5"/>
  <c r="AX49" i="5"/>
  <c r="BB52" i="5"/>
  <c r="BC52" i="5"/>
  <c r="BB53" i="5"/>
  <c r="CE54" i="5"/>
  <c r="BO54" i="5"/>
  <c r="BG54" i="5"/>
  <c r="AX54" i="5"/>
  <c r="W56" i="5"/>
  <c r="AX65" i="5"/>
  <c r="W65" i="5"/>
  <c r="U65" i="5"/>
  <c r="V65" i="5" s="1"/>
  <c r="BC65" i="5"/>
  <c r="BB65" i="5" s="1"/>
  <c r="AX66" i="5"/>
  <c r="BB70" i="5"/>
  <c r="BC70" i="5"/>
  <c r="CG84" i="5"/>
  <c r="BY84" i="5"/>
  <c r="BQ84" i="5"/>
  <c r="BI84" i="5"/>
  <c r="CF84" i="5"/>
  <c r="BX84" i="5"/>
  <c r="BP84" i="5"/>
  <c r="BH84" i="5"/>
  <c r="AZ84" i="5"/>
  <c r="BA84" i="5" s="1"/>
  <c r="CD84" i="5"/>
  <c r="CE84" i="5" s="1"/>
  <c r="BV84" i="5"/>
  <c r="BN84" i="5"/>
  <c r="BF84" i="5"/>
  <c r="BG84" i="5" s="1"/>
  <c r="BZ84" i="5"/>
  <c r="CA84" i="5" s="1"/>
  <c r="BJ84" i="5"/>
  <c r="BK84" i="5" s="1"/>
  <c r="BU84" i="5"/>
  <c r="BE84" i="5"/>
  <c r="BT84" i="5"/>
  <c r="BD84" i="5"/>
  <c r="CH84" i="5"/>
  <c r="BR84" i="5"/>
  <c r="BS84" i="5" s="1"/>
  <c r="BC86" i="5"/>
  <c r="BB86" i="5" s="1"/>
  <c r="U87" i="5"/>
  <c r="V87" i="5" s="1"/>
  <c r="W87" i="5"/>
  <c r="Z92" i="5"/>
  <c r="AD92" i="5" s="1"/>
  <c r="U95" i="5"/>
  <c r="V95" i="5" s="1"/>
  <c r="BB103" i="5"/>
  <c r="AX63" i="5"/>
  <c r="W63" i="5"/>
  <c r="BC63" i="5"/>
  <c r="BB63" i="5" s="1"/>
  <c r="U63" i="5"/>
  <c r="V63" i="5" s="1"/>
  <c r="AX77" i="5"/>
  <c r="W77" i="5"/>
  <c r="BC77" i="5"/>
  <c r="BB77" i="5" s="1"/>
  <c r="W82" i="5"/>
  <c r="U82" i="5"/>
  <c r="V82" i="5" s="1"/>
  <c r="AD85" i="5"/>
  <c r="CD107" i="5"/>
  <c r="BV107" i="5"/>
  <c r="BW107" i="5" s="1"/>
  <c r="BN107" i="5"/>
  <c r="BO107" i="5" s="1"/>
  <c r="BF107" i="5"/>
  <c r="CB107" i="5"/>
  <c r="BT107" i="5"/>
  <c r="BL107" i="5"/>
  <c r="BI107" i="5"/>
  <c r="AZ107" i="5"/>
  <c r="BA107" i="5" s="1"/>
  <c r="CC107" i="5"/>
  <c r="BR107" i="5"/>
  <c r="BH107" i="5"/>
  <c r="BZ107" i="5"/>
  <c r="BP107" i="5"/>
  <c r="BE107" i="5"/>
  <c r="BY107" i="5"/>
  <c r="BD107" i="5"/>
  <c r="BQ107" i="5"/>
  <c r="CH107" i="5"/>
  <c r="BM107" i="5"/>
  <c r="CG107" i="5"/>
  <c r="CF107" i="5"/>
  <c r="BJ107" i="5"/>
  <c r="BX107" i="5"/>
  <c r="AX138" i="5"/>
  <c r="AX79" i="5"/>
  <c r="W79" i="5"/>
  <c r="CE80" i="5"/>
  <c r="BW80" i="5"/>
  <c r="BO80" i="5"/>
  <c r="AX80" i="5"/>
  <c r="BK80" i="5"/>
  <c r="W80" i="5"/>
  <c r="U80" i="5"/>
  <c r="V80" i="5" s="1"/>
  <c r="BS80" i="5"/>
  <c r="CE81" i="5"/>
  <c r="BW81" i="5"/>
  <c r="BG81" i="5"/>
  <c r="AX81" i="5"/>
  <c r="W81" i="5"/>
  <c r="BK81" i="5"/>
  <c r="U81" i="5"/>
  <c r="V81" i="5" s="1"/>
  <c r="BU107" i="5"/>
  <c r="BC113" i="5"/>
  <c r="BB113" i="5" s="1"/>
  <c r="AX119" i="5"/>
  <c r="W119" i="5"/>
  <c r="BC119" i="5"/>
  <c r="BB119" i="5" s="1"/>
  <c r="U119" i="5"/>
  <c r="V119" i="5" s="1"/>
  <c r="U83" i="5"/>
  <c r="V83" i="5" s="1"/>
  <c r="AC90" i="5"/>
  <c r="AC91" i="5"/>
  <c r="AX92" i="5"/>
  <c r="W92" i="5"/>
  <c r="U92" i="5"/>
  <c r="V92" i="5" s="1"/>
  <c r="BC92" i="5"/>
  <c r="BB92" i="5" s="1"/>
  <c r="BC94" i="5"/>
  <c r="BB94" i="5" s="1"/>
  <c r="BC96" i="5"/>
  <c r="BB96" i="5" s="1"/>
  <c r="BC104" i="5"/>
  <c r="BB104" i="5"/>
  <c r="BB106" i="5"/>
  <c r="W106" i="5"/>
  <c r="AD106" i="5"/>
  <c r="AX115" i="5"/>
  <c r="W115" i="5"/>
  <c r="BC115" i="5"/>
  <c r="BB115" i="5" s="1"/>
  <c r="U115" i="5"/>
  <c r="V115" i="5" s="1"/>
  <c r="V66" i="5"/>
  <c r="BB74" i="5"/>
  <c r="AC74" i="5"/>
  <c r="AC82" i="5"/>
  <c r="AD90" i="5"/>
  <c r="AX101" i="5"/>
  <c r="W101" i="5"/>
  <c r="BC101" i="5"/>
  <c r="BB101" i="5" s="1"/>
  <c r="U101" i="5"/>
  <c r="V101" i="5" s="1"/>
  <c r="AX106" i="5"/>
  <c r="BB67" i="5"/>
  <c r="BC74" i="5"/>
  <c r="U75" i="5"/>
  <c r="V75" i="5" s="1"/>
  <c r="AD82" i="5"/>
  <c r="W86" i="5"/>
  <c r="U86" i="5"/>
  <c r="V86" i="5" s="1"/>
  <c r="BC90" i="5"/>
  <c r="BB90" i="5" s="1"/>
  <c r="BC105" i="5"/>
  <c r="Z114" i="5"/>
  <c r="AD114" i="5" s="1"/>
  <c r="BC114" i="5"/>
  <c r="BB114" i="5" s="1"/>
  <c r="AC67" i="5"/>
  <c r="U70" i="5"/>
  <c r="V70" i="5" s="1"/>
  <c r="AC78" i="5"/>
  <c r="BC79" i="5"/>
  <c r="BB79" i="5" s="1"/>
  <c r="BC82" i="5"/>
  <c r="BB82" i="5" s="1"/>
  <c r="AC87" i="5"/>
  <c r="W94" i="5"/>
  <c r="U94" i="5"/>
  <c r="V94" i="5" s="1"/>
  <c r="W96" i="5"/>
  <c r="U96" i="5"/>
  <c r="V96" i="5" s="1"/>
  <c r="BW98" i="5"/>
  <c r="BS98" i="5"/>
  <c r="AX98" i="5"/>
  <c r="BG98" i="5"/>
  <c r="W98" i="5"/>
  <c r="U105" i="5"/>
  <c r="V105" i="5" s="1"/>
  <c r="AX105" i="5"/>
  <c r="BK107" i="5"/>
  <c r="BC132" i="5"/>
  <c r="BB132" i="5" s="1"/>
  <c r="Z132" i="5"/>
  <c r="AD132" i="5" s="1"/>
  <c r="W70" i="5"/>
  <c r="AX70" i="5"/>
  <c r="BB71" i="5"/>
  <c r="W75" i="5"/>
  <c r="AX75" i="5"/>
  <c r="BC78" i="5"/>
  <c r="BB78" i="5"/>
  <c r="AD78" i="5"/>
  <c r="AC79" i="5"/>
  <c r="BW84" i="5"/>
  <c r="BO84" i="5"/>
  <c r="AX84" i="5"/>
  <c r="BC87" i="5"/>
  <c r="BB87" i="5"/>
  <c r="U98" i="5"/>
  <c r="V98" i="5" s="1"/>
  <c r="W105" i="5"/>
  <c r="BC106" i="5"/>
  <c r="AX118" i="5"/>
  <c r="W118" i="5"/>
  <c r="BC118" i="5"/>
  <c r="BB118" i="5" s="1"/>
  <c r="U104" i="5"/>
  <c r="V104" i="5" s="1"/>
  <c r="BG107" i="5"/>
  <c r="CA107" i="5"/>
  <c r="BC99" i="5"/>
  <c r="BB99" i="5" s="1"/>
  <c r="U102" i="5"/>
  <c r="V102" i="5" s="1"/>
  <c r="AX103" i="5"/>
  <c r="W104" i="5"/>
  <c r="AX104" i="5"/>
  <c r="BC109" i="5"/>
  <c r="AD110" i="5"/>
  <c r="BC116" i="5"/>
  <c r="BB116" i="5" s="1"/>
  <c r="AX123" i="5"/>
  <c r="W123" i="5"/>
  <c r="BC123" i="5"/>
  <c r="BB123" i="5" s="1"/>
  <c r="U123" i="5"/>
  <c r="V123" i="5" s="1"/>
  <c r="BC125" i="5"/>
  <c r="BB125" i="5"/>
  <c r="AX146" i="5"/>
  <c r="W146" i="5"/>
  <c r="U146" i="5"/>
  <c r="V146" i="5" s="1"/>
  <c r="AX153" i="5"/>
  <c r="W153" i="5"/>
  <c r="U153" i="5"/>
  <c r="V153" i="5" s="1"/>
  <c r="BC153" i="5"/>
  <c r="BB153" i="5" s="1"/>
  <c r="BB95" i="5"/>
  <c r="W102" i="5"/>
  <c r="AX102" i="5"/>
  <c r="U103" i="5"/>
  <c r="V103" i="5" s="1"/>
  <c r="U106" i="5"/>
  <c r="V106" i="5" s="1"/>
  <c r="AD115" i="5"/>
  <c r="AX116" i="5"/>
  <c r="U117" i="5"/>
  <c r="V117" i="5" s="1"/>
  <c r="W117" i="5"/>
  <c r="AC124" i="5"/>
  <c r="AX129" i="5"/>
  <c r="W129" i="5"/>
  <c r="U129" i="5"/>
  <c r="V129" i="5" s="1"/>
  <c r="BC129" i="5"/>
  <c r="BB129" i="5" s="1"/>
  <c r="BC151" i="5"/>
  <c r="BB151" i="5" s="1"/>
  <c r="AC95" i="5"/>
  <c r="AX108" i="5"/>
  <c r="W108" i="5"/>
  <c r="U108" i="5"/>
  <c r="V108" i="5" s="1"/>
  <c r="BC108" i="5"/>
  <c r="AD111" i="5"/>
  <c r="AC113" i="5"/>
  <c r="AX107" i="5"/>
  <c r="CE107" i="5"/>
  <c r="BS107" i="5"/>
  <c r="U107" i="5"/>
  <c r="V107" i="5" s="1"/>
  <c r="Z109" i="5"/>
  <c r="AD109" i="5"/>
  <c r="AX110" i="5"/>
  <c r="U110" i="5"/>
  <c r="V110" i="5" s="1"/>
  <c r="BC110" i="5"/>
  <c r="BB110" i="5" s="1"/>
  <c r="BK122" i="5"/>
  <c r="AX114" i="5"/>
  <c r="W114" i="5"/>
  <c r="AC121" i="5"/>
  <c r="BC124" i="5"/>
  <c r="BB124" i="5"/>
  <c r="AX126" i="5"/>
  <c r="W126" i="5"/>
  <c r="BB131" i="5"/>
  <c r="BC131" i="5"/>
  <c r="AD131" i="5"/>
  <c r="AD134" i="5"/>
  <c r="W138" i="5"/>
  <c r="U138" i="5"/>
  <c r="V138" i="5" s="1"/>
  <c r="AC143" i="5"/>
  <c r="Z143" i="5"/>
  <c r="AD143" i="5" s="1"/>
  <c r="BB109" i="5"/>
  <c r="W116" i="5"/>
  <c r="BC121" i="5"/>
  <c r="BB121" i="5" s="1"/>
  <c r="AD121" i="5"/>
  <c r="U125" i="5"/>
  <c r="V125" i="5" s="1"/>
  <c r="AX125" i="5"/>
  <c r="U130" i="5"/>
  <c r="V130" i="5" s="1"/>
  <c r="AX130" i="5"/>
  <c r="AX136" i="5"/>
  <c r="BC136" i="5"/>
  <c r="BB136" i="5" s="1"/>
  <c r="W136" i="5"/>
  <c r="AX137" i="5"/>
  <c r="W137" i="5"/>
  <c r="U137" i="5"/>
  <c r="V137" i="5" s="1"/>
  <c r="BC137" i="5"/>
  <c r="BB137" i="5" s="1"/>
  <c r="AX142" i="5"/>
  <c r="W142" i="5"/>
  <c r="U142" i="5"/>
  <c r="V142" i="5" s="1"/>
  <c r="AX148" i="5"/>
  <c r="W148" i="5"/>
  <c r="U148" i="5"/>
  <c r="V148" i="5" s="1"/>
  <c r="BC148" i="5"/>
  <c r="BB148" i="5" s="1"/>
  <c r="BC152" i="5"/>
  <c r="BB152" i="5"/>
  <c r="U112" i="5"/>
  <c r="V112" i="5" s="1"/>
  <c r="U113" i="5"/>
  <c r="V113" i="5" s="1"/>
  <c r="V116" i="5"/>
  <c r="AX128" i="5"/>
  <c r="W128" i="5"/>
  <c r="U128" i="5"/>
  <c r="V128" i="5" s="1"/>
  <c r="AX144" i="5"/>
  <c r="W144" i="5"/>
  <c r="U144" i="5"/>
  <c r="V144" i="5" s="1"/>
  <c r="BC144" i="5"/>
  <c r="BB144" i="5" s="1"/>
  <c r="BB105" i="5"/>
  <c r="W112" i="5"/>
  <c r="AX112" i="5"/>
  <c r="AX113" i="5"/>
  <c r="AC117" i="5"/>
  <c r="BC120" i="5"/>
  <c r="BB120" i="5"/>
  <c r="CE122" i="5"/>
  <c r="BW122" i="5"/>
  <c r="BO122" i="5"/>
  <c r="BG122" i="5"/>
  <c r="AX122" i="5"/>
  <c r="W122" i="5"/>
  <c r="W125" i="5"/>
  <c r="BB127" i="5"/>
  <c r="W127" i="5"/>
  <c r="AD127" i="5"/>
  <c r="BC128" i="5"/>
  <c r="BB128" i="5" s="1"/>
  <c r="AC105" i="5"/>
  <c r="BB108" i="5"/>
  <c r="AC108" i="5"/>
  <c r="W113" i="5"/>
  <c r="BC117" i="5"/>
  <c r="BB117" i="5"/>
  <c r="AD117" i="5"/>
  <c r="U121" i="5"/>
  <c r="V121" i="5" s="1"/>
  <c r="AX121" i="5"/>
  <c r="U122" i="5"/>
  <c r="V122" i="5" s="1"/>
  <c r="W124" i="5"/>
  <c r="BC126" i="5"/>
  <c r="BB126" i="5" s="1"/>
  <c r="AX127" i="5"/>
  <c r="W131" i="5"/>
  <c r="W134" i="5"/>
  <c r="Z135" i="5"/>
  <c r="AD135" i="5" s="1"/>
  <c r="AD137" i="5"/>
  <c r="AX141" i="5"/>
  <c r="W141" i="5"/>
  <c r="BC141" i="5"/>
  <c r="BB141" i="5" s="1"/>
  <c r="U141" i="5"/>
  <c r="V141" i="5" s="1"/>
  <c r="BA133" i="5"/>
  <c r="BM133" i="5"/>
  <c r="BC173" i="5"/>
  <c r="W173" i="5"/>
  <c r="AX132" i="5"/>
  <c r="CD133" i="5"/>
  <c r="CE133" i="5" s="1"/>
  <c r="BV133" i="5"/>
  <c r="BN133" i="5"/>
  <c r="BO133" i="5" s="1"/>
  <c r="BF133" i="5"/>
  <c r="BG133" i="5" s="1"/>
  <c r="CB133" i="5"/>
  <c r="BT133" i="5"/>
  <c r="BL133" i="5"/>
  <c r="BD133" i="5"/>
  <c r="BP133" i="5"/>
  <c r="AC134" i="5"/>
  <c r="U135" i="5"/>
  <c r="V135" i="5" s="1"/>
  <c r="BC143" i="5"/>
  <c r="BB143" i="5" s="1"/>
  <c r="W159" i="5"/>
  <c r="U159" i="5"/>
  <c r="V159" i="5" s="1"/>
  <c r="U173" i="5"/>
  <c r="V173" i="5" s="1"/>
  <c r="U120" i="5"/>
  <c r="V120" i="5" s="1"/>
  <c r="U124" i="5"/>
  <c r="V124" i="5" s="1"/>
  <c r="U132" i="5"/>
  <c r="V132" i="5" s="1"/>
  <c r="BQ133" i="5"/>
  <c r="CC133" i="5"/>
  <c r="BC134" i="5"/>
  <c r="BB134" i="5" s="1"/>
  <c r="AX135" i="5"/>
  <c r="Z139" i="5"/>
  <c r="AD139" i="5" s="1"/>
  <c r="CH140" i="5"/>
  <c r="BZ140" i="5"/>
  <c r="CA140" i="5" s="1"/>
  <c r="BR140" i="5"/>
  <c r="BS140" i="5" s="1"/>
  <c r="BJ140" i="5"/>
  <c r="BK140" i="5" s="1"/>
  <c r="CG140" i="5"/>
  <c r="BY140" i="5"/>
  <c r="BQ140" i="5"/>
  <c r="BI140" i="5"/>
  <c r="BA140" i="5"/>
  <c r="CF140" i="5"/>
  <c r="BX140" i="5"/>
  <c r="BP140" i="5"/>
  <c r="BH140" i="5"/>
  <c r="AZ140" i="5"/>
  <c r="CD140" i="5"/>
  <c r="CE140" i="5" s="1"/>
  <c r="BV140" i="5"/>
  <c r="BN140" i="5"/>
  <c r="BF140" i="5"/>
  <c r="BG140" i="5" s="1"/>
  <c r="BU140" i="5"/>
  <c r="AD142" i="5"/>
  <c r="V152" i="5"/>
  <c r="BC130" i="5"/>
  <c r="BB130" i="5" s="1"/>
  <c r="U131" i="5"/>
  <c r="V131" i="5" s="1"/>
  <c r="BE133" i="5"/>
  <c r="BR133" i="5"/>
  <c r="CF133" i="5"/>
  <c r="W135" i="5"/>
  <c r="AD138" i="5"/>
  <c r="BC139" i="5"/>
  <c r="BB139" i="5"/>
  <c r="BD140" i="5"/>
  <c r="BC142" i="5"/>
  <c r="BC146" i="5"/>
  <c r="BB146" i="5" s="1"/>
  <c r="W132" i="5"/>
  <c r="BW133" i="5"/>
  <c r="AX133" i="5"/>
  <c r="BH133" i="5"/>
  <c r="BS133" i="5"/>
  <c r="CG133" i="5"/>
  <c r="BC138" i="5"/>
  <c r="BB138" i="5"/>
  <c r="BE140" i="5"/>
  <c r="CB140" i="5"/>
  <c r="AX149" i="5"/>
  <c r="W149" i="5"/>
  <c r="U149" i="5"/>
  <c r="V149" i="5" s="1"/>
  <c r="BC149" i="5"/>
  <c r="BB149" i="5" s="1"/>
  <c r="AC165" i="5"/>
  <c r="Z165" i="5"/>
  <c r="AD165" i="5" s="1"/>
  <c r="AX186" i="5"/>
  <c r="W186" i="5"/>
  <c r="BC186" i="5"/>
  <c r="BB186" i="5" s="1"/>
  <c r="U186" i="5"/>
  <c r="V186" i="5" s="1"/>
  <c r="AX155" i="5"/>
  <c r="W155" i="5"/>
  <c r="U155" i="5"/>
  <c r="V155" i="5" s="1"/>
  <c r="AX162" i="5"/>
  <c r="BC162" i="5"/>
  <c r="BB162" i="5" s="1"/>
  <c r="W162" i="5"/>
  <c r="BC164" i="5"/>
  <c r="BB164" i="5"/>
  <c r="BB165" i="5"/>
  <c r="AX180" i="5"/>
  <c r="W180" i="5"/>
  <c r="BC180" i="5"/>
  <c r="BB180" i="5" s="1"/>
  <c r="U180" i="5"/>
  <c r="V180" i="5" s="1"/>
  <c r="AX140" i="5"/>
  <c r="BB142" i="5"/>
  <c r="U150" i="5"/>
  <c r="V150" i="5" s="1"/>
  <c r="AD157" i="5"/>
  <c r="AX158" i="5"/>
  <c r="W158" i="5"/>
  <c r="U162" i="5"/>
  <c r="V162" i="5" s="1"/>
  <c r="AX168" i="5"/>
  <c r="BC168" i="5"/>
  <c r="BB168" i="5" s="1"/>
  <c r="W178" i="5"/>
  <c r="AX178" i="5"/>
  <c r="BO140" i="5"/>
  <c r="BW140" i="5"/>
  <c r="W150" i="5"/>
  <c r="AX150" i="5"/>
  <c r="U151" i="5"/>
  <c r="V151" i="5" s="1"/>
  <c r="W152" i="5"/>
  <c r="BC157" i="5"/>
  <c r="BB157" i="5" s="1"/>
  <c r="U158" i="5"/>
  <c r="V158" i="5" s="1"/>
  <c r="AC159" i="5"/>
  <c r="BC161" i="5"/>
  <c r="BB161" i="5" s="1"/>
  <c r="AC161" i="5"/>
  <c r="Z161" i="5"/>
  <c r="AD161" i="5" s="1"/>
  <c r="AX163" i="5"/>
  <c r="W163" i="5"/>
  <c r="U163" i="5"/>
  <c r="V163" i="5" s="1"/>
  <c r="U168" i="5"/>
  <c r="V168" i="5" s="1"/>
  <c r="AX172" i="5"/>
  <c r="W172" i="5"/>
  <c r="U172" i="5"/>
  <c r="V172" i="5" s="1"/>
  <c r="U178" i="5"/>
  <c r="V178" i="5" s="1"/>
  <c r="W185" i="5"/>
  <c r="BC185" i="5"/>
  <c r="BB185" i="5" s="1"/>
  <c r="BC155" i="5"/>
  <c r="W168" i="5"/>
  <c r="AD169" i="5"/>
  <c r="BC172" i="5"/>
  <c r="BB172" i="5" s="1"/>
  <c r="AD175" i="5"/>
  <c r="U139" i="5"/>
  <c r="V139" i="5" s="1"/>
  <c r="U143" i="5"/>
  <c r="V143" i="5" s="1"/>
  <c r="BC147" i="5"/>
  <c r="BB147" i="5" s="1"/>
  <c r="W151" i="5"/>
  <c r="AX152" i="5"/>
  <c r="AD153" i="5"/>
  <c r="BB155" i="5"/>
  <c r="BC156" i="5"/>
  <c r="BB156" i="5" s="1"/>
  <c r="BC158" i="5"/>
  <c r="BB158" i="5" s="1"/>
  <c r="BC159" i="5"/>
  <c r="BB159" i="5"/>
  <c r="W160" i="5"/>
  <c r="BC163" i="5"/>
  <c r="BB163" i="5" s="1"/>
  <c r="Z164" i="5"/>
  <c r="AD164" i="5" s="1"/>
  <c r="AX166" i="5"/>
  <c r="W166" i="5"/>
  <c r="BC166" i="5"/>
  <c r="U166" i="5"/>
  <c r="V166" i="5" s="1"/>
  <c r="AX176" i="5"/>
  <c r="W176" i="5"/>
  <c r="U176" i="5"/>
  <c r="V176" i="5" s="1"/>
  <c r="BC176" i="5"/>
  <c r="BB176" i="5" s="1"/>
  <c r="AX184" i="5"/>
  <c r="W184" i="5"/>
  <c r="BC184" i="5"/>
  <c r="BB184" i="5" s="1"/>
  <c r="U184" i="5"/>
  <c r="V184" i="5" s="1"/>
  <c r="BC145" i="5"/>
  <c r="BB145" i="5" s="1"/>
  <c r="Z148" i="5"/>
  <c r="AD148" i="5" s="1"/>
  <c r="BC150" i="5"/>
  <c r="BB150" i="5"/>
  <c r="AX157" i="5"/>
  <c r="W157" i="5"/>
  <c r="U157" i="5"/>
  <c r="V157" i="5" s="1"/>
  <c r="AX167" i="5"/>
  <c r="BC167" i="5"/>
  <c r="BB167" i="5" s="1"/>
  <c r="W167" i="5"/>
  <c r="AD170" i="5"/>
  <c r="W192" i="5"/>
  <c r="U192" i="5"/>
  <c r="V192" i="5" s="1"/>
  <c r="AX198" i="5"/>
  <c r="U198" i="5"/>
  <c r="V198" i="5" s="1"/>
  <c r="BC198" i="5"/>
  <c r="BB198" i="5" s="1"/>
  <c r="W198" i="5"/>
  <c r="CE201" i="5"/>
  <c r="U164" i="5"/>
  <c r="V164" i="5" s="1"/>
  <c r="AX164" i="5"/>
  <c r="BB170" i="5"/>
  <c r="W182" i="5"/>
  <c r="AX182" i="5"/>
  <c r="BK183" i="5"/>
  <c r="AD187" i="5"/>
  <c r="BB160" i="5"/>
  <c r="W164" i="5"/>
  <c r="AD173" i="5"/>
  <c r="AD176" i="5"/>
  <c r="BC178" i="5"/>
  <c r="U182" i="5"/>
  <c r="V182" i="5" s="1"/>
  <c r="CG183" i="5"/>
  <c r="BY183" i="5"/>
  <c r="BQ183" i="5"/>
  <c r="BI183" i="5"/>
  <c r="CF183" i="5"/>
  <c r="BX183" i="5"/>
  <c r="BP183" i="5"/>
  <c r="BH183" i="5"/>
  <c r="AZ183" i="5"/>
  <c r="BA183" i="5" s="1"/>
  <c r="CD183" i="5"/>
  <c r="BV183" i="5"/>
  <c r="BN183" i="5"/>
  <c r="BF183" i="5"/>
  <c r="CC183" i="5"/>
  <c r="BU183" i="5"/>
  <c r="BM183" i="5"/>
  <c r="BE183" i="5"/>
  <c r="BR183" i="5"/>
  <c r="BS183" i="5" s="1"/>
  <c r="BL183" i="5"/>
  <c r="CH183" i="5"/>
  <c r="CB183" i="5"/>
  <c r="BJ183" i="5"/>
  <c r="BD183" i="5"/>
  <c r="AX194" i="5"/>
  <c r="W194" i="5"/>
  <c r="U194" i="5"/>
  <c r="V194" i="5" s="1"/>
  <c r="BC160" i="5"/>
  <c r="AX175" i="5"/>
  <c r="W175" i="5"/>
  <c r="U175" i="5"/>
  <c r="V175" i="5" s="1"/>
  <c r="BC175" i="5"/>
  <c r="BB175" i="5" s="1"/>
  <c r="AC188" i="5"/>
  <c r="AX154" i="5"/>
  <c r="BC154" i="5"/>
  <c r="BB154" i="5" s="1"/>
  <c r="BC174" i="5"/>
  <c r="BB174" i="5" s="1"/>
  <c r="AC169" i="5"/>
  <c r="AC174" i="5"/>
  <c r="AC177" i="5"/>
  <c r="BC179" i="5"/>
  <c r="BB179" i="5" s="1"/>
  <c r="AC181" i="5"/>
  <c r="CA183" i="5"/>
  <c r="AD195" i="5"/>
  <c r="H25" i="3"/>
  <c r="H23" i="3"/>
  <c r="O6" i="4"/>
  <c r="M6" i="4"/>
  <c r="H6" i="4"/>
  <c r="I8" i="4"/>
  <c r="P8" i="4" s="1"/>
  <c r="N8" i="4"/>
  <c r="BB166" i="5"/>
  <c r="BC169" i="5"/>
  <c r="BB169" i="5" s="1"/>
  <c r="U170" i="5"/>
  <c r="V170" i="5" s="1"/>
  <c r="BC177" i="5"/>
  <c r="BB177" i="5" s="1"/>
  <c r="AD177" i="5"/>
  <c r="BC181" i="5"/>
  <c r="BB181" i="5"/>
  <c r="BB188" i="5"/>
  <c r="W188" i="5"/>
  <c r="AX190" i="5"/>
  <c r="BC190" i="5"/>
  <c r="BB190" i="5" s="1"/>
  <c r="W190" i="5"/>
  <c r="U190" i="5"/>
  <c r="V190" i="5" s="1"/>
  <c r="G6" i="4"/>
  <c r="BB173" i="5"/>
  <c r="AC173" i="5"/>
  <c r="AX185" i="5"/>
  <c r="AC191" i="5"/>
  <c r="Z195" i="5"/>
  <c r="BC195" i="5"/>
  <c r="AD196" i="5"/>
  <c r="AX197" i="5"/>
  <c r="BK197" i="5"/>
  <c r="W197" i="5"/>
  <c r="CA197" i="5"/>
  <c r="U197" i="5"/>
  <c r="V197" i="5" s="1"/>
  <c r="H35" i="3"/>
  <c r="W170" i="5"/>
  <c r="AX170" i="5"/>
  <c r="BB178" i="5"/>
  <c r="AX179" i="5"/>
  <c r="W179" i="5"/>
  <c r="BB182" i="5"/>
  <c r="CE183" i="5"/>
  <c r="BW183" i="5"/>
  <c r="BO183" i="5"/>
  <c r="BG183" i="5"/>
  <c r="AX183" i="5"/>
  <c r="W183" i="5"/>
  <c r="AX193" i="5"/>
  <c r="W193" i="5"/>
  <c r="BC193" i="5"/>
  <c r="BB193" i="5" s="1"/>
  <c r="CD197" i="5"/>
  <c r="CE197" i="5" s="1"/>
  <c r="BV197" i="5"/>
  <c r="BW197" i="5" s="1"/>
  <c r="BN197" i="5"/>
  <c r="BO197" i="5" s="1"/>
  <c r="BF197" i="5"/>
  <c r="BG197" i="5" s="1"/>
  <c r="CF197" i="5"/>
  <c r="BX197" i="5"/>
  <c r="BP197" i="5"/>
  <c r="BH197" i="5"/>
  <c r="AZ197" i="5"/>
  <c r="BA197" i="5" s="1"/>
  <c r="CH197" i="5"/>
  <c r="BL197" i="5"/>
  <c r="CG197" i="5"/>
  <c r="BU197" i="5"/>
  <c r="BT197" i="5"/>
  <c r="BJ197" i="5"/>
  <c r="CC197" i="5"/>
  <c r="BI197" i="5"/>
  <c r="BQ197" i="5"/>
  <c r="BE197" i="5"/>
  <c r="BY197" i="5"/>
  <c r="BR197" i="5"/>
  <c r="BS197" i="5" s="1"/>
  <c r="BM197" i="5"/>
  <c r="U169" i="5"/>
  <c r="V169" i="5" s="1"/>
  <c r="U177" i="5"/>
  <c r="V177" i="5" s="1"/>
  <c r="AX177" i="5"/>
  <c r="U179" i="5"/>
  <c r="V179" i="5" s="1"/>
  <c r="U181" i="5"/>
  <c r="V181" i="5" s="1"/>
  <c r="AX181" i="5"/>
  <c r="U183" i="5"/>
  <c r="V183" i="5" s="1"/>
  <c r="U193" i="5"/>
  <c r="V193" i="5" s="1"/>
  <c r="BD197" i="5"/>
  <c r="BC189" i="5"/>
  <c r="BB189" i="5" s="1"/>
  <c r="AX189" i="5"/>
  <c r="BB191" i="5"/>
  <c r="P16" i="4"/>
  <c r="BB187" i="5"/>
  <c r="AC187" i="5"/>
  <c r="AD199" i="5"/>
  <c r="H45" i="3"/>
  <c r="H43" i="3"/>
  <c r="H47" i="3"/>
  <c r="U185" i="5"/>
  <c r="V185" i="5" s="1"/>
  <c r="BC187" i="5"/>
  <c r="U188" i="5"/>
  <c r="V188" i="5" s="1"/>
  <c r="AC192" i="5"/>
  <c r="BC194" i="5"/>
  <c r="BB194" i="5" s="1"/>
  <c r="W189" i="5"/>
  <c r="W191" i="5"/>
  <c r="AX191" i="5"/>
  <c r="BC192" i="5"/>
  <c r="BB192" i="5"/>
  <c r="AD192" i="5"/>
  <c r="AD194" i="5"/>
  <c r="Z200" i="5"/>
  <c r="AD200" i="5" s="1"/>
  <c r="H9" i="4"/>
  <c r="L9" i="4"/>
  <c r="O9" i="4"/>
  <c r="G9" i="4"/>
  <c r="BB200" i="5"/>
  <c r="W200" i="5"/>
  <c r="BB195" i="5"/>
  <c r="AC195" i="5"/>
  <c r="H12" i="4"/>
  <c r="G12" i="4"/>
  <c r="L12" i="4"/>
  <c r="BB199" i="5"/>
  <c r="AC199" i="5"/>
  <c r="B41" i="2"/>
  <c r="I5" i="4"/>
  <c r="P5" i="4" s="1"/>
  <c r="I11" i="4"/>
  <c r="P11" i="4" s="1"/>
  <c r="N11" i="4"/>
  <c r="N16" i="4"/>
  <c r="W196" i="5"/>
  <c r="AX196" i="5"/>
  <c r="BC199" i="5"/>
  <c r="CD201" i="5"/>
  <c r="BV201" i="5"/>
  <c r="BW201" i="5" s="1"/>
  <c r="BN201" i="5"/>
  <c r="BO201" i="5" s="1"/>
  <c r="BF201" i="5"/>
  <c r="BG201" i="5" s="1"/>
  <c r="CH201" i="5"/>
  <c r="BZ201" i="5"/>
  <c r="CA201" i="5" s="1"/>
  <c r="BR201" i="5"/>
  <c r="BS201" i="5" s="1"/>
  <c r="BJ201" i="5"/>
  <c r="BK201" i="5" s="1"/>
  <c r="CG201" i="5"/>
  <c r="BY201" i="5"/>
  <c r="BQ201" i="5"/>
  <c r="BI201" i="5"/>
  <c r="CF201" i="5"/>
  <c r="BX201" i="5"/>
  <c r="BP201" i="5"/>
  <c r="BH201" i="5"/>
  <c r="AZ201" i="5"/>
  <c r="BA201" i="5" s="1"/>
  <c r="BU201" i="5"/>
  <c r="B50" i="2"/>
  <c r="I7" i="4"/>
  <c r="P7" i="4" s="1"/>
  <c r="N7" i="4"/>
  <c r="V195" i="5"/>
  <c r="V200" i="5"/>
  <c r="BD201" i="5"/>
  <c r="I10" i="4"/>
  <c r="P10" i="4" s="1"/>
  <c r="N10" i="4"/>
  <c r="W195" i="5"/>
  <c r="AX195" i="5"/>
  <c r="BB196" i="5"/>
  <c r="Z196" i="5"/>
  <c r="BE201" i="5"/>
  <c r="CB201" i="5"/>
  <c r="N15" i="4"/>
  <c r="I15" i="4"/>
  <c r="O18" i="4"/>
  <c r="B52" i="2"/>
  <c r="O4" i="4"/>
  <c r="G32" i="6"/>
  <c r="P4" i="4"/>
  <c r="L15" i="4"/>
  <c r="I16" i="4"/>
  <c r="I17" i="4"/>
  <c r="P17" i="4" s="1"/>
  <c r="G18" i="4"/>
  <c r="I23" i="4"/>
  <c r="N131" i="4"/>
  <c r="N139" i="4"/>
  <c r="N147" i="4"/>
  <c r="N155" i="4"/>
  <c r="N163" i="4"/>
  <c r="N171" i="4"/>
  <c r="N179" i="4"/>
  <c r="N187" i="4"/>
  <c r="G35" i="6"/>
  <c r="G55" i="6"/>
  <c r="F55" i="6"/>
  <c r="M16" i="4"/>
  <c r="D20" i="4"/>
  <c r="C23" i="4" s="1"/>
  <c r="C24" i="4" s="1"/>
  <c r="N129" i="4"/>
  <c r="N137" i="4"/>
  <c r="N145" i="4"/>
  <c r="N153" i="4"/>
  <c r="N161" i="4"/>
  <c r="N169" i="4"/>
  <c r="N177" i="4"/>
  <c r="N185" i="4"/>
  <c r="F34" i="6"/>
  <c r="G58" i="6"/>
  <c r="N128" i="4"/>
  <c r="N136" i="4"/>
  <c r="N144" i="4"/>
  <c r="N152" i="4"/>
  <c r="N160" i="4"/>
  <c r="N168" i="4"/>
  <c r="N176" i="4"/>
  <c r="N184" i="4"/>
  <c r="AX201" i="5"/>
  <c r="B46" i="2"/>
  <c r="D44" i="2" s="1"/>
  <c r="P15" i="4"/>
  <c r="G33" i="6"/>
  <c r="N134" i="4"/>
  <c r="N142" i="4"/>
  <c r="N150" i="4"/>
  <c r="N158" i="4"/>
  <c r="N166" i="4"/>
  <c r="N174" i="4"/>
  <c r="N182" i="4"/>
  <c r="G36" i="6"/>
  <c r="G57" i="6"/>
  <c r="F61" i="6"/>
  <c r="F35" i="6"/>
  <c r="CH79" i="5" l="1"/>
  <c r="BZ79" i="5"/>
  <c r="CA79" i="5" s="1"/>
  <c r="BR79" i="5"/>
  <c r="BS79" i="5" s="1"/>
  <c r="BJ79" i="5"/>
  <c r="BK79" i="5" s="1"/>
  <c r="CG79" i="5"/>
  <c r="BY79" i="5"/>
  <c r="BQ79" i="5"/>
  <c r="BI79" i="5"/>
  <c r="CF79" i="5"/>
  <c r="BX79" i="5"/>
  <c r="BP79" i="5"/>
  <c r="BH79" i="5"/>
  <c r="AZ79" i="5"/>
  <c r="BA79" i="5" s="1"/>
  <c r="CC79" i="5"/>
  <c r="BD79" i="5"/>
  <c r="CB79" i="5"/>
  <c r="BN79" i="5"/>
  <c r="BO79" i="5" s="1"/>
  <c r="BM79" i="5"/>
  <c r="BL79" i="5"/>
  <c r="BV79" i="5"/>
  <c r="BW79" i="5" s="1"/>
  <c r="CD79" i="5"/>
  <c r="CE79" i="5" s="1"/>
  <c r="BU79" i="5"/>
  <c r="BT79" i="5"/>
  <c r="BF79" i="5"/>
  <c r="BG79" i="5" s="1"/>
  <c r="BE79" i="5"/>
  <c r="CB60" i="5"/>
  <c r="BT60" i="5"/>
  <c r="BL60" i="5"/>
  <c r="BD60" i="5"/>
  <c r="CH60" i="5"/>
  <c r="BZ60" i="5"/>
  <c r="CA60" i="5" s="1"/>
  <c r="BR60" i="5"/>
  <c r="BS60" i="5" s="1"/>
  <c r="BJ60" i="5"/>
  <c r="BK60" i="5" s="1"/>
  <c r="CG60" i="5"/>
  <c r="BY60" i="5"/>
  <c r="BQ60" i="5"/>
  <c r="BI60" i="5"/>
  <c r="BA60" i="5"/>
  <c r="CF60" i="5"/>
  <c r="BX60" i="5"/>
  <c r="BP60" i="5"/>
  <c r="BH60" i="5"/>
  <c r="AZ60" i="5"/>
  <c r="CD60" i="5"/>
  <c r="CE60" i="5" s="1"/>
  <c r="CC60" i="5"/>
  <c r="BF60" i="5"/>
  <c r="BG60" i="5" s="1"/>
  <c r="BE60" i="5"/>
  <c r="BU60" i="5"/>
  <c r="BM60" i="5"/>
  <c r="BV60" i="5"/>
  <c r="BW60" i="5" s="1"/>
  <c r="BN60" i="5"/>
  <c r="BO60" i="5" s="1"/>
  <c r="CC82" i="5"/>
  <c r="BU82" i="5"/>
  <c r="BM82" i="5"/>
  <c r="BE82" i="5"/>
  <c r="CB82" i="5"/>
  <c r="BT82" i="5"/>
  <c r="BL82" i="5"/>
  <c r="BD82" i="5"/>
  <c r="CH82" i="5"/>
  <c r="BZ82" i="5"/>
  <c r="CA82" i="5" s="1"/>
  <c r="BR82" i="5"/>
  <c r="BS82" i="5" s="1"/>
  <c r="BJ82" i="5"/>
  <c r="BK82" i="5" s="1"/>
  <c r="BY82" i="5"/>
  <c r="BI82" i="5"/>
  <c r="BX82" i="5"/>
  <c r="BH82" i="5"/>
  <c r="BV82" i="5"/>
  <c r="BW82" i="5" s="1"/>
  <c r="BF82" i="5"/>
  <c r="BG82" i="5" s="1"/>
  <c r="CG82" i="5"/>
  <c r="BQ82" i="5"/>
  <c r="BN82" i="5"/>
  <c r="BO82" i="5" s="1"/>
  <c r="AZ82" i="5"/>
  <c r="BA82" i="5" s="1"/>
  <c r="CF82" i="5"/>
  <c r="CD82" i="5"/>
  <c r="CE82" i="5" s="1"/>
  <c r="BP82" i="5"/>
  <c r="CH156" i="5"/>
  <c r="BZ156" i="5"/>
  <c r="CA156" i="5" s="1"/>
  <c r="BR156" i="5"/>
  <c r="BS156" i="5" s="1"/>
  <c r="BJ156" i="5"/>
  <c r="BK156" i="5" s="1"/>
  <c r="BV156" i="5"/>
  <c r="BW156" i="5" s="1"/>
  <c r="BM156" i="5"/>
  <c r="BD156" i="5"/>
  <c r="CD156" i="5"/>
  <c r="CE156" i="5" s="1"/>
  <c r="BU156" i="5"/>
  <c r="BL156" i="5"/>
  <c r="CC156" i="5"/>
  <c r="BT156" i="5"/>
  <c r="BA156" i="5"/>
  <c r="CB156" i="5"/>
  <c r="BI156" i="5"/>
  <c r="AZ156" i="5"/>
  <c r="BQ156" i="5"/>
  <c r="BH156" i="5"/>
  <c r="CG156" i="5"/>
  <c r="CF156" i="5"/>
  <c r="BF156" i="5"/>
  <c r="BG156" i="5" s="1"/>
  <c r="BY156" i="5"/>
  <c r="BE156" i="5"/>
  <c r="BX156" i="5"/>
  <c r="BP156" i="5"/>
  <c r="BN156" i="5"/>
  <c r="BO156" i="5" s="1"/>
  <c r="CH99" i="5"/>
  <c r="BZ99" i="5"/>
  <c r="CA99" i="5" s="1"/>
  <c r="BR99" i="5"/>
  <c r="BS99" i="5" s="1"/>
  <c r="BJ99" i="5"/>
  <c r="BK99" i="5" s="1"/>
  <c r="CG99" i="5"/>
  <c r="BY99" i="5"/>
  <c r="BQ99" i="5"/>
  <c r="BI99" i="5"/>
  <c r="CD99" i="5"/>
  <c r="CE99" i="5" s="1"/>
  <c r="BV99" i="5"/>
  <c r="BW99" i="5" s="1"/>
  <c r="BN99" i="5"/>
  <c r="BO99" i="5" s="1"/>
  <c r="BF99" i="5"/>
  <c r="BG99" i="5" s="1"/>
  <c r="CF99" i="5"/>
  <c r="BT99" i="5"/>
  <c r="BE99" i="5"/>
  <c r="CC99" i="5"/>
  <c r="BP99" i="5"/>
  <c r="BD99" i="5"/>
  <c r="CB99" i="5"/>
  <c r="BM99" i="5"/>
  <c r="AZ99" i="5"/>
  <c r="BA99" i="5" s="1"/>
  <c r="BU99" i="5"/>
  <c r="BL99" i="5"/>
  <c r="BH99" i="5"/>
  <c r="BX99" i="5"/>
  <c r="CH161" i="5"/>
  <c r="BZ161" i="5"/>
  <c r="CA161" i="5" s="1"/>
  <c r="BR161" i="5"/>
  <c r="BS161" i="5" s="1"/>
  <c r="BJ161" i="5"/>
  <c r="BK161" i="5" s="1"/>
  <c r="CG161" i="5"/>
  <c r="BY161" i="5"/>
  <c r="BQ161" i="5"/>
  <c r="BI161" i="5"/>
  <c r="CF161" i="5"/>
  <c r="BX161" i="5"/>
  <c r="BP161" i="5"/>
  <c r="BH161" i="5"/>
  <c r="AZ161" i="5"/>
  <c r="BA161" i="5" s="1"/>
  <c r="BU161" i="5"/>
  <c r="BT161" i="5"/>
  <c r="BF161" i="5"/>
  <c r="BG161" i="5" s="1"/>
  <c r="CD161" i="5"/>
  <c r="CE161" i="5" s="1"/>
  <c r="BE161" i="5"/>
  <c r="CC161" i="5"/>
  <c r="BD161" i="5"/>
  <c r="CB161" i="5"/>
  <c r="BN161" i="5"/>
  <c r="BO161" i="5" s="1"/>
  <c r="BV161" i="5"/>
  <c r="BW161" i="5" s="1"/>
  <c r="BM161" i="5"/>
  <c r="BL161" i="5"/>
  <c r="CC116" i="5"/>
  <c r="BU116" i="5"/>
  <c r="BM116" i="5"/>
  <c r="BE116" i="5"/>
  <c r="CB116" i="5"/>
  <c r="BT116" i="5"/>
  <c r="BL116" i="5"/>
  <c r="BD116" i="5"/>
  <c r="CH116" i="5"/>
  <c r="BZ116" i="5"/>
  <c r="CA116" i="5" s="1"/>
  <c r="BR116" i="5"/>
  <c r="BS116" i="5" s="1"/>
  <c r="BJ116" i="5"/>
  <c r="BK116" i="5" s="1"/>
  <c r="CG116" i="5"/>
  <c r="BY116" i="5"/>
  <c r="BQ116" i="5"/>
  <c r="BI116" i="5"/>
  <c r="BX116" i="5"/>
  <c r="BF116" i="5"/>
  <c r="BG116" i="5" s="1"/>
  <c r="AZ116" i="5"/>
  <c r="BA116" i="5" s="1"/>
  <c r="BV116" i="5"/>
  <c r="BW116" i="5" s="1"/>
  <c r="BP116" i="5"/>
  <c r="CF116" i="5"/>
  <c r="CD116" i="5"/>
  <c r="CE116" i="5" s="1"/>
  <c r="BN116" i="5"/>
  <c r="BO116" i="5" s="1"/>
  <c r="BH116" i="5"/>
  <c r="CF96" i="5"/>
  <c r="BX96" i="5"/>
  <c r="BP96" i="5"/>
  <c r="BH96" i="5"/>
  <c r="AZ96" i="5"/>
  <c r="BA96" i="5" s="1"/>
  <c r="CH96" i="5"/>
  <c r="BY96" i="5"/>
  <c r="BF96" i="5"/>
  <c r="BG96" i="5" s="1"/>
  <c r="CG96" i="5"/>
  <c r="BN96" i="5"/>
  <c r="BO96" i="5" s="1"/>
  <c r="BE96" i="5"/>
  <c r="BV96" i="5"/>
  <c r="BW96" i="5" s="1"/>
  <c r="BM96" i="5"/>
  <c r="BD96" i="5"/>
  <c r="CD96" i="5"/>
  <c r="CE96" i="5" s="1"/>
  <c r="BU96" i="5"/>
  <c r="BL96" i="5"/>
  <c r="CC96" i="5"/>
  <c r="BT96" i="5"/>
  <c r="BZ96" i="5"/>
  <c r="CA96" i="5" s="1"/>
  <c r="BR96" i="5"/>
  <c r="BS96" i="5" s="1"/>
  <c r="BQ96" i="5"/>
  <c r="CB96" i="5"/>
  <c r="BJ96" i="5"/>
  <c r="BK96" i="5" s="1"/>
  <c r="BI96" i="5"/>
  <c r="CC86" i="5"/>
  <c r="BU86" i="5"/>
  <c r="BM86" i="5"/>
  <c r="BE86" i="5"/>
  <c r="CB86" i="5"/>
  <c r="BT86" i="5"/>
  <c r="BL86" i="5"/>
  <c r="BD86" i="5"/>
  <c r="CH86" i="5"/>
  <c r="BZ86" i="5"/>
  <c r="CA86" i="5" s="1"/>
  <c r="BR86" i="5"/>
  <c r="BS86" i="5" s="1"/>
  <c r="BJ86" i="5"/>
  <c r="BK86" i="5" s="1"/>
  <c r="CG86" i="5"/>
  <c r="BY86" i="5"/>
  <c r="BQ86" i="5"/>
  <c r="BI86" i="5"/>
  <c r="BX86" i="5"/>
  <c r="BF86" i="5"/>
  <c r="BG86" i="5" s="1"/>
  <c r="AZ86" i="5"/>
  <c r="BA86" i="5" s="1"/>
  <c r="BV86" i="5"/>
  <c r="BW86" i="5" s="1"/>
  <c r="BP86" i="5"/>
  <c r="CF86" i="5"/>
  <c r="BN86" i="5"/>
  <c r="BO86" i="5" s="1"/>
  <c r="BH86" i="5"/>
  <c r="CD86" i="5"/>
  <c r="CE86" i="5" s="1"/>
  <c r="CB22" i="5"/>
  <c r="BT22" i="5"/>
  <c r="BL22" i="5"/>
  <c r="BD22" i="5"/>
  <c r="CH22" i="5"/>
  <c r="BZ22" i="5"/>
  <c r="CA22" i="5" s="1"/>
  <c r="BR22" i="5"/>
  <c r="BS22" i="5" s="1"/>
  <c r="BJ22" i="5"/>
  <c r="BK22" i="5" s="1"/>
  <c r="CG22" i="5"/>
  <c r="BY22" i="5"/>
  <c r="BQ22" i="5"/>
  <c r="BI22" i="5"/>
  <c r="BA22" i="5"/>
  <c r="CF22" i="5"/>
  <c r="BX22" i="5"/>
  <c r="BP22" i="5"/>
  <c r="BH22" i="5"/>
  <c r="AZ22" i="5"/>
  <c r="BN22" i="5"/>
  <c r="BO22" i="5" s="1"/>
  <c r="BV22" i="5"/>
  <c r="BW22" i="5" s="1"/>
  <c r="BU22" i="5"/>
  <c r="BM22" i="5"/>
  <c r="BF22" i="5"/>
  <c r="BG22" i="5" s="1"/>
  <c r="CC22" i="5"/>
  <c r="BE22" i="5"/>
  <c r="CD22" i="5"/>
  <c r="CE22" i="5" s="1"/>
  <c r="CB146" i="5"/>
  <c r="BT146" i="5"/>
  <c r="BL146" i="5"/>
  <c r="BD146" i="5"/>
  <c r="CH146" i="5"/>
  <c r="BY146" i="5"/>
  <c r="BP146" i="5"/>
  <c r="CG146" i="5"/>
  <c r="BX146" i="5"/>
  <c r="BF146" i="5"/>
  <c r="BG146" i="5" s="1"/>
  <c r="CF146" i="5"/>
  <c r="BN146" i="5"/>
  <c r="BO146" i="5" s="1"/>
  <c r="BE146" i="5"/>
  <c r="BV146" i="5"/>
  <c r="BW146" i="5" s="1"/>
  <c r="BM146" i="5"/>
  <c r="CD146" i="5"/>
  <c r="CE146" i="5" s="1"/>
  <c r="BU146" i="5"/>
  <c r="BR146" i="5"/>
  <c r="BS146" i="5" s="1"/>
  <c r="BQ146" i="5"/>
  <c r="BJ146" i="5"/>
  <c r="BK146" i="5" s="1"/>
  <c r="BI146" i="5"/>
  <c r="CC146" i="5"/>
  <c r="BH146" i="5"/>
  <c r="BZ146" i="5"/>
  <c r="CA146" i="5" s="1"/>
  <c r="BA146" i="5"/>
  <c r="AZ146" i="5"/>
  <c r="CB40" i="5"/>
  <c r="BT40" i="5"/>
  <c r="BL40" i="5"/>
  <c r="BD40" i="5"/>
  <c r="CH40" i="5"/>
  <c r="BZ40" i="5"/>
  <c r="CA40" i="5" s="1"/>
  <c r="BR40" i="5"/>
  <c r="BS40" i="5" s="1"/>
  <c r="BJ40" i="5"/>
  <c r="BK40" i="5" s="1"/>
  <c r="CF40" i="5"/>
  <c r="BX40" i="5"/>
  <c r="BP40" i="5"/>
  <c r="BH40" i="5"/>
  <c r="AZ40" i="5"/>
  <c r="CD40" i="5"/>
  <c r="CE40" i="5" s="1"/>
  <c r="BQ40" i="5"/>
  <c r="BE40" i="5"/>
  <c r="CC40" i="5"/>
  <c r="CG40" i="5"/>
  <c r="BN40" i="5"/>
  <c r="BO40" i="5" s="1"/>
  <c r="BM40" i="5"/>
  <c r="BY40" i="5"/>
  <c r="BI40" i="5"/>
  <c r="BU40" i="5"/>
  <c r="BV40" i="5"/>
  <c r="BW40" i="5" s="1"/>
  <c r="BF40" i="5"/>
  <c r="BG40" i="5" s="1"/>
  <c r="BA40" i="5"/>
  <c r="CB130" i="5"/>
  <c r="BT130" i="5"/>
  <c r="BL130" i="5"/>
  <c r="BD130" i="5"/>
  <c r="CH130" i="5"/>
  <c r="BZ130" i="5"/>
  <c r="CA130" i="5" s="1"/>
  <c r="BR130" i="5"/>
  <c r="BS130" i="5" s="1"/>
  <c r="BJ130" i="5"/>
  <c r="BK130" i="5" s="1"/>
  <c r="BY130" i="5"/>
  <c r="BE130" i="5"/>
  <c r="BX130" i="5"/>
  <c r="BN130" i="5"/>
  <c r="BO130" i="5" s="1"/>
  <c r="CG130" i="5"/>
  <c r="BM130" i="5"/>
  <c r="BA130" i="5"/>
  <c r="CF130" i="5"/>
  <c r="BV130" i="5"/>
  <c r="BW130" i="5" s="1"/>
  <c r="AZ130" i="5"/>
  <c r="BU130" i="5"/>
  <c r="BI130" i="5"/>
  <c r="CD130" i="5"/>
  <c r="CE130" i="5" s="1"/>
  <c r="BF130" i="5"/>
  <c r="BG130" i="5" s="1"/>
  <c r="CC130" i="5"/>
  <c r="BQ130" i="5"/>
  <c r="BP130" i="5"/>
  <c r="BH130" i="5"/>
  <c r="CH121" i="5"/>
  <c r="BZ121" i="5"/>
  <c r="CA121" i="5" s="1"/>
  <c r="BR121" i="5"/>
  <c r="BS121" i="5" s="1"/>
  <c r="BJ121" i="5"/>
  <c r="BK121" i="5" s="1"/>
  <c r="CG121" i="5"/>
  <c r="BY121" i="5"/>
  <c r="BQ121" i="5"/>
  <c r="BI121" i="5"/>
  <c r="CF121" i="5"/>
  <c r="BX121" i="5"/>
  <c r="BP121" i="5"/>
  <c r="BH121" i="5"/>
  <c r="AZ121" i="5"/>
  <c r="BA121" i="5" s="1"/>
  <c r="BT121" i="5"/>
  <c r="BN121" i="5"/>
  <c r="BO121" i="5" s="1"/>
  <c r="BM121" i="5"/>
  <c r="CD121" i="5"/>
  <c r="CE121" i="5" s="1"/>
  <c r="BL121" i="5"/>
  <c r="CC121" i="5"/>
  <c r="BF121" i="5"/>
  <c r="BG121" i="5" s="1"/>
  <c r="CB121" i="5"/>
  <c r="BV121" i="5"/>
  <c r="BW121" i="5" s="1"/>
  <c r="BU121" i="5"/>
  <c r="BD121" i="5"/>
  <c r="BE121" i="5"/>
  <c r="CB94" i="5"/>
  <c r="BT94" i="5"/>
  <c r="BL94" i="5"/>
  <c r="BD94" i="5"/>
  <c r="CG94" i="5"/>
  <c r="BX94" i="5"/>
  <c r="BF94" i="5"/>
  <c r="BG94" i="5" s="1"/>
  <c r="CF94" i="5"/>
  <c r="BN94" i="5"/>
  <c r="BO94" i="5" s="1"/>
  <c r="BE94" i="5"/>
  <c r="BV94" i="5"/>
  <c r="BW94" i="5" s="1"/>
  <c r="BM94" i="5"/>
  <c r="CD94" i="5"/>
  <c r="CE94" i="5" s="1"/>
  <c r="BU94" i="5"/>
  <c r="CC94" i="5"/>
  <c r="BJ94" i="5"/>
  <c r="BK94" i="5" s="1"/>
  <c r="BZ94" i="5"/>
  <c r="CA94" i="5" s="1"/>
  <c r="AZ94" i="5"/>
  <c r="BA94" i="5" s="1"/>
  <c r="BY94" i="5"/>
  <c r="BR94" i="5"/>
  <c r="BS94" i="5" s="1"/>
  <c r="BQ94" i="5"/>
  <c r="BP94" i="5"/>
  <c r="CH94" i="5"/>
  <c r="BI94" i="5"/>
  <c r="BH94" i="5"/>
  <c r="BE7" i="5"/>
  <c r="BD7" i="5"/>
  <c r="BF7" i="5" s="1"/>
  <c r="BG7" i="5" s="1"/>
  <c r="CB169" i="5"/>
  <c r="BT169" i="5"/>
  <c r="BL169" i="5"/>
  <c r="BD169" i="5"/>
  <c r="CH169" i="5"/>
  <c r="BZ169" i="5"/>
  <c r="CA169" i="5" s="1"/>
  <c r="BR169" i="5"/>
  <c r="BS169" i="5" s="1"/>
  <c r="BJ169" i="5"/>
  <c r="BK169" i="5" s="1"/>
  <c r="CC169" i="5"/>
  <c r="BQ169" i="5"/>
  <c r="BP169" i="5"/>
  <c r="BF169" i="5"/>
  <c r="BG169" i="5" s="1"/>
  <c r="BY169" i="5"/>
  <c r="BE169" i="5"/>
  <c r="BX169" i="5"/>
  <c r="BN169" i="5"/>
  <c r="BO169" i="5" s="1"/>
  <c r="CG169" i="5"/>
  <c r="BM169" i="5"/>
  <c r="BA169" i="5"/>
  <c r="CF169" i="5"/>
  <c r="BH169" i="5"/>
  <c r="AZ169" i="5"/>
  <c r="CD169" i="5"/>
  <c r="CE169" i="5" s="1"/>
  <c r="BV169" i="5"/>
  <c r="BW169" i="5" s="1"/>
  <c r="BU169" i="5"/>
  <c r="BI169" i="5"/>
  <c r="CC90" i="5"/>
  <c r="BU90" i="5"/>
  <c r="BM90" i="5"/>
  <c r="BE90" i="5"/>
  <c r="CB90" i="5"/>
  <c r="BT90" i="5"/>
  <c r="BL90" i="5"/>
  <c r="BD90" i="5"/>
  <c r="CH90" i="5"/>
  <c r="BZ90" i="5"/>
  <c r="CA90" i="5" s="1"/>
  <c r="BR90" i="5"/>
  <c r="BS90" i="5" s="1"/>
  <c r="BJ90" i="5"/>
  <c r="BK90" i="5" s="1"/>
  <c r="CG90" i="5"/>
  <c r="BY90" i="5"/>
  <c r="BQ90" i="5"/>
  <c r="BI90" i="5"/>
  <c r="BA90" i="5"/>
  <c r="BP90" i="5"/>
  <c r="CF90" i="5"/>
  <c r="BN90" i="5"/>
  <c r="BO90" i="5" s="1"/>
  <c r="BH90" i="5"/>
  <c r="CD90" i="5"/>
  <c r="CE90" i="5" s="1"/>
  <c r="BX90" i="5"/>
  <c r="BV90" i="5"/>
  <c r="BW90" i="5" s="1"/>
  <c r="BF90" i="5"/>
  <c r="BG90" i="5" s="1"/>
  <c r="AZ90" i="5"/>
  <c r="CH61" i="5"/>
  <c r="BZ61" i="5"/>
  <c r="CA61" i="5" s="1"/>
  <c r="BR61" i="5"/>
  <c r="BS61" i="5" s="1"/>
  <c r="BJ61" i="5"/>
  <c r="BK61" i="5" s="1"/>
  <c r="CG61" i="5"/>
  <c r="BY61" i="5"/>
  <c r="BQ61" i="5"/>
  <c r="BI61" i="5"/>
  <c r="BA61" i="5"/>
  <c r="CF61" i="5"/>
  <c r="BX61" i="5"/>
  <c r="BP61" i="5"/>
  <c r="BH61" i="5"/>
  <c r="AZ61" i="5"/>
  <c r="CD61" i="5"/>
  <c r="CE61" i="5" s="1"/>
  <c r="BV61" i="5"/>
  <c r="BW61" i="5" s="1"/>
  <c r="BN61" i="5"/>
  <c r="BO61" i="5" s="1"/>
  <c r="BF61" i="5"/>
  <c r="BG61" i="5" s="1"/>
  <c r="BL61" i="5"/>
  <c r="CC61" i="5"/>
  <c r="CB61" i="5"/>
  <c r="BE61" i="5"/>
  <c r="BU61" i="5"/>
  <c r="BM61" i="5"/>
  <c r="BD61" i="5"/>
  <c r="BT61" i="5"/>
  <c r="CB177" i="5"/>
  <c r="BT177" i="5"/>
  <c r="BL177" i="5"/>
  <c r="BD177" i="5"/>
  <c r="CH177" i="5"/>
  <c r="BZ177" i="5"/>
  <c r="CA177" i="5" s="1"/>
  <c r="BR177" i="5"/>
  <c r="BS177" i="5" s="1"/>
  <c r="BJ177" i="5"/>
  <c r="BK177" i="5" s="1"/>
  <c r="CG177" i="5"/>
  <c r="BY177" i="5"/>
  <c r="BQ177" i="5"/>
  <c r="BI177" i="5"/>
  <c r="CD177" i="5"/>
  <c r="CE177" i="5" s="1"/>
  <c r="BN177" i="5"/>
  <c r="BO177" i="5" s="1"/>
  <c r="CC177" i="5"/>
  <c r="BM177" i="5"/>
  <c r="BX177" i="5"/>
  <c r="BH177" i="5"/>
  <c r="BV177" i="5"/>
  <c r="BW177" i="5" s="1"/>
  <c r="BF177" i="5"/>
  <c r="BG177" i="5" s="1"/>
  <c r="BU177" i="5"/>
  <c r="BP177" i="5"/>
  <c r="BE177" i="5"/>
  <c r="CF177" i="5"/>
  <c r="AZ177" i="5"/>
  <c r="BA177" i="5" s="1"/>
  <c r="CC134" i="5"/>
  <c r="BU134" i="5"/>
  <c r="BM134" i="5"/>
  <c r="BE134" i="5"/>
  <c r="CB134" i="5"/>
  <c r="BT134" i="5"/>
  <c r="BL134" i="5"/>
  <c r="BD134" i="5"/>
  <c r="CH134" i="5"/>
  <c r="BZ134" i="5"/>
  <c r="CA134" i="5" s="1"/>
  <c r="BR134" i="5"/>
  <c r="BS134" i="5" s="1"/>
  <c r="BJ134" i="5"/>
  <c r="BK134" i="5" s="1"/>
  <c r="BX134" i="5"/>
  <c r="BH134" i="5"/>
  <c r="BV134" i="5"/>
  <c r="BW134" i="5" s="1"/>
  <c r="BF134" i="5"/>
  <c r="BG134" i="5" s="1"/>
  <c r="CG134" i="5"/>
  <c r="BQ134" i="5"/>
  <c r="BA134" i="5"/>
  <c r="CF134" i="5"/>
  <c r="BP134" i="5"/>
  <c r="AZ134" i="5"/>
  <c r="CD134" i="5"/>
  <c r="CE134" i="5" s="1"/>
  <c r="BY134" i="5"/>
  <c r="BN134" i="5"/>
  <c r="BO134" i="5" s="1"/>
  <c r="BI134" i="5"/>
  <c r="CH143" i="5"/>
  <c r="BZ143" i="5"/>
  <c r="CA143" i="5" s="1"/>
  <c r="BR143" i="5"/>
  <c r="BS143" i="5" s="1"/>
  <c r="BJ143" i="5"/>
  <c r="BK143" i="5" s="1"/>
  <c r="CF143" i="5"/>
  <c r="BN143" i="5"/>
  <c r="BO143" i="5" s="1"/>
  <c r="BE143" i="5"/>
  <c r="BV143" i="5"/>
  <c r="BW143" i="5" s="1"/>
  <c r="BM143" i="5"/>
  <c r="BD143" i="5"/>
  <c r="CD143" i="5"/>
  <c r="CE143" i="5" s="1"/>
  <c r="BU143" i="5"/>
  <c r="BL143" i="5"/>
  <c r="CC143" i="5"/>
  <c r="BT143" i="5"/>
  <c r="CB143" i="5"/>
  <c r="BI143" i="5"/>
  <c r="AZ143" i="5"/>
  <c r="BA143" i="5" s="1"/>
  <c r="BQ143" i="5"/>
  <c r="BP143" i="5"/>
  <c r="BH143" i="5"/>
  <c r="CG143" i="5"/>
  <c r="BY143" i="5"/>
  <c r="BX143" i="5"/>
  <c r="BF143" i="5"/>
  <c r="BG143" i="5" s="1"/>
  <c r="CH135" i="5"/>
  <c r="BZ135" i="5"/>
  <c r="CA135" i="5" s="1"/>
  <c r="BR135" i="5"/>
  <c r="BS135" i="5" s="1"/>
  <c r="BJ135" i="5"/>
  <c r="BK135" i="5" s="1"/>
  <c r="CG135" i="5"/>
  <c r="BY135" i="5"/>
  <c r="BQ135" i="5"/>
  <c r="BI135" i="5"/>
  <c r="BA135" i="5"/>
  <c r="CF135" i="5"/>
  <c r="BX135" i="5"/>
  <c r="BP135" i="5"/>
  <c r="BH135" i="5"/>
  <c r="AZ135" i="5"/>
  <c r="BT135" i="5"/>
  <c r="BD135" i="5"/>
  <c r="CD135" i="5"/>
  <c r="CE135" i="5" s="1"/>
  <c r="BN135" i="5"/>
  <c r="BO135" i="5" s="1"/>
  <c r="CC135" i="5"/>
  <c r="BM135" i="5"/>
  <c r="CB135" i="5"/>
  <c r="BL135" i="5"/>
  <c r="BF135" i="5"/>
  <c r="BG135" i="5" s="1"/>
  <c r="BE135" i="5"/>
  <c r="BV135" i="5"/>
  <c r="BW135" i="5" s="1"/>
  <c r="BU135" i="5"/>
  <c r="CH33" i="5"/>
  <c r="BZ33" i="5"/>
  <c r="CA33" i="5" s="1"/>
  <c r="BR33" i="5"/>
  <c r="BS33" i="5" s="1"/>
  <c r="BJ33" i="5"/>
  <c r="BK33" i="5" s="1"/>
  <c r="CF33" i="5"/>
  <c r="BX33" i="5"/>
  <c r="BP33" i="5"/>
  <c r="BH33" i="5"/>
  <c r="AZ33" i="5"/>
  <c r="BA33" i="5" s="1"/>
  <c r="CD33" i="5"/>
  <c r="CE33" i="5" s="1"/>
  <c r="BV33" i="5"/>
  <c r="BW33" i="5" s="1"/>
  <c r="BN33" i="5"/>
  <c r="BO33" i="5" s="1"/>
  <c r="BF33" i="5"/>
  <c r="BG33" i="5" s="1"/>
  <c r="BY33" i="5"/>
  <c r="BL33" i="5"/>
  <c r="BI33" i="5"/>
  <c r="BU33" i="5"/>
  <c r="BT33" i="5"/>
  <c r="BE33" i="5"/>
  <c r="CG33" i="5"/>
  <c r="BD33" i="5"/>
  <c r="BQ33" i="5"/>
  <c r="CC33" i="5"/>
  <c r="BM33" i="5"/>
  <c r="CB33" i="5"/>
  <c r="CB56" i="5"/>
  <c r="BT56" i="5"/>
  <c r="BL56" i="5"/>
  <c r="BD56" i="5"/>
  <c r="CH56" i="5"/>
  <c r="BZ56" i="5"/>
  <c r="CA56" i="5" s="1"/>
  <c r="BR56" i="5"/>
  <c r="BS56" i="5" s="1"/>
  <c r="BJ56" i="5"/>
  <c r="BK56" i="5" s="1"/>
  <c r="CF56" i="5"/>
  <c r="BX56" i="5"/>
  <c r="BP56" i="5"/>
  <c r="BH56" i="5"/>
  <c r="AZ56" i="5"/>
  <c r="CG56" i="5"/>
  <c r="BQ56" i="5"/>
  <c r="BA56" i="5"/>
  <c r="CD56" i="5"/>
  <c r="CE56" i="5" s="1"/>
  <c r="BN56" i="5"/>
  <c r="BO56" i="5" s="1"/>
  <c r="BY56" i="5"/>
  <c r="BI56" i="5"/>
  <c r="BM56" i="5"/>
  <c r="BF56" i="5"/>
  <c r="BG56" i="5" s="1"/>
  <c r="BE56" i="5"/>
  <c r="CC56" i="5"/>
  <c r="BV56" i="5"/>
  <c r="BW56" i="5" s="1"/>
  <c r="BU56" i="5"/>
  <c r="CH174" i="5"/>
  <c r="BZ174" i="5"/>
  <c r="CA174" i="5" s="1"/>
  <c r="BR174" i="5"/>
  <c r="BS174" i="5" s="1"/>
  <c r="BJ174" i="5"/>
  <c r="BK174" i="5" s="1"/>
  <c r="CF174" i="5"/>
  <c r="BX174" i="5"/>
  <c r="BP174" i="5"/>
  <c r="BH174" i="5"/>
  <c r="AZ174" i="5"/>
  <c r="CC174" i="5"/>
  <c r="CB174" i="5"/>
  <c r="BQ174" i="5"/>
  <c r="BF174" i="5"/>
  <c r="BG174" i="5" s="1"/>
  <c r="BE174" i="5"/>
  <c r="BY174" i="5"/>
  <c r="BN174" i="5"/>
  <c r="BO174" i="5" s="1"/>
  <c r="BD174" i="5"/>
  <c r="BM174" i="5"/>
  <c r="CG174" i="5"/>
  <c r="BI174" i="5"/>
  <c r="BA174" i="5"/>
  <c r="CD174" i="5"/>
  <c r="CE174" i="5" s="1"/>
  <c r="BV174" i="5"/>
  <c r="BW174" i="5" s="1"/>
  <c r="BL174" i="5"/>
  <c r="BU174" i="5"/>
  <c r="BT174" i="5"/>
  <c r="CB112" i="5"/>
  <c r="BT112" i="5"/>
  <c r="BL112" i="5"/>
  <c r="BD112" i="5"/>
  <c r="CH112" i="5"/>
  <c r="BZ112" i="5"/>
  <c r="CA112" i="5" s="1"/>
  <c r="BR112" i="5"/>
  <c r="BS112" i="5" s="1"/>
  <c r="BJ112" i="5"/>
  <c r="BK112" i="5" s="1"/>
  <c r="CG112" i="5"/>
  <c r="BY112" i="5"/>
  <c r="BQ112" i="5"/>
  <c r="BI112" i="5"/>
  <c r="BX112" i="5"/>
  <c r="BM112" i="5"/>
  <c r="BV112" i="5"/>
  <c r="BW112" i="5" s="1"/>
  <c r="BH112" i="5"/>
  <c r="CF112" i="5"/>
  <c r="BU112" i="5"/>
  <c r="BF112" i="5"/>
  <c r="BG112" i="5" s="1"/>
  <c r="BN112" i="5"/>
  <c r="BO112" i="5" s="1"/>
  <c r="BE112" i="5"/>
  <c r="CD112" i="5"/>
  <c r="CE112" i="5" s="1"/>
  <c r="AZ112" i="5"/>
  <c r="BA112" i="5" s="1"/>
  <c r="CC112" i="5"/>
  <c r="BP112" i="5"/>
  <c r="CH147" i="5"/>
  <c r="BZ147" i="5"/>
  <c r="CA147" i="5" s="1"/>
  <c r="BR147" i="5"/>
  <c r="BS147" i="5" s="1"/>
  <c r="BJ147" i="5"/>
  <c r="BK147" i="5" s="1"/>
  <c r="BV147" i="5"/>
  <c r="BW147" i="5" s="1"/>
  <c r="BM147" i="5"/>
  <c r="BD147" i="5"/>
  <c r="CD147" i="5"/>
  <c r="CE147" i="5" s="1"/>
  <c r="BU147" i="5"/>
  <c r="BL147" i="5"/>
  <c r="CC147" i="5"/>
  <c r="BT147" i="5"/>
  <c r="BA147" i="5"/>
  <c r="CB147" i="5"/>
  <c r="BI147" i="5"/>
  <c r="AZ147" i="5"/>
  <c r="BQ147" i="5"/>
  <c r="BH147" i="5"/>
  <c r="CF147" i="5"/>
  <c r="BF147" i="5"/>
  <c r="BG147" i="5" s="1"/>
  <c r="BY147" i="5"/>
  <c r="BE147" i="5"/>
  <c r="BX147" i="5"/>
  <c r="BP147" i="5"/>
  <c r="CG147" i="5"/>
  <c r="BN147" i="5"/>
  <c r="BO147" i="5" s="1"/>
  <c r="CF185" i="5"/>
  <c r="BX185" i="5"/>
  <c r="BP185" i="5"/>
  <c r="BH185" i="5"/>
  <c r="AZ185" i="5"/>
  <c r="BA185" i="5" s="1"/>
  <c r="CH185" i="5"/>
  <c r="BY185" i="5"/>
  <c r="BF185" i="5"/>
  <c r="BG185" i="5" s="1"/>
  <c r="CG185" i="5"/>
  <c r="BN185" i="5"/>
  <c r="BO185" i="5" s="1"/>
  <c r="BE185" i="5"/>
  <c r="BV185" i="5"/>
  <c r="BW185" i="5" s="1"/>
  <c r="BM185" i="5"/>
  <c r="BD185" i="5"/>
  <c r="CD185" i="5"/>
  <c r="CE185" i="5" s="1"/>
  <c r="BU185" i="5"/>
  <c r="BL185" i="5"/>
  <c r="CC185" i="5"/>
  <c r="BT185" i="5"/>
  <c r="BZ185" i="5"/>
  <c r="CA185" i="5" s="1"/>
  <c r="BR185" i="5"/>
  <c r="BS185" i="5" s="1"/>
  <c r="BQ185" i="5"/>
  <c r="BI185" i="5"/>
  <c r="CB185" i="5"/>
  <c r="BJ185" i="5"/>
  <c r="BK185" i="5" s="1"/>
  <c r="CH151" i="5"/>
  <c r="BZ151" i="5"/>
  <c r="CA151" i="5" s="1"/>
  <c r="BR151" i="5"/>
  <c r="BS151" i="5" s="1"/>
  <c r="BJ151" i="5"/>
  <c r="BK151" i="5" s="1"/>
  <c r="CG151" i="5"/>
  <c r="BY151" i="5"/>
  <c r="BQ151" i="5"/>
  <c r="BI151" i="5"/>
  <c r="BA151" i="5"/>
  <c r="CB151" i="5"/>
  <c r="BM151" i="5"/>
  <c r="AZ151" i="5"/>
  <c r="BX151" i="5"/>
  <c r="BL151" i="5"/>
  <c r="BV151" i="5"/>
  <c r="BW151" i="5" s="1"/>
  <c r="BU151" i="5"/>
  <c r="BH151" i="5"/>
  <c r="BT151" i="5"/>
  <c r="BF151" i="5"/>
  <c r="BG151" i="5" s="1"/>
  <c r="CF151" i="5"/>
  <c r="BE151" i="5"/>
  <c r="BN151" i="5"/>
  <c r="BO151" i="5" s="1"/>
  <c r="BD151" i="5"/>
  <c r="CD151" i="5"/>
  <c r="CE151" i="5" s="1"/>
  <c r="CC151" i="5"/>
  <c r="BP151" i="5"/>
  <c r="CH57" i="5"/>
  <c r="BZ57" i="5"/>
  <c r="CA57" i="5" s="1"/>
  <c r="BR57" i="5"/>
  <c r="BS57" i="5" s="1"/>
  <c r="BJ57" i="5"/>
  <c r="BK57" i="5" s="1"/>
  <c r="CG57" i="5"/>
  <c r="BY57" i="5"/>
  <c r="BQ57" i="5"/>
  <c r="BI57" i="5"/>
  <c r="CF57" i="5"/>
  <c r="BX57" i="5"/>
  <c r="BP57" i="5"/>
  <c r="BH57" i="5"/>
  <c r="AZ57" i="5"/>
  <c r="BA57" i="5" s="1"/>
  <c r="CD57" i="5"/>
  <c r="CE57" i="5" s="1"/>
  <c r="BV57" i="5"/>
  <c r="BW57" i="5" s="1"/>
  <c r="BN57" i="5"/>
  <c r="BO57" i="5" s="1"/>
  <c r="BF57" i="5"/>
  <c r="BG57" i="5" s="1"/>
  <c r="BU57" i="5"/>
  <c r="BE57" i="5"/>
  <c r="BL57" i="5"/>
  <c r="BD57" i="5"/>
  <c r="CC57" i="5"/>
  <c r="CB57" i="5"/>
  <c r="BT57" i="5"/>
  <c r="BM57" i="5"/>
  <c r="CB194" i="5"/>
  <c r="BT194" i="5"/>
  <c r="BL194" i="5"/>
  <c r="BD194" i="5"/>
  <c r="CD194" i="5"/>
  <c r="CE194" i="5" s="1"/>
  <c r="BV194" i="5"/>
  <c r="BW194" i="5" s="1"/>
  <c r="BN194" i="5"/>
  <c r="BO194" i="5" s="1"/>
  <c r="BF194" i="5"/>
  <c r="BG194" i="5" s="1"/>
  <c r="BZ194" i="5"/>
  <c r="CA194" i="5" s="1"/>
  <c r="BP194" i="5"/>
  <c r="BE194" i="5"/>
  <c r="BY194" i="5"/>
  <c r="CH194" i="5"/>
  <c r="BX194" i="5"/>
  <c r="BM194" i="5"/>
  <c r="CG194" i="5"/>
  <c r="BA194" i="5"/>
  <c r="BI194" i="5"/>
  <c r="BQ194" i="5"/>
  <c r="BJ194" i="5"/>
  <c r="BK194" i="5" s="1"/>
  <c r="BH194" i="5"/>
  <c r="CF194" i="5"/>
  <c r="CC194" i="5"/>
  <c r="AZ194" i="5"/>
  <c r="BU194" i="5"/>
  <c r="BR194" i="5"/>
  <c r="BS194" i="5" s="1"/>
  <c r="CH113" i="5"/>
  <c r="BZ113" i="5"/>
  <c r="CA113" i="5" s="1"/>
  <c r="BR113" i="5"/>
  <c r="BS113" i="5" s="1"/>
  <c r="BJ113" i="5"/>
  <c r="BK113" i="5" s="1"/>
  <c r="CF113" i="5"/>
  <c r="BX113" i="5"/>
  <c r="BP113" i="5"/>
  <c r="BH113" i="5"/>
  <c r="AZ113" i="5"/>
  <c r="CC113" i="5"/>
  <c r="BM113" i="5"/>
  <c r="CB113" i="5"/>
  <c r="BL113" i="5"/>
  <c r="BY113" i="5"/>
  <c r="BI113" i="5"/>
  <c r="BV113" i="5"/>
  <c r="BW113" i="5" s="1"/>
  <c r="BF113" i="5"/>
  <c r="BG113" i="5" s="1"/>
  <c r="BU113" i="5"/>
  <c r="BE113" i="5"/>
  <c r="BQ113" i="5"/>
  <c r="BN113" i="5"/>
  <c r="BO113" i="5" s="1"/>
  <c r="BD113" i="5"/>
  <c r="BA113" i="5"/>
  <c r="CG113" i="5"/>
  <c r="CD113" i="5"/>
  <c r="CE113" i="5" s="1"/>
  <c r="BT113" i="5"/>
  <c r="CD17" i="5"/>
  <c r="CE17" i="5" s="1"/>
  <c r="BV17" i="5"/>
  <c r="BW17" i="5" s="1"/>
  <c r="BN17" i="5"/>
  <c r="BO17" i="5" s="1"/>
  <c r="BF17" i="5"/>
  <c r="BG17" i="5" s="1"/>
  <c r="CC17" i="5"/>
  <c r="BU17" i="5"/>
  <c r="BM17" i="5"/>
  <c r="BE17" i="5"/>
  <c r="CB17" i="5"/>
  <c r="BT17" i="5"/>
  <c r="BL17" i="5"/>
  <c r="BD17" i="5"/>
  <c r="CH17" i="5"/>
  <c r="BZ17" i="5"/>
  <c r="CA17" i="5" s="1"/>
  <c r="BR17" i="5"/>
  <c r="BS17" i="5" s="1"/>
  <c r="BJ17" i="5"/>
  <c r="BK17" i="5" s="1"/>
  <c r="CG17" i="5"/>
  <c r="BY17" i="5"/>
  <c r="BQ17" i="5"/>
  <c r="BI17" i="5"/>
  <c r="AZ17" i="5"/>
  <c r="BA17" i="5" s="1"/>
  <c r="BX17" i="5"/>
  <c r="BP17" i="5"/>
  <c r="CF17" i="5"/>
  <c r="BH17" i="5"/>
  <c r="CF106" i="5"/>
  <c r="BX106" i="5"/>
  <c r="BP106" i="5"/>
  <c r="BH106" i="5"/>
  <c r="AZ106" i="5"/>
  <c r="CG106" i="5"/>
  <c r="BN106" i="5"/>
  <c r="BO106" i="5" s="1"/>
  <c r="BE106" i="5"/>
  <c r="BV106" i="5"/>
  <c r="BW106" i="5" s="1"/>
  <c r="BM106" i="5"/>
  <c r="BD106" i="5"/>
  <c r="CC106" i="5"/>
  <c r="BT106" i="5"/>
  <c r="CB106" i="5"/>
  <c r="BJ106" i="5"/>
  <c r="BK106" i="5" s="1"/>
  <c r="BA106" i="5"/>
  <c r="BR106" i="5"/>
  <c r="BS106" i="5" s="1"/>
  <c r="BQ106" i="5"/>
  <c r="CH106" i="5"/>
  <c r="CD106" i="5"/>
  <c r="CE106" i="5" s="1"/>
  <c r="BL106" i="5"/>
  <c r="BI106" i="5"/>
  <c r="BZ106" i="5"/>
  <c r="CA106" i="5" s="1"/>
  <c r="BY106" i="5"/>
  <c r="BU106" i="5"/>
  <c r="BF106" i="5"/>
  <c r="BG106" i="5" s="1"/>
  <c r="CF64" i="5"/>
  <c r="BX64" i="5"/>
  <c r="BP64" i="5"/>
  <c r="BH64" i="5"/>
  <c r="AZ64" i="5"/>
  <c r="BA64" i="5" s="1"/>
  <c r="CD64" i="5"/>
  <c r="CE64" i="5" s="1"/>
  <c r="BV64" i="5"/>
  <c r="BW64" i="5" s="1"/>
  <c r="BN64" i="5"/>
  <c r="BO64" i="5" s="1"/>
  <c r="BF64" i="5"/>
  <c r="BG64" i="5" s="1"/>
  <c r="CB64" i="5"/>
  <c r="BR64" i="5"/>
  <c r="BS64" i="5" s="1"/>
  <c r="BQ64" i="5"/>
  <c r="BE64" i="5"/>
  <c r="BZ64" i="5"/>
  <c r="CA64" i="5" s="1"/>
  <c r="BD64" i="5"/>
  <c r="BY64" i="5"/>
  <c r="BM64" i="5"/>
  <c r="CH64" i="5"/>
  <c r="BL64" i="5"/>
  <c r="BJ64" i="5"/>
  <c r="BK64" i="5" s="1"/>
  <c r="CG64" i="5"/>
  <c r="BI64" i="5"/>
  <c r="BU64" i="5"/>
  <c r="CC64" i="5"/>
  <c r="BT64" i="5"/>
  <c r="CH109" i="5"/>
  <c r="BZ109" i="5"/>
  <c r="CA109" i="5" s="1"/>
  <c r="BR109" i="5"/>
  <c r="BS109" i="5" s="1"/>
  <c r="BJ109" i="5"/>
  <c r="BK109" i="5" s="1"/>
  <c r="CF109" i="5"/>
  <c r="BX109" i="5"/>
  <c r="BP109" i="5"/>
  <c r="BH109" i="5"/>
  <c r="AZ109" i="5"/>
  <c r="BE109" i="5"/>
  <c r="BY109" i="5"/>
  <c r="BN109" i="5"/>
  <c r="BO109" i="5" s="1"/>
  <c r="BD109" i="5"/>
  <c r="CG109" i="5"/>
  <c r="BV109" i="5"/>
  <c r="BW109" i="5" s="1"/>
  <c r="BL109" i="5"/>
  <c r="BA109" i="5"/>
  <c r="BU109" i="5"/>
  <c r="CD109" i="5"/>
  <c r="CE109" i="5" s="1"/>
  <c r="BI109" i="5"/>
  <c r="CC109" i="5"/>
  <c r="CB109" i="5"/>
  <c r="BF109" i="5"/>
  <c r="BG109" i="5" s="1"/>
  <c r="BT109" i="5"/>
  <c r="BQ109" i="5"/>
  <c r="BM109" i="5"/>
  <c r="CB181" i="5"/>
  <c r="BT181" i="5"/>
  <c r="BL181" i="5"/>
  <c r="BD181" i="5"/>
  <c r="CH181" i="5"/>
  <c r="BZ181" i="5"/>
  <c r="CA181" i="5" s="1"/>
  <c r="BR181" i="5"/>
  <c r="BS181" i="5" s="1"/>
  <c r="BJ181" i="5"/>
  <c r="BK181" i="5" s="1"/>
  <c r="CG181" i="5"/>
  <c r="BY181" i="5"/>
  <c r="BQ181" i="5"/>
  <c r="BI181" i="5"/>
  <c r="BA181" i="5"/>
  <c r="CD181" i="5"/>
  <c r="CE181" i="5" s="1"/>
  <c r="BN181" i="5"/>
  <c r="BO181" i="5" s="1"/>
  <c r="CC181" i="5"/>
  <c r="BM181" i="5"/>
  <c r="BX181" i="5"/>
  <c r="BH181" i="5"/>
  <c r="BV181" i="5"/>
  <c r="BW181" i="5" s="1"/>
  <c r="BF181" i="5"/>
  <c r="BG181" i="5" s="1"/>
  <c r="BE181" i="5"/>
  <c r="AZ181" i="5"/>
  <c r="CF181" i="5"/>
  <c r="BU181" i="5"/>
  <c r="BP181" i="5"/>
  <c r="CB198" i="5"/>
  <c r="BT198" i="5"/>
  <c r="BL198" i="5"/>
  <c r="BD198" i="5"/>
  <c r="CD198" i="5"/>
  <c r="CE198" i="5" s="1"/>
  <c r="BV198" i="5"/>
  <c r="BW198" i="5" s="1"/>
  <c r="BN198" i="5"/>
  <c r="BO198" i="5" s="1"/>
  <c r="BF198" i="5"/>
  <c r="BG198" i="5" s="1"/>
  <c r="CH198" i="5"/>
  <c r="BX198" i="5"/>
  <c r="BM198" i="5"/>
  <c r="CG198" i="5"/>
  <c r="CF198" i="5"/>
  <c r="BU198" i="5"/>
  <c r="BJ198" i="5"/>
  <c r="BK198" i="5" s="1"/>
  <c r="AZ198" i="5"/>
  <c r="BA198" i="5" s="1"/>
  <c r="BI198" i="5"/>
  <c r="BQ198" i="5"/>
  <c r="BE198" i="5"/>
  <c r="CC198" i="5"/>
  <c r="BZ198" i="5"/>
  <c r="CA198" i="5" s="1"/>
  <c r="BY198" i="5"/>
  <c r="BR198" i="5"/>
  <c r="BS198" i="5" s="1"/>
  <c r="BP198" i="5"/>
  <c r="BH198" i="5"/>
  <c r="CF92" i="5"/>
  <c r="BX92" i="5"/>
  <c r="BP92" i="5"/>
  <c r="BH92" i="5"/>
  <c r="AZ92" i="5"/>
  <c r="BA92" i="5" s="1"/>
  <c r="BZ92" i="5"/>
  <c r="CA92" i="5" s="1"/>
  <c r="BQ92" i="5"/>
  <c r="CH92" i="5"/>
  <c r="BY92" i="5"/>
  <c r="BF92" i="5"/>
  <c r="BG92" i="5" s="1"/>
  <c r="CG92" i="5"/>
  <c r="BN92" i="5"/>
  <c r="BO92" i="5" s="1"/>
  <c r="BE92" i="5"/>
  <c r="BV92" i="5"/>
  <c r="BW92" i="5" s="1"/>
  <c r="BM92" i="5"/>
  <c r="BD92" i="5"/>
  <c r="CD92" i="5"/>
  <c r="CE92" i="5" s="1"/>
  <c r="BU92" i="5"/>
  <c r="BL92" i="5"/>
  <c r="BJ92" i="5"/>
  <c r="BK92" i="5" s="1"/>
  <c r="CC92" i="5"/>
  <c r="BI92" i="5"/>
  <c r="CB92" i="5"/>
  <c r="BT92" i="5"/>
  <c r="BR92" i="5"/>
  <c r="BS92" i="5" s="1"/>
  <c r="CG152" i="5"/>
  <c r="BY152" i="5"/>
  <c r="BQ152" i="5"/>
  <c r="BI152" i="5"/>
  <c r="CF152" i="5"/>
  <c r="BX152" i="5"/>
  <c r="BP152" i="5"/>
  <c r="BH152" i="5"/>
  <c r="AZ152" i="5"/>
  <c r="BA152" i="5" s="1"/>
  <c r="CC152" i="5"/>
  <c r="BU152" i="5"/>
  <c r="BM152" i="5"/>
  <c r="BE152" i="5"/>
  <c r="CD152" i="5"/>
  <c r="CE152" i="5" s="1"/>
  <c r="BN152" i="5"/>
  <c r="BO152" i="5" s="1"/>
  <c r="CB152" i="5"/>
  <c r="BL152" i="5"/>
  <c r="BZ152" i="5"/>
  <c r="CA152" i="5" s="1"/>
  <c r="BJ152" i="5"/>
  <c r="BK152" i="5" s="1"/>
  <c r="BV152" i="5"/>
  <c r="BW152" i="5" s="1"/>
  <c r="BF152" i="5"/>
  <c r="BG152" i="5" s="1"/>
  <c r="BT152" i="5"/>
  <c r="BD152" i="5"/>
  <c r="BR152" i="5"/>
  <c r="BS152" i="5" s="1"/>
  <c r="CH152" i="5"/>
  <c r="CD55" i="5"/>
  <c r="CE55" i="5" s="1"/>
  <c r="BV55" i="5"/>
  <c r="BW55" i="5" s="1"/>
  <c r="BN55" i="5"/>
  <c r="BO55" i="5" s="1"/>
  <c r="BF55" i="5"/>
  <c r="BG55" i="5" s="1"/>
  <c r="CC55" i="5"/>
  <c r="BU55" i="5"/>
  <c r="BM55" i="5"/>
  <c r="BE55" i="5"/>
  <c r="CB55" i="5"/>
  <c r="BT55" i="5"/>
  <c r="BL55" i="5"/>
  <c r="BD55" i="5"/>
  <c r="CH55" i="5"/>
  <c r="BZ55" i="5"/>
  <c r="CA55" i="5" s="1"/>
  <c r="BR55" i="5"/>
  <c r="BS55" i="5" s="1"/>
  <c r="BJ55" i="5"/>
  <c r="BK55" i="5" s="1"/>
  <c r="CG55" i="5"/>
  <c r="BQ55" i="5"/>
  <c r="BA55" i="5"/>
  <c r="BI55" i="5"/>
  <c r="BH55" i="5"/>
  <c r="CF55" i="5"/>
  <c r="AZ55" i="5"/>
  <c r="BY55" i="5"/>
  <c r="BP55" i="5"/>
  <c r="BX55" i="5"/>
  <c r="CB14" i="5"/>
  <c r="BT14" i="5"/>
  <c r="BL14" i="5"/>
  <c r="BD14" i="5"/>
  <c r="CH14" i="5"/>
  <c r="BZ14" i="5"/>
  <c r="CA14" i="5" s="1"/>
  <c r="BR14" i="5"/>
  <c r="BS14" i="5" s="1"/>
  <c r="BJ14" i="5"/>
  <c r="BK14" i="5" s="1"/>
  <c r="CG14" i="5"/>
  <c r="BY14" i="5"/>
  <c r="BQ14" i="5"/>
  <c r="BI14" i="5"/>
  <c r="CF14" i="5"/>
  <c r="BX14" i="5"/>
  <c r="BP14" i="5"/>
  <c r="BH14" i="5"/>
  <c r="AZ14" i="5"/>
  <c r="BA14" i="5" s="1"/>
  <c r="BV14" i="5"/>
  <c r="BW14" i="5" s="1"/>
  <c r="CD14" i="5"/>
  <c r="CE14" i="5" s="1"/>
  <c r="BU14" i="5"/>
  <c r="BN14" i="5"/>
  <c r="BO14" i="5" s="1"/>
  <c r="CC14" i="5"/>
  <c r="BM14" i="5"/>
  <c r="BF14" i="5"/>
  <c r="BG14" i="5" s="1"/>
  <c r="BE14" i="5"/>
  <c r="CB164" i="5"/>
  <c r="BT164" i="5"/>
  <c r="BL164" i="5"/>
  <c r="BD164" i="5"/>
  <c r="CH164" i="5"/>
  <c r="BZ164" i="5"/>
  <c r="CA164" i="5" s="1"/>
  <c r="BR164" i="5"/>
  <c r="BS164" i="5" s="1"/>
  <c r="BJ164" i="5"/>
  <c r="BK164" i="5" s="1"/>
  <c r="CC164" i="5"/>
  <c r="BA164" i="5"/>
  <c r="BY164" i="5"/>
  <c r="BN164" i="5"/>
  <c r="BO164" i="5" s="1"/>
  <c r="AZ164" i="5"/>
  <c r="BX164" i="5"/>
  <c r="BM164" i="5"/>
  <c r="BI164" i="5"/>
  <c r="CG164" i="5"/>
  <c r="BV164" i="5"/>
  <c r="BW164" i="5" s="1"/>
  <c r="BH164" i="5"/>
  <c r="BP164" i="5"/>
  <c r="BF164" i="5"/>
  <c r="BG164" i="5" s="1"/>
  <c r="CF164" i="5"/>
  <c r="BE164" i="5"/>
  <c r="CD164" i="5"/>
  <c r="CE164" i="5" s="1"/>
  <c r="BU164" i="5"/>
  <c r="BQ164" i="5"/>
  <c r="CB104" i="5"/>
  <c r="BT104" i="5"/>
  <c r="BL104" i="5"/>
  <c r="BD104" i="5"/>
  <c r="CF104" i="5"/>
  <c r="BN104" i="5"/>
  <c r="BO104" i="5" s="1"/>
  <c r="BE104" i="5"/>
  <c r="BV104" i="5"/>
  <c r="BW104" i="5" s="1"/>
  <c r="BM104" i="5"/>
  <c r="BR104" i="5"/>
  <c r="BS104" i="5" s="1"/>
  <c r="BI104" i="5"/>
  <c r="AZ104" i="5"/>
  <c r="BA104" i="5" s="1"/>
  <c r="CG104" i="5"/>
  <c r="BQ104" i="5"/>
  <c r="CD104" i="5"/>
  <c r="CE104" i="5" s="1"/>
  <c r="BP104" i="5"/>
  <c r="CC104" i="5"/>
  <c r="BZ104" i="5"/>
  <c r="CA104" i="5" s="1"/>
  <c r="BY104" i="5"/>
  <c r="BJ104" i="5"/>
  <c r="BK104" i="5" s="1"/>
  <c r="BF104" i="5"/>
  <c r="BG104" i="5" s="1"/>
  <c r="CH104" i="5"/>
  <c r="BX104" i="5"/>
  <c r="BU104" i="5"/>
  <c r="BH104" i="5"/>
  <c r="CB102" i="5"/>
  <c r="BT102" i="5"/>
  <c r="BL102" i="5"/>
  <c r="BD102" i="5"/>
  <c r="CF102" i="5"/>
  <c r="BX102" i="5"/>
  <c r="BP102" i="5"/>
  <c r="BH102" i="5"/>
  <c r="AZ102" i="5"/>
  <c r="BA102" i="5" s="1"/>
  <c r="BZ102" i="5"/>
  <c r="CA102" i="5" s="1"/>
  <c r="BN102" i="5"/>
  <c r="BO102" i="5" s="1"/>
  <c r="BY102" i="5"/>
  <c r="BM102" i="5"/>
  <c r="BJ102" i="5"/>
  <c r="BK102" i="5" s="1"/>
  <c r="CH102" i="5"/>
  <c r="BV102" i="5"/>
  <c r="BW102" i="5" s="1"/>
  <c r="BI102" i="5"/>
  <c r="CG102" i="5"/>
  <c r="BU102" i="5"/>
  <c r="BF102" i="5"/>
  <c r="BG102" i="5" s="1"/>
  <c r="BE102" i="5"/>
  <c r="CD102" i="5"/>
  <c r="CE102" i="5" s="1"/>
  <c r="CC102" i="5"/>
  <c r="BQ102" i="5"/>
  <c r="BR102" i="5"/>
  <c r="BS102" i="5" s="1"/>
  <c r="CD21" i="5"/>
  <c r="CE21" i="5" s="1"/>
  <c r="BV21" i="5"/>
  <c r="BW21" i="5" s="1"/>
  <c r="BN21" i="5"/>
  <c r="BO21" i="5" s="1"/>
  <c r="BF21" i="5"/>
  <c r="BG21" i="5" s="1"/>
  <c r="CC21" i="5"/>
  <c r="BU21" i="5"/>
  <c r="BM21" i="5"/>
  <c r="BE21" i="5"/>
  <c r="CB21" i="5"/>
  <c r="BT21" i="5"/>
  <c r="BL21" i="5"/>
  <c r="BD21" i="5"/>
  <c r="CH21" i="5"/>
  <c r="BZ21" i="5"/>
  <c r="CA21" i="5" s="1"/>
  <c r="BR21" i="5"/>
  <c r="BS21" i="5" s="1"/>
  <c r="BJ21" i="5"/>
  <c r="BK21" i="5" s="1"/>
  <c r="CG21" i="5"/>
  <c r="BY21" i="5"/>
  <c r="BQ21" i="5"/>
  <c r="BI21" i="5"/>
  <c r="BX21" i="5"/>
  <c r="CF21" i="5"/>
  <c r="BP21" i="5"/>
  <c r="AZ21" i="5"/>
  <c r="BA21" i="5" s="1"/>
  <c r="BH21" i="5"/>
  <c r="CF46" i="5"/>
  <c r="BX46" i="5"/>
  <c r="BP46" i="5"/>
  <c r="BH46" i="5"/>
  <c r="AZ46" i="5"/>
  <c r="BA46" i="5" s="1"/>
  <c r="CD46" i="5"/>
  <c r="CE46" i="5" s="1"/>
  <c r="BV46" i="5"/>
  <c r="BW46" i="5" s="1"/>
  <c r="BN46" i="5"/>
  <c r="BO46" i="5" s="1"/>
  <c r="BF46" i="5"/>
  <c r="BG46" i="5" s="1"/>
  <c r="CB46" i="5"/>
  <c r="BT46" i="5"/>
  <c r="BL46" i="5"/>
  <c r="BD46" i="5"/>
  <c r="CH46" i="5"/>
  <c r="BU46" i="5"/>
  <c r="BI46" i="5"/>
  <c r="CG46" i="5"/>
  <c r="BR46" i="5"/>
  <c r="BS46" i="5" s="1"/>
  <c r="BQ46" i="5"/>
  <c r="CC46" i="5"/>
  <c r="BM46" i="5"/>
  <c r="BZ46" i="5"/>
  <c r="CA46" i="5" s="1"/>
  <c r="BY46" i="5"/>
  <c r="BJ46" i="5"/>
  <c r="BK46" i="5" s="1"/>
  <c r="BE46" i="5"/>
  <c r="CH199" i="5"/>
  <c r="BZ199" i="5"/>
  <c r="CA199" i="5" s="1"/>
  <c r="BR199" i="5"/>
  <c r="BS199" i="5" s="1"/>
  <c r="BJ199" i="5"/>
  <c r="BK199" i="5" s="1"/>
  <c r="CB199" i="5"/>
  <c r="BT199" i="5"/>
  <c r="BL199" i="5"/>
  <c r="BD199" i="5"/>
  <c r="BP199" i="5"/>
  <c r="BF199" i="5"/>
  <c r="BG199" i="5" s="1"/>
  <c r="BY199" i="5"/>
  <c r="BE199" i="5"/>
  <c r="BX199" i="5"/>
  <c r="BN199" i="5"/>
  <c r="BO199" i="5" s="1"/>
  <c r="CG199" i="5"/>
  <c r="BM199" i="5"/>
  <c r="BU199" i="5"/>
  <c r="BI199" i="5"/>
  <c r="BV199" i="5"/>
  <c r="BW199" i="5" s="1"/>
  <c r="BQ199" i="5"/>
  <c r="BH199" i="5"/>
  <c r="CF199" i="5"/>
  <c r="CD199" i="5"/>
  <c r="CE199" i="5" s="1"/>
  <c r="AZ199" i="5"/>
  <c r="BA199" i="5" s="1"/>
  <c r="CC199" i="5"/>
  <c r="CC191" i="5"/>
  <c r="BU191" i="5"/>
  <c r="BM191" i="5"/>
  <c r="BE191" i="5"/>
  <c r="CB191" i="5"/>
  <c r="BT191" i="5"/>
  <c r="BL191" i="5"/>
  <c r="BD191" i="5"/>
  <c r="CH191" i="5"/>
  <c r="BZ191" i="5"/>
  <c r="CA191" i="5" s="1"/>
  <c r="BR191" i="5"/>
  <c r="BS191" i="5" s="1"/>
  <c r="BJ191" i="5"/>
  <c r="BK191" i="5" s="1"/>
  <c r="CD191" i="5"/>
  <c r="CE191" i="5" s="1"/>
  <c r="BN191" i="5"/>
  <c r="BO191" i="5" s="1"/>
  <c r="BY191" i="5"/>
  <c r="BI191" i="5"/>
  <c r="BX191" i="5"/>
  <c r="BH191" i="5"/>
  <c r="BV191" i="5"/>
  <c r="BW191" i="5" s="1"/>
  <c r="BF191" i="5"/>
  <c r="BG191" i="5" s="1"/>
  <c r="BQ191" i="5"/>
  <c r="BP191" i="5"/>
  <c r="CG191" i="5"/>
  <c r="CF191" i="5"/>
  <c r="AZ191" i="5"/>
  <c r="BA191" i="5" s="1"/>
  <c r="CH182" i="5"/>
  <c r="BZ182" i="5"/>
  <c r="CA182" i="5" s="1"/>
  <c r="BR182" i="5"/>
  <c r="BS182" i="5" s="1"/>
  <c r="BJ182" i="5"/>
  <c r="BK182" i="5" s="1"/>
  <c r="CG182" i="5"/>
  <c r="BY182" i="5"/>
  <c r="BQ182" i="5"/>
  <c r="BI182" i="5"/>
  <c r="BA182" i="5"/>
  <c r="CF182" i="5"/>
  <c r="BX182" i="5"/>
  <c r="BP182" i="5"/>
  <c r="BH182" i="5"/>
  <c r="AZ182" i="5"/>
  <c r="BU182" i="5"/>
  <c r="BE182" i="5"/>
  <c r="BT182" i="5"/>
  <c r="BD182" i="5"/>
  <c r="CD182" i="5"/>
  <c r="CE182" i="5" s="1"/>
  <c r="BN182" i="5"/>
  <c r="BO182" i="5" s="1"/>
  <c r="CC182" i="5"/>
  <c r="BM182" i="5"/>
  <c r="BL182" i="5"/>
  <c r="BF182" i="5"/>
  <c r="BG182" i="5" s="1"/>
  <c r="BV182" i="5"/>
  <c r="BW182" i="5" s="1"/>
  <c r="CB182" i="5"/>
  <c r="CD184" i="5"/>
  <c r="CE184" i="5" s="1"/>
  <c r="BV184" i="5"/>
  <c r="BW184" i="5" s="1"/>
  <c r="BN184" i="5"/>
  <c r="BO184" i="5" s="1"/>
  <c r="BF184" i="5"/>
  <c r="BG184" i="5" s="1"/>
  <c r="CC184" i="5"/>
  <c r="BU184" i="5"/>
  <c r="BM184" i="5"/>
  <c r="BE184" i="5"/>
  <c r="CB184" i="5"/>
  <c r="BT184" i="5"/>
  <c r="BL184" i="5"/>
  <c r="BD184" i="5"/>
  <c r="BR184" i="5"/>
  <c r="BS184" i="5" s="1"/>
  <c r="AZ184" i="5"/>
  <c r="BQ184" i="5"/>
  <c r="CH184" i="5"/>
  <c r="BP184" i="5"/>
  <c r="CG184" i="5"/>
  <c r="BJ184" i="5"/>
  <c r="BK184" i="5" s="1"/>
  <c r="CF184" i="5"/>
  <c r="BI184" i="5"/>
  <c r="BZ184" i="5"/>
  <c r="CA184" i="5" s="1"/>
  <c r="BY184" i="5"/>
  <c r="BX184" i="5"/>
  <c r="BH184" i="5"/>
  <c r="BA184" i="5"/>
  <c r="CD163" i="5"/>
  <c r="CE163" i="5" s="1"/>
  <c r="BV163" i="5"/>
  <c r="BW163" i="5" s="1"/>
  <c r="BN163" i="5"/>
  <c r="BO163" i="5" s="1"/>
  <c r="BF163" i="5"/>
  <c r="BG163" i="5" s="1"/>
  <c r="CC163" i="5"/>
  <c r="BU163" i="5"/>
  <c r="BM163" i="5"/>
  <c r="BE163" i="5"/>
  <c r="CB163" i="5"/>
  <c r="BT163" i="5"/>
  <c r="BL163" i="5"/>
  <c r="BD163" i="5"/>
  <c r="BZ163" i="5"/>
  <c r="CA163" i="5" s="1"/>
  <c r="BY163" i="5"/>
  <c r="AZ163" i="5"/>
  <c r="BA163" i="5" s="1"/>
  <c r="BX163" i="5"/>
  <c r="BJ163" i="5"/>
  <c r="BK163" i="5" s="1"/>
  <c r="CH163" i="5"/>
  <c r="BI163" i="5"/>
  <c r="CG163" i="5"/>
  <c r="BH163" i="5"/>
  <c r="CF163" i="5"/>
  <c r="BR163" i="5"/>
  <c r="BS163" i="5" s="1"/>
  <c r="BQ163" i="5"/>
  <c r="BP163" i="5"/>
  <c r="CD168" i="5"/>
  <c r="CE168" i="5" s="1"/>
  <c r="BV168" i="5"/>
  <c r="BW168" i="5" s="1"/>
  <c r="BN168" i="5"/>
  <c r="BO168" i="5" s="1"/>
  <c r="BF168" i="5"/>
  <c r="BG168" i="5" s="1"/>
  <c r="CB168" i="5"/>
  <c r="BT168" i="5"/>
  <c r="BL168" i="5"/>
  <c r="BD168" i="5"/>
  <c r="BY168" i="5"/>
  <c r="CH168" i="5"/>
  <c r="BX168" i="5"/>
  <c r="BM168" i="5"/>
  <c r="CG168" i="5"/>
  <c r="BA168" i="5"/>
  <c r="CF168" i="5"/>
  <c r="BU168" i="5"/>
  <c r="BJ168" i="5"/>
  <c r="BK168" i="5" s="1"/>
  <c r="AZ168" i="5"/>
  <c r="BI168" i="5"/>
  <c r="BP168" i="5"/>
  <c r="BH168" i="5"/>
  <c r="CC168" i="5"/>
  <c r="BE168" i="5"/>
  <c r="BQ168" i="5"/>
  <c r="BR168" i="5"/>
  <c r="BS168" i="5" s="1"/>
  <c r="BZ168" i="5"/>
  <c r="CA168" i="5" s="1"/>
  <c r="CD142" i="5"/>
  <c r="CE142" i="5" s="1"/>
  <c r="BV142" i="5"/>
  <c r="BW142" i="5" s="1"/>
  <c r="BN142" i="5"/>
  <c r="BO142" i="5" s="1"/>
  <c r="BF142" i="5"/>
  <c r="BG142" i="5" s="1"/>
  <c r="CC142" i="5"/>
  <c r="BU142" i="5"/>
  <c r="BM142" i="5"/>
  <c r="BE142" i="5"/>
  <c r="CB142" i="5"/>
  <c r="BT142" i="5"/>
  <c r="BL142" i="5"/>
  <c r="BD142" i="5"/>
  <c r="CH142" i="5"/>
  <c r="BZ142" i="5"/>
  <c r="CA142" i="5" s="1"/>
  <c r="BR142" i="5"/>
  <c r="BS142" i="5" s="1"/>
  <c r="BJ142" i="5"/>
  <c r="BK142" i="5" s="1"/>
  <c r="BP142" i="5"/>
  <c r="CG142" i="5"/>
  <c r="CF142" i="5"/>
  <c r="BI142" i="5"/>
  <c r="BH142" i="5"/>
  <c r="BY142" i="5"/>
  <c r="BX142" i="5"/>
  <c r="BQ142" i="5"/>
  <c r="BA142" i="5"/>
  <c r="AZ142" i="5"/>
  <c r="CB126" i="5"/>
  <c r="BT126" i="5"/>
  <c r="BL126" i="5"/>
  <c r="BD126" i="5"/>
  <c r="CH126" i="5"/>
  <c r="CC126" i="5"/>
  <c r="BJ126" i="5"/>
  <c r="BK126" i="5" s="1"/>
  <c r="BA126" i="5"/>
  <c r="BR126" i="5"/>
  <c r="BS126" i="5" s="1"/>
  <c r="BI126" i="5"/>
  <c r="AZ126" i="5"/>
  <c r="BZ126" i="5"/>
  <c r="CA126" i="5" s="1"/>
  <c r="BQ126" i="5"/>
  <c r="BH126" i="5"/>
  <c r="BY126" i="5"/>
  <c r="BP126" i="5"/>
  <c r="CG126" i="5"/>
  <c r="BX126" i="5"/>
  <c r="BF126" i="5"/>
  <c r="BG126" i="5" s="1"/>
  <c r="CD126" i="5"/>
  <c r="CE126" i="5" s="1"/>
  <c r="BV126" i="5"/>
  <c r="BW126" i="5" s="1"/>
  <c r="BU126" i="5"/>
  <c r="BN126" i="5"/>
  <c r="BO126" i="5" s="1"/>
  <c r="BE126" i="5"/>
  <c r="CF126" i="5"/>
  <c r="BM126" i="5"/>
  <c r="CF148" i="5"/>
  <c r="BX148" i="5"/>
  <c r="BP148" i="5"/>
  <c r="BH148" i="5"/>
  <c r="AZ148" i="5"/>
  <c r="BA148" i="5" s="1"/>
  <c r="CD148" i="5"/>
  <c r="CE148" i="5" s="1"/>
  <c r="BT148" i="5"/>
  <c r="BJ148" i="5"/>
  <c r="BK148" i="5" s="1"/>
  <c r="CC148" i="5"/>
  <c r="BI148" i="5"/>
  <c r="CB148" i="5"/>
  <c r="BR148" i="5"/>
  <c r="BS148" i="5" s="1"/>
  <c r="BF148" i="5"/>
  <c r="BG148" i="5" s="1"/>
  <c r="BQ148" i="5"/>
  <c r="BE148" i="5"/>
  <c r="BZ148" i="5"/>
  <c r="CA148" i="5" s="1"/>
  <c r="BN148" i="5"/>
  <c r="BO148" i="5" s="1"/>
  <c r="BD148" i="5"/>
  <c r="BY148" i="5"/>
  <c r="BM148" i="5"/>
  <c r="CH148" i="5"/>
  <c r="CG148" i="5"/>
  <c r="BV148" i="5"/>
  <c r="BW148" i="5" s="1"/>
  <c r="BU148" i="5"/>
  <c r="BL148" i="5"/>
  <c r="CG136" i="5"/>
  <c r="BY136" i="5"/>
  <c r="BQ136" i="5"/>
  <c r="BI136" i="5"/>
  <c r="BA136" i="5"/>
  <c r="CF136" i="5"/>
  <c r="BX136" i="5"/>
  <c r="BP136" i="5"/>
  <c r="BH136" i="5"/>
  <c r="AZ136" i="5"/>
  <c r="CD136" i="5"/>
  <c r="CE136" i="5" s="1"/>
  <c r="BV136" i="5"/>
  <c r="BW136" i="5" s="1"/>
  <c r="BN136" i="5"/>
  <c r="BO136" i="5" s="1"/>
  <c r="BF136" i="5"/>
  <c r="BG136" i="5" s="1"/>
  <c r="BU136" i="5"/>
  <c r="BE136" i="5"/>
  <c r="BT136" i="5"/>
  <c r="BD136" i="5"/>
  <c r="CH136" i="5"/>
  <c r="BR136" i="5"/>
  <c r="BS136" i="5" s="1"/>
  <c r="CC136" i="5"/>
  <c r="BM136" i="5"/>
  <c r="BJ136" i="5"/>
  <c r="BK136" i="5" s="1"/>
  <c r="CB136" i="5"/>
  <c r="BL136" i="5"/>
  <c r="BZ136" i="5"/>
  <c r="CA136" i="5" s="1"/>
  <c r="CG132" i="5"/>
  <c r="BY132" i="5"/>
  <c r="BQ132" i="5"/>
  <c r="BI132" i="5"/>
  <c r="CF132" i="5"/>
  <c r="BX132" i="5"/>
  <c r="BP132" i="5"/>
  <c r="BH132" i="5"/>
  <c r="AZ132" i="5"/>
  <c r="BA132" i="5" s="1"/>
  <c r="CD132" i="5"/>
  <c r="CE132" i="5" s="1"/>
  <c r="BV132" i="5"/>
  <c r="BW132" i="5" s="1"/>
  <c r="BN132" i="5"/>
  <c r="BO132" i="5" s="1"/>
  <c r="BF132" i="5"/>
  <c r="BG132" i="5" s="1"/>
  <c r="BU132" i="5"/>
  <c r="BJ132" i="5"/>
  <c r="BK132" i="5" s="1"/>
  <c r="CH132" i="5"/>
  <c r="BT132" i="5"/>
  <c r="BE132" i="5"/>
  <c r="CC132" i="5"/>
  <c r="BR132" i="5"/>
  <c r="BS132" i="5" s="1"/>
  <c r="BD132" i="5"/>
  <c r="BM132" i="5"/>
  <c r="BL132" i="5"/>
  <c r="CB132" i="5"/>
  <c r="BZ132" i="5"/>
  <c r="CA132" i="5" s="1"/>
  <c r="CD119" i="5"/>
  <c r="CE119" i="5" s="1"/>
  <c r="BV119" i="5"/>
  <c r="BW119" i="5" s="1"/>
  <c r="BN119" i="5"/>
  <c r="BO119" i="5" s="1"/>
  <c r="BF119" i="5"/>
  <c r="BG119" i="5" s="1"/>
  <c r="CC119" i="5"/>
  <c r="BU119" i="5"/>
  <c r="BM119" i="5"/>
  <c r="BE119" i="5"/>
  <c r="CB119" i="5"/>
  <c r="BT119" i="5"/>
  <c r="BL119" i="5"/>
  <c r="BD119" i="5"/>
  <c r="CG119" i="5"/>
  <c r="BJ119" i="5"/>
  <c r="BK119" i="5" s="1"/>
  <c r="CF119" i="5"/>
  <c r="BI119" i="5"/>
  <c r="BZ119" i="5"/>
  <c r="CA119" i="5" s="1"/>
  <c r="BH119" i="5"/>
  <c r="BY119" i="5"/>
  <c r="BX119" i="5"/>
  <c r="BA119" i="5"/>
  <c r="AZ119" i="5"/>
  <c r="CH119" i="5"/>
  <c r="BR119" i="5"/>
  <c r="BS119" i="5" s="1"/>
  <c r="BQ119" i="5"/>
  <c r="BP119" i="5"/>
  <c r="CF76" i="5"/>
  <c r="BX76" i="5"/>
  <c r="BP76" i="5"/>
  <c r="BH76" i="5"/>
  <c r="AZ76" i="5"/>
  <c r="CD76" i="5"/>
  <c r="CE76" i="5" s="1"/>
  <c r="BV76" i="5"/>
  <c r="BW76" i="5" s="1"/>
  <c r="BN76" i="5"/>
  <c r="BO76" i="5" s="1"/>
  <c r="BF76" i="5"/>
  <c r="BG76" i="5" s="1"/>
  <c r="CH76" i="5"/>
  <c r="BT76" i="5"/>
  <c r="BI76" i="5"/>
  <c r="CG76" i="5"/>
  <c r="BE76" i="5"/>
  <c r="CC76" i="5"/>
  <c r="BR76" i="5"/>
  <c r="BS76" i="5" s="1"/>
  <c r="BD76" i="5"/>
  <c r="CB76" i="5"/>
  <c r="BQ76" i="5"/>
  <c r="BM76" i="5"/>
  <c r="BJ76" i="5"/>
  <c r="BK76" i="5" s="1"/>
  <c r="BA76" i="5"/>
  <c r="BZ76" i="5"/>
  <c r="CA76" i="5" s="1"/>
  <c r="BU76" i="5"/>
  <c r="BL76" i="5"/>
  <c r="BY76" i="5"/>
  <c r="CH75" i="5"/>
  <c r="BZ75" i="5"/>
  <c r="CA75" i="5" s="1"/>
  <c r="BR75" i="5"/>
  <c r="BS75" i="5" s="1"/>
  <c r="BJ75" i="5"/>
  <c r="BK75" i="5" s="1"/>
  <c r="CG75" i="5"/>
  <c r="BY75" i="5"/>
  <c r="BQ75" i="5"/>
  <c r="BI75" i="5"/>
  <c r="CF75" i="5"/>
  <c r="BX75" i="5"/>
  <c r="BP75" i="5"/>
  <c r="BH75" i="5"/>
  <c r="AZ75" i="5"/>
  <c r="BA75" i="5" s="1"/>
  <c r="BL75" i="5"/>
  <c r="BV75" i="5"/>
  <c r="BW75" i="5" s="1"/>
  <c r="BU75" i="5"/>
  <c r="BT75" i="5"/>
  <c r="BF75" i="5"/>
  <c r="BG75" i="5" s="1"/>
  <c r="CD75" i="5"/>
  <c r="CE75" i="5" s="1"/>
  <c r="BE75" i="5"/>
  <c r="BM75" i="5"/>
  <c r="BD75" i="5"/>
  <c r="CC75" i="5"/>
  <c r="CB75" i="5"/>
  <c r="BN75" i="5"/>
  <c r="BO75" i="5" s="1"/>
  <c r="CF100" i="5"/>
  <c r="BX100" i="5"/>
  <c r="BP100" i="5"/>
  <c r="BH100" i="5"/>
  <c r="AZ100" i="5"/>
  <c r="CB100" i="5"/>
  <c r="BT100" i="5"/>
  <c r="BL100" i="5"/>
  <c r="BD100" i="5"/>
  <c r="CC100" i="5"/>
  <c r="BQ100" i="5"/>
  <c r="BN100" i="5"/>
  <c r="BO100" i="5" s="1"/>
  <c r="BZ100" i="5"/>
  <c r="CA100" i="5" s="1"/>
  <c r="BM100" i="5"/>
  <c r="BA100" i="5"/>
  <c r="BY100" i="5"/>
  <c r="BV100" i="5"/>
  <c r="BW100" i="5" s="1"/>
  <c r="BJ100" i="5"/>
  <c r="BK100" i="5" s="1"/>
  <c r="BR100" i="5"/>
  <c r="BS100" i="5" s="1"/>
  <c r="BI100" i="5"/>
  <c r="BF100" i="5"/>
  <c r="BG100" i="5" s="1"/>
  <c r="CH100" i="5"/>
  <c r="BE100" i="5"/>
  <c r="CG100" i="5"/>
  <c r="BU100" i="5"/>
  <c r="CD100" i="5"/>
  <c r="CE100" i="5" s="1"/>
  <c r="CF38" i="5"/>
  <c r="BX38" i="5"/>
  <c r="BP38" i="5"/>
  <c r="BH38" i="5"/>
  <c r="AZ38" i="5"/>
  <c r="CD38" i="5"/>
  <c r="CE38" i="5" s="1"/>
  <c r="BV38" i="5"/>
  <c r="BW38" i="5" s="1"/>
  <c r="BN38" i="5"/>
  <c r="BO38" i="5" s="1"/>
  <c r="BF38" i="5"/>
  <c r="BG38" i="5" s="1"/>
  <c r="CB38" i="5"/>
  <c r="BT38" i="5"/>
  <c r="BL38" i="5"/>
  <c r="BD38" i="5"/>
  <c r="BR38" i="5"/>
  <c r="BS38" i="5" s="1"/>
  <c r="BE38" i="5"/>
  <c r="CC38" i="5"/>
  <c r="BQ38" i="5"/>
  <c r="BZ38" i="5"/>
  <c r="CA38" i="5" s="1"/>
  <c r="BJ38" i="5"/>
  <c r="BK38" i="5" s="1"/>
  <c r="BY38" i="5"/>
  <c r="BI38" i="5"/>
  <c r="BU38" i="5"/>
  <c r="BA38" i="5"/>
  <c r="CH38" i="5"/>
  <c r="CG38" i="5"/>
  <c r="BM38" i="5"/>
  <c r="CD89" i="5"/>
  <c r="CE89" i="5" s="1"/>
  <c r="BV89" i="5"/>
  <c r="BW89" i="5" s="1"/>
  <c r="BN89" i="5"/>
  <c r="BO89" i="5" s="1"/>
  <c r="BF89" i="5"/>
  <c r="BG89" i="5" s="1"/>
  <c r="CC89" i="5"/>
  <c r="BU89" i="5"/>
  <c r="BM89" i="5"/>
  <c r="BE89" i="5"/>
  <c r="CB89" i="5"/>
  <c r="BT89" i="5"/>
  <c r="BL89" i="5"/>
  <c r="BD89" i="5"/>
  <c r="CG89" i="5"/>
  <c r="BJ89" i="5"/>
  <c r="BK89" i="5" s="1"/>
  <c r="CF89" i="5"/>
  <c r="BI89" i="5"/>
  <c r="BZ89" i="5"/>
  <c r="CA89" i="5" s="1"/>
  <c r="BH89" i="5"/>
  <c r="BY89" i="5"/>
  <c r="BX89" i="5"/>
  <c r="BA89" i="5"/>
  <c r="AZ89" i="5"/>
  <c r="BR89" i="5"/>
  <c r="BS89" i="5" s="1"/>
  <c r="BQ89" i="5"/>
  <c r="CH89" i="5"/>
  <c r="BP89" i="5"/>
  <c r="CD39" i="5"/>
  <c r="CE39" i="5" s="1"/>
  <c r="BV39" i="5"/>
  <c r="BW39" i="5" s="1"/>
  <c r="BN39" i="5"/>
  <c r="BO39" i="5" s="1"/>
  <c r="BF39" i="5"/>
  <c r="BG39" i="5" s="1"/>
  <c r="CB39" i="5"/>
  <c r="BT39" i="5"/>
  <c r="BL39" i="5"/>
  <c r="BD39" i="5"/>
  <c r="CH39" i="5"/>
  <c r="BZ39" i="5"/>
  <c r="CA39" i="5" s="1"/>
  <c r="BR39" i="5"/>
  <c r="BS39" i="5" s="1"/>
  <c r="BJ39" i="5"/>
  <c r="BK39" i="5" s="1"/>
  <c r="BQ39" i="5"/>
  <c r="BE39" i="5"/>
  <c r="CC39" i="5"/>
  <c r="BP39" i="5"/>
  <c r="BU39" i="5"/>
  <c r="AZ39" i="5"/>
  <c r="BA39" i="5" s="1"/>
  <c r="CG39" i="5"/>
  <c r="CF39" i="5"/>
  <c r="BM39" i="5"/>
  <c r="BH39" i="5"/>
  <c r="BX39" i="5"/>
  <c r="BI39" i="5"/>
  <c r="BY39" i="5"/>
  <c r="AD12" i="5"/>
  <c r="CF25" i="5"/>
  <c r="BV25" i="5"/>
  <c r="BW25" i="5" s="1"/>
  <c r="BM25" i="5"/>
  <c r="BD25" i="5"/>
  <c r="CD25" i="5"/>
  <c r="CE25" i="5" s="1"/>
  <c r="BU25" i="5"/>
  <c r="BL25" i="5"/>
  <c r="CC25" i="5"/>
  <c r="BT25" i="5"/>
  <c r="CB25" i="5"/>
  <c r="BJ25" i="5"/>
  <c r="BK25" i="5" s="1"/>
  <c r="BR25" i="5"/>
  <c r="BS25" i="5" s="1"/>
  <c r="BI25" i="5"/>
  <c r="AZ25" i="5"/>
  <c r="BA25" i="5" s="1"/>
  <c r="BZ25" i="5"/>
  <c r="CA25" i="5" s="1"/>
  <c r="BQ25" i="5"/>
  <c r="BH25" i="5"/>
  <c r="BY25" i="5"/>
  <c r="BX25" i="5"/>
  <c r="CH25" i="5"/>
  <c r="BP25" i="5"/>
  <c r="CG25" i="5"/>
  <c r="BN25" i="5"/>
  <c r="BO25" i="5" s="1"/>
  <c r="BF25" i="5"/>
  <c r="BG25" i="5" s="1"/>
  <c r="BE25" i="5"/>
  <c r="CF68" i="5"/>
  <c r="BX68" i="5"/>
  <c r="BP68" i="5"/>
  <c r="BH68" i="5"/>
  <c r="AZ68" i="5"/>
  <c r="BA68" i="5" s="1"/>
  <c r="CD68" i="5"/>
  <c r="CE68" i="5" s="1"/>
  <c r="BV68" i="5"/>
  <c r="BW68" i="5" s="1"/>
  <c r="BN68" i="5"/>
  <c r="BO68" i="5" s="1"/>
  <c r="BF68" i="5"/>
  <c r="BG68" i="5" s="1"/>
  <c r="BZ68" i="5"/>
  <c r="CA68" i="5" s="1"/>
  <c r="BD68" i="5"/>
  <c r="BY68" i="5"/>
  <c r="BM68" i="5"/>
  <c r="CH68" i="5"/>
  <c r="BL68" i="5"/>
  <c r="CG68" i="5"/>
  <c r="BU68" i="5"/>
  <c r="BT68" i="5"/>
  <c r="BJ68" i="5"/>
  <c r="BK68" i="5" s="1"/>
  <c r="CB68" i="5"/>
  <c r="BQ68" i="5"/>
  <c r="CC68" i="5"/>
  <c r="BR68" i="5"/>
  <c r="BS68" i="5" s="1"/>
  <c r="BI68" i="5"/>
  <c r="BE68" i="5"/>
  <c r="I12" i="4"/>
  <c r="P12" i="4" s="1"/>
  <c r="N12" i="4"/>
  <c r="G8" i="5"/>
  <c r="H8" i="5" s="1"/>
  <c r="L8" i="5" s="1"/>
  <c r="N8" i="5" s="1"/>
  <c r="CH166" i="5"/>
  <c r="BZ166" i="5"/>
  <c r="CA166" i="5" s="1"/>
  <c r="BR166" i="5"/>
  <c r="BS166" i="5" s="1"/>
  <c r="BJ166" i="5"/>
  <c r="BK166" i="5" s="1"/>
  <c r="CF166" i="5"/>
  <c r="BX166" i="5"/>
  <c r="BP166" i="5"/>
  <c r="BH166" i="5"/>
  <c r="AZ166" i="5"/>
  <c r="BA166" i="5" s="1"/>
  <c r="CG166" i="5"/>
  <c r="BV166" i="5"/>
  <c r="BW166" i="5" s="1"/>
  <c r="BL166" i="5"/>
  <c r="BU166" i="5"/>
  <c r="CD166" i="5"/>
  <c r="CE166" i="5" s="1"/>
  <c r="BT166" i="5"/>
  <c r="BI166" i="5"/>
  <c r="CC166" i="5"/>
  <c r="BY166" i="5"/>
  <c r="BD166" i="5"/>
  <c r="BQ166" i="5"/>
  <c r="BN166" i="5"/>
  <c r="BO166" i="5" s="1"/>
  <c r="BE166" i="5"/>
  <c r="CB166" i="5"/>
  <c r="BM166" i="5"/>
  <c r="BF166" i="5"/>
  <c r="BG166" i="5" s="1"/>
  <c r="CH117" i="5"/>
  <c r="BZ117" i="5"/>
  <c r="CA117" i="5" s="1"/>
  <c r="BR117" i="5"/>
  <c r="BS117" i="5" s="1"/>
  <c r="BJ117" i="5"/>
  <c r="BK117" i="5" s="1"/>
  <c r="CG117" i="5"/>
  <c r="BY117" i="5"/>
  <c r="BQ117" i="5"/>
  <c r="BI117" i="5"/>
  <c r="BA117" i="5"/>
  <c r="CF117" i="5"/>
  <c r="BX117" i="5"/>
  <c r="BP117" i="5"/>
  <c r="BH117" i="5"/>
  <c r="AZ117" i="5"/>
  <c r="CD117" i="5"/>
  <c r="CE117" i="5" s="1"/>
  <c r="BL117" i="5"/>
  <c r="CC117" i="5"/>
  <c r="BF117" i="5"/>
  <c r="BG117" i="5" s="1"/>
  <c r="CB117" i="5"/>
  <c r="BE117" i="5"/>
  <c r="BV117" i="5"/>
  <c r="BW117" i="5" s="1"/>
  <c r="BD117" i="5"/>
  <c r="BU117" i="5"/>
  <c r="BT117" i="5"/>
  <c r="BN117" i="5"/>
  <c r="BO117" i="5" s="1"/>
  <c r="BM117" i="5"/>
  <c r="CH131" i="5"/>
  <c r="BZ131" i="5"/>
  <c r="CA131" i="5" s="1"/>
  <c r="BR131" i="5"/>
  <c r="BS131" i="5" s="1"/>
  <c r="BJ131" i="5"/>
  <c r="BK131" i="5" s="1"/>
  <c r="CF131" i="5"/>
  <c r="BX131" i="5"/>
  <c r="BP131" i="5"/>
  <c r="BH131" i="5"/>
  <c r="AZ131" i="5"/>
  <c r="CC131" i="5"/>
  <c r="CB131" i="5"/>
  <c r="BQ131" i="5"/>
  <c r="BF131" i="5"/>
  <c r="BG131" i="5" s="1"/>
  <c r="BE131" i="5"/>
  <c r="BY131" i="5"/>
  <c r="BN131" i="5"/>
  <c r="BO131" i="5" s="1"/>
  <c r="BD131" i="5"/>
  <c r="BM131" i="5"/>
  <c r="CD131" i="5"/>
  <c r="CE131" i="5" s="1"/>
  <c r="BV131" i="5"/>
  <c r="BW131" i="5" s="1"/>
  <c r="BU131" i="5"/>
  <c r="BT131" i="5"/>
  <c r="BL131" i="5"/>
  <c r="BI131" i="5"/>
  <c r="BA131" i="5"/>
  <c r="CG131" i="5"/>
  <c r="CF30" i="5"/>
  <c r="BX30" i="5"/>
  <c r="BP30" i="5"/>
  <c r="BH30" i="5"/>
  <c r="AZ30" i="5"/>
  <c r="BA30" i="5" s="1"/>
  <c r="CD30" i="5"/>
  <c r="CE30" i="5" s="1"/>
  <c r="BV30" i="5"/>
  <c r="BW30" i="5" s="1"/>
  <c r="BN30" i="5"/>
  <c r="BO30" i="5" s="1"/>
  <c r="BF30" i="5"/>
  <c r="BG30" i="5" s="1"/>
  <c r="CB30" i="5"/>
  <c r="BT30" i="5"/>
  <c r="BL30" i="5"/>
  <c r="BD30" i="5"/>
  <c r="BZ30" i="5"/>
  <c r="CA30" i="5" s="1"/>
  <c r="BM30" i="5"/>
  <c r="BY30" i="5"/>
  <c r="BJ30" i="5"/>
  <c r="BK30" i="5" s="1"/>
  <c r="BI30" i="5"/>
  <c r="BU30" i="5"/>
  <c r="CH30" i="5"/>
  <c r="BE30" i="5"/>
  <c r="CG30" i="5"/>
  <c r="BR30" i="5"/>
  <c r="BS30" i="5" s="1"/>
  <c r="BQ30" i="5"/>
  <c r="CC30" i="5"/>
  <c r="CB48" i="5"/>
  <c r="BT48" i="5"/>
  <c r="BL48" i="5"/>
  <c r="BD48" i="5"/>
  <c r="CH48" i="5"/>
  <c r="BZ48" i="5"/>
  <c r="CA48" i="5" s="1"/>
  <c r="BR48" i="5"/>
  <c r="BS48" i="5" s="1"/>
  <c r="BJ48" i="5"/>
  <c r="BK48" i="5" s="1"/>
  <c r="CF48" i="5"/>
  <c r="BX48" i="5"/>
  <c r="BP48" i="5"/>
  <c r="BH48" i="5"/>
  <c r="AZ48" i="5"/>
  <c r="CG48" i="5"/>
  <c r="BU48" i="5"/>
  <c r="BF48" i="5"/>
  <c r="BG48" i="5" s="1"/>
  <c r="CC48" i="5"/>
  <c r="BQ48" i="5"/>
  <c r="BN48" i="5"/>
  <c r="BO48" i="5" s="1"/>
  <c r="BM48" i="5"/>
  <c r="CD48" i="5"/>
  <c r="CE48" i="5" s="1"/>
  <c r="BI48" i="5"/>
  <c r="BY48" i="5"/>
  <c r="BE48" i="5"/>
  <c r="BV48" i="5"/>
  <c r="BW48" i="5" s="1"/>
  <c r="BA48" i="5"/>
  <c r="CB187" i="5"/>
  <c r="BT187" i="5"/>
  <c r="BL187" i="5"/>
  <c r="BD187" i="5"/>
  <c r="CH187" i="5"/>
  <c r="BZ187" i="5"/>
  <c r="CA187" i="5" s="1"/>
  <c r="BR187" i="5"/>
  <c r="BS187" i="5" s="1"/>
  <c r="BJ187" i="5"/>
  <c r="BK187" i="5" s="1"/>
  <c r="BP187" i="5"/>
  <c r="BF187" i="5"/>
  <c r="BG187" i="5" s="1"/>
  <c r="BY187" i="5"/>
  <c r="BE187" i="5"/>
  <c r="BX187" i="5"/>
  <c r="BN187" i="5"/>
  <c r="BO187" i="5" s="1"/>
  <c r="CG187" i="5"/>
  <c r="BM187" i="5"/>
  <c r="BA187" i="5"/>
  <c r="CF187" i="5"/>
  <c r="BV187" i="5"/>
  <c r="BW187" i="5" s="1"/>
  <c r="AZ187" i="5"/>
  <c r="CD187" i="5"/>
  <c r="CE187" i="5" s="1"/>
  <c r="CC187" i="5"/>
  <c r="BU187" i="5"/>
  <c r="BQ187" i="5"/>
  <c r="BI187" i="5"/>
  <c r="BH187" i="5"/>
  <c r="CD145" i="5"/>
  <c r="CE145" i="5" s="1"/>
  <c r="BV145" i="5"/>
  <c r="BW145" i="5" s="1"/>
  <c r="BN145" i="5"/>
  <c r="BO145" i="5" s="1"/>
  <c r="BF145" i="5"/>
  <c r="BG145" i="5" s="1"/>
  <c r="BU145" i="5"/>
  <c r="BL145" i="5"/>
  <c r="CC145" i="5"/>
  <c r="BT145" i="5"/>
  <c r="CB145" i="5"/>
  <c r="BJ145" i="5"/>
  <c r="BK145" i="5" s="1"/>
  <c r="BR145" i="5"/>
  <c r="BS145" i="5" s="1"/>
  <c r="BI145" i="5"/>
  <c r="AZ145" i="5"/>
  <c r="BA145" i="5" s="1"/>
  <c r="BZ145" i="5"/>
  <c r="CA145" i="5" s="1"/>
  <c r="BQ145" i="5"/>
  <c r="BH145" i="5"/>
  <c r="CF145" i="5"/>
  <c r="BE145" i="5"/>
  <c r="BY145" i="5"/>
  <c r="BD145" i="5"/>
  <c r="BX145" i="5"/>
  <c r="BP145" i="5"/>
  <c r="BM145" i="5"/>
  <c r="CH145" i="5"/>
  <c r="CG145" i="5"/>
  <c r="CB139" i="5"/>
  <c r="BT139" i="5"/>
  <c r="BL139" i="5"/>
  <c r="BD139" i="5"/>
  <c r="CH139" i="5"/>
  <c r="BZ139" i="5"/>
  <c r="CA139" i="5" s="1"/>
  <c r="BR139" i="5"/>
  <c r="BS139" i="5" s="1"/>
  <c r="BJ139" i="5"/>
  <c r="BK139" i="5" s="1"/>
  <c r="CG139" i="5"/>
  <c r="BY139" i="5"/>
  <c r="BQ139" i="5"/>
  <c r="BI139" i="5"/>
  <c r="BA139" i="5"/>
  <c r="CF139" i="5"/>
  <c r="BX139" i="5"/>
  <c r="BP139" i="5"/>
  <c r="BH139" i="5"/>
  <c r="AZ139" i="5"/>
  <c r="BM139" i="5"/>
  <c r="CD139" i="5"/>
  <c r="CE139" i="5" s="1"/>
  <c r="CC139" i="5"/>
  <c r="BF139" i="5"/>
  <c r="BG139" i="5" s="1"/>
  <c r="BE139" i="5"/>
  <c r="BV139" i="5"/>
  <c r="BW139" i="5" s="1"/>
  <c r="BU139" i="5"/>
  <c r="BN139" i="5"/>
  <c r="BO139" i="5" s="1"/>
  <c r="CH37" i="5"/>
  <c r="BZ37" i="5"/>
  <c r="CA37" i="5" s="1"/>
  <c r="BR37" i="5"/>
  <c r="BS37" i="5" s="1"/>
  <c r="BJ37" i="5"/>
  <c r="BK37" i="5" s="1"/>
  <c r="CF37" i="5"/>
  <c r="BX37" i="5"/>
  <c r="BP37" i="5"/>
  <c r="BH37" i="5"/>
  <c r="AZ37" i="5"/>
  <c r="CD37" i="5"/>
  <c r="CE37" i="5" s="1"/>
  <c r="BV37" i="5"/>
  <c r="BW37" i="5" s="1"/>
  <c r="BN37" i="5"/>
  <c r="BO37" i="5" s="1"/>
  <c r="BF37" i="5"/>
  <c r="BG37" i="5" s="1"/>
  <c r="BU37" i="5"/>
  <c r="BI37" i="5"/>
  <c r="CG37" i="5"/>
  <c r="BT37" i="5"/>
  <c r="BQ37" i="5"/>
  <c r="BA37" i="5"/>
  <c r="CC37" i="5"/>
  <c r="BM37" i="5"/>
  <c r="CB37" i="5"/>
  <c r="BL37" i="5"/>
  <c r="BY37" i="5"/>
  <c r="BE37" i="5"/>
  <c r="BD37" i="5"/>
  <c r="CH178" i="5"/>
  <c r="BZ178" i="5"/>
  <c r="CA178" i="5" s="1"/>
  <c r="BR178" i="5"/>
  <c r="BS178" i="5" s="1"/>
  <c r="BJ178" i="5"/>
  <c r="BK178" i="5" s="1"/>
  <c r="CG178" i="5"/>
  <c r="BY178" i="5"/>
  <c r="BQ178" i="5"/>
  <c r="BI178" i="5"/>
  <c r="BA178" i="5"/>
  <c r="CF178" i="5"/>
  <c r="BX178" i="5"/>
  <c r="BP178" i="5"/>
  <c r="BH178" i="5"/>
  <c r="AZ178" i="5"/>
  <c r="BU178" i="5"/>
  <c r="BE178" i="5"/>
  <c r="BT178" i="5"/>
  <c r="BD178" i="5"/>
  <c r="CD178" i="5"/>
  <c r="CE178" i="5" s="1"/>
  <c r="BN178" i="5"/>
  <c r="BO178" i="5" s="1"/>
  <c r="CC178" i="5"/>
  <c r="BM178" i="5"/>
  <c r="CB178" i="5"/>
  <c r="BV178" i="5"/>
  <c r="BW178" i="5" s="1"/>
  <c r="BL178" i="5"/>
  <c r="BF178" i="5"/>
  <c r="BG178" i="5" s="1"/>
  <c r="CD180" i="5"/>
  <c r="CE180" i="5" s="1"/>
  <c r="BV180" i="5"/>
  <c r="BW180" i="5" s="1"/>
  <c r="BN180" i="5"/>
  <c r="BO180" i="5" s="1"/>
  <c r="BF180" i="5"/>
  <c r="BG180" i="5" s="1"/>
  <c r="CC180" i="5"/>
  <c r="BU180" i="5"/>
  <c r="BM180" i="5"/>
  <c r="BE180" i="5"/>
  <c r="CB180" i="5"/>
  <c r="BT180" i="5"/>
  <c r="BL180" i="5"/>
  <c r="BD180" i="5"/>
  <c r="CH180" i="5"/>
  <c r="BR180" i="5"/>
  <c r="BS180" i="5" s="1"/>
  <c r="CG180" i="5"/>
  <c r="BQ180" i="5"/>
  <c r="CF180" i="5"/>
  <c r="BP180" i="5"/>
  <c r="AZ180" i="5"/>
  <c r="BA180" i="5" s="1"/>
  <c r="BZ180" i="5"/>
  <c r="CA180" i="5" s="1"/>
  <c r="BJ180" i="5"/>
  <c r="BK180" i="5" s="1"/>
  <c r="BY180" i="5"/>
  <c r="BX180" i="5"/>
  <c r="BI180" i="5"/>
  <c r="BH180" i="5"/>
  <c r="CG118" i="5"/>
  <c r="BY118" i="5"/>
  <c r="BQ118" i="5"/>
  <c r="BI118" i="5"/>
  <c r="BA118" i="5"/>
  <c r="CF118" i="5"/>
  <c r="BX118" i="5"/>
  <c r="BP118" i="5"/>
  <c r="BH118" i="5"/>
  <c r="AZ118" i="5"/>
  <c r="CD118" i="5"/>
  <c r="CE118" i="5" s="1"/>
  <c r="BV118" i="5"/>
  <c r="BW118" i="5" s="1"/>
  <c r="BN118" i="5"/>
  <c r="BO118" i="5" s="1"/>
  <c r="BF118" i="5"/>
  <c r="BG118" i="5" s="1"/>
  <c r="CC118" i="5"/>
  <c r="BU118" i="5"/>
  <c r="BM118" i="5"/>
  <c r="BE118" i="5"/>
  <c r="CB118" i="5"/>
  <c r="BJ118" i="5"/>
  <c r="BK118" i="5" s="1"/>
  <c r="BD118" i="5"/>
  <c r="BZ118" i="5"/>
  <c r="CA118" i="5" s="1"/>
  <c r="BT118" i="5"/>
  <c r="CH118" i="5"/>
  <c r="BR118" i="5"/>
  <c r="BS118" i="5" s="1"/>
  <c r="BL118" i="5"/>
  <c r="N18" i="4"/>
  <c r="I18" i="4"/>
  <c r="P18" i="4" s="1"/>
  <c r="G12" i="5"/>
  <c r="H12" i="5" s="1"/>
  <c r="L12" i="5" s="1"/>
  <c r="CF196" i="5"/>
  <c r="BX196" i="5"/>
  <c r="BP196" i="5"/>
  <c r="BH196" i="5"/>
  <c r="AZ196" i="5"/>
  <c r="CH196" i="5"/>
  <c r="BZ196" i="5"/>
  <c r="CA196" i="5" s="1"/>
  <c r="BR196" i="5"/>
  <c r="BS196" i="5" s="1"/>
  <c r="BJ196" i="5"/>
  <c r="BK196" i="5" s="1"/>
  <c r="CG196" i="5"/>
  <c r="BV196" i="5"/>
  <c r="BW196" i="5" s="1"/>
  <c r="BL196" i="5"/>
  <c r="BA196" i="5"/>
  <c r="BU196" i="5"/>
  <c r="CD196" i="5"/>
  <c r="CE196" i="5" s="1"/>
  <c r="BT196" i="5"/>
  <c r="BI196" i="5"/>
  <c r="CC196" i="5"/>
  <c r="BE196" i="5"/>
  <c r="BD196" i="5"/>
  <c r="CB196" i="5"/>
  <c r="BY196" i="5"/>
  <c r="BQ196" i="5"/>
  <c r="BN196" i="5"/>
  <c r="BO196" i="5" s="1"/>
  <c r="BM196" i="5"/>
  <c r="BF196" i="5"/>
  <c r="BG196" i="5" s="1"/>
  <c r="CF128" i="5"/>
  <c r="BX128" i="5"/>
  <c r="BP128" i="5"/>
  <c r="BH128" i="5"/>
  <c r="AZ128" i="5"/>
  <c r="BA128" i="5" s="1"/>
  <c r="CD128" i="5"/>
  <c r="CE128" i="5" s="1"/>
  <c r="BV128" i="5"/>
  <c r="BW128" i="5" s="1"/>
  <c r="BN128" i="5"/>
  <c r="BO128" i="5" s="1"/>
  <c r="BF128" i="5"/>
  <c r="BG128" i="5" s="1"/>
  <c r="CG128" i="5"/>
  <c r="BU128" i="5"/>
  <c r="BT128" i="5"/>
  <c r="BJ128" i="5"/>
  <c r="BK128" i="5" s="1"/>
  <c r="CC128" i="5"/>
  <c r="BI128" i="5"/>
  <c r="CB128" i="5"/>
  <c r="BR128" i="5"/>
  <c r="BS128" i="5" s="1"/>
  <c r="BQ128" i="5"/>
  <c r="BE128" i="5"/>
  <c r="BD128" i="5"/>
  <c r="CH128" i="5"/>
  <c r="BZ128" i="5"/>
  <c r="CA128" i="5" s="1"/>
  <c r="BY128" i="5"/>
  <c r="BL128" i="5"/>
  <c r="BM128" i="5"/>
  <c r="CD129" i="5"/>
  <c r="CE129" i="5" s="1"/>
  <c r="BV129" i="5"/>
  <c r="BW129" i="5" s="1"/>
  <c r="BN129" i="5"/>
  <c r="BO129" i="5" s="1"/>
  <c r="BF129" i="5"/>
  <c r="BG129" i="5" s="1"/>
  <c r="CB129" i="5"/>
  <c r="BT129" i="5"/>
  <c r="BL129" i="5"/>
  <c r="BD129" i="5"/>
  <c r="CG129" i="5"/>
  <c r="BA129" i="5"/>
  <c r="CF129" i="5"/>
  <c r="BU129" i="5"/>
  <c r="BJ129" i="5"/>
  <c r="BK129" i="5" s="1"/>
  <c r="AZ129" i="5"/>
  <c r="BI129" i="5"/>
  <c r="CC129" i="5"/>
  <c r="BR129" i="5"/>
  <c r="BS129" i="5" s="1"/>
  <c r="BH129" i="5"/>
  <c r="BQ129" i="5"/>
  <c r="BP129" i="5"/>
  <c r="BM129" i="5"/>
  <c r="BE129" i="5"/>
  <c r="CH129" i="5"/>
  <c r="BX129" i="5"/>
  <c r="BZ129" i="5"/>
  <c r="CA129" i="5" s="1"/>
  <c r="BY129" i="5"/>
  <c r="CH95" i="5"/>
  <c r="BZ95" i="5"/>
  <c r="CA95" i="5" s="1"/>
  <c r="BR95" i="5"/>
  <c r="BS95" i="5" s="1"/>
  <c r="BJ95" i="5"/>
  <c r="BK95" i="5" s="1"/>
  <c r="CD95" i="5"/>
  <c r="CE95" i="5" s="1"/>
  <c r="BU95" i="5"/>
  <c r="BL95" i="5"/>
  <c r="CC95" i="5"/>
  <c r="BT95" i="5"/>
  <c r="BA95" i="5"/>
  <c r="CB95" i="5"/>
  <c r="BI95" i="5"/>
  <c r="AZ95" i="5"/>
  <c r="BQ95" i="5"/>
  <c r="BH95" i="5"/>
  <c r="BY95" i="5"/>
  <c r="BP95" i="5"/>
  <c r="BN95" i="5"/>
  <c r="BO95" i="5" s="1"/>
  <c r="CG95" i="5"/>
  <c r="BM95" i="5"/>
  <c r="CF95" i="5"/>
  <c r="BF95" i="5"/>
  <c r="BG95" i="5" s="1"/>
  <c r="BE95" i="5"/>
  <c r="BX95" i="5"/>
  <c r="BD95" i="5"/>
  <c r="BV95" i="5"/>
  <c r="BW95" i="5" s="1"/>
  <c r="CD115" i="5"/>
  <c r="CE115" i="5" s="1"/>
  <c r="BV115" i="5"/>
  <c r="BW115" i="5" s="1"/>
  <c r="BN115" i="5"/>
  <c r="BO115" i="5" s="1"/>
  <c r="BF115" i="5"/>
  <c r="BG115" i="5" s="1"/>
  <c r="CC115" i="5"/>
  <c r="BU115" i="5"/>
  <c r="BM115" i="5"/>
  <c r="BE115" i="5"/>
  <c r="CB115" i="5"/>
  <c r="BT115" i="5"/>
  <c r="BL115" i="5"/>
  <c r="BD115" i="5"/>
  <c r="BY115" i="5"/>
  <c r="BX115" i="5"/>
  <c r="BA115" i="5"/>
  <c r="BR115" i="5"/>
  <c r="BS115" i="5" s="1"/>
  <c r="AZ115" i="5"/>
  <c r="BQ115" i="5"/>
  <c r="CH115" i="5"/>
  <c r="BP115" i="5"/>
  <c r="CG115" i="5"/>
  <c r="CF115" i="5"/>
  <c r="BZ115" i="5"/>
  <c r="CA115" i="5" s="1"/>
  <c r="BJ115" i="5"/>
  <c r="BK115" i="5" s="1"/>
  <c r="BI115" i="5"/>
  <c r="BH115" i="5"/>
  <c r="CD65" i="5"/>
  <c r="CE65" i="5" s="1"/>
  <c r="BV65" i="5"/>
  <c r="BW65" i="5" s="1"/>
  <c r="BN65" i="5"/>
  <c r="BO65" i="5" s="1"/>
  <c r="BF65" i="5"/>
  <c r="BG65" i="5" s="1"/>
  <c r="CB65" i="5"/>
  <c r="BT65" i="5"/>
  <c r="BL65" i="5"/>
  <c r="BD65" i="5"/>
  <c r="CC65" i="5"/>
  <c r="BR65" i="5"/>
  <c r="BS65" i="5" s="1"/>
  <c r="BH65" i="5"/>
  <c r="BQ65" i="5"/>
  <c r="BZ65" i="5"/>
  <c r="CA65" i="5" s="1"/>
  <c r="BP65" i="5"/>
  <c r="BE65" i="5"/>
  <c r="BY65" i="5"/>
  <c r="CH65" i="5"/>
  <c r="BX65" i="5"/>
  <c r="BM65" i="5"/>
  <c r="CF65" i="5"/>
  <c r="AZ65" i="5"/>
  <c r="BA65" i="5" s="1"/>
  <c r="CG65" i="5"/>
  <c r="BU65" i="5"/>
  <c r="BJ65" i="5"/>
  <c r="BK65" i="5" s="1"/>
  <c r="BI65" i="5"/>
  <c r="CD111" i="5"/>
  <c r="CE111" i="5" s="1"/>
  <c r="BV111" i="5"/>
  <c r="BW111" i="5" s="1"/>
  <c r="BN111" i="5"/>
  <c r="BO111" i="5" s="1"/>
  <c r="BF111" i="5"/>
  <c r="BG111" i="5" s="1"/>
  <c r="CB111" i="5"/>
  <c r="BT111" i="5"/>
  <c r="BL111" i="5"/>
  <c r="BD111" i="5"/>
  <c r="BQ111" i="5"/>
  <c r="BZ111" i="5"/>
  <c r="CA111" i="5" s="1"/>
  <c r="BP111" i="5"/>
  <c r="BE111" i="5"/>
  <c r="BY111" i="5"/>
  <c r="CH111" i="5"/>
  <c r="BX111" i="5"/>
  <c r="BM111" i="5"/>
  <c r="CG111" i="5"/>
  <c r="BR111" i="5"/>
  <c r="BS111" i="5" s="1"/>
  <c r="BJ111" i="5"/>
  <c r="BK111" i="5" s="1"/>
  <c r="BI111" i="5"/>
  <c r="CF111" i="5"/>
  <c r="BH111" i="5"/>
  <c r="AZ111" i="5"/>
  <c r="BA111" i="5" s="1"/>
  <c r="CC111" i="5"/>
  <c r="BU111" i="5"/>
  <c r="CD73" i="5"/>
  <c r="CE73" i="5" s="1"/>
  <c r="BV73" i="5"/>
  <c r="BW73" i="5" s="1"/>
  <c r="BN73" i="5"/>
  <c r="BO73" i="5" s="1"/>
  <c r="BF73" i="5"/>
  <c r="BG73" i="5" s="1"/>
  <c r="CB73" i="5"/>
  <c r="BT73" i="5"/>
  <c r="BL73" i="5"/>
  <c r="BD73" i="5"/>
  <c r="CH73" i="5"/>
  <c r="BX73" i="5"/>
  <c r="BM73" i="5"/>
  <c r="CG73" i="5"/>
  <c r="CF73" i="5"/>
  <c r="BU73" i="5"/>
  <c r="BJ73" i="5"/>
  <c r="BK73" i="5" s="1"/>
  <c r="AZ73" i="5"/>
  <c r="BA73" i="5" s="1"/>
  <c r="BI73" i="5"/>
  <c r="CC73" i="5"/>
  <c r="BR73" i="5"/>
  <c r="BS73" i="5" s="1"/>
  <c r="BH73" i="5"/>
  <c r="BP73" i="5"/>
  <c r="BE73" i="5"/>
  <c r="BZ73" i="5"/>
  <c r="CA73" i="5" s="1"/>
  <c r="BY73" i="5"/>
  <c r="BQ73" i="5"/>
  <c r="CD97" i="5"/>
  <c r="CE97" i="5" s="1"/>
  <c r="BV97" i="5"/>
  <c r="BW97" i="5" s="1"/>
  <c r="BN97" i="5"/>
  <c r="BO97" i="5" s="1"/>
  <c r="BF97" i="5"/>
  <c r="BG97" i="5" s="1"/>
  <c r="CH97" i="5"/>
  <c r="BZ97" i="5"/>
  <c r="CA97" i="5" s="1"/>
  <c r="BR97" i="5"/>
  <c r="BS97" i="5" s="1"/>
  <c r="BJ97" i="5"/>
  <c r="BK97" i="5" s="1"/>
  <c r="CG97" i="5"/>
  <c r="BL97" i="5"/>
  <c r="BA97" i="5"/>
  <c r="CF97" i="5"/>
  <c r="BU97" i="5"/>
  <c r="AZ97" i="5"/>
  <c r="BT97" i="5"/>
  <c r="BI97" i="5"/>
  <c r="CC97" i="5"/>
  <c r="BH97" i="5"/>
  <c r="CB97" i="5"/>
  <c r="BQ97" i="5"/>
  <c r="BM97" i="5"/>
  <c r="BE97" i="5"/>
  <c r="BD97" i="5"/>
  <c r="BY97" i="5"/>
  <c r="BX97" i="5"/>
  <c r="BP97" i="5"/>
  <c r="CF20" i="5"/>
  <c r="BX20" i="5"/>
  <c r="BP20" i="5"/>
  <c r="BH20" i="5"/>
  <c r="AZ20" i="5"/>
  <c r="CD20" i="5"/>
  <c r="CE20" i="5" s="1"/>
  <c r="BV20" i="5"/>
  <c r="BW20" i="5" s="1"/>
  <c r="BN20" i="5"/>
  <c r="BO20" i="5" s="1"/>
  <c r="BF20" i="5"/>
  <c r="BG20" i="5" s="1"/>
  <c r="CC20" i="5"/>
  <c r="BU20" i="5"/>
  <c r="BM20" i="5"/>
  <c r="BE20" i="5"/>
  <c r="CB20" i="5"/>
  <c r="BT20" i="5"/>
  <c r="BL20" i="5"/>
  <c r="BD20" i="5"/>
  <c r="BZ20" i="5"/>
  <c r="CA20" i="5" s="1"/>
  <c r="BA20" i="5"/>
  <c r="BY20" i="5"/>
  <c r="CG20" i="5"/>
  <c r="BR20" i="5"/>
  <c r="BS20" i="5" s="1"/>
  <c r="CH20" i="5"/>
  <c r="BQ20" i="5"/>
  <c r="BI20" i="5"/>
  <c r="BJ20" i="5"/>
  <c r="BK20" i="5" s="1"/>
  <c r="CH29" i="5"/>
  <c r="BZ29" i="5"/>
  <c r="CA29" i="5" s="1"/>
  <c r="BR29" i="5"/>
  <c r="BS29" i="5" s="1"/>
  <c r="BJ29" i="5"/>
  <c r="BK29" i="5" s="1"/>
  <c r="CD29" i="5"/>
  <c r="CE29" i="5" s="1"/>
  <c r="BV29" i="5"/>
  <c r="BW29" i="5" s="1"/>
  <c r="BN29" i="5"/>
  <c r="BO29" i="5" s="1"/>
  <c r="BF29" i="5"/>
  <c r="BG29" i="5" s="1"/>
  <c r="BT29" i="5"/>
  <c r="BI29" i="5"/>
  <c r="BX29" i="5"/>
  <c r="BL29" i="5"/>
  <c r="AZ29" i="5"/>
  <c r="CG29" i="5"/>
  <c r="BU29" i="5"/>
  <c r="BH29" i="5"/>
  <c r="CF29" i="5"/>
  <c r="CC29" i="5"/>
  <c r="BQ29" i="5"/>
  <c r="BE29" i="5"/>
  <c r="CB29" i="5"/>
  <c r="BP29" i="5"/>
  <c r="BD29" i="5"/>
  <c r="BA29" i="5"/>
  <c r="BM29" i="5"/>
  <c r="BY29" i="5"/>
  <c r="CF167" i="5"/>
  <c r="BX167" i="5"/>
  <c r="BP167" i="5"/>
  <c r="BH167" i="5"/>
  <c r="AZ167" i="5"/>
  <c r="BA167" i="5" s="1"/>
  <c r="CD167" i="5"/>
  <c r="CE167" i="5" s="1"/>
  <c r="BV167" i="5"/>
  <c r="BW167" i="5" s="1"/>
  <c r="BN167" i="5"/>
  <c r="BO167" i="5" s="1"/>
  <c r="BF167" i="5"/>
  <c r="BG167" i="5" s="1"/>
  <c r="BY167" i="5"/>
  <c r="BM167" i="5"/>
  <c r="CH167" i="5"/>
  <c r="BL167" i="5"/>
  <c r="CG167" i="5"/>
  <c r="BU167" i="5"/>
  <c r="BT167" i="5"/>
  <c r="BJ167" i="5"/>
  <c r="BK167" i="5" s="1"/>
  <c r="CC167" i="5"/>
  <c r="BI167" i="5"/>
  <c r="BE167" i="5"/>
  <c r="CB167" i="5"/>
  <c r="BD167" i="5"/>
  <c r="BZ167" i="5"/>
  <c r="CA167" i="5" s="1"/>
  <c r="BR167" i="5"/>
  <c r="BS167" i="5" s="1"/>
  <c r="BQ167" i="5"/>
  <c r="CC120" i="5"/>
  <c r="BU120" i="5"/>
  <c r="BM120" i="5"/>
  <c r="BE120" i="5"/>
  <c r="CB120" i="5"/>
  <c r="BT120" i="5"/>
  <c r="BL120" i="5"/>
  <c r="BD120" i="5"/>
  <c r="CH120" i="5"/>
  <c r="BZ120" i="5"/>
  <c r="CA120" i="5" s="1"/>
  <c r="BR120" i="5"/>
  <c r="BS120" i="5" s="1"/>
  <c r="BJ120" i="5"/>
  <c r="BK120" i="5" s="1"/>
  <c r="CG120" i="5"/>
  <c r="BY120" i="5"/>
  <c r="BQ120" i="5"/>
  <c r="BI120" i="5"/>
  <c r="CF120" i="5"/>
  <c r="BN120" i="5"/>
  <c r="BO120" i="5" s="1"/>
  <c r="BH120" i="5"/>
  <c r="CD120" i="5"/>
  <c r="CE120" i="5" s="1"/>
  <c r="BX120" i="5"/>
  <c r="BF120" i="5"/>
  <c r="BG120" i="5" s="1"/>
  <c r="AZ120" i="5"/>
  <c r="BA120" i="5" s="1"/>
  <c r="BP120" i="5"/>
  <c r="BV120" i="5"/>
  <c r="BW120" i="5" s="1"/>
  <c r="CH87" i="5"/>
  <c r="BZ87" i="5"/>
  <c r="CA87" i="5" s="1"/>
  <c r="BR87" i="5"/>
  <c r="BS87" i="5" s="1"/>
  <c r="BJ87" i="5"/>
  <c r="BK87" i="5" s="1"/>
  <c r="CG87" i="5"/>
  <c r="BY87" i="5"/>
  <c r="BQ87" i="5"/>
  <c r="BI87" i="5"/>
  <c r="CF87" i="5"/>
  <c r="BX87" i="5"/>
  <c r="BP87" i="5"/>
  <c r="BH87" i="5"/>
  <c r="AZ87" i="5"/>
  <c r="BA87" i="5" s="1"/>
  <c r="CD87" i="5"/>
  <c r="CE87" i="5" s="1"/>
  <c r="BL87" i="5"/>
  <c r="CC87" i="5"/>
  <c r="BF87" i="5"/>
  <c r="BG87" i="5" s="1"/>
  <c r="CB87" i="5"/>
  <c r="BE87" i="5"/>
  <c r="BV87" i="5"/>
  <c r="BW87" i="5" s="1"/>
  <c r="BD87" i="5"/>
  <c r="BU87" i="5"/>
  <c r="BT87" i="5"/>
  <c r="BN87" i="5"/>
  <c r="BO87" i="5" s="1"/>
  <c r="BM87" i="5"/>
  <c r="CH67" i="5"/>
  <c r="BZ67" i="5"/>
  <c r="CA67" i="5" s="1"/>
  <c r="BR67" i="5"/>
  <c r="BS67" i="5" s="1"/>
  <c r="BJ67" i="5"/>
  <c r="BK67" i="5" s="1"/>
  <c r="CF67" i="5"/>
  <c r="BX67" i="5"/>
  <c r="BP67" i="5"/>
  <c r="BH67" i="5"/>
  <c r="AZ67" i="5"/>
  <c r="BY67" i="5"/>
  <c r="BN67" i="5"/>
  <c r="BO67" i="5" s="1"/>
  <c r="BD67" i="5"/>
  <c r="BM67" i="5"/>
  <c r="CG67" i="5"/>
  <c r="BV67" i="5"/>
  <c r="BW67" i="5" s="1"/>
  <c r="BL67" i="5"/>
  <c r="BA67" i="5"/>
  <c r="BU67" i="5"/>
  <c r="CD67" i="5"/>
  <c r="CE67" i="5" s="1"/>
  <c r="BT67" i="5"/>
  <c r="BI67" i="5"/>
  <c r="BF67" i="5"/>
  <c r="BG67" i="5" s="1"/>
  <c r="CB67" i="5"/>
  <c r="BQ67" i="5"/>
  <c r="BE67" i="5"/>
  <c r="CC67" i="5"/>
  <c r="CH41" i="5"/>
  <c r="BZ41" i="5"/>
  <c r="CA41" i="5" s="1"/>
  <c r="BR41" i="5"/>
  <c r="BS41" i="5" s="1"/>
  <c r="BJ41" i="5"/>
  <c r="BK41" i="5" s="1"/>
  <c r="CF41" i="5"/>
  <c r="BX41" i="5"/>
  <c r="BP41" i="5"/>
  <c r="BH41" i="5"/>
  <c r="AZ41" i="5"/>
  <c r="BA41" i="5" s="1"/>
  <c r="CD41" i="5"/>
  <c r="CE41" i="5" s="1"/>
  <c r="BV41" i="5"/>
  <c r="BW41" i="5" s="1"/>
  <c r="BN41" i="5"/>
  <c r="BO41" i="5" s="1"/>
  <c r="BF41" i="5"/>
  <c r="BG41" i="5" s="1"/>
  <c r="CC41" i="5"/>
  <c r="BQ41" i="5"/>
  <c r="BD41" i="5"/>
  <c r="CB41" i="5"/>
  <c r="BL41" i="5"/>
  <c r="BY41" i="5"/>
  <c r="BI41" i="5"/>
  <c r="BU41" i="5"/>
  <c r="BE41" i="5"/>
  <c r="BT41" i="5"/>
  <c r="CG41" i="5"/>
  <c r="BM41" i="5"/>
  <c r="CD93" i="5"/>
  <c r="CE93" i="5" s="1"/>
  <c r="BV93" i="5"/>
  <c r="BW93" i="5" s="1"/>
  <c r="BN93" i="5"/>
  <c r="BO93" i="5" s="1"/>
  <c r="BF93" i="5"/>
  <c r="BG93" i="5" s="1"/>
  <c r="CC93" i="5"/>
  <c r="BT93" i="5"/>
  <c r="CB93" i="5"/>
  <c r="BJ93" i="5"/>
  <c r="BK93" i="5" s="1"/>
  <c r="BR93" i="5"/>
  <c r="BS93" i="5" s="1"/>
  <c r="BI93" i="5"/>
  <c r="AZ93" i="5"/>
  <c r="BA93" i="5" s="1"/>
  <c r="BZ93" i="5"/>
  <c r="CA93" i="5" s="1"/>
  <c r="BQ93" i="5"/>
  <c r="BH93" i="5"/>
  <c r="CH93" i="5"/>
  <c r="BY93" i="5"/>
  <c r="BP93" i="5"/>
  <c r="BM93" i="5"/>
  <c r="CG93" i="5"/>
  <c r="BL93" i="5"/>
  <c r="CF93" i="5"/>
  <c r="BE93" i="5"/>
  <c r="BD93" i="5"/>
  <c r="BX93" i="5"/>
  <c r="BU93" i="5"/>
  <c r="CF16" i="5"/>
  <c r="BX16" i="5"/>
  <c r="BP16" i="5"/>
  <c r="BH16" i="5"/>
  <c r="AZ16" i="5"/>
  <c r="CD16" i="5"/>
  <c r="CE16" i="5" s="1"/>
  <c r="BV16" i="5"/>
  <c r="BW16" i="5" s="1"/>
  <c r="BN16" i="5"/>
  <c r="BO16" i="5" s="1"/>
  <c r="BF16" i="5"/>
  <c r="BG16" i="5" s="1"/>
  <c r="CC16" i="5"/>
  <c r="BU16" i="5"/>
  <c r="BM16" i="5"/>
  <c r="BE16" i="5"/>
  <c r="CB16" i="5"/>
  <c r="BT16" i="5"/>
  <c r="BL16" i="5"/>
  <c r="BD16" i="5"/>
  <c r="CG16" i="5"/>
  <c r="BA16" i="5"/>
  <c r="BZ16" i="5"/>
  <c r="CA16" i="5" s="1"/>
  <c r="BY16" i="5"/>
  <c r="BJ16" i="5"/>
  <c r="BK16" i="5" s="1"/>
  <c r="CH16" i="5"/>
  <c r="BR16" i="5"/>
  <c r="BS16" i="5" s="1"/>
  <c r="BI16" i="5"/>
  <c r="BQ16" i="5"/>
  <c r="CB160" i="5"/>
  <c r="BT160" i="5"/>
  <c r="BL160" i="5"/>
  <c r="BD160" i="5"/>
  <c r="CH160" i="5"/>
  <c r="BZ160" i="5"/>
  <c r="CA160" i="5" s="1"/>
  <c r="BR160" i="5"/>
  <c r="BS160" i="5" s="1"/>
  <c r="BJ160" i="5"/>
  <c r="BK160" i="5" s="1"/>
  <c r="BY160" i="5"/>
  <c r="BE160" i="5"/>
  <c r="BX160" i="5"/>
  <c r="BN160" i="5"/>
  <c r="BO160" i="5" s="1"/>
  <c r="CG160" i="5"/>
  <c r="BM160" i="5"/>
  <c r="BA160" i="5"/>
  <c r="CF160" i="5"/>
  <c r="BV160" i="5"/>
  <c r="BW160" i="5" s="1"/>
  <c r="AZ160" i="5"/>
  <c r="BU160" i="5"/>
  <c r="BI160" i="5"/>
  <c r="CD160" i="5"/>
  <c r="CE160" i="5" s="1"/>
  <c r="BF160" i="5"/>
  <c r="BG160" i="5" s="1"/>
  <c r="CC160" i="5"/>
  <c r="BQ160" i="5"/>
  <c r="BP160" i="5"/>
  <c r="BH160" i="5"/>
  <c r="CH165" i="5"/>
  <c r="BZ165" i="5"/>
  <c r="CA165" i="5" s="1"/>
  <c r="BR165" i="5"/>
  <c r="BS165" i="5" s="1"/>
  <c r="BJ165" i="5"/>
  <c r="BK165" i="5" s="1"/>
  <c r="CG165" i="5"/>
  <c r="BY165" i="5"/>
  <c r="BQ165" i="5"/>
  <c r="BI165" i="5"/>
  <c r="BA165" i="5"/>
  <c r="CF165" i="5"/>
  <c r="BX165" i="5"/>
  <c r="BP165" i="5"/>
  <c r="BH165" i="5"/>
  <c r="AZ165" i="5"/>
  <c r="CB165" i="5"/>
  <c r="BL165" i="5"/>
  <c r="BV165" i="5"/>
  <c r="BW165" i="5" s="1"/>
  <c r="BF165" i="5"/>
  <c r="BG165" i="5" s="1"/>
  <c r="BU165" i="5"/>
  <c r="BE165" i="5"/>
  <c r="BT165" i="5"/>
  <c r="BD165" i="5"/>
  <c r="CD165" i="5"/>
  <c r="CE165" i="5" s="1"/>
  <c r="CC165" i="5"/>
  <c r="BN165" i="5"/>
  <c r="BO165" i="5" s="1"/>
  <c r="BM165" i="5"/>
  <c r="CG88" i="5"/>
  <c r="BY88" i="5"/>
  <c r="BQ88" i="5"/>
  <c r="BI88" i="5"/>
  <c r="BA88" i="5"/>
  <c r="CF88" i="5"/>
  <c r="BX88" i="5"/>
  <c r="BP88" i="5"/>
  <c r="BH88" i="5"/>
  <c r="AZ88" i="5"/>
  <c r="CD88" i="5"/>
  <c r="CE88" i="5" s="1"/>
  <c r="BV88" i="5"/>
  <c r="BW88" i="5" s="1"/>
  <c r="BN88" i="5"/>
  <c r="BO88" i="5" s="1"/>
  <c r="BF88" i="5"/>
  <c r="BG88" i="5" s="1"/>
  <c r="CC88" i="5"/>
  <c r="BU88" i="5"/>
  <c r="BM88" i="5"/>
  <c r="BE88" i="5"/>
  <c r="CB88" i="5"/>
  <c r="BJ88" i="5"/>
  <c r="BK88" i="5" s="1"/>
  <c r="BD88" i="5"/>
  <c r="BZ88" i="5"/>
  <c r="CA88" i="5" s="1"/>
  <c r="BT88" i="5"/>
  <c r="CH88" i="5"/>
  <c r="BR88" i="5"/>
  <c r="BS88" i="5" s="1"/>
  <c r="BL88" i="5"/>
  <c r="CF34" i="5"/>
  <c r="BX34" i="5"/>
  <c r="BP34" i="5"/>
  <c r="BH34" i="5"/>
  <c r="AZ34" i="5"/>
  <c r="BA34" i="5" s="1"/>
  <c r="CD34" i="5"/>
  <c r="CE34" i="5" s="1"/>
  <c r="BV34" i="5"/>
  <c r="BW34" i="5" s="1"/>
  <c r="BN34" i="5"/>
  <c r="BO34" i="5" s="1"/>
  <c r="BF34" i="5"/>
  <c r="BG34" i="5" s="1"/>
  <c r="CB34" i="5"/>
  <c r="BT34" i="5"/>
  <c r="BL34" i="5"/>
  <c r="BD34" i="5"/>
  <c r="CH34" i="5"/>
  <c r="BU34" i="5"/>
  <c r="BI34" i="5"/>
  <c r="BZ34" i="5"/>
  <c r="CA34" i="5" s="1"/>
  <c r="BY34" i="5"/>
  <c r="BJ34" i="5"/>
  <c r="BK34" i="5" s="1"/>
  <c r="BE34" i="5"/>
  <c r="CG34" i="5"/>
  <c r="BR34" i="5"/>
  <c r="BS34" i="5" s="1"/>
  <c r="BQ34" i="5"/>
  <c r="CC34" i="5"/>
  <c r="BM34" i="5"/>
  <c r="CF192" i="5"/>
  <c r="BX192" i="5"/>
  <c r="BP192" i="5"/>
  <c r="BH192" i="5"/>
  <c r="CG192" i="5"/>
  <c r="BN192" i="5"/>
  <c r="BO192" i="5" s="1"/>
  <c r="BE192" i="5"/>
  <c r="CD192" i="5"/>
  <c r="CE192" i="5" s="1"/>
  <c r="BU192" i="5"/>
  <c r="BL192" i="5"/>
  <c r="CC192" i="5"/>
  <c r="BT192" i="5"/>
  <c r="BR192" i="5"/>
  <c r="BS192" i="5" s="1"/>
  <c r="BI192" i="5"/>
  <c r="AZ192" i="5"/>
  <c r="CB192" i="5"/>
  <c r="BJ192" i="5"/>
  <c r="BK192" i="5" s="1"/>
  <c r="BZ192" i="5"/>
  <c r="CA192" i="5" s="1"/>
  <c r="BY192" i="5"/>
  <c r="BF192" i="5"/>
  <c r="BG192" i="5" s="1"/>
  <c r="BV192" i="5"/>
  <c r="BW192" i="5" s="1"/>
  <c r="BD192" i="5"/>
  <c r="BA192" i="5"/>
  <c r="CH192" i="5"/>
  <c r="BQ192" i="5"/>
  <c r="BM192" i="5"/>
  <c r="CF144" i="5"/>
  <c r="BX144" i="5"/>
  <c r="BP144" i="5"/>
  <c r="BH144" i="5"/>
  <c r="AZ144" i="5"/>
  <c r="BR144" i="5"/>
  <c r="BS144" i="5" s="1"/>
  <c r="BI144" i="5"/>
  <c r="BZ144" i="5"/>
  <c r="CA144" i="5" s="1"/>
  <c r="BQ144" i="5"/>
  <c r="CH144" i="5"/>
  <c r="BY144" i="5"/>
  <c r="BF144" i="5"/>
  <c r="BG144" i="5" s="1"/>
  <c r="CG144" i="5"/>
  <c r="BN144" i="5"/>
  <c r="BO144" i="5" s="1"/>
  <c r="BE144" i="5"/>
  <c r="BV144" i="5"/>
  <c r="BW144" i="5" s="1"/>
  <c r="BM144" i="5"/>
  <c r="BD144" i="5"/>
  <c r="CC144" i="5"/>
  <c r="CB144" i="5"/>
  <c r="BU144" i="5"/>
  <c r="BA144" i="5"/>
  <c r="BT144" i="5"/>
  <c r="BL144" i="5"/>
  <c r="BJ144" i="5"/>
  <c r="BK144" i="5" s="1"/>
  <c r="CD144" i="5"/>
  <c r="CE144" i="5" s="1"/>
  <c r="CH125" i="5"/>
  <c r="BZ125" i="5"/>
  <c r="CA125" i="5" s="1"/>
  <c r="BR125" i="5"/>
  <c r="BS125" i="5" s="1"/>
  <c r="BJ125" i="5"/>
  <c r="BK125" i="5" s="1"/>
  <c r="CG125" i="5"/>
  <c r="BY125" i="5"/>
  <c r="BQ125" i="5"/>
  <c r="BI125" i="5"/>
  <c r="CF125" i="5"/>
  <c r="BX125" i="5"/>
  <c r="BP125" i="5"/>
  <c r="BH125" i="5"/>
  <c r="AZ125" i="5"/>
  <c r="BA125" i="5" s="1"/>
  <c r="CB125" i="5"/>
  <c r="BE125" i="5"/>
  <c r="BV125" i="5"/>
  <c r="BW125" i="5" s="1"/>
  <c r="BD125" i="5"/>
  <c r="BU125" i="5"/>
  <c r="BT125" i="5"/>
  <c r="BN125" i="5"/>
  <c r="BO125" i="5" s="1"/>
  <c r="BL125" i="5"/>
  <c r="BF125" i="5"/>
  <c r="BG125" i="5" s="1"/>
  <c r="CD125" i="5"/>
  <c r="CE125" i="5" s="1"/>
  <c r="CC125" i="5"/>
  <c r="BM125" i="5"/>
  <c r="CG24" i="5"/>
  <c r="BY24" i="5"/>
  <c r="BQ24" i="5"/>
  <c r="BI24" i="5"/>
  <c r="BA24" i="5"/>
  <c r="CB24" i="5"/>
  <c r="BJ24" i="5"/>
  <c r="BK24" i="5" s="1"/>
  <c r="AZ24" i="5"/>
  <c r="BR24" i="5"/>
  <c r="BS24" i="5" s="1"/>
  <c r="BH24" i="5"/>
  <c r="BZ24" i="5"/>
  <c r="CA24" i="5" s="1"/>
  <c r="BP24" i="5"/>
  <c r="CH24" i="5"/>
  <c r="BX24" i="5"/>
  <c r="BF24" i="5"/>
  <c r="BG24" i="5" s="1"/>
  <c r="CF24" i="5"/>
  <c r="BN24" i="5"/>
  <c r="BO24" i="5" s="1"/>
  <c r="BE24" i="5"/>
  <c r="BV24" i="5"/>
  <c r="BW24" i="5" s="1"/>
  <c r="BM24" i="5"/>
  <c r="BD24" i="5"/>
  <c r="CD24" i="5"/>
  <c r="CE24" i="5" s="1"/>
  <c r="CC24" i="5"/>
  <c r="BU24" i="5"/>
  <c r="BT24" i="5"/>
  <c r="BL24" i="5"/>
  <c r="D43" i="2"/>
  <c r="CD193" i="5"/>
  <c r="CE193" i="5" s="1"/>
  <c r="BV193" i="5"/>
  <c r="BW193" i="5" s="1"/>
  <c r="BN193" i="5"/>
  <c r="BO193" i="5" s="1"/>
  <c r="BF193" i="5"/>
  <c r="BG193" i="5" s="1"/>
  <c r="BR193" i="5"/>
  <c r="BS193" i="5" s="1"/>
  <c r="BI193" i="5"/>
  <c r="AZ193" i="5"/>
  <c r="BA193" i="5" s="1"/>
  <c r="CH193" i="5"/>
  <c r="BY193" i="5"/>
  <c r="BP193" i="5"/>
  <c r="CG193" i="5"/>
  <c r="BX193" i="5"/>
  <c r="BE193" i="5"/>
  <c r="BU193" i="5"/>
  <c r="BL193" i="5"/>
  <c r="CC193" i="5"/>
  <c r="CB193" i="5"/>
  <c r="BJ193" i="5"/>
  <c r="BK193" i="5" s="1"/>
  <c r="BZ193" i="5"/>
  <c r="CA193" i="5" s="1"/>
  <c r="BH193" i="5"/>
  <c r="BD193" i="5"/>
  <c r="BT193" i="5"/>
  <c r="BM193" i="5"/>
  <c r="CF193" i="5"/>
  <c r="BQ193" i="5"/>
  <c r="CB173" i="5"/>
  <c r="BT173" i="5"/>
  <c r="BL173" i="5"/>
  <c r="BD173" i="5"/>
  <c r="CH173" i="5"/>
  <c r="BZ173" i="5"/>
  <c r="CA173" i="5" s="1"/>
  <c r="BR173" i="5"/>
  <c r="BS173" i="5" s="1"/>
  <c r="BJ173" i="5"/>
  <c r="BK173" i="5" s="1"/>
  <c r="BY173" i="5"/>
  <c r="BE173" i="5"/>
  <c r="BX173" i="5"/>
  <c r="BN173" i="5"/>
  <c r="BO173" i="5" s="1"/>
  <c r="CG173" i="5"/>
  <c r="BM173" i="5"/>
  <c r="BA173" i="5"/>
  <c r="CF173" i="5"/>
  <c r="BV173" i="5"/>
  <c r="BW173" i="5" s="1"/>
  <c r="AZ173" i="5"/>
  <c r="BU173" i="5"/>
  <c r="BI173" i="5"/>
  <c r="BQ173" i="5"/>
  <c r="BP173" i="5"/>
  <c r="BH173" i="5"/>
  <c r="CD173" i="5"/>
  <c r="CE173" i="5" s="1"/>
  <c r="CC173" i="5"/>
  <c r="BF173" i="5"/>
  <c r="BG173" i="5" s="1"/>
  <c r="CF179" i="5"/>
  <c r="BX179" i="5"/>
  <c r="BP179" i="5"/>
  <c r="BH179" i="5"/>
  <c r="AZ179" i="5"/>
  <c r="BA179" i="5" s="1"/>
  <c r="CD179" i="5"/>
  <c r="CE179" i="5" s="1"/>
  <c r="BV179" i="5"/>
  <c r="BW179" i="5" s="1"/>
  <c r="BN179" i="5"/>
  <c r="BO179" i="5" s="1"/>
  <c r="BF179" i="5"/>
  <c r="BG179" i="5" s="1"/>
  <c r="CC179" i="5"/>
  <c r="BU179" i="5"/>
  <c r="BM179" i="5"/>
  <c r="BE179" i="5"/>
  <c r="BZ179" i="5"/>
  <c r="CA179" i="5" s="1"/>
  <c r="BJ179" i="5"/>
  <c r="BK179" i="5" s="1"/>
  <c r="BY179" i="5"/>
  <c r="BI179" i="5"/>
  <c r="BT179" i="5"/>
  <c r="BD179" i="5"/>
  <c r="CG179" i="5"/>
  <c r="CB179" i="5"/>
  <c r="BR179" i="5"/>
  <c r="BS179" i="5" s="1"/>
  <c r="BQ179" i="5"/>
  <c r="BL179" i="5"/>
  <c r="CH179" i="5"/>
  <c r="CH170" i="5"/>
  <c r="BZ170" i="5"/>
  <c r="CA170" i="5" s="1"/>
  <c r="BR170" i="5"/>
  <c r="BS170" i="5" s="1"/>
  <c r="BJ170" i="5"/>
  <c r="BK170" i="5" s="1"/>
  <c r="CF170" i="5"/>
  <c r="BX170" i="5"/>
  <c r="BP170" i="5"/>
  <c r="BH170" i="5"/>
  <c r="AZ170" i="5"/>
  <c r="BU170" i="5"/>
  <c r="CD170" i="5"/>
  <c r="CE170" i="5" s="1"/>
  <c r="BT170" i="5"/>
  <c r="BI170" i="5"/>
  <c r="CC170" i="5"/>
  <c r="CB170" i="5"/>
  <c r="BQ170" i="5"/>
  <c r="BF170" i="5"/>
  <c r="BG170" i="5" s="1"/>
  <c r="BE170" i="5"/>
  <c r="BY170" i="5"/>
  <c r="BA170" i="5"/>
  <c r="BV170" i="5"/>
  <c r="BW170" i="5" s="1"/>
  <c r="BN170" i="5"/>
  <c r="BO170" i="5" s="1"/>
  <c r="BM170" i="5"/>
  <c r="CG170" i="5"/>
  <c r="BL170" i="5"/>
  <c r="BD170" i="5"/>
  <c r="CB150" i="5"/>
  <c r="BT150" i="5"/>
  <c r="BL150" i="5"/>
  <c r="BD150" i="5"/>
  <c r="CG150" i="5"/>
  <c r="BY150" i="5"/>
  <c r="BQ150" i="5"/>
  <c r="BI150" i="5"/>
  <c r="CC150" i="5"/>
  <c r="BZ150" i="5"/>
  <c r="CA150" i="5" s="1"/>
  <c r="BN150" i="5"/>
  <c r="BO150" i="5" s="1"/>
  <c r="AZ150" i="5"/>
  <c r="BA150" i="5" s="1"/>
  <c r="BX150" i="5"/>
  <c r="BM150" i="5"/>
  <c r="BJ150" i="5"/>
  <c r="BK150" i="5" s="1"/>
  <c r="CH150" i="5"/>
  <c r="BV150" i="5"/>
  <c r="BW150" i="5" s="1"/>
  <c r="BH150" i="5"/>
  <c r="CF150" i="5"/>
  <c r="BU150" i="5"/>
  <c r="BE150" i="5"/>
  <c r="CD150" i="5"/>
  <c r="CE150" i="5" s="1"/>
  <c r="BR150" i="5"/>
  <c r="BS150" i="5" s="1"/>
  <c r="BF150" i="5"/>
  <c r="BG150" i="5" s="1"/>
  <c r="BP150" i="5"/>
  <c r="CB159" i="5"/>
  <c r="BT159" i="5"/>
  <c r="BL159" i="5"/>
  <c r="BD159" i="5"/>
  <c r="CG159" i="5"/>
  <c r="BX159" i="5"/>
  <c r="BF159" i="5"/>
  <c r="BG159" i="5" s="1"/>
  <c r="CF159" i="5"/>
  <c r="BN159" i="5"/>
  <c r="BO159" i="5" s="1"/>
  <c r="BE159" i="5"/>
  <c r="BV159" i="5"/>
  <c r="BW159" i="5" s="1"/>
  <c r="BM159" i="5"/>
  <c r="CD159" i="5"/>
  <c r="CE159" i="5" s="1"/>
  <c r="BU159" i="5"/>
  <c r="CC159" i="5"/>
  <c r="BJ159" i="5"/>
  <c r="BK159" i="5" s="1"/>
  <c r="BQ159" i="5"/>
  <c r="BP159" i="5"/>
  <c r="BI159" i="5"/>
  <c r="CH159" i="5"/>
  <c r="BH159" i="5"/>
  <c r="BZ159" i="5"/>
  <c r="CA159" i="5" s="1"/>
  <c r="AZ159" i="5"/>
  <c r="BA159" i="5" s="1"/>
  <c r="BY159" i="5"/>
  <c r="BR159" i="5"/>
  <c r="BS159" i="5" s="1"/>
  <c r="CD138" i="5"/>
  <c r="CE138" i="5" s="1"/>
  <c r="BV138" i="5"/>
  <c r="BW138" i="5" s="1"/>
  <c r="BN138" i="5"/>
  <c r="BO138" i="5" s="1"/>
  <c r="CC138" i="5"/>
  <c r="BU138" i="5"/>
  <c r="BM138" i="5"/>
  <c r="BE138" i="5"/>
  <c r="CB138" i="5"/>
  <c r="BT138" i="5"/>
  <c r="BL138" i="5"/>
  <c r="BD138" i="5"/>
  <c r="CH138" i="5"/>
  <c r="BZ138" i="5"/>
  <c r="CA138" i="5" s="1"/>
  <c r="BR138" i="5"/>
  <c r="BS138" i="5" s="1"/>
  <c r="BJ138" i="5"/>
  <c r="BK138" i="5" s="1"/>
  <c r="BH138" i="5"/>
  <c r="BY138" i="5"/>
  <c r="BX138" i="5"/>
  <c r="BF138" i="5"/>
  <c r="BG138" i="5" s="1"/>
  <c r="BQ138" i="5"/>
  <c r="AZ138" i="5"/>
  <c r="BA138" i="5" s="1"/>
  <c r="CG138" i="5"/>
  <c r="CF138" i="5"/>
  <c r="BP138" i="5"/>
  <c r="BI138" i="5"/>
  <c r="CB108" i="5"/>
  <c r="BT108" i="5"/>
  <c r="BL108" i="5"/>
  <c r="BD108" i="5"/>
  <c r="CH108" i="5"/>
  <c r="BZ108" i="5"/>
  <c r="CA108" i="5" s="1"/>
  <c r="BR108" i="5"/>
  <c r="BS108" i="5" s="1"/>
  <c r="BJ108" i="5"/>
  <c r="BK108" i="5" s="1"/>
  <c r="CG108" i="5"/>
  <c r="BM108" i="5"/>
  <c r="BA108" i="5"/>
  <c r="CF108" i="5"/>
  <c r="BV108" i="5"/>
  <c r="BW108" i="5" s="1"/>
  <c r="AZ108" i="5"/>
  <c r="CD108" i="5"/>
  <c r="CE108" i="5" s="1"/>
  <c r="BH108" i="5"/>
  <c r="CC108" i="5"/>
  <c r="BQ108" i="5"/>
  <c r="BY108" i="5"/>
  <c r="BE108" i="5"/>
  <c r="BX108" i="5"/>
  <c r="BU108" i="5"/>
  <c r="BP108" i="5"/>
  <c r="BN108" i="5"/>
  <c r="BO108" i="5" s="1"/>
  <c r="BI108" i="5"/>
  <c r="BF108" i="5"/>
  <c r="BG108" i="5" s="1"/>
  <c r="CC124" i="5"/>
  <c r="BU124" i="5"/>
  <c r="BM124" i="5"/>
  <c r="BE124" i="5"/>
  <c r="CB124" i="5"/>
  <c r="BT124" i="5"/>
  <c r="BL124" i="5"/>
  <c r="BD124" i="5"/>
  <c r="CH124" i="5"/>
  <c r="BZ124" i="5"/>
  <c r="CA124" i="5" s="1"/>
  <c r="BR124" i="5"/>
  <c r="BS124" i="5" s="1"/>
  <c r="BJ124" i="5"/>
  <c r="BK124" i="5" s="1"/>
  <c r="CG124" i="5"/>
  <c r="BY124" i="5"/>
  <c r="BQ124" i="5"/>
  <c r="BI124" i="5"/>
  <c r="BV124" i="5"/>
  <c r="BW124" i="5" s="1"/>
  <c r="BP124" i="5"/>
  <c r="CF124" i="5"/>
  <c r="BN124" i="5"/>
  <c r="BO124" i="5" s="1"/>
  <c r="BH124" i="5"/>
  <c r="CD124" i="5"/>
  <c r="CE124" i="5" s="1"/>
  <c r="BX124" i="5"/>
  <c r="BF124" i="5"/>
  <c r="BG124" i="5" s="1"/>
  <c r="AZ124" i="5"/>
  <c r="BA124" i="5" s="1"/>
  <c r="CF110" i="5"/>
  <c r="BX110" i="5"/>
  <c r="BP110" i="5"/>
  <c r="BH110" i="5"/>
  <c r="AZ110" i="5"/>
  <c r="BA110" i="5" s="1"/>
  <c r="CD110" i="5"/>
  <c r="CE110" i="5" s="1"/>
  <c r="BV110" i="5"/>
  <c r="BW110" i="5" s="1"/>
  <c r="BN110" i="5"/>
  <c r="BO110" i="5" s="1"/>
  <c r="BF110" i="5"/>
  <c r="BG110" i="5" s="1"/>
  <c r="BQ110" i="5"/>
  <c r="BE110" i="5"/>
  <c r="BZ110" i="5"/>
  <c r="CA110" i="5" s="1"/>
  <c r="BD110" i="5"/>
  <c r="BY110" i="5"/>
  <c r="BM110" i="5"/>
  <c r="CH110" i="5"/>
  <c r="BL110" i="5"/>
  <c r="CG110" i="5"/>
  <c r="BU110" i="5"/>
  <c r="CB110" i="5"/>
  <c r="BT110" i="5"/>
  <c r="BR110" i="5"/>
  <c r="BS110" i="5" s="1"/>
  <c r="BJ110" i="5"/>
  <c r="BK110" i="5" s="1"/>
  <c r="CC110" i="5"/>
  <c r="BI110" i="5"/>
  <c r="CD123" i="5"/>
  <c r="CE123" i="5" s="1"/>
  <c r="BV123" i="5"/>
  <c r="BW123" i="5" s="1"/>
  <c r="BN123" i="5"/>
  <c r="BO123" i="5" s="1"/>
  <c r="BF123" i="5"/>
  <c r="BG123" i="5" s="1"/>
  <c r="CC123" i="5"/>
  <c r="BU123" i="5"/>
  <c r="BM123" i="5"/>
  <c r="BE123" i="5"/>
  <c r="CB123" i="5"/>
  <c r="BT123" i="5"/>
  <c r="BL123" i="5"/>
  <c r="BD123" i="5"/>
  <c r="BR123" i="5"/>
  <c r="BS123" i="5" s="1"/>
  <c r="AZ123" i="5"/>
  <c r="BA123" i="5" s="1"/>
  <c r="BQ123" i="5"/>
  <c r="CH123" i="5"/>
  <c r="BP123" i="5"/>
  <c r="CG123" i="5"/>
  <c r="BJ123" i="5"/>
  <c r="BK123" i="5" s="1"/>
  <c r="CF123" i="5"/>
  <c r="BI123" i="5"/>
  <c r="BY123" i="5"/>
  <c r="BX123" i="5"/>
  <c r="BH123" i="5"/>
  <c r="BZ123" i="5"/>
  <c r="CA123" i="5" s="1"/>
  <c r="CH71" i="5"/>
  <c r="BZ71" i="5"/>
  <c r="CA71" i="5" s="1"/>
  <c r="BR71" i="5"/>
  <c r="BS71" i="5" s="1"/>
  <c r="BJ71" i="5"/>
  <c r="BK71" i="5" s="1"/>
  <c r="CF71" i="5"/>
  <c r="BX71" i="5"/>
  <c r="BP71" i="5"/>
  <c r="BH71" i="5"/>
  <c r="AZ71" i="5"/>
  <c r="BA71" i="5" s="1"/>
  <c r="CG71" i="5"/>
  <c r="BV71" i="5"/>
  <c r="BW71" i="5" s="1"/>
  <c r="BL71" i="5"/>
  <c r="BU71" i="5"/>
  <c r="CD71" i="5"/>
  <c r="CE71" i="5" s="1"/>
  <c r="BT71" i="5"/>
  <c r="BI71" i="5"/>
  <c r="CC71" i="5"/>
  <c r="CB71" i="5"/>
  <c r="BQ71" i="5"/>
  <c r="BF71" i="5"/>
  <c r="BG71" i="5" s="1"/>
  <c r="BN71" i="5"/>
  <c r="BO71" i="5" s="1"/>
  <c r="BM71" i="5"/>
  <c r="BE71" i="5"/>
  <c r="BD71" i="5"/>
  <c r="BY71" i="5"/>
  <c r="CD63" i="5"/>
  <c r="CE63" i="5" s="1"/>
  <c r="BV63" i="5"/>
  <c r="BW63" i="5" s="1"/>
  <c r="BN63" i="5"/>
  <c r="BO63" i="5" s="1"/>
  <c r="BF63" i="5"/>
  <c r="BG63" i="5" s="1"/>
  <c r="CC63" i="5"/>
  <c r="BU63" i="5"/>
  <c r="BM63" i="5"/>
  <c r="BE63" i="5"/>
  <c r="CB63" i="5"/>
  <c r="BT63" i="5"/>
  <c r="BL63" i="5"/>
  <c r="BD63" i="5"/>
  <c r="CH63" i="5"/>
  <c r="BZ63" i="5"/>
  <c r="CA63" i="5" s="1"/>
  <c r="BR63" i="5"/>
  <c r="BS63" i="5" s="1"/>
  <c r="BJ63" i="5"/>
  <c r="BK63" i="5" s="1"/>
  <c r="AZ63" i="5"/>
  <c r="BQ63" i="5"/>
  <c r="BP63" i="5"/>
  <c r="CF63" i="5"/>
  <c r="BI63" i="5"/>
  <c r="BY63" i="5"/>
  <c r="BX63" i="5"/>
  <c r="BH63" i="5"/>
  <c r="CG63" i="5"/>
  <c r="BA63" i="5"/>
  <c r="CD103" i="5"/>
  <c r="CE103" i="5" s="1"/>
  <c r="BV103" i="5"/>
  <c r="BW103" i="5" s="1"/>
  <c r="BN103" i="5"/>
  <c r="BO103" i="5" s="1"/>
  <c r="CB103" i="5"/>
  <c r="BJ103" i="5"/>
  <c r="BK103" i="5" s="1"/>
  <c r="BR103" i="5"/>
  <c r="BS103" i="5" s="1"/>
  <c r="BI103" i="5"/>
  <c r="BA103" i="5"/>
  <c r="CG103" i="5"/>
  <c r="BX103" i="5"/>
  <c r="BF103" i="5"/>
  <c r="BG103" i="5" s="1"/>
  <c r="BZ103" i="5"/>
  <c r="CA103" i="5" s="1"/>
  <c r="BL103" i="5"/>
  <c r="BY103" i="5"/>
  <c r="BH103" i="5"/>
  <c r="BU103" i="5"/>
  <c r="CH103" i="5"/>
  <c r="BT103" i="5"/>
  <c r="BE103" i="5"/>
  <c r="CF103" i="5"/>
  <c r="AZ103" i="5"/>
  <c r="CC103" i="5"/>
  <c r="BQ103" i="5"/>
  <c r="BM103" i="5"/>
  <c r="BD103" i="5"/>
  <c r="BP103" i="5"/>
  <c r="CB70" i="5"/>
  <c r="BT70" i="5"/>
  <c r="BL70" i="5"/>
  <c r="BD70" i="5"/>
  <c r="CH70" i="5"/>
  <c r="BZ70" i="5"/>
  <c r="CA70" i="5" s="1"/>
  <c r="BR70" i="5"/>
  <c r="BS70" i="5" s="1"/>
  <c r="BJ70" i="5"/>
  <c r="BK70" i="5" s="1"/>
  <c r="CD70" i="5"/>
  <c r="CE70" i="5" s="1"/>
  <c r="BH70" i="5"/>
  <c r="CC70" i="5"/>
  <c r="BQ70" i="5"/>
  <c r="BP70" i="5"/>
  <c r="BF70" i="5"/>
  <c r="BG70" i="5" s="1"/>
  <c r="BY70" i="5"/>
  <c r="BE70" i="5"/>
  <c r="BX70" i="5"/>
  <c r="BN70" i="5"/>
  <c r="BO70" i="5" s="1"/>
  <c r="BV70" i="5"/>
  <c r="BW70" i="5" s="1"/>
  <c r="BU70" i="5"/>
  <c r="BM70" i="5"/>
  <c r="CG70" i="5"/>
  <c r="BI70" i="5"/>
  <c r="CF70" i="5"/>
  <c r="BA70" i="5"/>
  <c r="AZ70" i="5"/>
  <c r="CH53" i="5"/>
  <c r="BZ53" i="5"/>
  <c r="CA53" i="5" s="1"/>
  <c r="BR53" i="5"/>
  <c r="BS53" i="5" s="1"/>
  <c r="BJ53" i="5"/>
  <c r="BK53" i="5" s="1"/>
  <c r="CG53" i="5"/>
  <c r="BY53" i="5"/>
  <c r="BQ53" i="5"/>
  <c r="BI53" i="5"/>
  <c r="BA53" i="5"/>
  <c r="CF53" i="5"/>
  <c r="BX53" i="5"/>
  <c r="BP53" i="5"/>
  <c r="BH53" i="5"/>
  <c r="AZ53" i="5"/>
  <c r="CD53" i="5"/>
  <c r="CE53" i="5" s="1"/>
  <c r="BV53" i="5"/>
  <c r="BW53" i="5" s="1"/>
  <c r="BN53" i="5"/>
  <c r="BO53" i="5" s="1"/>
  <c r="BF53" i="5"/>
  <c r="BG53" i="5" s="1"/>
  <c r="BU53" i="5"/>
  <c r="BE53" i="5"/>
  <c r="BT53" i="5"/>
  <c r="BD53" i="5"/>
  <c r="CC53" i="5"/>
  <c r="BM53" i="5"/>
  <c r="CB53" i="5"/>
  <c r="BL53" i="5"/>
  <c r="CB66" i="5"/>
  <c r="BT66" i="5"/>
  <c r="BL66" i="5"/>
  <c r="BD66" i="5"/>
  <c r="CH66" i="5"/>
  <c r="BZ66" i="5"/>
  <c r="CA66" i="5" s="1"/>
  <c r="BR66" i="5"/>
  <c r="BS66" i="5" s="1"/>
  <c r="BJ66" i="5"/>
  <c r="BK66" i="5" s="1"/>
  <c r="CF66" i="5"/>
  <c r="BV66" i="5"/>
  <c r="BW66" i="5" s="1"/>
  <c r="AZ66" i="5"/>
  <c r="BU66" i="5"/>
  <c r="BI66" i="5"/>
  <c r="CD66" i="5"/>
  <c r="CE66" i="5" s="1"/>
  <c r="BH66" i="5"/>
  <c r="CC66" i="5"/>
  <c r="BQ66" i="5"/>
  <c r="BP66" i="5"/>
  <c r="BF66" i="5"/>
  <c r="BG66" i="5" s="1"/>
  <c r="BN66" i="5"/>
  <c r="BO66" i="5" s="1"/>
  <c r="BE66" i="5"/>
  <c r="BA66" i="5"/>
  <c r="CG66" i="5"/>
  <c r="BY66" i="5"/>
  <c r="BX66" i="5"/>
  <c r="BM66" i="5"/>
  <c r="CH45" i="5"/>
  <c r="BZ45" i="5"/>
  <c r="CA45" i="5" s="1"/>
  <c r="BR45" i="5"/>
  <c r="BS45" i="5" s="1"/>
  <c r="BJ45" i="5"/>
  <c r="BK45" i="5" s="1"/>
  <c r="CF45" i="5"/>
  <c r="BX45" i="5"/>
  <c r="BP45" i="5"/>
  <c r="BH45" i="5"/>
  <c r="AZ45" i="5"/>
  <c r="CD45" i="5"/>
  <c r="CE45" i="5" s="1"/>
  <c r="BV45" i="5"/>
  <c r="BW45" i="5" s="1"/>
  <c r="BN45" i="5"/>
  <c r="BO45" i="5" s="1"/>
  <c r="BF45" i="5"/>
  <c r="BG45" i="5" s="1"/>
  <c r="BY45" i="5"/>
  <c r="BL45" i="5"/>
  <c r="BU45" i="5"/>
  <c r="BE45" i="5"/>
  <c r="BT45" i="5"/>
  <c r="BD45" i="5"/>
  <c r="CG45" i="5"/>
  <c r="BQ45" i="5"/>
  <c r="BA45" i="5"/>
  <c r="BI45" i="5"/>
  <c r="BM45" i="5"/>
  <c r="CB45" i="5"/>
  <c r="CC45" i="5"/>
  <c r="CB32" i="5"/>
  <c r="BT32" i="5"/>
  <c r="BL32" i="5"/>
  <c r="BD32" i="5"/>
  <c r="CH32" i="5"/>
  <c r="BZ32" i="5"/>
  <c r="CA32" i="5" s="1"/>
  <c r="BR32" i="5"/>
  <c r="BS32" i="5" s="1"/>
  <c r="BJ32" i="5"/>
  <c r="BK32" i="5" s="1"/>
  <c r="CF32" i="5"/>
  <c r="BX32" i="5"/>
  <c r="BP32" i="5"/>
  <c r="BH32" i="5"/>
  <c r="AZ32" i="5"/>
  <c r="BA32" i="5" s="1"/>
  <c r="BY32" i="5"/>
  <c r="BM32" i="5"/>
  <c r="CG32" i="5"/>
  <c r="BE32" i="5"/>
  <c r="BQ32" i="5"/>
  <c r="CD32" i="5"/>
  <c r="CE32" i="5" s="1"/>
  <c r="CC32" i="5"/>
  <c r="BN32" i="5"/>
  <c r="BO32" i="5" s="1"/>
  <c r="BI32" i="5"/>
  <c r="BV32" i="5"/>
  <c r="BW32" i="5" s="1"/>
  <c r="BF32" i="5"/>
  <c r="BG32" i="5" s="1"/>
  <c r="BU32" i="5"/>
  <c r="CB44" i="5"/>
  <c r="BT44" i="5"/>
  <c r="BL44" i="5"/>
  <c r="BD44" i="5"/>
  <c r="CH44" i="5"/>
  <c r="BZ44" i="5"/>
  <c r="CA44" i="5" s="1"/>
  <c r="BR44" i="5"/>
  <c r="BS44" i="5" s="1"/>
  <c r="BJ44" i="5"/>
  <c r="BK44" i="5" s="1"/>
  <c r="CF44" i="5"/>
  <c r="BX44" i="5"/>
  <c r="BP44" i="5"/>
  <c r="BH44" i="5"/>
  <c r="AZ44" i="5"/>
  <c r="BY44" i="5"/>
  <c r="BM44" i="5"/>
  <c r="CD44" i="5"/>
  <c r="CE44" i="5" s="1"/>
  <c r="BN44" i="5"/>
  <c r="BO44" i="5" s="1"/>
  <c r="CC44" i="5"/>
  <c r="BI44" i="5"/>
  <c r="BV44" i="5"/>
  <c r="BW44" i="5" s="1"/>
  <c r="BF44" i="5"/>
  <c r="BG44" i="5" s="1"/>
  <c r="BU44" i="5"/>
  <c r="BE44" i="5"/>
  <c r="CG44" i="5"/>
  <c r="BQ44" i="5"/>
  <c r="BA44" i="5"/>
  <c r="CB18" i="5"/>
  <c r="BT18" i="5"/>
  <c r="BL18" i="5"/>
  <c r="BD18" i="5"/>
  <c r="CH18" i="5"/>
  <c r="BZ18" i="5"/>
  <c r="CA18" i="5" s="1"/>
  <c r="BR18" i="5"/>
  <c r="BS18" i="5" s="1"/>
  <c r="BJ18" i="5"/>
  <c r="BK18" i="5" s="1"/>
  <c r="CG18" i="5"/>
  <c r="BY18" i="5"/>
  <c r="BQ18" i="5"/>
  <c r="BI18" i="5"/>
  <c r="CF18" i="5"/>
  <c r="BX18" i="5"/>
  <c r="BP18" i="5"/>
  <c r="BH18" i="5"/>
  <c r="AZ18" i="5"/>
  <c r="BA18" i="5" s="1"/>
  <c r="BU18" i="5"/>
  <c r="CC18" i="5"/>
  <c r="BV18" i="5"/>
  <c r="BW18" i="5" s="1"/>
  <c r="BN18" i="5"/>
  <c r="BO18" i="5" s="1"/>
  <c r="BM18" i="5"/>
  <c r="CD18" i="5"/>
  <c r="CE18" i="5" s="1"/>
  <c r="BF18" i="5"/>
  <c r="BG18" i="5" s="1"/>
  <c r="BE18" i="5"/>
  <c r="AX7" i="5"/>
  <c r="W7" i="5"/>
  <c r="AW7" i="5" s="1"/>
  <c r="U7" i="5"/>
  <c r="V7" i="5" s="1"/>
  <c r="I9" i="4"/>
  <c r="P9" i="4" s="1"/>
  <c r="N9" i="4"/>
  <c r="CB74" i="5"/>
  <c r="BT74" i="5"/>
  <c r="BL74" i="5"/>
  <c r="BD74" i="5"/>
  <c r="CH74" i="5"/>
  <c r="BZ74" i="5"/>
  <c r="CA74" i="5" s="1"/>
  <c r="BR74" i="5"/>
  <c r="BS74" i="5" s="1"/>
  <c r="BJ74" i="5"/>
  <c r="BK74" i="5" s="1"/>
  <c r="BP74" i="5"/>
  <c r="BF74" i="5"/>
  <c r="BG74" i="5" s="1"/>
  <c r="BY74" i="5"/>
  <c r="BE74" i="5"/>
  <c r="BX74" i="5"/>
  <c r="BN74" i="5"/>
  <c r="BO74" i="5" s="1"/>
  <c r="CG74" i="5"/>
  <c r="BM74" i="5"/>
  <c r="BA74" i="5"/>
  <c r="CF74" i="5"/>
  <c r="BV74" i="5"/>
  <c r="BW74" i="5" s="1"/>
  <c r="AZ74" i="5"/>
  <c r="BI74" i="5"/>
  <c r="BH74" i="5"/>
  <c r="CD74" i="5"/>
  <c r="CE74" i="5" s="1"/>
  <c r="BU74" i="5"/>
  <c r="CC74" i="5"/>
  <c r="BQ74" i="5"/>
  <c r="I6" i="4"/>
  <c r="P6" i="4" s="1"/>
  <c r="N6" i="4"/>
  <c r="G5" i="5"/>
  <c r="H5" i="5" s="1"/>
  <c r="L5" i="5" s="1"/>
  <c r="CD51" i="5"/>
  <c r="CE51" i="5" s="1"/>
  <c r="BV51" i="5"/>
  <c r="BW51" i="5" s="1"/>
  <c r="BN51" i="5"/>
  <c r="BO51" i="5" s="1"/>
  <c r="BF51" i="5"/>
  <c r="BG51" i="5" s="1"/>
  <c r="CB51" i="5"/>
  <c r="BT51" i="5"/>
  <c r="BL51" i="5"/>
  <c r="BD51" i="5"/>
  <c r="CH51" i="5"/>
  <c r="BZ51" i="5"/>
  <c r="CA51" i="5" s="1"/>
  <c r="BR51" i="5"/>
  <c r="BS51" i="5" s="1"/>
  <c r="BJ51" i="5"/>
  <c r="BK51" i="5" s="1"/>
  <c r="BQ51" i="5"/>
  <c r="BE51" i="5"/>
  <c r="CC51" i="5"/>
  <c r="BP51" i="5"/>
  <c r="BX51" i="5"/>
  <c r="BM51" i="5"/>
  <c r="BI51" i="5"/>
  <c r="CG51" i="5"/>
  <c r="BH51" i="5"/>
  <c r="CF51" i="5"/>
  <c r="BY51" i="5"/>
  <c r="AZ51" i="5"/>
  <c r="BA51" i="5" s="1"/>
  <c r="BU51" i="5"/>
  <c r="CD154" i="5"/>
  <c r="CE154" i="5" s="1"/>
  <c r="BV154" i="5"/>
  <c r="BW154" i="5" s="1"/>
  <c r="BN154" i="5"/>
  <c r="BO154" i="5" s="1"/>
  <c r="BF154" i="5"/>
  <c r="BG154" i="5" s="1"/>
  <c r="BU154" i="5"/>
  <c r="BL154" i="5"/>
  <c r="CC154" i="5"/>
  <c r="BT154" i="5"/>
  <c r="CB154" i="5"/>
  <c r="BJ154" i="5"/>
  <c r="BK154" i="5" s="1"/>
  <c r="BA154" i="5"/>
  <c r="BZ154" i="5"/>
  <c r="CA154" i="5" s="1"/>
  <c r="BQ154" i="5"/>
  <c r="BH154" i="5"/>
  <c r="CG154" i="5"/>
  <c r="CF154" i="5"/>
  <c r="BM154" i="5"/>
  <c r="BI154" i="5"/>
  <c r="BY154" i="5"/>
  <c r="BX154" i="5"/>
  <c r="BE154" i="5"/>
  <c r="BD154" i="5"/>
  <c r="CH154" i="5"/>
  <c r="BR154" i="5"/>
  <c r="BS154" i="5" s="1"/>
  <c r="BP154" i="5"/>
  <c r="AZ154" i="5"/>
  <c r="CB155" i="5"/>
  <c r="BT155" i="5"/>
  <c r="BL155" i="5"/>
  <c r="BD155" i="5"/>
  <c r="CH155" i="5"/>
  <c r="BY155" i="5"/>
  <c r="BP155" i="5"/>
  <c r="CG155" i="5"/>
  <c r="BX155" i="5"/>
  <c r="BF155" i="5"/>
  <c r="BG155" i="5" s="1"/>
  <c r="CF155" i="5"/>
  <c r="BN155" i="5"/>
  <c r="BO155" i="5" s="1"/>
  <c r="BE155" i="5"/>
  <c r="CD155" i="5"/>
  <c r="CE155" i="5" s="1"/>
  <c r="BU155" i="5"/>
  <c r="BI155" i="5"/>
  <c r="BZ155" i="5"/>
  <c r="CA155" i="5" s="1"/>
  <c r="BH155" i="5"/>
  <c r="BV155" i="5"/>
  <c r="BW155" i="5" s="1"/>
  <c r="BA155" i="5"/>
  <c r="BR155" i="5"/>
  <c r="BS155" i="5" s="1"/>
  <c r="AZ155" i="5"/>
  <c r="BQ155" i="5"/>
  <c r="CC155" i="5"/>
  <c r="BM155" i="5"/>
  <c r="BJ155" i="5"/>
  <c r="BK155" i="5" s="1"/>
  <c r="CD85" i="5"/>
  <c r="CE85" i="5" s="1"/>
  <c r="BV85" i="5"/>
  <c r="BW85" i="5" s="1"/>
  <c r="BN85" i="5"/>
  <c r="BO85" i="5" s="1"/>
  <c r="BF85" i="5"/>
  <c r="BG85" i="5" s="1"/>
  <c r="CC85" i="5"/>
  <c r="BU85" i="5"/>
  <c r="BM85" i="5"/>
  <c r="BE85" i="5"/>
  <c r="CB85" i="5"/>
  <c r="BT85" i="5"/>
  <c r="BL85" i="5"/>
  <c r="BD85" i="5"/>
  <c r="BR85" i="5"/>
  <c r="BS85" i="5" s="1"/>
  <c r="AZ85" i="5"/>
  <c r="BQ85" i="5"/>
  <c r="CH85" i="5"/>
  <c r="BP85" i="5"/>
  <c r="CG85" i="5"/>
  <c r="BJ85" i="5"/>
  <c r="BK85" i="5" s="1"/>
  <c r="CF85" i="5"/>
  <c r="BI85" i="5"/>
  <c r="BY85" i="5"/>
  <c r="BX85" i="5"/>
  <c r="BH85" i="5"/>
  <c r="BZ85" i="5"/>
  <c r="CA85" i="5" s="1"/>
  <c r="BA85" i="5"/>
  <c r="CH195" i="5"/>
  <c r="BZ195" i="5"/>
  <c r="CA195" i="5" s="1"/>
  <c r="BR195" i="5"/>
  <c r="BS195" i="5" s="1"/>
  <c r="BJ195" i="5"/>
  <c r="BK195" i="5" s="1"/>
  <c r="CB195" i="5"/>
  <c r="BT195" i="5"/>
  <c r="BL195" i="5"/>
  <c r="BD195" i="5"/>
  <c r="CD195" i="5"/>
  <c r="CE195" i="5" s="1"/>
  <c r="BH195" i="5"/>
  <c r="CC195" i="5"/>
  <c r="BQ195" i="5"/>
  <c r="BP195" i="5"/>
  <c r="BF195" i="5"/>
  <c r="BG195" i="5" s="1"/>
  <c r="BY195" i="5"/>
  <c r="BE195" i="5"/>
  <c r="CG195" i="5"/>
  <c r="BM195" i="5"/>
  <c r="BI195" i="5"/>
  <c r="CF195" i="5"/>
  <c r="AZ195" i="5"/>
  <c r="BA195" i="5" s="1"/>
  <c r="BX195" i="5"/>
  <c r="BV195" i="5"/>
  <c r="BW195" i="5" s="1"/>
  <c r="BU195" i="5"/>
  <c r="BN195" i="5"/>
  <c r="BO195" i="5" s="1"/>
  <c r="D45" i="2"/>
  <c r="CG190" i="5"/>
  <c r="BY190" i="5"/>
  <c r="BQ190" i="5"/>
  <c r="BI190" i="5"/>
  <c r="CD190" i="5"/>
  <c r="CE190" i="5" s="1"/>
  <c r="BV190" i="5"/>
  <c r="BW190" i="5" s="1"/>
  <c r="BN190" i="5"/>
  <c r="BO190" i="5" s="1"/>
  <c r="BF190" i="5"/>
  <c r="BG190" i="5" s="1"/>
  <c r="CB190" i="5"/>
  <c r="BT190" i="5"/>
  <c r="BL190" i="5"/>
  <c r="BD190" i="5"/>
  <c r="CH190" i="5"/>
  <c r="BR190" i="5"/>
  <c r="BS190" i="5" s="1"/>
  <c r="CF190" i="5"/>
  <c r="BP190" i="5"/>
  <c r="AZ190" i="5"/>
  <c r="BA190" i="5" s="1"/>
  <c r="CC190" i="5"/>
  <c r="BM190" i="5"/>
  <c r="BJ190" i="5"/>
  <c r="BK190" i="5" s="1"/>
  <c r="BH190" i="5"/>
  <c r="BE190" i="5"/>
  <c r="BX190" i="5"/>
  <c r="BU190" i="5"/>
  <c r="BZ190" i="5"/>
  <c r="CA190" i="5" s="1"/>
  <c r="CH188" i="5"/>
  <c r="BZ188" i="5"/>
  <c r="CA188" i="5" s="1"/>
  <c r="BR188" i="5"/>
  <c r="BS188" i="5" s="1"/>
  <c r="BJ188" i="5"/>
  <c r="BK188" i="5" s="1"/>
  <c r="CF188" i="5"/>
  <c r="BX188" i="5"/>
  <c r="BP188" i="5"/>
  <c r="BH188" i="5"/>
  <c r="AZ188" i="5"/>
  <c r="BA188" i="5" s="1"/>
  <c r="CD188" i="5"/>
  <c r="CE188" i="5" s="1"/>
  <c r="BT188" i="5"/>
  <c r="BI188" i="5"/>
  <c r="CC188" i="5"/>
  <c r="CB188" i="5"/>
  <c r="BQ188" i="5"/>
  <c r="BF188" i="5"/>
  <c r="BG188" i="5" s="1"/>
  <c r="BE188" i="5"/>
  <c r="BY188" i="5"/>
  <c r="BN188" i="5"/>
  <c r="BO188" i="5" s="1"/>
  <c r="BD188" i="5"/>
  <c r="BV188" i="5"/>
  <c r="BW188" i="5" s="1"/>
  <c r="BU188" i="5"/>
  <c r="BM188" i="5"/>
  <c r="CG188" i="5"/>
  <c r="BL188" i="5"/>
  <c r="CD186" i="5"/>
  <c r="CE186" i="5" s="1"/>
  <c r="BV186" i="5"/>
  <c r="BW186" i="5" s="1"/>
  <c r="BN186" i="5"/>
  <c r="BO186" i="5" s="1"/>
  <c r="BF186" i="5"/>
  <c r="BG186" i="5" s="1"/>
  <c r="CB186" i="5"/>
  <c r="BT186" i="5"/>
  <c r="BL186" i="5"/>
  <c r="BD186" i="5"/>
  <c r="CH186" i="5"/>
  <c r="BX186" i="5"/>
  <c r="BM186" i="5"/>
  <c r="CG186" i="5"/>
  <c r="CF186" i="5"/>
  <c r="BU186" i="5"/>
  <c r="BJ186" i="5"/>
  <c r="BK186" i="5" s="1"/>
  <c r="AZ186" i="5"/>
  <c r="BA186" i="5" s="1"/>
  <c r="BI186" i="5"/>
  <c r="CC186" i="5"/>
  <c r="BR186" i="5"/>
  <c r="BS186" i="5" s="1"/>
  <c r="BH186" i="5"/>
  <c r="BE186" i="5"/>
  <c r="BZ186" i="5"/>
  <c r="CA186" i="5" s="1"/>
  <c r="BY186" i="5"/>
  <c r="BQ186" i="5"/>
  <c r="BP186" i="5"/>
  <c r="CF141" i="5"/>
  <c r="BX141" i="5"/>
  <c r="BP141" i="5"/>
  <c r="BH141" i="5"/>
  <c r="AZ141" i="5"/>
  <c r="CD141" i="5"/>
  <c r="CE141" i="5" s="1"/>
  <c r="BV141" i="5"/>
  <c r="BW141" i="5" s="1"/>
  <c r="BN141" i="5"/>
  <c r="BO141" i="5" s="1"/>
  <c r="BF141" i="5"/>
  <c r="BG141" i="5" s="1"/>
  <c r="CC141" i="5"/>
  <c r="BU141" i="5"/>
  <c r="BM141" i="5"/>
  <c r="BE141" i="5"/>
  <c r="CB141" i="5"/>
  <c r="BT141" i="5"/>
  <c r="BL141" i="5"/>
  <c r="BD141" i="5"/>
  <c r="BI141" i="5"/>
  <c r="BZ141" i="5"/>
  <c r="CA141" i="5" s="1"/>
  <c r="BY141" i="5"/>
  <c r="BA141" i="5"/>
  <c r="BR141" i="5"/>
  <c r="BS141" i="5" s="1"/>
  <c r="CH141" i="5"/>
  <c r="CG141" i="5"/>
  <c r="BQ141" i="5"/>
  <c r="BJ141" i="5"/>
  <c r="BK141" i="5" s="1"/>
  <c r="CH49" i="5"/>
  <c r="BZ49" i="5"/>
  <c r="CA49" i="5" s="1"/>
  <c r="BR49" i="5"/>
  <c r="BS49" i="5" s="1"/>
  <c r="BJ49" i="5"/>
  <c r="BK49" i="5" s="1"/>
  <c r="CF49" i="5"/>
  <c r="BX49" i="5"/>
  <c r="BP49" i="5"/>
  <c r="BH49" i="5"/>
  <c r="AZ49" i="5"/>
  <c r="CD49" i="5"/>
  <c r="CE49" i="5" s="1"/>
  <c r="BV49" i="5"/>
  <c r="BW49" i="5" s="1"/>
  <c r="BN49" i="5"/>
  <c r="BO49" i="5" s="1"/>
  <c r="BF49" i="5"/>
  <c r="BG49" i="5" s="1"/>
  <c r="CG49" i="5"/>
  <c r="BT49" i="5"/>
  <c r="BE49" i="5"/>
  <c r="CB49" i="5"/>
  <c r="BY49" i="5"/>
  <c r="BD49" i="5"/>
  <c r="BA49" i="5"/>
  <c r="BU49" i="5"/>
  <c r="BQ49" i="5"/>
  <c r="BM49" i="5"/>
  <c r="BL49" i="5"/>
  <c r="BI49" i="5"/>
  <c r="CC49" i="5"/>
  <c r="CD69" i="5"/>
  <c r="CE69" i="5" s="1"/>
  <c r="BV69" i="5"/>
  <c r="BW69" i="5" s="1"/>
  <c r="BN69" i="5"/>
  <c r="BO69" i="5" s="1"/>
  <c r="BF69" i="5"/>
  <c r="BG69" i="5" s="1"/>
  <c r="CB69" i="5"/>
  <c r="BT69" i="5"/>
  <c r="BL69" i="5"/>
  <c r="BD69" i="5"/>
  <c r="BZ69" i="5"/>
  <c r="CA69" i="5" s="1"/>
  <c r="BP69" i="5"/>
  <c r="BE69" i="5"/>
  <c r="BY69" i="5"/>
  <c r="CH69" i="5"/>
  <c r="BX69" i="5"/>
  <c r="BM69" i="5"/>
  <c r="CG69" i="5"/>
  <c r="BA69" i="5"/>
  <c r="CF69" i="5"/>
  <c r="BU69" i="5"/>
  <c r="BJ69" i="5"/>
  <c r="BK69" i="5" s="1"/>
  <c r="AZ69" i="5"/>
  <c r="BR69" i="5"/>
  <c r="BS69" i="5" s="1"/>
  <c r="BI69" i="5"/>
  <c r="BH69" i="5"/>
  <c r="CC69" i="5"/>
  <c r="BQ69" i="5"/>
  <c r="CH27" i="5"/>
  <c r="BZ27" i="5"/>
  <c r="CA27" i="5" s="1"/>
  <c r="CB27" i="5"/>
  <c r="CF27" i="5"/>
  <c r="BV27" i="5"/>
  <c r="BW27" i="5" s="1"/>
  <c r="BM27" i="5"/>
  <c r="BD27" i="5"/>
  <c r="BU27" i="5"/>
  <c r="BL27" i="5"/>
  <c r="CD27" i="5"/>
  <c r="CE27" i="5" s="1"/>
  <c r="BT27" i="5"/>
  <c r="BJ27" i="5"/>
  <c r="BK27" i="5" s="1"/>
  <c r="CC27" i="5"/>
  <c r="BR27" i="5"/>
  <c r="BS27" i="5" s="1"/>
  <c r="BI27" i="5"/>
  <c r="AZ27" i="5"/>
  <c r="BA27" i="5" s="1"/>
  <c r="BQ27" i="5"/>
  <c r="BH27" i="5"/>
  <c r="BY27" i="5"/>
  <c r="BP27" i="5"/>
  <c r="CG27" i="5"/>
  <c r="BX27" i="5"/>
  <c r="BE27" i="5"/>
  <c r="BF27" i="5"/>
  <c r="BG27" i="5" s="1"/>
  <c r="BN27" i="5"/>
  <c r="BO27" i="5" s="1"/>
  <c r="CF50" i="5"/>
  <c r="BX50" i="5"/>
  <c r="BP50" i="5"/>
  <c r="BH50" i="5"/>
  <c r="AZ50" i="5"/>
  <c r="BA50" i="5" s="1"/>
  <c r="CD50" i="5"/>
  <c r="CE50" i="5" s="1"/>
  <c r="BV50" i="5"/>
  <c r="BW50" i="5" s="1"/>
  <c r="BN50" i="5"/>
  <c r="BO50" i="5" s="1"/>
  <c r="BF50" i="5"/>
  <c r="BG50" i="5" s="1"/>
  <c r="CB50" i="5"/>
  <c r="BT50" i="5"/>
  <c r="BL50" i="5"/>
  <c r="BD50" i="5"/>
  <c r="BR50" i="5"/>
  <c r="BS50" i="5" s="1"/>
  <c r="BE50" i="5"/>
  <c r="CC50" i="5"/>
  <c r="BQ50" i="5"/>
  <c r="BY50" i="5"/>
  <c r="BZ50" i="5"/>
  <c r="CA50" i="5" s="1"/>
  <c r="BU50" i="5"/>
  <c r="BM50" i="5"/>
  <c r="BJ50" i="5"/>
  <c r="BK50" i="5" s="1"/>
  <c r="CG50" i="5"/>
  <c r="CH50" i="5"/>
  <c r="BI50" i="5"/>
  <c r="CD13" i="5"/>
  <c r="CE13" i="5" s="1"/>
  <c r="BV13" i="5"/>
  <c r="BW13" i="5" s="1"/>
  <c r="BN13" i="5"/>
  <c r="BO13" i="5" s="1"/>
  <c r="BF13" i="5"/>
  <c r="BG13" i="5" s="1"/>
  <c r="CC13" i="5"/>
  <c r="BU13" i="5"/>
  <c r="BM13" i="5"/>
  <c r="BE13" i="5"/>
  <c r="CB13" i="5"/>
  <c r="BT13" i="5"/>
  <c r="BL13" i="5"/>
  <c r="BD13" i="5"/>
  <c r="CH13" i="5"/>
  <c r="BZ13" i="5"/>
  <c r="CA13" i="5" s="1"/>
  <c r="BR13" i="5"/>
  <c r="BS13" i="5" s="1"/>
  <c r="BJ13" i="5"/>
  <c r="BK13" i="5" s="1"/>
  <c r="CG13" i="5"/>
  <c r="BY13" i="5"/>
  <c r="BQ13" i="5"/>
  <c r="BI13" i="5"/>
  <c r="BA13" i="5"/>
  <c r="CF13" i="5"/>
  <c r="AZ13" i="5"/>
  <c r="BH13" i="5"/>
  <c r="BX13" i="5"/>
  <c r="BP13" i="5"/>
  <c r="CF42" i="5"/>
  <c r="BX42" i="5"/>
  <c r="BP42" i="5"/>
  <c r="BH42" i="5"/>
  <c r="AZ42" i="5"/>
  <c r="CD42" i="5"/>
  <c r="CE42" i="5" s="1"/>
  <c r="BV42" i="5"/>
  <c r="BW42" i="5" s="1"/>
  <c r="BN42" i="5"/>
  <c r="BO42" i="5" s="1"/>
  <c r="BF42" i="5"/>
  <c r="BG42" i="5" s="1"/>
  <c r="CB42" i="5"/>
  <c r="BT42" i="5"/>
  <c r="BL42" i="5"/>
  <c r="BD42" i="5"/>
  <c r="BZ42" i="5"/>
  <c r="CA42" i="5" s="1"/>
  <c r="BM42" i="5"/>
  <c r="BA42" i="5"/>
  <c r="BY42" i="5"/>
  <c r="BU42" i="5"/>
  <c r="BE42" i="5"/>
  <c r="CH42" i="5"/>
  <c r="BR42" i="5"/>
  <c r="BS42" i="5" s="1"/>
  <c r="CG42" i="5"/>
  <c r="BQ42" i="5"/>
  <c r="CC42" i="5"/>
  <c r="BJ42" i="5"/>
  <c r="BK42" i="5" s="1"/>
  <c r="BI42" i="5"/>
  <c r="CF157" i="5"/>
  <c r="BX157" i="5"/>
  <c r="BP157" i="5"/>
  <c r="BH157" i="5"/>
  <c r="AZ157" i="5"/>
  <c r="BZ157" i="5"/>
  <c r="CA157" i="5" s="1"/>
  <c r="BQ157" i="5"/>
  <c r="CH157" i="5"/>
  <c r="BY157" i="5"/>
  <c r="BF157" i="5"/>
  <c r="BG157" i="5" s="1"/>
  <c r="CG157" i="5"/>
  <c r="BN157" i="5"/>
  <c r="BO157" i="5" s="1"/>
  <c r="BE157" i="5"/>
  <c r="BV157" i="5"/>
  <c r="BW157" i="5" s="1"/>
  <c r="BM157" i="5"/>
  <c r="BD157" i="5"/>
  <c r="CD157" i="5"/>
  <c r="CE157" i="5" s="1"/>
  <c r="BU157" i="5"/>
  <c r="BL157" i="5"/>
  <c r="BA157" i="5"/>
  <c r="BT157" i="5"/>
  <c r="BR157" i="5"/>
  <c r="BS157" i="5" s="1"/>
  <c r="BJ157" i="5"/>
  <c r="BK157" i="5" s="1"/>
  <c r="CC157" i="5"/>
  <c r="CB157" i="5"/>
  <c r="BI157" i="5"/>
  <c r="CB78" i="5"/>
  <c r="BT78" i="5"/>
  <c r="BL78" i="5"/>
  <c r="BD78" i="5"/>
  <c r="CH78" i="5"/>
  <c r="BZ78" i="5"/>
  <c r="CA78" i="5" s="1"/>
  <c r="BR78" i="5"/>
  <c r="BS78" i="5" s="1"/>
  <c r="BJ78" i="5"/>
  <c r="BK78" i="5" s="1"/>
  <c r="BQ78" i="5"/>
  <c r="BF78" i="5"/>
  <c r="BG78" i="5" s="1"/>
  <c r="CD78" i="5"/>
  <c r="CE78" i="5" s="1"/>
  <c r="BP78" i="5"/>
  <c r="BE78" i="5"/>
  <c r="CC78" i="5"/>
  <c r="BY78" i="5"/>
  <c r="BN78" i="5"/>
  <c r="BO78" i="5" s="1"/>
  <c r="AZ78" i="5"/>
  <c r="BA78" i="5" s="1"/>
  <c r="BX78" i="5"/>
  <c r="BM78" i="5"/>
  <c r="CG78" i="5"/>
  <c r="CF78" i="5"/>
  <c r="BV78" i="5"/>
  <c r="BW78" i="5" s="1"/>
  <c r="BI78" i="5"/>
  <c r="BH78" i="5"/>
  <c r="BU78" i="5"/>
  <c r="CD101" i="5"/>
  <c r="CE101" i="5" s="1"/>
  <c r="BV101" i="5"/>
  <c r="BW101" i="5" s="1"/>
  <c r="BN101" i="5"/>
  <c r="BO101" i="5" s="1"/>
  <c r="BF101" i="5"/>
  <c r="BG101" i="5" s="1"/>
  <c r="CC101" i="5"/>
  <c r="BU101" i="5"/>
  <c r="BM101" i="5"/>
  <c r="BE101" i="5"/>
  <c r="CH101" i="5"/>
  <c r="BZ101" i="5"/>
  <c r="CA101" i="5" s="1"/>
  <c r="BR101" i="5"/>
  <c r="BS101" i="5" s="1"/>
  <c r="BJ101" i="5"/>
  <c r="BK101" i="5" s="1"/>
  <c r="CB101" i="5"/>
  <c r="BP101" i="5"/>
  <c r="BY101" i="5"/>
  <c r="BL101" i="5"/>
  <c r="AZ101" i="5"/>
  <c r="BA101" i="5" s="1"/>
  <c r="BX101" i="5"/>
  <c r="BI101" i="5"/>
  <c r="BQ101" i="5"/>
  <c r="BH101" i="5"/>
  <c r="CG101" i="5"/>
  <c r="BD101" i="5"/>
  <c r="CF101" i="5"/>
  <c r="BT101" i="5"/>
  <c r="CF171" i="5"/>
  <c r="BX171" i="5"/>
  <c r="BP171" i="5"/>
  <c r="BH171" i="5"/>
  <c r="AZ171" i="5"/>
  <c r="CD171" i="5"/>
  <c r="CE171" i="5" s="1"/>
  <c r="BV171" i="5"/>
  <c r="BW171" i="5" s="1"/>
  <c r="BN171" i="5"/>
  <c r="BO171" i="5" s="1"/>
  <c r="BF171" i="5"/>
  <c r="BG171" i="5" s="1"/>
  <c r="CG171" i="5"/>
  <c r="BU171" i="5"/>
  <c r="BA171" i="5"/>
  <c r="BT171" i="5"/>
  <c r="BJ171" i="5"/>
  <c r="BK171" i="5" s="1"/>
  <c r="CC171" i="5"/>
  <c r="BI171" i="5"/>
  <c r="CB171" i="5"/>
  <c r="BR171" i="5"/>
  <c r="BS171" i="5" s="1"/>
  <c r="BQ171" i="5"/>
  <c r="BE171" i="5"/>
  <c r="BM171" i="5"/>
  <c r="BL171" i="5"/>
  <c r="BD171" i="5"/>
  <c r="CH171" i="5"/>
  <c r="BZ171" i="5"/>
  <c r="CA171" i="5" s="1"/>
  <c r="BY171" i="5"/>
  <c r="CD149" i="5"/>
  <c r="CE149" i="5" s="1"/>
  <c r="BV149" i="5"/>
  <c r="BW149" i="5" s="1"/>
  <c r="BN149" i="5"/>
  <c r="BO149" i="5" s="1"/>
  <c r="BF149" i="5"/>
  <c r="BG149" i="5" s="1"/>
  <c r="CC149" i="5"/>
  <c r="BU149" i="5"/>
  <c r="BM149" i="5"/>
  <c r="BE149" i="5"/>
  <c r="CF149" i="5"/>
  <c r="BT149" i="5"/>
  <c r="BJ149" i="5"/>
  <c r="BK149" i="5" s="1"/>
  <c r="AZ149" i="5"/>
  <c r="BA149" i="5" s="1"/>
  <c r="BI149" i="5"/>
  <c r="CB149" i="5"/>
  <c r="BR149" i="5"/>
  <c r="BS149" i="5" s="1"/>
  <c r="BH149" i="5"/>
  <c r="BQ149" i="5"/>
  <c r="BZ149" i="5"/>
  <c r="CA149" i="5" s="1"/>
  <c r="BP149" i="5"/>
  <c r="BD149" i="5"/>
  <c r="BY149" i="5"/>
  <c r="CH149" i="5"/>
  <c r="CG149" i="5"/>
  <c r="BX149" i="5"/>
  <c r="BL149" i="5"/>
  <c r="CH83" i="5"/>
  <c r="BZ83" i="5"/>
  <c r="CA83" i="5" s="1"/>
  <c r="BR83" i="5"/>
  <c r="BS83" i="5" s="1"/>
  <c r="BJ83" i="5"/>
  <c r="BK83" i="5" s="1"/>
  <c r="CG83" i="5"/>
  <c r="BY83" i="5"/>
  <c r="BQ83" i="5"/>
  <c r="BI83" i="5"/>
  <c r="BA83" i="5"/>
  <c r="CF83" i="5"/>
  <c r="BX83" i="5"/>
  <c r="BP83" i="5"/>
  <c r="BH83" i="5"/>
  <c r="AZ83" i="5"/>
  <c r="BU83" i="5"/>
  <c r="BE83" i="5"/>
  <c r="BT83" i="5"/>
  <c r="BD83" i="5"/>
  <c r="CD83" i="5"/>
  <c r="CE83" i="5" s="1"/>
  <c r="BN83" i="5"/>
  <c r="BO83" i="5" s="1"/>
  <c r="CC83" i="5"/>
  <c r="BM83" i="5"/>
  <c r="BV83" i="5"/>
  <c r="BW83" i="5" s="1"/>
  <c r="BL83" i="5"/>
  <c r="CB83" i="5"/>
  <c r="BF83" i="5"/>
  <c r="BG83" i="5" s="1"/>
  <c r="CC26" i="5"/>
  <c r="BU26" i="5"/>
  <c r="BM26" i="5"/>
  <c r="BE26" i="5"/>
  <c r="BZ26" i="5"/>
  <c r="CA26" i="5" s="1"/>
  <c r="BQ26" i="5"/>
  <c r="BH26" i="5"/>
  <c r="CH26" i="5"/>
  <c r="BY26" i="5"/>
  <c r="BP26" i="5"/>
  <c r="CG26" i="5"/>
  <c r="BX26" i="5"/>
  <c r="BF26" i="5"/>
  <c r="BG26" i="5" s="1"/>
  <c r="CF26" i="5"/>
  <c r="BN26" i="5"/>
  <c r="BO26" i="5" s="1"/>
  <c r="BD26" i="5"/>
  <c r="BV26" i="5"/>
  <c r="BW26" i="5" s="1"/>
  <c r="BL26" i="5"/>
  <c r="CD26" i="5"/>
  <c r="CE26" i="5" s="1"/>
  <c r="BT26" i="5"/>
  <c r="CB26" i="5"/>
  <c r="BI26" i="5"/>
  <c r="AZ26" i="5"/>
  <c r="BA26" i="5" s="1"/>
  <c r="BR26" i="5"/>
  <c r="BS26" i="5" s="1"/>
  <c r="BJ26" i="5"/>
  <c r="BK26" i="5" s="1"/>
  <c r="CG200" i="5"/>
  <c r="BY200" i="5"/>
  <c r="BQ200" i="5"/>
  <c r="BI200" i="5"/>
  <c r="BA200" i="5"/>
  <c r="CF200" i="5"/>
  <c r="BX200" i="5"/>
  <c r="BP200" i="5"/>
  <c r="BH200" i="5"/>
  <c r="AZ200" i="5"/>
  <c r="CB200" i="5"/>
  <c r="BT200" i="5"/>
  <c r="BL200" i="5"/>
  <c r="BD200" i="5"/>
  <c r="CH200" i="5"/>
  <c r="BZ200" i="5"/>
  <c r="CA200" i="5" s="1"/>
  <c r="BR200" i="5"/>
  <c r="BS200" i="5" s="1"/>
  <c r="BJ200" i="5"/>
  <c r="BK200" i="5" s="1"/>
  <c r="CD200" i="5"/>
  <c r="CE200" i="5" s="1"/>
  <c r="BN200" i="5"/>
  <c r="BO200" i="5" s="1"/>
  <c r="CC200" i="5"/>
  <c r="BM200" i="5"/>
  <c r="BU200" i="5"/>
  <c r="BE200" i="5"/>
  <c r="BF200" i="5"/>
  <c r="BG200" i="5" s="1"/>
  <c r="BV200" i="5"/>
  <c r="BW200" i="5" s="1"/>
  <c r="CG189" i="5"/>
  <c r="BY189" i="5"/>
  <c r="BQ189" i="5"/>
  <c r="BI189" i="5"/>
  <c r="CF189" i="5"/>
  <c r="BX189" i="5"/>
  <c r="BP189" i="5"/>
  <c r="BH189" i="5"/>
  <c r="AZ189" i="5"/>
  <c r="BA189" i="5" s="1"/>
  <c r="CD189" i="5"/>
  <c r="CE189" i="5" s="1"/>
  <c r="BV189" i="5"/>
  <c r="BW189" i="5" s="1"/>
  <c r="BN189" i="5"/>
  <c r="BO189" i="5" s="1"/>
  <c r="BF189" i="5"/>
  <c r="BG189" i="5" s="1"/>
  <c r="CC189" i="5"/>
  <c r="BM189" i="5"/>
  <c r="CB189" i="5"/>
  <c r="BL189" i="5"/>
  <c r="BZ189" i="5"/>
  <c r="CA189" i="5" s="1"/>
  <c r="BJ189" i="5"/>
  <c r="BK189" i="5" s="1"/>
  <c r="BR189" i="5"/>
  <c r="BS189" i="5" s="1"/>
  <c r="BE189" i="5"/>
  <c r="BD189" i="5"/>
  <c r="CH189" i="5"/>
  <c r="BT189" i="5"/>
  <c r="BU189" i="5"/>
  <c r="CF175" i="5"/>
  <c r="BX175" i="5"/>
  <c r="BP175" i="5"/>
  <c r="BH175" i="5"/>
  <c r="AZ175" i="5"/>
  <c r="BA175" i="5" s="1"/>
  <c r="CD175" i="5"/>
  <c r="CE175" i="5" s="1"/>
  <c r="BV175" i="5"/>
  <c r="BW175" i="5" s="1"/>
  <c r="BN175" i="5"/>
  <c r="BO175" i="5" s="1"/>
  <c r="BF175" i="5"/>
  <c r="BG175" i="5" s="1"/>
  <c r="CC175" i="5"/>
  <c r="BI175" i="5"/>
  <c r="CB175" i="5"/>
  <c r="BR175" i="5"/>
  <c r="BS175" i="5" s="1"/>
  <c r="BQ175" i="5"/>
  <c r="BE175" i="5"/>
  <c r="BZ175" i="5"/>
  <c r="CA175" i="5" s="1"/>
  <c r="BD175" i="5"/>
  <c r="BY175" i="5"/>
  <c r="BM175" i="5"/>
  <c r="BU175" i="5"/>
  <c r="BT175" i="5"/>
  <c r="BL175" i="5"/>
  <c r="CH175" i="5"/>
  <c r="CG175" i="5"/>
  <c r="BJ175" i="5"/>
  <c r="BK175" i="5" s="1"/>
  <c r="CD176" i="5"/>
  <c r="CE176" i="5" s="1"/>
  <c r="BV176" i="5"/>
  <c r="BW176" i="5" s="1"/>
  <c r="BN176" i="5"/>
  <c r="BO176" i="5" s="1"/>
  <c r="BF176" i="5"/>
  <c r="BG176" i="5" s="1"/>
  <c r="CC176" i="5"/>
  <c r="BU176" i="5"/>
  <c r="BM176" i="5"/>
  <c r="CB176" i="5"/>
  <c r="BT176" i="5"/>
  <c r="BL176" i="5"/>
  <c r="BD176" i="5"/>
  <c r="CH176" i="5"/>
  <c r="BI176" i="5"/>
  <c r="CG176" i="5"/>
  <c r="BH176" i="5"/>
  <c r="CF176" i="5"/>
  <c r="BR176" i="5"/>
  <c r="BS176" i="5" s="1"/>
  <c r="BQ176" i="5"/>
  <c r="BE176" i="5"/>
  <c r="BP176" i="5"/>
  <c r="BX176" i="5"/>
  <c r="BJ176" i="5"/>
  <c r="BK176" i="5" s="1"/>
  <c r="AZ176" i="5"/>
  <c r="BA176" i="5" s="1"/>
  <c r="BZ176" i="5"/>
  <c r="CA176" i="5" s="1"/>
  <c r="BY176" i="5"/>
  <c r="CD158" i="5"/>
  <c r="CE158" i="5" s="1"/>
  <c r="BV158" i="5"/>
  <c r="BW158" i="5" s="1"/>
  <c r="BN158" i="5"/>
  <c r="BO158" i="5" s="1"/>
  <c r="BF158" i="5"/>
  <c r="BG158" i="5" s="1"/>
  <c r="CC158" i="5"/>
  <c r="BT158" i="5"/>
  <c r="CB158" i="5"/>
  <c r="BJ158" i="5"/>
  <c r="BK158" i="5" s="1"/>
  <c r="BA158" i="5"/>
  <c r="BR158" i="5"/>
  <c r="BS158" i="5" s="1"/>
  <c r="BI158" i="5"/>
  <c r="AZ158" i="5"/>
  <c r="BZ158" i="5"/>
  <c r="CA158" i="5" s="1"/>
  <c r="BQ158" i="5"/>
  <c r="BH158" i="5"/>
  <c r="CH158" i="5"/>
  <c r="BY158" i="5"/>
  <c r="BP158" i="5"/>
  <c r="BD158" i="5"/>
  <c r="BX158" i="5"/>
  <c r="BU158" i="5"/>
  <c r="BM158" i="5"/>
  <c r="CG158" i="5"/>
  <c r="CF158" i="5"/>
  <c r="BL158" i="5"/>
  <c r="BE158" i="5"/>
  <c r="CD172" i="5"/>
  <c r="CE172" i="5" s="1"/>
  <c r="BV172" i="5"/>
  <c r="BW172" i="5" s="1"/>
  <c r="BN172" i="5"/>
  <c r="BO172" i="5" s="1"/>
  <c r="BF172" i="5"/>
  <c r="BG172" i="5" s="1"/>
  <c r="CB172" i="5"/>
  <c r="BT172" i="5"/>
  <c r="BL172" i="5"/>
  <c r="BD172" i="5"/>
  <c r="CG172" i="5"/>
  <c r="BA172" i="5"/>
  <c r="CF172" i="5"/>
  <c r="BU172" i="5"/>
  <c r="BJ172" i="5"/>
  <c r="BK172" i="5" s="1"/>
  <c r="AZ172" i="5"/>
  <c r="BI172" i="5"/>
  <c r="CC172" i="5"/>
  <c r="BR172" i="5"/>
  <c r="BS172" i="5" s="1"/>
  <c r="BH172" i="5"/>
  <c r="BQ172" i="5"/>
  <c r="BZ172" i="5"/>
  <c r="CA172" i="5" s="1"/>
  <c r="BY172" i="5"/>
  <c r="BX172" i="5"/>
  <c r="BP172" i="5"/>
  <c r="BM172" i="5"/>
  <c r="BE172" i="5"/>
  <c r="CH172" i="5"/>
  <c r="CF162" i="5"/>
  <c r="BX162" i="5"/>
  <c r="BP162" i="5"/>
  <c r="BH162" i="5"/>
  <c r="AZ162" i="5"/>
  <c r="BA162" i="5" s="1"/>
  <c r="CD162" i="5"/>
  <c r="CE162" i="5" s="1"/>
  <c r="BV162" i="5"/>
  <c r="BW162" i="5" s="1"/>
  <c r="BN162" i="5"/>
  <c r="BO162" i="5" s="1"/>
  <c r="BF162" i="5"/>
  <c r="BG162" i="5" s="1"/>
  <c r="CC162" i="5"/>
  <c r="BR162" i="5"/>
  <c r="BS162" i="5" s="1"/>
  <c r="BD162" i="5"/>
  <c r="CB162" i="5"/>
  <c r="BQ162" i="5"/>
  <c r="BM162" i="5"/>
  <c r="BZ162" i="5"/>
  <c r="CA162" i="5" s="1"/>
  <c r="BL162" i="5"/>
  <c r="BY162" i="5"/>
  <c r="BJ162" i="5"/>
  <c r="BK162" i="5" s="1"/>
  <c r="BI162" i="5"/>
  <c r="BE162" i="5"/>
  <c r="CH162" i="5"/>
  <c r="CG162" i="5"/>
  <c r="BU162" i="5"/>
  <c r="BT162" i="5"/>
  <c r="CH127" i="5"/>
  <c r="BZ127" i="5"/>
  <c r="CA127" i="5" s="1"/>
  <c r="BR127" i="5"/>
  <c r="BS127" i="5" s="1"/>
  <c r="BJ127" i="5"/>
  <c r="BK127" i="5" s="1"/>
  <c r="CF127" i="5"/>
  <c r="BX127" i="5"/>
  <c r="BP127" i="5"/>
  <c r="BH127" i="5"/>
  <c r="AZ127" i="5"/>
  <c r="BU127" i="5"/>
  <c r="CD127" i="5"/>
  <c r="CE127" i="5" s="1"/>
  <c r="BT127" i="5"/>
  <c r="BI127" i="5"/>
  <c r="CC127" i="5"/>
  <c r="CB127" i="5"/>
  <c r="BQ127" i="5"/>
  <c r="BF127" i="5"/>
  <c r="BG127" i="5" s="1"/>
  <c r="BE127" i="5"/>
  <c r="BN127" i="5"/>
  <c r="BO127" i="5" s="1"/>
  <c r="BM127" i="5"/>
  <c r="BL127" i="5"/>
  <c r="BD127" i="5"/>
  <c r="CG127" i="5"/>
  <c r="BY127" i="5"/>
  <c r="BV127" i="5"/>
  <c r="BW127" i="5" s="1"/>
  <c r="BA127" i="5"/>
  <c r="CH105" i="5"/>
  <c r="BZ105" i="5"/>
  <c r="CA105" i="5" s="1"/>
  <c r="BR105" i="5"/>
  <c r="BS105" i="5" s="1"/>
  <c r="BJ105" i="5"/>
  <c r="BK105" i="5" s="1"/>
  <c r="CC105" i="5"/>
  <c r="BT105" i="5"/>
  <c r="BA105" i="5"/>
  <c r="CB105" i="5"/>
  <c r="BI105" i="5"/>
  <c r="AZ105" i="5"/>
  <c r="BY105" i="5"/>
  <c r="CG105" i="5"/>
  <c r="BX105" i="5"/>
  <c r="BF105" i="5"/>
  <c r="BG105" i="5" s="1"/>
  <c r="BH105" i="5"/>
  <c r="BV105" i="5"/>
  <c r="BW105" i="5" s="1"/>
  <c r="BU105" i="5"/>
  <c r="BE105" i="5"/>
  <c r="BQ105" i="5"/>
  <c r="BD105" i="5"/>
  <c r="CF105" i="5"/>
  <c r="BP105" i="5"/>
  <c r="CD105" i="5"/>
  <c r="CE105" i="5" s="1"/>
  <c r="BM105" i="5"/>
  <c r="BL105" i="5"/>
  <c r="BN105" i="5"/>
  <c r="BO105" i="5" s="1"/>
  <c r="CD137" i="5"/>
  <c r="CE137" i="5" s="1"/>
  <c r="BV137" i="5"/>
  <c r="BW137" i="5" s="1"/>
  <c r="BN137" i="5"/>
  <c r="BO137" i="5" s="1"/>
  <c r="BF137" i="5"/>
  <c r="BG137" i="5" s="1"/>
  <c r="CC137" i="5"/>
  <c r="BU137" i="5"/>
  <c r="BM137" i="5"/>
  <c r="BE137" i="5"/>
  <c r="CB137" i="5"/>
  <c r="BT137" i="5"/>
  <c r="BL137" i="5"/>
  <c r="BD137" i="5"/>
  <c r="BZ137" i="5"/>
  <c r="CA137" i="5" s="1"/>
  <c r="BJ137" i="5"/>
  <c r="BK137" i="5" s="1"/>
  <c r="BY137" i="5"/>
  <c r="BI137" i="5"/>
  <c r="BX137" i="5"/>
  <c r="BH137" i="5"/>
  <c r="BQ137" i="5"/>
  <c r="BP137" i="5"/>
  <c r="CH137" i="5"/>
  <c r="AZ137" i="5"/>
  <c r="BA137" i="5" s="1"/>
  <c r="CG137" i="5"/>
  <c r="BR137" i="5"/>
  <c r="BS137" i="5" s="1"/>
  <c r="CF137" i="5"/>
  <c r="CF153" i="5"/>
  <c r="BX153" i="5"/>
  <c r="BP153" i="5"/>
  <c r="BH153" i="5"/>
  <c r="AZ153" i="5"/>
  <c r="BR153" i="5"/>
  <c r="BS153" i="5" s="1"/>
  <c r="BI153" i="5"/>
  <c r="BZ153" i="5"/>
  <c r="CA153" i="5" s="1"/>
  <c r="BQ153" i="5"/>
  <c r="CH153" i="5"/>
  <c r="BY153" i="5"/>
  <c r="BF153" i="5"/>
  <c r="BG153" i="5" s="1"/>
  <c r="BV153" i="5"/>
  <c r="BW153" i="5" s="1"/>
  <c r="BM153" i="5"/>
  <c r="BD153" i="5"/>
  <c r="CB153" i="5"/>
  <c r="BJ153" i="5"/>
  <c r="BK153" i="5" s="1"/>
  <c r="BE153" i="5"/>
  <c r="BU153" i="5"/>
  <c r="BT153" i="5"/>
  <c r="BA153" i="5"/>
  <c r="CG153" i="5"/>
  <c r="BN153" i="5"/>
  <c r="BO153" i="5" s="1"/>
  <c r="CD153" i="5"/>
  <c r="CE153" i="5" s="1"/>
  <c r="CC153" i="5"/>
  <c r="BL153" i="5"/>
  <c r="CG114" i="5"/>
  <c r="BY114" i="5"/>
  <c r="BQ114" i="5"/>
  <c r="BI114" i="5"/>
  <c r="CF114" i="5"/>
  <c r="BX114" i="5"/>
  <c r="BP114" i="5"/>
  <c r="BH114" i="5"/>
  <c r="AZ114" i="5"/>
  <c r="BA114" i="5" s="1"/>
  <c r="CD114" i="5"/>
  <c r="CE114" i="5" s="1"/>
  <c r="BV114" i="5"/>
  <c r="BW114" i="5" s="1"/>
  <c r="BN114" i="5"/>
  <c r="BO114" i="5" s="1"/>
  <c r="BF114" i="5"/>
  <c r="BG114" i="5" s="1"/>
  <c r="CC114" i="5"/>
  <c r="BU114" i="5"/>
  <c r="BM114" i="5"/>
  <c r="BE114" i="5"/>
  <c r="BT114" i="5"/>
  <c r="BR114" i="5"/>
  <c r="BS114" i="5" s="1"/>
  <c r="BL114" i="5"/>
  <c r="CH114" i="5"/>
  <c r="BJ114" i="5"/>
  <c r="BK114" i="5" s="1"/>
  <c r="BD114" i="5"/>
  <c r="CB114" i="5"/>
  <c r="BZ114" i="5"/>
  <c r="CA114" i="5" s="1"/>
  <c r="CD77" i="5"/>
  <c r="CE77" i="5" s="1"/>
  <c r="BV77" i="5"/>
  <c r="BW77" i="5" s="1"/>
  <c r="BN77" i="5"/>
  <c r="BO77" i="5" s="1"/>
  <c r="BF77" i="5"/>
  <c r="BG77" i="5" s="1"/>
  <c r="CC77" i="5"/>
  <c r="BU77" i="5"/>
  <c r="BM77" i="5"/>
  <c r="BE77" i="5"/>
  <c r="CB77" i="5"/>
  <c r="BT77" i="5"/>
  <c r="BL77" i="5"/>
  <c r="BD77" i="5"/>
  <c r="BQ77" i="5"/>
  <c r="BP77" i="5"/>
  <c r="BZ77" i="5"/>
  <c r="CA77" i="5" s="1"/>
  <c r="BA77" i="5"/>
  <c r="BY77" i="5"/>
  <c r="AZ77" i="5"/>
  <c r="BX77" i="5"/>
  <c r="BJ77" i="5"/>
  <c r="BK77" i="5" s="1"/>
  <c r="CG77" i="5"/>
  <c r="CF77" i="5"/>
  <c r="BI77" i="5"/>
  <c r="BH77" i="5"/>
  <c r="CH77" i="5"/>
  <c r="BR77" i="5"/>
  <c r="BS77" i="5" s="1"/>
  <c r="CB52" i="5"/>
  <c r="BT52" i="5"/>
  <c r="BL52" i="5"/>
  <c r="BD52" i="5"/>
  <c r="CH52" i="5"/>
  <c r="BZ52" i="5"/>
  <c r="CA52" i="5" s="1"/>
  <c r="BR52" i="5"/>
  <c r="BS52" i="5" s="1"/>
  <c r="BJ52" i="5"/>
  <c r="BK52" i="5" s="1"/>
  <c r="CF52" i="5"/>
  <c r="BX52" i="5"/>
  <c r="BP52" i="5"/>
  <c r="BH52" i="5"/>
  <c r="AZ52" i="5"/>
  <c r="BA52" i="5" s="1"/>
  <c r="CD52" i="5"/>
  <c r="CE52" i="5" s="1"/>
  <c r="BQ52" i="5"/>
  <c r="BE52" i="5"/>
  <c r="CC52" i="5"/>
  <c r="BN52" i="5"/>
  <c r="BO52" i="5" s="1"/>
  <c r="BI52" i="5"/>
  <c r="CG52" i="5"/>
  <c r="BF52" i="5"/>
  <c r="BG52" i="5" s="1"/>
  <c r="BY52" i="5"/>
  <c r="BV52" i="5"/>
  <c r="BW52" i="5" s="1"/>
  <c r="BU52" i="5"/>
  <c r="BM52" i="5"/>
  <c r="CH91" i="5"/>
  <c r="BZ91" i="5"/>
  <c r="CA91" i="5" s="1"/>
  <c r="BR91" i="5"/>
  <c r="BS91" i="5" s="1"/>
  <c r="BJ91" i="5"/>
  <c r="BK91" i="5" s="1"/>
  <c r="BV91" i="5"/>
  <c r="BW91" i="5" s="1"/>
  <c r="BM91" i="5"/>
  <c r="BD91" i="5"/>
  <c r="CD91" i="5"/>
  <c r="CE91" i="5" s="1"/>
  <c r="BU91" i="5"/>
  <c r="BL91" i="5"/>
  <c r="CC91" i="5"/>
  <c r="BT91" i="5"/>
  <c r="BA91" i="5"/>
  <c r="CB91" i="5"/>
  <c r="BI91" i="5"/>
  <c r="AZ91" i="5"/>
  <c r="BQ91" i="5"/>
  <c r="BH91" i="5"/>
  <c r="BP91" i="5"/>
  <c r="BN91" i="5"/>
  <c r="BO91" i="5" s="1"/>
  <c r="CG91" i="5"/>
  <c r="CF91" i="5"/>
  <c r="BY91" i="5"/>
  <c r="BX91" i="5"/>
  <c r="BF91" i="5"/>
  <c r="BG91" i="5" s="1"/>
  <c r="BE91" i="5"/>
  <c r="CB36" i="5"/>
  <c r="BT36" i="5"/>
  <c r="BL36" i="5"/>
  <c r="BD36" i="5"/>
  <c r="CH36" i="5"/>
  <c r="BZ36" i="5"/>
  <c r="CA36" i="5" s="1"/>
  <c r="BR36" i="5"/>
  <c r="BS36" i="5" s="1"/>
  <c r="BJ36" i="5"/>
  <c r="BK36" i="5" s="1"/>
  <c r="CF36" i="5"/>
  <c r="BX36" i="5"/>
  <c r="BP36" i="5"/>
  <c r="BH36" i="5"/>
  <c r="AZ36" i="5"/>
  <c r="BA36" i="5" s="1"/>
  <c r="BV36" i="5"/>
  <c r="BW36" i="5" s="1"/>
  <c r="BI36" i="5"/>
  <c r="CG36" i="5"/>
  <c r="BU36" i="5"/>
  <c r="BY36" i="5"/>
  <c r="BF36" i="5"/>
  <c r="BG36" i="5" s="1"/>
  <c r="BE36" i="5"/>
  <c r="BQ36" i="5"/>
  <c r="CD36" i="5"/>
  <c r="CE36" i="5" s="1"/>
  <c r="BN36" i="5"/>
  <c r="BO36" i="5" s="1"/>
  <c r="CC36" i="5"/>
  <c r="BM36" i="5"/>
  <c r="CF72" i="5"/>
  <c r="BX72" i="5"/>
  <c r="BP72" i="5"/>
  <c r="BH72" i="5"/>
  <c r="AZ72" i="5"/>
  <c r="BA72" i="5" s="1"/>
  <c r="CD72" i="5"/>
  <c r="CE72" i="5" s="1"/>
  <c r="BV72" i="5"/>
  <c r="BW72" i="5" s="1"/>
  <c r="BN72" i="5"/>
  <c r="BO72" i="5" s="1"/>
  <c r="BF72" i="5"/>
  <c r="BG72" i="5" s="1"/>
  <c r="CH72" i="5"/>
  <c r="BL72" i="5"/>
  <c r="CG72" i="5"/>
  <c r="BU72" i="5"/>
  <c r="BT72" i="5"/>
  <c r="BJ72" i="5"/>
  <c r="BK72" i="5" s="1"/>
  <c r="CC72" i="5"/>
  <c r="BI72" i="5"/>
  <c r="CB72" i="5"/>
  <c r="BR72" i="5"/>
  <c r="BS72" i="5" s="1"/>
  <c r="BZ72" i="5"/>
  <c r="CA72" i="5" s="1"/>
  <c r="BY72" i="5"/>
  <c r="BM72" i="5"/>
  <c r="BQ72" i="5"/>
  <c r="BD72" i="5"/>
  <c r="BE72" i="5"/>
  <c r="Y6" i="5"/>
  <c r="AD11" i="5"/>
  <c r="BI7" i="5" l="1"/>
  <c r="BH7" i="5"/>
  <c r="Q8" i="5"/>
  <c r="M9" i="5"/>
  <c r="N9" i="5" s="1"/>
  <c r="BC8" i="5"/>
  <c r="BB8" i="5" s="1"/>
  <c r="W8" i="5"/>
  <c r="AW8" i="5" s="1"/>
  <c r="Z6" i="5"/>
  <c r="AC6" i="5"/>
  <c r="V8" i="5"/>
  <c r="BD8" i="5" l="1"/>
  <c r="BE8" i="5"/>
  <c r="M10" i="5"/>
  <c r="N10" i="5" s="1"/>
  <c r="Q9" i="5"/>
  <c r="S9" i="5" s="1"/>
  <c r="T9" i="5" s="1"/>
  <c r="Y5" i="5"/>
  <c r="AD6" i="5"/>
  <c r="BJ7" i="5"/>
  <c r="BK7" i="5" s="1"/>
  <c r="BF8" i="5" l="1"/>
  <c r="BG8" i="5" s="1"/>
  <c r="BH8" i="5" s="1"/>
  <c r="AX9" i="5"/>
  <c r="W9" i="5"/>
  <c r="AW9" i="5" s="1"/>
  <c r="U9" i="5"/>
  <c r="V9" i="5" s="1"/>
  <c r="Q10" i="5"/>
  <c r="S10" i="5" s="1"/>
  <c r="T10" i="5" s="1"/>
  <c r="BC10" i="5" s="1"/>
  <c r="BB10" i="5" s="1"/>
  <c r="M4" i="5"/>
  <c r="N4" i="5" s="1"/>
  <c r="BM7" i="5"/>
  <c r="BL7" i="5"/>
  <c r="E11" i="6"/>
  <c r="E12" i="6"/>
  <c r="E13" i="6"/>
  <c r="Z5" i="5"/>
  <c r="AC5" i="5"/>
  <c r="BC9" i="5"/>
  <c r="BB9" i="5" s="1"/>
  <c r="BI8" i="5" l="1"/>
  <c r="BJ8" i="5" s="1"/>
  <c r="BK8" i="5" s="1"/>
  <c r="BD10" i="5"/>
  <c r="BE10" i="5"/>
  <c r="BF10" i="5"/>
  <c r="BG10" i="5" s="1"/>
  <c r="Q4" i="5"/>
  <c r="S4" i="5" s="1"/>
  <c r="T4" i="5" s="1"/>
  <c r="BC4" i="5" s="1"/>
  <c r="BB4" i="5" s="1"/>
  <c r="M5" i="5"/>
  <c r="N5" i="5" s="1"/>
  <c r="AD5" i="5"/>
  <c r="Y4" i="5"/>
  <c r="BE9" i="5"/>
  <c r="BD9" i="5"/>
  <c r="W10" i="5"/>
  <c r="AW10" i="5" s="1"/>
  <c r="U10" i="5"/>
  <c r="V10" i="5" s="1"/>
  <c r="AX10" i="5"/>
  <c r="BN7" i="5"/>
  <c r="BO7" i="5" s="1"/>
  <c r="BF9" i="5" l="1"/>
  <c r="BG9" i="5" s="1"/>
  <c r="BI9" i="5" s="1"/>
  <c r="BL8" i="5"/>
  <c r="BM8" i="5"/>
  <c r="BD4" i="5"/>
  <c r="BE4" i="5"/>
  <c r="BI10" i="5"/>
  <c r="BH10" i="5"/>
  <c r="E10" i="6"/>
  <c r="AC4" i="5"/>
  <c r="Z4" i="5"/>
  <c r="BP7" i="5"/>
  <c r="BQ7" i="5"/>
  <c r="M6" i="5"/>
  <c r="N6" i="5" s="1"/>
  <c r="Q5" i="5"/>
  <c r="S5" i="5" s="1"/>
  <c r="T5" i="5" s="1"/>
  <c r="BC5" i="5" s="1"/>
  <c r="BB5" i="5" s="1"/>
  <c r="J10" i="6"/>
  <c r="J9" i="6"/>
  <c r="AX4" i="5"/>
  <c r="U4" i="5"/>
  <c r="V4" i="5" s="1"/>
  <c r="W4" i="5"/>
  <c r="BH9" i="5" l="1"/>
  <c r="BN8" i="5"/>
  <c r="BO8" i="5" s="1"/>
  <c r="BQ8" i="5" s="1"/>
  <c r="BF4" i="5"/>
  <c r="BG4" i="5" s="1"/>
  <c r="BI4" i="5" s="1"/>
  <c r="BE5" i="5"/>
  <c r="BD5" i="5"/>
  <c r="F10" i="6"/>
  <c r="I9" i="6"/>
  <c r="AW4" i="5"/>
  <c r="BJ10" i="5"/>
  <c r="BK10" i="5" s="1"/>
  <c r="Q6" i="5"/>
  <c r="M11" i="5"/>
  <c r="N11" i="5" s="1"/>
  <c r="BC6" i="5"/>
  <c r="BB6" i="5" s="1"/>
  <c r="W6" i="5"/>
  <c r="V6" i="5"/>
  <c r="E9" i="6"/>
  <c r="Y10" i="5"/>
  <c r="AD4" i="5"/>
  <c r="J11" i="6"/>
  <c r="AX5" i="5"/>
  <c r="U5" i="5"/>
  <c r="V5" i="5" s="1"/>
  <c r="W5" i="5"/>
  <c r="BR7" i="5"/>
  <c r="BS7" i="5" s="1"/>
  <c r="BJ9" i="5"/>
  <c r="BK9" i="5" s="1"/>
  <c r="BP8" i="5" l="1"/>
  <c r="BR8" i="5" s="1"/>
  <c r="BS8" i="5" s="1"/>
  <c r="BU8" i="5" s="1"/>
  <c r="BF5" i="5"/>
  <c r="BG5" i="5" s="1"/>
  <c r="BH5" i="5" s="1"/>
  <c r="BH4" i="5"/>
  <c r="BJ4" i="5" s="1"/>
  <c r="BK4" i="5" s="1"/>
  <c r="BD6" i="5"/>
  <c r="BE6" i="5"/>
  <c r="BL10" i="5"/>
  <c r="BM10" i="5"/>
  <c r="F9" i="6"/>
  <c r="G9" i="6"/>
  <c r="I11" i="6"/>
  <c r="G11" i="6" s="1"/>
  <c r="AW6" i="5"/>
  <c r="BT7" i="5"/>
  <c r="BU7" i="5"/>
  <c r="I10" i="6"/>
  <c r="G10" i="6" s="1"/>
  <c r="AW5" i="5"/>
  <c r="F11" i="6"/>
  <c r="M12" i="5"/>
  <c r="N12" i="5" s="1"/>
  <c r="Q11" i="5"/>
  <c r="S11" i="5" s="1"/>
  <c r="T11" i="5" s="1"/>
  <c r="BC11" i="5" s="1"/>
  <c r="BB11" i="5" s="1"/>
  <c r="Z10" i="5"/>
  <c r="AC10" i="5"/>
  <c r="BL9" i="5"/>
  <c r="BM9" i="5"/>
  <c r="BT8" i="5" l="1"/>
  <c r="BV8" i="5" s="1"/>
  <c r="BW8" i="5" s="1"/>
  <c r="BX8" i="5" s="1"/>
  <c r="BF6" i="5"/>
  <c r="BG6" i="5" s="1"/>
  <c r="BI6" i="5" s="1"/>
  <c r="BI5" i="5"/>
  <c r="BJ5" i="5" s="1"/>
  <c r="BK5" i="5" s="1"/>
  <c r="BL5" i="5" s="1"/>
  <c r="BN9" i="5"/>
  <c r="BO9" i="5" s="1"/>
  <c r="BQ9" i="5" s="1"/>
  <c r="BN10" i="5"/>
  <c r="BO10" i="5" s="1"/>
  <c r="BQ10" i="5" s="1"/>
  <c r="BE11" i="5"/>
  <c r="BD11" i="5"/>
  <c r="Y9" i="5"/>
  <c r="AD10" i="5"/>
  <c r="J12" i="6"/>
  <c r="J13" i="6"/>
  <c r="AX11" i="5"/>
  <c r="W11" i="5"/>
  <c r="U11" i="5"/>
  <c r="V11" i="5" s="1"/>
  <c r="Q12" i="5"/>
  <c r="BC12" i="5"/>
  <c r="BB12" i="5" s="1"/>
  <c r="W12" i="5"/>
  <c r="AW12" i="5" s="1"/>
  <c r="V12" i="5"/>
  <c r="BV7" i="5"/>
  <c r="BW7" i="5" s="1"/>
  <c r="BL4" i="5"/>
  <c r="BM4" i="5"/>
  <c r="BY8" i="5" l="1"/>
  <c r="BZ8" i="5" s="1"/>
  <c r="CA8" i="5" s="1"/>
  <c r="CC8" i="5" s="1"/>
  <c r="BH6" i="5"/>
  <c r="BJ6" i="5" s="1"/>
  <c r="BK6" i="5" s="1"/>
  <c r="BM6" i="5" s="1"/>
  <c r="BP10" i="5"/>
  <c r="BR10" i="5" s="1"/>
  <c r="BS10" i="5" s="1"/>
  <c r="BF11" i="5"/>
  <c r="BG11" i="5" s="1"/>
  <c r="BH11" i="5" s="1"/>
  <c r="BP9" i="5"/>
  <c r="BR9" i="5" s="1"/>
  <c r="BS9" i="5" s="1"/>
  <c r="BM5" i="5"/>
  <c r="BN5" i="5" s="1"/>
  <c r="BO5" i="5" s="1"/>
  <c r="BE12" i="5"/>
  <c r="BD12" i="5"/>
  <c r="G13" i="6"/>
  <c r="F13" i="6"/>
  <c r="F12" i="6"/>
  <c r="BN4" i="5"/>
  <c r="BO4" i="5" s="1"/>
  <c r="Z9" i="5"/>
  <c r="AC9" i="5"/>
  <c r="I12" i="6"/>
  <c r="G12" i="6" s="1"/>
  <c r="AW11" i="5"/>
  <c r="BX7" i="5"/>
  <c r="BZ7" i="5" s="1"/>
  <c r="CA7" i="5" s="1"/>
  <c r="BY7" i="5"/>
  <c r="BL6" i="5" l="1"/>
  <c r="BN6" i="5" s="1"/>
  <c r="BO6" i="5" s="1"/>
  <c r="BP6" i="5" s="1"/>
  <c r="BI11" i="5"/>
  <c r="BJ11" i="5" s="1"/>
  <c r="BK11" i="5" s="1"/>
  <c r="BL11" i="5" s="1"/>
  <c r="BT9" i="5"/>
  <c r="BU9" i="5"/>
  <c r="CB8" i="5"/>
  <c r="BF12" i="5"/>
  <c r="BG12" i="5" s="1"/>
  <c r="BI12" i="5" s="1"/>
  <c r="CC7" i="5"/>
  <c r="CB7" i="5"/>
  <c r="CD7" i="5" s="1"/>
  <c r="CE7" i="5" s="1"/>
  <c r="BP5" i="5"/>
  <c r="BQ5" i="5"/>
  <c r="CD8" i="5"/>
  <c r="CE8" i="5" s="1"/>
  <c r="Y8" i="5"/>
  <c r="AD9" i="5"/>
  <c r="BP4" i="5"/>
  <c r="BQ4" i="5"/>
  <c r="BT10" i="5"/>
  <c r="BU10" i="5"/>
  <c r="BQ6" i="5" l="1"/>
  <c r="BR6" i="5" s="1"/>
  <c r="BS6" i="5" s="1"/>
  <c r="BU6" i="5" s="1"/>
  <c r="BV9" i="5"/>
  <c r="BW9" i="5" s="1"/>
  <c r="BY9" i="5" s="1"/>
  <c r="BH12" i="5"/>
  <c r="BJ12" i="5" s="1"/>
  <c r="BK12" i="5" s="1"/>
  <c r="BR5" i="5"/>
  <c r="BS5" i="5" s="1"/>
  <c r="BU5" i="5" s="1"/>
  <c r="BM11" i="5"/>
  <c r="BN11" i="5" s="1"/>
  <c r="BO11" i="5" s="1"/>
  <c r="CG7" i="5"/>
  <c r="CF7" i="5"/>
  <c r="CH7" i="5" s="1"/>
  <c r="AZ7" i="5" s="1"/>
  <c r="BA7" i="5" s="1"/>
  <c r="AY7" i="5" s="1"/>
  <c r="BR4" i="5"/>
  <c r="BS4" i="5" s="1"/>
  <c r="Z8" i="5"/>
  <c r="AC8" i="5"/>
  <c r="CG8" i="5"/>
  <c r="CF8" i="5"/>
  <c r="BV10" i="5"/>
  <c r="BW10" i="5" s="1"/>
  <c r="BX9" i="5" l="1"/>
  <c r="BZ9" i="5" s="1"/>
  <c r="CA9" i="5" s="1"/>
  <c r="CH8" i="5"/>
  <c r="AZ8" i="5" s="1"/>
  <c r="BA8" i="5" s="1"/>
  <c r="AY8" i="5" s="1"/>
  <c r="BT5" i="5"/>
  <c r="BV5" i="5" s="1"/>
  <c r="BW5" i="5" s="1"/>
  <c r="BX5" i="5" s="1"/>
  <c r="BT6" i="5"/>
  <c r="BV6" i="5" s="1"/>
  <c r="BW6" i="5" s="1"/>
  <c r="BU4" i="5"/>
  <c r="BT4" i="5"/>
  <c r="BL12" i="5"/>
  <c r="BM12" i="5"/>
  <c r="BY10" i="5"/>
  <c r="BX10" i="5"/>
  <c r="Y7" i="5"/>
  <c r="AD8" i="5"/>
  <c r="BP11" i="5"/>
  <c r="BQ11" i="5"/>
  <c r="AE8" i="5" l="1"/>
  <c r="BV4" i="5"/>
  <c r="BW4" i="5" s="1"/>
  <c r="BY4" i="5" s="1"/>
  <c r="BY5" i="5"/>
  <c r="BZ5" i="5" s="1"/>
  <c r="CA5" i="5" s="1"/>
  <c r="BR11" i="5"/>
  <c r="BS11" i="5" s="1"/>
  <c r="BN12" i="5"/>
  <c r="BO12" i="5" s="1"/>
  <c r="CB9" i="5"/>
  <c r="CC9" i="5"/>
  <c r="Z7" i="5"/>
  <c r="AD7" i="5" s="1"/>
  <c r="AC7" i="5"/>
  <c r="AE7" i="5" s="1"/>
  <c r="BZ10" i="5"/>
  <c r="CA10" i="5" s="1"/>
  <c r="BX6" i="5"/>
  <c r="BY6" i="5"/>
  <c r="CD9" i="5" l="1"/>
  <c r="CE9" i="5" s="1"/>
  <c r="CF9" i="5" s="1"/>
  <c r="BX4" i="5"/>
  <c r="BZ4" i="5" s="1"/>
  <c r="CA4" i="5" s="1"/>
  <c r="CB4" i="5" s="1"/>
  <c r="CB5" i="5"/>
  <c r="CC5" i="5"/>
  <c r="CC10" i="5"/>
  <c r="CB10" i="5"/>
  <c r="BZ6" i="5"/>
  <c r="CA6" i="5" s="1"/>
  <c r="BP12" i="5"/>
  <c r="BQ12" i="5"/>
  <c r="BT11" i="5"/>
  <c r="BU11" i="5"/>
  <c r="CG9" i="5" l="1"/>
  <c r="CH9" i="5" s="1"/>
  <c r="AZ9" i="5" s="1"/>
  <c r="BA9" i="5" s="1"/>
  <c r="AY9" i="5" s="1"/>
  <c r="AE9" i="5" s="1"/>
  <c r="CD10" i="5"/>
  <c r="CE10" i="5" s="1"/>
  <c r="CF10" i="5" s="1"/>
  <c r="BR12" i="5"/>
  <c r="BS12" i="5" s="1"/>
  <c r="BT12" i="5" s="1"/>
  <c r="CC4" i="5"/>
  <c r="CD4" i="5" s="1"/>
  <c r="CE4" i="5" s="1"/>
  <c r="CD5" i="5"/>
  <c r="CE5" i="5" s="1"/>
  <c r="BV11" i="5"/>
  <c r="BW11" i="5" s="1"/>
  <c r="CB6" i="5"/>
  <c r="CC6" i="5"/>
  <c r="CG10" i="5" l="1"/>
  <c r="BU12" i="5"/>
  <c r="BV12" i="5" s="1"/>
  <c r="BW12" i="5" s="1"/>
  <c r="CG5" i="5"/>
  <c r="CF5" i="5"/>
  <c r="CH10" i="5"/>
  <c r="AZ10" i="5" s="1"/>
  <c r="BA10" i="5" s="1"/>
  <c r="AY10" i="5" s="1"/>
  <c r="AE10" i="5" s="1"/>
  <c r="CD6" i="5"/>
  <c r="CE6" i="5" s="1"/>
  <c r="CG4" i="5"/>
  <c r="CF4" i="5"/>
  <c r="CH4" i="5" s="1"/>
  <c r="AZ4" i="5" s="1"/>
  <c r="BA4" i="5" s="1"/>
  <c r="AY4" i="5" s="1"/>
  <c r="AE4" i="5" s="1"/>
  <c r="BY11" i="5"/>
  <c r="BX11" i="5"/>
  <c r="CH5" i="5" l="1"/>
  <c r="AZ5" i="5" s="1"/>
  <c r="BA5" i="5" s="1"/>
  <c r="AY5" i="5" s="1"/>
  <c r="AE5" i="5" s="1"/>
  <c r="BZ11" i="5"/>
  <c r="CA11" i="5" s="1"/>
  <c r="CC11" i="5" s="1"/>
  <c r="BX12" i="5"/>
  <c r="BY12" i="5"/>
  <c r="CG6" i="5"/>
  <c r="CF6" i="5"/>
  <c r="CH6" i="5" l="1"/>
  <c r="AZ6" i="5" s="1"/>
  <c r="BA6" i="5" s="1"/>
  <c r="AY6" i="5" s="1"/>
  <c r="AE6" i="5" s="1"/>
  <c r="CB11" i="5"/>
  <c r="CD11" i="5" s="1"/>
  <c r="CE11" i="5" s="1"/>
  <c r="CF11" i="5" s="1"/>
  <c r="BZ12" i="5"/>
  <c r="CA12" i="5" s="1"/>
  <c r="CG11" i="5" l="1"/>
  <c r="CH11" i="5"/>
  <c r="AZ11" i="5" s="1"/>
  <c r="BA11" i="5" s="1"/>
  <c r="AY11" i="5" s="1"/>
  <c r="AE11" i="5" s="1"/>
  <c r="CB12" i="5"/>
  <c r="CC12" i="5"/>
  <c r="CD12" i="5" l="1"/>
  <c r="CE12" i="5" s="1"/>
  <c r="CF12" i="5" l="1"/>
  <c r="CG12" i="5"/>
  <c r="CH12" i="5" l="1"/>
  <c r="AZ12" i="5" s="1"/>
  <c r="BA12" i="5" s="1"/>
  <c r="AY12" i="5" s="1"/>
  <c r="AE12" i="5" s="1"/>
  <c r="B2" i="5" l="1"/>
  <c r="E2" i="5"/>
</calcChain>
</file>

<file path=xl/sharedStrings.xml><?xml version="1.0" encoding="utf-8"?>
<sst xmlns="http://schemas.openxmlformats.org/spreadsheetml/2006/main" count="594" uniqueCount="392">
  <si>
    <t>RESEAU PLUVIAL - METHODE AVEC ELEVATION DE REFERENCE (EXUTOIRE DROITE)</t>
  </si>
  <si>
    <t>But: dimensionner diametres, pentes et radiers meme si le radier du reseau public aval est inconnu.</t>
  </si>
  <si>
    <t>Principe: choisir une elevation de reference a l exutoire (radier connu ou surface connue + profondeur de couverture).</t>
  </si>
  <si>
    <t>Onglet Inputs: definir les hypotheses hydrauliques, IDF et la liste de diametres disponibles.</t>
  </si>
  <si>
    <t>Onglet CB_Tributaires: entrer les surfaces de chaque puisard/catch basin et le Pipe_ID qui les recoit.</t>
  </si>
  <si>
    <t>Onglet Conduites: entrer Pipe_ID, pipe receveur aval, longueur, C, tc, pente manuelle (si connue), terrain amont/aval.</t>
  </si>
  <si>
    <t>Propagation des radiers: le pipe exutoire prend Inputs!B22; les pipes amont prennent le radier amont du pipe aval + chute de regard.</t>
  </si>
  <si>
    <t>Dimensionnement: Q_local (rationnelle) + Q amont cumulee -&gt; Q_total_design -&gt; diametre recommande par Manning.</t>
  </si>
  <si>
    <t>Controle: capacite, vitesse, pentes min/max, recouvrement mini.</t>
  </si>
  <si>
    <t>Important: les references Receives_into_Pipe_ID doivent pointer vers l aval (vers P_OUT).</t>
  </si>
  <si>
    <t>Utiliser d abord SURFACE si reseau public inconnu, puis recalibrer quand les radiers municipaux seront disponibles.</t>
  </si>
  <si>
    <t>Formules cle (texte simple):</t>
  </si>
  <si>
    <t>Q_local = 0.00278 * C * Area(m2) * i(mm/h)</t>
  </si>
  <si>
    <t>Q_total = (Q_local + somme Q amont) * facteur de securite</t>
  </si>
  <si>
    <t>Q_capacity = (1/n) * A * R^(2/3) * sqrt(S) (Manning, conduite pleine)</t>
  </si>
  <si>
    <t>radier_aval_exutoire = reference (radier) OU surface - profondeur de couverture</t>
  </si>
  <si>
    <t>Version 2 added: use Noeuds_plan + CB_plan + Conduites_plan_noeuds for node-by-node workflow.</t>
  </si>
  <si>
    <t>Workflow: (1) paste elevations in Noeuds_plan!C, (2) paste areas in CB_plan!C, (3) review lengths blanks in Conduites_plan_noeuds!E.</t>
  </si>
  <si>
    <t>New Tc logic: Tc_used = max(upstream Tc_used) + (Length / Tc_travel_velocity_mps).</t>
  </si>
  <si>
    <t>Start pipes are auto-detected when Upstream_pipe_count = 0; continuous pipes use upstream cumulative Tc.</t>
  </si>
  <si>
    <t>Set Tc_travel_velocity_mps in Inputs!B23 (default 1.0 m/s).</t>
  </si>
  <si>
    <t>Topology update (2026-06-26): P03 and P06 connect to RP100; RP100 discharges to public network.</t>
  </si>
  <si>
    <t>Removed wrong links: no P01-P04, no P04-P07, no P05-P08.</t>
  </si>
  <si>
    <t>Flow unit fix applied: Q_local uses 2.78E-7 with Area in m2.</t>
  </si>
  <si>
    <t>New tab Profils_RP100: branch profiles to RP100/PUB with Ground, Invert, Crown and EGL (approx).</t>
  </si>
  <si>
    <t>Conduites_plan_noeuds now highlights non-compliant inputs in red (V/W/AC/AD/P and CHECK status).</t>
  </si>
  <si>
    <t>ENCADRE REGLEMENTAIRE - VILLE DE SOREL-TRACY (REFERENCE PROJET)</t>
  </si>
  <si>
    <t>Source: Reglement no 2098 - branchements a l egout (document municipal public).</t>
  </si>
  <si>
    <t>Art. 14 (branchement gravitaire): couverture minimale de 2,1 m sous le terrain fini a l emprise de rue.</t>
  </si>
  <si>
    <t>Art. 10: le proprietaire doit demander a la Ville la profondeur et la localisation exactes de la canalisation municipale.</t>
  </si>
  <si>
    <t>Interpretation pratique pour ce classeur: utiliser 2,1 m comme garde minimale initiale de branchement, puis confirmer avec le Service du genie/Travaux publics.</t>
  </si>
  <si>
    <t>Important: les valeurs finales de radiers/profils doivent toujours etre validees par les donnees officielles de la Ville (plans/as-built/TQC).</t>
  </si>
  <si>
    <t>Note modelisation: Inputs!B19 reste parametre de projet; pour branchement Sorel-Tracy, verifier si 2,1 m doit s appliquer au segment considere.</t>
  </si>
  <si>
    <t>Velocity criteria update: three velocities are now calculated in conduites tabs.</t>
  </si>
  <si>
    <t>Design: V=Q/A; Manning full: V=(1/n)*(R^(2/3))*sqrt(S); Partial: iterative Manning free-surface depth.</t>
  </si>
  <si>
    <t>Select criterion with Inputs!B24: DESIGN, MANNING, PARTIAL, or MAX (conservative).</t>
  </si>
  <si>
    <t>New area typing: CB_plan and CB_Tributaires now use B-E for Roof/Pavement/Grass/Other areas.</t>
  </si>
  <si>
    <t>Runoff accumulation uses weighted C from surface types and auto-aggregates total/effective area by pipe.</t>
  </si>
  <si>
    <t>Clarity update: dominant surface + input status columns added in CB_plan and CB_Tributaires.</t>
  </si>
  <si>
    <t>Status turns red when B/C/D/E split is missing or inconsistent (negative/zero/invalid).</t>
  </si>
  <si>
    <t>Prefill added in CB_plan for zones A..O: initial best-guess split roof/pavement/grass/other.</t>
  </si>
  <si>
    <t>These are starting assumptions only; verify and adjust with site details before final sizing.</t>
  </si>
  <si>
    <t>Import 2026-06-30: lengths and tributary totals updated from latest red labels; see Releves_image_2026_06_30.</t>
  </si>
  <si>
    <t>Review and adjust uncertain dimensions/surface splits if field survey differs.</t>
  </si>
  <si>
    <t>RÈGLEMENT No2301 SOREL TRACY</t>
  </si>
  <si>
    <t>ARTICLE 3 CONTRÔLE QUANTITATIF DES EAUX PLUVIALES</t>
  </si>
  <si>
    <t>Le projet de construction ou développement sur les terrains visés par le présent règlement doit assurer le contrôle quantitatif afin de limiter les rejets</t>
  </si>
  <si>
    <r>
      <rPr>
        <sz val="11"/>
        <color theme="1"/>
        <rFont val="Calibri"/>
        <family val="2"/>
        <charset val="1"/>
      </rPr>
      <t xml:space="preserve">au milieu récepteur à </t>
    </r>
    <r>
      <rPr>
        <b/>
        <sz val="11"/>
        <color rgb="FFFF0000"/>
        <rFont val="Calibri"/>
        <family val="2"/>
        <charset val="1"/>
      </rPr>
      <t>20 l/s/ha</t>
    </r>
    <r>
      <rPr>
        <sz val="11"/>
        <color theme="1"/>
        <rFont val="Calibri"/>
        <family val="2"/>
        <charset val="1"/>
      </rPr>
      <t xml:space="preserve"> pour une pluie de récurrence de 1 dans 100 ans représentant la condition avant développement</t>
    </r>
  </si>
  <si>
    <t xml:space="preserve">ARTICLE 2 TERRITOIRE D'APPLICATION </t>
  </si>
  <si>
    <r>
      <rPr>
        <sz val="11"/>
        <color theme="1"/>
        <rFont val="Calibri"/>
        <family val="2"/>
        <charset val="1"/>
      </rPr>
      <t xml:space="preserve">Le présent règlement s'applique aux terrains identifiés para la zone </t>
    </r>
    <r>
      <rPr>
        <b/>
        <sz val="11"/>
        <color rgb="FFFF0000"/>
        <rFont val="Calibri"/>
        <family val="2"/>
        <charset val="1"/>
      </rPr>
      <t xml:space="preserve">H-01-229 </t>
    </r>
    <r>
      <rPr>
        <sz val="11"/>
        <color theme="1"/>
        <rFont val="Calibri"/>
        <family val="2"/>
        <charset val="1"/>
      </rPr>
      <t xml:space="preserve">(partie ombragée) constitués d'une partie des lots </t>
    </r>
    <r>
      <rPr>
        <b/>
        <sz val="11"/>
        <color rgb="FFFF0000"/>
        <rFont val="Calibri"/>
        <family val="2"/>
        <charset val="1"/>
      </rPr>
      <t xml:space="preserve">3 621 829 </t>
    </r>
    <r>
      <rPr>
        <sz val="11"/>
        <color theme="1"/>
        <rFont val="Calibri"/>
        <family val="2"/>
        <charset val="1"/>
      </rPr>
      <t>et</t>
    </r>
    <r>
      <rPr>
        <b/>
        <sz val="11"/>
        <color rgb="FFFF0000"/>
        <rFont val="Calibri"/>
        <family val="2"/>
        <charset val="1"/>
      </rPr>
      <t xml:space="preserve"> 4 4846 623</t>
    </r>
    <r>
      <rPr>
        <sz val="11"/>
        <color theme="1"/>
        <rFont val="Calibri"/>
        <family val="2"/>
        <charset val="1"/>
      </rPr>
      <t>, au plan</t>
    </r>
  </si>
  <si>
    <t>joint au présent règlement comme Annexe A pour en faire partie intégrante.</t>
  </si>
  <si>
    <t>au milieu récepteur à 20 l/s/ha pour une pluie de récurrence de 1 dans 100 ans représentant la condition avant développement</t>
  </si>
  <si>
    <t>RÈGLEMENT N. 2310</t>
  </si>
  <si>
    <t>CONCERNANT LE CONTRÔLE QUANTITATIF DES EAUX PLUVIALES DES TERRAINS INDUSTRIELS DE LA RUE PAUL-PAUZÉ</t>
  </si>
  <si>
    <t>Considérant que les terrains industriels situés sur la rue Paul-Pauzp ne sont pas pris en charge par le réseau pluvial municipal et n'ont pas fait l'objet d'une demande</t>
  </si>
  <si>
    <t>en ce sens au ministère du Développement durable</t>
  </si>
  <si>
    <t>Tout projet de construction ou développement sur les terrains visés par le présent règlement doit prévoir, à même son terrain, les installations nécessaires afin</t>
  </si>
  <si>
    <t>d'assurer le contrôle quantitatif afin de limiter les rejets au milieu récepteur à 25 l/s/ha pour une pluie de récurrence de 1 dans 100 ans.</t>
  </si>
  <si>
    <t>Le dimensionnement de ceux-ci doit être établie en considérant un coefficient de ruissellement pondéré de 0,6 pour tout le secteur à développer. Tout developpement</t>
  </si>
  <si>
    <t>impliquant une imperméabilisation supérieur à 60% doit comporter des ouvrages de rétention spécifiques</t>
  </si>
  <si>
    <t>RÈGLEMENT No 2278</t>
  </si>
  <si>
    <r>
      <rPr>
        <sz val="11"/>
        <color theme="1"/>
        <rFont val="Calibri"/>
        <family val="2"/>
        <charset val="1"/>
      </rPr>
      <t xml:space="preserve">Règlement relatif aux contrôles qualitatif et quantitatif des eaux pluviales sur certains </t>
    </r>
    <r>
      <rPr>
        <b/>
        <sz val="11"/>
        <color rgb="FFFF0000"/>
        <rFont val="Calibri"/>
        <family val="2"/>
        <charset val="1"/>
      </rPr>
      <t xml:space="preserve">terrains industriels et commerciaux </t>
    </r>
    <r>
      <rPr>
        <sz val="11"/>
        <color theme="1"/>
        <rFont val="Calibri"/>
        <family val="2"/>
        <charset val="1"/>
      </rPr>
      <t>du territoire de la ville de Sorel-Tracy</t>
    </r>
  </si>
  <si>
    <t>Adopté le 19 janvier 2015</t>
  </si>
  <si>
    <t>CONSIDÉRANT que certains terrains industriels et commerciaux situés sur le territoire de la ville de Sorel-Tracy ne seront pas en charge par le réseaux pluvial</t>
  </si>
  <si>
    <t>municipal et n'ont pas fait l'objet d'une demande au ministère du Développement durable, de l'Environnement et de la Lutte contre les changements climatiques,</t>
  </si>
  <si>
    <t>ci-après le MDDELCC, selon l'article 32 de la Loi sur la qualité de l'environnement,</t>
  </si>
  <si>
    <t>Le conseil municipal DÉCRÈTE ce qui suit:</t>
  </si>
  <si>
    <t>ARTICLE 2 TERRITOIRE D'APPLICATION</t>
  </si>
  <si>
    <r>
      <rPr>
        <sz val="11"/>
        <color theme="1"/>
        <rFont val="Calibri"/>
        <family val="2"/>
        <charset val="1"/>
      </rPr>
      <t>Le présent règlement s'applique aux terrains industriels et commerciaux identifiés par les zones</t>
    </r>
    <r>
      <rPr>
        <b/>
        <sz val="11"/>
        <color rgb="FFFF0000"/>
        <rFont val="Calibri"/>
        <family val="2"/>
        <charset val="1"/>
      </rPr>
      <t xml:space="preserve"> C-03-978, I-03-982</t>
    </r>
    <r>
      <rPr>
        <sz val="11"/>
        <color theme="1"/>
        <rFont val="Calibri"/>
        <family val="2"/>
        <charset val="1"/>
      </rPr>
      <t xml:space="preserve"> et une partie de la zone </t>
    </r>
    <r>
      <rPr>
        <b/>
        <sz val="11"/>
        <color rgb="FFFF0000"/>
        <rFont val="Calibri"/>
        <family val="2"/>
        <charset val="1"/>
      </rPr>
      <t>C-03-956</t>
    </r>
    <r>
      <rPr>
        <sz val="11"/>
        <color theme="1"/>
        <rFont val="Calibri"/>
        <family val="2"/>
        <charset val="1"/>
      </rPr>
      <t xml:space="preserve"> (partie ombragée)</t>
    </r>
  </si>
  <si>
    <t>tel que montré au plan joint au présent règlement comme Annexe A pour en faire partie intégrante.</t>
  </si>
  <si>
    <t>ARTICLE 3 CONTRÔLE QUALITATIF DES EAUX PLUVIALES</t>
  </si>
  <si>
    <t>Toute projet de construction ou développement sur les terrains visés par le présent règlement doit prévoir, à même son terrain, les installations nécessaires</t>
  </si>
  <si>
    <t>afin d'assurer le contrôle qualitatif de 80% d'enlèvement des matières en suspension (MES) pour le traitement de 90% des évènements de pluie et l'enlèvement</t>
  </si>
  <si>
    <t>de 40% du phosphore. Les installations nécessaires à ce contrôle doivent être conçues conformément au Guide de gestion des eaux pluviales en vigueur</t>
  </si>
  <si>
    <t>au MDDELCC et les technologies utilisées doivent être approuvées par le MDDELCC.</t>
  </si>
  <si>
    <t>ARTICLE 4  CONTRÔLE QUANTITATIF DES EAUX PLUVIALES</t>
  </si>
  <si>
    <r>
      <rPr>
        <sz val="11"/>
        <color theme="1"/>
        <rFont val="Calibri"/>
        <family val="2"/>
        <charset val="1"/>
      </rPr>
      <t xml:space="preserve">d'assurer le contrôle quantitatif afin de limiter les </t>
    </r>
    <r>
      <rPr>
        <b/>
        <sz val="11"/>
        <color rgb="FFFF0000"/>
        <rFont val="Calibri"/>
        <family val="2"/>
        <charset val="1"/>
      </rPr>
      <t>rejets</t>
    </r>
    <r>
      <rPr>
        <sz val="11"/>
        <color theme="1"/>
        <rFont val="Calibri"/>
        <family val="2"/>
        <charset val="1"/>
      </rPr>
      <t xml:space="preserve"> au milieu récepteur à </t>
    </r>
    <r>
      <rPr>
        <b/>
        <sz val="11"/>
        <color rgb="FFFF0000"/>
        <rFont val="Calibri"/>
        <family val="2"/>
        <charset val="1"/>
      </rPr>
      <t>13,26 l/s/ha</t>
    </r>
    <r>
      <rPr>
        <sz val="11"/>
        <color theme="1"/>
        <rFont val="Calibri"/>
        <family val="2"/>
        <charset val="1"/>
      </rPr>
      <t xml:space="preserve"> pour une pluie de récurrence de </t>
    </r>
    <r>
      <rPr>
        <b/>
        <sz val="11"/>
        <color rgb="FFFF0000"/>
        <rFont val="Calibri"/>
        <family val="2"/>
        <charset val="1"/>
      </rPr>
      <t>1 dans 100 ans.</t>
    </r>
  </si>
  <si>
    <r>
      <rPr>
        <sz val="11"/>
        <color theme="1"/>
        <rFont val="Calibri"/>
        <family val="2"/>
        <charset val="1"/>
      </rPr>
      <t xml:space="preserve">NORMES SPÉCIFIQUES VILLE DE SOREL-TRACY ZONE </t>
    </r>
    <r>
      <rPr>
        <b/>
        <sz val="11"/>
        <color rgb="FFFF0000"/>
        <rFont val="Calibri"/>
        <family val="2"/>
        <charset val="1"/>
      </rPr>
      <t>H-03-957</t>
    </r>
    <r>
      <rPr>
        <sz val="11"/>
        <color theme="1"/>
        <rFont val="Calibri"/>
        <family val="2"/>
        <charset val="1"/>
      </rPr>
      <t xml:space="preserve">  </t>
    </r>
    <r>
      <rPr>
        <b/>
        <sz val="11"/>
        <color rgb="FFFF0000"/>
        <rFont val="Calibri"/>
        <family val="2"/>
        <charset val="1"/>
      </rPr>
      <t>NUMERO DE LOT 3 693 338</t>
    </r>
  </si>
  <si>
    <t>SUPERFICIE DU TERRAIN: 35 393.21 pi2</t>
  </si>
  <si>
    <t>SUPERFICIE D'EMPREINTE: 8 089 pi2</t>
  </si>
  <si>
    <t>RAPPORT PLANCHERS/TERRAIN</t>
  </si>
  <si>
    <t>SUPERFICIE TOTALE DES PLANCHERS: 24 267 pi2</t>
  </si>
  <si>
    <t>RAPPORT PLANCHER/TERRAIN: 68.56%</t>
  </si>
  <si>
    <t>INPUTS</t>
  </si>
  <si>
    <t>Parametre</t>
  </si>
  <si>
    <t>Valeur</t>
  </si>
  <si>
    <t>Unite</t>
  </si>
  <si>
    <t>Commentaire</t>
  </si>
  <si>
    <t>Reference_Type (INVERT or SURFACE)</t>
  </si>
  <si>
    <t>invert</t>
  </si>
  <si>
    <t>-</t>
  </si>
  <si>
    <t>SURFACE quand radier reseau public inconnu.</t>
  </si>
  <si>
    <t>Diametres disponibles (mm)</t>
  </si>
  <si>
    <t>Outfall_reference_elevation_m</t>
  </si>
  <si>
    <t>m</t>
  </si>
  <si>
    <t>Si SURFACE: niveau terrain exutoire. Si INVERT: radier exutoire.</t>
  </si>
  <si>
    <t>Outfall_cover_depth_if_surface_m</t>
  </si>
  <si>
    <t>Profondeur terrain-&gt;radier a l exutoire (si SURFACE).</t>
  </si>
  <si>
    <t>Outfall_pipe_ID</t>
  </si>
  <si>
    <t>L11_P11_PUB</t>
  </si>
  <si>
    <t>Pipe qui se connecte au reseau public (droite).</t>
  </si>
  <si>
    <t>Min_slope_m_per_m</t>
  </si>
  <si>
    <t>m/m</t>
  </si>
  <si>
    <t>Pente minimale de controle.</t>
  </si>
  <si>
    <t>Max_slope_m_per_m</t>
  </si>
  <si>
    <t>Pente maximale de controle.</t>
  </si>
  <si>
    <t>Manning_n</t>
  </si>
  <si>
    <t>Rugosite Manning.</t>
  </si>
  <si>
    <t>Design_fill_ratio_limit</t>
  </si>
  <si>
    <t>Q/(Q pleine) admissible.</t>
  </si>
  <si>
    <t>Min_velocity_mps</t>
  </si>
  <si>
    <t>m/s</t>
  </si>
  <si>
    <t>Vitesse minimale souhaitee.</t>
  </si>
  <si>
    <t>Max_velocity_mps</t>
  </si>
  <si>
    <t>Vitesse maximale souhaitee.</t>
  </si>
  <si>
    <t>IDF_a</t>
  </si>
  <si>
    <t>i = a/(tc+b)^c</t>
  </si>
  <si>
    <t>IDF_b</t>
  </si>
  <si>
    <t>min</t>
  </si>
  <si>
    <t>Parametre IDF b.</t>
  </si>
  <si>
    <t>IDF_c</t>
  </si>
  <si>
    <t>Parametre IDF c.</t>
  </si>
  <si>
    <t>Flow_safety_factor</t>
  </si>
  <si>
    <t>Facteur applique a Q total.</t>
  </si>
  <si>
    <t>Default_runoff_C</t>
  </si>
  <si>
    <t>Utilise si C local non renseigne.</t>
  </si>
  <si>
    <t>Default_tc_min</t>
  </si>
  <si>
    <t>Utilise si tc local non renseigne.</t>
  </si>
  <si>
    <t>Min_cover_depth_m</t>
  </si>
  <si>
    <t>Recouvrement mini de controle.</t>
  </si>
  <si>
    <t>Default_junction_drop_m</t>
  </si>
  <si>
    <t>Chute de regard par defaut.</t>
  </si>
  <si>
    <t>Outfall_invert_derived_m</t>
  </si>
  <si>
    <t>Tc_travel_velocity_mps</t>
  </si>
  <si>
    <t>Velocity used to compute travel time per pipe for cumulative Tc logic.</t>
  </si>
  <si>
    <t>Velocity_check_method (DESIGN / MANNING / PARTIAL / MAX)</t>
  </si>
  <si>
    <t>MAX</t>
  </si>
  <si>
    <t>DESIGN=Q/A; MANNING=V full via Manning; PARTIAL=iterative Manning partial depth; MAX=most conservative.</t>
  </si>
  <si>
    <t>C_roof_default</t>
  </si>
  <si>
    <t>Typical impervious roof runoff coefficient.</t>
  </si>
  <si>
    <t>C_pavement_default</t>
  </si>
  <si>
    <t>Typical impervious pavement/asphalt coefficient.</t>
  </si>
  <si>
    <t>C_grass_default</t>
  </si>
  <si>
    <t>Typical pervious grass/landscaped coefficient.</t>
  </si>
  <si>
    <t>C_other_default</t>
  </si>
  <si>
    <t>Other surface coefficient (user-adjustable).</t>
  </si>
  <si>
    <t>SURFACES DU TERRAIN:</t>
  </si>
  <si>
    <t>SUPERFICIE IMPERMÉABLE: 11 747 pi2 (33.19%)</t>
  </si>
  <si>
    <t>SUPERFICIE D'EMPREINTE: 8 089 pi2 (22.85 %)</t>
  </si>
  <si>
    <t>SURFACE ESPACES VERTES (MIN 40%) 15 557 pi2 (43.96%)</t>
  </si>
  <si>
    <t>SUPERFICIE DU TERRAIN: 35393.21*0.3048^2</t>
  </si>
  <si>
    <t>m2</t>
  </si>
  <si>
    <t>24267*0.3048^2</t>
  </si>
  <si>
    <t>B40/B39</t>
  </si>
  <si>
    <t>STATIONNEMENT: 11747*0.3048^2</t>
  </si>
  <si>
    <t>BÂTIMENT: 8089*0.3048^2</t>
  </si>
  <si>
    <t>SUPERFICE ESPACES VERTS: 15557*0.3048^2</t>
  </si>
  <si>
    <t>SUPERFICIE TOTALE:</t>
  </si>
  <si>
    <t>BÂTIMENT + STATIONNEMENT</t>
  </si>
  <si>
    <t>NOEUDS PLAN (TOPOLOGIE CORRIGEE)</t>
  </si>
  <si>
    <t>Node_ID</t>
  </si>
  <si>
    <t>Downstream_Node_ID</t>
  </si>
  <si>
    <t>Ground_elev_m (input)</t>
  </si>
  <si>
    <t>Target_cover_depth_m</t>
  </si>
  <si>
    <t>Invert_if_manual_m</t>
  </si>
  <si>
    <t>Notes</t>
  </si>
  <si>
    <t>P01</t>
  </si>
  <si>
    <t>P02</t>
  </si>
  <si>
    <t>Top-left</t>
  </si>
  <si>
    <t>P03</t>
  </si>
  <si>
    <t>Top-center; also branch to P05 (pipe L12)</t>
  </si>
  <si>
    <t>P10</t>
  </si>
  <si>
    <t>Top-right to P10</t>
  </si>
  <si>
    <t>P04</t>
  </si>
  <si>
    <t>P05</t>
  </si>
  <si>
    <t>Mid-left</t>
  </si>
  <si>
    <t>Mid-center</t>
  </si>
  <si>
    <t>P06</t>
  </si>
  <si>
    <t>Mid-right to P10</t>
  </si>
  <si>
    <t>P07</t>
  </si>
  <si>
    <t>Lower-left</t>
  </si>
  <si>
    <t>P08</t>
  </si>
  <si>
    <t>Lower-center</t>
  </si>
  <si>
    <t>P09</t>
  </si>
  <si>
    <t>Lower-right up to P06</t>
  </si>
  <si>
    <t>P11</t>
  </si>
  <si>
    <t>Top-right to P11</t>
  </si>
  <si>
    <t>P12</t>
  </si>
  <si>
    <t>Junction node before public network</t>
  </si>
  <si>
    <t>PUB</t>
  </si>
  <si>
    <t>Public network tie-in</t>
  </si>
  <si>
    <t>T01</t>
  </si>
  <si>
    <t>Toiture -vers réseau</t>
  </si>
  <si>
    <t>L=</t>
  </si>
  <si>
    <t>L1=</t>
  </si>
  <si>
    <t>L2=</t>
  </si>
  <si>
    <t>L3=</t>
  </si>
  <si>
    <t>SOUS-BASSINS PAR TYPE DE SURFACE (B/C/D/E) - REPARTITION EXPLICITE REQUISE</t>
  </si>
  <si>
    <t>Saisir les aires en B/C/D/E: toiture, pavage, gazon, autre. La conduite receptrice est en F.</t>
  </si>
  <si>
    <t>CB_or_Zone</t>
  </si>
  <si>
    <t>Area_roof_m2</t>
  </si>
  <si>
    <t>Area_pavement_m2</t>
  </si>
  <si>
    <t>Area_grass_m2</t>
  </si>
  <si>
    <t>Area_other_m2</t>
  </si>
  <si>
    <t>Receives_into_Pipe_ID</t>
  </si>
  <si>
    <t>Area_total_m2</t>
  </si>
  <si>
    <t>Area_effective_m2 (sum A*C)</t>
  </si>
  <si>
    <t>Runoff_C_weighted</t>
  </si>
  <si>
    <t>Node_hint</t>
  </si>
  <si>
    <t>Impervious_area_m2</t>
  </si>
  <si>
    <t>Pervious_area_m2</t>
  </si>
  <si>
    <t>Impervious_fraction</t>
  </si>
  <si>
    <t>Dominant_surface</t>
  </si>
  <si>
    <t>Surface_input_status</t>
  </si>
  <si>
    <t>A</t>
  </si>
  <si>
    <t>L01_P01_P02</t>
  </si>
  <si>
    <t>From annotated plan.; Prefill 2026-06-28: best-guess surfaces (verify).; Area total set from red m2 labels (2026-06-30 image); split is best-estimate.</t>
  </si>
  <si>
    <t>B</t>
  </si>
  <si>
    <t>L02_P02_P03</t>
  </si>
  <si>
    <t>C</t>
  </si>
  <si>
    <t>D</t>
  </si>
  <si>
    <t>L09_P04_P01</t>
  </si>
  <si>
    <t>E</t>
  </si>
  <si>
    <t>P04-P05</t>
  </si>
  <si>
    <t>F</t>
  </si>
  <si>
    <t>P05-P06</t>
  </si>
  <si>
    <t>G</t>
  </si>
  <si>
    <t>L08_P06_P04</t>
  </si>
  <si>
    <t>From annotated plan; verify blanks (G/J/K) if needed.; Area total set from red m2 labels (2026-06-30 image); split is best-estimate.</t>
  </si>
  <si>
    <t>H</t>
  </si>
  <si>
    <t>L07_P07_P06</t>
  </si>
  <si>
    <t>I</t>
  </si>
  <si>
    <t>J</t>
  </si>
  <si>
    <t>L06_P09_P06</t>
  </si>
  <si>
    <t>K</t>
  </si>
  <si>
    <t>P06/P09 flank</t>
  </si>
  <si>
    <t>L</t>
  </si>
  <si>
    <t>M</t>
  </si>
  <si>
    <t>N</t>
  </si>
  <si>
    <t>L10_P10_P11</t>
  </si>
  <si>
    <t>O</t>
  </si>
  <si>
    <t>L11_P11_P12</t>
  </si>
  <si>
    <t>P010 corridor</t>
  </si>
  <si>
    <t>CONDUITES PLAN NOEUD-PAR-NOEUD (TOPOLOGIE CORRIGEE + Tc CUMULE)</t>
  </si>
  <si>
    <t>Network_status</t>
  </si>
  <si>
    <t>Pipes_with_checks</t>
  </si>
  <si>
    <t>Pipe_ID</t>
  </si>
  <si>
    <t>From_Node</t>
  </si>
  <si>
    <t>To_Node</t>
  </si>
  <si>
    <t>Length_m</t>
  </si>
  <si>
    <t>Area_override_m2</t>
  </si>
  <si>
    <t>Area_from_CB_m2</t>
  </si>
  <si>
    <t>Area_used_m2</t>
  </si>
  <si>
    <t>C_local</t>
  </si>
  <si>
    <t>Tc_local_min</t>
  </si>
  <si>
    <t>Intensity_mmh</t>
  </si>
  <si>
    <t>Q_local_m3s</t>
  </si>
  <si>
    <t>Q_from_upstream_m3s</t>
  </si>
  <si>
    <t>Q_total_design_m3s</t>
  </si>
  <si>
    <t>Slope_manual_m/m</t>
  </si>
  <si>
    <t>Slope_used_m/m</t>
  </si>
  <si>
    <t>Dia_recommended_mm</t>
  </si>
  <si>
    <t>Dia_override_mm</t>
  </si>
  <si>
    <t>Dia_used_mm</t>
  </si>
  <si>
    <t>Dia_used_m</t>
  </si>
  <si>
    <t>Capacity_full_m3s</t>
  </si>
  <si>
    <t>Q_over_capacity_ratio</t>
  </si>
  <si>
    <t>Velocity_design_QA_mps</t>
  </si>
  <si>
    <t>Junction_drop_m</t>
  </si>
  <si>
    <t>Invert_down_m</t>
  </si>
  <si>
    <t>Invert_up_m</t>
  </si>
  <si>
    <t>Ground_down_m</t>
  </si>
  <si>
    <t>Ground_up_m</t>
  </si>
  <si>
    <t>Cover_down_m</t>
  </si>
  <si>
    <t>Cover_up_m</t>
  </si>
  <si>
    <t>Checks</t>
  </si>
  <si>
    <t>Cap_5</t>
  </si>
  <si>
    <t>Cap_6</t>
  </si>
  <si>
    <t>Cap_7</t>
  </si>
  <si>
    <t>Cap_8</t>
  </si>
  <si>
    <t>Cap_9</t>
  </si>
  <si>
    <t>Cap_10</t>
  </si>
  <si>
    <t>Cap_11</t>
  </si>
  <si>
    <t>Cap_12</t>
  </si>
  <si>
    <t>Cap_13</t>
  </si>
  <si>
    <t>Cap_14</t>
  </si>
  <si>
    <t>Upstream_pipe_count</t>
  </si>
  <si>
    <t>Pipe_role</t>
  </si>
  <si>
    <t>Tc_start_base_min</t>
  </si>
  <si>
    <t>Tc_prev_upstream_max_min</t>
  </si>
  <si>
    <t>t_travel_pipe_min</t>
  </si>
  <si>
    <t>Tc_used_min</t>
  </si>
  <si>
    <t>Velocity_design_QA_mps_copy</t>
  </si>
  <si>
    <t>Velocity_manning_full_mps</t>
  </si>
  <si>
    <t>Velocity_used_for_check_mps</t>
  </si>
  <si>
    <t>Depth_partial_iter_m</t>
  </si>
  <si>
    <t>Velocity_partial_iter_mps</t>
  </si>
  <si>
    <t>Q_target_partial_m3s</t>
  </si>
  <si>
    <t>Q_cap_open_0p94D_m3s</t>
  </si>
  <si>
    <t>low0</t>
  </si>
  <si>
    <t>high0</t>
  </si>
  <si>
    <t>mid1</t>
  </si>
  <si>
    <t>q1</t>
  </si>
  <si>
    <t>low1</t>
  </si>
  <si>
    <t>high1</t>
  </si>
  <si>
    <t>mid2</t>
  </si>
  <si>
    <t>q2</t>
  </si>
  <si>
    <t>low2</t>
  </si>
  <si>
    <t>high2</t>
  </si>
  <si>
    <t>mid3</t>
  </si>
  <si>
    <t>q3</t>
  </si>
  <si>
    <t>low3</t>
  </si>
  <si>
    <t>high3</t>
  </si>
  <si>
    <t>mid4</t>
  </si>
  <si>
    <t>q4</t>
  </si>
  <si>
    <t>low4</t>
  </si>
  <si>
    <t>high4</t>
  </si>
  <si>
    <t>mid5</t>
  </si>
  <si>
    <t>q5</t>
  </si>
  <si>
    <t>low5</t>
  </si>
  <si>
    <t>high5</t>
  </si>
  <si>
    <t>mid6</t>
  </si>
  <si>
    <t>q6</t>
  </si>
  <si>
    <t>low6</t>
  </si>
  <si>
    <t>high6</t>
  </si>
  <si>
    <t>mid7</t>
  </si>
  <si>
    <t>q7</t>
  </si>
  <si>
    <t>low7</t>
  </si>
  <si>
    <t>high7</t>
  </si>
  <si>
    <t>mid8</t>
  </si>
  <si>
    <t>Top horizontal; Length updated from red dimension labels (2026-06-30 image).</t>
  </si>
  <si>
    <t>L03_P03_P10</t>
  </si>
  <si>
    <t>Top horizontal (from image); Length updated from red dimension labels (2026-06-30 image).</t>
  </si>
  <si>
    <t>Connection P03 -&gt; RP100 (from image); Length updated from red dimension labels (2026-06-30 image).</t>
  </si>
  <si>
    <t>Connection P06 -&gt; RP100 (verify if needed); Length updated from red dimension labels (2026-06-30 image).</t>
  </si>
  <si>
    <t>Lower horizontal; Length updated from red dimension labels (2026-06-30 image).</t>
  </si>
  <si>
    <t>Lower horizontal</t>
  </si>
  <si>
    <t>Vertical/right connector (fill length)</t>
  </si>
  <si>
    <t>P010 to P07 connection (fill length); Length updated from red dimension labels (2026-06-30 image).</t>
  </si>
  <si>
    <t>P10 to public network</t>
  </si>
  <si>
    <t>PROFILS HYDRAULIQUES VERS RP100 ET RACCORDEMENT RESEAU PUBLIC</t>
  </si>
  <si>
    <t>EGL approximation in this tab: EGL = Invert + 0.8*Dia + V^2/(2*g), g=9.81 m/s2.</t>
  </si>
  <si>
    <t>Use Conduites_plan_noeuds as master calculations; these plots are auto-linked for visual review.</t>
  </si>
  <si>
    <t>Branche 1: P01 -&gt; P02 -&gt; P03 -&gt; P10 -&gt; PUB</t>
  </si>
  <si>
    <t>Point</t>
  </si>
  <si>
    <t>Node</t>
  </si>
  <si>
    <t>Sta_m</t>
  </si>
  <si>
    <t>Ground_m</t>
  </si>
  <si>
    <t>Invert_m</t>
  </si>
  <si>
    <t>Crown_m</t>
  </si>
  <si>
    <t>EGL_m</t>
  </si>
  <si>
    <t>Pipe_ref</t>
  </si>
  <si>
    <t>Vel_mps</t>
  </si>
  <si>
    <t>Dia_m</t>
  </si>
  <si>
    <t>Branche 2: P04 -&gt; P05 -&gt; P06 -&gt; RP100 -&gt; PUB</t>
  </si>
  <si>
    <t>L04_P04_P05</t>
  </si>
  <si>
    <t>L05_P05_P06</t>
  </si>
  <si>
    <t>RP100</t>
  </si>
  <si>
    <t>L06_P06_RP100</t>
  </si>
  <si>
    <t>L11_RP100_PUB</t>
  </si>
  <si>
    <t>Branche 3: P010 -&gt; P07 -&gt; P08 -&gt; P09 -&gt; P06 -&gt; RP100 -&gt; PUB</t>
  </si>
  <si>
    <t>P010</t>
  </si>
  <si>
    <t>L10_P010_P07</t>
  </si>
  <si>
    <t>L07_P07_P08</t>
  </si>
  <si>
    <t>L08_P08_P09</t>
  </si>
  <si>
    <t>L09_P09_P06</t>
  </si>
  <si>
    <t>IMAGE TAKEOFF IMPORT (2026-06-30): RED DIMENSIONS AND RED TRIBUTARY AREAS</t>
  </si>
  <si>
    <t>Old_Length_m</t>
  </si>
  <si>
    <t>New_Length_m</t>
  </si>
  <si>
    <t>Source</t>
  </si>
  <si>
    <t>Visible red dimension label</t>
  </si>
  <si>
    <t>L03_P03_RP100</t>
  </si>
  <si>
    <t>Zone</t>
  </si>
  <si>
    <t>Old_total_m2</t>
  </si>
  <si>
    <t>New_total_m2</t>
  </si>
  <si>
    <t>New split roof/pave/grass/other</t>
  </si>
  <si>
    <t>6.19 / 40.24 / 15.47 / 0.0</t>
  </si>
  <si>
    <t>Red area label with m2</t>
  </si>
  <si>
    <t>14.94 / 29.9 / 4.98 / 0.0</t>
  </si>
  <si>
    <t>21.95 / 57.07 / 8.78 / 0.0</t>
  </si>
  <si>
    <t>4.32 / 21.6 / 17.28 / 0.0</t>
  </si>
  <si>
    <t>5.67 / 8.91 / 1.62 / 0.0</t>
  </si>
  <si>
    <t>35.84 / 49.28 / 4.48 / 0.0</t>
  </si>
  <si>
    <t>0.0 / 88.7 / 0.0 / 0.0</t>
  </si>
  <si>
    <t>7.7 / 23.08 / 20.52 / 0.0</t>
  </si>
  <si>
    <t>8.51 / 9.45 / 0.94 / 0.0</t>
  </si>
  <si>
    <t>0.0 / 46.4 / 0.0 / 0.0</t>
  </si>
  <si>
    <t>0.0 / 58.2 / 0.0 / 0.0</t>
  </si>
  <si>
    <t>5.48 / 27.38 / 76.64 / 0.0</t>
  </si>
  <si>
    <t>9.76 / 26.84 / 12.2 / 0.0</t>
  </si>
  <si>
    <t>28.29 / 56.58 / 9.43 / 0.0</t>
  </si>
  <si>
    <t>3.34 / 13.36 / 50.1 /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</si>
</sst>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1]0.000;0.00"/>
    <numFmt numFmtId="165" formatCode="0.000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sz val="11"/>
      <color rgb="FFFF0000"/>
      <name val="Calibri"/>
      <family val="2"/>
      <charset val="1"/>
    </font>
    <font>
      <strike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i/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F0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12" fillId="0" borderId="0" applyBorder="0" applyProtection="0"/>
  </cellStyleXfs>
  <cellXfs count="46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2" fontId="0" fillId="0" borderId="0" xfId="0" applyNumberFormat="1" applyAlignment="1">
      <alignment horizontal="left"/>
    </xf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2" fillId="3" borderId="0" xfId="0" applyFont="1" applyFill="1"/>
    <xf numFmtId="164" fontId="0" fillId="5" borderId="1" xfId="0" applyNumberFormat="1" applyFill="1" applyBorder="1"/>
    <xf numFmtId="165" fontId="0" fillId="0" borderId="0" xfId="0" applyNumberFormat="1" applyAlignment="1">
      <alignment horizontal="left"/>
    </xf>
    <xf numFmtId="10" fontId="12" fillId="0" borderId="0" xfId="1" applyNumberFormat="1" applyBorder="1" applyAlignment="1" applyProtection="1">
      <alignment horizontal="left"/>
    </xf>
    <xf numFmtId="2" fontId="6" fillId="0" borderId="0" xfId="0" applyNumberFormat="1" applyFont="1" applyAlignment="1">
      <alignment horizontal="left"/>
    </xf>
    <xf numFmtId="2" fontId="0" fillId="0" borderId="0" xfId="0" applyNumberFormat="1"/>
    <xf numFmtId="9" fontId="12" fillId="0" borderId="0" xfId="1" applyBorder="1" applyProtection="1"/>
    <xf numFmtId="164" fontId="0" fillId="4" borderId="1" xfId="0" applyNumberFormat="1" applyFill="1" applyBorder="1"/>
    <xf numFmtId="0" fontId="7" fillId="0" borderId="1" xfId="0" applyFont="1" applyBorder="1"/>
    <xf numFmtId="164" fontId="7" fillId="4" borderId="1" xfId="0" applyNumberFormat="1" applyFont="1" applyFill="1" applyBorder="1"/>
    <xf numFmtId="0" fontId="0" fillId="6" borderId="1" xfId="0" applyFill="1" applyBorder="1"/>
    <xf numFmtId="0" fontId="8" fillId="0" borderId="1" xfId="0" applyFont="1" applyBorder="1"/>
    <xf numFmtId="164" fontId="8" fillId="4" borderId="1" xfId="0" applyNumberFormat="1" applyFont="1" applyFill="1" applyBorder="1"/>
    <xf numFmtId="0" fontId="0" fillId="0" borderId="2" xfId="0" applyBorder="1"/>
    <xf numFmtId="0" fontId="8" fillId="0" borderId="2" xfId="0" applyFont="1" applyBorder="1"/>
    <xf numFmtId="164" fontId="8" fillId="4" borderId="2" xfId="0" applyNumberFormat="1" applyFont="1" applyFill="1" applyBorder="1"/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0" fontId="9" fillId="0" borderId="1" xfId="0" applyFont="1" applyBorder="1"/>
    <xf numFmtId="0" fontId="2" fillId="5" borderId="0" xfId="0" applyFont="1" applyFill="1"/>
    <xf numFmtId="0" fontId="0" fillId="5" borderId="0" xfId="0" applyFill="1"/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11" fillId="0" borderId="0" xfId="0" applyFont="1"/>
  </cellXfs>
  <cellStyles count="2">
    <cellStyle name="Normal" xfId="0" builtinId="0"/>
    <cellStyle name="Pourcentage" xfId="1" builtinId="5"/>
  </cellStyles>
  <dxfs count="1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D62728"/>
      <rgbColor rgb="FFFFF2CC"/>
      <rgbColor rgb="FFDDEBF7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CE4D6"/>
      <rgbColor rgb="FFD9E1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C9211E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CA" sz="1800" b="1" u="none" strike="noStrike">
                <a:solidFill>
                  <a:srgbClr val="000000"/>
                </a:solidFill>
                <a:uFillTx/>
                <a:latin typeface="Calibri"/>
              </a:rPr>
              <a:t>Branche 1: P01 -&gt; P02 -&gt; P03 -&gt; RP100 -&gt; PUB (Profil)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</c:v>
          </c:tx>
          <c:spPr>
            <a:ln w="2844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Profils_P10!$C$9:$C$13</c:f>
              <c:numCache>
                <c:formatCode>[&lt;1]0.000;0.00</c:formatCode>
                <c:ptCount val="5"/>
                <c:pt idx="0">
                  <c:v>0</c:v>
                </c:pt>
                <c:pt idx="1">
                  <c:v>14.2</c:v>
                </c:pt>
                <c:pt idx="2">
                  <c:v>24.799999999999997</c:v>
                </c:pt>
                <c:pt idx="3">
                  <c:v>24.799999999999997</c:v>
                </c:pt>
                <c:pt idx="4">
                  <c:v>24.799999999999997</c:v>
                </c:pt>
              </c:numCache>
            </c:numRef>
          </c:xVal>
          <c:yVal>
            <c:numRef>
              <c:f>Profils_P10!$D$9:$D$13</c:f>
              <c:numCache>
                <c:formatCode>[&lt;1]0.000;0.00</c:formatCode>
                <c:ptCount val="5"/>
                <c:pt idx="0">
                  <c:v>17.236999999999998</c:v>
                </c:pt>
                <c:pt idx="1">
                  <c:v>17.131</c:v>
                </c:pt>
                <c:pt idx="2">
                  <c:v>17.010000000000002</c:v>
                </c:pt>
                <c:pt idx="3">
                  <c:v>17.010000000000002</c:v>
                </c:pt>
                <c:pt idx="4">
                  <c:v>17.010000000000002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F-4B61-80FA-5B115E616FC1}"/>
            </c:ext>
          </c:extLst>
        </c:ser>
        <c:ser>
          <c:idx val="1"/>
          <c:order val="1"/>
          <c:tx>
            <c:v>Invert</c:v>
          </c:tx>
          <c:spPr>
            <a:ln w="2844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Profils_P10!$C$9:$C$13</c:f>
              <c:numCache>
                <c:formatCode>[&lt;1]0.000;0.00</c:formatCode>
                <c:ptCount val="5"/>
                <c:pt idx="0">
                  <c:v>0</c:v>
                </c:pt>
                <c:pt idx="1">
                  <c:v>14.2</c:v>
                </c:pt>
                <c:pt idx="2">
                  <c:v>24.799999999999997</c:v>
                </c:pt>
                <c:pt idx="3">
                  <c:v>24.799999999999997</c:v>
                </c:pt>
                <c:pt idx="4">
                  <c:v>24.799999999999997</c:v>
                </c:pt>
              </c:numCache>
            </c:numRef>
          </c:xVal>
          <c:yVal>
            <c:numRef>
              <c:f>Profils_P10!$E$9:$E$13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AF-4B61-80FA-5B115E616FC1}"/>
            </c:ext>
          </c:extLst>
        </c:ser>
        <c:ser>
          <c:idx val="2"/>
          <c:order val="2"/>
          <c:tx>
            <c:v>EGL (approx)</c:v>
          </c:tx>
          <c:spPr>
            <a:ln w="2844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Profils_P10!$C$9:$C$13</c:f>
              <c:numCache>
                <c:formatCode>[&lt;1]0.000;0.00</c:formatCode>
                <c:ptCount val="5"/>
                <c:pt idx="0">
                  <c:v>0</c:v>
                </c:pt>
                <c:pt idx="1">
                  <c:v>14.2</c:v>
                </c:pt>
                <c:pt idx="2">
                  <c:v>24.799999999999997</c:v>
                </c:pt>
                <c:pt idx="3">
                  <c:v>24.799999999999997</c:v>
                </c:pt>
                <c:pt idx="4">
                  <c:v>24.799999999999997</c:v>
                </c:pt>
              </c:numCache>
            </c:numRef>
          </c:xVal>
          <c:yVal>
            <c:numRef>
              <c:f>Profils_P10!$G$9:$G$13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AF-4B61-80FA-5B115E616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9305"/>
        <c:axId val="88008267"/>
      </c:scatterChart>
      <c:valAx>
        <c:axId val="38839305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1]0.000;0.00" sourceLinked="1"/>
        <c:majorTickMark val="none"/>
        <c:minorTickMark val="none"/>
        <c:tickLblPos val="nextTo"/>
        <c:crossAx val="88008267"/>
        <c:crosses val="autoZero"/>
        <c:crossBetween val="midCat"/>
      </c:valAx>
      <c:valAx>
        <c:axId val="88008267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Elevation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1]0.000;0.00" sourceLinked="1"/>
        <c:majorTickMark val="none"/>
        <c:minorTickMark val="none"/>
        <c:tickLblPos val="nextTo"/>
        <c:crossAx val="3883930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CA" sz="1800" b="1" u="none" strike="noStrike">
                <a:solidFill>
                  <a:srgbClr val="000000"/>
                </a:solidFill>
                <a:uFillTx/>
                <a:latin typeface="Calibri"/>
              </a:rPr>
              <a:t>Branche 2: P04 -&gt; P05 -&gt; P06 -&gt; RP100 -&gt; PUB (Profil)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</c:v>
          </c:tx>
          <c:spPr>
            <a:ln w="2844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Profils_P10!$C$32:$C$36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Profils_P10!$D$32:$D$36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6E-4C03-9645-F097D2ECB98B}"/>
            </c:ext>
          </c:extLst>
        </c:ser>
        <c:ser>
          <c:idx val="1"/>
          <c:order val="1"/>
          <c:tx>
            <c:v>Invert</c:v>
          </c:tx>
          <c:spPr>
            <a:ln w="2844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Profils_P10!$C$32:$C$36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Profils_P10!$E$32:$E$36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6E-4C03-9645-F097D2ECB98B}"/>
            </c:ext>
          </c:extLst>
        </c:ser>
        <c:ser>
          <c:idx val="2"/>
          <c:order val="2"/>
          <c:tx>
            <c:v>EGL (approx)</c:v>
          </c:tx>
          <c:spPr>
            <a:ln w="2844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Profils_P10!$C$32:$C$36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Profils_P10!$G$32:$G$36</c:f>
              <c:numCache>
                <c:formatCode>[&lt;1]0.000;0.00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6E-4C03-9645-F097D2ECB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52417"/>
        <c:axId val="56028443"/>
      </c:scatterChart>
      <c:valAx>
        <c:axId val="25952417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1]0.000;0.00" sourceLinked="1"/>
        <c:majorTickMark val="none"/>
        <c:minorTickMark val="none"/>
        <c:tickLblPos val="nextTo"/>
        <c:crossAx val="56028443"/>
        <c:crosses val="autoZero"/>
        <c:crossBetween val="midCat"/>
      </c:valAx>
      <c:valAx>
        <c:axId val="56028443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Elevation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1]0.000;0.00" sourceLinked="1"/>
        <c:majorTickMark val="none"/>
        <c:minorTickMark val="none"/>
        <c:tickLblPos val="nextTo"/>
        <c:crossAx val="2595241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CA" sz="1800" b="1" u="none" strike="noStrike">
                <a:solidFill>
                  <a:srgbClr val="000000"/>
                </a:solidFill>
                <a:uFillTx/>
                <a:latin typeface="Calibri"/>
              </a:rPr>
              <a:t>Branche 3: P010 -&gt; P07 -&gt; P08 -&gt; P09 -&gt; P06 -&gt; RP100 -&gt; PUB (Profil)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</c:v>
          </c:tx>
          <c:spPr>
            <a:ln w="2844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Profils_P10!$C$55:$C$61</c:f>
              <c:numCache>
                <c:formatCode>[&lt;1]0.000;0.00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Profils_P10!$D$55:$D$61</c:f>
              <c:numCache>
                <c:formatCode>[&lt;1]0.000;0.00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BF-4F31-AC47-E05D63DBB702}"/>
            </c:ext>
          </c:extLst>
        </c:ser>
        <c:ser>
          <c:idx val="1"/>
          <c:order val="1"/>
          <c:tx>
            <c:v>Invert</c:v>
          </c:tx>
          <c:spPr>
            <a:ln w="2844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Profils_P10!$C$55:$C$61</c:f>
              <c:numCache>
                <c:formatCode>[&lt;1]0.000;0.00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Profils_P10!$E$55:$E$61</c:f>
              <c:numCache>
                <c:formatCode>[&lt;1]0.000;0.00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BF-4F31-AC47-E05D63DBB702}"/>
            </c:ext>
          </c:extLst>
        </c:ser>
        <c:ser>
          <c:idx val="2"/>
          <c:order val="2"/>
          <c:tx>
            <c:v>EGL (approx)</c:v>
          </c:tx>
          <c:spPr>
            <a:ln w="2844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Profils_P10!$C$55:$C$61</c:f>
              <c:numCache>
                <c:formatCode>[&lt;1]0.000;0.00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Profils_P10!$G$55:$G$61</c:f>
              <c:numCache>
                <c:formatCode>[&lt;1]0.000;0.00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BF-4F31-AC47-E05D63DBB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62087"/>
        <c:axId val="51725392"/>
      </c:scatterChart>
      <c:valAx>
        <c:axId val="38062087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1]0.000;0.00" sourceLinked="1"/>
        <c:majorTickMark val="none"/>
        <c:minorTickMark val="none"/>
        <c:tickLblPos val="nextTo"/>
        <c:crossAx val="51725392"/>
        <c:crosses val="autoZero"/>
        <c:crossBetween val="midCat"/>
      </c:valAx>
      <c:valAx>
        <c:axId val="51725392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Elevation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1]0.000;0.00" sourceLinked="1"/>
        <c:majorTickMark val="none"/>
        <c:minorTickMark val="none"/>
        <c:tickLblPos val="nextTo"/>
        <c:crossAx val="3806208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18</xdr:col>
      <xdr:colOff>240840</xdr:colOff>
      <xdr:row>20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30</xdr:row>
      <xdr:rowOff>0</xdr:rowOff>
    </xdr:from>
    <xdr:to>
      <xdr:col>18</xdr:col>
      <xdr:colOff>240840</xdr:colOff>
      <xdr:row>43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53</xdr:row>
      <xdr:rowOff>0</xdr:rowOff>
    </xdr:from>
    <xdr:to>
      <xdr:col>18</xdr:col>
      <xdr:colOff>240840</xdr:colOff>
      <xdr:row>66</xdr:row>
      <xdr:rowOff>43200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opLeftCell="A86" zoomScale="130" zoomScaleNormal="130" workbookViewId="0">
      <selection activeCell="A113" activeCellId="1" sqref="R8 A113"/>
    </sheetView>
  </sheetViews>
  <sheetFormatPr baseColWidth="10" defaultColWidth="9.140625" defaultRowHeight="15" customHeight="1" x14ac:dyDescent="0.25"/>
  <cols>
    <col min="1" max="1" width="145" customWidth="1"/>
    <col min="2" max="8" width="20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3" spans="1:8" x14ac:dyDescent="0.25">
      <c r="A3" t="s">
        <v>1</v>
      </c>
    </row>
    <row r="4" spans="1:8" x14ac:dyDescent="0.25">
      <c r="A4" t="s">
        <v>2</v>
      </c>
    </row>
    <row r="5" spans="1:8" x14ac:dyDescent="0.25">
      <c r="A5" t="s">
        <v>3</v>
      </c>
    </row>
    <row r="6" spans="1:8" x14ac:dyDescent="0.25">
      <c r="A6" t="s">
        <v>4</v>
      </c>
    </row>
    <row r="7" spans="1:8" x14ac:dyDescent="0.25">
      <c r="A7" t="s">
        <v>5</v>
      </c>
    </row>
    <row r="8" spans="1:8" x14ac:dyDescent="0.25">
      <c r="A8" t="s">
        <v>6</v>
      </c>
    </row>
    <row r="9" spans="1:8" x14ac:dyDescent="0.25">
      <c r="A9" t="s">
        <v>7</v>
      </c>
    </row>
    <row r="10" spans="1:8" x14ac:dyDescent="0.25">
      <c r="A10" t="s">
        <v>8</v>
      </c>
    </row>
    <row r="11" spans="1:8" x14ac:dyDescent="0.25">
      <c r="A11" t="s">
        <v>9</v>
      </c>
    </row>
    <row r="12" spans="1:8" x14ac:dyDescent="0.25">
      <c r="A12" t="s">
        <v>10</v>
      </c>
    </row>
    <row r="15" spans="1:8" x14ac:dyDescent="0.25">
      <c r="A15" s="10" t="s">
        <v>11</v>
      </c>
    </row>
    <row r="16" spans="1:8" x14ac:dyDescent="0.25">
      <c r="A16" t="s">
        <v>12</v>
      </c>
    </row>
    <row r="17" spans="1:8" x14ac:dyDescent="0.25">
      <c r="A17" t="s">
        <v>13</v>
      </c>
    </row>
    <row r="18" spans="1:8" x14ac:dyDescent="0.25">
      <c r="A18" t="s">
        <v>14</v>
      </c>
    </row>
    <row r="19" spans="1:8" x14ac:dyDescent="0.25">
      <c r="A19" t="s">
        <v>15</v>
      </c>
    </row>
    <row r="21" spans="1:8" x14ac:dyDescent="0.25">
      <c r="A21" t="s">
        <v>16</v>
      </c>
    </row>
    <row r="22" spans="1:8" x14ac:dyDescent="0.25">
      <c r="A22" t="s">
        <v>17</v>
      </c>
    </row>
    <row r="24" spans="1:8" x14ac:dyDescent="0.25">
      <c r="A24" t="s">
        <v>18</v>
      </c>
    </row>
    <row r="25" spans="1:8" x14ac:dyDescent="0.25">
      <c r="A25" t="s">
        <v>19</v>
      </c>
    </row>
    <row r="26" spans="1:8" x14ac:dyDescent="0.25">
      <c r="A26" t="s">
        <v>20</v>
      </c>
    </row>
    <row r="27" spans="1:8" x14ac:dyDescent="0.25">
      <c r="A27" t="s">
        <v>21</v>
      </c>
    </row>
    <row r="28" spans="1:8" x14ac:dyDescent="0.25">
      <c r="A28" t="s">
        <v>22</v>
      </c>
    </row>
    <row r="29" spans="1:8" x14ac:dyDescent="0.25">
      <c r="A29" t="s">
        <v>23</v>
      </c>
    </row>
    <row r="30" spans="1:8" x14ac:dyDescent="0.25">
      <c r="A30" t="s">
        <v>24</v>
      </c>
    </row>
    <row r="31" spans="1:8" x14ac:dyDescent="0.25">
      <c r="A31" t="s">
        <v>25</v>
      </c>
    </row>
    <row r="32" spans="1:8" x14ac:dyDescent="0.25">
      <c r="A32" s="7" t="s">
        <v>26</v>
      </c>
      <c r="B32" s="7"/>
      <c r="C32" s="7"/>
      <c r="D32" s="7"/>
      <c r="E32" s="7"/>
      <c r="F32" s="7"/>
      <c r="G32" s="7"/>
      <c r="H32" s="7"/>
    </row>
    <row r="33" spans="1:8" ht="15" customHeight="1" x14ac:dyDescent="0.25">
      <c r="A33" s="6" t="s">
        <v>27</v>
      </c>
      <c r="B33" s="6"/>
      <c r="C33" s="6"/>
      <c r="D33" s="6"/>
      <c r="E33" s="6"/>
      <c r="F33" s="6"/>
      <c r="G33" s="6"/>
      <c r="H33" s="6"/>
    </row>
    <row r="34" spans="1:8" ht="15" customHeight="1" x14ac:dyDescent="0.25">
      <c r="A34" s="5" t="s">
        <v>28</v>
      </c>
      <c r="B34" s="5"/>
      <c r="C34" s="5"/>
      <c r="D34" s="5"/>
      <c r="E34" s="5"/>
      <c r="F34" s="5"/>
      <c r="G34" s="5"/>
      <c r="H34" s="5"/>
    </row>
    <row r="35" spans="1:8" ht="15" customHeight="1" x14ac:dyDescent="0.25">
      <c r="A35" s="4" t="s">
        <v>29</v>
      </c>
      <c r="B35" s="4"/>
      <c r="C35" s="4"/>
      <c r="D35" s="4"/>
      <c r="E35" s="4"/>
      <c r="F35" s="4"/>
      <c r="G35" s="4"/>
      <c r="H35" s="4"/>
    </row>
    <row r="36" spans="1:8" ht="15" customHeight="1" x14ac:dyDescent="0.25">
      <c r="A36" s="6" t="s">
        <v>30</v>
      </c>
      <c r="B36" s="6"/>
      <c r="C36" s="6"/>
      <c r="D36" s="6"/>
      <c r="E36" s="6"/>
      <c r="F36" s="6"/>
      <c r="G36" s="6"/>
      <c r="H36" s="6"/>
    </row>
    <row r="37" spans="1:8" ht="15" customHeight="1" x14ac:dyDescent="0.25">
      <c r="A37" s="6" t="s">
        <v>31</v>
      </c>
      <c r="B37" s="6"/>
      <c r="C37" s="6"/>
      <c r="D37" s="6"/>
      <c r="E37" s="6"/>
      <c r="F37" s="6"/>
      <c r="G37" s="6"/>
      <c r="H37" s="6"/>
    </row>
    <row r="39" spans="1:8" ht="15" customHeight="1" x14ac:dyDescent="0.25">
      <c r="A39" s="3" t="s">
        <v>32</v>
      </c>
      <c r="B39" s="3"/>
      <c r="C39" s="3"/>
      <c r="D39" s="3"/>
      <c r="E39" s="3"/>
      <c r="F39" s="3"/>
      <c r="G39" s="3"/>
      <c r="H39" s="3"/>
    </row>
    <row r="40" spans="1:8" x14ac:dyDescent="0.25">
      <c r="A40" t="s">
        <v>33</v>
      </c>
    </row>
    <row r="41" spans="1:8" x14ac:dyDescent="0.25">
      <c r="A41" t="s">
        <v>34</v>
      </c>
    </row>
    <row r="42" spans="1:8" x14ac:dyDescent="0.25">
      <c r="A42" t="s">
        <v>35</v>
      </c>
    </row>
    <row r="43" spans="1:8" x14ac:dyDescent="0.25">
      <c r="A43" t="s">
        <v>36</v>
      </c>
    </row>
    <row r="44" spans="1:8" x14ac:dyDescent="0.25">
      <c r="A44" t="s">
        <v>37</v>
      </c>
    </row>
    <row r="45" spans="1:8" x14ac:dyDescent="0.25">
      <c r="A45" t="s">
        <v>38</v>
      </c>
    </row>
    <row r="46" spans="1:8" x14ac:dyDescent="0.25">
      <c r="A46" t="s">
        <v>39</v>
      </c>
    </row>
    <row r="47" spans="1:8" x14ac:dyDescent="0.25">
      <c r="A47" t="s">
        <v>40</v>
      </c>
    </row>
    <row r="48" spans="1:8" x14ac:dyDescent="0.25">
      <c r="A48" t="s">
        <v>41</v>
      </c>
    </row>
    <row r="49" spans="1:8" x14ac:dyDescent="0.25">
      <c r="A49" t="s">
        <v>42</v>
      </c>
    </row>
    <row r="50" spans="1:8" x14ac:dyDescent="0.25">
      <c r="A50" t="s">
        <v>43</v>
      </c>
    </row>
    <row r="52" spans="1:8" x14ac:dyDescent="0.25">
      <c r="A52" s="2" t="s">
        <v>44</v>
      </c>
      <c r="B52" s="2"/>
      <c r="C52" s="2"/>
      <c r="D52" s="2"/>
      <c r="E52" s="2"/>
      <c r="F52" s="2"/>
      <c r="G52" s="2"/>
      <c r="H52" s="2"/>
    </row>
    <row r="53" spans="1:8" x14ac:dyDescent="0.25">
      <c r="A53" s="2" t="s">
        <v>45</v>
      </c>
      <c r="B53" s="2"/>
      <c r="C53" s="2"/>
      <c r="D53" s="2"/>
      <c r="E53" s="2"/>
      <c r="F53" s="2"/>
      <c r="G53" s="2"/>
      <c r="H53" s="2"/>
    </row>
    <row r="54" spans="1:8" x14ac:dyDescent="0.25">
      <c r="A54" t="s">
        <v>46</v>
      </c>
    </row>
    <row r="55" spans="1:8" x14ac:dyDescent="0.25">
      <c r="A55" t="s">
        <v>47</v>
      </c>
    </row>
    <row r="56" spans="1:8" x14ac:dyDescent="0.25">
      <c r="A56" s="11" t="s">
        <v>48</v>
      </c>
    </row>
    <row r="57" spans="1:8" x14ac:dyDescent="0.25">
      <c r="A57" t="s">
        <v>49</v>
      </c>
    </row>
    <row r="58" spans="1:8" x14ac:dyDescent="0.25">
      <c r="A58" t="s">
        <v>50</v>
      </c>
    </row>
    <row r="59" spans="1:8" x14ac:dyDescent="0.25">
      <c r="A59" s="11" t="s">
        <v>45</v>
      </c>
    </row>
    <row r="60" spans="1:8" x14ac:dyDescent="0.25">
      <c r="A60" s="11" t="s">
        <v>46</v>
      </c>
    </row>
    <row r="61" spans="1:8" x14ac:dyDescent="0.25">
      <c r="A61" s="11" t="s">
        <v>51</v>
      </c>
    </row>
    <row r="62" spans="1:8" x14ac:dyDescent="0.25">
      <c r="A62" s="11"/>
    </row>
    <row r="63" spans="1:8" x14ac:dyDescent="0.25">
      <c r="A63" s="2" t="s">
        <v>52</v>
      </c>
      <c r="B63" s="2"/>
      <c r="C63" s="2"/>
      <c r="D63" s="2"/>
      <c r="E63" s="2"/>
      <c r="F63" s="2"/>
      <c r="G63" s="2"/>
      <c r="H63" s="2"/>
    </row>
    <row r="64" spans="1:8" x14ac:dyDescent="0.25">
      <c r="A64" s="11" t="s">
        <v>53</v>
      </c>
    </row>
    <row r="65" spans="1:8" x14ac:dyDescent="0.25">
      <c r="A65" t="s">
        <v>54</v>
      </c>
    </row>
    <row r="66" spans="1:8" x14ac:dyDescent="0.25">
      <c r="A66" t="s">
        <v>55</v>
      </c>
    </row>
    <row r="67" spans="1:8" x14ac:dyDescent="0.25">
      <c r="A67" t="s">
        <v>56</v>
      </c>
    </row>
    <row r="68" spans="1:8" x14ac:dyDescent="0.25">
      <c r="A68" t="s">
        <v>57</v>
      </c>
    </row>
    <row r="69" spans="1:8" x14ac:dyDescent="0.25">
      <c r="A69" t="s">
        <v>58</v>
      </c>
    </row>
    <row r="70" spans="1:8" x14ac:dyDescent="0.25">
      <c r="A70" t="s">
        <v>59</v>
      </c>
    </row>
    <row r="71" spans="1:8" x14ac:dyDescent="0.25">
      <c r="A71" s="2" t="s">
        <v>60</v>
      </c>
      <c r="B71" s="2"/>
      <c r="C71" s="2"/>
      <c r="D71" s="2"/>
      <c r="E71" s="2"/>
      <c r="F71" s="2"/>
      <c r="G71" s="2"/>
      <c r="H71" s="2"/>
    </row>
    <row r="72" spans="1:8" x14ac:dyDescent="0.25">
      <c r="A72" t="s">
        <v>61</v>
      </c>
    </row>
    <row r="73" spans="1:8" x14ac:dyDescent="0.25">
      <c r="A73" t="s">
        <v>62</v>
      </c>
    </row>
    <row r="74" spans="1:8" x14ac:dyDescent="0.25">
      <c r="A74" t="s">
        <v>63</v>
      </c>
    </row>
    <row r="75" spans="1:8" x14ac:dyDescent="0.25">
      <c r="A75" t="s">
        <v>64</v>
      </c>
    </row>
    <row r="76" spans="1:8" x14ac:dyDescent="0.25">
      <c r="A76" t="s">
        <v>65</v>
      </c>
    </row>
    <row r="77" spans="1:8" x14ac:dyDescent="0.25">
      <c r="A77" t="s">
        <v>66</v>
      </c>
    </row>
    <row r="78" spans="1:8" x14ac:dyDescent="0.25">
      <c r="A78" s="11" t="s">
        <v>67</v>
      </c>
    </row>
    <row r="79" spans="1:8" x14ac:dyDescent="0.25">
      <c r="A79" t="s">
        <v>68</v>
      </c>
    </row>
    <row r="80" spans="1:8" x14ac:dyDescent="0.25">
      <c r="A80" t="s">
        <v>69</v>
      </c>
    </row>
    <row r="81" spans="1:1" x14ac:dyDescent="0.25">
      <c r="A81" s="11" t="s">
        <v>70</v>
      </c>
    </row>
    <row r="82" spans="1:1" x14ac:dyDescent="0.25">
      <c r="A82" t="s">
        <v>71</v>
      </c>
    </row>
    <row r="83" spans="1:1" x14ac:dyDescent="0.25">
      <c r="A83" t="s">
        <v>72</v>
      </c>
    </row>
    <row r="84" spans="1:1" x14ac:dyDescent="0.25">
      <c r="A84" t="s">
        <v>73</v>
      </c>
    </row>
    <row r="85" spans="1:1" x14ac:dyDescent="0.25">
      <c r="A85" t="s">
        <v>74</v>
      </c>
    </row>
    <row r="86" spans="1:1" x14ac:dyDescent="0.25">
      <c r="A86" s="11" t="s">
        <v>75</v>
      </c>
    </row>
    <row r="87" spans="1:1" x14ac:dyDescent="0.25">
      <c r="A87" t="s">
        <v>56</v>
      </c>
    </row>
    <row r="88" spans="1:1" x14ac:dyDescent="0.25">
      <c r="A88" t="s">
        <v>76</v>
      </c>
    </row>
    <row r="90" spans="1:1" x14ac:dyDescent="0.25">
      <c r="A90" t="s">
        <v>77</v>
      </c>
    </row>
    <row r="91" spans="1:1" x14ac:dyDescent="0.25">
      <c r="A91" t="s">
        <v>78</v>
      </c>
    </row>
    <row r="92" spans="1:1" x14ac:dyDescent="0.25">
      <c r="A92" t="s">
        <v>79</v>
      </c>
    </row>
    <row r="94" spans="1:1" x14ac:dyDescent="0.25">
      <c r="A94" t="s">
        <v>80</v>
      </c>
    </row>
    <row r="95" spans="1:1" x14ac:dyDescent="0.25">
      <c r="A95" t="s">
        <v>78</v>
      </c>
    </row>
    <row r="96" spans="1:1" x14ac:dyDescent="0.25">
      <c r="A96" t="s">
        <v>81</v>
      </c>
    </row>
    <row r="97" spans="1:1" x14ac:dyDescent="0.25">
      <c r="A97" t="s">
        <v>82</v>
      </c>
    </row>
    <row r="116" spans="1:1" x14ac:dyDescent="0.25">
      <c r="A116" s="12"/>
    </row>
  </sheetData>
  <mergeCells count="12">
    <mergeCell ref="A63:H63"/>
    <mergeCell ref="A71:H71"/>
    <mergeCell ref="A36:H36"/>
    <mergeCell ref="A37:H37"/>
    <mergeCell ref="A39:H39"/>
    <mergeCell ref="A52:H52"/>
    <mergeCell ref="A53:H53"/>
    <mergeCell ref="A1:H1"/>
    <mergeCell ref="A32:H32"/>
    <mergeCell ref="A33:H33"/>
    <mergeCell ref="A34:H34"/>
    <mergeCell ref="A35:H35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zoomScale="130" zoomScaleNormal="130" workbookViewId="0">
      <pane ySplit="2" topLeftCell="A18" activePane="bottomLeft" state="frozen"/>
      <selection pane="bottomLeft" activeCell="B17" activeCellId="1" sqref="R8 B17"/>
    </sheetView>
  </sheetViews>
  <sheetFormatPr baseColWidth="10" defaultColWidth="9.140625" defaultRowHeight="15" customHeight="1" x14ac:dyDescent="0.25"/>
  <cols>
    <col min="1" max="1" width="48" customWidth="1"/>
    <col min="2" max="2" width="16" customWidth="1"/>
    <col min="3" max="3" width="10" customWidth="1"/>
    <col min="4" max="4" width="70" customWidth="1"/>
    <col min="5" max="5" width="4" customWidth="1"/>
    <col min="6" max="6" width="26" customWidth="1"/>
    <col min="7" max="8" width="12" customWidth="1"/>
  </cols>
  <sheetData>
    <row r="1" spans="1:8" x14ac:dyDescent="0.25">
      <c r="A1" s="8" t="s">
        <v>83</v>
      </c>
      <c r="B1" s="8"/>
      <c r="C1" s="8"/>
      <c r="D1" s="8"/>
      <c r="E1" s="8"/>
      <c r="F1" s="8"/>
      <c r="G1" s="8"/>
      <c r="H1" s="8"/>
    </row>
    <row r="2" spans="1:8" x14ac:dyDescent="0.25">
      <c r="A2" s="13" t="s">
        <v>84</v>
      </c>
      <c r="B2" s="13" t="s">
        <v>85</v>
      </c>
      <c r="C2" s="13" t="s">
        <v>86</v>
      </c>
      <c r="D2" s="13" t="s">
        <v>87</v>
      </c>
    </row>
    <row r="3" spans="1:8" x14ac:dyDescent="0.25">
      <c r="A3" s="14" t="s">
        <v>88</v>
      </c>
      <c r="B3" s="15" t="s">
        <v>89</v>
      </c>
      <c r="C3" s="14" t="s">
        <v>90</v>
      </c>
      <c r="D3" s="14" t="s">
        <v>91</v>
      </c>
      <c r="F3" s="16" t="s">
        <v>92</v>
      </c>
    </row>
    <row r="4" spans="1:8" x14ac:dyDescent="0.25">
      <c r="A4" s="14" t="s">
        <v>93</v>
      </c>
      <c r="B4" s="15">
        <v>15.305</v>
      </c>
      <c r="C4" s="14" t="s">
        <v>94</v>
      </c>
      <c r="D4" s="14" t="s">
        <v>95</v>
      </c>
    </row>
    <row r="5" spans="1:8" x14ac:dyDescent="0.25">
      <c r="A5" s="14" t="s">
        <v>96</v>
      </c>
      <c r="B5" s="15">
        <v>1.8</v>
      </c>
      <c r="C5" s="14" t="s">
        <v>94</v>
      </c>
      <c r="D5" s="14" t="s">
        <v>97</v>
      </c>
      <c r="F5" s="15">
        <v>200</v>
      </c>
    </row>
    <row r="6" spans="1:8" x14ac:dyDescent="0.25">
      <c r="A6" s="14" t="s">
        <v>98</v>
      </c>
      <c r="B6" s="15" t="s">
        <v>99</v>
      </c>
      <c r="C6" s="14" t="s">
        <v>90</v>
      </c>
      <c r="D6" s="14" t="s">
        <v>100</v>
      </c>
      <c r="F6" s="15">
        <v>250</v>
      </c>
    </row>
    <row r="7" spans="1:8" x14ac:dyDescent="0.25">
      <c r="A7" s="14" t="s">
        <v>101</v>
      </c>
      <c r="B7" s="15">
        <v>0.01</v>
      </c>
      <c r="C7" s="14" t="s">
        <v>102</v>
      </c>
      <c r="D7" s="14" t="s">
        <v>103</v>
      </c>
      <c r="F7" s="15">
        <v>300</v>
      </c>
    </row>
    <row r="8" spans="1:8" x14ac:dyDescent="0.25">
      <c r="A8" s="14" t="s">
        <v>104</v>
      </c>
      <c r="B8" s="15">
        <v>0.05</v>
      </c>
      <c r="C8" s="14" t="s">
        <v>102</v>
      </c>
      <c r="D8" s="14" t="s">
        <v>105</v>
      </c>
      <c r="F8" s="15">
        <v>375</v>
      </c>
    </row>
    <row r="9" spans="1:8" x14ac:dyDescent="0.25">
      <c r="A9" s="14" t="s">
        <v>106</v>
      </c>
      <c r="B9" s="15">
        <v>1.2999999999999999E-2</v>
      </c>
      <c r="C9" s="14" t="s">
        <v>90</v>
      </c>
      <c r="D9" s="14" t="s">
        <v>107</v>
      </c>
      <c r="F9" s="15">
        <v>450</v>
      </c>
    </row>
    <row r="10" spans="1:8" x14ac:dyDescent="0.25">
      <c r="A10" s="14" t="s">
        <v>108</v>
      </c>
      <c r="B10" s="15">
        <v>0.8</v>
      </c>
      <c r="C10" s="14" t="s">
        <v>90</v>
      </c>
      <c r="D10" s="14" t="s">
        <v>109</v>
      </c>
      <c r="F10" s="15">
        <v>525</v>
      </c>
    </row>
    <row r="11" spans="1:8" x14ac:dyDescent="0.25">
      <c r="A11" s="14" t="s">
        <v>110</v>
      </c>
      <c r="B11" s="15">
        <v>0.75</v>
      </c>
      <c r="C11" s="14" t="s">
        <v>111</v>
      </c>
      <c r="D11" s="14" t="s">
        <v>112</v>
      </c>
      <c r="F11" s="15">
        <v>600</v>
      </c>
    </row>
    <row r="12" spans="1:8" x14ac:dyDescent="0.25">
      <c r="A12" s="14" t="s">
        <v>113</v>
      </c>
      <c r="B12" s="15">
        <v>3</v>
      </c>
      <c r="C12" s="14" t="s">
        <v>111</v>
      </c>
      <c r="D12" s="14" t="s">
        <v>114</v>
      </c>
      <c r="F12" s="15">
        <v>675</v>
      </c>
    </row>
    <row r="13" spans="1:8" x14ac:dyDescent="0.25">
      <c r="A13" s="14" t="s">
        <v>115</v>
      </c>
      <c r="B13" s="15">
        <v>508.07</v>
      </c>
      <c r="C13" s="14" t="s">
        <v>90</v>
      </c>
      <c r="D13" s="14" t="s">
        <v>116</v>
      </c>
      <c r="F13" s="15">
        <v>750</v>
      </c>
    </row>
    <row r="14" spans="1:8" x14ac:dyDescent="0.25">
      <c r="A14" s="14" t="s">
        <v>117</v>
      </c>
      <c r="B14" s="15">
        <v>2.9</v>
      </c>
      <c r="C14" s="14" t="s">
        <v>118</v>
      </c>
      <c r="D14" s="14" t="s">
        <v>119</v>
      </c>
      <c r="F14" s="15">
        <v>900</v>
      </c>
    </row>
    <row r="15" spans="1:8" x14ac:dyDescent="0.25">
      <c r="A15" s="14" t="s">
        <v>120</v>
      </c>
      <c r="B15" s="15">
        <v>0.64400000000000002</v>
      </c>
      <c r="C15" s="14" t="s">
        <v>90</v>
      </c>
      <c r="D15" s="14" t="s">
        <v>121</v>
      </c>
    </row>
    <row r="16" spans="1:8" x14ac:dyDescent="0.25">
      <c r="A16" s="14" t="s">
        <v>122</v>
      </c>
      <c r="B16" s="15">
        <v>1</v>
      </c>
      <c r="C16" s="14" t="s">
        <v>90</v>
      </c>
      <c r="D16" s="14" t="s">
        <v>123</v>
      </c>
    </row>
    <row r="17" spans="1:4" x14ac:dyDescent="0.25">
      <c r="A17" s="14" t="s">
        <v>124</v>
      </c>
      <c r="B17" s="15">
        <v>0.9</v>
      </c>
      <c r="C17" s="14" t="s">
        <v>90</v>
      </c>
      <c r="D17" s="14" t="s">
        <v>125</v>
      </c>
    </row>
    <row r="18" spans="1:4" x14ac:dyDescent="0.25">
      <c r="A18" s="14" t="s">
        <v>126</v>
      </c>
      <c r="B18" s="15">
        <v>6</v>
      </c>
      <c r="C18" s="14" t="s">
        <v>118</v>
      </c>
      <c r="D18" s="14" t="s">
        <v>127</v>
      </c>
    </row>
    <row r="19" spans="1:4" x14ac:dyDescent="0.25">
      <c r="A19" s="14" t="s">
        <v>128</v>
      </c>
      <c r="B19" s="15">
        <v>1.8</v>
      </c>
      <c r="C19" s="14" t="s">
        <v>94</v>
      </c>
      <c r="D19" s="14" t="s">
        <v>129</v>
      </c>
    </row>
    <row r="20" spans="1:4" x14ac:dyDescent="0.25">
      <c r="A20" s="14" t="s">
        <v>130</v>
      </c>
      <c r="B20" s="15">
        <v>0.02</v>
      </c>
      <c r="C20" s="14" t="s">
        <v>94</v>
      </c>
      <c r="D20" s="14" t="s">
        <v>131</v>
      </c>
    </row>
    <row r="22" spans="1:4" x14ac:dyDescent="0.25">
      <c r="A22" s="10" t="s">
        <v>132</v>
      </c>
      <c r="B22" s="17">
        <f>IF(UPPER(TRIM(B3))="SURFACE",B4-B5,B4)</f>
        <v>15.305</v>
      </c>
    </row>
    <row r="23" spans="1:4" x14ac:dyDescent="0.25">
      <c r="A23" s="14" t="s">
        <v>133</v>
      </c>
      <c r="B23" s="15">
        <v>1</v>
      </c>
      <c r="C23" s="14" t="s">
        <v>111</v>
      </c>
      <c r="D23" s="14" t="s">
        <v>134</v>
      </c>
    </row>
    <row r="24" spans="1:4" x14ac:dyDescent="0.25">
      <c r="A24" s="14" t="s">
        <v>135</v>
      </c>
      <c r="B24" s="15" t="s">
        <v>136</v>
      </c>
      <c r="C24" s="14" t="s">
        <v>90</v>
      </c>
      <c r="D24" s="14" t="s">
        <v>137</v>
      </c>
    </row>
    <row r="25" spans="1:4" x14ac:dyDescent="0.25">
      <c r="A25" s="14" t="s">
        <v>138</v>
      </c>
      <c r="B25" s="15">
        <v>0.95</v>
      </c>
      <c r="C25" s="14" t="s">
        <v>90</v>
      </c>
      <c r="D25" s="14" t="s">
        <v>139</v>
      </c>
    </row>
    <row r="26" spans="1:4" x14ac:dyDescent="0.25">
      <c r="A26" s="14" t="s">
        <v>140</v>
      </c>
      <c r="B26" s="15">
        <v>0.9</v>
      </c>
      <c r="C26" s="14" t="s">
        <v>90</v>
      </c>
      <c r="D26" s="14" t="s">
        <v>141</v>
      </c>
    </row>
    <row r="27" spans="1:4" x14ac:dyDescent="0.25">
      <c r="A27" s="14" t="s">
        <v>142</v>
      </c>
      <c r="B27" s="15">
        <v>0.25</v>
      </c>
      <c r="C27" s="14" t="s">
        <v>90</v>
      </c>
      <c r="D27" s="14" t="s">
        <v>143</v>
      </c>
    </row>
    <row r="28" spans="1:4" x14ac:dyDescent="0.25">
      <c r="A28" s="14" t="s">
        <v>144</v>
      </c>
      <c r="B28" s="15">
        <v>0.6</v>
      </c>
      <c r="C28" s="14" t="s">
        <v>90</v>
      </c>
      <c r="D28" s="14" t="s">
        <v>145</v>
      </c>
    </row>
    <row r="31" spans="1:4" x14ac:dyDescent="0.25">
      <c r="B31">
        <v>13.64</v>
      </c>
    </row>
    <row r="32" spans="1:4" x14ac:dyDescent="0.25">
      <c r="B32">
        <v>49.6</v>
      </c>
    </row>
    <row r="33" spans="1:4" x14ac:dyDescent="0.25">
      <c r="A33" t="s">
        <v>146</v>
      </c>
      <c r="B33">
        <v>15.84</v>
      </c>
    </row>
    <row r="34" spans="1:4" x14ac:dyDescent="0.25">
      <c r="A34" t="s">
        <v>147</v>
      </c>
      <c r="B34">
        <v>7.36</v>
      </c>
    </row>
    <row r="35" spans="1:4" x14ac:dyDescent="0.25">
      <c r="A35" t="s">
        <v>148</v>
      </c>
      <c r="B35">
        <f>B31+B32+B33+B34</f>
        <v>86.44</v>
      </c>
    </row>
    <row r="36" spans="1:4" x14ac:dyDescent="0.25">
      <c r="A36" t="s">
        <v>149</v>
      </c>
    </row>
    <row r="39" spans="1:4" x14ac:dyDescent="0.25">
      <c r="A39" t="s">
        <v>150</v>
      </c>
      <c r="B39" s="12">
        <f>35393.21*0.3048^2</f>
        <v>3288.1368043584002</v>
      </c>
      <c r="C39" t="s">
        <v>151</v>
      </c>
    </row>
    <row r="40" spans="1:4" x14ac:dyDescent="0.25">
      <c r="A40" t="s">
        <v>152</v>
      </c>
      <c r="B40" s="12">
        <f>24267*0.3048^2</f>
        <v>2254.4780716800001</v>
      </c>
      <c r="C40" t="s">
        <v>151</v>
      </c>
    </row>
    <row r="41" spans="1:4" x14ac:dyDescent="0.25">
      <c r="A41" t="s">
        <v>153</v>
      </c>
      <c r="B41" s="18">
        <f>B40/B39</f>
        <v>0.6856399857486789</v>
      </c>
    </row>
    <row r="43" spans="1:4" x14ac:dyDescent="0.25">
      <c r="A43" s="11" t="s">
        <v>154</v>
      </c>
      <c r="B43" s="12">
        <f>11747*0.3048^2</f>
        <v>1091.3320108800001</v>
      </c>
      <c r="C43" t="s">
        <v>151</v>
      </c>
      <c r="D43" s="19">
        <f>B43/B46</f>
        <v>0.33190178848924928</v>
      </c>
    </row>
    <row r="44" spans="1:4" x14ac:dyDescent="0.25">
      <c r="A44" s="11" t="s">
        <v>155</v>
      </c>
      <c r="B44" s="12">
        <f>8089*0.3048^2</f>
        <v>751.49269056000003</v>
      </c>
      <c r="C44" t="s">
        <v>151</v>
      </c>
      <c r="D44" s="19">
        <f>B44/B46</f>
        <v>0.22854801796965502</v>
      </c>
    </row>
    <row r="45" spans="1:4" x14ac:dyDescent="0.25">
      <c r="A45" t="s">
        <v>156</v>
      </c>
      <c r="B45" s="12">
        <f>15557*0.3048^2</f>
        <v>1445.2925932800001</v>
      </c>
      <c r="C45" t="s">
        <v>151</v>
      </c>
      <c r="D45" s="19">
        <f>B45/B46</f>
        <v>0.4395501935410957</v>
      </c>
    </row>
    <row r="46" spans="1:4" x14ac:dyDescent="0.25">
      <c r="A46" t="s">
        <v>157</v>
      </c>
      <c r="B46" s="20">
        <f>B43+B44+B45</f>
        <v>3288.1172947200002</v>
      </c>
      <c r="C46" t="s">
        <v>151</v>
      </c>
    </row>
    <row r="49" spans="1:2" x14ac:dyDescent="0.25">
      <c r="A49" t="s">
        <v>158</v>
      </c>
      <c r="B49" s="21">
        <f>B43+B44</f>
        <v>1842.8247014400001</v>
      </c>
    </row>
    <row r="50" spans="1:2" x14ac:dyDescent="0.25">
      <c r="B50" s="22">
        <f>B49/B46</f>
        <v>0.5604498064589043</v>
      </c>
    </row>
    <row r="52" spans="1:2" x14ac:dyDescent="0.25">
      <c r="B52" s="21">
        <f>B43-1020.56</f>
        <v>70.772010880000153</v>
      </c>
    </row>
  </sheetData>
  <mergeCells count="1">
    <mergeCell ref="A1:H1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zoomScale="130" zoomScaleNormal="130" workbookViewId="0">
      <pane ySplit="3" topLeftCell="A4" activePane="bottomLeft" state="frozen"/>
      <selection pane="bottomLeft" activeCell="B15" activeCellId="1" sqref="R8 B15"/>
    </sheetView>
  </sheetViews>
  <sheetFormatPr baseColWidth="10" defaultColWidth="9.140625" defaultRowHeight="15" customHeight="1" x14ac:dyDescent="0.25"/>
  <cols>
    <col min="1" max="1" width="14" customWidth="1"/>
    <col min="2" max="2" width="18" customWidth="1"/>
    <col min="3" max="3" width="22" customWidth="1"/>
    <col min="4" max="4" width="20" customWidth="1"/>
    <col min="5" max="5" width="18" customWidth="1"/>
    <col min="6" max="6" width="50" customWidth="1"/>
  </cols>
  <sheetData>
    <row r="1" spans="1:6" x14ac:dyDescent="0.25">
      <c r="A1" s="8" t="s">
        <v>159</v>
      </c>
      <c r="B1" s="8"/>
      <c r="C1" s="8"/>
      <c r="D1" s="8"/>
      <c r="E1" s="8"/>
      <c r="F1" s="8"/>
    </row>
    <row r="3" spans="1:6" x14ac:dyDescent="0.25">
      <c r="A3" s="13" t="s">
        <v>160</v>
      </c>
      <c r="B3" s="13" t="s">
        <v>161</v>
      </c>
      <c r="C3" s="13" t="s">
        <v>162</v>
      </c>
      <c r="D3" s="13" t="s">
        <v>163</v>
      </c>
      <c r="E3" s="13" t="s">
        <v>164</v>
      </c>
      <c r="F3" s="13" t="s">
        <v>165</v>
      </c>
    </row>
    <row r="4" spans="1:6" x14ac:dyDescent="0.25">
      <c r="A4" s="14" t="s">
        <v>166</v>
      </c>
      <c r="B4" s="14" t="s">
        <v>167</v>
      </c>
      <c r="C4" s="23">
        <v>17.236999999999998</v>
      </c>
      <c r="D4" s="23">
        <f>Inputs!$B$19</f>
        <v>1.8</v>
      </c>
      <c r="E4" s="17">
        <f t="shared" ref="E4:E16" si="0">IF(OR(C4="",D4=""),"",C4-D4)</f>
        <v>15.436999999999998</v>
      </c>
      <c r="F4" s="14" t="s">
        <v>168</v>
      </c>
    </row>
    <row r="5" spans="1:6" x14ac:dyDescent="0.25">
      <c r="A5" s="14" t="s">
        <v>167</v>
      </c>
      <c r="B5" s="14" t="s">
        <v>169</v>
      </c>
      <c r="C5" s="23">
        <v>17.131</v>
      </c>
      <c r="D5" s="23">
        <f>Inputs!$B$19</f>
        <v>1.8</v>
      </c>
      <c r="E5" s="17">
        <f t="shared" si="0"/>
        <v>15.331</v>
      </c>
      <c r="F5" s="14" t="s">
        <v>170</v>
      </c>
    </row>
    <row r="6" spans="1:6" x14ac:dyDescent="0.25">
      <c r="A6" s="14" t="s">
        <v>169</v>
      </c>
      <c r="B6" s="14" t="s">
        <v>171</v>
      </c>
      <c r="C6" s="23">
        <v>17.010000000000002</v>
      </c>
      <c r="D6" s="23">
        <f>Inputs!$B$19</f>
        <v>1.8</v>
      </c>
      <c r="E6" s="17">
        <f t="shared" si="0"/>
        <v>15.21</v>
      </c>
      <c r="F6" s="14" t="s">
        <v>172</v>
      </c>
    </row>
    <row r="7" spans="1:6" x14ac:dyDescent="0.25">
      <c r="A7" s="24" t="s">
        <v>173</v>
      </c>
      <c r="B7" s="24" t="s">
        <v>174</v>
      </c>
      <c r="C7" s="25">
        <v>17.28</v>
      </c>
      <c r="D7" s="23">
        <f>Inputs!$B$19</f>
        <v>1.8</v>
      </c>
      <c r="E7" s="17">
        <f t="shared" si="0"/>
        <v>15.48</v>
      </c>
      <c r="F7" s="14" t="s">
        <v>175</v>
      </c>
    </row>
    <row r="8" spans="1:6" x14ac:dyDescent="0.25">
      <c r="A8" s="24" t="s">
        <v>174</v>
      </c>
      <c r="B8" s="24" t="s">
        <v>169</v>
      </c>
      <c r="C8" s="25">
        <v>17.05</v>
      </c>
      <c r="D8" s="23">
        <f>Inputs!$B$19</f>
        <v>1.8</v>
      </c>
      <c r="E8" s="17">
        <f t="shared" si="0"/>
        <v>15.25</v>
      </c>
      <c r="F8" s="14" t="s">
        <v>176</v>
      </c>
    </row>
    <row r="9" spans="1:6" x14ac:dyDescent="0.25">
      <c r="A9" s="26" t="s">
        <v>177</v>
      </c>
      <c r="B9" s="26" t="s">
        <v>173</v>
      </c>
      <c r="C9" s="23">
        <v>17.14</v>
      </c>
      <c r="D9" s="23">
        <f>Inputs!$B$19</f>
        <v>1.8</v>
      </c>
      <c r="E9" s="17">
        <f t="shared" si="0"/>
        <v>15.34</v>
      </c>
      <c r="F9" s="14" t="s">
        <v>178</v>
      </c>
    </row>
    <row r="10" spans="1:6" x14ac:dyDescent="0.25">
      <c r="A10" s="26" t="s">
        <v>179</v>
      </c>
      <c r="B10" s="26" t="s">
        <v>177</v>
      </c>
      <c r="C10" s="23">
        <v>17.09</v>
      </c>
      <c r="D10" s="23">
        <f>Inputs!$B$19</f>
        <v>1.8</v>
      </c>
      <c r="E10" s="17">
        <f t="shared" si="0"/>
        <v>15.29</v>
      </c>
      <c r="F10" s="14" t="s">
        <v>180</v>
      </c>
    </row>
    <row r="11" spans="1:6" x14ac:dyDescent="0.25">
      <c r="A11" s="27" t="s">
        <v>181</v>
      </c>
      <c r="B11" s="27" t="s">
        <v>174</v>
      </c>
      <c r="C11" s="28">
        <v>17.04</v>
      </c>
      <c r="D11" s="23">
        <f>Inputs!$B$19</f>
        <v>1.8</v>
      </c>
      <c r="E11" s="17">
        <f t="shared" si="0"/>
        <v>15.239999999999998</v>
      </c>
      <c r="F11" s="14" t="s">
        <v>182</v>
      </c>
    </row>
    <row r="12" spans="1:6" x14ac:dyDescent="0.25">
      <c r="A12" s="26" t="s">
        <v>183</v>
      </c>
      <c r="B12" s="26" t="s">
        <v>177</v>
      </c>
      <c r="C12" s="23">
        <v>17.62</v>
      </c>
      <c r="D12" s="23">
        <f>Inputs!$B$19</f>
        <v>1.8</v>
      </c>
      <c r="E12" s="17">
        <f t="shared" si="0"/>
        <v>15.82</v>
      </c>
      <c r="F12" s="14" t="s">
        <v>184</v>
      </c>
    </row>
    <row r="13" spans="1:6" x14ac:dyDescent="0.25">
      <c r="A13" s="14" t="s">
        <v>171</v>
      </c>
      <c r="B13" s="14" t="s">
        <v>185</v>
      </c>
      <c r="C13" s="23">
        <v>16.965</v>
      </c>
      <c r="D13" s="23">
        <f>Inputs!$B$19</f>
        <v>1.8</v>
      </c>
      <c r="E13" s="17">
        <f t="shared" si="0"/>
        <v>15.164999999999999</v>
      </c>
      <c r="F13" s="29" t="s">
        <v>186</v>
      </c>
    </row>
    <row r="14" spans="1:6" x14ac:dyDescent="0.25">
      <c r="A14" s="14" t="s">
        <v>185</v>
      </c>
      <c r="B14" s="14" t="s">
        <v>187</v>
      </c>
      <c r="C14" s="23">
        <v>16.873999999999999</v>
      </c>
      <c r="D14" s="23">
        <f>Inputs!$B$19</f>
        <v>1.8</v>
      </c>
      <c r="E14" s="17">
        <f t="shared" si="0"/>
        <v>15.073999999999998</v>
      </c>
      <c r="F14" s="14" t="s">
        <v>188</v>
      </c>
    </row>
    <row r="15" spans="1:6" x14ac:dyDescent="0.25">
      <c r="A15" s="29" t="s">
        <v>187</v>
      </c>
      <c r="B15" s="14" t="s">
        <v>189</v>
      </c>
      <c r="C15" s="23">
        <v>16.73</v>
      </c>
      <c r="D15" s="23">
        <f>Inputs!$B$19</f>
        <v>1.8</v>
      </c>
      <c r="E15" s="17">
        <f t="shared" si="0"/>
        <v>14.93</v>
      </c>
      <c r="F15" s="14" t="s">
        <v>190</v>
      </c>
    </row>
    <row r="16" spans="1:6" x14ac:dyDescent="0.25">
      <c r="A16" s="30" t="s">
        <v>191</v>
      </c>
      <c r="B16" s="30" t="s">
        <v>181</v>
      </c>
      <c r="C16" s="31">
        <v>17.010000000000002</v>
      </c>
      <c r="D16" s="23">
        <f>Inputs!$B$19</f>
        <v>1.8</v>
      </c>
      <c r="E16" s="17">
        <f t="shared" si="0"/>
        <v>15.21</v>
      </c>
      <c r="F16" s="29" t="s">
        <v>192</v>
      </c>
    </row>
    <row r="17" spans="7:8" x14ac:dyDescent="0.25">
      <c r="H17">
        <v>17.184999999999999</v>
      </c>
    </row>
    <row r="18" spans="7:8" x14ac:dyDescent="0.25">
      <c r="H18">
        <v>17.013999999999999</v>
      </c>
    </row>
    <row r="19" spans="7:8" x14ac:dyDescent="0.25">
      <c r="H19">
        <f>H17-H18</f>
        <v>0.17099999999999937</v>
      </c>
    </row>
    <row r="20" spans="7:8" x14ac:dyDescent="0.25">
      <c r="G20" t="s">
        <v>193</v>
      </c>
      <c r="H20">
        <v>22.39</v>
      </c>
    </row>
    <row r="21" spans="7:8" x14ac:dyDescent="0.25">
      <c r="H21">
        <f>H19/H20</f>
        <v>7.6373380973648666E-3</v>
      </c>
    </row>
    <row r="22" spans="7:8" x14ac:dyDescent="0.25">
      <c r="G22" t="s">
        <v>194</v>
      </c>
      <c r="H22">
        <v>7.0650000000000004</v>
      </c>
    </row>
    <row r="23" spans="7:8" x14ac:dyDescent="0.25">
      <c r="H23">
        <f>H17-H22*H21</f>
        <v>17.131042206342116</v>
      </c>
    </row>
    <row r="24" spans="7:8" x14ac:dyDescent="0.25">
      <c r="G24" t="s">
        <v>195</v>
      </c>
      <c r="H24">
        <v>6.92</v>
      </c>
    </row>
    <row r="25" spans="7:8" x14ac:dyDescent="0.25">
      <c r="H25">
        <f>H17+H21*H24</f>
        <v>17.237850379633763</v>
      </c>
    </row>
    <row r="27" spans="7:8" x14ac:dyDescent="0.25">
      <c r="H27">
        <v>17.2</v>
      </c>
    </row>
    <row r="28" spans="7:8" x14ac:dyDescent="0.25">
      <c r="H28">
        <v>17</v>
      </c>
    </row>
    <row r="29" spans="7:8" x14ac:dyDescent="0.25">
      <c r="H29">
        <f>H27-H28</f>
        <v>0.19999999999999929</v>
      </c>
    </row>
    <row r="30" spans="7:8" x14ac:dyDescent="0.25">
      <c r="G30" t="s">
        <v>193</v>
      </c>
      <c r="H30">
        <v>20</v>
      </c>
    </row>
    <row r="31" spans="7:8" x14ac:dyDescent="0.25">
      <c r="H31">
        <f>H29/H30</f>
        <v>9.9999999999999638E-3</v>
      </c>
    </row>
    <row r="32" spans="7:8" x14ac:dyDescent="0.25">
      <c r="G32" t="s">
        <v>194</v>
      </c>
      <c r="H32">
        <v>15.425000000000001</v>
      </c>
    </row>
    <row r="33" spans="7:8" x14ac:dyDescent="0.25">
      <c r="H33">
        <f>H27-H31*H32</f>
        <v>17.045749999999998</v>
      </c>
    </row>
    <row r="34" spans="7:8" x14ac:dyDescent="0.25">
      <c r="G34" t="s">
        <v>195</v>
      </c>
      <c r="H34">
        <v>8.2200000000000006</v>
      </c>
    </row>
    <row r="35" spans="7:8" x14ac:dyDescent="0.25">
      <c r="H35">
        <f>H27+H34*H31</f>
        <v>17.2822</v>
      </c>
    </row>
    <row r="37" spans="7:8" x14ac:dyDescent="0.25">
      <c r="H37">
        <v>17.103999999999999</v>
      </c>
    </row>
    <row r="38" spans="7:8" x14ac:dyDescent="0.25">
      <c r="H38">
        <v>17.021999999999998</v>
      </c>
    </row>
    <row r="39" spans="7:8" x14ac:dyDescent="0.25">
      <c r="H39">
        <f>H37-H38</f>
        <v>8.2000000000000739E-2</v>
      </c>
    </row>
    <row r="40" spans="7:8" x14ac:dyDescent="0.25">
      <c r="G40" t="s">
        <v>193</v>
      </c>
      <c r="H40">
        <v>15.83</v>
      </c>
    </row>
    <row r="41" spans="7:8" x14ac:dyDescent="0.25">
      <c r="H41">
        <f>H39/H40</f>
        <v>5.1800379027164079E-3</v>
      </c>
    </row>
    <row r="42" spans="7:8" x14ac:dyDescent="0.25">
      <c r="G42" t="s">
        <v>194</v>
      </c>
      <c r="H42">
        <v>2.62</v>
      </c>
    </row>
    <row r="43" spans="7:8" x14ac:dyDescent="0.25">
      <c r="H43">
        <f>H37-H42*H41</f>
        <v>17.090428300694882</v>
      </c>
    </row>
    <row r="44" spans="7:8" x14ac:dyDescent="0.25">
      <c r="G44" t="s">
        <v>195</v>
      </c>
      <c r="H44">
        <v>12.72</v>
      </c>
    </row>
    <row r="45" spans="7:8" x14ac:dyDescent="0.25">
      <c r="H45">
        <f>H37-H44*H41</f>
        <v>17.038109917877446</v>
      </c>
    </row>
    <row r="46" spans="7:8" x14ac:dyDescent="0.25">
      <c r="G46" t="s">
        <v>196</v>
      </c>
      <c r="H46">
        <v>9.86</v>
      </c>
    </row>
    <row r="47" spans="7:8" x14ac:dyDescent="0.25">
      <c r="H47">
        <f>H37+H41*H46</f>
        <v>17.155075173720782</v>
      </c>
    </row>
    <row r="49" spans="8:8" x14ac:dyDescent="0.25">
      <c r="H49">
        <v>17.684000000000001</v>
      </c>
    </row>
    <row r="50" spans="8:8" x14ac:dyDescent="0.25">
      <c r="H50">
        <v>10.59</v>
      </c>
    </row>
    <row r="51" spans="8:8" x14ac:dyDescent="0.25">
      <c r="H51">
        <v>6.0000000000000001E-3</v>
      </c>
    </row>
    <row r="52" spans="8:8" x14ac:dyDescent="0.25">
      <c r="H52">
        <f>H49-H50*H51</f>
        <v>17.620460000000001</v>
      </c>
    </row>
  </sheetData>
  <mergeCells count="1">
    <mergeCell ref="A1:F1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4"/>
  <sheetViews>
    <sheetView topLeftCell="Q1" zoomScale="130" zoomScaleNormal="130" workbookViewId="0">
      <pane ySplit="3" topLeftCell="A4" activePane="bottomLeft" state="frozen"/>
      <selection activeCell="Q1" sqref="Q1"/>
      <selection pane="bottomLeft" activeCell="P6" activeCellId="1" sqref="R8 P6"/>
    </sheetView>
  </sheetViews>
  <sheetFormatPr baseColWidth="10" defaultColWidth="9.140625" defaultRowHeight="15" customHeight="1" x14ac:dyDescent="0.25"/>
  <cols>
    <col min="1" max="1" width="12" customWidth="1"/>
    <col min="2" max="2" width="14" customWidth="1"/>
    <col min="3" max="3" width="16" customWidth="1"/>
    <col min="4" max="5" width="14" customWidth="1"/>
    <col min="6" max="6" width="22" customWidth="1"/>
    <col min="7" max="7" width="12" customWidth="1"/>
    <col min="8" max="8" width="17" customWidth="1"/>
    <col min="9" max="9" width="13" customWidth="1"/>
    <col min="10" max="10" width="14" customWidth="1"/>
    <col min="11" max="11" width="38" customWidth="1"/>
    <col min="12" max="12" width="16" customWidth="1"/>
    <col min="13" max="15" width="14" customWidth="1"/>
    <col min="16" max="16" width="18" customWidth="1"/>
  </cols>
  <sheetData>
    <row r="1" spans="1:16" x14ac:dyDescent="0.25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1" t="s">
        <v>198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x14ac:dyDescent="0.25">
      <c r="A3" s="32" t="s">
        <v>199</v>
      </c>
      <c r="B3" s="33" t="s">
        <v>200</v>
      </c>
      <c r="C3" s="34" t="s">
        <v>201</v>
      </c>
      <c r="D3" s="35" t="s">
        <v>202</v>
      </c>
      <c r="E3" s="36" t="s">
        <v>203</v>
      </c>
      <c r="F3" s="32" t="s">
        <v>204</v>
      </c>
      <c r="G3" s="32" t="s">
        <v>205</v>
      </c>
      <c r="H3" s="32" t="s">
        <v>206</v>
      </c>
      <c r="I3" s="32" t="s">
        <v>207</v>
      </c>
      <c r="J3" s="32" t="s">
        <v>208</v>
      </c>
      <c r="K3" s="32" t="s">
        <v>165</v>
      </c>
      <c r="L3" s="32" t="s">
        <v>209</v>
      </c>
      <c r="M3" s="32" t="s">
        <v>210</v>
      </c>
      <c r="N3" s="32" t="s">
        <v>211</v>
      </c>
      <c r="O3" s="32" t="s">
        <v>212</v>
      </c>
      <c r="P3" s="32" t="s">
        <v>213</v>
      </c>
    </row>
    <row r="4" spans="1:16" x14ac:dyDescent="0.25">
      <c r="A4" s="14" t="s">
        <v>214</v>
      </c>
      <c r="B4" s="37"/>
      <c r="C4" s="38">
        <v>61.9</v>
      </c>
      <c r="D4" s="17">
        <f>58.2+31.4</f>
        <v>89.6</v>
      </c>
      <c r="E4" s="39">
        <v>0</v>
      </c>
      <c r="F4" s="14" t="s">
        <v>215</v>
      </c>
      <c r="G4" s="17">
        <f t="shared" ref="G4:G67" si="0">IF(A4="","",SUM(B4:E4))</f>
        <v>151.5</v>
      </c>
      <c r="H4" s="17">
        <f>IF(A4="","",B4*Inputs!$B$25 + C4*Inputs!$B$26 + D4*Inputs!$B$27 + E4*Inputs!$B$28)</f>
        <v>78.11</v>
      </c>
      <c r="I4" s="17">
        <f t="shared" ref="I4:I67" si="1">IF(OR(G4="",G4=0),"",H4/G4)</f>
        <v>0.51557755775577563</v>
      </c>
      <c r="J4" s="14" t="s">
        <v>166</v>
      </c>
      <c r="K4" s="14" t="s">
        <v>216</v>
      </c>
      <c r="L4" s="17">
        <f t="shared" ref="L4:L18" si="2">IF(A4="","",B4+C4+E4)</f>
        <v>61.9</v>
      </c>
      <c r="M4" s="17">
        <f t="shared" ref="M4:M18" si="3">IF(A4="","",D4)</f>
        <v>89.6</v>
      </c>
      <c r="N4" s="17">
        <f t="shared" ref="N4:N67" si="4">IF(OR(G4="",G4=0),"",L4/G4)</f>
        <v>0.40858085808580857</v>
      </c>
      <c r="O4" s="14" t="str">
        <f t="shared" ref="O4:O18" si="5">IF(A4="","",IF(COUNT(B4:E4)=0,"MISSING",IF(MIN(B4:E4)&lt;0,"INVALID_NEG",IF(SUM(B4:E4)=0,"ZERO_TOTAL",IF(COUNTIF(B4:E4,MAX(B4:E4))&gt;1,"MIXED/TIE",IF(MAX(B4:E4)=B4,"ROOF",IF(MAX(B4:E4)=C4,"PAVEMENT",IF(MAX(B4:E4)=D4,"GRASS","OTHER"))))))))</f>
        <v>GRASS</v>
      </c>
      <c r="P4" s="14" t="str">
        <f t="shared" ref="P4:P67" si="6">IF(A4="","",IF(COUNT(B4:E4)=0,"MISSING_SPLIT",IF(MIN(B4:E4)&lt;0,"INVALID_NEGATIVE",IF(SUM(B4:E4)=0,"ZERO_TOTAL",IF(I4="","NO_WEIGHTED_C","OK")))))</f>
        <v>OK</v>
      </c>
    </row>
    <row r="5" spans="1:16" x14ac:dyDescent="0.25">
      <c r="A5" s="14" t="s">
        <v>217</v>
      </c>
      <c r="B5" s="37"/>
      <c r="C5" s="38">
        <v>79.8</v>
      </c>
      <c r="D5" s="17">
        <v>43</v>
      </c>
      <c r="E5" s="39">
        <v>0</v>
      </c>
      <c r="F5" s="14" t="s">
        <v>218</v>
      </c>
      <c r="G5" s="17">
        <f t="shared" si="0"/>
        <v>122.8</v>
      </c>
      <c r="H5" s="17">
        <f>IF(A5="","",B5*Inputs!$B$25 + C5*Inputs!$B$26 + D5*Inputs!$B$27 + E5*Inputs!$B$28)</f>
        <v>82.57</v>
      </c>
      <c r="I5" s="17">
        <f t="shared" si="1"/>
        <v>0.67239413680781757</v>
      </c>
      <c r="J5" s="14" t="s">
        <v>167</v>
      </c>
      <c r="K5" s="14" t="s">
        <v>216</v>
      </c>
      <c r="L5" s="17">
        <f t="shared" si="2"/>
        <v>79.8</v>
      </c>
      <c r="M5" s="17">
        <f t="shared" si="3"/>
        <v>43</v>
      </c>
      <c r="N5" s="17">
        <f t="shared" si="4"/>
        <v>0.64983713355048855</v>
      </c>
      <c r="O5" s="14" t="str">
        <f t="shared" si="5"/>
        <v>PAVEMENT</v>
      </c>
      <c r="P5" s="14" t="str">
        <f t="shared" si="6"/>
        <v>OK</v>
      </c>
    </row>
    <row r="6" spans="1:16" x14ac:dyDescent="0.25">
      <c r="A6" s="14" t="s">
        <v>219</v>
      </c>
      <c r="B6" s="37"/>
      <c r="C6" s="38">
        <v>87.8</v>
      </c>
      <c r="D6" s="17">
        <f>47.9+76</f>
        <v>123.9</v>
      </c>
      <c r="E6" s="39">
        <v>0</v>
      </c>
      <c r="F6" s="14" t="s">
        <v>218</v>
      </c>
      <c r="G6" s="17">
        <f t="shared" si="0"/>
        <v>211.7</v>
      </c>
      <c r="H6" s="17">
        <f>IF(A6="","",B6*Inputs!$B$25 + C6*Inputs!$B$26 + D6*Inputs!$B$27 + E6*Inputs!$B$28)</f>
        <v>109.995</v>
      </c>
      <c r="I6" s="17">
        <f t="shared" si="1"/>
        <v>0.51957959376476148</v>
      </c>
      <c r="J6" s="14" t="s">
        <v>169</v>
      </c>
      <c r="K6" s="14" t="s">
        <v>216</v>
      </c>
      <c r="L6" s="17">
        <f t="shared" si="2"/>
        <v>87.8</v>
      </c>
      <c r="M6" s="17">
        <f t="shared" si="3"/>
        <v>123.9</v>
      </c>
      <c r="N6" s="17">
        <f t="shared" si="4"/>
        <v>0.41473783656117147</v>
      </c>
      <c r="O6" s="14" t="str">
        <f t="shared" si="5"/>
        <v>GRASS</v>
      </c>
      <c r="P6" s="14" t="str">
        <f t="shared" si="6"/>
        <v>OK</v>
      </c>
    </row>
    <row r="7" spans="1:16" x14ac:dyDescent="0.25">
      <c r="A7" s="14" t="s">
        <v>220</v>
      </c>
      <c r="B7" s="37"/>
      <c r="C7" s="38">
        <v>43.2</v>
      </c>
      <c r="D7" s="17">
        <v>51.3</v>
      </c>
      <c r="E7" s="39">
        <v>0</v>
      </c>
      <c r="F7" s="14" t="s">
        <v>221</v>
      </c>
      <c r="G7" s="17">
        <f t="shared" si="0"/>
        <v>94.5</v>
      </c>
      <c r="H7" s="17">
        <f>IF(A7="","",B7*Inputs!$B$25 + C7*Inputs!$B$26 + D7*Inputs!$B$27 + E7*Inputs!$B$28)</f>
        <v>51.704999999999998</v>
      </c>
      <c r="I7" s="17">
        <f t="shared" si="1"/>
        <v>0.54714285714285715</v>
      </c>
      <c r="J7" s="14" t="s">
        <v>173</v>
      </c>
      <c r="K7" s="14" t="s">
        <v>216</v>
      </c>
      <c r="L7" s="17">
        <f t="shared" si="2"/>
        <v>43.2</v>
      </c>
      <c r="M7" s="17">
        <f t="shared" si="3"/>
        <v>51.3</v>
      </c>
      <c r="N7" s="17">
        <f t="shared" si="4"/>
        <v>0.45714285714285718</v>
      </c>
      <c r="O7" s="14" t="str">
        <f t="shared" si="5"/>
        <v>GRASS</v>
      </c>
      <c r="P7" s="14" t="str">
        <f t="shared" si="6"/>
        <v>OK</v>
      </c>
    </row>
    <row r="8" spans="1:16" x14ac:dyDescent="0.25">
      <c r="A8" s="14" t="s">
        <v>222</v>
      </c>
      <c r="B8" s="37"/>
      <c r="C8" s="38">
        <v>89.6</v>
      </c>
      <c r="D8" s="17">
        <v>16.2</v>
      </c>
      <c r="E8" s="39">
        <v>0</v>
      </c>
      <c r="F8" s="14" t="s">
        <v>215</v>
      </c>
      <c r="G8" s="17">
        <f t="shared" si="0"/>
        <v>105.8</v>
      </c>
      <c r="H8" s="17">
        <f>IF(A8="","",B8*Inputs!$B$25 + C8*Inputs!$B$26 + D8*Inputs!$B$27 + E8*Inputs!$B$28)</f>
        <v>84.69</v>
      </c>
      <c r="I8" s="17">
        <f t="shared" si="1"/>
        <v>0.80047258979206048</v>
      </c>
      <c r="J8" s="14" t="s">
        <v>223</v>
      </c>
      <c r="K8" s="14" t="s">
        <v>216</v>
      </c>
      <c r="L8" s="17">
        <f t="shared" si="2"/>
        <v>89.6</v>
      </c>
      <c r="M8" s="17">
        <f t="shared" si="3"/>
        <v>16.2</v>
      </c>
      <c r="N8" s="17">
        <f t="shared" si="4"/>
        <v>0.84688090737240074</v>
      </c>
      <c r="O8" s="14" t="str">
        <f t="shared" si="5"/>
        <v>PAVEMENT</v>
      </c>
      <c r="P8" s="14" t="str">
        <f t="shared" si="6"/>
        <v>OK</v>
      </c>
    </row>
    <row r="9" spans="1:16" x14ac:dyDescent="0.25">
      <c r="A9" s="14" t="s">
        <v>224</v>
      </c>
      <c r="B9" s="37"/>
      <c r="C9" s="38">
        <f>88.7+25.79</f>
        <v>114.49000000000001</v>
      </c>
      <c r="D9" s="17">
        <v>18.899999999999999</v>
      </c>
      <c r="E9" s="39">
        <v>0</v>
      </c>
      <c r="F9" s="14" t="s">
        <v>218</v>
      </c>
      <c r="G9" s="17">
        <f t="shared" si="0"/>
        <v>133.39000000000001</v>
      </c>
      <c r="H9" s="17">
        <f>IF(A9="","",B9*Inputs!$B$25 + C9*Inputs!$B$26 + D9*Inputs!$B$27 + E9*Inputs!$B$28)</f>
        <v>107.76600000000001</v>
      </c>
      <c r="I9" s="17">
        <f t="shared" si="1"/>
        <v>0.80790164180223401</v>
      </c>
      <c r="J9" s="14" t="s">
        <v>225</v>
      </c>
      <c r="K9" s="14" t="s">
        <v>216</v>
      </c>
      <c r="L9" s="17">
        <f t="shared" si="2"/>
        <v>114.49000000000001</v>
      </c>
      <c r="M9" s="17">
        <f t="shared" si="3"/>
        <v>18.899999999999999</v>
      </c>
      <c r="N9" s="17">
        <f t="shared" si="4"/>
        <v>0.85831021815728314</v>
      </c>
      <c r="O9" s="14" t="str">
        <f t="shared" si="5"/>
        <v>PAVEMENT</v>
      </c>
      <c r="P9" s="14" t="str">
        <f t="shared" si="6"/>
        <v>OK</v>
      </c>
    </row>
    <row r="10" spans="1:16" x14ac:dyDescent="0.25">
      <c r="A10" s="14" t="s">
        <v>226</v>
      </c>
      <c r="B10" s="37"/>
      <c r="C10" s="38">
        <v>98.7</v>
      </c>
      <c r="D10" s="17">
        <v>49.2</v>
      </c>
      <c r="E10" s="39">
        <v>0</v>
      </c>
      <c r="F10" s="14" t="s">
        <v>227</v>
      </c>
      <c r="G10" s="17">
        <f t="shared" si="0"/>
        <v>147.9</v>
      </c>
      <c r="H10" s="17">
        <f>IF(A10="","",B10*Inputs!$B$25 + C10*Inputs!$B$26 + D10*Inputs!$B$27 + E10*Inputs!$B$28)</f>
        <v>101.13</v>
      </c>
      <c r="I10" s="17">
        <f t="shared" si="1"/>
        <v>0.68377281947261659</v>
      </c>
      <c r="J10" s="14" t="s">
        <v>177</v>
      </c>
      <c r="K10" s="14" t="s">
        <v>228</v>
      </c>
      <c r="L10" s="17">
        <f t="shared" si="2"/>
        <v>98.7</v>
      </c>
      <c r="M10" s="17">
        <f t="shared" si="3"/>
        <v>49.2</v>
      </c>
      <c r="N10" s="17">
        <f t="shared" si="4"/>
        <v>0.66734279918864092</v>
      </c>
      <c r="O10" s="14" t="str">
        <f t="shared" si="5"/>
        <v>PAVEMENT</v>
      </c>
      <c r="P10" s="14" t="str">
        <f t="shared" si="6"/>
        <v>OK</v>
      </c>
    </row>
    <row r="11" spans="1:16" x14ac:dyDescent="0.25">
      <c r="A11" s="14" t="s">
        <v>229</v>
      </c>
      <c r="B11" s="37"/>
      <c r="C11" s="38">
        <v>58.2</v>
      </c>
      <c r="D11" s="17">
        <v>17.600000000000001</v>
      </c>
      <c r="E11" s="39">
        <v>0</v>
      </c>
      <c r="F11" s="14" t="s">
        <v>230</v>
      </c>
      <c r="G11" s="17">
        <f t="shared" si="0"/>
        <v>75.800000000000011</v>
      </c>
      <c r="H11" s="17">
        <f>IF(A11="","",B11*Inputs!$B$25 + C11*Inputs!$B$26 + D11*Inputs!$B$27 + E11*Inputs!$B$28)</f>
        <v>56.78</v>
      </c>
      <c r="I11" s="17">
        <f t="shared" si="1"/>
        <v>0.74907651715039569</v>
      </c>
      <c r="J11" s="14" t="s">
        <v>179</v>
      </c>
      <c r="K11" s="14" t="s">
        <v>216</v>
      </c>
      <c r="L11" s="17">
        <f t="shared" si="2"/>
        <v>58.2</v>
      </c>
      <c r="M11" s="17">
        <f t="shared" si="3"/>
        <v>17.600000000000001</v>
      </c>
      <c r="N11" s="17">
        <f t="shared" si="4"/>
        <v>0.76781002638522422</v>
      </c>
      <c r="O11" s="14" t="str">
        <f t="shared" si="5"/>
        <v>PAVEMENT</v>
      </c>
      <c r="P11" s="14" t="str">
        <f t="shared" si="6"/>
        <v>OK</v>
      </c>
    </row>
    <row r="12" spans="1:16" x14ac:dyDescent="0.25">
      <c r="A12" s="14" t="s">
        <v>231</v>
      </c>
      <c r="B12" s="37"/>
      <c r="C12" s="38">
        <f>109.5+10.51</f>
        <v>120.01</v>
      </c>
      <c r="D12" s="17">
        <v>16.2</v>
      </c>
      <c r="E12" s="39">
        <v>0</v>
      </c>
      <c r="F12" s="14" t="s">
        <v>230</v>
      </c>
      <c r="G12" s="17">
        <f t="shared" si="0"/>
        <v>136.21</v>
      </c>
      <c r="H12" s="17">
        <f>IF(A12="","",B12*Inputs!$B$25 + C12*Inputs!$B$26 + D12*Inputs!$B$27 + E12*Inputs!$B$28)</f>
        <v>112.059</v>
      </c>
      <c r="I12" s="17">
        <f t="shared" si="1"/>
        <v>0.82269290066808598</v>
      </c>
      <c r="J12" s="14" t="s">
        <v>181</v>
      </c>
      <c r="K12" s="14" t="s">
        <v>216</v>
      </c>
      <c r="L12" s="17">
        <f t="shared" si="2"/>
        <v>120.01</v>
      </c>
      <c r="M12" s="17">
        <f t="shared" si="3"/>
        <v>16.2</v>
      </c>
      <c r="N12" s="17">
        <f t="shared" si="4"/>
        <v>0.88106600102782462</v>
      </c>
      <c r="O12" s="14" t="str">
        <f t="shared" si="5"/>
        <v>PAVEMENT</v>
      </c>
      <c r="P12" s="14" t="str">
        <f t="shared" si="6"/>
        <v>OK</v>
      </c>
    </row>
    <row r="13" spans="1:16" x14ac:dyDescent="0.25">
      <c r="A13" s="14" t="s">
        <v>232</v>
      </c>
      <c r="B13" s="37"/>
      <c r="C13" s="38">
        <v>67.7</v>
      </c>
      <c r="D13" s="17">
        <v>81.400000000000006</v>
      </c>
      <c r="E13" s="39">
        <v>0</v>
      </c>
      <c r="F13" s="14" t="s">
        <v>233</v>
      </c>
      <c r="G13" s="17">
        <f t="shared" si="0"/>
        <v>149.10000000000002</v>
      </c>
      <c r="H13" s="17">
        <f>IF(A13="","",B13*Inputs!$B$25 + C13*Inputs!$B$26 + D13*Inputs!$B$27 + E13*Inputs!$B$28)</f>
        <v>81.28</v>
      </c>
      <c r="I13" s="17">
        <f t="shared" si="1"/>
        <v>0.54513749161636482</v>
      </c>
      <c r="J13" s="14" t="s">
        <v>183</v>
      </c>
      <c r="K13" s="14" t="s">
        <v>228</v>
      </c>
      <c r="L13" s="17">
        <f t="shared" si="2"/>
        <v>67.7</v>
      </c>
      <c r="M13" s="17">
        <f t="shared" si="3"/>
        <v>81.400000000000006</v>
      </c>
      <c r="N13" s="17">
        <f t="shared" si="4"/>
        <v>0.45405767940979203</v>
      </c>
      <c r="O13" s="14" t="str">
        <f t="shared" si="5"/>
        <v>GRASS</v>
      </c>
      <c r="P13" s="14" t="str">
        <f t="shared" si="6"/>
        <v>OK</v>
      </c>
    </row>
    <row r="14" spans="1:16" x14ac:dyDescent="0.25">
      <c r="A14" s="14" t="s">
        <v>234</v>
      </c>
      <c r="B14" s="37"/>
      <c r="C14" s="38">
        <v>48.8</v>
      </c>
      <c r="D14" s="17">
        <v>58.4</v>
      </c>
      <c r="E14" s="39">
        <v>0</v>
      </c>
      <c r="F14" s="14" t="s">
        <v>230</v>
      </c>
      <c r="G14" s="17">
        <f t="shared" si="0"/>
        <v>107.19999999999999</v>
      </c>
      <c r="H14" s="17">
        <f>IF(A14="","",B14*Inputs!$B$25 + C14*Inputs!$B$26 + D14*Inputs!$B$27 + E14*Inputs!$B$28)</f>
        <v>58.52</v>
      </c>
      <c r="I14" s="17">
        <f t="shared" si="1"/>
        <v>0.54589552238805983</v>
      </c>
      <c r="J14" s="14" t="s">
        <v>235</v>
      </c>
      <c r="K14" s="14" t="s">
        <v>228</v>
      </c>
      <c r="L14" s="17">
        <f t="shared" si="2"/>
        <v>48.8</v>
      </c>
      <c r="M14" s="17">
        <f t="shared" si="3"/>
        <v>58.4</v>
      </c>
      <c r="N14" s="17">
        <f t="shared" si="4"/>
        <v>0.45522388059701496</v>
      </c>
      <c r="O14" s="14" t="str">
        <f t="shared" si="5"/>
        <v>GRASS</v>
      </c>
      <c r="P14" s="14" t="str">
        <f t="shared" si="6"/>
        <v>OK</v>
      </c>
    </row>
    <row r="15" spans="1:16" x14ac:dyDescent="0.25">
      <c r="A15" s="14" t="s">
        <v>236</v>
      </c>
      <c r="B15" s="37"/>
      <c r="C15" s="38">
        <f>95.5+10.13+17.51</f>
        <v>123.14</v>
      </c>
      <c r="D15" s="17">
        <v>0</v>
      </c>
      <c r="E15" s="39">
        <v>0</v>
      </c>
      <c r="F15" s="14" t="s">
        <v>230</v>
      </c>
      <c r="G15" s="17">
        <f t="shared" si="0"/>
        <v>123.14</v>
      </c>
      <c r="H15" s="17">
        <f>IF(A15="","",B15*Inputs!$B$25 + C15*Inputs!$B$26 + D15*Inputs!$B$27 + E15*Inputs!$B$28)</f>
        <v>110.82600000000001</v>
      </c>
      <c r="I15" s="17">
        <f t="shared" si="1"/>
        <v>0.9</v>
      </c>
      <c r="J15" s="14" t="s">
        <v>181</v>
      </c>
      <c r="K15" s="14" t="s">
        <v>216</v>
      </c>
      <c r="L15" s="17">
        <f t="shared" si="2"/>
        <v>123.14</v>
      </c>
      <c r="M15" s="17">
        <f t="shared" si="3"/>
        <v>0</v>
      </c>
      <c r="N15" s="17">
        <f t="shared" si="4"/>
        <v>1</v>
      </c>
      <c r="O15" s="14" t="str">
        <f t="shared" si="5"/>
        <v>PAVEMENT</v>
      </c>
      <c r="P15" s="14" t="str">
        <f t="shared" si="6"/>
        <v>OK</v>
      </c>
    </row>
    <row r="16" spans="1:16" x14ac:dyDescent="0.25">
      <c r="A16" s="14" t="s">
        <v>237</v>
      </c>
      <c r="B16" s="37"/>
      <c r="C16" s="38">
        <v>52.4</v>
      </c>
      <c r="D16" s="17">
        <f>66.5+178.75</f>
        <v>245.25</v>
      </c>
      <c r="E16" s="39">
        <v>0</v>
      </c>
      <c r="F16" s="14" t="s">
        <v>233</v>
      </c>
      <c r="G16" s="17">
        <f t="shared" si="0"/>
        <v>297.64999999999998</v>
      </c>
      <c r="H16" s="17">
        <f>IF(A16="","",B16*Inputs!$B$25 + C16*Inputs!$B$26 + D16*Inputs!$B$27 + E16*Inputs!$B$28)</f>
        <v>108.4725</v>
      </c>
      <c r="I16" s="17">
        <f t="shared" si="1"/>
        <v>0.36442969931127167</v>
      </c>
      <c r="J16" s="14" t="s">
        <v>183</v>
      </c>
      <c r="K16" s="14" t="s">
        <v>216</v>
      </c>
      <c r="L16" s="17">
        <f t="shared" si="2"/>
        <v>52.4</v>
      </c>
      <c r="M16" s="17">
        <f t="shared" si="3"/>
        <v>245.25</v>
      </c>
      <c r="N16" s="17">
        <f t="shared" si="4"/>
        <v>0.1760456912481102</v>
      </c>
      <c r="O16" s="14" t="str">
        <f t="shared" si="5"/>
        <v>GRASS</v>
      </c>
      <c r="P16" s="14" t="str">
        <f t="shared" si="6"/>
        <v>OK</v>
      </c>
    </row>
    <row r="17" spans="1:16" x14ac:dyDescent="0.25">
      <c r="A17" s="14" t="s">
        <v>238</v>
      </c>
      <c r="B17" s="37">
        <v>903</v>
      </c>
      <c r="C17" s="38">
        <v>0</v>
      </c>
      <c r="D17" s="17">
        <v>0</v>
      </c>
      <c r="E17" s="39">
        <v>0</v>
      </c>
      <c r="F17" s="14" t="s">
        <v>239</v>
      </c>
      <c r="G17" s="17">
        <f t="shared" si="0"/>
        <v>903</v>
      </c>
      <c r="H17" s="17">
        <f>IF(A17="","",B17*Inputs!$B$25 + C17*Inputs!$B$26 + D17*Inputs!$B$27 + E17*Inputs!$B$28)</f>
        <v>857.84999999999991</v>
      </c>
      <c r="I17" s="17">
        <f t="shared" si="1"/>
        <v>0.94999999999999984</v>
      </c>
      <c r="J17" s="14" t="s">
        <v>191</v>
      </c>
      <c r="K17" s="40" t="s">
        <v>216</v>
      </c>
      <c r="L17" s="17">
        <f t="shared" si="2"/>
        <v>903</v>
      </c>
      <c r="M17" s="17">
        <f t="shared" si="3"/>
        <v>0</v>
      </c>
      <c r="N17" s="17">
        <f t="shared" si="4"/>
        <v>1</v>
      </c>
      <c r="O17" s="14" t="str">
        <f t="shared" si="5"/>
        <v>ROOF</v>
      </c>
      <c r="P17" s="14" t="str">
        <f t="shared" si="6"/>
        <v>OK</v>
      </c>
    </row>
    <row r="18" spans="1:16" x14ac:dyDescent="0.25">
      <c r="A18" s="14" t="s">
        <v>240</v>
      </c>
      <c r="B18" s="37"/>
      <c r="C18" s="38">
        <f>33.2+17.46+14.14</f>
        <v>64.800000000000011</v>
      </c>
      <c r="D18" s="17">
        <f>191.8+35.46+178.75+26.8</f>
        <v>432.81</v>
      </c>
      <c r="E18" s="39">
        <v>0</v>
      </c>
      <c r="F18" s="14" t="s">
        <v>241</v>
      </c>
      <c r="G18" s="17">
        <f t="shared" si="0"/>
        <v>497.61</v>
      </c>
      <c r="H18" s="17">
        <f>IF(A18="","",B18*Inputs!$B$25 + C18*Inputs!$B$26 + D18*Inputs!$B$27 + E18*Inputs!$B$28)</f>
        <v>166.52250000000001</v>
      </c>
      <c r="I18" s="17">
        <f t="shared" si="1"/>
        <v>0.33464460119370593</v>
      </c>
      <c r="J18" s="14" t="s">
        <v>242</v>
      </c>
      <c r="K18" s="14" t="s">
        <v>216</v>
      </c>
      <c r="L18" s="17">
        <f t="shared" si="2"/>
        <v>64.800000000000011</v>
      </c>
      <c r="M18" s="17">
        <f t="shared" si="3"/>
        <v>432.81</v>
      </c>
      <c r="N18" s="17">
        <f t="shared" si="4"/>
        <v>0.13022246337493221</v>
      </c>
      <c r="O18" s="14" t="str">
        <f t="shared" si="5"/>
        <v>GRASS</v>
      </c>
      <c r="P18" s="14" t="str">
        <f t="shared" si="6"/>
        <v>OK</v>
      </c>
    </row>
    <row r="19" spans="1:16" x14ac:dyDescent="0.25">
      <c r="A19" s="14"/>
      <c r="B19" s="37"/>
      <c r="C19" s="38"/>
      <c r="D19" s="17"/>
      <c r="E19" s="39"/>
      <c r="F19" s="14"/>
      <c r="G19" s="17" t="str">
        <f t="shared" si="0"/>
        <v/>
      </c>
      <c r="H19" s="17" t="str">
        <f>IF(A19="","",B20*Inputs!$B$25 + C20*Inputs!$B$26 + D20*Inputs!$B$27 + E19*Inputs!$B$28)</f>
        <v/>
      </c>
      <c r="I19" s="17" t="str">
        <f t="shared" si="1"/>
        <v/>
      </c>
      <c r="J19" s="14"/>
      <c r="K19" s="14"/>
      <c r="L19" s="17" t="str">
        <f>IF(A19="","",B20+C20+E19)</f>
        <v/>
      </c>
      <c r="M19" s="17" t="str">
        <f>IF(A19="","",D20)</f>
        <v/>
      </c>
      <c r="N19" s="17" t="str">
        <f t="shared" si="4"/>
        <v/>
      </c>
      <c r="O19" s="14" t="str">
        <f>IF(A19="","",IF(COUNT(B19:E19)=0,"MISSING",IF(MIN(B19:E19)&lt;0,"INVALID_NEG",IF(SUM(B19:E19)=0,"ZERO_TOTAL",IF(COUNTIF(B19:E19,MAX(B19:E19))&gt;1,"MIXED/TIE",IF(MAX(B19:E19)=B20,"ROOF",IF(MAX(B19:E19)=C20,"PAVEMENT",IF(MAX(B19:E19)=D20,"GRASS","OTHER"))))))))</f>
        <v/>
      </c>
      <c r="P19" s="14" t="str">
        <f t="shared" si="6"/>
        <v/>
      </c>
    </row>
    <row r="20" spans="1:16" x14ac:dyDescent="0.25">
      <c r="A20" s="14"/>
      <c r="B20" s="38">
        <f>SUM(B4:B18)</f>
        <v>903</v>
      </c>
      <c r="C20" s="38">
        <f>SUM(C4:C18)</f>
        <v>1110.54</v>
      </c>
      <c r="D20" s="17">
        <f>SUM(D4:D18)</f>
        <v>1243.76</v>
      </c>
      <c r="E20" s="39"/>
      <c r="F20" s="14"/>
      <c r="G20" s="17" t="str">
        <f t="shared" si="0"/>
        <v/>
      </c>
      <c r="H20" s="17" t="str">
        <f>IF(A20="","",B20*Inputs!$B$25 + C20*Inputs!$B$26 + D20*Inputs!$B$27 + E20*Inputs!$B$28)</f>
        <v/>
      </c>
      <c r="I20" s="17" t="str">
        <f t="shared" si="1"/>
        <v/>
      </c>
      <c r="J20" s="14"/>
      <c r="K20" s="14"/>
      <c r="L20" s="17" t="str">
        <f t="shared" ref="L20:L51" si="7">IF(A20="","",B20+C20+E20)</f>
        <v/>
      </c>
      <c r="M20" s="17" t="str">
        <f t="shared" ref="M20:M51" si="8">IF(A20="","",D20)</f>
        <v/>
      </c>
      <c r="N20" s="17" t="str">
        <f t="shared" si="4"/>
        <v/>
      </c>
      <c r="O20" s="14" t="str">
        <f t="shared" ref="O20:O51" si="9">IF(A20="","",IF(COUNT(B20:E20)=0,"MISSING",IF(MIN(B20:E20)&lt;0,"INVALID_NEG",IF(SUM(B20:E20)=0,"ZERO_TOTAL",IF(COUNTIF(B20:E20,MAX(B20:E20))&gt;1,"MIXED/TIE",IF(MAX(B20:E20)=B20,"ROOF",IF(MAX(B20:E20)=C20,"PAVEMENT",IF(MAX(B20:E20)=D20,"GRASS","OTHER"))))))))</f>
        <v/>
      </c>
      <c r="P20" s="14" t="str">
        <f t="shared" si="6"/>
        <v/>
      </c>
    </row>
    <row r="21" spans="1:16" x14ac:dyDescent="0.25">
      <c r="A21" s="14"/>
      <c r="B21" s="37"/>
      <c r="C21" s="38">
        <f>35393.21*0.3048^2</f>
        <v>3288.1368043584002</v>
      </c>
      <c r="D21" s="17"/>
      <c r="E21" s="39"/>
      <c r="F21" s="14"/>
      <c r="G21" s="17" t="str">
        <f t="shared" si="0"/>
        <v/>
      </c>
      <c r="H21" s="17" t="str">
        <f>IF(A21="","",B21*Inputs!$B$25 + C21*Inputs!$B$26 + D21*Inputs!$B$27 + E21*Inputs!$B$28)</f>
        <v/>
      </c>
      <c r="I21" s="17" t="str">
        <f t="shared" si="1"/>
        <v/>
      </c>
      <c r="J21" s="14"/>
      <c r="K21" s="14"/>
      <c r="L21" s="17" t="str">
        <f t="shared" si="7"/>
        <v/>
      </c>
      <c r="M21" s="17" t="str">
        <f t="shared" si="8"/>
        <v/>
      </c>
      <c r="N21" s="17" t="str">
        <f t="shared" si="4"/>
        <v/>
      </c>
      <c r="O21" s="14" t="str">
        <f t="shared" si="9"/>
        <v/>
      </c>
      <c r="P21" s="14" t="str">
        <f t="shared" si="6"/>
        <v/>
      </c>
    </row>
    <row r="22" spans="1:16" x14ac:dyDescent="0.25">
      <c r="A22" s="14"/>
      <c r="B22" s="37"/>
      <c r="C22" s="38">
        <f>8089*0.3048^2</f>
        <v>751.49269056000003</v>
      </c>
      <c r="D22" s="17"/>
      <c r="E22" s="39"/>
      <c r="F22" s="14"/>
      <c r="G22" s="17" t="str">
        <f t="shared" si="0"/>
        <v/>
      </c>
      <c r="H22" s="17" t="str">
        <f>IF(A22="","",B22*Inputs!$B$25 + C22*Inputs!$B$26 + D22*Inputs!$B$27 + E22*Inputs!$B$28)</f>
        <v/>
      </c>
      <c r="I22" s="17" t="str">
        <f t="shared" si="1"/>
        <v/>
      </c>
      <c r="J22" s="14"/>
      <c r="K22" s="14"/>
      <c r="L22" s="17" t="str">
        <f t="shared" si="7"/>
        <v/>
      </c>
      <c r="M22" s="17" t="str">
        <f t="shared" si="8"/>
        <v/>
      </c>
      <c r="N22" s="17" t="str">
        <f t="shared" si="4"/>
        <v/>
      </c>
      <c r="O22" s="14" t="str">
        <f t="shared" si="9"/>
        <v/>
      </c>
      <c r="P22" s="14" t="str">
        <f t="shared" si="6"/>
        <v/>
      </c>
    </row>
    <row r="23" spans="1:16" x14ac:dyDescent="0.25">
      <c r="A23" s="14"/>
      <c r="B23" s="37"/>
      <c r="C23" s="38">
        <f>C20+D20+B20</f>
        <v>3257.3</v>
      </c>
      <c r="D23" s="17"/>
      <c r="E23" s="39"/>
      <c r="F23" s="14"/>
      <c r="G23" s="17" t="str">
        <f t="shared" si="0"/>
        <v/>
      </c>
      <c r="H23" s="17" t="str">
        <f>IF(A23="","",B23*Inputs!$B$25 + C23*Inputs!$B$26 + D23*Inputs!$B$27 + E23*Inputs!$B$28)</f>
        <v/>
      </c>
      <c r="I23" s="17" t="str">
        <f t="shared" si="1"/>
        <v/>
      </c>
      <c r="J23" s="14"/>
      <c r="K23" s="14"/>
      <c r="L23" s="17" t="str">
        <f t="shared" si="7"/>
        <v/>
      </c>
      <c r="M23" s="17" t="str">
        <f t="shared" si="8"/>
        <v/>
      </c>
      <c r="N23" s="17" t="str">
        <f t="shared" si="4"/>
        <v/>
      </c>
      <c r="O23" s="14" t="str">
        <f t="shared" si="9"/>
        <v/>
      </c>
      <c r="P23" s="14" t="str">
        <f t="shared" si="6"/>
        <v/>
      </c>
    </row>
    <row r="24" spans="1:16" x14ac:dyDescent="0.25">
      <c r="A24" s="14"/>
      <c r="B24" s="37"/>
      <c r="C24" s="38">
        <f>C21-C23</f>
        <v>30.836804358400059</v>
      </c>
      <c r="D24" s="17"/>
      <c r="E24" s="39"/>
      <c r="F24" s="14"/>
      <c r="G24" s="17" t="str">
        <f t="shared" si="0"/>
        <v/>
      </c>
      <c r="H24" s="17" t="str">
        <f>IF(A24="","",B24*Inputs!$B$25 + C24*Inputs!$B$26 + D24*Inputs!$B$27 + E24*Inputs!$B$28)</f>
        <v/>
      </c>
      <c r="I24" s="17" t="str">
        <f t="shared" si="1"/>
        <v/>
      </c>
      <c r="J24" s="14"/>
      <c r="K24" s="14"/>
      <c r="L24" s="17" t="str">
        <f t="shared" si="7"/>
        <v/>
      </c>
      <c r="M24" s="17" t="str">
        <f t="shared" si="8"/>
        <v/>
      </c>
      <c r="N24" s="17" t="str">
        <f t="shared" si="4"/>
        <v/>
      </c>
      <c r="O24" s="14" t="str">
        <f t="shared" si="9"/>
        <v/>
      </c>
      <c r="P24" s="14" t="str">
        <f t="shared" si="6"/>
        <v/>
      </c>
    </row>
    <row r="25" spans="1:16" x14ac:dyDescent="0.25">
      <c r="A25" s="14"/>
      <c r="B25" s="37"/>
      <c r="C25" s="38"/>
      <c r="D25" s="17"/>
      <c r="E25" s="39"/>
      <c r="F25" s="14"/>
      <c r="G25" s="17" t="str">
        <f t="shared" si="0"/>
        <v/>
      </c>
      <c r="H25" s="17" t="str">
        <f>IF(A25="","",B25*Inputs!$B$25 + C25*Inputs!$B$26 + D25*Inputs!$B$27 + E25*Inputs!$B$28)</f>
        <v/>
      </c>
      <c r="I25" s="17" t="str">
        <f t="shared" si="1"/>
        <v/>
      </c>
      <c r="J25" s="14"/>
      <c r="K25" s="14"/>
      <c r="L25" s="17" t="str">
        <f t="shared" si="7"/>
        <v/>
      </c>
      <c r="M25" s="17" t="str">
        <f t="shared" si="8"/>
        <v/>
      </c>
      <c r="N25" s="17" t="str">
        <f t="shared" si="4"/>
        <v/>
      </c>
      <c r="O25" s="14" t="str">
        <f t="shared" si="9"/>
        <v/>
      </c>
      <c r="P25" s="14" t="str">
        <f t="shared" si="6"/>
        <v/>
      </c>
    </row>
    <row r="26" spans="1:16" x14ac:dyDescent="0.25">
      <c r="A26" s="14"/>
      <c r="B26" s="37"/>
      <c r="C26" s="38"/>
      <c r="D26" s="17"/>
      <c r="E26" s="39"/>
      <c r="F26" s="14"/>
      <c r="G26" s="17" t="str">
        <f t="shared" si="0"/>
        <v/>
      </c>
      <c r="H26" s="17" t="str">
        <f>IF(A26="","",B26*Inputs!$B$25 + C26*Inputs!$B$26 + D26*Inputs!$B$27 + E26*Inputs!$B$28)</f>
        <v/>
      </c>
      <c r="I26" s="17" t="str">
        <f t="shared" si="1"/>
        <v/>
      </c>
      <c r="J26" s="14"/>
      <c r="K26" s="14"/>
      <c r="L26" s="17" t="str">
        <f t="shared" si="7"/>
        <v/>
      </c>
      <c r="M26" s="17" t="str">
        <f t="shared" si="8"/>
        <v/>
      </c>
      <c r="N26" s="17" t="str">
        <f t="shared" si="4"/>
        <v/>
      </c>
      <c r="O26" s="14" t="str">
        <f t="shared" si="9"/>
        <v/>
      </c>
      <c r="P26" s="14" t="str">
        <f t="shared" si="6"/>
        <v/>
      </c>
    </row>
    <row r="27" spans="1:16" x14ac:dyDescent="0.25">
      <c r="A27" s="14"/>
      <c r="B27" s="37"/>
      <c r="C27" s="38"/>
      <c r="D27" s="17"/>
      <c r="E27" s="39"/>
      <c r="F27" s="14"/>
      <c r="G27" s="17" t="str">
        <f t="shared" si="0"/>
        <v/>
      </c>
      <c r="H27" s="17" t="str">
        <f>IF(A27="","",B27*Inputs!$B$25 + C27*Inputs!$B$26 + D27*Inputs!$B$27 + E27*Inputs!$B$28)</f>
        <v/>
      </c>
      <c r="I27" s="17" t="str">
        <f t="shared" si="1"/>
        <v/>
      </c>
      <c r="J27" s="14"/>
      <c r="K27" s="14"/>
      <c r="L27" s="17" t="str">
        <f t="shared" si="7"/>
        <v/>
      </c>
      <c r="M27" s="17" t="str">
        <f t="shared" si="8"/>
        <v/>
      </c>
      <c r="N27" s="17" t="str">
        <f t="shared" si="4"/>
        <v/>
      </c>
      <c r="O27" s="14" t="str">
        <f t="shared" si="9"/>
        <v/>
      </c>
      <c r="P27" s="14" t="str">
        <f t="shared" si="6"/>
        <v/>
      </c>
    </row>
    <row r="28" spans="1:16" x14ac:dyDescent="0.25">
      <c r="A28" s="14"/>
      <c r="B28" s="37"/>
      <c r="C28" s="38"/>
      <c r="D28" s="17"/>
      <c r="E28" s="39"/>
      <c r="F28" s="14"/>
      <c r="G28" s="17" t="str">
        <f t="shared" si="0"/>
        <v/>
      </c>
      <c r="H28" s="17" t="str">
        <f>IF(A28="","",B28*Inputs!$B$25 + C28*Inputs!$B$26 + D28*Inputs!$B$27 + E28*Inputs!$B$28)</f>
        <v/>
      </c>
      <c r="I28" s="17" t="str">
        <f t="shared" si="1"/>
        <v/>
      </c>
      <c r="J28" s="14"/>
      <c r="K28" s="14"/>
      <c r="L28" s="17" t="str">
        <f t="shared" si="7"/>
        <v/>
      </c>
      <c r="M28" s="17" t="str">
        <f t="shared" si="8"/>
        <v/>
      </c>
      <c r="N28" s="17" t="str">
        <f t="shared" si="4"/>
        <v/>
      </c>
      <c r="O28" s="14" t="str">
        <f t="shared" si="9"/>
        <v/>
      </c>
      <c r="P28" s="14" t="str">
        <f t="shared" si="6"/>
        <v/>
      </c>
    </row>
    <row r="29" spans="1:16" x14ac:dyDescent="0.25">
      <c r="A29" s="14"/>
      <c r="B29" s="37"/>
      <c r="C29" s="38"/>
      <c r="D29" s="17"/>
      <c r="E29" s="39"/>
      <c r="F29" s="14"/>
      <c r="G29" s="17" t="str">
        <f t="shared" si="0"/>
        <v/>
      </c>
      <c r="H29" s="17" t="str">
        <f>IF(A29="","",B29*Inputs!$B$25 + C29*Inputs!$B$26 + D29*Inputs!$B$27 + E29*Inputs!$B$28)</f>
        <v/>
      </c>
      <c r="I29" s="17" t="str">
        <f t="shared" si="1"/>
        <v/>
      </c>
      <c r="J29" s="14"/>
      <c r="K29" s="14"/>
      <c r="L29" s="17" t="str">
        <f t="shared" si="7"/>
        <v/>
      </c>
      <c r="M29" s="17" t="str">
        <f t="shared" si="8"/>
        <v/>
      </c>
      <c r="N29" s="17" t="str">
        <f t="shared" si="4"/>
        <v/>
      </c>
      <c r="O29" s="14" t="str">
        <f t="shared" si="9"/>
        <v/>
      </c>
      <c r="P29" s="14" t="str">
        <f t="shared" si="6"/>
        <v/>
      </c>
    </row>
    <row r="30" spans="1:16" x14ac:dyDescent="0.25">
      <c r="A30" s="14"/>
      <c r="B30" s="37"/>
      <c r="C30" s="38"/>
      <c r="D30" s="17"/>
      <c r="E30" s="39"/>
      <c r="F30" s="14"/>
      <c r="G30" s="17" t="str">
        <f t="shared" si="0"/>
        <v/>
      </c>
      <c r="H30" s="17" t="str">
        <f>IF(A30="","",B30*Inputs!$B$25 + C30*Inputs!$B$26 + D30*Inputs!$B$27 + E30*Inputs!$B$28)</f>
        <v/>
      </c>
      <c r="I30" s="17" t="str">
        <f t="shared" si="1"/>
        <v/>
      </c>
      <c r="J30" s="14"/>
      <c r="K30" s="14"/>
      <c r="L30" s="17" t="str">
        <f t="shared" si="7"/>
        <v/>
      </c>
      <c r="M30" s="17" t="str">
        <f t="shared" si="8"/>
        <v/>
      </c>
      <c r="N30" s="17" t="str">
        <f t="shared" si="4"/>
        <v/>
      </c>
      <c r="O30" s="14" t="str">
        <f t="shared" si="9"/>
        <v/>
      </c>
      <c r="P30" s="14" t="str">
        <f t="shared" si="6"/>
        <v/>
      </c>
    </row>
    <row r="31" spans="1:16" x14ac:dyDescent="0.25">
      <c r="A31" s="14"/>
      <c r="B31" s="37"/>
      <c r="C31" s="38"/>
      <c r="D31" s="17"/>
      <c r="E31" s="39"/>
      <c r="F31" s="14"/>
      <c r="G31" s="17" t="str">
        <f t="shared" si="0"/>
        <v/>
      </c>
      <c r="H31" s="17" t="str">
        <f>IF(A31="","",B31*Inputs!$B$25 + C31*Inputs!$B$26 + D31*Inputs!$B$27 + E31*Inputs!$B$28)</f>
        <v/>
      </c>
      <c r="I31" s="17" t="str">
        <f t="shared" si="1"/>
        <v/>
      </c>
      <c r="J31" s="14"/>
      <c r="K31" s="14"/>
      <c r="L31" s="17" t="str">
        <f t="shared" si="7"/>
        <v/>
      </c>
      <c r="M31" s="17" t="str">
        <f t="shared" si="8"/>
        <v/>
      </c>
      <c r="N31" s="17" t="str">
        <f t="shared" si="4"/>
        <v/>
      </c>
      <c r="O31" s="14" t="str">
        <f t="shared" si="9"/>
        <v/>
      </c>
      <c r="P31" s="14" t="str">
        <f t="shared" si="6"/>
        <v/>
      </c>
    </row>
    <row r="32" spans="1:16" x14ac:dyDescent="0.25">
      <c r="A32" s="14"/>
      <c r="B32" s="37"/>
      <c r="C32" s="38"/>
      <c r="D32" s="17"/>
      <c r="E32" s="39"/>
      <c r="F32" s="14"/>
      <c r="G32" s="17" t="str">
        <f t="shared" si="0"/>
        <v/>
      </c>
      <c r="H32" s="17" t="str">
        <f>IF(A32="","",B32*Inputs!$B$25 + C32*Inputs!$B$26 + D32*Inputs!$B$27 + E32*Inputs!$B$28)</f>
        <v/>
      </c>
      <c r="I32" s="17" t="str">
        <f t="shared" si="1"/>
        <v/>
      </c>
      <c r="J32" s="14"/>
      <c r="K32" s="14"/>
      <c r="L32" s="17" t="str">
        <f t="shared" si="7"/>
        <v/>
      </c>
      <c r="M32" s="17" t="str">
        <f t="shared" si="8"/>
        <v/>
      </c>
      <c r="N32" s="17" t="str">
        <f t="shared" si="4"/>
        <v/>
      </c>
      <c r="O32" s="14" t="str">
        <f t="shared" si="9"/>
        <v/>
      </c>
      <c r="P32" s="14" t="str">
        <f t="shared" si="6"/>
        <v/>
      </c>
    </row>
    <row r="33" spans="1:16" x14ac:dyDescent="0.25">
      <c r="A33" s="14"/>
      <c r="B33" s="37"/>
      <c r="C33" s="38"/>
      <c r="D33" s="17"/>
      <c r="E33" s="39"/>
      <c r="F33" s="14"/>
      <c r="G33" s="17" t="str">
        <f t="shared" si="0"/>
        <v/>
      </c>
      <c r="H33" s="17" t="str">
        <f>IF(A33="","",B33*Inputs!$B$25 + C33*Inputs!$B$26 + D33*Inputs!$B$27 + E33*Inputs!$B$28)</f>
        <v/>
      </c>
      <c r="I33" s="17" t="str">
        <f t="shared" si="1"/>
        <v/>
      </c>
      <c r="J33" s="14"/>
      <c r="K33" s="14"/>
      <c r="L33" s="17" t="str">
        <f t="shared" si="7"/>
        <v/>
      </c>
      <c r="M33" s="17" t="str">
        <f t="shared" si="8"/>
        <v/>
      </c>
      <c r="N33" s="17" t="str">
        <f t="shared" si="4"/>
        <v/>
      </c>
      <c r="O33" s="14" t="str">
        <f t="shared" si="9"/>
        <v/>
      </c>
      <c r="P33" s="14" t="str">
        <f t="shared" si="6"/>
        <v/>
      </c>
    </row>
    <row r="34" spans="1:16" x14ac:dyDescent="0.25">
      <c r="A34" s="14"/>
      <c r="B34" s="37"/>
      <c r="C34" s="38"/>
      <c r="D34" s="17"/>
      <c r="E34" s="39"/>
      <c r="F34" s="14"/>
      <c r="G34" s="17" t="str">
        <f t="shared" si="0"/>
        <v/>
      </c>
      <c r="H34" s="17" t="str">
        <f>IF(A34="","",B34*Inputs!$B$25 + C34*Inputs!$B$26 + D34*Inputs!$B$27 + E34*Inputs!$B$28)</f>
        <v/>
      </c>
      <c r="I34" s="17" t="str">
        <f t="shared" si="1"/>
        <v/>
      </c>
      <c r="J34" s="14"/>
      <c r="K34" s="14"/>
      <c r="L34" s="17" t="str">
        <f t="shared" si="7"/>
        <v/>
      </c>
      <c r="M34" s="17" t="str">
        <f t="shared" si="8"/>
        <v/>
      </c>
      <c r="N34" s="17" t="str">
        <f t="shared" si="4"/>
        <v/>
      </c>
      <c r="O34" s="14" t="str">
        <f t="shared" si="9"/>
        <v/>
      </c>
      <c r="P34" s="14" t="str">
        <f t="shared" si="6"/>
        <v/>
      </c>
    </row>
    <row r="35" spans="1:16" x14ac:dyDescent="0.25">
      <c r="A35" s="14"/>
      <c r="B35" s="37"/>
      <c r="C35" s="38"/>
      <c r="D35" s="17"/>
      <c r="E35" s="39"/>
      <c r="F35" s="14"/>
      <c r="G35" s="17" t="str">
        <f t="shared" si="0"/>
        <v/>
      </c>
      <c r="H35" s="17" t="str">
        <f>IF(A35="","",B35*Inputs!$B$25 + C35*Inputs!$B$26 + D35*Inputs!$B$27 + E35*Inputs!$B$28)</f>
        <v/>
      </c>
      <c r="I35" s="17" t="str">
        <f t="shared" si="1"/>
        <v/>
      </c>
      <c r="J35" s="14"/>
      <c r="K35" s="14"/>
      <c r="L35" s="17" t="str">
        <f t="shared" si="7"/>
        <v/>
      </c>
      <c r="M35" s="17" t="str">
        <f t="shared" si="8"/>
        <v/>
      </c>
      <c r="N35" s="17" t="str">
        <f t="shared" si="4"/>
        <v/>
      </c>
      <c r="O35" s="14" t="str">
        <f t="shared" si="9"/>
        <v/>
      </c>
      <c r="P35" s="14" t="str">
        <f t="shared" si="6"/>
        <v/>
      </c>
    </row>
    <row r="36" spans="1:16" x14ac:dyDescent="0.25">
      <c r="A36" s="14"/>
      <c r="B36" s="37"/>
      <c r="C36" s="38"/>
      <c r="D36" s="17"/>
      <c r="E36" s="39"/>
      <c r="F36" s="14"/>
      <c r="G36" s="17" t="str">
        <f t="shared" si="0"/>
        <v/>
      </c>
      <c r="H36" s="17" t="str">
        <f>IF(A36="","",B36*Inputs!$B$25 + C36*Inputs!$B$26 + D36*Inputs!$B$27 + E36*Inputs!$B$28)</f>
        <v/>
      </c>
      <c r="I36" s="17" t="str">
        <f t="shared" si="1"/>
        <v/>
      </c>
      <c r="J36" s="14"/>
      <c r="K36" s="14"/>
      <c r="L36" s="17" t="str">
        <f t="shared" si="7"/>
        <v/>
      </c>
      <c r="M36" s="17" t="str">
        <f t="shared" si="8"/>
        <v/>
      </c>
      <c r="N36" s="17" t="str">
        <f t="shared" si="4"/>
        <v/>
      </c>
      <c r="O36" s="14" t="str">
        <f t="shared" si="9"/>
        <v/>
      </c>
      <c r="P36" s="14" t="str">
        <f t="shared" si="6"/>
        <v/>
      </c>
    </row>
    <row r="37" spans="1:16" x14ac:dyDescent="0.25">
      <c r="A37" s="14"/>
      <c r="B37" s="37"/>
      <c r="C37" s="38"/>
      <c r="D37" s="17"/>
      <c r="E37" s="39"/>
      <c r="F37" s="14"/>
      <c r="G37" s="17" t="str">
        <f t="shared" si="0"/>
        <v/>
      </c>
      <c r="H37" s="17" t="str">
        <f>IF(A37="","",B37*Inputs!$B$25 + C37*Inputs!$B$26 + D37*Inputs!$B$27 + E37*Inputs!$B$28)</f>
        <v/>
      </c>
      <c r="I37" s="17" t="str">
        <f t="shared" si="1"/>
        <v/>
      </c>
      <c r="J37" s="14"/>
      <c r="K37" s="14"/>
      <c r="L37" s="17" t="str">
        <f t="shared" si="7"/>
        <v/>
      </c>
      <c r="M37" s="17" t="str">
        <f t="shared" si="8"/>
        <v/>
      </c>
      <c r="N37" s="17" t="str">
        <f t="shared" si="4"/>
        <v/>
      </c>
      <c r="O37" s="14" t="str">
        <f t="shared" si="9"/>
        <v/>
      </c>
      <c r="P37" s="14" t="str">
        <f t="shared" si="6"/>
        <v/>
      </c>
    </row>
    <row r="38" spans="1:16" x14ac:dyDescent="0.25">
      <c r="A38" s="14"/>
      <c r="B38" s="37"/>
      <c r="C38" s="38"/>
      <c r="D38" s="17"/>
      <c r="E38" s="39"/>
      <c r="F38" s="14"/>
      <c r="G38" s="17" t="str">
        <f t="shared" si="0"/>
        <v/>
      </c>
      <c r="H38" s="17" t="str">
        <f>IF(A38="","",B38*Inputs!$B$25 + C38*Inputs!$B$26 + D38*Inputs!$B$27 + E38*Inputs!$B$28)</f>
        <v/>
      </c>
      <c r="I38" s="17" t="str">
        <f t="shared" si="1"/>
        <v/>
      </c>
      <c r="J38" s="14"/>
      <c r="K38" s="14"/>
      <c r="L38" s="17" t="str">
        <f t="shared" si="7"/>
        <v/>
      </c>
      <c r="M38" s="17" t="str">
        <f t="shared" si="8"/>
        <v/>
      </c>
      <c r="N38" s="17" t="str">
        <f t="shared" si="4"/>
        <v/>
      </c>
      <c r="O38" s="14" t="str">
        <f t="shared" si="9"/>
        <v/>
      </c>
      <c r="P38" s="14" t="str">
        <f t="shared" si="6"/>
        <v/>
      </c>
    </row>
    <row r="39" spans="1:16" x14ac:dyDescent="0.25">
      <c r="A39" s="14"/>
      <c r="B39" s="37"/>
      <c r="C39" s="38"/>
      <c r="D39" s="17"/>
      <c r="E39" s="39"/>
      <c r="F39" s="14"/>
      <c r="G39" s="17" t="str">
        <f t="shared" si="0"/>
        <v/>
      </c>
      <c r="H39" s="17" t="str">
        <f>IF(A39="","",B39*Inputs!$B$25 + C39*Inputs!$B$26 + D39*Inputs!$B$27 + E39*Inputs!$B$28)</f>
        <v/>
      </c>
      <c r="I39" s="17" t="str">
        <f t="shared" si="1"/>
        <v/>
      </c>
      <c r="J39" s="14"/>
      <c r="K39" s="14"/>
      <c r="L39" s="17" t="str">
        <f t="shared" si="7"/>
        <v/>
      </c>
      <c r="M39" s="17" t="str">
        <f t="shared" si="8"/>
        <v/>
      </c>
      <c r="N39" s="17" t="str">
        <f t="shared" si="4"/>
        <v/>
      </c>
      <c r="O39" s="14" t="str">
        <f t="shared" si="9"/>
        <v/>
      </c>
      <c r="P39" s="14" t="str">
        <f t="shared" si="6"/>
        <v/>
      </c>
    </row>
    <row r="40" spans="1:16" x14ac:dyDescent="0.25">
      <c r="A40" s="14"/>
      <c r="B40" s="37"/>
      <c r="C40" s="38"/>
      <c r="D40" s="17"/>
      <c r="E40" s="39"/>
      <c r="F40" s="14"/>
      <c r="G40" s="17" t="str">
        <f t="shared" si="0"/>
        <v/>
      </c>
      <c r="H40" s="17" t="str">
        <f>IF(A40="","",B40*Inputs!$B$25 + C40*Inputs!$B$26 + D40*Inputs!$B$27 + E40*Inputs!$B$28)</f>
        <v/>
      </c>
      <c r="I40" s="17" t="str">
        <f t="shared" si="1"/>
        <v/>
      </c>
      <c r="J40" s="14"/>
      <c r="K40" s="14"/>
      <c r="L40" s="17" t="str">
        <f t="shared" si="7"/>
        <v/>
      </c>
      <c r="M40" s="17" t="str">
        <f t="shared" si="8"/>
        <v/>
      </c>
      <c r="N40" s="17" t="str">
        <f t="shared" si="4"/>
        <v/>
      </c>
      <c r="O40" s="14" t="str">
        <f t="shared" si="9"/>
        <v/>
      </c>
      <c r="P40" s="14" t="str">
        <f t="shared" si="6"/>
        <v/>
      </c>
    </row>
    <row r="41" spans="1:16" x14ac:dyDescent="0.25">
      <c r="A41" s="14"/>
      <c r="B41" s="37"/>
      <c r="C41" s="38"/>
      <c r="D41" s="17"/>
      <c r="E41" s="39"/>
      <c r="F41" s="14"/>
      <c r="G41" s="17" t="str">
        <f t="shared" si="0"/>
        <v/>
      </c>
      <c r="H41" s="17" t="str">
        <f>IF(A41="","",B41*Inputs!$B$25 + C41*Inputs!$B$26 + D41*Inputs!$B$27 + E41*Inputs!$B$28)</f>
        <v/>
      </c>
      <c r="I41" s="17" t="str">
        <f t="shared" si="1"/>
        <v/>
      </c>
      <c r="J41" s="14"/>
      <c r="K41" s="14"/>
      <c r="L41" s="17" t="str">
        <f t="shared" si="7"/>
        <v/>
      </c>
      <c r="M41" s="17" t="str">
        <f t="shared" si="8"/>
        <v/>
      </c>
      <c r="N41" s="17" t="str">
        <f t="shared" si="4"/>
        <v/>
      </c>
      <c r="O41" s="14" t="str">
        <f t="shared" si="9"/>
        <v/>
      </c>
      <c r="P41" s="14" t="str">
        <f t="shared" si="6"/>
        <v/>
      </c>
    </row>
    <row r="42" spans="1:16" x14ac:dyDescent="0.25">
      <c r="A42" s="14"/>
      <c r="B42" s="37"/>
      <c r="C42" s="38"/>
      <c r="D42" s="17"/>
      <c r="E42" s="39"/>
      <c r="F42" s="14"/>
      <c r="G42" s="17" t="str">
        <f t="shared" si="0"/>
        <v/>
      </c>
      <c r="H42" s="17" t="str">
        <f>IF(A42="","",B42*Inputs!$B$25 + C42*Inputs!$B$26 + D42*Inputs!$B$27 + E42*Inputs!$B$28)</f>
        <v/>
      </c>
      <c r="I42" s="17" t="str">
        <f t="shared" si="1"/>
        <v/>
      </c>
      <c r="J42" s="14"/>
      <c r="K42" s="14"/>
      <c r="L42" s="17" t="str">
        <f t="shared" si="7"/>
        <v/>
      </c>
      <c r="M42" s="17" t="str">
        <f t="shared" si="8"/>
        <v/>
      </c>
      <c r="N42" s="17" t="str">
        <f t="shared" si="4"/>
        <v/>
      </c>
      <c r="O42" s="14" t="str">
        <f t="shared" si="9"/>
        <v/>
      </c>
      <c r="P42" s="14" t="str">
        <f t="shared" si="6"/>
        <v/>
      </c>
    </row>
    <row r="43" spans="1:16" x14ac:dyDescent="0.25">
      <c r="A43" s="14"/>
      <c r="B43" s="37"/>
      <c r="C43" s="38"/>
      <c r="D43" s="17"/>
      <c r="E43" s="39"/>
      <c r="F43" s="14"/>
      <c r="G43" s="17" t="str">
        <f t="shared" si="0"/>
        <v/>
      </c>
      <c r="H43" s="17" t="str">
        <f>IF(A43="","",B43*Inputs!$B$25 + C43*Inputs!$B$26 + D43*Inputs!$B$27 + E43*Inputs!$B$28)</f>
        <v/>
      </c>
      <c r="I43" s="17" t="str">
        <f t="shared" si="1"/>
        <v/>
      </c>
      <c r="J43" s="14"/>
      <c r="K43" s="14"/>
      <c r="L43" s="17" t="str">
        <f t="shared" si="7"/>
        <v/>
      </c>
      <c r="M43" s="17" t="str">
        <f t="shared" si="8"/>
        <v/>
      </c>
      <c r="N43" s="17" t="str">
        <f t="shared" si="4"/>
        <v/>
      </c>
      <c r="O43" s="14" t="str">
        <f t="shared" si="9"/>
        <v/>
      </c>
      <c r="P43" s="14" t="str">
        <f t="shared" si="6"/>
        <v/>
      </c>
    </row>
    <row r="44" spans="1:16" x14ac:dyDescent="0.25">
      <c r="A44" s="14"/>
      <c r="B44" s="37"/>
      <c r="C44" s="38"/>
      <c r="D44" s="17"/>
      <c r="E44" s="39"/>
      <c r="F44" s="14"/>
      <c r="G44" s="17" t="str">
        <f t="shared" si="0"/>
        <v/>
      </c>
      <c r="H44" s="17" t="str">
        <f>IF(A44="","",B44*Inputs!$B$25 + C44*Inputs!$B$26 + D44*Inputs!$B$27 + E44*Inputs!$B$28)</f>
        <v/>
      </c>
      <c r="I44" s="17" t="str">
        <f t="shared" si="1"/>
        <v/>
      </c>
      <c r="J44" s="14"/>
      <c r="K44" s="14"/>
      <c r="L44" s="17" t="str">
        <f t="shared" si="7"/>
        <v/>
      </c>
      <c r="M44" s="17" t="str">
        <f t="shared" si="8"/>
        <v/>
      </c>
      <c r="N44" s="17" t="str">
        <f t="shared" si="4"/>
        <v/>
      </c>
      <c r="O44" s="14" t="str">
        <f t="shared" si="9"/>
        <v/>
      </c>
      <c r="P44" s="14" t="str">
        <f t="shared" si="6"/>
        <v/>
      </c>
    </row>
    <row r="45" spans="1:16" x14ac:dyDescent="0.25">
      <c r="A45" s="14"/>
      <c r="B45" s="37"/>
      <c r="C45" s="38"/>
      <c r="D45" s="17"/>
      <c r="E45" s="39"/>
      <c r="F45" s="14"/>
      <c r="G45" s="17" t="str">
        <f t="shared" si="0"/>
        <v/>
      </c>
      <c r="H45" s="17" t="str">
        <f>IF(A45="","",B45*Inputs!$B$25 + C45*Inputs!$B$26 + D45*Inputs!$B$27 + E45*Inputs!$B$28)</f>
        <v/>
      </c>
      <c r="I45" s="17" t="str">
        <f t="shared" si="1"/>
        <v/>
      </c>
      <c r="J45" s="14"/>
      <c r="K45" s="14"/>
      <c r="L45" s="17" t="str">
        <f t="shared" si="7"/>
        <v/>
      </c>
      <c r="M45" s="17" t="str">
        <f t="shared" si="8"/>
        <v/>
      </c>
      <c r="N45" s="17" t="str">
        <f t="shared" si="4"/>
        <v/>
      </c>
      <c r="O45" s="14" t="str">
        <f t="shared" si="9"/>
        <v/>
      </c>
      <c r="P45" s="14" t="str">
        <f t="shared" si="6"/>
        <v/>
      </c>
    </row>
    <row r="46" spans="1:16" x14ac:dyDescent="0.25">
      <c r="A46" s="14"/>
      <c r="B46" s="37"/>
      <c r="C46" s="38"/>
      <c r="D46" s="17"/>
      <c r="E46" s="39"/>
      <c r="F46" s="14"/>
      <c r="G46" s="17" t="str">
        <f t="shared" si="0"/>
        <v/>
      </c>
      <c r="H46" s="17" t="str">
        <f>IF(A46="","",B46*Inputs!$B$25 + C46*Inputs!$B$26 + D46*Inputs!$B$27 + E46*Inputs!$B$28)</f>
        <v/>
      </c>
      <c r="I46" s="17" t="str">
        <f t="shared" si="1"/>
        <v/>
      </c>
      <c r="J46" s="14"/>
      <c r="K46" s="14"/>
      <c r="L46" s="17" t="str">
        <f t="shared" si="7"/>
        <v/>
      </c>
      <c r="M46" s="17" t="str">
        <f t="shared" si="8"/>
        <v/>
      </c>
      <c r="N46" s="17" t="str">
        <f t="shared" si="4"/>
        <v/>
      </c>
      <c r="O46" s="14" t="str">
        <f t="shared" si="9"/>
        <v/>
      </c>
      <c r="P46" s="14" t="str">
        <f t="shared" si="6"/>
        <v/>
      </c>
    </row>
    <row r="47" spans="1:16" x14ac:dyDescent="0.25">
      <c r="A47" s="14"/>
      <c r="B47" s="37"/>
      <c r="C47" s="38"/>
      <c r="D47" s="17"/>
      <c r="E47" s="39"/>
      <c r="F47" s="14"/>
      <c r="G47" s="17" t="str">
        <f t="shared" si="0"/>
        <v/>
      </c>
      <c r="H47" s="17" t="str">
        <f>IF(A47="","",B47*Inputs!$B$25 + C47*Inputs!$B$26 + D47*Inputs!$B$27 + E47*Inputs!$B$28)</f>
        <v/>
      </c>
      <c r="I47" s="17" t="str">
        <f t="shared" si="1"/>
        <v/>
      </c>
      <c r="J47" s="14"/>
      <c r="K47" s="14"/>
      <c r="L47" s="17" t="str">
        <f t="shared" si="7"/>
        <v/>
      </c>
      <c r="M47" s="17" t="str">
        <f t="shared" si="8"/>
        <v/>
      </c>
      <c r="N47" s="17" t="str">
        <f t="shared" si="4"/>
        <v/>
      </c>
      <c r="O47" s="14" t="str">
        <f t="shared" si="9"/>
        <v/>
      </c>
      <c r="P47" s="14" t="str">
        <f t="shared" si="6"/>
        <v/>
      </c>
    </row>
    <row r="48" spans="1:16" x14ac:dyDescent="0.25">
      <c r="A48" s="14"/>
      <c r="B48" s="37"/>
      <c r="C48" s="38"/>
      <c r="D48" s="17"/>
      <c r="E48" s="39"/>
      <c r="F48" s="14"/>
      <c r="G48" s="17" t="str">
        <f t="shared" si="0"/>
        <v/>
      </c>
      <c r="H48" s="17" t="str">
        <f>IF(A48="","",B48*Inputs!$B$25 + C48*Inputs!$B$26 + D48*Inputs!$B$27 + E48*Inputs!$B$28)</f>
        <v/>
      </c>
      <c r="I48" s="17" t="str">
        <f t="shared" si="1"/>
        <v/>
      </c>
      <c r="J48" s="14"/>
      <c r="K48" s="14"/>
      <c r="L48" s="17" t="str">
        <f t="shared" si="7"/>
        <v/>
      </c>
      <c r="M48" s="17" t="str">
        <f t="shared" si="8"/>
        <v/>
      </c>
      <c r="N48" s="17" t="str">
        <f t="shared" si="4"/>
        <v/>
      </c>
      <c r="O48" s="14" t="str">
        <f t="shared" si="9"/>
        <v/>
      </c>
      <c r="P48" s="14" t="str">
        <f t="shared" si="6"/>
        <v/>
      </c>
    </row>
    <row r="49" spans="1:16" x14ac:dyDescent="0.25">
      <c r="A49" s="14"/>
      <c r="B49" s="37"/>
      <c r="C49" s="38"/>
      <c r="D49" s="17"/>
      <c r="E49" s="39"/>
      <c r="F49" s="14"/>
      <c r="G49" s="17" t="str">
        <f t="shared" si="0"/>
        <v/>
      </c>
      <c r="H49" s="17" t="str">
        <f>IF(A49="","",B49*Inputs!$B$25 + C49*Inputs!$B$26 + D49*Inputs!$B$27 + E49*Inputs!$B$28)</f>
        <v/>
      </c>
      <c r="I49" s="17" t="str">
        <f t="shared" si="1"/>
        <v/>
      </c>
      <c r="J49" s="14"/>
      <c r="K49" s="14"/>
      <c r="L49" s="17" t="str">
        <f t="shared" si="7"/>
        <v/>
      </c>
      <c r="M49" s="17" t="str">
        <f t="shared" si="8"/>
        <v/>
      </c>
      <c r="N49" s="17" t="str">
        <f t="shared" si="4"/>
        <v/>
      </c>
      <c r="O49" s="14" t="str">
        <f t="shared" si="9"/>
        <v/>
      </c>
      <c r="P49" s="14" t="str">
        <f t="shared" si="6"/>
        <v/>
      </c>
    </row>
    <row r="50" spans="1:16" x14ac:dyDescent="0.25">
      <c r="A50" s="14"/>
      <c r="B50" s="37"/>
      <c r="C50" s="38"/>
      <c r="D50" s="17"/>
      <c r="E50" s="39"/>
      <c r="F50" s="14"/>
      <c r="G50" s="17" t="str">
        <f t="shared" si="0"/>
        <v/>
      </c>
      <c r="H50" s="17" t="str">
        <f>IF(A50="","",B50*Inputs!$B$25 + C50*Inputs!$B$26 + D50*Inputs!$B$27 + E50*Inputs!$B$28)</f>
        <v/>
      </c>
      <c r="I50" s="17" t="str">
        <f t="shared" si="1"/>
        <v/>
      </c>
      <c r="J50" s="14"/>
      <c r="K50" s="14"/>
      <c r="L50" s="17" t="str">
        <f t="shared" si="7"/>
        <v/>
      </c>
      <c r="M50" s="17" t="str">
        <f t="shared" si="8"/>
        <v/>
      </c>
      <c r="N50" s="17" t="str">
        <f t="shared" si="4"/>
        <v/>
      </c>
      <c r="O50" s="14" t="str">
        <f t="shared" si="9"/>
        <v/>
      </c>
      <c r="P50" s="14" t="str">
        <f t="shared" si="6"/>
        <v/>
      </c>
    </row>
    <row r="51" spans="1:16" x14ac:dyDescent="0.25">
      <c r="A51" s="14"/>
      <c r="B51" s="37"/>
      <c r="C51" s="38"/>
      <c r="D51" s="17"/>
      <c r="E51" s="39"/>
      <c r="F51" s="14"/>
      <c r="G51" s="17" t="str">
        <f t="shared" si="0"/>
        <v/>
      </c>
      <c r="H51" s="17" t="str">
        <f>IF(A51="","",B51*Inputs!$B$25 + C51*Inputs!$B$26 + D51*Inputs!$B$27 + E51*Inputs!$B$28)</f>
        <v/>
      </c>
      <c r="I51" s="17" t="str">
        <f t="shared" si="1"/>
        <v/>
      </c>
      <c r="J51" s="14"/>
      <c r="K51" s="14"/>
      <c r="L51" s="17" t="str">
        <f t="shared" si="7"/>
        <v/>
      </c>
      <c r="M51" s="17" t="str">
        <f t="shared" si="8"/>
        <v/>
      </c>
      <c r="N51" s="17" t="str">
        <f t="shared" si="4"/>
        <v/>
      </c>
      <c r="O51" s="14" t="str">
        <f t="shared" si="9"/>
        <v/>
      </c>
      <c r="P51" s="14" t="str">
        <f t="shared" si="6"/>
        <v/>
      </c>
    </row>
    <row r="52" spans="1:16" x14ac:dyDescent="0.25">
      <c r="A52" s="14"/>
      <c r="B52" s="37"/>
      <c r="C52" s="38"/>
      <c r="D52" s="17"/>
      <c r="E52" s="39"/>
      <c r="F52" s="14"/>
      <c r="G52" s="17" t="str">
        <f t="shared" si="0"/>
        <v/>
      </c>
      <c r="H52" s="17" t="str">
        <f>IF(A52="","",B52*Inputs!$B$25 + C52*Inputs!$B$26 + D52*Inputs!$B$27 + E52*Inputs!$B$28)</f>
        <v/>
      </c>
      <c r="I52" s="17" t="str">
        <f t="shared" si="1"/>
        <v/>
      </c>
      <c r="J52" s="14"/>
      <c r="K52" s="14"/>
      <c r="L52" s="17" t="str">
        <f t="shared" ref="L52:L83" si="10">IF(A52="","",B52+C52+E52)</f>
        <v/>
      </c>
      <c r="M52" s="17" t="str">
        <f t="shared" ref="M52:M83" si="11">IF(A52="","",D52)</f>
        <v/>
      </c>
      <c r="N52" s="17" t="str">
        <f t="shared" si="4"/>
        <v/>
      </c>
      <c r="O52" s="14" t="str">
        <f t="shared" ref="O52:O83" si="12">IF(A52="","",IF(COUNT(B52:E52)=0,"MISSING",IF(MIN(B52:E52)&lt;0,"INVALID_NEG",IF(SUM(B52:E52)=0,"ZERO_TOTAL",IF(COUNTIF(B52:E52,MAX(B52:E52))&gt;1,"MIXED/TIE",IF(MAX(B52:E52)=B52,"ROOF",IF(MAX(B52:E52)=C52,"PAVEMENT",IF(MAX(B52:E52)=D52,"GRASS","OTHER"))))))))</f>
        <v/>
      </c>
      <c r="P52" s="14" t="str">
        <f t="shared" si="6"/>
        <v/>
      </c>
    </row>
    <row r="53" spans="1:16" x14ac:dyDescent="0.25">
      <c r="A53" s="14"/>
      <c r="B53" s="37"/>
      <c r="C53" s="38"/>
      <c r="D53" s="17"/>
      <c r="E53" s="39"/>
      <c r="F53" s="14"/>
      <c r="G53" s="17" t="str">
        <f t="shared" si="0"/>
        <v/>
      </c>
      <c r="H53" s="17" t="str">
        <f>IF(A53="","",B53*Inputs!$B$25 + C53*Inputs!$B$26 + D53*Inputs!$B$27 + E53*Inputs!$B$28)</f>
        <v/>
      </c>
      <c r="I53" s="17" t="str">
        <f t="shared" si="1"/>
        <v/>
      </c>
      <c r="J53" s="14"/>
      <c r="K53" s="14"/>
      <c r="L53" s="17" t="str">
        <f t="shared" si="10"/>
        <v/>
      </c>
      <c r="M53" s="17" t="str">
        <f t="shared" si="11"/>
        <v/>
      </c>
      <c r="N53" s="17" t="str">
        <f t="shared" si="4"/>
        <v/>
      </c>
      <c r="O53" s="14" t="str">
        <f t="shared" si="12"/>
        <v/>
      </c>
      <c r="P53" s="14" t="str">
        <f t="shared" si="6"/>
        <v/>
      </c>
    </row>
    <row r="54" spans="1:16" x14ac:dyDescent="0.25">
      <c r="A54" s="14"/>
      <c r="B54" s="37"/>
      <c r="C54" s="38"/>
      <c r="D54" s="17"/>
      <c r="E54" s="39"/>
      <c r="F54" s="14"/>
      <c r="G54" s="17" t="str">
        <f t="shared" si="0"/>
        <v/>
      </c>
      <c r="H54" s="17" t="str">
        <f>IF(A54="","",B54*Inputs!$B$25 + C54*Inputs!$B$26 + D54*Inputs!$B$27 + E54*Inputs!$B$28)</f>
        <v/>
      </c>
      <c r="I54" s="17" t="str">
        <f t="shared" si="1"/>
        <v/>
      </c>
      <c r="J54" s="14"/>
      <c r="K54" s="14"/>
      <c r="L54" s="17" t="str">
        <f t="shared" si="10"/>
        <v/>
      </c>
      <c r="M54" s="17" t="str">
        <f t="shared" si="11"/>
        <v/>
      </c>
      <c r="N54" s="17" t="str">
        <f t="shared" si="4"/>
        <v/>
      </c>
      <c r="O54" s="14" t="str">
        <f t="shared" si="12"/>
        <v/>
      </c>
      <c r="P54" s="14" t="str">
        <f t="shared" si="6"/>
        <v/>
      </c>
    </row>
    <row r="55" spans="1:16" x14ac:dyDescent="0.25">
      <c r="A55" s="14"/>
      <c r="B55" s="37"/>
      <c r="C55" s="38"/>
      <c r="D55" s="17"/>
      <c r="E55" s="39"/>
      <c r="F55" s="14"/>
      <c r="G55" s="17" t="str">
        <f t="shared" si="0"/>
        <v/>
      </c>
      <c r="H55" s="17" t="str">
        <f>IF(A55="","",B55*Inputs!$B$25 + C55*Inputs!$B$26 + D55*Inputs!$B$27 + E55*Inputs!$B$28)</f>
        <v/>
      </c>
      <c r="I55" s="17" t="str">
        <f t="shared" si="1"/>
        <v/>
      </c>
      <c r="J55" s="14"/>
      <c r="K55" s="14"/>
      <c r="L55" s="17" t="str">
        <f t="shared" si="10"/>
        <v/>
      </c>
      <c r="M55" s="17" t="str">
        <f t="shared" si="11"/>
        <v/>
      </c>
      <c r="N55" s="17" t="str">
        <f t="shared" si="4"/>
        <v/>
      </c>
      <c r="O55" s="14" t="str">
        <f t="shared" si="12"/>
        <v/>
      </c>
      <c r="P55" s="14" t="str">
        <f t="shared" si="6"/>
        <v/>
      </c>
    </row>
    <row r="56" spans="1:16" x14ac:dyDescent="0.25">
      <c r="A56" s="14"/>
      <c r="B56" s="37"/>
      <c r="C56" s="38"/>
      <c r="D56" s="17"/>
      <c r="E56" s="39"/>
      <c r="F56" s="14"/>
      <c r="G56" s="17" t="str">
        <f t="shared" si="0"/>
        <v/>
      </c>
      <c r="H56" s="17" t="str">
        <f>IF(A56="","",B56*Inputs!$B$25 + C56*Inputs!$B$26 + D56*Inputs!$B$27 + E56*Inputs!$B$28)</f>
        <v/>
      </c>
      <c r="I56" s="17" t="str">
        <f t="shared" si="1"/>
        <v/>
      </c>
      <c r="J56" s="14"/>
      <c r="K56" s="14"/>
      <c r="L56" s="17" t="str">
        <f t="shared" si="10"/>
        <v/>
      </c>
      <c r="M56" s="17" t="str">
        <f t="shared" si="11"/>
        <v/>
      </c>
      <c r="N56" s="17" t="str">
        <f t="shared" si="4"/>
        <v/>
      </c>
      <c r="O56" s="14" t="str">
        <f t="shared" si="12"/>
        <v/>
      </c>
      <c r="P56" s="14" t="str">
        <f t="shared" si="6"/>
        <v/>
      </c>
    </row>
    <row r="57" spans="1:16" x14ac:dyDescent="0.25">
      <c r="A57" s="14"/>
      <c r="B57" s="37"/>
      <c r="C57" s="38"/>
      <c r="D57" s="17"/>
      <c r="E57" s="39"/>
      <c r="F57" s="14"/>
      <c r="G57" s="17" t="str">
        <f t="shared" si="0"/>
        <v/>
      </c>
      <c r="H57" s="17" t="str">
        <f>IF(A57="","",B57*Inputs!$B$25 + C57*Inputs!$B$26 + D57*Inputs!$B$27 + E57*Inputs!$B$28)</f>
        <v/>
      </c>
      <c r="I57" s="17" t="str">
        <f t="shared" si="1"/>
        <v/>
      </c>
      <c r="J57" s="14"/>
      <c r="K57" s="14"/>
      <c r="L57" s="17" t="str">
        <f t="shared" si="10"/>
        <v/>
      </c>
      <c r="M57" s="17" t="str">
        <f t="shared" si="11"/>
        <v/>
      </c>
      <c r="N57" s="17" t="str">
        <f t="shared" si="4"/>
        <v/>
      </c>
      <c r="O57" s="14" t="str">
        <f t="shared" si="12"/>
        <v/>
      </c>
      <c r="P57" s="14" t="str">
        <f t="shared" si="6"/>
        <v/>
      </c>
    </row>
    <row r="58" spans="1:16" x14ac:dyDescent="0.25">
      <c r="A58" s="14"/>
      <c r="B58" s="37"/>
      <c r="C58" s="38"/>
      <c r="D58" s="17"/>
      <c r="E58" s="39"/>
      <c r="F58" s="14"/>
      <c r="G58" s="17" t="str">
        <f t="shared" si="0"/>
        <v/>
      </c>
      <c r="H58" s="17" t="str">
        <f>IF(A58="","",B58*Inputs!$B$25 + C58*Inputs!$B$26 + D58*Inputs!$B$27 + E58*Inputs!$B$28)</f>
        <v/>
      </c>
      <c r="I58" s="17" t="str">
        <f t="shared" si="1"/>
        <v/>
      </c>
      <c r="J58" s="14"/>
      <c r="K58" s="14"/>
      <c r="L58" s="17" t="str">
        <f t="shared" si="10"/>
        <v/>
      </c>
      <c r="M58" s="17" t="str">
        <f t="shared" si="11"/>
        <v/>
      </c>
      <c r="N58" s="17" t="str">
        <f t="shared" si="4"/>
        <v/>
      </c>
      <c r="O58" s="14" t="str">
        <f t="shared" si="12"/>
        <v/>
      </c>
      <c r="P58" s="14" t="str">
        <f t="shared" si="6"/>
        <v/>
      </c>
    </row>
    <row r="59" spans="1:16" x14ac:dyDescent="0.25">
      <c r="A59" s="14"/>
      <c r="B59" s="37"/>
      <c r="C59" s="38"/>
      <c r="D59" s="17"/>
      <c r="E59" s="39"/>
      <c r="F59" s="14"/>
      <c r="G59" s="17" t="str">
        <f t="shared" si="0"/>
        <v/>
      </c>
      <c r="H59" s="17" t="str">
        <f>IF(A59="","",B59*Inputs!$B$25 + C59*Inputs!$B$26 + D59*Inputs!$B$27 + E59*Inputs!$B$28)</f>
        <v/>
      </c>
      <c r="I59" s="17" t="str">
        <f t="shared" si="1"/>
        <v/>
      </c>
      <c r="J59" s="14"/>
      <c r="K59" s="14"/>
      <c r="L59" s="17" t="str">
        <f t="shared" si="10"/>
        <v/>
      </c>
      <c r="M59" s="17" t="str">
        <f t="shared" si="11"/>
        <v/>
      </c>
      <c r="N59" s="17" t="str">
        <f t="shared" si="4"/>
        <v/>
      </c>
      <c r="O59" s="14" t="str">
        <f t="shared" si="12"/>
        <v/>
      </c>
      <c r="P59" s="14" t="str">
        <f t="shared" si="6"/>
        <v/>
      </c>
    </row>
    <row r="60" spans="1:16" x14ac:dyDescent="0.25">
      <c r="A60" s="14"/>
      <c r="B60" s="37"/>
      <c r="C60" s="38"/>
      <c r="D60" s="17"/>
      <c r="E60" s="39"/>
      <c r="F60" s="14"/>
      <c r="G60" s="17" t="str">
        <f t="shared" si="0"/>
        <v/>
      </c>
      <c r="H60" s="17" t="str">
        <f>IF(A60="","",B60*Inputs!$B$25 + C60*Inputs!$B$26 + D60*Inputs!$B$27 + E60*Inputs!$B$28)</f>
        <v/>
      </c>
      <c r="I60" s="17" t="str">
        <f t="shared" si="1"/>
        <v/>
      </c>
      <c r="J60" s="14"/>
      <c r="K60" s="14"/>
      <c r="L60" s="17" t="str">
        <f t="shared" si="10"/>
        <v/>
      </c>
      <c r="M60" s="17" t="str">
        <f t="shared" si="11"/>
        <v/>
      </c>
      <c r="N60" s="17" t="str">
        <f t="shared" si="4"/>
        <v/>
      </c>
      <c r="O60" s="14" t="str">
        <f t="shared" si="12"/>
        <v/>
      </c>
      <c r="P60" s="14" t="str">
        <f t="shared" si="6"/>
        <v/>
      </c>
    </row>
    <row r="61" spans="1:16" x14ac:dyDescent="0.25">
      <c r="A61" s="14"/>
      <c r="B61" s="37"/>
      <c r="C61" s="38"/>
      <c r="D61" s="17"/>
      <c r="E61" s="39"/>
      <c r="F61" s="14"/>
      <c r="G61" s="17" t="str">
        <f t="shared" si="0"/>
        <v/>
      </c>
      <c r="H61" s="17" t="str">
        <f>IF(A61="","",B61*Inputs!$B$25 + C61*Inputs!$B$26 + D61*Inputs!$B$27 + E61*Inputs!$B$28)</f>
        <v/>
      </c>
      <c r="I61" s="17" t="str">
        <f t="shared" si="1"/>
        <v/>
      </c>
      <c r="J61" s="14"/>
      <c r="K61" s="14"/>
      <c r="L61" s="17" t="str">
        <f t="shared" si="10"/>
        <v/>
      </c>
      <c r="M61" s="17" t="str">
        <f t="shared" si="11"/>
        <v/>
      </c>
      <c r="N61" s="17" t="str">
        <f t="shared" si="4"/>
        <v/>
      </c>
      <c r="O61" s="14" t="str">
        <f t="shared" si="12"/>
        <v/>
      </c>
      <c r="P61" s="14" t="str">
        <f t="shared" si="6"/>
        <v/>
      </c>
    </row>
    <row r="62" spans="1:16" x14ac:dyDescent="0.25">
      <c r="A62" s="14"/>
      <c r="B62" s="37"/>
      <c r="C62" s="38"/>
      <c r="D62" s="17"/>
      <c r="E62" s="39"/>
      <c r="F62" s="14"/>
      <c r="G62" s="17" t="str">
        <f t="shared" si="0"/>
        <v/>
      </c>
      <c r="H62" s="17" t="str">
        <f>IF(A62="","",B62*Inputs!$B$25 + C62*Inputs!$B$26 + D62*Inputs!$B$27 + E62*Inputs!$B$28)</f>
        <v/>
      </c>
      <c r="I62" s="17" t="str">
        <f t="shared" si="1"/>
        <v/>
      </c>
      <c r="J62" s="14"/>
      <c r="K62" s="14"/>
      <c r="L62" s="17" t="str">
        <f t="shared" si="10"/>
        <v/>
      </c>
      <c r="M62" s="17" t="str">
        <f t="shared" si="11"/>
        <v/>
      </c>
      <c r="N62" s="17" t="str">
        <f t="shared" si="4"/>
        <v/>
      </c>
      <c r="O62" s="14" t="str">
        <f t="shared" si="12"/>
        <v/>
      </c>
      <c r="P62" s="14" t="str">
        <f t="shared" si="6"/>
        <v/>
      </c>
    </row>
    <row r="63" spans="1:16" x14ac:dyDescent="0.25">
      <c r="A63" s="14"/>
      <c r="B63" s="37"/>
      <c r="C63" s="38"/>
      <c r="D63" s="17"/>
      <c r="E63" s="39"/>
      <c r="F63" s="14"/>
      <c r="G63" s="17" t="str">
        <f t="shared" si="0"/>
        <v/>
      </c>
      <c r="H63" s="17" t="str">
        <f>IF(A63="","",B63*Inputs!$B$25 + C63*Inputs!$B$26 + D63*Inputs!$B$27 + E63*Inputs!$B$28)</f>
        <v/>
      </c>
      <c r="I63" s="17" t="str">
        <f t="shared" si="1"/>
        <v/>
      </c>
      <c r="J63" s="14"/>
      <c r="K63" s="14"/>
      <c r="L63" s="17" t="str">
        <f t="shared" si="10"/>
        <v/>
      </c>
      <c r="M63" s="17" t="str">
        <f t="shared" si="11"/>
        <v/>
      </c>
      <c r="N63" s="17" t="str">
        <f t="shared" si="4"/>
        <v/>
      </c>
      <c r="O63" s="14" t="str">
        <f t="shared" si="12"/>
        <v/>
      </c>
      <c r="P63" s="14" t="str">
        <f t="shared" si="6"/>
        <v/>
      </c>
    </row>
    <row r="64" spans="1:16" x14ac:dyDescent="0.25">
      <c r="A64" s="14"/>
      <c r="B64" s="37"/>
      <c r="C64" s="38"/>
      <c r="D64" s="17"/>
      <c r="E64" s="39"/>
      <c r="F64" s="14"/>
      <c r="G64" s="17" t="str">
        <f t="shared" si="0"/>
        <v/>
      </c>
      <c r="H64" s="17" t="str">
        <f>IF(A64="","",B64*Inputs!$B$25 + C64*Inputs!$B$26 + D64*Inputs!$B$27 + E64*Inputs!$B$28)</f>
        <v/>
      </c>
      <c r="I64" s="17" t="str">
        <f t="shared" si="1"/>
        <v/>
      </c>
      <c r="J64" s="14"/>
      <c r="K64" s="14"/>
      <c r="L64" s="17" t="str">
        <f t="shared" si="10"/>
        <v/>
      </c>
      <c r="M64" s="17" t="str">
        <f t="shared" si="11"/>
        <v/>
      </c>
      <c r="N64" s="17" t="str">
        <f t="shared" si="4"/>
        <v/>
      </c>
      <c r="O64" s="14" t="str">
        <f t="shared" si="12"/>
        <v/>
      </c>
      <c r="P64" s="14" t="str">
        <f t="shared" si="6"/>
        <v/>
      </c>
    </row>
    <row r="65" spans="1:16" x14ac:dyDescent="0.25">
      <c r="A65" s="14"/>
      <c r="B65" s="37"/>
      <c r="C65" s="38"/>
      <c r="D65" s="17"/>
      <c r="E65" s="39"/>
      <c r="F65" s="14"/>
      <c r="G65" s="17" t="str">
        <f t="shared" si="0"/>
        <v/>
      </c>
      <c r="H65" s="17" t="str">
        <f>IF(A65="","",B65*Inputs!$B$25 + C65*Inputs!$B$26 + D65*Inputs!$B$27 + E65*Inputs!$B$28)</f>
        <v/>
      </c>
      <c r="I65" s="17" t="str">
        <f t="shared" si="1"/>
        <v/>
      </c>
      <c r="J65" s="14"/>
      <c r="K65" s="14"/>
      <c r="L65" s="17" t="str">
        <f t="shared" si="10"/>
        <v/>
      </c>
      <c r="M65" s="17" t="str">
        <f t="shared" si="11"/>
        <v/>
      </c>
      <c r="N65" s="17" t="str">
        <f t="shared" si="4"/>
        <v/>
      </c>
      <c r="O65" s="14" t="str">
        <f t="shared" si="12"/>
        <v/>
      </c>
      <c r="P65" s="14" t="str">
        <f t="shared" si="6"/>
        <v/>
      </c>
    </row>
    <row r="66" spans="1:16" x14ac:dyDescent="0.25">
      <c r="A66" s="14"/>
      <c r="B66" s="37"/>
      <c r="C66" s="38"/>
      <c r="D66" s="17"/>
      <c r="E66" s="39"/>
      <c r="F66" s="14"/>
      <c r="G66" s="17" t="str">
        <f t="shared" si="0"/>
        <v/>
      </c>
      <c r="H66" s="17" t="str">
        <f>IF(A66="","",B66*Inputs!$B$25 + C66*Inputs!$B$26 + D66*Inputs!$B$27 + E66*Inputs!$B$28)</f>
        <v/>
      </c>
      <c r="I66" s="17" t="str">
        <f t="shared" si="1"/>
        <v/>
      </c>
      <c r="J66" s="14"/>
      <c r="K66" s="14"/>
      <c r="L66" s="17" t="str">
        <f t="shared" si="10"/>
        <v/>
      </c>
      <c r="M66" s="17" t="str">
        <f t="shared" si="11"/>
        <v/>
      </c>
      <c r="N66" s="17" t="str">
        <f t="shared" si="4"/>
        <v/>
      </c>
      <c r="O66" s="14" t="str">
        <f t="shared" si="12"/>
        <v/>
      </c>
      <c r="P66" s="14" t="str">
        <f t="shared" si="6"/>
        <v/>
      </c>
    </row>
    <row r="67" spans="1:16" x14ac:dyDescent="0.25">
      <c r="A67" s="14"/>
      <c r="B67" s="37"/>
      <c r="C67" s="38"/>
      <c r="D67" s="17"/>
      <c r="E67" s="39"/>
      <c r="F67" s="14"/>
      <c r="G67" s="17" t="str">
        <f t="shared" si="0"/>
        <v/>
      </c>
      <c r="H67" s="17" t="str">
        <f>IF(A67="","",B67*Inputs!$B$25 + C67*Inputs!$B$26 + D67*Inputs!$B$27 + E67*Inputs!$B$28)</f>
        <v/>
      </c>
      <c r="I67" s="17" t="str">
        <f t="shared" si="1"/>
        <v/>
      </c>
      <c r="J67" s="14"/>
      <c r="K67" s="14"/>
      <c r="L67" s="17" t="str">
        <f t="shared" si="10"/>
        <v/>
      </c>
      <c r="M67" s="17" t="str">
        <f t="shared" si="11"/>
        <v/>
      </c>
      <c r="N67" s="17" t="str">
        <f t="shared" si="4"/>
        <v/>
      </c>
      <c r="O67" s="14" t="str">
        <f t="shared" si="12"/>
        <v/>
      </c>
      <c r="P67" s="14" t="str">
        <f t="shared" si="6"/>
        <v/>
      </c>
    </row>
    <row r="68" spans="1:16" x14ac:dyDescent="0.25">
      <c r="A68" s="14"/>
      <c r="B68" s="37"/>
      <c r="C68" s="38"/>
      <c r="D68" s="17"/>
      <c r="E68" s="39"/>
      <c r="F68" s="14"/>
      <c r="G68" s="17" t="str">
        <f t="shared" ref="G68:G131" si="13">IF(A68="","",SUM(B68:E68))</f>
        <v/>
      </c>
      <c r="H68" s="17" t="str">
        <f>IF(A68="","",B68*Inputs!$B$25 + C68*Inputs!$B$26 + D68*Inputs!$B$27 + E68*Inputs!$B$28)</f>
        <v/>
      </c>
      <c r="I68" s="17" t="str">
        <f t="shared" ref="I68:I131" si="14">IF(OR(G68="",G68=0),"",H68/G68)</f>
        <v/>
      </c>
      <c r="J68" s="14"/>
      <c r="K68" s="14"/>
      <c r="L68" s="17" t="str">
        <f t="shared" si="10"/>
        <v/>
      </c>
      <c r="M68" s="17" t="str">
        <f t="shared" si="11"/>
        <v/>
      </c>
      <c r="N68" s="17" t="str">
        <f t="shared" ref="N68:N131" si="15">IF(OR(G68="",G68=0),"",L68/G68)</f>
        <v/>
      </c>
      <c r="O68" s="14" t="str">
        <f t="shared" si="12"/>
        <v/>
      </c>
      <c r="P68" s="14" t="str">
        <f t="shared" ref="P68:P131" si="16">IF(A68="","",IF(COUNT(B68:E68)=0,"MISSING_SPLIT",IF(MIN(B68:E68)&lt;0,"INVALID_NEGATIVE",IF(SUM(B68:E68)=0,"ZERO_TOTAL",IF(I68="","NO_WEIGHTED_C","OK")))))</f>
        <v/>
      </c>
    </row>
    <row r="69" spans="1:16" x14ac:dyDescent="0.25">
      <c r="A69" s="14"/>
      <c r="B69" s="37"/>
      <c r="C69" s="38"/>
      <c r="D69" s="17"/>
      <c r="E69" s="39"/>
      <c r="F69" s="14"/>
      <c r="G69" s="17" t="str">
        <f t="shared" si="13"/>
        <v/>
      </c>
      <c r="H69" s="17" t="str">
        <f>IF(A69="","",B69*Inputs!$B$25 + C69*Inputs!$B$26 + D69*Inputs!$B$27 + E69*Inputs!$B$28)</f>
        <v/>
      </c>
      <c r="I69" s="17" t="str">
        <f t="shared" si="14"/>
        <v/>
      </c>
      <c r="J69" s="14"/>
      <c r="K69" s="14"/>
      <c r="L69" s="17" t="str">
        <f t="shared" si="10"/>
        <v/>
      </c>
      <c r="M69" s="17" t="str">
        <f t="shared" si="11"/>
        <v/>
      </c>
      <c r="N69" s="17" t="str">
        <f t="shared" si="15"/>
        <v/>
      </c>
      <c r="O69" s="14" t="str">
        <f t="shared" si="12"/>
        <v/>
      </c>
      <c r="P69" s="14" t="str">
        <f t="shared" si="16"/>
        <v/>
      </c>
    </row>
    <row r="70" spans="1:16" x14ac:dyDescent="0.25">
      <c r="A70" s="14"/>
      <c r="B70" s="37"/>
      <c r="C70" s="38"/>
      <c r="D70" s="17"/>
      <c r="E70" s="39"/>
      <c r="F70" s="14"/>
      <c r="G70" s="17" t="str">
        <f t="shared" si="13"/>
        <v/>
      </c>
      <c r="H70" s="17" t="str">
        <f>IF(A70="","",B70*Inputs!$B$25 + C70*Inputs!$B$26 + D70*Inputs!$B$27 + E70*Inputs!$B$28)</f>
        <v/>
      </c>
      <c r="I70" s="17" t="str">
        <f t="shared" si="14"/>
        <v/>
      </c>
      <c r="J70" s="14"/>
      <c r="K70" s="14"/>
      <c r="L70" s="17" t="str">
        <f t="shared" si="10"/>
        <v/>
      </c>
      <c r="M70" s="17" t="str">
        <f t="shared" si="11"/>
        <v/>
      </c>
      <c r="N70" s="17" t="str">
        <f t="shared" si="15"/>
        <v/>
      </c>
      <c r="O70" s="14" t="str">
        <f t="shared" si="12"/>
        <v/>
      </c>
      <c r="P70" s="14" t="str">
        <f t="shared" si="16"/>
        <v/>
      </c>
    </row>
    <row r="71" spans="1:16" x14ac:dyDescent="0.25">
      <c r="A71" s="14"/>
      <c r="B71" s="37"/>
      <c r="C71" s="38"/>
      <c r="D71" s="17"/>
      <c r="E71" s="39"/>
      <c r="F71" s="14"/>
      <c r="G71" s="17" t="str">
        <f t="shared" si="13"/>
        <v/>
      </c>
      <c r="H71" s="17" t="str">
        <f>IF(A71="","",B71*Inputs!$B$25 + C71*Inputs!$B$26 + D71*Inputs!$B$27 + E71*Inputs!$B$28)</f>
        <v/>
      </c>
      <c r="I71" s="17" t="str">
        <f t="shared" si="14"/>
        <v/>
      </c>
      <c r="J71" s="14"/>
      <c r="K71" s="14"/>
      <c r="L71" s="17" t="str">
        <f t="shared" si="10"/>
        <v/>
      </c>
      <c r="M71" s="17" t="str">
        <f t="shared" si="11"/>
        <v/>
      </c>
      <c r="N71" s="17" t="str">
        <f t="shared" si="15"/>
        <v/>
      </c>
      <c r="O71" s="14" t="str">
        <f t="shared" si="12"/>
        <v/>
      </c>
      <c r="P71" s="14" t="str">
        <f t="shared" si="16"/>
        <v/>
      </c>
    </row>
    <row r="72" spans="1:16" x14ac:dyDescent="0.25">
      <c r="A72" s="14"/>
      <c r="B72" s="37"/>
      <c r="C72" s="38"/>
      <c r="D72" s="17"/>
      <c r="E72" s="39"/>
      <c r="F72" s="14"/>
      <c r="G72" s="17" t="str">
        <f t="shared" si="13"/>
        <v/>
      </c>
      <c r="H72" s="17" t="str">
        <f>IF(A72="","",B72*Inputs!$B$25 + C72*Inputs!$B$26 + D72*Inputs!$B$27 + E72*Inputs!$B$28)</f>
        <v/>
      </c>
      <c r="I72" s="17" t="str">
        <f t="shared" si="14"/>
        <v/>
      </c>
      <c r="J72" s="14"/>
      <c r="K72" s="14"/>
      <c r="L72" s="17" t="str">
        <f t="shared" si="10"/>
        <v/>
      </c>
      <c r="M72" s="17" t="str">
        <f t="shared" si="11"/>
        <v/>
      </c>
      <c r="N72" s="17" t="str">
        <f t="shared" si="15"/>
        <v/>
      </c>
      <c r="O72" s="14" t="str">
        <f t="shared" si="12"/>
        <v/>
      </c>
      <c r="P72" s="14" t="str">
        <f t="shared" si="16"/>
        <v/>
      </c>
    </row>
    <row r="73" spans="1:16" x14ac:dyDescent="0.25">
      <c r="A73" s="14"/>
      <c r="B73" s="37"/>
      <c r="C73" s="38"/>
      <c r="D73" s="17"/>
      <c r="E73" s="39"/>
      <c r="F73" s="14"/>
      <c r="G73" s="17" t="str">
        <f t="shared" si="13"/>
        <v/>
      </c>
      <c r="H73" s="17" t="str">
        <f>IF(A73="","",B73*Inputs!$B$25 + C73*Inputs!$B$26 + D73*Inputs!$B$27 + E73*Inputs!$B$28)</f>
        <v/>
      </c>
      <c r="I73" s="17" t="str">
        <f t="shared" si="14"/>
        <v/>
      </c>
      <c r="J73" s="14"/>
      <c r="K73" s="14"/>
      <c r="L73" s="17" t="str">
        <f t="shared" si="10"/>
        <v/>
      </c>
      <c r="M73" s="17" t="str">
        <f t="shared" si="11"/>
        <v/>
      </c>
      <c r="N73" s="17" t="str">
        <f t="shared" si="15"/>
        <v/>
      </c>
      <c r="O73" s="14" t="str">
        <f t="shared" si="12"/>
        <v/>
      </c>
      <c r="P73" s="14" t="str">
        <f t="shared" si="16"/>
        <v/>
      </c>
    </row>
    <row r="74" spans="1:16" x14ac:dyDescent="0.25">
      <c r="A74" s="14"/>
      <c r="B74" s="37"/>
      <c r="C74" s="38"/>
      <c r="D74" s="17"/>
      <c r="E74" s="39"/>
      <c r="F74" s="14"/>
      <c r="G74" s="17" t="str">
        <f t="shared" si="13"/>
        <v/>
      </c>
      <c r="H74" s="17" t="str">
        <f>IF(A74="","",B74*Inputs!$B$25 + C74*Inputs!$B$26 + D74*Inputs!$B$27 + E74*Inputs!$B$28)</f>
        <v/>
      </c>
      <c r="I74" s="17" t="str">
        <f t="shared" si="14"/>
        <v/>
      </c>
      <c r="J74" s="14"/>
      <c r="K74" s="14"/>
      <c r="L74" s="17" t="str">
        <f t="shared" si="10"/>
        <v/>
      </c>
      <c r="M74" s="17" t="str">
        <f t="shared" si="11"/>
        <v/>
      </c>
      <c r="N74" s="17" t="str">
        <f t="shared" si="15"/>
        <v/>
      </c>
      <c r="O74" s="14" t="str">
        <f t="shared" si="12"/>
        <v/>
      </c>
      <c r="P74" s="14" t="str">
        <f t="shared" si="16"/>
        <v/>
      </c>
    </row>
    <row r="75" spans="1:16" x14ac:dyDescent="0.25">
      <c r="A75" s="14"/>
      <c r="B75" s="37"/>
      <c r="C75" s="38"/>
      <c r="D75" s="17"/>
      <c r="E75" s="39"/>
      <c r="F75" s="14"/>
      <c r="G75" s="17" t="str">
        <f t="shared" si="13"/>
        <v/>
      </c>
      <c r="H75" s="17" t="str">
        <f>IF(A75="","",B75*Inputs!$B$25 + C75*Inputs!$B$26 + D75*Inputs!$B$27 + E75*Inputs!$B$28)</f>
        <v/>
      </c>
      <c r="I75" s="17" t="str">
        <f t="shared" si="14"/>
        <v/>
      </c>
      <c r="J75" s="14"/>
      <c r="K75" s="14"/>
      <c r="L75" s="17" t="str">
        <f t="shared" si="10"/>
        <v/>
      </c>
      <c r="M75" s="17" t="str">
        <f t="shared" si="11"/>
        <v/>
      </c>
      <c r="N75" s="17" t="str">
        <f t="shared" si="15"/>
        <v/>
      </c>
      <c r="O75" s="14" t="str">
        <f t="shared" si="12"/>
        <v/>
      </c>
      <c r="P75" s="14" t="str">
        <f t="shared" si="16"/>
        <v/>
      </c>
    </row>
    <row r="76" spans="1:16" x14ac:dyDescent="0.25">
      <c r="A76" s="14"/>
      <c r="B76" s="37"/>
      <c r="C76" s="38"/>
      <c r="D76" s="17"/>
      <c r="E76" s="39"/>
      <c r="F76" s="14"/>
      <c r="G76" s="17" t="str">
        <f t="shared" si="13"/>
        <v/>
      </c>
      <c r="H76" s="17" t="str">
        <f>IF(A76="","",B76*Inputs!$B$25 + C76*Inputs!$B$26 + D76*Inputs!$B$27 + E76*Inputs!$B$28)</f>
        <v/>
      </c>
      <c r="I76" s="17" t="str">
        <f t="shared" si="14"/>
        <v/>
      </c>
      <c r="J76" s="14"/>
      <c r="K76" s="14"/>
      <c r="L76" s="17" t="str">
        <f t="shared" si="10"/>
        <v/>
      </c>
      <c r="M76" s="17" t="str">
        <f t="shared" si="11"/>
        <v/>
      </c>
      <c r="N76" s="17" t="str">
        <f t="shared" si="15"/>
        <v/>
      </c>
      <c r="O76" s="14" t="str">
        <f t="shared" si="12"/>
        <v/>
      </c>
      <c r="P76" s="14" t="str">
        <f t="shared" si="16"/>
        <v/>
      </c>
    </row>
    <row r="77" spans="1:16" x14ac:dyDescent="0.25">
      <c r="A77" s="14"/>
      <c r="B77" s="37"/>
      <c r="C77" s="38"/>
      <c r="D77" s="17"/>
      <c r="E77" s="39"/>
      <c r="F77" s="14"/>
      <c r="G77" s="17" t="str">
        <f t="shared" si="13"/>
        <v/>
      </c>
      <c r="H77" s="17" t="str">
        <f>IF(A77="","",B77*Inputs!$B$25 + C77*Inputs!$B$26 + D77*Inputs!$B$27 + E77*Inputs!$B$28)</f>
        <v/>
      </c>
      <c r="I77" s="17" t="str">
        <f t="shared" si="14"/>
        <v/>
      </c>
      <c r="J77" s="14"/>
      <c r="K77" s="14"/>
      <c r="L77" s="17" t="str">
        <f t="shared" si="10"/>
        <v/>
      </c>
      <c r="M77" s="17" t="str">
        <f t="shared" si="11"/>
        <v/>
      </c>
      <c r="N77" s="17" t="str">
        <f t="shared" si="15"/>
        <v/>
      </c>
      <c r="O77" s="14" t="str">
        <f t="shared" si="12"/>
        <v/>
      </c>
      <c r="P77" s="14" t="str">
        <f t="shared" si="16"/>
        <v/>
      </c>
    </row>
    <row r="78" spans="1:16" x14ac:dyDescent="0.25">
      <c r="A78" s="14"/>
      <c r="B78" s="37"/>
      <c r="C78" s="38"/>
      <c r="D78" s="17"/>
      <c r="E78" s="39"/>
      <c r="F78" s="14"/>
      <c r="G78" s="17" t="str">
        <f t="shared" si="13"/>
        <v/>
      </c>
      <c r="H78" s="17" t="str">
        <f>IF(A78="","",B78*Inputs!$B$25 + C78*Inputs!$B$26 + D78*Inputs!$B$27 + E78*Inputs!$B$28)</f>
        <v/>
      </c>
      <c r="I78" s="17" t="str">
        <f t="shared" si="14"/>
        <v/>
      </c>
      <c r="J78" s="14"/>
      <c r="K78" s="14"/>
      <c r="L78" s="17" t="str">
        <f t="shared" si="10"/>
        <v/>
      </c>
      <c r="M78" s="17" t="str">
        <f t="shared" si="11"/>
        <v/>
      </c>
      <c r="N78" s="17" t="str">
        <f t="shared" si="15"/>
        <v/>
      </c>
      <c r="O78" s="14" t="str">
        <f t="shared" si="12"/>
        <v/>
      </c>
      <c r="P78" s="14" t="str">
        <f t="shared" si="16"/>
        <v/>
      </c>
    </row>
    <row r="79" spans="1:16" x14ac:dyDescent="0.25">
      <c r="A79" s="14"/>
      <c r="B79" s="37"/>
      <c r="C79" s="38"/>
      <c r="D79" s="17"/>
      <c r="E79" s="39"/>
      <c r="F79" s="14"/>
      <c r="G79" s="17" t="str">
        <f t="shared" si="13"/>
        <v/>
      </c>
      <c r="H79" s="17" t="str">
        <f>IF(A79="","",B79*Inputs!$B$25 + C79*Inputs!$B$26 + D79*Inputs!$B$27 + E79*Inputs!$B$28)</f>
        <v/>
      </c>
      <c r="I79" s="17" t="str">
        <f t="shared" si="14"/>
        <v/>
      </c>
      <c r="J79" s="14"/>
      <c r="K79" s="14"/>
      <c r="L79" s="17" t="str">
        <f t="shared" si="10"/>
        <v/>
      </c>
      <c r="M79" s="17" t="str">
        <f t="shared" si="11"/>
        <v/>
      </c>
      <c r="N79" s="17" t="str">
        <f t="shared" si="15"/>
        <v/>
      </c>
      <c r="O79" s="14" t="str">
        <f t="shared" si="12"/>
        <v/>
      </c>
      <c r="P79" s="14" t="str">
        <f t="shared" si="16"/>
        <v/>
      </c>
    </row>
    <row r="80" spans="1:16" x14ac:dyDescent="0.25">
      <c r="A80" s="14"/>
      <c r="B80" s="37"/>
      <c r="C80" s="38"/>
      <c r="D80" s="17"/>
      <c r="E80" s="39"/>
      <c r="F80" s="14"/>
      <c r="G80" s="17" t="str">
        <f t="shared" si="13"/>
        <v/>
      </c>
      <c r="H80" s="17" t="str">
        <f>IF(A80="","",B80*Inputs!$B$25 + C80*Inputs!$B$26 + D80*Inputs!$B$27 + E80*Inputs!$B$28)</f>
        <v/>
      </c>
      <c r="I80" s="17" t="str">
        <f t="shared" si="14"/>
        <v/>
      </c>
      <c r="J80" s="14"/>
      <c r="K80" s="14"/>
      <c r="L80" s="17" t="str">
        <f t="shared" si="10"/>
        <v/>
      </c>
      <c r="M80" s="17" t="str">
        <f t="shared" si="11"/>
        <v/>
      </c>
      <c r="N80" s="17" t="str">
        <f t="shared" si="15"/>
        <v/>
      </c>
      <c r="O80" s="14" t="str">
        <f t="shared" si="12"/>
        <v/>
      </c>
      <c r="P80" s="14" t="str">
        <f t="shared" si="16"/>
        <v/>
      </c>
    </row>
    <row r="81" spans="1:16" x14ac:dyDescent="0.25">
      <c r="A81" s="14"/>
      <c r="B81" s="37"/>
      <c r="C81" s="38"/>
      <c r="D81" s="17"/>
      <c r="E81" s="39"/>
      <c r="F81" s="14"/>
      <c r="G81" s="17" t="str">
        <f t="shared" si="13"/>
        <v/>
      </c>
      <c r="H81" s="17" t="str">
        <f>IF(A81="","",B81*Inputs!$B$25 + C81*Inputs!$B$26 + D81*Inputs!$B$27 + E81*Inputs!$B$28)</f>
        <v/>
      </c>
      <c r="I81" s="17" t="str">
        <f t="shared" si="14"/>
        <v/>
      </c>
      <c r="J81" s="14"/>
      <c r="K81" s="14"/>
      <c r="L81" s="17" t="str">
        <f t="shared" si="10"/>
        <v/>
      </c>
      <c r="M81" s="17" t="str">
        <f t="shared" si="11"/>
        <v/>
      </c>
      <c r="N81" s="17" t="str">
        <f t="shared" si="15"/>
        <v/>
      </c>
      <c r="O81" s="14" t="str">
        <f t="shared" si="12"/>
        <v/>
      </c>
      <c r="P81" s="14" t="str">
        <f t="shared" si="16"/>
        <v/>
      </c>
    </row>
    <row r="82" spans="1:16" x14ac:dyDescent="0.25">
      <c r="A82" s="14"/>
      <c r="B82" s="37"/>
      <c r="C82" s="38"/>
      <c r="D82" s="17"/>
      <c r="E82" s="39"/>
      <c r="F82" s="14"/>
      <c r="G82" s="17" t="str">
        <f t="shared" si="13"/>
        <v/>
      </c>
      <c r="H82" s="17" t="str">
        <f>IF(A82="","",B82*Inputs!$B$25 + C82*Inputs!$B$26 + D82*Inputs!$B$27 + E82*Inputs!$B$28)</f>
        <v/>
      </c>
      <c r="I82" s="17" t="str">
        <f t="shared" si="14"/>
        <v/>
      </c>
      <c r="J82" s="14"/>
      <c r="K82" s="14"/>
      <c r="L82" s="17" t="str">
        <f t="shared" si="10"/>
        <v/>
      </c>
      <c r="M82" s="17" t="str">
        <f t="shared" si="11"/>
        <v/>
      </c>
      <c r="N82" s="17" t="str">
        <f t="shared" si="15"/>
        <v/>
      </c>
      <c r="O82" s="14" t="str">
        <f t="shared" si="12"/>
        <v/>
      </c>
      <c r="P82" s="14" t="str">
        <f t="shared" si="16"/>
        <v/>
      </c>
    </row>
    <row r="83" spans="1:16" x14ac:dyDescent="0.25">
      <c r="A83" s="14"/>
      <c r="B83" s="37"/>
      <c r="C83" s="38"/>
      <c r="D83" s="17"/>
      <c r="E83" s="39"/>
      <c r="F83" s="14"/>
      <c r="G83" s="17" t="str">
        <f t="shared" si="13"/>
        <v/>
      </c>
      <c r="H83" s="17" t="str">
        <f>IF(A83="","",B83*Inputs!$B$25 + C83*Inputs!$B$26 + D83*Inputs!$B$27 + E83*Inputs!$B$28)</f>
        <v/>
      </c>
      <c r="I83" s="17" t="str">
        <f t="shared" si="14"/>
        <v/>
      </c>
      <c r="J83" s="14"/>
      <c r="K83" s="14"/>
      <c r="L83" s="17" t="str">
        <f t="shared" si="10"/>
        <v/>
      </c>
      <c r="M83" s="17" t="str">
        <f t="shared" si="11"/>
        <v/>
      </c>
      <c r="N83" s="17" t="str">
        <f t="shared" si="15"/>
        <v/>
      </c>
      <c r="O83" s="14" t="str">
        <f t="shared" si="12"/>
        <v/>
      </c>
      <c r="P83" s="14" t="str">
        <f t="shared" si="16"/>
        <v/>
      </c>
    </row>
    <row r="84" spans="1:16" x14ac:dyDescent="0.25">
      <c r="A84" s="14"/>
      <c r="B84" s="37"/>
      <c r="C84" s="38"/>
      <c r="D84" s="17"/>
      <c r="E84" s="39"/>
      <c r="F84" s="14"/>
      <c r="G84" s="17" t="str">
        <f t="shared" si="13"/>
        <v/>
      </c>
      <c r="H84" s="17" t="str">
        <f>IF(A84="","",B84*Inputs!$B$25 + C84*Inputs!$B$26 + D84*Inputs!$B$27 + E84*Inputs!$B$28)</f>
        <v/>
      </c>
      <c r="I84" s="17" t="str">
        <f t="shared" si="14"/>
        <v/>
      </c>
      <c r="J84" s="14"/>
      <c r="K84" s="14"/>
      <c r="L84" s="17" t="str">
        <f t="shared" ref="L84:L115" si="17">IF(A84="","",B84+C84+E84)</f>
        <v/>
      </c>
      <c r="M84" s="17" t="str">
        <f t="shared" ref="M84:M115" si="18">IF(A84="","",D84)</f>
        <v/>
      </c>
      <c r="N84" s="17" t="str">
        <f t="shared" si="15"/>
        <v/>
      </c>
      <c r="O84" s="14" t="str">
        <f t="shared" ref="O84:O115" si="19">IF(A84="","",IF(COUNT(B84:E84)=0,"MISSING",IF(MIN(B84:E84)&lt;0,"INVALID_NEG",IF(SUM(B84:E84)=0,"ZERO_TOTAL",IF(COUNTIF(B84:E84,MAX(B84:E84))&gt;1,"MIXED/TIE",IF(MAX(B84:E84)=B84,"ROOF",IF(MAX(B84:E84)=C84,"PAVEMENT",IF(MAX(B84:E84)=D84,"GRASS","OTHER"))))))))</f>
        <v/>
      </c>
      <c r="P84" s="14" t="str">
        <f t="shared" si="16"/>
        <v/>
      </c>
    </row>
    <row r="85" spans="1:16" x14ac:dyDescent="0.25">
      <c r="A85" s="14"/>
      <c r="B85" s="37"/>
      <c r="C85" s="38"/>
      <c r="D85" s="17"/>
      <c r="E85" s="39"/>
      <c r="F85" s="14"/>
      <c r="G85" s="17" t="str">
        <f t="shared" si="13"/>
        <v/>
      </c>
      <c r="H85" s="17" t="str">
        <f>IF(A85="","",B85*Inputs!$B$25 + C85*Inputs!$B$26 + D85*Inputs!$B$27 + E85*Inputs!$B$28)</f>
        <v/>
      </c>
      <c r="I85" s="17" t="str">
        <f t="shared" si="14"/>
        <v/>
      </c>
      <c r="J85" s="14"/>
      <c r="K85" s="14"/>
      <c r="L85" s="17" t="str">
        <f t="shared" si="17"/>
        <v/>
      </c>
      <c r="M85" s="17" t="str">
        <f t="shared" si="18"/>
        <v/>
      </c>
      <c r="N85" s="17" t="str">
        <f t="shared" si="15"/>
        <v/>
      </c>
      <c r="O85" s="14" t="str">
        <f t="shared" si="19"/>
        <v/>
      </c>
      <c r="P85" s="14" t="str">
        <f t="shared" si="16"/>
        <v/>
      </c>
    </row>
    <row r="86" spans="1:16" x14ac:dyDescent="0.25">
      <c r="A86" s="14"/>
      <c r="B86" s="37"/>
      <c r="C86" s="38"/>
      <c r="D86" s="17"/>
      <c r="E86" s="39"/>
      <c r="F86" s="14"/>
      <c r="G86" s="17" t="str">
        <f t="shared" si="13"/>
        <v/>
      </c>
      <c r="H86" s="17" t="str">
        <f>IF(A86="","",B86*Inputs!$B$25 + C86*Inputs!$B$26 + D86*Inputs!$B$27 + E86*Inputs!$B$28)</f>
        <v/>
      </c>
      <c r="I86" s="17" t="str">
        <f t="shared" si="14"/>
        <v/>
      </c>
      <c r="J86" s="14"/>
      <c r="K86" s="14"/>
      <c r="L86" s="17" t="str">
        <f t="shared" si="17"/>
        <v/>
      </c>
      <c r="M86" s="17" t="str">
        <f t="shared" si="18"/>
        <v/>
      </c>
      <c r="N86" s="17" t="str">
        <f t="shared" si="15"/>
        <v/>
      </c>
      <c r="O86" s="14" t="str">
        <f t="shared" si="19"/>
        <v/>
      </c>
      <c r="P86" s="14" t="str">
        <f t="shared" si="16"/>
        <v/>
      </c>
    </row>
    <row r="87" spans="1:16" x14ac:dyDescent="0.25">
      <c r="A87" s="14"/>
      <c r="B87" s="37"/>
      <c r="C87" s="38"/>
      <c r="D87" s="17"/>
      <c r="E87" s="39"/>
      <c r="F87" s="14"/>
      <c r="G87" s="17" t="str">
        <f t="shared" si="13"/>
        <v/>
      </c>
      <c r="H87" s="17" t="str">
        <f>IF(A87="","",B87*Inputs!$B$25 + C87*Inputs!$B$26 + D87*Inputs!$B$27 + E87*Inputs!$B$28)</f>
        <v/>
      </c>
      <c r="I87" s="17" t="str">
        <f t="shared" si="14"/>
        <v/>
      </c>
      <c r="J87" s="14"/>
      <c r="K87" s="14"/>
      <c r="L87" s="17" t="str">
        <f t="shared" si="17"/>
        <v/>
      </c>
      <c r="M87" s="17" t="str">
        <f t="shared" si="18"/>
        <v/>
      </c>
      <c r="N87" s="17" t="str">
        <f t="shared" si="15"/>
        <v/>
      </c>
      <c r="O87" s="14" t="str">
        <f t="shared" si="19"/>
        <v/>
      </c>
      <c r="P87" s="14" t="str">
        <f t="shared" si="16"/>
        <v/>
      </c>
    </row>
    <row r="88" spans="1:16" x14ac:dyDescent="0.25">
      <c r="A88" s="14"/>
      <c r="B88" s="37"/>
      <c r="C88" s="38"/>
      <c r="D88" s="17"/>
      <c r="E88" s="39"/>
      <c r="F88" s="14"/>
      <c r="G88" s="17" t="str">
        <f t="shared" si="13"/>
        <v/>
      </c>
      <c r="H88" s="17" t="str">
        <f>IF(A88="","",B88*Inputs!$B$25 + C88*Inputs!$B$26 + D88*Inputs!$B$27 + E88*Inputs!$B$28)</f>
        <v/>
      </c>
      <c r="I88" s="17" t="str">
        <f t="shared" si="14"/>
        <v/>
      </c>
      <c r="J88" s="14"/>
      <c r="K88" s="14"/>
      <c r="L88" s="17" t="str">
        <f t="shared" si="17"/>
        <v/>
      </c>
      <c r="M88" s="17" t="str">
        <f t="shared" si="18"/>
        <v/>
      </c>
      <c r="N88" s="17" t="str">
        <f t="shared" si="15"/>
        <v/>
      </c>
      <c r="O88" s="14" t="str">
        <f t="shared" si="19"/>
        <v/>
      </c>
      <c r="P88" s="14" t="str">
        <f t="shared" si="16"/>
        <v/>
      </c>
    </row>
    <row r="89" spans="1:16" x14ac:dyDescent="0.25">
      <c r="A89" s="14"/>
      <c r="B89" s="37"/>
      <c r="C89" s="38"/>
      <c r="D89" s="17"/>
      <c r="E89" s="39"/>
      <c r="F89" s="14"/>
      <c r="G89" s="17" t="str">
        <f t="shared" si="13"/>
        <v/>
      </c>
      <c r="H89" s="17" t="str">
        <f>IF(A89="","",B89*Inputs!$B$25 + C89*Inputs!$B$26 + D89*Inputs!$B$27 + E89*Inputs!$B$28)</f>
        <v/>
      </c>
      <c r="I89" s="17" t="str">
        <f t="shared" si="14"/>
        <v/>
      </c>
      <c r="J89" s="14"/>
      <c r="K89" s="14"/>
      <c r="L89" s="17" t="str">
        <f t="shared" si="17"/>
        <v/>
      </c>
      <c r="M89" s="17" t="str">
        <f t="shared" si="18"/>
        <v/>
      </c>
      <c r="N89" s="17" t="str">
        <f t="shared" si="15"/>
        <v/>
      </c>
      <c r="O89" s="14" t="str">
        <f t="shared" si="19"/>
        <v/>
      </c>
      <c r="P89" s="14" t="str">
        <f t="shared" si="16"/>
        <v/>
      </c>
    </row>
    <row r="90" spans="1:16" x14ac:dyDescent="0.25">
      <c r="A90" s="14"/>
      <c r="B90" s="37"/>
      <c r="C90" s="38"/>
      <c r="D90" s="17"/>
      <c r="E90" s="39"/>
      <c r="F90" s="14"/>
      <c r="G90" s="17" t="str">
        <f t="shared" si="13"/>
        <v/>
      </c>
      <c r="H90" s="17" t="str">
        <f>IF(A90="","",B90*Inputs!$B$25 + C90*Inputs!$B$26 + D90*Inputs!$B$27 + E90*Inputs!$B$28)</f>
        <v/>
      </c>
      <c r="I90" s="17" t="str">
        <f t="shared" si="14"/>
        <v/>
      </c>
      <c r="J90" s="14"/>
      <c r="K90" s="14"/>
      <c r="L90" s="17" t="str">
        <f t="shared" si="17"/>
        <v/>
      </c>
      <c r="M90" s="17" t="str">
        <f t="shared" si="18"/>
        <v/>
      </c>
      <c r="N90" s="17" t="str">
        <f t="shared" si="15"/>
        <v/>
      </c>
      <c r="O90" s="14" t="str">
        <f t="shared" si="19"/>
        <v/>
      </c>
      <c r="P90" s="14" t="str">
        <f t="shared" si="16"/>
        <v/>
      </c>
    </row>
    <row r="91" spans="1:16" x14ac:dyDescent="0.25">
      <c r="A91" s="14"/>
      <c r="B91" s="37"/>
      <c r="C91" s="38"/>
      <c r="D91" s="17"/>
      <c r="E91" s="39"/>
      <c r="F91" s="14"/>
      <c r="G91" s="17" t="str">
        <f t="shared" si="13"/>
        <v/>
      </c>
      <c r="H91" s="17" t="str">
        <f>IF(A91="","",B91*Inputs!$B$25 + C91*Inputs!$B$26 + D91*Inputs!$B$27 + E91*Inputs!$B$28)</f>
        <v/>
      </c>
      <c r="I91" s="17" t="str">
        <f t="shared" si="14"/>
        <v/>
      </c>
      <c r="J91" s="14"/>
      <c r="K91" s="14"/>
      <c r="L91" s="17" t="str">
        <f t="shared" si="17"/>
        <v/>
      </c>
      <c r="M91" s="17" t="str">
        <f t="shared" si="18"/>
        <v/>
      </c>
      <c r="N91" s="17" t="str">
        <f t="shared" si="15"/>
        <v/>
      </c>
      <c r="O91" s="14" t="str">
        <f t="shared" si="19"/>
        <v/>
      </c>
      <c r="P91" s="14" t="str">
        <f t="shared" si="16"/>
        <v/>
      </c>
    </row>
    <row r="92" spans="1:16" x14ac:dyDescent="0.25">
      <c r="A92" s="14"/>
      <c r="B92" s="37"/>
      <c r="C92" s="38"/>
      <c r="D92" s="17"/>
      <c r="E92" s="39"/>
      <c r="F92" s="14"/>
      <c r="G92" s="17" t="str">
        <f t="shared" si="13"/>
        <v/>
      </c>
      <c r="H92" s="17" t="str">
        <f>IF(A92="","",B92*Inputs!$B$25 + C92*Inputs!$B$26 + D92*Inputs!$B$27 + E92*Inputs!$B$28)</f>
        <v/>
      </c>
      <c r="I92" s="17" t="str">
        <f t="shared" si="14"/>
        <v/>
      </c>
      <c r="J92" s="14"/>
      <c r="K92" s="14"/>
      <c r="L92" s="17" t="str">
        <f t="shared" si="17"/>
        <v/>
      </c>
      <c r="M92" s="17" t="str">
        <f t="shared" si="18"/>
        <v/>
      </c>
      <c r="N92" s="17" t="str">
        <f t="shared" si="15"/>
        <v/>
      </c>
      <c r="O92" s="14" t="str">
        <f t="shared" si="19"/>
        <v/>
      </c>
      <c r="P92" s="14" t="str">
        <f t="shared" si="16"/>
        <v/>
      </c>
    </row>
    <row r="93" spans="1:16" x14ac:dyDescent="0.25">
      <c r="A93" s="14"/>
      <c r="B93" s="37"/>
      <c r="C93" s="38"/>
      <c r="D93" s="17"/>
      <c r="E93" s="39"/>
      <c r="F93" s="14"/>
      <c r="G93" s="17" t="str">
        <f t="shared" si="13"/>
        <v/>
      </c>
      <c r="H93" s="17" t="str">
        <f>IF(A93="","",B93*Inputs!$B$25 + C93*Inputs!$B$26 + D93*Inputs!$B$27 + E93*Inputs!$B$28)</f>
        <v/>
      </c>
      <c r="I93" s="17" t="str">
        <f t="shared" si="14"/>
        <v/>
      </c>
      <c r="J93" s="14"/>
      <c r="K93" s="14"/>
      <c r="L93" s="17" t="str">
        <f t="shared" si="17"/>
        <v/>
      </c>
      <c r="M93" s="17" t="str">
        <f t="shared" si="18"/>
        <v/>
      </c>
      <c r="N93" s="17" t="str">
        <f t="shared" si="15"/>
        <v/>
      </c>
      <c r="O93" s="14" t="str">
        <f t="shared" si="19"/>
        <v/>
      </c>
      <c r="P93" s="14" t="str">
        <f t="shared" si="16"/>
        <v/>
      </c>
    </row>
    <row r="94" spans="1:16" x14ac:dyDescent="0.25">
      <c r="A94" s="14"/>
      <c r="B94" s="37"/>
      <c r="C94" s="38"/>
      <c r="D94" s="17"/>
      <c r="E94" s="39"/>
      <c r="F94" s="14"/>
      <c r="G94" s="17" t="str">
        <f t="shared" si="13"/>
        <v/>
      </c>
      <c r="H94" s="17" t="str">
        <f>IF(A94="","",B94*Inputs!$B$25 + C94*Inputs!$B$26 + D94*Inputs!$B$27 + E94*Inputs!$B$28)</f>
        <v/>
      </c>
      <c r="I94" s="17" t="str">
        <f t="shared" si="14"/>
        <v/>
      </c>
      <c r="J94" s="14"/>
      <c r="K94" s="14"/>
      <c r="L94" s="17" t="str">
        <f t="shared" si="17"/>
        <v/>
      </c>
      <c r="M94" s="17" t="str">
        <f t="shared" si="18"/>
        <v/>
      </c>
      <c r="N94" s="17" t="str">
        <f t="shared" si="15"/>
        <v/>
      </c>
      <c r="O94" s="14" t="str">
        <f t="shared" si="19"/>
        <v/>
      </c>
      <c r="P94" s="14" t="str">
        <f t="shared" si="16"/>
        <v/>
      </c>
    </row>
    <row r="95" spans="1:16" x14ac:dyDescent="0.25">
      <c r="A95" s="14"/>
      <c r="B95" s="37"/>
      <c r="C95" s="38"/>
      <c r="D95" s="17"/>
      <c r="E95" s="39"/>
      <c r="F95" s="14"/>
      <c r="G95" s="17" t="str">
        <f t="shared" si="13"/>
        <v/>
      </c>
      <c r="H95" s="17" t="str">
        <f>IF(A95="","",B95*Inputs!$B$25 + C95*Inputs!$B$26 + D95*Inputs!$B$27 + E95*Inputs!$B$28)</f>
        <v/>
      </c>
      <c r="I95" s="17" t="str">
        <f t="shared" si="14"/>
        <v/>
      </c>
      <c r="J95" s="14"/>
      <c r="K95" s="14"/>
      <c r="L95" s="17" t="str">
        <f t="shared" si="17"/>
        <v/>
      </c>
      <c r="M95" s="17" t="str">
        <f t="shared" si="18"/>
        <v/>
      </c>
      <c r="N95" s="17" t="str">
        <f t="shared" si="15"/>
        <v/>
      </c>
      <c r="O95" s="14" t="str">
        <f t="shared" si="19"/>
        <v/>
      </c>
      <c r="P95" s="14" t="str">
        <f t="shared" si="16"/>
        <v/>
      </c>
    </row>
    <row r="96" spans="1:16" x14ac:dyDescent="0.25">
      <c r="A96" s="14"/>
      <c r="B96" s="37"/>
      <c r="C96" s="38"/>
      <c r="D96" s="17"/>
      <c r="E96" s="39"/>
      <c r="F96" s="14"/>
      <c r="G96" s="17" t="str">
        <f t="shared" si="13"/>
        <v/>
      </c>
      <c r="H96" s="17" t="str">
        <f>IF(A96="","",B96*Inputs!$B$25 + C96*Inputs!$B$26 + D96*Inputs!$B$27 + E96*Inputs!$B$28)</f>
        <v/>
      </c>
      <c r="I96" s="17" t="str">
        <f t="shared" si="14"/>
        <v/>
      </c>
      <c r="J96" s="14"/>
      <c r="K96" s="14"/>
      <c r="L96" s="17" t="str">
        <f t="shared" si="17"/>
        <v/>
      </c>
      <c r="M96" s="17" t="str">
        <f t="shared" si="18"/>
        <v/>
      </c>
      <c r="N96" s="17" t="str">
        <f t="shared" si="15"/>
        <v/>
      </c>
      <c r="O96" s="14" t="str">
        <f t="shared" si="19"/>
        <v/>
      </c>
      <c r="P96" s="14" t="str">
        <f t="shared" si="16"/>
        <v/>
      </c>
    </row>
    <row r="97" spans="1:16" x14ac:dyDescent="0.25">
      <c r="A97" s="14"/>
      <c r="B97" s="37"/>
      <c r="C97" s="38"/>
      <c r="D97" s="17"/>
      <c r="E97" s="39"/>
      <c r="F97" s="14"/>
      <c r="G97" s="17" t="str">
        <f t="shared" si="13"/>
        <v/>
      </c>
      <c r="H97" s="17" t="str">
        <f>IF(A97="","",B97*Inputs!$B$25 + C97*Inputs!$B$26 + D97*Inputs!$B$27 + E97*Inputs!$B$28)</f>
        <v/>
      </c>
      <c r="I97" s="17" t="str">
        <f t="shared" si="14"/>
        <v/>
      </c>
      <c r="J97" s="14"/>
      <c r="K97" s="14"/>
      <c r="L97" s="17" t="str">
        <f t="shared" si="17"/>
        <v/>
      </c>
      <c r="M97" s="17" t="str">
        <f t="shared" si="18"/>
        <v/>
      </c>
      <c r="N97" s="17" t="str">
        <f t="shared" si="15"/>
        <v/>
      </c>
      <c r="O97" s="14" t="str">
        <f t="shared" si="19"/>
        <v/>
      </c>
      <c r="P97" s="14" t="str">
        <f t="shared" si="16"/>
        <v/>
      </c>
    </row>
    <row r="98" spans="1:16" x14ac:dyDescent="0.25">
      <c r="A98" s="14"/>
      <c r="B98" s="37"/>
      <c r="C98" s="38"/>
      <c r="D98" s="17"/>
      <c r="E98" s="39"/>
      <c r="F98" s="14"/>
      <c r="G98" s="17" t="str">
        <f t="shared" si="13"/>
        <v/>
      </c>
      <c r="H98" s="17" t="str">
        <f>IF(A98="","",B98*Inputs!$B$25 + C98*Inputs!$B$26 + D98*Inputs!$B$27 + E98*Inputs!$B$28)</f>
        <v/>
      </c>
      <c r="I98" s="17" t="str">
        <f t="shared" si="14"/>
        <v/>
      </c>
      <c r="J98" s="14"/>
      <c r="K98" s="14"/>
      <c r="L98" s="17" t="str">
        <f t="shared" si="17"/>
        <v/>
      </c>
      <c r="M98" s="17" t="str">
        <f t="shared" si="18"/>
        <v/>
      </c>
      <c r="N98" s="17" t="str">
        <f t="shared" si="15"/>
        <v/>
      </c>
      <c r="O98" s="14" t="str">
        <f t="shared" si="19"/>
        <v/>
      </c>
      <c r="P98" s="14" t="str">
        <f t="shared" si="16"/>
        <v/>
      </c>
    </row>
    <row r="99" spans="1:16" x14ac:dyDescent="0.25">
      <c r="A99" s="14"/>
      <c r="B99" s="37"/>
      <c r="C99" s="38"/>
      <c r="D99" s="17"/>
      <c r="E99" s="39"/>
      <c r="F99" s="14"/>
      <c r="G99" s="17" t="str">
        <f t="shared" si="13"/>
        <v/>
      </c>
      <c r="H99" s="17" t="str">
        <f>IF(A99="","",B99*Inputs!$B$25 + C99*Inputs!$B$26 + D99*Inputs!$B$27 + E99*Inputs!$B$28)</f>
        <v/>
      </c>
      <c r="I99" s="17" t="str">
        <f t="shared" si="14"/>
        <v/>
      </c>
      <c r="J99" s="14"/>
      <c r="K99" s="14"/>
      <c r="L99" s="17" t="str">
        <f t="shared" si="17"/>
        <v/>
      </c>
      <c r="M99" s="17" t="str">
        <f t="shared" si="18"/>
        <v/>
      </c>
      <c r="N99" s="17" t="str">
        <f t="shared" si="15"/>
        <v/>
      </c>
      <c r="O99" s="14" t="str">
        <f t="shared" si="19"/>
        <v/>
      </c>
      <c r="P99" s="14" t="str">
        <f t="shared" si="16"/>
        <v/>
      </c>
    </row>
    <row r="100" spans="1:16" x14ac:dyDescent="0.25">
      <c r="A100" s="14"/>
      <c r="B100" s="37"/>
      <c r="C100" s="38"/>
      <c r="D100" s="17"/>
      <c r="E100" s="39"/>
      <c r="F100" s="14"/>
      <c r="G100" s="17" t="str">
        <f t="shared" si="13"/>
        <v/>
      </c>
      <c r="H100" s="17" t="str">
        <f>IF(A100="","",B100*Inputs!$B$25 + C100*Inputs!$B$26 + D100*Inputs!$B$27 + E100*Inputs!$B$28)</f>
        <v/>
      </c>
      <c r="I100" s="17" t="str">
        <f t="shared" si="14"/>
        <v/>
      </c>
      <c r="J100" s="14"/>
      <c r="K100" s="14"/>
      <c r="L100" s="17" t="str">
        <f t="shared" si="17"/>
        <v/>
      </c>
      <c r="M100" s="17" t="str">
        <f t="shared" si="18"/>
        <v/>
      </c>
      <c r="N100" s="17" t="str">
        <f t="shared" si="15"/>
        <v/>
      </c>
      <c r="O100" s="14" t="str">
        <f t="shared" si="19"/>
        <v/>
      </c>
      <c r="P100" s="14" t="str">
        <f t="shared" si="16"/>
        <v/>
      </c>
    </row>
    <row r="101" spans="1:16" x14ac:dyDescent="0.25">
      <c r="A101" s="14"/>
      <c r="B101" s="37"/>
      <c r="C101" s="38"/>
      <c r="D101" s="17"/>
      <c r="E101" s="39"/>
      <c r="F101" s="14"/>
      <c r="G101" s="17" t="str">
        <f t="shared" si="13"/>
        <v/>
      </c>
      <c r="H101" s="17" t="str">
        <f>IF(A101="","",B101*Inputs!$B$25 + C101*Inputs!$B$26 + D101*Inputs!$B$27 + E101*Inputs!$B$28)</f>
        <v/>
      </c>
      <c r="I101" s="17" t="str">
        <f t="shared" si="14"/>
        <v/>
      </c>
      <c r="J101" s="14"/>
      <c r="K101" s="14"/>
      <c r="L101" s="17" t="str">
        <f t="shared" si="17"/>
        <v/>
      </c>
      <c r="M101" s="17" t="str">
        <f t="shared" si="18"/>
        <v/>
      </c>
      <c r="N101" s="17" t="str">
        <f t="shared" si="15"/>
        <v/>
      </c>
      <c r="O101" s="14" t="str">
        <f t="shared" si="19"/>
        <v/>
      </c>
      <c r="P101" s="14" t="str">
        <f t="shared" si="16"/>
        <v/>
      </c>
    </row>
    <row r="102" spans="1:16" x14ac:dyDescent="0.25">
      <c r="A102" s="14"/>
      <c r="B102" s="37"/>
      <c r="C102" s="38"/>
      <c r="D102" s="17"/>
      <c r="E102" s="39"/>
      <c r="F102" s="14"/>
      <c r="G102" s="17" t="str">
        <f t="shared" si="13"/>
        <v/>
      </c>
      <c r="H102" s="17" t="str">
        <f>IF(A102="","",B102*Inputs!$B$25 + C102*Inputs!$B$26 + D102*Inputs!$B$27 + E102*Inputs!$B$28)</f>
        <v/>
      </c>
      <c r="I102" s="17" t="str">
        <f t="shared" si="14"/>
        <v/>
      </c>
      <c r="J102" s="14"/>
      <c r="K102" s="14"/>
      <c r="L102" s="17" t="str">
        <f t="shared" si="17"/>
        <v/>
      </c>
      <c r="M102" s="17" t="str">
        <f t="shared" si="18"/>
        <v/>
      </c>
      <c r="N102" s="17" t="str">
        <f t="shared" si="15"/>
        <v/>
      </c>
      <c r="O102" s="14" t="str">
        <f t="shared" si="19"/>
        <v/>
      </c>
      <c r="P102" s="14" t="str">
        <f t="shared" si="16"/>
        <v/>
      </c>
    </row>
    <row r="103" spans="1:16" x14ac:dyDescent="0.25">
      <c r="A103" s="14"/>
      <c r="B103" s="37"/>
      <c r="C103" s="38"/>
      <c r="D103" s="17"/>
      <c r="E103" s="39"/>
      <c r="F103" s="14"/>
      <c r="G103" s="17" t="str">
        <f t="shared" si="13"/>
        <v/>
      </c>
      <c r="H103" s="17" t="str">
        <f>IF(A103="","",B103*Inputs!$B$25 + C103*Inputs!$B$26 + D103*Inputs!$B$27 + E103*Inputs!$B$28)</f>
        <v/>
      </c>
      <c r="I103" s="17" t="str">
        <f t="shared" si="14"/>
        <v/>
      </c>
      <c r="J103" s="14"/>
      <c r="K103" s="14"/>
      <c r="L103" s="17" t="str">
        <f t="shared" si="17"/>
        <v/>
      </c>
      <c r="M103" s="17" t="str">
        <f t="shared" si="18"/>
        <v/>
      </c>
      <c r="N103" s="17" t="str">
        <f t="shared" si="15"/>
        <v/>
      </c>
      <c r="O103" s="14" t="str">
        <f t="shared" si="19"/>
        <v/>
      </c>
      <c r="P103" s="14" t="str">
        <f t="shared" si="16"/>
        <v/>
      </c>
    </row>
    <row r="104" spans="1:16" x14ac:dyDescent="0.25">
      <c r="A104" s="14"/>
      <c r="B104" s="37"/>
      <c r="C104" s="38"/>
      <c r="D104" s="17"/>
      <c r="E104" s="39"/>
      <c r="F104" s="14"/>
      <c r="G104" s="17" t="str">
        <f t="shared" si="13"/>
        <v/>
      </c>
      <c r="H104" s="17" t="str">
        <f>IF(A104="","",B104*Inputs!$B$25 + C104*Inputs!$B$26 + D104*Inputs!$B$27 + E104*Inputs!$B$28)</f>
        <v/>
      </c>
      <c r="I104" s="17" t="str">
        <f t="shared" si="14"/>
        <v/>
      </c>
      <c r="J104" s="14"/>
      <c r="K104" s="14"/>
      <c r="L104" s="17" t="str">
        <f t="shared" si="17"/>
        <v/>
      </c>
      <c r="M104" s="17" t="str">
        <f t="shared" si="18"/>
        <v/>
      </c>
      <c r="N104" s="17" t="str">
        <f t="shared" si="15"/>
        <v/>
      </c>
      <c r="O104" s="14" t="str">
        <f t="shared" si="19"/>
        <v/>
      </c>
      <c r="P104" s="14" t="str">
        <f t="shared" si="16"/>
        <v/>
      </c>
    </row>
    <row r="105" spans="1:16" x14ac:dyDescent="0.25">
      <c r="A105" s="14"/>
      <c r="B105" s="37"/>
      <c r="C105" s="38"/>
      <c r="D105" s="17"/>
      <c r="E105" s="39"/>
      <c r="F105" s="14"/>
      <c r="G105" s="17" t="str">
        <f t="shared" si="13"/>
        <v/>
      </c>
      <c r="H105" s="17" t="str">
        <f>IF(A105="","",B105*Inputs!$B$25 + C105*Inputs!$B$26 + D105*Inputs!$B$27 + E105*Inputs!$B$28)</f>
        <v/>
      </c>
      <c r="I105" s="17" t="str">
        <f t="shared" si="14"/>
        <v/>
      </c>
      <c r="J105" s="14"/>
      <c r="K105" s="14"/>
      <c r="L105" s="17" t="str">
        <f t="shared" si="17"/>
        <v/>
      </c>
      <c r="M105" s="17" t="str">
        <f t="shared" si="18"/>
        <v/>
      </c>
      <c r="N105" s="17" t="str">
        <f t="shared" si="15"/>
        <v/>
      </c>
      <c r="O105" s="14" t="str">
        <f t="shared" si="19"/>
        <v/>
      </c>
      <c r="P105" s="14" t="str">
        <f t="shared" si="16"/>
        <v/>
      </c>
    </row>
    <row r="106" spans="1:16" x14ac:dyDescent="0.25">
      <c r="A106" s="14"/>
      <c r="B106" s="37"/>
      <c r="C106" s="38"/>
      <c r="D106" s="17"/>
      <c r="E106" s="39"/>
      <c r="F106" s="14"/>
      <c r="G106" s="17" t="str">
        <f t="shared" si="13"/>
        <v/>
      </c>
      <c r="H106" s="17" t="str">
        <f>IF(A106="","",B106*Inputs!$B$25 + C106*Inputs!$B$26 + D106*Inputs!$B$27 + E106*Inputs!$B$28)</f>
        <v/>
      </c>
      <c r="I106" s="17" t="str">
        <f t="shared" si="14"/>
        <v/>
      </c>
      <c r="J106" s="14"/>
      <c r="K106" s="14"/>
      <c r="L106" s="17" t="str">
        <f t="shared" si="17"/>
        <v/>
      </c>
      <c r="M106" s="17" t="str">
        <f t="shared" si="18"/>
        <v/>
      </c>
      <c r="N106" s="17" t="str">
        <f t="shared" si="15"/>
        <v/>
      </c>
      <c r="O106" s="14" t="str">
        <f t="shared" si="19"/>
        <v/>
      </c>
      <c r="P106" s="14" t="str">
        <f t="shared" si="16"/>
        <v/>
      </c>
    </row>
    <row r="107" spans="1:16" x14ac:dyDescent="0.25">
      <c r="A107" s="14"/>
      <c r="B107" s="37"/>
      <c r="C107" s="38"/>
      <c r="D107" s="17"/>
      <c r="E107" s="39"/>
      <c r="F107" s="14"/>
      <c r="G107" s="17" t="str">
        <f t="shared" si="13"/>
        <v/>
      </c>
      <c r="H107" s="17" t="str">
        <f>IF(A107="","",B107*Inputs!$B$25 + C107*Inputs!$B$26 + D107*Inputs!$B$27 + E107*Inputs!$B$28)</f>
        <v/>
      </c>
      <c r="I107" s="17" t="str">
        <f t="shared" si="14"/>
        <v/>
      </c>
      <c r="J107" s="14"/>
      <c r="K107" s="14"/>
      <c r="L107" s="17" t="str">
        <f t="shared" si="17"/>
        <v/>
      </c>
      <c r="M107" s="17" t="str">
        <f t="shared" si="18"/>
        <v/>
      </c>
      <c r="N107" s="17" t="str">
        <f t="shared" si="15"/>
        <v/>
      </c>
      <c r="O107" s="14" t="str">
        <f t="shared" si="19"/>
        <v/>
      </c>
      <c r="P107" s="14" t="str">
        <f t="shared" si="16"/>
        <v/>
      </c>
    </row>
    <row r="108" spans="1:16" x14ac:dyDescent="0.25">
      <c r="A108" s="14"/>
      <c r="B108" s="37"/>
      <c r="C108" s="38"/>
      <c r="D108" s="17"/>
      <c r="E108" s="39"/>
      <c r="F108" s="14"/>
      <c r="G108" s="17" t="str">
        <f t="shared" si="13"/>
        <v/>
      </c>
      <c r="H108" s="17" t="str">
        <f>IF(A108="","",B108*Inputs!$B$25 + C108*Inputs!$B$26 + D108*Inputs!$B$27 + E108*Inputs!$B$28)</f>
        <v/>
      </c>
      <c r="I108" s="17" t="str">
        <f t="shared" si="14"/>
        <v/>
      </c>
      <c r="J108" s="14"/>
      <c r="K108" s="14"/>
      <c r="L108" s="17" t="str">
        <f t="shared" si="17"/>
        <v/>
      </c>
      <c r="M108" s="17" t="str">
        <f t="shared" si="18"/>
        <v/>
      </c>
      <c r="N108" s="17" t="str">
        <f t="shared" si="15"/>
        <v/>
      </c>
      <c r="O108" s="14" t="str">
        <f t="shared" si="19"/>
        <v/>
      </c>
      <c r="P108" s="14" t="str">
        <f t="shared" si="16"/>
        <v/>
      </c>
    </row>
    <row r="109" spans="1:16" x14ac:dyDescent="0.25">
      <c r="A109" s="14"/>
      <c r="B109" s="37"/>
      <c r="C109" s="38"/>
      <c r="D109" s="17"/>
      <c r="E109" s="39"/>
      <c r="F109" s="14"/>
      <c r="G109" s="17" t="str">
        <f t="shared" si="13"/>
        <v/>
      </c>
      <c r="H109" s="17" t="str">
        <f>IF(A109="","",B109*Inputs!$B$25 + C109*Inputs!$B$26 + D109*Inputs!$B$27 + E109*Inputs!$B$28)</f>
        <v/>
      </c>
      <c r="I109" s="17" t="str">
        <f t="shared" si="14"/>
        <v/>
      </c>
      <c r="J109" s="14"/>
      <c r="K109" s="14"/>
      <c r="L109" s="17" t="str">
        <f t="shared" si="17"/>
        <v/>
      </c>
      <c r="M109" s="17" t="str">
        <f t="shared" si="18"/>
        <v/>
      </c>
      <c r="N109" s="17" t="str">
        <f t="shared" si="15"/>
        <v/>
      </c>
      <c r="O109" s="14" t="str">
        <f t="shared" si="19"/>
        <v/>
      </c>
      <c r="P109" s="14" t="str">
        <f t="shared" si="16"/>
        <v/>
      </c>
    </row>
    <row r="110" spans="1:16" x14ac:dyDescent="0.25">
      <c r="A110" s="14"/>
      <c r="B110" s="37"/>
      <c r="C110" s="38"/>
      <c r="D110" s="17"/>
      <c r="E110" s="39"/>
      <c r="F110" s="14"/>
      <c r="G110" s="17" t="str">
        <f t="shared" si="13"/>
        <v/>
      </c>
      <c r="H110" s="17" t="str">
        <f>IF(A110="","",B110*Inputs!$B$25 + C110*Inputs!$B$26 + D110*Inputs!$B$27 + E110*Inputs!$B$28)</f>
        <v/>
      </c>
      <c r="I110" s="17" t="str">
        <f t="shared" si="14"/>
        <v/>
      </c>
      <c r="J110" s="14"/>
      <c r="K110" s="14"/>
      <c r="L110" s="17" t="str">
        <f t="shared" si="17"/>
        <v/>
      </c>
      <c r="M110" s="17" t="str">
        <f t="shared" si="18"/>
        <v/>
      </c>
      <c r="N110" s="17" t="str">
        <f t="shared" si="15"/>
        <v/>
      </c>
      <c r="O110" s="14" t="str">
        <f t="shared" si="19"/>
        <v/>
      </c>
      <c r="P110" s="14" t="str">
        <f t="shared" si="16"/>
        <v/>
      </c>
    </row>
    <row r="111" spans="1:16" x14ac:dyDescent="0.25">
      <c r="A111" s="14"/>
      <c r="B111" s="37"/>
      <c r="C111" s="38"/>
      <c r="D111" s="17"/>
      <c r="E111" s="39"/>
      <c r="F111" s="14"/>
      <c r="G111" s="17" t="str">
        <f t="shared" si="13"/>
        <v/>
      </c>
      <c r="H111" s="17" t="str">
        <f>IF(A111="","",B111*Inputs!$B$25 + C111*Inputs!$B$26 + D111*Inputs!$B$27 + E111*Inputs!$B$28)</f>
        <v/>
      </c>
      <c r="I111" s="17" t="str">
        <f t="shared" si="14"/>
        <v/>
      </c>
      <c r="J111" s="14"/>
      <c r="K111" s="14"/>
      <c r="L111" s="17" t="str">
        <f t="shared" si="17"/>
        <v/>
      </c>
      <c r="M111" s="17" t="str">
        <f t="shared" si="18"/>
        <v/>
      </c>
      <c r="N111" s="17" t="str">
        <f t="shared" si="15"/>
        <v/>
      </c>
      <c r="O111" s="14" t="str">
        <f t="shared" si="19"/>
        <v/>
      </c>
      <c r="P111" s="14" t="str">
        <f t="shared" si="16"/>
        <v/>
      </c>
    </row>
    <row r="112" spans="1:16" x14ac:dyDescent="0.25">
      <c r="A112" s="14"/>
      <c r="B112" s="37"/>
      <c r="C112" s="38"/>
      <c r="D112" s="17"/>
      <c r="E112" s="39"/>
      <c r="F112" s="14"/>
      <c r="G112" s="17" t="str">
        <f t="shared" si="13"/>
        <v/>
      </c>
      <c r="H112" s="17" t="str">
        <f>IF(A112="","",B112*Inputs!$B$25 + C112*Inputs!$B$26 + D112*Inputs!$B$27 + E112*Inputs!$B$28)</f>
        <v/>
      </c>
      <c r="I112" s="17" t="str">
        <f t="shared" si="14"/>
        <v/>
      </c>
      <c r="J112" s="14"/>
      <c r="K112" s="14"/>
      <c r="L112" s="17" t="str">
        <f t="shared" si="17"/>
        <v/>
      </c>
      <c r="M112" s="17" t="str">
        <f t="shared" si="18"/>
        <v/>
      </c>
      <c r="N112" s="17" t="str">
        <f t="shared" si="15"/>
        <v/>
      </c>
      <c r="O112" s="14" t="str">
        <f t="shared" si="19"/>
        <v/>
      </c>
      <c r="P112" s="14" t="str">
        <f t="shared" si="16"/>
        <v/>
      </c>
    </row>
    <row r="113" spans="1:16" x14ac:dyDescent="0.25">
      <c r="A113" s="14"/>
      <c r="B113" s="37"/>
      <c r="C113" s="38"/>
      <c r="D113" s="17"/>
      <c r="E113" s="39"/>
      <c r="F113" s="14"/>
      <c r="G113" s="17" t="str">
        <f t="shared" si="13"/>
        <v/>
      </c>
      <c r="H113" s="17" t="str">
        <f>IF(A113="","",B113*Inputs!$B$25 + C113*Inputs!$B$26 + D113*Inputs!$B$27 + E113*Inputs!$B$28)</f>
        <v/>
      </c>
      <c r="I113" s="17" t="str">
        <f t="shared" si="14"/>
        <v/>
      </c>
      <c r="J113" s="14"/>
      <c r="K113" s="14"/>
      <c r="L113" s="17" t="str">
        <f t="shared" si="17"/>
        <v/>
      </c>
      <c r="M113" s="17" t="str">
        <f t="shared" si="18"/>
        <v/>
      </c>
      <c r="N113" s="17" t="str">
        <f t="shared" si="15"/>
        <v/>
      </c>
      <c r="O113" s="14" t="str">
        <f t="shared" si="19"/>
        <v/>
      </c>
      <c r="P113" s="14" t="str">
        <f t="shared" si="16"/>
        <v/>
      </c>
    </row>
    <row r="114" spans="1:16" x14ac:dyDescent="0.25">
      <c r="A114" s="14"/>
      <c r="B114" s="37"/>
      <c r="C114" s="38"/>
      <c r="D114" s="17"/>
      <c r="E114" s="39"/>
      <c r="F114" s="14"/>
      <c r="G114" s="17" t="str">
        <f t="shared" si="13"/>
        <v/>
      </c>
      <c r="H114" s="17" t="str">
        <f>IF(A114="","",B114*Inputs!$B$25 + C114*Inputs!$B$26 + D114*Inputs!$B$27 + E114*Inputs!$B$28)</f>
        <v/>
      </c>
      <c r="I114" s="17" t="str">
        <f t="shared" si="14"/>
        <v/>
      </c>
      <c r="J114" s="14"/>
      <c r="K114" s="14"/>
      <c r="L114" s="17" t="str">
        <f t="shared" si="17"/>
        <v/>
      </c>
      <c r="M114" s="17" t="str">
        <f t="shared" si="18"/>
        <v/>
      </c>
      <c r="N114" s="17" t="str">
        <f t="shared" si="15"/>
        <v/>
      </c>
      <c r="O114" s="14" t="str">
        <f t="shared" si="19"/>
        <v/>
      </c>
      <c r="P114" s="14" t="str">
        <f t="shared" si="16"/>
        <v/>
      </c>
    </row>
    <row r="115" spans="1:16" x14ac:dyDescent="0.25">
      <c r="A115" s="14"/>
      <c r="B115" s="37"/>
      <c r="C115" s="38"/>
      <c r="D115" s="17"/>
      <c r="E115" s="39"/>
      <c r="F115" s="14"/>
      <c r="G115" s="17" t="str">
        <f t="shared" si="13"/>
        <v/>
      </c>
      <c r="H115" s="17" t="str">
        <f>IF(A115="","",B115*Inputs!$B$25 + C115*Inputs!$B$26 + D115*Inputs!$B$27 + E115*Inputs!$B$28)</f>
        <v/>
      </c>
      <c r="I115" s="17" t="str">
        <f t="shared" si="14"/>
        <v/>
      </c>
      <c r="J115" s="14"/>
      <c r="K115" s="14"/>
      <c r="L115" s="17" t="str">
        <f t="shared" si="17"/>
        <v/>
      </c>
      <c r="M115" s="17" t="str">
        <f t="shared" si="18"/>
        <v/>
      </c>
      <c r="N115" s="17" t="str">
        <f t="shared" si="15"/>
        <v/>
      </c>
      <c r="O115" s="14" t="str">
        <f t="shared" si="19"/>
        <v/>
      </c>
      <c r="P115" s="14" t="str">
        <f t="shared" si="16"/>
        <v/>
      </c>
    </row>
    <row r="116" spans="1:16" x14ac:dyDescent="0.25">
      <c r="A116" s="14"/>
      <c r="B116" s="37"/>
      <c r="C116" s="38"/>
      <c r="D116" s="17"/>
      <c r="E116" s="39"/>
      <c r="F116" s="14"/>
      <c r="G116" s="17" t="str">
        <f t="shared" si="13"/>
        <v/>
      </c>
      <c r="H116" s="17" t="str">
        <f>IF(A116="","",B116*Inputs!$B$25 + C116*Inputs!$B$26 + D116*Inputs!$B$27 + E116*Inputs!$B$28)</f>
        <v/>
      </c>
      <c r="I116" s="17" t="str">
        <f t="shared" si="14"/>
        <v/>
      </c>
      <c r="J116" s="14"/>
      <c r="K116" s="14"/>
      <c r="L116" s="17" t="str">
        <f t="shared" ref="L116:L147" si="20">IF(A116="","",B116+C116+E116)</f>
        <v/>
      </c>
      <c r="M116" s="17" t="str">
        <f t="shared" ref="M116:M147" si="21">IF(A116="","",D116)</f>
        <v/>
      </c>
      <c r="N116" s="17" t="str">
        <f t="shared" si="15"/>
        <v/>
      </c>
      <c r="O116" s="14" t="str">
        <f t="shared" ref="O116:O147" si="22">IF(A116="","",IF(COUNT(B116:E116)=0,"MISSING",IF(MIN(B116:E116)&lt;0,"INVALID_NEG",IF(SUM(B116:E116)=0,"ZERO_TOTAL",IF(COUNTIF(B116:E116,MAX(B116:E116))&gt;1,"MIXED/TIE",IF(MAX(B116:E116)=B116,"ROOF",IF(MAX(B116:E116)=C116,"PAVEMENT",IF(MAX(B116:E116)=D116,"GRASS","OTHER"))))))))</f>
        <v/>
      </c>
      <c r="P116" s="14" t="str">
        <f t="shared" si="16"/>
        <v/>
      </c>
    </row>
    <row r="117" spans="1:16" x14ac:dyDescent="0.25">
      <c r="A117" s="14"/>
      <c r="B117" s="37"/>
      <c r="C117" s="38"/>
      <c r="D117" s="17"/>
      <c r="E117" s="39"/>
      <c r="F117" s="14"/>
      <c r="G117" s="17" t="str">
        <f t="shared" si="13"/>
        <v/>
      </c>
      <c r="H117" s="17" t="str">
        <f>IF(A117="","",B117*Inputs!$B$25 + C117*Inputs!$B$26 + D117*Inputs!$B$27 + E117*Inputs!$B$28)</f>
        <v/>
      </c>
      <c r="I117" s="17" t="str">
        <f t="shared" si="14"/>
        <v/>
      </c>
      <c r="J117" s="14"/>
      <c r="K117" s="14"/>
      <c r="L117" s="17" t="str">
        <f t="shared" si="20"/>
        <v/>
      </c>
      <c r="M117" s="17" t="str">
        <f t="shared" si="21"/>
        <v/>
      </c>
      <c r="N117" s="17" t="str">
        <f t="shared" si="15"/>
        <v/>
      </c>
      <c r="O117" s="14" t="str">
        <f t="shared" si="22"/>
        <v/>
      </c>
      <c r="P117" s="14" t="str">
        <f t="shared" si="16"/>
        <v/>
      </c>
    </row>
    <row r="118" spans="1:16" x14ac:dyDescent="0.25">
      <c r="A118" s="14"/>
      <c r="B118" s="37"/>
      <c r="C118" s="38"/>
      <c r="D118" s="17"/>
      <c r="E118" s="39"/>
      <c r="F118" s="14"/>
      <c r="G118" s="17" t="str">
        <f t="shared" si="13"/>
        <v/>
      </c>
      <c r="H118" s="17" t="str">
        <f>IF(A118="","",B118*Inputs!$B$25 + C118*Inputs!$B$26 + D118*Inputs!$B$27 + E118*Inputs!$B$28)</f>
        <v/>
      </c>
      <c r="I118" s="17" t="str">
        <f t="shared" si="14"/>
        <v/>
      </c>
      <c r="J118" s="14"/>
      <c r="K118" s="14"/>
      <c r="L118" s="17" t="str">
        <f t="shared" si="20"/>
        <v/>
      </c>
      <c r="M118" s="17" t="str">
        <f t="shared" si="21"/>
        <v/>
      </c>
      <c r="N118" s="17" t="str">
        <f t="shared" si="15"/>
        <v/>
      </c>
      <c r="O118" s="14" t="str">
        <f t="shared" si="22"/>
        <v/>
      </c>
      <c r="P118" s="14" t="str">
        <f t="shared" si="16"/>
        <v/>
      </c>
    </row>
    <row r="119" spans="1:16" x14ac:dyDescent="0.25">
      <c r="A119" s="14"/>
      <c r="B119" s="37"/>
      <c r="C119" s="38"/>
      <c r="D119" s="17"/>
      <c r="E119" s="39"/>
      <c r="F119" s="14"/>
      <c r="G119" s="17" t="str">
        <f t="shared" si="13"/>
        <v/>
      </c>
      <c r="H119" s="17" t="str">
        <f>IF(A119="","",B119*Inputs!$B$25 + C119*Inputs!$B$26 + D119*Inputs!$B$27 + E119*Inputs!$B$28)</f>
        <v/>
      </c>
      <c r="I119" s="17" t="str">
        <f t="shared" si="14"/>
        <v/>
      </c>
      <c r="J119" s="14"/>
      <c r="K119" s="14"/>
      <c r="L119" s="17" t="str">
        <f t="shared" si="20"/>
        <v/>
      </c>
      <c r="M119" s="17" t="str">
        <f t="shared" si="21"/>
        <v/>
      </c>
      <c r="N119" s="17" t="str">
        <f t="shared" si="15"/>
        <v/>
      </c>
      <c r="O119" s="14" t="str">
        <f t="shared" si="22"/>
        <v/>
      </c>
      <c r="P119" s="14" t="str">
        <f t="shared" si="16"/>
        <v/>
      </c>
    </row>
    <row r="120" spans="1:16" x14ac:dyDescent="0.25">
      <c r="A120" s="14"/>
      <c r="B120" s="37"/>
      <c r="C120" s="38"/>
      <c r="D120" s="17"/>
      <c r="E120" s="39"/>
      <c r="F120" s="14"/>
      <c r="G120" s="17" t="str">
        <f t="shared" si="13"/>
        <v/>
      </c>
      <c r="H120" s="17" t="str">
        <f>IF(A120="","",B120*Inputs!$B$25 + C120*Inputs!$B$26 + D120*Inputs!$B$27 + E120*Inputs!$B$28)</f>
        <v/>
      </c>
      <c r="I120" s="17" t="str">
        <f t="shared" si="14"/>
        <v/>
      </c>
      <c r="J120" s="14"/>
      <c r="K120" s="14"/>
      <c r="L120" s="17" t="str">
        <f t="shared" si="20"/>
        <v/>
      </c>
      <c r="M120" s="17" t="str">
        <f t="shared" si="21"/>
        <v/>
      </c>
      <c r="N120" s="17" t="str">
        <f t="shared" si="15"/>
        <v/>
      </c>
      <c r="O120" s="14" t="str">
        <f t="shared" si="22"/>
        <v/>
      </c>
      <c r="P120" s="14" t="str">
        <f t="shared" si="16"/>
        <v/>
      </c>
    </row>
    <row r="121" spans="1:16" x14ac:dyDescent="0.25">
      <c r="A121" s="14"/>
      <c r="B121" s="37"/>
      <c r="C121" s="38"/>
      <c r="D121" s="17"/>
      <c r="E121" s="39"/>
      <c r="F121" s="14"/>
      <c r="G121" s="17" t="str">
        <f t="shared" si="13"/>
        <v/>
      </c>
      <c r="H121" s="17" t="str">
        <f>IF(A121="","",B121*Inputs!$B$25 + C121*Inputs!$B$26 + D121*Inputs!$B$27 + E121*Inputs!$B$28)</f>
        <v/>
      </c>
      <c r="I121" s="17" t="str">
        <f t="shared" si="14"/>
        <v/>
      </c>
      <c r="J121" s="14"/>
      <c r="K121" s="14"/>
      <c r="L121" s="17" t="str">
        <f t="shared" si="20"/>
        <v/>
      </c>
      <c r="M121" s="17" t="str">
        <f t="shared" si="21"/>
        <v/>
      </c>
      <c r="N121" s="17" t="str">
        <f t="shared" si="15"/>
        <v/>
      </c>
      <c r="O121" s="14" t="str">
        <f t="shared" si="22"/>
        <v/>
      </c>
      <c r="P121" s="14" t="str">
        <f t="shared" si="16"/>
        <v/>
      </c>
    </row>
    <row r="122" spans="1:16" x14ac:dyDescent="0.25">
      <c r="A122" s="14"/>
      <c r="B122" s="37"/>
      <c r="C122" s="38"/>
      <c r="D122" s="17"/>
      <c r="E122" s="39"/>
      <c r="F122" s="14"/>
      <c r="G122" s="17" t="str">
        <f t="shared" si="13"/>
        <v/>
      </c>
      <c r="H122" s="17" t="str">
        <f>IF(A122="","",B122*Inputs!$B$25 + C122*Inputs!$B$26 + D122*Inputs!$B$27 + E122*Inputs!$B$28)</f>
        <v/>
      </c>
      <c r="I122" s="17" t="str">
        <f t="shared" si="14"/>
        <v/>
      </c>
      <c r="J122" s="14"/>
      <c r="K122" s="14"/>
      <c r="L122" s="17" t="str">
        <f t="shared" si="20"/>
        <v/>
      </c>
      <c r="M122" s="17" t="str">
        <f t="shared" si="21"/>
        <v/>
      </c>
      <c r="N122" s="17" t="str">
        <f t="shared" si="15"/>
        <v/>
      </c>
      <c r="O122" s="14" t="str">
        <f t="shared" si="22"/>
        <v/>
      </c>
      <c r="P122" s="14" t="str">
        <f t="shared" si="16"/>
        <v/>
      </c>
    </row>
    <row r="123" spans="1:16" x14ac:dyDescent="0.25">
      <c r="A123" s="14"/>
      <c r="B123" s="37"/>
      <c r="C123" s="38"/>
      <c r="D123" s="17"/>
      <c r="E123" s="39"/>
      <c r="F123" s="14"/>
      <c r="G123" s="17" t="str">
        <f t="shared" si="13"/>
        <v/>
      </c>
      <c r="H123" s="17" t="str">
        <f>IF(A123="","",B123*Inputs!$B$25 + C123*Inputs!$B$26 + D123*Inputs!$B$27 + E123*Inputs!$B$28)</f>
        <v/>
      </c>
      <c r="I123" s="17" t="str">
        <f t="shared" si="14"/>
        <v/>
      </c>
      <c r="J123" s="14"/>
      <c r="K123" s="14"/>
      <c r="L123" s="17" t="str">
        <f t="shared" si="20"/>
        <v/>
      </c>
      <c r="M123" s="17" t="str">
        <f t="shared" si="21"/>
        <v/>
      </c>
      <c r="N123" s="17" t="str">
        <f t="shared" si="15"/>
        <v/>
      </c>
      <c r="O123" s="14" t="str">
        <f t="shared" si="22"/>
        <v/>
      </c>
      <c r="P123" s="14" t="str">
        <f t="shared" si="16"/>
        <v/>
      </c>
    </row>
    <row r="124" spans="1:16" x14ac:dyDescent="0.25">
      <c r="A124" s="14"/>
      <c r="B124" s="37"/>
      <c r="C124" s="38"/>
      <c r="D124" s="17"/>
      <c r="E124" s="39"/>
      <c r="F124" s="14"/>
      <c r="G124" s="17" t="str">
        <f t="shared" si="13"/>
        <v/>
      </c>
      <c r="H124" s="17" t="str">
        <f>IF(A124="","",B124*Inputs!$B$25 + C124*Inputs!$B$26 + D124*Inputs!$B$27 + E124*Inputs!$B$28)</f>
        <v/>
      </c>
      <c r="I124" s="17" t="str">
        <f t="shared" si="14"/>
        <v/>
      </c>
      <c r="J124" s="14"/>
      <c r="K124" s="14"/>
      <c r="L124" s="17" t="str">
        <f t="shared" si="20"/>
        <v/>
      </c>
      <c r="M124" s="17" t="str">
        <f t="shared" si="21"/>
        <v/>
      </c>
      <c r="N124" s="17" t="str">
        <f t="shared" si="15"/>
        <v/>
      </c>
      <c r="O124" s="14" t="str">
        <f t="shared" si="22"/>
        <v/>
      </c>
      <c r="P124" s="14" t="str">
        <f t="shared" si="16"/>
        <v/>
      </c>
    </row>
    <row r="125" spans="1:16" x14ac:dyDescent="0.25">
      <c r="A125" s="14"/>
      <c r="B125" s="37"/>
      <c r="C125" s="38"/>
      <c r="D125" s="17"/>
      <c r="E125" s="39"/>
      <c r="F125" s="14"/>
      <c r="G125" s="17" t="str">
        <f t="shared" si="13"/>
        <v/>
      </c>
      <c r="H125" s="17" t="str">
        <f>IF(A125="","",B125*Inputs!$B$25 + C125*Inputs!$B$26 + D125*Inputs!$B$27 + E125*Inputs!$B$28)</f>
        <v/>
      </c>
      <c r="I125" s="17" t="str">
        <f t="shared" si="14"/>
        <v/>
      </c>
      <c r="J125" s="14"/>
      <c r="K125" s="14"/>
      <c r="L125" s="17" t="str">
        <f t="shared" si="20"/>
        <v/>
      </c>
      <c r="M125" s="17" t="str">
        <f t="shared" si="21"/>
        <v/>
      </c>
      <c r="N125" s="17" t="str">
        <f t="shared" si="15"/>
        <v/>
      </c>
      <c r="O125" s="14" t="str">
        <f t="shared" si="22"/>
        <v/>
      </c>
      <c r="P125" s="14" t="str">
        <f t="shared" si="16"/>
        <v/>
      </c>
    </row>
    <row r="126" spans="1:16" x14ac:dyDescent="0.25">
      <c r="A126" s="14"/>
      <c r="B126" s="37"/>
      <c r="C126" s="38"/>
      <c r="D126" s="17"/>
      <c r="E126" s="39"/>
      <c r="F126" s="14"/>
      <c r="G126" s="17" t="str">
        <f t="shared" si="13"/>
        <v/>
      </c>
      <c r="H126" s="17" t="str">
        <f>IF(A126="","",B126*Inputs!$B$25 + C126*Inputs!$B$26 + D126*Inputs!$B$27 + E126*Inputs!$B$28)</f>
        <v/>
      </c>
      <c r="I126" s="17" t="str">
        <f t="shared" si="14"/>
        <v/>
      </c>
      <c r="J126" s="14"/>
      <c r="K126" s="14"/>
      <c r="L126" s="17" t="str">
        <f t="shared" si="20"/>
        <v/>
      </c>
      <c r="M126" s="17" t="str">
        <f t="shared" si="21"/>
        <v/>
      </c>
      <c r="N126" s="17" t="str">
        <f t="shared" si="15"/>
        <v/>
      </c>
      <c r="O126" s="14" t="str">
        <f t="shared" si="22"/>
        <v/>
      </c>
      <c r="P126" s="14" t="str">
        <f t="shared" si="16"/>
        <v/>
      </c>
    </row>
    <row r="127" spans="1:16" x14ac:dyDescent="0.25">
      <c r="A127" s="14"/>
      <c r="B127" s="37"/>
      <c r="C127" s="38"/>
      <c r="D127" s="17"/>
      <c r="E127" s="39"/>
      <c r="F127" s="14"/>
      <c r="G127" s="17" t="str">
        <f t="shared" si="13"/>
        <v/>
      </c>
      <c r="H127" s="17" t="str">
        <f>IF(A127="","",B127*Inputs!$B$25 + C127*Inputs!$B$26 + D127*Inputs!$B$27 + E127*Inputs!$B$28)</f>
        <v/>
      </c>
      <c r="I127" s="17" t="str">
        <f t="shared" si="14"/>
        <v/>
      </c>
      <c r="J127" s="14"/>
      <c r="K127" s="14"/>
      <c r="L127" s="17" t="str">
        <f t="shared" si="20"/>
        <v/>
      </c>
      <c r="M127" s="17" t="str">
        <f t="shared" si="21"/>
        <v/>
      </c>
      <c r="N127" s="17" t="str">
        <f t="shared" si="15"/>
        <v/>
      </c>
      <c r="O127" s="14" t="str">
        <f t="shared" si="22"/>
        <v/>
      </c>
      <c r="P127" s="14" t="str">
        <f t="shared" si="16"/>
        <v/>
      </c>
    </row>
    <row r="128" spans="1:16" x14ac:dyDescent="0.25">
      <c r="A128" s="14"/>
      <c r="B128" s="37"/>
      <c r="C128" s="38"/>
      <c r="D128" s="17"/>
      <c r="E128" s="39"/>
      <c r="F128" s="14"/>
      <c r="G128" s="17" t="str">
        <f t="shared" si="13"/>
        <v/>
      </c>
      <c r="H128" s="17" t="str">
        <f>IF(A128="","",B128*Inputs!$B$25 + C128*Inputs!$B$26 + D128*Inputs!$B$27 + E128*Inputs!$B$28)</f>
        <v/>
      </c>
      <c r="I128" s="17" t="str">
        <f t="shared" si="14"/>
        <v/>
      </c>
      <c r="J128" s="14"/>
      <c r="K128" s="14"/>
      <c r="L128" s="17" t="str">
        <f t="shared" si="20"/>
        <v/>
      </c>
      <c r="M128" s="17" t="str">
        <f t="shared" si="21"/>
        <v/>
      </c>
      <c r="N128" s="17" t="str">
        <f t="shared" si="15"/>
        <v/>
      </c>
      <c r="O128" s="14" t="str">
        <f t="shared" si="22"/>
        <v/>
      </c>
      <c r="P128" s="14" t="str">
        <f t="shared" si="16"/>
        <v/>
      </c>
    </row>
    <row r="129" spans="1:16" x14ac:dyDescent="0.25">
      <c r="A129" s="14"/>
      <c r="B129" s="37"/>
      <c r="C129" s="38"/>
      <c r="D129" s="17"/>
      <c r="E129" s="39"/>
      <c r="F129" s="14"/>
      <c r="G129" s="17" t="str">
        <f t="shared" si="13"/>
        <v/>
      </c>
      <c r="H129" s="17" t="str">
        <f>IF(A129="","",B129*Inputs!$B$25 + C129*Inputs!$B$26 + D129*Inputs!$B$27 + E129*Inputs!$B$28)</f>
        <v/>
      </c>
      <c r="I129" s="17" t="str">
        <f t="shared" si="14"/>
        <v/>
      </c>
      <c r="J129" s="14"/>
      <c r="K129" s="14"/>
      <c r="L129" s="17" t="str">
        <f t="shared" si="20"/>
        <v/>
      </c>
      <c r="M129" s="17" t="str">
        <f t="shared" si="21"/>
        <v/>
      </c>
      <c r="N129" s="17" t="str">
        <f t="shared" si="15"/>
        <v/>
      </c>
      <c r="O129" s="14" t="str">
        <f t="shared" si="22"/>
        <v/>
      </c>
      <c r="P129" s="14" t="str">
        <f t="shared" si="16"/>
        <v/>
      </c>
    </row>
    <row r="130" spans="1:16" x14ac:dyDescent="0.25">
      <c r="A130" s="14"/>
      <c r="B130" s="37"/>
      <c r="C130" s="38"/>
      <c r="D130" s="17"/>
      <c r="E130" s="39"/>
      <c r="F130" s="14"/>
      <c r="G130" s="17" t="str">
        <f t="shared" si="13"/>
        <v/>
      </c>
      <c r="H130" s="17" t="str">
        <f>IF(A130="","",B130*Inputs!$B$25 + C130*Inputs!$B$26 + D130*Inputs!$B$27 + E130*Inputs!$B$28)</f>
        <v/>
      </c>
      <c r="I130" s="17" t="str">
        <f t="shared" si="14"/>
        <v/>
      </c>
      <c r="J130" s="14"/>
      <c r="K130" s="14"/>
      <c r="L130" s="17" t="str">
        <f t="shared" si="20"/>
        <v/>
      </c>
      <c r="M130" s="17" t="str">
        <f t="shared" si="21"/>
        <v/>
      </c>
      <c r="N130" s="17" t="str">
        <f t="shared" si="15"/>
        <v/>
      </c>
      <c r="O130" s="14" t="str">
        <f t="shared" si="22"/>
        <v/>
      </c>
      <c r="P130" s="14" t="str">
        <f t="shared" si="16"/>
        <v/>
      </c>
    </row>
    <row r="131" spans="1:16" x14ac:dyDescent="0.25">
      <c r="A131" s="14"/>
      <c r="B131" s="37"/>
      <c r="C131" s="38"/>
      <c r="D131" s="17"/>
      <c r="E131" s="39"/>
      <c r="F131" s="14"/>
      <c r="G131" s="17" t="str">
        <f t="shared" si="13"/>
        <v/>
      </c>
      <c r="H131" s="17" t="str">
        <f>IF(A131="","",B131*Inputs!$B$25 + C131*Inputs!$B$26 + D131*Inputs!$B$27 + E131*Inputs!$B$28)</f>
        <v/>
      </c>
      <c r="I131" s="17" t="str">
        <f t="shared" si="14"/>
        <v/>
      </c>
      <c r="J131" s="14"/>
      <c r="K131" s="14"/>
      <c r="L131" s="17" t="str">
        <f t="shared" si="20"/>
        <v/>
      </c>
      <c r="M131" s="17" t="str">
        <f t="shared" si="21"/>
        <v/>
      </c>
      <c r="N131" s="17" t="str">
        <f t="shared" si="15"/>
        <v/>
      </c>
      <c r="O131" s="14" t="str">
        <f t="shared" si="22"/>
        <v/>
      </c>
      <c r="P131" s="14" t="str">
        <f t="shared" si="16"/>
        <v/>
      </c>
    </row>
    <row r="132" spans="1:16" x14ac:dyDescent="0.25">
      <c r="A132" s="14"/>
      <c r="B132" s="37"/>
      <c r="C132" s="38"/>
      <c r="D132" s="17"/>
      <c r="E132" s="39"/>
      <c r="F132" s="14"/>
      <c r="G132" s="17" t="str">
        <f t="shared" ref="G132:G195" si="23">IF(A132="","",SUM(B132:E132))</f>
        <v/>
      </c>
      <c r="H132" s="17" t="str">
        <f>IF(A132="","",B132*Inputs!$B$25 + C132*Inputs!$B$26 + D132*Inputs!$B$27 + E132*Inputs!$B$28)</f>
        <v/>
      </c>
      <c r="I132" s="17" t="str">
        <f t="shared" ref="I132:I195" si="24">IF(OR(G132="",G132=0),"",H132/G132)</f>
        <v/>
      </c>
      <c r="J132" s="14"/>
      <c r="K132" s="14"/>
      <c r="L132" s="17" t="str">
        <f t="shared" si="20"/>
        <v/>
      </c>
      <c r="M132" s="17" t="str">
        <f t="shared" si="21"/>
        <v/>
      </c>
      <c r="N132" s="17" t="str">
        <f t="shared" ref="N132:N195" si="25">IF(OR(G132="",G132=0),"",L132/G132)</f>
        <v/>
      </c>
      <c r="O132" s="14" t="str">
        <f t="shared" si="22"/>
        <v/>
      </c>
      <c r="P132" s="14" t="str">
        <f t="shared" ref="P132:P195" si="26">IF(A132="","",IF(COUNT(B132:E132)=0,"MISSING_SPLIT",IF(MIN(B132:E132)&lt;0,"INVALID_NEGATIVE",IF(SUM(B132:E132)=0,"ZERO_TOTAL",IF(I132="","NO_WEIGHTED_C","OK")))))</f>
        <v/>
      </c>
    </row>
    <row r="133" spans="1:16" x14ac:dyDescent="0.25">
      <c r="A133" s="14"/>
      <c r="B133" s="37"/>
      <c r="C133" s="38"/>
      <c r="D133" s="17"/>
      <c r="E133" s="39"/>
      <c r="F133" s="14"/>
      <c r="G133" s="17" t="str">
        <f t="shared" si="23"/>
        <v/>
      </c>
      <c r="H133" s="17" t="str">
        <f>IF(A133="","",B133*Inputs!$B$25 + C133*Inputs!$B$26 + D133*Inputs!$B$27 + E133*Inputs!$B$28)</f>
        <v/>
      </c>
      <c r="I133" s="17" t="str">
        <f t="shared" si="24"/>
        <v/>
      </c>
      <c r="J133" s="14"/>
      <c r="K133" s="14"/>
      <c r="L133" s="17" t="str">
        <f t="shared" si="20"/>
        <v/>
      </c>
      <c r="M133" s="17" t="str">
        <f t="shared" si="21"/>
        <v/>
      </c>
      <c r="N133" s="17" t="str">
        <f t="shared" si="25"/>
        <v/>
      </c>
      <c r="O133" s="14" t="str">
        <f t="shared" si="22"/>
        <v/>
      </c>
      <c r="P133" s="14" t="str">
        <f t="shared" si="26"/>
        <v/>
      </c>
    </row>
    <row r="134" spans="1:16" x14ac:dyDescent="0.25">
      <c r="A134" s="14"/>
      <c r="B134" s="37"/>
      <c r="C134" s="38"/>
      <c r="D134" s="17"/>
      <c r="E134" s="39"/>
      <c r="F134" s="14"/>
      <c r="G134" s="17" t="str">
        <f t="shared" si="23"/>
        <v/>
      </c>
      <c r="H134" s="17" t="str">
        <f>IF(A134="","",B134*Inputs!$B$25 + C134*Inputs!$B$26 + D134*Inputs!$B$27 + E134*Inputs!$B$28)</f>
        <v/>
      </c>
      <c r="I134" s="17" t="str">
        <f t="shared" si="24"/>
        <v/>
      </c>
      <c r="J134" s="14"/>
      <c r="K134" s="14"/>
      <c r="L134" s="17" t="str">
        <f t="shared" si="20"/>
        <v/>
      </c>
      <c r="M134" s="17" t="str">
        <f t="shared" si="21"/>
        <v/>
      </c>
      <c r="N134" s="17" t="str">
        <f t="shared" si="25"/>
        <v/>
      </c>
      <c r="O134" s="14" t="str">
        <f t="shared" si="22"/>
        <v/>
      </c>
      <c r="P134" s="14" t="str">
        <f t="shared" si="26"/>
        <v/>
      </c>
    </row>
    <row r="135" spans="1:16" x14ac:dyDescent="0.25">
      <c r="A135" s="14"/>
      <c r="B135" s="37"/>
      <c r="C135" s="38"/>
      <c r="D135" s="17"/>
      <c r="E135" s="39"/>
      <c r="F135" s="14"/>
      <c r="G135" s="17" t="str">
        <f t="shared" si="23"/>
        <v/>
      </c>
      <c r="H135" s="17" t="str">
        <f>IF(A135="","",B135*Inputs!$B$25 + C135*Inputs!$B$26 + D135*Inputs!$B$27 + E135*Inputs!$B$28)</f>
        <v/>
      </c>
      <c r="I135" s="17" t="str">
        <f t="shared" si="24"/>
        <v/>
      </c>
      <c r="J135" s="14"/>
      <c r="K135" s="14"/>
      <c r="L135" s="17" t="str">
        <f t="shared" si="20"/>
        <v/>
      </c>
      <c r="M135" s="17" t="str">
        <f t="shared" si="21"/>
        <v/>
      </c>
      <c r="N135" s="17" t="str">
        <f t="shared" si="25"/>
        <v/>
      </c>
      <c r="O135" s="14" t="str">
        <f t="shared" si="22"/>
        <v/>
      </c>
      <c r="P135" s="14" t="str">
        <f t="shared" si="26"/>
        <v/>
      </c>
    </row>
    <row r="136" spans="1:16" x14ac:dyDescent="0.25">
      <c r="A136" s="14"/>
      <c r="B136" s="37"/>
      <c r="C136" s="38"/>
      <c r="D136" s="17"/>
      <c r="E136" s="39"/>
      <c r="F136" s="14"/>
      <c r="G136" s="17" t="str">
        <f t="shared" si="23"/>
        <v/>
      </c>
      <c r="H136" s="17" t="str">
        <f>IF(A136="","",B136*Inputs!$B$25 + C136*Inputs!$B$26 + D136*Inputs!$B$27 + E136*Inputs!$B$28)</f>
        <v/>
      </c>
      <c r="I136" s="17" t="str">
        <f t="shared" si="24"/>
        <v/>
      </c>
      <c r="J136" s="14"/>
      <c r="K136" s="14"/>
      <c r="L136" s="17" t="str">
        <f t="shared" si="20"/>
        <v/>
      </c>
      <c r="M136" s="17" t="str">
        <f t="shared" si="21"/>
        <v/>
      </c>
      <c r="N136" s="17" t="str">
        <f t="shared" si="25"/>
        <v/>
      </c>
      <c r="O136" s="14" t="str">
        <f t="shared" si="22"/>
        <v/>
      </c>
      <c r="P136" s="14" t="str">
        <f t="shared" si="26"/>
        <v/>
      </c>
    </row>
    <row r="137" spans="1:16" x14ac:dyDescent="0.25">
      <c r="A137" s="14"/>
      <c r="B137" s="37"/>
      <c r="C137" s="38"/>
      <c r="D137" s="17"/>
      <c r="E137" s="39"/>
      <c r="F137" s="14"/>
      <c r="G137" s="17" t="str">
        <f t="shared" si="23"/>
        <v/>
      </c>
      <c r="H137" s="17" t="str">
        <f>IF(A137="","",B137*Inputs!$B$25 + C137*Inputs!$B$26 + D137*Inputs!$B$27 + E137*Inputs!$B$28)</f>
        <v/>
      </c>
      <c r="I137" s="17" t="str">
        <f t="shared" si="24"/>
        <v/>
      </c>
      <c r="J137" s="14"/>
      <c r="K137" s="14"/>
      <c r="L137" s="17" t="str">
        <f t="shared" si="20"/>
        <v/>
      </c>
      <c r="M137" s="17" t="str">
        <f t="shared" si="21"/>
        <v/>
      </c>
      <c r="N137" s="17" t="str">
        <f t="shared" si="25"/>
        <v/>
      </c>
      <c r="O137" s="14" t="str">
        <f t="shared" si="22"/>
        <v/>
      </c>
      <c r="P137" s="14" t="str">
        <f t="shared" si="26"/>
        <v/>
      </c>
    </row>
    <row r="138" spans="1:16" x14ac:dyDescent="0.25">
      <c r="A138" s="14"/>
      <c r="B138" s="37"/>
      <c r="C138" s="38"/>
      <c r="D138" s="17"/>
      <c r="E138" s="39"/>
      <c r="F138" s="14"/>
      <c r="G138" s="17" t="str">
        <f t="shared" si="23"/>
        <v/>
      </c>
      <c r="H138" s="17" t="str">
        <f>IF(A138="","",B138*Inputs!$B$25 + C138*Inputs!$B$26 + D138*Inputs!$B$27 + E138*Inputs!$B$28)</f>
        <v/>
      </c>
      <c r="I138" s="17" t="str">
        <f t="shared" si="24"/>
        <v/>
      </c>
      <c r="J138" s="14"/>
      <c r="K138" s="14"/>
      <c r="L138" s="17" t="str">
        <f t="shared" si="20"/>
        <v/>
      </c>
      <c r="M138" s="17" t="str">
        <f t="shared" si="21"/>
        <v/>
      </c>
      <c r="N138" s="17" t="str">
        <f t="shared" si="25"/>
        <v/>
      </c>
      <c r="O138" s="14" t="str">
        <f t="shared" si="22"/>
        <v/>
      </c>
      <c r="P138" s="14" t="str">
        <f t="shared" si="26"/>
        <v/>
      </c>
    </row>
    <row r="139" spans="1:16" x14ac:dyDescent="0.25">
      <c r="A139" s="14"/>
      <c r="B139" s="37"/>
      <c r="C139" s="38"/>
      <c r="D139" s="17"/>
      <c r="E139" s="39"/>
      <c r="F139" s="14"/>
      <c r="G139" s="17" t="str">
        <f t="shared" si="23"/>
        <v/>
      </c>
      <c r="H139" s="17" t="str">
        <f>IF(A139="","",B139*Inputs!$B$25 + C139*Inputs!$B$26 + D139*Inputs!$B$27 + E139*Inputs!$B$28)</f>
        <v/>
      </c>
      <c r="I139" s="17" t="str">
        <f t="shared" si="24"/>
        <v/>
      </c>
      <c r="J139" s="14"/>
      <c r="K139" s="14"/>
      <c r="L139" s="17" t="str">
        <f t="shared" si="20"/>
        <v/>
      </c>
      <c r="M139" s="17" t="str">
        <f t="shared" si="21"/>
        <v/>
      </c>
      <c r="N139" s="17" t="str">
        <f t="shared" si="25"/>
        <v/>
      </c>
      <c r="O139" s="14" t="str">
        <f t="shared" si="22"/>
        <v/>
      </c>
      <c r="P139" s="14" t="str">
        <f t="shared" si="26"/>
        <v/>
      </c>
    </row>
    <row r="140" spans="1:16" x14ac:dyDescent="0.25">
      <c r="A140" s="14"/>
      <c r="B140" s="37"/>
      <c r="C140" s="38"/>
      <c r="D140" s="17"/>
      <c r="E140" s="39"/>
      <c r="F140" s="14"/>
      <c r="G140" s="17" t="str">
        <f t="shared" si="23"/>
        <v/>
      </c>
      <c r="H140" s="17" t="str">
        <f>IF(A140="","",B140*Inputs!$B$25 + C140*Inputs!$B$26 + D140*Inputs!$B$27 + E140*Inputs!$B$28)</f>
        <v/>
      </c>
      <c r="I140" s="17" t="str">
        <f t="shared" si="24"/>
        <v/>
      </c>
      <c r="J140" s="14"/>
      <c r="K140" s="14"/>
      <c r="L140" s="17" t="str">
        <f t="shared" si="20"/>
        <v/>
      </c>
      <c r="M140" s="17" t="str">
        <f t="shared" si="21"/>
        <v/>
      </c>
      <c r="N140" s="17" t="str">
        <f t="shared" si="25"/>
        <v/>
      </c>
      <c r="O140" s="14" t="str">
        <f t="shared" si="22"/>
        <v/>
      </c>
      <c r="P140" s="14" t="str">
        <f t="shared" si="26"/>
        <v/>
      </c>
    </row>
    <row r="141" spans="1:16" x14ac:dyDescent="0.25">
      <c r="A141" s="14"/>
      <c r="B141" s="37"/>
      <c r="C141" s="38"/>
      <c r="D141" s="17"/>
      <c r="E141" s="39"/>
      <c r="F141" s="14"/>
      <c r="G141" s="17" t="str">
        <f t="shared" si="23"/>
        <v/>
      </c>
      <c r="H141" s="17" t="str">
        <f>IF(A141="","",B141*Inputs!$B$25 + C141*Inputs!$B$26 + D141*Inputs!$B$27 + E141*Inputs!$B$28)</f>
        <v/>
      </c>
      <c r="I141" s="17" t="str">
        <f t="shared" si="24"/>
        <v/>
      </c>
      <c r="J141" s="14"/>
      <c r="K141" s="14"/>
      <c r="L141" s="17" t="str">
        <f t="shared" si="20"/>
        <v/>
      </c>
      <c r="M141" s="17" t="str">
        <f t="shared" si="21"/>
        <v/>
      </c>
      <c r="N141" s="17" t="str">
        <f t="shared" si="25"/>
        <v/>
      </c>
      <c r="O141" s="14" t="str">
        <f t="shared" si="22"/>
        <v/>
      </c>
      <c r="P141" s="14" t="str">
        <f t="shared" si="26"/>
        <v/>
      </c>
    </row>
    <row r="142" spans="1:16" x14ac:dyDescent="0.25">
      <c r="A142" s="14"/>
      <c r="B142" s="37"/>
      <c r="C142" s="38"/>
      <c r="D142" s="17"/>
      <c r="E142" s="39"/>
      <c r="F142" s="14"/>
      <c r="G142" s="17" t="str">
        <f t="shared" si="23"/>
        <v/>
      </c>
      <c r="H142" s="17" t="str">
        <f>IF(A142="","",B142*Inputs!$B$25 + C142*Inputs!$B$26 + D142*Inputs!$B$27 + E142*Inputs!$B$28)</f>
        <v/>
      </c>
      <c r="I142" s="17" t="str">
        <f t="shared" si="24"/>
        <v/>
      </c>
      <c r="J142" s="14"/>
      <c r="K142" s="14"/>
      <c r="L142" s="17" t="str">
        <f t="shared" si="20"/>
        <v/>
      </c>
      <c r="M142" s="17" t="str">
        <f t="shared" si="21"/>
        <v/>
      </c>
      <c r="N142" s="17" t="str">
        <f t="shared" si="25"/>
        <v/>
      </c>
      <c r="O142" s="14" t="str">
        <f t="shared" si="22"/>
        <v/>
      </c>
      <c r="P142" s="14" t="str">
        <f t="shared" si="26"/>
        <v/>
      </c>
    </row>
    <row r="143" spans="1:16" x14ac:dyDescent="0.25">
      <c r="A143" s="14"/>
      <c r="B143" s="37"/>
      <c r="C143" s="38"/>
      <c r="D143" s="17"/>
      <c r="E143" s="39"/>
      <c r="F143" s="14"/>
      <c r="G143" s="17" t="str">
        <f t="shared" si="23"/>
        <v/>
      </c>
      <c r="H143" s="17" t="str">
        <f>IF(A143="","",B143*Inputs!$B$25 + C143*Inputs!$B$26 + D143*Inputs!$B$27 + E143*Inputs!$B$28)</f>
        <v/>
      </c>
      <c r="I143" s="17" t="str">
        <f t="shared" si="24"/>
        <v/>
      </c>
      <c r="J143" s="14"/>
      <c r="K143" s="14"/>
      <c r="L143" s="17" t="str">
        <f t="shared" si="20"/>
        <v/>
      </c>
      <c r="M143" s="17" t="str">
        <f t="shared" si="21"/>
        <v/>
      </c>
      <c r="N143" s="17" t="str">
        <f t="shared" si="25"/>
        <v/>
      </c>
      <c r="O143" s="14" t="str">
        <f t="shared" si="22"/>
        <v/>
      </c>
      <c r="P143" s="14" t="str">
        <f t="shared" si="26"/>
        <v/>
      </c>
    </row>
    <row r="144" spans="1:16" x14ac:dyDescent="0.25">
      <c r="A144" s="14"/>
      <c r="B144" s="37"/>
      <c r="C144" s="38"/>
      <c r="D144" s="17"/>
      <c r="E144" s="39"/>
      <c r="F144" s="14"/>
      <c r="G144" s="17" t="str">
        <f t="shared" si="23"/>
        <v/>
      </c>
      <c r="H144" s="17" t="str">
        <f>IF(A144="","",B144*Inputs!$B$25 + C144*Inputs!$B$26 + D144*Inputs!$B$27 + E144*Inputs!$B$28)</f>
        <v/>
      </c>
      <c r="I144" s="17" t="str">
        <f t="shared" si="24"/>
        <v/>
      </c>
      <c r="J144" s="14"/>
      <c r="K144" s="14"/>
      <c r="L144" s="17" t="str">
        <f t="shared" si="20"/>
        <v/>
      </c>
      <c r="M144" s="17" t="str">
        <f t="shared" si="21"/>
        <v/>
      </c>
      <c r="N144" s="17" t="str">
        <f t="shared" si="25"/>
        <v/>
      </c>
      <c r="O144" s="14" t="str">
        <f t="shared" si="22"/>
        <v/>
      </c>
      <c r="P144" s="14" t="str">
        <f t="shared" si="26"/>
        <v/>
      </c>
    </row>
    <row r="145" spans="1:16" x14ac:dyDescent="0.25">
      <c r="A145" s="14"/>
      <c r="B145" s="37"/>
      <c r="C145" s="38"/>
      <c r="D145" s="17"/>
      <c r="E145" s="39"/>
      <c r="F145" s="14"/>
      <c r="G145" s="17" t="str">
        <f t="shared" si="23"/>
        <v/>
      </c>
      <c r="H145" s="17" t="str">
        <f>IF(A145="","",B145*Inputs!$B$25 + C145*Inputs!$B$26 + D145*Inputs!$B$27 + E145*Inputs!$B$28)</f>
        <v/>
      </c>
      <c r="I145" s="17" t="str">
        <f t="shared" si="24"/>
        <v/>
      </c>
      <c r="J145" s="14"/>
      <c r="K145" s="14"/>
      <c r="L145" s="17" t="str">
        <f t="shared" si="20"/>
        <v/>
      </c>
      <c r="M145" s="17" t="str">
        <f t="shared" si="21"/>
        <v/>
      </c>
      <c r="N145" s="17" t="str">
        <f t="shared" si="25"/>
        <v/>
      </c>
      <c r="O145" s="14" t="str">
        <f t="shared" si="22"/>
        <v/>
      </c>
      <c r="P145" s="14" t="str">
        <f t="shared" si="26"/>
        <v/>
      </c>
    </row>
    <row r="146" spans="1:16" x14ac:dyDescent="0.25">
      <c r="A146" s="14"/>
      <c r="B146" s="37"/>
      <c r="C146" s="38"/>
      <c r="D146" s="17"/>
      <c r="E146" s="39"/>
      <c r="F146" s="14"/>
      <c r="G146" s="17" t="str">
        <f t="shared" si="23"/>
        <v/>
      </c>
      <c r="H146" s="17" t="str">
        <f>IF(A146="","",B146*Inputs!$B$25 + C146*Inputs!$B$26 + D146*Inputs!$B$27 + E146*Inputs!$B$28)</f>
        <v/>
      </c>
      <c r="I146" s="17" t="str">
        <f t="shared" si="24"/>
        <v/>
      </c>
      <c r="J146" s="14"/>
      <c r="K146" s="14"/>
      <c r="L146" s="17" t="str">
        <f t="shared" si="20"/>
        <v/>
      </c>
      <c r="M146" s="17" t="str">
        <f t="shared" si="21"/>
        <v/>
      </c>
      <c r="N146" s="17" t="str">
        <f t="shared" si="25"/>
        <v/>
      </c>
      <c r="O146" s="14" t="str">
        <f t="shared" si="22"/>
        <v/>
      </c>
      <c r="P146" s="14" t="str">
        <f t="shared" si="26"/>
        <v/>
      </c>
    </row>
    <row r="147" spans="1:16" x14ac:dyDescent="0.25">
      <c r="A147" s="14"/>
      <c r="B147" s="37"/>
      <c r="C147" s="38"/>
      <c r="D147" s="17"/>
      <c r="E147" s="39"/>
      <c r="F147" s="14"/>
      <c r="G147" s="17" t="str">
        <f t="shared" si="23"/>
        <v/>
      </c>
      <c r="H147" s="17" t="str">
        <f>IF(A147="","",B147*Inputs!$B$25 + C147*Inputs!$B$26 + D147*Inputs!$B$27 + E147*Inputs!$B$28)</f>
        <v/>
      </c>
      <c r="I147" s="17" t="str">
        <f t="shared" si="24"/>
        <v/>
      </c>
      <c r="J147" s="14"/>
      <c r="K147" s="14"/>
      <c r="L147" s="17" t="str">
        <f t="shared" si="20"/>
        <v/>
      </c>
      <c r="M147" s="17" t="str">
        <f t="shared" si="21"/>
        <v/>
      </c>
      <c r="N147" s="17" t="str">
        <f t="shared" si="25"/>
        <v/>
      </c>
      <c r="O147" s="14" t="str">
        <f t="shared" si="22"/>
        <v/>
      </c>
      <c r="P147" s="14" t="str">
        <f t="shared" si="26"/>
        <v/>
      </c>
    </row>
    <row r="148" spans="1:16" x14ac:dyDescent="0.25">
      <c r="A148" s="14"/>
      <c r="B148" s="37"/>
      <c r="C148" s="38"/>
      <c r="D148" s="17"/>
      <c r="E148" s="39"/>
      <c r="F148" s="14"/>
      <c r="G148" s="17" t="str">
        <f t="shared" si="23"/>
        <v/>
      </c>
      <c r="H148" s="17" t="str">
        <f>IF(A148="","",B148*Inputs!$B$25 + C148*Inputs!$B$26 + D148*Inputs!$B$27 + E148*Inputs!$B$28)</f>
        <v/>
      </c>
      <c r="I148" s="17" t="str">
        <f t="shared" si="24"/>
        <v/>
      </c>
      <c r="J148" s="14"/>
      <c r="K148" s="14"/>
      <c r="L148" s="17" t="str">
        <f t="shared" ref="L148:L179" si="27">IF(A148="","",B148+C148+E148)</f>
        <v/>
      </c>
      <c r="M148" s="17" t="str">
        <f t="shared" ref="M148:M179" si="28">IF(A148="","",D148)</f>
        <v/>
      </c>
      <c r="N148" s="17" t="str">
        <f t="shared" si="25"/>
        <v/>
      </c>
      <c r="O148" s="14" t="str">
        <f t="shared" ref="O148:O179" si="29">IF(A148="","",IF(COUNT(B148:E148)=0,"MISSING",IF(MIN(B148:E148)&lt;0,"INVALID_NEG",IF(SUM(B148:E148)=0,"ZERO_TOTAL",IF(COUNTIF(B148:E148,MAX(B148:E148))&gt;1,"MIXED/TIE",IF(MAX(B148:E148)=B148,"ROOF",IF(MAX(B148:E148)=C148,"PAVEMENT",IF(MAX(B148:E148)=D148,"GRASS","OTHER"))))))))</f>
        <v/>
      </c>
      <c r="P148" s="14" t="str">
        <f t="shared" si="26"/>
        <v/>
      </c>
    </row>
    <row r="149" spans="1:16" x14ac:dyDescent="0.25">
      <c r="A149" s="14"/>
      <c r="B149" s="37"/>
      <c r="C149" s="38"/>
      <c r="D149" s="17"/>
      <c r="E149" s="39"/>
      <c r="F149" s="14"/>
      <c r="G149" s="17" t="str">
        <f t="shared" si="23"/>
        <v/>
      </c>
      <c r="H149" s="17" t="str">
        <f>IF(A149="","",B149*Inputs!$B$25 + C149*Inputs!$B$26 + D149*Inputs!$B$27 + E149*Inputs!$B$28)</f>
        <v/>
      </c>
      <c r="I149" s="17" t="str">
        <f t="shared" si="24"/>
        <v/>
      </c>
      <c r="J149" s="14"/>
      <c r="K149" s="14"/>
      <c r="L149" s="17" t="str">
        <f t="shared" si="27"/>
        <v/>
      </c>
      <c r="M149" s="17" t="str">
        <f t="shared" si="28"/>
        <v/>
      </c>
      <c r="N149" s="17" t="str">
        <f t="shared" si="25"/>
        <v/>
      </c>
      <c r="O149" s="14" t="str">
        <f t="shared" si="29"/>
        <v/>
      </c>
      <c r="P149" s="14" t="str">
        <f t="shared" si="26"/>
        <v/>
      </c>
    </row>
    <row r="150" spans="1:16" x14ac:dyDescent="0.25">
      <c r="A150" s="14"/>
      <c r="B150" s="37"/>
      <c r="C150" s="38"/>
      <c r="D150" s="17"/>
      <c r="E150" s="39"/>
      <c r="F150" s="14"/>
      <c r="G150" s="17" t="str">
        <f t="shared" si="23"/>
        <v/>
      </c>
      <c r="H150" s="17" t="str">
        <f>IF(A150="","",B150*Inputs!$B$25 + C150*Inputs!$B$26 + D150*Inputs!$B$27 + E150*Inputs!$B$28)</f>
        <v/>
      </c>
      <c r="I150" s="17" t="str">
        <f t="shared" si="24"/>
        <v/>
      </c>
      <c r="J150" s="14"/>
      <c r="K150" s="14"/>
      <c r="L150" s="17" t="str">
        <f t="shared" si="27"/>
        <v/>
      </c>
      <c r="M150" s="17" t="str">
        <f t="shared" si="28"/>
        <v/>
      </c>
      <c r="N150" s="17" t="str">
        <f t="shared" si="25"/>
        <v/>
      </c>
      <c r="O150" s="14" t="str">
        <f t="shared" si="29"/>
        <v/>
      </c>
      <c r="P150" s="14" t="str">
        <f t="shared" si="26"/>
        <v/>
      </c>
    </row>
    <row r="151" spans="1:16" x14ac:dyDescent="0.25">
      <c r="A151" s="14"/>
      <c r="B151" s="37"/>
      <c r="C151" s="38"/>
      <c r="D151" s="17"/>
      <c r="E151" s="39"/>
      <c r="F151" s="14"/>
      <c r="G151" s="17" t="str">
        <f t="shared" si="23"/>
        <v/>
      </c>
      <c r="H151" s="17" t="str">
        <f>IF(A151="","",B151*Inputs!$B$25 + C151*Inputs!$B$26 + D151*Inputs!$B$27 + E151*Inputs!$B$28)</f>
        <v/>
      </c>
      <c r="I151" s="17" t="str">
        <f t="shared" si="24"/>
        <v/>
      </c>
      <c r="J151" s="14"/>
      <c r="K151" s="14"/>
      <c r="L151" s="17" t="str">
        <f t="shared" si="27"/>
        <v/>
      </c>
      <c r="M151" s="17" t="str">
        <f t="shared" si="28"/>
        <v/>
      </c>
      <c r="N151" s="17" t="str">
        <f t="shared" si="25"/>
        <v/>
      </c>
      <c r="O151" s="14" t="str">
        <f t="shared" si="29"/>
        <v/>
      </c>
      <c r="P151" s="14" t="str">
        <f t="shared" si="26"/>
        <v/>
      </c>
    </row>
    <row r="152" spans="1:16" x14ac:dyDescent="0.25">
      <c r="A152" s="14"/>
      <c r="B152" s="37"/>
      <c r="C152" s="38"/>
      <c r="D152" s="17"/>
      <c r="E152" s="39"/>
      <c r="F152" s="14"/>
      <c r="G152" s="17" t="str">
        <f t="shared" si="23"/>
        <v/>
      </c>
      <c r="H152" s="17" t="str">
        <f>IF(A152="","",B152*Inputs!$B$25 + C152*Inputs!$B$26 + D152*Inputs!$B$27 + E152*Inputs!$B$28)</f>
        <v/>
      </c>
      <c r="I152" s="17" t="str">
        <f t="shared" si="24"/>
        <v/>
      </c>
      <c r="J152" s="14"/>
      <c r="K152" s="14"/>
      <c r="L152" s="17" t="str">
        <f t="shared" si="27"/>
        <v/>
      </c>
      <c r="M152" s="17" t="str">
        <f t="shared" si="28"/>
        <v/>
      </c>
      <c r="N152" s="17" t="str">
        <f t="shared" si="25"/>
        <v/>
      </c>
      <c r="O152" s="14" t="str">
        <f t="shared" si="29"/>
        <v/>
      </c>
      <c r="P152" s="14" t="str">
        <f t="shared" si="26"/>
        <v/>
      </c>
    </row>
    <row r="153" spans="1:16" x14ac:dyDescent="0.25">
      <c r="A153" s="14"/>
      <c r="B153" s="37"/>
      <c r="C153" s="38"/>
      <c r="D153" s="17"/>
      <c r="E153" s="39"/>
      <c r="F153" s="14"/>
      <c r="G153" s="17" t="str">
        <f t="shared" si="23"/>
        <v/>
      </c>
      <c r="H153" s="17" t="str">
        <f>IF(A153="","",B153*Inputs!$B$25 + C153*Inputs!$B$26 + D153*Inputs!$B$27 + E153*Inputs!$B$28)</f>
        <v/>
      </c>
      <c r="I153" s="17" t="str">
        <f t="shared" si="24"/>
        <v/>
      </c>
      <c r="J153" s="14"/>
      <c r="K153" s="14"/>
      <c r="L153" s="17" t="str">
        <f t="shared" si="27"/>
        <v/>
      </c>
      <c r="M153" s="17" t="str">
        <f t="shared" si="28"/>
        <v/>
      </c>
      <c r="N153" s="17" t="str">
        <f t="shared" si="25"/>
        <v/>
      </c>
      <c r="O153" s="14" t="str">
        <f t="shared" si="29"/>
        <v/>
      </c>
      <c r="P153" s="14" t="str">
        <f t="shared" si="26"/>
        <v/>
      </c>
    </row>
    <row r="154" spans="1:16" x14ac:dyDescent="0.25">
      <c r="A154" s="14"/>
      <c r="B154" s="37"/>
      <c r="C154" s="38"/>
      <c r="D154" s="17"/>
      <c r="E154" s="39"/>
      <c r="F154" s="14"/>
      <c r="G154" s="17" t="str">
        <f t="shared" si="23"/>
        <v/>
      </c>
      <c r="H154" s="17" t="str">
        <f>IF(A154="","",B154*Inputs!$B$25 + C154*Inputs!$B$26 + D154*Inputs!$B$27 + E154*Inputs!$B$28)</f>
        <v/>
      </c>
      <c r="I154" s="17" t="str">
        <f t="shared" si="24"/>
        <v/>
      </c>
      <c r="J154" s="14"/>
      <c r="K154" s="14"/>
      <c r="L154" s="17" t="str">
        <f t="shared" si="27"/>
        <v/>
      </c>
      <c r="M154" s="17" t="str">
        <f t="shared" si="28"/>
        <v/>
      </c>
      <c r="N154" s="17" t="str">
        <f t="shared" si="25"/>
        <v/>
      </c>
      <c r="O154" s="14" t="str">
        <f t="shared" si="29"/>
        <v/>
      </c>
      <c r="P154" s="14" t="str">
        <f t="shared" si="26"/>
        <v/>
      </c>
    </row>
    <row r="155" spans="1:16" x14ac:dyDescent="0.25">
      <c r="A155" s="14"/>
      <c r="B155" s="37"/>
      <c r="C155" s="38"/>
      <c r="D155" s="17"/>
      <c r="E155" s="39"/>
      <c r="F155" s="14"/>
      <c r="G155" s="17" t="str">
        <f t="shared" si="23"/>
        <v/>
      </c>
      <c r="H155" s="17" t="str">
        <f>IF(A155="","",B155*Inputs!$B$25 + C155*Inputs!$B$26 + D155*Inputs!$B$27 + E155*Inputs!$B$28)</f>
        <v/>
      </c>
      <c r="I155" s="17" t="str">
        <f t="shared" si="24"/>
        <v/>
      </c>
      <c r="J155" s="14"/>
      <c r="K155" s="14"/>
      <c r="L155" s="17" t="str">
        <f t="shared" si="27"/>
        <v/>
      </c>
      <c r="M155" s="17" t="str">
        <f t="shared" si="28"/>
        <v/>
      </c>
      <c r="N155" s="17" t="str">
        <f t="shared" si="25"/>
        <v/>
      </c>
      <c r="O155" s="14" t="str">
        <f t="shared" si="29"/>
        <v/>
      </c>
      <c r="P155" s="14" t="str">
        <f t="shared" si="26"/>
        <v/>
      </c>
    </row>
    <row r="156" spans="1:16" x14ac:dyDescent="0.25">
      <c r="A156" s="14"/>
      <c r="B156" s="37"/>
      <c r="C156" s="38"/>
      <c r="D156" s="17"/>
      <c r="E156" s="39"/>
      <c r="F156" s="14"/>
      <c r="G156" s="17" t="str">
        <f t="shared" si="23"/>
        <v/>
      </c>
      <c r="H156" s="17" t="str">
        <f>IF(A156="","",B156*Inputs!$B$25 + C156*Inputs!$B$26 + D156*Inputs!$B$27 + E156*Inputs!$B$28)</f>
        <v/>
      </c>
      <c r="I156" s="17" t="str">
        <f t="shared" si="24"/>
        <v/>
      </c>
      <c r="J156" s="14"/>
      <c r="K156" s="14"/>
      <c r="L156" s="17" t="str">
        <f t="shared" si="27"/>
        <v/>
      </c>
      <c r="M156" s="17" t="str">
        <f t="shared" si="28"/>
        <v/>
      </c>
      <c r="N156" s="17" t="str">
        <f t="shared" si="25"/>
        <v/>
      </c>
      <c r="O156" s="14" t="str">
        <f t="shared" si="29"/>
        <v/>
      </c>
      <c r="P156" s="14" t="str">
        <f t="shared" si="26"/>
        <v/>
      </c>
    </row>
    <row r="157" spans="1:16" x14ac:dyDescent="0.25">
      <c r="A157" s="14"/>
      <c r="B157" s="37"/>
      <c r="C157" s="38"/>
      <c r="D157" s="17"/>
      <c r="E157" s="39"/>
      <c r="F157" s="14"/>
      <c r="G157" s="17" t="str">
        <f t="shared" si="23"/>
        <v/>
      </c>
      <c r="H157" s="17" t="str">
        <f>IF(A157="","",B157*Inputs!$B$25 + C157*Inputs!$B$26 + D157*Inputs!$B$27 + E157*Inputs!$B$28)</f>
        <v/>
      </c>
      <c r="I157" s="17" t="str">
        <f t="shared" si="24"/>
        <v/>
      </c>
      <c r="J157" s="14"/>
      <c r="K157" s="14"/>
      <c r="L157" s="17" t="str">
        <f t="shared" si="27"/>
        <v/>
      </c>
      <c r="M157" s="17" t="str">
        <f t="shared" si="28"/>
        <v/>
      </c>
      <c r="N157" s="17" t="str">
        <f t="shared" si="25"/>
        <v/>
      </c>
      <c r="O157" s="14" t="str">
        <f t="shared" si="29"/>
        <v/>
      </c>
      <c r="P157" s="14" t="str">
        <f t="shared" si="26"/>
        <v/>
      </c>
    </row>
    <row r="158" spans="1:16" x14ac:dyDescent="0.25">
      <c r="A158" s="14"/>
      <c r="B158" s="37"/>
      <c r="C158" s="38"/>
      <c r="D158" s="17"/>
      <c r="E158" s="39"/>
      <c r="F158" s="14"/>
      <c r="G158" s="17" t="str">
        <f t="shared" si="23"/>
        <v/>
      </c>
      <c r="H158" s="17" t="str">
        <f>IF(A158="","",B158*Inputs!$B$25 + C158*Inputs!$B$26 + D158*Inputs!$B$27 + E158*Inputs!$B$28)</f>
        <v/>
      </c>
      <c r="I158" s="17" t="str">
        <f t="shared" si="24"/>
        <v/>
      </c>
      <c r="J158" s="14"/>
      <c r="K158" s="14"/>
      <c r="L158" s="17" t="str">
        <f t="shared" si="27"/>
        <v/>
      </c>
      <c r="M158" s="17" t="str">
        <f t="shared" si="28"/>
        <v/>
      </c>
      <c r="N158" s="17" t="str">
        <f t="shared" si="25"/>
        <v/>
      </c>
      <c r="O158" s="14" t="str">
        <f t="shared" si="29"/>
        <v/>
      </c>
      <c r="P158" s="14" t="str">
        <f t="shared" si="26"/>
        <v/>
      </c>
    </row>
    <row r="159" spans="1:16" x14ac:dyDescent="0.25">
      <c r="A159" s="14"/>
      <c r="B159" s="37"/>
      <c r="C159" s="38"/>
      <c r="D159" s="17"/>
      <c r="E159" s="39"/>
      <c r="F159" s="14"/>
      <c r="G159" s="17" t="str">
        <f t="shared" si="23"/>
        <v/>
      </c>
      <c r="H159" s="17" t="str">
        <f>IF(A159="","",B159*Inputs!$B$25 + C159*Inputs!$B$26 + D159*Inputs!$B$27 + E159*Inputs!$B$28)</f>
        <v/>
      </c>
      <c r="I159" s="17" t="str">
        <f t="shared" si="24"/>
        <v/>
      </c>
      <c r="J159" s="14"/>
      <c r="K159" s="14"/>
      <c r="L159" s="17" t="str">
        <f t="shared" si="27"/>
        <v/>
      </c>
      <c r="M159" s="17" t="str">
        <f t="shared" si="28"/>
        <v/>
      </c>
      <c r="N159" s="17" t="str">
        <f t="shared" si="25"/>
        <v/>
      </c>
      <c r="O159" s="14" t="str">
        <f t="shared" si="29"/>
        <v/>
      </c>
      <c r="P159" s="14" t="str">
        <f t="shared" si="26"/>
        <v/>
      </c>
    </row>
    <row r="160" spans="1:16" x14ac:dyDescent="0.25">
      <c r="A160" s="14"/>
      <c r="B160" s="37"/>
      <c r="C160" s="38"/>
      <c r="D160" s="17"/>
      <c r="E160" s="39"/>
      <c r="F160" s="14"/>
      <c r="G160" s="17" t="str">
        <f t="shared" si="23"/>
        <v/>
      </c>
      <c r="H160" s="17" t="str">
        <f>IF(A160="","",B160*Inputs!$B$25 + C160*Inputs!$B$26 + D160*Inputs!$B$27 + E160*Inputs!$B$28)</f>
        <v/>
      </c>
      <c r="I160" s="17" t="str">
        <f t="shared" si="24"/>
        <v/>
      </c>
      <c r="J160" s="14"/>
      <c r="K160" s="14"/>
      <c r="L160" s="17" t="str">
        <f t="shared" si="27"/>
        <v/>
      </c>
      <c r="M160" s="17" t="str">
        <f t="shared" si="28"/>
        <v/>
      </c>
      <c r="N160" s="17" t="str">
        <f t="shared" si="25"/>
        <v/>
      </c>
      <c r="O160" s="14" t="str">
        <f t="shared" si="29"/>
        <v/>
      </c>
      <c r="P160" s="14" t="str">
        <f t="shared" si="26"/>
        <v/>
      </c>
    </row>
    <row r="161" spans="1:16" x14ac:dyDescent="0.25">
      <c r="A161" s="14"/>
      <c r="B161" s="37"/>
      <c r="C161" s="38"/>
      <c r="D161" s="17"/>
      <c r="E161" s="39"/>
      <c r="F161" s="14"/>
      <c r="G161" s="17" t="str">
        <f t="shared" si="23"/>
        <v/>
      </c>
      <c r="H161" s="17" t="str">
        <f>IF(A161="","",B161*Inputs!$B$25 + C161*Inputs!$B$26 + D161*Inputs!$B$27 + E161*Inputs!$B$28)</f>
        <v/>
      </c>
      <c r="I161" s="17" t="str">
        <f t="shared" si="24"/>
        <v/>
      </c>
      <c r="J161" s="14"/>
      <c r="K161" s="14"/>
      <c r="L161" s="17" t="str">
        <f t="shared" si="27"/>
        <v/>
      </c>
      <c r="M161" s="17" t="str">
        <f t="shared" si="28"/>
        <v/>
      </c>
      <c r="N161" s="17" t="str">
        <f t="shared" si="25"/>
        <v/>
      </c>
      <c r="O161" s="14" t="str">
        <f t="shared" si="29"/>
        <v/>
      </c>
      <c r="P161" s="14" t="str">
        <f t="shared" si="26"/>
        <v/>
      </c>
    </row>
    <row r="162" spans="1:16" x14ac:dyDescent="0.25">
      <c r="A162" s="14"/>
      <c r="B162" s="37"/>
      <c r="C162" s="38"/>
      <c r="D162" s="17"/>
      <c r="E162" s="39"/>
      <c r="F162" s="14"/>
      <c r="G162" s="17" t="str">
        <f t="shared" si="23"/>
        <v/>
      </c>
      <c r="H162" s="17" t="str">
        <f>IF(A162="","",B162*Inputs!$B$25 + C162*Inputs!$B$26 + D162*Inputs!$B$27 + E162*Inputs!$B$28)</f>
        <v/>
      </c>
      <c r="I162" s="17" t="str">
        <f t="shared" si="24"/>
        <v/>
      </c>
      <c r="J162" s="14"/>
      <c r="K162" s="14"/>
      <c r="L162" s="17" t="str">
        <f t="shared" si="27"/>
        <v/>
      </c>
      <c r="M162" s="17" t="str">
        <f t="shared" si="28"/>
        <v/>
      </c>
      <c r="N162" s="17" t="str">
        <f t="shared" si="25"/>
        <v/>
      </c>
      <c r="O162" s="14" t="str">
        <f t="shared" si="29"/>
        <v/>
      </c>
      <c r="P162" s="14" t="str">
        <f t="shared" si="26"/>
        <v/>
      </c>
    </row>
    <row r="163" spans="1:16" x14ac:dyDescent="0.25">
      <c r="A163" s="14"/>
      <c r="B163" s="37"/>
      <c r="C163" s="38"/>
      <c r="D163" s="17"/>
      <c r="E163" s="39"/>
      <c r="F163" s="14"/>
      <c r="G163" s="17" t="str">
        <f t="shared" si="23"/>
        <v/>
      </c>
      <c r="H163" s="17" t="str">
        <f>IF(A163="","",B163*Inputs!$B$25 + C163*Inputs!$B$26 + D163*Inputs!$B$27 + E163*Inputs!$B$28)</f>
        <v/>
      </c>
      <c r="I163" s="17" t="str">
        <f t="shared" si="24"/>
        <v/>
      </c>
      <c r="J163" s="14"/>
      <c r="K163" s="14"/>
      <c r="L163" s="17" t="str">
        <f t="shared" si="27"/>
        <v/>
      </c>
      <c r="M163" s="17" t="str">
        <f t="shared" si="28"/>
        <v/>
      </c>
      <c r="N163" s="17" t="str">
        <f t="shared" si="25"/>
        <v/>
      </c>
      <c r="O163" s="14" t="str">
        <f t="shared" si="29"/>
        <v/>
      </c>
      <c r="P163" s="14" t="str">
        <f t="shared" si="26"/>
        <v/>
      </c>
    </row>
    <row r="164" spans="1:16" x14ac:dyDescent="0.25">
      <c r="A164" s="14"/>
      <c r="B164" s="37"/>
      <c r="C164" s="38"/>
      <c r="D164" s="17"/>
      <c r="E164" s="39"/>
      <c r="F164" s="14"/>
      <c r="G164" s="17" t="str">
        <f t="shared" si="23"/>
        <v/>
      </c>
      <c r="H164" s="17" t="str">
        <f>IF(A164="","",B164*Inputs!$B$25 + C164*Inputs!$B$26 + D164*Inputs!$B$27 + E164*Inputs!$B$28)</f>
        <v/>
      </c>
      <c r="I164" s="17" t="str">
        <f t="shared" si="24"/>
        <v/>
      </c>
      <c r="J164" s="14"/>
      <c r="K164" s="14"/>
      <c r="L164" s="17" t="str">
        <f t="shared" si="27"/>
        <v/>
      </c>
      <c r="M164" s="17" t="str">
        <f t="shared" si="28"/>
        <v/>
      </c>
      <c r="N164" s="17" t="str">
        <f t="shared" si="25"/>
        <v/>
      </c>
      <c r="O164" s="14" t="str">
        <f t="shared" si="29"/>
        <v/>
      </c>
      <c r="P164" s="14" t="str">
        <f t="shared" si="26"/>
        <v/>
      </c>
    </row>
    <row r="165" spans="1:16" x14ac:dyDescent="0.25">
      <c r="A165" s="14"/>
      <c r="B165" s="37"/>
      <c r="C165" s="38"/>
      <c r="D165" s="17"/>
      <c r="E165" s="39"/>
      <c r="F165" s="14"/>
      <c r="G165" s="17" t="str">
        <f t="shared" si="23"/>
        <v/>
      </c>
      <c r="H165" s="17" t="str">
        <f>IF(A165="","",B165*Inputs!$B$25 + C165*Inputs!$B$26 + D165*Inputs!$B$27 + E165*Inputs!$B$28)</f>
        <v/>
      </c>
      <c r="I165" s="17" t="str">
        <f t="shared" si="24"/>
        <v/>
      </c>
      <c r="J165" s="14"/>
      <c r="K165" s="14"/>
      <c r="L165" s="17" t="str">
        <f t="shared" si="27"/>
        <v/>
      </c>
      <c r="M165" s="17" t="str">
        <f t="shared" si="28"/>
        <v/>
      </c>
      <c r="N165" s="17" t="str">
        <f t="shared" si="25"/>
        <v/>
      </c>
      <c r="O165" s="14" t="str">
        <f t="shared" si="29"/>
        <v/>
      </c>
      <c r="P165" s="14" t="str">
        <f t="shared" si="26"/>
        <v/>
      </c>
    </row>
    <row r="166" spans="1:16" x14ac:dyDescent="0.25">
      <c r="A166" s="14"/>
      <c r="B166" s="37"/>
      <c r="C166" s="38"/>
      <c r="D166" s="17"/>
      <c r="E166" s="39"/>
      <c r="F166" s="14"/>
      <c r="G166" s="17" t="str">
        <f t="shared" si="23"/>
        <v/>
      </c>
      <c r="H166" s="17" t="str">
        <f>IF(A166="","",B166*Inputs!$B$25 + C166*Inputs!$B$26 + D166*Inputs!$B$27 + E166*Inputs!$B$28)</f>
        <v/>
      </c>
      <c r="I166" s="17" t="str">
        <f t="shared" si="24"/>
        <v/>
      </c>
      <c r="J166" s="14"/>
      <c r="K166" s="14"/>
      <c r="L166" s="17" t="str">
        <f t="shared" si="27"/>
        <v/>
      </c>
      <c r="M166" s="17" t="str">
        <f t="shared" si="28"/>
        <v/>
      </c>
      <c r="N166" s="17" t="str">
        <f t="shared" si="25"/>
        <v/>
      </c>
      <c r="O166" s="14" t="str">
        <f t="shared" si="29"/>
        <v/>
      </c>
      <c r="P166" s="14" t="str">
        <f t="shared" si="26"/>
        <v/>
      </c>
    </row>
    <row r="167" spans="1:16" x14ac:dyDescent="0.25">
      <c r="A167" s="14"/>
      <c r="B167" s="37"/>
      <c r="C167" s="38"/>
      <c r="D167" s="17"/>
      <c r="E167" s="39"/>
      <c r="F167" s="14"/>
      <c r="G167" s="17" t="str">
        <f t="shared" si="23"/>
        <v/>
      </c>
      <c r="H167" s="17" t="str">
        <f>IF(A167="","",B167*Inputs!$B$25 + C167*Inputs!$B$26 + D167*Inputs!$B$27 + E167*Inputs!$B$28)</f>
        <v/>
      </c>
      <c r="I167" s="17" t="str">
        <f t="shared" si="24"/>
        <v/>
      </c>
      <c r="J167" s="14"/>
      <c r="K167" s="14"/>
      <c r="L167" s="17" t="str">
        <f t="shared" si="27"/>
        <v/>
      </c>
      <c r="M167" s="17" t="str">
        <f t="shared" si="28"/>
        <v/>
      </c>
      <c r="N167" s="17" t="str">
        <f t="shared" si="25"/>
        <v/>
      </c>
      <c r="O167" s="14" t="str">
        <f t="shared" si="29"/>
        <v/>
      </c>
      <c r="P167" s="14" t="str">
        <f t="shared" si="26"/>
        <v/>
      </c>
    </row>
    <row r="168" spans="1:16" x14ac:dyDescent="0.25">
      <c r="A168" s="14"/>
      <c r="B168" s="37"/>
      <c r="C168" s="38"/>
      <c r="D168" s="17"/>
      <c r="E168" s="39"/>
      <c r="F168" s="14"/>
      <c r="G168" s="17" t="str">
        <f t="shared" si="23"/>
        <v/>
      </c>
      <c r="H168" s="17" t="str">
        <f>IF(A168="","",B168*Inputs!$B$25 + C168*Inputs!$B$26 + D168*Inputs!$B$27 + E168*Inputs!$B$28)</f>
        <v/>
      </c>
      <c r="I168" s="17" t="str">
        <f t="shared" si="24"/>
        <v/>
      </c>
      <c r="J168" s="14"/>
      <c r="K168" s="14"/>
      <c r="L168" s="17" t="str">
        <f t="shared" si="27"/>
        <v/>
      </c>
      <c r="M168" s="17" t="str">
        <f t="shared" si="28"/>
        <v/>
      </c>
      <c r="N168" s="17" t="str">
        <f t="shared" si="25"/>
        <v/>
      </c>
      <c r="O168" s="14" t="str">
        <f t="shared" si="29"/>
        <v/>
      </c>
      <c r="P168" s="14" t="str">
        <f t="shared" si="26"/>
        <v/>
      </c>
    </row>
    <row r="169" spans="1:16" x14ac:dyDescent="0.25">
      <c r="A169" s="14"/>
      <c r="B169" s="37"/>
      <c r="C169" s="38"/>
      <c r="D169" s="17"/>
      <c r="E169" s="39"/>
      <c r="F169" s="14"/>
      <c r="G169" s="17" t="str">
        <f t="shared" si="23"/>
        <v/>
      </c>
      <c r="H169" s="17" t="str">
        <f>IF(A169="","",B169*Inputs!$B$25 + C169*Inputs!$B$26 + D169*Inputs!$B$27 + E169*Inputs!$B$28)</f>
        <v/>
      </c>
      <c r="I169" s="17" t="str">
        <f t="shared" si="24"/>
        <v/>
      </c>
      <c r="J169" s="14"/>
      <c r="K169" s="14"/>
      <c r="L169" s="17" t="str">
        <f t="shared" si="27"/>
        <v/>
      </c>
      <c r="M169" s="17" t="str">
        <f t="shared" si="28"/>
        <v/>
      </c>
      <c r="N169" s="17" t="str">
        <f t="shared" si="25"/>
        <v/>
      </c>
      <c r="O169" s="14" t="str">
        <f t="shared" si="29"/>
        <v/>
      </c>
      <c r="P169" s="14" t="str">
        <f t="shared" si="26"/>
        <v/>
      </c>
    </row>
    <row r="170" spans="1:16" x14ac:dyDescent="0.25">
      <c r="A170" s="14"/>
      <c r="B170" s="37"/>
      <c r="C170" s="38"/>
      <c r="D170" s="17"/>
      <c r="E170" s="39"/>
      <c r="F170" s="14"/>
      <c r="G170" s="17" t="str">
        <f t="shared" si="23"/>
        <v/>
      </c>
      <c r="H170" s="17" t="str">
        <f>IF(A170="","",B170*Inputs!$B$25 + C170*Inputs!$B$26 + D170*Inputs!$B$27 + E170*Inputs!$B$28)</f>
        <v/>
      </c>
      <c r="I170" s="17" t="str">
        <f t="shared" si="24"/>
        <v/>
      </c>
      <c r="J170" s="14"/>
      <c r="K170" s="14"/>
      <c r="L170" s="17" t="str">
        <f t="shared" si="27"/>
        <v/>
      </c>
      <c r="M170" s="17" t="str">
        <f t="shared" si="28"/>
        <v/>
      </c>
      <c r="N170" s="17" t="str">
        <f t="shared" si="25"/>
        <v/>
      </c>
      <c r="O170" s="14" t="str">
        <f t="shared" si="29"/>
        <v/>
      </c>
      <c r="P170" s="14" t="str">
        <f t="shared" si="26"/>
        <v/>
      </c>
    </row>
    <row r="171" spans="1:16" x14ac:dyDescent="0.25">
      <c r="A171" s="14"/>
      <c r="B171" s="37"/>
      <c r="C171" s="38"/>
      <c r="D171" s="17"/>
      <c r="E171" s="39"/>
      <c r="F171" s="14"/>
      <c r="G171" s="17" t="str">
        <f t="shared" si="23"/>
        <v/>
      </c>
      <c r="H171" s="17" t="str">
        <f>IF(A171="","",B171*Inputs!$B$25 + C171*Inputs!$B$26 + D171*Inputs!$B$27 + E171*Inputs!$B$28)</f>
        <v/>
      </c>
      <c r="I171" s="17" t="str">
        <f t="shared" si="24"/>
        <v/>
      </c>
      <c r="J171" s="14"/>
      <c r="K171" s="14"/>
      <c r="L171" s="17" t="str">
        <f t="shared" si="27"/>
        <v/>
      </c>
      <c r="M171" s="17" t="str">
        <f t="shared" si="28"/>
        <v/>
      </c>
      <c r="N171" s="17" t="str">
        <f t="shared" si="25"/>
        <v/>
      </c>
      <c r="O171" s="14" t="str">
        <f t="shared" si="29"/>
        <v/>
      </c>
      <c r="P171" s="14" t="str">
        <f t="shared" si="26"/>
        <v/>
      </c>
    </row>
    <row r="172" spans="1:16" x14ac:dyDescent="0.25">
      <c r="A172" s="14"/>
      <c r="B172" s="37"/>
      <c r="C172" s="38"/>
      <c r="D172" s="17"/>
      <c r="E172" s="39"/>
      <c r="F172" s="14"/>
      <c r="G172" s="17" t="str">
        <f t="shared" si="23"/>
        <v/>
      </c>
      <c r="H172" s="17" t="str">
        <f>IF(A172="","",B172*Inputs!$B$25 + C172*Inputs!$B$26 + D172*Inputs!$B$27 + E172*Inputs!$B$28)</f>
        <v/>
      </c>
      <c r="I172" s="17" t="str">
        <f t="shared" si="24"/>
        <v/>
      </c>
      <c r="J172" s="14"/>
      <c r="K172" s="14"/>
      <c r="L172" s="17" t="str">
        <f t="shared" si="27"/>
        <v/>
      </c>
      <c r="M172" s="17" t="str">
        <f t="shared" si="28"/>
        <v/>
      </c>
      <c r="N172" s="17" t="str">
        <f t="shared" si="25"/>
        <v/>
      </c>
      <c r="O172" s="14" t="str">
        <f t="shared" si="29"/>
        <v/>
      </c>
      <c r="P172" s="14" t="str">
        <f t="shared" si="26"/>
        <v/>
      </c>
    </row>
    <row r="173" spans="1:16" x14ac:dyDescent="0.25">
      <c r="A173" s="14"/>
      <c r="B173" s="37"/>
      <c r="C173" s="38"/>
      <c r="D173" s="17"/>
      <c r="E173" s="39"/>
      <c r="F173" s="14"/>
      <c r="G173" s="17" t="str">
        <f t="shared" si="23"/>
        <v/>
      </c>
      <c r="H173" s="17" t="str">
        <f>IF(A173="","",B173*Inputs!$B$25 + C173*Inputs!$B$26 + D173*Inputs!$B$27 + E173*Inputs!$B$28)</f>
        <v/>
      </c>
      <c r="I173" s="17" t="str">
        <f t="shared" si="24"/>
        <v/>
      </c>
      <c r="J173" s="14"/>
      <c r="K173" s="14"/>
      <c r="L173" s="17" t="str">
        <f t="shared" si="27"/>
        <v/>
      </c>
      <c r="M173" s="17" t="str">
        <f t="shared" si="28"/>
        <v/>
      </c>
      <c r="N173" s="17" t="str">
        <f t="shared" si="25"/>
        <v/>
      </c>
      <c r="O173" s="14" t="str">
        <f t="shared" si="29"/>
        <v/>
      </c>
      <c r="P173" s="14" t="str">
        <f t="shared" si="26"/>
        <v/>
      </c>
    </row>
    <row r="174" spans="1:16" x14ac:dyDescent="0.25">
      <c r="A174" s="14"/>
      <c r="B174" s="37"/>
      <c r="C174" s="38"/>
      <c r="D174" s="17"/>
      <c r="E174" s="39"/>
      <c r="F174" s="14"/>
      <c r="G174" s="17" t="str">
        <f t="shared" si="23"/>
        <v/>
      </c>
      <c r="H174" s="17" t="str">
        <f>IF(A174="","",B174*Inputs!$B$25 + C174*Inputs!$B$26 + D174*Inputs!$B$27 + E174*Inputs!$B$28)</f>
        <v/>
      </c>
      <c r="I174" s="17" t="str">
        <f t="shared" si="24"/>
        <v/>
      </c>
      <c r="J174" s="14"/>
      <c r="K174" s="14"/>
      <c r="L174" s="17" t="str">
        <f t="shared" si="27"/>
        <v/>
      </c>
      <c r="M174" s="17" t="str">
        <f t="shared" si="28"/>
        <v/>
      </c>
      <c r="N174" s="17" t="str">
        <f t="shared" si="25"/>
        <v/>
      </c>
      <c r="O174" s="14" t="str">
        <f t="shared" si="29"/>
        <v/>
      </c>
      <c r="P174" s="14" t="str">
        <f t="shared" si="26"/>
        <v/>
      </c>
    </row>
    <row r="175" spans="1:16" x14ac:dyDescent="0.25">
      <c r="A175" s="14"/>
      <c r="B175" s="37"/>
      <c r="C175" s="38"/>
      <c r="D175" s="17"/>
      <c r="E175" s="39"/>
      <c r="F175" s="14"/>
      <c r="G175" s="17" t="str">
        <f t="shared" si="23"/>
        <v/>
      </c>
      <c r="H175" s="17" t="str">
        <f>IF(A175="","",B175*Inputs!$B$25 + C175*Inputs!$B$26 + D175*Inputs!$B$27 + E175*Inputs!$B$28)</f>
        <v/>
      </c>
      <c r="I175" s="17" t="str">
        <f t="shared" si="24"/>
        <v/>
      </c>
      <c r="J175" s="14"/>
      <c r="K175" s="14"/>
      <c r="L175" s="17" t="str">
        <f t="shared" si="27"/>
        <v/>
      </c>
      <c r="M175" s="17" t="str">
        <f t="shared" si="28"/>
        <v/>
      </c>
      <c r="N175" s="17" t="str">
        <f t="shared" si="25"/>
        <v/>
      </c>
      <c r="O175" s="14" t="str">
        <f t="shared" si="29"/>
        <v/>
      </c>
      <c r="P175" s="14" t="str">
        <f t="shared" si="26"/>
        <v/>
      </c>
    </row>
    <row r="176" spans="1:16" x14ac:dyDescent="0.25">
      <c r="A176" s="14"/>
      <c r="B176" s="37"/>
      <c r="C176" s="38"/>
      <c r="D176" s="17"/>
      <c r="E176" s="39"/>
      <c r="F176" s="14"/>
      <c r="G176" s="17" t="str">
        <f t="shared" si="23"/>
        <v/>
      </c>
      <c r="H176" s="17" t="str">
        <f>IF(A176="","",B176*Inputs!$B$25 + C176*Inputs!$B$26 + D176*Inputs!$B$27 + E176*Inputs!$B$28)</f>
        <v/>
      </c>
      <c r="I176" s="17" t="str">
        <f t="shared" si="24"/>
        <v/>
      </c>
      <c r="J176" s="14"/>
      <c r="K176" s="14"/>
      <c r="L176" s="17" t="str">
        <f t="shared" si="27"/>
        <v/>
      </c>
      <c r="M176" s="17" t="str">
        <f t="shared" si="28"/>
        <v/>
      </c>
      <c r="N176" s="17" t="str">
        <f t="shared" si="25"/>
        <v/>
      </c>
      <c r="O176" s="14" t="str">
        <f t="shared" si="29"/>
        <v/>
      </c>
      <c r="P176" s="14" t="str">
        <f t="shared" si="26"/>
        <v/>
      </c>
    </row>
    <row r="177" spans="1:16" x14ac:dyDescent="0.25">
      <c r="A177" s="14"/>
      <c r="B177" s="37"/>
      <c r="C177" s="38"/>
      <c r="D177" s="17"/>
      <c r="E177" s="39"/>
      <c r="F177" s="14"/>
      <c r="G177" s="17" t="str">
        <f t="shared" si="23"/>
        <v/>
      </c>
      <c r="H177" s="17" t="str">
        <f>IF(A177="","",B177*Inputs!$B$25 + C177*Inputs!$B$26 + D177*Inputs!$B$27 + E177*Inputs!$B$28)</f>
        <v/>
      </c>
      <c r="I177" s="17" t="str">
        <f t="shared" si="24"/>
        <v/>
      </c>
      <c r="J177" s="14"/>
      <c r="K177" s="14"/>
      <c r="L177" s="17" t="str">
        <f t="shared" si="27"/>
        <v/>
      </c>
      <c r="M177" s="17" t="str">
        <f t="shared" si="28"/>
        <v/>
      </c>
      <c r="N177" s="17" t="str">
        <f t="shared" si="25"/>
        <v/>
      </c>
      <c r="O177" s="14" t="str">
        <f t="shared" si="29"/>
        <v/>
      </c>
      <c r="P177" s="14" t="str">
        <f t="shared" si="26"/>
        <v/>
      </c>
    </row>
    <row r="178" spans="1:16" x14ac:dyDescent="0.25">
      <c r="A178" s="14"/>
      <c r="B178" s="37"/>
      <c r="C178" s="38"/>
      <c r="D178" s="17"/>
      <c r="E178" s="39"/>
      <c r="F178" s="14"/>
      <c r="G178" s="17" t="str">
        <f t="shared" si="23"/>
        <v/>
      </c>
      <c r="H178" s="17" t="str">
        <f>IF(A178="","",B178*Inputs!$B$25 + C178*Inputs!$B$26 + D178*Inputs!$B$27 + E178*Inputs!$B$28)</f>
        <v/>
      </c>
      <c r="I178" s="17" t="str">
        <f t="shared" si="24"/>
        <v/>
      </c>
      <c r="J178" s="14"/>
      <c r="K178" s="14"/>
      <c r="L178" s="17" t="str">
        <f t="shared" si="27"/>
        <v/>
      </c>
      <c r="M178" s="17" t="str">
        <f t="shared" si="28"/>
        <v/>
      </c>
      <c r="N178" s="17" t="str">
        <f t="shared" si="25"/>
        <v/>
      </c>
      <c r="O178" s="14" t="str">
        <f t="shared" si="29"/>
        <v/>
      </c>
      <c r="P178" s="14" t="str">
        <f t="shared" si="26"/>
        <v/>
      </c>
    </row>
    <row r="179" spans="1:16" x14ac:dyDescent="0.25">
      <c r="A179" s="14"/>
      <c r="B179" s="37"/>
      <c r="C179" s="38"/>
      <c r="D179" s="17"/>
      <c r="E179" s="39"/>
      <c r="F179" s="14"/>
      <c r="G179" s="17" t="str">
        <f t="shared" si="23"/>
        <v/>
      </c>
      <c r="H179" s="17" t="str">
        <f>IF(A179="","",B179*Inputs!$B$25 + C179*Inputs!$B$26 + D179*Inputs!$B$27 + E179*Inputs!$B$28)</f>
        <v/>
      </c>
      <c r="I179" s="17" t="str">
        <f t="shared" si="24"/>
        <v/>
      </c>
      <c r="J179" s="14"/>
      <c r="K179" s="14"/>
      <c r="L179" s="17" t="str">
        <f t="shared" si="27"/>
        <v/>
      </c>
      <c r="M179" s="17" t="str">
        <f t="shared" si="28"/>
        <v/>
      </c>
      <c r="N179" s="17" t="str">
        <f t="shared" si="25"/>
        <v/>
      </c>
      <c r="O179" s="14" t="str">
        <f t="shared" si="29"/>
        <v/>
      </c>
      <c r="P179" s="14" t="str">
        <f t="shared" si="26"/>
        <v/>
      </c>
    </row>
    <row r="180" spans="1:16" x14ac:dyDescent="0.25">
      <c r="A180" s="14"/>
      <c r="B180" s="37"/>
      <c r="C180" s="38"/>
      <c r="D180" s="17"/>
      <c r="E180" s="39"/>
      <c r="F180" s="14"/>
      <c r="G180" s="17" t="str">
        <f t="shared" si="23"/>
        <v/>
      </c>
      <c r="H180" s="17" t="str">
        <f>IF(A180="","",B180*Inputs!$B$25 + C180*Inputs!$B$26 + D180*Inputs!$B$27 + E180*Inputs!$B$28)</f>
        <v/>
      </c>
      <c r="I180" s="17" t="str">
        <f t="shared" si="24"/>
        <v/>
      </c>
      <c r="J180" s="14"/>
      <c r="K180" s="14"/>
      <c r="L180" s="17" t="str">
        <f t="shared" ref="L180:L204" si="30">IF(A180="","",B180+C180+E180)</f>
        <v/>
      </c>
      <c r="M180" s="17" t="str">
        <f t="shared" ref="M180:M204" si="31">IF(A180="","",D180)</f>
        <v/>
      </c>
      <c r="N180" s="17" t="str">
        <f t="shared" si="25"/>
        <v/>
      </c>
      <c r="O180" s="14" t="str">
        <f t="shared" ref="O180:O204" si="32">IF(A180="","",IF(COUNT(B180:E180)=0,"MISSING",IF(MIN(B180:E180)&lt;0,"INVALID_NEG",IF(SUM(B180:E180)=0,"ZERO_TOTAL",IF(COUNTIF(B180:E180,MAX(B180:E180))&gt;1,"MIXED/TIE",IF(MAX(B180:E180)=B180,"ROOF",IF(MAX(B180:E180)=C180,"PAVEMENT",IF(MAX(B180:E180)=D180,"GRASS","OTHER"))))))))</f>
        <v/>
      </c>
      <c r="P180" s="14" t="str">
        <f t="shared" si="26"/>
        <v/>
      </c>
    </row>
    <row r="181" spans="1:16" x14ac:dyDescent="0.25">
      <c r="A181" s="14"/>
      <c r="B181" s="37"/>
      <c r="C181" s="38"/>
      <c r="D181" s="17"/>
      <c r="E181" s="39"/>
      <c r="F181" s="14"/>
      <c r="G181" s="17" t="str">
        <f t="shared" si="23"/>
        <v/>
      </c>
      <c r="H181" s="17" t="str">
        <f>IF(A181="","",B181*Inputs!$B$25 + C181*Inputs!$B$26 + D181*Inputs!$B$27 + E181*Inputs!$B$28)</f>
        <v/>
      </c>
      <c r="I181" s="17" t="str">
        <f t="shared" si="24"/>
        <v/>
      </c>
      <c r="J181" s="14"/>
      <c r="K181" s="14"/>
      <c r="L181" s="17" t="str">
        <f t="shared" si="30"/>
        <v/>
      </c>
      <c r="M181" s="17" t="str">
        <f t="shared" si="31"/>
        <v/>
      </c>
      <c r="N181" s="17" t="str">
        <f t="shared" si="25"/>
        <v/>
      </c>
      <c r="O181" s="14" t="str">
        <f t="shared" si="32"/>
        <v/>
      </c>
      <c r="P181" s="14" t="str">
        <f t="shared" si="26"/>
        <v/>
      </c>
    </row>
    <row r="182" spans="1:16" x14ac:dyDescent="0.25">
      <c r="A182" s="14"/>
      <c r="B182" s="37"/>
      <c r="C182" s="38"/>
      <c r="D182" s="17"/>
      <c r="E182" s="39"/>
      <c r="F182" s="14"/>
      <c r="G182" s="17" t="str">
        <f t="shared" si="23"/>
        <v/>
      </c>
      <c r="H182" s="17" t="str">
        <f>IF(A182="","",B182*Inputs!$B$25 + C182*Inputs!$B$26 + D182*Inputs!$B$27 + E182*Inputs!$B$28)</f>
        <v/>
      </c>
      <c r="I182" s="17" t="str">
        <f t="shared" si="24"/>
        <v/>
      </c>
      <c r="J182" s="14"/>
      <c r="K182" s="14"/>
      <c r="L182" s="17" t="str">
        <f t="shared" si="30"/>
        <v/>
      </c>
      <c r="M182" s="17" t="str">
        <f t="shared" si="31"/>
        <v/>
      </c>
      <c r="N182" s="17" t="str">
        <f t="shared" si="25"/>
        <v/>
      </c>
      <c r="O182" s="14" t="str">
        <f t="shared" si="32"/>
        <v/>
      </c>
      <c r="P182" s="14" t="str">
        <f t="shared" si="26"/>
        <v/>
      </c>
    </row>
    <row r="183" spans="1:16" x14ac:dyDescent="0.25">
      <c r="A183" s="14"/>
      <c r="B183" s="37"/>
      <c r="C183" s="38"/>
      <c r="D183" s="17"/>
      <c r="E183" s="39"/>
      <c r="F183" s="14"/>
      <c r="G183" s="17" t="str">
        <f t="shared" si="23"/>
        <v/>
      </c>
      <c r="H183" s="17" t="str">
        <f>IF(A183="","",B183*Inputs!$B$25 + C183*Inputs!$B$26 + D183*Inputs!$B$27 + E183*Inputs!$B$28)</f>
        <v/>
      </c>
      <c r="I183" s="17" t="str">
        <f t="shared" si="24"/>
        <v/>
      </c>
      <c r="J183" s="14"/>
      <c r="K183" s="14"/>
      <c r="L183" s="17" t="str">
        <f t="shared" si="30"/>
        <v/>
      </c>
      <c r="M183" s="17" t="str">
        <f t="shared" si="31"/>
        <v/>
      </c>
      <c r="N183" s="17" t="str">
        <f t="shared" si="25"/>
        <v/>
      </c>
      <c r="O183" s="14" t="str">
        <f t="shared" si="32"/>
        <v/>
      </c>
      <c r="P183" s="14" t="str">
        <f t="shared" si="26"/>
        <v/>
      </c>
    </row>
    <row r="184" spans="1:16" x14ac:dyDescent="0.25">
      <c r="A184" s="14"/>
      <c r="B184" s="37"/>
      <c r="C184" s="38"/>
      <c r="D184" s="17"/>
      <c r="E184" s="39"/>
      <c r="F184" s="14"/>
      <c r="G184" s="17" t="str">
        <f t="shared" si="23"/>
        <v/>
      </c>
      <c r="H184" s="17" t="str">
        <f>IF(A184="","",B184*Inputs!$B$25 + C184*Inputs!$B$26 + D184*Inputs!$B$27 + E184*Inputs!$B$28)</f>
        <v/>
      </c>
      <c r="I184" s="17" t="str">
        <f t="shared" si="24"/>
        <v/>
      </c>
      <c r="J184" s="14"/>
      <c r="K184" s="14"/>
      <c r="L184" s="17" t="str">
        <f t="shared" si="30"/>
        <v/>
      </c>
      <c r="M184" s="17" t="str">
        <f t="shared" si="31"/>
        <v/>
      </c>
      <c r="N184" s="17" t="str">
        <f t="shared" si="25"/>
        <v/>
      </c>
      <c r="O184" s="14" t="str">
        <f t="shared" si="32"/>
        <v/>
      </c>
      <c r="P184" s="14" t="str">
        <f t="shared" si="26"/>
        <v/>
      </c>
    </row>
    <row r="185" spans="1:16" x14ac:dyDescent="0.25">
      <c r="A185" s="14"/>
      <c r="B185" s="37"/>
      <c r="C185" s="38"/>
      <c r="D185" s="17"/>
      <c r="E185" s="39"/>
      <c r="F185" s="14"/>
      <c r="G185" s="17" t="str">
        <f t="shared" si="23"/>
        <v/>
      </c>
      <c r="H185" s="17" t="str">
        <f>IF(A185="","",B185*Inputs!$B$25 + C185*Inputs!$B$26 + D185*Inputs!$B$27 + E185*Inputs!$B$28)</f>
        <v/>
      </c>
      <c r="I185" s="17" t="str">
        <f t="shared" si="24"/>
        <v/>
      </c>
      <c r="J185" s="14"/>
      <c r="K185" s="14"/>
      <c r="L185" s="17" t="str">
        <f t="shared" si="30"/>
        <v/>
      </c>
      <c r="M185" s="17" t="str">
        <f t="shared" si="31"/>
        <v/>
      </c>
      <c r="N185" s="17" t="str">
        <f t="shared" si="25"/>
        <v/>
      </c>
      <c r="O185" s="14" t="str">
        <f t="shared" si="32"/>
        <v/>
      </c>
      <c r="P185" s="14" t="str">
        <f t="shared" si="26"/>
        <v/>
      </c>
    </row>
    <row r="186" spans="1:16" x14ac:dyDescent="0.25">
      <c r="A186" s="14"/>
      <c r="B186" s="37"/>
      <c r="C186" s="38"/>
      <c r="D186" s="17"/>
      <c r="E186" s="39"/>
      <c r="F186" s="14"/>
      <c r="G186" s="17" t="str">
        <f t="shared" si="23"/>
        <v/>
      </c>
      <c r="H186" s="17" t="str">
        <f>IF(A186="","",B186*Inputs!$B$25 + C186*Inputs!$B$26 + D186*Inputs!$B$27 + E186*Inputs!$B$28)</f>
        <v/>
      </c>
      <c r="I186" s="17" t="str">
        <f t="shared" si="24"/>
        <v/>
      </c>
      <c r="J186" s="14"/>
      <c r="K186" s="14"/>
      <c r="L186" s="17" t="str">
        <f t="shared" si="30"/>
        <v/>
      </c>
      <c r="M186" s="17" t="str">
        <f t="shared" si="31"/>
        <v/>
      </c>
      <c r="N186" s="17" t="str">
        <f t="shared" si="25"/>
        <v/>
      </c>
      <c r="O186" s="14" t="str">
        <f t="shared" si="32"/>
        <v/>
      </c>
      <c r="P186" s="14" t="str">
        <f t="shared" si="26"/>
        <v/>
      </c>
    </row>
    <row r="187" spans="1:16" x14ac:dyDescent="0.25">
      <c r="A187" s="14"/>
      <c r="B187" s="37"/>
      <c r="C187" s="38"/>
      <c r="D187" s="17"/>
      <c r="E187" s="39"/>
      <c r="F187" s="14"/>
      <c r="G187" s="17" t="str">
        <f t="shared" si="23"/>
        <v/>
      </c>
      <c r="H187" s="17" t="str">
        <f>IF(A187="","",B187*Inputs!$B$25 + C187*Inputs!$B$26 + D187*Inputs!$B$27 + E187*Inputs!$B$28)</f>
        <v/>
      </c>
      <c r="I187" s="17" t="str">
        <f t="shared" si="24"/>
        <v/>
      </c>
      <c r="J187" s="14"/>
      <c r="K187" s="14"/>
      <c r="L187" s="17" t="str">
        <f t="shared" si="30"/>
        <v/>
      </c>
      <c r="M187" s="17" t="str">
        <f t="shared" si="31"/>
        <v/>
      </c>
      <c r="N187" s="17" t="str">
        <f t="shared" si="25"/>
        <v/>
      </c>
      <c r="O187" s="14" t="str">
        <f t="shared" si="32"/>
        <v/>
      </c>
      <c r="P187" s="14" t="str">
        <f t="shared" si="26"/>
        <v/>
      </c>
    </row>
    <row r="188" spans="1:16" x14ac:dyDescent="0.25">
      <c r="A188" s="14"/>
      <c r="B188" s="37"/>
      <c r="C188" s="38"/>
      <c r="D188" s="17"/>
      <c r="E188" s="39"/>
      <c r="F188" s="14"/>
      <c r="G188" s="17" t="str">
        <f t="shared" si="23"/>
        <v/>
      </c>
      <c r="H188" s="17" t="str">
        <f>IF(A188="","",B188*Inputs!$B$25 + C188*Inputs!$B$26 + D188*Inputs!$B$27 + E188*Inputs!$B$28)</f>
        <v/>
      </c>
      <c r="I188" s="17" t="str">
        <f t="shared" si="24"/>
        <v/>
      </c>
      <c r="J188" s="14"/>
      <c r="K188" s="14"/>
      <c r="L188" s="17" t="str">
        <f t="shared" si="30"/>
        <v/>
      </c>
      <c r="M188" s="17" t="str">
        <f t="shared" si="31"/>
        <v/>
      </c>
      <c r="N188" s="17" t="str">
        <f t="shared" si="25"/>
        <v/>
      </c>
      <c r="O188" s="14" t="str">
        <f t="shared" si="32"/>
        <v/>
      </c>
      <c r="P188" s="14" t="str">
        <f t="shared" si="26"/>
        <v/>
      </c>
    </row>
    <row r="189" spans="1:16" x14ac:dyDescent="0.25">
      <c r="A189" s="14"/>
      <c r="B189" s="37"/>
      <c r="C189" s="38"/>
      <c r="D189" s="17"/>
      <c r="E189" s="39"/>
      <c r="F189" s="14"/>
      <c r="G189" s="17" t="str">
        <f t="shared" si="23"/>
        <v/>
      </c>
      <c r="H189" s="17" t="str">
        <f>IF(A189="","",B189*Inputs!$B$25 + C189*Inputs!$B$26 + D189*Inputs!$B$27 + E189*Inputs!$B$28)</f>
        <v/>
      </c>
      <c r="I189" s="17" t="str">
        <f t="shared" si="24"/>
        <v/>
      </c>
      <c r="J189" s="14"/>
      <c r="K189" s="14"/>
      <c r="L189" s="17" t="str">
        <f t="shared" si="30"/>
        <v/>
      </c>
      <c r="M189" s="17" t="str">
        <f t="shared" si="31"/>
        <v/>
      </c>
      <c r="N189" s="17" t="str">
        <f t="shared" si="25"/>
        <v/>
      </c>
      <c r="O189" s="14" t="str">
        <f t="shared" si="32"/>
        <v/>
      </c>
      <c r="P189" s="14" t="str">
        <f t="shared" si="26"/>
        <v/>
      </c>
    </row>
    <row r="190" spans="1:16" x14ac:dyDescent="0.25">
      <c r="A190" s="14"/>
      <c r="B190" s="37"/>
      <c r="C190" s="38"/>
      <c r="D190" s="17"/>
      <c r="E190" s="39"/>
      <c r="F190" s="14"/>
      <c r="G190" s="17" t="str">
        <f t="shared" si="23"/>
        <v/>
      </c>
      <c r="H190" s="17" t="str">
        <f>IF(A190="","",B190*Inputs!$B$25 + C190*Inputs!$B$26 + D190*Inputs!$B$27 + E190*Inputs!$B$28)</f>
        <v/>
      </c>
      <c r="I190" s="17" t="str">
        <f t="shared" si="24"/>
        <v/>
      </c>
      <c r="J190" s="14"/>
      <c r="K190" s="14"/>
      <c r="L190" s="17" t="str">
        <f t="shared" si="30"/>
        <v/>
      </c>
      <c r="M190" s="17" t="str">
        <f t="shared" si="31"/>
        <v/>
      </c>
      <c r="N190" s="17" t="str">
        <f t="shared" si="25"/>
        <v/>
      </c>
      <c r="O190" s="14" t="str">
        <f t="shared" si="32"/>
        <v/>
      </c>
      <c r="P190" s="14" t="str">
        <f t="shared" si="26"/>
        <v/>
      </c>
    </row>
    <row r="191" spans="1:16" x14ac:dyDescent="0.25">
      <c r="A191" s="14"/>
      <c r="B191" s="37"/>
      <c r="C191" s="38"/>
      <c r="D191" s="17"/>
      <c r="E191" s="39"/>
      <c r="F191" s="14"/>
      <c r="G191" s="17" t="str">
        <f t="shared" si="23"/>
        <v/>
      </c>
      <c r="H191" s="17" t="str">
        <f>IF(A191="","",B191*Inputs!$B$25 + C191*Inputs!$B$26 + D191*Inputs!$B$27 + E191*Inputs!$B$28)</f>
        <v/>
      </c>
      <c r="I191" s="17" t="str">
        <f t="shared" si="24"/>
        <v/>
      </c>
      <c r="J191" s="14"/>
      <c r="K191" s="14"/>
      <c r="L191" s="17" t="str">
        <f t="shared" si="30"/>
        <v/>
      </c>
      <c r="M191" s="17" t="str">
        <f t="shared" si="31"/>
        <v/>
      </c>
      <c r="N191" s="17" t="str">
        <f t="shared" si="25"/>
        <v/>
      </c>
      <c r="O191" s="14" t="str">
        <f t="shared" si="32"/>
        <v/>
      </c>
      <c r="P191" s="14" t="str">
        <f t="shared" si="26"/>
        <v/>
      </c>
    </row>
    <row r="192" spans="1:16" x14ac:dyDescent="0.25">
      <c r="A192" s="14"/>
      <c r="B192" s="37"/>
      <c r="C192" s="38"/>
      <c r="D192" s="17"/>
      <c r="E192" s="39"/>
      <c r="F192" s="14"/>
      <c r="G192" s="17" t="str">
        <f t="shared" si="23"/>
        <v/>
      </c>
      <c r="H192" s="17" t="str">
        <f>IF(A192="","",B192*Inputs!$B$25 + C192*Inputs!$B$26 + D192*Inputs!$B$27 + E192*Inputs!$B$28)</f>
        <v/>
      </c>
      <c r="I192" s="17" t="str">
        <f t="shared" si="24"/>
        <v/>
      </c>
      <c r="J192" s="14"/>
      <c r="K192" s="14"/>
      <c r="L192" s="17" t="str">
        <f t="shared" si="30"/>
        <v/>
      </c>
      <c r="M192" s="17" t="str">
        <f t="shared" si="31"/>
        <v/>
      </c>
      <c r="N192" s="17" t="str">
        <f t="shared" si="25"/>
        <v/>
      </c>
      <c r="O192" s="14" t="str">
        <f t="shared" si="32"/>
        <v/>
      </c>
      <c r="P192" s="14" t="str">
        <f t="shared" si="26"/>
        <v/>
      </c>
    </row>
    <row r="193" spans="1:16" x14ac:dyDescent="0.25">
      <c r="A193" s="14"/>
      <c r="B193" s="37"/>
      <c r="C193" s="38"/>
      <c r="D193" s="17"/>
      <c r="E193" s="39"/>
      <c r="F193" s="14"/>
      <c r="G193" s="17" t="str">
        <f t="shared" si="23"/>
        <v/>
      </c>
      <c r="H193" s="17" t="str">
        <f>IF(A193="","",B193*Inputs!$B$25 + C193*Inputs!$B$26 + D193*Inputs!$B$27 + E193*Inputs!$B$28)</f>
        <v/>
      </c>
      <c r="I193" s="17" t="str">
        <f t="shared" si="24"/>
        <v/>
      </c>
      <c r="J193" s="14"/>
      <c r="K193" s="14"/>
      <c r="L193" s="17" t="str">
        <f t="shared" si="30"/>
        <v/>
      </c>
      <c r="M193" s="17" t="str">
        <f t="shared" si="31"/>
        <v/>
      </c>
      <c r="N193" s="17" t="str">
        <f t="shared" si="25"/>
        <v/>
      </c>
      <c r="O193" s="14" t="str">
        <f t="shared" si="32"/>
        <v/>
      </c>
      <c r="P193" s="14" t="str">
        <f t="shared" si="26"/>
        <v/>
      </c>
    </row>
    <row r="194" spans="1:16" x14ac:dyDescent="0.25">
      <c r="A194" s="14"/>
      <c r="B194" s="37"/>
      <c r="C194" s="38"/>
      <c r="D194" s="17"/>
      <c r="E194" s="39"/>
      <c r="F194" s="14"/>
      <c r="G194" s="17" t="str">
        <f t="shared" si="23"/>
        <v/>
      </c>
      <c r="H194" s="17" t="str">
        <f>IF(A194="","",B194*Inputs!$B$25 + C194*Inputs!$B$26 + D194*Inputs!$B$27 + E194*Inputs!$B$28)</f>
        <v/>
      </c>
      <c r="I194" s="17" t="str">
        <f t="shared" si="24"/>
        <v/>
      </c>
      <c r="J194" s="14"/>
      <c r="K194" s="14"/>
      <c r="L194" s="17" t="str">
        <f t="shared" si="30"/>
        <v/>
      </c>
      <c r="M194" s="17" t="str">
        <f t="shared" si="31"/>
        <v/>
      </c>
      <c r="N194" s="17" t="str">
        <f t="shared" si="25"/>
        <v/>
      </c>
      <c r="O194" s="14" t="str">
        <f t="shared" si="32"/>
        <v/>
      </c>
      <c r="P194" s="14" t="str">
        <f t="shared" si="26"/>
        <v/>
      </c>
    </row>
    <row r="195" spans="1:16" x14ac:dyDescent="0.25">
      <c r="A195" s="14"/>
      <c r="B195" s="37"/>
      <c r="C195" s="38"/>
      <c r="D195" s="17"/>
      <c r="E195" s="39"/>
      <c r="F195" s="14"/>
      <c r="G195" s="17" t="str">
        <f t="shared" si="23"/>
        <v/>
      </c>
      <c r="H195" s="17" t="str">
        <f>IF(A195="","",B195*Inputs!$B$25 + C195*Inputs!$B$26 + D195*Inputs!$B$27 + E195*Inputs!$B$28)</f>
        <v/>
      </c>
      <c r="I195" s="17" t="str">
        <f t="shared" si="24"/>
        <v/>
      </c>
      <c r="J195" s="14"/>
      <c r="K195" s="14"/>
      <c r="L195" s="17" t="str">
        <f t="shared" si="30"/>
        <v/>
      </c>
      <c r="M195" s="17" t="str">
        <f t="shared" si="31"/>
        <v/>
      </c>
      <c r="N195" s="17" t="str">
        <f t="shared" si="25"/>
        <v/>
      </c>
      <c r="O195" s="14" t="str">
        <f t="shared" si="32"/>
        <v/>
      </c>
      <c r="P195" s="14" t="str">
        <f t="shared" si="26"/>
        <v/>
      </c>
    </row>
    <row r="196" spans="1:16" x14ac:dyDescent="0.25">
      <c r="A196" s="14"/>
      <c r="B196" s="37"/>
      <c r="C196" s="38"/>
      <c r="D196" s="17"/>
      <c r="E196" s="39"/>
      <c r="F196" s="14"/>
      <c r="G196" s="17" t="str">
        <f t="shared" ref="G196:G204" si="33">IF(A196="","",SUM(B196:E196))</f>
        <v/>
      </c>
      <c r="H196" s="17" t="str">
        <f>IF(A196="","",B196*Inputs!$B$25 + C196*Inputs!$B$26 + D196*Inputs!$B$27 + E196*Inputs!$B$28)</f>
        <v/>
      </c>
      <c r="I196" s="17" t="str">
        <f t="shared" ref="I196:I259" si="34">IF(OR(G196="",G196=0),"",H196/G196)</f>
        <v/>
      </c>
      <c r="J196" s="14"/>
      <c r="K196" s="14"/>
      <c r="L196" s="17" t="str">
        <f t="shared" si="30"/>
        <v/>
      </c>
      <c r="M196" s="17" t="str">
        <f t="shared" si="31"/>
        <v/>
      </c>
      <c r="N196" s="17" t="str">
        <f t="shared" ref="N196:N204" si="35">IF(OR(G196="",G196=0),"",L196/G196)</f>
        <v/>
      </c>
      <c r="O196" s="14" t="str">
        <f t="shared" si="32"/>
        <v/>
      </c>
      <c r="P196" s="14" t="str">
        <f t="shared" ref="P196:P204" si="36">IF(A196="","",IF(COUNT(B196:E196)=0,"MISSING_SPLIT",IF(MIN(B196:E196)&lt;0,"INVALID_NEGATIVE",IF(SUM(B196:E196)=0,"ZERO_TOTAL",IF(I196="","NO_WEIGHTED_C","OK")))))</f>
        <v/>
      </c>
    </row>
    <row r="197" spans="1:16" x14ac:dyDescent="0.25">
      <c r="A197" s="14"/>
      <c r="B197" s="37"/>
      <c r="C197" s="38"/>
      <c r="D197" s="17"/>
      <c r="E197" s="39"/>
      <c r="F197" s="14"/>
      <c r="G197" s="17" t="str">
        <f t="shared" si="33"/>
        <v/>
      </c>
      <c r="H197" s="17" t="str">
        <f>IF(A197="","",B197*Inputs!$B$25 + C197*Inputs!$B$26 + D197*Inputs!$B$27 + E197*Inputs!$B$28)</f>
        <v/>
      </c>
      <c r="I197" s="17" t="str">
        <f t="shared" si="34"/>
        <v/>
      </c>
      <c r="J197" s="14"/>
      <c r="K197" s="14"/>
      <c r="L197" s="17" t="str">
        <f t="shared" si="30"/>
        <v/>
      </c>
      <c r="M197" s="17" t="str">
        <f t="shared" si="31"/>
        <v/>
      </c>
      <c r="N197" s="17" t="str">
        <f t="shared" si="35"/>
        <v/>
      </c>
      <c r="O197" s="14" t="str">
        <f t="shared" si="32"/>
        <v/>
      </c>
      <c r="P197" s="14" t="str">
        <f t="shared" si="36"/>
        <v/>
      </c>
    </row>
    <row r="198" spans="1:16" x14ac:dyDescent="0.25">
      <c r="A198" s="14"/>
      <c r="B198" s="37"/>
      <c r="C198" s="38"/>
      <c r="D198" s="17"/>
      <c r="E198" s="39"/>
      <c r="F198" s="14"/>
      <c r="G198" s="17" t="str">
        <f t="shared" si="33"/>
        <v/>
      </c>
      <c r="H198" s="17" t="str">
        <f>IF(A198="","",B198*Inputs!$B$25 + C198*Inputs!$B$26 + D198*Inputs!$B$27 + E198*Inputs!$B$28)</f>
        <v/>
      </c>
      <c r="I198" s="17" t="str">
        <f t="shared" si="34"/>
        <v/>
      </c>
      <c r="J198" s="14"/>
      <c r="K198" s="14"/>
      <c r="L198" s="17" t="str">
        <f t="shared" si="30"/>
        <v/>
      </c>
      <c r="M198" s="17" t="str">
        <f t="shared" si="31"/>
        <v/>
      </c>
      <c r="N198" s="17" t="str">
        <f t="shared" si="35"/>
        <v/>
      </c>
      <c r="O198" s="14" t="str">
        <f t="shared" si="32"/>
        <v/>
      </c>
      <c r="P198" s="14" t="str">
        <f t="shared" si="36"/>
        <v/>
      </c>
    </row>
    <row r="199" spans="1:16" x14ac:dyDescent="0.25">
      <c r="A199" s="14"/>
      <c r="B199" s="37"/>
      <c r="C199" s="38"/>
      <c r="D199" s="17"/>
      <c r="E199" s="39"/>
      <c r="F199" s="14"/>
      <c r="G199" s="17" t="str">
        <f t="shared" si="33"/>
        <v/>
      </c>
      <c r="H199" s="17" t="str">
        <f>IF(A199="","",B199*Inputs!$B$25 + C199*Inputs!$B$26 + D199*Inputs!$B$27 + E199*Inputs!$B$28)</f>
        <v/>
      </c>
      <c r="I199" s="17" t="str">
        <f t="shared" si="34"/>
        <v/>
      </c>
      <c r="J199" s="14"/>
      <c r="K199" s="14"/>
      <c r="L199" s="17" t="str">
        <f t="shared" si="30"/>
        <v/>
      </c>
      <c r="M199" s="17" t="str">
        <f t="shared" si="31"/>
        <v/>
      </c>
      <c r="N199" s="17" t="str">
        <f t="shared" si="35"/>
        <v/>
      </c>
      <c r="O199" s="14" t="str">
        <f t="shared" si="32"/>
        <v/>
      </c>
      <c r="P199" s="14" t="str">
        <f t="shared" si="36"/>
        <v/>
      </c>
    </row>
    <row r="200" spans="1:16" x14ac:dyDescent="0.25">
      <c r="A200" s="14"/>
      <c r="B200" s="37"/>
      <c r="C200" s="38"/>
      <c r="D200" s="17"/>
      <c r="E200" s="39"/>
      <c r="F200" s="14"/>
      <c r="G200" s="17" t="str">
        <f t="shared" si="33"/>
        <v/>
      </c>
      <c r="H200" s="17" t="str">
        <f>IF(A200="","",B200*Inputs!$B$25 + C200*Inputs!$B$26 + D200*Inputs!$B$27 + E200*Inputs!$B$28)</f>
        <v/>
      </c>
      <c r="I200" s="17" t="str">
        <f t="shared" si="34"/>
        <v/>
      </c>
      <c r="J200" s="14"/>
      <c r="K200" s="14"/>
      <c r="L200" s="17" t="str">
        <f t="shared" si="30"/>
        <v/>
      </c>
      <c r="M200" s="17" t="str">
        <f t="shared" si="31"/>
        <v/>
      </c>
      <c r="N200" s="17" t="str">
        <f t="shared" si="35"/>
        <v/>
      </c>
      <c r="O200" s="14" t="str">
        <f t="shared" si="32"/>
        <v/>
      </c>
      <c r="P200" s="14" t="str">
        <f t="shared" si="36"/>
        <v/>
      </c>
    </row>
    <row r="201" spans="1:16" x14ac:dyDescent="0.25">
      <c r="A201" s="14"/>
      <c r="B201" s="37"/>
      <c r="C201" s="38"/>
      <c r="D201" s="17"/>
      <c r="E201" s="39"/>
      <c r="F201" s="14"/>
      <c r="G201" s="17" t="str">
        <f t="shared" si="33"/>
        <v/>
      </c>
      <c r="H201" s="17" t="str">
        <f>IF(A201="","",B201*Inputs!$B$25 + C201*Inputs!$B$26 + D201*Inputs!$B$27 + E201*Inputs!$B$28)</f>
        <v/>
      </c>
      <c r="I201" s="17" t="str">
        <f t="shared" si="34"/>
        <v/>
      </c>
      <c r="J201" s="14"/>
      <c r="K201" s="14"/>
      <c r="L201" s="17" t="str">
        <f t="shared" si="30"/>
        <v/>
      </c>
      <c r="M201" s="17" t="str">
        <f t="shared" si="31"/>
        <v/>
      </c>
      <c r="N201" s="17" t="str">
        <f t="shared" si="35"/>
        <v/>
      </c>
      <c r="O201" s="14" t="str">
        <f t="shared" si="32"/>
        <v/>
      </c>
      <c r="P201" s="14" t="str">
        <f t="shared" si="36"/>
        <v/>
      </c>
    </row>
    <row r="202" spans="1:16" x14ac:dyDescent="0.25">
      <c r="A202" s="14"/>
      <c r="B202" s="37"/>
      <c r="C202" s="38"/>
      <c r="D202" s="17"/>
      <c r="E202" s="39"/>
      <c r="F202" s="14"/>
      <c r="G202" s="17" t="str">
        <f t="shared" si="33"/>
        <v/>
      </c>
      <c r="H202" s="17" t="str">
        <f>IF(A202="","",B202*Inputs!$B$25 + C202*Inputs!$B$26 + D202*Inputs!$B$27 + E202*Inputs!$B$28)</f>
        <v/>
      </c>
      <c r="I202" s="17" t="str">
        <f t="shared" si="34"/>
        <v/>
      </c>
      <c r="J202" s="14"/>
      <c r="K202" s="14"/>
      <c r="L202" s="17" t="str">
        <f t="shared" si="30"/>
        <v/>
      </c>
      <c r="M202" s="17" t="str">
        <f t="shared" si="31"/>
        <v/>
      </c>
      <c r="N202" s="17" t="str">
        <f t="shared" si="35"/>
        <v/>
      </c>
      <c r="O202" s="14" t="str">
        <f t="shared" si="32"/>
        <v/>
      </c>
      <c r="P202" s="14" t="str">
        <f t="shared" si="36"/>
        <v/>
      </c>
    </row>
    <row r="203" spans="1:16" x14ac:dyDescent="0.25">
      <c r="A203" s="14"/>
      <c r="B203" s="37"/>
      <c r="C203" s="38"/>
      <c r="D203" s="17"/>
      <c r="E203" s="39"/>
      <c r="F203" s="14"/>
      <c r="G203" s="17" t="str">
        <f t="shared" si="33"/>
        <v/>
      </c>
      <c r="H203" s="17" t="str">
        <f>IF(A203="","",B203*Inputs!$B$25 + C203*Inputs!$B$26 + D203*Inputs!$B$27 + E203*Inputs!$B$28)</f>
        <v/>
      </c>
      <c r="I203" s="17" t="str">
        <f t="shared" si="34"/>
        <v/>
      </c>
      <c r="J203" s="14"/>
      <c r="K203" s="14"/>
      <c r="L203" s="17" t="str">
        <f t="shared" si="30"/>
        <v/>
      </c>
      <c r="M203" s="17" t="str">
        <f t="shared" si="31"/>
        <v/>
      </c>
      <c r="N203" s="17" t="str">
        <f t="shared" si="35"/>
        <v/>
      </c>
      <c r="O203" s="14" t="str">
        <f t="shared" si="32"/>
        <v/>
      </c>
      <c r="P203" s="14" t="str">
        <f t="shared" si="36"/>
        <v/>
      </c>
    </row>
    <row r="204" spans="1:16" x14ac:dyDescent="0.25">
      <c r="A204" s="14"/>
      <c r="B204" s="37"/>
      <c r="C204" s="38"/>
      <c r="D204" s="17"/>
      <c r="E204" s="39"/>
      <c r="F204" s="14"/>
      <c r="G204" s="17" t="str">
        <f t="shared" si="33"/>
        <v/>
      </c>
      <c r="H204" s="17" t="str">
        <f>IF(A204="","",B204*Inputs!$B$25 + C204*Inputs!$B$26 + D204*Inputs!$B$27 + E204*Inputs!$B$28)</f>
        <v/>
      </c>
      <c r="I204" s="17" t="str">
        <f t="shared" si="34"/>
        <v/>
      </c>
      <c r="J204" s="14"/>
      <c r="K204" s="14"/>
      <c r="L204" s="17" t="str">
        <f t="shared" si="30"/>
        <v/>
      </c>
      <c r="M204" s="17" t="str">
        <f t="shared" si="31"/>
        <v/>
      </c>
      <c r="N204" s="17" t="str">
        <f t="shared" si="35"/>
        <v/>
      </c>
      <c r="O204" s="14" t="str">
        <f t="shared" si="32"/>
        <v/>
      </c>
      <c r="P204" s="14" t="str">
        <f t="shared" si="36"/>
        <v/>
      </c>
    </row>
  </sheetData>
  <mergeCells count="2">
    <mergeCell ref="A1:P1"/>
    <mergeCell ref="A2:P2"/>
  </mergeCells>
  <conditionalFormatting sqref="O4:O204">
    <cfRule type="expression" dxfId="11" priority="3">
      <formula>OR($O4="MISSING",$O4="INVALID_NEG",$O4="ZERO_TOTAL")</formula>
    </cfRule>
  </conditionalFormatting>
  <conditionalFormatting sqref="P4:P204">
    <cfRule type="expression" dxfId="10" priority="2">
      <formula>AND($P4&lt;&gt;"",$P4&lt;&gt;"OK")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1048576"/>
  <sheetViews>
    <sheetView tabSelected="1" topLeftCell="I1" zoomScale="130" zoomScaleNormal="130" workbookViewId="0">
      <pane ySplit="3" topLeftCell="A4" activePane="bottomLeft" state="frozen"/>
      <selection activeCell="K1" sqref="K1"/>
      <selection pane="bottomLeft" activeCell="L5" sqref="L5"/>
    </sheetView>
  </sheetViews>
  <sheetFormatPr baseColWidth="10" defaultColWidth="9.140625" defaultRowHeight="15" customHeight="1" x14ac:dyDescent="0.25"/>
  <cols>
    <col min="1" max="1" width="16" customWidth="1"/>
    <col min="2" max="2" width="11.140625" customWidth="1"/>
    <col min="3" max="3" width="10" customWidth="1"/>
    <col min="4" max="4" width="22" customWidth="1"/>
    <col min="5" max="5" width="10" customWidth="1"/>
    <col min="6" max="7" width="12" customWidth="1"/>
    <col min="8" max="8" width="12.42578125" customWidth="1"/>
    <col min="9" max="9" width="7.28515625" customWidth="1"/>
    <col min="10" max="10" width="7.140625" customWidth="1"/>
    <col min="11" max="12" width="11" customWidth="1"/>
    <col min="13" max="13" width="14" customWidth="1"/>
    <col min="14" max="14" width="12" customWidth="1"/>
    <col min="15" max="15" width="12" hidden="1" customWidth="1"/>
    <col min="16" max="16" width="11" customWidth="1"/>
    <col min="17" max="17" width="14" customWidth="1"/>
    <col min="18" max="18" width="13" customWidth="1"/>
    <col min="19" max="19" width="11" customWidth="1"/>
    <col min="20" max="20" width="10" customWidth="1"/>
    <col min="21" max="22" width="12" customWidth="1"/>
    <col min="23" max="23" width="10" customWidth="1"/>
    <col min="24" max="24" width="12" customWidth="1"/>
    <col min="25" max="30" width="11" customWidth="1"/>
    <col min="31" max="31" width="10" customWidth="1"/>
    <col min="32" max="32" width="42" customWidth="1"/>
    <col min="33" max="42" width="13" hidden="1" customWidth="1"/>
    <col min="43" max="43" width="15" customWidth="1"/>
    <col min="44" max="44" width="13" customWidth="1"/>
    <col min="45" max="45" width="14" customWidth="1"/>
    <col min="46" max="46" width="19" customWidth="1"/>
    <col min="47" max="47" width="14" customWidth="1"/>
    <col min="48" max="48" width="12" customWidth="1"/>
    <col min="49" max="49" width="18" customWidth="1"/>
    <col min="50" max="50" width="17" customWidth="1"/>
    <col min="51" max="51" width="19" customWidth="1"/>
    <col min="52" max="52" width="14" customWidth="1"/>
    <col min="53" max="53" width="18" customWidth="1"/>
    <col min="54" max="86" width="13" hidden="1" customWidth="1"/>
  </cols>
  <sheetData>
    <row r="1" spans="1:86" x14ac:dyDescent="0.25">
      <c r="A1" s="9" t="s">
        <v>243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86" x14ac:dyDescent="0.25">
      <c r="A2" t="s">
        <v>244</v>
      </c>
      <c r="B2" s="41" t="str">
        <f ca="1">IF(COUNTIF(AE4:AE201,"CHECK")&gt;0,"CHECK","OK")</f>
        <v>OK</v>
      </c>
      <c r="D2" t="s">
        <v>245</v>
      </c>
      <c r="E2" s="42">
        <f ca="1">COUNTIF(AE4:AE201,"CHECK")</f>
        <v>0</v>
      </c>
    </row>
    <row r="3" spans="1:86" ht="45" x14ac:dyDescent="0.25">
      <c r="A3" s="43" t="s">
        <v>246</v>
      </c>
      <c r="B3" s="43" t="s">
        <v>247</v>
      </c>
      <c r="C3" s="43" t="s">
        <v>248</v>
      </c>
      <c r="D3" s="43" t="s">
        <v>204</v>
      </c>
      <c r="E3" s="43" t="s">
        <v>249</v>
      </c>
      <c r="F3" s="43" t="s">
        <v>250</v>
      </c>
      <c r="G3" s="43" t="s">
        <v>251</v>
      </c>
      <c r="H3" s="43" t="s">
        <v>252</v>
      </c>
      <c r="I3" s="43" t="s">
        <v>253</v>
      </c>
      <c r="J3" s="43" t="s">
        <v>254</v>
      </c>
      <c r="K3" s="43" t="s">
        <v>255</v>
      </c>
      <c r="L3" s="43" t="s">
        <v>256</v>
      </c>
      <c r="M3" s="43" t="s">
        <v>257</v>
      </c>
      <c r="N3" s="43" t="s">
        <v>258</v>
      </c>
      <c r="O3" s="43" t="s">
        <v>259</v>
      </c>
      <c r="P3" s="43" t="s">
        <v>260</v>
      </c>
      <c r="Q3" s="43" t="s">
        <v>261</v>
      </c>
      <c r="R3" s="43" t="s">
        <v>262</v>
      </c>
      <c r="S3" s="43" t="s">
        <v>263</v>
      </c>
      <c r="T3" s="43" t="s">
        <v>264</v>
      </c>
      <c r="U3" s="43" t="s">
        <v>265</v>
      </c>
      <c r="V3" s="43" t="s">
        <v>266</v>
      </c>
      <c r="W3" s="43" t="s">
        <v>267</v>
      </c>
      <c r="X3" s="43" t="s">
        <v>268</v>
      </c>
      <c r="Y3" s="43" t="s">
        <v>269</v>
      </c>
      <c r="Z3" s="43" t="s">
        <v>270</v>
      </c>
      <c r="AA3" s="43" t="s">
        <v>271</v>
      </c>
      <c r="AB3" s="43" t="s">
        <v>272</v>
      </c>
      <c r="AC3" s="43" t="s">
        <v>273</v>
      </c>
      <c r="AD3" s="43" t="s">
        <v>274</v>
      </c>
      <c r="AE3" s="43" t="s">
        <v>275</v>
      </c>
      <c r="AF3" s="43" t="s">
        <v>165</v>
      </c>
      <c r="AG3" s="13" t="s">
        <v>276</v>
      </c>
      <c r="AH3" s="13" t="s">
        <v>277</v>
      </c>
      <c r="AI3" s="13" t="s">
        <v>278</v>
      </c>
      <c r="AJ3" s="13" t="s">
        <v>279</v>
      </c>
      <c r="AK3" s="13" t="s">
        <v>280</v>
      </c>
      <c r="AL3" s="13" t="s">
        <v>281</v>
      </c>
      <c r="AM3" s="13" t="s">
        <v>282</v>
      </c>
      <c r="AN3" s="13" t="s">
        <v>283</v>
      </c>
      <c r="AO3" s="13" t="s">
        <v>284</v>
      </c>
      <c r="AP3" s="13" t="s">
        <v>285</v>
      </c>
      <c r="AQ3" s="43" t="s">
        <v>286</v>
      </c>
      <c r="AR3" s="43" t="s">
        <v>287</v>
      </c>
      <c r="AS3" s="43" t="s">
        <v>288</v>
      </c>
      <c r="AT3" s="43" t="s">
        <v>289</v>
      </c>
      <c r="AU3" s="43" t="s">
        <v>290</v>
      </c>
      <c r="AV3" s="43" t="s">
        <v>291</v>
      </c>
      <c r="AW3" s="43" t="s">
        <v>292</v>
      </c>
      <c r="AX3" s="43" t="s">
        <v>293</v>
      </c>
      <c r="AY3" s="43" t="s">
        <v>294</v>
      </c>
      <c r="AZ3" s="43" t="s">
        <v>295</v>
      </c>
      <c r="BA3" s="43" t="s">
        <v>296</v>
      </c>
      <c r="BB3" s="13" t="s">
        <v>297</v>
      </c>
      <c r="BC3" s="13" t="s">
        <v>298</v>
      </c>
      <c r="BD3" s="13" t="s">
        <v>299</v>
      </c>
      <c r="BE3" s="13" t="s">
        <v>300</v>
      </c>
      <c r="BF3" s="13" t="s">
        <v>301</v>
      </c>
      <c r="BG3" s="13" t="s">
        <v>302</v>
      </c>
      <c r="BH3" s="13" t="s">
        <v>303</v>
      </c>
      <c r="BI3" s="13" t="s">
        <v>304</v>
      </c>
      <c r="BJ3" s="13" t="s">
        <v>305</v>
      </c>
      <c r="BK3" s="13" t="s">
        <v>306</v>
      </c>
      <c r="BL3" s="13" t="s">
        <v>307</v>
      </c>
      <c r="BM3" s="13" t="s">
        <v>308</v>
      </c>
      <c r="BN3" s="13" t="s">
        <v>309</v>
      </c>
      <c r="BO3" s="13" t="s">
        <v>310</v>
      </c>
      <c r="BP3" s="13" t="s">
        <v>311</v>
      </c>
      <c r="BQ3" s="13" t="s">
        <v>312</v>
      </c>
      <c r="BR3" s="13" t="s">
        <v>313</v>
      </c>
      <c r="BS3" s="13" t="s">
        <v>314</v>
      </c>
      <c r="BT3" s="13" t="s">
        <v>315</v>
      </c>
      <c r="BU3" s="13" t="s">
        <v>316</v>
      </c>
      <c r="BV3" s="13" t="s">
        <v>317</v>
      </c>
      <c r="BW3" s="13" t="s">
        <v>318</v>
      </c>
      <c r="BX3" s="13" t="s">
        <v>319</v>
      </c>
      <c r="BY3" s="13" t="s">
        <v>320</v>
      </c>
      <c r="BZ3" s="13" t="s">
        <v>321</v>
      </c>
      <c r="CA3" s="13" t="s">
        <v>322</v>
      </c>
      <c r="CB3" s="13" t="s">
        <v>323</v>
      </c>
      <c r="CC3" s="13" t="s">
        <v>324</v>
      </c>
      <c r="CD3" s="13" t="s">
        <v>325</v>
      </c>
      <c r="CE3" s="13" t="s">
        <v>326</v>
      </c>
      <c r="CF3" s="13" t="s">
        <v>327</v>
      </c>
      <c r="CG3" s="13" t="s">
        <v>328</v>
      </c>
      <c r="CH3" s="13" t="s">
        <v>329</v>
      </c>
    </row>
    <row r="4" spans="1:86" x14ac:dyDescent="0.25">
      <c r="A4" s="14" t="s">
        <v>215</v>
      </c>
      <c r="B4" s="14" t="s">
        <v>166</v>
      </c>
      <c r="C4" s="14" t="s">
        <v>167</v>
      </c>
      <c r="D4" s="14" t="s">
        <v>218</v>
      </c>
      <c r="E4" s="44">
        <v>14.2</v>
      </c>
      <c r="F4" s="44"/>
      <c r="G4" s="44">
        <f>SUMIFS(CB_plan!$G:$G,CB_plan!$F:$F,$A4)</f>
        <v>257.3</v>
      </c>
      <c r="H4" s="44">
        <f t="shared" ref="H4:H35" si="0">IF(F4="",G4,F4)</f>
        <v>257.3</v>
      </c>
      <c r="I4" s="14"/>
      <c r="J4" s="44"/>
      <c r="K4" s="44">
        <f ca="1">IF(A4="","",Inputs!$B$13/((IF(AV4="",Inputs!$B$18,AV4)+Inputs!$B$14)^Inputs!$B$15))</f>
        <v>122.22955230063883</v>
      </c>
      <c r="L4" s="44">
        <f ca="1">IF(A4="","",IF(H4="","",0.000000278*IF(I4&lt;&gt;"",I4,IFERROR(SUMIFS(CB_plan!$H:$H,CB_plan!$F:$F,$A4)/SUMIFS(CB_plan!$G:$G,CB_plan!$F:$F,$A4),Inputs!$B$17))*H4*K4))</f>
        <v>5.531913969843232E-3</v>
      </c>
      <c r="M4" s="44">
        <f t="shared" ref="M4:M35" ca="1" si="1">IF(A4="","",SUMIFS($N$4:$N$201,$D$4:$D$201,$A4))</f>
        <v>2.3168413251782038E-2</v>
      </c>
      <c r="N4" s="44">
        <f ca="1">IF(A4="","",(L4+M4)*Inputs!$B$16)</f>
        <v>2.8700327221625271E-2</v>
      </c>
      <c r="O4" s="44"/>
      <c r="P4" s="44">
        <f>IF(A4="","",IF(O4="",Inputs!$B$7,O4))</f>
        <v>0.01</v>
      </c>
      <c r="Q4" s="14">
        <f ca="1">IF(A4="","",IF(N4/Inputs!$B$10&lt;=AG4,Inputs!$F$5,IF(N4/Inputs!$B$10&gt;AP4,"OVERSIZE",INDEX(Inputs!$F$5:$F$14,MATCH(N4/Inputs!$B$10,AG4:AP4,1)+1))))</f>
        <v>250</v>
      </c>
      <c r="R4" s="14"/>
      <c r="S4" s="26">
        <f t="shared" ref="S4:S35" ca="1" si="2">IF(A4="","",IF(R4="",Q4,R4))</f>
        <v>250</v>
      </c>
      <c r="T4" s="44">
        <f t="shared" ref="T4:T35" ca="1" si="3">IF(OR(S4="",S4="OVERSIZE"),"",S4/1000)</f>
        <v>0.25</v>
      </c>
      <c r="U4" s="44">
        <f ca="1">IF(T4="","",(1/Inputs!$B$9)*(PI()*T4^2/4)*((T4/4)^(2/3))*SQRT(P4))</f>
        <v>5.946752876281361E-2</v>
      </c>
      <c r="V4" s="44">
        <f ca="1">IF(OR(U4="",N4=""),"",N4/(U4*Inputs!$B$10))</f>
        <v>0.60327728044864193</v>
      </c>
      <c r="W4" s="44">
        <f t="shared" ref="W4:W35" ca="1" si="4">IF(OR(T4="",N4=""),"",4*N4/(PI()*T4^2))</f>
        <v>0.5846782650465977</v>
      </c>
      <c r="X4" s="44"/>
      <c r="Y4" s="44" t="str">
        <f>IF(A4="","",IF(A4=Inputs!$B$6,Inputs!$B$22,IF(D4="","",IFERROR(INDEX($Z$4:$Z$201,MATCH(D4,$A$4:$A$201,0))+IF(X4="",Inputs!$B$20,X4),""))))</f>
        <v/>
      </c>
      <c r="Z4" s="44" t="str">
        <f t="shared" ref="Z4:Z35" si="5">IF(OR(Y4="",P4="",E4=""),"",Y4+P4*E4)</f>
        <v/>
      </c>
      <c r="AA4" s="44">
        <f>IF(C4="","",IFERROR(INDEX(Noeuds_plan!$C$4:$C$200,MATCH(C4,Noeuds_plan!$A$4:$A$200,0)),""))</f>
        <v>17.131</v>
      </c>
      <c r="AB4" s="44">
        <f>IF(B4="","",IFERROR(INDEX(Noeuds_plan!$C$4:$C$200,MATCH(B4,Noeuds_plan!$A$4:$A$200,0)),""))</f>
        <v>17.236999999999998</v>
      </c>
      <c r="AC4" s="44" t="str">
        <f t="shared" ref="AC4:AC35" si="6">IF(OR(AA4="",Y4=""),"",AA4-Y4)</f>
        <v/>
      </c>
      <c r="AD4" s="44" t="str">
        <f t="shared" ref="AD4:AD35" si="7">IF(OR(AB4="",Z4=""),"",AB4-Z4)</f>
        <v/>
      </c>
      <c r="AE4" s="14" t="str">
        <f ca="1">IF(A4="","",IF(OR(V4&gt;1,AND(AY4&lt;&gt;"",AY4&lt;Inputs!$B$11),AND(AY4&lt;&gt;"",AY4&gt;Inputs!$B$12),AC4&lt;Inputs!$B$19,AD4&lt;Inputs!$B$19,P4&lt;Inputs!$B$7,P4&gt;Inputs!$B$8),"CHECK","OK"))</f>
        <v>OK</v>
      </c>
      <c r="AF4" s="14" t="s">
        <v>330</v>
      </c>
      <c r="AG4" s="14">
        <f>IF(A4="","",(1/Inputs!$B$9)*(PI()*(Inputs!$F$5/1000)^2/4)*((Inputs!$F$5/1000/4)^(2/3))*SQRT(P4))</f>
        <v>3.279844016565106E-2</v>
      </c>
      <c r="AH4" s="14">
        <f>IF(A4="","",(1/Inputs!$B$9)*(PI()*(Inputs!$F$6/1000)^2/4)*((Inputs!$F$6/1000/4)^(2/3))*SQRT(P4))</f>
        <v>5.946752876281361E-2</v>
      </c>
      <c r="AI4" s="14">
        <f>IF(A4="","",(1/Inputs!$B$9)*(PI()*(Inputs!$F$7/1000)^2/4)*((Inputs!$F$7/1000/4)^(2/3))*SQRT(P4))</f>
        <v>9.6700758533556114E-2</v>
      </c>
      <c r="AJ4" s="14">
        <f>IF(A4="","",(1/Inputs!$B$9)*(PI()*(Inputs!$F$8/1000)^2/4)*((Inputs!$F$8/1000/4)^(2/3))*SQRT(P4))</f>
        <v>0.17533014102001548</v>
      </c>
      <c r="AK4" s="14">
        <f>IF(A4="","",(1/Inputs!$B$9)*(PI()*(Inputs!$F$9/1000)^2/4)*((Inputs!$F$9/1000/4)^(2/3))*SQRT(P4))</f>
        <v>0.28510614083282593</v>
      </c>
      <c r="AL4" s="14">
        <f>IF(A4="","",(1/Inputs!$B$9)*(PI()*(Inputs!$F$10/1000)^2/4)*((Inputs!$F$10/1000/4)^(2/3))*SQRT(P4))</f>
        <v>0.43006227098642119</v>
      </c>
      <c r="AM4" s="14">
        <f>IF(A4="","",(1/Inputs!$B$9)*(PI()*(Inputs!$F$11/1000)^2/4)*((Inputs!$F$11/1000/4)^(2/3))*SQRT(P4))</f>
        <v>0.6140115432891593</v>
      </c>
      <c r="AN4" s="14">
        <f>IF(A4="","",(1/Inputs!$B$9)*(PI()*(Inputs!$F$12/1000)^2/4)*((Inputs!$F$12/1000/4)^(2/3))*SQRT(P4))</f>
        <v>0.84058814815170568</v>
      </c>
      <c r="AO4" s="14">
        <f>IF(A4="","",(1/Inputs!$B$9)*(PI()*(Inputs!$F$13/1000)^2/4)*((Inputs!$F$13/1000/4)^(2/3))*SQRT(P4))</f>
        <v>1.1132770011876214</v>
      </c>
      <c r="AP4" s="14">
        <f>IF(A4="","",(1/Inputs!$B$9)*(PI()*(Inputs!$F$14/1000)^2/4)*((Inputs!$F$14/1000/4)^(2/3))*SQRT(P4))</f>
        <v>1.8103111515224857</v>
      </c>
      <c r="AQ4" s="14">
        <f t="shared" ref="AQ4:AQ35" si="8">IF(A4="","",COUNTIF($D$4:$D$201,$A4))</f>
        <v>1</v>
      </c>
      <c r="AR4" s="14" t="str">
        <f t="shared" ref="AR4:AR35" si="9">IF(A4="","",IF(AQ4=0,"START","CONTINUOUS"))</f>
        <v>CONTINUOUS</v>
      </c>
      <c r="AS4" s="17">
        <f>IF(A4="","",IF(J4="",Inputs!$B$18,J4))</f>
        <v>6</v>
      </c>
      <c r="AT4" s="17" t="str">
        <f ca="1">IF(A4="","",IFERROR(_xludf.maxifs($AV$4:$AV$201,$D$4:$D$201,$A4),""))</f>
        <v/>
      </c>
      <c r="AU4" s="17">
        <f>IF(A4="","",IF(OR(E4="",Inputs!$B$23=""),"",E4/(Inputs!$B$23*60)))</f>
        <v>0.23666666666666666</v>
      </c>
      <c r="AV4" s="17">
        <f t="shared" ref="AV4:AV35" ca="1" si="10">IF(A4="","",IF(AQ4=0,AS4+AU4,IF(AT4="",AS4+AU4,AT4+AU4)))</f>
        <v>6.2366666666666664</v>
      </c>
      <c r="AW4" s="17">
        <f t="shared" ref="AW4:AW35" ca="1" si="11">IF(A4="","",W4)</f>
        <v>0.5846782650465977</v>
      </c>
      <c r="AX4" s="17">
        <f ca="1">IF(OR(T4="",P4=""),"",(1/Inputs!$B$9)*((T4/4)^(2/3))*SQRT(P4))</f>
        <v>1.2114625479758399</v>
      </c>
      <c r="AY4" s="17">
        <f ca="1">IF(A4="","",IF(AND(AW4="",AX4="",BA4=""),"",IF(OR(UPPER(TRIM(Inputs!$B$24))="MANNING",UPPER(TRIM(Inputs!$B$24))="M"),AX4,IF(OR(UPPER(TRIM(Inputs!$B$24))="PARTIAL",UPPER(TRIM(Inputs!$B$24))="P"),BA4,IF(OR(UPPER(TRIM(Inputs!$B$24))="MAX",UPPER(TRIM(Inputs!$B$24))="X"),MAX(IF(AW4="",0,AW4),IF(AX4="",0,AX4),IF(BA4="",0,BA4)),AW4)))))</f>
        <v>1.2114625479758399</v>
      </c>
      <c r="AZ4" s="17">
        <f t="shared" ref="AZ4:AZ35" ca="1" si="12">IF(BB4="","",CH4)</f>
        <v>0.12220996093749997</v>
      </c>
      <c r="BA4" s="17">
        <f t="shared" ref="BA4:BA35" ca="1" si="13">IF(OR(BB4="",AZ4="",T4="",T4&lt;=0,AZ4&lt;=0),"",BB4/((T4^2/8)*(2*ACOS(1-2*AZ4/T4)-SIN(2*ACOS(1-2*AZ4/T4)))))</f>
        <v>1.203557722546827</v>
      </c>
      <c r="BB4" s="14">
        <f t="shared" ref="BB4:BB35" ca="1" si="14">IF(OR(N4="",BC4=""),"",MIN(N4,BC4))</f>
        <v>2.8700327221625271E-2</v>
      </c>
      <c r="BC4" s="14">
        <f ca="1">IF(OR(N4="",T4="",P4=""),"",IF(OR(T4="",P4="",(0.94*T4)="",T4&lt;=0,(0.94*T4)&lt;=0),"",(1/Inputs!$B$9)*((T4^2/8)*((2*ACOS(1-2*(0.94*T4)/T4))-SIN((2*ACOS(1-2*(0.94*T4)/T4)))))*((((T4^2/8)*((2*ACOS(1-2*(0.94*T4)/T4))-SIN((2*ACOS(1-2*(0.94*T4)/T4)))))/((T4/2)*((2*ACOS(1-2*(0.94*T4)/T4)))))^(2/3))*SQRT(P4)))</f>
        <v>6.3967998108231228E-2</v>
      </c>
      <c r="BD4" s="14">
        <f t="shared" ref="BD4:BD35" ca="1" si="15">IF(BB4="","",0.001*T4)</f>
        <v>2.5000000000000001E-4</v>
      </c>
      <c r="BE4" s="14">
        <f t="shared" ref="BE4:BE35" ca="1" si="16">IF(BB4="","",0.94*T4)</f>
        <v>0.23499999999999999</v>
      </c>
      <c r="BF4" s="14">
        <f t="shared" ref="BF4:BF35" ca="1" si="17">IF(BB4="","",(BD4+BE4)/2)</f>
        <v>0.11762499999999999</v>
      </c>
      <c r="BG4" s="14">
        <f ca="1">IF(OR(T4="",P4="",BF4="",T4&lt;=0,BF4&lt;=0),"",(1/Inputs!$B$9)*((T4^2/8)*((2*ACOS(1-2*BF4/T4))-SIN((2*ACOS(1-2*BF4/T4)))))*((((T4^2/8)*((2*ACOS(1-2*BF4/T4))-SIN((2*ACOS(1-2*BF4/T4)))))/((T4/2)*((2*ACOS(1-2*BF4/T4)))))^(2/3))*SQRT(P4))</f>
        <v>2.6782415375858588E-2</v>
      </c>
      <c r="BH4" s="14">
        <f t="shared" ref="BH4:BH35" ca="1" si="18">IF(BB4="","",IF(BG4&lt;BB4,BF4,BD4))</f>
        <v>0.11762499999999999</v>
      </c>
      <c r="BI4" s="14">
        <f t="shared" ref="BI4:BI35" ca="1" si="19">IF(BB4="","",IF(BG4&lt;BB4,BE4,BF4))</f>
        <v>0.23499999999999999</v>
      </c>
      <c r="BJ4" s="14">
        <f t="shared" ref="BJ4:BJ35" ca="1" si="20">IF(BB4="","",(BH4+BI4)/2)</f>
        <v>0.17631249999999998</v>
      </c>
      <c r="BK4" s="14">
        <f ca="1">IF(OR(T4="",P4="",BJ4="",T4&lt;=0,BJ4&lt;=0),"",(1/Inputs!$B$9)*((T4^2/8)*((2*ACOS(1-2*BJ4/T4))-SIN((2*ACOS(1-2*BJ4/T4)))))*((((T4^2/8)*((2*ACOS(1-2*BJ4/T4))-SIN((2*ACOS(1-2*BJ4/T4)))))/((T4/2)*((2*ACOS(1-2*BJ4/T4)))))^(2/3))*SQRT(P4))</f>
        <v>5.0274513441305957E-2</v>
      </c>
      <c r="BL4" s="14">
        <f t="shared" ref="BL4:BL35" ca="1" si="21">IF(BB4="","",IF(BK4&lt;BB4,BJ4,BH4))</f>
        <v>0.11762499999999999</v>
      </c>
      <c r="BM4" s="14">
        <f t="shared" ref="BM4:BM35" ca="1" si="22">IF(BB4="","",IF(BK4&lt;BB4,BI4,BJ4))</f>
        <v>0.17631249999999998</v>
      </c>
      <c r="BN4" s="14">
        <f t="shared" ref="BN4:BN35" ca="1" si="23">IF(BB4="","",(BL4+BM4)/2)</f>
        <v>0.14696874999999998</v>
      </c>
      <c r="BO4" s="14">
        <f ca="1">IF(OR(T4="",P4="",BN4="",T4&lt;=0,BN4&lt;=0),"",(1/Inputs!$B$9)*((T4^2/8)*((2*ACOS(1-2*BN4/T4))-SIN((2*ACOS(1-2*BN4/T4)))))*((((T4^2/8)*((2*ACOS(1-2*BN4/T4))-SIN((2*ACOS(1-2*BN4/T4)))))/((T4/2)*((2*ACOS(1-2*BN4/T4)))))^(2/3))*SQRT(P4))</f>
        <v>3.8714491489306453E-2</v>
      </c>
      <c r="BP4" s="14">
        <f t="shared" ref="BP4:BP35" ca="1" si="24">IF(BB4="","",IF(BO4&lt;BB4,BN4,BL4))</f>
        <v>0.11762499999999999</v>
      </c>
      <c r="BQ4" s="14">
        <f t="shared" ref="BQ4:BQ35" ca="1" si="25">IF(BB4="","",IF(BO4&lt;BB4,BM4,BN4))</f>
        <v>0.14696874999999998</v>
      </c>
      <c r="BR4" s="14">
        <f t="shared" ref="BR4:BR35" ca="1" si="26">IF(BB4="","",(BP4+BQ4)/2)</f>
        <v>0.13229687499999998</v>
      </c>
      <c r="BS4" s="14">
        <f ca="1">IF(OR(T4="",P4="",BR4="",T4&lt;=0,BR4&lt;=0),"",(1/Inputs!$B$9)*((T4^2/8)*((2*ACOS(1-2*BR4/T4))-SIN((2*ACOS(1-2*BR4/T4)))))*((((T4^2/8)*((2*ACOS(1-2*BR4/T4))-SIN((2*ACOS(1-2*BR4/T4)))))/((T4/2)*((2*ACOS(1-2*BR4/T4)))))^(2/3))*SQRT(P4))</f>
        <v>3.2699717205563132E-2</v>
      </c>
      <c r="BT4" s="14">
        <f t="shared" ref="BT4:BT35" ca="1" si="27">IF(BB4="","",IF(BS4&lt;BB4,BR4,BP4))</f>
        <v>0.11762499999999999</v>
      </c>
      <c r="BU4" s="14">
        <f t="shared" ref="BU4:BU35" ca="1" si="28">IF(BB4="","",IF(BS4&lt;BB4,BQ4,BR4))</f>
        <v>0.13229687499999998</v>
      </c>
      <c r="BV4" s="14">
        <f t="shared" ref="BV4:BV35" ca="1" si="29">IF(BB4="","",(BT4+BU4)/2)</f>
        <v>0.12496093749999998</v>
      </c>
      <c r="BW4" s="14">
        <f ca="1">IF(OR(T4="",P4="",BV4="",T4&lt;=0,BV4&lt;=0),"",(1/Inputs!$B$9)*((T4^2/8)*((2*ACOS(1-2*BV4/T4))-SIN((2*ACOS(1-2*BV4/T4)))))*((((T4^2/8)*((2*ACOS(1-2*BV4/T4))-SIN((2*ACOS(1-2*BV4/T4)))))/((T4/2)*((2*ACOS(1-2*BV4/T4)))))^(2/3))*SQRT(P4))</f>
        <v>2.9717990783798727E-2</v>
      </c>
      <c r="BX4" s="14">
        <f t="shared" ref="BX4:BX35" ca="1" si="30">IF(BB4="","",IF(BW4&lt;BB4,BV4,BT4))</f>
        <v>0.11762499999999999</v>
      </c>
      <c r="BY4" s="14">
        <f t="shared" ref="BY4:BY35" ca="1" si="31">IF(BB4="","",IF(BW4&lt;BB4,BU4,BV4))</f>
        <v>0.12496093749999998</v>
      </c>
      <c r="BZ4" s="14">
        <f t="shared" ref="BZ4:BZ35" ca="1" si="32">IF(BB4="","",(BX4+BY4)/2)</f>
        <v>0.12129296874999998</v>
      </c>
      <c r="CA4" s="14">
        <f ca="1">IF(OR(T4="",P4="",BZ4="",T4&lt;=0,BZ4&lt;=0),"",(1/Inputs!$B$9)*((T4^2/8)*((2*ACOS(1-2*BZ4/T4))-SIN((2*ACOS(1-2*BZ4/T4)))))*((((T4^2/8)*((2*ACOS(1-2*BZ4/T4))-SIN((2*ACOS(1-2*BZ4/T4)))))/((T4/2)*((2*ACOS(1-2*BZ4/T4)))))^(2/3))*SQRT(P4))</f>
        <v>2.8243126047992367E-2</v>
      </c>
      <c r="CB4" s="14">
        <f t="shared" ref="CB4:CB35" ca="1" si="33">IF(BB4="","",IF(CA4&lt;BB4,BZ4,BX4))</f>
        <v>0.12129296874999998</v>
      </c>
      <c r="CC4" s="14">
        <f t="shared" ref="CC4:CC35" ca="1" si="34">IF(BB4="","",IF(CA4&lt;BB4,BY4,BZ4))</f>
        <v>0.12496093749999998</v>
      </c>
      <c r="CD4" s="14">
        <f t="shared" ref="CD4:CD35" ca="1" si="35">IF(BB4="","",(CB4+CC4)/2)</f>
        <v>0.12312695312499998</v>
      </c>
      <c r="CE4" s="14">
        <f ca="1">IF(OR(T4="",P4="",CD4="",T4&lt;=0,CD4&lt;=0),"",(1/Inputs!$B$9)*((T4^2/8)*((2*ACOS(1-2*CD4/T4))-SIN((2*ACOS(1-2*CD4/T4)))))*((((T4^2/8)*((2*ACOS(1-2*CD4/T4))-SIN((2*ACOS(1-2*CD4/T4)))))/((T4/2)*((2*ACOS(1-2*CD4/T4)))))^(2/3))*SQRT(P4))</f>
        <v>2.8978950420677413E-2</v>
      </c>
      <c r="CF4" s="14">
        <f t="shared" ref="CF4:CF35" ca="1" si="36">IF(BB4="","",IF(CE4&lt;BB4,CD4,CB4))</f>
        <v>0.12129296874999998</v>
      </c>
      <c r="CG4" s="14">
        <f t="shared" ref="CG4:CG35" ca="1" si="37">IF(BB4="","",IF(CE4&lt;BB4,CC4,CD4))</f>
        <v>0.12312695312499998</v>
      </c>
      <c r="CH4" s="14">
        <f t="shared" ref="CH4:CH35" ca="1" si="38">IF(BB4="","",(CF4+CG4)/2)</f>
        <v>0.12220996093749997</v>
      </c>
    </row>
    <row r="5" spans="1:86" x14ac:dyDescent="0.25">
      <c r="A5" s="14" t="s">
        <v>218</v>
      </c>
      <c r="B5" s="14" t="s">
        <v>167</v>
      </c>
      <c r="C5" s="14" t="s">
        <v>169</v>
      </c>
      <c r="D5" s="14" t="s">
        <v>331</v>
      </c>
      <c r="E5" s="44">
        <v>10.6</v>
      </c>
      <c r="F5" s="44"/>
      <c r="G5" s="44">
        <f>SUMIFS(CB_plan!$G:$G,CB_plan!$F:$F,$A5)</f>
        <v>467.89</v>
      </c>
      <c r="H5" s="44">
        <f t="shared" si="0"/>
        <v>467.89</v>
      </c>
      <c r="I5" s="14"/>
      <c r="J5" s="44"/>
      <c r="K5" s="44">
        <f ca="1">IF(A5="","",Inputs!$B$13/((IF(AV5="",Inputs!$B$18,AV5)+Inputs!$B$14)^Inputs!$B$15))</f>
        <v>122.74928155656993</v>
      </c>
      <c r="L5" s="44">
        <f ca="1">IF(A5="","",IF(H5="","",0.000000278*IF(I5&lt;&gt;"",I5,IFERROR(SUMIFS(CB_plan!$H:$H,CB_plan!$F:$F,$A5)/SUMIFS(CB_plan!$G:$G,CB_plan!$F:$F,$A5),Inputs!$B$17))*H5*K5))</f>
        <v>1.0248585225208204E-2</v>
      </c>
      <c r="M5" s="44">
        <f t="shared" ca="1" si="1"/>
        <v>2.8700327221625271E-2</v>
      </c>
      <c r="N5" s="44">
        <f ca="1">IF(A5="","",(L5+M5)*Inputs!$B$16)</f>
        <v>3.8948912446833475E-2</v>
      </c>
      <c r="O5" s="44"/>
      <c r="P5" s="44">
        <f>IF(A5="","",IF(O5="",Inputs!$B$7,O5))</f>
        <v>0.01</v>
      </c>
      <c r="Q5" s="14">
        <f ca="1">IF(A5="","",IF(N5/Inputs!$B$10&lt;=AG5,Inputs!$F$5,IF(N5/Inputs!$B$10&gt;AP5,"OVERSIZE",INDEX(Inputs!$F$5:$F$14,MATCH(N5/Inputs!$B$10,AG5:AP5,1)+1))))</f>
        <v>250</v>
      </c>
      <c r="R5" s="14">
        <v>300</v>
      </c>
      <c r="S5" s="26">
        <f t="shared" si="2"/>
        <v>300</v>
      </c>
      <c r="T5" s="44">
        <f t="shared" si="3"/>
        <v>0.3</v>
      </c>
      <c r="U5" s="44">
        <f>IF(T5="","",(1/Inputs!$B$9)*(PI()*T5^2/4)*((T5/4)^(2/3))*SQRT(P5))</f>
        <v>9.6700758533556114E-2</v>
      </c>
      <c r="V5" s="44">
        <f ca="1">IF(OR(U5="",N5=""),"",N5/(U5*Inputs!$B$10))</f>
        <v>0.50347216812831175</v>
      </c>
      <c r="W5" s="44">
        <f t="shared" ca="1" si="4"/>
        <v>0.55101439501928851</v>
      </c>
      <c r="X5" s="44"/>
      <c r="Y5" s="44" t="str">
        <f>IF(A5="","",IF(A5=Inputs!$B$6,Inputs!$B$22,IF(D5="","",IFERROR(INDEX($Z$4:$Z$201,MATCH(D5,$A$4:$A$201,0))+IF(X5="",Inputs!$B$20,X5),""))))</f>
        <v/>
      </c>
      <c r="Z5" s="44" t="str">
        <f t="shared" si="5"/>
        <v/>
      </c>
      <c r="AA5" s="44">
        <f>IF(C5="","",IFERROR(INDEX(Noeuds_plan!$C$4:$C$200,MATCH(C5,Noeuds_plan!$A$4:$A$200,0)),""))</f>
        <v>17.010000000000002</v>
      </c>
      <c r="AB5" s="44">
        <f>IF(B5="","",IFERROR(INDEX(Noeuds_plan!$C$4:$C$200,MATCH(B5,Noeuds_plan!$A$4:$A$200,0)),""))</f>
        <v>17.131</v>
      </c>
      <c r="AC5" s="44" t="str">
        <f t="shared" si="6"/>
        <v/>
      </c>
      <c r="AD5" s="44" t="str">
        <f t="shared" si="7"/>
        <v/>
      </c>
      <c r="AE5" s="14" t="str">
        <f ca="1">IF(A5="","",IF(OR(V5&gt;1,AND(AY5&lt;&gt;"",AY5&lt;Inputs!$B$11),AND(AY5&lt;&gt;"",AY5&gt;Inputs!$B$12),AC5&lt;Inputs!$B$19,AD5&lt;Inputs!$B$19,P5&lt;Inputs!$B$7,P5&gt;Inputs!$B$8),"CHECK","OK"))</f>
        <v>OK</v>
      </c>
      <c r="AF5" s="14" t="s">
        <v>332</v>
      </c>
      <c r="AG5" s="14">
        <f>IF(A5="","",(1/Inputs!$B$9)*(PI()*(Inputs!$F$5/1000)^2/4)*((Inputs!$F$5/1000/4)^(2/3))*SQRT(P5))</f>
        <v>3.279844016565106E-2</v>
      </c>
      <c r="AH5" s="14">
        <f>IF(A5="","",(1/Inputs!$B$9)*(PI()*(Inputs!$F$6/1000)^2/4)*((Inputs!$F$6/1000/4)^(2/3))*SQRT(P5))</f>
        <v>5.946752876281361E-2</v>
      </c>
      <c r="AI5" s="14">
        <f>IF(A5="","",(1/Inputs!$B$9)*(PI()*(Inputs!$F$7/1000)^2/4)*((Inputs!$F$7/1000/4)^(2/3))*SQRT(P5))</f>
        <v>9.6700758533556114E-2</v>
      </c>
      <c r="AJ5" s="14">
        <f>IF(A5="","",(1/Inputs!$B$9)*(PI()*(Inputs!$F$8/1000)^2/4)*((Inputs!$F$8/1000/4)^(2/3))*SQRT(P5))</f>
        <v>0.17533014102001548</v>
      </c>
      <c r="AK5" s="14">
        <f>IF(A5="","",(1/Inputs!$B$9)*(PI()*(Inputs!$F$9/1000)^2/4)*((Inputs!$F$9/1000/4)^(2/3))*SQRT(P5))</f>
        <v>0.28510614083282593</v>
      </c>
      <c r="AL5" s="14">
        <f>IF(A5="","",(1/Inputs!$B$9)*(PI()*(Inputs!$F$10/1000)^2/4)*((Inputs!$F$10/1000/4)^(2/3))*SQRT(P5))</f>
        <v>0.43006227098642119</v>
      </c>
      <c r="AM5" s="14">
        <f>IF(A5="","",(1/Inputs!$B$9)*(PI()*(Inputs!$F$11/1000)^2/4)*((Inputs!$F$11/1000/4)^(2/3))*SQRT(P5))</f>
        <v>0.6140115432891593</v>
      </c>
      <c r="AN5" s="14">
        <f>IF(A5="","",(1/Inputs!$B$9)*(PI()*(Inputs!$F$12/1000)^2/4)*((Inputs!$F$12/1000/4)^(2/3))*SQRT(P5))</f>
        <v>0.84058814815170568</v>
      </c>
      <c r="AO5" s="14">
        <f>IF(A5="","",(1/Inputs!$B$9)*(PI()*(Inputs!$F$13/1000)^2/4)*((Inputs!$F$13/1000/4)^(2/3))*SQRT(P5))</f>
        <v>1.1132770011876214</v>
      </c>
      <c r="AP5" s="14">
        <f>IF(A5="","",(1/Inputs!$B$9)*(PI()*(Inputs!$F$14/1000)^2/4)*((Inputs!$F$14/1000/4)^(2/3))*SQRT(P5))</f>
        <v>1.8103111515224857</v>
      </c>
      <c r="AQ5" s="14">
        <f t="shared" si="8"/>
        <v>1</v>
      </c>
      <c r="AR5" s="14" t="str">
        <f t="shared" si="9"/>
        <v>CONTINUOUS</v>
      </c>
      <c r="AS5" s="17">
        <f>IF(A5="","",IF(J5="",Inputs!$B$18,J5))</f>
        <v>6</v>
      </c>
      <c r="AT5" s="17" t="str">
        <f ca="1">IF(A5="","",IFERROR(_xludf.maxifs($AV$4:$AV$201,$D$4:$D$201,$A5),""))</f>
        <v/>
      </c>
      <c r="AU5" s="17">
        <f>IF(A5="","",IF(OR(E5="",Inputs!$B$23=""),"",E5/(Inputs!$B$23*60)))</f>
        <v>0.17666666666666667</v>
      </c>
      <c r="AV5" s="17">
        <f t="shared" ca="1" si="10"/>
        <v>6.1766666666666667</v>
      </c>
      <c r="AW5" s="17">
        <f t="shared" ca="1" si="11"/>
        <v>0.55101439501928851</v>
      </c>
      <c r="AX5" s="17">
        <f>IF(OR(T5="",P5=""),"",(1/Inputs!$B$9)*((T5/4)^(2/3))*SQRT(P5))</f>
        <v>1.3680358863423319</v>
      </c>
      <c r="AY5" s="17">
        <f ca="1">IF(A5="","",IF(AND(AW5="",AX5="",BA5=""),"",IF(OR(UPPER(TRIM(Inputs!$B$24))="MANNING",UPPER(TRIM(Inputs!$B$24))="M"),AX5,IF(OR(UPPER(TRIM(Inputs!$B$24))="PARTIAL",UPPER(TRIM(Inputs!$B$24))="P"),BA5,IF(OR(UPPER(TRIM(Inputs!$B$24))="MAX",UPPER(TRIM(Inputs!$B$24))="X"),MAX(IF(AW5="",0,AW5),IF(AX5="",0,AX5),IF(BA5="",0,BA5)),AW5)))))</f>
        <v>1.3680358863423319</v>
      </c>
      <c r="AZ5" s="17">
        <f t="shared" ca="1" si="12"/>
        <v>0.13344726562499998</v>
      </c>
      <c r="BA5" s="17">
        <f t="shared" ca="1" si="13"/>
        <v>1.281754162071308</v>
      </c>
      <c r="BB5" s="14">
        <f t="shared" ca="1" si="14"/>
        <v>3.8948912446833475E-2</v>
      </c>
      <c r="BC5" s="14">
        <f ca="1">IF(OR(N5="",T5="",P5=""),"",IF(OR(T5="",P5="",(0.94*T5)="",T5&lt;=0,(0.94*T5)&lt;=0),"",(1/Inputs!$B$9)*((T5^2/8)*((2*ACOS(1-2*(0.94*T5)/T5))-SIN((2*ACOS(1-2*(0.94*T5)/T5)))))*((((T5^2/8)*((2*ACOS(1-2*(0.94*T5)/T5))-SIN((2*ACOS(1-2*(0.94*T5)/T5)))))/((T5/2)*((2*ACOS(1-2*(0.94*T5)/T5)))))^(2/3))*SQRT(P5)))</f>
        <v>0.10401901790153308</v>
      </c>
      <c r="BD5" s="14">
        <f t="shared" ca="1" si="15"/>
        <v>2.9999999999999997E-4</v>
      </c>
      <c r="BE5" s="14">
        <f t="shared" ca="1" si="16"/>
        <v>0.28199999999999997</v>
      </c>
      <c r="BF5" s="14">
        <f t="shared" ca="1" si="17"/>
        <v>0.14115</v>
      </c>
      <c r="BG5" s="14">
        <f ca="1">IF(OR(T5="",P5="",BF5="",T5&lt;=0,BF5&lt;=0),"",(1/Inputs!$B$9)*((T5^2/8)*((2*ACOS(1-2*BF5/T5))-SIN((2*ACOS(1-2*BF5/T5)))))*((((T5^2/8)*((2*ACOS(1-2*BF5/T5))-SIN((2*ACOS(1-2*BF5/T5)))))/((T5/2)*((2*ACOS(1-2*BF5/T5)))))^(2/3))*SQRT(P5))</f>
        <v>4.355116037419423E-2</v>
      </c>
      <c r="BH5" s="14">
        <f t="shared" ca="1" si="18"/>
        <v>2.9999999999999997E-4</v>
      </c>
      <c r="BI5" s="14">
        <f t="shared" ca="1" si="19"/>
        <v>0.14115</v>
      </c>
      <c r="BJ5" s="14">
        <f t="shared" ca="1" si="20"/>
        <v>7.0724999999999996E-2</v>
      </c>
      <c r="BK5" s="14">
        <f ca="1">IF(OR(T5="",P5="",BJ5="",T5&lt;=0,BJ5&lt;=0),"",(1/Inputs!$B$9)*((T5^2/8)*((2*ACOS(1-2*BJ5/T5))-SIN((2*ACOS(1-2*BJ5/T5)))))*((((T5^2/8)*((2*ACOS(1-2*BJ5/T5))-SIN((2*ACOS(1-2*BJ5/T5)))))/((T5/2)*((2*ACOS(1-2*BJ5/T5)))))^(2/3))*SQRT(P5))</f>
        <v>1.178690568023899E-2</v>
      </c>
      <c r="BL5" s="14">
        <f t="shared" ca="1" si="21"/>
        <v>7.0724999999999996E-2</v>
      </c>
      <c r="BM5" s="14">
        <f t="shared" ca="1" si="22"/>
        <v>0.14115</v>
      </c>
      <c r="BN5" s="14">
        <f t="shared" ca="1" si="23"/>
        <v>0.10593749999999999</v>
      </c>
      <c r="BO5" s="14">
        <f ca="1">IF(OR(T5="",P5="",BN5="",T5&lt;=0,BN5&lt;=0),"",(1/Inputs!$B$9)*((T5^2/8)*((2*ACOS(1-2*BN5/T5))-SIN((2*ACOS(1-2*BN5/T5)))))*((((T5^2/8)*((2*ACOS(1-2*BN5/T5))-SIN((2*ACOS(1-2*BN5/T5)))))/((T5/2)*((2*ACOS(1-2*BN5/T5)))))^(2/3))*SQRT(P5))</f>
        <v>2.5855744820252241E-2</v>
      </c>
      <c r="BP5" s="14">
        <f t="shared" ca="1" si="24"/>
        <v>0.10593749999999999</v>
      </c>
      <c r="BQ5" s="14">
        <f t="shared" ca="1" si="25"/>
        <v>0.14115</v>
      </c>
      <c r="BR5" s="14">
        <f t="shared" ca="1" si="26"/>
        <v>0.12354374999999999</v>
      </c>
      <c r="BS5" s="14">
        <f ca="1">IF(OR(T5="",P5="",BR5="",T5&lt;=0,BR5&lt;=0),"",(1/Inputs!$B$9)*((T5^2/8)*((2*ACOS(1-2*BR5/T5))-SIN((2*ACOS(1-2*BR5/T5)))))*((((T5^2/8)*((2*ACOS(1-2*BR5/T5))-SIN((2*ACOS(1-2*BR5/T5)))))/((T5/2)*((2*ACOS(1-2*BR5/T5)))))^(2/3))*SQRT(P5))</f>
        <v>3.436165823456544E-2</v>
      </c>
      <c r="BT5" s="14">
        <f t="shared" ca="1" si="27"/>
        <v>0.12354374999999999</v>
      </c>
      <c r="BU5" s="14">
        <f t="shared" ca="1" si="28"/>
        <v>0.14115</v>
      </c>
      <c r="BV5" s="14">
        <f t="shared" ca="1" si="29"/>
        <v>0.132346875</v>
      </c>
      <c r="BW5" s="14">
        <f ca="1">IF(OR(T5="",P5="",BV5="",T5&lt;=0,BV5&lt;=0),"",(1/Inputs!$B$9)*((T5^2/8)*((2*ACOS(1-2*BV5/T5))-SIN((2*ACOS(1-2*BV5/T5)))))*((((T5^2/8)*((2*ACOS(1-2*BV5/T5))-SIN((2*ACOS(1-2*BV5/T5)))))/((T5/2)*((2*ACOS(1-2*BV5/T5)))))^(2/3))*SQRT(P5))</f>
        <v>3.8886120954213066E-2</v>
      </c>
      <c r="BX5" s="14">
        <f t="shared" ca="1" si="30"/>
        <v>0.132346875</v>
      </c>
      <c r="BY5" s="14">
        <f t="shared" ca="1" si="31"/>
        <v>0.14115</v>
      </c>
      <c r="BZ5" s="14">
        <f t="shared" ca="1" si="32"/>
        <v>0.13674843749999999</v>
      </c>
      <c r="CA5" s="14">
        <f ca="1">IF(OR(T5="",P5="",BZ5="",T5&lt;=0,BZ5&lt;=0),"",(1/Inputs!$B$9)*((T5^2/8)*((2*ACOS(1-2*BZ5/T5))-SIN((2*ACOS(1-2*BZ5/T5)))))*((((T5^2/8)*((2*ACOS(1-2*BZ5/T5))-SIN((2*ACOS(1-2*BZ5/T5)))))/((T5/2)*((2*ACOS(1-2*BZ5/T5)))))^(2/3))*SQRT(P5))</f>
        <v>4.1203038605846558E-2</v>
      </c>
      <c r="CB5" s="14">
        <f t="shared" ca="1" si="33"/>
        <v>0.132346875</v>
      </c>
      <c r="CC5" s="14">
        <f t="shared" ca="1" si="34"/>
        <v>0.13674843749999999</v>
      </c>
      <c r="CD5" s="14">
        <f t="shared" ca="1" si="35"/>
        <v>0.13454765624999998</v>
      </c>
      <c r="CE5" s="14">
        <f ca="1">IF(OR(T5="",P5="",CD5="",T5&lt;=0,CD5&lt;=0),"",(1/Inputs!$B$9)*((T5^2/8)*((2*ACOS(1-2*CD5/T5))-SIN((2*ACOS(1-2*CD5/T5)))))*((((T5^2/8)*((2*ACOS(1-2*CD5/T5))-SIN((2*ACOS(1-2*CD5/T5)))))/((T5/2)*((2*ACOS(1-2*CD5/T5)))))^(2/3))*SQRT(P5))</f>
        <v>4.0040429627168098E-2</v>
      </c>
      <c r="CF5" s="14">
        <f t="shared" ca="1" si="36"/>
        <v>0.132346875</v>
      </c>
      <c r="CG5" s="14">
        <f t="shared" ca="1" si="37"/>
        <v>0.13454765624999998</v>
      </c>
      <c r="CH5" s="14">
        <f t="shared" ca="1" si="38"/>
        <v>0.13344726562499998</v>
      </c>
    </row>
    <row r="6" spans="1:86" x14ac:dyDescent="0.25">
      <c r="A6" s="14" t="s">
        <v>331</v>
      </c>
      <c r="B6" s="14" t="s">
        <v>169</v>
      </c>
      <c r="C6" s="14" t="s">
        <v>171</v>
      </c>
      <c r="D6" s="14" t="s">
        <v>239</v>
      </c>
      <c r="E6" s="44">
        <v>6.8</v>
      </c>
      <c r="F6" s="44"/>
      <c r="G6" s="44">
        <f>SUMIFS(CB_plan!$G:$G,CB_plan!$F:$F,$A6)</f>
        <v>0</v>
      </c>
      <c r="H6" s="44">
        <f t="shared" si="0"/>
        <v>0</v>
      </c>
      <c r="I6" s="14"/>
      <c r="J6" s="44"/>
      <c r="K6" s="44">
        <f ca="1">IF(A6="","",Inputs!$B$13/((IF(AV6="",Inputs!$B$18,AV6)+Inputs!$B$14)^Inputs!$B$15))</f>
        <v>123.30404767703865</v>
      </c>
      <c r="L6" s="44">
        <f ca="1">IF(A6="","",IF(H6="","",0.000000278*IF(I6&lt;&gt;"",I6,IFERROR(SUMIFS(CB_plan!$H:$H,CB_plan!$F:$F,$A6)/SUMIFS(CB_plan!$G:$G,CB_plan!$F:$F,$A6),Inputs!$B$17))*H6*K6))</f>
        <v>0</v>
      </c>
      <c r="M6" s="44">
        <f t="shared" ca="1" si="1"/>
        <v>3.8948912446833475E-2</v>
      </c>
      <c r="N6" s="44">
        <f ca="1">IF(A6="","",(L6+M6)*Inputs!$B$16)</f>
        <v>3.8948912446833475E-2</v>
      </c>
      <c r="O6" s="44"/>
      <c r="P6" s="44">
        <f>IF(A6="","",IF(O6="",Inputs!$B$7,O6))</f>
        <v>0.01</v>
      </c>
      <c r="Q6" s="14">
        <f ca="1">IF(A6="","",IF(N6/Inputs!$B$10&lt;=AG6,Inputs!$F$5,IF(N6/Inputs!$B$10&gt;AP6,"OVERSIZE",INDEX(Inputs!$F$5:$F$14,MATCH(N6/Inputs!$B$10,AG6:AP6,1)+1))))</f>
        <v>250</v>
      </c>
      <c r="R6" s="14">
        <v>375</v>
      </c>
      <c r="S6" s="26">
        <f t="shared" si="2"/>
        <v>375</v>
      </c>
      <c r="T6" s="44">
        <f t="shared" si="3"/>
        <v>0.375</v>
      </c>
      <c r="U6" s="44">
        <f>IF(T6="","",(1/Inputs!$B$9)*(PI()*T6^2/4)*((T6/4)^(2/3))*SQRT(P6))</f>
        <v>0.17533014102001548</v>
      </c>
      <c r="V6" s="44">
        <f ca="1">IF(OR(U6="",N6=""),"",N6/(U6*Inputs!$B$10))</f>
        <v>0.27768266354718718</v>
      </c>
      <c r="W6" s="44">
        <f t="shared" ca="1" si="4"/>
        <v>0.35264921281234468</v>
      </c>
      <c r="X6" s="44"/>
      <c r="Y6" s="44" t="str">
        <f>IF(A6="","",IF(A6=Inputs!$B$6,Inputs!$B$22,IF(D6="","",IFERROR(INDEX($Z$4:$Z$201,MATCH(D6,$A$4:$A$201,0))+IF(X6="",Inputs!$B$20,X6),""))))</f>
        <v/>
      </c>
      <c r="Z6" s="44" t="str">
        <f t="shared" si="5"/>
        <v/>
      </c>
      <c r="AA6" s="44">
        <f>IF(C6="","",IFERROR(INDEX(Noeuds_plan!$C$4:$C$200,MATCH(C6,Noeuds_plan!$A$4:$A$200,0)),""))</f>
        <v>16.965</v>
      </c>
      <c r="AB6" s="44">
        <f>IF(B6="","",IFERROR(INDEX(Noeuds_plan!$C$4:$C$200,MATCH(B6,Noeuds_plan!$A$4:$A$200,0)),""))</f>
        <v>17.010000000000002</v>
      </c>
      <c r="AC6" s="44" t="str">
        <f t="shared" si="6"/>
        <v/>
      </c>
      <c r="AD6" s="44" t="str">
        <f t="shared" si="7"/>
        <v/>
      </c>
      <c r="AE6" s="14" t="str">
        <f ca="1">IF(A6="","",IF(OR(V6&gt;1,AND(AY6&lt;&gt;"",AY6&lt;Inputs!$B$11),AND(AY6&lt;&gt;"",AY6&gt;Inputs!$B$12),AC6&lt;Inputs!$B$19,AD6&lt;Inputs!$B$19,P6&lt;Inputs!$B$7,P6&gt;Inputs!$B$8),"CHECK","OK"))</f>
        <v>OK</v>
      </c>
      <c r="AF6" s="14" t="s">
        <v>333</v>
      </c>
      <c r="AG6" s="14">
        <f>IF(A6="","",(1/Inputs!$B$9)*(PI()*(Inputs!$F$5/1000)^2/4)*((Inputs!$F$5/1000/4)^(2/3))*SQRT(P6))</f>
        <v>3.279844016565106E-2</v>
      </c>
      <c r="AH6" s="14">
        <f>IF(A6="","",(1/Inputs!$B$9)*(PI()*(Inputs!$F$6/1000)^2/4)*((Inputs!$F$6/1000/4)^(2/3))*SQRT(P6))</f>
        <v>5.946752876281361E-2</v>
      </c>
      <c r="AI6" s="14">
        <f>IF(A6="","",(1/Inputs!$B$9)*(PI()*(Inputs!$F$7/1000)^2/4)*((Inputs!$F$7/1000/4)^(2/3))*SQRT(P6))</f>
        <v>9.6700758533556114E-2</v>
      </c>
      <c r="AJ6" s="14">
        <f>IF(A6="","",(1/Inputs!$B$9)*(PI()*(Inputs!$F$8/1000)^2/4)*((Inputs!$F$8/1000/4)^(2/3))*SQRT(P6))</f>
        <v>0.17533014102001548</v>
      </c>
      <c r="AK6" s="14">
        <f>IF(A6="","",(1/Inputs!$B$9)*(PI()*(Inputs!$F$9/1000)^2/4)*((Inputs!$F$9/1000/4)^(2/3))*SQRT(P6))</f>
        <v>0.28510614083282593</v>
      </c>
      <c r="AL6" s="14">
        <f>IF(A6="","",(1/Inputs!$B$9)*(PI()*(Inputs!$F$10/1000)^2/4)*((Inputs!$F$10/1000/4)^(2/3))*SQRT(P6))</f>
        <v>0.43006227098642119</v>
      </c>
      <c r="AM6" s="14">
        <f>IF(A6="","",(1/Inputs!$B$9)*(PI()*(Inputs!$F$11/1000)^2/4)*((Inputs!$F$11/1000/4)^(2/3))*SQRT(P6))</f>
        <v>0.6140115432891593</v>
      </c>
      <c r="AN6" s="14">
        <f>IF(A6="","",(1/Inputs!$B$9)*(PI()*(Inputs!$F$12/1000)^2/4)*((Inputs!$F$12/1000/4)^(2/3))*SQRT(P6))</f>
        <v>0.84058814815170568</v>
      </c>
      <c r="AO6" s="14">
        <f>IF(A6="","",(1/Inputs!$B$9)*(PI()*(Inputs!$F$13/1000)^2/4)*((Inputs!$F$13/1000/4)^(2/3))*SQRT(P6))</f>
        <v>1.1132770011876214</v>
      </c>
      <c r="AP6" s="14">
        <f>IF(A6="","",(1/Inputs!$B$9)*(PI()*(Inputs!$F$14/1000)^2/4)*((Inputs!$F$14/1000/4)^(2/3))*SQRT(P6))</f>
        <v>1.8103111515224857</v>
      </c>
      <c r="AQ6" s="14">
        <f t="shared" si="8"/>
        <v>1</v>
      </c>
      <c r="AR6" s="14" t="str">
        <f t="shared" si="9"/>
        <v>CONTINUOUS</v>
      </c>
      <c r="AS6" s="17">
        <f>IF(A6="","",IF(J6="",Inputs!$B$18,J6))</f>
        <v>6</v>
      </c>
      <c r="AT6" s="17" t="str">
        <f ca="1">IF(A6="","",IFERROR(_xludf.maxifs($AV$4:$AV$201,$D$4:$D$201,$A6),""))</f>
        <v/>
      </c>
      <c r="AU6" s="17">
        <f>IF(A6="","",IF(OR(E6="",Inputs!$B$23=""),"",E6/(Inputs!$B$23*60)))</f>
        <v>0.11333333333333333</v>
      </c>
      <c r="AV6" s="17">
        <f t="shared" ca="1" si="10"/>
        <v>6.1133333333333333</v>
      </c>
      <c r="AW6" s="17">
        <f t="shared" ca="1" si="11"/>
        <v>0.35264921281234468</v>
      </c>
      <c r="AX6" s="17">
        <f>IF(OR(T6="",P6=""),"",(1/Inputs!$B$9)*((T6/4)^(2/3))*SQRT(P6))</f>
        <v>1.587465023507032</v>
      </c>
      <c r="AY6" s="17">
        <f ca="1">IF(A6="","",IF(AND(AW6="",AX6="",BA6=""),"",IF(OR(UPPER(TRIM(Inputs!$B$24))="MANNING",UPPER(TRIM(Inputs!$B$24))="M"),AX6,IF(OR(UPPER(TRIM(Inputs!$B$24))="PARTIAL",UPPER(TRIM(Inputs!$B$24))="P"),BA6,IF(OR(UPPER(TRIM(Inputs!$B$24))="MAX",UPPER(TRIM(Inputs!$B$24))="X"),MAX(IF(AW6="",0,AW6),IF(AX6="",0,AX6),IF(BA6="",0,BA6)),AW6)))))</f>
        <v>1.587465023507032</v>
      </c>
      <c r="AZ6" s="17">
        <f t="shared" ca="1" si="12"/>
        <v>0.12004248046874999</v>
      </c>
      <c r="BA6" s="17">
        <f t="shared" ca="1" si="13"/>
        <v>1.2777015781941896</v>
      </c>
      <c r="BB6" s="14">
        <f t="shared" ca="1" si="14"/>
        <v>3.8948912446833475E-2</v>
      </c>
      <c r="BC6" s="14">
        <f ca="1">IF(OR(N6="",T6="",P6=""),"",IF(OR(T6="",P6="",(0.94*T6)="",T6&lt;=0,(0.94*T6)&lt;=0),"",(1/Inputs!$B$9)*((T6^2/8)*((2*ACOS(1-2*(0.94*T6)/T6))-SIN((2*ACOS(1-2*(0.94*T6)/T6)))))*((((T6^2/8)*((2*ACOS(1-2*(0.94*T6)/T6))-SIN((2*ACOS(1-2*(0.94*T6)/T6)))))/((T6/2)*((2*ACOS(1-2*(0.94*T6)/T6)))))^(2/3))*SQRT(P6)))</f>
        <v>0.1885990281152827</v>
      </c>
      <c r="BD6" s="14">
        <f t="shared" ca="1" si="15"/>
        <v>3.7500000000000001E-4</v>
      </c>
      <c r="BE6" s="14">
        <f t="shared" ca="1" si="16"/>
        <v>0.35249999999999998</v>
      </c>
      <c r="BF6" s="14">
        <f t="shared" ca="1" si="17"/>
        <v>0.1764375</v>
      </c>
      <c r="BG6" s="14">
        <f ca="1">IF(OR(T6="",P6="",BF6="",T6&lt;=0,BF6&lt;=0),"",(1/Inputs!$B$9)*((T6^2/8)*((2*ACOS(1-2*BF6/T6))-SIN((2*ACOS(1-2*BF6/T6)))))*((((T6^2/8)*((2*ACOS(1-2*BF6/T6))-SIN((2*ACOS(1-2*BF6/T6)))))/((T6/2)*((2*ACOS(1-2*BF6/T6)))))^(2/3))*SQRT(P6))</f>
        <v>7.8963507688960599E-2</v>
      </c>
      <c r="BH6" s="14">
        <f t="shared" ca="1" si="18"/>
        <v>3.7500000000000001E-4</v>
      </c>
      <c r="BI6" s="14">
        <f t="shared" ca="1" si="19"/>
        <v>0.1764375</v>
      </c>
      <c r="BJ6" s="14">
        <f t="shared" ca="1" si="20"/>
        <v>8.8406249999999992E-2</v>
      </c>
      <c r="BK6" s="14">
        <f ca="1">IF(OR(T6="",P6="",BJ6="",T6&lt;=0,BJ6&lt;=0),"",(1/Inputs!$B$9)*((T6^2/8)*((2*ACOS(1-2*BJ6/T6))-SIN((2*ACOS(1-2*BJ6/T6)))))*((((T6^2/8)*((2*ACOS(1-2*BJ6/T6))-SIN((2*ACOS(1-2*BJ6/T6)))))/((T6/2)*((2*ACOS(1-2*BJ6/T6)))))^(2/3))*SQRT(P6))</f>
        <v>2.137108194853294E-2</v>
      </c>
      <c r="BL6" s="14">
        <f t="shared" ca="1" si="21"/>
        <v>8.8406249999999992E-2</v>
      </c>
      <c r="BM6" s="14">
        <f t="shared" ca="1" si="22"/>
        <v>0.1764375</v>
      </c>
      <c r="BN6" s="14">
        <f t="shared" ca="1" si="23"/>
        <v>0.13242187499999999</v>
      </c>
      <c r="BO6" s="14">
        <f ca="1">IF(OR(T6="",P6="",BN6="",T6&lt;=0,BN6&lt;=0),"",(1/Inputs!$B$9)*((T6^2/8)*((2*ACOS(1-2*BN6/T6))-SIN((2*ACOS(1-2*BN6/T6)))))*((((T6^2/8)*((2*ACOS(1-2*BN6/T6))-SIN((2*ACOS(1-2*BN6/T6)))))/((T6/2)*((2*ACOS(1-2*BN6/T6)))))^(2/3))*SQRT(P6))</f>
        <v>4.687958454782197E-2</v>
      </c>
      <c r="BP6" s="14">
        <f t="shared" ca="1" si="24"/>
        <v>8.8406249999999992E-2</v>
      </c>
      <c r="BQ6" s="14">
        <f t="shared" ca="1" si="25"/>
        <v>0.13242187499999999</v>
      </c>
      <c r="BR6" s="14">
        <f t="shared" ca="1" si="26"/>
        <v>0.11041406249999999</v>
      </c>
      <c r="BS6" s="14">
        <f ca="1">IF(OR(T6="",P6="",BR6="",T6&lt;=0,BR6&lt;=0),"",(1/Inputs!$B$9)*((T6^2/8)*((2*ACOS(1-2*BR6/T6))-SIN((2*ACOS(1-2*BR6/T6)))))*((((T6^2/8)*((2*ACOS(1-2*BR6/T6))-SIN((2*ACOS(1-2*BR6/T6)))))/((T6/2)*((2*ACOS(1-2*BR6/T6)))))^(2/3))*SQRT(P6))</f>
        <v>3.3111621550757031E-2</v>
      </c>
      <c r="BT6" s="14">
        <f t="shared" ca="1" si="27"/>
        <v>0.11041406249999999</v>
      </c>
      <c r="BU6" s="14">
        <f t="shared" ca="1" si="28"/>
        <v>0.13242187499999999</v>
      </c>
      <c r="BV6" s="14">
        <f t="shared" ca="1" si="29"/>
        <v>0.12141796874999999</v>
      </c>
      <c r="BW6" s="14">
        <f ca="1">IF(OR(T6="",P6="",BV6="",T6&lt;=0,BV6&lt;=0),"",(1/Inputs!$B$9)*((T6^2/8)*((2*ACOS(1-2*BV6/T6))-SIN((2*ACOS(1-2*BV6/T6)))))*((((T6^2/8)*((2*ACOS(1-2*BV6/T6))-SIN((2*ACOS(1-2*BV6/T6)))))/((T6/2)*((2*ACOS(1-2*BV6/T6)))))^(2/3))*SQRT(P6))</f>
        <v>3.9764472595155996E-2</v>
      </c>
      <c r="BX6" s="14">
        <f t="shared" ca="1" si="30"/>
        <v>0.11041406249999999</v>
      </c>
      <c r="BY6" s="14">
        <f t="shared" ca="1" si="31"/>
        <v>0.12141796874999999</v>
      </c>
      <c r="BZ6" s="14">
        <f t="shared" ca="1" si="32"/>
        <v>0.11591601562499999</v>
      </c>
      <c r="CA6" s="14">
        <f ca="1">IF(OR(T6="",P6="",BZ6="",T6&lt;=0,BZ6&lt;=0),"",(1/Inputs!$B$9)*((T6^2/8)*((2*ACOS(1-2*BZ6/T6))-SIN((2*ACOS(1-2*BZ6/T6)))))*((((T6^2/8)*((2*ACOS(1-2*BZ6/T6))-SIN((2*ACOS(1-2*BZ6/T6)))))/((T6/2)*((2*ACOS(1-2*BZ6/T6)))))^(2/3))*SQRT(P6))</f>
        <v>3.6377365545823118E-2</v>
      </c>
      <c r="CB6" s="14">
        <f t="shared" ca="1" si="33"/>
        <v>0.11591601562499999</v>
      </c>
      <c r="CC6" s="14">
        <f t="shared" ca="1" si="34"/>
        <v>0.12141796874999999</v>
      </c>
      <c r="CD6" s="14">
        <f t="shared" ca="1" si="35"/>
        <v>0.11866699218749999</v>
      </c>
      <c r="CE6" s="14">
        <f ca="1">IF(OR(T6="",P6="",CD6="",T6&lt;=0,CD6&lt;=0),"",(1/Inputs!$B$9)*((T6^2/8)*((2*ACOS(1-2*CD6/T6))-SIN((2*ACOS(1-2*CD6/T6)))))*((((T6^2/8)*((2*ACOS(1-2*CD6/T6))-SIN((2*ACOS(1-2*CD6/T6)))))/((T6/2)*((2*ACOS(1-2*CD6/T6)))))^(2/3))*SQRT(P6))</f>
        <v>3.8056104377592492E-2</v>
      </c>
      <c r="CF6" s="14">
        <f t="shared" ca="1" si="36"/>
        <v>0.11866699218749999</v>
      </c>
      <c r="CG6" s="14">
        <f t="shared" ca="1" si="37"/>
        <v>0.12141796874999999</v>
      </c>
      <c r="CH6" s="14">
        <f t="shared" ca="1" si="38"/>
        <v>0.12004248046874999</v>
      </c>
    </row>
    <row r="7" spans="1:86" x14ac:dyDescent="0.25">
      <c r="A7" s="14" t="s">
        <v>233</v>
      </c>
      <c r="B7" s="14" t="s">
        <v>183</v>
      </c>
      <c r="C7" s="14" t="s">
        <v>177</v>
      </c>
      <c r="D7" s="14" t="s">
        <v>230</v>
      </c>
      <c r="E7" s="44">
        <v>15.7</v>
      </c>
      <c r="F7" s="44"/>
      <c r="G7" s="44">
        <f>SUMIFS(CB_plan!$G:$G,CB_plan!$F:$F,$A7)</f>
        <v>446.75</v>
      </c>
      <c r="H7" s="44">
        <f t="shared" si="0"/>
        <v>446.75</v>
      </c>
      <c r="I7" s="14"/>
      <c r="J7" s="44"/>
      <c r="K7" s="44">
        <f>IF(A7="","",Inputs!$B$13/((IF(AV7="",Inputs!$B$18,AV7)+Inputs!$B$14)^Inputs!$B$15))</f>
        <v>122.01465113801859</v>
      </c>
      <c r="L7" s="44">
        <f>IF(A7="","",IF(H7="","",0.000000278*IF(I7&lt;&gt;"",I7,IFERROR(SUMIFS(CB_plan!$H:$H,CB_plan!$F:$F,$A7)/SUMIFS(CB_plan!$G:$G,CB_plan!$F:$F,$A7),Inputs!$B$17))*H7*K7))</f>
        <v>6.4364186550385895E-3</v>
      </c>
      <c r="M7" s="44">
        <f t="shared" si="1"/>
        <v>0</v>
      </c>
      <c r="N7" s="44">
        <f>IF(A7="","",(L7+M7)*Inputs!$B$16)</f>
        <v>6.4364186550385895E-3</v>
      </c>
      <c r="O7" s="44"/>
      <c r="P7" s="44">
        <f>IF(A7="","",IF(O7="",Inputs!$B$7,O7))</f>
        <v>0.01</v>
      </c>
      <c r="Q7" s="14">
        <f>IF(A7="","",IF(N7/Inputs!$B$10&lt;=AG7,Inputs!$F$5,IF(N7/Inputs!$B$10&gt;AP7,"OVERSIZE",INDEX(Inputs!$F$5:$F$14,MATCH(N7/Inputs!$B$10,AG7:AP7,1)+1))))</f>
        <v>200</v>
      </c>
      <c r="R7" s="14"/>
      <c r="S7" s="26">
        <f t="shared" si="2"/>
        <v>200</v>
      </c>
      <c r="T7" s="44">
        <f t="shared" si="3"/>
        <v>0.2</v>
      </c>
      <c r="U7" s="44">
        <f>IF(T7="","",(1/Inputs!$B$9)*(PI()*T7^2/4)*((T7/4)^(2/3))*SQRT(P7))</f>
        <v>3.279844016565106E-2</v>
      </c>
      <c r="V7" s="44">
        <f>IF(OR(U7="",N7=""),"",N7/(U7*Inputs!$B$10))</f>
        <v>0.24530201064939974</v>
      </c>
      <c r="W7" s="44">
        <f t="shared" si="4"/>
        <v>0.20487756895165604</v>
      </c>
      <c r="X7" s="44"/>
      <c r="Y7" s="44" t="str">
        <f>IF(A7="","",IF(A7=Inputs!$B$6,Inputs!$B$22,IF(D7="","",IFERROR(INDEX($Z$4:$Z$201,MATCH(D7,$A$4:$A$201,0))+IF(X7="",Inputs!$B$20,X7),""))))</f>
        <v/>
      </c>
      <c r="Z7" s="44" t="str">
        <f t="shared" si="5"/>
        <v/>
      </c>
      <c r="AA7" s="44">
        <f>IF(C7="","",IFERROR(INDEX(Noeuds_plan!$C$4:$C$200,MATCH(C7,Noeuds_plan!$A$4:$A$200,0)),""))</f>
        <v>17.14</v>
      </c>
      <c r="AB7" s="44">
        <f>IF(B7="","",IFERROR(INDEX(Noeuds_plan!$C$4:$C$200,MATCH(B7,Noeuds_plan!$A$4:$A$200,0)),""))</f>
        <v>17.62</v>
      </c>
      <c r="AC7" s="44" t="str">
        <f t="shared" si="6"/>
        <v/>
      </c>
      <c r="AD7" s="44" t="str">
        <f t="shared" si="7"/>
        <v/>
      </c>
      <c r="AE7" s="14" t="str">
        <f>IF(A7="","",IF(OR(V7&gt;1,AND(AY7&lt;&gt;"",AY7&lt;Inputs!$B$11),AND(AY7&lt;&gt;"",AY7&gt;Inputs!$B$12),AC7&lt;Inputs!$B$19,AD7&lt;Inputs!$B$19,P7&lt;Inputs!$B$7,P7&gt;Inputs!$B$8),"CHECK","OK"))</f>
        <v>OK</v>
      </c>
      <c r="AF7" s="14" t="s">
        <v>334</v>
      </c>
      <c r="AG7" s="14">
        <f>IF(A7="","",(1/Inputs!$B$9)*(PI()*(Inputs!$F$5/1000)^2/4)*((Inputs!$F$5/1000/4)^(2/3))*SQRT(P7))</f>
        <v>3.279844016565106E-2</v>
      </c>
      <c r="AH7" s="14">
        <f>IF(A7="","",(1/Inputs!$B$9)*(PI()*(Inputs!$F$6/1000)^2/4)*((Inputs!$F$6/1000/4)^(2/3))*SQRT(P7))</f>
        <v>5.946752876281361E-2</v>
      </c>
      <c r="AI7" s="14">
        <f>IF(A7="","",(1/Inputs!$B$9)*(PI()*(Inputs!$F$7/1000)^2/4)*((Inputs!$F$7/1000/4)^(2/3))*SQRT(P7))</f>
        <v>9.6700758533556114E-2</v>
      </c>
      <c r="AJ7" s="14">
        <f>IF(A7="","",(1/Inputs!$B$9)*(PI()*(Inputs!$F$8/1000)^2/4)*((Inputs!$F$8/1000/4)^(2/3))*SQRT(P7))</f>
        <v>0.17533014102001548</v>
      </c>
      <c r="AK7" s="14">
        <f>IF(A7="","",(1/Inputs!$B$9)*(PI()*(Inputs!$F$9/1000)^2/4)*((Inputs!$F$9/1000/4)^(2/3))*SQRT(P7))</f>
        <v>0.28510614083282593</v>
      </c>
      <c r="AL7" s="14">
        <f>IF(A7="","",(1/Inputs!$B$9)*(PI()*(Inputs!$F$10/1000)^2/4)*((Inputs!$F$10/1000/4)^(2/3))*SQRT(P7))</f>
        <v>0.43006227098642119</v>
      </c>
      <c r="AM7" s="14">
        <f>IF(A7="","",(1/Inputs!$B$9)*(PI()*(Inputs!$F$11/1000)^2/4)*((Inputs!$F$11/1000/4)^(2/3))*SQRT(P7))</f>
        <v>0.6140115432891593</v>
      </c>
      <c r="AN7" s="14">
        <f>IF(A7="","",(1/Inputs!$B$9)*(PI()*(Inputs!$F$12/1000)^2/4)*((Inputs!$F$12/1000/4)^(2/3))*SQRT(P7))</f>
        <v>0.84058814815170568</v>
      </c>
      <c r="AO7" s="14">
        <f>IF(A7="","",(1/Inputs!$B$9)*(PI()*(Inputs!$F$13/1000)^2/4)*((Inputs!$F$13/1000/4)^(2/3))*SQRT(P7))</f>
        <v>1.1132770011876214</v>
      </c>
      <c r="AP7" s="14">
        <f>IF(A7="","",(1/Inputs!$B$9)*(PI()*(Inputs!$F$14/1000)^2/4)*((Inputs!$F$14/1000/4)^(2/3))*SQRT(P7))</f>
        <v>1.8103111515224857</v>
      </c>
      <c r="AQ7" s="14">
        <f t="shared" si="8"/>
        <v>0</v>
      </c>
      <c r="AR7" s="14" t="str">
        <f t="shared" si="9"/>
        <v>START</v>
      </c>
      <c r="AS7" s="17">
        <f>IF(A7="","",IF(J7="",Inputs!$B$18,J7))</f>
        <v>6</v>
      </c>
      <c r="AT7" s="17" t="str">
        <f ca="1">IF(A7="","",IFERROR(_xludf.maxifs($AV$4:$AV$201,$D$4:$D$201,$A7),""))</f>
        <v/>
      </c>
      <c r="AU7" s="17">
        <f>IF(A7="","",IF(OR(E7="",Inputs!$B$23=""),"",E7/(Inputs!$B$23*60)))</f>
        <v>0.26166666666666666</v>
      </c>
      <c r="AV7" s="17">
        <f t="shared" si="10"/>
        <v>6.2616666666666667</v>
      </c>
      <c r="AW7" s="17">
        <f t="shared" si="11"/>
        <v>0.20487756895165604</v>
      </c>
      <c r="AX7" s="17">
        <f>IF(OR(T7="",P7=""),"",(1/Inputs!$B$9)*((T7/4)^(2/3))*SQRT(P7))</f>
        <v>1.0440067756134257</v>
      </c>
      <c r="AY7" s="17">
        <f>IF(A7="","",IF(AND(AW7="",AX7="",BA7=""),"",IF(OR(UPPER(TRIM(Inputs!$B$24))="MANNING",UPPER(TRIM(Inputs!$B$24))="M"),AX7,IF(OR(UPPER(TRIM(Inputs!$B$24))="PARTIAL",UPPER(TRIM(Inputs!$B$24))="P"),BA7,IF(OR(UPPER(TRIM(Inputs!$B$24))="MAX",UPPER(TRIM(Inputs!$B$24))="X"),MAX(IF(AW7="",0,AW7),IF(AX7="",0,AX7),IF(BA7="",0,BA7)),AW7)))))</f>
        <v>1.0440067756134257</v>
      </c>
      <c r="AZ7" s="17">
        <f t="shared" si="12"/>
        <v>5.9621093750000007E-2</v>
      </c>
      <c r="BA7" s="17">
        <f t="shared" si="13"/>
        <v>0.81915974372739697</v>
      </c>
      <c r="BB7" s="14">
        <f t="shared" si="14"/>
        <v>6.4364186550385895E-3</v>
      </c>
      <c r="BC7" s="14">
        <f>IF(OR(N7="",T7="",P7=""),"",IF(OR(T7="",P7="",(0.94*T7)="",T7&lt;=0,(0.94*T7)&lt;=0),"",(1/Inputs!$B$9)*((T7^2/8)*((2*ACOS(1-2*(0.94*T7)/T7))-SIN((2*ACOS(1-2*(0.94*T7)/T7)))))*((((T7^2/8)*((2*ACOS(1-2*(0.94*T7)/T7))-SIN((2*ACOS(1-2*(0.94*T7)/T7)))))/((T7/2)*((2*ACOS(1-2*(0.94*T7)/T7)))))^(2/3))*SQRT(P7)))</f>
        <v>3.5280607789124431E-2</v>
      </c>
      <c r="BD7" s="14">
        <f t="shared" si="15"/>
        <v>2.0000000000000001E-4</v>
      </c>
      <c r="BE7" s="14">
        <f t="shared" si="16"/>
        <v>0.188</v>
      </c>
      <c r="BF7" s="14">
        <f t="shared" si="17"/>
        <v>9.4100000000000003E-2</v>
      </c>
      <c r="BG7" s="14">
        <f>IF(OR(T7="",P7="",BF7="",T7&lt;=0,BF7&lt;=0),"",(1/Inputs!$B$9)*((T7^2/8)*((2*ACOS(1-2*BF7/T7))-SIN((2*ACOS(1-2*BF7/T7)))))*((((T7^2/8)*((2*ACOS(1-2*BF7/T7))-SIN((2*ACOS(1-2*BF7/T7)))))/((T7/2)*((2*ACOS(1-2*BF7/T7)))))^(2/3))*SQRT(P7))</f>
        <v>1.4771446980759828E-2</v>
      </c>
      <c r="BH7" s="14">
        <f t="shared" si="18"/>
        <v>2.0000000000000001E-4</v>
      </c>
      <c r="BI7" s="14">
        <f t="shared" si="19"/>
        <v>9.4100000000000003E-2</v>
      </c>
      <c r="BJ7" s="14">
        <f t="shared" si="20"/>
        <v>4.7150000000000004E-2</v>
      </c>
      <c r="BK7" s="14">
        <f>IF(OR(T7="",P7="",BJ7="",T7&lt;=0,BJ7&lt;=0),"",(1/Inputs!$B$9)*((T7^2/8)*((2*ACOS(1-2*BJ7/T7))-SIN((2*ACOS(1-2*BJ7/T7)))))*((((T7^2/8)*((2*ACOS(1-2*BJ7/T7))-SIN((2*ACOS(1-2*BJ7/T7)))))/((T7/2)*((2*ACOS(1-2*BJ7/T7)))))^(2/3))*SQRT(P7))</f>
        <v>3.9978189060155102E-3</v>
      </c>
      <c r="BL7" s="14">
        <f t="shared" si="21"/>
        <v>4.7150000000000004E-2</v>
      </c>
      <c r="BM7" s="14">
        <f t="shared" si="22"/>
        <v>9.4100000000000003E-2</v>
      </c>
      <c r="BN7" s="14">
        <f t="shared" si="23"/>
        <v>7.0625000000000007E-2</v>
      </c>
      <c r="BO7" s="14">
        <f>IF(OR(T7="",P7="",BN7="",T7&lt;=0,BN7&lt;=0),"",(1/Inputs!$B$9)*((T7^2/8)*((2*ACOS(1-2*BN7/T7))-SIN((2*ACOS(1-2*BN7/T7)))))*((((T7^2/8)*((2*ACOS(1-2*BN7/T7))-SIN((2*ACOS(1-2*BN7/T7)))))/((T7/2)*((2*ACOS(1-2*BN7/T7)))))^(2/3))*SQRT(P7))</f>
        <v>8.7696116585384634E-3</v>
      </c>
      <c r="BP7" s="14">
        <f t="shared" si="24"/>
        <v>4.7150000000000004E-2</v>
      </c>
      <c r="BQ7" s="14">
        <f t="shared" si="25"/>
        <v>7.0625000000000007E-2</v>
      </c>
      <c r="BR7" s="14">
        <f t="shared" si="26"/>
        <v>5.8887500000000009E-2</v>
      </c>
      <c r="BS7" s="14">
        <f>IF(OR(T7="",P7="",BR7="",T7&lt;=0,BR7&lt;=0),"",(1/Inputs!$B$9)*((T7^2/8)*((2*ACOS(1-2*BR7/T7))-SIN((2*ACOS(1-2*BR7/T7)))))*((((T7^2/8)*((2*ACOS(1-2*BR7/T7))-SIN((2*ACOS(1-2*BR7/T7)))))/((T7/2)*((2*ACOS(1-2*BR7/T7)))))^(2/3))*SQRT(P7))</f>
        <v>6.1940835266664756E-3</v>
      </c>
      <c r="BT7" s="14">
        <f t="shared" si="27"/>
        <v>5.8887500000000009E-2</v>
      </c>
      <c r="BU7" s="14">
        <f t="shared" si="28"/>
        <v>7.0625000000000007E-2</v>
      </c>
      <c r="BV7" s="14">
        <f t="shared" si="29"/>
        <v>6.4756250000000015E-2</v>
      </c>
      <c r="BW7" s="14">
        <f>IF(OR(T7="",P7="",BV7="",T7&lt;=0,BV7&lt;=0),"",(1/Inputs!$B$9)*((T7^2/8)*((2*ACOS(1-2*BV7/T7))-SIN((2*ACOS(1-2*BV7/T7)))))*((((T7^2/8)*((2*ACOS(1-2*BV7/T7))-SIN((2*ACOS(1-2*BV7/T7)))))/((T7/2)*((2*ACOS(1-2*BV7/T7)))))^(2/3))*SQRT(P7))</f>
        <v>7.4386107690520165E-3</v>
      </c>
      <c r="BX7" s="14">
        <f t="shared" si="30"/>
        <v>5.8887500000000009E-2</v>
      </c>
      <c r="BY7" s="14">
        <f t="shared" si="31"/>
        <v>6.4756250000000015E-2</v>
      </c>
      <c r="BZ7" s="14">
        <f t="shared" si="32"/>
        <v>6.1821875000000012E-2</v>
      </c>
      <c r="CA7" s="14">
        <f>IF(OR(T7="",P7="",BZ7="",T7&lt;=0,BZ7&lt;=0),"",(1/Inputs!$B$9)*((T7^2/8)*((2*ACOS(1-2*BZ7/T7))-SIN((2*ACOS(1-2*BZ7/T7)))))*((((T7^2/8)*((2*ACOS(1-2*BZ7/T7))-SIN((2*ACOS(1-2*BZ7/T7)))))/((T7/2)*((2*ACOS(1-2*BZ7/T7)))))^(2/3))*SQRT(P7))</f>
        <v>6.8049956516175476E-3</v>
      </c>
      <c r="CB7" s="14">
        <f t="shared" si="33"/>
        <v>5.8887500000000009E-2</v>
      </c>
      <c r="CC7" s="14">
        <f t="shared" si="34"/>
        <v>6.1821875000000012E-2</v>
      </c>
      <c r="CD7" s="14">
        <f t="shared" si="35"/>
        <v>6.0354687500000011E-2</v>
      </c>
      <c r="CE7" s="14">
        <f>IF(OR(T7="",P7="",CD7="",T7&lt;=0,CD7&lt;=0),"",(1/Inputs!$B$9)*((T7^2/8)*((2*ACOS(1-2*CD7/T7))-SIN((2*ACOS(1-2*CD7/T7)))))*((((T7^2/8)*((2*ACOS(1-2*CD7/T7))-SIN((2*ACOS(1-2*CD7/T7)))))/((T7/2)*((2*ACOS(1-2*CD7/T7)))))^(2/3))*SQRT(P7))</f>
        <v>6.4966356895063866E-3</v>
      </c>
      <c r="CF7" s="14">
        <f t="shared" si="36"/>
        <v>5.8887500000000009E-2</v>
      </c>
      <c r="CG7" s="14">
        <f t="shared" si="37"/>
        <v>6.0354687500000011E-2</v>
      </c>
      <c r="CH7" s="14">
        <f t="shared" si="38"/>
        <v>5.9621093750000007E-2</v>
      </c>
    </row>
    <row r="8" spans="1:86" x14ac:dyDescent="0.25">
      <c r="A8" s="14" t="s">
        <v>230</v>
      </c>
      <c r="B8" s="14" t="s">
        <v>179</v>
      </c>
      <c r="C8" s="14" t="s">
        <v>177</v>
      </c>
      <c r="D8" s="14" t="s">
        <v>227</v>
      </c>
      <c r="E8" s="44">
        <v>12.2</v>
      </c>
      <c r="F8" s="44"/>
      <c r="G8" s="44">
        <f>SUMIFS(CB_plan!$G:$G,CB_plan!$F:$F,$A8)</f>
        <v>442.35</v>
      </c>
      <c r="H8" s="44">
        <f t="shared" si="0"/>
        <v>442.35</v>
      </c>
      <c r="I8" s="14"/>
      <c r="J8" s="44"/>
      <c r="K8" s="44">
        <f ca="1">IF(A8="","",Inputs!$B$13/((IF(AV8="",Inputs!$B$18,AV8)+Inputs!$B$14)^Inputs!$B$15))</f>
        <v>122.51759554974157</v>
      </c>
      <c r="L8" s="44">
        <f ca="1">IF(A8="","",IF(H8="","",0.000000278*IF(I8&lt;&gt;"",I8,IFERROR(SUMIFS(CB_plan!$H:$H,CB_plan!$F:$F,$A8)/SUMIFS(CB_plan!$G:$G,CB_plan!$F:$F,$A8),Inputs!$B$17))*H8*K8))</f>
        <v>1.1518544428175039E-2</v>
      </c>
      <c r="M8" s="44">
        <f t="shared" si="1"/>
        <v>6.4364186550385895E-3</v>
      </c>
      <c r="N8" s="44">
        <f ca="1">IF(A8="","",(L8+M8)*Inputs!$B$16)</f>
        <v>1.7954963083213628E-2</v>
      </c>
      <c r="O8" s="44"/>
      <c r="P8" s="44">
        <f>IF(A8="","",IF(O8="",Inputs!$B$7,O8))</f>
        <v>0.01</v>
      </c>
      <c r="Q8" s="14">
        <f ca="1">IF(A8="","",IF(N8/Inputs!$B$10&lt;=AG8,Inputs!$F$5,IF(N8/Inputs!$B$10&gt;AP8,"OVERSIZE",INDEX(Inputs!$F$5:$F$14,MATCH(N8/Inputs!$B$10,AG8:AP8,1)+1))))</f>
        <v>200</v>
      </c>
      <c r="R8" s="14">
        <v>250</v>
      </c>
      <c r="S8" s="26">
        <f t="shared" si="2"/>
        <v>250</v>
      </c>
      <c r="T8" s="44">
        <f t="shared" si="3"/>
        <v>0.25</v>
      </c>
      <c r="U8" s="44">
        <f>IF(T8="","",(1/Inputs!$B$9)*(PI()*T8^2/4)*((T8/4)^(2/3))*SQRT(P8))</f>
        <v>5.946752876281361E-2</v>
      </c>
      <c r="V8" s="44">
        <f ca="1">IF(OR(U8="",N8=""),"",N8/(U8*Inputs!$B$10))</f>
        <v>0.37741107325198942</v>
      </c>
      <c r="W8" s="44">
        <f t="shared" ca="1" si="4"/>
        <v>0.3657755043489212</v>
      </c>
      <c r="X8" s="44"/>
      <c r="Y8" s="44" t="str">
        <f>IF(A8="","",IF(A8=Inputs!$B$6,Inputs!$B$22,IF(D8="","",IFERROR(INDEX($Z$4:$Z$201,MATCH(D8,$A$4:$A$201,0))+IF(X8="",Inputs!$B$20,X8),""))))</f>
        <v/>
      </c>
      <c r="Z8" s="44" t="str">
        <f t="shared" si="5"/>
        <v/>
      </c>
      <c r="AA8" s="44">
        <f>IF(C8="","",IFERROR(INDEX(Noeuds_plan!$C$4:$C$200,MATCH(C8,Noeuds_plan!$A$4:$A$200,0)),""))</f>
        <v>17.14</v>
      </c>
      <c r="AB8" s="44">
        <f>IF(B8="","",IFERROR(INDEX(Noeuds_plan!$C$4:$C$200,MATCH(B8,Noeuds_plan!$A$4:$A$200,0)),""))</f>
        <v>17.09</v>
      </c>
      <c r="AC8" s="44" t="str">
        <f t="shared" si="6"/>
        <v/>
      </c>
      <c r="AD8" s="44" t="str">
        <f t="shared" si="7"/>
        <v/>
      </c>
      <c r="AE8" s="14" t="str">
        <f ca="1">IF(A8="","",IF(OR(V8&gt;1,AND(AY8&lt;&gt;"",AY8&lt;Inputs!$B$11),AND(AY8&lt;&gt;"",AY8&gt;Inputs!$B$12),AC8&lt;Inputs!$B$19,AD8&lt;Inputs!$B$19,P8&lt;Inputs!$B$7,P8&gt;Inputs!$B$8),"CHECK","OK"))</f>
        <v>OK</v>
      </c>
      <c r="AF8" s="14" t="s">
        <v>335</v>
      </c>
      <c r="AG8" s="14">
        <f>IF(A8="","",(1/Inputs!$B$9)*(PI()*(Inputs!$F$5/1000)^2/4)*((Inputs!$F$5/1000/4)^(2/3))*SQRT(P8))</f>
        <v>3.279844016565106E-2</v>
      </c>
      <c r="AH8" s="14">
        <f>IF(A8="","",(1/Inputs!$B$9)*(PI()*(Inputs!$F$6/1000)^2/4)*((Inputs!$F$6/1000/4)^(2/3))*SQRT(P8))</f>
        <v>5.946752876281361E-2</v>
      </c>
      <c r="AI8" s="14">
        <f>IF(A8="","",(1/Inputs!$B$9)*(PI()*(Inputs!$F$7/1000)^2/4)*((Inputs!$F$7/1000/4)^(2/3))*SQRT(P8))</f>
        <v>9.6700758533556114E-2</v>
      </c>
      <c r="AJ8" s="14">
        <f>IF(A8="","",(1/Inputs!$B$9)*(PI()*(Inputs!$F$8/1000)^2/4)*((Inputs!$F$8/1000/4)^(2/3))*SQRT(P8))</f>
        <v>0.17533014102001548</v>
      </c>
      <c r="AK8" s="14">
        <f>IF(A8="","",(1/Inputs!$B$9)*(PI()*(Inputs!$F$9/1000)^2/4)*((Inputs!$F$9/1000/4)^(2/3))*SQRT(P8))</f>
        <v>0.28510614083282593</v>
      </c>
      <c r="AL8" s="14">
        <f>IF(A8="","",(1/Inputs!$B$9)*(PI()*(Inputs!$F$10/1000)^2/4)*((Inputs!$F$10/1000/4)^(2/3))*SQRT(P8))</f>
        <v>0.43006227098642119</v>
      </c>
      <c r="AM8" s="14">
        <f>IF(A8="","",(1/Inputs!$B$9)*(PI()*(Inputs!$F$11/1000)^2/4)*((Inputs!$F$11/1000/4)^(2/3))*SQRT(P8))</f>
        <v>0.6140115432891593</v>
      </c>
      <c r="AN8" s="14">
        <f>IF(A8="","",(1/Inputs!$B$9)*(PI()*(Inputs!$F$12/1000)^2/4)*((Inputs!$F$12/1000/4)^(2/3))*SQRT(P8))</f>
        <v>0.84058814815170568</v>
      </c>
      <c r="AO8" s="14">
        <f>IF(A8="","",(1/Inputs!$B$9)*(PI()*(Inputs!$F$13/1000)^2/4)*((Inputs!$F$13/1000/4)^(2/3))*SQRT(P8))</f>
        <v>1.1132770011876214</v>
      </c>
      <c r="AP8" s="14">
        <f>IF(A8="","",(1/Inputs!$B$9)*(PI()*(Inputs!$F$14/1000)^2/4)*((Inputs!$F$14/1000/4)^(2/3))*SQRT(P8))</f>
        <v>1.8103111515224857</v>
      </c>
      <c r="AQ8" s="14">
        <f t="shared" si="8"/>
        <v>1</v>
      </c>
      <c r="AR8" s="14" t="str">
        <f t="shared" si="9"/>
        <v>CONTINUOUS</v>
      </c>
      <c r="AS8" s="17">
        <f>IF(A8="","",IF(J8="",Inputs!$B$18,J8))</f>
        <v>6</v>
      </c>
      <c r="AT8" s="17" t="str">
        <f ca="1">IF(A8="","",IFERROR(_xludf.maxifs($AV$4:$AV$201,$D$4:$D$201,$A8),""))</f>
        <v/>
      </c>
      <c r="AU8" s="17">
        <f>IF(A8="","",IF(OR(E8="",Inputs!$B$23=""),"",E8/(Inputs!$B$23*60)))</f>
        <v>0.20333333333333331</v>
      </c>
      <c r="AV8" s="17">
        <f t="shared" ca="1" si="10"/>
        <v>6.2033333333333331</v>
      </c>
      <c r="AW8" s="17">
        <f t="shared" ca="1" si="11"/>
        <v>0.3657755043489212</v>
      </c>
      <c r="AX8" s="17">
        <f>IF(OR(T8="",P8=""),"",(1/Inputs!$B$9)*((T8/4)^(2/3))*SQRT(P8))</f>
        <v>1.2114625479758399</v>
      </c>
      <c r="AY8" s="17">
        <f ca="1">IF(A8="","",IF(AND(AW8="",AX8="",BA8=""),"",IF(OR(UPPER(TRIM(Inputs!$B$24))="MANNING",UPPER(TRIM(Inputs!$B$24))="M"),AX8,IF(OR(UPPER(TRIM(Inputs!$B$24))="PARTIAL",UPPER(TRIM(Inputs!$B$24))="P"),BA8,IF(OR(UPPER(TRIM(Inputs!$B$24))="MAX",UPPER(TRIM(Inputs!$B$24))="X"),MAX(IF(AW8="",0,AW8),IF(AX8="",0,AX8),IF(BA8="",0,BA8)),AW8)))))</f>
        <v>1.2114625479758399</v>
      </c>
      <c r="AZ8" s="17">
        <f t="shared" ca="1" si="12"/>
        <v>9.4700195312499985E-2</v>
      </c>
      <c r="BA8" s="17">
        <f t="shared" ca="1" si="13"/>
        <v>1.0534730955770006</v>
      </c>
      <c r="BB8" s="14">
        <f t="shared" ca="1" si="14"/>
        <v>1.7954963083213628E-2</v>
      </c>
      <c r="BC8" s="14">
        <f ca="1">IF(OR(N8="",T8="",P8=""),"",IF(OR(T8="",P8="",(0.94*T8)="",T8&lt;=0,(0.94*T8)&lt;=0),"",(1/Inputs!$B$9)*((T8^2/8)*((2*ACOS(1-2*(0.94*T8)/T8))-SIN((2*ACOS(1-2*(0.94*T8)/T8)))))*((((T8^2/8)*((2*ACOS(1-2*(0.94*T8)/T8))-SIN((2*ACOS(1-2*(0.94*T8)/T8)))))/((T8/2)*((2*ACOS(1-2*(0.94*T8)/T8)))))^(2/3))*SQRT(P8)))</f>
        <v>6.3967998108231228E-2</v>
      </c>
      <c r="BD8" s="14">
        <f t="shared" ca="1" si="15"/>
        <v>2.5000000000000001E-4</v>
      </c>
      <c r="BE8" s="14">
        <f t="shared" ca="1" si="16"/>
        <v>0.23499999999999999</v>
      </c>
      <c r="BF8" s="14">
        <f t="shared" ca="1" si="17"/>
        <v>0.11762499999999999</v>
      </c>
      <c r="BG8" s="14">
        <f ca="1">IF(OR(T8="",P8="",BF8="",T8&lt;=0,BF8&lt;=0),"",(1/Inputs!$B$9)*((T8^2/8)*((2*ACOS(1-2*BF8/T8))-SIN((2*ACOS(1-2*BF8/T8)))))*((((T8^2/8)*((2*ACOS(1-2*BF8/T8))-SIN((2*ACOS(1-2*BF8/T8)))))/((T8/2)*((2*ACOS(1-2*BF8/T8)))))^(2/3))*SQRT(P8))</f>
        <v>2.6782415375858588E-2</v>
      </c>
      <c r="BH8" s="14">
        <f t="shared" ca="1" si="18"/>
        <v>2.5000000000000001E-4</v>
      </c>
      <c r="BI8" s="14">
        <f t="shared" ca="1" si="19"/>
        <v>0.11762499999999999</v>
      </c>
      <c r="BJ8" s="14">
        <f t="shared" ca="1" si="20"/>
        <v>5.8937499999999997E-2</v>
      </c>
      <c r="BK8" s="14">
        <f ca="1">IF(OR(T8="",P8="",BJ8="",T8&lt;=0,BJ8&lt;=0),"",(1/Inputs!$B$9)*((T8^2/8)*((2*ACOS(1-2*BJ8/T8))-SIN((2*ACOS(1-2*BJ8/T8)))))*((((T8^2/8)*((2*ACOS(1-2*BJ8/T8))-SIN((2*ACOS(1-2*BJ8/T8)))))/((T8/2)*((2*ACOS(1-2*BJ8/T8)))))^(2/3))*SQRT(P8))</f>
        <v>7.2485279660029853E-3</v>
      </c>
      <c r="BL8" s="14">
        <f t="shared" ca="1" si="21"/>
        <v>5.8937499999999997E-2</v>
      </c>
      <c r="BM8" s="14">
        <f t="shared" ca="1" si="22"/>
        <v>0.11762499999999999</v>
      </c>
      <c r="BN8" s="14">
        <f t="shared" ca="1" si="23"/>
        <v>8.8281249999999992E-2</v>
      </c>
      <c r="BO8" s="14">
        <f ca="1">IF(OR(T8="",P8="",BN8="",T8&lt;=0,BN8&lt;=0),"",(1/Inputs!$B$9)*((T8^2/8)*((2*ACOS(1-2*BN8/T8))-SIN((2*ACOS(1-2*BN8/T8)))))*((((T8^2/8)*((2*ACOS(1-2*BN8/T8))-SIN((2*ACOS(1-2*BN8/T8)))))/((T8/2)*((2*ACOS(1-2*BN8/T8)))))^(2/3))*SQRT(P8))</f>
        <v>1.5900363886481458E-2</v>
      </c>
      <c r="BP8" s="14">
        <f t="shared" ca="1" si="24"/>
        <v>8.8281249999999992E-2</v>
      </c>
      <c r="BQ8" s="14">
        <f t="shared" ca="1" si="25"/>
        <v>0.11762499999999999</v>
      </c>
      <c r="BR8" s="14">
        <f t="shared" ca="1" si="26"/>
        <v>0.10295312499999999</v>
      </c>
      <c r="BS8" s="14">
        <f ca="1">IF(OR(T8="",P8="",BR8="",T8&lt;=0,BR8&lt;=0),"",(1/Inputs!$B$9)*((T8^2/8)*((2*ACOS(1-2*BR8/T8))-SIN((2*ACOS(1-2*BR8/T8)))))*((((T8^2/8)*((2*ACOS(1-2*BR8/T8))-SIN((2*ACOS(1-2*BR8/T8)))))/((T8/2)*((2*ACOS(1-2*BR8/T8)))))^(2/3))*SQRT(P8))</f>
        <v>2.1131198249007638E-2</v>
      </c>
      <c r="BT8" s="14">
        <f t="shared" ca="1" si="27"/>
        <v>8.8281249999999992E-2</v>
      </c>
      <c r="BU8" s="14">
        <f t="shared" ca="1" si="28"/>
        <v>0.10295312499999999</v>
      </c>
      <c r="BV8" s="14">
        <f t="shared" ca="1" si="29"/>
        <v>9.5617187499999992E-2</v>
      </c>
      <c r="BW8" s="14">
        <f ca="1">IF(OR(T8="",P8="",BV8="",T8&lt;=0,BV8&lt;=0),"",(1/Inputs!$B$9)*((T8^2/8)*((2*ACOS(1-2*BV8/T8))-SIN((2*ACOS(1-2*BV8/T8)))))*((((T8^2/8)*((2*ACOS(1-2*BV8/T8))-SIN((2*ACOS(1-2*BV8/T8)))))/((T8/2)*((2*ACOS(1-2*BV8/T8)))))^(2/3))*SQRT(P8))</f>
        <v>1.8454120172489503E-2</v>
      </c>
      <c r="BX8" s="14">
        <f t="shared" ca="1" si="30"/>
        <v>8.8281249999999992E-2</v>
      </c>
      <c r="BY8" s="14">
        <f t="shared" ca="1" si="31"/>
        <v>9.5617187499999992E-2</v>
      </c>
      <c r="BZ8" s="14">
        <f t="shared" ca="1" si="32"/>
        <v>9.1949218749999992E-2</v>
      </c>
      <c r="CA8" s="14">
        <f ca="1">IF(OR(T8="",P8="",BZ8="",T8&lt;=0,BZ8&lt;=0),"",(1/Inputs!$B$9)*((T8^2/8)*((2*ACOS(1-2*BZ8/T8))-SIN((2*ACOS(1-2*BZ8/T8)))))*((((T8^2/8)*((2*ACOS(1-2*BZ8/T8))-SIN((2*ACOS(1-2*BZ8/T8)))))/((T8/2)*((2*ACOS(1-2*BZ8/T8)))))^(2/3))*SQRT(P8))</f>
        <v>1.7160733664928023E-2</v>
      </c>
      <c r="CB8" s="14">
        <f t="shared" ca="1" si="33"/>
        <v>9.1949218749999992E-2</v>
      </c>
      <c r="CC8" s="14">
        <f t="shared" ca="1" si="34"/>
        <v>9.5617187499999992E-2</v>
      </c>
      <c r="CD8" s="14">
        <f t="shared" ca="1" si="35"/>
        <v>9.3783203124999992E-2</v>
      </c>
      <c r="CE8" s="14">
        <f ca="1">IF(OR(T8="",P8="",CD8="",T8&lt;=0,CD8&lt;=0),"",(1/Inputs!$B$9)*((T8^2/8)*((2*ACOS(1-2*CD8/T8))-SIN((2*ACOS(1-2*CD8/T8)))))*((((T8^2/8)*((2*ACOS(1-2*CD8/T8))-SIN((2*ACOS(1-2*CD8/T8)))))/((T8/2)*((2*ACOS(1-2*CD8/T8)))))^(2/3))*SQRT(P8))</f>
        <v>1.7803434402310542E-2</v>
      </c>
      <c r="CF8" s="14">
        <f t="shared" ca="1" si="36"/>
        <v>9.3783203124999992E-2</v>
      </c>
      <c r="CG8" s="14">
        <f t="shared" ca="1" si="37"/>
        <v>9.5617187499999992E-2</v>
      </c>
      <c r="CH8" s="14">
        <f t="shared" ca="1" si="38"/>
        <v>9.4700195312499985E-2</v>
      </c>
    </row>
    <row r="9" spans="1:86" x14ac:dyDescent="0.25">
      <c r="A9" s="14" t="s">
        <v>227</v>
      </c>
      <c r="B9" s="14" t="s">
        <v>177</v>
      </c>
      <c r="C9" s="14" t="s">
        <v>173</v>
      </c>
      <c r="D9" s="14" t="s">
        <v>221</v>
      </c>
      <c r="E9" s="44">
        <v>9.6</v>
      </c>
      <c r="F9" s="44"/>
      <c r="G9" s="44">
        <f>SUMIFS(CB_plan!$G:$G,CB_plan!$F:$F,$A9)</f>
        <v>147.9</v>
      </c>
      <c r="H9" s="44">
        <f t="shared" si="0"/>
        <v>147.9</v>
      </c>
      <c r="I9" s="14"/>
      <c r="J9" s="44"/>
      <c r="K9" s="44">
        <f ca="1">IF(A9="","",Inputs!$B$13/((IF(AV9="",Inputs!$B$18,AV9)+Inputs!$B$14)^Inputs!$B$15))</f>
        <v>122.89465439319326</v>
      </c>
      <c r="L9" s="44">
        <f ca="1">IF(A9="","",IF(H9="","",0.000000278*IF(I9&lt;&gt;"",I9,IFERROR(SUMIFS(CB_plan!$H:$H,CB_plan!$F:$F,$A9)/SUMIFS(CB_plan!$G:$G,CB_plan!$F:$F,$A9),Inputs!$B$17))*H9*K9))</f>
        <v>3.4550775188618497E-3</v>
      </c>
      <c r="M9" s="44">
        <f t="shared" ca="1" si="1"/>
        <v>1.7954963083213628E-2</v>
      </c>
      <c r="N9" s="44">
        <f ca="1">IF(A9="","",(L9+M9)*Inputs!$B$16)</f>
        <v>2.1410040602075478E-2</v>
      </c>
      <c r="O9" s="44"/>
      <c r="P9" s="44">
        <f>IF(A9="","",IF(O9="",Inputs!$B$7,O9))</f>
        <v>0.01</v>
      </c>
      <c r="Q9" s="14">
        <f ca="1">IF(A9="","",IF(N9/Inputs!$B$10&lt;=AG9,Inputs!$F$5,IF(N9/Inputs!$B$10&gt;AP9,"OVERSIZE",INDEX(Inputs!$F$5:$F$14,MATCH(N9/Inputs!$B$10,AG9:AP9,1)+1))))</f>
        <v>200</v>
      </c>
      <c r="R9" s="14">
        <v>250</v>
      </c>
      <c r="S9" s="26">
        <f t="shared" si="2"/>
        <v>250</v>
      </c>
      <c r="T9" s="44">
        <f t="shared" si="3"/>
        <v>0.25</v>
      </c>
      <c r="U9" s="44">
        <f>IF(T9="","",(1/Inputs!$B$9)*(PI()*T9^2/4)*((T9/4)^(2/3))*SQRT(P9))</f>
        <v>5.946752876281361E-2</v>
      </c>
      <c r="V9" s="44">
        <f ca="1">IF(OR(U9="",N9=""),"",N9/(U9*Inputs!$B$10))</f>
        <v>0.45003636958476695</v>
      </c>
      <c r="W9" s="44">
        <f t="shared" ca="1" si="4"/>
        <v>0.43616176558316688</v>
      </c>
      <c r="X9" s="44"/>
      <c r="Y9" s="44" t="str">
        <f>IF(A9="","",IF(A9=Inputs!$B$6,Inputs!$B$22,IF(D9="","",IFERROR(INDEX($Z$4:$Z$201,MATCH(D9,$A$4:$A$201,0))+IF(X9="",Inputs!$B$20,X9),""))))</f>
        <v/>
      </c>
      <c r="Z9" s="44" t="str">
        <f t="shared" si="5"/>
        <v/>
      </c>
      <c r="AA9" s="44">
        <f>IF(C9="","",IFERROR(INDEX(Noeuds_plan!$C$4:$C$200,MATCH(C9,Noeuds_plan!$A$4:$A$200,0)),""))</f>
        <v>17.28</v>
      </c>
      <c r="AB9" s="44">
        <f>IF(B9="","",IFERROR(INDEX(Noeuds_plan!$C$4:$C$200,MATCH(B9,Noeuds_plan!$A$4:$A$200,0)),""))</f>
        <v>17.14</v>
      </c>
      <c r="AC9" s="44" t="str">
        <f t="shared" si="6"/>
        <v/>
      </c>
      <c r="AD9" s="44" t="str">
        <f t="shared" si="7"/>
        <v/>
      </c>
      <c r="AE9" s="14" t="str">
        <f ca="1">IF(A9="","",IF(OR(V9&gt;1,AND(AY9&lt;&gt;"",AY9&lt;Inputs!$B$11),AND(AY9&lt;&gt;"",AY9&gt;Inputs!$B$12),AC9&lt;Inputs!$B$19,AD9&lt;Inputs!$B$19,P9&lt;Inputs!$B$7,P9&gt;Inputs!$B$8),"CHECK","OK"))</f>
        <v>OK</v>
      </c>
      <c r="AF9" s="14" t="s">
        <v>336</v>
      </c>
      <c r="AG9" s="14">
        <f>IF(A9="","",(1/Inputs!$B$9)*(PI()*(Inputs!$F$5/1000)^2/4)*((Inputs!$F$5/1000/4)^(2/3))*SQRT(P9))</f>
        <v>3.279844016565106E-2</v>
      </c>
      <c r="AH9" s="14">
        <f>IF(A9="","",(1/Inputs!$B$9)*(PI()*(Inputs!$F$6/1000)^2/4)*((Inputs!$F$6/1000/4)^(2/3))*SQRT(P9))</f>
        <v>5.946752876281361E-2</v>
      </c>
      <c r="AI9" s="14">
        <f>IF(A9="","",(1/Inputs!$B$9)*(PI()*(Inputs!$F$7/1000)^2/4)*((Inputs!$F$7/1000/4)^(2/3))*SQRT(P9))</f>
        <v>9.6700758533556114E-2</v>
      </c>
      <c r="AJ9" s="14">
        <f>IF(A9="","",(1/Inputs!$B$9)*(PI()*(Inputs!$F$8/1000)^2/4)*((Inputs!$F$8/1000/4)^(2/3))*SQRT(P9))</f>
        <v>0.17533014102001548</v>
      </c>
      <c r="AK9" s="14">
        <f>IF(A9="","",(1/Inputs!$B$9)*(PI()*(Inputs!$F$9/1000)^2/4)*((Inputs!$F$9/1000/4)^(2/3))*SQRT(P9))</f>
        <v>0.28510614083282593</v>
      </c>
      <c r="AL9" s="14">
        <f>IF(A9="","",(1/Inputs!$B$9)*(PI()*(Inputs!$F$10/1000)^2/4)*((Inputs!$F$10/1000/4)^(2/3))*SQRT(P9))</f>
        <v>0.43006227098642119</v>
      </c>
      <c r="AM9" s="14">
        <f>IF(A9="","",(1/Inputs!$B$9)*(PI()*(Inputs!$F$11/1000)^2/4)*((Inputs!$F$11/1000/4)^(2/3))*SQRT(P9))</f>
        <v>0.6140115432891593</v>
      </c>
      <c r="AN9" s="14">
        <f>IF(A9="","",(1/Inputs!$B$9)*(PI()*(Inputs!$F$12/1000)^2/4)*((Inputs!$F$12/1000/4)^(2/3))*SQRT(P9))</f>
        <v>0.84058814815170568</v>
      </c>
      <c r="AO9" s="14">
        <f>IF(A9="","",(1/Inputs!$B$9)*(PI()*(Inputs!$F$13/1000)^2/4)*((Inputs!$F$13/1000/4)^(2/3))*SQRT(P9))</f>
        <v>1.1132770011876214</v>
      </c>
      <c r="AP9" s="14">
        <f>IF(A9="","",(1/Inputs!$B$9)*(PI()*(Inputs!$F$14/1000)^2/4)*((Inputs!$F$14/1000/4)^(2/3))*SQRT(P9))</f>
        <v>1.8103111515224857</v>
      </c>
      <c r="AQ9" s="14">
        <f t="shared" si="8"/>
        <v>1</v>
      </c>
      <c r="AR9" s="14" t="str">
        <f t="shared" si="9"/>
        <v>CONTINUOUS</v>
      </c>
      <c r="AS9" s="17">
        <f>IF(A9="","",IF(J9="",Inputs!$B$18,J9))</f>
        <v>6</v>
      </c>
      <c r="AT9" s="17" t="str">
        <f ca="1">IF(A9="","",IFERROR(_xludf.maxifs($AV$4:$AV$201,$D$4:$D$201,$A9),""))</f>
        <v/>
      </c>
      <c r="AU9" s="17">
        <f>IF(A9="","",IF(OR(E9="",Inputs!$B$23=""),"",E9/(Inputs!$B$23*60)))</f>
        <v>0.16</v>
      </c>
      <c r="AV9" s="17">
        <f t="shared" ca="1" si="10"/>
        <v>6.16</v>
      </c>
      <c r="AW9" s="17">
        <f t="shared" ca="1" si="11"/>
        <v>0.43616176558316688</v>
      </c>
      <c r="AX9" s="17">
        <f>IF(OR(T9="",P9=""),"",(1/Inputs!$B$9)*((T9/4)^(2/3))*SQRT(P9))</f>
        <v>1.2114625479758399</v>
      </c>
      <c r="AY9" s="17">
        <f ca="1">IF(A9="","",IF(AND(AW9="",AX9="",BA9=""),"",IF(OR(UPPER(TRIM(Inputs!$B$24))="MANNING",UPPER(TRIM(Inputs!$B$24))="M"),AX9,IF(OR(UPPER(TRIM(Inputs!$B$24))="PARTIAL",UPPER(TRIM(Inputs!$B$24))="P"),BA9,IF(OR(UPPER(TRIM(Inputs!$B$24))="MAX",UPPER(TRIM(Inputs!$B$24))="X"),MAX(IF(AW9="",0,AW9),IF(AX9="",0,AX9),IF(BA9="",0,BA9)),AW9)))))</f>
        <v>1.2114625479758399</v>
      </c>
      <c r="AZ9" s="17">
        <f t="shared" ca="1" si="12"/>
        <v>0.1038701171875</v>
      </c>
      <c r="BA9" s="17">
        <f t="shared" ca="1" si="13"/>
        <v>1.1101057227136213</v>
      </c>
      <c r="BB9" s="14">
        <f t="shared" ca="1" si="14"/>
        <v>2.1410040602075478E-2</v>
      </c>
      <c r="BC9" s="14">
        <f ca="1">IF(OR(N9="",T9="",P9=""),"",IF(OR(T9="",P9="",(0.94*T9)="",T9&lt;=0,(0.94*T9)&lt;=0),"",(1/Inputs!$B$9)*((T9^2/8)*((2*ACOS(1-2*(0.94*T9)/T9))-SIN((2*ACOS(1-2*(0.94*T9)/T9)))))*((((T9^2/8)*((2*ACOS(1-2*(0.94*T9)/T9))-SIN((2*ACOS(1-2*(0.94*T9)/T9)))))/((T9/2)*((2*ACOS(1-2*(0.94*T9)/T9)))))^(2/3))*SQRT(P9)))</f>
        <v>6.3967998108231228E-2</v>
      </c>
      <c r="BD9" s="14">
        <f t="shared" ca="1" si="15"/>
        <v>2.5000000000000001E-4</v>
      </c>
      <c r="BE9" s="14">
        <f t="shared" ca="1" si="16"/>
        <v>0.23499999999999999</v>
      </c>
      <c r="BF9" s="14">
        <f t="shared" ca="1" si="17"/>
        <v>0.11762499999999999</v>
      </c>
      <c r="BG9" s="14">
        <f ca="1">IF(OR(T9="",P9="",BF9="",T9&lt;=0,BF9&lt;=0),"",(1/Inputs!$B$9)*((T9^2/8)*((2*ACOS(1-2*BF9/T9))-SIN((2*ACOS(1-2*BF9/T9)))))*((((T9^2/8)*((2*ACOS(1-2*BF9/T9))-SIN((2*ACOS(1-2*BF9/T9)))))/((T9/2)*((2*ACOS(1-2*BF9/T9)))))^(2/3))*SQRT(P9))</f>
        <v>2.6782415375858588E-2</v>
      </c>
      <c r="BH9" s="14">
        <f t="shared" ca="1" si="18"/>
        <v>2.5000000000000001E-4</v>
      </c>
      <c r="BI9" s="14">
        <f t="shared" ca="1" si="19"/>
        <v>0.11762499999999999</v>
      </c>
      <c r="BJ9" s="14">
        <f t="shared" ca="1" si="20"/>
        <v>5.8937499999999997E-2</v>
      </c>
      <c r="BK9" s="14">
        <f ca="1">IF(OR(T9="",P9="",BJ9="",T9&lt;=0,BJ9&lt;=0),"",(1/Inputs!$B$9)*((T9^2/8)*((2*ACOS(1-2*BJ9/T9))-SIN((2*ACOS(1-2*BJ9/T9)))))*((((T9^2/8)*((2*ACOS(1-2*BJ9/T9))-SIN((2*ACOS(1-2*BJ9/T9)))))/((T9/2)*((2*ACOS(1-2*BJ9/T9)))))^(2/3))*SQRT(P9))</f>
        <v>7.2485279660029853E-3</v>
      </c>
      <c r="BL9" s="14">
        <f t="shared" ca="1" si="21"/>
        <v>5.8937499999999997E-2</v>
      </c>
      <c r="BM9" s="14">
        <f t="shared" ca="1" si="22"/>
        <v>0.11762499999999999</v>
      </c>
      <c r="BN9" s="14">
        <f t="shared" ca="1" si="23"/>
        <v>8.8281249999999992E-2</v>
      </c>
      <c r="BO9" s="14">
        <f ca="1">IF(OR(T9="",P9="",BN9="",T9&lt;=0,BN9&lt;=0),"",(1/Inputs!$B$9)*((T9^2/8)*((2*ACOS(1-2*BN9/T9))-SIN((2*ACOS(1-2*BN9/T9)))))*((((T9^2/8)*((2*ACOS(1-2*BN9/T9))-SIN((2*ACOS(1-2*BN9/T9)))))/((T9/2)*((2*ACOS(1-2*BN9/T9)))))^(2/3))*SQRT(P9))</f>
        <v>1.5900363886481458E-2</v>
      </c>
      <c r="BP9" s="14">
        <f t="shared" ca="1" si="24"/>
        <v>8.8281249999999992E-2</v>
      </c>
      <c r="BQ9" s="14">
        <f t="shared" ca="1" si="25"/>
        <v>0.11762499999999999</v>
      </c>
      <c r="BR9" s="14">
        <f t="shared" ca="1" si="26"/>
        <v>0.10295312499999999</v>
      </c>
      <c r="BS9" s="14">
        <f ca="1">IF(OR(T9="",P9="",BR9="",T9&lt;=0,BR9&lt;=0),"",(1/Inputs!$B$9)*((T9^2/8)*((2*ACOS(1-2*BR9/T9))-SIN((2*ACOS(1-2*BR9/T9)))))*((((T9^2/8)*((2*ACOS(1-2*BR9/T9))-SIN((2*ACOS(1-2*BR9/T9)))))/((T9/2)*((2*ACOS(1-2*BR9/T9)))))^(2/3))*SQRT(P9))</f>
        <v>2.1131198249007638E-2</v>
      </c>
      <c r="BT9" s="14">
        <f t="shared" ca="1" si="27"/>
        <v>0.10295312499999999</v>
      </c>
      <c r="BU9" s="14">
        <f t="shared" ca="1" si="28"/>
        <v>0.11762499999999999</v>
      </c>
      <c r="BV9" s="14">
        <f t="shared" ca="1" si="29"/>
        <v>0.11028906249999999</v>
      </c>
      <c r="BW9" s="14">
        <f ca="1">IF(OR(T9="",P9="",BV9="",T9&lt;=0,BV9&lt;=0),"",(1/Inputs!$B$9)*((T9^2/8)*((2*ACOS(1-2*BV9/T9))-SIN((2*ACOS(1-2*BV9/T9)))))*((((T9^2/8)*((2*ACOS(1-2*BV9/T9))-SIN((2*ACOS(1-2*BV9/T9)))))/((T9/2)*((2*ACOS(1-2*BV9/T9)))))^(2/3))*SQRT(P9))</f>
        <v>2.3913581975848391E-2</v>
      </c>
      <c r="BX9" s="14">
        <f t="shared" ca="1" si="30"/>
        <v>0.10295312499999999</v>
      </c>
      <c r="BY9" s="14">
        <f t="shared" ca="1" si="31"/>
        <v>0.11028906249999999</v>
      </c>
      <c r="BZ9" s="14">
        <f t="shared" ca="1" si="32"/>
        <v>0.10662109374999999</v>
      </c>
      <c r="CA9" s="14">
        <f ca="1">IF(OR(T9="",P9="",BZ9="",T9&lt;=0,BZ9&lt;=0),"",(1/Inputs!$B$9)*((T9^2/8)*((2*ACOS(1-2*BZ9/T9))-SIN((2*ACOS(1-2*BZ9/T9)))))*((((T9^2/8)*((2*ACOS(1-2*BZ9/T9))-SIN((2*ACOS(1-2*BZ9/T9)))))/((T9/2)*((2*ACOS(1-2*BZ9/T9)))))^(2/3))*SQRT(P9))</f>
        <v>2.2510385674826102E-2</v>
      </c>
      <c r="CB9" s="14">
        <f t="shared" ca="1" si="33"/>
        <v>0.10295312499999999</v>
      </c>
      <c r="CC9" s="14">
        <f t="shared" ca="1" si="34"/>
        <v>0.10662109374999999</v>
      </c>
      <c r="CD9" s="14">
        <f t="shared" ca="1" si="35"/>
        <v>0.10478710937499999</v>
      </c>
      <c r="CE9" s="14">
        <f ca="1">IF(OR(T9="",P9="",CD9="",T9&lt;=0,CD9&lt;=0),"",(1/Inputs!$B$9)*((T9^2/8)*((2*ACOS(1-2*CD9/T9))-SIN((2*ACOS(1-2*CD9/T9)))))*((((T9^2/8)*((2*ACOS(1-2*CD9/T9))-SIN((2*ACOS(1-2*CD9/T9)))))/((T9/2)*((2*ACOS(1-2*CD9/T9)))))^(2/3))*SQRT(P9))</f>
        <v>2.1817643960573122E-2</v>
      </c>
      <c r="CF9" s="14">
        <f t="shared" ca="1" si="36"/>
        <v>0.10295312499999999</v>
      </c>
      <c r="CG9" s="14">
        <f t="shared" ca="1" si="37"/>
        <v>0.10478710937499999</v>
      </c>
      <c r="CH9" s="14">
        <f t="shared" ca="1" si="38"/>
        <v>0.1038701171875</v>
      </c>
    </row>
    <row r="10" spans="1:86" x14ac:dyDescent="0.25">
      <c r="A10" s="14" t="s">
        <v>221</v>
      </c>
      <c r="B10" s="14" t="s">
        <v>173</v>
      </c>
      <c r="C10" s="14" t="s">
        <v>166</v>
      </c>
      <c r="D10" s="14" t="s">
        <v>215</v>
      </c>
      <c r="E10" s="44">
        <v>13.5</v>
      </c>
      <c r="F10" s="44"/>
      <c r="G10" s="44">
        <f>SUMIFS(CB_plan!$G:$G,CB_plan!$F:$F,$A10)</f>
        <v>94.5</v>
      </c>
      <c r="H10" s="44">
        <f t="shared" si="0"/>
        <v>94.5</v>
      </c>
      <c r="I10" s="14"/>
      <c r="J10" s="44"/>
      <c r="K10" s="44">
        <f ca="1">IF(A10="","",Inputs!$B$13/((IF(AV10="",Inputs!$B$18,AV10)+Inputs!$B$14)^Inputs!$B$15))</f>
        <v>122.33017065592506</v>
      </c>
      <c r="L10" s="44">
        <f ca="1">IF(A10="","",IF(H10="","",0.000000278*IF(I10&lt;&gt;"",I10,IFERROR(SUMIFS(CB_plan!$H:$H,CB_plan!$F:$F,$A10)/SUMIFS(CB_plan!$G:$G,CB_plan!$F:$F,$A10),Inputs!$B$17))*H10*K10))</f>
        <v>1.7583726497065598E-3</v>
      </c>
      <c r="M10" s="44">
        <f t="shared" ca="1" si="1"/>
        <v>2.1410040602075478E-2</v>
      </c>
      <c r="N10" s="44">
        <f ca="1">IF(A10="","",(L10+M10)*Inputs!$B$16)</f>
        <v>2.3168413251782038E-2</v>
      </c>
      <c r="O10" s="44"/>
      <c r="P10" s="44">
        <f>IF(A10="","",IF(O10="",Inputs!$B$7,O10))</f>
        <v>0.01</v>
      </c>
      <c r="Q10" s="14">
        <f ca="1">IF(A10="","",IF(N10/Inputs!$B$10&lt;=AG10,Inputs!$F$5,IF(N10/Inputs!$B$10&gt;AP10,"OVERSIZE",INDEX(Inputs!$F$5:$F$14,MATCH(N10/Inputs!$B$10,AG10:AP10,1)+1))))</f>
        <v>200</v>
      </c>
      <c r="R10" s="14">
        <v>250</v>
      </c>
      <c r="S10" s="26">
        <f t="shared" si="2"/>
        <v>250</v>
      </c>
      <c r="T10" s="44">
        <f t="shared" si="3"/>
        <v>0.25</v>
      </c>
      <c r="U10" s="44">
        <f>IF(T10="","",(1/Inputs!$B$9)*(PI()*T10^2/4)*((T10/4)^(2/3))*SQRT(P10))</f>
        <v>5.946752876281361E-2</v>
      </c>
      <c r="V10" s="44">
        <f ca="1">IF(OR(U10="",N10=""),"",N10/(U10*Inputs!$B$10))</f>
        <v>0.48699714225954538</v>
      </c>
      <c r="W10" s="44">
        <f t="shared" ca="1" si="4"/>
        <v>0.4719830390549612</v>
      </c>
      <c r="X10" s="44"/>
      <c r="Y10" s="44" t="str">
        <f>IF(A10="","",IF(A10=Inputs!$B$6,Inputs!$B$22,IF(D10="","",IFERROR(INDEX($Z$4:$Z$201,MATCH(D10,$A$4:$A$201,0))+IF(X10="",Inputs!$B$20,X10),""))))</f>
        <v/>
      </c>
      <c r="Z10" s="44" t="str">
        <f t="shared" si="5"/>
        <v/>
      </c>
      <c r="AA10" s="44">
        <f>IF(C10="","",IFERROR(INDEX(Noeuds_plan!$C$4:$C$200,MATCH(C10,Noeuds_plan!$A$4:$A$200,0)),""))</f>
        <v>17.236999999999998</v>
      </c>
      <c r="AB10" s="44">
        <f>IF(B10="","",IFERROR(INDEX(Noeuds_plan!$C$4:$C$200,MATCH(B10,Noeuds_plan!$A$4:$A$200,0)),""))</f>
        <v>17.28</v>
      </c>
      <c r="AC10" s="44" t="str">
        <f t="shared" si="6"/>
        <v/>
      </c>
      <c r="AD10" s="44" t="str">
        <f t="shared" si="7"/>
        <v/>
      </c>
      <c r="AE10" s="14" t="str">
        <f ca="1">IF(A10="","",IF(OR(V10&gt;1,AND(AY10&lt;&gt;"",AY10&lt;Inputs!$B$11),AND(AY10&lt;&gt;"",AY10&gt;Inputs!$B$12),AC10&lt;Inputs!$B$19,AD10&lt;Inputs!$B$19,P10&lt;Inputs!$B$7,P10&gt;Inputs!$B$8),"CHECK","OK"))</f>
        <v>OK</v>
      </c>
      <c r="AF10" s="14" t="s">
        <v>337</v>
      </c>
      <c r="AG10" s="14">
        <f>IF(A10="","",(1/Inputs!$B$9)*(PI()*(Inputs!$F$5/1000)^2/4)*((Inputs!$F$5/1000/4)^(2/3))*SQRT(P10))</f>
        <v>3.279844016565106E-2</v>
      </c>
      <c r="AH10" s="14">
        <f>IF(A10="","",(1/Inputs!$B$9)*(PI()*(Inputs!$F$6/1000)^2/4)*((Inputs!$F$6/1000/4)^(2/3))*SQRT(P10))</f>
        <v>5.946752876281361E-2</v>
      </c>
      <c r="AI10" s="14">
        <f>IF(A10="","",(1/Inputs!$B$9)*(PI()*(Inputs!$F$7/1000)^2/4)*((Inputs!$F$7/1000/4)^(2/3))*SQRT(P10))</f>
        <v>9.6700758533556114E-2</v>
      </c>
      <c r="AJ10" s="14">
        <f>IF(A10="","",(1/Inputs!$B$9)*(PI()*(Inputs!$F$8/1000)^2/4)*((Inputs!$F$8/1000/4)^(2/3))*SQRT(P10))</f>
        <v>0.17533014102001548</v>
      </c>
      <c r="AK10" s="14">
        <f>IF(A10="","",(1/Inputs!$B$9)*(PI()*(Inputs!$F$9/1000)^2/4)*((Inputs!$F$9/1000/4)^(2/3))*SQRT(P10))</f>
        <v>0.28510614083282593</v>
      </c>
      <c r="AL10" s="14">
        <f>IF(A10="","",(1/Inputs!$B$9)*(PI()*(Inputs!$F$10/1000)^2/4)*((Inputs!$F$10/1000/4)^(2/3))*SQRT(P10))</f>
        <v>0.43006227098642119</v>
      </c>
      <c r="AM10" s="14">
        <f>IF(A10="","",(1/Inputs!$B$9)*(PI()*(Inputs!$F$11/1000)^2/4)*((Inputs!$F$11/1000/4)^(2/3))*SQRT(P10))</f>
        <v>0.6140115432891593</v>
      </c>
      <c r="AN10" s="14">
        <f>IF(A10="","",(1/Inputs!$B$9)*(PI()*(Inputs!$F$12/1000)^2/4)*((Inputs!$F$12/1000/4)^(2/3))*SQRT(P10))</f>
        <v>0.84058814815170568</v>
      </c>
      <c r="AO10" s="14">
        <f>IF(A10="","",(1/Inputs!$B$9)*(PI()*(Inputs!$F$13/1000)^2/4)*((Inputs!$F$13/1000/4)^(2/3))*SQRT(P10))</f>
        <v>1.1132770011876214</v>
      </c>
      <c r="AP10" s="14">
        <f>IF(A10="","",(1/Inputs!$B$9)*(PI()*(Inputs!$F$14/1000)^2/4)*((Inputs!$F$14/1000/4)^(2/3))*SQRT(P10))</f>
        <v>1.8103111515224857</v>
      </c>
      <c r="AQ10" s="14">
        <f t="shared" si="8"/>
        <v>1</v>
      </c>
      <c r="AR10" s="14" t="str">
        <f t="shared" si="9"/>
        <v>CONTINUOUS</v>
      </c>
      <c r="AS10" s="17">
        <f>IF(A10="","",IF(J10="",Inputs!$B$18,J10))</f>
        <v>6</v>
      </c>
      <c r="AT10" s="17" t="str">
        <f ca="1">IF(A10="","",IFERROR(_xludf.maxifs($AV$4:$AV$201,$D$4:$D$201,$A10),""))</f>
        <v/>
      </c>
      <c r="AU10" s="17">
        <f>IF(A10="","",IF(OR(E10="",Inputs!$B$23=""),"",E10/(Inputs!$B$23*60)))</f>
        <v>0.22500000000000001</v>
      </c>
      <c r="AV10" s="17">
        <f t="shared" ca="1" si="10"/>
        <v>6.2249999999999996</v>
      </c>
      <c r="AW10" s="17">
        <f t="shared" ca="1" si="11"/>
        <v>0.4719830390549612</v>
      </c>
      <c r="AX10" s="17">
        <f>IF(OR(T10="",P10=""),"",(1/Inputs!$B$9)*((T10/4)^(2/3))*SQRT(P10))</f>
        <v>1.2114625479758399</v>
      </c>
      <c r="AY10" s="17">
        <f ca="1">IF(A10="","",IF(AND(AW10="",AX10="",BA10=""),"",IF(OR(UPPER(TRIM(Inputs!$B$24))="MANNING",UPPER(TRIM(Inputs!$B$24))="M"),AX10,IF(OR(UPPER(TRIM(Inputs!$B$24))="PARTIAL",UPPER(TRIM(Inputs!$B$24))="P"),BA10,IF(OR(UPPER(TRIM(Inputs!$B$24))="MAX",UPPER(TRIM(Inputs!$B$24))="X"),MAX(IF(AW10="",0,AW10),IF(AX10="",0,AX10),IF(BA10="",0,BA10)),AW10)))))</f>
        <v>1.2114625479758399</v>
      </c>
      <c r="AZ10" s="17">
        <f t="shared" ca="1" si="12"/>
        <v>0.1075380859375</v>
      </c>
      <c r="BA10" s="17">
        <f t="shared" ca="1" si="13"/>
        <v>1.1473797426083137</v>
      </c>
      <c r="BB10" s="14">
        <f t="shared" ca="1" si="14"/>
        <v>2.3168413251782038E-2</v>
      </c>
      <c r="BC10" s="14">
        <f ca="1">IF(OR(N10="",T10="",P10=""),"",IF(OR(T10="",P10="",(0.94*T10)="",T10&lt;=0,(0.94*T10)&lt;=0),"",(1/Inputs!$B$9)*((T10^2/8)*((2*ACOS(1-2*(0.94*T10)/T10))-SIN((2*ACOS(1-2*(0.94*T10)/T10)))))*((((T10^2/8)*((2*ACOS(1-2*(0.94*T10)/T10))-SIN((2*ACOS(1-2*(0.94*T10)/T10)))))/((T10/2)*((2*ACOS(1-2*(0.94*T10)/T10)))))^(2/3))*SQRT(P10)))</f>
        <v>6.3967998108231228E-2</v>
      </c>
      <c r="BD10" s="14">
        <f t="shared" ca="1" si="15"/>
        <v>2.5000000000000001E-4</v>
      </c>
      <c r="BE10" s="14">
        <f t="shared" ca="1" si="16"/>
        <v>0.23499999999999999</v>
      </c>
      <c r="BF10" s="14">
        <f t="shared" ca="1" si="17"/>
        <v>0.11762499999999999</v>
      </c>
      <c r="BG10" s="14">
        <f ca="1">IF(OR(T10="",P10="",BF10="",T10&lt;=0,BF10&lt;=0),"",(1/Inputs!$B$9)*((T10^2/8)*((2*ACOS(1-2*BF10/T10))-SIN((2*ACOS(1-2*BF10/T10)))))*((((T10^2/8)*((2*ACOS(1-2*BF10/T10))-SIN((2*ACOS(1-2*BF10/T10)))))/((T10/2)*((2*ACOS(1-2*BF10/T10)))))^(2/3))*SQRT(P10))</f>
        <v>2.6782415375858588E-2</v>
      </c>
      <c r="BH10" s="14">
        <f t="shared" ca="1" si="18"/>
        <v>2.5000000000000001E-4</v>
      </c>
      <c r="BI10" s="14">
        <f t="shared" ca="1" si="19"/>
        <v>0.11762499999999999</v>
      </c>
      <c r="BJ10" s="14">
        <f t="shared" ca="1" si="20"/>
        <v>5.8937499999999997E-2</v>
      </c>
      <c r="BK10" s="14">
        <f ca="1">IF(OR(T10="",P10="",BJ10="",T10&lt;=0,BJ10&lt;=0),"",(1/Inputs!$B$9)*((T10^2/8)*((2*ACOS(1-2*BJ10/T10))-SIN((2*ACOS(1-2*BJ10/T10)))))*((((T10^2/8)*((2*ACOS(1-2*BJ10/T10))-SIN((2*ACOS(1-2*BJ10/T10)))))/((T10/2)*((2*ACOS(1-2*BJ10/T10)))))^(2/3))*SQRT(P10))</f>
        <v>7.2485279660029853E-3</v>
      </c>
      <c r="BL10" s="14">
        <f t="shared" ca="1" si="21"/>
        <v>5.8937499999999997E-2</v>
      </c>
      <c r="BM10" s="14">
        <f t="shared" ca="1" si="22"/>
        <v>0.11762499999999999</v>
      </c>
      <c r="BN10" s="14">
        <f t="shared" ca="1" si="23"/>
        <v>8.8281249999999992E-2</v>
      </c>
      <c r="BO10" s="14">
        <f ca="1">IF(OR(T10="",P10="",BN10="",T10&lt;=0,BN10&lt;=0),"",(1/Inputs!$B$9)*((T10^2/8)*((2*ACOS(1-2*BN10/T10))-SIN((2*ACOS(1-2*BN10/T10)))))*((((T10^2/8)*((2*ACOS(1-2*BN10/T10))-SIN((2*ACOS(1-2*BN10/T10)))))/((T10/2)*((2*ACOS(1-2*BN10/T10)))))^(2/3))*SQRT(P10))</f>
        <v>1.5900363886481458E-2</v>
      </c>
      <c r="BP10" s="14">
        <f t="shared" ca="1" si="24"/>
        <v>8.8281249999999992E-2</v>
      </c>
      <c r="BQ10" s="14">
        <f t="shared" ca="1" si="25"/>
        <v>0.11762499999999999</v>
      </c>
      <c r="BR10" s="14">
        <f t="shared" ca="1" si="26"/>
        <v>0.10295312499999999</v>
      </c>
      <c r="BS10" s="14">
        <f ca="1">IF(OR(T10="",P10="",BR10="",T10&lt;=0,BR10&lt;=0),"",(1/Inputs!$B$9)*((T10^2/8)*((2*ACOS(1-2*BR10/T10))-SIN((2*ACOS(1-2*BR10/T10)))))*((((T10^2/8)*((2*ACOS(1-2*BR10/T10))-SIN((2*ACOS(1-2*BR10/T10)))))/((T10/2)*((2*ACOS(1-2*BR10/T10)))))^(2/3))*SQRT(P10))</f>
        <v>2.1131198249007638E-2</v>
      </c>
      <c r="BT10" s="14">
        <f t="shared" ca="1" si="27"/>
        <v>0.10295312499999999</v>
      </c>
      <c r="BU10" s="14">
        <f t="shared" ca="1" si="28"/>
        <v>0.11762499999999999</v>
      </c>
      <c r="BV10" s="14">
        <f t="shared" ca="1" si="29"/>
        <v>0.11028906249999999</v>
      </c>
      <c r="BW10" s="14">
        <f ca="1">IF(OR(T10="",P10="",BV10="",T10&lt;=0,BV10&lt;=0),"",(1/Inputs!$B$9)*((T10^2/8)*((2*ACOS(1-2*BV10/T10))-SIN((2*ACOS(1-2*BV10/T10)))))*((((T10^2/8)*((2*ACOS(1-2*BV10/T10))-SIN((2*ACOS(1-2*BV10/T10)))))/((T10/2)*((2*ACOS(1-2*BV10/T10)))))^(2/3))*SQRT(P10))</f>
        <v>2.3913581975848391E-2</v>
      </c>
      <c r="BX10" s="14">
        <f t="shared" ca="1" si="30"/>
        <v>0.10295312499999999</v>
      </c>
      <c r="BY10" s="14">
        <f t="shared" ca="1" si="31"/>
        <v>0.11028906249999999</v>
      </c>
      <c r="BZ10" s="14">
        <f t="shared" ca="1" si="32"/>
        <v>0.10662109374999999</v>
      </c>
      <c r="CA10" s="14">
        <f ca="1">IF(OR(T10="",P10="",BZ10="",T10&lt;=0,BZ10&lt;=0),"",(1/Inputs!$B$9)*((T10^2/8)*((2*ACOS(1-2*BZ10/T10))-SIN((2*ACOS(1-2*BZ10/T10)))))*((((T10^2/8)*((2*ACOS(1-2*BZ10/T10))-SIN((2*ACOS(1-2*BZ10/T10)))))/((T10/2)*((2*ACOS(1-2*BZ10/T10)))))^(2/3))*SQRT(P10))</f>
        <v>2.2510385674826102E-2</v>
      </c>
      <c r="CB10" s="14">
        <f t="shared" ca="1" si="33"/>
        <v>0.10662109374999999</v>
      </c>
      <c r="CC10" s="14">
        <f t="shared" ca="1" si="34"/>
        <v>0.11028906249999999</v>
      </c>
      <c r="CD10" s="14">
        <f t="shared" ca="1" si="35"/>
        <v>0.10845507812499999</v>
      </c>
      <c r="CE10" s="14">
        <f ca="1">IF(OR(T10="",P10="",CD10="",T10&lt;=0,CD10&lt;=0),"",(1/Inputs!$B$9)*((T10^2/8)*((2*ACOS(1-2*CD10/T10))-SIN((2*ACOS(1-2*CD10/T10)))))*((((T10^2/8)*((2*ACOS(1-2*CD10/T10))-SIN((2*ACOS(1-2*CD10/T10)))))/((T10/2)*((2*ACOS(1-2*CD10/T10)))))^(2/3))*SQRT(P10))</f>
        <v>2.3209130428618788E-2</v>
      </c>
      <c r="CF10" s="14">
        <f t="shared" ca="1" si="36"/>
        <v>0.10662109374999999</v>
      </c>
      <c r="CG10" s="14">
        <f t="shared" ca="1" si="37"/>
        <v>0.10845507812499999</v>
      </c>
      <c r="CH10" s="14">
        <f t="shared" ca="1" si="38"/>
        <v>0.1075380859375</v>
      </c>
    </row>
    <row r="11" spans="1:86" x14ac:dyDescent="0.25">
      <c r="A11" s="14" t="s">
        <v>239</v>
      </c>
      <c r="B11" s="14" t="s">
        <v>171</v>
      </c>
      <c r="C11" s="14" t="s">
        <v>185</v>
      </c>
      <c r="D11" s="14" t="s">
        <v>241</v>
      </c>
      <c r="E11" s="44">
        <v>14.5</v>
      </c>
      <c r="F11" s="44"/>
      <c r="G11" s="44">
        <f>SUMIFS(CB_plan!$G:$G,CB_plan!$F:$F,$A11)</f>
        <v>903</v>
      </c>
      <c r="H11" s="44">
        <f t="shared" si="0"/>
        <v>903</v>
      </c>
      <c r="I11" s="14"/>
      <c r="J11" s="44"/>
      <c r="K11" s="44">
        <f ca="1">IF(A11="","",Inputs!$B$13/((IF(AV11="",Inputs!$B$18,AV11)+Inputs!$B$14)^Inputs!$B$15))</f>
        <v>122.18649478173151</v>
      </c>
      <c r="L11" s="44">
        <f ca="1">IF(A11="","",IF(H11="","",0.000000278*IF(I11&lt;&gt;"",I11,IFERROR(SUMIFS(CB_plan!$H:$H,CB_plan!$F:$F,$A11)/SUMIFS(CB_plan!$G:$G,CB_plan!$F:$F,$A11),Inputs!$B$17))*H11*K11))</f>
        <v>2.9139316304485324E-2</v>
      </c>
      <c r="M11" s="44">
        <f t="shared" ca="1" si="1"/>
        <v>3.8948912446833475E-2</v>
      </c>
      <c r="N11" s="44">
        <f ca="1">IF(A11="","",(L11+M11)*Inputs!$B$16)</f>
        <v>6.8088228751318799E-2</v>
      </c>
      <c r="O11" s="44"/>
      <c r="P11" s="44">
        <f>IF(A11="","",IF(O11="",Inputs!$B$7,O11))</f>
        <v>0.01</v>
      </c>
      <c r="Q11" s="14">
        <f ca="1">IF(A11="","",IF(N11/Inputs!$B$10&lt;=AG11,Inputs!$F$5,IF(N11/Inputs!$B$10&gt;AP11,"OVERSIZE",INDEX(Inputs!$F$5:$F$14,MATCH(N11/Inputs!$B$10,AG11:AP11,1)+1))))</f>
        <v>300</v>
      </c>
      <c r="R11" s="14"/>
      <c r="S11" s="26">
        <f t="shared" ca="1" si="2"/>
        <v>300</v>
      </c>
      <c r="T11" s="44">
        <f t="shared" ca="1" si="3"/>
        <v>0.3</v>
      </c>
      <c r="U11" s="44">
        <f ca="1">IF(T11="","",(1/Inputs!$B$9)*(PI()*T11^2/4)*((T11/4)^(2/3))*SQRT(P11))</f>
        <v>9.6700758533556114E-2</v>
      </c>
      <c r="V11" s="44">
        <f ca="1">IF(OR(U11="",N11=""),"",N11/(U11*Inputs!$B$10))</f>
        <v>0.88014083063903148</v>
      </c>
      <c r="W11" s="44">
        <f t="shared" ca="1" si="4"/>
        <v>0.96325139307947516</v>
      </c>
      <c r="X11" s="44"/>
      <c r="Y11" s="44" t="str">
        <f>IF(A11="","",IF(A11=Inputs!$B$6,Inputs!$B$22,IF(D11="","",IFERROR(INDEX($Z$4:$Z$201,MATCH(D11,$A$4:$A$201,0))+IF(X11="",Inputs!$B$20,X11),""))))</f>
        <v/>
      </c>
      <c r="Z11" s="44" t="str">
        <f t="shared" si="5"/>
        <v/>
      </c>
      <c r="AA11" s="44">
        <f>IF(C11="","",IFERROR(INDEX(Noeuds_plan!$C$4:$C$200,MATCH(C11,Noeuds_plan!$A$4:$A$200,0)),""))</f>
        <v>16.873999999999999</v>
      </c>
      <c r="AB11" s="44">
        <f>IF(B11="","",IFERROR(INDEX(Noeuds_plan!$C$4:$C$200,MATCH(B11,Noeuds_plan!$A$4:$A$200,0)),""))</f>
        <v>16.965</v>
      </c>
      <c r="AC11" s="44" t="str">
        <f t="shared" si="6"/>
        <v/>
      </c>
      <c r="AD11" s="44" t="str">
        <f t="shared" si="7"/>
        <v/>
      </c>
      <c r="AE11" s="14" t="str">
        <f ca="1">IF(A11="","",IF(OR(V11&gt;1,AND(AY11&lt;&gt;"",AY11&lt;Inputs!$B$11),AND(AY11&lt;&gt;"",AY11&gt;Inputs!$B$12),AC11&lt;Inputs!$B$19,AD11&lt;Inputs!$B$19,P11&lt;Inputs!$B$7,P11&gt;Inputs!$B$8),"CHECK","OK"))</f>
        <v>OK</v>
      </c>
      <c r="AF11" s="14" t="s">
        <v>338</v>
      </c>
      <c r="AG11" s="14">
        <f>IF(A11="","",(1/Inputs!$B$9)*(PI()*(Inputs!$F$5/1000)^2/4)*((Inputs!$F$5/1000/4)^(2/3))*SQRT(P11))</f>
        <v>3.279844016565106E-2</v>
      </c>
      <c r="AH11" s="14">
        <f>IF(A11="","",(1/Inputs!$B$9)*(PI()*(Inputs!$F$6/1000)^2/4)*((Inputs!$F$6/1000/4)^(2/3))*SQRT(P11))</f>
        <v>5.946752876281361E-2</v>
      </c>
      <c r="AI11" s="14">
        <f>IF(A11="","",(1/Inputs!$B$9)*(PI()*(Inputs!$F$7/1000)^2/4)*((Inputs!$F$7/1000/4)^(2/3))*SQRT(P11))</f>
        <v>9.6700758533556114E-2</v>
      </c>
      <c r="AJ11" s="14">
        <f>IF(A11="","",(1/Inputs!$B$9)*(PI()*(Inputs!$F$8/1000)^2/4)*((Inputs!$F$8/1000/4)^(2/3))*SQRT(P11))</f>
        <v>0.17533014102001548</v>
      </c>
      <c r="AK11" s="14">
        <f>IF(A11="","",(1/Inputs!$B$9)*(PI()*(Inputs!$F$9/1000)^2/4)*((Inputs!$F$9/1000/4)^(2/3))*SQRT(P11))</f>
        <v>0.28510614083282593</v>
      </c>
      <c r="AL11" s="14">
        <f>IF(A11="","",(1/Inputs!$B$9)*(PI()*(Inputs!$F$10/1000)^2/4)*((Inputs!$F$10/1000/4)^(2/3))*SQRT(P11))</f>
        <v>0.43006227098642119</v>
      </c>
      <c r="AM11" s="14">
        <f>IF(A11="","",(1/Inputs!$B$9)*(PI()*(Inputs!$F$11/1000)^2/4)*((Inputs!$F$11/1000/4)^(2/3))*SQRT(P11))</f>
        <v>0.6140115432891593</v>
      </c>
      <c r="AN11" s="14">
        <f>IF(A11="","",(1/Inputs!$B$9)*(PI()*(Inputs!$F$12/1000)^2/4)*((Inputs!$F$12/1000/4)^(2/3))*SQRT(P11))</f>
        <v>0.84058814815170568</v>
      </c>
      <c r="AO11" s="14">
        <f>IF(A11="","",(1/Inputs!$B$9)*(PI()*(Inputs!$F$13/1000)^2/4)*((Inputs!$F$13/1000/4)^(2/3))*SQRT(P11))</f>
        <v>1.1132770011876214</v>
      </c>
      <c r="AP11" s="14">
        <f>IF(A11="","",(1/Inputs!$B$9)*(PI()*(Inputs!$F$14/1000)^2/4)*((Inputs!$F$14/1000/4)^(2/3))*SQRT(P11))</f>
        <v>1.8103111515224857</v>
      </c>
      <c r="AQ11" s="14">
        <f t="shared" si="8"/>
        <v>1</v>
      </c>
      <c r="AR11" s="14" t="str">
        <f t="shared" si="9"/>
        <v>CONTINUOUS</v>
      </c>
      <c r="AS11" s="17">
        <f>IF(A11="","",IF(J11="",Inputs!$B$18,J11))</f>
        <v>6</v>
      </c>
      <c r="AT11" s="17" t="str">
        <f ca="1">IF(A11="","",IFERROR(_xludf.maxifs($AV$4:$AV$201,$D$4:$D$201,$A11),""))</f>
        <v/>
      </c>
      <c r="AU11" s="17">
        <f>IF(A11="","",IF(OR(E11="",Inputs!$B$23=""),"",E11/(Inputs!$B$23*60)))</f>
        <v>0.24166666666666667</v>
      </c>
      <c r="AV11" s="17">
        <f t="shared" ca="1" si="10"/>
        <v>6.2416666666666663</v>
      </c>
      <c r="AW11" s="17">
        <f t="shared" ca="1" si="11"/>
        <v>0.96325139307947516</v>
      </c>
      <c r="AX11" s="17">
        <f ca="1">IF(OR(T11="",P11=""),"",(1/Inputs!$B$9)*((T11/4)^(2/3))*SQRT(P11))</f>
        <v>1.3680358863423319</v>
      </c>
      <c r="AY11" s="17">
        <f ca="1">IF(A11="","",IF(AND(AW11="",AX11="",BA11=""),"",IF(OR(UPPER(TRIM(Inputs!$B$24))="MANNING",UPPER(TRIM(Inputs!$B$24))="M"),AX11,IF(OR(UPPER(TRIM(Inputs!$B$24))="PARTIAL",UPPER(TRIM(Inputs!$B$24))="P"),BA11,IF(OR(UPPER(TRIM(Inputs!$B$24))="MAX",UPPER(TRIM(Inputs!$B$24))="X"),MAX(IF(AW11="",0,AW11),IF(AX11="",0,AX11),IF(BA11="",0,BA11)),AW11)))))</f>
        <v>1.4764627804906445</v>
      </c>
      <c r="AZ11" s="17">
        <f t="shared" ca="1" si="12"/>
        <v>0.18626601562499995</v>
      </c>
      <c r="BA11" s="17">
        <f t="shared" ca="1" si="13"/>
        <v>1.4764627804906445</v>
      </c>
      <c r="BB11" s="14">
        <f t="shared" ca="1" si="14"/>
        <v>6.8088228751318799E-2</v>
      </c>
      <c r="BC11" s="14">
        <f ca="1">IF(OR(N11="",T11="",P11=""),"",IF(OR(T11="",P11="",(0.94*T11)="",T11&lt;=0,(0.94*T11)&lt;=0),"",(1/Inputs!$B$9)*((T11^2/8)*((2*ACOS(1-2*(0.94*T11)/T11))-SIN((2*ACOS(1-2*(0.94*T11)/T11)))))*((((T11^2/8)*((2*ACOS(1-2*(0.94*T11)/T11))-SIN((2*ACOS(1-2*(0.94*T11)/T11)))))/((T11/2)*((2*ACOS(1-2*(0.94*T11)/T11)))))^(2/3))*SQRT(P11)))</f>
        <v>0.10401901790153308</v>
      </c>
      <c r="BD11" s="14">
        <f t="shared" ca="1" si="15"/>
        <v>2.9999999999999997E-4</v>
      </c>
      <c r="BE11" s="14">
        <f t="shared" ca="1" si="16"/>
        <v>0.28199999999999997</v>
      </c>
      <c r="BF11" s="14">
        <f t="shared" ca="1" si="17"/>
        <v>0.14115</v>
      </c>
      <c r="BG11" s="14">
        <f ca="1">IF(OR(T11="",P11="",BF11="",T11&lt;=0,BF11&lt;=0),"",(1/Inputs!$B$9)*((T11^2/8)*((2*ACOS(1-2*BF11/T11))-SIN((2*ACOS(1-2*BF11/T11)))))*((((T11^2/8)*((2*ACOS(1-2*BF11/T11))-SIN((2*ACOS(1-2*BF11/T11)))))/((T11/2)*((2*ACOS(1-2*BF11/T11)))))^(2/3))*SQRT(P11))</f>
        <v>4.355116037419423E-2</v>
      </c>
      <c r="BH11" s="14">
        <f t="shared" ca="1" si="18"/>
        <v>0.14115</v>
      </c>
      <c r="BI11" s="14">
        <f t="shared" ca="1" si="19"/>
        <v>0.28199999999999997</v>
      </c>
      <c r="BJ11" s="14">
        <f t="shared" ca="1" si="20"/>
        <v>0.21157499999999999</v>
      </c>
      <c r="BK11" s="14">
        <f ca="1">IF(OR(T11="",P11="",BJ11="",T11&lt;=0,BJ11&lt;=0),"",(1/Inputs!$B$9)*((T11^2/8)*((2*ACOS(1-2*BJ11/T11))-SIN((2*ACOS(1-2*BJ11/T11)))))*((((T11^2/8)*((2*ACOS(1-2*BJ11/T11))-SIN((2*ACOS(1-2*BJ11/T11)))))/((T11/2)*((2*ACOS(1-2*BJ11/T11)))))^(2/3))*SQRT(P11))</f>
        <v>8.1751902018161654E-2</v>
      </c>
      <c r="BL11" s="14">
        <f t="shared" ca="1" si="21"/>
        <v>0.14115</v>
      </c>
      <c r="BM11" s="14">
        <f t="shared" ca="1" si="22"/>
        <v>0.21157499999999999</v>
      </c>
      <c r="BN11" s="14">
        <f t="shared" ca="1" si="23"/>
        <v>0.17636249999999998</v>
      </c>
      <c r="BO11" s="14">
        <f ca="1">IF(OR(T11="",P11="",BN11="",T11&lt;=0,BN11&lt;=0),"",(1/Inputs!$B$9)*((T11^2/8)*((2*ACOS(1-2*BN11/T11))-SIN((2*ACOS(1-2*BN11/T11)))))*((((T11^2/8)*((2*ACOS(1-2*BN11/T11))-SIN((2*ACOS(1-2*BN11/T11)))))/((T11/2)*((2*ACOS(1-2*BN11/T11)))))^(2/3))*SQRT(P11))</f>
        <v>6.2954031740391922E-2</v>
      </c>
      <c r="BP11" s="14">
        <f t="shared" ca="1" si="24"/>
        <v>0.17636249999999998</v>
      </c>
      <c r="BQ11" s="14">
        <f t="shared" ca="1" si="25"/>
        <v>0.21157499999999999</v>
      </c>
      <c r="BR11" s="14">
        <f t="shared" ca="1" si="26"/>
        <v>0.19396874999999997</v>
      </c>
      <c r="BS11" s="14">
        <f ca="1">IF(OR(T11="",P11="",BR11="",T11&lt;=0,BR11&lt;=0),"",(1/Inputs!$B$9)*((T11^2/8)*((2*ACOS(1-2*BR11/T11))-SIN((2*ACOS(1-2*BR11/T11)))))*((((T11^2/8)*((2*ACOS(1-2*BR11/T11))-SIN((2*ACOS(1-2*BR11/T11)))))/((T11/2)*((2*ACOS(1-2*BR11/T11)))))^(2/3))*SQRT(P11))</f>
        <v>7.25920923170955E-2</v>
      </c>
      <c r="BT11" s="14">
        <f t="shared" ca="1" si="27"/>
        <v>0.17636249999999998</v>
      </c>
      <c r="BU11" s="14">
        <f t="shared" ca="1" si="28"/>
        <v>0.19396874999999997</v>
      </c>
      <c r="BV11" s="14">
        <f t="shared" ca="1" si="29"/>
        <v>0.18516562499999997</v>
      </c>
      <c r="BW11" s="14">
        <f ca="1">IF(OR(T11="",P11="",BV11="",T11&lt;=0,BV11&lt;=0),"",(1/Inputs!$B$9)*((T11^2/8)*((2*ACOS(1-2*BV11/T11))-SIN((2*ACOS(1-2*BV11/T11)))))*((((T11^2/8)*((2*ACOS(1-2*BV11/T11))-SIN((2*ACOS(1-2*BV11/T11)))))/((T11/2)*((2*ACOS(1-2*BV11/T11)))))^(2/3))*SQRT(P11))</f>
        <v>6.7810932410048749E-2</v>
      </c>
      <c r="BX11" s="14">
        <f t="shared" ca="1" si="30"/>
        <v>0.18516562499999997</v>
      </c>
      <c r="BY11" s="14">
        <f t="shared" ca="1" si="31"/>
        <v>0.19396874999999997</v>
      </c>
      <c r="BZ11" s="14">
        <f t="shared" ca="1" si="32"/>
        <v>0.18956718749999996</v>
      </c>
      <c r="CA11" s="14">
        <f ca="1">IF(OR(T11="",P11="",BZ11="",T11&lt;=0,BZ11&lt;=0),"",(1/Inputs!$B$9)*((T11^2/8)*((2*ACOS(1-2*BZ11/T11))-SIN((2*ACOS(1-2*BZ11/T11)))))*((((T11^2/8)*((2*ACOS(1-2*BZ11/T11))-SIN((2*ACOS(1-2*BZ11/T11)))))/((T11/2)*((2*ACOS(1-2*BZ11/T11)))))^(2/3))*SQRT(P11))</f>
        <v>7.0213609365125301E-2</v>
      </c>
      <c r="CB11" s="14">
        <f t="shared" ca="1" si="33"/>
        <v>0.18516562499999997</v>
      </c>
      <c r="CC11" s="14">
        <f t="shared" ca="1" si="34"/>
        <v>0.18956718749999996</v>
      </c>
      <c r="CD11" s="14">
        <f t="shared" ca="1" si="35"/>
        <v>0.18736640624999995</v>
      </c>
      <c r="CE11" s="14">
        <f ca="1">IF(OR(T11="",P11="",CD11="",T11&lt;=0,CD11&lt;=0),"",(1/Inputs!$B$9)*((T11^2/8)*((2*ACOS(1-2*CD11/T11))-SIN((2*ACOS(1-2*CD11/T11)))))*((((T11^2/8)*((2*ACOS(1-2*CD11/T11))-SIN((2*ACOS(1-2*CD11/T11)))))/((T11/2)*((2*ACOS(1-2*CD11/T11)))))^(2/3))*SQRT(P11))</f>
        <v>6.901496032618902E-2</v>
      </c>
      <c r="CF11" s="14">
        <f t="shared" ca="1" si="36"/>
        <v>0.18516562499999997</v>
      </c>
      <c r="CG11" s="14">
        <f t="shared" ca="1" si="37"/>
        <v>0.18736640624999995</v>
      </c>
      <c r="CH11" s="14">
        <f t="shared" ca="1" si="38"/>
        <v>0.18626601562499995</v>
      </c>
    </row>
    <row r="12" spans="1:86" x14ac:dyDescent="0.25">
      <c r="A12" s="14" t="s">
        <v>241</v>
      </c>
      <c r="B12" s="14" t="s">
        <v>185</v>
      </c>
      <c r="C12" s="14" t="s">
        <v>187</v>
      </c>
      <c r="D12" s="14" t="s">
        <v>189</v>
      </c>
      <c r="E12" s="44">
        <v>11.7</v>
      </c>
      <c r="F12" s="44"/>
      <c r="G12" s="44">
        <f>SUMIFS(CB_plan!$G:$G,CB_plan!$F:$F,$A12)</f>
        <v>497.61</v>
      </c>
      <c r="H12" s="44">
        <f t="shared" si="0"/>
        <v>497.61</v>
      </c>
      <c r="I12" s="14"/>
      <c r="J12" s="44"/>
      <c r="K12" s="44">
        <f ca="1">IF(A12="","",Inputs!$B$13/((IF(AV12="",Inputs!$B$18,AV12)+Inputs!$B$14)^Inputs!$B$15))</f>
        <v>122.58987745242069</v>
      </c>
      <c r="L12" s="44">
        <f ca="1">IF(A12="","",IF(H12="","",0.000000278*IF(I12&lt;&gt;"",I12,IFERROR(SUMIFS(CB_plan!$H:$H,CB_plan!$F:$F,$A12)/SUMIFS(CB_plan!$G:$G,CB_plan!$F:$F,$A12),Inputs!$B$17))*H12*K12))</f>
        <v>5.6750844573236611E-3</v>
      </c>
      <c r="M12" s="44">
        <f t="shared" ca="1" si="1"/>
        <v>6.8088228751318799E-2</v>
      </c>
      <c r="N12" s="44">
        <f ca="1">IF(A12="","",(L12+M12)*Inputs!$B$16)</f>
        <v>7.3763313208642461E-2</v>
      </c>
      <c r="O12" s="44"/>
      <c r="P12" s="44">
        <f>IF(A12="","",IF(O12="",Inputs!$B$7,O12))</f>
        <v>0.01</v>
      </c>
      <c r="Q12" s="14">
        <f ca="1">IF(A12="","",IF(N12/Inputs!$B$10&lt;=AG12,Inputs!$F$5,IF(N12/Inputs!$B$10&gt;AP12,"OVERSIZE",INDEX(Inputs!$F$5:$F$14,MATCH(N12/Inputs!$B$10,AG12:AP12,1)+1))))</f>
        <v>300</v>
      </c>
      <c r="R12" s="14">
        <v>450</v>
      </c>
      <c r="S12" s="26">
        <f t="shared" si="2"/>
        <v>450</v>
      </c>
      <c r="T12" s="44">
        <f t="shared" si="3"/>
        <v>0.45</v>
      </c>
      <c r="U12" s="44">
        <f>IF(T12="","",(1/Inputs!$B$9)*(PI()*T12^2/4)*((T12/4)^(2/3))*SQRT(P12))</f>
        <v>0.28510614083282593</v>
      </c>
      <c r="V12" s="44">
        <f ca="1">IF(OR(U12="",N12=""),"",N12/(U12*Inputs!$B$10))</f>
        <v>0.3234028605678741</v>
      </c>
      <c r="W12" s="44">
        <f t="shared" ca="1" si="4"/>
        <v>0.46379440655767473</v>
      </c>
      <c r="X12" s="44"/>
      <c r="Y12" s="44" t="str">
        <f>IF(A12="","",IF(A12=Inputs!$B$6,Inputs!$B$22,IF(D12="","",IFERROR(INDEX($Z$4:$Z$201,MATCH(D12,$A$4:$A$201,0))+IF(X12="",Inputs!$B$20,X12),""))))</f>
        <v/>
      </c>
      <c r="Z12" s="44" t="str">
        <f t="shared" si="5"/>
        <v/>
      </c>
      <c r="AA12" s="44">
        <f>IF(C12="","",IFERROR(INDEX(Noeuds_plan!$C$4:$C$200,MATCH(C12,Noeuds_plan!$A$4:$A$200,0)),""))</f>
        <v>16.73</v>
      </c>
      <c r="AB12" s="44">
        <f>IF(B12="","",IFERROR(INDEX(Noeuds_plan!$C$4:$C$200,MATCH(B12,Noeuds_plan!$A$4:$A$200,0)),""))</f>
        <v>16.873999999999999</v>
      </c>
      <c r="AC12" s="44" t="str">
        <f t="shared" si="6"/>
        <v/>
      </c>
      <c r="AD12" s="44" t="str">
        <f t="shared" si="7"/>
        <v/>
      </c>
      <c r="AE12" s="14" t="str">
        <f ca="1">IF(A12="","",IF(OR(V12&gt;1,AND(AY12&lt;&gt;"",AY12&lt;Inputs!$B$11),AND(AY12&lt;&gt;"",AY12&gt;Inputs!$B$12),AC12&lt;Inputs!$B$19,AD12&lt;Inputs!$B$19,P12&lt;Inputs!$B$7,P12&gt;Inputs!$B$8),"CHECK","OK"))</f>
        <v>OK</v>
      </c>
      <c r="AF12" s="14" t="s">
        <v>339</v>
      </c>
      <c r="AG12" s="14">
        <f>IF(A12="","",(1/Inputs!$B$9)*(PI()*(Inputs!$F$5/1000)^2/4)*((Inputs!$F$5/1000/4)^(2/3))*SQRT(P12))</f>
        <v>3.279844016565106E-2</v>
      </c>
      <c r="AH12" s="14">
        <f>IF(A12="","",(1/Inputs!$B$9)*(PI()*(Inputs!$F$6/1000)^2/4)*((Inputs!$F$6/1000/4)^(2/3))*SQRT(P12))</f>
        <v>5.946752876281361E-2</v>
      </c>
      <c r="AI12" s="14">
        <f>IF(A12="","",(1/Inputs!$B$9)*(PI()*(Inputs!$F$7/1000)^2/4)*((Inputs!$F$7/1000/4)^(2/3))*SQRT(P12))</f>
        <v>9.6700758533556114E-2</v>
      </c>
      <c r="AJ12" s="14">
        <f>IF(A12="","",(1/Inputs!$B$9)*(PI()*(Inputs!$F$8/1000)^2/4)*((Inputs!$F$8/1000/4)^(2/3))*SQRT(P12))</f>
        <v>0.17533014102001548</v>
      </c>
      <c r="AK12" s="14">
        <f>IF(A12="","",(1/Inputs!$B$9)*(PI()*(Inputs!$F$9/1000)^2/4)*((Inputs!$F$9/1000/4)^(2/3))*SQRT(P12))</f>
        <v>0.28510614083282593</v>
      </c>
      <c r="AL12" s="14">
        <f>IF(A12="","",(1/Inputs!$B$9)*(PI()*(Inputs!$F$10/1000)^2/4)*((Inputs!$F$10/1000/4)^(2/3))*SQRT(P12))</f>
        <v>0.43006227098642119</v>
      </c>
      <c r="AM12" s="14">
        <f>IF(A12="","",(1/Inputs!$B$9)*(PI()*(Inputs!$F$11/1000)^2/4)*((Inputs!$F$11/1000/4)^(2/3))*SQRT(P12))</f>
        <v>0.6140115432891593</v>
      </c>
      <c r="AN12" s="14">
        <f>IF(A12="","",(1/Inputs!$B$9)*(PI()*(Inputs!$F$12/1000)^2/4)*((Inputs!$F$12/1000/4)^(2/3))*SQRT(P12))</f>
        <v>0.84058814815170568</v>
      </c>
      <c r="AO12" s="14">
        <f>IF(A12="","",(1/Inputs!$B$9)*(PI()*(Inputs!$F$13/1000)^2/4)*((Inputs!$F$13/1000/4)^(2/3))*SQRT(P12))</f>
        <v>1.1132770011876214</v>
      </c>
      <c r="AP12" s="14">
        <f>IF(A12="","",(1/Inputs!$B$9)*(PI()*(Inputs!$F$14/1000)^2/4)*((Inputs!$F$14/1000/4)^(2/3))*SQRT(P12))</f>
        <v>1.8103111515224857</v>
      </c>
      <c r="AQ12" s="14">
        <f t="shared" si="8"/>
        <v>1</v>
      </c>
      <c r="AR12" s="14" t="str">
        <f t="shared" si="9"/>
        <v>CONTINUOUS</v>
      </c>
      <c r="AS12" s="17">
        <f>IF(A12="","",IF(J12="",Inputs!$B$18,J12))</f>
        <v>6</v>
      </c>
      <c r="AT12" s="17" t="str">
        <f ca="1">IF(A12="","",IFERROR(_xludf.maxifs($AV$4:$AV$201,$D$4:$D$201,$A12),""))</f>
        <v/>
      </c>
      <c r="AU12" s="17">
        <f>IF(A12="","",IF(OR(E12="",Inputs!$B$23=""),"",E12/(Inputs!$B$23*60)))</f>
        <v>0.19499999999999998</v>
      </c>
      <c r="AV12" s="17">
        <f t="shared" ca="1" si="10"/>
        <v>6.1950000000000003</v>
      </c>
      <c r="AW12" s="17">
        <f t="shared" ca="1" si="11"/>
        <v>0.46379440655767473</v>
      </c>
      <c r="AX12" s="17">
        <f>IF(OR(T12="",P12=""),"",(1/Inputs!$B$9)*((T12/4)^(2/3))*SQRT(P12))</f>
        <v>1.7926341380503032</v>
      </c>
      <c r="AY12" s="17">
        <f ca="1">IF(A12="","",IF(AND(AW12="",AX12="",BA12=""),"",IF(OR(UPPER(TRIM(Inputs!$B$24))="MANNING",UPPER(TRIM(Inputs!$B$24))="M"),AX12,IF(OR(UPPER(TRIM(Inputs!$B$24))="PARTIAL",UPPER(TRIM(Inputs!$B$24))="P"),BA12,IF(OR(UPPER(TRIM(Inputs!$B$24))="MAX",UPPER(TRIM(Inputs!$B$24))="X"),MAX(IF(AW12="",0,AW12),IF(AX12="",0,AX12),IF(BA12="",0,BA12)),AW12)))))</f>
        <v>1.7926341380503032</v>
      </c>
      <c r="AZ12" s="17">
        <f t="shared" ca="1" si="12"/>
        <v>0.15725566406250002</v>
      </c>
      <c r="BA12" s="17">
        <f t="shared" ca="1" si="13"/>
        <v>1.4900572013672819</v>
      </c>
      <c r="BB12" s="14">
        <f t="shared" ca="1" si="14"/>
        <v>7.3763313208642461E-2</v>
      </c>
      <c r="BC12" s="14">
        <f ca="1">IF(OR(N12="",T12="",P12=""),"",IF(OR(T12="",P12="",(0.94*T12)="",T12&lt;=0,(0.94*T12)&lt;=0),"",(1/Inputs!$B$9)*((T12^2/8)*((2*ACOS(1-2*(0.94*T12)/T12))-SIN((2*ACOS(1-2*(0.94*T12)/T12)))))*((((T12^2/8)*((2*ACOS(1-2*(0.94*T12)/T12))-SIN((2*ACOS(1-2*(0.94*T12)/T12)))))/((T12/2)*((2*ACOS(1-2*(0.94*T12)/T12)))))^(2/3))*SQRT(P12)))</f>
        <v>0.30668281424944205</v>
      </c>
      <c r="BD12" s="14">
        <f t="shared" ca="1" si="15"/>
        <v>4.5000000000000004E-4</v>
      </c>
      <c r="BE12" s="14">
        <f t="shared" ca="1" si="16"/>
        <v>0.42299999999999999</v>
      </c>
      <c r="BF12" s="14">
        <f t="shared" ca="1" si="17"/>
        <v>0.211725</v>
      </c>
      <c r="BG12" s="14">
        <f ca="1">IF(OR(T12="",P12="",BF12="",T12&lt;=0,BF12&lt;=0),"",(1/Inputs!$B$9)*((T12^2/8)*((2*ACOS(1-2*BF12/T12))-SIN((2*ACOS(1-2*BF12/T12)))))*((((T12^2/8)*((2*ACOS(1-2*BF12/T12))-SIN((2*ACOS(1-2*BF12/T12)))))/((T12/2)*((2*ACOS(1-2*BF12/T12)))))^(2/3))*SQRT(P12))</f>
        <v>0.12840336985329112</v>
      </c>
      <c r="BH12" s="14">
        <f t="shared" ca="1" si="18"/>
        <v>4.5000000000000004E-4</v>
      </c>
      <c r="BI12" s="14">
        <f t="shared" ca="1" si="19"/>
        <v>0.211725</v>
      </c>
      <c r="BJ12" s="14">
        <f t="shared" ca="1" si="20"/>
        <v>0.1060875</v>
      </c>
      <c r="BK12" s="14">
        <f ca="1">IF(OR(T12="",P12="",BJ12="",T12&lt;=0,BJ12&lt;=0),"",(1/Inputs!$B$9)*((T12^2/8)*((2*ACOS(1-2*BJ12/T12))-SIN((2*ACOS(1-2*BJ12/T12)))))*((((T12^2/8)*((2*ACOS(1-2*BJ12/T12))-SIN((2*ACOS(1-2*BJ12/T12)))))/((T12/2)*((2*ACOS(1-2*BJ12/T12)))))^(2/3))*SQRT(P12))</f>
        <v>3.4751735579068084E-2</v>
      </c>
      <c r="BL12" s="14">
        <f t="shared" ca="1" si="21"/>
        <v>0.1060875</v>
      </c>
      <c r="BM12" s="14">
        <f t="shared" ca="1" si="22"/>
        <v>0.211725</v>
      </c>
      <c r="BN12" s="14">
        <f t="shared" ca="1" si="23"/>
        <v>0.15890625</v>
      </c>
      <c r="BO12" s="14">
        <f ca="1">IF(OR(T12="",P12="",BN12="",T12&lt;=0,BN12&lt;=0),"",(1/Inputs!$B$9)*((T12^2/8)*((2*ACOS(1-2*BN12/T12))-SIN((2*ACOS(1-2*BN12/T12)))))*((((T12^2/8)*((2*ACOS(1-2*BN12/T12))-SIN((2*ACOS(1-2*BN12/T12)))))/((T12/2)*((2*ACOS(1-2*BN12/T12)))))^(2/3))*SQRT(P12))</f>
        <v>7.6231373319604515E-2</v>
      </c>
      <c r="BP12" s="14">
        <f t="shared" ca="1" si="24"/>
        <v>0.1060875</v>
      </c>
      <c r="BQ12" s="14">
        <f t="shared" ca="1" si="25"/>
        <v>0.15890625</v>
      </c>
      <c r="BR12" s="14">
        <f t="shared" ca="1" si="26"/>
        <v>0.13249687500000001</v>
      </c>
      <c r="BS12" s="14">
        <f ca="1">IF(OR(T12="",P12="",BR12="",T12&lt;=0,BR12&lt;=0),"",(1/Inputs!$B$9)*((T12^2/8)*((2*ACOS(1-2*BR12/T12))-SIN((2*ACOS(1-2*BR12/T12)))))*((((T12^2/8)*((2*ACOS(1-2*BR12/T12))-SIN((2*ACOS(1-2*BR12/T12)))))/((T12/2)*((2*ACOS(1-2*BR12/T12)))))^(2/3))*SQRT(P12))</f>
        <v>5.3843147459601275E-2</v>
      </c>
      <c r="BT12" s="14">
        <f t="shared" ca="1" si="27"/>
        <v>0.13249687500000001</v>
      </c>
      <c r="BU12" s="14">
        <f t="shared" ca="1" si="28"/>
        <v>0.15890625</v>
      </c>
      <c r="BV12" s="14">
        <f t="shared" ca="1" si="29"/>
        <v>0.14570156249999999</v>
      </c>
      <c r="BW12" s="14">
        <f ca="1">IF(OR(T12="",P12="",BV12="",T12&lt;=0,BV12&lt;=0),"",(1/Inputs!$B$9)*((T12^2/8)*((2*ACOS(1-2*BV12/T12))-SIN((2*ACOS(1-2*BV12/T12)))))*((((T12^2/8)*((2*ACOS(1-2*BV12/T12))-SIN((2*ACOS(1-2*BV12/T12)))))/((T12/2)*((2*ACOS(1-2*BV12/T12)))))^(2/3))*SQRT(P12))</f>
        <v>6.4661416787221759E-2</v>
      </c>
      <c r="BX12" s="14">
        <f t="shared" ca="1" si="30"/>
        <v>0.14570156249999999</v>
      </c>
      <c r="BY12" s="14">
        <f t="shared" ca="1" si="31"/>
        <v>0.15890625</v>
      </c>
      <c r="BZ12" s="14">
        <f t="shared" ca="1" si="32"/>
        <v>0.15230390625000001</v>
      </c>
      <c r="CA12" s="14">
        <f ca="1">IF(OR(T12="",P12="",BZ12="",T12&lt;=0,BZ12&lt;=0),"",(1/Inputs!$B$9)*((T12^2/8)*((2*ACOS(1-2*BZ12/T12))-SIN((2*ACOS(1-2*BZ12/T12)))))*((((T12^2/8)*((2*ACOS(1-2*BZ12/T12))-SIN((2*ACOS(1-2*BZ12/T12)))))/((T12/2)*((2*ACOS(1-2*BZ12/T12)))))^(2/3))*SQRT(P12))</f>
        <v>7.0357216894053845E-2</v>
      </c>
      <c r="CB12" s="14">
        <f t="shared" ca="1" si="33"/>
        <v>0.15230390625000001</v>
      </c>
      <c r="CC12" s="14">
        <f t="shared" ca="1" si="34"/>
        <v>0.15890625</v>
      </c>
      <c r="CD12" s="14">
        <f t="shared" ca="1" si="35"/>
        <v>0.15560507812500002</v>
      </c>
      <c r="CE12" s="14">
        <f ca="1">IF(OR(T12="",P12="",CD12="",T12&lt;=0,CD12&lt;=0),"",(1/Inputs!$B$9)*((T12^2/8)*((2*ACOS(1-2*CD12/T12))-SIN((2*ACOS(1-2*CD12/T12)))))*((((T12^2/8)*((2*ACOS(1-2*CD12/T12))-SIN((2*ACOS(1-2*CD12/T12)))))/((T12/2)*((2*ACOS(1-2*CD12/T12)))))^(2/3))*SQRT(P12))</f>
        <v>7.327261322549368E-2</v>
      </c>
      <c r="CF12" s="14">
        <f t="shared" ca="1" si="36"/>
        <v>0.15560507812500002</v>
      </c>
      <c r="CG12" s="14">
        <f t="shared" ca="1" si="37"/>
        <v>0.15890625</v>
      </c>
      <c r="CH12" s="14">
        <f t="shared" ca="1" si="38"/>
        <v>0.15725566406250002</v>
      </c>
    </row>
    <row r="13" spans="1:86" x14ac:dyDescent="0.25">
      <c r="A13" s="14"/>
      <c r="B13" s="14"/>
      <c r="C13" s="14"/>
      <c r="D13" s="14"/>
      <c r="E13" s="44"/>
      <c r="F13" s="44"/>
      <c r="G13" s="44">
        <f>SUMIFS(CB_plan!$G:$G,CB_plan!$F:$F,$A13)</f>
        <v>0</v>
      </c>
      <c r="H13" s="44">
        <f t="shared" si="0"/>
        <v>0</v>
      </c>
      <c r="I13" s="14"/>
      <c r="J13" s="44"/>
      <c r="K13" s="44" t="str">
        <f>IF(A13="","",Inputs!$B$13/((IF(AV13="",Inputs!$B$18,AV13)+Inputs!$B$14)^Inputs!$B$15))</f>
        <v/>
      </c>
      <c r="L13" s="44" t="str">
        <f>IF(A13="","",IF(H13="","",0.000000278*IF(I13&lt;&gt;"",I13,IFERROR(SUMIFS(CB_plan!$H:$H,CB_plan!$F:$F,$A13)/SUMIFS(CB_plan!$G:$G,CB_plan!$F:$F,$A13),Inputs!$B$17))*H13*K13))</f>
        <v/>
      </c>
      <c r="M13" s="44" t="str">
        <f t="shared" si="1"/>
        <v/>
      </c>
      <c r="N13" s="44" t="str">
        <f>IF(A13="","",(L13+M13)*Inputs!$B$16)</f>
        <v/>
      </c>
      <c r="O13" s="44"/>
      <c r="P13" s="44" t="str">
        <f>IF(A13="","",IF(O13="",Inputs!$B$7,O13))</f>
        <v/>
      </c>
      <c r="Q13" s="14" t="str">
        <f>IF(A13="","",IF(N13/Inputs!$B$10&lt;=AG13,Inputs!$F$5,IF(N13/Inputs!$B$10&gt;AP13,"OVERSIZE",INDEX(Inputs!$F$5:$F$14,MATCH(N13/Inputs!$B$10,AG13:AP13,1)+1))))</f>
        <v/>
      </c>
      <c r="R13" s="14"/>
      <c r="S13" s="26" t="str">
        <f t="shared" si="2"/>
        <v/>
      </c>
      <c r="T13" s="44" t="str">
        <f t="shared" si="3"/>
        <v/>
      </c>
      <c r="U13" s="44" t="str">
        <f>IF(T13="","",(1/Inputs!$B$9)*(PI()*T13^2/4)*((T13/4)^(2/3))*SQRT(P13))</f>
        <v/>
      </c>
      <c r="V13" s="44" t="str">
        <f>IF(OR(U13="",N13=""),"",N13/(U13*Inputs!$B$10))</f>
        <v/>
      </c>
      <c r="W13" s="44" t="str">
        <f t="shared" si="4"/>
        <v/>
      </c>
      <c r="X13" s="44"/>
      <c r="Y13" s="44" t="str">
        <f>IF(A13="","",IF(A13=Inputs!$B$6,Inputs!$B$22,IF(D13="","",IFERROR(INDEX($Z$4:$Z$201,MATCH(D13,$A$4:$A$201,0))+IF(X13="",Inputs!$B$20,X13),""))))</f>
        <v/>
      </c>
      <c r="Z13" s="44" t="str">
        <f t="shared" si="5"/>
        <v/>
      </c>
      <c r="AA13" s="44" t="str">
        <f>IF(C13="","",IFERROR(INDEX(Noeuds_plan!$C$4:$C$200,MATCH(C13,Noeuds_plan!$A$4:$A$200,0)),""))</f>
        <v/>
      </c>
      <c r="AB13" s="44" t="str">
        <f>IF(B13="","",IFERROR(INDEX(Noeuds_plan!$C$4:$C$200,MATCH(B13,Noeuds_plan!$A$4:$A$200,0)),""))</f>
        <v/>
      </c>
      <c r="AC13" s="44" t="str">
        <f t="shared" si="6"/>
        <v/>
      </c>
      <c r="AD13" s="44" t="str">
        <f t="shared" si="7"/>
        <v/>
      </c>
      <c r="AE13" s="14" t="str">
        <f>IF(A13="","",IF(OR(V13&gt;1,AND(AY13&lt;&gt;"",AY13&lt;Inputs!$B$11),AND(AY13&lt;&gt;"",AY13&gt;Inputs!$B$12),AC13&lt;Inputs!$B$19,AD13&lt;Inputs!$B$19,P13&lt;Inputs!$B$7,P13&gt;Inputs!$B$8),"CHECK","OK"))</f>
        <v/>
      </c>
      <c r="AF13" s="14"/>
      <c r="AG13" s="14" t="str">
        <f>IF(A13="","",(1/Inputs!$B$9)*(PI()*(Inputs!$F$5/1000)^2/4)*((Inputs!$F$5/1000/4)^(2/3))*SQRT(P13))</f>
        <v/>
      </c>
      <c r="AH13" s="14" t="str">
        <f>IF(A13="","",(1/Inputs!$B$9)*(PI()*(Inputs!$F$6/1000)^2/4)*((Inputs!$F$6/1000/4)^(2/3))*SQRT(P13))</f>
        <v/>
      </c>
      <c r="AI13" s="14" t="str">
        <f>IF(A13="","",(1/Inputs!$B$9)*(PI()*(Inputs!$F$7/1000)^2/4)*((Inputs!$F$7/1000/4)^(2/3))*SQRT(P13))</f>
        <v/>
      </c>
      <c r="AJ13" s="14" t="str">
        <f>IF(A13="","",(1/Inputs!$B$9)*(PI()*(Inputs!$F$8/1000)^2/4)*((Inputs!$F$8/1000/4)^(2/3))*SQRT(P13))</f>
        <v/>
      </c>
      <c r="AK13" s="14" t="str">
        <f>IF(A13="","",(1/Inputs!$B$9)*(PI()*(Inputs!$F$9/1000)^2/4)*((Inputs!$F$9/1000/4)^(2/3))*SQRT(P13))</f>
        <v/>
      </c>
      <c r="AL13" s="14" t="str">
        <f>IF(A13="","",(1/Inputs!$B$9)*(PI()*(Inputs!$F$10/1000)^2/4)*((Inputs!$F$10/1000/4)^(2/3))*SQRT(P13))</f>
        <v/>
      </c>
      <c r="AM13" s="14" t="str">
        <f>IF(A13="","",(1/Inputs!$B$9)*(PI()*(Inputs!$F$11/1000)^2/4)*((Inputs!$F$11/1000/4)^(2/3))*SQRT(P13))</f>
        <v/>
      </c>
      <c r="AN13" s="14" t="str">
        <f>IF(A13="","",(1/Inputs!$B$9)*(PI()*(Inputs!$F$12/1000)^2/4)*((Inputs!$F$12/1000/4)^(2/3))*SQRT(P13))</f>
        <v/>
      </c>
      <c r="AO13" s="14" t="str">
        <f>IF(A13="","",(1/Inputs!$B$9)*(PI()*(Inputs!$F$13/1000)^2/4)*((Inputs!$F$13/1000/4)^(2/3))*SQRT(P13))</f>
        <v/>
      </c>
      <c r="AP13" s="14" t="str">
        <f>IF(A13="","",(1/Inputs!$B$9)*(PI()*(Inputs!$F$14/1000)^2/4)*((Inputs!$F$14/1000/4)^(2/3))*SQRT(P13))</f>
        <v/>
      </c>
      <c r="AQ13" s="14" t="str">
        <f t="shared" si="8"/>
        <v/>
      </c>
      <c r="AR13" s="14" t="str">
        <f t="shared" si="9"/>
        <v/>
      </c>
      <c r="AS13" s="17" t="str">
        <f>IF(A13="","",IF(J13="",Inputs!$B$18,J13))</f>
        <v/>
      </c>
      <c r="AT13" s="17" t="str">
        <f>IF(A13="","",IFERROR(_xludf.maxifs($AV$4:$AV$201,$D$4:$D$201,$A13),""))</f>
        <v/>
      </c>
      <c r="AU13" s="17" t="str">
        <f>IF(A13="","",IF(OR(E13="",Inputs!$B$23=""),"",E13/(Inputs!$B$23*60)))</f>
        <v/>
      </c>
      <c r="AV13" s="17" t="str">
        <f t="shared" si="10"/>
        <v/>
      </c>
      <c r="AW13" s="17" t="str">
        <f t="shared" si="11"/>
        <v/>
      </c>
      <c r="AX13" s="17" t="str">
        <f>IF(OR(T13="",P13=""),"",(1/Inputs!$B$9)*((T13/4)^(2/3))*SQRT(P13))</f>
        <v/>
      </c>
      <c r="AY13" s="17" t="str">
        <f>IF(A13="","",IF(AND(AW13="",AX13="",BA13=""),"",IF(OR(UPPER(TRIM(Inputs!$B$24))="MANNING",UPPER(TRIM(Inputs!$B$24))="M"),AX13,IF(OR(UPPER(TRIM(Inputs!$B$24))="PARTIAL",UPPER(TRIM(Inputs!$B$24))="P"),BA13,IF(OR(UPPER(TRIM(Inputs!$B$24))="MAX",UPPER(TRIM(Inputs!$B$24))="X"),MAX(IF(AW13="",0,AW13),IF(AX13="",0,AX13),IF(BA13="",0,BA13)),AW13)))))</f>
        <v/>
      </c>
      <c r="AZ13" s="17" t="str">
        <f t="shared" si="12"/>
        <v/>
      </c>
      <c r="BA13" s="17" t="str">
        <f t="shared" si="13"/>
        <v/>
      </c>
      <c r="BB13" s="14" t="str">
        <f t="shared" si="14"/>
        <v/>
      </c>
      <c r="BC13" s="14" t="str">
        <f>IF(OR(N13="",T13="",P13=""),"",IF(OR(T13="",P13="",(0.94*T13)="",T13&lt;=0,(0.94*T13)&lt;=0),"",(1/Inputs!$B$9)*((T13^2/8)*((2*ACOS(1-2*(0.94*T13)/T13))-SIN((2*ACOS(1-2*(0.94*T13)/T13)))))*((((T13^2/8)*((2*ACOS(1-2*(0.94*T13)/T13))-SIN((2*ACOS(1-2*(0.94*T13)/T13)))))/((T13/2)*((2*ACOS(1-2*(0.94*T13)/T13)))))^(2/3))*SQRT(P13)))</f>
        <v/>
      </c>
      <c r="BD13" s="14" t="str">
        <f t="shared" si="15"/>
        <v/>
      </c>
      <c r="BE13" s="14" t="str">
        <f t="shared" si="16"/>
        <v/>
      </c>
      <c r="BF13" s="14" t="str">
        <f t="shared" si="17"/>
        <v/>
      </c>
      <c r="BG13" s="14" t="str">
        <f>IF(OR(T13="",P13="",BF13="",T13&lt;=0,BF13&lt;=0),"",(1/Inputs!$B$9)*((T13^2/8)*((2*ACOS(1-2*BF13/T13))-SIN((2*ACOS(1-2*BF13/T13)))))*((((T13^2/8)*((2*ACOS(1-2*BF13/T13))-SIN((2*ACOS(1-2*BF13/T13)))))/((T13/2)*((2*ACOS(1-2*BF13/T13)))))^(2/3))*SQRT(P13))</f>
        <v/>
      </c>
      <c r="BH13" s="14" t="str">
        <f t="shared" si="18"/>
        <v/>
      </c>
      <c r="BI13" s="14" t="str">
        <f t="shared" si="19"/>
        <v/>
      </c>
      <c r="BJ13" s="14" t="str">
        <f t="shared" si="20"/>
        <v/>
      </c>
      <c r="BK13" s="14" t="str">
        <f>IF(OR(T13="",P13="",BJ13="",T13&lt;=0,BJ13&lt;=0),"",(1/Inputs!$B$9)*((T13^2/8)*((2*ACOS(1-2*BJ13/T13))-SIN((2*ACOS(1-2*BJ13/T13)))))*((((T13^2/8)*((2*ACOS(1-2*BJ13/T13))-SIN((2*ACOS(1-2*BJ13/T13)))))/((T13/2)*((2*ACOS(1-2*BJ13/T13)))))^(2/3))*SQRT(P13))</f>
        <v/>
      </c>
      <c r="BL13" s="14" t="str">
        <f t="shared" si="21"/>
        <v/>
      </c>
      <c r="BM13" s="14" t="str">
        <f t="shared" si="22"/>
        <v/>
      </c>
      <c r="BN13" s="14" t="str">
        <f t="shared" si="23"/>
        <v/>
      </c>
      <c r="BO13" s="14" t="str">
        <f>IF(OR(T13="",P13="",BN13="",T13&lt;=0,BN13&lt;=0),"",(1/Inputs!$B$9)*((T13^2/8)*((2*ACOS(1-2*BN13/T13))-SIN((2*ACOS(1-2*BN13/T13)))))*((((T13^2/8)*((2*ACOS(1-2*BN13/T13))-SIN((2*ACOS(1-2*BN13/T13)))))/((T13/2)*((2*ACOS(1-2*BN13/T13)))))^(2/3))*SQRT(P13))</f>
        <v/>
      </c>
      <c r="BP13" s="14" t="str">
        <f t="shared" si="24"/>
        <v/>
      </c>
      <c r="BQ13" s="14" t="str">
        <f t="shared" si="25"/>
        <v/>
      </c>
      <c r="BR13" s="14" t="str">
        <f t="shared" si="26"/>
        <v/>
      </c>
      <c r="BS13" s="14" t="str">
        <f>IF(OR(T13="",P13="",BR13="",T13&lt;=0,BR13&lt;=0),"",(1/Inputs!$B$9)*((T13^2/8)*((2*ACOS(1-2*BR13/T13))-SIN((2*ACOS(1-2*BR13/T13)))))*((((T13^2/8)*((2*ACOS(1-2*BR13/T13))-SIN((2*ACOS(1-2*BR13/T13)))))/((T13/2)*((2*ACOS(1-2*BR13/T13)))))^(2/3))*SQRT(P13))</f>
        <v/>
      </c>
      <c r="BT13" s="14" t="str">
        <f t="shared" si="27"/>
        <v/>
      </c>
      <c r="BU13" s="14" t="str">
        <f t="shared" si="28"/>
        <v/>
      </c>
      <c r="BV13" s="14" t="str">
        <f t="shared" si="29"/>
        <v/>
      </c>
      <c r="BW13" s="14" t="str">
        <f>IF(OR(T13="",P13="",BV13="",T13&lt;=0,BV13&lt;=0),"",(1/Inputs!$B$9)*((T13^2/8)*((2*ACOS(1-2*BV13/T13))-SIN((2*ACOS(1-2*BV13/T13)))))*((((T13^2/8)*((2*ACOS(1-2*BV13/T13))-SIN((2*ACOS(1-2*BV13/T13)))))/((T13/2)*((2*ACOS(1-2*BV13/T13)))))^(2/3))*SQRT(P13))</f>
        <v/>
      </c>
      <c r="BX13" s="14" t="str">
        <f t="shared" si="30"/>
        <v/>
      </c>
      <c r="BY13" s="14" t="str">
        <f t="shared" si="31"/>
        <v/>
      </c>
      <c r="BZ13" s="14" t="str">
        <f t="shared" si="32"/>
        <v/>
      </c>
      <c r="CA13" s="14" t="str">
        <f>IF(OR(T13="",P13="",BZ13="",T13&lt;=0,BZ13&lt;=0),"",(1/Inputs!$B$9)*((T13^2/8)*((2*ACOS(1-2*BZ13/T13))-SIN((2*ACOS(1-2*BZ13/T13)))))*((((T13^2/8)*((2*ACOS(1-2*BZ13/T13))-SIN((2*ACOS(1-2*BZ13/T13)))))/((T13/2)*((2*ACOS(1-2*BZ13/T13)))))^(2/3))*SQRT(P13))</f>
        <v/>
      </c>
      <c r="CB13" s="14" t="str">
        <f t="shared" si="33"/>
        <v/>
      </c>
      <c r="CC13" s="14" t="str">
        <f t="shared" si="34"/>
        <v/>
      </c>
      <c r="CD13" s="14" t="str">
        <f t="shared" si="35"/>
        <v/>
      </c>
      <c r="CE13" s="14" t="str">
        <f>IF(OR(T13="",P13="",CD13="",T13&lt;=0,CD13&lt;=0),"",(1/Inputs!$B$9)*((T13^2/8)*((2*ACOS(1-2*CD13/T13))-SIN((2*ACOS(1-2*CD13/T13)))))*((((T13^2/8)*((2*ACOS(1-2*CD13/T13))-SIN((2*ACOS(1-2*CD13/T13)))))/((T13/2)*((2*ACOS(1-2*CD13/T13)))))^(2/3))*SQRT(P13))</f>
        <v/>
      </c>
      <c r="CF13" s="14" t="str">
        <f t="shared" si="36"/>
        <v/>
      </c>
      <c r="CG13" s="14" t="str">
        <f t="shared" si="37"/>
        <v/>
      </c>
      <c r="CH13" s="14" t="str">
        <f t="shared" si="38"/>
        <v/>
      </c>
    </row>
    <row r="14" spans="1:86" x14ac:dyDescent="0.25">
      <c r="A14" s="14"/>
      <c r="B14" s="14"/>
      <c r="C14" s="14"/>
      <c r="D14" s="14"/>
      <c r="E14" s="44"/>
      <c r="F14" s="44"/>
      <c r="G14" s="44">
        <f>SUMIFS(CB_plan!$G:$G,CB_plan!$F:$F,$A14)</f>
        <v>0</v>
      </c>
      <c r="H14" s="44">
        <f t="shared" si="0"/>
        <v>0</v>
      </c>
      <c r="I14" s="14"/>
      <c r="J14" s="44"/>
      <c r="K14" s="44" t="str">
        <f>IF(A14="","",Inputs!$B$13/((IF(AV14="",Inputs!$B$18,AV14)+Inputs!$B$14)^Inputs!$B$15))</f>
        <v/>
      </c>
      <c r="L14" s="44" t="str">
        <f>IF(A14="","",IF(H14="","",0.000000278*IF(I14&lt;&gt;"",I14,IFERROR(SUMIFS(CB_plan!$H:$H,CB_plan!$F:$F,$A14)/SUMIFS(CB_plan!$G:$G,CB_plan!$F:$F,$A14),Inputs!$B$17))*H14*K14))</f>
        <v/>
      </c>
      <c r="M14" s="44" t="str">
        <f t="shared" si="1"/>
        <v/>
      </c>
      <c r="N14" s="44" t="str">
        <f>IF(A14="","",(L14+M14)*Inputs!$B$16)</f>
        <v/>
      </c>
      <c r="O14" s="44"/>
      <c r="P14" s="44" t="str">
        <f>IF(A14="","",IF(O14="",Inputs!$B$7,O14))</f>
        <v/>
      </c>
      <c r="Q14" s="14" t="str">
        <f>IF(A14="","",IF(N14/Inputs!$B$10&lt;=AG14,Inputs!$F$5,IF(N14/Inputs!$B$10&gt;AP14,"OVERSIZE",INDEX(Inputs!$F$5:$F$14,MATCH(N14/Inputs!$B$10,AG14:AP14,1)+1))))</f>
        <v/>
      </c>
      <c r="R14" s="14"/>
      <c r="S14" s="14" t="str">
        <f t="shared" si="2"/>
        <v/>
      </c>
      <c r="T14" s="44" t="str">
        <f t="shared" si="3"/>
        <v/>
      </c>
      <c r="U14" s="44" t="str">
        <f>IF(T14="","",(1/Inputs!$B$9)*(PI()*T14^2/4)*((T14/4)^(2/3))*SQRT(P14))</f>
        <v/>
      </c>
      <c r="V14" s="44" t="str">
        <f>IF(OR(U14="",N14=""),"",N14/(U14*Inputs!$B$10))</f>
        <v/>
      </c>
      <c r="W14" s="44" t="str">
        <f t="shared" si="4"/>
        <v/>
      </c>
      <c r="X14" s="44"/>
      <c r="Y14" s="44" t="str">
        <f>IF(A14="","",IF(A14=Inputs!$B$6,Inputs!$B$22,IF(D14="","",IFERROR(INDEX($Z$4:$Z$201,MATCH(D14,$A$4:$A$201,0))+IF(X14="",Inputs!$B$20,X14),""))))</f>
        <v/>
      </c>
      <c r="Z14" s="44" t="str">
        <f t="shared" si="5"/>
        <v/>
      </c>
      <c r="AA14" s="44" t="str">
        <f>IF(C14="","",IFERROR(INDEX(Noeuds_plan!$C$4:$C$200,MATCH(C14,Noeuds_plan!$A$4:$A$200,0)),""))</f>
        <v/>
      </c>
      <c r="AB14" s="44" t="str">
        <f>IF(B14="","",IFERROR(INDEX(Noeuds_plan!$C$4:$C$200,MATCH(B14,Noeuds_plan!$A$4:$A$200,0)),""))</f>
        <v/>
      </c>
      <c r="AC14" s="44" t="str">
        <f t="shared" si="6"/>
        <v/>
      </c>
      <c r="AD14" s="44" t="str">
        <f t="shared" si="7"/>
        <v/>
      </c>
      <c r="AE14" s="14" t="str">
        <f>IF(A14="","",IF(OR(V14&gt;1,AND(AY14&lt;&gt;"",AY14&lt;Inputs!$B$11),AND(AY14&lt;&gt;"",AY14&gt;Inputs!$B$12),AC14&lt;Inputs!$B$19,AD14&lt;Inputs!$B$19,P14&lt;Inputs!$B$7,P14&gt;Inputs!$B$8),"CHECK","OK"))</f>
        <v/>
      </c>
      <c r="AF14" s="14"/>
      <c r="AG14" s="14" t="str">
        <f>IF(A14="","",(1/Inputs!$B$9)*(PI()*(Inputs!$F$5/1000)^2/4)*((Inputs!$F$5/1000/4)^(2/3))*SQRT(P14))</f>
        <v/>
      </c>
      <c r="AH14" s="14" t="str">
        <f>IF(A14="","",(1/Inputs!$B$9)*(PI()*(Inputs!$F$6/1000)^2/4)*((Inputs!$F$6/1000/4)^(2/3))*SQRT(P14))</f>
        <v/>
      </c>
      <c r="AI14" s="14" t="str">
        <f>IF(A14="","",(1/Inputs!$B$9)*(PI()*(Inputs!$F$7/1000)^2/4)*((Inputs!$F$7/1000/4)^(2/3))*SQRT(P14))</f>
        <v/>
      </c>
      <c r="AJ14" s="14" t="str">
        <f>IF(A14="","",(1/Inputs!$B$9)*(PI()*(Inputs!$F$8/1000)^2/4)*((Inputs!$F$8/1000/4)^(2/3))*SQRT(P14))</f>
        <v/>
      </c>
      <c r="AK14" s="14" t="str">
        <f>IF(A14="","",(1/Inputs!$B$9)*(PI()*(Inputs!$F$9/1000)^2/4)*((Inputs!$F$9/1000/4)^(2/3))*SQRT(P14))</f>
        <v/>
      </c>
      <c r="AL14" s="14" t="str">
        <f>IF(A14="","",(1/Inputs!$B$9)*(PI()*(Inputs!$F$10/1000)^2/4)*((Inputs!$F$10/1000/4)^(2/3))*SQRT(P14))</f>
        <v/>
      </c>
      <c r="AM14" s="14" t="str">
        <f>IF(A14="","",(1/Inputs!$B$9)*(PI()*(Inputs!$F$11/1000)^2/4)*((Inputs!$F$11/1000/4)^(2/3))*SQRT(P14))</f>
        <v/>
      </c>
      <c r="AN14" s="14" t="str">
        <f>IF(A14="","",(1/Inputs!$B$9)*(PI()*(Inputs!$F$12/1000)^2/4)*((Inputs!$F$12/1000/4)^(2/3))*SQRT(P14))</f>
        <v/>
      </c>
      <c r="AO14" s="14" t="str">
        <f>IF(A14="","",(1/Inputs!$B$9)*(PI()*(Inputs!$F$13/1000)^2/4)*((Inputs!$F$13/1000/4)^(2/3))*SQRT(P14))</f>
        <v/>
      </c>
      <c r="AP14" s="14" t="str">
        <f>IF(A14="","",(1/Inputs!$B$9)*(PI()*(Inputs!$F$14/1000)^2/4)*((Inputs!$F$14/1000/4)^(2/3))*SQRT(P14))</f>
        <v/>
      </c>
      <c r="AQ14" s="14" t="str">
        <f t="shared" si="8"/>
        <v/>
      </c>
      <c r="AR14" s="14" t="str">
        <f t="shared" si="9"/>
        <v/>
      </c>
      <c r="AS14" s="17" t="str">
        <f>IF(A14="","",IF(J14="",Inputs!$B$18,J14))</f>
        <v/>
      </c>
      <c r="AT14" s="17" t="str">
        <f>IF(A14="","",IFERROR(_xludf.maxifs($AV$4:$AV$201,$D$4:$D$201,$A14),""))</f>
        <v/>
      </c>
      <c r="AU14" s="17" t="str">
        <f>IF(A14="","",IF(OR(E14="",Inputs!$B$23=""),"",E14/(Inputs!$B$23*60)))</f>
        <v/>
      </c>
      <c r="AV14" s="17" t="str">
        <f t="shared" si="10"/>
        <v/>
      </c>
      <c r="AW14" s="17" t="str">
        <f t="shared" si="11"/>
        <v/>
      </c>
      <c r="AX14" s="17" t="str">
        <f>IF(OR(T14="",P14=""),"",(1/Inputs!$B$9)*((T14/4)^(2/3))*SQRT(P14))</f>
        <v/>
      </c>
      <c r="AY14" s="17" t="str">
        <f>IF(A14="","",IF(AND(AW14="",AX14="",BA14=""),"",IF(OR(UPPER(TRIM(Inputs!$B$24))="MANNING",UPPER(TRIM(Inputs!$B$24))="M"),AX14,IF(OR(UPPER(TRIM(Inputs!$B$24))="PARTIAL",UPPER(TRIM(Inputs!$B$24))="P"),BA14,IF(OR(UPPER(TRIM(Inputs!$B$24))="MAX",UPPER(TRIM(Inputs!$B$24))="X"),MAX(IF(AW14="",0,AW14),IF(AX14="",0,AX14),IF(BA14="",0,BA14)),AW14)))))</f>
        <v/>
      </c>
      <c r="AZ14" s="17" t="str">
        <f t="shared" si="12"/>
        <v/>
      </c>
      <c r="BA14" s="17" t="str">
        <f t="shared" si="13"/>
        <v/>
      </c>
      <c r="BB14" s="14" t="str">
        <f t="shared" si="14"/>
        <v/>
      </c>
      <c r="BC14" s="14" t="str">
        <f>IF(OR(N14="",T14="",P14=""),"",IF(OR(T14="",P14="",(0.94*T14)="",T14&lt;=0,(0.94*T14)&lt;=0),"",(1/Inputs!$B$9)*((T14^2/8)*((2*ACOS(1-2*(0.94*T14)/T14))-SIN((2*ACOS(1-2*(0.94*T14)/T14)))))*((((T14^2/8)*((2*ACOS(1-2*(0.94*T14)/T14))-SIN((2*ACOS(1-2*(0.94*T14)/T14)))))/((T14/2)*((2*ACOS(1-2*(0.94*T14)/T14)))))^(2/3))*SQRT(P14)))</f>
        <v/>
      </c>
      <c r="BD14" s="14" t="str">
        <f t="shared" si="15"/>
        <v/>
      </c>
      <c r="BE14" s="14" t="str">
        <f t="shared" si="16"/>
        <v/>
      </c>
      <c r="BF14" s="14" t="str">
        <f t="shared" si="17"/>
        <v/>
      </c>
      <c r="BG14" s="14" t="str">
        <f>IF(OR(T14="",P14="",BF14="",T14&lt;=0,BF14&lt;=0),"",(1/Inputs!$B$9)*((T14^2/8)*((2*ACOS(1-2*BF14/T14))-SIN((2*ACOS(1-2*BF14/T14)))))*((((T14^2/8)*((2*ACOS(1-2*BF14/T14))-SIN((2*ACOS(1-2*BF14/T14)))))/((T14/2)*((2*ACOS(1-2*BF14/T14)))))^(2/3))*SQRT(P14))</f>
        <v/>
      </c>
      <c r="BH14" s="14" t="str">
        <f t="shared" si="18"/>
        <v/>
      </c>
      <c r="BI14" s="14" t="str">
        <f t="shared" si="19"/>
        <v/>
      </c>
      <c r="BJ14" s="14" t="str">
        <f t="shared" si="20"/>
        <v/>
      </c>
      <c r="BK14" s="14" t="str">
        <f>IF(OR(T14="",P14="",BJ14="",T14&lt;=0,BJ14&lt;=0),"",(1/Inputs!$B$9)*((T14^2/8)*((2*ACOS(1-2*BJ14/T14))-SIN((2*ACOS(1-2*BJ14/T14)))))*((((T14^2/8)*((2*ACOS(1-2*BJ14/T14))-SIN((2*ACOS(1-2*BJ14/T14)))))/((T14/2)*((2*ACOS(1-2*BJ14/T14)))))^(2/3))*SQRT(P14))</f>
        <v/>
      </c>
      <c r="BL14" s="14" t="str">
        <f t="shared" si="21"/>
        <v/>
      </c>
      <c r="BM14" s="14" t="str">
        <f t="shared" si="22"/>
        <v/>
      </c>
      <c r="BN14" s="14" t="str">
        <f t="shared" si="23"/>
        <v/>
      </c>
      <c r="BO14" s="14" t="str">
        <f>IF(OR(T14="",P14="",BN14="",T14&lt;=0,BN14&lt;=0),"",(1/Inputs!$B$9)*((T14^2/8)*((2*ACOS(1-2*BN14/T14))-SIN((2*ACOS(1-2*BN14/T14)))))*((((T14^2/8)*((2*ACOS(1-2*BN14/T14))-SIN((2*ACOS(1-2*BN14/T14)))))/((T14/2)*((2*ACOS(1-2*BN14/T14)))))^(2/3))*SQRT(P14))</f>
        <v/>
      </c>
      <c r="BP14" s="14" t="str">
        <f t="shared" si="24"/>
        <v/>
      </c>
      <c r="BQ14" s="14" t="str">
        <f t="shared" si="25"/>
        <v/>
      </c>
      <c r="BR14" s="14" t="str">
        <f t="shared" si="26"/>
        <v/>
      </c>
      <c r="BS14" s="14" t="str">
        <f>IF(OR(T14="",P14="",BR14="",T14&lt;=0,BR14&lt;=0),"",(1/Inputs!$B$9)*((T14^2/8)*((2*ACOS(1-2*BR14/T14))-SIN((2*ACOS(1-2*BR14/T14)))))*((((T14^2/8)*((2*ACOS(1-2*BR14/T14))-SIN((2*ACOS(1-2*BR14/T14)))))/((T14/2)*((2*ACOS(1-2*BR14/T14)))))^(2/3))*SQRT(P14))</f>
        <v/>
      </c>
      <c r="BT14" s="14" t="str">
        <f t="shared" si="27"/>
        <v/>
      </c>
      <c r="BU14" s="14" t="str">
        <f t="shared" si="28"/>
        <v/>
      </c>
      <c r="BV14" s="14" t="str">
        <f t="shared" si="29"/>
        <v/>
      </c>
      <c r="BW14" s="14" t="str">
        <f>IF(OR(T14="",P14="",BV14="",T14&lt;=0,BV14&lt;=0),"",(1/Inputs!$B$9)*((T14^2/8)*((2*ACOS(1-2*BV14/T14))-SIN((2*ACOS(1-2*BV14/T14)))))*((((T14^2/8)*((2*ACOS(1-2*BV14/T14))-SIN((2*ACOS(1-2*BV14/T14)))))/((T14/2)*((2*ACOS(1-2*BV14/T14)))))^(2/3))*SQRT(P14))</f>
        <v/>
      </c>
      <c r="BX14" s="14" t="str">
        <f t="shared" si="30"/>
        <v/>
      </c>
      <c r="BY14" s="14" t="str">
        <f t="shared" si="31"/>
        <v/>
      </c>
      <c r="BZ14" s="14" t="str">
        <f t="shared" si="32"/>
        <v/>
      </c>
      <c r="CA14" s="14" t="str">
        <f>IF(OR(T14="",P14="",BZ14="",T14&lt;=0,BZ14&lt;=0),"",(1/Inputs!$B$9)*((T14^2/8)*((2*ACOS(1-2*BZ14/T14))-SIN((2*ACOS(1-2*BZ14/T14)))))*((((T14^2/8)*((2*ACOS(1-2*BZ14/T14))-SIN((2*ACOS(1-2*BZ14/T14)))))/((T14/2)*((2*ACOS(1-2*BZ14/T14)))))^(2/3))*SQRT(P14))</f>
        <v/>
      </c>
      <c r="CB14" s="14" t="str">
        <f t="shared" si="33"/>
        <v/>
      </c>
      <c r="CC14" s="14" t="str">
        <f t="shared" si="34"/>
        <v/>
      </c>
      <c r="CD14" s="14" t="str">
        <f t="shared" si="35"/>
        <v/>
      </c>
      <c r="CE14" s="14" t="str">
        <f>IF(OR(T14="",P14="",CD14="",T14&lt;=0,CD14&lt;=0),"",(1/Inputs!$B$9)*((T14^2/8)*((2*ACOS(1-2*CD14/T14))-SIN((2*ACOS(1-2*CD14/T14)))))*((((T14^2/8)*((2*ACOS(1-2*CD14/T14))-SIN((2*ACOS(1-2*CD14/T14)))))/((T14/2)*((2*ACOS(1-2*CD14/T14)))))^(2/3))*SQRT(P14))</f>
        <v/>
      </c>
      <c r="CF14" s="14" t="str">
        <f t="shared" si="36"/>
        <v/>
      </c>
      <c r="CG14" s="14" t="str">
        <f t="shared" si="37"/>
        <v/>
      </c>
      <c r="CH14" s="14" t="str">
        <f t="shared" si="38"/>
        <v/>
      </c>
    </row>
    <row r="15" spans="1:86" x14ac:dyDescent="0.25">
      <c r="A15" s="14"/>
      <c r="B15" s="14"/>
      <c r="C15" s="14"/>
      <c r="D15" s="14"/>
      <c r="E15" s="44"/>
      <c r="F15" s="44"/>
      <c r="G15" s="44">
        <f>SUMIFS(CB_plan!$G:$G,CB_plan!$F:$F,$A15)</f>
        <v>0</v>
      </c>
      <c r="H15" s="44">
        <f t="shared" si="0"/>
        <v>0</v>
      </c>
      <c r="I15" s="14"/>
      <c r="J15" s="44"/>
      <c r="K15" s="44" t="str">
        <f>IF(A15="","",Inputs!$B$13/((IF(AV15="",Inputs!$B$18,AV15)+Inputs!$B$14)^Inputs!$B$15))</f>
        <v/>
      </c>
      <c r="L15" s="44" t="str">
        <f>IF(A15="","",IF(H15="","",0.000000278*IF(I15&lt;&gt;"",I15,IFERROR(SUMIFS(CB_plan!$H:$H,CB_plan!$F:$F,$A15)/SUMIFS(CB_plan!$G:$G,CB_plan!$F:$F,$A15),Inputs!$B$17))*H15*K15))</f>
        <v/>
      </c>
      <c r="M15" s="44" t="str">
        <f t="shared" si="1"/>
        <v/>
      </c>
      <c r="N15" s="44" t="str">
        <f>IF(A15="","",(L15+M15)*Inputs!$B$16)</f>
        <v/>
      </c>
      <c r="O15" s="44"/>
      <c r="P15" s="44" t="str">
        <f>IF(A15="","",IF(O15="",Inputs!$B$7,O15))</f>
        <v/>
      </c>
      <c r="Q15" s="14" t="str">
        <f>IF(A15="","",IF(N15/Inputs!$B$10&lt;=AG15,Inputs!$F$5,IF(N15/Inputs!$B$10&gt;AP15,"OVERSIZE",INDEX(Inputs!$F$5:$F$14,MATCH(N15/Inputs!$B$10,AG15:AP15,1)+1))))</f>
        <v/>
      </c>
      <c r="R15" s="14"/>
      <c r="S15" s="14" t="str">
        <f t="shared" si="2"/>
        <v/>
      </c>
      <c r="T15" s="44" t="str">
        <f t="shared" si="3"/>
        <v/>
      </c>
      <c r="U15" s="44" t="str">
        <f>IF(T15="","",(1/Inputs!$B$9)*(PI()*T15^2/4)*((T15/4)^(2/3))*SQRT(P15))</f>
        <v/>
      </c>
      <c r="V15" s="44" t="str">
        <f>IF(OR(U15="",N15=""),"",N15/(U15*Inputs!$B$10))</f>
        <v/>
      </c>
      <c r="W15" s="44" t="str">
        <f t="shared" si="4"/>
        <v/>
      </c>
      <c r="X15" s="44"/>
      <c r="Y15" s="44" t="str">
        <f>IF(A15="","",IF(A15=Inputs!$B$6,Inputs!$B$22,IF(D15="","",IFERROR(INDEX($Z$4:$Z$201,MATCH(D15,$A$4:$A$201,0))+IF(X15="",Inputs!$B$20,X15),""))))</f>
        <v/>
      </c>
      <c r="Z15" s="44" t="str">
        <f t="shared" si="5"/>
        <v/>
      </c>
      <c r="AA15" s="44" t="str">
        <f>IF(C15="","",IFERROR(INDEX(Noeuds_plan!$C$4:$C$200,MATCH(C15,Noeuds_plan!$A$4:$A$200,0)),""))</f>
        <v/>
      </c>
      <c r="AB15" s="44" t="str">
        <f>IF(B15="","",IFERROR(INDEX(Noeuds_plan!$C$4:$C$200,MATCH(B15,Noeuds_plan!$A$4:$A$200,0)),""))</f>
        <v/>
      </c>
      <c r="AC15" s="44" t="str">
        <f t="shared" si="6"/>
        <v/>
      </c>
      <c r="AD15" s="44" t="str">
        <f t="shared" si="7"/>
        <v/>
      </c>
      <c r="AE15" s="14" t="str">
        <f>IF(A15="","",IF(OR(V15&gt;1,AND(AY15&lt;&gt;"",AY15&lt;Inputs!$B$11),AND(AY15&lt;&gt;"",AY15&gt;Inputs!$B$12),AC15&lt;Inputs!$B$19,AD15&lt;Inputs!$B$19,P15&lt;Inputs!$B$7,P15&gt;Inputs!$B$8),"CHECK","OK"))</f>
        <v/>
      </c>
      <c r="AF15" s="14"/>
      <c r="AG15" s="14" t="str">
        <f>IF(A15="","",(1/Inputs!$B$9)*(PI()*(Inputs!$F$5/1000)^2/4)*((Inputs!$F$5/1000/4)^(2/3))*SQRT(P15))</f>
        <v/>
      </c>
      <c r="AH15" s="14" t="str">
        <f>IF(A15="","",(1/Inputs!$B$9)*(PI()*(Inputs!$F$6/1000)^2/4)*((Inputs!$F$6/1000/4)^(2/3))*SQRT(P15))</f>
        <v/>
      </c>
      <c r="AI15" s="14" t="str">
        <f>IF(A15="","",(1/Inputs!$B$9)*(PI()*(Inputs!$F$7/1000)^2/4)*((Inputs!$F$7/1000/4)^(2/3))*SQRT(P15))</f>
        <v/>
      </c>
      <c r="AJ15" s="14" t="str">
        <f>IF(A15="","",(1/Inputs!$B$9)*(PI()*(Inputs!$F$8/1000)^2/4)*((Inputs!$F$8/1000/4)^(2/3))*SQRT(P15))</f>
        <v/>
      </c>
      <c r="AK15" s="14" t="str">
        <f>IF(A15="","",(1/Inputs!$B$9)*(PI()*(Inputs!$F$9/1000)^2/4)*((Inputs!$F$9/1000/4)^(2/3))*SQRT(P15))</f>
        <v/>
      </c>
      <c r="AL15" s="14" t="str">
        <f>IF(A15="","",(1/Inputs!$B$9)*(PI()*(Inputs!$F$10/1000)^2/4)*((Inputs!$F$10/1000/4)^(2/3))*SQRT(P15))</f>
        <v/>
      </c>
      <c r="AM15" s="14" t="str">
        <f>IF(A15="","",(1/Inputs!$B$9)*(PI()*(Inputs!$F$11/1000)^2/4)*((Inputs!$F$11/1000/4)^(2/3))*SQRT(P15))</f>
        <v/>
      </c>
      <c r="AN15" s="14" t="str">
        <f>IF(A15="","",(1/Inputs!$B$9)*(PI()*(Inputs!$F$12/1000)^2/4)*((Inputs!$F$12/1000/4)^(2/3))*SQRT(P15))</f>
        <v/>
      </c>
      <c r="AO15" s="14" t="str">
        <f>IF(A15="","",(1/Inputs!$B$9)*(PI()*(Inputs!$F$13/1000)^2/4)*((Inputs!$F$13/1000/4)^(2/3))*SQRT(P15))</f>
        <v/>
      </c>
      <c r="AP15" s="14" t="str">
        <f>IF(A15="","",(1/Inputs!$B$9)*(PI()*(Inputs!$F$14/1000)^2/4)*((Inputs!$F$14/1000/4)^(2/3))*SQRT(P15))</f>
        <v/>
      </c>
      <c r="AQ15" s="14" t="str">
        <f t="shared" si="8"/>
        <v/>
      </c>
      <c r="AR15" s="14" t="str">
        <f t="shared" si="9"/>
        <v/>
      </c>
      <c r="AS15" s="17" t="str">
        <f>IF(A15="","",IF(J15="",Inputs!$B$18,J15))</f>
        <v/>
      </c>
      <c r="AT15" s="17" t="str">
        <f>IF(A15="","",IFERROR(_xludf.maxifs($AV$4:$AV$201,$D$4:$D$201,$A15),""))</f>
        <v/>
      </c>
      <c r="AU15" s="17" t="str">
        <f>IF(A15="","",IF(OR(E15="",Inputs!$B$23=""),"",E15/(Inputs!$B$23*60)))</f>
        <v/>
      </c>
      <c r="AV15" s="17" t="str">
        <f t="shared" si="10"/>
        <v/>
      </c>
      <c r="AW15" s="17" t="str">
        <f t="shared" si="11"/>
        <v/>
      </c>
      <c r="AX15" s="17" t="str">
        <f>IF(OR(T15="",P15=""),"",(1/Inputs!$B$9)*((T15/4)^(2/3))*SQRT(P15))</f>
        <v/>
      </c>
      <c r="AY15" s="17" t="str">
        <f>IF(A15="","",IF(AND(AW15="",AX15="",BA15=""),"",IF(OR(UPPER(TRIM(Inputs!$B$24))="MANNING",UPPER(TRIM(Inputs!$B$24))="M"),AX15,IF(OR(UPPER(TRIM(Inputs!$B$24))="PARTIAL",UPPER(TRIM(Inputs!$B$24))="P"),BA15,IF(OR(UPPER(TRIM(Inputs!$B$24))="MAX",UPPER(TRIM(Inputs!$B$24))="X"),MAX(IF(AW15="",0,AW15),IF(AX15="",0,AX15),IF(BA15="",0,BA15)),AW15)))))</f>
        <v/>
      </c>
      <c r="AZ15" s="17" t="str">
        <f t="shared" si="12"/>
        <v/>
      </c>
      <c r="BA15" s="17" t="str">
        <f t="shared" si="13"/>
        <v/>
      </c>
      <c r="BB15" s="14" t="str">
        <f t="shared" si="14"/>
        <v/>
      </c>
      <c r="BC15" s="14" t="str">
        <f>IF(OR(N15="",T15="",P15=""),"",IF(OR(T15="",P15="",(0.94*T15)="",T15&lt;=0,(0.94*T15)&lt;=0),"",(1/Inputs!$B$9)*((T15^2/8)*((2*ACOS(1-2*(0.94*T15)/T15))-SIN((2*ACOS(1-2*(0.94*T15)/T15)))))*((((T15^2/8)*((2*ACOS(1-2*(0.94*T15)/T15))-SIN((2*ACOS(1-2*(0.94*T15)/T15)))))/((T15/2)*((2*ACOS(1-2*(0.94*T15)/T15)))))^(2/3))*SQRT(P15)))</f>
        <v/>
      </c>
      <c r="BD15" s="14" t="str">
        <f t="shared" si="15"/>
        <v/>
      </c>
      <c r="BE15" s="14" t="str">
        <f t="shared" si="16"/>
        <v/>
      </c>
      <c r="BF15" s="14" t="str">
        <f t="shared" si="17"/>
        <v/>
      </c>
      <c r="BG15" s="14" t="str">
        <f>IF(OR(T15="",P15="",BF15="",T15&lt;=0,BF15&lt;=0),"",(1/Inputs!$B$9)*((T15^2/8)*((2*ACOS(1-2*BF15/T15))-SIN((2*ACOS(1-2*BF15/T15)))))*((((T15^2/8)*((2*ACOS(1-2*BF15/T15))-SIN((2*ACOS(1-2*BF15/T15)))))/((T15/2)*((2*ACOS(1-2*BF15/T15)))))^(2/3))*SQRT(P15))</f>
        <v/>
      </c>
      <c r="BH15" s="14" t="str">
        <f t="shared" si="18"/>
        <v/>
      </c>
      <c r="BI15" s="14" t="str">
        <f t="shared" si="19"/>
        <v/>
      </c>
      <c r="BJ15" s="14" t="str">
        <f t="shared" si="20"/>
        <v/>
      </c>
      <c r="BK15" s="14" t="str">
        <f>IF(OR(T15="",P15="",BJ15="",T15&lt;=0,BJ15&lt;=0),"",(1/Inputs!$B$9)*((T15^2/8)*((2*ACOS(1-2*BJ15/T15))-SIN((2*ACOS(1-2*BJ15/T15)))))*((((T15^2/8)*((2*ACOS(1-2*BJ15/T15))-SIN((2*ACOS(1-2*BJ15/T15)))))/((T15/2)*((2*ACOS(1-2*BJ15/T15)))))^(2/3))*SQRT(P15))</f>
        <v/>
      </c>
      <c r="BL15" s="14" t="str">
        <f t="shared" si="21"/>
        <v/>
      </c>
      <c r="BM15" s="14" t="str">
        <f t="shared" si="22"/>
        <v/>
      </c>
      <c r="BN15" s="14" t="str">
        <f t="shared" si="23"/>
        <v/>
      </c>
      <c r="BO15" s="14" t="str">
        <f>IF(OR(T15="",P15="",BN15="",T15&lt;=0,BN15&lt;=0),"",(1/Inputs!$B$9)*((T15^2/8)*((2*ACOS(1-2*BN15/T15))-SIN((2*ACOS(1-2*BN15/T15)))))*((((T15^2/8)*((2*ACOS(1-2*BN15/T15))-SIN((2*ACOS(1-2*BN15/T15)))))/((T15/2)*((2*ACOS(1-2*BN15/T15)))))^(2/3))*SQRT(P15))</f>
        <v/>
      </c>
      <c r="BP15" s="14" t="str">
        <f t="shared" si="24"/>
        <v/>
      </c>
      <c r="BQ15" s="14" t="str">
        <f t="shared" si="25"/>
        <v/>
      </c>
      <c r="BR15" s="14" t="str">
        <f t="shared" si="26"/>
        <v/>
      </c>
      <c r="BS15" s="14" t="str">
        <f>IF(OR(T15="",P15="",BR15="",T15&lt;=0,BR15&lt;=0),"",(1/Inputs!$B$9)*((T15^2/8)*((2*ACOS(1-2*BR15/T15))-SIN((2*ACOS(1-2*BR15/T15)))))*((((T15^2/8)*((2*ACOS(1-2*BR15/T15))-SIN((2*ACOS(1-2*BR15/T15)))))/((T15/2)*((2*ACOS(1-2*BR15/T15)))))^(2/3))*SQRT(P15))</f>
        <v/>
      </c>
      <c r="BT15" s="14" t="str">
        <f t="shared" si="27"/>
        <v/>
      </c>
      <c r="BU15" s="14" t="str">
        <f t="shared" si="28"/>
        <v/>
      </c>
      <c r="BV15" s="14" t="str">
        <f t="shared" si="29"/>
        <v/>
      </c>
      <c r="BW15" s="14" t="str">
        <f>IF(OR(T15="",P15="",BV15="",T15&lt;=0,BV15&lt;=0),"",(1/Inputs!$B$9)*((T15^2/8)*((2*ACOS(1-2*BV15/T15))-SIN((2*ACOS(1-2*BV15/T15)))))*((((T15^2/8)*((2*ACOS(1-2*BV15/T15))-SIN((2*ACOS(1-2*BV15/T15)))))/((T15/2)*((2*ACOS(1-2*BV15/T15)))))^(2/3))*SQRT(P15))</f>
        <v/>
      </c>
      <c r="BX15" s="14" t="str">
        <f t="shared" si="30"/>
        <v/>
      </c>
      <c r="BY15" s="14" t="str">
        <f t="shared" si="31"/>
        <v/>
      </c>
      <c r="BZ15" s="14" t="str">
        <f t="shared" si="32"/>
        <v/>
      </c>
      <c r="CA15" s="14" t="str">
        <f>IF(OR(T15="",P15="",BZ15="",T15&lt;=0,BZ15&lt;=0),"",(1/Inputs!$B$9)*((T15^2/8)*((2*ACOS(1-2*BZ15/T15))-SIN((2*ACOS(1-2*BZ15/T15)))))*((((T15^2/8)*((2*ACOS(1-2*BZ15/T15))-SIN((2*ACOS(1-2*BZ15/T15)))))/((T15/2)*((2*ACOS(1-2*BZ15/T15)))))^(2/3))*SQRT(P15))</f>
        <v/>
      </c>
      <c r="CB15" s="14" t="str">
        <f t="shared" si="33"/>
        <v/>
      </c>
      <c r="CC15" s="14" t="str">
        <f t="shared" si="34"/>
        <v/>
      </c>
      <c r="CD15" s="14" t="str">
        <f t="shared" si="35"/>
        <v/>
      </c>
      <c r="CE15" s="14" t="str">
        <f>IF(OR(T15="",P15="",CD15="",T15&lt;=0,CD15&lt;=0),"",(1/Inputs!$B$9)*((T15^2/8)*((2*ACOS(1-2*CD15/T15))-SIN((2*ACOS(1-2*CD15/T15)))))*((((T15^2/8)*((2*ACOS(1-2*CD15/T15))-SIN((2*ACOS(1-2*CD15/T15)))))/((T15/2)*((2*ACOS(1-2*CD15/T15)))))^(2/3))*SQRT(P15))</f>
        <v/>
      </c>
      <c r="CF15" s="14" t="str">
        <f t="shared" si="36"/>
        <v/>
      </c>
      <c r="CG15" s="14" t="str">
        <f t="shared" si="37"/>
        <v/>
      </c>
      <c r="CH15" s="14" t="str">
        <f t="shared" si="38"/>
        <v/>
      </c>
    </row>
    <row r="16" spans="1:86" x14ac:dyDescent="0.25">
      <c r="A16" s="14"/>
      <c r="B16" s="14"/>
      <c r="C16" s="14"/>
      <c r="D16" s="14"/>
      <c r="E16" s="44"/>
      <c r="F16" s="44"/>
      <c r="G16" s="44">
        <f>SUMIFS(CB_plan!$G:$G,CB_plan!$F:$F,$A16)</f>
        <v>0</v>
      </c>
      <c r="H16" s="44">
        <f t="shared" si="0"/>
        <v>0</v>
      </c>
      <c r="I16" s="14"/>
      <c r="J16" s="44"/>
      <c r="K16" s="44" t="str">
        <f>IF(A16="","",Inputs!$B$13/((IF(AV16="",Inputs!$B$18,AV16)+Inputs!$B$14)^Inputs!$B$15))</f>
        <v/>
      </c>
      <c r="L16" s="44" t="str">
        <f>IF(A16="","",IF(H16="","",0.000000278*IF(I16&lt;&gt;"",I16,IFERROR(SUMIFS(CB_plan!$H:$H,CB_plan!$F:$F,$A16)/SUMIFS(CB_plan!$G:$G,CB_plan!$F:$F,$A16),Inputs!$B$17))*H16*K16))</f>
        <v/>
      </c>
      <c r="M16" s="44" t="str">
        <f t="shared" si="1"/>
        <v/>
      </c>
      <c r="N16" s="44" t="str">
        <f>IF(A16="","",(L16+M16)*Inputs!$B$16)</f>
        <v/>
      </c>
      <c r="O16" s="44"/>
      <c r="P16" s="44" t="str">
        <f>IF(A16="","",IF(O16="",Inputs!$B$7,O16))</f>
        <v/>
      </c>
      <c r="Q16" s="14" t="str">
        <f>IF(A16="","",IF(N16/Inputs!$B$10&lt;=AG16,Inputs!$F$5,IF(N16/Inputs!$B$10&gt;AP16,"OVERSIZE",INDEX(Inputs!$F$5:$F$14,MATCH(N16/Inputs!$B$10,AG16:AP16,1)+1))))</f>
        <v/>
      </c>
      <c r="R16" s="14"/>
      <c r="S16" s="14" t="str">
        <f t="shared" si="2"/>
        <v/>
      </c>
      <c r="T16" s="44" t="str">
        <f t="shared" si="3"/>
        <v/>
      </c>
      <c r="U16" s="44" t="str">
        <f>IF(T16="","",(1/Inputs!$B$9)*(PI()*T16^2/4)*((T16/4)^(2/3))*SQRT(P16))</f>
        <v/>
      </c>
      <c r="V16" s="44" t="str">
        <f>IF(OR(U16="",N16=""),"",N16/(U16*Inputs!$B$10))</f>
        <v/>
      </c>
      <c r="W16" s="44" t="str">
        <f t="shared" si="4"/>
        <v/>
      </c>
      <c r="X16" s="44"/>
      <c r="Y16" s="44" t="str">
        <f>IF(A16="","",IF(A16=Inputs!$B$6,Inputs!$B$22,IF(D16="","",IFERROR(INDEX($Z$4:$Z$201,MATCH(D16,$A$4:$A$201,0))+IF(X16="",Inputs!$B$20,X16),""))))</f>
        <v/>
      </c>
      <c r="Z16" s="44" t="str">
        <f t="shared" si="5"/>
        <v/>
      </c>
      <c r="AA16" s="44" t="str">
        <f>IF(C16="","",IFERROR(INDEX(Noeuds_plan!$C$4:$C$200,MATCH(C16,Noeuds_plan!$A$4:$A$200,0)),""))</f>
        <v/>
      </c>
      <c r="AB16" s="44" t="str">
        <f>IF(B16="","",IFERROR(INDEX(Noeuds_plan!$C$4:$C$200,MATCH(B16,Noeuds_plan!$A$4:$A$200,0)),""))</f>
        <v/>
      </c>
      <c r="AC16" s="44" t="str">
        <f t="shared" si="6"/>
        <v/>
      </c>
      <c r="AD16" s="44" t="str">
        <f t="shared" si="7"/>
        <v/>
      </c>
      <c r="AE16" s="14" t="str">
        <f>IF(A16="","",IF(OR(V16&gt;1,AND(AY16&lt;&gt;"",AY16&lt;Inputs!$B$11),AND(AY16&lt;&gt;"",AY16&gt;Inputs!$B$12),AC16&lt;Inputs!$B$19,AD16&lt;Inputs!$B$19,P16&lt;Inputs!$B$7,P16&gt;Inputs!$B$8),"CHECK","OK"))</f>
        <v/>
      </c>
      <c r="AF16" s="14"/>
      <c r="AG16" s="14" t="str">
        <f>IF(A16="","",(1/Inputs!$B$9)*(PI()*(Inputs!$F$5/1000)^2/4)*((Inputs!$F$5/1000/4)^(2/3))*SQRT(P16))</f>
        <v/>
      </c>
      <c r="AH16" s="14" t="str">
        <f>IF(A16="","",(1/Inputs!$B$9)*(PI()*(Inputs!$F$6/1000)^2/4)*((Inputs!$F$6/1000/4)^(2/3))*SQRT(P16))</f>
        <v/>
      </c>
      <c r="AI16" s="14" t="str">
        <f>IF(A16="","",(1/Inputs!$B$9)*(PI()*(Inputs!$F$7/1000)^2/4)*((Inputs!$F$7/1000/4)^(2/3))*SQRT(P16))</f>
        <v/>
      </c>
      <c r="AJ16" s="14" t="str">
        <f>IF(A16="","",(1/Inputs!$B$9)*(PI()*(Inputs!$F$8/1000)^2/4)*((Inputs!$F$8/1000/4)^(2/3))*SQRT(P16))</f>
        <v/>
      </c>
      <c r="AK16" s="14" t="str">
        <f>IF(A16="","",(1/Inputs!$B$9)*(PI()*(Inputs!$F$9/1000)^2/4)*((Inputs!$F$9/1000/4)^(2/3))*SQRT(P16))</f>
        <v/>
      </c>
      <c r="AL16" s="14" t="str">
        <f>IF(A16="","",(1/Inputs!$B$9)*(PI()*(Inputs!$F$10/1000)^2/4)*((Inputs!$F$10/1000/4)^(2/3))*SQRT(P16))</f>
        <v/>
      </c>
      <c r="AM16" s="14" t="str">
        <f>IF(A16="","",(1/Inputs!$B$9)*(PI()*(Inputs!$F$11/1000)^2/4)*((Inputs!$F$11/1000/4)^(2/3))*SQRT(P16))</f>
        <v/>
      </c>
      <c r="AN16" s="14" t="str">
        <f>IF(A16="","",(1/Inputs!$B$9)*(PI()*(Inputs!$F$12/1000)^2/4)*((Inputs!$F$12/1000/4)^(2/3))*SQRT(P16))</f>
        <v/>
      </c>
      <c r="AO16" s="14" t="str">
        <f>IF(A16="","",(1/Inputs!$B$9)*(PI()*(Inputs!$F$13/1000)^2/4)*((Inputs!$F$13/1000/4)^(2/3))*SQRT(P16))</f>
        <v/>
      </c>
      <c r="AP16" s="14" t="str">
        <f>IF(A16="","",(1/Inputs!$B$9)*(PI()*(Inputs!$F$14/1000)^2/4)*((Inputs!$F$14/1000/4)^(2/3))*SQRT(P16))</f>
        <v/>
      </c>
      <c r="AQ16" s="14" t="str">
        <f t="shared" si="8"/>
        <v/>
      </c>
      <c r="AR16" s="14" t="str">
        <f t="shared" si="9"/>
        <v/>
      </c>
      <c r="AS16" s="17" t="str">
        <f>IF(A16="","",IF(J16="",Inputs!$B$18,J16))</f>
        <v/>
      </c>
      <c r="AT16" s="17" t="str">
        <f>IF(A16="","",IFERROR(_xludf.maxifs($AV$4:$AV$201,$D$4:$D$201,$A16),""))</f>
        <v/>
      </c>
      <c r="AU16" s="17" t="str">
        <f>IF(A16="","",IF(OR(E16="",Inputs!$B$23=""),"",E16/(Inputs!$B$23*60)))</f>
        <v/>
      </c>
      <c r="AV16" s="17" t="str">
        <f t="shared" si="10"/>
        <v/>
      </c>
      <c r="AW16" s="17" t="str">
        <f t="shared" si="11"/>
        <v/>
      </c>
      <c r="AX16" s="17" t="str">
        <f>IF(OR(T16="",P16=""),"",(1/Inputs!$B$9)*((T16/4)^(2/3))*SQRT(P16))</f>
        <v/>
      </c>
      <c r="AY16" s="17" t="str">
        <f>IF(A16="","",IF(AND(AW16="",AX16="",BA16=""),"",IF(OR(UPPER(TRIM(Inputs!$B$24))="MANNING",UPPER(TRIM(Inputs!$B$24))="M"),AX16,IF(OR(UPPER(TRIM(Inputs!$B$24))="PARTIAL",UPPER(TRIM(Inputs!$B$24))="P"),BA16,IF(OR(UPPER(TRIM(Inputs!$B$24))="MAX",UPPER(TRIM(Inputs!$B$24))="X"),MAX(IF(AW16="",0,AW16),IF(AX16="",0,AX16),IF(BA16="",0,BA16)),AW16)))))</f>
        <v/>
      </c>
      <c r="AZ16" s="17" t="str">
        <f t="shared" si="12"/>
        <v/>
      </c>
      <c r="BA16" s="17" t="str">
        <f t="shared" si="13"/>
        <v/>
      </c>
      <c r="BB16" s="14" t="str">
        <f t="shared" si="14"/>
        <v/>
      </c>
      <c r="BC16" s="14" t="str">
        <f>IF(OR(N16="",T16="",P16=""),"",IF(OR(T16="",P16="",(0.94*T16)="",T16&lt;=0,(0.94*T16)&lt;=0),"",(1/Inputs!$B$9)*((T16^2/8)*((2*ACOS(1-2*(0.94*T16)/T16))-SIN((2*ACOS(1-2*(0.94*T16)/T16)))))*((((T16^2/8)*((2*ACOS(1-2*(0.94*T16)/T16))-SIN((2*ACOS(1-2*(0.94*T16)/T16)))))/((T16/2)*((2*ACOS(1-2*(0.94*T16)/T16)))))^(2/3))*SQRT(P16)))</f>
        <v/>
      </c>
      <c r="BD16" s="14" t="str">
        <f t="shared" si="15"/>
        <v/>
      </c>
      <c r="BE16" s="14" t="str">
        <f t="shared" si="16"/>
        <v/>
      </c>
      <c r="BF16" s="14" t="str">
        <f t="shared" si="17"/>
        <v/>
      </c>
      <c r="BG16" s="14" t="str">
        <f>IF(OR(T16="",P16="",BF16="",T16&lt;=0,BF16&lt;=0),"",(1/Inputs!$B$9)*((T16^2/8)*((2*ACOS(1-2*BF16/T16))-SIN((2*ACOS(1-2*BF16/T16)))))*((((T16^2/8)*((2*ACOS(1-2*BF16/T16))-SIN((2*ACOS(1-2*BF16/T16)))))/((T16/2)*((2*ACOS(1-2*BF16/T16)))))^(2/3))*SQRT(P16))</f>
        <v/>
      </c>
      <c r="BH16" s="14" t="str">
        <f t="shared" si="18"/>
        <v/>
      </c>
      <c r="BI16" s="14" t="str">
        <f t="shared" si="19"/>
        <v/>
      </c>
      <c r="BJ16" s="14" t="str">
        <f t="shared" si="20"/>
        <v/>
      </c>
      <c r="BK16" s="14" t="str">
        <f>IF(OR(T16="",P16="",BJ16="",T16&lt;=0,BJ16&lt;=0),"",(1/Inputs!$B$9)*((T16^2/8)*((2*ACOS(1-2*BJ16/T16))-SIN((2*ACOS(1-2*BJ16/T16)))))*((((T16^2/8)*((2*ACOS(1-2*BJ16/T16))-SIN((2*ACOS(1-2*BJ16/T16)))))/((T16/2)*((2*ACOS(1-2*BJ16/T16)))))^(2/3))*SQRT(P16))</f>
        <v/>
      </c>
      <c r="BL16" s="14" t="str">
        <f t="shared" si="21"/>
        <v/>
      </c>
      <c r="BM16" s="14" t="str">
        <f t="shared" si="22"/>
        <v/>
      </c>
      <c r="BN16" s="14" t="str">
        <f t="shared" si="23"/>
        <v/>
      </c>
      <c r="BO16" s="14" t="str">
        <f>IF(OR(T16="",P16="",BN16="",T16&lt;=0,BN16&lt;=0),"",(1/Inputs!$B$9)*((T16^2/8)*((2*ACOS(1-2*BN16/T16))-SIN((2*ACOS(1-2*BN16/T16)))))*((((T16^2/8)*((2*ACOS(1-2*BN16/T16))-SIN((2*ACOS(1-2*BN16/T16)))))/((T16/2)*((2*ACOS(1-2*BN16/T16)))))^(2/3))*SQRT(P16))</f>
        <v/>
      </c>
      <c r="BP16" s="14" t="str">
        <f t="shared" si="24"/>
        <v/>
      </c>
      <c r="BQ16" s="14" t="str">
        <f t="shared" si="25"/>
        <v/>
      </c>
      <c r="BR16" s="14" t="str">
        <f t="shared" si="26"/>
        <v/>
      </c>
      <c r="BS16" s="14" t="str">
        <f>IF(OR(T16="",P16="",BR16="",T16&lt;=0,BR16&lt;=0),"",(1/Inputs!$B$9)*((T16^2/8)*((2*ACOS(1-2*BR16/T16))-SIN((2*ACOS(1-2*BR16/T16)))))*((((T16^2/8)*((2*ACOS(1-2*BR16/T16))-SIN((2*ACOS(1-2*BR16/T16)))))/((T16/2)*((2*ACOS(1-2*BR16/T16)))))^(2/3))*SQRT(P16))</f>
        <v/>
      </c>
      <c r="BT16" s="14" t="str">
        <f t="shared" si="27"/>
        <v/>
      </c>
      <c r="BU16" s="14" t="str">
        <f t="shared" si="28"/>
        <v/>
      </c>
      <c r="BV16" s="14" t="str">
        <f t="shared" si="29"/>
        <v/>
      </c>
      <c r="BW16" s="14" t="str">
        <f>IF(OR(T16="",P16="",BV16="",T16&lt;=0,BV16&lt;=0),"",(1/Inputs!$B$9)*((T16^2/8)*((2*ACOS(1-2*BV16/T16))-SIN((2*ACOS(1-2*BV16/T16)))))*((((T16^2/8)*((2*ACOS(1-2*BV16/T16))-SIN((2*ACOS(1-2*BV16/T16)))))/((T16/2)*((2*ACOS(1-2*BV16/T16)))))^(2/3))*SQRT(P16))</f>
        <v/>
      </c>
      <c r="BX16" s="14" t="str">
        <f t="shared" si="30"/>
        <v/>
      </c>
      <c r="BY16" s="14" t="str">
        <f t="shared" si="31"/>
        <v/>
      </c>
      <c r="BZ16" s="14" t="str">
        <f t="shared" si="32"/>
        <v/>
      </c>
      <c r="CA16" s="14" t="str">
        <f>IF(OR(T16="",P16="",BZ16="",T16&lt;=0,BZ16&lt;=0),"",(1/Inputs!$B$9)*((T16^2/8)*((2*ACOS(1-2*BZ16/T16))-SIN((2*ACOS(1-2*BZ16/T16)))))*((((T16^2/8)*((2*ACOS(1-2*BZ16/T16))-SIN((2*ACOS(1-2*BZ16/T16)))))/((T16/2)*((2*ACOS(1-2*BZ16/T16)))))^(2/3))*SQRT(P16))</f>
        <v/>
      </c>
      <c r="CB16" s="14" t="str">
        <f t="shared" si="33"/>
        <v/>
      </c>
      <c r="CC16" s="14" t="str">
        <f t="shared" si="34"/>
        <v/>
      </c>
      <c r="CD16" s="14" t="str">
        <f t="shared" si="35"/>
        <v/>
      </c>
      <c r="CE16" s="14" t="str">
        <f>IF(OR(T16="",P16="",CD16="",T16&lt;=0,CD16&lt;=0),"",(1/Inputs!$B$9)*((T16^2/8)*((2*ACOS(1-2*CD16/T16))-SIN((2*ACOS(1-2*CD16/T16)))))*((((T16^2/8)*((2*ACOS(1-2*CD16/T16))-SIN((2*ACOS(1-2*CD16/T16)))))/((T16/2)*((2*ACOS(1-2*CD16/T16)))))^(2/3))*SQRT(P16))</f>
        <v/>
      </c>
      <c r="CF16" s="14" t="str">
        <f t="shared" si="36"/>
        <v/>
      </c>
      <c r="CG16" s="14" t="str">
        <f t="shared" si="37"/>
        <v/>
      </c>
      <c r="CH16" s="14" t="str">
        <f t="shared" si="38"/>
        <v/>
      </c>
    </row>
    <row r="17" spans="1:86" x14ac:dyDescent="0.25">
      <c r="A17" s="14"/>
      <c r="B17" s="14"/>
      <c r="C17" s="14"/>
      <c r="D17" s="14"/>
      <c r="E17" s="44"/>
      <c r="F17" s="44"/>
      <c r="G17" s="44">
        <f>SUMIFS(CB_plan!$G:$G,CB_plan!$F:$F,$A17)</f>
        <v>0</v>
      </c>
      <c r="H17" s="44">
        <f t="shared" si="0"/>
        <v>0</v>
      </c>
      <c r="I17" s="14"/>
      <c r="J17" s="44"/>
      <c r="K17" s="44" t="str">
        <f>IF(A17="","",Inputs!$B$13/((IF(AV17="",Inputs!$B$18,AV17)+Inputs!$B$14)^Inputs!$B$15))</f>
        <v/>
      </c>
      <c r="L17" s="44" t="str">
        <f>IF(A17="","",IF(H17="","",0.000000278*IF(I17&lt;&gt;"",I17,IFERROR(SUMIFS(CB_plan!$H:$H,CB_plan!$F:$F,$A17)/SUMIFS(CB_plan!$G:$G,CB_plan!$F:$F,$A17),Inputs!$B$17))*H17*K17))</f>
        <v/>
      </c>
      <c r="M17" s="44" t="str">
        <f t="shared" si="1"/>
        <v/>
      </c>
      <c r="N17" s="44" t="str">
        <f>IF(A17="","",(L17+M17)*Inputs!$B$16)</f>
        <v/>
      </c>
      <c r="O17" s="44"/>
      <c r="P17" s="44" t="str">
        <f>IF(A17="","",IF(O17="",Inputs!$B$7,O17))</f>
        <v/>
      </c>
      <c r="Q17" s="14" t="str">
        <f>IF(A17="","",IF(N17/Inputs!$B$10&lt;=AG17,Inputs!$F$5,IF(N17/Inputs!$B$10&gt;AP17,"OVERSIZE",INDEX(Inputs!$F$5:$F$14,MATCH(N17/Inputs!$B$10,AG17:AP17,1)+1))))</f>
        <v/>
      </c>
      <c r="R17" s="14"/>
      <c r="S17" s="14" t="str">
        <f t="shared" si="2"/>
        <v/>
      </c>
      <c r="T17" s="44" t="str">
        <f t="shared" si="3"/>
        <v/>
      </c>
      <c r="U17" s="44" t="str">
        <f>IF(T17="","",(1/Inputs!$B$9)*(PI()*T17^2/4)*((T17/4)^(2/3))*SQRT(P17))</f>
        <v/>
      </c>
      <c r="V17" s="44" t="str">
        <f>IF(OR(U17="",N17=""),"",N17/(U17*Inputs!$B$10))</f>
        <v/>
      </c>
      <c r="W17" s="44" t="str">
        <f t="shared" si="4"/>
        <v/>
      </c>
      <c r="X17" s="44"/>
      <c r="Y17" s="44" t="str">
        <f>IF(A17="","",IF(A17=Inputs!$B$6,Inputs!$B$22,IF(D17="","",IFERROR(INDEX($Z$4:$Z$201,MATCH(D17,$A$4:$A$201,0))+IF(X17="",Inputs!$B$20,X17),""))))</f>
        <v/>
      </c>
      <c r="Z17" s="44" t="str">
        <f t="shared" si="5"/>
        <v/>
      </c>
      <c r="AA17" s="44" t="str">
        <f>IF(C17="","",IFERROR(INDEX(Noeuds_plan!$C$4:$C$200,MATCH(C17,Noeuds_plan!$A$4:$A$200,0)),""))</f>
        <v/>
      </c>
      <c r="AB17" s="44" t="str">
        <f>IF(B17="","",IFERROR(INDEX(Noeuds_plan!$C$4:$C$200,MATCH(B17,Noeuds_plan!$A$4:$A$200,0)),""))</f>
        <v/>
      </c>
      <c r="AC17" s="44" t="str">
        <f t="shared" si="6"/>
        <v/>
      </c>
      <c r="AD17" s="44" t="str">
        <f t="shared" si="7"/>
        <v/>
      </c>
      <c r="AE17" s="14" t="str">
        <f>IF(A17="","",IF(OR(V17&gt;1,AND(AY17&lt;&gt;"",AY17&lt;Inputs!$B$11),AND(AY17&lt;&gt;"",AY17&gt;Inputs!$B$12),AC17&lt;Inputs!$B$19,AD17&lt;Inputs!$B$19,P17&lt;Inputs!$B$7,P17&gt;Inputs!$B$8),"CHECK","OK"))</f>
        <v/>
      </c>
      <c r="AF17" s="14"/>
      <c r="AG17" s="14" t="str">
        <f>IF(A17="","",(1/Inputs!$B$9)*(PI()*(Inputs!$F$5/1000)^2/4)*((Inputs!$F$5/1000/4)^(2/3))*SQRT(P17))</f>
        <v/>
      </c>
      <c r="AH17" s="14" t="str">
        <f>IF(A17="","",(1/Inputs!$B$9)*(PI()*(Inputs!$F$6/1000)^2/4)*((Inputs!$F$6/1000/4)^(2/3))*SQRT(P17))</f>
        <v/>
      </c>
      <c r="AI17" s="14" t="str">
        <f>IF(A17="","",(1/Inputs!$B$9)*(PI()*(Inputs!$F$7/1000)^2/4)*((Inputs!$F$7/1000/4)^(2/3))*SQRT(P17))</f>
        <v/>
      </c>
      <c r="AJ17" s="14" t="str">
        <f>IF(A17="","",(1/Inputs!$B$9)*(PI()*(Inputs!$F$8/1000)^2/4)*((Inputs!$F$8/1000/4)^(2/3))*SQRT(P17))</f>
        <v/>
      </c>
      <c r="AK17" s="14" t="str">
        <f>IF(A17="","",(1/Inputs!$B$9)*(PI()*(Inputs!$F$9/1000)^2/4)*((Inputs!$F$9/1000/4)^(2/3))*SQRT(P17))</f>
        <v/>
      </c>
      <c r="AL17" s="14" t="str">
        <f>IF(A17="","",(1/Inputs!$B$9)*(PI()*(Inputs!$F$10/1000)^2/4)*((Inputs!$F$10/1000/4)^(2/3))*SQRT(P17))</f>
        <v/>
      </c>
      <c r="AM17" s="14" t="str">
        <f>IF(A17="","",(1/Inputs!$B$9)*(PI()*(Inputs!$F$11/1000)^2/4)*((Inputs!$F$11/1000/4)^(2/3))*SQRT(P17))</f>
        <v/>
      </c>
      <c r="AN17" s="14" t="str">
        <f>IF(A17="","",(1/Inputs!$B$9)*(PI()*(Inputs!$F$12/1000)^2/4)*((Inputs!$F$12/1000/4)^(2/3))*SQRT(P17))</f>
        <v/>
      </c>
      <c r="AO17" s="14" t="str">
        <f>IF(A17="","",(1/Inputs!$B$9)*(PI()*(Inputs!$F$13/1000)^2/4)*((Inputs!$F$13/1000/4)^(2/3))*SQRT(P17))</f>
        <v/>
      </c>
      <c r="AP17" s="14" t="str">
        <f>IF(A17="","",(1/Inputs!$B$9)*(PI()*(Inputs!$F$14/1000)^2/4)*((Inputs!$F$14/1000/4)^(2/3))*SQRT(P17))</f>
        <v/>
      </c>
      <c r="AQ17" s="14" t="str">
        <f t="shared" si="8"/>
        <v/>
      </c>
      <c r="AR17" s="14" t="str">
        <f t="shared" si="9"/>
        <v/>
      </c>
      <c r="AS17" s="17" t="str">
        <f>IF(A17="","",IF(J17="",Inputs!$B$18,J17))</f>
        <v/>
      </c>
      <c r="AT17" s="17" t="str">
        <f>IF(A17="","",IFERROR(_xludf.maxifs($AV$4:$AV$201,$D$4:$D$201,$A17),""))</f>
        <v/>
      </c>
      <c r="AU17" s="17" t="str">
        <f>IF(A17="","",IF(OR(E17="",Inputs!$B$23=""),"",E17/(Inputs!$B$23*60)))</f>
        <v/>
      </c>
      <c r="AV17" s="17" t="str">
        <f t="shared" si="10"/>
        <v/>
      </c>
      <c r="AW17" s="17" t="str">
        <f t="shared" si="11"/>
        <v/>
      </c>
      <c r="AX17" s="17" t="str">
        <f>IF(OR(T17="",P17=""),"",(1/Inputs!$B$9)*((T17/4)^(2/3))*SQRT(P17))</f>
        <v/>
      </c>
      <c r="AY17" s="17" t="str">
        <f>IF(A17="","",IF(AND(AW17="",AX17="",BA17=""),"",IF(OR(UPPER(TRIM(Inputs!$B$24))="MANNING",UPPER(TRIM(Inputs!$B$24))="M"),AX17,IF(OR(UPPER(TRIM(Inputs!$B$24))="PARTIAL",UPPER(TRIM(Inputs!$B$24))="P"),BA17,IF(OR(UPPER(TRIM(Inputs!$B$24))="MAX",UPPER(TRIM(Inputs!$B$24))="X"),MAX(IF(AW17="",0,AW17),IF(AX17="",0,AX17),IF(BA17="",0,BA17)),AW17)))))</f>
        <v/>
      </c>
      <c r="AZ17" s="17" t="str">
        <f t="shared" si="12"/>
        <v/>
      </c>
      <c r="BA17" s="17" t="str">
        <f t="shared" si="13"/>
        <v/>
      </c>
      <c r="BB17" s="14" t="str">
        <f t="shared" si="14"/>
        <v/>
      </c>
      <c r="BC17" s="14" t="str">
        <f>IF(OR(N17="",T17="",P17=""),"",IF(OR(T17="",P17="",(0.94*T17)="",T17&lt;=0,(0.94*T17)&lt;=0),"",(1/Inputs!$B$9)*((T17^2/8)*((2*ACOS(1-2*(0.94*T17)/T17))-SIN((2*ACOS(1-2*(0.94*T17)/T17)))))*((((T17^2/8)*((2*ACOS(1-2*(0.94*T17)/T17))-SIN((2*ACOS(1-2*(0.94*T17)/T17)))))/((T17/2)*((2*ACOS(1-2*(0.94*T17)/T17)))))^(2/3))*SQRT(P17)))</f>
        <v/>
      </c>
      <c r="BD17" s="14" t="str">
        <f t="shared" si="15"/>
        <v/>
      </c>
      <c r="BE17" s="14" t="str">
        <f t="shared" si="16"/>
        <v/>
      </c>
      <c r="BF17" s="14" t="str">
        <f t="shared" si="17"/>
        <v/>
      </c>
      <c r="BG17" s="14" t="str">
        <f>IF(OR(T17="",P17="",BF17="",T17&lt;=0,BF17&lt;=0),"",(1/Inputs!$B$9)*((T17^2/8)*((2*ACOS(1-2*BF17/T17))-SIN((2*ACOS(1-2*BF17/T17)))))*((((T17^2/8)*((2*ACOS(1-2*BF17/T17))-SIN((2*ACOS(1-2*BF17/T17)))))/((T17/2)*((2*ACOS(1-2*BF17/T17)))))^(2/3))*SQRT(P17))</f>
        <v/>
      </c>
      <c r="BH17" s="14" t="str">
        <f t="shared" si="18"/>
        <v/>
      </c>
      <c r="BI17" s="14" t="str">
        <f t="shared" si="19"/>
        <v/>
      </c>
      <c r="BJ17" s="14" t="str">
        <f t="shared" si="20"/>
        <v/>
      </c>
      <c r="BK17" s="14" t="str">
        <f>IF(OR(T17="",P17="",BJ17="",T17&lt;=0,BJ17&lt;=0),"",(1/Inputs!$B$9)*((T17^2/8)*((2*ACOS(1-2*BJ17/T17))-SIN((2*ACOS(1-2*BJ17/T17)))))*((((T17^2/8)*((2*ACOS(1-2*BJ17/T17))-SIN((2*ACOS(1-2*BJ17/T17)))))/((T17/2)*((2*ACOS(1-2*BJ17/T17)))))^(2/3))*SQRT(P17))</f>
        <v/>
      </c>
      <c r="BL17" s="14" t="str">
        <f t="shared" si="21"/>
        <v/>
      </c>
      <c r="BM17" s="14" t="str">
        <f t="shared" si="22"/>
        <v/>
      </c>
      <c r="BN17" s="14" t="str">
        <f t="shared" si="23"/>
        <v/>
      </c>
      <c r="BO17" s="14" t="str">
        <f>IF(OR(T17="",P17="",BN17="",T17&lt;=0,BN17&lt;=0),"",(1/Inputs!$B$9)*((T17^2/8)*((2*ACOS(1-2*BN17/T17))-SIN((2*ACOS(1-2*BN17/T17)))))*((((T17^2/8)*((2*ACOS(1-2*BN17/T17))-SIN((2*ACOS(1-2*BN17/T17)))))/((T17/2)*((2*ACOS(1-2*BN17/T17)))))^(2/3))*SQRT(P17))</f>
        <v/>
      </c>
      <c r="BP17" s="14" t="str">
        <f t="shared" si="24"/>
        <v/>
      </c>
      <c r="BQ17" s="14" t="str">
        <f t="shared" si="25"/>
        <v/>
      </c>
      <c r="BR17" s="14" t="str">
        <f t="shared" si="26"/>
        <v/>
      </c>
      <c r="BS17" s="14" t="str">
        <f>IF(OR(T17="",P17="",BR17="",T17&lt;=0,BR17&lt;=0),"",(1/Inputs!$B$9)*((T17^2/8)*((2*ACOS(1-2*BR17/T17))-SIN((2*ACOS(1-2*BR17/T17)))))*((((T17^2/8)*((2*ACOS(1-2*BR17/T17))-SIN((2*ACOS(1-2*BR17/T17)))))/((T17/2)*((2*ACOS(1-2*BR17/T17)))))^(2/3))*SQRT(P17))</f>
        <v/>
      </c>
      <c r="BT17" s="14" t="str">
        <f t="shared" si="27"/>
        <v/>
      </c>
      <c r="BU17" s="14" t="str">
        <f t="shared" si="28"/>
        <v/>
      </c>
      <c r="BV17" s="14" t="str">
        <f t="shared" si="29"/>
        <v/>
      </c>
      <c r="BW17" s="14" t="str">
        <f>IF(OR(T17="",P17="",BV17="",T17&lt;=0,BV17&lt;=0),"",(1/Inputs!$B$9)*((T17^2/8)*((2*ACOS(1-2*BV17/T17))-SIN((2*ACOS(1-2*BV17/T17)))))*((((T17^2/8)*((2*ACOS(1-2*BV17/T17))-SIN((2*ACOS(1-2*BV17/T17)))))/((T17/2)*((2*ACOS(1-2*BV17/T17)))))^(2/3))*SQRT(P17))</f>
        <v/>
      </c>
      <c r="BX17" s="14" t="str">
        <f t="shared" si="30"/>
        <v/>
      </c>
      <c r="BY17" s="14" t="str">
        <f t="shared" si="31"/>
        <v/>
      </c>
      <c r="BZ17" s="14" t="str">
        <f t="shared" si="32"/>
        <v/>
      </c>
      <c r="CA17" s="14" t="str">
        <f>IF(OR(T17="",P17="",BZ17="",T17&lt;=0,BZ17&lt;=0),"",(1/Inputs!$B$9)*((T17^2/8)*((2*ACOS(1-2*BZ17/T17))-SIN((2*ACOS(1-2*BZ17/T17)))))*((((T17^2/8)*((2*ACOS(1-2*BZ17/T17))-SIN((2*ACOS(1-2*BZ17/T17)))))/((T17/2)*((2*ACOS(1-2*BZ17/T17)))))^(2/3))*SQRT(P17))</f>
        <v/>
      </c>
      <c r="CB17" s="14" t="str">
        <f t="shared" si="33"/>
        <v/>
      </c>
      <c r="CC17" s="14" t="str">
        <f t="shared" si="34"/>
        <v/>
      </c>
      <c r="CD17" s="14" t="str">
        <f t="shared" si="35"/>
        <v/>
      </c>
      <c r="CE17" s="14" t="str">
        <f>IF(OR(T17="",P17="",CD17="",T17&lt;=0,CD17&lt;=0),"",(1/Inputs!$B$9)*((T17^2/8)*((2*ACOS(1-2*CD17/T17))-SIN((2*ACOS(1-2*CD17/T17)))))*((((T17^2/8)*((2*ACOS(1-2*CD17/T17))-SIN((2*ACOS(1-2*CD17/T17)))))/((T17/2)*((2*ACOS(1-2*CD17/T17)))))^(2/3))*SQRT(P17))</f>
        <v/>
      </c>
      <c r="CF17" s="14" t="str">
        <f t="shared" si="36"/>
        <v/>
      </c>
      <c r="CG17" s="14" t="str">
        <f t="shared" si="37"/>
        <v/>
      </c>
      <c r="CH17" s="14" t="str">
        <f t="shared" si="38"/>
        <v/>
      </c>
    </row>
    <row r="18" spans="1:86" x14ac:dyDescent="0.25">
      <c r="A18" s="14"/>
      <c r="B18" s="14"/>
      <c r="C18" s="14"/>
      <c r="D18" s="14"/>
      <c r="E18" s="44"/>
      <c r="F18" s="44"/>
      <c r="G18" s="44">
        <f>SUMIFS(CB_plan!$G:$G,CB_plan!$F:$F,$A18)</f>
        <v>0</v>
      </c>
      <c r="H18" s="44">
        <f t="shared" si="0"/>
        <v>0</v>
      </c>
      <c r="I18" s="14"/>
      <c r="J18" s="44"/>
      <c r="K18" s="44" t="str">
        <f>IF(A18="","",Inputs!$B$13/((IF(AV18="",Inputs!$B$18,AV18)+Inputs!$B$14)^Inputs!$B$15))</f>
        <v/>
      </c>
      <c r="L18" s="44" t="str">
        <f>IF(A18="","",IF(H18="","",0.000000278*IF(I18&lt;&gt;"",I18,IFERROR(SUMIFS(CB_plan!$H:$H,CB_plan!$F:$F,$A18)/SUMIFS(CB_plan!$G:$G,CB_plan!$F:$F,$A18),Inputs!$B$17))*H18*K18))</f>
        <v/>
      </c>
      <c r="M18" s="44" t="str">
        <f t="shared" si="1"/>
        <v/>
      </c>
      <c r="N18" s="44" t="str">
        <f>IF(A18="","",(L18+M18)*Inputs!$B$16)</f>
        <v/>
      </c>
      <c r="O18" s="44"/>
      <c r="P18" s="44" t="str">
        <f>IF(A18="","",IF(O18="",Inputs!$B$7,O18))</f>
        <v/>
      </c>
      <c r="Q18" s="14" t="str">
        <f>IF(A18="","",IF(N18/Inputs!$B$10&lt;=AG18,Inputs!$F$5,IF(N18/Inputs!$B$10&gt;AP18,"OVERSIZE",INDEX(Inputs!$F$5:$F$14,MATCH(N18/Inputs!$B$10,AG18:AP18,1)+1))))</f>
        <v/>
      </c>
      <c r="R18" s="14"/>
      <c r="S18" s="14" t="str">
        <f t="shared" si="2"/>
        <v/>
      </c>
      <c r="T18" s="44" t="str">
        <f t="shared" si="3"/>
        <v/>
      </c>
      <c r="U18" s="44" t="str">
        <f>IF(T18="","",(1/Inputs!$B$9)*(PI()*T18^2/4)*((T18/4)^(2/3))*SQRT(P18))</f>
        <v/>
      </c>
      <c r="V18" s="44" t="str">
        <f>IF(OR(U18="",N18=""),"",N18/(U18*Inputs!$B$10))</f>
        <v/>
      </c>
      <c r="W18" s="44" t="str">
        <f t="shared" si="4"/>
        <v/>
      </c>
      <c r="X18" s="44"/>
      <c r="Y18" s="44" t="str">
        <f>IF(A18="","",IF(A18=Inputs!$B$6,Inputs!$B$22,IF(D18="","",IFERROR(INDEX($Z$4:$Z$201,MATCH(D18,$A$4:$A$201,0))+IF(X18="",Inputs!$B$20,X18),""))))</f>
        <v/>
      </c>
      <c r="Z18" s="44" t="str">
        <f t="shared" si="5"/>
        <v/>
      </c>
      <c r="AA18" s="44" t="str">
        <f>IF(C18="","",IFERROR(INDEX(Noeuds_plan!$C$4:$C$200,MATCH(C18,Noeuds_plan!$A$4:$A$200,0)),""))</f>
        <v/>
      </c>
      <c r="AB18" s="44" t="str">
        <f>IF(B18="","",IFERROR(INDEX(Noeuds_plan!$C$4:$C$200,MATCH(B18,Noeuds_plan!$A$4:$A$200,0)),""))</f>
        <v/>
      </c>
      <c r="AC18" s="44" t="str">
        <f t="shared" si="6"/>
        <v/>
      </c>
      <c r="AD18" s="44" t="str">
        <f t="shared" si="7"/>
        <v/>
      </c>
      <c r="AE18" s="14" t="str">
        <f>IF(A18="","",IF(OR(V18&gt;1,AND(AY18&lt;&gt;"",AY18&lt;Inputs!$B$11),AND(AY18&lt;&gt;"",AY18&gt;Inputs!$B$12),AC18&lt;Inputs!$B$19,AD18&lt;Inputs!$B$19,P18&lt;Inputs!$B$7,P18&gt;Inputs!$B$8),"CHECK","OK"))</f>
        <v/>
      </c>
      <c r="AF18" s="14"/>
      <c r="AG18" s="14" t="str">
        <f>IF(A18="","",(1/Inputs!$B$9)*(PI()*(Inputs!$F$5/1000)^2/4)*((Inputs!$F$5/1000/4)^(2/3))*SQRT(P18))</f>
        <v/>
      </c>
      <c r="AH18" s="14" t="str">
        <f>IF(A18="","",(1/Inputs!$B$9)*(PI()*(Inputs!$F$6/1000)^2/4)*((Inputs!$F$6/1000/4)^(2/3))*SQRT(P18))</f>
        <v/>
      </c>
      <c r="AI18" s="14" t="str">
        <f>IF(A18="","",(1/Inputs!$B$9)*(PI()*(Inputs!$F$7/1000)^2/4)*((Inputs!$F$7/1000/4)^(2/3))*SQRT(P18))</f>
        <v/>
      </c>
      <c r="AJ18" s="14" t="str">
        <f>IF(A18="","",(1/Inputs!$B$9)*(PI()*(Inputs!$F$8/1000)^2/4)*((Inputs!$F$8/1000/4)^(2/3))*SQRT(P18))</f>
        <v/>
      </c>
      <c r="AK18" s="14" t="str">
        <f>IF(A18="","",(1/Inputs!$B$9)*(PI()*(Inputs!$F$9/1000)^2/4)*((Inputs!$F$9/1000/4)^(2/3))*SQRT(P18))</f>
        <v/>
      </c>
      <c r="AL18" s="14" t="str">
        <f>IF(A18="","",(1/Inputs!$B$9)*(PI()*(Inputs!$F$10/1000)^2/4)*((Inputs!$F$10/1000/4)^(2/3))*SQRT(P18))</f>
        <v/>
      </c>
      <c r="AM18" s="14" t="str">
        <f>IF(A18="","",(1/Inputs!$B$9)*(PI()*(Inputs!$F$11/1000)^2/4)*((Inputs!$F$11/1000/4)^(2/3))*SQRT(P18))</f>
        <v/>
      </c>
      <c r="AN18" s="14" t="str">
        <f>IF(A18="","",(1/Inputs!$B$9)*(PI()*(Inputs!$F$12/1000)^2/4)*((Inputs!$F$12/1000/4)^(2/3))*SQRT(P18))</f>
        <v/>
      </c>
      <c r="AO18" s="14" t="str">
        <f>IF(A18="","",(1/Inputs!$B$9)*(PI()*(Inputs!$F$13/1000)^2/4)*((Inputs!$F$13/1000/4)^(2/3))*SQRT(P18))</f>
        <v/>
      </c>
      <c r="AP18" s="14" t="str">
        <f>IF(A18="","",(1/Inputs!$B$9)*(PI()*(Inputs!$F$14/1000)^2/4)*((Inputs!$F$14/1000/4)^(2/3))*SQRT(P18))</f>
        <v/>
      </c>
      <c r="AQ18" s="14" t="str">
        <f t="shared" si="8"/>
        <v/>
      </c>
      <c r="AR18" s="14" t="str">
        <f t="shared" si="9"/>
        <v/>
      </c>
      <c r="AS18" s="17" t="str">
        <f>IF(A18="","",IF(J18="",Inputs!$B$18,J18))</f>
        <v/>
      </c>
      <c r="AT18" s="17" t="str">
        <f>IF(A18="","",IFERROR(_xludf.maxifs($AV$4:$AV$201,$D$4:$D$201,$A18),""))</f>
        <v/>
      </c>
      <c r="AU18" s="17" t="str">
        <f>IF(A18="","",IF(OR(E18="",Inputs!$B$23=""),"",E18/(Inputs!$B$23*60)))</f>
        <v/>
      </c>
      <c r="AV18" s="17" t="str">
        <f t="shared" si="10"/>
        <v/>
      </c>
      <c r="AW18" s="17" t="str">
        <f t="shared" si="11"/>
        <v/>
      </c>
      <c r="AX18" s="17" t="str">
        <f>IF(OR(T18="",P18=""),"",(1/Inputs!$B$9)*((T18/4)^(2/3))*SQRT(P18))</f>
        <v/>
      </c>
      <c r="AY18" s="17" t="str">
        <f>IF(A18="","",IF(AND(AW18="",AX18="",BA18=""),"",IF(OR(UPPER(TRIM(Inputs!$B$24))="MANNING",UPPER(TRIM(Inputs!$B$24))="M"),AX18,IF(OR(UPPER(TRIM(Inputs!$B$24))="PARTIAL",UPPER(TRIM(Inputs!$B$24))="P"),BA18,IF(OR(UPPER(TRIM(Inputs!$B$24))="MAX",UPPER(TRIM(Inputs!$B$24))="X"),MAX(IF(AW18="",0,AW18),IF(AX18="",0,AX18),IF(BA18="",0,BA18)),AW18)))))</f>
        <v/>
      </c>
      <c r="AZ18" s="17" t="str">
        <f t="shared" si="12"/>
        <v/>
      </c>
      <c r="BA18" s="17" t="str">
        <f t="shared" si="13"/>
        <v/>
      </c>
      <c r="BB18" s="14" t="str">
        <f t="shared" si="14"/>
        <v/>
      </c>
      <c r="BC18" s="14" t="str">
        <f>IF(OR(N18="",T18="",P18=""),"",IF(OR(T18="",P18="",(0.94*T18)="",T18&lt;=0,(0.94*T18)&lt;=0),"",(1/Inputs!$B$9)*((T18^2/8)*((2*ACOS(1-2*(0.94*T18)/T18))-SIN((2*ACOS(1-2*(0.94*T18)/T18)))))*((((T18^2/8)*((2*ACOS(1-2*(0.94*T18)/T18))-SIN((2*ACOS(1-2*(0.94*T18)/T18)))))/((T18/2)*((2*ACOS(1-2*(0.94*T18)/T18)))))^(2/3))*SQRT(P18)))</f>
        <v/>
      </c>
      <c r="BD18" s="14" t="str">
        <f t="shared" si="15"/>
        <v/>
      </c>
      <c r="BE18" s="14" t="str">
        <f t="shared" si="16"/>
        <v/>
      </c>
      <c r="BF18" s="14" t="str">
        <f t="shared" si="17"/>
        <v/>
      </c>
      <c r="BG18" s="14" t="str">
        <f>IF(OR(T18="",P18="",BF18="",T18&lt;=0,BF18&lt;=0),"",(1/Inputs!$B$9)*((T18^2/8)*((2*ACOS(1-2*BF18/T18))-SIN((2*ACOS(1-2*BF18/T18)))))*((((T18^2/8)*((2*ACOS(1-2*BF18/T18))-SIN((2*ACOS(1-2*BF18/T18)))))/((T18/2)*((2*ACOS(1-2*BF18/T18)))))^(2/3))*SQRT(P18))</f>
        <v/>
      </c>
      <c r="BH18" s="14" t="str">
        <f t="shared" si="18"/>
        <v/>
      </c>
      <c r="BI18" s="14" t="str">
        <f t="shared" si="19"/>
        <v/>
      </c>
      <c r="BJ18" s="14" t="str">
        <f t="shared" si="20"/>
        <v/>
      </c>
      <c r="BK18" s="14" t="str">
        <f>IF(OR(T18="",P18="",BJ18="",T18&lt;=0,BJ18&lt;=0),"",(1/Inputs!$B$9)*((T18^2/8)*((2*ACOS(1-2*BJ18/T18))-SIN((2*ACOS(1-2*BJ18/T18)))))*((((T18^2/8)*((2*ACOS(1-2*BJ18/T18))-SIN((2*ACOS(1-2*BJ18/T18)))))/((T18/2)*((2*ACOS(1-2*BJ18/T18)))))^(2/3))*SQRT(P18))</f>
        <v/>
      </c>
      <c r="BL18" s="14" t="str">
        <f t="shared" si="21"/>
        <v/>
      </c>
      <c r="BM18" s="14" t="str">
        <f t="shared" si="22"/>
        <v/>
      </c>
      <c r="BN18" s="14" t="str">
        <f t="shared" si="23"/>
        <v/>
      </c>
      <c r="BO18" s="14" t="str">
        <f>IF(OR(T18="",P18="",BN18="",T18&lt;=0,BN18&lt;=0),"",(1/Inputs!$B$9)*((T18^2/8)*((2*ACOS(1-2*BN18/T18))-SIN((2*ACOS(1-2*BN18/T18)))))*((((T18^2/8)*((2*ACOS(1-2*BN18/T18))-SIN((2*ACOS(1-2*BN18/T18)))))/((T18/2)*((2*ACOS(1-2*BN18/T18)))))^(2/3))*SQRT(P18))</f>
        <v/>
      </c>
      <c r="BP18" s="14" t="str">
        <f t="shared" si="24"/>
        <v/>
      </c>
      <c r="BQ18" s="14" t="str">
        <f t="shared" si="25"/>
        <v/>
      </c>
      <c r="BR18" s="14" t="str">
        <f t="shared" si="26"/>
        <v/>
      </c>
      <c r="BS18" s="14" t="str">
        <f>IF(OR(T18="",P18="",BR18="",T18&lt;=0,BR18&lt;=0),"",(1/Inputs!$B$9)*((T18^2/8)*((2*ACOS(1-2*BR18/T18))-SIN((2*ACOS(1-2*BR18/T18)))))*((((T18^2/8)*((2*ACOS(1-2*BR18/T18))-SIN((2*ACOS(1-2*BR18/T18)))))/((T18/2)*((2*ACOS(1-2*BR18/T18)))))^(2/3))*SQRT(P18))</f>
        <v/>
      </c>
      <c r="BT18" s="14" t="str">
        <f t="shared" si="27"/>
        <v/>
      </c>
      <c r="BU18" s="14" t="str">
        <f t="shared" si="28"/>
        <v/>
      </c>
      <c r="BV18" s="14" t="str">
        <f t="shared" si="29"/>
        <v/>
      </c>
      <c r="BW18" s="14" t="str">
        <f>IF(OR(T18="",P18="",BV18="",T18&lt;=0,BV18&lt;=0),"",(1/Inputs!$B$9)*((T18^2/8)*((2*ACOS(1-2*BV18/T18))-SIN((2*ACOS(1-2*BV18/T18)))))*((((T18^2/8)*((2*ACOS(1-2*BV18/T18))-SIN((2*ACOS(1-2*BV18/T18)))))/((T18/2)*((2*ACOS(1-2*BV18/T18)))))^(2/3))*SQRT(P18))</f>
        <v/>
      </c>
      <c r="BX18" s="14" t="str">
        <f t="shared" si="30"/>
        <v/>
      </c>
      <c r="BY18" s="14" t="str">
        <f t="shared" si="31"/>
        <v/>
      </c>
      <c r="BZ18" s="14" t="str">
        <f t="shared" si="32"/>
        <v/>
      </c>
      <c r="CA18" s="14" t="str">
        <f>IF(OR(T18="",P18="",BZ18="",T18&lt;=0,BZ18&lt;=0),"",(1/Inputs!$B$9)*((T18^2/8)*((2*ACOS(1-2*BZ18/T18))-SIN((2*ACOS(1-2*BZ18/T18)))))*((((T18^2/8)*((2*ACOS(1-2*BZ18/T18))-SIN((2*ACOS(1-2*BZ18/T18)))))/((T18/2)*((2*ACOS(1-2*BZ18/T18)))))^(2/3))*SQRT(P18))</f>
        <v/>
      </c>
      <c r="CB18" s="14" t="str">
        <f t="shared" si="33"/>
        <v/>
      </c>
      <c r="CC18" s="14" t="str">
        <f t="shared" si="34"/>
        <v/>
      </c>
      <c r="CD18" s="14" t="str">
        <f t="shared" si="35"/>
        <v/>
      </c>
      <c r="CE18" s="14" t="str">
        <f>IF(OR(T18="",P18="",CD18="",T18&lt;=0,CD18&lt;=0),"",(1/Inputs!$B$9)*((T18^2/8)*((2*ACOS(1-2*CD18/T18))-SIN((2*ACOS(1-2*CD18/T18)))))*((((T18^2/8)*((2*ACOS(1-2*CD18/T18))-SIN((2*ACOS(1-2*CD18/T18)))))/((T18/2)*((2*ACOS(1-2*CD18/T18)))))^(2/3))*SQRT(P18))</f>
        <v/>
      </c>
      <c r="CF18" s="14" t="str">
        <f t="shared" si="36"/>
        <v/>
      </c>
      <c r="CG18" s="14" t="str">
        <f t="shared" si="37"/>
        <v/>
      </c>
      <c r="CH18" s="14" t="str">
        <f t="shared" si="38"/>
        <v/>
      </c>
    </row>
    <row r="19" spans="1:86" x14ac:dyDescent="0.25">
      <c r="A19" s="14"/>
      <c r="B19" s="14"/>
      <c r="C19" s="14"/>
      <c r="D19" s="14"/>
      <c r="E19" s="44"/>
      <c r="F19" s="44"/>
      <c r="G19" s="44">
        <f>SUMIFS(CB_plan!$G:$G,CB_plan!$F:$F,$A19)</f>
        <v>0</v>
      </c>
      <c r="H19" s="44">
        <f t="shared" si="0"/>
        <v>0</v>
      </c>
      <c r="I19" s="14"/>
      <c r="J19" s="44"/>
      <c r="K19" s="44" t="str">
        <f>IF(A19="","",Inputs!$B$13/((IF(AV19="",Inputs!$B$18,AV19)+Inputs!$B$14)^Inputs!$B$15))</f>
        <v/>
      </c>
      <c r="L19" s="44" t="str">
        <f>IF(A19="","",IF(H19="","",0.000000278*IF(I19&lt;&gt;"",I19,IFERROR(SUMIFS(CB_plan!$H:$H,CB_plan!$F:$F,$A19)/SUMIFS(CB_plan!$G:$G,CB_plan!$F:$F,$A19),Inputs!$B$17))*H19*K19))</f>
        <v/>
      </c>
      <c r="M19" s="44" t="str">
        <f t="shared" si="1"/>
        <v/>
      </c>
      <c r="N19" s="44" t="str">
        <f>IF(A19="","",(L19+M19)*Inputs!$B$16)</f>
        <v/>
      </c>
      <c r="O19" s="44"/>
      <c r="P19" s="44" t="str">
        <f>IF(A19="","",IF(O19="",Inputs!$B$7,O19))</f>
        <v/>
      </c>
      <c r="Q19" s="14" t="str">
        <f>IF(A19="","",IF(N19/Inputs!$B$10&lt;=AG19,Inputs!$F$5,IF(N19/Inputs!$B$10&gt;AP19,"OVERSIZE",INDEX(Inputs!$F$5:$F$14,MATCH(N19/Inputs!$B$10,AG19:AP19,1)+1))))</f>
        <v/>
      </c>
      <c r="R19" s="14"/>
      <c r="S19" s="14" t="str">
        <f t="shared" si="2"/>
        <v/>
      </c>
      <c r="T19" s="44" t="str">
        <f t="shared" si="3"/>
        <v/>
      </c>
      <c r="U19" s="44" t="str">
        <f>IF(T19="","",(1/Inputs!$B$9)*(PI()*T19^2/4)*((T19/4)^(2/3))*SQRT(P19))</f>
        <v/>
      </c>
      <c r="V19" s="44" t="str">
        <f>IF(OR(U19="",N19=""),"",N19/(U19*Inputs!$B$10))</f>
        <v/>
      </c>
      <c r="W19" s="44" t="str">
        <f t="shared" si="4"/>
        <v/>
      </c>
      <c r="X19" s="44"/>
      <c r="Y19" s="44" t="str">
        <f>IF(A19="","",IF(A19=Inputs!$B$6,Inputs!$B$22,IF(D19="","",IFERROR(INDEX($Z$4:$Z$201,MATCH(D19,$A$4:$A$201,0))+IF(X19="",Inputs!$B$20,X19),""))))</f>
        <v/>
      </c>
      <c r="Z19" s="44" t="str">
        <f t="shared" si="5"/>
        <v/>
      </c>
      <c r="AA19" s="44" t="str">
        <f>IF(C19="","",IFERROR(INDEX(Noeuds_plan!$C$4:$C$200,MATCH(C19,Noeuds_plan!$A$4:$A$200,0)),""))</f>
        <v/>
      </c>
      <c r="AB19" s="44" t="str">
        <f>IF(B19="","",IFERROR(INDEX(Noeuds_plan!$C$4:$C$200,MATCH(B19,Noeuds_plan!$A$4:$A$200,0)),""))</f>
        <v/>
      </c>
      <c r="AC19" s="44" t="str">
        <f t="shared" si="6"/>
        <v/>
      </c>
      <c r="AD19" s="44" t="str">
        <f t="shared" si="7"/>
        <v/>
      </c>
      <c r="AE19" s="14" t="str">
        <f>IF(A19="","",IF(OR(V19&gt;1,AND(AY19&lt;&gt;"",AY19&lt;Inputs!$B$11),AND(AY19&lt;&gt;"",AY19&gt;Inputs!$B$12),AC19&lt;Inputs!$B$19,AD19&lt;Inputs!$B$19,P19&lt;Inputs!$B$7,P19&gt;Inputs!$B$8),"CHECK","OK"))</f>
        <v/>
      </c>
      <c r="AF19" s="14"/>
      <c r="AG19" s="14" t="str">
        <f>IF(A19="","",(1/Inputs!$B$9)*(PI()*(Inputs!$F$5/1000)^2/4)*((Inputs!$F$5/1000/4)^(2/3))*SQRT(P19))</f>
        <v/>
      </c>
      <c r="AH19" s="14" t="str">
        <f>IF(A19="","",(1/Inputs!$B$9)*(PI()*(Inputs!$F$6/1000)^2/4)*((Inputs!$F$6/1000/4)^(2/3))*SQRT(P19))</f>
        <v/>
      </c>
      <c r="AI19" s="14" t="str">
        <f>IF(A19="","",(1/Inputs!$B$9)*(PI()*(Inputs!$F$7/1000)^2/4)*((Inputs!$F$7/1000/4)^(2/3))*SQRT(P19))</f>
        <v/>
      </c>
      <c r="AJ19" s="14" t="str">
        <f>IF(A19="","",(1/Inputs!$B$9)*(PI()*(Inputs!$F$8/1000)^2/4)*((Inputs!$F$8/1000/4)^(2/3))*SQRT(P19))</f>
        <v/>
      </c>
      <c r="AK19" s="14" t="str">
        <f>IF(A19="","",(1/Inputs!$B$9)*(PI()*(Inputs!$F$9/1000)^2/4)*((Inputs!$F$9/1000/4)^(2/3))*SQRT(P19))</f>
        <v/>
      </c>
      <c r="AL19" s="14" t="str">
        <f>IF(A19="","",(1/Inputs!$B$9)*(PI()*(Inputs!$F$10/1000)^2/4)*((Inputs!$F$10/1000/4)^(2/3))*SQRT(P19))</f>
        <v/>
      </c>
      <c r="AM19" s="14" t="str">
        <f>IF(A19="","",(1/Inputs!$B$9)*(PI()*(Inputs!$F$11/1000)^2/4)*((Inputs!$F$11/1000/4)^(2/3))*SQRT(P19))</f>
        <v/>
      </c>
      <c r="AN19" s="14" t="str">
        <f>IF(A19="","",(1/Inputs!$B$9)*(PI()*(Inputs!$F$12/1000)^2/4)*((Inputs!$F$12/1000/4)^(2/3))*SQRT(P19))</f>
        <v/>
      </c>
      <c r="AO19" s="14" t="str">
        <f>IF(A19="","",(1/Inputs!$B$9)*(PI()*(Inputs!$F$13/1000)^2/4)*((Inputs!$F$13/1000/4)^(2/3))*SQRT(P19))</f>
        <v/>
      </c>
      <c r="AP19" s="14" t="str">
        <f>IF(A19="","",(1/Inputs!$B$9)*(PI()*(Inputs!$F$14/1000)^2/4)*((Inputs!$F$14/1000/4)^(2/3))*SQRT(P19))</f>
        <v/>
      </c>
      <c r="AQ19" s="14" t="str">
        <f t="shared" si="8"/>
        <v/>
      </c>
      <c r="AR19" s="14" t="str">
        <f t="shared" si="9"/>
        <v/>
      </c>
      <c r="AS19" s="17" t="str">
        <f>IF(A19="","",IF(J19="",Inputs!$B$18,J19))</f>
        <v/>
      </c>
      <c r="AT19" s="17" t="str">
        <f>IF(A19="","",IFERROR(_xludf.maxifs($AV$4:$AV$201,$D$4:$D$201,$A19),""))</f>
        <v/>
      </c>
      <c r="AU19" s="17" t="str">
        <f>IF(A19="","",IF(OR(E19="",Inputs!$B$23=""),"",E19/(Inputs!$B$23*60)))</f>
        <v/>
      </c>
      <c r="AV19" s="17" t="str">
        <f t="shared" si="10"/>
        <v/>
      </c>
      <c r="AW19" s="17" t="str">
        <f t="shared" si="11"/>
        <v/>
      </c>
      <c r="AX19" s="17" t="str">
        <f>IF(OR(T19="",P19=""),"",(1/Inputs!$B$9)*((T19/4)^(2/3))*SQRT(P19))</f>
        <v/>
      </c>
      <c r="AY19" s="17" t="str">
        <f>IF(A19="","",IF(AND(AW19="",AX19="",BA19=""),"",IF(OR(UPPER(TRIM(Inputs!$B$24))="MANNING",UPPER(TRIM(Inputs!$B$24))="M"),AX19,IF(OR(UPPER(TRIM(Inputs!$B$24))="PARTIAL",UPPER(TRIM(Inputs!$B$24))="P"),BA19,IF(OR(UPPER(TRIM(Inputs!$B$24))="MAX",UPPER(TRIM(Inputs!$B$24))="X"),MAX(IF(AW19="",0,AW19),IF(AX19="",0,AX19),IF(BA19="",0,BA19)),AW19)))))</f>
        <v/>
      </c>
      <c r="AZ19" s="17" t="str">
        <f t="shared" si="12"/>
        <v/>
      </c>
      <c r="BA19" s="17" t="str">
        <f t="shared" si="13"/>
        <v/>
      </c>
      <c r="BB19" s="14" t="str">
        <f t="shared" si="14"/>
        <v/>
      </c>
      <c r="BC19" s="14" t="str">
        <f>IF(OR(N19="",T19="",P19=""),"",IF(OR(T19="",P19="",(0.94*T19)="",T19&lt;=0,(0.94*T19)&lt;=0),"",(1/Inputs!$B$9)*((T19^2/8)*((2*ACOS(1-2*(0.94*T19)/T19))-SIN((2*ACOS(1-2*(0.94*T19)/T19)))))*((((T19^2/8)*((2*ACOS(1-2*(0.94*T19)/T19))-SIN((2*ACOS(1-2*(0.94*T19)/T19)))))/((T19/2)*((2*ACOS(1-2*(0.94*T19)/T19)))))^(2/3))*SQRT(P19)))</f>
        <v/>
      </c>
      <c r="BD19" s="14" t="str">
        <f t="shared" si="15"/>
        <v/>
      </c>
      <c r="BE19" s="14" t="str">
        <f t="shared" si="16"/>
        <v/>
      </c>
      <c r="BF19" s="14" t="str">
        <f t="shared" si="17"/>
        <v/>
      </c>
      <c r="BG19" s="14" t="str">
        <f>IF(OR(T19="",P19="",BF19="",T19&lt;=0,BF19&lt;=0),"",(1/Inputs!$B$9)*((T19^2/8)*((2*ACOS(1-2*BF19/T19))-SIN((2*ACOS(1-2*BF19/T19)))))*((((T19^2/8)*((2*ACOS(1-2*BF19/T19))-SIN((2*ACOS(1-2*BF19/T19)))))/((T19/2)*((2*ACOS(1-2*BF19/T19)))))^(2/3))*SQRT(P19))</f>
        <v/>
      </c>
      <c r="BH19" s="14" t="str">
        <f t="shared" si="18"/>
        <v/>
      </c>
      <c r="BI19" s="14" t="str">
        <f t="shared" si="19"/>
        <v/>
      </c>
      <c r="BJ19" s="14" t="str">
        <f t="shared" si="20"/>
        <v/>
      </c>
      <c r="BK19" s="14" t="str">
        <f>IF(OR(T19="",P19="",BJ19="",T19&lt;=0,BJ19&lt;=0),"",(1/Inputs!$B$9)*((T19^2/8)*((2*ACOS(1-2*BJ19/T19))-SIN((2*ACOS(1-2*BJ19/T19)))))*((((T19^2/8)*((2*ACOS(1-2*BJ19/T19))-SIN((2*ACOS(1-2*BJ19/T19)))))/((T19/2)*((2*ACOS(1-2*BJ19/T19)))))^(2/3))*SQRT(P19))</f>
        <v/>
      </c>
      <c r="BL19" s="14" t="str">
        <f t="shared" si="21"/>
        <v/>
      </c>
      <c r="BM19" s="14" t="str">
        <f t="shared" si="22"/>
        <v/>
      </c>
      <c r="BN19" s="14" t="str">
        <f t="shared" si="23"/>
        <v/>
      </c>
      <c r="BO19" s="14" t="str">
        <f>IF(OR(T19="",P19="",BN19="",T19&lt;=0,BN19&lt;=0),"",(1/Inputs!$B$9)*((T19^2/8)*((2*ACOS(1-2*BN19/T19))-SIN((2*ACOS(1-2*BN19/T19)))))*((((T19^2/8)*((2*ACOS(1-2*BN19/T19))-SIN((2*ACOS(1-2*BN19/T19)))))/((T19/2)*((2*ACOS(1-2*BN19/T19)))))^(2/3))*SQRT(P19))</f>
        <v/>
      </c>
      <c r="BP19" s="14" t="str">
        <f t="shared" si="24"/>
        <v/>
      </c>
      <c r="BQ19" s="14" t="str">
        <f t="shared" si="25"/>
        <v/>
      </c>
      <c r="BR19" s="14" t="str">
        <f t="shared" si="26"/>
        <v/>
      </c>
      <c r="BS19" s="14" t="str">
        <f>IF(OR(T19="",P19="",BR19="",T19&lt;=0,BR19&lt;=0),"",(1/Inputs!$B$9)*((T19^2/8)*((2*ACOS(1-2*BR19/T19))-SIN((2*ACOS(1-2*BR19/T19)))))*((((T19^2/8)*((2*ACOS(1-2*BR19/T19))-SIN((2*ACOS(1-2*BR19/T19)))))/((T19/2)*((2*ACOS(1-2*BR19/T19)))))^(2/3))*SQRT(P19))</f>
        <v/>
      </c>
      <c r="BT19" s="14" t="str">
        <f t="shared" si="27"/>
        <v/>
      </c>
      <c r="BU19" s="14" t="str">
        <f t="shared" si="28"/>
        <v/>
      </c>
      <c r="BV19" s="14" t="str">
        <f t="shared" si="29"/>
        <v/>
      </c>
      <c r="BW19" s="14" t="str">
        <f>IF(OR(T19="",P19="",BV19="",T19&lt;=0,BV19&lt;=0),"",(1/Inputs!$B$9)*((T19^2/8)*((2*ACOS(1-2*BV19/T19))-SIN((2*ACOS(1-2*BV19/T19)))))*((((T19^2/8)*((2*ACOS(1-2*BV19/T19))-SIN((2*ACOS(1-2*BV19/T19)))))/((T19/2)*((2*ACOS(1-2*BV19/T19)))))^(2/3))*SQRT(P19))</f>
        <v/>
      </c>
      <c r="BX19" s="14" t="str">
        <f t="shared" si="30"/>
        <v/>
      </c>
      <c r="BY19" s="14" t="str">
        <f t="shared" si="31"/>
        <v/>
      </c>
      <c r="BZ19" s="14" t="str">
        <f t="shared" si="32"/>
        <v/>
      </c>
      <c r="CA19" s="14" t="str">
        <f>IF(OR(T19="",P19="",BZ19="",T19&lt;=0,BZ19&lt;=0),"",(1/Inputs!$B$9)*((T19^2/8)*((2*ACOS(1-2*BZ19/T19))-SIN((2*ACOS(1-2*BZ19/T19)))))*((((T19^2/8)*((2*ACOS(1-2*BZ19/T19))-SIN((2*ACOS(1-2*BZ19/T19)))))/((T19/2)*((2*ACOS(1-2*BZ19/T19)))))^(2/3))*SQRT(P19))</f>
        <v/>
      </c>
      <c r="CB19" s="14" t="str">
        <f t="shared" si="33"/>
        <v/>
      </c>
      <c r="CC19" s="14" t="str">
        <f t="shared" si="34"/>
        <v/>
      </c>
      <c r="CD19" s="14" t="str">
        <f t="shared" si="35"/>
        <v/>
      </c>
      <c r="CE19" s="14" t="str">
        <f>IF(OR(T19="",P19="",CD19="",T19&lt;=0,CD19&lt;=0),"",(1/Inputs!$B$9)*((T19^2/8)*((2*ACOS(1-2*CD19/T19))-SIN((2*ACOS(1-2*CD19/T19)))))*((((T19^2/8)*((2*ACOS(1-2*CD19/T19))-SIN((2*ACOS(1-2*CD19/T19)))))/((T19/2)*((2*ACOS(1-2*CD19/T19)))))^(2/3))*SQRT(P19))</f>
        <v/>
      </c>
      <c r="CF19" s="14" t="str">
        <f t="shared" si="36"/>
        <v/>
      </c>
      <c r="CG19" s="14" t="str">
        <f t="shared" si="37"/>
        <v/>
      </c>
      <c r="CH19" s="14" t="str">
        <f t="shared" si="38"/>
        <v/>
      </c>
    </row>
    <row r="20" spans="1:86" x14ac:dyDescent="0.25">
      <c r="A20" s="14"/>
      <c r="B20" s="14"/>
      <c r="C20" s="14"/>
      <c r="D20" s="14"/>
      <c r="E20" s="44"/>
      <c r="F20" s="44"/>
      <c r="G20" s="44">
        <f>SUMIFS(CB_plan!$G:$G,CB_plan!$F:$F,$A20)</f>
        <v>0</v>
      </c>
      <c r="H20" s="44">
        <f t="shared" si="0"/>
        <v>0</v>
      </c>
      <c r="I20" s="14"/>
      <c r="J20" s="44"/>
      <c r="K20" s="44" t="str">
        <f>IF(A20="","",Inputs!$B$13/((IF(AV20="",Inputs!$B$18,AV20)+Inputs!$B$14)^Inputs!$B$15))</f>
        <v/>
      </c>
      <c r="L20" s="44" t="str">
        <f>IF(A20="","",IF(H20="","",0.000000278*IF(I20&lt;&gt;"",I20,IFERROR(SUMIFS(CB_plan!$H:$H,CB_plan!$F:$F,$A20)/SUMIFS(CB_plan!$G:$G,CB_plan!$F:$F,$A20),Inputs!$B$17))*H20*K20))</f>
        <v/>
      </c>
      <c r="M20" s="44" t="str">
        <f t="shared" si="1"/>
        <v/>
      </c>
      <c r="N20" s="44" t="str">
        <f>IF(A20="","",(L20+M20)*Inputs!$B$16)</f>
        <v/>
      </c>
      <c r="O20" s="44"/>
      <c r="P20" s="44" t="str">
        <f>IF(A20="","",IF(O20="",Inputs!$B$7,O20))</f>
        <v/>
      </c>
      <c r="Q20" s="14" t="str">
        <f>IF(A20="","",IF(N20/Inputs!$B$10&lt;=AG20,Inputs!$F$5,IF(N20/Inputs!$B$10&gt;AP20,"OVERSIZE",INDEX(Inputs!$F$5:$F$14,MATCH(N20/Inputs!$B$10,AG20:AP20,1)+1))))</f>
        <v/>
      </c>
      <c r="R20" s="14"/>
      <c r="S20" s="14" t="str">
        <f t="shared" si="2"/>
        <v/>
      </c>
      <c r="T20" s="44" t="str">
        <f t="shared" si="3"/>
        <v/>
      </c>
      <c r="U20" s="44" t="str">
        <f>IF(T20="","",(1/Inputs!$B$9)*(PI()*T20^2/4)*((T20/4)^(2/3))*SQRT(P20))</f>
        <v/>
      </c>
      <c r="V20" s="44" t="str">
        <f>IF(OR(U20="",N20=""),"",N20/(U20*Inputs!$B$10))</f>
        <v/>
      </c>
      <c r="W20" s="44" t="str">
        <f t="shared" si="4"/>
        <v/>
      </c>
      <c r="X20" s="44"/>
      <c r="Y20" s="44" t="str">
        <f>IF(A20="","",IF(A20=Inputs!$B$6,Inputs!$B$22,IF(D20="","",IFERROR(INDEX($Z$4:$Z$201,MATCH(D20,$A$4:$A$201,0))+IF(X20="",Inputs!$B$20,X20),""))))</f>
        <v/>
      </c>
      <c r="Z20" s="44" t="str">
        <f t="shared" si="5"/>
        <v/>
      </c>
      <c r="AA20" s="44" t="str">
        <f>IF(C20="","",IFERROR(INDEX(Noeuds_plan!$C$4:$C$200,MATCH(C20,Noeuds_plan!$A$4:$A$200,0)),""))</f>
        <v/>
      </c>
      <c r="AB20" s="44" t="str">
        <f>IF(B20="","",IFERROR(INDEX(Noeuds_plan!$C$4:$C$200,MATCH(B20,Noeuds_plan!$A$4:$A$200,0)),""))</f>
        <v/>
      </c>
      <c r="AC20" s="44" t="str">
        <f t="shared" si="6"/>
        <v/>
      </c>
      <c r="AD20" s="44" t="str">
        <f t="shared" si="7"/>
        <v/>
      </c>
      <c r="AE20" s="14" t="str">
        <f>IF(A20="","",IF(OR(V20&gt;1,AND(AY20&lt;&gt;"",AY20&lt;Inputs!$B$11),AND(AY20&lt;&gt;"",AY20&gt;Inputs!$B$12),AC20&lt;Inputs!$B$19,AD20&lt;Inputs!$B$19,P20&lt;Inputs!$B$7,P20&gt;Inputs!$B$8),"CHECK","OK"))</f>
        <v/>
      </c>
      <c r="AF20" s="14"/>
      <c r="AG20" s="14" t="str">
        <f>IF(A20="","",(1/Inputs!$B$9)*(PI()*(Inputs!$F$5/1000)^2/4)*((Inputs!$F$5/1000/4)^(2/3))*SQRT(P20))</f>
        <v/>
      </c>
      <c r="AH20" s="14" t="str">
        <f>IF(A20="","",(1/Inputs!$B$9)*(PI()*(Inputs!$F$6/1000)^2/4)*((Inputs!$F$6/1000/4)^(2/3))*SQRT(P20))</f>
        <v/>
      </c>
      <c r="AI20" s="14" t="str">
        <f>IF(A20="","",(1/Inputs!$B$9)*(PI()*(Inputs!$F$7/1000)^2/4)*((Inputs!$F$7/1000/4)^(2/3))*SQRT(P20))</f>
        <v/>
      </c>
      <c r="AJ20" s="14" t="str">
        <f>IF(A20="","",(1/Inputs!$B$9)*(PI()*(Inputs!$F$8/1000)^2/4)*((Inputs!$F$8/1000/4)^(2/3))*SQRT(P20))</f>
        <v/>
      </c>
      <c r="AK20" s="14" t="str">
        <f>IF(A20="","",(1/Inputs!$B$9)*(PI()*(Inputs!$F$9/1000)^2/4)*((Inputs!$F$9/1000/4)^(2/3))*SQRT(P20))</f>
        <v/>
      </c>
      <c r="AL20" s="14" t="str">
        <f>IF(A20="","",(1/Inputs!$B$9)*(PI()*(Inputs!$F$10/1000)^2/4)*((Inputs!$F$10/1000/4)^(2/3))*SQRT(P20))</f>
        <v/>
      </c>
      <c r="AM20" s="14" t="str">
        <f>IF(A20="","",(1/Inputs!$B$9)*(PI()*(Inputs!$F$11/1000)^2/4)*((Inputs!$F$11/1000/4)^(2/3))*SQRT(P20))</f>
        <v/>
      </c>
      <c r="AN20" s="14" t="str">
        <f>IF(A20="","",(1/Inputs!$B$9)*(PI()*(Inputs!$F$12/1000)^2/4)*((Inputs!$F$12/1000/4)^(2/3))*SQRT(P20))</f>
        <v/>
      </c>
      <c r="AO20" s="14" t="str">
        <f>IF(A20="","",(1/Inputs!$B$9)*(PI()*(Inputs!$F$13/1000)^2/4)*((Inputs!$F$13/1000/4)^(2/3))*SQRT(P20))</f>
        <v/>
      </c>
      <c r="AP20" s="14" t="str">
        <f>IF(A20="","",(1/Inputs!$B$9)*(PI()*(Inputs!$F$14/1000)^2/4)*((Inputs!$F$14/1000/4)^(2/3))*SQRT(P20))</f>
        <v/>
      </c>
      <c r="AQ20" s="14" t="str">
        <f t="shared" si="8"/>
        <v/>
      </c>
      <c r="AR20" s="14" t="str">
        <f t="shared" si="9"/>
        <v/>
      </c>
      <c r="AS20" s="17" t="str">
        <f>IF(A20="","",IF(J20="",Inputs!$B$18,J20))</f>
        <v/>
      </c>
      <c r="AT20" s="17" t="str">
        <f>IF(A20="","",IFERROR(_xludf.maxifs($AV$4:$AV$201,$D$4:$D$201,$A20),""))</f>
        <v/>
      </c>
      <c r="AU20" s="17" t="str">
        <f>IF(A20="","",IF(OR(E20="",Inputs!$B$23=""),"",E20/(Inputs!$B$23*60)))</f>
        <v/>
      </c>
      <c r="AV20" s="17" t="str">
        <f t="shared" si="10"/>
        <v/>
      </c>
      <c r="AW20" s="17" t="str">
        <f t="shared" si="11"/>
        <v/>
      </c>
      <c r="AX20" s="17" t="str">
        <f>IF(OR(T20="",P20=""),"",(1/Inputs!$B$9)*((T20/4)^(2/3))*SQRT(P20))</f>
        <v/>
      </c>
      <c r="AY20" s="17" t="str">
        <f>IF(A20="","",IF(AND(AW20="",AX20="",BA20=""),"",IF(OR(UPPER(TRIM(Inputs!$B$24))="MANNING",UPPER(TRIM(Inputs!$B$24))="M"),AX20,IF(OR(UPPER(TRIM(Inputs!$B$24))="PARTIAL",UPPER(TRIM(Inputs!$B$24))="P"),BA20,IF(OR(UPPER(TRIM(Inputs!$B$24))="MAX",UPPER(TRIM(Inputs!$B$24))="X"),MAX(IF(AW20="",0,AW20),IF(AX20="",0,AX20),IF(BA20="",0,BA20)),AW20)))))</f>
        <v/>
      </c>
      <c r="AZ20" s="17" t="str">
        <f t="shared" si="12"/>
        <v/>
      </c>
      <c r="BA20" s="17" t="str">
        <f t="shared" si="13"/>
        <v/>
      </c>
      <c r="BB20" s="14" t="str">
        <f t="shared" si="14"/>
        <v/>
      </c>
      <c r="BC20" s="14" t="str">
        <f>IF(OR(N20="",T20="",P20=""),"",IF(OR(T20="",P20="",(0.94*T20)="",T20&lt;=0,(0.94*T20)&lt;=0),"",(1/Inputs!$B$9)*((T20^2/8)*((2*ACOS(1-2*(0.94*T20)/T20))-SIN((2*ACOS(1-2*(0.94*T20)/T20)))))*((((T20^2/8)*((2*ACOS(1-2*(0.94*T20)/T20))-SIN((2*ACOS(1-2*(0.94*T20)/T20)))))/((T20/2)*((2*ACOS(1-2*(0.94*T20)/T20)))))^(2/3))*SQRT(P20)))</f>
        <v/>
      </c>
      <c r="BD20" s="14" t="str">
        <f t="shared" si="15"/>
        <v/>
      </c>
      <c r="BE20" s="14" t="str">
        <f t="shared" si="16"/>
        <v/>
      </c>
      <c r="BF20" s="14" t="str">
        <f t="shared" si="17"/>
        <v/>
      </c>
      <c r="BG20" s="14" t="str">
        <f>IF(OR(T20="",P20="",BF20="",T20&lt;=0,BF20&lt;=0),"",(1/Inputs!$B$9)*((T20^2/8)*((2*ACOS(1-2*BF20/T20))-SIN((2*ACOS(1-2*BF20/T20)))))*((((T20^2/8)*((2*ACOS(1-2*BF20/T20))-SIN((2*ACOS(1-2*BF20/T20)))))/((T20/2)*((2*ACOS(1-2*BF20/T20)))))^(2/3))*SQRT(P20))</f>
        <v/>
      </c>
      <c r="BH20" s="14" t="str">
        <f t="shared" si="18"/>
        <v/>
      </c>
      <c r="BI20" s="14" t="str">
        <f t="shared" si="19"/>
        <v/>
      </c>
      <c r="BJ20" s="14" t="str">
        <f t="shared" si="20"/>
        <v/>
      </c>
      <c r="BK20" s="14" t="str">
        <f>IF(OR(T20="",P20="",BJ20="",T20&lt;=0,BJ20&lt;=0),"",(1/Inputs!$B$9)*((T20^2/8)*((2*ACOS(1-2*BJ20/T20))-SIN((2*ACOS(1-2*BJ20/T20)))))*((((T20^2/8)*((2*ACOS(1-2*BJ20/T20))-SIN((2*ACOS(1-2*BJ20/T20)))))/((T20/2)*((2*ACOS(1-2*BJ20/T20)))))^(2/3))*SQRT(P20))</f>
        <v/>
      </c>
      <c r="BL20" s="14" t="str">
        <f t="shared" si="21"/>
        <v/>
      </c>
      <c r="BM20" s="14" t="str">
        <f t="shared" si="22"/>
        <v/>
      </c>
      <c r="BN20" s="14" t="str">
        <f t="shared" si="23"/>
        <v/>
      </c>
      <c r="BO20" s="14" t="str">
        <f>IF(OR(T20="",P20="",BN20="",T20&lt;=0,BN20&lt;=0),"",(1/Inputs!$B$9)*((T20^2/8)*((2*ACOS(1-2*BN20/T20))-SIN((2*ACOS(1-2*BN20/T20)))))*((((T20^2/8)*((2*ACOS(1-2*BN20/T20))-SIN((2*ACOS(1-2*BN20/T20)))))/((T20/2)*((2*ACOS(1-2*BN20/T20)))))^(2/3))*SQRT(P20))</f>
        <v/>
      </c>
      <c r="BP20" s="14" t="str">
        <f t="shared" si="24"/>
        <v/>
      </c>
      <c r="BQ20" s="14" t="str">
        <f t="shared" si="25"/>
        <v/>
      </c>
      <c r="BR20" s="14" t="str">
        <f t="shared" si="26"/>
        <v/>
      </c>
      <c r="BS20" s="14" t="str">
        <f>IF(OR(T20="",P20="",BR20="",T20&lt;=0,BR20&lt;=0),"",(1/Inputs!$B$9)*((T20^2/8)*((2*ACOS(1-2*BR20/T20))-SIN((2*ACOS(1-2*BR20/T20)))))*((((T20^2/8)*((2*ACOS(1-2*BR20/T20))-SIN((2*ACOS(1-2*BR20/T20)))))/((T20/2)*((2*ACOS(1-2*BR20/T20)))))^(2/3))*SQRT(P20))</f>
        <v/>
      </c>
      <c r="BT20" s="14" t="str">
        <f t="shared" si="27"/>
        <v/>
      </c>
      <c r="BU20" s="14" t="str">
        <f t="shared" si="28"/>
        <v/>
      </c>
      <c r="BV20" s="14" t="str">
        <f t="shared" si="29"/>
        <v/>
      </c>
      <c r="BW20" s="14" t="str">
        <f>IF(OR(T20="",P20="",BV20="",T20&lt;=0,BV20&lt;=0),"",(1/Inputs!$B$9)*((T20^2/8)*((2*ACOS(1-2*BV20/T20))-SIN((2*ACOS(1-2*BV20/T20)))))*((((T20^2/8)*((2*ACOS(1-2*BV20/T20))-SIN((2*ACOS(1-2*BV20/T20)))))/((T20/2)*((2*ACOS(1-2*BV20/T20)))))^(2/3))*SQRT(P20))</f>
        <v/>
      </c>
      <c r="BX20" s="14" t="str">
        <f t="shared" si="30"/>
        <v/>
      </c>
      <c r="BY20" s="14" t="str">
        <f t="shared" si="31"/>
        <v/>
      </c>
      <c r="BZ20" s="14" t="str">
        <f t="shared" si="32"/>
        <v/>
      </c>
      <c r="CA20" s="14" t="str">
        <f>IF(OR(T20="",P20="",BZ20="",T20&lt;=0,BZ20&lt;=0),"",(1/Inputs!$B$9)*((T20^2/8)*((2*ACOS(1-2*BZ20/T20))-SIN((2*ACOS(1-2*BZ20/T20)))))*((((T20^2/8)*((2*ACOS(1-2*BZ20/T20))-SIN((2*ACOS(1-2*BZ20/T20)))))/((T20/2)*((2*ACOS(1-2*BZ20/T20)))))^(2/3))*SQRT(P20))</f>
        <v/>
      </c>
      <c r="CB20" s="14" t="str">
        <f t="shared" si="33"/>
        <v/>
      </c>
      <c r="CC20" s="14" t="str">
        <f t="shared" si="34"/>
        <v/>
      </c>
      <c r="CD20" s="14" t="str">
        <f t="shared" si="35"/>
        <v/>
      </c>
      <c r="CE20" s="14" t="str">
        <f>IF(OR(T20="",P20="",CD20="",T20&lt;=0,CD20&lt;=0),"",(1/Inputs!$B$9)*((T20^2/8)*((2*ACOS(1-2*CD20/T20))-SIN((2*ACOS(1-2*CD20/T20)))))*((((T20^2/8)*((2*ACOS(1-2*CD20/T20))-SIN((2*ACOS(1-2*CD20/T20)))))/((T20/2)*((2*ACOS(1-2*CD20/T20)))))^(2/3))*SQRT(P20))</f>
        <v/>
      </c>
      <c r="CF20" s="14" t="str">
        <f t="shared" si="36"/>
        <v/>
      </c>
      <c r="CG20" s="14" t="str">
        <f t="shared" si="37"/>
        <v/>
      </c>
      <c r="CH20" s="14" t="str">
        <f t="shared" si="38"/>
        <v/>
      </c>
    </row>
    <row r="21" spans="1:86" x14ac:dyDescent="0.25">
      <c r="A21" s="14"/>
      <c r="B21" s="14"/>
      <c r="C21" s="14"/>
      <c r="D21" s="14"/>
      <c r="E21" s="44"/>
      <c r="F21" s="44"/>
      <c r="G21" s="44">
        <f>SUMIFS(CB_plan!$G:$G,CB_plan!$F:$F,$A21)</f>
        <v>0</v>
      </c>
      <c r="H21" s="44">
        <f t="shared" si="0"/>
        <v>0</v>
      </c>
      <c r="I21" s="14"/>
      <c r="J21" s="44"/>
      <c r="K21" s="44" t="str">
        <f>IF(A21="","",Inputs!$B$13/((IF(AV21="",Inputs!$B$18,AV21)+Inputs!$B$14)^Inputs!$B$15))</f>
        <v/>
      </c>
      <c r="L21" s="44" t="str">
        <f>IF(A21="","",IF(H21="","",0.000000278*IF(I21&lt;&gt;"",I21,IFERROR(SUMIFS(CB_plan!$H:$H,CB_plan!$F:$F,$A21)/SUMIFS(CB_plan!$G:$G,CB_plan!$F:$F,$A21),Inputs!$B$17))*H21*K21))</f>
        <v/>
      </c>
      <c r="M21" s="44" t="str">
        <f t="shared" si="1"/>
        <v/>
      </c>
      <c r="N21" s="44" t="str">
        <f>IF(A21="","",(L21+M21)*Inputs!$B$16)</f>
        <v/>
      </c>
      <c r="O21" s="44"/>
      <c r="P21" s="44" t="str">
        <f>IF(A21="","",IF(O21="",Inputs!$B$7,O21))</f>
        <v/>
      </c>
      <c r="Q21" s="14" t="str">
        <f>IF(A21="","",IF(N21/Inputs!$B$10&lt;=AG21,Inputs!$F$5,IF(N21/Inputs!$B$10&gt;AP21,"OVERSIZE",INDEX(Inputs!$F$5:$F$14,MATCH(N21/Inputs!$B$10,AG21:AP21,1)+1))))</f>
        <v/>
      </c>
      <c r="R21" s="14"/>
      <c r="S21" s="14" t="str">
        <f t="shared" si="2"/>
        <v/>
      </c>
      <c r="T21" s="44" t="str">
        <f t="shared" si="3"/>
        <v/>
      </c>
      <c r="U21" s="44" t="str">
        <f>IF(T21="","",(1/Inputs!$B$9)*(PI()*T21^2/4)*((T21/4)^(2/3))*SQRT(P21))</f>
        <v/>
      </c>
      <c r="V21" s="44" t="str">
        <f>IF(OR(U21="",N21=""),"",N21/(U21*Inputs!$B$10))</f>
        <v/>
      </c>
      <c r="W21" s="44" t="str">
        <f t="shared" si="4"/>
        <v/>
      </c>
      <c r="X21" s="44"/>
      <c r="Y21" s="44" t="str">
        <f>IF(A21="","",IF(A21=Inputs!$B$6,Inputs!$B$22,IF(D21="","",IFERROR(INDEX($Z$4:$Z$201,MATCH(D21,$A$4:$A$201,0))+IF(X21="",Inputs!$B$20,X21),""))))</f>
        <v/>
      </c>
      <c r="Z21" s="44" t="str">
        <f t="shared" si="5"/>
        <v/>
      </c>
      <c r="AA21" s="44" t="str">
        <f>IF(C21="","",IFERROR(INDEX(Noeuds_plan!$C$4:$C$200,MATCH(C21,Noeuds_plan!$A$4:$A$200,0)),""))</f>
        <v/>
      </c>
      <c r="AB21" s="44" t="str">
        <f>IF(B21="","",IFERROR(INDEX(Noeuds_plan!$C$4:$C$200,MATCH(B21,Noeuds_plan!$A$4:$A$200,0)),""))</f>
        <v/>
      </c>
      <c r="AC21" s="44" t="str">
        <f t="shared" si="6"/>
        <v/>
      </c>
      <c r="AD21" s="44" t="str">
        <f t="shared" si="7"/>
        <v/>
      </c>
      <c r="AE21" s="14" t="str">
        <f>IF(A21="","",IF(OR(V21&gt;1,AND(AY21&lt;&gt;"",AY21&lt;Inputs!$B$11),AND(AY21&lt;&gt;"",AY21&gt;Inputs!$B$12),AC21&lt;Inputs!$B$19,AD21&lt;Inputs!$B$19,P21&lt;Inputs!$B$7,P21&gt;Inputs!$B$8),"CHECK","OK"))</f>
        <v/>
      </c>
      <c r="AF21" s="14"/>
      <c r="AG21" s="14" t="str">
        <f>IF(A21="","",(1/Inputs!$B$9)*(PI()*(Inputs!$F$5/1000)^2/4)*((Inputs!$F$5/1000/4)^(2/3))*SQRT(P21))</f>
        <v/>
      </c>
      <c r="AH21" s="14" t="str">
        <f>IF(A21="","",(1/Inputs!$B$9)*(PI()*(Inputs!$F$6/1000)^2/4)*((Inputs!$F$6/1000/4)^(2/3))*SQRT(P21))</f>
        <v/>
      </c>
      <c r="AI21" s="14" t="str">
        <f>IF(A21="","",(1/Inputs!$B$9)*(PI()*(Inputs!$F$7/1000)^2/4)*((Inputs!$F$7/1000/4)^(2/3))*SQRT(P21))</f>
        <v/>
      </c>
      <c r="AJ21" s="14" t="str">
        <f>IF(A21="","",(1/Inputs!$B$9)*(PI()*(Inputs!$F$8/1000)^2/4)*((Inputs!$F$8/1000/4)^(2/3))*SQRT(P21))</f>
        <v/>
      </c>
      <c r="AK21" s="14" t="str">
        <f>IF(A21="","",(1/Inputs!$B$9)*(PI()*(Inputs!$F$9/1000)^2/4)*((Inputs!$F$9/1000/4)^(2/3))*SQRT(P21))</f>
        <v/>
      </c>
      <c r="AL21" s="14" t="str">
        <f>IF(A21="","",(1/Inputs!$B$9)*(PI()*(Inputs!$F$10/1000)^2/4)*((Inputs!$F$10/1000/4)^(2/3))*SQRT(P21))</f>
        <v/>
      </c>
      <c r="AM21" s="14" t="str">
        <f>IF(A21="","",(1/Inputs!$B$9)*(PI()*(Inputs!$F$11/1000)^2/4)*((Inputs!$F$11/1000/4)^(2/3))*SQRT(P21))</f>
        <v/>
      </c>
      <c r="AN21" s="14" t="str">
        <f>IF(A21="","",(1/Inputs!$B$9)*(PI()*(Inputs!$F$12/1000)^2/4)*((Inputs!$F$12/1000/4)^(2/3))*SQRT(P21))</f>
        <v/>
      </c>
      <c r="AO21" s="14" t="str">
        <f>IF(A21="","",(1/Inputs!$B$9)*(PI()*(Inputs!$F$13/1000)^2/4)*((Inputs!$F$13/1000/4)^(2/3))*SQRT(P21))</f>
        <v/>
      </c>
      <c r="AP21" s="14" t="str">
        <f>IF(A21="","",(1/Inputs!$B$9)*(PI()*(Inputs!$F$14/1000)^2/4)*((Inputs!$F$14/1000/4)^(2/3))*SQRT(P21))</f>
        <v/>
      </c>
      <c r="AQ21" s="14" t="str">
        <f t="shared" si="8"/>
        <v/>
      </c>
      <c r="AR21" s="14" t="str">
        <f t="shared" si="9"/>
        <v/>
      </c>
      <c r="AS21" s="17" t="str">
        <f>IF(A21="","",IF(J21="",Inputs!$B$18,J21))</f>
        <v/>
      </c>
      <c r="AT21" s="17" t="str">
        <f>IF(A21="","",IFERROR(_xludf.maxifs($AV$4:$AV$201,$D$4:$D$201,$A21),""))</f>
        <v/>
      </c>
      <c r="AU21" s="17" t="str">
        <f>IF(A21="","",IF(OR(E21="",Inputs!$B$23=""),"",E21/(Inputs!$B$23*60)))</f>
        <v/>
      </c>
      <c r="AV21" s="17" t="str">
        <f t="shared" si="10"/>
        <v/>
      </c>
      <c r="AW21" s="17" t="str">
        <f t="shared" si="11"/>
        <v/>
      </c>
      <c r="AX21" s="17" t="str">
        <f>IF(OR(T21="",P21=""),"",(1/Inputs!$B$9)*((T21/4)^(2/3))*SQRT(P21))</f>
        <v/>
      </c>
      <c r="AY21" s="17" t="str">
        <f>IF(A21="","",IF(AND(AW21="",AX21="",BA21=""),"",IF(OR(UPPER(TRIM(Inputs!$B$24))="MANNING",UPPER(TRIM(Inputs!$B$24))="M"),AX21,IF(OR(UPPER(TRIM(Inputs!$B$24))="PARTIAL",UPPER(TRIM(Inputs!$B$24))="P"),BA21,IF(OR(UPPER(TRIM(Inputs!$B$24))="MAX",UPPER(TRIM(Inputs!$B$24))="X"),MAX(IF(AW21="",0,AW21),IF(AX21="",0,AX21),IF(BA21="",0,BA21)),AW21)))))</f>
        <v/>
      </c>
      <c r="AZ21" s="17" t="str">
        <f t="shared" si="12"/>
        <v/>
      </c>
      <c r="BA21" s="17" t="str">
        <f t="shared" si="13"/>
        <v/>
      </c>
      <c r="BB21" s="14" t="str">
        <f t="shared" si="14"/>
        <v/>
      </c>
      <c r="BC21" s="14" t="str">
        <f>IF(OR(N21="",T21="",P21=""),"",IF(OR(T21="",P21="",(0.94*T21)="",T21&lt;=0,(0.94*T21)&lt;=0),"",(1/Inputs!$B$9)*((T21^2/8)*((2*ACOS(1-2*(0.94*T21)/T21))-SIN((2*ACOS(1-2*(0.94*T21)/T21)))))*((((T21^2/8)*((2*ACOS(1-2*(0.94*T21)/T21))-SIN((2*ACOS(1-2*(0.94*T21)/T21)))))/((T21/2)*((2*ACOS(1-2*(0.94*T21)/T21)))))^(2/3))*SQRT(P21)))</f>
        <v/>
      </c>
      <c r="BD21" s="14" t="str">
        <f t="shared" si="15"/>
        <v/>
      </c>
      <c r="BE21" s="14" t="str">
        <f t="shared" si="16"/>
        <v/>
      </c>
      <c r="BF21" s="14" t="str">
        <f t="shared" si="17"/>
        <v/>
      </c>
      <c r="BG21" s="14" t="str">
        <f>IF(OR(T21="",P21="",BF21="",T21&lt;=0,BF21&lt;=0),"",(1/Inputs!$B$9)*((T21^2/8)*((2*ACOS(1-2*BF21/T21))-SIN((2*ACOS(1-2*BF21/T21)))))*((((T21^2/8)*((2*ACOS(1-2*BF21/T21))-SIN((2*ACOS(1-2*BF21/T21)))))/((T21/2)*((2*ACOS(1-2*BF21/T21)))))^(2/3))*SQRT(P21))</f>
        <v/>
      </c>
      <c r="BH21" s="14" t="str">
        <f t="shared" si="18"/>
        <v/>
      </c>
      <c r="BI21" s="14" t="str">
        <f t="shared" si="19"/>
        <v/>
      </c>
      <c r="BJ21" s="14" t="str">
        <f t="shared" si="20"/>
        <v/>
      </c>
      <c r="BK21" s="14" t="str">
        <f>IF(OR(T21="",P21="",BJ21="",T21&lt;=0,BJ21&lt;=0),"",(1/Inputs!$B$9)*((T21^2/8)*((2*ACOS(1-2*BJ21/T21))-SIN((2*ACOS(1-2*BJ21/T21)))))*((((T21^2/8)*((2*ACOS(1-2*BJ21/T21))-SIN((2*ACOS(1-2*BJ21/T21)))))/((T21/2)*((2*ACOS(1-2*BJ21/T21)))))^(2/3))*SQRT(P21))</f>
        <v/>
      </c>
      <c r="BL21" s="14" t="str">
        <f t="shared" si="21"/>
        <v/>
      </c>
      <c r="BM21" s="14" t="str">
        <f t="shared" si="22"/>
        <v/>
      </c>
      <c r="BN21" s="14" t="str">
        <f t="shared" si="23"/>
        <v/>
      </c>
      <c r="BO21" s="14" t="str">
        <f>IF(OR(T21="",P21="",BN21="",T21&lt;=0,BN21&lt;=0),"",(1/Inputs!$B$9)*((T21^2/8)*((2*ACOS(1-2*BN21/T21))-SIN((2*ACOS(1-2*BN21/T21)))))*((((T21^2/8)*((2*ACOS(1-2*BN21/T21))-SIN((2*ACOS(1-2*BN21/T21)))))/((T21/2)*((2*ACOS(1-2*BN21/T21)))))^(2/3))*SQRT(P21))</f>
        <v/>
      </c>
      <c r="BP21" s="14" t="str">
        <f t="shared" si="24"/>
        <v/>
      </c>
      <c r="BQ21" s="14" t="str">
        <f t="shared" si="25"/>
        <v/>
      </c>
      <c r="BR21" s="14" t="str">
        <f t="shared" si="26"/>
        <v/>
      </c>
      <c r="BS21" s="14" t="str">
        <f>IF(OR(T21="",P21="",BR21="",T21&lt;=0,BR21&lt;=0),"",(1/Inputs!$B$9)*((T21^2/8)*((2*ACOS(1-2*BR21/T21))-SIN((2*ACOS(1-2*BR21/T21)))))*((((T21^2/8)*((2*ACOS(1-2*BR21/T21))-SIN((2*ACOS(1-2*BR21/T21)))))/((T21/2)*((2*ACOS(1-2*BR21/T21)))))^(2/3))*SQRT(P21))</f>
        <v/>
      </c>
      <c r="BT21" s="14" t="str">
        <f t="shared" si="27"/>
        <v/>
      </c>
      <c r="BU21" s="14" t="str">
        <f t="shared" si="28"/>
        <v/>
      </c>
      <c r="BV21" s="14" t="str">
        <f t="shared" si="29"/>
        <v/>
      </c>
      <c r="BW21" s="14" t="str">
        <f>IF(OR(T21="",P21="",BV21="",T21&lt;=0,BV21&lt;=0),"",(1/Inputs!$B$9)*((T21^2/8)*((2*ACOS(1-2*BV21/T21))-SIN((2*ACOS(1-2*BV21/T21)))))*((((T21^2/8)*((2*ACOS(1-2*BV21/T21))-SIN((2*ACOS(1-2*BV21/T21)))))/((T21/2)*((2*ACOS(1-2*BV21/T21)))))^(2/3))*SQRT(P21))</f>
        <v/>
      </c>
      <c r="BX21" s="14" t="str">
        <f t="shared" si="30"/>
        <v/>
      </c>
      <c r="BY21" s="14" t="str">
        <f t="shared" si="31"/>
        <v/>
      </c>
      <c r="BZ21" s="14" t="str">
        <f t="shared" si="32"/>
        <v/>
      </c>
      <c r="CA21" s="14" t="str">
        <f>IF(OR(T21="",P21="",BZ21="",T21&lt;=0,BZ21&lt;=0),"",(1/Inputs!$B$9)*((T21^2/8)*((2*ACOS(1-2*BZ21/T21))-SIN((2*ACOS(1-2*BZ21/T21)))))*((((T21^2/8)*((2*ACOS(1-2*BZ21/T21))-SIN((2*ACOS(1-2*BZ21/T21)))))/((T21/2)*((2*ACOS(1-2*BZ21/T21)))))^(2/3))*SQRT(P21))</f>
        <v/>
      </c>
      <c r="CB21" s="14" t="str">
        <f t="shared" si="33"/>
        <v/>
      </c>
      <c r="CC21" s="14" t="str">
        <f t="shared" si="34"/>
        <v/>
      </c>
      <c r="CD21" s="14" t="str">
        <f t="shared" si="35"/>
        <v/>
      </c>
      <c r="CE21" s="14" t="str">
        <f>IF(OR(T21="",P21="",CD21="",T21&lt;=0,CD21&lt;=0),"",(1/Inputs!$B$9)*((T21^2/8)*((2*ACOS(1-2*CD21/T21))-SIN((2*ACOS(1-2*CD21/T21)))))*((((T21^2/8)*((2*ACOS(1-2*CD21/T21))-SIN((2*ACOS(1-2*CD21/T21)))))/((T21/2)*((2*ACOS(1-2*CD21/T21)))))^(2/3))*SQRT(P21))</f>
        <v/>
      </c>
      <c r="CF21" s="14" t="str">
        <f t="shared" si="36"/>
        <v/>
      </c>
      <c r="CG21" s="14" t="str">
        <f t="shared" si="37"/>
        <v/>
      </c>
      <c r="CH21" s="14" t="str">
        <f t="shared" si="38"/>
        <v/>
      </c>
    </row>
    <row r="22" spans="1:86" x14ac:dyDescent="0.25">
      <c r="A22" s="14"/>
      <c r="B22" s="14"/>
      <c r="C22" s="14"/>
      <c r="D22" s="14"/>
      <c r="E22" s="44"/>
      <c r="F22" s="44"/>
      <c r="G22" s="44">
        <f>SUMIFS(CB_plan!$G:$G,CB_plan!$F:$F,$A22)</f>
        <v>0</v>
      </c>
      <c r="H22" s="44">
        <f t="shared" si="0"/>
        <v>0</v>
      </c>
      <c r="I22" s="14"/>
      <c r="J22" s="44"/>
      <c r="K22" s="44" t="str">
        <f>IF(A22="","",Inputs!$B$13/((IF(AV22="",Inputs!$B$18,AV22)+Inputs!$B$14)^Inputs!$B$15))</f>
        <v/>
      </c>
      <c r="L22" s="44" t="str">
        <f>IF(A22="","",IF(H22="","",0.000000278*IF(I22&lt;&gt;"",I22,IFERROR(SUMIFS(CB_plan!$H:$H,CB_plan!$F:$F,$A22)/SUMIFS(CB_plan!$G:$G,CB_plan!$F:$F,$A22),Inputs!$B$17))*H22*K22))</f>
        <v/>
      </c>
      <c r="M22" s="44" t="str">
        <f t="shared" si="1"/>
        <v/>
      </c>
      <c r="N22" s="44" t="str">
        <f>IF(A22="","",(L22+M22)*Inputs!$B$16)</f>
        <v/>
      </c>
      <c r="O22" s="44"/>
      <c r="P22" s="44" t="str">
        <f>IF(A22="","",IF(O22="",Inputs!$B$7,O22))</f>
        <v/>
      </c>
      <c r="Q22" s="14" t="str">
        <f>IF(A22="","",IF(N22/Inputs!$B$10&lt;=AG22,Inputs!$F$5,IF(N22/Inputs!$B$10&gt;AP22,"OVERSIZE",INDEX(Inputs!$F$5:$F$14,MATCH(N22/Inputs!$B$10,AG22:AP22,1)+1))))</f>
        <v/>
      </c>
      <c r="R22" s="14"/>
      <c r="S22" s="14" t="str">
        <f t="shared" si="2"/>
        <v/>
      </c>
      <c r="T22" s="44" t="str">
        <f t="shared" si="3"/>
        <v/>
      </c>
      <c r="U22" s="44" t="str">
        <f>IF(T22="","",(1/Inputs!$B$9)*(PI()*T22^2/4)*((T22/4)^(2/3))*SQRT(P22))</f>
        <v/>
      </c>
      <c r="V22" s="44" t="str">
        <f>IF(OR(U22="",N22=""),"",N22/(U22*Inputs!$B$10))</f>
        <v/>
      </c>
      <c r="W22" s="44" t="str">
        <f t="shared" si="4"/>
        <v/>
      </c>
      <c r="X22" s="44"/>
      <c r="Y22" s="44" t="str">
        <f>IF(A22="","",IF(A22=Inputs!$B$6,Inputs!$B$22,IF(D22="","",IFERROR(INDEX($Z$4:$Z$201,MATCH(D22,$A$4:$A$201,0))+IF(X22="",Inputs!$B$20,X22),""))))</f>
        <v/>
      </c>
      <c r="Z22" s="44" t="str">
        <f t="shared" si="5"/>
        <v/>
      </c>
      <c r="AA22" s="44" t="str">
        <f>IF(C22="","",IFERROR(INDEX(Noeuds_plan!$C$4:$C$200,MATCH(C22,Noeuds_plan!$A$4:$A$200,0)),""))</f>
        <v/>
      </c>
      <c r="AB22" s="44" t="str">
        <f>IF(B22="","",IFERROR(INDEX(Noeuds_plan!$C$4:$C$200,MATCH(B22,Noeuds_plan!$A$4:$A$200,0)),""))</f>
        <v/>
      </c>
      <c r="AC22" s="44" t="str">
        <f t="shared" si="6"/>
        <v/>
      </c>
      <c r="AD22" s="44" t="str">
        <f t="shared" si="7"/>
        <v/>
      </c>
      <c r="AE22" s="14" t="str">
        <f>IF(A22="","",IF(OR(V22&gt;1,AND(AY22&lt;&gt;"",AY22&lt;Inputs!$B$11),AND(AY22&lt;&gt;"",AY22&gt;Inputs!$B$12),AC22&lt;Inputs!$B$19,AD22&lt;Inputs!$B$19,P22&lt;Inputs!$B$7,P22&gt;Inputs!$B$8),"CHECK","OK"))</f>
        <v/>
      </c>
      <c r="AF22" s="14"/>
      <c r="AG22" s="14" t="str">
        <f>IF(A22="","",(1/Inputs!$B$9)*(PI()*(Inputs!$F$5/1000)^2/4)*((Inputs!$F$5/1000/4)^(2/3))*SQRT(P22))</f>
        <v/>
      </c>
      <c r="AH22" s="14" t="str">
        <f>IF(A22="","",(1/Inputs!$B$9)*(PI()*(Inputs!$F$6/1000)^2/4)*((Inputs!$F$6/1000/4)^(2/3))*SQRT(P22))</f>
        <v/>
      </c>
      <c r="AI22" s="14" t="str">
        <f>IF(A22="","",(1/Inputs!$B$9)*(PI()*(Inputs!$F$7/1000)^2/4)*((Inputs!$F$7/1000/4)^(2/3))*SQRT(P22))</f>
        <v/>
      </c>
      <c r="AJ22" s="14" t="str">
        <f>IF(A22="","",(1/Inputs!$B$9)*(PI()*(Inputs!$F$8/1000)^2/4)*((Inputs!$F$8/1000/4)^(2/3))*SQRT(P22))</f>
        <v/>
      </c>
      <c r="AK22" s="14" t="str">
        <f>IF(A22="","",(1/Inputs!$B$9)*(PI()*(Inputs!$F$9/1000)^2/4)*((Inputs!$F$9/1000/4)^(2/3))*SQRT(P22))</f>
        <v/>
      </c>
      <c r="AL22" s="14" t="str">
        <f>IF(A22="","",(1/Inputs!$B$9)*(PI()*(Inputs!$F$10/1000)^2/4)*((Inputs!$F$10/1000/4)^(2/3))*SQRT(P22))</f>
        <v/>
      </c>
      <c r="AM22" s="14" t="str">
        <f>IF(A22="","",(1/Inputs!$B$9)*(PI()*(Inputs!$F$11/1000)^2/4)*((Inputs!$F$11/1000/4)^(2/3))*SQRT(P22))</f>
        <v/>
      </c>
      <c r="AN22" s="14" t="str">
        <f>IF(A22="","",(1/Inputs!$B$9)*(PI()*(Inputs!$F$12/1000)^2/4)*((Inputs!$F$12/1000/4)^(2/3))*SQRT(P22))</f>
        <v/>
      </c>
      <c r="AO22" s="14" t="str">
        <f>IF(A22="","",(1/Inputs!$B$9)*(PI()*(Inputs!$F$13/1000)^2/4)*((Inputs!$F$13/1000/4)^(2/3))*SQRT(P22))</f>
        <v/>
      </c>
      <c r="AP22" s="14" t="str">
        <f>IF(A22="","",(1/Inputs!$B$9)*(PI()*(Inputs!$F$14/1000)^2/4)*((Inputs!$F$14/1000/4)^(2/3))*SQRT(P22))</f>
        <v/>
      </c>
      <c r="AQ22" s="14" t="str">
        <f t="shared" si="8"/>
        <v/>
      </c>
      <c r="AR22" s="14" t="str">
        <f t="shared" si="9"/>
        <v/>
      </c>
      <c r="AS22" s="17" t="str">
        <f>IF(A22="","",IF(J22="",Inputs!$B$18,J22))</f>
        <v/>
      </c>
      <c r="AT22" s="17" t="str">
        <f>IF(A22="","",IFERROR(_xludf.maxifs($AV$4:$AV$201,$D$4:$D$201,$A22),""))</f>
        <v/>
      </c>
      <c r="AU22" s="17" t="str">
        <f>IF(A22="","",IF(OR(E22="",Inputs!$B$23=""),"",E22/(Inputs!$B$23*60)))</f>
        <v/>
      </c>
      <c r="AV22" s="17" t="str">
        <f t="shared" si="10"/>
        <v/>
      </c>
      <c r="AW22" s="17" t="str">
        <f t="shared" si="11"/>
        <v/>
      </c>
      <c r="AX22" s="17" t="str">
        <f>IF(OR(T22="",P22=""),"",(1/Inputs!$B$9)*((T22/4)^(2/3))*SQRT(P22))</f>
        <v/>
      </c>
      <c r="AY22" s="17" t="str">
        <f>IF(A22="","",IF(AND(AW22="",AX22="",BA22=""),"",IF(OR(UPPER(TRIM(Inputs!$B$24))="MANNING",UPPER(TRIM(Inputs!$B$24))="M"),AX22,IF(OR(UPPER(TRIM(Inputs!$B$24))="PARTIAL",UPPER(TRIM(Inputs!$B$24))="P"),BA22,IF(OR(UPPER(TRIM(Inputs!$B$24))="MAX",UPPER(TRIM(Inputs!$B$24))="X"),MAX(IF(AW22="",0,AW22),IF(AX22="",0,AX22),IF(BA22="",0,BA22)),AW22)))))</f>
        <v/>
      </c>
      <c r="AZ22" s="17" t="str">
        <f t="shared" si="12"/>
        <v/>
      </c>
      <c r="BA22" s="17" t="str">
        <f t="shared" si="13"/>
        <v/>
      </c>
      <c r="BB22" s="14" t="str">
        <f t="shared" si="14"/>
        <v/>
      </c>
      <c r="BC22" s="14" t="str">
        <f>IF(OR(N22="",T22="",P22=""),"",IF(OR(T22="",P22="",(0.94*T22)="",T22&lt;=0,(0.94*T22)&lt;=0),"",(1/Inputs!$B$9)*((T22^2/8)*((2*ACOS(1-2*(0.94*T22)/T22))-SIN((2*ACOS(1-2*(0.94*T22)/T22)))))*((((T22^2/8)*((2*ACOS(1-2*(0.94*T22)/T22))-SIN((2*ACOS(1-2*(0.94*T22)/T22)))))/((T22/2)*((2*ACOS(1-2*(0.94*T22)/T22)))))^(2/3))*SQRT(P22)))</f>
        <v/>
      </c>
      <c r="BD22" s="14" t="str">
        <f t="shared" si="15"/>
        <v/>
      </c>
      <c r="BE22" s="14" t="str">
        <f t="shared" si="16"/>
        <v/>
      </c>
      <c r="BF22" s="14" t="str">
        <f t="shared" si="17"/>
        <v/>
      </c>
      <c r="BG22" s="14" t="str">
        <f>IF(OR(T22="",P22="",BF22="",T22&lt;=0,BF22&lt;=0),"",(1/Inputs!$B$9)*((T22^2/8)*((2*ACOS(1-2*BF22/T22))-SIN((2*ACOS(1-2*BF22/T22)))))*((((T22^2/8)*((2*ACOS(1-2*BF22/T22))-SIN((2*ACOS(1-2*BF22/T22)))))/((T22/2)*((2*ACOS(1-2*BF22/T22)))))^(2/3))*SQRT(P22))</f>
        <v/>
      </c>
      <c r="BH22" s="14" t="str">
        <f t="shared" si="18"/>
        <v/>
      </c>
      <c r="BI22" s="14" t="str">
        <f t="shared" si="19"/>
        <v/>
      </c>
      <c r="BJ22" s="14" t="str">
        <f t="shared" si="20"/>
        <v/>
      </c>
      <c r="BK22" s="14" t="str">
        <f>IF(OR(T22="",P22="",BJ22="",T22&lt;=0,BJ22&lt;=0),"",(1/Inputs!$B$9)*((T22^2/8)*((2*ACOS(1-2*BJ22/T22))-SIN((2*ACOS(1-2*BJ22/T22)))))*((((T22^2/8)*((2*ACOS(1-2*BJ22/T22))-SIN((2*ACOS(1-2*BJ22/T22)))))/((T22/2)*((2*ACOS(1-2*BJ22/T22)))))^(2/3))*SQRT(P22))</f>
        <v/>
      </c>
      <c r="BL22" s="14" t="str">
        <f t="shared" si="21"/>
        <v/>
      </c>
      <c r="BM22" s="14" t="str">
        <f t="shared" si="22"/>
        <v/>
      </c>
      <c r="BN22" s="14" t="str">
        <f t="shared" si="23"/>
        <v/>
      </c>
      <c r="BO22" s="14" t="str">
        <f>IF(OR(T22="",P22="",BN22="",T22&lt;=0,BN22&lt;=0),"",(1/Inputs!$B$9)*((T22^2/8)*((2*ACOS(1-2*BN22/T22))-SIN((2*ACOS(1-2*BN22/T22)))))*((((T22^2/8)*((2*ACOS(1-2*BN22/T22))-SIN((2*ACOS(1-2*BN22/T22)))))/((T22/2)*((2*ACOS(1-2*BN22/T22)))))^(2/3))*SQRT(P22))</f>
        <v/>
      </c>
      <c r="BP22" s="14" t="str">
        <f t="shared" si="24"/>
        <v/>
      </c>
      <c r="BQ22" s="14" t="str">
        <f t="shared" si="25"/>
        <v/>
      </c>
      <c r="BR22" s="14" t="str">
        <f t="shared" si="26"/>
        <v/>
      </c>
      <c r="BS22" s="14" t="str">
        <f>IF(OR(T22="",P22="",BR22="",T22&lt;=0,BR22&lt;=0),"",(1/Inputs!$B$9)*((T22^2/8)*((2*ACOS(1-2*BR22/T22))-SIN((2*ACOS(1-2*BR22/T22)))))*((((T22^2/8)*((2*ACOS(1-2*BR22/T22))-SIN((2*ACOS(1-2*BR22/T22)))))/((T22/2)*((2*ACOS(1-2*BR22/T22)))))^(2/3))*SQRT(P22))</f>
        <v/>
      </c>
      <c r="BT22" s="14" t="str">
        <f t="shared" si="27"/>
        <v/>
      </c>
      <c r="BU22" s="14" t="str">
        <f t="shared" si="28"/>
        <v/>
      </c>
      <c r="BV22" s="14" t="str">
        <f t="shared" si="29"/>
        <v/>
      </c>
      <c r="BW22" s="14" t="str">
        <f>IF(OR(T22="",P22="",BV22="",T22&lt;=0,BV22&lt;=0),"",(1/Inputs!$B$9)*((T22^2/8)*((2*ACOS(1-2*BV22/T22))-SIN((2*ACOS(1-2*BV22/T22)))))*((((T22^2/8)*((2*ACOS(1-2*BV22/T22))-SIN((2*ACOS(1-2*BV22/T22)))))/((T22/2)*((2*ACOS(1-2*BV22/T22)))))^(2/3))*SQRT(P22))</f>
        <v/>
      </c>
      <c r="BX22" s="14" t="str">
        <f t="shared" si="30"/>
        <v/>
      </c>
      <c r="BY22" s="14" t="str">
        <f t="shared" si="31"/>
        <v/>
      </c>
      <c r="BZ22" s="14" t="str">
        <f t="shared" si="32"/>
        <v/>
      </c>
      <c r="CA22" s="14" t="str">
        <f>IF(OR(T22="",P22="",BZ22="",T22&lt;=0,BZ22&lt;=0),"",(1/Inputs!$B$9)*((T22^2/8)*((2*ACOS(1-2*BZ22/T22))-SIN((2*ACOS(1-2*BZ22/T22)))))*((((T22^2/8)*((2*ACOS(1-2*BZ22/T22))-SIN((2*ACOS(1-2*BZ22/T22)))))/((T22/2)*((2*ACOS(1-2*BZ22/T22)))))^(2/3))*SQRT(P22))</f>
        <v/>
      </c>
      <c r="CB22" s="14" t="str">
        <f t="shared" si="33"/>
        <v/>
      </c>
      <c r="CC22" s="14" t="str">
        <f t="shared" si="34"/>
        <v/>
      </c>
      <c r="CD22" s="14" t="str">
        <f t="shared" si="35"/>
        <v/>
      </c>
      <c r="CE22" s="14" t="str">
        <f>IF(OR(T22="",P22="",CD22="",T22&lt;=0,CD22&lt;=0),"",(1/Inputs!$B$9)*((T22^2/8)*((2*ACOS(1-2*CD22/T22))-SIN((2*ACOS(1-2*CD22/T22)))))*((((T22^2/8)*((2*ACOS(1-2*CD22/T22))-SIN((2*ACOS(1-2*CD22/T22)))))/((T22/2)*((2*ACOS(1-2*CD22/T22)))))^(2/3))*SQRT(P22))</f>
        <v/>
      </c>
      <c r="CF22" s="14" t="str">
        <f t="shared" si="36"/>
        <v/>
      </c>
      <c r="CG22" s="14" t="str">
        <f t="shared" si="37"/>
        <v/>
      </c>
      <c r="CH22" s="14" t="str">
        <f t="shared" si="38"/>
        <v/>
      </c>
    </row>
    <row r="23" spans="1:86" x14ac:dyDescent="0.25">
      <c r="A23" s="14"/>
      <c r="B23" s="14"/>
      <c r="C23" s="14"/>
      <c r="D23" s="14"/>
      <c r="E23" s="44"/>
      <c r="F23" s="44"/>
      <c r="G23" s="44">
        <f>SUMIFS(CB_plan!$G:$G,CB_plan!$F:$F,$A23)</f>
        <v>0</v>
      </c>
      <c r="H23" s="44">
        <f t="shared" si="0"/>
        <v>0</v>
      </c>
      <c r="I23" s="14"/>
      <c r="J23" s="44"/>
      <c r="K23" s="44" t="str">
        <f>IF(A23="","",Inputs!$B$13/((IF(AV23="",Inputs!$B$18,AV23)+Inputs!$B$14)^Inputs!$B$15))</f>
        <v/>
      </c>
      <c r="L23" s="44" t="str">
        <f>IF(A23="","",IF(H23="","",0.000000278*IF(I23&lt;&gt;"",I23,IFERROR(SUMIFS(CB_plan!$H:$H,CB_plan!$F:$F,$A23)/SUMIFS(CB_plan!$G:$G,CB_plan!$F:$F,$A23),Inputs!$B$17))*H23*K23))</f>
        <v/>
      </c>
      <c r="M23" s="44" t="str">
        <f t="shared" si="1"/>
        <v/>
      </c>
      <c r="N23" s="44" t="str">
        <f>IF(A23="","",(L23+M23)*Inputs!$B$16)</f>
        <v/>
      </c>
      <c r="O23" s="44"/>
      <c r="P23" s="44" t="str">
        <f>IF(A23="","",IF(O23="",Inputs!$B$7,O23))</f>
        <v/>
      </c>
      <c r="Q23" s="14" t="str">
        <f>IF(A23="","",IF(N23/Inputs!$B$10&lt;=AG23,Inputs!$F$5,IF(N23/Inputs!$B$10&gt;AP23,"OVERSIZE",INDEX(Inputs!$F$5:$F$14,MATCH(N23/Inputs!$B$10,AG23:AP23,1)+1))))</f>
        <v/>
      </c>
      <c r="R23" s="14"/>
      <c r="S23" s="14" t="str">
        <f t="shared" si="2"/>
        <v/>
      </c>
      <c r="T23" s="44" t="str">
        <f t="shared" si="3"/>
        <v/>
      </c>
      <c r="U23" s="44" t="str">
        <f>IF(T23="","",(1/Inputs!$B$9)*(PI()*T23^2/4)*((T23/4)^(2/3))*SQRT(P23))</f>
        <v/>
      </c>
      <c r="V23" s="44" t="str">
        <f>IF(OR(U23="",N23=""),"",N23/(U23*Inputs!$B$10))</f>
        <v/>
      </c>
      <c r="W23" s="44" t="str">
        <f t="shared" si="4"/>
        <v/>
      </c>
      <c r="X23" s="44"/>
      <c r="Y23" s="44" t="str">
        <f>IF(A23="","",IF(A23=Inputs!$B$6,Inputs!$B$22,IF(D23="","",IFERROR(INDEX($Z$4:$Z$201,MATCH(D23,$A$4:$A$201,0))+IF(X23="",Inputs!$B$20,X23),""))))</f>
        <v/>
      </c>
      <c r="Z23" s="44" t="str">
        <f t="shared" si="5"/>
        <v/>
      </c>
      <c r="AA23" s="44" t="str">
        <f>IF(C23="","",IFERROR(INDEX(Noeuds_plan!$C$4:$C$200,MATCH(C23,Noeuds_plan!$A$4:$A$200,0)),""))</f>
        <v/>
      </c>
      <c r="AB23" s="44" t="str">
        <f>IF(B23="","",IFERROR(INDEX(Noeuds_plan!$C$4:$C$200,MATCH(B23,Noeuds_plan!$A$4:$A$200,0)),""))</f>
        <v/>
      </c>
      <c r="AC23" s="44" t="str">
        <f t="shared" si="6"/>
        <v/>
      </c>
      <c r="AD23" s="44" t="str">
        <f t="shared" si="7"/>
        <v/>
      </c>
      <c r="AE23" s="14" t="str">
        <f>IF(A23="","",IF(OR(V23&gt;1,AND(AY23&lt;&gt;"",AY23&lt;Inputs!$B$11),AND(AY23&lt;&gt;"",AY23&gt;Inputs!$B$12),AC23&lt;Inputs!$B$19,AD23&lt;Inputs!$B$19,P23&lt;Inputs!$B$7,P23&gt;Inputs!$B$8),"CHECK","OK"))</f>
        <v/>
      </c>
      <c r="AF23" s="14"/>
      <c r="AG23" s="14" t="str">
        <f>IF(A23="","",(1/Inputs!$B$9)*(PI()*(Inputs!$F$5/1000)^2/4)*((Inputs!$F$5/1000/4)^(2/3))*SQRT(P23))</f>
        <v/>
      </c>
      <c r="AH23" s="14" t="str">
        <f>IF(A23="","",(1/Inputs!$B$9)*(PI()*(Inputs!$F$6/1000)^2/4)*((Inputs!$F$6/1000/4)^(2/3))*SQRT(P23))</f>
        <v/>
      </c>
      <c r="AI23" s="14" t="str">
        <f>IF(A23="","",(1/Inputs!$B$9)*(PI()*(Inputs!$F$7/1000)^2/4)*((Inputs!$F$7/1000/4)^(2/3))*SQRT(P23))</f>
        <v/>
      </c>
      <c r="AJ23" s="14" t="str">
        <f>IF(A23="","",(1/Inputs!$B$9)*(PI()*(Inputs!$F$8/1000)^2/4)*((Inputs!$F$8/1000/4)^(2/3))*SQRT(P23))</f>
        <v/>
      </c>
      <c r="AK23" s="14" t="str">
        <f>IF(A23="","",(1/Inputs!$B$9)*(PI()*(Inputs!$F$9/1000)^2/4)*((Inputs!$F$9/1000/4)^(2/3))*SQRT(P23))</f>
        <v/>
      </c>
      <c r="AL23" s="14" t="str">
        <f>IF(A23="","",(1/Inputs!$B$9)*(PI()*(Inputs!$F$10/1000)^2/4)*((Inputs!$F$10/1000/4)^(2/3))*SQRT(P23))</f>
        <v/>
      </c>
      <c r="AM23" s="14" t="str">
        <f>IF(A23="","",(1/Inputs!$B$9)*(PI()*(Inputs!$F$11/1000)^2/4)*((Inputs!$F$11/1000/4)^(2/3))*SQRT(P23))</f>
        <v/>
      </c>
      <c r="AN23" s="14" t="str">
        <f>IF(A23="","",(1/Inputs!$B$9)*(PI()*(Inputs!$F$12/1000)^2/4)*((Inputs!$F$12/1000/4)^(2/3))*SQRT(P23))</f>
        <v/>
      </c>
      <c r="AO23" s="14" t="str">
        <f>IF(A23="","",(1/Inputs!$B$9)*(PI()*(Inputs!$F$13/1000)^2/4)*((Inputs!$F$13/1000/4)^(2/3))*SQRT(P23))</f>
        <v/>
      </c>
      <c r="AP23" s="14" t="str">
        <f>IF(A23="","",(1/Inputs!$B$9)*(PI()*(Inputs!$F$14/1000)^2/4)*((Inputs!$F$14/1000/4)^(2/3))*SQRT(P23))</f>
        <v/>
      </c>
      <c r="AQ23" s="14" t="str">
        <f t="shared" si="8"/>
        <v/>
      </c>
      <c r="AR23" s="14" t="str">
        <f t="shared" si="9"/>
        <v/>
      </c>
      <c r="AS23" s="17" t="str">
        <f>IF(A23="","",IF(J23="",Inputs!$B$18,J23))</f>
        <v/>
      </c>
      <c r="AT23" s="17" t="str">
        <f>IF(A23="","",IFERROR(_xludf.maxifs($AV$4:$AV$201,$D$4:$D$201,$A23),""))</f>
        <v/>
      </c>
      <c r="AU23" s="17" t="str">
        <f>IF(A23="","",IF(OR(E23="",Inputs!$B$23=""),"",E23/(Inputs!$B$23*60)))</f>
        <v/>
      </c>
      <c r="AV23" s="17" t="str">
        <f t="shared" si="10"/>
        <v/>
      </c>
      <c r="AW23" s="17" t="str">
        <f t="shared" si="11"/>
        <v/>
      </c>
      <c r="AX23" s="17" t="str">
        <f>IF(OR(T23="",P23=""),"",(1/Inputs!$B$9)*((T23/4)^(2/3))*SQRT(P23))</f>
        <v/>
      </c>
      <c r="AY23" s="17" t="str">
        <f>IF(A23="","",IF(AND(AW23="",AX23="",BA23=""),"",IF(OR(UPPER(TRIM(Inputs!$B$24))="MANNING",UPPER(TRIM(Inputs!$B$24))="M"),AX23,IF(OR(UPPER(TRIM(Inputs!$B$24))="PARTIAL",UPPER(TRIM(Inputs!$B$24))="P"),BA23,IF(OR(UPPER(TRIM(Inputs!$B$24))="MAX",UPPER(TRIM(Inputs!$B$24))="X"),MAX(IF(AW23="",0,AW23),IF(AX23="",0,AX23),IF(BA23="",0,BA23)),AW23)))))</f>
        <v/>
      </c>
      <c r="AZ23" s="17" t="str">
        <f t="shared" si="12"/>
        <v/>
      </c>
      <c r="BA23" s="17" t="str">
        <f t="shared" si="13"/>
        <v/>
      </c>
      <c r="BB23" s="14" t="str">
        <f t="shared" si="14"/>
        <v/>
      </c>
      <c r="BC23" s="14" t="str">
        <f>IF(OR(N23="",T23="",P23=""),"",IF(OR(T23="",P23="",(0.94*T23)="",T23&lt;=0,(0.94*T23)&lt;=0),"",(1/Inputs!$B$9)*((T23^2/8)*((2*ACOS(1-2*(0.94*T23)/T23))-SIN((2*ACOS(1-2*(0.94*T23)/T23)))))*((((T23^2/8)*((2*ACOS(1-2*(0.94*T23)/T23))-SIN((2*ACOS(1-2*(0.94*T23)/T23)))))/((T23/2)*((2*ACOS(1-2*(0.94*T23)/T23)))))^(2/3))*SQRT(P23)))</f>
        <v/>
      </c>
      <c r="BD23" s="14" t="str">
        <f t="shared" si="15"/>
        <v/>
      </c>
      <c r="BE23" s="14" t="str">
        <f t="shared" si="16"/>
        <v/>
      </c>
      <c r="BF23" s="14" t="str">
        <f t="shared" si="17"/>
        <v/>
      </c>
      <c r="BG23" s="14" t="str">
        <f>IF(OR(T23="",P23="",BF23="",T23&lt;=0,BF23&lt;=0),"",(1/Inputs!$B$9)*((T23^2/8)*((2*ACOS(1-2*BF23/T23))-SIN((2*ACOS(1-2*BF23/T23)))))*((((T23^2/8)*((2*ACOS(1-2*BF23/T23))-SIN((2*ACOS(1-2*BF23/T23)))))/((T23/2)*((2*ACOS(1-2*BF23/T23)))))^(2/3))*SQRT(P23))</f>
        <v/>
      </c>
      <c r="BH23" s="14" t="str">
        <f t="shared" si="18"/>
        <v/>
      </c>
      <c r="BI23" s="14" t="str">
        <f t="shared" si="19"/>
        <v/>
      </c>
      <c r="BJ23" s="14" t="str">
        <f t="shared" si="20"/>
        <v/>
      </c>
      <c r="BK23" s="14" t="str">
        <f>IF(OR(T23="",P23="",BJ23="",T23&lt;=0,BJ23&lt;=0),"",(1/Inputs!$B$9)*((T23^2/8)*((2*ACOS(1-2*BJ23/T23))-SIN((2*ACOS(1-2*BJ23/T23)))))*((((T23^2/8)*((2*ACOS(1-2*BJ23/T23))-SIN((2*ACOS(1-2*BJ23/T23)))))/((T23/2)*((2*ACOS(1-2*BJ23/T23)))))^(2/3))*SQRT(P23))</f>
        <v/>
      </c>
      <c r="BL23" s="14" t="str">
        <f t="shared" si="21"/>
        <v/>
      </c>
      <c r="BM23" s="14" t="str">
        <f t="shared" si="22"/>
        <v/>
      </c>
      <c r="BN23" s="14" t="str">
        <f t="shared" si="23"/>
        <v/>
      </c>
      <c r="BO23" s="14" t="str">
        <f>IF(OR(T23="",P23="",BN23="",T23&lt;=0,BN23&lt;=0),"",(1/Inputs!$B$9)*((T23^2/8)*((2*ACOS(1-2*BN23/T23))-SIN((2*ACOS(1-2*BN23/T23)))))*((((T23^2/8)*((2*ACOS(1-2*BN23/T23))-SIN((2*ACOS(1-2*BN23/T23)))))/((T23/2)*((2*ACOS(1-2*BN23/T23)))))^(2/3))*SQRT(P23))</f>
        <v/>
      </c>
      <c r="BP23" s="14" t="str">
        <f t="shared" si="24"/>
        <v/>
      </c>
      <c r="BQ23" s="14" t="str">
        <f t="shared" si="25"/>
        <v/>
      </c>
      <c r="BR23" s="14" t="str">
        <f t="shared" si="26"/>
        <v/>
      </c>
      <c r="BS23" s="14" t="str">
        <f>IF(OR(T23="",P23="",BR23="",T23&lt;=0,BR23&lt;=0),"",(1/Inputs!$B$9)*((T23^2/8)*((2*ACOS(1-2*BR23/T23))-SIN((2*ACOS(1-2*BR23/T23)))))*((((T23^2/8)*((2*ACOS(1-2*BR23/T23))-SIN((2*ACOS(1-2*BR23/T23)))))/((T23/2)*((2*ACOS(1-2*BR23/T23)))))^(2/3))*SQRT(P23))</f>
        <v/>
      </c>
      <c r="BT23" s="14" t="str">
        <f t="shared" si="27"/>
        <v/>
      </c>
      <c r="BU23" s="14" t="str">
        <f t="shared" si="28"/>
        <v/>
      </c>
      <c r="BV23" s="14" t="str">
        <f t="shared" si="29"/>
        <v/>
      </c>
      <c r="BW23" s="14" t="str">
        <f>IF(OR(T23="",P23="",BV23="",T23&lt;=0,BV23&lt;=0),"",(1/Inputs!$B$9)*((T23^2/8)*((2*ACOS(1-2*BV23/T23))-SIN((2*ACOS(1-2*BV23/T23)))))*((((T23^2/8)*((2*ACOS(1-2*BV23/T23))-SIN((2*ACOS(1-2*BV23/T23)))))/((T23/2)*((2*ACOS(1-2*BV23/T23)))))^(2/3))*SQRT(P23))</f>
        <v/>
      </c>
      <c r="BX23" s="14" t="str">
        <f t="shared" si="30"/>
        <v/>
      </c>
      <c r="BY23" s="14" t="str">
        <f t="shared" si="31"/>
        <v/>
      </c>
      <c r="BZ23" s="14" t="str">
        <f t="shared" si="32"/>
        <v/>
      </c>
      <c r="CA23" s="14" t="str">
        <f>IF(OR(T23="",P23="",BZ23="",T23&lt;=0,BZ23&lt;=0),"",(1/Inputs!$B$9)*((T23^2/8)*((2*ACOS(1-2*BZ23/T23))-SIN((2*ACOS(1-2*BZ23/T23)))))*((((T23^2/8)*((2*ACOS(1-2*BZ23/T23))-SIN((2*ACOS(1-2*BZ23/T23)))))/((T23/2)*((2*ACOS(1-2*BZ23/T23)))))^(2/3))*SQRT(P23))</f>
        <v/>
      </c>
      <c r="CB23" s="14" t="str">
        <f t="shared" si="33"/>
        <v/>
      </c>
      <c r="CC23" s="14" t="str">
        <f t="shared" si="34"/>
        <v/>
      </c>
      <c r="CD23" s="14" t="str">
        <f t="shared" si="35"/>
        <v/>
      </c>
      <c r="CE23" s="14" t="str">
        <f>IF(OR(T23="",P23="",CD23="",T23&lt;=0,CD23&lt;=0),"",(1/Inputs!$B$9)*((T23^2/8)*((2*ACOS(1-2*CD23/T23))-SIN((2*ACOS(1-2*CD23/T23)))))*((((T23^2/8)*((2*ACOS(1-2*CD23/T23))-SIN((2*ACOS(1-2*CD23/T23)))))/((T23/2)*((2*ACOS(1-2*CD23/T23)))))^(2/3))*SQRT(P23))</f>
        <v/>
      </c>
      <c r="CF23" s="14" t="str">
        <f t="shared" si="36"/>
        <v/>
      </c>
      <c r="CG23" s="14" t="str">
        <f t="shared" si="37"/>
        <v/>
      </c>
      <c r="CH23" s="14" t="str">
        <f t="shared" si="38"/>
        <v/>
      </c>
    </row>
    <row r="24" spans="1:86" x14ac:dyDescent="0.25">
      <c r="A24" s="14"/>
      <c r="B24" s="14"/>
      <c r="C24" s="14"/>
      <c r="D24" s="14"/>
      <c r="E24" s="44"/>
      <c r="F24" s="44"/>
      <c r="G24" s="44">
        <f>SUMIFS(CB_plan!$G:$G,CB_plan!$F:$F,$A24)</f>
        <v>0</v>
      </c>
      <c r="H24" s="44">
        <f t="shared" si="0"/>
        <v>0</v>
      </c>
      <c r="I24" s="14"/>
      <c r="J24" s="44"/>
      <c r="K24" s="44" t="str">
        <f>IF(A24="","",Inputs!$B$13/((IF(AV24="",Inputs!$B$18,AV24)+Inputs!$B$14)^Inputs!$B$15))</f>
        <v/>
      </c>
      <c r="L24" s="44" t="str">
        <f>IF(A24="","",IF(H24="","",0.000000278*IF(I24&lt;&gt;"",I24,IFERROR(SUMIFS(CB_plan!$H:$H,CB_plan!$F:$F,$A24)/SUMIFS(CB_plan!$G:$G,CB_plan!$F:$F,$A24),Inputs!$B$17))*H24*K24))</f>
        <v/>
      </c>
      <c r="M24" s="44" t="str">
        <f t="shared" si="1"/>
        <v/>
      </c>
      <c r="N24" s="44" t="str">
        <f>IF(A24="","",(L24+M24)*Inputs!$B$16)</f>
        <v/>
      </c>
      <c r="O24" s="44"/>
      <c r="P24" s="44" t="str">
        <f>IF(A24="","",IF(O24="",Inputs!$B$7,O24))</f>
        <v/>
      </c>
      <c r="Q24" s="14" t="str">
        <f>IF(A24="","",IF(N24/Inputs!$B$10&lt;=AG24,Inputs!$F$5,IF(N24/Inputs!$B$10&gt;AP24,"OVERSIZE",INDEX(Inputs!$F$5:$F$14,MATCH(N24/Inputs!$B$10,AG24:AP24,1)+1))))</f>
        <v/>
      </c>
      <c r="R24" s="14"/>
      <c r="S24" s="14" t="str">
        <f t="shared" si="2"/>
        <v/>
      </c>
      <c r="T24" s="44" t="str">
        <f t="shared" si="3"/>
        <v/>
      </c>
      <c r="U24" s="44" t="str">
        <f>IF(T24="","",(1/Inputs!$B$9)*(PI()*T24^2/4)*((T24/4)^(2/3))*SQRT(P24))</f>
        <v/>
      </c>
      <c r="V24" s="44" t="str">
        <f>IF(OR(U24="",N24=""),"",N24/(U24*Inputs!$B$10))</f>
        <v/>
      </c>
      <c r="W24" s="44" t="str">
        <f t="shared" si="4"/>
        <v/>
      </c>
      <c r="X24" s="44"/>
      <c r="Y24" s="44" t="str">
        <f>IF(A24="","",IF(A24=Inputs!$B$6,Inputs!$B$22,IF(D24="","",IFERROR(INDEX($Z$4:$Z$201,MATCH(D24,$A$4:$A$201,0))+IF(X24="",Inputs!$B$20,X24),""))))</f>
        <v/>
      </c>
      <c r="Z24" s="44" t="str">
        <f t="shared" si="5"/>
        <v/>
      </c>
      <c r="AA24" s="44" t="str">
        <f>IF(C24="","",IFERROR(INDEX(Noeuds_plan!$C$4:$C$200,MATCH(C24,Noeuds_plan!$A$4:$A$200,0)),""))</f>
        <v/>
      </c>
      <c r="AB24" s="44" t="str">
        <f>IF(B24="","",IFERROR(INDEX(Noeuds_plan!$C$4:$C$200,MATCH(B24,Noeuds_plan!$A$4:$A$200,0)),""))</f>
        <v/>
      </c>
      <c r="AC24" s="44" t="str">
        <f t="shared" si="6"/>
        <v/>
      </c>
      <c r="AD24" s="44" t="str">
        <f t="shared" si="7"/>
        <v/>
      </c>
      <c r="AE24" s="14" t="str">
        <f>IF(A24="","",IF(OR(V24&gt;1,AND(AY24&lt;&gt;"",AY24&lt;Inputs!$B$11),AND(AY24&lt;&gt;"",AY24&gt;Inputs!$B$12),AC24&lt;Inputs!$B$19,AD24&lt;Inputs!$B$19,P24&lt;Inputs!$B$7,P24&gt;Inputs!$B$8),"CHECK","OK"))</f>
        <v/>
      </c>
      <c r="AF24" s="14"/>
      <c r="AG24" s="14" t="str">
        <f>IF(A24="","",(1/Inputs!$B$9)*(PI()*(Inputs!$F$5/1000)^2/4)*((Inputs!$F$5/1000/4)^(2/3))*SQRT(P24))</f>
        <v/>
      </c>
      <c r="AH24" s="14" t="str">
        <f>IF(A24="","",(1/Inputs!$B$9)*(PI()*(Inputs!$F$6/1000)^2/4)*((Inputs!$F$6/1000/4)^(2/3))*SQRT(P24))</f>
        <v/>
      </c>
      <c r="AI24" s="14" t="str">
        <f>IF(A24="","",(1/Inputs!$B$9)*(PI()*(Inputs!$F$7/1000)^2/4)*((Inputs!$F$7/1000/4)^(2/3))*SQRT(P24))</f>
        <v/>
      </c>
      <c r="AJ24" s="14" t="str">
        <f>IF(A24="","",(1/Inputs!$B$9)*(PI()*(Inputs!$F$8/1000)^2/4)*((Inputs!$F$8/1000/4)^(2/3))*SQRT(P24))</f>
        <v/>
      </c>
      <c r="AK24" s="14" t="str">
        <f>IF(A24="","",(1/Inputs!$B$9)*(PI()*(Inputs!$F$9/1000)^2/4)*((Inputs!$F$9/1000/4)^(2/3))*SQRT(P24))</f>
        <v/>
      </c>
      <c r="AL24" s="14" t="str">
        <f>IF(A24="","",(1/Inputs!$B$9)*(PI()*(Inputs!$F$10/1000)^2/4)*((Inputs!$F$10/1000/4)^(2/3))*SQRT(P24))</f>
        <v/>
      </c>
      <c r="AM24" s="14" t="str">
        <f>IF(A24="","",(1/Inputs!$B$9)*(PI()*(Inputs!$F$11/1000)^2/4)*((Inputs!$F$11/1000/4)^(2/3))*SQRT(P24))</f>
        <v/>
      </c>
      <c r="AN24" s="14" t="str">
        <f>IF(A24="","",(1/Inputs!$B$9)*(PI()*(Inputs!$F$12/1000)^2/4)*((Inputs!$F$12/1000/4)^(2/3))*SQRT(P24))</f>
        <v/>
      </c>
      <c r="AO24" s="14" t="str">
        <f>IF(A24="","",(1/Inputs!$B$9)*(PI()*(Inputs!$F$13/1000)^2/4)*((Inputs!$F$13/1000/4)^(2/3))*SQRT(P24))</f>
        <v/>
      </c>
      <c r="AP24" s="14" t="str">
        <f>IF(A24="","",(1/Inputs!$B$9)*(PI()*(Inputs!$F$14/1000)^2/4)*((Inputs!$F$14/1000/4)^(2/3))*SQRT(P24))</f>
        <v/>
      </c>
      <c r="AQ24" s="14" t="str">
        <f t="shared" si="8"/>
        <v/>
      </c>
      <c r="AR24" s="14" t="str">
        <f t="shared" si="9"/>
        <v/>
      </c>
      <c r="AS24" s="17" t="str">
        <f>IF(A24="","",IF(J24="",Inputs!$B$18,J24))</f>
        <v/>
      </c>
      <c r="AT24" s="17" t="str">
        <f>IF(A24="","",IFERROR(_xludf.maxifs($AV$4:$AV$201,$D$4:$D$201,$A24),""))</f>
        <v/>
      </c>
      <c r="AU24" s="17" t="str">
        <f>IF(A24="","",IF(OR(E24="",Inputs!$B$23=""),"",E24/(Inputs!$B$23*60)))</f>
        <v/>
      </c>
      <c r="AV24" s="17" t="str">
        <f t="shared" si="10"/>
        <v/>
      </c>
      <c r="AW24" s="17" t="str">
        <f t="shared" si="11"/>
        <v/>
      </c>
      <c r="AX24" s="17" t="str">
        <f>IF(OR(T24="",P24=""),"",(1/Inputs!$B$9)*((T24/4)^(2/3))*SQRT(P24))</f>
        <v/>
      </c>
      <c r="AY24" s="17" t="str">
        <f>IF(A24="","",IF(AND(AW24="",AX24="",BA24=""),"",IF(OR(UPPER(TRIM(Inputs!$B$24))="MANNING",UPPER(TRIM(Inputs!$B$24))="M"),AX24,IF(OR(UPPER(TRIM(Inputs!$B$24))="PARTIAL",UPPER(TRIM(Inputs!$B$24))="P"),BA24,IF(OR(UPPER(TRIM(Inputs!$B$24))="MAX",UPPER(TRIM(Inputs!$B$24))="X"),MAX(IF(AW24="",0,AW24),IF(AX24="",0,AX24),IF(BA24="",0,BA24)),AW24)))))</f>
        <v/>
      </c>
      <c r="AZ24" s="17" t="str">
        <f t="shared" si="12"/>
        <v/>
      </c>
      <c r="BA24" s="17" t="str">
        <f t="shared" si="13"/>
        <v/>
      </c>
      <c r="BB24" s="14" t="str">
        <f t="shared" si="14"/>
        <v/>
      </c>
      <c r="BC24" s="14" t="str">
        <f>IF(OR(N24="",T24="",P24=""),"",IF(OR(T24="",P24="",(0.94*T24)="",T24&lt;=0,(0.94*T24)&lt;=0),"",(1/Inputs!$B$9)*((T24^2/8)*((2*ACOS(1-2*(0.94*T24)/T24))-SIN((2*ACOS(1-2*(0.94*T24)/T24)))))*((((T24^2/8)*((2*ACOS(1-2*(0.94*T24)/T24))-SIN((2*ACOS(1-2*(0.94*T24)/T24)))))/((T24/2)*((2*ACOS(1-2*(0.94*T24)/T24)))))^(2/3))*SQRT(P24)))</f>
        <v/>
      </c>
      <c r="BD24" s="14" t="str">
        <f t="shared" si="15"/>
        <v/>
      </c>
      <c r="BE24" s="14" t="str">
        <f t="shared" si="16"/>
        <v/>
      </c>
      <c r="BF24" s="14" t="str">
        <f t="shared" si="17"/>
        <v/>
      </c>
      <c r="BG24" s="14" t="str">
        <f>IF(OR(T24="",P24="",BF24="",T24&lt;=0,BF24&lt;=0),"",(1/Inputs!$B$9)*((T24^2/8)*((2*ACOS(1-2*BF24/T24))-SIN((2*ACOS(1-2*BF24/T24)))))*((((T24^2/8)*((2*ACOS(1-2*BF24/T24))-SIN((2*ACOS(1-2*BF24/T24)))))/((T24/2)*((2*ACOS(1-2*BF24/T24)))))^(2/3))*SQRT(P24))</f>
        <v/>
      </c>
      <c r="BH24" s="14" t="str">
        <f t="shared" si="18"/>
        <v/>
      </c>
      <c r="BI24" s="14" t="str">
        <f t="shared" si="19"/>
        <v/>
      </c>
      <c r="BJ24" s="14" t="str">
        <f t="shared" si="20"/>
        <v/>
      </c>
      <c r="BK24" s="14" t="str">
        <f>IF(OR(T24="",P24="",BJ24="",T24&lt;=0,BJ24&lt;=0),"",(1/Inputs!$B$9)*((T24^2/8)*((2*ACOS(1-2*BJ24/T24))-SIN((2*ACOS(1-2*BJ24/T24)))))*((((T24^2/8)*((2*ACOS(1-2*BJ24/T24))-SIN((2*ACOS(1-2*BJ24/T24)))))/((T24/2)*((2*ACOS(1-2*BJ24/T24)))))^(2/3))*SQRT(P24))</f>
        <v/>
      </c>
      <c r="BL24" s="14" t="str">
        <f t="shared" si="21"/>
        <v/>
      </c>
      <c r="BM24" s="14" t="str">
        <f t="shared" si="22"/>
        <v/>
      </c>
      <c r="BN24" s="14" t="str">
        <f t="shared" si="23"/>
        <v/>
      </c>
      <c r="BO24" s="14" t="str">
        <f>IF(OR(T24="",P24="",BN24="",T24&lt;=0,BN24&lt;=0),"",(1/Inputs!$B$9)*((T24^2/8)*((2*ACOS(1-2*BN24/T24))-SIN((2*ACOS(1-2*BN24/T24)))))*((((T24^2/8)*((2*ACOS(1-2*BN24/T24))-SIN((2*ACOS(1-2*BN24/T24)))))/((T24/2)*((2*ACOS(1-2*BN24/T24)))))^(2/3))*SQRT(P24))</f>
        <v/>
      </c>
      <c r="BP24" s="14" t="str">
        <f t="shared" si="24"/>
        <v/>
      </c>
      <c r="BQ24" s="14" t="str">
        <f t="shared" si="25"/>
        <v/>
      </c>
      <c r="BR24" s="14" t="str">
        <f t="shared" si="26"/>
        <v/>
      </c>
      <c r="BS24" s="14" t="str">
        <f>IF(OR(T24="",P24="",BR24="",T24&lt;=0,BR24&lt;=0),"",(1/Inputs!$B$9)*((T24^2/8)*((2*ACOS(1-2*BR24/T24))-SIN((2*ACOS(1-2*BR24/T24)))))*((((T24^2/8)*((2*ACOS(1-2*BR24/T24))-SIN((2*ACOS(1-2*BR24/T24)))))/((T24/2)*((2*ACOS(1-2*BR24/T24)))))^(2/3))*SQRT(P24))</f>
        <v/>
      </c>
      <c r="BT24" s="14" t="str">
        <f t="shared" si="27"/>
        <v/>
      </c>
      <c r="BU24" s="14" t="str">
        <f t="shared" si="28"/>
        <v/>
      </c>
      <c r="BV24" s="14" t="str">
        <f t="shared" si="29"/>
        <v/>
      </c>
      <c r="BW24" s="14" t="str">
        <f>IF(OR(T24="",P24="",BV24="",T24&lt;=0,BV24&lt;=0),"",(1/Inputs!$B$9)*((T24^2/8)*((2*ACOS(1-2*BV24/T24))-SIN((2*ACOS(1-2*BV24/T24)))))*((((T24^2/8)*((2*ACOS(1-2*BV24/T24))-SIN((2*ACOS(1-2*BV24/T24)))))/((T24/2)*((2*ACOS(1-2*BV24/T24)))))^(2/3))*SQRT(P24))</f>
        <v/>
      </c>
      <c r="BX24" s="14" t="str">
        <f t="shared" si="30"/>
        <v/>
      </c>
      <c r="BY24" s="14" t="str">
        <f t="shared" si="31"/>
        <v/>
      </c>
      <c r="BZ24" s="14" t="str">
        <f t="shared" si="32"/>
        <v/>
      </c>
      <c r="CA24" s="14" t="str">
        <f>IF(OR(T24="",P24="",BZ24="",T24&lt;=0,BZ24&lt;=0),"",(1/Inputs!$B$9)*((T24^2/8)*((2*ACOS(1-2*BZ24/T24))-SIN((2*ACOS(1-2*BZ24/T24)))))*((((T24^2/8)*((2*ACOS(1-2*BZ24/T24))-SIN((2*ACOS(1-2*BZ24/T24)))))/((T24/2)*((2*ACOS(1-2*BZ24/T24)))))^(2/3))*SQRT(P24))</f>
        <v/>
      </c>
      <c r="CB24" s="14" t="str">
        <f t="shared" si="33"/>
        <v/>
      </c>
      <c r="CC24" s="14" t="str">
        <f t="shared" si="34"/>
        <v/>
      </c>
      <c r="CD24" s="14" t="str">
        <f t="shared" si="35"/>
        <v/>
      </c>
      <c r="CE24" s="14" t="str">
        <f>IF(OR(T24="",P24="",CD24="",T24&lt;=0,CD24&lt;=0),"",(1/Inputs!$B$9)*((T24^2/8)*((2*ACOS(1-2*CD24/T24))-SIN((2*ACOS(1-2*CD24/T24)))))*((((T24^2/8)*((2*ACOS(1-2*CD24/T24))-SIN((2*ACOS(1-2*CD24/T24)))))/((T24/2)*((2*ACOS(1-2*CD24/T24)))))^(2/3))*SQRT(P24))</f>
        <v/>
      </c>
      <c r="CF24" s="14" t="str">
        <f t="shared" si="36"/>
        <v/>
      </c>
      <c r="CG24" s="14" t="str">
        <f t="shared" si="37"/>
        <v/>
      </c>
      <c r="CH24" s="14" t="str">
        <f t="shared" si="38"/>
        <v/>
      </c>
    </row>
    <row r="25" spans="1:86" x14ac:dyDescent="0.25">
      <c r="A25" s="14"/>
      <c r="B25" s="14"/>
      <c r="C25" s="14"/>
      <c r="D25" s="14"/>
      <c r="E25" s="44"/>
      <c r="F25" s="44"/>
      <c r="G25" s="44">
        <f>SUMIFS(CB_plan!$G:$G,CB_plan!$F:$F,$A25)</f>
        <v>0</v>
      </c>
      <c r="H25" s="44">
        <f t="shared" si="0"/>
        <v>0</v>
      </c>
      <c r="I25" s="14"/>
      <c r="J25" s="44"/>
      <c r="K25" s="44" t="str">
        <f>IF(A25="","",Inputs!$B$13/((IF(AV25="",Inputs!$B$18,AV25)+Inputs!$B$14)^Inputs!$B$15))</f>
        <v/>
      </c>
      <c r="L25" s="44" t="str">
        <f>IF(A25="","",IF(H25="","",0.000000278*IF(I25&lt;&gt;"",I25,IFERROR(SUMIFS(CB_plan!$H:$H,CB_plan!$F:$F,$A25)/SUMIFS(CB_plan!$G:$G,CB_plan!$F:$F,$A25),Inputs!$B$17))*H25*K25))</f>
        <v/>
      </c>
      <c r="M25" s="44" t="str">
        <f t="shared" si="1"/>
        <v/>
      </c>
      <c r="N25" s="44" t="str">
        <f>IF(A25="","",(L25+M25)*Inputs!$B$16)</f>
        <v/>
      </c>
      <c r="O25" s="44"/>
      <c r="P25" s="44" t="str">
        <f>IF(A25="","",IF(O25="",Inputs!$B$7,O25))</f>
        <v/>
      </c>
      <c r="Q25" s="14" t="str">
        <f>IF(A25="","",IF(N25/Inputs!$B$10&lt;=AG25,Inputs!$F$5,IF(N25/Inputs!$B$10&gt;AP25,"OVERSIZE",INDEX(Inputs!$F$5:$F$14,MATCH(N25/Inputs!$B$10,AG25:AP25,1)+1))))</f>
        <v/>
      </c>
      <c r="R25" s="14"/>
      <c r="S25" s="14" t="str">
        <f t="shared" si="2"/>
        <v/>
      </c>
      <c r="T25" s="44" t="str">
        <f t="shared" si="3"/>
        <v/>
      </c>
      <c r="U25" s="44" t="str">
        <f>IF(T25="","",(1/Inputs!$B$9)*(PI()*T25^2/4)*((T25/4)^(2/3))*SQRT(P25))</f>
        <v/>
      </c>
      <c r="V25" s="44" t="str">
        <f>IF(OR(U25="",N25=""),"",N25/(U25*Inputs!$B$10))</f>
        <v/>
      </c>
      <c r="W25" s="44" t="str">
        <f t="shared" si="4"/>
        <v/>
      </c>
      <c r="X25" s="44"/>
      <c r="Y25" s="44" t="str">
        <f>IF(A25="","",IF(A25=Inputs!$B$6,Inputs!$B$22,IF(D25="","",IFERROR(INDEX($Z$4:$Z$201,MATCH(D25,$A$4:$A$201,0))+IF(X25="",Inputs!$B$20,X25),""))))</f>
        <v/>
      </c>
      <c r="Z25" s="44" t="str">
        <f t="shared" si="5"/>
        <v/>
      </c>
      <c r="AA25" s="44" t="str">
        <f>IF(C25="","",IFERROR(INDEX(Noeuds_plan!$C$4:$C$200,MATCH(C25,Noeuds_plan!$A$4:$A$200,0)),""))</f>
        <v/>
      </c>
      <c r="AB25" s="44" t="str">
        <f>IF(B25="","",IFERROR(INDEX(Noeuds_plan!$C$4:$C$200,MATCH(B25,Noeuds_plan!$A$4:$A$200,0)),""))</f>
        <v/>
      </c>
      <c r="AC25" s="44" t="str">
        <f t="shared" si="6"/>
        <v/>
      </c>
      <c r="AD25" s="44" t="str">
        <f t="shared" si="7"/>
        <v/>
      </c>
      <c r="AE25" s="14" t="str">
        <f>IF(A25="","",IF(OR(V25&gt;1,AND(AY25&lt;&gt;"",AY25&lt;Inputs!$B$11),AND(AY25&lt;&gt;"",AY25&gt;Inputs!$B$12),AC25&lt;Inputs!$B$19,AD25&lt;Inputs!$B$19,P25&lt;Inputs!$B$7,P25&gt;Inputs!$B$8),"CHECK","OK"))</f>
        <v/>
      </c>
      <c r="AF25" s="14"/>
      <c r="AG25" s="14" t="str">
        <f>IF(A25="","",(1/Inputs!$B$9)*(PI()*(Inputs!$F$5/1000)^2/4)*((Inputs!$F$5/1000/4)^(2/3))*SQRT(P25))</f>
        <v/>
      </c>
      <c r="AH25" s="14" t="str">
        <f>IF(A25="","",(1/Inputs!$B$9)*(PI()*(Inputs!$F$6/1000)^2/4)*((Inputs!$F$6/1000/4)^(2/3))*SQRT(P25))</f>
        <v/>
      </c>
      <c r="AI25" s="14" t="str">
        <f>IF(A25="","",(1/Inputs!$B$9)*(PI()*(Inputs!$F$7/1000)^2/4)*((Inputs!$F$7/1000/4)^(2/3))*SQRT(P25))</f>
        <v/>
      </c>
      <c r="AJ25" s="14" t="str">
        <f>IF(A25="","",(1/Inputs!$B$9)*(PI()*(Inputs!$F$8/1000)^2/4)*((Inputs!$F$8/1000/4)^(2/3))*SQRT(P25))</f>
        <v/>
      </c>
      <c r="AK25" s="14" t="str">
        <f>IF(A25="","",(1/Inputs!$B$9)*(PI()*(Inputs!$F$9/1000)^2/4)*((Inputs!$F$9/1000/4)^(2/3))*SQRT(P25))</f>
        <v/>
      </c>
      <c r="AL25" s="14" t="str">
        <f>IF(A25="","",(1/Inputs!$B$9)*(PI()*(Inputs!$F$10/1000)^2/4)*((Inputs!$F$10/1000/4)^(2/3))*SQRT(P25))</f>
        <v/>
      </c>
      <c r="AM25" s="14" t="str">
        <f>IF(A25="","",(1/Inputs!$B$9)*(PI()*(Inputs!$F$11/1000)^2/4)*((Inputs!$F$11/1000/4)^(2/3))*SQRT(P25))</f>
        <v/>
      </c>
      <c r="AN25" s="14" t="str">
        <f>IF(A25="","",(1/Inputs!$B$9)*(PI()*(Inputs!$F$12/1000)^2/4)*((Inputs!$F$12/1000/4)^(2/3))*SQRT(P25))</f>
        <v/>
      </c>
      <c r="AO25" s="14" t="str">
        <f>IF(A25="","",(1/Inputs!$B$9)*(PI()*(Inputs!$F$13/1000)^2/4)*((Inputs!$F$13/1000/4)^(2/3))*SQRT(P25))</f>
        <v/>
      </c>
      <c r="AP25" s="14" t="str">
        <f>IF(A25="","",(1/Inputs!$B$9)*(PI()*(Inputs!$F$14/1000)^2/4)*((Inputs!$F$14/1000/4)^(2/3))*SQRT(P25))</f>
        <v/>
      </c>
      <c r="AQ25" s="14" t="str">
        <f t="shared" si="8"/>
        <v/>
      </c>
      <c r="AR25" s="14" t="str">
        <f t="shared" si="9"/>
        <v/>
      </c>
      <c r="AS25" s="17" t="str">
        <f>IF(A25="","",IF(J25="",Inputs!$B$18,J25))</f>
        <v/>
      </c>
      <c r="AT25" s="17" t="str">
        <f>IF(A25="","",IFERROR(_xludf.maxifs($AV$4:$AV$201,$D$4:$D$201,$A25),""))</f>
        <v/>
      </c>
      <c r="AU25" s="17" t="str">
        <f>IF(A25="","",IF(OR(E25="",Inputs!$B$23=""),"",E25/(Inputs!$B$23*60)))</f>
        <v/>
      </c>
      <c r="AV25" s="17" t="str">
        <f t="shared" si="10"/>
        <v/>
      </c>
      <c r="AW25" s="17" t="str">
        <f t="shared" si="11"/>
        <v/>
      </c>
      <c r="AX25" s="17" t="str">
        <f>IF(OR(T25="",P25=""),"",(1/Inputs!$B$9)*((T25/4)^(2/3))*SQRT(P25))</f>
        <v/>
      </c>
      <c r="AY25" s="17" t="str">
        <f>IF(A25="","",IF(AND(AW25="",AX25="",BA25=""),"",IF(OR(UPPER(TRIM(Inputs!$B$24))="MANNING",UPPER(TRIM(Inputs!$B$24))="M"),AX25,IF(OR(UPPER(TRIM(Inputs!$B$24))="PARTIAL",UPPER(TRIM(Inputs!$B$24))="P"),BA25,IF(OR(UPPER(TRIM(Inputs!$B$24))="MAX",UPPER(TRIM(Inputs!$B$24))="X"),MAX(IF(AW25="",0,AW25),IF(AX25="",0,AX25),IF(BA25="",0,BA25)),AW25)))))</f>
        <v/>
      </c>
      <c r="AZ25" s="17" t="str">
        <f t="shared" si="12"/>
        <v/>
      </c>
      <c r="BA25" s="17" t="str">
        <f t="shared" si="13"/>
        <v/>
      </c>
      <c r="BB25" s="14" t="str">
        <f t="shared" si="14"/>
        <v/>
      </c>
      <c r="BC25" s="14" t="str">
        <f>IF(OR(N25="",T25="",P25=""),"",IF(OR(T25="",P25="",(0.94*T25)="",T25&lt;=0,(0.94*T25)&lt;=0),"",(1/Inputs!$B$9)*((T25^2/8)*((2*ACOS(1-2*(0.94*T25)/T25))-SIN((2*ACOS(1-2*(0.94*T25)/T25)))))*((((T25^2/8)*((2*ACOS(1-2*(0.94*T25)/T25))-SIN((2*ACOS(1-2*(0.94*T25)/T25)))))/((T25/2)*((2*ACOS(1-2*(0.94*T25)/T25)))))^(2/3))*SQRT(P25)))</f>
        <v/>
      </c>
      <c r="BD25" s="14" t="str">
        <f t="shared" si="15"/>
        <v/>
      </c>
      <c r="BE25" s="14" t="str">
        <f t="shared" si="16"/>
        <v/>
      </c>
      <c r="BF25" s="14" t="str">
        <f t="shared" si="17"/>
        <v/>
      </c>
      <c r="BG25" s="14" t="str">
        <f>IF(OR(T25="",P25="",BF25="",T25&lt;=0,BF25&lt;=0),"",(1/Inputs!$B$9)*((T25^2/8)*((2*ACOS(1-2*BF25/T25))-SIN((2*ACOS(1-2*BF25/T25)))))*((((T25^2/8)*((2*ACOS(1-2*BF25/T25))-SIN((2*ACOS(1-2*BF25/T25)))))/((T25/2)*((2*ACOS(1-2*BF25/T25)))))^(2/3))*SQRT(P25))</f>
        <v/>
      </c>
      <c r="BH25" s="14" t="str">
        <f t="shared" si="18"/>
        <v/>
      </c>
      <c r="BI25" s="14" t="str">
        <f t="shared" si="19"/>
        <v/>
      </c>
      <c r="BJ25" s="14" t="str">
        <f t="shared" si="20"/>
        <v/>
      </c>
      <c r="BK25" s="14" t="str">
        <f>IF(OR(T25="",P25="",BJ25="",T25&lt;=0,BJ25&lt;=0),"",(1/Inputs!$B$9)*((T25^2/8)*((2*ACOS(1-2*BJ25/T25))-SIN((2*ACOS(1-2*BJ25/T25)))))*((((T25^2/8)*((2*ACOS(1-2*BJ25/T25))-SIN((2*ACOS(1-2*BJ25/T25)))))/((T25/2)*((2*ACOS(1-2*BJ25/T25)))))^(2/3))*SQRT(P25))</f>
        <v/>
      </c>
      <c r="BL25" s="14" t="str">
        <f t="shared" si="21"/>
        <v/>
      </c>
      <c r="BM25" s="14" t="str">
        <f t="shared" si="22"/>
        <v/>
      </c>
      <c r="BN25" s="14" t="str">
        <f t="shared" si="23"/>
        <v/>
      </c>
      <c r="BO25" s="14" t="str">
        <f>IF(OR(T25="",P25="",BN25="",T25&lt;=0,BN25&lt;=0),"",(1/Inputs!$B$9)*((T25^2/8)*((2*ACOS(1-2*BN25/T25))-SIN((2*ACOS(1-2*BN25/T25)))))*((((T25^2/8)*((2*ACOS(1-2*BN25/T25))-SIN((2*ACOS(1-2*BN25/T25)))))/((T25/2)*((2*ACOS(1-2*BN25/T25)))))^(2/3))*SQRT(P25))</f>
        <v/>
      </c>
      <c r="BP25" s="14" t="str">
        <f t="shared" si="24"/>
        <v/>
      </c>
      <c r="BQ25" s="14" t="str">
        <f t="shared" si="25"/>
        <v/>
      </c>
      <c r="BR25" s="14" t="str">
        <f t="shared" si="26"/>
        <v/>
      </c>
      <c r="BS25" s="14" t="str">
        <f>IF(OR(T25="",P25="",BR25="",T25&lt;=0,BR25&lt;=0),"",(1/Inputs!$B$9)*((T25^2/8)*((2*ACOS(1-2*BR25/T25))-SIN((2*ACOS(1-2*BR25/T25)))))*((((T25^2/8)*((2*ACOS(1-2*BR25/T25))-SIN((2*ACOS(1-2*BR25/T25)))))/((T25/2)*((2*ACOS(1-2*BR25/T25)))))^(2/3))*SQRT(P25))</f>
        <v/>
      </c>
      <c r="BT25" s="14" t="str">
        <f t="shared" si="27"/>
        <v/>
      </c>
      <c r="BU25" s="14" t="str">
        <f t="shared" si="28"/>
        <v/>
      </c>
      <c r="BV25" s="14" t="str">
        <f t="shared" si="29"/>
        <v/>
      </c>
      <c r="BW25" s="14" t="str">
        <f>IF(OR(T25="",P25="",BV25="",T25&lt;=0,BV25&lt;=0),"",(1/Inputs!$B$9)*((T25^2/8)*((2*ACOS(1-2*BV25/T25))-SIN((2*ACOS(1-2*BV25/T25)))))*((((T25^2/8)*((2*ACOS(1-2*BV25/T25))-SIN((2*ACOS(1-2*BV25/T25)))))/((T25/2)*((2*ACOS(1-2*BV25/T25)))))^(2/3))*SQRT(P25))</f>
        <v/>
      </c>
      <c r="BX25" s="14" t="str">
        <f t="shared" si="30"/>
        <v/>
      </c>
      <c r="BY25" s="14" t="str">
        <f t="shared" si="31"/>
        <v/>
      </c>
      <c r="BZ25" s="14" t="str">
        <f t="shared" si="32"/>
        <v/>
      </c>
      <c r="CA25" s="14" t="str">
        <f>IF(OR(T25="",P25="",BZ25="",T25&lt;=0,BZ25&lt;=0),"",(1/Inputs!$B$9)*((T25^2/8)*((2*ACOS(1-2*BZ25/T25))-SIN((2*ACOS(1-2*BZ25/T25)))))*((((T25^2/8)*((2*ACOS(1-2*BZ25/T25))-SIN((2*ACOS(1-2*BZ25/T25)))))/((T25/2)*((2*ACOS(1-2*BZ25/T25)))))^(2/3))*SQRT(P25))</f>
        <v/>
      </c>
      <c r="CB25" s="14" t="str">
        <f t="shared" si="33"/>
        <v/>
      </c>
      <c r="CC25" s="14" t="str">
        <f t="shared" si="34"/>
        <v/>
      </c>
      <c r="CD25" s="14" t="str">
        <f t="shared" si="35"/>
        <v/>
      </c>
      <c r="CE25" s="14" t="str">
        <f>IF(OR(T25="",P25="",CD25="",T25&lt;=0,CD25&lt;=0),"",(1/Inputs!$B$9)*((T25^2/8)*((2*ACOS(1-2*CD25/T25))-SIN((2*ACOS(1-2*CD25/T25)))))*((((T25^2/8)*((2*ACOS(1-2*CD25/T25))-SIN((2*ACOS(1-2*CD25/T25)))))/((T25/2)*((2*ACOS(1-2*CD25/T25)))))^(2/3))*SQRT(P25))</f>
        <v/>
      </c>
      <c r="CF25" s="14" t="str">
        <f t="shared" si="36"/>
        <v/>
      </c>
      <c r="CG25" s="14" t="str">
        <f t="shared" si="37"/>
        <v/>
      </c>
      <c r="CH25" s="14" t="str">
        <f t="shared" si="38"/>
        <v/>
      </c>
    </row>
    <row r="26" spans="1:86" x14ac:dyDescent="0.25">
      <c r="A26" s="14"/>
      <c r="B26" s="14"/>
      <c r="C26" s="14"/>
      <c r="D26" s="14"/>
      <c r="E26" s="44"/>
      <c r="F26" s="44"/>
      <c r="G26" s="44">
        <f>SUMIFS(CB_plan!$G:$G,CB_plan!$F:$F,$A26)</f>
        <v>0</v>
      </c>
      <c r="H26" s="44">
        <f t="shared" si="0"/>
        <v>0</v>
      </c>
      <c r="I26" s="14"/>
      <c r="J26" s="44"/>
      <c r="K26" s="44" t="str">
        <f>IF(A26="","",Inputs!$B$13/((IF(AV26="",Inputs!$B$18,AV26)+Inputs!$B$14)^Inputs!$B$15))</f>
        <v/>
      </c>
      <c r="L26" s="44" t="str">
        <f>IF(A26="","",IF(H26="","",0.000000278*IF(I26&lt;&gt;"",I26,IFERROR(SUMIFS(CB_plan!$H:$H,CB_plan!$F:$F,$A26)/SUMIFS(CB_plan!$G:$G,CB_plan!$F:$F,$A26),Inputs!$B$17))*H26*K26))</f>
        <v/>
      </c>
      <c r="M26" s="44" t="str">
        <f t="shared" si="1"/>
        <v/>
      </c>
      <c r="N26" s="44" t="str">
        <f>IF(A26="","",(L26+M26)*Inputs!$B$16)</f>
        <v/>
      </c>
      <c r="O26" s="44"/>
      <c r="P26" s="44" t="str">
        <f>IF(A26="","",IF(O26="",Inputs!$B$7,O26))</f>
        <v/>
      </c>
      <c r="Q26" s="14" t="str">
        <f>IF(A26="","",IF(N26/Inputs!$B$10&lt;=AG26,Inputs!$F$5,IF(N26/Inputs!$B$10&gt;AP26,"OVERSIZE",INDEX(Inputs!$F$5:$F$14,MATCH(N26/Inputs!$B$10,AG26:AP26,1)+1))))</f>
        <v/>
      </c>
      <c r="R26" s="14"/>
      <c r="S26" s="14" t="str">
        <f t="shared" si="2"/>
        <v/>
      </c>
      <c r="T26" s="44" t="str">
        <f t="shared" si="3"/>
        <v/>
      </c>
      <c r="U26" s="44" t="str">
        <f>IF(T26="","",(1/Inputs!$B$9)*(PI()*T26^2/4)*((T26/4)^(2/3))*SQRT(P26))</f>
        <v/>
      </c>
      <c r="V26" s="44" t="str">
        <f>IF(OR(U26="",N26=""),"",N26/(U26*Inputs!$B$10))</f>
        <v/>
      </c>
      <c r="W26" s="44" t="str">
        <f t="shared" si="4"/>
        <v/>
      </c>
      <c r="X26" s="44"/>
      <c r="Y26" s="44" t="str">
        <f>IF(A26="","",IF(A26=Inputs!$B$6,Inputs!$B$22,IF(D26="","",IFERROR(INDEX($Z$4:$Z$201,MATCH(D26,$A$4:$A$201,0))+IF(X26="",Inputs!$B$20,X26),""))))</f>
        <v/>
      </c>
      <c r="Z26" s="44" t="str">
        <f t="shared" si="5"/>
        <v/>
      </c>
      <c r="AA26" s="44" t="str">
        <f>IF(C26="","",IFERROR(INDEX(Noeuds_plan!$C$4:$C$200,MATCH(C26,Noeuds_plan!$A$4:$A$200,0)),""))</f>
        <v/>
      </c>
      <c r="AB26" s="44" t="str">
        <f>IF(B26="","",IFERROR(INDEX(Noeuds_plan!$C$4:$C$200,MATCH(B26,Noeuds_plan!$A$4:$A$200,0)),""))</f>
        <v/>
      </c>
      <c r="AC26" s="44" t="str">
        <f t="shared" si="6"/>
        <v/>
      </c>
      <c r="AD26" s="44" t="str">
        <f t="shared" si="7"/>
        <v/>
      </c>
      <c r="AE26" s="14" t="str">
        <f>IF(A26="","",IF(OR(V26&gt;1,AND(AY26&lt;&gt;"",AY26&lt;Inputs!$B$11),AND(AY26&lt;&gt;"",AY26&gt;Inputs!$B$12),AC26&lt;Inputs!$B$19,AD26&lt;Inputs!$B$19,P26&lt;Inputs!$B$7,P26&gt;Inputs!$B$8),"CHECK","OK"))</f>
        <v/>
      </c>
      <c r="AF26" s="14"/>
      <c r="AG26" s="14" t="str">
        <f>IF(A26="","",(1/Inputs!$B$9)*(PI()*(Inputs!$F$5/1000)^2/4)*((Inputs!$F$5/1000/4)^(2/3))*SQRT(P26))</f>
        <v/>
      </c>
      <c r="AH26" s="14" t="str">
        <f>IF(A26="","",(1/Inputs!$B$9)*(PI()*(Inputs!$F$6/1000)^2/4)*((Inputs!$F$6/1000/4)^(2/3))*SQRT(P26))</f>
        <v/>
      </c>
      <c r="AI26" s="14" t="str">
        <f>IF(A26="","",(1/Inputs!$B$9)*(PI()*(Inputs!$F$7/1000)^2/4)*((Inputs!$F$7/1000/4)^(2/3))*SQRT(P26))</f>
        <v/>
      </c>
      <c r="AJ26" s="14" t="str">
        <f>IF(A26="","",(1/Inputs!$B$9)*(PI()*(Inputs!$F$8/1000)^2/4)*((Inputs!$F$8/1000/4)^(2/3))*SQRT(P26))</f>
        <v/>
      </c>
      <c r="AK26" s="14" t="str">
        <f>IF(A26="","",(1/Inputs!$B$9)*(PI()*(Inputs!$F$9/1000)^2/4)*((Inputs!$F$9/1000/4)^(2/3))*SQRT(P26))</f>
        <v/>
      </c>
      <c r="AL26" s="14" t="str">
        <f>IF(A26="","",(1/Inputs!$B$9)*(PI()*(Inputs!$F$10/1000)^2/4)*((Inputs!$F$10/1000/4)^(2/3))*SQRT(P26))</f>
        <v/>
      </c>
      <c r="AM26" s="14" t="str">
        <f>IF(A26="","",(1/Inputs!$B$9)*(PI()*(Inputs!$F$11/1000)^2/4)*((Inputs!$F$11/1000/4)^(2/3))*SQRT(P26))</f>
        <v/>
      </c>
      <c r="AN26" s="14" t="str">
        <f>IF(A26="","",(1/Inputs!$B$9)*(PI()*(Inputs!$F$12/1000)^2/4)*((Inputs!$F$12/1000/4)^(2/3))*SQRT(P26))</f>
        <v/>
      </c>
      <c r="AO26" s="14" t="str">
        <f>IF(A26="","",(1/Inputs!$B$9)*(PI()*(Inputs!$F$13/1000)^2/4)*((Inputs!$F$13/1000/4)^(2/3))*SQRT(P26))</f>
        <v/>
      </c>
      <c r="AP26" s="14" t="str">
        <f>IF(A26="","",(1/Inputs!$B$9)*(PI()*(Inputs!$F$14/1000)^2/4)*((Inputs!$F$14/1000/4)^(2/3))*SQRT(P26))</f>
        <v/>
      </c>
      <c r="AQ26" s="14" t="str">
        <f t="shared" si="8"/>
        <v/>
      </c>
      <c r="AR26" s="14" t="str">
        <f t="shared" si="9"/>
        <v/>
      </c>
      <c r="AS26" s="17" t="str">
        <f>IF(A26="","",IF(J26="",Inputs!$B$18,J26))</f>
        <v/>
      </c>
      <c r="AT26" s="17" t="str">
        <f>IF(A26="","",IFERROR(_xludf.maxifs($AV$4:$AV$201,$D$4:$D$201,$A26),""))</f>
        <v/>
      </c>
      <c r="AU26" s="17" t="str">
        <f>IF(A26="","",IF(OR(E26="",Inputs!$B$23=""),"",E26/(Inputs!$B$23*60)))</f>
        <v/>
      </c>
      <c r="AV26" s="17" t="str">
        <f t="shared" si="10"/>
        <v/>
      </c>
      <c r="AW26" s="17" t="str">
        <f t="shared" si="11"/>
        <v/>
      </c>
      <c r="AX26" s="17" t="str">
        <f>IF(OR(T26="",P26=""),"",(1/Inputs!$B$9)*((T26/4)^(2/3))*SQRT(P26))</f>
        <v/>
      </c>
      <c r="AY26" s="17" t="str">
        <f>IF(A26="","",IF(AND(AW26="",AX26="",BA26=""),"",IF(OR(UPPER(TRIM(Inputs!$B$24))="MANNING",UPPER(TRIM(Inputs!$B$24))="M"),AX26,IF(OR(UPPER(TRIM(Inputs!$B$24))="PARTIAL",UPPER(TRIM(Inputs!$B$24))="P"),BA26,IF(OR(UPPER(TRIM(Inputs!$B$24))="MAX",UPPER(TRIM(Inputs!$B$24))="X"),MAX(IF(AW26="",0,AW26),IF(AX26="",0,AX26),IF(BA26="",0,BA26)),AW26)))))</f>
        <v/>
      </c>
      <c r="AZ26" s="17" t="str">
        <f t="shared" si="12"/>
        <v/>
      </c>
      <c r="BA26" s="17" t="str">
        <f t="shared" si="13"/>
        <v/>
      </c>
      <c r="BB26" s="14" t="str">
        <f t="shared" si="14"/>
        <v/>
      </c>
      <c r="BC26" s="14" t="str">
        <f>IF(OR(N26="",T26="",P26=""),"",IF(OR(T26="",P26="",(0.94*T26)="",T26&lt;=0,(0.94*T26)&lt;=0),"",(1/Inputs!$B$9)*((T26^2/8)*((2*ACOS(1-2*(0.94*T26)/T26))-SIN((2*ACOS(1-2*(0.94*T26)/T26)))))*((((T26^2/8)*((2*ACOS(1-2*(0.94*T26)/T26))-SIN((2*ACOS(1-2*(0.94*T26)/T26)))))/((T26/2)*((2*ACOS(1-2*(0.94*T26)/T26)))))^(2/3))*SQRT(P26)))</f>
        <v/>
      </c>
      <c r="BD26" s="14" t="str">
        <f t="shared" si="15"/>
        <v/>
      </c>
      <c r="BE26" s="14" t="str">
        <f t="shared" si="16"/>
        <v/>
      </c>
      <c r="BF26" s="14" t="str">
        <f t="shared" si="17"/>
        <v/>
      </c>
      <c r="BG26" s="14" t="str">
        <f>IF(OR(T26="",P26="",BF26="",T26&lt;=0,BF26&lt;=0),"",(1/Inputs!$B$9)*((T26^2/8)*((2*ACOS(1-2*BF26/T26))-SIN((2*ACOS(1-2*BF26/T26)))))*((((T26^2/8)*((2*ACOS(1-2*BF26/T26))-SIN((2*ACOS(1-2*BF26/T26)))))/((T26/2)*((2*ACOS(1-2*BF26/T26)))))^(2/3))*SQRT(P26))</f>
        <v/>
      </c>
      <c r="BH26" s="14" t="str">
        <f t="shared" si="18"/>
        <v/>
      </c>
      <c r="BI26" s="14" t="str">
        <f t="shared" si="19"/>
        <v/>
      </c>
      <c r="BJ26" s="14" t="str">
        <f t="shared" si="20"/>
        <v/>
      </c>
      <c r="BK26" s="14" t="str">
        <f>IF(OR(T26="",P26="",BJ26="",T26&lt;=0,BJ26&lt;=0),"",(1/Inputs!$B$9)*((T26^2/8)*((2*ACOS(1-2*BJ26/T26))-SIN((2*ACOS(1-2*BJ26/T26)))))*((((T26^2/8)*((2*ACOS(1-2*BJ26/T26))-SIN((2*ACOS(1-2*BJ26/T26)))))/((T26/2)*((2*ACOS(1-2*BJ26/T26)))))^(2/3))*SQRT(P26))</f>
        <v/>
      </c>
      <c r="BL26" s="14" t="str">
        <f t="shared" si="21"/>
        <v/>
      </c>
      <c r="BM26" s="14" t="str">
        <f t="shared" si="22"/>
        <v/>
      </c>
      <c r="BN26" s="14" t="str">
        <f t="shared" si="23"/>
        <v/>
      </c>
      <c r="BO26" s="14" t="str">
        <f>IF(OR(T26="",P26="",BN26="",T26&lt;=0,BN26&lt;=0),"",(1/Inputs!$B$9)*((T26^2/8)*((2*ACOS(1-2*BN26/T26))-SIN((2*ACOS(1-2*BN26/T26)))))*((((T26^2/8)*((2*ACOS(1-2*BN26/T26))-SIN((2*ACOS(1-2*BN26/T26)))))/((T26/2)*((2*ACOS(1-2*BN26/T26)))))^(2/3))*SQRT(P26))</f>
        <v/>
      </c>
      <c r="BP26" s="14" t="str">
        <f t="shared" si="24"/>
        <v/>
      </c>
      <c r="BQ26" s="14" t="str">
        <f t="shared" si="25"/>
        <v/>
      </c>
      <c r="BR26" s="14" t="str">
        <f t="shared" si="26"/>
        <v/>
      </c>
      <c r="BS26" s="14" t="str">
        <f>IF(OR(T26="",P26="",BR26="",T26&lt;=0,BR26&lt;=0),"",(1/Inputs!$B$9)*((T26^2/8)*((2*ACOS(1-2*BR26/T26))-SIN((2*ACOS(1-2*BR26/T26)))))*((((T26^2/8)*((2*ACOS(1-2*BR26/T26))-SIN((2*ACOS(1-2*BR26/T26)))))/((T26/2)*((2*ACOS(1-2*BR26/T26)))))^(2/3))*SQRT(P26))</f>
        <v/>
      </c>
      <c r="BT26" s="14" t="str">
        <f t="shared" si="27"/>
        <v/>
      </c>
      <c r="BU26" s="14" t="str">
        <f t="shared" si="28"/>
        <v/>
      </c>
      <c r="BV26" s="14" t="str">
        <f t="shared" si="29"/>
        <v/>
      </c>
      <c r="BW26" s="14" t="str">
        <f>IF(OR(T26="",P26="",BV26="",T26&lt;=0,BV26&lt;=0),"",(1/Inputs!$B$9)*((T26^2/8)*((2*ACOS(1-2*BV26/T26))-SIN((2*ACOS(1-2*BV26/T26)))))*((((T26^2/8)*((2*ACOS(1-2*BV26/T26))-SIN((2*ACOS(1-2*BV26/T26)))))/((T26/2)*((2*ACOS(1-2*BV26/T26)))))^(2/3))*SQRT(P26))</f>
        <v/>
      </c>
      <c r="BX26" s="14" t="str">
        <f t="shared" si="30"/>
        <v/>
      </c>
      <c r="BY26" s="14" t="str">
        <f t="shared" si="31"/>
        <v/>
      </c>
      <c r="BZ26" s="14" t="str">
        <f t="shared" si="32"/>
        <v/>
      </c>
      <c r="CA26" s="14" t="str">
        <f>IF(OR(T26="",P26="",BZ26="",T26&lt;=0,BZ26&lt;=0),"",(1/Inputs!$B$9)*((T26^2/8)*((2*ACOS(1-2*BZ26/T26))-SIN((2*ACOS(1-2*BZ26/T26)))))*((((T26^2/8)*((2*ACOS(1-2*BZ26/T26))-SIN((2*ACOS(1-2*BZ26/T26)))))/((T26/2)*((2*ACOS(1-2*BZ26/T26)))))^(2/3))*SQRT(P26))</f>
        <v/>
      </c>
      <c r="CB26" s="14" t="str">
        <f t="shared" si="33"/>
        <v/>
      </c>
      <c r="CC26" s="14" t="str">
        <f t="shared" si="34"/>
        <v/>
      </c>
      <c r="CD26" s="14" t="str">
        <f t="shared" si="35"/>
        <v/>
      </c>
      <c r="CE26" s="14" t="str">
        <f>IF(OR(T26="",P26="",CD26="",T26&lt;=0,CD26&lt;=0),"",(1/Inputs!$B$9)*((T26^2/8)*((2*ACOS(1-2*CD26/T26))-SIN((2*ACOS(1-2*CD26/T26)))))*((((T26^2/8)*((2*ACOS(1-2*CD26/T26))-SIN((2*ACOS(1-2*CD26/T26)))))/((T26/2)*((2*ACOS(1-2*CD26/T26)))))^(2/3))*SQRT(P26))</f>
        <v/>
      </c>
      <c r="CF26" s="14" t="str">
        <f t="shared" si="36"/>
        <v/>
      </c>
      <c r="CG26" s="14" t="str">
        <f t="shared" si="37"/>
        <v/>
      </c>
      <c r="CH26" s="14" t="str">
        <f t="shared" si="38"/>
        <v/>
      </c>
    </row>
    <row r="27" spans="1:86" x14ac:dyDescent="0.25">
      <c r="A27" s="14"/>
      <c r="B27" s="14"/>
      <c r="C27" s="14"/>
      <c r="D27" s="14"/>
      <c r="E27" s="44"/>
      <c r="F27" s="44"/>
      <c r="G27" s="44">
        <f>SUMIFS(CB_plan!$G:$G,CB_plan!$F:$F,$A27)</f>
        <v>0</v>
      </c>
      <c r="H27" s="44">
        <f t="shared" si="0"/>
        <v>0</v>
      </c>
      <c r="I27" s="14"/>
      <c r="J27" s="44"/>
      <c r="K27" s="44" t="str">
        <f>IF(A27="","",Inputs!$B$13/((IF(AV27="",Inputs!$B$18,AV27)+Inputs!$B$14)^Inputs!$B$15))</f>
        <v/>
      </c>
      <c r="L27" s="44" t="str">
        <f>IF(A27="","",IF(H27="","",0.000000278*IF(I27&lt;&gt;"",I27,IFERROR(SUMIFS(CB_plan!$H:$H,CB_plan!$F:$F,$A27)/SUMIFS(CB_plan!$G:$G,CB_plan!$F:$F,$A27),Inputs!$B$17))*H27*K27))</f>
        <v/>
      </c>
      <c r="M27" s="44" t="str">
        <f t="shared" si="1"/>
        <v/>
      </c>
      <c r="N27" s="44" t="str">
        <f>IF(A27="","",(L27+M27)*Inputs!$B$16)</f>
        <v/>
      </c>
      <c r="O27" s="44"/>
      <c r="P27" s="44" t="str">
        <f>IF(A27="","",IF(O27="",Inputs!$B$7,O27))</f>
        <v/>
      </c>
      <c r="Q27" s="14" t="str">
        <f>IF(A27="","",IF(N27/Inputs!$B$10&lt;=AG27,Inputs!$F$5,IF(N27/Inputs!$B$10&gt;AP27,"OVERSIZE",INDEX(Inputs!$F$5:$F$14,MATCH(N27/Inputs!$B$10,AG27:AP27,1)+1))))</f>
        <v/>
      </c>
      <c r="R27" s="14"/>
      <c r="S27" s="14" t="str">
        <f t="shared" si="2"/>
        <v/>
      </c>
      <c r="T27" s="44" t="str">
        <f t="shared" si="3"/>
        <v/>
      </c>
      <c r="U27" s="44" t="str">
        <f>IF(T27="","",(1/Inputs!$B$9)*(PI()*T27^2/4)*((T27/4)^(2/3))*SQRT(P27))</f>
        <v/>
      </c>
      <c r="V27" s="44" t="str">
        <f>IF(OR(U27="",N27=""),"",N27/(U27*Inputs!$B$10))</f>
        <v/>
      </c>
      <c r="W27" s="44" t="str">
        <f t="shared" si="4"/>
        <v/>
      </c>
      <c r="X27" s="44"/>
      <c r="Y27" s="44" t="str">
        <f>IF(A27="","",IF(A27=Inputs!$B$6,Inputs!$B$22,IF(D27="","",IFERROR(INDEX($Z$4:$Z$201,MATCH(D27,$A$4:$A$201,0))+IF(X27="",Inputs!$B$20,X27),""))))</f>
        <v/>
      </c>
      <c r="Z27" s="44" t="str">
        <f t="shared" si="5"/>
        <v/>
      </c>
      <c r="AA27" s="44" t="str">
        <f>IF(C27="","",IFERROR(INDEX(Noeuds_plan!$C$4:$C$200,MATCH(C27,Noeuds_plan!$A$4:$A$200,0)),""))</f>
        <v/>
      </c>
      <c r="AB27" s="44" t="str">
        <f>IF(B27="","",IFERROR(INDEX(Noeuds_plan!$C$4:$C$200,MATCH(B27,Noeuds_plan!$A$4:$A$200,0)),""))</f>
        <v/>
      </c>
      <c r="AC27" s="44" t="str">
        <f t="shared" si="6"/>
        <v/>
      </c>
      <c r="AD27" s="44" t="str">
        <f t="shared" si="7"/>
        <v/>
      </c>
      <c r="AE27" s="14" t="str">
        <f>IF(A27="","",IF(OR(V27&gt;1,AND(AY27&lt;&gt;"",AY27&lt;Inputs!$B$11),AND(AY27&lt;&gt;"",AY27&gt;Inputs!$B$12),AC27&lt;Inputs!$B$19,AD27&lt;Inputs!$B$19,P27&lt;Inputs!$B$7,P27&gt;Inputs!$B$8),"CHECK","OK"))</f>
        <v/>
      </c>
      <c r="AF27" s="14"/>
      <c r="AG27" s="14" t="str">
        <f>IF(A27="","",(1/Inputs!$B$9)*(PI()*(Inputs!$F$5/1000)^2/4)*((Inputs!$F$5/1000/4)^(2/3))*SQRT(P27))</f>
        <v/>
      </c>
      <c r="AH27" s="14" t="str">
        <f>IF(A27="","",(1/Inputs!$B$9)*(PI()*(Inputs!$F$6/1000)^2/4)*((Inputs!$F$6/1000/4)^(2/3))*SQRT(P27))</f>
        <v/>
      </c>
      <c r="AI27" s="14" t="str">
        <f>IF(A27="","",(1/Inputs!$B$9)*(PI()*(Inputs!$F$7/1000)^2/4)*((Inputs!$F$7/1000/4)^(2/3))*SQRT(P27))</f>
        <v/>
      </c>
      <c r="AJ27" s="14" t="str">
        <f>IF(A27="","",(1/Inputs!$B$9)*(PI()*(Inputs!$F$8/1000)^2/4)*((Inputs!$F$8/1000/4)^(2/3))*SQRT(P27))</f>
        <v/>
      </c>
      <c r="AK27" s="14" t="str">
        <f>IF(A27="","",(1/Inputs!$B$9)*(PI()*(Inputs!$F$9/1000)^2/4)*((Inputs!$F$9/1000/4)^(2/3))*SQRT(P27))</f>
        <v/>
      </c>
      <c r="AL27" s="14" t="str">
        <f>IF(A27="","",(1/Inputs!$B$9)*(PI()*(Inputs!$F$10/1000)^2/4)*((Inputs!$F$10/1000/4)^(2/3))*SQRT(P27))</f>
        <v/>
      </c>
      <c r="AM27" s="14" t="str">
        <f>IF(A27="","",(1/Inputs!$B$9)*(PI()*(Inputs!$F$11/1000)^2/4)*((Inputs!$F$11/1000/4)^(2/3))*SQRT(P27))</f>
        <v/>
      </c>
      <c r="AN27" s="14" t="str">
        <f>IF(A27="","",(1/Inputs!$B$9)*(PI()*(Inputs!$F$12/1000)^2/4)*((Inputs!$F$12/1000/4)^(2/3))*SQRT(P27))</f>
        <v/>
      </c>
      <c r="AO27" s="14" t="str">
        <f>IF(A27="","",(1/Inputs!$B$9)*(PI()*(Inputs!$F$13/1000)^2/4)*((Inputs!$F$13/1000/4)^(2/3))*SQRT(P27))</f>
        <v/>
      </c>
      <c r="AP27" s="14" t="str">
        <f>IF(A27="","",(1/Inputs!$B$9)*(PI()*(Inputs!$F$14/1000)^2/4)*((Inputs!$F$14/1000/4)^(2/3))*SQRT(P27))</f>
        <v/>
      </c>
      <c r="AQ27" s="14" t="str">
        <f t="shared" si="8"/>
        <v/>
      </c>
      <c r="AR27" s="14" t="str">
        <f t="shared" si="9"/>
        <v/>
      </c>
      <c r="AS27" s="17" t="str">
        <f>IF(A27="","",IF(J27="",Inputs!$B$18,J27))</f>
        <v/>
      </c>
      <c r="AT27" s="17" t="str">
        <f>IF(A27="","",IFERROR(_xludf.maxifs($AV$4:$AV$201,$D$4:$D$201,$A27),""))</f>
        <v/>
      </c>
      <c r="AU27" s="17" t="str">
        <f>IF(A27="","",IF(OR(E27="",Inputs!$B$23=""),"",E27/(Inputs!$B$23*60)))</f>
        <v/>
      </c>
      <c r="AV27" s="17" t="str">
        <f t="shared" si="10"/>
        <v/>
      </c>
      <c r="AW27" s="17" t="str">
        <f t="shared" si="11"/>
        <v/>
      </c>
      <c r="AX27" s="17" t="str">
        <f>IF(OR(T27="",P27=""),"",(1/Inputs!$B$9)*((T27/4)^(2/3))*SQRT(P27))</f>
        <v/>
      </c>
      <c r="AY27" s="17" t="str">
        <f>IF(A27="","",IF(AND(AW27="",AX27="",BA27=""),"",IF(OR(UPPER(TRIM(Inputs!$B$24))="MANNING",UPPER(TRIM(Inputs!$B$24))="M"),AX27,IF(OR(UPPER(TRIM(Inputs!$B$24))="PARTIAL",UPPER(TRIM(Inputs!$B$24))="P"),BA27,IF(OR(UPPER(TRIM(Inputs!$B$24))="MAX",UPPER(TRIM(Inputs!$B$24))="X"),MAX(IF(AW27="",0,AW27),IF(AX27="",0,AX27),IF(BA27="",0,BA27)),AW27)))))</f>
        <v/>
      </c>
      <c r="AZ27" s="17" t="str">
        <f t="shared" si="12"/>
        <v/>
      </c>
      <c r="BA27" s="17" t="str">
        <f t="shared" si="13"/>
        <v/>
      </c>
      <c r="BB27" s="14" t="str">
        <f t="shared" si="14"/>
        <v/>
      </c>
      <c r="BC27" s="14" t="str">
        <f>IF(OR(N27="",T27="",P27=""),"",IF(OR(T27="",P27="",(0.94*T27)="",T27&lt;=0,(0.94*T27)&lt;=0),"",(1/Inputs!$B$9)*((T27^2/8)*((2*ACOS(1-2*(0.94*T27)/T27))-SIN((2*ACOS(1-2*(0.94*T27)/T27)))))*((((T27^2/8)*((2*ACOS(1-2*(0.94*T27)/T27))-SIN((2*ACOS(1-2*(0.94*T27)/T27)))))/((T27/2)*((2*ACOS(1-2*(0.94*T27)/T27)))))^(2/3))*SQRT(P27)))</f>
        <v/>
      </c>
      <c r="BD27" s="14" t="str">
        <f t="shared" si="15"/>
        <v/>
      </c>
      <c r="BE27" s="14" t="str">
        <f t="shared" si="16"/>
        <v/>
      </c>
      <c r="BF27" s="14" t="str">
        <f t="shared" si="17"/>
        <v/>
      </c>
      <c r="BG27" s="14" t="str">
        <f>IF(OR(T27="",P27="",BF27="",T27&lt;=0,BF27&lt;=0),"",(1/Inputs!$B$9)*((T27^2/8)*((2*ACOS(1-2*BF27/T27))-SIN((2*ACOS(1-2*BF27/T27)))))*((((T27^2/8)*((2*ACOS(1-2*BF27/T27))-SIN((2*ACOS(1-2*BF27/T27)))))/((T27/2)*((2*ACOS(1-2*BF27/T27)))))^(2/3))*SQRT(P27))</f>
        <v/>
      </c>
      <c r="BH27" s="14" t="str">
        <f t="shared" si="18"/>
        <v/>
      </c>
      <c r="BI27" s="14" t="str">
        <f t="shared" si="19"/>
        <v/>
      </c>
      <c r="BJ27" s="14" t="str">
        <f t="shared" si="20"/>
        <v/>
      </c>
      <c r="BK27" s="14" t="str">
        <f>IF(OR(T27="",P27="",BJ27="",T27&lt;=0,BJ27&lt;=0),"",(1/Inputs!$B$9)*((T27^2/8)*((2*ACOS(1-2*BJ27/T27))-SIN((2*ACOS(1-2*BJ27/T27)))))*((((T27^2/8)*((2*ACOS(1-2*BJ27/T27))-SIN((2*ACOS(1-2*BJ27/T27)))))/((T27/2)*((2*ACOS(1-2*BJ27/T27)))))^(2/3))*SQRT(P27))</f>
        <v/>
      </c>
      <c r="BL27" s="14" t="str">
        <f t="shared" si="21"/>
        <v/>
      </c>
      <c r="BM27" s="14" t="str">
        <f t="shared" si="22"/>
        <v/>
      </c>
      <c r="BN27" s="14" t="str">
        <f t="shared" si="23"/>
        <v/>
      </c>
      <c r="BO27" s="14" t="str">
        <f>IF(OR(T27="",P27="",BN27="",T27&lt;=0,BN27&lt;=0),"",(1/Inputs!$B$9)*((T27^2/8)*((2*ACOS(1-2*BN27/T27))-SIN((2*ACOS(1-2*BN27/T27)))))*((((T27^2/8)*((2*ACOS(1-2*BN27/T27))-SIN((2*ACOS(1-2*BN27/T27)))))/((T27/2)*((2*ACOS(1-2*BN27/T27)))))^(2/3))*SQRT(P27))</f>
        <v/>
      </c>
      <c r="BP27" s="14" t="str">
        <f t="shared" si="24"/>
        <v/>
      </c>
      <c r="BQ27" s="14" t="str">
        <f t="shared" si="25"/>
        <v/>
      </c>
      <c r="BR27" s="14" t="str">
        <f t="shared" si="26"/>
        <v/>
      </c>
      <c r="BS27" s="14" t="str">
        <f>IF(OR(T27="",P27="",BR27="",T27&lt;=0,BR27&lt;=0),"",(1/Inputs!$B$9)*((T27^2/8)*((2*ACOS(1-2*BR27/T27))-SIN((2*ACOS(1-2*BR27/T27)))))*((((T27^2/8)*((2*ACOS(1-2*BR27/T27))-SIN((2*ACOS(1-2*BR27/T27)))))/((T27/2)*((2*ACOS(1-2*BR27/T27)))))^(2/3))*SQRT(P27))</f>
        <v/>
      </c>
      <c r="BT27" s="14" t="str">
        <f t="shared" si="27"/>
        <v/>
      </c>
      <c r="BU27" s="14" t="str">
        <f t="shared" si="28"/>
        <v/>
      </c>
      <c r="BV27" s="14" t="str">
        <f t="shared" si="29"/>
        <v/>
      </c>
      <c r="BW27" s="14" t="str">
        <f>IF(OR(T27="",P27="",BV27="",T27&lt;=0,BV27&lt;=0),"",(1/Inputs!$B$9)*((T27^2/8)*((2*ACOS(1-2*BV27/T27))-SIN((2*ACOS(1-2*BV27/T27)))))*((((T27^2/8)*((2*ACOS(1-2*BV27/T27))-SIN((2*ACOS(1-2*BV27/T27)))))/((T27/2)*((2*ACOS(1-2*BV27/T27)))))^(2/3))*SQRT(P27))</f>
        <v/>
      </c>
      <c r="BX27" s="14" t="str">
        <f t="shared" si="30"/>
        <v/>
      </c>
      <c r="BY27" s="14" t="str">
        <f t="shared" si="31"/>
        <v/>
      </c>
      <c r="BZ27" s="14" t="str">
        <f t="shared" si="32"/>
        <v/>
      </c>
      <c r="CA27" s="14" t="str">
        <f>IF(OR(T27="",P27="",BZ27="",T27&lt;=0,BZ27&lt;=0),"",(1/Inputs!$B$9)*((T27^2/8)*((2*ACOS(1-2*BZ27/T27))-SIN((2*ACOS(1-2*BZ27/T27)))))*((((T27^2/8)*((2*ACOS(1-2*BZ27/T27))-SIN((2*ACOS(1-2*BZ27/T27)))))/((T27/2)*((2*ACOS(1-2*BZ27/T27)))))^(2/3))*SQRT(P27))</f>
        <v/>
      </c>
      <c r="CB27" s="14" t="str">
        <f t="shared" si="33"/>
        <v/>
      </c>
      <c r="CC27" s="14" t="str">
        <f t="shared" si="34"/>
        <v/>
      </c>
      <c r="CD27" s="14" t="str">
        <f t="shared" si="35"/>
        <v/>
      </c>
      <c r="CE27" s="14" t="str">
        <f>IF(OR(T27="",P27="",CD27="",T27&lt;=0,CD27&lt;=0),"",(1/Inputs!$B$9)*((T27^2/8)*((2*ACOS(1-2*CD27/T27))-SIN((2*ACOS(1-2*CD27/T27)))))*((((T27^2/8)*((2*ACOS(1-2*CD27/T27))-SIN((2*ACOS(1-2*CD27/T27)))))/((T27/2)*((2*ACOS(1-2*CD27/T27)))))^(2/3))*SQRT(P27))</f>
        <v/>
      </c>
      <c r="CF27" s="14" t="str">
        <f t="shared" si="36"/>
        <v/>
      </c>
      <c r="CG27" s="14" t="str">
        <f t="shared" si="37"/>
        <v/>
      </c>
      <c r="CH27" s="14" t="str">
        <f t="shared" si="38"/>
        <v/>
      </c>
    </row>
    <row r="28" spans="1:86" x14ac:dyDescent="0.25">
      <c r="A28" s="14"/>
      <c r="B28" s="14"/>
      <c r="C28" s="14"/>
      <c r="D28" s="14"/>
      <c r="E28" s="44"/>
      <c r="F28" s="44"/>
      <c r="G28" s="44">
        <f>SUMIFS(CB_plan!$G:$G,CB_plan!$F:$F,$A28)</f>
        <v>0</v>
      </c>
      <c r="H28" s="44">
        <f t="shared" si="0"/>
        <v>0</v>
      </c>
      <c r="I28" s="14"/>
      <c r="J28" s="44"/>
      <c r="K28" s="44" t="str">
        <f>IF(A28="","",Inputs!$B$13/((IF(AV28="",Inputs!$B$18,AV28)+Inputs!$B$14)^Inputs!$B$15))</f>
        <v/>
      </c>
      <c r="L28" s="44" t="str">
        <f>IF(A28="","",IF(H28="","",0.000000278*IF(I28&lt;&gt;"",I28,IFERROR(SUMIFS(CB_plan!$H:$H,CB_plan!$F:$F,$A28)/SUMIFS(CB_plan!$G:$G,CB_plan!$F:$F,$A28),Inputs!$B$17))*H28*K28))</f>
        <v/>
      </c>
      <c r="M28" s="44" t="str">
        <f t="shared" si="1"/>
        <v/>
      </c>
      <c r="N28" s="44" t="str">
        <f>IF(A28="","",(L28+M28)*Inputs!$B$16)</f>
        <v/>
      </c>
      <c r="O28" s="44"/>
      <c r="P28" s="44" t="str">
        <f>IF(A28="","",IF(O28="",Inputs!$B$7,O28))</f>
        <v/>
      </c>
      <c r="Q28" s="14" t="str">
        <f>IF(A28="","",IF(N28/Inputs!$B$10&lt;=AG28,Inputs!$F$5,IF(N28/Inputs!$B$10&gt;AP28,"OVERSIZE",INDEX(Inputs!$F$5:$F$14,MATCH(N28/Inputs!$B$10,AG28:AP28,1)+1))))</f>
        <v/>
      </c>
      <c r="R28" s="14"/>
      <c r="S28" s="14" t="str">
        <f t="shared" si="2"/>
        <v/>
      </c>
      <c r="T28" s="44" t="str">
        <f t="shared" si="3"/>
        <v/>
      </c>
      <c r="U28" s="44" t="str">
        <f>IF(T28="","",(1/Inputs!$B$9)*(PI()*T28^2/4)*((T28/4)^(2/3))*SQRT(P28))</f>
        <v/>
      </c>
      <c r="V28" s="44" t="str">
        <f>IF(OR(U28="",N28=""),"",N28/(U28*Inputs!$B$10))</f>
        <v/>
      </c>
      <c r="W28" s="44" t="str">
        <f t="shared" si="4"/>
        <v/>
      </c>
      <c r="X28" s="44"/>
      <c r="Y28" s="44" t="str">
        <f>IF(A28="","",IF(A28=Inputs!$B$6,Inputs!$B$22,IF(D28="","",IFERROR(INDEX($Z$4:$Z$201,MATCH(D28,$A$4:$A$201,0))+IF(X28="",Inputs!$B$20,X28),""))))</f>
        <v/>
      </c>
      <c r="Z28" s="44" t="str">
        <f t="shared" si="5"/>
        <v/>
      </c>
      <c r="AA28" s="44" t="str">
        <f>IF(C28="","",IFERROR(INDEX(Noeuds_plan!$C$4:$C$200,MATCH(C28,Noeuds_plan!$A$4:$A$200,0)),""))</f>
        <v/>
      </c>
      <c r="AB28" s="44" t="str">
        <f>IF(B28="","",IFERROR(INDEX(Noeuds_plan!$C$4:$C$200,MATCH(B28,Noeuds_plan!$A$4:$A$200,0)),""))</f>
        <v/>
      </c>
      <c r="AC28" s="44" t="str">
        <f t="shared" si="6"/>
        <v/>
      </c>
      <c r="AD28" s="44" t="str">
        <f t="shared" si="7"/>
        <v/>
      </c>
      <c r="AE28" s="14" t="str">
        <f>IF(A28="","",IF(OR(V28&gt;1,AND(AY28&lt;&gt;"",AY28&lt;Inputs!$B$11),AND(AY28&lt;&gt;"",AY28&gt;Inputs!$B$12),AC28&lt;Inputs!$B$19,AD28&lt;Inputs!$B$19,P28&lt;Inputs!$B$7,P28&gt;Inputs!$B$8),"CHECK","OK"))</f>
        <v/>
      </c>
      <c r="AF28" s="14"/>
      <c r="AG28" s="14" t="str">
        <f>IF(A28="","",(1/Inputs!$B$9)*(PI()*(Inputs!$F$5/1000)^2/4)*((Inputs!$F$5/1000/4)^(2/3))*SQRT(P28))</f>
        <v/>
      </c>
      <c r="AH28" s="14" t="str">
        <f>IF(A28="","",(1/Inputs!$B$9)*(PI()*(Inputs!$F$6/1000)^2/4)*((Inputs!$F$6/1000/4)^(2/3))*SQRT(P28))</f>
        <v/>
      </c>
      <c r="AI28" s="14" t="str">
        <f>IF(A28="","",(1/Inputs!$B$9)*(PI()*(Inputs!$F$7/1000)^2/4)*((Inputs!$F$7/1000/4)^(2/3))*SQRT(P28))</f>
        <v/>
      </c>
      <c r="AJ28" s="14" t="str">
        <f>IF(A28="","",(1/Inputs!$B$9)*(PI()*(Inputs!$F$8/1000)^2/4)*((Inputs!$F$8/1000/4)^(2/3))*SQRT(P28))</f>
        <v/>
      </c>
      <c r="AK28" s="14" t="str">
        <f>IF(A28="","",(1/Inputs!$B$9)*(PI()*(Inputs!$F$9/1000)^2/4)*((Inputs!$F$9/1000/4)^(2/3))*SQRT(P28))</f>
        <v/>
      </c>
      <c r="AL28" s="14" t="str">
        <f>IF(A28="","",(1/Inputs!$B$9)*(PI()*(Inputs!$F$10/1000)^2/4)*((Inputs!$F$10/1000/4)^(2/3))*SQRT(P28))</f>
        <v/>
      </c>
      <c r="AM28" s="14" t="str">
        <f>IF(A28="","",(1/Inputs!$B$9)*(PI()*(Inputs!$F$11/1000)^2/4)*((Inputs!$F$11/1000/4)^(2/3))*SQRT(P28))</f>
        <v/>
      </c>
      <c r="AN28" s="14" t="str">
        <f>IF(A28="","",(1/Inputs!$B$9)*(PI()*(Inputs!$F$12/1000)^2/4)*((Inputs!$F$12/1000/4)^(2/3))*SQRT(P28))</f>
        <v/>
      </c>
      <c r="AO28" s="14" t="str">
        <f>IF(A28="","",(1/Inputs!$B$9)*(PI()*(Inputs!$F$13/1000)^2/4)*((Inputs!$F$13/1000/4)^(2/3))*SQRT(P28))</f>
        <v/>
      </c>
      <c r="AP28" s="14" t="str">
        <f>IF(A28="","",(1/Inputs!$B$9)*(PI()*(Inputs!$F$14/1000)^2/4)*((Inputs!$F$14/1000/4)^(2/3))*SQRT(P28))</f>
        <v/>
      </c>
      <c r="AQ28" s="14" t="str">
        <f t="shared" si="8"/>
        <v/>
      </c>
      <c r="AR28" s="14" t="str">
        <f t="shared" si="9"/>
        <v/>
      </c>
      <c r="AS28" s="17" t="str">
        <f>IF(A28="","",IF(J28="",Inputs!$B$18,J28))</f>
        <v/>
      </c>
      <c r="AT28" s="17" t="str">
        <f>IF(A28="","",IFERROR(_xludf.maxifs($AV$4:$AV$201,$D$4:$D$201,$A28),""))</f>
        <v/>
      </c>
      <c r="AU28" s="17" t="str">
        <f>IF(A28="","",IF(OR(E28="",Inputs!$B$23=""),"",E28/(Inputs!$B$23*60)))</f>
        <v/>
      </c>
      <c r="AV28" s="17" t="str">
        <f t="shared" si="10"/>
        <v/>
      </c>
      <c r="AW28" s="17" t="str">
        <f t="shared" si="11"/>
        <v/>
      </c>
      <c r="AX28" s="17" t="str">
        <f>IF(OR(T28="",P28=""),"",(1/Inputs!$B$9)*((T28/4)^(2/3))*SQRT(P28))</f>
        <v/>
      </c>
      <c r="AY28" s="17" t="str">
        <f>IF(A28="","",IF(AND(AW28="",AX28="",BA28=""),"",IF(OR(UPPER(TRIM(Inputs!$B$24))="MANNING",UPPER(TRIM(Inputs!$B$24))="M"),AX28,IF(OR(UPPER(TRIM(Inputs!$B$24))="PARTIAL",UPPER(TRIM(Inputs!$B$24))="P"),BA28,IF(OR(UPPER(TRIM(Inputs!$B$24))="MAX",UPPER(TRIM(Inputs!$B$24))="X"),MAX(IF(AW28="",0,AW28),IF(AX28="",0,AX28),IF(BA28="",0,BA28)),AW28)))))</f>
        <v/>
      </c>
      <c r="AZ28" s="17" t="str">
        <f t="shared" si="12"/>
        <v/>
      </c>
      <c r="BA28" s="17" t="str">
        <f t="shared" si="13"/>
        <v/>
      </c>
      <c r="BB28" s="14" t="str">
        <f t="shared" si="14"/>
        <v/>
      </c>
      <c r="BC28" s="14" t="str">
        <f>IF(OR(N28="",T28="",P28=""),"",IF(OR(T28="",P28="",(0.94*T28)="",T28&lt;=0,(0.94*T28)&lt;=0),"",(1/Inputs!$B$9)*((T28^2/8)*((2*ACOS(1-2*(0.94*T28)/T28))-SIN((2*ACOS(1-2*(0.94*T28)/T28)))))*((((T28^2/8)*((2*ACOS(1-2*(0.94*T28)/T28))-SIN((2*ACOS(1-2*(0.94*T28)/T28)))))/((T28/2)*((2*ACOS(1-2*(0.94*T28)/T28)))))^(2/3))*SQRT(P28)))</f>
        <v/>
      </c>
      <c r="BD28" s="14" t="str">
        <f t="shared" si="15"/>
        <v/>
      </c>
      <c r="BE28" s="14" t="str">
        <f t="shared" si="16"/>
        <v/>
      </c>
      <c r="BF28" s="14" t="str">
        <f t="shared" si="17"/>
        <v/>
      </c>
      <c r="BG28" s="14" t="str">
        <f>IF(OR(T28="",P28="",BF28="",T28&lt;=0,BF28&lt;=0),"",(1/Inputs!$B$9)*((T28^2/8)*((2*ACOS(1-2*BF28/T28))-SIN((2*ACOS(1-2*BF28/T28)))))*((((T28^2/8)*((2*ACOS(1-2*BF28/T28))-SIN((2*ACOS(1-2*BF28/T28)))))/((T28/2)*((2*ACOS(1-2*BF28/T28)))))^(2/3))*SQRT(P28))</f>
        <v/>
      </c>
      <c r="BH28" s="14" t="str">
        <f t="shared" si="18"/>
        <v/>
      </c>
      <c r="BI28" s="14" t="str">
        <f t="shared" si="19"/>
        <v/>
      </c>
      <c r="BJ28" s="14" t="str">
        <f t="shared" si="20"/>
        <v/>
      </c>
      <c r="BK28" s="14" t="str">
        <f>IF(OR(T28="",P28="",BJ28="",T28&lt;=0,BJ28&lt;=0),"",(1/Inputs!$B$9)*((T28^2/8)*((2*ACOS(1-2*BJ28/T28))-SIN((2*ACOS(1-2*BJ28/T28)))))*((((T28^2/8)*((2*ACOS(1-2*BJ28/T28))-SIN((2*ACOS(1-2*BJ28/T28)))))/((T28/2)*((2*ACOS(1-2*BJ28/T28)))))^(2/3))*SQRT(P28))</f>
        <v/>
      </c>
      <c r="BL28" s="14" t="str">
        <f t="shared" si="21"/>
        <v/>
      </c>
      <c r="BM28" s="14" t="str">
        <f t="shared" si="22"/>
        <v/>
      </c>
      <c r="BN28" s="14" t="str">
        <f t="shared" si="23"/>
        <v/>
      </c>
      <c r="BO28" s="14" t="str">
        <f>IF(OR(T28="",P28="",BN28="",T28&lt;=0,BN28&lt;=0),"",(1/Inputs!$B$9)*((T28^2/8)*((2*ACOS(1-2*BN28/T28))-SIN((2*ACOS(1-2*BN28/T28)))))*((((T28^2/8)*((2*ACOS(1-2*BN28/T28))-SIN((2*ACOS(1-2*BN28/T28)))))/((T28/2)*((2*ACOS(1-2*BN28/T28)))))^(2/3))*SQRT(P28))</f>
        <v/>
      </c>
      <c r="BP28" s="14" t="str">
        <f t="shared" si="24"/>
        <v/>
      </c>
      <c r="BQ28" s="14" t="str">
        <f t="shared" si="25"/>
        <v/>
      </c>
      <c r="BR28" s="14" t="str">
        <f t="shared" si="26"/>
        <v/>
      </c>
      <c r="BS28" s="14" t="str">
        <f>IF(OR(T28="",P28="",BR28="",T28&lt;=0,BR28&lt;=0),"",(1/Inputs!$B$9)*((T28^2/8)*((2*ACOS(1-2*BR28/T28))-SIN((2*ACOS(1-2*BR28/T28)))))*((((T28^2/8)*((2*ACOS(1-2*BR28/T28))-SIN((2*ACOS(1-2*BR28/T28)))))/((T28/2)*((2*ACOS(1-2*BR28/T28)))))^(2/3))*SQRT(P28))</f>
        <v/>
      </c>
      <c r="BT28" s="14" t="str">
        <f t="shared" si="27"/>
        <v/>
      </c>
      <c r="BU28" s="14" t="str">
        <f t="shared" si="28"/>
        <v/>
      </c>
      <c r="BV28" s="14" t="str">
        <f t="shared" si="29"/>
        <v/>
      </c>
      <c r="BW28" s="14" t="str">
        <f>IF(OR(T28="",P28="",BV28="",T28&lt;=0,BV28&lt;=0),"",(1/Inputs!$B$9)*((T28^2/8)*((2*ACOS(1-2*BV28/T28))-SIN((2*ACOS(1-2*BV28/T28)))))*((((T28^2/8)*((2*ACOS(1-2*BV28/T28))-SIN((2*ACOS(1-2*BV28/T28)))))/((T28/2)*((2*ACOS(1-2*BV28/T28)))))^(2/3))*SQRT(P28))</f>
        <v/>
      </c>
      <c r="BX28" s="14" t="str">
        <f t="shared" si="30"/>
        <v/>
      </c>
      <c r="BY28" s="14" t="str">
        <f t="shared" si="31"/>
        <v/>
      </c>
      <c r="BZ28" s="14" t="str">
        <f t="shared" si="32"/>
        <v/>
      </c>
      <c r="CA28" s="14" t="str">
        <f>IF(OR(T28="",P28="",BZ28="",T28&lt;=0,BZ28&lt;=0),"",(1/Inputs!$B$9)*((T28^2/8)*((2*ACOS(1-2*BZ28/T28))-SIN((2*ACOS(1-2*BZ28/T28)))))*((((T28^2/8)*((2*ACOS(1-2*BZ28/T28))-SIN((2*ACOS(1-2*BZ28/T28)))))/((T28/2)*((2*ACOS(1-2*BZ28/T28)))))^(2/3))*SQRT(P28))</f>
        <v/>
      </c>
      <c r="CB28" s="14" t="str">
        <f t="shared" si="33"/>
        <v/>
      </c>
      <c r="CC28" s="14" t="str">
        <f t="shared" si="34"/>
        <v/>
      </c>
      <c r="CD28" s="14" t="str">
        <f t="shared" si="35"/>
        <v/>
      </c>
      <c r="CE28" s="14" t="str">
        <f>IF(OR(T28="",P28="",CD28="",T28&lt;=0,CD28&lt;=0),"",(1/Inputs!$B$9)*((T28^2/8)*((2*ACOS(1-2*CD28/T28))-SIN((2*ACOS(1-2*CD28/T28)))))*((((T28^2/8)*((2*ACOS(1-2*CD28/T28))-SIN((2*ACOS(1-2*CD28/T28)))))/((T28/2)*((2*ACOS(1-2*CD28/T28)))))^(2/3))*SQRT(P28))</f>
        <v/>
      </c>
      <c r="CF28" s="14" t="str">
        <f t="shared" si="36"/>
        <v/>
      </c>
      <c r="CG28" s="14" t="str">
        <f t="shared" si="37"/>
        <v/>
      </c>
      <c r="CH28" s="14" t="str">
        <f t="shared" si="38"/>
        <v/>
      </c>
    </row>
    <row r="29" spans="1:86" x14ac:dyDescent="0.25">
      <c r="A29" s="14"/>
      <c r="B29" s="14"/>
      <c r="C29" s="14"/>
      <c r="D29" s="14"/>
      <c r="E29" s="44"/>
      <c r="F29" s="44"/>
      <c r="G29" s="44">
        <f>SUMIFS(CB_plan!$G:$G,CB_plan!$F:$F,$A29)</f>
        <v>0</v>
      </c>
      <c r="H29" s="44">
        <f t="shared" si="0"/>
        <v>0</v>
      </c>
      <c r="I29" s="14"/>
      <c r="J29" s="44"/>
      <c r="K29" s="44" t="str">
        <f>IF(A29="","",Inputs!$B$13/((IF(AV29="",Inputs!$B$18,AV29)+Inputs!$B$14)^Inputs!$B$15))</f>
        <v/>
      </c>
      <c r="L29" s="44" t="str">
        <f>IF(A29="","",IF(H29="","",0.000000278*IF(I29&lt;&gt;"",I29,IFERROR(SUMIFS(CB_plan!$H:$H,CB_plan!$F:$F,$A29)/SUMIFS(CB_plan!$G:$G,CB_plan!$F:$F,$A29),Inputs!$B$17))*H29*K29))</f>
        <v/>
      </c>
      <c r="M29" s="44" t="str">
        <f t="shared" si="1"/>
        <v/>
      </c>
      <c r="N29" s="44" t="str">
        <f>IF(A29="","",(L29+M29)*Inputs!$B$16)</f>
        <v/>
      </c>
      <c r="O29" s="44"/>
      <c r="P29" s="44" t="str">
        <f>IF(A29="","",IF(O29="",Inputs!$B$7,O29))</f>
        <v/>
      </c>
      <c r="Q29" s="14" t="str">
        <f>IF(A29="","",IF(N29/Inputs!$B$10&lt;=AG29,Inputs!$F$5,IF(N29/Inputs!$B$10&gt;AP29,"OVERSIZE",INDEX(Inputs!$F$5:$F$14,MATCH(N29/Inputs!$B$10,AG29:AP29,1)+1))))</f>
        <v/>
      </c>
      <c r="R29" s="14"/>
      <c r="S29" s="14" t="str">
        <f t="shared" si="2"/>
        <v/>
      </c>
      <c r="T29" s="44" t="str">
        <f t="shared" si="3"/>
        <v/>
      </c>
      <c r="U29" s="44" t="str">
        <f>IF(T29="","",(1/Inputs!$B$9)*(PI()*T29^2/4)*((T29/4)^(2/3))*SQRT(P29))</f>
        <v/>
      </c>
      <c r="V29" s="44" t="str">
        <f>IF(OR(U29="",N29=""),"",N29/(U29*Inputs!$B$10))</f>
        <v/>
      </c>
      <c r="W29" s="44" t="str">
        <f t="shared" si="4"/>
        <v/>
      </c>
      <c r="X29" s="44"/>
      <c r="Y29" s="44" t="str">
        <f>IF(A29="","",IF(A29=Inputs!$B$6,Inputs!$B$22,IF(D29="","",IFERROR(INDEX($Z$4:$Z$201,MATCH(D29,$A$4:$A$201,0))+IF(X29="",Inputs!$B$20,X29),""))))</f>
        <v/>
      </c>
      <c r="Z29" s="44" t="str">
        <f t="shared" si="5"/>
        <v/>
      </c>
      <c r="AA29" s="44" t="str">
        <f>IF(C29="","",IFERROR(INDEX(Noeuds_plan!$C$4:$C$200,MATCH(C29,Noeuds_plan!$A$4:$A$200,0)),""))</f>
        <v/>
      </c>
      <c r="AB29" s="44" t="str">
        <f>IF(B29="","",IFERROR(INDEX(Noeuds_plan!$C$4:$C$200,MATCH(B29,Noeuds_plan!$A$4:$A$200,0)),""))</f>
        <v/>
      </c>
      <c r="AC29" s="44" t="str">
        <f t="shared" si="6"/>
        <v/>
      </c>
      <c r="AD29" s="44" t="str">
        <f t="shared" si="7"/>
        <v/>
      </c>
      <c r="AE29" s="14" t="str">
        <f>IF(A29="","",IF(OR(V29&gt;1,AND(AY29&lt;&gt;"",AY29&lt;Inputs!$B$11),AND(AY29&lt;&gt;"",AY29&gt;Inputs!$B$12),AC29&lt;Inputs!$B$19,AD29&lt;Inputs!$B$19,P29&lt;Inputs!$B$7,P29&gt;Inputs!$B$8),"CHECK","OK"))</f>
        <v/>
      </c>
      <c r="AF29" s="14"/>
      <c r="AG29" s="14" t="str">
        <f>IF(A29="","",(1/Inputs!$B$9)*(PI()*(Inputs!$F$5/1000)^2/4)*((Inputs!$F$5/1000/4)^(2/3))*SQRT(P29))</f>
        <v/>
      </c>
      <c r="AH29" s="14" t="str">
        <f>IF(A29="","",(1/Inputs!$B$9)*(PI()*(Inputs!$F$6/1000)^2/4)*((Inputs!$F$6/1000/4)^(2/3))*SQRT(P29))</f>
        <v/>
      </c>
      <c r="AI29" s="14" t="str">
        <f>IF(A29="","",(1/Inputs!$B$9)*(PI()*(Inputs!$F$7/1000)^2/4)*((Inputs!$F$7/1000/4)^(2/3))*SQRT(P29))</f>
        <v/>
      </c>
      <c r="AJ29" s="14" t="str">
        <f>IF(A29="","",(1/Inputs!$B$9)*(PI()*(Inputs!$F$8/1000)^2/4)*((Inputs!$F$8/1000/4)^(2/3))*SQRT(P29))</f>
        <v/>
      </c>
      <c r="AK29" s="14" t="str">
        <f>IF(A29="","",(1/Inputs!$B$9)*(PI()*(Inputs!$F$9/1000)^2/4)*((Inputs!$F$9/1000/4)^(2/3))*SQRT(P29))</f>
        <v/>
      </c>
      <c r="AL29" s="14" t="str">
        <f>IF(A29="","",(1/Inputs!$B$9)*(PI()*(Inputs!$F$10/1000)^2/4)*((Inputs!$F$10/1000/4)^(2/3))*SQRT(P29))</f>
        <v/>
      </c>
      <c r="AM29" s="14" t="str">
        <f>IF(A29="","",(1/Inputs!$B$9)*(PI()*(Inputs!$F$11/1000)^2/4)*((Inputs!$F$11/1000/4)^(2/3))*SQRT(P29))</f>
        <v/>
      </c>
      <c r="AN29" s="14" t="str">
        <f>IF(A29="","",(1/Inputs!$B$9)*(PI()*(Inputs!$F$12/1000)^2/4)*((Inputs!$F$12/1000/4)^(2/3))*SQRT(P29))</f>
        <v/>
      </c>
      <c r="AO29" s="14" t="str">
        <f>IF(A29="","",(1/Inputs!$B$9)*(PI()*(Inputs!$F$13/1000)^2/4)*((Inputs!$F$13/1000/4)^(2/3))*SQRT(P29))</f>
        <v/>
      </c>
      <c r="AP29" s="14" t="str">
        <f>IF(A29="","",(1/Inputs!$B$9)*(PI()*(Inputs!$F$14/1000)^2/4)*((Inputs!$F$14/1000/4)^(2/3))*SQRT(P29))</f>
        <v/>
      </c>
      <c r="AQ29" s="14" t="str">
        <f t="shared" si="8"/>
        <v/>
      </c>
      <c r="AR29" s="14" t="str">
        <f t="shared" si="9"/>
        <v/>
      </c>
      <c r="AS29" s="17" t="str">
        <f>IF(A29="","",IF(J29="",Inputs!$B$18,J29))</f>
        <v/>
      </c>
      <c r="AT29" s="17" t="str">
        <f>IF(A29="","",IFERROR(_xludf.maxifs($AV$4:$AV$201,$D$4:$D$201,$A29),""))</f>
        <v/>
      </c>
      <c r="AU29" s="17" t="str">
        <f>IF(A29="","",IF(OR(E29="",Inputs!$B$23=""),"",E29/(Inputs!$B$23*60)))</f>
        <v/>
      </c>
      <c r="AV29" s="17" t="str">
        <f t="shared" si="10"/>
        <v/>
      </c>
      <c r="AW29" s="17" t="str">
        <f t="shared" si="11"/>
        <v/>
      </c>
      <c r="AX29" s="17" t="str">
        <f>IF(OR(T29="",P29=""),"",(1/Inputs!$B$9)*((T29/4)^(2/3))*SQRT(P29))</f>
        <v/>
      </c>
      <c r="AY29" s="17" t="str">
        <f>IF(A29="","",IF(AND(AW29="",AX29="",BA29=""),"",IF(OR(UPPER(TRIM(Inputs!$B$24))="MANNING",UPPER(TRIM(Inputs!$B$24))="M"),AX29,IF(OR(UPPER(TRIM(Inputs!$B$24))="PARTIAL",UPPER(TRIM(Inputs!$B$24))="P"),BA29,IF(OR(UPPER(TRIM(Inputs!$B$24))="MAX",UPPER(TRIM(Inputs!$B$24))="X"),MAX(IF(AW29="",0,AW29),IF(AX29="",0,AX29),IF(BA29="",0,BA29)),AW29)))))</f>
        <v/>
      </c>
      <c r="AZ29" s="17" t="str">
        <f t="shared" si="12"/>
        <v/>
      </c>
      <c r="BA29" s="17" t="str">
        <f t="shared" si="13"/>
        <v/>
      </c>
      <c r="BB29" s="14" t="str">
        <f t="shared" si="14"/>
        <v/>
      </c>
      <c r="BC29" s="14" t="str">
        <f>IF(OR(N29="",T29="",P29=""),"",IF(OR(T29="",P29="",(0.94*T29)="",T29&lt;=0,(0.94*T29)&lt;=0),"",(1/Inputs!$B$9)*((T29^2/8)*((2*ACOS(1-2*(0.94*T29)/T29))-SIN((2*ACOS(1-2*(0.94*T29)/T29)))))*((((T29^2/8)*((2*ACOS(1-2*(0.94*T29)/T29))-SIN((2*ACOS(1-2*(0.94*T29)/T29)))))/((T29/2)*((2*ACOS(1-2*(0.94*T29)/T29)))))^(2/3))*SQRT(P29)))</f>
        <v/>
      </c>
      <c r="BD29" s="14" t="str">
        <f t="shared" si="15"/>
        <v/>
      </c>
      <c r="BE29" s="14" t="str">
        <f t="shared" si="16"/>
        <v/>
      </c>
      <c r="BF29" s="14" t="str">
        <f t="shared" si="17"/>
        <v/>
      </c>
      <c r="BG29" s="14" t="str">
        <f>IF(OR(T29="",P29="",BF29="",T29&lt;=0,BF29&lt;=0),"",(1/Inputs!$B$9)*((T29^2/8)*((2*ACOS(1-2*BF29/T29))-SIN((2*ACOS(1-2*BF29/T29)))))*((((T29^2/8)*((2*ACOS(1-2*BF29/T29))-SIN((2*ACOS(1-2*BF29/T29)))))/((T29/2)*((2*ACOS(1-2*BF29/T29)))))^(2/3))*SQRT(P29))</f>
        <v/>
      </c>
      <c r="BH29" s="14" t="str">
        <f t="shared" si="18"/>
        <v/>
      </c>
      <c r="BI29" s="14" t="str">
        <f t="shared" si="19"/>
        <v/>
      </c>
      <c r="BJ29" s="14" t="str">
        <f t="shared" si="20"/>
        <v/>
      </c>
      <c r="BK29" s="14" t="str">
        <f>IF(OR(T29="",P29="",BJ29="",T29&lt;=0,BJ29&lt;=0),"",(1/Inputs!$B$9)*((T29^2/8)*((2*ACOS(1-2*BJ29/T29))-SIN((2*ACOS(1-2*BJ29/T29)))))*((((T29^2/8)*((2*ACOS(1-2*BJ29/T29))-SIN((2*ACOS(1-2*BJ29/T29)))))/((T29/2)*((2*ACOS(1-2*BJ29/T29)))))^(2/3))*SQRT(P29))</f>
        <v/>
      </c>
      <c r="BL29" s="14" t="str">
        <f t="shared" si="21"/>
        <v/>
      </c>
      <c r="BM29" s="14" t="str">
        <f t="shared" si="22"/>
        <v/>
      </c>
      <c r="BN29" s="14" t="str">
        <f t="shared" si="23"/>
        <v/>
      </c>
      <c r="BO29" s="14" t="str">
        <f>IF(OR(T29="",P29="",BN29="",T29&lt;=0,BN29&lt;=0),"",(1/Inputs!$B$9)*((T29^2/8)*((2*ACOS(1-2*BN29/T29))-SIN((2*ACOS(1-2*BN29/T29)))))*((((T29^2/8)*((2*ACOS(1-2*BN29/T29))-SIN((2*ACOS(1-2*BN29/T29)))))/((T29/2)*((2*ACOS(1-2*BN29/T29)))))^(2/3))*SQRT(P29))</f>
        <v/>
      </c>
      <c r="BP29" s="14" t="str">
        <f t="shared" si="24"/>
        <v/>
      </c>
      <c r="BQ29" s="14" t="str">
        <f t="shared" si="25"/>
        <v/>
      </c>
      <c r="BR29" s="14" t="str">
        <f t="shared" si="26"/>
        <v/>
      </c>
      <c r="BS29" s="14" t="str">
        <f>IF(OR(T29="",P29="",BR29="",T29&lt;=0,BR29&lt;=0),"",(1/Inputs!$B$9)*((T29^2/8)*((2*ACOS(1-2*BR29/T29))-SIN((2*ACOS(1-2*BR29/T29)))))*((((T29^2/8)*((2*ACOS(1-2*BR29/T29))-SIN((2*ACOS(1-2*BR29/T29)))))/((T29/2)*((2*ACOS(1-2*BR29/T29)))))^(2/3))*SQRT(P29))</f>
        <v/>
      </c>
      <c r="BT29" s="14" t="str">
        <f t="shared" si="27"/>
        <v/>
      </c>
      <c r="BU29" s="14" t="str">
        <f t="shared" si="28"/>
        <v/>
      </c>
      <c r="BV29" s="14" t="str">
        <f t="shared" si="29"/>
        <v/>
      </c>
      <c r="BW29" s="14" t="str">
        <f>IF(OR(T29="",P29="",BV29="",T29&lt;=0,BV29&lt;=0),"",(1/Inputs!$B$9)*((T29^2/8)*((2*ACOS(1-2*BV29/T29))-SIN((2*ACOS(1-2*BV29/T29)))))*((((T29^2/8)*((2*ACOS(1-2*BV29/T29))-SIN((2*ACOS(1-2*BV29/T29)))))/((T29/2)*((2*ACOS(1-2*BV29/T29)))))^(2/3))*SQRT(P29))</f>
        <v/>
      </c>
      <c r="BX29" s="14" t="str">
        <f t="shared" si="30"/>
        <v/>
      </c>
      <c r="BY29" s="14" t="str">
        <f t="shared" si="31"/>
        <v/>
      </c>
      <c r="BZ29" s="14" t="str">
        <f t="shared" si="32"/>
        <v/>
      </c>
      <c r="CA29" s="14" t="str">
        <f>IF(OR(T29="",P29="",BZ29="",T29&lt;=0,BZ29&lt;=0),"",(1/Inputs!$B$9)*((T29^2/8)*((2*ACOS(1-2*BZ29/T29))-SIN((2*ACOS(1-2*BZ29/T29)))))*((((T29^2/8)*((2*ACOS(1-2*BZ29/T29))-SIN((2*ACOS(1-2*BZ29/T29)))))/((T29/2)*((2*ACOS(1-2*BZ29/T29)))))^(2/3))*SQRT(P29))</f>
        <v/>
      </c>
      <c r="CB29" s="14" t="str">
        <f t="shared" si="33"/>
        <v/>
      </c>
      <c r="CC29" s="14" t="str">
        <f t="shared" si="34"/>
        <v/>
      </c>
      <c r="CD29" s="14" t="str">
        <f t="shared" si="35"/>
        <v/>
      </c>
      <c r="CE29" s="14" t="str">
        <f>IF(OR(T29="",P29="",CD29="",T29&lt;=0,CD29&lt;=0),"",(1/Inputs!$B$9)*((T29^2/8)*((2*ACOS(1-2*CD29/T29))-SIN((2*ACOS(1-2*CD29/T29)))))*((((T29^2/8)*((2*ACOS(1-2*CD29/T29))-SIN((2*ACOS(1-2*CD29/T29)))))/((T29/2)*((2*ACOS(1-2*CD29/T29)))))^(2/3))*SQRT(P29))</f>
        <v/>
      </c>
      <c r="CF29" s="14" t="str">
        <f t="shared" si="36"/>
        <v/>
      </c>
      <c r="CG29" s="14" t="str">
        <f t="shared" si="37"/>
        <v/>
      </c>
      <c r="CH29" s="14" t="str">
        <f t="shared" si="38"/>
        <v/>
      </c>
    </row>
    <row r="30" spans="1:86" x14ac:dyDescent="0.25">
      <c r="A30" s="14"/>
      <c r="B30" s="14"/>
      <c r="C30" s="14"/>
      <c r="D30" s="14"/>
      <c r="E30" s="44"/>
      <c r="F30" s="44"/>
      <c r="G30" s="44">
        <f>SUMIFS(CB_plan!$G:$G,CB_plan!$F:$F,$A30)</f>
        <v>0</v>
      </c>
      <c r="H30" s="44">
        <f t="shared" si="0"/>
        <v>0</v>
      </c>
      <c r="I30" s="14"/>
      <c r="J30" s="44"/>
      <c r="K30" s="44" t="str">
        <f>IF(A30="","",Inputs!$B$13/((IF(AV30="",Inputs!$B$18,AV30)+Inputs!$B$14)^Inputs!$B$15))</f>
        <v/>
      </c>
      <c r="L30" s="44" t="str">
        <f>IF(A30="","",IF(H30="","",0.000000278*IF(I30&lt;&gt;"",I30,IFERROR(SUMIFS(CB_plan!$H:$H,CB_plan!$F:$F,$A30)/SUMIFS(CB_plan!$G:$G,CB_plan!$F:$F,$A30),Inputs!$B$17))*H30*K30))</f>
        <v/>
      </c>
      <c r="M30" s="44" t="str">
        <f t="shared" si="1"/>
        <v/>
      </c>
      <c r="N30" s="44" t="str">
        <f>IF(A30="","",(L30+M30)*Inputs!$B$16)</f>
        <v/>
      </c>
      <c r="O30" s="44"/>
      <c r="P30" s="44" t="str">
        <f>IF(A30="","",IF(O30="",Inputs!$B$7,O30))</f>
        <v/>
      </c>
      <c r="Q30" s="14" t="str">
        <f>IF(A30="","",IF(N30/Inputs!$B$10&lt;=AG30,Inputs!$F$5,IF(N30/Inputs!$B$10&gt;AP30,"OVERSIZE",INDEX(Inputs!$F$5:$F$14,MATCH(N30/Inputs!$B$10,AG30:AP30,1)+1))))</f>
        <v/>
      </c>
      <c r="R30" s="14"/>
      <c r="S30" s="14" t="str">
        <f t="shared" si="2"/>
        <v/>
      </c>
      <c r="T30" s="44" t="str">
        <f t="shared" si="3"/>
        <v/>
      </c>
      <c r="U30" s="44" t="str">
        <f>IF(T30="","",(1/Inputs!$B$9)*(PI()*T30^2/4)*((T30/4)^(2/3))*SQRT(P30))</f>
        <v/>
      </c>
      <c r="V30" s="44" t="str">
        <f>IF(OR(U30="",N30=""),"",N30/(U30*Inputs!$B$10))</f>
        <v/>
      </c>
      <c r="W30" s="44" t="str">
        <f t="shared" si="4"/>
        <v/>
      </c>
      <c r="X30" s="44"/>
      <c r="Y30" s="44" t="str">
        <f>IF(A30="","",IF(A30=Inputs!$B$6,Inputs!$B$22,IF(D30="","",IFERROR(INDEX($Z$4:$Z$201,MATCH(D30,$A$4:$A$201,0))+IF(X30="",Inputs!$B$20,X30),""))))</f>
        <v/>
      </c>
      <c r="Z30" s="44" t="str">
        <f t="shared" si="5"/>
        <v/>
      </c>
      <c r="AA30" s="44" t="str">
        <f>IF(C30="","",IFERROR(INDEX(Noeuds_plan!$C$4:$C$200,MATCH(C30,Noeuds_plan!$A$4:$A$200,0)),""))</f>
        <v/>
      </c>
      <c r="AB30" s="44" t="str">
        <f>IF(B30="","",IFERROR(INDEX(Noeuds_plan!$C$4:$C$200,MATCH(B30,Noeuds_plan!$A$4:$A$200,0)),""))</f>
        <v/>
      </c>
      <c r="AC30" s="44" t="str">
        <f t="shared" si="6"/>
        <v/>
      </c>
      <c r="AD30" s="44" t="str">
        <f t="shared" si="7"/>
        <v/>
      </c>
      <c r="AE30" s="14" t="str">
        <f>IF(A30="","",IF(OR(V30&gt;1,AND(AY30&lt;&gt;"",AY30&lt;Inputs!$B$11),AND(AY30&lt;&gt;"",AY30&gt;Inputs!$B$12),AC30&lt;Inputs!$B$19,AD30&lt;Inputs!$B$19,P30&lt;Inputs!$B$7,P30&gt;Inputs!$B$8),"CHECK","OK"))</f>
        <v/>
      </c>
      <c r="AF30" s="14"/>
      <c r="AG30" s="14" t="str">
        <f>IF(A30="","",(1/Inputs!$B$9)*(PI()*(Inputs!$F$5/1000)^2/4)*((Inputs!$F$5/1000/4)^(2/3))*SQRT(P30))</f>
        <v/>
      </c>
      <c r="AH30" s="14" t="str">
        <f>IF(A30="","",(1/Inputs!$B$9)*(PI()*(Inputs!$F$6/1000)^2/4)*((Inputs!$F$6/1000/4)^(2/3))*SQRT(P30))</f>
        <v/>
      </c>
      <c r="AI30" s="14" t="str">
        <f>IF(A30="","",(1/Inputs!$B$9)*(PI()*(Inputs!$F$7/1000)^2/4)*((Inputs!$F$7/1000/4)^(2/3))*SQRT(P30))</f>
        <v/>
      </c>
      <c r="AJ30" s="14" t="str">
        <f>IF(A30="","",(1/Inputs!$B$9)*(PI()*(Inputs!$F$8/1000)^2/4)*((Inputs!$F$8/1000/4)^(2/3))*SQRT(P30))</f>
        <v/>
      </c>
      <c r="AK30" s="14" t="str">
        <f>IF(A30="","",(1/Inputs!$B$9)*(PI()*(Inputs!$F$9/1000)^2/4)*((Inputs!$F$9/1000/4)^(2/3))*SQRT(P30))</f>
        <v/>
      </c>
      <c r="AL30" s="14" t="str">
        <f>IF(A30="","",(1/Inputs!$B$9)*(PI()*(Inputs!$F$10/1000)^2/4)*((Inputs!$F$10/1000/4)^(2/3))*SQRT(P30))</f>
        <v/>
      </c>
      <c r="AM30" s="14" t="str">
        <f>IF(A30="","",(1/Inputs!$B$9)*(PI()*(Inputs!$F$11/1000)^2/4)*((Inputs!$F$11/1000/4)^(2/3))*SQRT(P30))</f>
        <v/>
      </c>
      <c r="AN30" s="14" t="str">
        <f>IF(A30="","",(1/Inputs!$B$9)*(PI()*(Inputs!$F$12/1000)^2/4)*((Inputs!$F$12/1000/4)^(2/3))*SQRT(P30))</f>
        <v/>
      </c>
      <c r="AO30" s="14" t="str">
        <f>IF(A30="","",(1/Inputs!$B$9)*(PI()*(Inputs!$F$13/1000)^2/4)*((Inputs!$F$13/1000/4)^(2/3))*SQRT(P30))</f>
        <v/>
      </c>
      <c r="AP30" s="14" t="str">
        <f>IF(A30="","",(1/Inputs!$B$9)*(PI()*(Inputs!$F$14/1000)^2/4)*((Inputs!$F$14/1000/4)^(2/3))*SQRT(P30))</f>
        <v/>
      </c>
      <c r="AQ30" s="14" t="str">
        <f t="shared" si="8"/>
        <v/>
      </c>
      <c r="AR30" s="14" t="str">
        <f t="shared" si="9"/>
        <v/>
      </c>
      <c r="AS30" s="17" t="str">
        <f>IF(A30="","",IF(J30="",Inputs!$B$18,J30))</f>
        <v/>
      </c>
      <c r="AT30" s="17" t="str">
        <f>IF(A30="","",IFERROR(_xludf.maxifs($AV$4:$AV$201,$D$4:$D$201,$A30),""))</f>
        <v/>
      </c>
      <c r="AU30" s="17" t="str">
        <f>IF(A30="","",IF(OR(E30="",Inputs!$B$23=""),"",E30/(Inputs!$B$23*60)))</f>
        <v/>
      </c>
      <c r="AV30" s="17" t="str">
        <f t="shared" si="10"/>
        <v/>
      </c>
      <c r="AW30" s="17" t="str">
        <f t="shared" si="11"/>
        <v/>
      </c>
      <c r="AX30" s="17" t="str">
        <f>IF(OR(T30="",P30=""),"",(1/Inputs!$B$9)*((T30/4)^(2/3))*SQRT(P30))</f>
        <v/>
      </c>
      <c r="AY30" s="17" t="str">
        <f>IF(A30="","",IF(AND(AW30="",AX30="",BA30=""),"",IF(OR(UPPER(TRIM(Inputs!$B$24))="MANNING",UPPER(TRIM(Inputs!$B$24))="M"),AX30,IF(OR(UPPER(TRIM(Inputs!$B$24))="PARTIAL",UPPER(TRIM(Inputs!$B$24))="P"),BA30,IF(OR(UPPER(TRIM(Inputs!$B$24))="MAX",UPPER(TRIM(Inputs!$B$24))="X"),MAX(IF(AW30="",0,AW30),IF(AX30="",0,AX30),IF(BA30="",0,BA30)),AW30)))))</f>
        <v/>
      </c>
      <c r="AZ30" s="17" t="str">
        <f t="shared" si="12"/>
        <v/>
      </c>
      <c r="BA30" s="17" t="str">
        <f t="shared" si="13"/>
        <v/>
      </c>
      <c r="BB30" s="14" t="str">
        <f t="shared" si="14"/>
        <v/>
      </c>
      <c r="BC30" s="14" t="str">
        <f>IF(OR(N30="",T30="",P30=""),"",IF(OR(T30="",P30="",(0.94*T30)="",T30&lt;=0,(0.94*T30)&lt;=0),"",(1/Inputs!$B$9)*((T30^2/8)*((2*ACOS(1-2*(0.94*T30)/T30))-SIN((2*ACOS(1-2*(0.94*T30)/T30)))))*((((T30^2/8)*((2*ACOS(1-2*(0.94*T30)/T30))-SIN((2*ACOS(1-2*(0.94*T30)/T30)))))/((T30/2)*((2*ACOS(1-2*(0.94*T30)/T30)))))^(2/3))*SQRT(P30)))</f>
        <v/>
      </c>
      <c r="BD30" s="14" t="str">
        <f t="shared" si="15"/>
        <v/>
      </c>
      <c r="BE30" s="14" t="str">
        <f t="shared" si="16"/>
        <v/>
      </c>
      <c r="BF30" s="14" t="str">
        <f t="shared" si="17"/>
        <v/>
      </c>
      <c r="BG30" s="14" t="str">
        <f>IF(OR(T30="",P30="",BF30="",T30&lt;=0,BF30&lt;=0),"",(1/Inputs!$B$9)*((T30^2/8)*((2*ACOS(1-2*BF30/T30))-SIN((2*ACOS(1-2*BF30/T30)))))*((((T30^2/8)*((2*ACOS(1-2*BF30/T30))-SIN((2*ACOS(1-2*BF30/T30)))))/((T30/2)*((2*ACOS(1-2*BF30/T30)))))^(2/3))*SQRT(P30))</f>
        <v/>
      </c>
      <c r="BH30" s="14" t="str">
        <f t="shared" si="18"/>
        <v/>
      </c>
      <c r="BI30" s="14" t="str">
        <f t="shared" si="19"/>
        <v/>
      </c>
      <c r="BJ30" s="14" t="str">
        <f t="shared" si="20"/>
        <v/>
      </c>
      <c r="BK30" s="14" t="str">
        <f>IF(OR(T30="",P30="",BJ30="",T30&lt;=0,BJ30&lt;=0),"",(1/Inputs!$B$9)*((T30^2/8)*((2*ACOS(1-2*BJ30/T30))-SIN((2*ACOS(1-2*BJ30/T30)))))*((((T30^2/8)*((2*ACOS(1-2*BJ30/T30))-SIN((2*ACOS(1-2*BJ30/T30)))))/((T30/2)*((2*ACOS(1-2*BJ30/T30)))))^(2/3))*SQRT(P30))</f>
        <v/>
      </c>
      <c r="BL30" s="14" t="str">
        <f t="shared" si="21"/>
        <v/>
      </c>
      <c r="BM30" s="14" t="str">
        <f t="shared" si="22"/>
        <v/>
      </c>
      <c r="BN30" s="14" t="str">
        <f t="shared" si="23"/>
        <v/>
      </c>
      <c r="BO30" s="14" t="str">
        <f>IF(OR(T30="",P30="",BN30="",T30&lt;=0,BN30&lt;=0),"",(1/Inputs!$B$9)*((T30^2/8)*((2*ACOS(1-2*BN30/T30))-SIN((2*ACOS(1-2*BN30/T30)))))*((((T30^2/8)*((2*ACOS(1-2*BN30/T30))-SIN((2*ACOS(1-2*BN30/T30)))))/((T30/2)*((2*ACOS(1-2*BN30/T30)))))^(2/3))*SQRT(P30))</f>
        <v/>
      </c>
      <c r="BP30" s="14" t="str">
        <f t="shared" si="24"/>
        <v/>
      </c>
      <c r="BQ30" s="14" t="str">
        <f t="shared" si="25"/>
        <v/>
      </c>
      <c r="BR30" s="14" t="str">
        <f t="shared" si="26"/>
        <v/>
      </c>
      <c r="BS30" s="14" t="str">
        <f>IF(OR(T30="",P30="",BR30="",T30&lt;=0,BR30&lt;=0),"",(1/Inputs!$B$9)*((T30^2/8)*((2*ACOS(1-2*BR30/T30))-SIN((2*ACOS(1-2*BR30/T30)))))*((((T30^2/8)*((2*ACOS(1-2*BR30/T30))-SIN((2*ACOS(1-2*BR30/T30)))))/((T30/2)*((2*ACOS(1-2*BR30/T30)))))^(2/3))*SQRT(P30))</f>
        <v/>
      </c>
      <c r="BT30" s="14" t="str">
        <f t="shared" si="27"/>
        <v/>
      </c>
      <c r="BU30" s="14" t="str">
        <f t="shared" si="28"/>
        <v/>
      </c>
      <c r="BV30" s="14" t="str">
        <f t="shared" si="29"/>
        <v/>
      </c>
      <c r="BW30" s="14" t="str">
        <f>IF(OR(T30="",P30="",BV30="",T30&lt;=0,BV30&lt;=0),"",(1/Inputs!$B$9)*((T30^2/8)*((2*ACOS(1-2*BV30/T30))-SIN((2*ACOS(1-2*BV30/T30)))))*((((T30^2/8)*((2*ACOS(1-2*BV30/T30))-SIN((2*ACOS(1-2*BV30/T30)))))/((T30/2)*((2*ACOS(1-2*BV30/T30)))))^(2/3))*SQRT(P30))</f>
        <v/>
      </c>
      <c r="BX30" s="14" t="str">
        <f t="shared" si="30"/>
        <v/>
      </c>
      <c r="BY30" s="14" t="str">
        <f t="shared" si="31"/>
        <v/>
      </c>
      <c r="BZ30" s="14" t="str">
        <f t="shared" si="32"/>
        <v/>
      </c>
      <c r="CA30" s="14" t="str">
        <f>IF(OR(T30="",P30="",BZ30="",T30&lt;=0,BZ30&lt;=0),"",(1/Inputs!$B$9)*((T30^2/8)*((2*ACOS(1-2*BZ30/T30))-SIN((2*ACOS(1-2*BZ30/T30)))))*((((T30^2/8)*((2*ACOS(1-2*BZ30/T30))-SIN((2*ACOS(1-2*BZ30/T30)))))/((T30/2)*((2*ACOS(1-2*BZ30/T30)))))^(2/3))*SQRT(P30))</f>
        <v/>
      </c>
      <c r="CB30" s="14" t="str">
        <f t="shared" si="33"/>
        <v/>
      </c>
      <c r="CC30" s="14" t="str">
        <f t="shared" si="34"/>
        <v/>
      </c>
      <c r="CD30" s="14" t="str">
        <f t="shared" si="35"/>
        <v/>
      </c>
      <c r="CE30" s="14" t="str">
        <f>IF(OR(T30="",P30="",CD30="",T30&lt;=0,CD30&lt;=0),"",(1/Inputs!$B$9)*((T30^2/8)*((2*ACOS(1-2*CD30/T30))-SIN((2*ACOS(1-2*CD30/T30)))))*((((T30^2/8)*((2*ACOS(1-2*CD30/T30))-SIN((2*ACOS(1-2*CD30/T30)))))/((T30/2)*((2*ACOS(1-2*CD30/T30)))))^(2/3))*SQRT(P30))</f>
        <v/>
      </c>
      <c r="CF30" s="14" t="str">
        <f t="shared" si="36"/>
        <v/>
      </c>
      <c r="CG30" s="14" t="str">
        <f t="shared" si="37"/>
        <v/>
      </c>
      <c r="CH30" s="14" t="str">
        <f t="shared" si="38"/>
        <v/>
      </c>
    </row>
    <row r="31" spans="1:86" x14ac:dyDescent="0.25">
      <c r="A31" s="14"/>
      <c r="B31" s="14"/>
      <c r="C31" s="14"/>
      <c r="D31" s="14"/>
      <c r="E31" s="44"/>
      <c r="F31" s="44"/>
      <c r="G31" s="44">
        <f>SUMIFS(CB_plan!$G:$G,CB_plan!$F:$F,$A31)</f>
        <v>0</v>
      </c>
      <c r="H31" s="44">
        <f t="shared" si="0"/>
        <v>0</v>
      </c>
      <c r="I31" s="14"/>
      <c r="J31" s="44"/>
      <c r="K31" s="44" t="str">
        <f>IF(A31="","",Inputs!$B$13/((IF(AV31="",Inputs!$B$18,AV31)+Inputs!$B$14)^Inputs!$B$15))</f>
        <v/>
      </c>
      <c r="L31" s="44" t="str">
        <f>IF(A31="","",IF(H31="","",0.000000278*IF(I31&lt;&gt;"",I31,IFERROR(SUMIFS(CB_plan!$H:$H,CB_plan!$F:$F,$A31)/SUMIFS(CB_plan!$G:$G,CB_plan!$F:$F,$A31),Inputs!$B$17))*H31*K31))</f>
        <v/>
      </c>
      <c r="M31" s="44" t="str">
        <f t="shared" si="1"/>
        <v/>
      </c>
      <c r="N31" s="44" t="str">
        <f>IF(A31="","",(L31+M31)*Inputs!$B$16)</f>
        <v/>
      </c>
      <c r="O31" s="44"/>
      <c r="P31" s="44" t="str">
        <f>IF(A31="","",IF(O31="",Inputs!$B$7,O31))</f>
        <v/>
      </c>
      <c r="Q31" s="14" t="str">
        <f>IF(A31="","",IF(N31/Inputs!$B$10&lt;=AG31,Inputs!$F$5,IF(N31/Inputs!$B$10&gt;AP31,"OVERSIZE",INDEX(Inputs!$F$5:$F$14,MATCH(N31/Inputs!$B$10,AG31:AP31,1)+1))))</f>
        <v/>
      </c>
      <c r="R31" s="14"/>
      <c r="S31" s="14" t="str">
        <f t="shared" si="2"/>
        <v/>
      </c>
      <c r="T31" s="44" t="str">
        <f t="shared" si="3"/>
        <v/>
      </c>
      <c r="U31" s="44" t="str">
        <f>IF(T31="","",(1/Inputs!$B$9)*(PI()*T31^2/4)*((T31/4)^(2/3))*SQRT(P31))</f>
        <v/>
      </c>
      <c r="V31" s="44" t="str">
        <f>IF(OR(U31="",N31=""),"",N31/(U31*Inputs!$B$10))</f>
        <v/>
      </c>
      <c r="W31" s="44" t="str">
        <f t="shared" si="4"/>
        <v/>
      </c>
      <c r="X31" s="44"/>
      <c r="Y31" s="44" t="str">
        <f>IF(A31="","",IF(A31=Inputs!$B$6,Inputs!$B$22,IF(D31="","",IFERROR(INDEX($Z$4:$Z$201,MATCH(D31,$A$4:$A$201,0))+IF(X31="",Inputs!$B$20,X31),""))))</f>
        <v/>
      </c>
      <c r="Z31" s="44" t="str">
        <f t="shared" si="5"/>
        <v/>
      </c>
      <c r="AA31" s="44" t="str">
        <f>IF(C31="","",IFERROR(INDEX(Noeuds_plan!$C$4:$C$200,MATCH(C31,Noeuds_plan!$A$4:$A$200,0)),""))</f>
        <v/>
      </c>
      <c r="AB31" s="44" t="str">
        <f>IF(B31="","",IFERROR(INDEX(Noeuds_plan!$C$4:$C$200,MATCH(B31,Noeuds_plan!$A$4:$A$200,0)),""))</f>
        <v/>
      </c>
      <c r="AC31" s="44" t="str">
        <f t="shared" si="6"/>
        <v/>
      </c>
      <c r="AD31" s="44" t="str">
        <f t="shared" si="7"/>
        <v/>
      </c>
      <c r="AE31" s="14" t="str">
        <f>IF(A31="","",IF(OR(V31&gt;1,AND(AY31&lt;&gt;"",AY31&lt;Inputs!$B$11),AND(AY31&lt;&gt;"",AY31&gt;Inputs!$B$12),AC31&lt;Inputs!$B$19,AD31&lt;Inputs!$B$19,P31&lt;Inputs!$B$7,P31&gt;Inputs!$B$8),"CHECK","OK"))</f>
        <v/>
      </c>
      <c r="AF31" s="14"/>
      <c r="AG31" s="14" t="str">
        <f>IF(A31="","",(1/Inputs!$B$9)*(PI()*(Inputs!$F$5/1000)^2/4)*((Inputs!$F$5/1000/4)^(2/3))*SQRT(P31))</f>
        <v/>
      </c>
      <c r="AH31" s="14" t="str">
        <f>IF(A31="","",(1/Inputs!$B$9)*(PI()*(Inputs!$F$6/1000)^2/4)*((Inputs!$F$6/1000/4)^(2/3))*SQRT(P31))</f>
        <v/>
      </c>
      <c r="AI31" s="14" t="str">
        <f>IF(A31="","",(1/Inputs!$B$9)*(PI()*(Inputs!$F$7/1000)^2/4)*((Inputs!$F$7/1000/4)^(2/3))*SQRT(P31))</f>
        <v/>
      </c>
      <c r="AJ31" s="14" t="str">
        <f>IF(A31="","",(1/Inputs!$B$9)*(PI()*(Inputs!$F$8/1000)^2/4)*((Inputs!$F$8/1000/4)^(2/3))*SQRT(P31))</f>
        <v/>
      </c>
      <c r="AK31" s="14" t="str">
        <f>IF(A31="","",(1/Inputs!$B$9)*(PI()*(Inputs!$F$9/1000)^2/4)*((Inputs!$F$9/1000/4)^(2/3))*SQRT(P31))</f>
        <v/>
      </c>
      <c r="AL31" s="14" t="str">
        <f>IF(A31="","",(1/Inputs!$B$9)*(PI()*(Inputs!$F$10/1000)^2/4)*((Inputs!$F$10/1000/4)^(2/3))*SQRT(P31))</f>
        <v/>
      </c>
      <c r="AM31" s="14" t="str">
        <f>IF(A31="","",(1/Inputs!$B$9)*(PI()*(Inputs!$F$11/1000)^2/4)*((Inputs!$F$11/1000/4)^(2/3))*SQRT(P31))</f>
        <v/>
      </c>
      <c r="AN31" s="14" t="str">
        <f>IF(A31="","",(1/Inputs!$B$9)*(PI()*(Inputs!$F$12/1000)^2/4)*((Inputs!$F$12/1000/4)^(2/3))*SQRT(P31))</f>
        <v/>
      </c>
      <c r="AO31" s="14" t="str">
        <f>IF(A31="","",(1/Inputs!$B$9)*(PI()*(Inputs!$F$13/1000)^2/4)*((Inputs!$F$13/1000/4)^(2/3))*SQRT(P31))</f>
        <v/>
      </c>
      <c r="AP31" s="14" t="str">
        <f>IF(A31="","",(1/Inputs!$B$9)*(PI()*(Inputs!$F$14/1000)^2/4)*((Inputs!$F$14/1000/4)^(2/3))*SQRT(P31))</f>
        <v/>
      </c>
      <c r="AQ31" s="14" t="str">
        <f t="shared" si="8"/>
        <v/>
      </c>
      <c r="AR31" s="14" t="str">
        <f t="shared" si="9"/>
        <v/>
      </c>
      <c r="AS31" s="17" t="str">
        <f>IF(A31="","",IF(J31="",Inputs!$B$18,J31))</f>
        <v/>
      </c>
      <c r="AT31" s="17" t="str">
        <f>IF(A31="","",IFERROR(_xludf.maxifs($AV$4:$AV$201,$D$4:$D$201,$A31),""))</f>
        <v/>
      </c>
      <c r="AU31" s="17" t="str">
        <f>IF(A31="","",IF(OR(E31="",Inputs!$B$23=""),"",E31/(Inputs!$B$23*60)))</f>
        <v/>
      </c>
      <c r="AV31" s="17" t="str">
        <f t="shared" si="10"/>
        <v/>
      </c>
      <c r="AW31" s="17" t="str">
        <f t="shared" si="11"/>
        <v/>
      </c>
      <c r="AX31" s="17" t="str">
        <f>IF(OR(T31="",P31=""),"",(1/Inputs!$B$9)*((T31/4)^(2/3))*SQRT(P31))</f>
        <v/>
      </c>
      <c r="AY31" s="17" t="str">
        <f>IF(A31="","",IF(AND(AW31="",AX31="",BA31=""),"",IF(OR(UPPER(TRIM(Inputs!$B$24))="MANNING",UPPER(TRIM(Inputs!$B$24))="M"),AX31,IF(OR(UPPER(TRIM(Inputs!$B$24))="PARTIAL",UPPER(TRIM(Inputs!$B$24))="P"),BA31,IF(OR(UPPER(TRIM(Inputs!$B$24))="MAX",UPPER(TRIM(Inputs!$B$24))="X"),MAX(IF(AW31="",0,AW31),IF(AX31="",0,AX31),IF(BA31="",0,BA31)),AW31)))))</f>
        <v/>
      </c>
      <c r="AZ31" s="17" t="str">
        <f t="shared" si="12"/>
        <v/>
      </c>
      <c r="BA31" s="17" t="str">
        <f t="shared" si="13"/>
        <v/>
      </c>
      <c r="BB31" s="14" t="str">
        <f t="shared" si="14"/>
        <v/>
      </c>
      <c r="BC31" s="14" t="str">
        <f>IF(OR(N31="",T31="",P31=""),"",IF(OR(T31="",P31="",(0.94*T31)="",T31&lt;=0,(0.94*T31)&lt;=0),"",(1/Inputs!$B$9)*((T31^2/8)*((2*ACOS(1-2*(0.94*T31)/T31))-SIN((2*ACOS(1-2*(0.94*T31)/T31)))))*((((T31^2/8)*((2*ACOS(1-2*(0.94*T31)/T31))-SIN((2*ACOS(1-2*(0.94*T31)/T31)))))/((T31/2)*((2*ACOS(1-2*(0.94*T31)/T31)))))^(2/3))*SQRT(P31)))</f>
        <v/>
      </c>
      <c r="BD31" s="14" t="str">
        <f t="shared" si="15"/>
        <v/>
      </c>
      <c r="BE31" s="14" t="str">
        <f t="shared" si="16"/>
        <v/>
      </c>
      <c r="BF31" s="14" t="str">
        <f t="shared" si="17"/>
        <v/>
      </c>
      <c r="BG31" s="14" t="str">
        <f>IF(OR(T31="",P31="",BF31="",T31&lt;=0,BF31&lt;=0),"",(1/Inputs!$B$9)*((T31^2/8)*((2*ACOS(1-2*BF31/T31))-SIN((2*ACOS(1-2*BF31/T31)))))*((((T31^2/8)*((2*ACOS(1-2*BF31/T31))-SIN((2*ACOS(1-2*BF31/T31)))))/((T31/2)*((2*ACOS(1-2*BF31/T31)))))^(2/3))*SQRT(P31))</f>
        <v/>
      </c>
      <c r="BH31" s="14" t="str">
        <f t="shared" si="18"/>
        <v/>
      </c>
      <c r="BI31" s="14" t="str">
        <f t="shared" si="19"/>
        <v/>
      </c>
      <c r="BJ31" s="14" t="str">
        <f t="shared" si="20"/>
        <v/>
      </c>
      <c r="BK31" s="14" t="str">
        <f>IF(OR(T31="",P31="",BJ31="",T31&lt;=0,BJ31&lt;=0),"",(1/Inputs!$B$9)*((T31^2/8)*((2*ACOS(1-2*BJ31/T31))-SIN((2*ACOS(1-2*BJ31/T31)))))*((((T31^2/8)*((2*ACOS(1-2*BJ31/T31))-SIN((2*ACOS(1-2*BJ31/T31)))))/((T31/2)*((2*ACOS(1-2*BJ31/T31)))))^(2/3))*SQRT(P31))</f>
        <v/>
      </c>
      <c r="BL31" s="14" t="str">
        <f t="shared" si="21"/>
        <v/>
      </c>
      <c r="BM31" s="14" t="str">
        <f t="shared" si="22"/>
        <v/>
      </c>
      <c r="BN31" s="14" t="str">
        <f t="shared" si="23"/>
        <v/>
      </c>
      <c r="BO31" s="14" t="str">
        <f>IF(OR(T31="",P31="",BN31="",T31&lt;=0,BN31&lt;=0),"",(1/Inputs!$B$9)*((T31^2/8)*((2*ACOS(1-2*BN31/T31))-SIN((2*ACOS(1-2*BN31/T31)))))*((((T31^2/8)*((2*ACOS(1-2*BN31/T31))-SIN((2*ACOS(1-2*BN31/T31)))))/((T31/2)*((2*ACOS(1-2*BN31/T31)))))^(2/3))*SQRT(P31))</f>
        <v/>
      </c>
      <c r="BP31" s="14" t="str">
        <f t="shared" si="24"/>
        <v/>
      </c>
      <c r="BQ31" s="14" t="str">
        <f t="shared" si="25"/>
        <v/>
      </c>
      <c r="BR31" s="14" t="str">
        <f t="shared" si="26"/>
        <v/>
      </c>
      <c r="BS31" s="14" t="str">
        <f>IF(OR(T31="",P31="",BR31="",T31&lt;=0,BR31&lt;=0),"",(1/Inputs!$B$9)*((T31^2/8)*((2*ACOS(1-2*BR31/T31))-SIN((2*ACOS(1-2*BR31/T31)))))*((((T31^2/8)*((2*ACOS(1-2*BR31/T31))-SIN((2*ACOS(1-2*BR31/T31)))))/((T31/2)*((2*ACOS(1-2*BR31/T31)))))^(2/3))*SQRT(P31))</f>
        <v/>
      </c>
      <c r="BT31" s="14" t="str">
        <f t="shared" si="27"/>
        <v/>
      </c>
      <c r="BU31" s="14" t="str">
        <f t="shared" si="28"/>
        <v/>
      </c>
      <c r="BV31" s="14" t="str">
        <f t="shared" si="29"/>
        <v/>
      </c>
      <c r="BW31" s="14" t="str">
        <f>IF(OR(T31="",P31="",BV31="",T31&lt;=0,BV31&lt;=0),"",(1/Inputs!$B$9)*((T31^2/8)*((2*ACOS(1-2*BV31/T31))-SIN((2*ACOS(1-2*BV31/T31)))))*((((T31^2/8)*((2*ACOS(1-2*BV31/T31))-SIN((2*ACOS(1-2*BV31/T31)))))/((T31/2)*((2*ACOS(1-2*BV31/T31)))))^(2/3))*SQRT(P31))</f>
        <v/>
      </c>
      <c r="BX31" s="14" t="str">
        <f t="shared" si="30"/>
        <v/>
      </c>
      <c r="BY31" s="14" t="str">
        <f t="shared" si="31"/>
        <v/>
      </c>
      <c r="BZ31" s="14" t="str">
        <f t="shared" si="32"/>
        <v/>
      </c>
      <c r="CA31" s="14" t="str">
        <f>IF(OR(T31="",P31="",BZ31="",T31&lt;=0,BZ31&lt;=0),"",(1/Inputs!$B$9)*((T31^2/8)*((2*ACOS(1-2*BZ31/T31))-SIN((2*ACOS(1-2*BZ31/T31)))))*((((T31^2/8)*((2*ACOS(1-2*BZ31/T31))-SIN((2*ACOS(1-2*BZ31/T31)))))/((T31/2)*((2*ACOS(1-2*BZ31/T31)))))^(2/3))*SQRT(P31))</f>
        <v/>
      </c>
      <c r="CB31" s="14" t="str">
        <f t="shared" si="33"/>
        <v/>
      </c>
      <c r="CC31" s="14" t="str">
        <f t="shared" si="34"/>
        <v/>
      </c>
      <c r="CD31" s="14" t="str">
        <f t="shared" si="35"/>
        <v/>
      </c>
      <c r="CE31" s="14" t="str">
        <f>IF(OR(T31="",P31="",CD31="",T31&lt;=0,CD31&lt;=0),"",(1/Inputs!$B$9)*((T31^2/8)*((2*ACOS(1-2*CD31/T31))-SIN((2*ACOS(1-2*CD31/T31)))))*((((T31^2/8)*((2*ACOS(1-2*CD31/T31))-SIN((2*ACOS(1-2*CD31/T31)))))/((T31/2)*((2*ACOS(1-2*CD31/T31)))))^(2/3))*SQRT(P31))</f>
        <v/>
      </c>
      <c r="CF31" s="14" t="str">
        <f t="shared" si="36"/>
        <v/>
      </c>
      <c r="CG31" s="14" t="str">
        <f t="shared" si="37"/>
        <v/>
      </c>
      <c r="CH31" s="14" t="str">
        <f t="shared" si="38"/>
        <v/>
      </c>
    </row>
    <row r="32" spans="1:86" x14ac:dyDescent="0.25">
      <c r="A32" s="14"/>
      <c r="B32" s="14"/>
      <c r="C32" s="14"/>
      <c r="D32" s="14"/>
      <c r="E32" s="44"/>
      <c r="F32" s="44"/>
      <c r="G32" s="44">
        <f>SUMIFS(CB_plan!$G:$G,CB_plan!$F:$F,$A32)</f>
        <v>0</v>
      </c>
      <c r="H32" s="44">
        <f t="shared" si="0"/>
        <v>0</v>
      </c>
      <c r="I32" s="14"/>
      <c r="J32" s="44"/>
      <c r="K32" s="44" t="str">
        <f>IF(A32="","",Inputs!$B$13/((IF(AV32="",Inputs!$B$18,AV32)+Inputs!$B$14)^Inputs!$B$15))</f>
        <v/>
      </c>
      <c r="L32" s="44" t="str">
        <f>IF(A32="","",IF(H32="","",0.000000278*IF(I32&lt;&gt;"",I32,IFERROR(SUMIFS(CB_plan!$H:$H,CB_plan!$F:$F,$A32)/SUMIFS(CB_plan!$G:$G,CB_plan!$F:$F,$A32),Inputs!$B$17))*H32*K32))</f>
        <v/>
      </c>
      <c r="M32" s="44" t="str">
        <f t="shared" si="1"/>
        <v/>
      </c>
      <c r="N32" s="44" t="str">
        <f>IF(A32="","",(L32+M32)*Inputs!$B$16)</f>
        <v/>
      </c>
      <c r="O32" s="44"/>
      <c r="P32" s="44" t="str">
        <f>IF(A32="","",IF(O32="",Inputs!$B$7,O32))</f>
        <v/>
      </c>
      <c r="Q32" s="14" t="str">
        <f>IF(A32="","",IF(N32/Inputs!$B$10&lt;=AG32,Inputs!$F$5,IF(N32/Inputs!$B$10&gt;AP32,"OVERSIZE",INDEX(Inputs!$F$5:$F$14,MATCH(N32/Inputs!$B$10,AG32:AP32,1)+1))))</f>
        <v/>
      </c>
      <c r="R32" s="14"/>
      <c r="S32" s="14" t="str">
        <f t="shared" si="2"/>
        <v/>
      </c>
      <c r="T32" s="44" t="str">
        <f t="shared" si="3"/>
        <v/>
      </c>
      <c r="U32" s="44" t="str">
        <f>IF(T32="","",(1/Inputs!$B$9)*(PI()*T32^2/4)*((T32/4)^(2/3))*SQRT(P32))</f>
        <v/>
      </c>
      <c r="V32" s="44" t="str">
        <f>IF(OR(U32="",N32=""),"",N32/(U32*Inputs!$B$10))</f>
        <v/>
      </c>
      <c r="W32" s="44" t="str">
        <f t="shared" si="4"/>
        <v/>
      </c>
      <c r="X32" s="44"/>
      <c r="Y32" s="44" t="str">
        <f>IF(A32="","",IF(A32=Inputs!$B$6,Inputs!$B$22,IF(D32="","",IFERROR(INDEX($Z$4:$Z$201,MATCH(D32,$A$4:$A$201,0))+IF(X32="",Inputs!$B$20,X32),""))))</f>
        <v/>
      </c>
      <c r="Z32" s="44" t="str">
        <f t="shared" si="5"/>
        <v/>
      </c>
      <c r="AA32" s="44" t="str">
        <f>IF(C32="","",IFERROR(INDEX(Noeuds_plan!$C$4:$C$200,MATCH(C32,Noeuds_plan!$A$4:$A$200,0)),""))</f>
        <v/>
      </c>
      <c r="AB32" s="44" t="str">
        <f>IF(B32="","",IFERROR(INDEX(Noeuds_plan!$C$4:$C$200,MATCH(B32,Noeuds_plan!$A$4:$A$200,0)),""))</f>
        <v/>
      </c>
      <c r="AC32" s="44" t="str">
        <f t="shared" si="6"/>
        <v/>
      </c>
      <c r="AD32" s="44" t="str">
        <f t="shared" si="7"/>
        <v/>
      </c>
      <c r="AE32" s="14" t="str">
        <f>IF(A32="","",IF(OR(V32&gt;1,AND(AY32&lt;&gt;"",AY32&lt;Inputs!$B$11),AND(AY32&lt;&gt;"",AY32&gt;Inputs!$B$12),AC32&lt;Inputs!$B$19,AD32&lt;Inputs!$B$19,P32&lt;Inputs!$B$7,P32&gt;Inputs!$B$8),"CHECK","OK"))</f>
        <v/>
      </c>
      <c r="AF32" s="14"/>
      <c r="AG32" s="14" t="str">
        <f>IF(A32="","",(1/Inputs!$B$9)*(PI()*(Inputs!$F$5/1000)^2/4)*((Inputs!$F$5/1000/4)^(2/3))*SQRT(P32))</f>
        <v/>
      </c>
      <c r="AH32" s="14" t="str">
        <f>IF(A32="","",(1/Inputs!$B$9)*(PI()*(Inputs!$F$6/1000)^2/4)*((Inputs!$F$6/1000/4)^(2/3))*SQRT(P32))</f>
        <v/>
      </c>
      <c r="AI32" s="14" t="str">
        <f>IF(A32="","",(1/Inputs!$B$9)*(PI()*(Inputs!$F$7/1000)^2/4)*((Inputs!$F$7/1000/4)^(2/3))*SQRT(P32))</f>
        <v/>
      </c>
      <c r="AJ32" s="14" t="str">
        <f>IF(A32="","",(1/Inputs!$B$9)*(PI()*(Inputs!$F$8/1000)^2/4)*((Inputs!$F$8/1000/4)^(2/3))*SQRT(P32))</f>
        <v/>
      </c>
      <c r="AK32" s="14" t="str">
        <f>IF(A32="","",(1/Inputs!$B$9)*(PI()*(Inputs!$F$9/1000)^2/4)*((Inputs!$F$9/1000/4)^(2/3))*SQRT(P32))</f>
        <v/>
      </c>
      <c r="AL32" s="14" t="str">
        <f>IF(A32="","",(1/Inputs!$B$9)*(PI()*(Inputs!$F$10/1000)^2/4)*((Inputs!$F$10/1000/4)^(2/3))*SQRT(P32))</f>
        <v/>
      </c>
      <c r="AM32" s="14" t="str">
        <f>IF(A32="","",(1/Inputs!$B$9)*(PI()*(Inputs!$F$11/1000)^2/4)*((Inputs!$F$11/1000/4)^(2/3))*SQRT(P32))</f>
        <v/>
      </c>
      <c r="AN32" s="14" t="str">
        <f>IF(A32="","",(1/Inputs!$B$9)*(PI()*(Inputs!$F$12/1000)^2/4)*((Inputs!$F$12/1000/4)^(2/3))*SQRT(P32))</f>
        <v/>
      </c>
      <c r="AO32" s="14" t="str">
        <f>IF(A32="","",(1/Inputs!$B$9)*(PI()*(Inputs!$F$13/1000)^2/4)*((Inputs!$F$13/1000/4)^(2/3))*SQRT(P32))</f>
        <v/>
      </c>
      <c r="AP32" s="14" t="str">
        <f>IF(A32="","",(1/Inputs!$B$9)*(PI()*(Inputs!$F$14/1000)^2/4)*((Inputs!$F$14/1000/4)^(2/3))*SQRT(P32))</f>
        <v/>
      </c>
      <c r="AQ32" s="14" t="str">
        <f t="shared" si="8"/>
        <v/>
      </c>
      <c r="AR32" s="14" t="str">
        <f t="shared" si="9"/>
        <v/>
      </c>
      <c r="AS32" s="17" t="str">
        <f>IF(A32="","",IF(J32="",Inputs!$B$18,J32))</f>
        <v/>
      </c>
      <c r="AT32" s="17" t="str">
        <f>IF(A32="","",IFERROR(_xludf.maxifs($AV$4:$AV$201,$D$4:$D$201,$A32),""))</f>
        <v/>
      </c>
      <c r="AU32" s="17" t="str">
        <f>IF(A32="","",IF(OR(E32="",Inputs!$B$23=""),"",E32/(Inputs!$B$23*60)))</f>
        <v/>
      </c>
      <c r="AV32" s="17" t="str">
        <f t="shared" si="10"/>
        <v/>
      </c>
      <c r="AW32" s="17" t="str">
        <f t="shared" si="11"/>
        <v/>
      </c>
      <c r="AX32" s="17" t="str">
        <f>IF(OR(T32="",P32=""),"",(1/Inputs!$B$9)*((T32/4)^(2/3))*SQRT(P32))</f>
        <v/>
      </c>
      <c r="AY32" s="17" t="str">
        <f>IF(A32="","",IF(AND(AW32="",AX32="",BA32=""),"",IF(OR(UPPER(TRIM(Inputs!$B$24))="MANNING",UPPER(TRIM(Inputs!$B$24))="M"),AX32,IF(OR(UPPER(TRIM(Inputs!$B$24))="PARTIAL",UPPER(TRIM(Inputs!$B$24))="P"),BA32,IF(OR(UPPER(TRIM(Inputs!$B$24))="MAX",UPPER(TRIM(Inputs!$B$24))="X"),MAX(IF(AW32="",0,AW32),IF(AX32="",0,AX32),IF(BA32="",0,BA32)),AW32)))))</f>
        <v/>
      </c>
      <c r="AZ32" s="17" t="str">
        <f t="shared" si="12"/>
        <v/>
      </c>
      <c r="BA32" s="17" t="str">
        <f t="shared" si="13"/>
        <v/>
      </c>
      <c r="BB32" s="14" t="str">
        <f t="shared" si="14"/>
        <v/>
      </c>
      <c r="BC32" s="14" t="str">
        <f>IF(OR(N32="",T32="",P32=""),"",IF(OR(T32="",P32="",(0.94*T32)="",T32&lt;=0,(0.94*T32)&lt;=0),"",(1/Inputs!$B$9)*((T32^2/8)*((2*ACOS(1-2*(0.94*T32)/T32))-SIN((2*ACOS(1-2*(0.94*T32)/T32)))))*((((T32^2/8)*((2*ACOS(1-2*(0.94*T32)/T32))-SIN((2*ACOS(1-2*(0.94*T32)/T32)))))/((T32/2)*((2*ACOS(1-2*(0.94*T32)/T32)))))^(2/3))*SQRT(P32)))</f>
        <v/>
      </c>
      <c r="BD32" s="14" t="str">
        <f t="shared" si="15"/>
        <v/>
      </c>
      <c r="BE32" s="14" t="str">
        <f t="shared" si="16"/>
        <v/>
      </c>
      <c r="BF32" s="14" t="str">
        <f t="shared" si="17"/>
        <v/>
      </c>
      <c r="BG32" s="14" t="str">
        <f>IF(OR(T32="",P32="",BF32="",T32&lt;=0,BF32&lt;=0),"",(1/Inputs!$B$9)*((T32^2/8)*((2*ACOS(1-2*BF32/T32))-SIN((2*ACOS(1-2*BF32/T32)))))*((((T32^2/8)*((2*ACOS(1-2*BF32/T32))-SIN((2*ACOS(1-2*BF32/T32)))))/((T32/2)*((2*ACOS(1-2*BF32/T32)))))^(2/3))*SQRT(P32))</f>
        <v/>
      </c>
      <c r="BH32" s="14" t="str">
        <f t="shared" si="18"/>
        <v/>
      </c>
      <c r="BI32" s="14" t="str">
        <f t="shared" si="19"/>
        <v/>
      </c>
      <c r="BJ32" s="14" t="str">
        <f t="shared" si="20"/>
        <v/>
      </c>
      <c r="BK32" s="14" t="str">
        <f>IF(OR(T32="",P32="",BJ32="",T32&lt;=0,BJ32&lt;=0),"",(1/Inputs!$B$9)*((T32^2/8)*((2*ACOS(1-2*BJ32/T32))-SIN((2*ACOS(1-2*BJ32/T32)))))*((((T32^2/8)*((2*ACOS(1-2*BJ32/T32))-SIN((2*ACOS(1-2*BJ32/T32)))))/((T32/2)*((2*ACOS(1-2*BJ32/T32)))))^(2/3))*SQRT(P32))</f>
        <v/>
      </c>
      <c r="BL32" s="14" t="str">
        <f t="shared" si="21"/>
        <v/>
      </c>
      <c r="BM32" s="14" t="str">
        <f t="shared" si="22"/>
        <v/>
      </c>
      <c r="BN32" s="14" t="str">
        <f t="shared" si="23"/>
        <v/>
      </c>
      <c r="BO32" s="14" t="str">
        <f>IF(OR(T32="",P32="",BN32="",T32&lt;=0,BN32&lt;=0),"",(1/Inputs!$B$9)*((T32^2/8)*((2*ACOS(1-2*BN32/T32))-SIN((2*ACOS(1-2*BN32/T32)))))*((((T32^2/8)*((2*ACOS(1-2*BN32/T32))-SIN((2*ACOS(1-2*BN32/T32)))))/((T32/2)*((2*ACOS(1-2*BN32/T32)))))^(2/3))*SQRT(P32))</f>
        <v/>
      </c>
      <c r="BP32" s="14" t="str">
        <f t="shared" si="24"/>
        <v/>
      </c>
      <c r="BQ32" s="14" t="str">
        <f t="shared" si="25"/>
        <v/>
      </c>
      <c r="BR32" s="14" t="str">
        <f t="shared" si="26"/>
        <v/>
      </c>
      <c r="BS32" s="14" t="str">
        <f>IF(OR(T32="",P32="",BR32="",T32&lt;=0,BR32&lt;=0),"",(1/Inputs!$B$9)*((T32^2/8)*((2*ACOS(1-2*BR32/T32))-SIN((2*ACOS(1-2*BR32/T32)))))*((((T32^2/8)*((2*ACOS(1-2*BR32/T32))-SIN((2*ACOS(1-2*BR32/T32)))))/((T32/2)*((2*ACOS(1-2*BR32/T32)))))^(2/3))*SQRT(P32))</f>
        <v/>
      </c>
      <c r="BT32" s="14" t="str">
        <f t="shared" si="27"/>
        <v/>
      </c>
      <c r="BU32" s="14" t="str">
        <f t="shared" si="28"/>
        <v/>
      </c>
      <c r="BV32" s="14" t="str">
        <f t="shared" si="29"/>
        <v/>
      </c>
      <c r="BW32" s="14" t="str">
        <f>IF(OR(T32="",P32="",BV32="",T32&lt;=0,BV32&lt;=0),"",(1/Inputs!$B$9)*((T32^2/8)*((2*ACOS(1-2*BV32/T32))-SIN((2*ACOS(1-2*BV32/T32)))))*((((T32^2/8)*((2*ACOS(1-2*BV32/T32))-SIN((2*ACOS(1-2*BV32/T32)))))/((T32/2)*((2*ACOS(1-2*BV32/T32)))))^(2/3))*SQRT(P32))</f>
        <v/>
      </c>
      <c r="BX32" s="14" t="str">
        <f t="shared" si="30"/>
        <v/>
      </c>
      <c r="BY32" s="14" t="str">
        <f t="shared" si="31"/>
        <v/>
      </c>
      <c r="BZ32" s="14" t="str">
        <f t="shared" si="32"/>
        <v/>
      </c>
      <c r="CA32" s="14" t="str">
        <f>IF(OR(T32="",P32="",BZ32="",T32&lt;=0,BZ32&lt;=0),"",(1/Inputs!$B$9)*((T32^2/8)*((2*ACOS(1-2*BZ32/T32))-SIN((2*ACOS(1-2*BZ32/T32)))))*((((T32^2/8)*((2*ACOS(1-2*BZ32/T32))-SIN((2*ACOS(1-2*BZ32/T32)))))/((T32/2)*((2*ACOS(1-2*BZ32/T32)))))^(2/3))*SQRT(P32))</f>
        <v/>
      </c>
      <c r="CB32" s="14" t="str">
        <f t="shared" si="33"/>
        <v/>
      </c>
      <c r="CC32" s="14" t="str">
        <f t="shared" si="34"/>
        <v/>
      </c>
      <c r="CD32" s="14" t="str">
        <f t="shared" si="35"/>
        <v/>
      </c>
      <c r="CE32" s="14" t="str">
        <f>IF(OR(T32="",P32="",CD32="",T32&lt;=0,CD32&lt;=0),"",(1/Inputs!$B$9)*((T32^2/8)*((2*ACOS(1-2*CD32/T32))-SIN((2*ACOS(1-2*CD32/T32)))))*((((T32^2/8)*((2*ACOS(1-2*CD32/T32))-SIN((2*ACOS(1-2*CD32/T32)))))/((T32/2)*((2*ACOS(1-2*CD32/T32)))))^(2/3))*SQRT(P32))</f>
        <v/>
      </c>
      <c r="CF32" s="14" t="str">
        <f t="shared" si="36"/>
        <v/>
      </c>
      <c r="CG32" s="14" t="str">
        <f t="shared" si="37"/>
        <v/>
      </c>
      <c r="CH32" s="14" t="str">
        <f t="shared" si="38"/>
        <v/>
      </c>
    </row>
    <row r="33" spans="1:86" x14ac:dyDescent="0.25">
      <c r="A33" s="14"/>
      <c r="B33" s="14"/>
      <c r="C33" s="14"/>
      <c r="D33" s="14"/>
      <c r="E33" s="44"/>
      <c r="F33" s="44"/>
      <c r="G33" s="44">
        <f>SUMIFS(CB_plan!$G:$G,CB_plan!$F:$F,$A33)</f>
        <v>0</v>
      </c>
      <c r="H33" s="44">
        <f t="shared" si="0"/>
        <v>0</v>
      </c>
      <c r="I33" s="14"/>
      <c r="J33" s="44"/>
      <c r="K33" s="44" t="str">
        <f>IF(A33="","",Inputs!$B$13/((IF(AV33="",Inputs!$B$18,AV33)+Inputs!$B$14)^Inputs!$B$15))</f>
        <v/>
      </c>
      <c r="L33" s="44" t="str">
        <f>IF(A33="","",IF(H33="","",0.000000278*IF(I33&lt;&gt;"",I33,IFERROR(SUMIFS(CB_plan!$H:$H,CB_plan!$F:$F,$A33)/SUMIFS(CB_plan!$G:$G,CB_plan!$F:$F,$A33),Inputs!$B$17))*H33*K33))</f>
        <v/>
      </c>
      <c r="M33" s="44" t="str">
        <f t="shared" si="1"/>
        <v/>
      </c>
      <c r="N33" s="44" t="str">
        <f>IF(A33="","",(L33+M33)*Inputs!$B$16)</f>
        <v/>
      </c>
      <c r="O33" s="44"/>
      <c r="P33" s="44" t="str">
        <f>IF(A33="","",IF(O33="",Inputs!$B$7,O33))</f>
        <v/>
      </c>
      <c r="Q33" s="14" t="str">
        <f>IF(A33="","",IF(N33/Inputs!$B$10&lt;=AG33,Inputs!$F$5,IF(N33/Inputs!$B$10&gt;AP33,"OVERSIZE",INDEX(Inputs!$F$5:$F$14,MATCH(N33/Inputs!$B$10,AG33:AP33,1)+1))))</f>
        <v/>
      </c>
      <c r="R33" s="14"/>
      <c r="S33" s="14" t="str">
        <f t="shared" si="2"/>
        <v/>
      </c>
      <c r="T33" s="44" t="str">
        <f t="shared" si="3"/>
        <v/>
      </c>
      <c r="U33" s="44" t="str">
        <f>IF(T33="","",(1/Inputs!$B$9)*(PI()*T33^2/4)*((T33/4)^(2/3))*SQRT(P33))</f>
        <v/>
      </c>
      <c r="V33" s="44" t="str">
        <f>IF(OR(U33="",N33=""),"",N33/(U33*Inputs!$B$10))</f>
        <v/>
      </c>
      <c r="W33" s="44" t="str">
        <f t="shared" si="4"/>
        <v/>
      </c>
      <c r="X33" s="44"/>
      <c r="Y33" s="44" t="str">
        <f>IF(A33="","",IF(A33=Inputs!$B$6,Inputs!$B$22,IF(D33="","",IFERROR(INDEX($Z$4:$Z$201,MATCH(D33,$A$4:$A$201,0))+IF(X33="",Inputs!$B$20,X33),""))))</f>
        <v/>
      </c>
      <c r="Z33" s="44" t="str">
        <f t="shared" si="5"/>
        <v/>
      </c>
      <c r="AA33" s="44" t="str">
        <f>IF(C33="","",IFERROR(INDEX(Noeuds_plan!$C$4:$C$200,MATCH(C33,Noeuds_plan!$A$4:$A$200,0)),""))</f>
        <v/>
      </c>
      <c r="AB33" s="44" t="str">
        <f>IF(B33="","",IFERROR(INDEX(Noeuds_plan!$C$4:$C$200,MATCH(B33,Noeuds_plan!$A$4:$A$200,0)),""))</f>
        <v/>
      </c>
      <c r="AC33" s="44" t="str">
        <f t="shared" si="6"/>
        <v/>
      </c>
      <c r="AD33" s="44" t="str">
        <f t="shared" si="7"/>
        <v/>
      </c>
      <c r="AE33" s="14" t="str">
        <f>IF(A33="","",IF(OR(V33&gt;1,AND(AY33&lt;&gt;"",AY33&lt;Inputs!$B$11),AND(AY33&lt;&gt;"",AY33&gt;Inputs!$B$12),AC33&lt;Inputs!$B$19,AD33&lt;Inputs!$B$19,P33&lt;Inputs!$B$7,P33&gt;Inputs!$B$8),"CHECK","OK"))</f>
        <v/>
      </c>
      <c r="AF33" s="14"/>
      <c r="AG33" s="14" t="str">
        <f>IF(A33="","",(1/Inputs!$B$9)*(PI()*(Inputs!$F$5/1000)^2/4)*((Inputs!$F$5/1000/4)^(2/3))*SQRT(P33))</f>
        <v/>
      </c>
      <c r="AH33" s="14" t="str">
        <f>IF(A33="","",(1/Inputs!$B$9)*(PI()*(Inputs!$F$6/1000)^2/4)*((Inputs!$F$6/1000/4)^(2/3))*SQRT(P33))</f>
        <v/>
      </c>
      <c r="AI33" s="14" t="str">
        <f>IF(A33="","",(1/Inputs!$B$9)*(PI()*(Inputs!$F$7/1000)^2/4)*((Inputs!$F$7/1000/4)^(2/3))*SQRT(P33))</f>
        <v/>
      </c>
      <c r="AJ33" s="14" t="str">
        <f>IF(A33="","",(1/Inputs!$B$9)*(PI()*(Inputs!$F$8/1000)^2/4)*((Inputs!$F$8/1000/4)^(2/3))*SQRT(P33))</f>
        <v/>
      </c>
      <c r="AK33" s="14" t="str">
        <f>IF(A33="","",(1/Inputs!$B$9)*(PI()*(Inputs!$F$9/1000)^2/4)*((Inputs!$F$9/1000/4)^(2/3))*SQRT(P33))</f>
        <v/>
      </c>
      <c r="AL33" s="14" t="str">
        <f>IF(A33="","",(1/Inputs!$B$9)*(PI()*(Inputs!$F$10/1000)^2/4)*((Inputs!$F$10/1000/4)^(2/3))*SQRT(P33))</f>
        <v/>
      </c>
      <c r="AM33" s="14" t="str">
        <f>IF(A33="","",(1/Inputs!$B$9)*(PI()*(Inputs!$F$11/1000)^2/4)*((Inputs!$F$11/1000/4)^(2/3))*SQRT(P33))</f>
        <v/>
      </c>
      <c r="AN33" s="14" t="str">
        <f>IF(A33="","",(1/Inputs!$B$9)*(PI()*(Inputs!$F$12/1000)^2/4)*((Inputs!$F$12/1000/4)^(2/3))*SQRT(P33))</f>
        <v/>
      </c>
      <c r="AO33" s="14" t="str">
        <f>IF(A33="","",(1/Inputs!$B$9)*(PI()*(Inputs!$F$13/1000)^2/4)*((Inputs!$F$13/1000/4)^(2/3))*SQRT(P33))</f>
        <v/>
      </c>
      <c r="AP33" s="14" t="str">
        <f>IF(A33="","",(1/Inputs!$B$9)*(PI()*(Inputs!$F$14/1000)^2/4)*((Inputs!$F$14/1000/4)^(2/3))*SQRT(P33))</f>
        <v/>
      </c>
      <c r="AQ33" s="14" t="str">
        <f t="shared" si="8"/>
        <v/>
      </c>
      <c r="AR33" s="14" t="str">
        <f t="shared" si="9"/>
        <v/>
      </c>
      <c r="AS33" s="17" t="str">
        <f>IF(A33="","",IF(J33="",Inputs!$B$18,J33))</f>
        <v/>
      </c>
      <c r="AT33" s="17" t="str">
        <f>IF(A33="","",IFERROR(_xludf.maxifs($AV$4:$AV$201,$D$4:$D$201,$A33),""))</f>
        <v/>
      </c>
      <c r="AU33" s="17" t="str">
        <f>IF(A33="","",IF(OR(E33="",Inputs!$B$23=""),"",E33/(Inputs!$B$23*60)))</f>
        <v/>
      </c>
      <c r="AV33" s="17" t="str">
        <f t="shared" si="10"/>
        <v/>
      </c>
      <c r="AW33" s="17" t="str">
        <f t="shared" si="11"/>
        <v/>
      </c>
      <c r="AX33" s="17" t="str">
        <f>IF(OR(T33="",P33=""),"",(1/Inputs!$B$9)*((T33/4)^(2/3))*SQRT(P33))</f>
        <v/>
      </c>
      <c r="AY33" s="17" t="str">
        <f>IF(A33="","",IF(AND(AW33="",AX33="",BA33=""),"",IF(OR(UPPER(TRIM(Inputs!$B$24))="MANNING",UPPER(TRIM(Inputs!$B$24))="M"),AX33,IF(OR(UPPER(TRIM(Inputs!$B$24))="PARTIAL",UPPER(TRIM(Inputs!$B$24))="P"),BA33,IF(OR(UPPER(TRIM(Inputs!$B$24))="MAX",UPPER(TRIM(Inputs!$B$24))="X"),MAX(IF(AW33="",0,AW33),IF(AX33="",0,AX33),IF(BA33="",0,BA33)),AW33)))))</f>
        <v/>
      </c>
      <c r="AZ33" s="17" t="str">
        <f t="shared" si="12"/>
        <v/>
      </c>
      <c r="BA33" s="17" t="str">
        <f t="shared" si="13"/>
        <v/>
      </c>
      <c r="BB33" s="14" t="str">
        <f t="shared" si="14"/>
        <v/>
      </c>
      <c r="BC33" s="14" t="str">
        <f>IF(OR(N33="",T33="",P33=""),"",IF(OR(T33="",P33="",(0.94*T33)="",T33&lt;=0,(0.94*T33)&lt;=0),"",(1/Inputs!$B$9)*((T33^2/8)*((2*ACOS(1-2*(0.94*T33)/T33))-SIN((2*ACOS(1-2*(0.94*T33)/T33)))))*((((T33^2/8)*((2*ACOS(1-2*(0.94*T33)/T33))-SIN((2*ACOS(1-2*(0.94*T33)/T33)))))/((T33/2)*((2*ACOS(1-2*(0.94*T33)/T33)))))^(2/3))*SQRT(P33)))</f>
        <v/>
      </c>
      <c r="BD33" s="14" t="str">
        <f t="shared" si="15"/>
        <v/>
      </c>
      <c r="BE33" s="14" t="str">
        <f t="shared" si="16"/>
        <v/>
      </c>
      <c r="BF33" s="14" t="str">
        <f t="shared" si="17"/>
        <v/>
      </c>
      <c r="BG33" s="14" t="str">
        <f>IF(OR(T33="",P33="",BF33="",T33&lt;=0,BF33&lt;=0),"",(1/Inputs!$B$9)*((T33^2/8)*((2*ACOS(1-2*BF33/T33))-SIN((2*ACOS(1-2*BF33/T33)))))*((((T33^2/8)*((2*ACOS(1-2*BF33/T33))-SIN((2*ACOS(1-2*BF33/T33)))))/((T33/2)*((2*ACOS(1-2*BF33/T33)))))^(2/3))*SQRT(P33))</f>
        <v/>
      </c>
      <c r="BH33" s="14" t="str">
        <f t="shared" si="18"/>
        <v/>
      </c>
      <c r="BI33" s="14" t="str">
        <f t="shared" si="19"/>
        <v/>
      </c>
      <c r="BJ33" s="14" t="str">
        <f t="shared" si="20"/>
        <v/>
      </c>
      <c r="BK33" s="14" t="str">
        <f>IF(OR(T33="",P33="",BJ33="",T33&lt;=0,BJ33&lt;=0),"",(1/Inputs!$B$9)*((T33^2/8)*((2*ACOS(1-2*BJ33/T33))-SIN((2*ACOS(1-2*BJ33/T33)))))*((((T33^2/8)*((2*ACOS(1-2*BJ33/T33))-SIN((2*ACOS(1-2*BJ33/T33)))))/((T33/2)*((2*ACOS(1-2*BJ33/T33)))))^(2/3))*SQRT(P33))</f>
        <v/>
      </c>
      <c r="BL33" s="14" t="str">
        <f t="shared" si="21"/>
        <v/>
      </c>
      <c r="BM33" s="14" t="str">
        <f t="shared" si="22"/>
        <v/>
      </c>
      <c r="BN33" s="14" t="str">
        <f t="shared" si="23"/>
        <v/>
      </c>
      <c r="BO33" s="14" t="str">
        <f>IF(OR(T33="",P33="",BN33="",T33&lt;=0,BN33&lt;=0),"",(1/Inputs!$B$9)*((T33^2/8)*((2*ACOS(1-2*BN33/T33))-SIN((2*ACOS(1-2*BN33/T33)))))*((((T33^2/8)*((2*ACOS(1-2*BN33/T33))-SIN((2*ACOS(1-2*BN33/T33)))))/((T33/2)*((2*ACOS(1-2*BN33/T33)))))^(2/3))*SQRT(P33))</f>
        <v/>
      </c>
      <c r="BP33" s="14" t="str">
        <f t="shared" si="24"/>
        <v/>
      </c>
      <c r="BQ33" s="14" t="str">
        <f t="shared" si="25"/>
        <v/>
      </c>
      <c r="BR33" s="14" t="str">
        <f t="shared" si="26"/>
        <v/>
      </c>
      <c r="BS33" s="14" t="str">
        <f>IF(OR(T33="",P33="",BR33="",T33&lt;=0,BR33&lt;=0),"",(1/Inputs!$B$9)*((T33^2/8)*((2*ACOS(1-2*BR33/T33))-SIN((2*ACOS(1-2*BR33/T33)))))*((((T33^2/8)*((2*ACOS(1-2*BR33/T33))-SIN((2*ACOS(1-2*BR33/T33)))))/((T33/2)*((2*ACOS(1-2*BR33/T33)))))^(2/3))*SQRT(P33))</f>
        <v/>
      </c>
      <c r="BT33" s="14" t="str">
        <f t="shared" si="27"/>
        <v/>
      </c>
      <c r="BU33" s="14" t="str">
        <f t="shared" si="28"/>
        <v/>
      </c>
      <c r="BV33" s="14" t="str">
        <f t="shared" si="29"/>
        <v/>
      </c>
      <c r="BW33" s="14" t="str">
        <f>IF(OR(T33="",P33="",BV33="",T33&lt;=0,BV33&lt;=0),"",(1/Inputs!$B$9)*((T33^2/8)*((2*ACOS(1-2*BV33/T33))-SIN((2*ACOS(1-2*BV33/T33)))))*((((T33^2/8)*((2*ACOS(1-2*BV33/T33))-SIN((2*ACOS(1-2*BV33/T33)))))/((T33/2)*((2*ACOS(1-2*BV33/T33)))))^(2/3))*SQRT(P33))</f>
        <v/>
      </c>
      <c r="BX33" s="14" t="str">
        <f t="shared" si="30"/>
        <v/>
      </c>
      <c r="BY33" s="14" t="str">
        <f t="shared" si="31"/>
        <v/>
      </c>
      <c r="BZ33" s="14" t="str">
        <f t="shared" si="32"/>
        <v/>
      </c>
      <c r="CA33" s="14" t="str">
        <f>IF(OR(T33="",P33="",BZ33="",T33&lt;=0,BZ33&lt;=0),"",(1/Inputs!$B$9)*((T33^2/8)*((2*ACOS(1-2*BZ33/T33))-SIN((2*ACOS(1-2*BZ33/T33)))))*((((T33^2/8)*((2*ACOS(1-2*BZ33/T33))-SIN((2*ACOS(1-2*BZ33/T33)))))/((T33/2)*((2*ACOS(1-2*BZ33/T33)))))^(2/3))*SQRT(P33))</f>
        <v/>
      </c>
      <c r="CB33" s="14" t="str">
        <f t="shared" si="33"/>
        <v/>
      </c>
      <c r="CC33" s="14" t="str">
        <f t="shared" si="34"/>
        <v/>
      </c>
      <c r="CD33" s="14" t="str">
        <f t="shared" si="35"/>
        <v/>
      </c>
      <c r="CE33" s="14" t="str">
        <f>IF(OR(T33="",P33="",CD33="",T33&lt;=0,CD33&lt;=0),"",(1/Inputs!$B$9)*((T33^2/8)*((2*ACOS(1-2*CD33/T33))-SIN((2*ACOS(1-2*CD33/T33)))))*((((T33^2/8)*((2*ACOS(1-2*CD33/T33))-SIN((2*ACOS(1-2*CD33/T33)))))/((T33/2)*((2*ACOS(1-2*CD33/T33)))))^(2/3))*SQRT(P33))</f>
        <v/>
      </c>
      <c r="CF33" s="14" t="str">
        <f t="shared" si="36"/>
        <v/>
      </c>
      <c r="CG33" s="14" t="str">
        <f t="shared" si="37"/>
        <v/>
      </c>
      <c r="CH33" s="14" t="str">
        <f t="shared" si="38"/>
        <v/>
      </c>
    </row>
    <row r="34" spans="1:86" x14ac:dyDescent="0.25">
      <c r="A34" s="14"/>
      <c r="B34" s="14"/>
      <c r="C34" s="14"/>
      <c r="D34" s="14"/>
      <c r="E34" s="44"/>
      <c r="F34" s="44"/>
      <c r="G34" s="44">
        <f>SUMIFS(CB_plan!$G:$G,CB_plan!$F:$F,$A34)</f>
        <v>0</v>
      </c>
      <c r="H34" s="44">
        <f t="shared" si="0"/>
        <v>0</v>
      </c>
      <c r="I34" s="14"/>
      <c r="J34" s="44"/>
      <c r="K34" s="44" t="str">
        <f>IF(A34="","",Inputs!$B$13/((IF(AV34="",Inputs!$B$18,AV34)+Inputs!$B$14)^Inputs!$B$15))</f>
        <v/>
      </c>
      <c r="L34" s="44" t="str">
        <f>IF(A34="","",IF(H34="","",0.000000278*IF(I34&lt;&gt;"",I34,IFERROR(SUMIFS(CB_plan!$H:$H,CB_plan!$F:$F,$A34)/SUMIFS(CB_plan!$G:$G,CB_plan!$F:$F,$A34),Inputs!$B$17))*H34*K34))</f>
        <v/>
      </c>
      <c r="M34" s="44" t="str">
        <f t="shared" si="1"/>
        <v/>
      </c>
      <c r="N34" s="44" t="str">
        <f>IF(A34="","",(L34+M34)*Inputs!$B$16)</f>
        <v/>
      </c>
      <c r="O34" s="44"/>
      <c r="P34" s="44" t="str">
        <f>IF(A34="","",IF(O34="",Inputs!$B$7,O34))</f>
        <v/>
      </c>
      <c r="Q34" s="14" t="str">
        <f>IF(A34="","",IF(N34/Inputs!$B$10&lt;=AG34,Inputs!$F$5,IF(N34/Inputs!$B$10&gt;AP34,"OVERSIZE",INDEX(Inputs!$F$5:$F$14,MATCH(N34/Inputs!$B$10,AG34:AP34,1)+1))))</f>
        <v/>
      </c>
      <c r="R34" s="14"/>
      <c r="S34" s="14" t="str">
        <f t="shared" si="2"/>
        <v/>
      </c>
      <c r="T34" s="44" t="str">
        <f t="shared" si="3"/>
        <v/>
      </c>
      <c r="U34" s="44" t="str">
        <f>IF(T34="","",(1/Inputs!$B$9)*(PI()*T34^2/4)*((T34/4)^(2/3))*SQRT(P34))</f>
        <v/>
      </c>
      <c r="V34" s="44" t="str">
        <f>IF(OR(U34="",N34=""),"",N34/(U34*Inputs!$B$10))</f>
        <v/>
      </c>
      <c r="W34" s="44" t="str">
        <f t="shared" si="4"/>
        <v/>
      </c>
      <c r="X34" s="44"/>
      <c r="Y34" s="44" t="str">
        <f>IF(A34="","",IF(A34=Inputs!$B$6,Inputs!$B$22,IF(D34="","",IFERROR(INDEX($Z$4:$Z$201,MATCH(D34,$A$4:$A$201,0))+IF(X34="",Inputs!$B$20,X34),""))))</f>
        <v/>
      </c>
      <c r="Z34" s="44" t="str">
        <f t="shared" si="5"/>
        <v/>
      </c>
      <c r="AA34" s="44" t="str">
        <f>IF(C34="","",IFERROR(INDEX(Noeuds_plan!$C$4:$C$200,MATCH(C34,Noeuds_plan!$A$4:$A$200,0)),""))</f>
        <v/>
      </c>
      <c r="AB34" s="44" t="str">
        <f>IF(B34="","",IFERROR(INDEX(Noeuds_plan!$C$4:$C$200,MATCH(B34,Noeuds_plan!$A$4:$A$200,0)),""))</f>
        <v/>
      </c>
      <c r="AC34" s="44" t="str">
        <f t="shared" si="6"/>
        <v/>
      </c>
      <c r="AD34" s="44" t="str">
        <f t="shared" si="7"/>
        <v/>
      </c>
      <c r="AE34" s="14" t="str">
        <f>IF(A34="","",IF(OR(V34&gt;1,AND(AY34&lt;&gt;"",AY34&lt;Inputs!$B$11),AND(AY34&lt;&gt;"",AY34&gt;Inputs!$B$12),AC34&lt;Inputs!$B$19,AD34&lt;Inputs!$B$19,P34&lt;Inputs!$B$7,P34&gt;Inputs!$B$8),"CHECK","OK"))</f>
        <v/>
      </c>
      <c r="AF34" s="14"/>
      <c r="AG34" s="14" t="str">
        <f>IF(A34="","",(1/Inputs!$B$9)*(PI()*(Inputs!$F$5/1000)^2/4)*((Inputs!$F$5/1000/4)^(2/3))*SQRT(P34))</f>
        <v/>
      </c>
      <c r="AH34" s="14" t="str">
        <f>IF(A34="","",(1/Inputs!$B$9)*(PI()*(Inputs!$F$6/1000)^2/4)*((Inputs!$F$6/1000/4)^(2/3))*SQRT(P34))</f>
        <v/>
      </c>
      <c r="AI34" s="14" t="str">
        <f>IF(A34="","",(1/Inputs!$B$9)*(PI()*(Inputs!$F$7/1000)^2/4)*((Inputs!$F$7/1000/4)^(2/3))*SQRT(P34))</f>
        <v/>
      </c>
      <c r="AJ34" s="14" t="str">
        <f>IF(A34="","",(1/Inputs!$B$9)*(PI()*(Inputs!$F$8/1000)^2/4)*((Inputs!$F$8/1000/4)^(2/3))*SQRT(P34))</f>
        <v/>
      </c>
      <c r="AK34" s="14" t="str">
        <f>IF(A34="","",(1/Inputs!$B$9)*(PI()*(Inputs!$F$9/1000)^2/4)*((Inputs!$F$9/1000/4)^(2/3))*SQRT(P34))</f>
        <v/>
      </c>
      <c r="AL34" s="14" t="str">
        <f>IF(A34="","",(1/Inputs!$B$9)*(PI()*(Inputs!$F$10/1000)^2/4)*((Inputs!$F$10/1000/4)^(2/3))*SQRT(P34))</f>
        <v/>
      </c>
      <c r="AM34" s="14" t="str">
        <f>IF(A34="","",(1/Inputs!$B$9)*(PI()*(Inputs!$F$11/1000)^2/4)*((Inputs!$F$11/1000/4)^(2/3))*SQRT(P34))</f>
        <v/>
      </c>
      <c r="AN34" s="14" t="str">
        <f>IF(A34="","",(1/Inputs!$B$9)*(PI()*(Inputs!$F$12/1000)^2/4)*((Inputs!$F$12/1000/4)^(2/3))*SQRT(P34))</f>
        <v/>
      </c>
      <c r="AO34" s="14" t="str">
        <f>IF(A34="","",(1/Inputs!$B$9)*(PI()*(Inputs!$F$13/1000)^2/4)*((Inputs!$F$13/1000/4)^(2/3))*SQRT(P34))</f>
        <v/>
      </c>
      <c r="AP34" s="14" t="str">
        <f>IF(A34="","",(1/Inputs!$B$9)*(PI()*(Inputs!$F$14/1000)^2/4)*((Inputs!$F$14/1000/4)^(2/3))*SQRT(P34))</f>
        <v/>
      </c>
      <c r="AQ34" s="14" t="str">
        <f t="shared" si="8"/>
        <v/>
      </c>
      <c r="AR34" s="14" t="str">
        <f t="shared" si="9"/>
        <v/>
      </c>
      <c r="AS34" s="17" t="str">
        <f>IF(A34="","",IF(J34="",Inputs!$B$18,J34))</f>
        <v/>
      </c>
      <c r="AT34" s="17" t="str">
        <f>IF(A34="","",IFERROR(_xludf.maxifs($AV$4:$AV$201,$D$4:$D$201,$A34),""))</f>
        <v/>
      </c>
      <c r="AU34" s="17" t="str">
        <f>IF(A34="","",IF(OR(E34="",Inputs!$B$23=""),"",E34/(Inputs!$B$23*60)))</f>
        <v/>
      </c>
      <c r="AV34" s="17" t="str">
        <f t="shared" si="10"/>
        <v/>
      </c>
      <c r="AW34" s="17" t="str">
        <f t="shared" si="11"/>
        <v/>
      </c>
      <c r="AX34" s="17" t="str">
        <f>IF(OR(T34="",P34=""),"",(1/Inputs!$B$9)*((T34/4)^(2/3))*SQRT(P34))</f>
        <v/>
      </c>
      <c r="AY34" s="17" t="str">
        <f>IF(A34="","",IF(AND(AW34="",AX34="",BA34=""),"",IF(OR(UPPER(TRIM(Inputs!$B$24))="MANNING",UPPER(TRIM(Inputs!$B$24))="M"),AX34,IF(OR(UPPER(TRIM(Inputs!$B$24))="PARTIAL",UPPER(TRIM(Inputs!$B$24))="P"),BA34,IF(OR(UPPER(TRIM(Inputs!$B$24))="MAX",UPPER(TRIM(Inputs!$B$24))="X"),MAX(IF(AW34="",0,AW34),IF(AX34="",0,AX34),IF(BA34="",0,BA34)),AW34)))))</f>
        <v/>
      </c>
      <c r="AZ34" s="17" t="str">
        <f t="shared" si="12"/>
        <v/>
      </c>
      <c r="BA34" s="17" t="str">
        <f t="shared" si="13"/>
        <v/>
      </c>
      <c r="BB34" s="14" t="str">
        <f t="shared" si="14"/>
        <v/>
      </c>
      <c r="BC34" s="14" t="str">
        <f>IF(OR(N34="",T34="",P34=""),"",IF(OR(T34="",P34="",(0.94*T34)="",T34&lt;=0,(0.94*T34)&lt;=0),"",(1/Inputs!$B$9)*((T34^2/8)*((2*ACOS(1-2*(0.94*T34)/T34))-SIN((2*ACOS(1-2*(0.94*T34)/T34)))))*((((T34^2/8)*((2*ACOS(1-2*(0.94*T34)/T34))-SIN((2*ACOS(1-2*(0.94*T34)/T34)))))/((T34/2)*((2*ACOS(1-2*(0.94*T34)/T34)))))^(2/3))*SQRT(P34)))</f>
        <v/>
      </c>
      <c r="BD34" s="14" t="str">
        <f t="shared" si="15"/>
        <v/>
      </c>
      <c r="BE34" s="14" t="str">
        <f t="shared" si="16"/>
        <v/>
      </c>
      <c r="BF34" s="14" t="str">
        <f t="shared" si="17"/>
        <v/>
      </c>
      <c r="BG34" s="14" t="str">
        <f>IF(OR(T34="",P34="",BF34="",T34&lt;=0,BF34&lt;=0),"",(1/Inputs!$B$9)*((T34^2/8)*((2*ACOS(1-2*BF34/T34))-SIN((2*ACOS(1-2*BF34/T34)))))*((((T34^2/8)*((2*ACOS(1-2*BF34/T34))-SIN((2*ACOS(1-2*BF34/T34)))))/((T34/2)*((2*ACOS(1-2*BF34/T34)))))^(2/3))*SQRT(P34))</f>
        <v/>
      </c>
      <c r="BH34" s="14" t="str">
        <f t="shared" si="18"/>
        <v/>
      </c>
      <c r="BI34" s="14" t="str">
        <f t="shared" si="19"/>
        <v/>
      </c>
      <c r="BJ34" s="14" t="str">
        <f t="shared" si="20"/>
        <v/>
      </c>
      <c r="BK34" s="14" t="str">
        <f>IF(OR(T34="",P34="",BJ34="",T34&lt;=0,BJ34&lt;=0),"",(1/Inputs!$B$9)*((T34^2/8)*((2*ACOS(1-2*BJ34/T34))-SIN((2*ACOS(1-2*BJ34/T34)))))*((((T34^2/8)*((2*ACOS(1-2*BJ34/T34))-SIN((2*ACOS(1-2*BJ34/T34)))))/((T34/2)*((2*ACOS(1-2*BJ34/T34)))))^(2/3))*SQRT(P34))</f>
        <v/>
      </c>
      <c r="BL34" s="14" t="str">
        <f t="shared" si="21"/>
        <v/>
      </c>
      <c r="BM34" s="14" t="str">
        <f t="shared" si="22"/>
        <v/>
      </c>
      <c r="BN34" s="14" t="str">
        <f t="shared" si="23"/>
        <v/>
      </c>
      <c r="BO34" s="14" t="str">
        <f>IF(OR(T34="",P34="",BN34="",T34&lt;=0,BN34&lt;=0),"",(1/Inputs!$B$9)*((T34^2/8)*((2*ACOS(1-2*BN34/T34))-SIN((2*ACOS(1-2*BN34/T34)))))*((((T34^2/8)*((2*ACOS(1-2*BN34/T34))-SIN((2*ACOS(1-2*BN34/T34)))))/((T34/2)*((2*ACOS(1-2*BN34/T34)))))^(2/3))*SQRT(P34))</f>
        <v/>
      </c>
      <c r="BP34" s="14" t="str">
        <f t="shared" si="24"/>
        <v/>
      </c>
      <c r="BQ34" s="14" t="str">
        <f t="shared" si="25"/>
        <v/>
      </c>
      <c r="BR34" s="14" t="str">
        <f t="shared" si="26"/>
        <v/>
      </c>
      <c r="BS34" s="14" t="str">
        <f>IF(OR(T34="",P34="",BR34="",T34&lt;=0,BR34&lt;=0),"",(1/Inputs!$B$9)*((T34^2/8)*((2*ACOS(1-2*BR34/T34))-SIN((2*ACOS(1-2*BR34/T34)))))*((((T34^2/8)*((2*ACOS(1-2*BR34/T34))-SIN((2*ACOS(1-2*BR34/T34)))))/((T34/2)*((2*ACOS(1-2*BR34/T34)))))^(2/3))*SQRT(P34))</f>
        <v/>
      </c>
      <c r="BT34" s="14" t="str">
        <f t="shared" si="27"/>
        <v/>
      </c>
      <c r="BU34" s="14" t="str">
        <f t="shared" si="28"/>
        <v/>
      </c>
      <c r="BV34" s="14" t="str">
        <f t="shared" si="29"/>
        <v/>
      </c>
      <c r="BW34" s="14" t="str">
        <f>IF(OR(T34="",P34="",BV34="",T34&lt;=0,BV34&lt;=0),"",(1/Inputs!$B$9)*((T34^2/8)*((2*ACOS(1-2*BV34/T34))-SIN((2*ACOS(1-2*BV34/T34)))))*((((T34^2/8)*((2*ACOS(1-2*BV34/T34))-SIN((2*ACOS(1-2*BV34/T34)))))/((T34/2)*((2*ACOS(1-2*BV34/T34)))))^(2/3))*SQRT(P34))</f>
        <v/>
      </c>
      <c r="BX34" s="14" t="str">
        <f t="shared" si="30"/>
        <v/>
      </c>
      <c r="BY34" s="14" t="str">
        <f t="shared" si="31"/>
        <v/>
      </c>
      <c r="BZ34" s="14" t="str">
        <f t="shared" si="32"/>
        <v/>
      </c>
      <c r="CA34" s="14" t="str">
        <f>IF(OR(T34="",P34="",BZ34="",T34&lt;=0,BZ34&lt;=0),"",(1/Inputs!$B$9)*((T34^2/8)*((2*ACOS(1-2*BZ34/T34))-SIN((2*ACOS(1-2*BZ34/T34)))))*((((T34^2/8)*((2*ACOS(1-2*BZ34/T34))-SIN((2*ACOS(1-2*BZ34/T34)))))/((T34/2)*((2*ACOS(1-2*BZ34/T34)))))^(2/3))*SQRT(P34))</f>
        <v/>
      </c>
      <c r="CB34" s="14" t="str">
        <f t="shared" si="33"/>
        <v/>
      </c>
      <c r="CC34" s="14" t="str">
        <f t="shared" si="34"/>
        <v/>
      </c>
      <c r="CD34" s="14" t="str">
        <f t="shared" si="35"/>
        <v/>
      </c>
      <c r="CE34" s="14" t="str">
        <f>IF(OR(T34="",P34="",CD34="",T34&lt;=0,CD34&lt;=0),"",(1/Inputs!$B$9)*((T34^2/8)*((2*ACOS(1-2*CD34/T34))-SIN((2*ACOS(1-2*CD34/T34)))))*((((T34^2/8)*((2*ACOS(1-2*CD34/T34))-SIN((2*ACOS(1-2*CD34/T34)))))/((T34/2)*((2*ACOS(1-2*CD34/T34)))))^(2/3))*SQRT(P34))</f>
        <v/>
      </c>
      <c r="CF34" s="14" t="str">
        <f t="shared" si="36"/>
        <v/>
      </c>
      <c r="CG34" s="14" t="str">
        <f t="shared" si="37"/>
        <v/>
      </c>
      <c r="CH34" s="14" t="str">
        <f t="shared" si="38"/>
        <v/>
      </c>
    </row>
    <row r="35" spans="1:86" x14ac:dyDescent="0.25">
      <c r="A35" s="14"/>
      <c r="B35" s="14"/>
      <c r="C35" s="14"/>
      <c r="D35" s="14"/>
      <c r="E35" s="44"/>
      <c r="F35" s="44"/>
      <c r="G35" s="44">
        <f>SUMIFS(CB_plan!$G:$G,CB_plan!$F:$F,$A35)</f>
        <v>0</v>
      </c>
      <c r="H35" s="44">
        <f t="shared" si="0"/>
        <v>0</v>
      </c>
      <c r="I35" s="14"/>
      <c r="J35" s="44"/>
      <c r="K35" s="44" t="str">
        <f>IF(A35="","",Inputs!$B$13/((IF(AV35="",Inputs!$B$18,AV35)+Inputs!$B$14)^Inputs!$B$15))</f>
        <v/>
      </c>
      <c r="L35" s="44" t="str">
        <f>IF(A35="","",IF(H35="","",0.000000278*IF(I35&lt;&gt;"",I35,IFERROR(SUMIFS(CB_plan!$H:$H,CB_plan!$F:$F,$A35)/SUMIFS(CB_plan!$G:$G,CB_plan!$F:$F,$A35),Inputs!$B$17))*H35*K35))</f>
        <v/>
      </c>
      <c r="M35" s="44" t="str">
        <f t="shared" si="1"/>
        <v/>
      </c>
      <c r="N35" s="44" t="str">
        <f>IF(A35="","",(L35+M35)*Inputs!$B$16)</f>
        <v/>
      </c>
      <c r="O35" s="44"/>
      <c r="P35" s="44" t="str">
        <f>IF(A35="","",IF(O35="",Inputs!$B$7,O35))</f>
        <v/>
      </c>
      <c r="Q35" s="14" t="str">
        <f>IF(A35="","",IF(N35/Inputs!$B$10&lt;=AG35,Inputs!$F$5,IF(N35/Inputs!$B$10&gt;AP35,"OVERSIZE",INDEX(Inputs!$F$5:$F$14,MATCH(N35/Inputs!$B$10,AG35:AP35,1)+1))))</f>
        <v/>
      </c>
      <c r="R35" s="14"/>
      <c r="S35" s="14" t="str">
        <f t="shared" si="2"/>
        <v/>
      </c>
      <c r="T35" s="44" t="str">
        <f t="shared" si="3"/>
        <v/>
      </c>
      <c r="U35" s="44" t="str">
        <f>IF(T35="","",(1/Inputs!$B$9)*(PI()*T35^2/4)*((T35/4)^(2/3))*SQRT(P35))</f>
        <v/>
      </c>
      <c r="V35" s="44" t="str">
        <f>IF(OR(U35="",N35=""),"",N35/(U35*Inputs!$B$10))</f>
        <v/>
      </c>
      <c r="W35" s="44" t="str">
        <f t="shared" si="4"/>
        <v/>
      </c>
      <c r="X35" s="44"/>
      <c r="Y35" s="44" t="str">
        <f>IF(A35="","",IF(A35=Inputs!$B$6,Inputs!$B$22,IF(D35="","",IFERROR(INDEX($Z$4:$Z$201,MATCH(D35,$A$4:$A$201,0))+IF(X35="",Inputs!$B$20,X35),""))))</f>
        <v/>
      </c>
      <c r="Z35" s="44" t="str">
        <f t="shared" si="5"/>
        <v/>
      </c>
      <c r="AA35" s="44" t="str">
        <f>IF(C35="","",IFERROR(INDEX(Noeuds_plan!$C$4:$C$200,MATCH(C35,Noeuds_plan!$A$4:$A$200,0)),""))</f>
        <v/>
      </c>
      <c r="AB35" s="44" t="str">
        <f>IF(B35="","",IFERROR(INDEX(Noeuds_plan!$C$4:$C$200,MATCH(B35,Noeuds_plan!$A$4:$A$200,0)),""))</f>
        <v/>
      </c>
      <c r="AC35" s="44" t="str">
        <f t="shared" si="6"/>
        <v/>
      </c>
      <c r="AD35" s="44" t="str">
        <f t="shared" si="7"/>
        <v/>
      </c>
      <c r="AE35" s="14" t="str">
        <f>IF(A35="","",IF(OR(V35&gt;1,AND(AY35&lt;&gt;"",AY35&lt;Inputs!$B$11),AND(AY35&lt;&gt;"",AY35&gt;Inputs!$B$12),AC35&lt;Inputs!$B$19,AD35&lt;Inputs!$B$19,P35&lt;Inputs!$B$7,P35&gt;Inputs!$B$8),"CHECK","OK"))</f>
        <v/>
      </c>
      <c r="AF35" s="14"/>
      <c r="AG35" s="14" t="str">
        <f>IF(A35="","",(1/Inputs!$B$9)*(PI()*(Inputs!$F$5/1000)^2/4)*((Inputs!$F$5/1000/4)^(2/3))*SQRT(P35))</f>
        <v/>
      </c>
      <c r="AH35" s="14" t="str">
        <f>IF(A35="","",(1/Inputs!$B$9)*(PI()*(Inputs!$F$6/1000)^2/4)*((Inputs!$F$6/1000/4)^(2/3))*SQRT(P35))</f>
        <v/>
      </c>
      <c r="AI35" s="14" t="str">
        <f>IF(A35="","",(1/Inputs!$B$9)*(PI()*(Inputs!$F$7/1000)^2/4)*((Inputs!$F$7/1000/4)^(2/3))*SQRT(P35))</f>
        <v/>
      </c>
      <c r="AJ35" s="14" t="str">
        <f>IF(A35="","",(1/Inputs!$B$9)*(PI()*(Inputs!$F$8/1000)^2/4)*((Inputs!$F$8/1000/4)^(2/3))*SQRT(P35))</f>
        <v/>
      </c>
      <c r="AK35" s="14" t="str">
        <f>IF(A35="","",(1/Inputs!$B$9)*(PI()*(Inputs!$F$9/1000)^2/4)*((Inputs!$F$9/1000/4)^(2/3))*SQRT(P35))</f>
        <v/>
      </c>
      <c r="AL35" s="14" t="str">
        <f>IF(A35="","",(1/Inputs!$B$9)*(PI()*(Inputs!$F$10/1000)^2/4)*((Inputs!$F$10/1000/4)^(2/3))*SQRT(P35))</f>
        <v/>
      </c>
      <c r="AM35" s="14" t="str">
        <f>IF(A35="","",(1/Inputs!$B$9)*(PI()*(Inputs!$F$11/1000)^2/4)*((Inputs!$F$11/1000/4)^(2/3))*SQRT(P35))</f>
        <v/>
      </c>
      <c r="AN35" s="14" t="str">
        <f>IF(A35="","",(1/Inputs!$B$9)*(PI()*(Inputs!$F$12/1000)^2/4)*((Inputs!$F$12/1000/4)^(2/3))*SQRT(P35))</f>
        <v/>
      </c>
      <c r="AO35" s="14" t="str">
        <f>IF(A35="","",(1/Inputs!$B$9)*(PI()*(Inputs!$F$13/1000)^2/4)*((Inputs!$F$13/1000/4)^(2/3))*SQRT(P35))</f>
        <v/>
      </c>
      <c r="AP35" s="14" t="str">
        <f>IF(A35="","",(1/Inputs!$B$9)*(PI()*(Inputs!$F$14/1000)^2/4)*((Inputs!$F$14/1000/4)^(2/3))*SQRT(P35))</f>
        <v/>
      </c>
      <c r="AQ35" s="14" t="str">
        <f t="shared" si="8"/>
        <v/>
      </c>
      <c r="AR35" s="14" t="str">
        <f t="shared" si="9"/>
        <v/>
      </c>
      <c r="AS35" s="17" t="str">
        <f>IF(A35="","",IF(J35="",Inputs!$B$18,J35))</f>
        <v/>
      </c>
      <c r="AT35" s="17" t="str">
        <f>IF(A35="","",IFERROR(_xludf.maxifs($AV$4:$AV$201,$D$4:$D$201,$A35),""))</f>
        <v/>
      </c>
      <c r="AU35" s="17" t="str">
        <f>IF(A35="","",IF(OR(E35="",Inputs!$B$23=""),"",E35/(Inputs!$B$23*60)))</f>
        <v/>
      </c>
      <c r="AV35" s="17" t="str">
        <f t="shared" si="10"/>
        <v/>
      </c>
      <c r="AW35" s="17" t="str">
        <f t="shared" si="11"/>
        <v/>
      </c>
      <c r="AX35" s="17" t="str">
        <f>IF(OR(T35="",P35=""),"",(1/Inputs!$B$9)*((T35/4)^(2/3))*SQRT(P35))</f>
        <v/>
      </c>
      <c r="AY35" s="17" t="str">
        <f>IF(A35="","",IF(AND(AW35="",AX35="",BA35=""),"",IF(OR(UPPER(TRIM(Inputs!$B$24))="MANNING",UPPER(TRIM(Inputs!$B$24))="M"),AX35,IF(OR(UPPER(TRIM(Inputs!$B$24))="PARTIAL",UPPER(TRIM(Inputs!$B$24))="P"),BA35,IF(OR(UPPER(TRIM(Inputs!$B$24))="MAX",UPPER(TRIM(Inputs!$B$24))="X"),MAX(IF(AW35="",0,AW35),IF(AX35="",0,AX35),IF(BA35="",0,BA35)),AW35)))))</f>
        <v/>
      </c>
      <c r="AZ35" s="17" t="str">
        <f t="shared" si="12"/>
        <v/>
      </c>
      <c r="BA35" s="17" t="str">
        <f t="shared" si="13"/>
        <v/>
      </c>
      <c r="BB35" s="14" t="str">
        <f t="shared" si="14"/>
        <v/>
      </c>
      <c r="BC35" s="14" t="str">
        <f>IF(OR(N35="",T35="",P35=""),"",IF(OR(T35="",P35="",(0.94*T35)="",T35&lt;=0,(0.94*T35)&lt;=0),"",(1/Inputs!$B$9)*((T35^2/8)*((2*ACOS(1-2*(0.94*T35)/T35))-SIN((2*ACOS(1-2*(0.94*T35)/T35)))))*((((T35^2/8)*((2*ACOS(1-2*(0.94*T35)/T35))-SIN((2*ACOS(1-2*(0.94*T35)/T35)))))/((T35/2)*((2*ACOS(1-2*(0.94*T35)/T35)))))^(2/3))*SQRT(P35)))</f>
        <v/>
      </c>
      <c r="BD35" s="14" t="str">
        <f t="shared" si="15"/>
        <v/>
      </c>
      <c r="BE35" s="14" t="str">
        <f t="shared" si="16"/>
        <v/>
      </c>
      <c r="BF35" s="14" t="str">
        <f t="shared" si="17"/>
        <v/>
      </c>
      <c r="BG35" s="14" t="str">
        <f>IF(OR(T35="",P35="",BF35="",T35&lt;=0,BF35&lt;=0),"",(1/Inputs!$B$9)*((T35^2/8)*((2*ACOS(1-2*BF35/T35))-SIN((2*ACOS(1-2*BF35/T35)))))*((((T35^2/8)*((2*ACOS(1-2*BF35/T35))-SIN((2*ACOS(1-2*BF35/T35)))))/((T35/2)*((2*ACOS(1-2*BF35/T35)))))^(2/3))*SQRT(P35))</f>
        <v/>
      </c>
      <c r="BH35" s="14" t="str">
        <f t="shared" si="18"/>
        <v/>
      </c>
      <c r="BI35" s="14" t="str">
        <f t="shared" si="19"/>
        <v/>
      </c>
      <c r="BJ35" s="14" t="str">
        <f t="shared" si="20"/>
        <v/>
      </c>
      <c r="BK35" s="14" t="str">
        <f>IF(OR(T35="",P35="",BJ35="",T35&lt;=0,BJ35&lt;=0),"",(1/Inputs!$B$9)*((T35^2/8)*((2*ACOS(1-2*BJ35/T35))-SIN((2*ACOS(1-2*BJ35/T35)))))*((((T35^2/8)*((2*ACOS(1-2*BJ35/T35))-SIN((2*ACOS(1-2*BJ35/T35)))))/((T35/2)*((2*ACOS(1-2*BJ35/T35)))))^(2/3))*SQRT(P35))</f>
        <v/>
      </c>
      <c r="BL35" s="14" t="str">
        <f t="shared" si="21"/>
        <v/>
      </c>
      <c r="BM35" s="14" t="str">
        <f t="shared" si="22"/>
        <v/>
      </c>
      <c r="BN35" s="14" t="str">
        <f t="shared" si="23"/>
        <v/>
      </c>
      <c r="BO35" s="14" t="str">
        <f>IF(OR(T35="",P35="",BN35="",T35&lt;=0,BN35&lt;=0),"",(1/Inputs!$B$9)*((T35^2/8)*((2*ACOS(1-2*BN35/T35))-SIN((2*ACOS(1-2*BN35/T35)))))*((((T35^2/8)*((2*ACOS(1-2*BN35/T35))-SIN((2*ACOS(1-2*BN35/T35)))))/((T35/2)*((2*ACOS(1-2*BN35/T35)))))^(2/3))*SQRT(P35))</f>
        <v/>
      </c>
      <c r="BP35" s="14" t="str">
        <f t="shared" si="24"/>
        <v/>
      </c>
      <c r="BQ35" s="14" t="str">
        <f t="shared" si="25"/>
        <v/>
      </c>
      <c r="BR35" s="14" t="str">
        <f t="shared" si="26"/>
        <v/>
      </c>
      <c r="BS35" s="14" t="str">
        <f>IF(OR(T35="",P35="",BR35="",T35&lt;=0,BR35&lt;=0),"",(1/Inputs!$B$9)*((T35^2/8)*((2*ACOS(1-2*BR35/T35))-SIN((2*ACOS(1-2*BR35/T35)))))*((((T35^2/8)*((2*ACOS(1-2*BR35/T35))-SIN((2*ACOS(1-2*BR35/T35)))))/((T35/2)*((2*ACOS(1-2*BR35/T35)))))^(2/3))*SQRT(P35))</f>
        <v/>
      </c>
      <c r="BT35" s="14" t="str">
        <f t="shared" si="27"/>
        <v/>
      </c>
      <c r="BU35" s="14" t="str">
        <f t="shared" si="28"/>
        <v/>
      </c>
      <c r="BV35" s="14" t="str">
        <f t="shared" si="29"/>
        <v/>
      </c>
      <c r="BW35" s="14" t="str">
        <f>IF(OR(T35="",P35="",BV35="",T35&lt;=0,BV35&lt;=0),"",(1/Inputs!$B$9)*((T35^2/8)*((2*ACOS(1-2*BV35/T35))-SIN((2*ACOS(1-2*BV35/T35)))))*((((T35^2/8)*((2*ACOS(1-2*BV35/T35))-SIN((2*ACOS(1-2*BV35/T35)))))/((T35/2)*((2*ACOS(1-2*BV35/T35)))))^(2/3))*SQRT(P35))</f>
        <v/>
      </c>
      <c r="BX35" s="14" t="str">
        <f t="shared" si="30"/>
        <v/>
      </c>
      <c r="BY35" s="14" t="str">
        <f t="shared" si="31"/>
        <v/>
      </c>
      <c r="BZ35" s="14" t="str">
        <f t="shared" si="32"/>
        <v/>
      </c>
      <c r="CA35" s="14" t="str">
        <f>IF(OR(T35="",P35="",BZ35="",T35&lt;=0,BZ35&lt;=0),"",(1/Inputs!$B$9)*((T35^2/8)*((2*ACOS(1-2*BZ35/T35))-SIN((2*ACOS(1-2*BZ35/T35)))))*((((T35^2/8)*((2*ACOS(1-2*BZ35/T35))-SIN((2*ACOS(1-2*BZ35/T35)))))/((T35/2)*((2*ACOS(1-2*BZ35/T35)))))^(2/3))*SQRT(P35))</f>
        <v/>
      </c>
      <c r="CB35" s="14" t="str">
        <f t="shared" si="33"/>
        <v/>
      </c>
      <c r="CC35" s="14" t="str">
        <f t="shared" si="34"/>
        <v/>
      </c>
      <c r="CD35" s="14" t="str">
        <f t="shared" si="35"/>
        <v/>
      </c>
      <c r="CE35" s="14" t="str">
        <f>IF(OR(T35="",P35="",CD35="",T35&lt;=0,CD35&lt;=0),"",(1/Inputs!$B$9)*((T35^2/8)*((2*ACOS(1-2*CD35/T35))-SIN((2*ACOS(1-2*CD35/T35)))))*((((T35^2/8)*((2*ACOS(1-2*CD35/T35))-SIN((2*ACOS(1-2*CD35/T35)))))/((T35/2)*((2*ACOS(1-2*CD35/T35)))))^(2/3))*SQRT(P35))</f>
        <v/>
      </c>
      <c r="CF35" s="14" t="str">
        <f t="shared" si="36"/>
        <v/>
      </c>
      <c r="CG35" s="14" t="str">
        <f t="shared" si="37"/>
        <v/>
      </c>
      <c r="CH35" s="14" t="str">
        <f t="shared" si="38"/>
        <v/>
      </c>
    </row>
    <row r="36" spans="1:86" x14ac:dyDescent="0.25">
      <c r="A36" s="14"/>
      <c r="B36" s="14"/>
      <c r="C36" s="14"/>
      <c r="D36" s="14"/>
      <c r="E36" s="44"/>
      <c r="F36" s="44"/>
      <c r="G36" s="44">
        <f>SUMIFS(CB_plan!$G:$G,CB_plan!$F:$F,$A36)</f>
        <v>0</v>
      </c>
      <c r="H36" s="44">
        <f t="shared" ref="H36:H67" si="39">IF(F36="",G36,F36)</f>
        <v>0</v>
      </c>
      <c r="I36" s="14"/>
      <c r="J36" s="44"/>
      <c r="K36" s="44" t="str">
        <f>IF(A36="","",Inputs!$B$13/((IF(AV36="",Inputs!$B$18,AV36)+Inputs!$B$14)^Inputs!$B$15))</f>
        <v/>
      </c>
      <c r="L36" s="44" t="str">
        <f>IF(A36="","",IF(H36="","",0.000000278*IF(I36&lt;&gt;"",I36,IFERROR(SUMIFS(CB_plan!$H:$H,CB_plan!$F:$F,$A36)/SUMIFS(CB_plan!$G:$G,CB_plan!$F:$F,$A36),Inputs!$B$17))*H36*K36))</f>
        <v/>
      </c>
      <c r="M36" s="44" t="str">
        <f t="shared" ref="M36:M67" si="40">IF(A36="","",SUMIFS($N$4:$N$201,$D$4:$D$201,$A36))</f>
        <v/>
      </c>
      <c r="N36" s="44" t="str">
        <f>IF(A36="","",(L36+M36)*Inputs!$B$16)</f>
        <v/>
      </c>
      <c r="O36" s="44"/>
      <c r="P36" s="44" t="str">
        <f>IF(A36="","",IF(O36="",Inputs!$B$7,O36))</f>
        <v/>
      </c>
      <c r="Q36" s="14" t="str">
        <f>IF(A36="","",IF(N36/Inputs!$B$10&lt;=AG36,Inputs!$F$5,IF(N36/Inputs!$B$10&gt;AP36,"OVERSIZE",INDEX(Inputs!$F$5:$F$14,MATCH(N36/Inputs!$B$10,AG36:AP36,1)+1))))</f>
        <v/>
      </c>
      <c r="R36" s="14"/>
      <c r="S36" s="14" t="str">
        <f t="shared" ref="S36:S67" si="41">IF(A36="","",IF(R36="",Q36,R36))</f>
        <v/>
      </c>
      <c r="T36" s="44" t="str">
        <f t="shared" ref="T36:T67" si="42">IF(OR(S36="",S36="OVERSIZE"),"",S36/1000)</f>
        <v/>
      </c>
      <c r="U36" s="44" t="str">
        <f>IF(T36="","",(1/Inputs!$B$9)*(PI()*T36^2/4)*((T36/4)^(2/3))*SQRT(P36))</f>
        <v/>
      </c>
      <c r="V36" s="44" t="str">
        <f>IF(OR(U36="",N36=""),"",N36/(U36*Inputs!$B$10))</f>
        <v/>
      </c>
      <c r="W36" s="44" t="str">
        <f t="shared" ref="W36:W67" si="43">IF(OR(T36="",N36=""),"",4*N36/(PI()*T36^2))</f>
        <v/>
      </c>
      <c r="X36" s="44"/>
      <c r="Y36" s="44" t="str">
        <f>IF(A36="","",IF(A36=Inputs!$B$6,Inputs!$B$22,IF(D36="","",IFERROR(INDEX($Z$4:$Z$201,MATCH(D36,$A$4:$A$201,0))+IF(X36="",Inputs!$B$20,X36),""))))</f>
        <v/>
      </c>
      <c r="Z36" s="44" t="str">
        <f t="shared" ref="Z36:Z67" si="44">IF(OR(Y36="",P36="",E36=""),"",Y36+P36*E36)</f>
        <v/>
      </c>
      <c r="AA36" s="44" t="str">
        <f>IF(C36="","",IFERROR(INDEX(Noeuds_plan!$C$4:$C$200,MATCH(C36,Noeuds_plan!$A$4:$A$200,0)),""))</f>
        <v/>
      </c>
      <c r="AB36" s="44" t="str">
        <f>IF(B36="","",IFERROR(INDEX(Noeuds_plan!$C$4:$C$200,MATCH(B36,Noeuds_plan!$A$4:$A$200,0)),""))</f>
        <v/>
      </c>
      <c r="AC36" s="44" t="str">
        <f t="shared" ref="AC36:AC67" si="45">IF(OR(AA36="",Y36=""),"",AA36-Y36)</f>
        <v/>
      </c>
      <c r="AD36" s="44" t="str">
        <f t="shared" ref="AD36:AD67" si="46">IF(OR(AB36="",Z36=""),"",AB36-Z36)</f>
        <v/>
      </c>
      <c r="AE36" s="14" t="str">
        <f>IF(A36="","",IF(OR(V36&gt;1,AND(AY36&lt;&gt;"",AY36&lt;Inputs!$B$11),AND(AY36&lt;&gt;"",AY36&gt;Inputs!$B$12),AC36&lt;Inputs!$B$19,AD36&lt;Inputs!$B$19,P36&lt;Inputs!$B$7,P36&gt;Inputs!$B$8),"CHECK","OK"))</f>
        <v/>
      </c>
      <c r="AF36" s="14"/>
      <c r="AG36" s="14" t="str">
        <f>IF(A36="","",(1/Inputs!$B$9)*(PI()*(Inputs!$F$5/1000)^2/4)*((Inputs!$F$5/1000/4)^(2/3))*SQRT(P36))</f>
        <v/>
      </c>
      <c r="AH36" s="14" t="str">
        <f>IF(A36="","",(1/Inputs!$B$9)*(PI()*(Inputs!$F$6/1000)^2/4)*((Inputs!$F$6/1000/4)^(2/3))*SQRT(P36))</f>
        <v/>
      </c>
      <c r="AI36" s="14" t="str">
        <f>IF(A36="","",(1/Inputs!$B$9)*(PI()*(Inputs!$F$7/1000)^2/4)*((Inputs!$F$7/1000/4)^(2/3))*SQRT(P36))</f>
        <v/>
      </c>
      <c r="AJ36" s="14" t="str">
        <f>IF(A36="","",(1/Inputs!$B$9)*(PI()*(Inputs!$F$8/1000)^2/4)*((Inputs!$F$8/1000/4)^(2/3))*SQRT(P36))</f>
        <v/>
      </c>
      <c r="AK36" s="14" t="str">
        <f>IF(A36="","",(1/Inputs!$B$9)*(PI()*(Inputs!$F$9/1000)^2/4)*((Inputs!$F$9/1000/4)^(2/3))*SQRT(P36))</f>
        <v/>
      </c>
      <c r="AL36" s="14" t="str">
        <f>IF(A36="","",(1/Inputs!$B$9)*(PI()*(Inputs!$F$10/1000)^2/4)*((Inputs!$F$10/1000/4)^(2/3))*SQRT(P36))</f>
        <v/>
      </c>
      <c r="AM36" s="14" t="str">
        <f>IF(A36="","",(1/Inputs!$B$9)*(PI()*(Inputs!$F$11/1000)^2/4)*((Inputs!$F$11/1000/4)^(2/3))*SQRT(P36))</f>
        <v/>
      </c>
      <c r="AN36" s="14" t="str">
        <f>IF(A36="","",(1/Inputs!$B$9)*(PI()*(Inputs!$F$12/1000)^2/4)*((Inputs!$F$12/1000/4)^(2/3))*SQRT(P36))</f>
        <v/>
      </c>
      <c r="AO36" s="14" t="str">
        <f>IF(A36="","",(1/Inputs!$B$9)*(PI()*(Inputs!$F$13/1000)^2/4)*((Inputs!$F$13/1000/4)^(2/3))*SQRT(P36))</f>
        <v/>
      </c>
      <c r="AP36" s="14" t="str">
        <f>IF(A36="","",(1/Inputs!$B$9)*(PI()*(Inputs!$F$14/1000)^2/4)*((Inputs!$F$14/1000/4)^(2/3))*SQRT(P36))</f>
        <v/>
      </c>
      <c r="AQ36" s="14" t="str">
        <f t="shared" ref="AQ36:AQ67" si="47">IF(A36="","",COUNTIF($D$4:$D$201,$A36))</f>
        <v/>
      </c>
      <c r="AR36" s="14" t="str">
        <f t="shared" ref="AR36:AR67" si="48">IF(A36="","",IF(AQ36=0,"START","CONTINUOUS"))</f>
        <v/>
      </c>
      <c r="AS36" s="17" t="str">
        <f>IF(A36="","",IF(J36="",Inputs!$B$18,J36))</f>
        <v/>
      </c>
      <c r="AT36" s="17" t="str">
        <f>IF(A36="","",IFERROR(_xludf.maxifs($AV$4:$AV$201,$D$4:$D$201,$A36),""))</f>
        <v/>
      </c>
      <c r="AU36" s="17" t="str">
        <f>IF(A36="","",IF(OR(E36="",Inputs!$B$23=""),"",E36/(Inputs!$B$23*60)))</f>
        <v/>
      </c>
      <c r="AV36" s="17" t="str">
        <f t="shared" ref="AV36:AV67" si="49">IF(A36="","",IF(AQ36=0,AS36+AU36,IF(AT36="",AS36+AU36,AT36+AU36)))</f>
        <v/>
      </c>
      <c r="AW36" s="17" t="str">
        <f t="shared" ref="AW36:AW67" si="50">IF(A36="","",W36)</f>
        <v/>
      </c>
      <c r="AX36" s="17" t="str">
        <f>IF(OR(T36="",P36=""),"",(1/Inputs!$B$9)*((T36/4)^(2/3))*SQRT(P36))</f>
        <v/>
      </c>
      <c r="AY36" s="17" t="str">
        <f>IF(A36="","",IF(AND(AW36="",AX36="",BA36=""),"",IF(OR(UPPER(TRIM(Inputs!$B$24))="MANNING",UPPER(TRIM(Inputs!$B$24))="M"),AX36,IF(OR(UPPER(TRIM(Inputs!$B$24))="PARTIAL",UPPER(TRIM(Inputs!$B$24))="P"),BA36,IF(OR(UPPER(TRIM(Inputs!$B$24))="MAX",UPPER(TRIM(Inputs!$B$24))="X"),MAX(IF(AW36="",0,AW36),IF(AX36="",0,AX36),IF(BA36="",0,BA36)),AW36)))))</f>
        <v/>
      </c>
      <c r="AZ36" s="17" t="str">
        <f t="shared" ref="AZ36:AZ67" si="51">IF(BB36="","",CH36)</f>
        <v/>
      </c>
      <c r="BA36" s="17" t="str">
        <f t="shared" ref="BA36:BA67" si="52">IF(OR(BB36="",AZ36="",T36="",T36&lt;=0,AZ36&lt;=0),"",BB36/((T36^2/8)*(2*ACOS(1-2*AZ36/T36)-SIN(2*ACOS(1-2*AZ36/T36)))))</f>
        <v/>
      </c>
      <c r="BB36" s="14" t="str">
        <f t="shared" ref="BB36:BB67" si="53">IF(OR(N36="",BC36=""),"",MIN(N36,BC36))</f>
        <v/>
      </c>
      <c r="BC36" s="14" t="str">
        <f>IF(OR(N36="",T36="",P36=""),"",IF(OR(T36="",P36="",(0.94*T36)="",T36&lt;=0,(0.94*T36)&lt;=0),"",(1/Inputs!$B$9)*((T36^2/8)*((2*ACOS(1-2*(0.94*T36)/T36))-SIN((2*ACOS(1-2*(0.94*T36)/T36)))))*((((T36^2/8)*((2*ACOS(1-2*(0.94*T36)/T36))-SIN((2*ACOS(1-2*(0.94*T36)/T36)))))/((T36/2)*((2*ACOS(1-2*(0.94*T36)/T36)))))^(2/3))*SQRT(P36)))</f>
        <v/>
      </c>
      <c r="BD36" s="14" t="str">
        <f t="shared" ref="BD36:BD67" si="54">IF(BB36="","",0.001*T36)</f>
        <v/>
      </c>
      <c r="BE36" s="14" t="str">
        <f t="shared" ref="BE36:BE67" si="55">IF(BB36="","",0.94*T36)</f>
        <v/>
      </c>
      <c r="BF36" s="14" t="str">
        <f t="shared" ref="BF36:BF67" si="56">IF(BB36="","",(BD36+BE36)/2)</f>
        <v/>
      </c>
      <c r="BG36" s="14" t="str">
        <f>IF(OR(T36="",P36="",BF36="",T36&lt;=0,BF36&lt;=0),"",(1/Inputs!$B$9)*((T36^2/8)*((2*ACOS(1-2*BF36/T36))-SIN((2*ACOS(1-2*BF36/T36)))))*((((T36^2/8)*((2*ACOS(1-2*BF36/T36))-SIN((2*ACOS(1-2*BF36/T36)))))/((T36/2)*((2*ACOS(1-2*BF36/T36)))))^(2/3))*SQRT(P36))</f>
        <v/>
      </c>
      <c r="BH36" s="14" t="str">
        <f t="shared" ref="BH36:BH67" si="57">IF(BB36="","",IF(BG36&lt;BB36,BF36,BD36))</f>
        <v/>
      </c>
      <c r="BI36" s="14" t="str">
        <f t="shared" ref="BI36:BI67" si="58">IF(BB36="","",IF(BG36&lt;BB36,BE36,BF36))</f>
        <v/>
      </c>
      <c r="BJ36" s="14" t="str">
        <f t="shared" ref="BJ36:BJ67" si="59">IF(BB36="","",(BH36+BI36)/2)</f>
        <v/>
      </c>
      <c r="BK36" s="14" t="str">
        <f>IF(OR(T36="",P36="",BJ36="",T36&lt;=0,BJ36&lt;=0),"",(1/Inputs!$B$9)*((T36^2/8)*((2*ACOS(1-2*BJ36/T36))-SIN((2*ACOS(1-2*BJ36/T36)))))*((((T36^2/8)*((2*ACOS(1-2*BJ36/T36))-SIN((2*ACOS(1-2*BJ36/T36)))))/((T36/2)*((2*ACOS(1-2*BJ36/T36)))))^(2/3))*SQRT(P36))</f>
        <v/>
      </c>
      <c r="BL36" s="14" t="str">
        <f t="shared" ref="BL36:BL67" si="60">IF(BB36="","",IF(BK36&lt;BB36,BJ36,BH36))</f>
        <v/>
      </c>
      <c r="BM36" s="14" t="str">
        <f t="shared" ref="BM36:BM67" si="61">IF(BB36="","",IF(BK36&lt;BB36,BI36,BJ36))</f>
        <v/>
      </c>
      <c r="BN36" s="14" t="str">
        <f t="shared" ref="BN36:BN67" si="62">IF(BB36="","",(BL36+BM36)/2)</f>
        <v/>
      </c>
      <c r="BO36" s="14" t="str">
        <f>IF(OR(T36="",P36="",BN36="",T36&lt;=0,BN36&lt;=0),"",(1/Inputs!$B$9)*((T36^2/8)*((2*ACOS(1-2*BN36/T36))-SIN((2*ACOS(1-2*BN36/T36)))))*((((T36^2/8)*((2*ACOS(1-2*BN36/T36))-SIN((2*ACOS(1-2*BN36/T36)))))/((T36/2)*((2*ACOS(1-2*BN36/T36)))))^(2/3))*SQRT(P36))</f>
        <v/>
      </c>
      <c r="BP36" s="14" t="str">
        <f t="shared" ref="BP36:BP67" si="63">IF(BB36="","",IF(BO36&lt;BB36,BN36,BL36))</f>
        <v/>
      </c>
      <c r="BQ36" s="14" t="str">
        <f t="shared" ref="BQ36:BQ67" si="64">IF(BB36="","",IF(BO36&lt;BB36,BM36,BN36))</f>
        <v/>
      </c>
      <c r="BR36" s="14" t="str">
        <f t="shared" ref="BR36:BR67" si="65">IF(BB36="","",(BP36+BQ36)/2)</f>
        <v/>
      </c>
      <c r="BS36" s="14" t="str">
        <f>IF(OR(T36="",P36="",BR36="",T36&lt;=0,BR36&lt;=0),"",(1/Inputs!$B$9)*((T36^2/8)*((2*ACOS(1-2*BR36/T36))-SIN((2*ACOS(1-2*BR36/T36)))))*((((T36^2/8)*((2*ACOS(1-2*BR36/T36))-SIN((2*ACOS(1-2*BR36/T36)))))/((T36/2)*((2*ACOS(1-2*BR36/T36)))))^(2/3))*SQRT(P36))</f>
        <v/>
      </c>
      <c r="BT36" s="14" t="str">
        <f t="shared" ref="BT36:BT67" si="66">IF(BB36="","",IF(BS36&lt;BB36,BR36,BP36))</f>
        <v/>
      </c>
      <c r="BU36" s="14" t="str">
        <f t="shared" ref="BU36:BU67" si="67">IF(BB36="","",IF(BS36&lt;BB36,BQ36,BR36))</f>
        <v/>
      </c>
      <c r="BV36" s="14" t="str">
        <f t="shared" ref="BV36:BV67" si="68">IF(BB36="","",(BT36+BU36)/2)</f>
        <v/>
      </c>
      <c r="BW36" s="14" t="str">
        <f>IF(OR(T36="",P36="",BV36="",T36&lt;=0,BV36&lt;=0),"",(1/Inputs!$B$9)*((T36^2/8)*((2*ACOS(1-2*BV36/T36))-SIN((2*ACOS(1-2*BV36/T36)))))*((((T36^2/8)*((2*ACOS(1-2*BV36/T36))-SIN((2*ACOS(1-2*BV36/T36)))))/((T36/2)*((2*ACOS(1-2*BV36/T36)))))^(2/3))*SQRT(P36))</f>
        <v/>
      </c>
      <c r="BX36" s="14" t="str">
        <f t="shared" ref="BX36:BX67" si="69">IF(BB36="","",IF(BW36&lt;BB36,BV36,BT36))</f>
        <v/>
      </c>
      <c r="BY36" s="14" t="str">
        <f t="shared" ref="BY36:BY67" si="70">IF(BB36="","",IF(BW36&lt;BB36,BU36,BV36))</f>
        <v/>
      </c>
      <c r="BZ36" s="14" t="str">
        <f t="shared" ref="BZ36:BZ67" si="71">IF(BB36="","",(BX36+BY36)/2)</f>
        <v/>
      </c>
      <c r="CA36" s="14" t="str">
        <f>IF(OR(T36="",P36="",BZ36="",T36&lt;=0,BZ36&lt;=0),"",(1/Inputs!$B$9)*((T36^2/8)*((2*ACOS(1-2*BZ36/T36))-SIN((2*ACOS(1-2*BZ36/T36)))))*((((T36^2/8)*((2*ACOS(1-2*BZ36/T36))-SIN((2*ACOS(1-2*BZ36/T36)))))/((T36/2)*((2*ACOS(1-2*BZ36/T36)))))^(2/3))*SQRT(P36))</f>
        <v/>
      </c>
      <c r="CB36" s="14" t="str">
        <f t="shared" ref="CB36:CB67" si="72">IF(BB36="","",IF(CA36&lt;BB36,BZ36,BX36))</f>
        <v/>
      </c>
      <c r="CC36" s="14" t="str">
        <f t="shared" ref="CC36:CC67" si="73">IF(BB36="","",IF(CA36&lt;BB36,BY36,BZ36))</f>
        <v/>
      </c>
      <c r="CD36" s="14" t="str">
        <f t="shared" ref="CD36:CD67" si="74">IF(BB36="","",(CB36+CC36)/2)</f>
        <v/>
      </c>
      <c r="CE36" s="14" t="str">
        <f>IF(OR(T36="",P36="",CD36="",T36&lt;=0,CD36&lt;=0),"",(1/Inputs!$B$9)*((T36^2/8)*((2*ACOS(1-2*CD36/T36))-SIN((2*ACOS(1-2*CD36/T36)))))*((((T36^2/8)*((2*ACOS(1-2*CD36/T36))-SIN((2*ACOS(1-2*CD36/T36)))))/((T36/2)*((2*ACOS(1-2*CD36/T36)))))^(2/3))*SQRT(P36))</f>
        <v/>
      </c>
      <c r="CF36" s="14" t="str">
        <f t="shared" ref="CF36:CF67" si="75">IF(BB36="","",IF(CE36&lt;BB36,CD36,CB36))</f>
        <v/>
      </c>
      <c r="CG36" s="14" t="str">
        <f t="shared" ref="CG36:CG67" si="76">IF(BB36="","",IF(CE36&lt;BB36,CC36,CD36))</f>
        <v/>
      </c>
      <c r="CH36" s="14" t="str">
        <f t="shared" ref="CH36:CH67" si="77">IF(BB36="","",(CF36+CG36)/2)</f>
        <v/>
      </c>
    </row>
    <row r="37" spans="1:86" x14ac:dyDescent="0.25">
      <c r="A37" s="14"/>
      <c r="B37" s="14"/>
      <c r="C37" s="14"/>
      <c r="D37" s="14"/>
      <c r="E37" s="44"/>
      <c r="F37" s="44"/>
      <c r="G37" s="44">
        <f>SUMIFS(CB_plan!$G:$G,CB_plan!$F:$F,$A37)</f>
        <v>0</v>
      </c>
      <c r="H37" s="44">
        <f t="shared" si="39"/>
        <v>0</v>
      </c>
      <c r="I37" s="14"/>
      <c r="J37" s="44"/>
      <c r="K37" s="44" t="str">
        <f>IF(A37="","",Inputs!$B$13/((IF(AV37="",Inputs!$B$18,AV37)+Inputs!$B$14)^Inputs!$B$15))</f>
        <v/>
      </c>
      <c r="L37" s="44" t="str">
        <f>IF(A37="","",IF(H37="","",0.000000278*IF(I37&lt;&gt;"",I37,IFERROR(SUMIFS(CB_plan!$H:$H,CB_plan!$F:$F,$A37)/SUMIFS(CB_plan!$G:$G,CB_plan!$F:$F,$A37),Inputs!$B$17))*H37*K37))</f>
        <v/>
      </c>
      <c r="M37" s="44" t="str">
        <f t="shared" si="40"/>
        <v/>
      </c>
      <c r="N37" s="44" t="str">
        <f>IF(A37="","",(L37+M37)*Inputs!$B$16)</f>
        <v/>
      </c>
      <c r="O37" s="44"/>
      <c r="P37" s="44" t="str">
        <f>IF(A37="","",IF(O37="",Inputs!$B$7,O37))</f>
        <v/>
      </c>
      <c r="Q37" s="14" t="str">
        <f>IF(A37="","",IF(N37/Inputs!$B$10&lt;=AG37,Inputs!$F$5,IF(N37/Inputs!$B$10&gt;AP37,"OVERSIZE",INDEX(Inputs!$F$5:$F$14,MATCH(N37/Inputs!$B$10,AG37:AP37,1)+1))))</f>
        <v/>
      </c>
      <c r="R37" s="14"/>
      <c r="S37" s="14" t="str">
        <f t="shared" si="41"/>
        <v/>
      </c>
      <c r="T37" s="44" t="str">
        <f t="shared" si="42"/>
        <v/>
      </c>
      <c r="U37" s="44" t="str">
        <f>IF(T37="","",(1/Inputs!$B$9)*(PI()*T37^2/4)*((T37/4)^(2/3))*SQRT(P37))</f>
        <v/>
      </c>
      <c r="V37" s="44" t="str">
        <f>IF(OR(U37="",N37=""),"",N37/(U37*Inputs!$B$10))</f>
        <v/>
      </c>
      <c r="W37" s="44" t="str">
        <f t="shared" si="43"/>
        <v/>
      </c>
      <c r="X37" s="44"/>
      <c r="Y37" s="44" t="str">
        <f>IF(A37="","",IF(A37=Inputs!$B$6,Inputs!$B$22,IF(D37="","",IFERROR(INDEX($Z$4:$Z$201,MATCH(D37,$A$4:$A$201,0))+IF(X37="",Inputs!$B$20,X37),""))))</f>
        <v/>
      </c>
      <c r="Z37" s="44" t="str">
        <f t="shared" si="44"/>
        <v/>
      </c>
      <c r="AA37" s="44" t="str">
        <f>IF(C37="","",IFERROR(INDEX(Noeuds_plan!$C$4:$C$200,MATCH(C37,Noeuds_plan!$A$4:$A$200,0)),""))</f>
        <v/>
      </c>
      <c r="AB37" s="44" t="str">
        <f>IF(B37="","",IFERROR(INDEX(Noeuds_plan!$C$4:$C$200,MATCH(B37,Noeuds_plan!$A$4:$A$200,0)),""))</f>
        <v/>
      </c>
      <c r="AC37" s="44" t="str">
        <f t="shared" si="45"/>
        <v/>
      </c>
      <c r="AD37" s="44" t="str">
        <f t="shared" si="46"/>
        <v/>
      </c>
      <c r="AE37" s="14" t="str">
        <f>IF(A37="","",IF(OR(V37&gt;1,AND(AY37&lt;&gt;"",AY37&lt;Inputs!$B$11),AND(AY37&lt;&gt;"",AY37&gt;Inputs!$B$12),AC37&lt;Inputs!$B$19,AD37&lt;Inputs!$B$19,P37&lt;Inputs!$B$7,P37&gt;Inputs!$B$8),"CHECK","OK"))</f>
        <v/>
      </c>
      <c r="AF37" s="14"/>
      <c r="AG37" s="14" t="str">
        <f>IF(A37="","",(1/Inputs!$B$9)*(PI()*(Inputs!$F$5/1000)^2/4)*((Inputs!$F$5/1000/4)^(2/3))*SQRT(P37))</f>
        <v/>
      </c>
      <c r="AH37" s="14" t="str">
        <f>IF(A37="","",(1/Inputs!$B$9)*(PI()*(Inputs!$F$6/1000)^2/4)*((Inputs!$F$6/1000/4)^(2/3))*SQRT(P37))</f>
        <v/>
      </c>
      <c r="AI37" s="14" t="str">
        <f>IF(A37="","",(1/Inputs!$B$9)*(PI()*(Inputs!$F$7/1000)^2/4)*((Inputs!$F$7/1000/4)^(2/3))*SQRT(P37))</f>
        <v/>
      </c>
      <c r="AJ37" s="14" t="str">
        <f>IF(A37="","",(1/Inputs!$B$9)*(PI()*(Inputs!$F$8/1000)^2/4)*((Inputs!$F$8/1000/4)^(2/3))*SQRT(P37))</f>
        <v/>
      </c>
      <c r="AK37" s="14" t="str">
        <f>IF(A37="","",(1/Inputs!$B$9)*(PI()*(Inputs!$F$9/1000)^2/4)*((Inputs!$F$9/1000/4)^(2/3))*SQRT(P37))</f>
        <v/>
      </c>
      <c r="AL37" s="14" t="str">
        <f>IF(A37="","",(1/Inputs!$B$9)*(PI()*(Inputs!$F$10/1000)^2/4)*((Inputs!$F$10/1000/4)^(2/3))*SQRT(P37))</f>
        <v/>
      </c>
      <c r="AM37" s="14" t="str">
        <f>IF(A37="","",(1/Inputs!$B$9)*(PI()*(Inputs!$F$11/1000)^2/4)*((Inputs!$F$11/1000/4)^(2/3))*SQRT(P37))</f>
        <v/>
      </c>
      <c r="AN37" s="14" t="str">
        <f>IF(A37="","",(1/Inputs!$B$9)*(PI()*(Inputs!$F$12/1000)^2/4)*((Inputs!$F$12/1000/4)^(2/3))*SQRT(P37))</f>
        <v/>
      </c>
      <c r="AO37" s="14" t="str">
        <f>IF(A37="","",(1/Inputs!$B$9)*(PI()*(Inputs!$F$13/1000)^2/4)*((Inputs!$F$13/1000/4)^(2/3))*SQRT(P37))</f>
        <v/>
      </c>
      <c r="AP37" s="14" t="str">
        <f>IF(A37="","",(1/Inputs!$B$9)*(PI()*(Inputs!$F$14/1000)^2/4)*((Inputs!$F$14/1000/4)^(2/3))*SQRT(P37))</f>
        <v/>
      </c>
      <c r="AQ37" s="14" t="str">
        <f t="shared" si="47"/>
        <v/>
      </c>
      <c r="AR37" s="14" t="str">
        <f t="shared" si="48"/>
        <v/>
      </c>
      <c r="AS37" s="17" t="str">
        <f>IF(A37="","",IF(J37="",Inputs!$B$18,J37))</f>
        <v/>
      </c>
      <c r="AT37" s="17" t="str">
        <f>IF(A37="","",IFERROR(_xludf.maxifs($AV$4:$AV$201,$D$4:$D$201,$A37),""))</f>
        <v/>
      </c>
      <c r="AU37" s="17" t="str">
        <f>IF(A37="","",IF(OR(E37="",Inputs!$B$23=""),"",E37/(Inputs!$B$23*60)))</f>
        <v/>
      </c>
      <c r="AV37" s="17" t="str">
        <f t="shared" si="49"/>
        <v/>
      </c>
      <c r="AW37" s="17" t="str">
        <f t="shared" si="50"/>
        <v/>
      </c>
      <c r="AX37" s="17" t="str">
        <f>IF(OR(T37="",P37=""),"",(1/Inputs!$B$9)*((T37/4)^(2/3))*SQRT(P37))</f>
        <v/>
      </c>
      <c r="AY37" s="17" t="str">
        <f>IF(A37="","",IF(AND(AW37="",AX37="",BA37=""),"",IF(OR(UPPER(TRIM(Inputs!$B$24))="MANNING",UPPER(TRIM(Inputs!$B$24))="M"),AX37,IF(OR(UPPER(TRIM(Inputs!$B$24))="PARTIAL",UPPER(TRIM(Inputs!$B$24))="P"),BA37,IF(OR(UPPER(TRIM(Inputs!$B$24))="MAX",UPPER(TRIM(Inputs!$B$24))="X"),MAX(IF(AW37="",0,AW37),IF(AX37="",0,AX37),IF(BA37="",0,BA37)),AW37)))))</f>
        <v/>
      </c>
      <c r="AZ37" s="17" t="str">
        <f t="shared" si="51"/>
        <v/>
      </c>
      <c r="BA37" s="17" t="str">
        <f t="shared" si="52"/>
        <v/>
      </c>
      <c r="BB37" s="14" t="str">
        <f t="shared" si="53"/>
        <v/>
      </c>
      <c r="BC37" s="14" t="str">
        <f>IF(OR(N37="",T37="",P37=""),"",IF(OR(T37="",P37="",(0.94*T37)="",T37&lt;=0,(0.94*T37)&lt;=0),"",(1/Inputs!$B$9)*((T37^2/8)*((2*ACOS(1-2*(0.94*T37)/T37))-SIN((2*ACOS(1-2*(0.94*T37)/T37)))))*((((T37^2/8)*((2*ACOS(1-2*(0.94*T37)/T37))-SIN((2*ACOS(1-2*(0.94*T37)/T37)))))/((T37/2)*((2*ACOS(1-2*(0.94*T37)/T37)))))^(2/3))*SQRT(P37)))</f>
        <v/>
      </c>
      <c r="BD37" s="14" t="str">
        <f t="shared" si="54"/>
        <v/>
      </c>
      <c r="BE37" s="14" t="str">
        <f t="shared" si="55"/>
        <v/>
      </c>
      <c r="BF37" s="14" t="str">
        <f t="shared" si="56"/>
        <v/>
      </c>
      <c r="BG37" s="14" t="str">
        <f>IF(OR(T37="",P37="",BF37="",T37&lt;=0,BF37&lt;=0),"",(1/Inputs!$B$9)*((T37^2/8)*((2*ACOS(1-2*BF37/T37))-SIN((2*ACOS(1-2*BF37/T37)))))*((((T37^2/8)*((2*ACOS(1-2*BF37/T37))-SIN((2*ACOS(1-2*BF37/T37)))))/((T37/2)*((2*ACOS(1-2*BF37/T37)))))^(2/3))*SQRT(P37))</f>
        <v/>
      </c>
      <c r="BH37" s="14" t="str">
        <f t="shared" si="57"/>
        <v/>
      </c>
      <c r="BI37" s="14" t="str">
        <f t="shared" si="58"/>
        <v/>
      </c>
      <c r="BJ37" s="14" t="str">
        <f t="shared" si="59"/>
        <v/>
      </c>
      <c r="BK37" s="14" t="str">
        <f>IF(OR(T37="",P37="",BJ37="",T37&lt;=0,BJ37&lt;=0),"",(1/Inputs!$B$9)*((T37^2/8)*((2*ACOS(1-2*BJ37/T37))-SIN((2*ACOS(1-2*BJ37/T37)))))*((((T37^2/8)*((2*ACOS(1-2*BJ37/T37))-SIN((2*ACOS(1-2*BJ37/T37)))))/((T37/2)*((2*ACOS(1-2*BJ37/T37)))))^(2/3))*SQRT(P37))</f>
        <v/>
      </c>
      <c r="BL37" s="14" t="str">
        <f t="shared" si="60"/>
        <v/>
      </c>
      <c r="BM37" s="14" t="str">
        <f t="shared" si="61"/>
        <v/>
      </c>
      <c r="BN37" s="14" t="str">
        <f t="shared" si="62"/>
        <v/>
      </c>
      <c r="BO37" s="14" t="str">
        <f>IF(OR(T37="",P37="",BN37="",T37&lt;=0,BN37&lt;=0),"",(1/Inputs!$B$9)*((T37^2/8)*((2*ACOS(1-2*BN37/T37))-SIN((2*ACOS(1-2*BN37/T37)))))*((((T37^2/8)*((2*ACOS(1-2*BN37/T37))-SIN((2*ACOS(1-2*BN37/T37)))))/((T37/2)*((2*ACOS(1-2*BN37/T37)))))^(2/3))*SQRT(P37))</f>
        <v/>
      </c>
      <c r="BP37" s="14" t="str">
        <f t="shared" si="63"/>
        <v/>
      </c>
      <c r="BQ37" s="14" t="str">
        <f t="shared" si="64"/>
        <v/>
      </c>
      <c r="BR37" s="14" t="str">
        <f t="shared" si="65"/>
        <v/>
      </c>
      <c r="BS37" s="14" t="str">
        <f>IF(OR(T37="",P37="",BR37="",T37&lt;=0,BR37&lt;=0),"",(1/Inputs!$B$9)*((T37^2/8)*((2*ACOS(1-2*BR37/T37))-SIN((2*ACOS(1-2*BR37/T37)))))*((((T37^2/8)*((2*ACOS(1-2*BR37/T37))-SIN((2*ACOS(1-2*BR37/T37)))))/((T37/2)*((2*ACOS(1-2*BR37/T37)))))^(2/3))*SQRT(P37))</f>
        <v/>
      </c>
      <c r="BT37" s="14" t="str">
        <f t="shared" si="66"/>
        <v/>
      </c>
      <c r="BU37" s="14" t="str">
        <f t="shared" si="67"/>
        <v/>
      </c>
      <c r="BV37" s="14" t="str">
        <f t="shared" si="68"/>
        <v/>
      </c>
      <c r="BW37" s="14" t="str">
        <f>IF(OR(T37="",P37="",BV37="",T37&lt;=0,BV37&lt;=0),"",(1/Inputs!$B$9)*((T37^2/8)*((2*ACOS(1-2*BV37/T37))-SIN((2*ACOS(1-2*BV37/T37)))))*((((T37^2/8)*((2*ACOS(1-2*BV37/T37))-SIN((2*ACOS(1-2*BV37/T37)))))/((T37/2)*((2*ACOS(1-2*BV37/T37)))))^(2/3))*SQRT(P37))</f>
        <v/>
      </c>
      <c r="BX37" s="14" t="str">
        <f t="shared" si="69"/>
        <v/>
      </c>
      <c r="BY37" s="14" t="str">
        <f t="shared" si="70"/>
        <v/>
      </c>
      <c r="BZ37" s="14" t="str">
        <f t="shared" si="71"/>
        <v/>
      </c>
      <c r="CA37" s="14" t="str">
        <f>IF(OR(T37="",P37="",BZ37="",T37&lt;=0,BZ37&lt;=0),"",(1/Inputs!$B$9)*((T37^2/8)*((2*ACOS(1-2*BZ37/T37))-SIN((2*ACOS(1-2*BZ37/T37)))))*((((T37^2/8)*((2*ACOS(1-2*BZ37/T37))-SIN((2*ACOS(1-2*BZ37/T37)))))/((T37/2)*((2*ACOS(1-2*BZ37/T37)))))^(2/3))*SQRT(P37))</f>
        <v/>
      </c>
      <c r="CB37" s="14" t="str">
        <f t="shared" si="72"/>
        <v/>
      </c>
      <c r="CC37" s="14" t="str">
        <f t="shared" si="73"/>
        <v/>
      </c>
      <c r="CD37" s="14" t="str">
        <f t="shared" si="74"/>
        <v/>
      </c>
      <c r="CE37" s="14" t="str">
        <f>IF(OR(T37="",P37="",CD37="",T37&lt;=0,CD37&lt;=0),"",(1/Inputs!$B$9)*((T37^2/8)*((2*ACOS(1-2*CD37/T37))-SIN((2*ACOS(1-2*CD37/T37)))))*((((T37^2/8)*((2*ACOS(1-2*CD37/T37))-SIN((2*ACOS(1-2*CD37/T37)))))/((T37/2)*((2*ACOS(1-2*CD37/T37)))))^(2/3))*SQRT(P37))</f>
        <v/>
      </c>
      <c r="CF37" s="14" t="str">
        <f t="shared" si="75"/>
        <v/>
      </c>
      <c r="CG37" s="14" t="str">
        <f t="shared" si="76"/>
        <v/>
      </c>
      <c r="CH37" s="14" t="str">
        <f t="shared" si="77"/>
        <v/>
      </c>
    </row>
    <row r="38" spans="1:86" x14ac:dyDescent="0.25">
      <c r="A38" s="14"/>
      <c r="B38" s="14"/>
      <c r="C38" s="14"/>
      <c r="D38" s="14"/>
      <c r="E38" s="44"/>
      <c r="F38" s="44"/>
      <c r="G38" s="44">
        <f>SUMIFS(CB_plan!$G:$G,CB_plan!$F:$F,$A38)</f>
        <v>0</v>
      </c>
      <c r="H38" s="44">
        <f t="shared" si="39"/>
        <v>0</v>
      </c>
      <c r="I38" s="14"/>
      <c r="J38" s="44"/>
      <c r="K38" s="44" t="str">
        <f>IF(A38="","",Inputs!$B$13/((IF(AV38="",Inputs!$B$18,AV38)+Inputs!$B$14)^Inputs!$B$15))</f>
        <v/>
      </c>
      <c r="L38" s="44" t="str">
        <f>IF(A38="","",IF(H38="","",0.000000278*IF(I38&lt;&gt;"",I38,IFERROR(SUMIFS(CB_plan!$H:$H,CB_plan!$F:$F,$A38)/SUMIFS(CB_plan!$G:$G,CB_plan!$F:$F,$A38),Inputs!$B$17))*H38*K38))</f>
        <v/>
      </c>
      <c r="M38" s="44" t="str">
        <f t="shared" si="40"/>
        <v/>
      </c>
      <c r="N38" s="44" t="str">
        <f>IF(A38="","",(L38+M38)*Inputs!$B$16)</f>
        <v/>
      </c>
      <c r="O38" s="44"/>
      <c r="P38" s="44" t="str">
        <f>IF(A38="","",IF(O38="",Inputs!$B$7,O38))</f>
        <v/>
      </c>
      <c r="Q38" s="14" t="str">
        <f>IF(A38="","",IF(N38/Inputs!$B$10&lt;=AG38,Inputs!$F$5,IF(N38/Inputs!$B$10&gt;AP38,"OVERSIZE",INDEX(Inputs!$F$5:$F$14,MATCH(N38/Inputs!$B$10,AG38:AP38,1)+1))))</f>
        <v/>
      </c>
      <c r="R38" s="14"/>
      <c r="S38" s="14" t="str">
        <f t="shared" si="41"/>
        <v/>
      </c>
      <c r="T38" s="44" t="str">
        <f t="shared" si="42"/>
        <v/>
      </c>
      <c r="U38" s="44" t="str">
        <f>IF(T38="","",(1/Inputs!$B$9)*(PI()*T38^2/4)*((T38/4)^(2/3))*SQRT(P38))</f>
        <v/>
      </c>
      <c r="V38" s="44" t="str">
        <f>IF(OR(U38="",N38=""),"",N38/(U38*Inputs!$B$10))</f>
        <v/>
      </c>
      <c r="W38" s="44" t="str">
        <f t="shared" si="43"/>
        <v/>
      </c>
      <c r="X38" s="44"/>
      <c r="Y38" s="44" t="str">
        <f>IF(A38="","",IF(A38=Inputs!$B$6,Inputs!$B$22,IF(D38="","",IFERROR(INDEX($Z$4:$Z$201,MATCH(D38,$A$4:$A$201,0))+IF(X38="",Inputs!$B$20,X38),""))))</f>
        <v/>
      </c>
      <c r="Z38" s="44" t="str">
        <f t="shared" si="44"/>
        <v/>
      </c>
      <c r="AA38" s="44" t="str">
        <f>IF(C38="","",IFERROR(INDEX(Noeuds_plan!$C$4:$C$200,MATCH(C38,Noeuds_plan!$A$4:$A$200,0)),""))</f>
        <v/>
      </c>
      <c r="AB38" s="44" t="str">
        <f>IF(B38="","",IFERROR(INDEX(Noeuds_plan!$C$4:$C$200,MATCH(B38,Noeuds_plan!$A$4:$A$200,0)),""))</f>
        <v/>
      </c>
      <c r="AC38" s="44" t="str">
        <f t="shared" si="45"/>
        <v/>
      </c>
      <c r="AD38" s="44" t="str">
        <f t="shared" si="46"/>
        <v/>
      </c>
      <c r="AE38" s="14" t="str">
        <f>IF(A38="","",IF(OR(V38&gt;1,AND(AY38&lt;&gt;"",AY38&lt;Inputs!$B$11),AND(AY38&lt;&gt;"",AY38&gt;Inputs!$B$12),AC38&lt;Inputs!$B$19,AD38&lt;Inputs!$B$19,P38&lt;Inputs!$B$7,P38&gt;Inputs!$B$8),"CHECK","OK"))</f>
        <v/>
      </c>
      <c r="AF38" s="14"/>
      <c r="AG38" s="14" t="str">
        <f>IF(A38="","",(1/Inputs!$B$9)*(PI()*(Inputs!$F$5/1000)^2/4)*((Inputs!$F$5/1000/4)^(2/3))*SQRT(P38))</f>
        <v/>
      </c>
      <c r="AH38" s="14" t="str">
        <f>IF(A38="","",(1/Inputs!$B$9)*(PI()*(Inputs!$F$6/1000)^2/4)*((Inputs!$F$6/1000/4)^(2/3))*SQRT(P38))</f>
        <v/>
      </c>
      <c r="AI38" s="14" t="str">
        <f>IF(A38="","",(1/Inputs!$B$9)*(PI()*(Inputs!$F$7/1000)^2/4)*((Inputs!$F$7/1000/4)^(2/3))*SQRT(P38))</f>
        <v/>
      </c>
      <c r="AJ38" s="14" t="str">
        <f>IF(A38="","",(1/Inputs!$B$9)*(PI()*(Inputs!$F$8/1000)^2/4)*((Inputs!$F$8/1000/4)^(2/3))*SQRT(P38))</f>
        <v/>
      </c>
      <c r="AK38" s="14" t="str">
        <f>IF(A38="","",(1/Inputs!$B$9)*(PI()*(Inputs!$F$9/1000)^2/4)*((Inputs!$F$9/1000/4)^(2/3))*SQRT(P38))</f>
        <v/>
      </c>
      <c r="AL38" s="14" t="str">
        <f>IF(A38="","",(1/Inputs!$B$9)*(PI()*(Inputs!$F$10/1000)^2/4)*((Inputs!$F$10/1000/4)^(2/3))*SQRT(P38))</f>
        <v/>
      </c>
      <c r="AM38" s="14" t="str">
        <f>IF(A38="","",(1/Inputs!$B$9)*(PI()*(Inputs!$F$11/1000)^2/4)*((Inputs!$F$11/1000/4)^(2/3))*SQRT(P38))</f>
        <v/>
      </c>
      <c r="AN38" s="14" t="str">
        <f>IF(A38="","",(1/Inputs!$B$9)*(PI()*(Inputs!$F$12/1000)^2/4)*((Inputs!$F$12/1000/4)^(2/3))*SQRT(P38))</f>
        <v/>
      </c>
      <c r="AO38" s="14" t="str">
        <f>IF(A38="","",(1/Inputs!$B$9)*(PI()*(Inputs!$F$13/1000)^2/4)*((Inputs!$F$13/1000/4)^(2/3))*SQRT(P38))</f>
        <v/>
      </c>
      <c r="AP38" s="14" t="str">
        <f>IF(A38="","",(1/Inputs!$B$9)*(PI()*(Inputs!$F$14/1000)^2/4)*((Inputs!$F$14/1000/4)^(2/3))*SQRT(P38))</f>
        <v/>
      </c>
      <c r="AQ38" s="14" t="str">
        <f t="shared" si="47"/>
        <v/>
      </c>
      <c r="AR38" s="14" t="str">
        <f t="shared" si="48"/>
        <v/>
      </c>
      <c r="AS38" s="17" t="str">
        <f>IF(A38="","",IF(J38="",Inputs!$B$18,J38))</f>
        <v/>
      </c>
      <c r="AT38" s="17" t="str">
        <f>IF(A38="","",IFERROR(_xludf.maxifs($AV$4:$AV$201,$D$4:$D$201,$A38),""))</f>
        <v/>
      </c>
      <c r="AU38" s="17" t="str">
        <f>IF(A38="","",IF(OR(E38="",Inputs!$B$23=""),"",E38/(Inputs!$B$23*60)))</f>
        <v/>
      </c>
      <c r="AV38" s="17" t="str">
        <f t="shared" si="49"/>
        <v/>
      </c>
      <c r="AW38" s="17" t="str">
        <f t="shared" si="50"/>
        <v/>
      </c>
      <c r="AX38" s="17" t="str">
        <f>IF(OR(T38="",P38=""),"",(1/Inputs!$B$9)*((T38/4)^(2/3))*SQRT(P38))</f>
        <v/>
      </c>
      <c r="AY38" s="17" t="str">
        <f>IF(A38="","",IF(AND(AW38="",AX38="",BA38=""),"",IF(OR(UPPER(TRIM(Inputs!$B$24))="MANNING",UPPER(TRIM(Inputs!$B$24))="M"),AX38,IF(OR(UPPER(TRIM(Inputs!$B$24))="PARTIAL",UPPER(TRIM(Inputs!$B$24))="P"),BA38,IF(OR(UPPER(TRIM(Inputs!$B$24))="MAX",UPPER(TRIM(Inputs!$B$24))="X"),MAX(IF(AW38="",0,AW38),IF(AX38="",0,AX38),IF(BA38="",0,BA38)),AW38)))))</f>
        <v/>
      </c>
      <c r="AZ38" s="17" t="str">
        <f t="shared" si="51"/>
        <v/>
      </c>
      <c r="BA38" s="17" t="str">
        <f t="shared" si="52"/>
        <v/>
      </c>
      <c r="BB38" s="14" t="str">
        <f t="shared" si="53"/>
        <v/>
      </c>
      <c r="BC38" s="14" t="str">
        <f>IF(OR(N38="",T38="",P38=""),"",IF(OR(T38="",P38="",(0.94*T38)="",T38&lt;=0,(0.94*T38)&lt;=0),"",(1/Inputs!$B$9)*((T38^2/8)*((2*ACOS(1-2*(0.94*T38)/T38))-SIN((2*ACOS(1-2*(0.94*T38)/T38)))))*((((T38^2/8)*((2*ACOS(1-2*(0.94*T38)/T38))-SIN((2*ACOS(1-2*(0.94*T38)/T38)))))/((T38/2)*((2*ACOS(1-2*(0.94*T38)/T38)))))^(2/3))*SQRT(P38)))</f>
        <v/>
      </c>
      <c r="BD38" s="14" t="str">
        <f t="shared" si="54"/>
        <v/>
      </c>
      <c r="BE38" s="14" t="str">
        <f t="shared" si="55"/>
        <v/>
      </c>
      <c r="BF38" s="14" t="str">
        <f t="shared" si="56"/>
        <v/>
      </c>
      <c r="BG38" s="14" t="str">
        <f>IF(OR(T38="",P38="",BF38="",T38&lt;=0,BF38&lt;=0),"",(1/Inputs!$B$9)*((T38^2/8)*((2*ACOS(1-2*BF38/T38))-SIN((2*ACOS(1-2*BF38/T38)))))*((((T38^2/8)*((2*ACOS(1-2*BF38/T38))-SIN((2*ACOS(1-2*BF38/T38)))))/((T38/2)*((2*ACOS(1-2*BF38/T38)))))^(2/3))*SQRT(P38))</f>
        <v/>
      </c>
      <c r="BH38" s="14" t="str">
        <f t="shared" si="57"/>
        <v/>
      </c>
      <c r="BI38" s="14" t="str">
        <f t="shared" si="58"/>
        <v/>
      </c>
      <c r="BJ38" s="14" t="str">
        <f t="shared" si="59"/>
        <v/>
      </c>
      <c r="BK38" s="14" t="str">
        <f>IF(OR(T38="",P38="",BJ38="",T38&lt;=0,BJ38&lt;=0),"",(1/Inputs!$B$9)*((T38^2/8)*((2*ACOS(1-2*BJ38/T38))-SIN((2*ACOS(1-2*BJ38/T38)))))*((((T38^2/8)*((2*ACOS(1-2*BJ38/T38))-SIN((2*ACOS(1-2*BJ38/T38)))))/((T38/2)*((2*ACOS(1-2*BJ38/T38)))))^(2/3))*SQRT(P38))</f>
        <v/>
      </c>
      <c r="BL38" s="14" t="str">
        <f t="shared" si="60"/>
        <v/>
      </c>
      <c r="BM38" s="14" t="str">
        <f t="shared" si="61"/>
        <v/>
      </c>
      <c r="BN38" s="14" t="str">
        <f t="shared" si="62"/>
        <v/>
      </c>
      <c r="BO38" s="14" t="str">
        <f>IF(OR(T38="",P38="",BN38="",T38&lt;=0,BN38&lt;=0),"",(1/Inputs!$B$9)*((T38^2/8)*((2*ACOS(1-2*BN38/T38))-SIN((2*ACOS(1-2*BN38/T38)))))*((((T38^2/8)*((2*ACOS(1-2*BN38/T38))-SIN((2*ACOS(1-2*BN38/T38)))))/((T38/2)*((2*ACOS(1-2*BN38/T38)))))^(2/3))*SQRT(P38))</f>
        <v/>
      </c>
      <c r="BP38" s="14" t="str">
        <f t="shared" si="63"/>
        <v/>
      </c>
      <c r="BQ38" s="14" t="str">
        <f t="shared" si="64"/>
        <v/>
      </c>
      <c r="BR38" s="14" t="str">
        <f t="shared" si="65"/>
        <v/>
      </c>
      <c r="BS38" s="14" t="str">
        <f>IF(OR(T38="",P38="",BR38="",T38&lt;=0,BR38&lt;=0),"",(1/Inputs!$B$9)*((T38^2/8)*((2*ACOS(1-2*BR38/T38))-SIN((2*ACOS(1-2*BR38/T38)))))*((((T38^2/8)*((2*ACOS(1-2*BR38/T38))-SIN((2*ACOS(1-2*BR38/T38)))))/((T38/2)*((2*ACOS(1-2*BR38/T38)))))^(2/3))*SQRT(P38))</f>
        <v/>
      </c>
      <c r="BT38" s="14" t="str">
        <f t="shared" si="66"/>
        <v/>
      </c>
      <c r="BU38" s="14" t="str">
        <f t="shared" si="67"/>
        <v/>
      </c>
      <c r="BV38" s="14" t="str">
        <f t="shared" si="68"/>
        <v/>
      </c>
      <c r="BW38" s="14" t="str">
        <f>IF(OR(T38="",P38="",BV38="",T38&lt;=0,BV38&lt;=0),"",(1/Inputs!$B$9)*((T38^2/8)*((2*ACOS(1-2*BV38/T38))-SIN((2*ACOS(1-2*BV38/T38)))))*((((T38^2/8)*((2*ACOS(1-2*BV38/T38))-SIN((2*ACOS(1-2*BV38/T38)))))/((T38/2)*((2*ACOS(1-2*BV38/T38)))))^(2/3))*SQRT(P38))</f>
        <v/>
      </c>
      <c r="BX38" s="14" t="str">
        <f t="shared" si="69"/>
        <v/>
      </c>
      <c r="BY38" s="14" t="str">
        <f t="shared" si="70"/>
        <v/>
      </c>
      <c r="BZ38" s="14" t="str">
        <f t="shared" si="71"/>
        <v/>
      </c>
      <c r="CA38" s="14" t="str">
        <f>IF(OR(T38="",P38="",BZ38="",T38&lt;=0,BZ38&lt;=0),"",(1/Inputs!$B$9)*((T38^2/8)*((2*ACOS(1-2*BZ38/T38))-SIN((2*ACOS(1-2*BZ38/T38)))))*((((T38^2/8)*((2*ACOS(1-2*BZ38/T38))-SIN((2*ACOS(1-2*BZ38/T38)))))/((T38/2)*((2*ACOS(1-2*BZ38/T38)))))^(2/3))*SQRT(P38))</f>
        <v/>
      </c>
      <c r="CB38" s="14" t="str">
        <f t="shared" si="72"/>
        <v/>
      </c>
      <c r="CC38" s="14" t="str">
        <f t="shared" si="73"/>
        <v/>
      </c>
      <c r="CD38" s="14" t="str">
        <f t="shared" si="74"/>
        <v/>
      </c>
      <c r="CE38" s="14" t="str">
        <f>IF(OR(T38="",P38="",CD38="",T38&lt;=0,CD38&lt;=0),"",(1/Inputs!$B$9)*((T38^2/8)*((2*ACOS(1-2*CD38/T38))-SIN((2*ACOS(1-2*CD38/T38)))))*((((T38^2/8)*((2*ACOS(1-2*CD38/T38))-SIN((2*ACOS(1-2*CD38/T38)))))/((T38/2)*((2*ACOS(1-2*CD38/T38)))))^(2/3))*SQRT(P38))</f>
        <v/>
      </c>
      <c r="CF38" s="14" t="str">
        <f t="shared" si="75"/>
        <v/>
      </c>
      <c r="CG38" s="14" t="str">
        <f t="shared" si="76"/>
        <v/>
      </c>
      <c r="CH38" s="14" t="str">
        <f t="shared" si="77"/>
        <v/>
      </c>
    </row>
    <row r="39" spans="1:86" x14ac:dyDescent="0.25">
      <c r="A39" s="14"/>
      <c r="B39" s="14"/>
      <c r="C39" s="14"/>
      <c r="D39" s="14"/>
      <c r="E39" s="44"/>
      <c r="F39" s="44"/>
      <c r="G39" s="44">
        <f>SUMIFS(CB_plan!$G:$G,CB_plan!$F:$F,$A39)</f>
        <v>0</v>
      </c>
      <c r="H39" s="44">
        <f t="shared" si="39"/>
        <v>0</v>
      </c>
      <c r="I39" s="14"/>
      <c r="J39" s="44"/>
      <c r="K39" s="44" t="str">
        <f>IF(A39="","",Inputs!$B$13/((IF(AV39="",Inputs!$B$18,AV39)+Inputs!$B$14)^Inputs!$B$15))</f>
        <v/>
      </c>
      <c r="L39" s="44" t="str">
        <f>IF(A39="","",IF(H39="","",0.000000278*IF(I39&lt;&gt;"",I39,IFERROR(SUMIFS(CB_plan!$H:$H,CB_plan!$F:$F,$A39)/SUMIFS(CB_plan!$G:$G,CB_plan!$F:$F,$A39),Inputs!$B$17))*H39*K39))</f>
        <v/>
      </c>
      <c r="M39" s="44" t="str">
        <f t="shared" si="40"/>
        <v/>
      </c>
      <c r="N39" s="44" t="str">
        <f>IF(A39="","",(L39+M39)*Inputs!$B$16)</f>
        <v/>
      </c>
      <c r="O39" s="44"/>
      <c r="P39" s="44" t="str">
        <f>IF(A39="","",IF(O39="",Inputs!$B$7,O39))</f>
        <v/>
      </c>
      <c r="Q39" s="14" t="str">
        <f>IF(A39="","",IF(N39/Inputs!$B$10&lt;=AG39,Inputs!$F$5,IF(N39/Inputs!$B$10&gt;AP39,"OVERSIZE",INDEX(Inputs!$F$5:$F$14,MATCH(N39/Inputs!$B$10,AG39:AP39,1)+1))))</f>
        <v/>
      </c>
      <c r="R39" s="14"/>
      <c r="S39" s="14" t="str">
        <f t="shared" si="41"/>
        <v/>
      </c>
      <c r="T39" s="44" t="str">
        <f t="shared" si="42"/>
        <v/>
      </c>
      <c r="U39" s="44" t="str">
        <f>IF(T39="","",(1/Inputs!$B$9)*(PI()*T39^2/4)*((T39/4)^(2/3))*SQRT(P39))</f>
        <v/>
      </c>
      <c r="V39" s="44" t="str">
        <f>IF(OR(U39="",N39=""),"",N39/(U39*Inputs!$B$10))</f>
        <v/>
      </c>
      <c r="W39" s="44" t="str">
        <f t="shared" si="43"/>
        <v/>
      </c>
      <c r="X39" s="44"/>
      <c r="Y39" s="44" t="str">
        <f>IF(A39="","",IF(A39=Inputs!$B$6,Inputs!$B$22,IF(D39="","",IFERROR(INDEX($Z$4:$Z$201,MATCH(D39,$A$4:$A$201,0))+IF(X39="",Inputs!$B$20,X39),""))))</f>
        <v/>
      </c>
      <c r="Z39" s="44" t="str">
        <f t="shared" si="44"/>
        <v/>
      </c>
      <c r="AA39" s="44" t="str">
        <f>IF(C39="","",IFERROR(INDEX(Noeuds_plan!$C$4:$C$200,MATCH(C39,Noeuds_plan!$A$4:$A$200,0)),""))</f>
        <v/>
      </c>
      <c r="AB39" s="44" t="str">
        <f>IF(B39="","",IFERROR(INDEX(Noeuds_plan!$C$4:$C$200,MATCH(B39,Noeuds_plan!$A$4:$A$200,0)),""))</f>
        <v/>
      </c>
      <c r="AC39" s="44" t="str">
        <f t="shared" si="45"/>
        <v/>
      </c>
      <c r="AD39" s="44" t="str">
        <f t="shared" si="46"/>
        <v/>
      </c>
      <c r="AE39" s="14" t="str">
        <f>IF(A39="","",IF(OR(V39&gt;1,AND(AY39&lt;&gt;"",AY39&lt;Inputs!$B$11),AND(AY39&lt;&gt;"",AY39&gt;Inputs!$B$12),AC39&lt;Inputs!$B$19,AD39&lt;Inputs!$B$19,P39&lt;Inputs!$B$7,P39&gt;Inputs!$B$8),"CHECK","OK"))</f>
        <v/>
      </c>
      <c r="AF39" s="14"/>
      <c r="AG39" s="14" t="str">
        <f>IF(A39="","",(1/Inputs!$B$9)*(PI()*(Inputs!$F$5/1000)^2/4)*((Inputs!$F$5/1000/4)^(2/3))*SQRT(P39))</f>
        <v/>
      </c>
      <c r="AH39" s="14" t="str">
        <f>IF(A39="","",(1/Inputs!$B$9)*(PI()*(Inputs!$F$6/1000)^2/4)*((Inputs!$F$6/1000/4)^(2/3))*SQRT(P39))</f>
        <v/>
      </c>
      <c r="AI39" s="14" t="str">
        <f>IF(A39="","",(1/Inputs!$B$9)*(PI()*(Inputs!$F$7/1000)^2/4)*((Inputs!$F$7/1000/4)^(2/3))*SQRT(P39))</f>
        <v/>
      </c>
      <c r="AJ39" s="14" t="str">
        <f>IF(A39="","",(1/Inputs!$B$9)*(PI()*(Inputs!$F$8/1000)^2/4)*((Inputs!$F$8/1000/4)^(2/3))*SQRT(P39))</f>
        <v/>
      </c>
      <c r="AK39" s="14" t="str">
        <f>IF(A39="","",(1/Inputs!$B$9)*(PI()*(Inputs!$F$9/1000)^2/4)*((Inputs!$F$9/1000/4)^(2/3))*SQRT(P39))</f>
        <v/>
      </c>
      <c r="AL39" s="14" t="str">
        <f>IF(A39="","",(1/Inputs!$B$9)*(PI()*(Inputs!$F$10/1000)^2/4)*((Inputs!$F$10/1000/4)^(2/3))*SQRT(P39))</f>
        <v/>
      </c>
      <c r="AM39" s="14" t="str">
        <f>IF(A39="","",(1/Inputs!$B$9)*(PI()*(Inputs!$F$11/1000)^2/4)*((Inputs!$F$11/1000/4)^(2/3))*SQRT(P39))</f>
        <v/>
      </c>
      <c r="AN39" s="14" t="str">
        <f>IF(A39="","",(1/Inputs!$B$9)*(PI()*(Inputs!$F$12/1000)^2/4)*((Inputs!$F$12/1000/4)^(2/3))*SQRT(P39))</f>
        <v/>
      </c>
      <c r="AO39" s="14" t="str">
        <f>IF(A39="","",(1/Inputs!$B$9)*(PI()*(Inputs!$F$13/1000)^2/4)*((Inputs!$F$13/1000/4)^(2/3))*SQRT(P39))</f>
        <v/>
      </c>
      <c r="AP39" s="14" t="str">
        <f>IF(A39="","",(1/Inputs!$B$9)*(PI()*(Inputs!$F$14/1000)^2/4)*((Inputs!$F$14/1000/4)^(2/3))*SQRT(P39))</f>
        <v/>
      </c>
      <c r="AQ39" s="14" t="str">
        <f t="shared" si="47"/>
        <v/>
      </c>
      <c r="AR39" s="14" t="str">
        <f t="shared" si="48"/>
        <v/>
      </c>
      <c r="AS39" s="17" t="str">
        <f>IF(A39="","",IF(J39="",Inputs!$B$18,J39))</f>
        <v/>
      </c>
      <c r="AT39" s="17" t="str">
        <f>IF(A39="","",IFERROR(_xludf.maxifs($AV$4:$AV$201,$D$4:$D$201,$A39),""))</f>
        <v/>
      </c>
      <c r="AU39" s="17" t="str">
        <f>IF(A39="","",IF(OR(E39="",Inputs!$B$23=""),"",E39/(Inputs!$B$23*60)))</f>
        <v/>
      </c>
      <c r="AV39" s="17" t="str">
        <f t="shared" si="49"/>
        <v/>
      </c>
      <c r="AW39" s="17" t="str">
        <f t="shared" si="50"/>
        <v/>
      </c>
      <c r="AX39" s="17" t="str">
        <f>IF(OR(T39="",P39=""),"",(1/Inputs!$B$9)*((T39/4)^(2/3))*SQRT(P39))</f>
        <v/>
      </c>
      <c r="AY39" s="17" t="str">
        <f>IF(A39="","",IF(AND(AW39="",AX39="",BA39=""),"",IF(OR(UPPER(TRIM(Inputs!$B$24))="MANNING",UPPER(TRIM(Inputs!$B$24))="M"),AX39,IF(OR(UPPER(TRIM(Inputs!$B$24))="PARTIAL",UPPER(TRIM(Inputs!$B$24))="P"),BA39,IF(OR(UPPER(TRIM(Inputs!$B$24))="MAX",UPPER(TRIM(Inputs!$B$24))="X"),MAX(IF(AW39="",0,AW39),IF(AX39="",0,AX39),IF(BA39="",0,BA39)),AW39)))))</f>
        <v/>
      </c>
      <c r="AZ39" s="17" t="str">
        <f t="shared" si="51"/>
        <v/>
      </c>
      <c r="BA39" s="17" t="str">
        <f t="shared" si="52"/>
        <v/>
      </c>
      <c r="BB39" s="14" t="str">
        <f t="shared" si="53"/>
        <v/>
      </c>
      <c r="BC39" s="14" t="str">
        <f>IF(OR(N39="",T39="",P39=""),"",IF(OR(T39="",P39="",(0.94*T39)="",T39&lt;=0,(0.94*T39)&lt;=0),"",(1/Inputs!$B$9)*((T39^2/8)*((2*ACOS(1-2*(0.94*T39)/T39))-SIN((2*ACOS(1-2*(0.94*T39)/T39)))))*((((T39^2/8)*((2*ACOS(1-2*(0.94*T39)/T39))-SIN((2*ACOS(1-2*(0.94*T39)/T39)))))/((T39/2)*((2*ACOS(1-2*(0.94*T39)/T39)))))^(2/3))*SQRT(P39)))</f>
        <v/>
      </c>
      <c r="BD39" s="14" t="str">
        <f t="shared" si="54"/>
        <v/>
      </c>
      <c r="BE39" s="14" t="str">
        <f t="shared" si="55"/>
        <v/>
      </c>
      <c r="BF39" s="14" t="str">
        <f t="shared" si="56"/>
        <v/>
      </c>
      <c r="BG39" s="14" t="str">
        <f>IF(OR(T39="",P39="",BF39="",T39&lt;=0,BF39&lt;=0),"",(1/Inputs!$B$9)*((T39^2/8)*((2*ACOS(1-2*BF39/T39))-SIN((2*ACOS(1-2*BF39/T39)))))*((((T39^2/8)*((2*ACOS(1-2*BF39/T39))-SIN((2*ACOS(1-2*BF39/T39)))))/((T39/2)*((2*ACOS(1-2*BF39/T39)))))^(2/3))*SQRT(P39))</f>
        <v/>
      </c>
      <c r="BH39" s="14" t="str">
        <f t="shared" si="57"/>
        <v/>
      </c>
      <c r="BI39" s="14" t="str">
        <f t="shared" si="58"/>
        <v/>
      </c>
      <c r="BJ39" s="14" t="str">
        <f t="shared" si="59"/>
        <v/>
      </c>
      <c r="BK39" s="14" t="str">
        <f>IF(OR(T39="",P39="",BJ39="",T39&lt;=0,BJ39&lt;=0),"",(1/Inputs!$B$9)*((T39^2/8)*((2*ACOS(1-2*BJ39/T39))-SIN((2*ACOS(1-2*BJ39/T39)))))*((((T39^2/8)*((2*ACOS(1-2*BJ39/T39))-SIN((2*ACOS(1-2*BJ39/T39)))))/((T39/2)*((2*ACOS(1-2*BJ39/T39)))))^(2/3))*SQRT(P39))</f>
        <v/>
      </c>
      <c r="BL39" s="14" t="str">
        <f t="shared" si="60"/>
        <v/>
      </c>
      <c r="BM39" s="14" t="str">
        <f t="shared" si="61"/>
        <v/>
      </c>
      <c r="BN39" s="14" t="str">
        <f t="shared" si="62"/>
        <v/>
      </c>
      <c r="BO39" s="14" t="str">
        <f>IF(OR(T39="",P39="",BN39="",T39&lt;=0,BN39&lt;=0),"",(1/Inputs!$B$9)*((T39^2/8)*((2*ACOS(1-2*BN39/T39))-SIN((2*ACOS(1-2*BN39/T39)))))*((((T39^2/8)*((2*ACOS(1-2*BN39/T39))-SIN((2*ACOS(1-2*BN39/T39)))))/((T39/2)*((2*ACOS(1-2*BN39/T39)))))^(2/3))*SQRT(P39))</f>
        <v/>
      </c>
      <c r="BP39" s="14" t="str">
        <f t="shared" si="63"/>
        <v/>
      </c>
      <c r="BQ39" s="14" t="str">
        <f t="shared" si="64"/>
        <v/>
      </c>
      <c r="BR39" s="14" t="str">
        <f t="shared" si="65"/>
        <v/>
      </c>
      <c r="BS39" s="14" t="str">
        <f>IF(OR(T39="",P39="",BR39="",T39&lt;=0,BR39&lt;=0),"",(1/Inputs!$B$9)*((T39^2/8)*((2*ACOS(1-2*BR39/T39))-SIN((2*ACOS(1-2*BR39/T39)))))*((((T39^2/8)*((2*ACOS(1-2*BR39/T39))-SIN((2*ACOS(1-2*BR39/T39)))))/((T39/2)*((2*ACOS(1-2*BR39/T39)))))^(2/3))*SQRT(P39))</f>
        <v/>
      </c>
      <c r="BT39" s="14" t="str">
        <f t="shared" si="66"/>
        <v/>
      </c>
      <c r="BU39" s="14" t="str">
        <f t="shared" si="67"/>
        <v/>
      </c>
      <c r="BV39" s="14" t="str">
        <f t="shared" si="68"/>
        <v/>
      </c>
      <c r="BW39" s="14" t="str">
        <f>IF(OR(T39="",P39="",BV39="",T39&lt;=0,BV39&lt;=0),"",(1/Inputs!$B$9)*((T39^2/8)*((2*ACOS(1-2*BV39/T39))-SIN((2*ACOS(1-2*BV39/T39)))))*((((T39^2/8)*((2*ACOS(1-2*BV39/T39))-SIN((2*ACOS(1-2*BV39/T39)))))/((T39/2)*((2*ACOS(1-2*BV39/T39)))))^(2/3))*SQRT(P39))</f>
        <v/>
      </c>
      <c r="BX39" s="14" t="str">
        <f t="shared" si="69"/>
        <v/>
      </c>
      <c r="BY39" s="14" t="str">
        <f t="shared" si="70"/>
        <v/>
      </c>
      <c r="BZ39" s="14" t="str">
        <f t="shared" si="71"/>
        <v/>
      </c>
      <c r="CA39" s="14" t="str">
        <f>IF(OR(T39="",P39="",BZ39="",T39&lt;=0,BZ39&lt;=0),"",(1/Inputs!$B$9)*((T39^2/8)*((2*ACOS(1-2*BZ39/T39))-SIN((2*ACOS(1-2*BZ39/T39)))))*((((T39^2/8)*((2*ACOS(1-2*BZ39/T39))-SIN((2*ACOS(1-2*BZ39/T39)))))/((T39/2)*((2*ACOS(1-2*BZ39/T39)))))^(2/3))*SQRT(P39))</f>
        <v/>
      </c>
      <c r="CB39" s="14" t="str">
        <f t="shared" si="72"/>
        <v/>
      </c>
      <c r="CC39" s="14" t="str">
        <f t="shared" si="73"/>
        <v/>
      </c>
      <c r="CD39" s="14" t="str">
        <f t="shared" si="74"/>
        <v/>
      </c>
      <c r="CE39" s="14" t="str">
        <f>IF(OR(T39="",P39="",CD39="",T39&lt;=0,CD39&lt;=0),"",(1/Inputs!$B$9)*((T39^2/8)*((2*ACOS(1-2*CD39/T39))-SIN((2*ACOS(1-2*CD39/T39)))))*((((T39^2/8)*((2*ACOS(1-2*CD39/T39))-SIN((2*ACOS(1-2*CD39/T39)))))/((T39/2)*((2*ACOS(1-2*CD39/T39)))))^(2/3))*SQRT(P39))</f>
        <v/>
      </c>
      <c r="CF39" s="14" t="str">
        <f t="shared" si="75"/>
        <v/>
      </c>
      <c r="CG39" s="14" t="str">
        <f t="shared" si="76"/>
        <v/>
      </c>
      <c r="CH39" s="14" t="str">
        <f t="shared" si="77"/>
        <v/>
      </c>
    </row>
    <row r="40" spans="1:86" x14ac:dyDescent="0.25">
      <c r="A40" s="14"/>
      <c r="B40" s="14"/>
      <c r="C40" s="14"/>
      <c r="D40" s="14"/>
      <c r="E40" s="44"/>
      <c r="F40" s="44"/>
      <c r="G40" s="44">
        <f>SUMIFS(CB_plan!$G:$G,CB_plan!$F:$F,$A40)</f>
        <v>0</v>
      </c>
      <c r="H40" s="44">
        <f t="shared" si="39"/>
        <v>0</v>
      </c>
      <c r="I40" s="14"/>
      <c r="J40" s="44"/>
      <c r="K40" s="44" t="str">
        <f>IF(A40="","",Inputs!$B$13/((IF(AV40="",Inputs!$B$18,AV40)+Inputs!$B$14)^Inputs!$B$15))</f>
        <v/>
      </c>
      <c r="L40" s="44" t="str">
        <f>IF(A40="","",IF(H40="","",0.000000278*IF(I40&lt;&gt;"",I40,IFERROR(SUMIFS(CB_plan!$H:$H,CB_plan!$F:$F,$A40)/SUMIFS(CB_plan!$G:$G,CB_plan!$F:$F,$A40),Inputs!$B$17))*H40*K40))</f>
        <v/>
      </c>
      <c r="M40" s="44" t="str">
        <f t="shared" si="40"/>
        <v/>
      </c>
      <c r="N40" s="44" t="str">
        <f>IF(A40="","",(L40+M40)*Inputs!$B$16)</f>
        <v/>
      </c>
      <c r="O40" s="44"/>
      <c r="P40" s="44" t="str">
        <f>IF(A40="","",IF(O40="",Inputs!$B$7,O40))</f>
        <v/>
      </c>
      <c r="Q40" s="14" t="str">
        <f>IF(A40="","",IF(N40/Inputs!$B$10&lt;=AG40,Inputs!$F$5,IF(N40/Inputs!$B$10&gt;AP40,"OVERSIZE",INDEX(Inputs!$F$5:$F$14,MATCH(N40/Inputs!$B$10,AG40:AP40,1)+1))))</f>
        <v/>
      </c>
      <c r="R40" s="14"/>
      <c r="S40" s="14" t="str">
        <f t="shared" si="41"/>
        <v/>
      </c>
      <c r="T40" s="44" t="str">
        <f t="shared" si="42"/>
        <v/>
      </c>
      <c r="U40" s="44" t="str">
        <f>IF(T40="","",(1/Inputs!$B$9)*(PI()*T40^2/4)*((T40/4)^(2/3))*SQRT(P40))</f>
        <v/>
      </c>
      <c r="V40" s="44" t="str">
        <f>IF(OR(U40="",N40=""),"",N40/(U40*Inputs!$B$10))</f>
        <v/>
      </c>
      <c r="W40" s="44" t="str">
        <f t="shared" si="43"/>
        <v/>
      </c>
      <c r="X40" s="44"/>
      <c r="Y40" s="44" t="str">
        <f>IF(A40="","",IF(A40=Inputs!$B$6,Inputs!$B$22,IF(D40="","",IFERROR(INDEX($Z$4:$Z$201,MATCH(D40,$A$4:$A$201,0))+IF(X40="",Inputs!$B$20,X40),""))))</f>
        <v/>
      </c>
      <c r="Z40" s="44" t="str">
        <f t="shared" si="44"/>
        <v/>
      </c>
      <c r="AA40" s="44" t="str">
        <f>IF(C40="","",IFERROR(INDEX(Noeuds_plan!$C$4:$C$200,MATCH(C40,Noeuds_plan!$A$4:$A$200,0)),""))</f>
        <v/>
      </c>
      <c r="AB40" s="44" t="str">
        <f>IF(B40="","",IFERROR(INDEX(Noeuds_plan!$C$4:$C$200,MATCH(B40,Noeuds_plan!$A$4:$A$200,0)),""))</f>
        <v/>
      </c>
      <c r="AC40" s="44" t="str">
        <f t="shared" si="45"/>
        <v/>
      </c>
      <c r="AD40" s="44" t="str">
        <f t="shared" si="46"/>
        <v/>
      </c>
      <c r="AE40" s="14" t="str">
        <f>IF(A40="","",IF(OR(V40&gt;1,AND(AY40&lt;&gt;"",AY40&lt;Inputs!$B$11),AND(AY40&lt;&gt;"",AY40&gt;Inputs!$B$12),AC40&lt;Inputs!$B$19,AD40&lt;Inputs!$B$19,P40&lt;Inputs!$B$7,P40&gt;Inputs!$B$8),"CHECK","OK"))</f>
        <v/>
      </c>
      <c r="AF40" s="14"/>
      <c r="AG40" s="14" t="str">
        <f>IF(A40="","",(1/Inputs!$B$9)*(PI()*(Inputs!$F$5/1000)^2/4)*((Inputs!$F$5/1000/4)^(2/3))*SQRT(P40))</f>
        <v/>
      </c>
      <c r="AH40" s="14" t="str">
        <f>IF(A40="","",(1/Inputs!$B$9)*(PI()*(Inputs!$F$6/1000)^2/4)*((Inputs!$F$6/1000/4)^(2/3))*SQRT(P40))</f>
        <v/>
      </c>
      <c r="AI40" s="14" t="str">
        <f>IF(A40="","",(1/Inputs!$B$9)*(PI()*(Inputs!$F$7/1000)^2/4)*((Inputs!$F$7/1000/4)^(2/3))*SQRT(P40))</f>
        <v/>
      </c>
      <c r="AJ40" s="14" t="str">
        <f>IF(A40="","",(1/Inputs!$B$9)*(PI()*(Inputs!$F$8/1000)^2/4)*((Inputs!$F$8/1000/4)^(2/3))*SQRT(P40))</f>
        <v/>
      </c>
      <c r="AK40" s="14" t="str">
        <f>IF(A40="","",(1/Inputs!$B$9)*(PI()*(Inputs!$F$9/1000)^2/4)*((Inputs!$F$9/1000/4)^(2/3))*SQRT(P40))</f>
        <v/>
      </c>
      <c r="AL40" s="14" t="str">
        <f>IF(A40="","",(1/Inputs!$B$9)*(PI()*(Inputs!$F$10/1000)^2/4)*((Inputs!$F$10/1000/4)^(2/3))*SQRT(P40))</f>
        <v/>
      </c>
      <c r="AM40" s="14" t="str">
        <f>IF(A40="","",(1/Inputs!$B$9)*(PI()*(Inputs!$F$11/1000)^2/4)*((Inputs!$F$11/1000/4)^(2/3))*SQRT(P40))</f>
        <v/>
      </c>
      <c r="AN40" s="14" t="str">
        <f>IF(A40="","",(1/Inputs!$B$9)*(PI()*(Inputs!$F$12/1000)^2/4)*((Inputs!$F$12/1000/4)^(2/3))*SQRT(P40))</f>
        <v/>
      </c>
      <c r="AO40" s="14" t="str">
        <f>IF(A40="","",(1/Inputs!$B$9)*(PI()*(Inputs!$F$13/1000)^2/4)*((Inputs!$F$13/1000/4)^(2/3))*SQRT(P40))</f>
        <v/>
      </c>
      <c r="AP40" s="14" t="str">
        <f>IF(A40="","",(1/Inputs!$B$9)*(PI()*(Inputs!$F$14/1000)^2/4)*((Inputs!$F$14/1000/4)^(2/3))*SQRT(P40))</f>
        <v/>
      </c>
      <c r="AQ40" s="14" t="str">
        <f t="shared" si="47"/>
        <v/>
      </c>
      <c r="AR40" s="14" t="str">
        <f t="shared" si="48"/>
        <v/>
      </c>
      <c r="AS40" s="17" t="str">
        <f>IF(A40="","",IF(J40="",Inputs!$B$18,J40))</f>
        <v/>
      </c>
      <c r="AT40" s="17" t="str">
        <f>IF(A40="","",IFERROR(_xludf.maxifs($AV$4:$AV$201,$D$4:$D$201,$A40),""))</f>
        <v/>
      </c>
      <c r="AU40" s="17" t="str">
        <f>IF(A40="","",IF(OR(E40="",Inputs!$B$23=""),"",E40/(Inputs!$B$23*60)))</f>
        <v/>
      </c>
      <c r="AV40" s="17" t="str">
        <f t="shared" si="49"/>
        <v/>
      </c>
      <c r="AW40" s="17" t="str">
        <f t="shared" si="50"/>
        <v/>
      </c>
      <c r="AX40" s="17" t="str">
        <f>IF(OR(T40="",P40=""),"",(1/Inputs!$B$9)*((T40/4)^(2/3))*SQRT(P40))</f>
        <v/>
      </c>
      <c r="AY40" s="17" t="str">
        <f>IF(A40="","",IF(AND(AW40="",AX40="",BA40=""),"",IF(OR(UPPER(TRIM(Inputs!$B$24))="MANNING",UPPER(TRIM(Inputs!$B$24))="M"),AX40,IF(OR(UPPER(TRIM(Inputs!$B$24))="PARTIAL",UPPER(TRIM(Inputs!$B$24))="P"),BA40,IF(OR(UPPER(TRIM(Inputs!$B$24))="MAX",UPPER(TRIM(Inputs!$B$24))="X"),MAX(IF(AW40="",0,AW40),IF(AX40="",0,AX40),IF(BA40="",0,BA40)),AW40)))))</f>
        <v/>
      </c>
      <c r="AZ40" s="17" t="str">
        <f t="shared" si="51"/>
        <v/>
      </c>
      <c r="BA40" s="17" t="str">
        <f t="shared" si="52"/>
        <v/>
      </c>
      <c r="BB40" s="14" t="str">
        <f t="shared" si="53"/>
        <v/>
      </c>
      <c r="BC40" s="14" t="str">
        <f>IF(OR(N40="",T40="",P40=""),"",IF(OR(T40="",P40="",(0.94*T40)="",T40&lt;=0,(0.94*T40)&lt;=0),"",(1/Inputs!$B$9)*((T40^2/8)*((2*ACOS(1-2*(0.94*T40)/T40))-SIN((2*ACOS(1-2*(0.94*T40)/T40)))))*((((T40^2/8)*((2*ACOS(1-2*(0.94*T40)/T40))-SIN((2*ACOS(1-2*(0.94*T40)/T40)))))/((T40/2)*((2*ACOS(1-2*(0.94*T40)/T40)))))^(2/3))*SQRT(P40)))</f>
        <v/>
      </c>
      <c r="BD40" s="14" t="str">
        <f t="shared" si="54"/>
        <v/>
      </c>
      <c r="BE40" s="14" t="str">
        <f t="shared" si="55"/>
        <v/>
      </c>
      <c r="BF40" s="14" t="str">
        <f t="shared" si="56"/>
        <v/>
      </c>
      <c r="BG40" s="14" t="str">
        <f>IF(OR(T40="",P40="",BF40="",T40&lt;=0,BF40&lt;=0),"",(1/Inputs!$B$9)*((T40^2/8)*((2*ACOS(1-2*BF40/T40))-SIN((2*ACOS(1-2*BF40/T40)))))*((((T40^2/8)*((2*ACOS(1-2*BF40/T40))-SIN((2*ACOS(1-2*BF40/T40)))))/((T40/2)*((2*ACOS(1-2*BF40/T40)))))^(2/3))*SQRT(P40))</f>
        <v/>
      </c>
      <c r="BH40" s="14" t="str">
        <f t="shared" si="57"/>
        <v/>
      </c>
      <c r="BI40" s="14" t="str">
        <f t="shared" si="58"/>
        <v/>
      </c>
      <c r="BJ40" s="14" t="str">
        <f t="shared" si="59"/>
        <v/>
      </c>
      <c r="BK40" s="14" t="str">
        <f>IF(OR(T40="",P40="",BJ40="",T40&lt;=0,BJ40&lt;=0),"",(1/Inputs!$B$9)*((T40^2/8)*((2*ACOS(1-2*BJ40/T40))-SIN((2*ACOS(1-2*BJ40/T40)))))*((((T40^2/8)*((2*ACOS(1-2*BJ40/T40))-SIN((2*ACOS(1-2*BJ40/T40)))))/((T40/2)*((2*ACOS(1-2*BJ40/T40)))))^(2/3))*SQRT(P40))</f>
        <v/>
      </c>
      <c r="BL40" s="14" t="str">
        <f t="shared" si="60"/>
        <v/>
      </c>
      <c r="BM40" s="14" t="str">
        <f t="shared" si="61"/>
        <v/>
      </c>
      <c r="BN40" s="14" t="str">
        <f t="shared" si="62"/>
        <v/>
      </c>
      <c r="BO40" s="14" t="str">
        <f>IF(OR(T40="",P40="",BN40="",T40&lt;=0,BN40&lt;=0),"",(1/Inputs!$B$9)*((T40^2/8)*((2*ACOS(1-2*BN40/T40))-SIN((2*ACOS(1-2*BN40/T40)))))*((((T40^2/8)*((2*ACOS(1-2*BN40/T40))-SIN((2*ACOS(1-2*BN40/T40)))))/((T40/2)*((2*ACOS(1-2*BN40/T40)))))^(2/3))*SQRT(P40))</f>
        <v/>
      </c>
      <c r="BP40" s="14" t="str">
        <f t="shared" si="63"/>
        <v/>
      </c>
      <c r="BQ40" s="14" t="str">
        <f t="shared" si="64"/>
        <v/>
      </c>
      <c r="BR40" s="14" t="str">
        <f t="shared" si="65"/>
        <v/>
      </c>
      <c r="BS40" s="14" t="str">
        <f>IF(OR(T40="",P40="",BR40="",T40&lt;=0,BR40&lt;=0),"",(1/Inputs!$B$9)*((T40^2/8)*((2*ACOS(1-2*BR40/T40))-SIN((2*ACOS(1-2*BR40/T40)))))*((((T40^2/8)*((2*ACOS(1-2*BR40/T40))-SIN((2*ACOS(1-2*BR40/T40)))))/((T40/2)*((2*ACOS(1-2*BR40/T40)))))^(2/3))*SQRT(P40))</f>
        <v/>
      </c>
      <c r="BT40" s="14" t="str">
        <f t="shared" si="66"/>
        <v/>
      </c>
      <c r="BU40" s="14" t="str">
        <f t="shared" si="67"/>
        <v/>
      </c>
      <c r="BV40" s="14" t="str">
        <f t="shared" si="68"/>
        <v/>
      </c>
      <c r="BW40" s="14" t="str">
        <f>IF(OR(T40="",P40="",BV40="",T40&lt;=0,BV40&lt;=0),"",(1/Inputs!$B$9)*((T40^2/8)*((2*ACOS(1-2*BV40/T40))-SIN((2*ACOS(1-2*BV40/T40)))))*((((T40^2/8)*((2*ACOS(1-2*BV40/T40))-SIN((2*ACOS(1-2*BV40/T40)))))/((T40/2)*((2*ACOS(1-2*BV40/T40)))))^(2/3))*SQRT(P40))</f>
        <v/>
      </c>
      <c r="BX40" s="14" t="str">
        <f t="shared" si="69"/>
        <v/>
      </c>
      <c r="BY40" s="14" t="str">
        <f t="shared" si="70"/>
        <v/>
      </c>
      <c r="BZ40" s="14" t="str">
        <f t="shared" si="71"/>
        <v/>
      </c>
      <c r="CA40" s="14" t="str">
        <f>IF(OR(T40="",P40="",BZ40="",T40&lt;=0,BZ40&lt;=0),"",(1/Inputs!$B$9)*((T40^2/8)*((2*ACOS(1-2*BZ40/T40))-SIN((2*ACOS(1-2*BZ40/T40)))))*((((T40^2/8)*((2*ACOS(1-2*BZ40/T40))-SIN((2*ACOS(1-2*BZ40/T40)))))/((T40/2)*((2*ACOS(1-2*BZ40/T40)))))^(2/3))*SQRT(P40))</f>
        <v/>
      </c>
      <c r="CB40" s="14" t="str">
        <f t="shared" si="72"/>
        <v/>
      </c>
      <c r="CC40" s="14" t="str">
        <f t="shared" si="73"/>
        <v/>
      </c>
      <c r="CD40" s="14" t="str">
        <f t="shared" si="74"/>
        <v/>
      </c>
      <c r="CE40" s="14" t="str">
        <f>IF(OR(T40="",P40="",CD40="",T40&lt;=0,CD40&lt;=0),"",(1/Inputs!$B$9)*((T40^2/8)*((2*ACOS(1-2*CD40/T40))-SIN((2*ACOS(1-2*CD40/T40)))))*((((T40^2/8)*((2*ACOS(1-2*CD40/T40))-SIN((2*ACOS(1-2*CD40/T40)))))/((T40/2)*((2*ACOS(1-2*CD40/T40)))))^(2/3))*SQRT(P40))</f>
        <v/>
      </c>
      <c r="CF40" s="14" t="str">
        <f t="shared" si="75"/>
        <v/>
      </c>
      <c r="CG40" s="14" t="str">
        <f t="shared" si="76"/>
        <v/>
      </c>
      <c r="CH40" s="14" t="str">
        <f t="shared" si="77"/>
        <v/>
      </c>
    </row>
    <row r="41" spans="1:86" x14ac:dyDescent="0.25">
      <c r="A41" s="14"/>
      <c r="B41" s="14"/>
      <c r="C41" s="14"/>
      <c r="D41" s="14"/>
      <c r="E41" s="44"/>
      <c r="F41" s="44"/>
      <c r="G41" s="44">
        <f>SUMIFS(CB_plan!$G:$G,CB_plan!$F:$F,$A41)</f>
        <v>0</v>
      </c>
      <c r="H41" s="44">
        <f t="shared" si="39"/>
        <v>0</v>
      </c>
      <c r="I41" s="14"/>
      <c r="J41" s="44"/>
      <c r="K41" s="44" t="str">
        <f>IF(A41="","",Inputs!$B$13/((IF(AV41="",Inputs!$B$18,AV41)+Inputs!$B$14)^Inputs!$B$15))</f>
        <v/>
      </c>
      <c r="L41" s="44" t="str">
        <f>IF(A41="","",IF(H41="","",0.000000278*IF(I41&lt;&gt;"",I41,IFERROR(SUMIFS(CB_plan!$H:$H,CB_plan!$F:$F,$A41)/SUMIFS(CB_plan!$G:$G,CB_plan!$F:$F,$A41),Inputs!$B$17))*H41*K41))</f>
        <v/>
      </c>
      <c r="M41" s="44" t="str">
        <f t="shared" si="40"/>
        <v/>
      </c>
      <c r="N41" s="44" t="str">
        <f>IF(A41="","",(L41+M41)*Inputs!$B$16)</f>
        <v/>
      </c>
      <c r="O41" s="44"/>
      <c r="P41" s="44" t="str">
        <f>IF(A41="","",IF(O41="",Inputs!$B$7,O41))</f>
        <v/>
      </c>
      <c r="Q41" s="14" t="str">
        <f>IF(A41="","",IF(N41/Inputs!$B$10&lt;=AG41,Inputs!$F$5,IF(N41/Inputs!$B$10&gt;AP41,"OVERSIZE",INDEX(Inputs!$F$5:$F$14,MATCH(N41/Inputs!$B$10,AG41:AP41,1)+1))))</f>
        <v/>
      </c>
      <c r="R41" s="14"/>
      <c r="S41" s="14" t="str">
        <f t="shared" si="41"/>
        <v/>
      </c>
      <c r="T41" s="44" t="str">
        <f t="shared" si="42"/>
        <v/>
      </c>
      <c r="U41" s="44" t="str">
        <f>IF(T41="","",(1/Inputs!$B$9)*(PI()*T41^2/4)*((T41/4)^(2/3))*SQRT(P41))</f>
        <v/>
      </c>
      <c r="V41" s="44" t="str">
        <f>IF(OR(U41="",N41=""),"",N41/(U41*Inputs!$B$10))</f>
        <v/>
      </c>
      <c r="W41" s="44" t="str">
        <f t="shared" si="43"/>
        <v/>
      </c>
      <c r="X41" s="44"/>
      <c r="Y41" s="44" t="str">
        <f>IF(A41="","",IF(A41=Inputs!$B$6,Inputs!$B$22,IF(D41="","",IFERROR(INDEX($Z$4:$Z$201,MATCH(D41,$A$4:$A$201,0))+IF(X41="",Inputs!$B$20,X41),""))))</f>
        <v/>
      </c>
      <c r="Z41" s="44" t="str">
        <f t="shared" si="44"/>
        <v/>
      </c>
      <c r="AA41" s="44" t="str">
        <f>IF(C41="","",IFERROR(INDEX(Noeuds_plan!$C$4:$C$200,MATCH(C41,Noeuds_plan!$A$4:$A$200,0)),""))</f>
        <v/>
      </c>
      <c r="AB41" s="44" t="str">
        <f>IF(B41="","",IFERROR(INDEX(Noeuds_plan!$C$4:$C$200,MATCH(B41,Noeuds_plan!$A$4:$A$200,0)),""))</f>
        <v/>
      </c>
      <c r="AC41" s="44" t="str">
        <f t="shared" si="45"/>
        <v/>
      </c>
      <c r="AD41" s="44" t="str">
        <f t="shared" si="46"/>
        <v/>
      </c>
      <c r="AE41" s="14" t="str">
        <f>IF(A41="","",IF(OR(V41&gt;1,AND(AY41&lt;&gt;"",AY41&lt;Inputs!$B$11),AND(AY41&lt;&gt;"",AY41&gt;Inputs!$B$12),AC41&lt;Inputs!$B$19,AD41&lt;Inputs!$B$19,P41&lt;Inputs!$B$7,P41&gt;Inputs!$B$8),"CHECK","OK"))</f>
        <v/>
      </c>
      <c r="AF41" s="14"/>
      <c r="AG41" s="14" t="str">
        <f>IF(A41="","",(1/Inputs!$B$9)*(PI()*(Inputs!$F$5/1000)^2/4)*((Inputs!$F$5/1000/4)^(2/3))*SQRT(P41))</f>
        <v/>
      </c>
      <c r="AH41" s="14" t="str">
        <f>IF(A41="","",(1/Inputs!$B$9)*(PI()*(Inputs!$F$6/1000)^2/4)*((Inputs!$F$6/1000/4)^(2/3))*SQRT(P41))</f>
        <v/>
      </c>
      <c r="AI41" s="14" t="str">
        <f>IF(A41="","",(1/Inputs!$B$9)*(PI()*(Inputs!$F$7/1000)^2/4)*((Inputs!$F$7/1000/4)^(2/3))*SQRT(P41))</f>
        <v/>
      </c>
      <c r="AJ41" s="14" t="str">
        <f>IF(A41="","",(1/Inputs!$B$9)*(PI()*(Inputs!$F$8/1000)^2/4)*((Inputs!$F$8/1000/4)^(2/3))*SQRT(P41))</f>
        <v/>
      </c>
      <c r="AK41" s="14" t="str">
        <f>IF(A41="","",(1/Inputs!$B$9)*(PI()*(Inputs!$F$9/1000)^2/4)*((Inputs!$F$9/1000/4)^(2/3))*SQRT(P41))</f>
        <v/>
      </c>
      <c r="AL41" s="14" t="str">
        <f>IF(A41="","",(1/Inputs!$B$9)*(PI()*(Inputs!$F$10/1000)^2/4)*((Inputs!$F$10/1000/4)^(2/3))*SQRT(P41))</f>
        <v/>
      </c>
      <c r="AM41" s="14" t="str">
        <f>IF(A41="","",(1/Inputs!$B$9)*(PI()*(Inputs!$F$11/1000)^2/4)*((Inputs!$F$11/1000/4)^(2/3))*SQRT(P41))</f>
        <v/>
      </c>
      <c r="AN41" s="14" t="str">
        <f>IF(A41="","",(1/Inputs!$B$9)*(PI()*(Inputs!$F$12/1000)^2/4)*((Inputs!$F$12/1000/4)^(2/3))*SQRT(P41))</f>
        <v/>
      </c>
      <c r="AO41" s="14" t="str">
        <f>IF(A41="","",(1/Inputs!$B$9)*(PI()*(Inputs!$F$13/1000)^2/4)*((Inputs!$F$13/1000/4)^(2/3))*SQRT(P41))</f>
        <v/>
      </c>
      <c r="AP41" s="14" t="str">
        <f>IF(A41="","",(1/Inputs!$B$9)*(PI()*(Inputs!$F$14/1000)^2/4)*((Inputs!$F$14/1000/4)^(2/3))*SQRT(P41))</f>
        <v/>
      </c>
      <c r="AQ41" s="14" t="str">
        <f t="shared" si="47"/>
        <v/>
      </c>
      <c r="AR41" s="14" t="str">
        <f t="shared" si="48"/>
        <v/>
      </c>
      <c r="AS41" s="17" t="str">
        <f>IF(A41="","",IF(J41="",Inputs!$B$18,J41))</f>
        <v/>
      </c>
      <c r="AT41" s="17" t="str">
        <f>IF(A41="","",IFERROR(_xludf.maxifs($AV$4:$AV$201,$D$4:$D$201,$A41),""))</f>
        <v/>
      </c>
      <c r="AU41" s="17" t="str">
        <f>IF(A41="","",IF(OR(E41="",Inputs!$B$23=""),"",E41/(Inputs!$B$23*60)))</f>
        <v/>
      </c>
      <c r="AV41" s="17" t="str">
        <f t="shared" si="49"/>
        <v/>
      </c>
      <c r="AW41" s="17" t="str">
        <f t="shared" si="50"/>
        <v/>
      </c>
      <c r="AX41" s="17" t="str">
        <f>IF(OR(T41="",P41=""),"",(1/Inputs!$B$9)*((T41/4)^(2/3))*SQRT(P41))</f>
        <v/>
      </c>
      <c r="AY41" s="17" t="str">
        <f>IF(A41="","",IF(AND(AW41="",AX41="",BA41=""),"",IF(OR(UPPER(TRIM(Inputs!$B$24))="MANNING",UPPER(TRIM(Inputs!$B$24))="M"),AX41,IF(OR(UPPER(TRIM(Inputs!$B$24))="PARTIAL",UPPER(TRIM(Inputs!$B$24))="P"),BA41,IF(OR(UPPER(TRIM(Inputs!$B$24))="MAX",UPPER(TRIM(Inputs!$B$24))="X"),MAX(IF(AW41="",0,AW41),IF(AX41="",0,AX41),IF(BA41="",0,BA41)),AW41)))))</f>
        <v/>
      </c>
      <c r="AZ41" s="17" t="str">
        <f t="shared" si="51"/>
        <v/>
      </c>
      <c r="BA41" s="17" t="str">
        <f t="shared" si="52"/>
        <v/>
      </c>
      <c r="BB41" s="14" t="str">
        <f t="shared" si="53"/>
        <v/>
      </c>
      <c r="BC41" s="14" t="str">
        <f>IF(OR(N41="",T41="",P41=""),"",IF(OR(T41="",P41="",(0.94*T41)="",T41&lt;=0,(0.94*T41)&lt;=0),"",(1/Inputs!$B$9)*((T41^2/8)*((2*ACOS(1-2*(0.94*T41)/T41))-SIN((2*ACOS(1-2*(0.94*T41)/T41)))))*((((T41^2/8)*((2*ACOS(1-2*(0.94*T41)/T41))-SIN((2*ACOS(1-2*(0.94*T41)/T41)))))/((T41/2)*((2*ACOS(1-2*(0.94*T41)/T41)))))^(2/3))*SQRT(P41)))</f>
        <v/>
      </c>
      <c r="BD41" s="14" t="str">
        <f t="shared" si="54"/>
        <v/>
      </c>
      <c r="BE41" s="14" t="str">
        <f t="shared" si="55"/>
        <v/>
      </c>
      <c r="BF41" s="14" t="str">
        <f t="shared" si="56"/>
        <v/>
      </c>
      <c r="BG41" s="14" t="str">
        <f>IF(OR(T41="",P41="",BF41="",T41&lt;=0,BF41&lt;=0),"",(1/Inputs!$B$9)*((T41^2/8)*((2*ACOS(1-2*BF41/T41))-SIN((2*ACOS(1-2*BF41/T41)))))*((((T41^2/8)*((2*ACOS(1-2*BF41/T41))-SIN((2*ACOS(1-2*BF41/T41)))))/((T41/2)*((2*ACOS(1-2*BF41/T41)))))^(2/3))*SQRT(P41))</f>
        <v/>
      </c>
      <c r="BH41" s="14" t="str">
        <f t="shared" si="57"/>
        <v/>
      </c>
      <c r="BI41" s="14" t="str">
        <f t="shared" si="58"/>
        <v/>
      </c>
      <c r="BJ41" s="14" t="str">
        <f t="shared" si="59"/>
        <v/>
      </c>
      <c r="BK41" s="14" t="str">
        <f>IF(OR(T41="",P41="",BJ41="",T41&lt;=0,BJ41&lt;=0),"",(1/Inputs!$B$9)*((T41^2/8)*((2*ACOS(1-2*BJ41/T41))-SIN((2*ACOS(1-2*BJ41/T41)))))*((((T41^2/8)*((2*ACOS(1-2*BJ41/T41))-SIN((2*ACOS(1-2*BJ41/T41)))))/((T41/2)*((2*ACOS(1-2*BJ41/T41)))))^(2/3))*SQRT(P41))</f>
        <v/>
      </c>
      <c r="BL41" s="14" t="str">
        <f t="shared" si="60"/>
        <v/>
      </c>
      <c r="BM41" s="14" t="str">
        <f t="shared" si="61"/>
        <v/>
      </c>
      <c r="BN41" s="14" t="str">
        <f t="shared" si="62"/>
        <v/>
      </c>
      <c r="BO41" s="14" t="str">
        <f>IF(OR(T41="",P41="",BN41="",T41&lt;=0,BN41&lt;=0),"",(1/Inputs!$B$9)*((T41^2/8)*((2*ACOS(1-2*BN41/T41))-SIN((2*ACOS(1-2*BN41/T41)))))*((((T41^2/8)*((2*ACOS(1-2*BN41/T41))-SIN((2*ACOS(1-2*BN41/T41)))))/((T41/2)*((2*ACOS(1-2*BN41/T41)))))^(2/3))*SQRT(P41))</f>
        <v/>
      </c>
      <c r="BP41" s="14" t="str">
        <f t="shared" si="63"/>
        <v/>
      </c>
      <c r="BQ41" s="14" t="str">
        <f t="shared" si="64"/>
        <v/>
      </c>
      <c r="BR41" s="14" t="str">
        <f t="shared" si="65"/>
        <v/>
      </c>
      <c r="BS41" s="14" t="str">
        <f>IF(OR(T41="",P41="",BR41="",T41&lt;=0,BR41&lt;=0),"",(1/Inputs!$B$9)*((T41^2/8)*((2*ACOS(1-2*BR41/T41))-SIN((2*ACOS(1-2*BR41/T41)))))*((((T41^2/8)*((2*ACOS(1-2*BR41/T41))-SIN((2*ACOS(1-2*BR41/T41)))))/((T41/2)*((2*ACOS(1-2*BR41/T41)))))^(2/3))*SQRT(P41))</f>
        <v/>
      </c>
      <c r="BT41" s="14" t="str">
        <f t="shared" si="66"/>
        <v/>
      </c>
      <c r="BU41" s="14" t="str">
        <f t="shared" si="67"/>
        <v/>
      </c>
      <c r="BV41" s="14" t="str">
        <f t="shared" si="68"/>
        <v/>
      </c>
      <c r="BW41" s="14" t="str">
        <f>IF(OR(T41="",P41="",BV41="",T41&lt;=0,BV41&lt;=0),"",(1/Inputs!$B$9)*((T41^2/8)*((2*ACOS(1-2*BV41/T41))-SIN((2*ACOS(1-2*BV41/T41)))))*((((T41^2/8)*((2*ACOS(1-2*BV41/T41))-SIN((2*ACOS(1-2*BV41/T41)))))/((T41/2)*((2*ACOS(1-2*BV41/T41)))))^(2/3))*SQRT(P41))</f>
        <v/>
      </c>
      <c r="BX41" s="14" t="str">
        <f t="shared" si="69"/>
        <v/>
      </c>
      <c r="BY41" s="14" t="str">
        <f t="shared" si="70"/>
        <v/>
      </c>
      <c r="BZ41" s="14" t="str">
        <f t="shared" si="71"/>
        <v/>
      </c>
      <c r="CA41" s="14" t="str">
        <f>IF(OR(T41="",P41="",BZ41="",T41&lt;=0,BZ41&lt;=0),"",(1/Inputs!$B$9)*((T41^2/8)*((2*ACOS(1-2*BZ41/T41))-SIN((2*ACOS(1-2*BZ41/T41)))))*((((T41^2/8)*((2*ACOS(1-2*BZ41/T41))-SIN((2*ACOS(1-2*BZ41/T41)))))/((T41/2)*((2*ACOS(1-2*BZ41/T41)))))^(2/3))*SQRT(P41))</f>
        <v/>
      </c>
      <c r="CB41" s="14" t="str">
        <f t="shared" si="72"/>
        <v/>
      </c>
      <c r="CC41" s="14" t="str">
        <f t="shared" si="73"/>
        <v/>
      </c>
      <c r="CD41" s="14" t="str">
        <f t="shared" si="74"/>
        <v/>
      </c>
      <c r="CE41" s="14" t="str">
        <f>IF(OR(T41="",P41="",CD41="",T41&lt;=0,CD41&lt;=0),"",(1/Inputs!$B$9)*((T41^2/8)*((2*ACOS(1-2*CD41/T41))-SIN((2*ACOS(1-2*CD41/T41)))))*((((T41^2/8)*((2*ACOS(1-2*CD41/T41))-SIN((2*ACOS(1-2*CD41/T41)))))/((T41/2)*((2*ACOS(1-2*CD41/T41)))))^(2/3))*SQRT(P41))</f>
        <v/>
      </c>
      <c r="CF41" s="14" t="str">
        <f t="shared" si="75"/>
        <v/>
      </c>
      <c r="CG41" s="14" t="str">
        <f t="shared" si="76"/>
        <v/>
      </c>
      <c r="CH41" s="14" t="str">
        <f t="shared" si="77"/>
        <v/>
      </c>
    </row>
    <row r="42" spans="1:86" x14ac:dyDescent="0.25">
      <c r="A42" s="14"/>
      <c r="B42" s="14"/>
      <c r="C42" s="14"/>
      <c r="D42" s="14"/>
      <c r="E42" s="44"/>
      <c r="F42" s="44"/>
      <c r="G42" s="44">
        <f>SUMIFS(CB_plan!$G:$G,CB_plan!$F:$F,$A42)</f>
        <v>0</v>
      </c>
      <c r="H42" s="44">
        <f t="shared" si="39"/>
        <v>0</v>
      </c>
      <c r="I42" s="14"/>
      <c r="J42" s="44"/>
      <c r="K42" s="44" t="str">
        <f>IF(A42="","",Inputs!$B$13/((IF(AV42="",Inputs!$B$18,AV42)+Inputs!$B$14)^Inputs!$B$15))</f>
        <v/>
      </c>
      <c r="L42" s="44" t="str">
        <f>IF(A42="","",IF(H42="","",0.000000278*IF(I42&lt;&gt;"",I42,IFERROR(SUMIFS(CB_plan!$H:$H,CB_plan!$F:$F,$A42)/SUMIFS(CB_plan!$G:$G,CB_plan!$F:$F,$A42),Inputs!$B$17))*H42*K42))</f>
        <v/>
      </c>
      <c r="M42" s="44" t="str">
        <f t="shared" si="40"/>
        <v/>
      </c>
      <c r="N42" s="44" t="str">
        <f>IF(A42="","",(L42+M42)*Inputs!$B$16)</f>
        <v/>
      </c>
      <c r="O42" s="44"/>
      <c r="P42" s="44" t="str">
        <f>IF(A42="","",IF(O42="",Inputs!$B$7,O42))</f>
        <v/>
      </c>
      <c r="Q42" s="14" t="str">
        <f>IF(A42="","",IF(N42/Inputs!$B$10&lt;=AG42,Inputs!$F$5,IF(N42/Inputs!$B$10&gt;AP42,"OVERSIZE",INDEX(Inputs!$F$5:$F$14,MATCH(N42/Inputs!$B$10,AG42:AP42,1)+1))))</f>
        <v/>
      </c>
      <c r="R42" s="14"/>
      <c r="S42" s="14" t="str">
        <f t="shared" si="41"/>
        <v/>
      </c>
      <c r="T42" s="44" t="str">
        <f t="shared" si="42"/>
        <v/>
      </c>
      <c r="U42" s="44" t="str">
        <f>IF(T42="","",(1/Inputs!$B$9)*(PI()*T42^2/4)*((T42/4)^(2/3))*SQRT(P42))</f>
        <v/>
      </c>
      <c r="V42" s="44" t="str">
        <f>IF(OR(U42="",N42=""),"",N42/(U42*Inputs!$B$10))</f>
        <v/>
      </c>
      <c r="W42" s="44" t="str">
        <f t="shared" si="43"/>
        <v/>
      </c>
      <c r="X42" s="44"/>
      <c r="Y42" s="44" t="str">
        <f>IF(A42="","",IF(A42=Inputs!$B$6,Inputs!$B$22,IF(D42="","",IFERROR(INDEX($Z$4:$Z$201,MATCH(D42,$A$4:$A$201,0))+IF(X42="",Inputs!$B$20,X42),""))))</f>
        <v/>
      </c>
      <c r="Z42" s="44" t="str">
        <f t="shared" si="44"/>
        <v/>
      </c>
      <c r="AA42" s="44" t="str">
        <f>IF(C42="","",IFERROR(INDEX(Noeuds_plan!$C$4:$C$200,MATCH(C42,Noeuds_plan!$A$4:$A$200,0)),""))</f>
        <v/>
      </c>
      <c r="AB42" s="44" t="str">
        <f>IF(B42="","",IFERROR(INDEX(Noeuds_plan!$C$4:$C$200,MATCH(B42,Noeuds_plan!$A$4:$A$200,0)),""))</f>
        <v/>
      </c>
      <c r="AC42" s="44" t="str">
        <f t="shared" si="45"/>
        <v/>
      </c>
      <c r="AD42" s="44" t="str">
        <f t="shared" si="46"/>
        <v/>
      </c>
      <c r="AE42" s="14" t="str">
        <f>IF(A42="","",IF(OR(V42&gt;1,AND(AY42&lt;&gt;"",AY42&lt;Inputs!$B$11),AND(AY42&lt;&gt;"",AY42&gt;Inputs!$B$12),AC42&lt;Inputs!$B$19,AD42&lt;Inputs!$B$19,P42&lt;Inputs!$B$7,P42&gt;Inputs!$B$8),"CHECK","OK"))</f>
        <v/>
      </c>
      <c r="AF42" s="14"/>
      <c r="AG42" s="14" t="str">
        <f>IF(A42="","",(1/Inputs!$B$9)*(PI()*(Inputs!$F$5/1000)^2/4)*((Inputs!$F$5/1000/4)^(2/3))*SQRT(P42))</f>
        <v/>
      </c>
      <c r="AH42" s="14" t="str">
        <f>IF(A42="","",(1/Inputs!$B$9)*(PI()*(Inputs!$F$6/1000)^2/4)*((Inputs!$F$6/1000/4)^(2/3))*SQRT(P42))</f>
        <v/>
      </c>
      <c r="AI42" s="14" t="str">
        <f>IF(A42="","",(1/Inputs!$B$9)*(PI()*(Inputs!$F$7/1000)^2/4)*((Inputs!$F$7/1000/4)^(2/3))*SQRT(P42))</f>
        <v/>
      </c>
      <c r="AJ42" s="14" t="str">
        <f>IF(A42="","",(1/Inputs!$B$9)*(PI()*(Inputs!$F$8/1000)^2/4)*((Inputs!$F$8/1000/4)^(2/3))*SQRT(P42))</f>
        <v/>
      </c>
      <c r="AK42" s="14" t="str">
        <f>IF(A42="","",(1/Inputs!$B$9)*(PI()*(Inputs!$F$9/1000)^2/4)*((Inputs!$F$9/1000/4)^(2/3))*SQRT(P42))</f>
        <v/>
      </c>
      <c r="AL42" s="14" t="str">
        <f>IF(A42="","",(1/Inputs!$B$9)*(PI()*(Inputs!$F$10/1000)^2/4)*((Inputs!$F$10/1000/4)^(2/3))*SQRT(P42))</f>
        <v/>
      </c>
      <c r="AM42" s="14" t="str">
        <f>IF(A42="","",(1/Inputs!$B$9)*(PI()*(Inputs!$F$11/1000)^2/4)*((Inputs!$F$11/1000/4)^(2/3))*SQRT(P42))</f>
        <v/>
      </c>
      <c r="AN42" s="14" t="str">
        <f>IF(A42="","",(1/Inputs!$B$9)*(PI()*(Inputs!$F$12/1000)^2/4)*((Inputs!$F$12/1000/4)^(2/3))*SQRT(P42))</f>
        <v/>
      </c>
      <c r="AO42" s="14" t="str">
        <f>IF(A42="","",(1/Inputs!$B$9)*(PI()*(Inputs!$F$13/1000)^2/4)*((Inputs!$F$13/1000/4)^(2/3))*SQRT(P42))</f>
        <v/>
      </c>
      <c r="AP42" s="14" t="str">
        <f>IF(A42="","",(1/Inputs!$B$9)*(PI()*(Inputs!$F$14/1000)^2/4)*((Inputs!$F$14/1000/4)^(2/3))*SQRT(P42))</f>
        <v/>
      </c>
      <c r="AQ42" s="14" t="str">
        <f t="shared" si="47"/>
        <v/>
      </c>
      <c r="AR42" s="14" t="str">
        <f t="shared" si="48"/>
        <v/>
      </c>
      <c r="AS42" s="17" t="str">
        <f>IF(A42="","",IF(J42="",Inputs!$B$18,J42))</f>
        <v/>
      </c>
      <c r="AT42" s="17" t="str">
        <f>IF(A42="","",IFERROR(_xludf.maxifs($AV$4:$AV$201,$D$4:$D$201,$A42),""))</f>
        <v/>
      </c>
      <c r="AU42" s="17" t="str">
        <f>IF(A42="","",IF(OR(E42="",Inputs!$B$23=""),"",E42/(Inputs!$B$23*60)))</f>
        <v/>
      </c>
      <c r="AV42" s="17" t="str">
        <f t="shared" si="49"/>
        <v/>
      </c>
      <c r="AW42" s="17" t="str">
        <f t="shared" si="50"/>
        <v/>
      </c>
      <c r="AX42" s="17" t="str">
        <f>IF(OR(T42="",P42=""),"",(1/Inputs!$B$9)*((T42/4)^(2/3))*SQRT(P42))</f>
        <v/>
      </c>
      <c r="AY42" s="17" t="str">
        <f>IF(A42="","",IF(AND(AW42="",AX42="",BA42=""),"",IF(OR(UPPER(TRIM(Inputs!$B$24))="MANNING",UPPER(TRIM(Inputs!$B$24))="M"),AX42,IF(OR(UPPER(TRIM(Inputs!$B$24))="PARTIAL",UPPER(TRIM(Inputs!$B$24))="P"),BA42,IF(OR(UPPER(TRIM(Inputs!$B$24))="MAX",UPPER(TRIM(Inputs!$B$24))="X"),MAX(IF(AW42="",0,AW42),IF(AX42="",0,AX42),IF(BA42="",0,BA42)),AW42)))))</f>
        <v/>
      </c>
      <c r="AZ42" s="17" t="str">
        <f t="shared" si="51"/>
        <v/>
      </c>
      <c r="BA42" s="17" t="str">
        <f t="shared" si="52"/>
        <v/>
      </c>
      <c r="BB42" s="14" t="str">
        <f t="shared" si="53"/>
        <v/>
      </c>
      <c r="BC42" s="14" t="str">
        <f>IF(OR(N42="",T42="",P42=""),"",IF(OR(T42="",P42="",(0.94*T42)="",T42&lt;=0,(0.94*T42)&lt;=0),"",(1/Inputs!$B$9)*((T42^2/8)*((2*ACOS(1-2*(0.94*T42)/T42))-SIN((2*ACOS(1-2*(0.94*T42)/T42)))))*((((T42^2/8)*((2*ACOS(1-2*(0.94*T42)/T42))-SIN((2*ACOS(1-2*(0.94*T42)/T42)))))/((T42/2)*((2*ACOS(1-2*(0.94*T42)/T42)))))^(2/3))*SQRT(P42)))</f>
        <v/>
      </c>
      <c r="BD42" s="14" t="str">
        <f t="shared" si="54"/>
        <v/>
      </c>
      <c r="BE42" s="14" t="str">
        <f t="shared" si="55"/>
        <v/>
      </c>
      <c r="BF42" s="14" t="str">
        <f t="shared" si="56"/>
        <v/>
      </c>
      <c r="BG42" s="14" t="str">
        <f>IF(OR(T42="",P42="",BF42="",T42&lt;=0,BF42&lt;=0),"",(1/Inputs!$B$9)*((T42^2/8)*((2*ACOS(1-2*BF42/T42))-SIN((2*ACOS(1-2*BF42/T42)))))*((((T42^2/8)*((2*ACOS(1-2*BF42/T42))-SIN((2*ACOS(1-2*BF42/T42)))))/((T42/2)*((2*ACOS(1-2*BF42/T42)))))^(2/3))*SQRT(P42))</f>
        <v/>
      </c>
      <c r="BH42" s="14" t="str">
        <f t="shared" si="57"/>
        <v/>
      </c>
      <c r="BI42" s="14" t="str">
        <f t="shared" si="58"/>
        <v/>
      </c>
      <c r="BJ42" s="14" t="str">
        <f t="shared" si="59"/>
        <v/>
      </c>
      <c r="BK42" s="14" t="str">
        <f>IF(OR(T42="",P42="",BJ42="",T42&lt;=0,BJ42&lt;=0),"",(1/Inputs!$B$9)*((T42^2/8)*((2*ACOS(1-2*BJ42/T42))-SIN((2*ACOS(1-2*BJ42/T42)))))*((((T42^2/8)*((2*ACOS(1-2*BJ42/T42))-SIN((2*ACOS(1-2*BJ42/T42)))))/((T42/2)*((2*ACOS(1-2*BJ42/T42)))))^(2/3))*SQRT(P42))</f>
        <v/>
      </c>
      <c r="BL42" s="14" t="str">
        <f t="shared" si="60"/>
        <v/>
      </c>
      <c r="BM42" s="14" t="str">
        <f t="shared" si="61"/>
        <v/>
      </c>
      <c r="BN42" s="14" t="str">
        <f t="shared" si="62"/>
        <v/>
      </c>
      <c r="BO42" s="14" t="str">
        <f>IF(OR(T42="",P42="",BN42="",T42&lt;=0,BN42&lt;=0),"",(1/Inputs!$B$9)*((T42^2/8)*((2*ACOS(1-2*BN42/T42))-SIN((2*ACOS(1-2*BN42/T42)))))*((((T42^2/8)*((2*ACOS(1-2*BN42/T42))-SIN((2*ACOS(1-2*BN42/T42)))))/((T42/2)*((2*ACOS(1-2*BN42/T42)))))^(2/3))*SQRT(P42))</f>
        <v/>
      </c>
      <c r="BP42" s="14" t="str">
        <f t="shared" si="63"/>
        <v/>
      </c>
      <c r="BQ42" s="14" t="str">
        <f t="shared" si="64"/>
        <v/>
      </c>
      <c r="BR42" s="14" t="str">
        <f t="shared" si="65"/>
        <v/>
      </c>
      <c r="BS42" s="14" t="str">
        <f>IF(OR(T42="",P42="",BR42="",T42&lt;=0,BR42&lt;=0),"",(1/Inputs!$B$9)*((T42^2/8)*((2*ACOS(1-2*BR42/T42))-SIN((2*ACOS(1-2*BR42/T42)))))*((((T42^2/8)*((2*ACOS(1-2*BR42/T42))-SIN((2*ACOS(1-2*BR42/T42)))))/((T42/2)*((2*ACOS(1-2*BR42/T42)))))^(2/3))*SQRT(P42))</f>
        <v/>
      </c>
      <c r="BT42" s="14" t="str">
        <f t="shared" si="66"/>
        <v/>
      </c>
      <c r="BU42" s="14" t="str">
        <f t="shared" si="67"/>
        <v/>
      </c>
      <c r="BV42" s="14" t="str">
        <f t="shared" si="68"/>
        <v/>
      </c>
      <c r="BW42" s="14" t="str">
        <f>IF(OR(T42="",P42="",BV42="",T42&lt;=0,BV42&lt;=0),"",(1/Inputs!$B$9)*((T42^2/8)*((2*ACOS(1-2*BV42/T42))-SIN((2*ACOS(1-2*BV42/T42)))))*((((T42^2/8)*((2*ACOS(1-2*BV42/T42))-SIN((2*ACOS(1-2*BV42/T42)))))/((T42/2)*((2*ACOS(1-2*BV42/T42)))))^(2/3))*SQRT(P42))</f>
        <v/>
      </c>
      <c r="BX42" s="14" t="str">
        <f t="shared" si="69"/>
        <v/>
      </c>
      <c r="BY42" s="14" t="str">
        <f t="shared" si="70"/>
        <v/>
      </c>
      <c r="BZ42" s="14" t="str">
        <f t="shared" si="71"/>
        <v/>
      </c>
      <c r="CA42" s="14" t="str">
        <f>IF(OR(T42="",P42="",BZ42="",T42&lt;=0,BZ42&lt;=0),"",(1/Inputs!$B$9)*((T42^2/8)*((2*ACOS(1-2*BZ42/T42))-SIN((2*ACOS(1-2*BZ42/T42)))))*((((T42^2/8)*((2*ACOS(1-2*BZ42/T42))-SIN((2*ACOS(1-2*BZ42/T42)))))/((T42/2)*((2*ACOS(1-2*BZ42/T42)))))^(2/3))*SQRT(P42))</f>
        <v/>
      </c>
      <c r="CB42" s="14" t="str">
        <f t="shared" si="72"/>
        <v/>
      </c>
      <c r="CC42" s="14" t="str">
        <f t="shared" si="73"/>
        <v/>
      </c>
      <c r="CD42" s="14" t="str">
        <f t="shared" si="74"/>
        <v/>
      </c>
      <c r="CE42" s="14" t="str">
        <f>IF(OR(T42="",P42="",CD42="",T42&lt;=0,CD42&lt;=0),"",(1/Inputs!$B$9)*((T42^2/8)*((2*ACOS(1-2*CD42/T42))-SIN((2*ACOS(1-2*CD42/T42)))))*((((T42^2/8)*((2*ACOS(1-2*CD42/T42))-SIN((2*ACOS(1-2*CD42/T42)))))/((T42/2)*((2*ACOS(1-2*CD42/T42)))))^(2/3))*SQRT(P42))</f>
        <v/>
      </c>
      <c r="CF42" s="14" t="str">
        <f t="shared" si="75"/>
        <v/>
      </c>
      <c r="CG42" s="14" t="str">
        <f t="shared" si="76"/>
        <v/>
      </c>
      <c r="CH42" s="14" t="str">
        <f t="shared" si="77"/>
        <v/>
      </c>
    </row>
    <row r="43" spans="1:86" x14ac:dyDescent="0.25">
      <c r="A43" s="14"/>
      <c r="B43" s="14"/>
      <c r="C43" s="14"/>
      <c r="D43" s="14"/>
      <c r="E43" s="44"/>
      <c r="F43" s="44"/>
      <c r="G43" s="44">
        <f>SUMIFS(CB_plan!$G:$G,CB_plan!$F:$F,$A43)</f>
        <v>0</v>
      </c>
      <c r="H43" s="44">
        <f t="shared" si="39"/>
        <v>0</v>
      </c>
      <c r="I43" s="14"/>
      <c r="J43" s="44"/>
      <c r="K43" s="44" t="str">
        <f>IF(A43="","",Inputs!$B$13/((IF(AV43="",Inputs!$B$18,AV43)+Inputs!$B$14)^Inputs!$B$15))</f>
        <v/>
      </c>
      <c r="L43" s="44" t="str">
        <f>IF(A43="","",IF(H43="","",0.000000278*IF(I43&lt;&gt;"",I43,IFERROR(SUMIFS(CB_plan!$H:$H,CB_plan!$F:$F,$A43)/SUMIFS(CB_plan!$G:$G,CB_plan!$F:$F,$A43),Inputs!$B$17))*H43*K43))</f>
        <v/>
      </c>
      <c r="M43" s="44" t="str">
        <f t="shared" si="40"/>
        <v/>
      </c>
      <c r="N43" s="44" t="str">
        <f>IF(A43="","",(L43+M43)*Inputs!$B$16)</f>
        <v/>
      </c>
      <c r="O43" s="44"/>
      <c r="P43" s="44" t="str">
        <f>IF(A43="","",IF(O43="",Inputs!$B$7,O43))</f>
        <v/>
      </c>
      <c r="Q43" s="14" t="str">
        <f>IF(A43="","",IF(N43/Inputs!$B$10&lt;=AG43,Inputs!$F$5,IF(N43/Inputs!$B$10&gt;AP43,"OVERSIZE",INDEX(Inputs!$F$5:$F$14,MATCH(N43/Inputs!$B$10,AG43:AP43,1)+1))))</f>
        <v/>
      </c>
      <c r="R43" s="14"/>
      <c r="S43" s="14" t="str">
        <f t="shared" si="41"/>
        <v/>
      </c>
      <c r="T43" s="44" t="str">
        <f t="shared" si="42"/>
        <v/>
      </c>
      <c r="U43" s="44" t="str">
        <f>IF(T43="","",(1/Inputs!$B$9)*(PI()*T43^2/4)*((T43/4)^(2/3))*SQRT(P43))</f>
        <v/>
      </c>
      <c r="V43" s="44" t="str">
        <f>IF(OR(U43="",N43=""),"",N43/(U43*Inputs!$B$10))</f>
        <v/>
      </c>
      <c r="W43" s="44" t="str">
        <f t="shared" si="43"/>
        <v/>
      </c>
      <c r="X43" s="44"/>
      <c r="Y43" s="44" t="str">
        <f>IF(A43="","",IF(A43=Inputs!$B$6,Inputs!$B$22,IF(D43="","",IFERROR(INDEX($Z$4:$Z$201,MATCH(D43,$A$4:$A$201,0))+IF(X43="",Inputs!$B$20,X43),""))))</f>
        <v/>
      </c>
      <c r="Z43" s="44" t="str">
        <f t="shared" si="44"/>
        <v/>
      </c>
      <c r="AA43" s="44" t="str">
        <f>IF(C43="","",IFERROR(INDEX(Noeuds_plan!$C$4:$C$200,MATCH(C43,Noeuds_plan!$A$4:$A$200,0)),""))</f>
        <v/>
      </c>
      <c r="AB43" s="44" t="str">
        <f>IF(B43="","",IFERROR(INDEX(Noeuds_plan!$C$4:$C$200,MATCH(B43,Noeuds_plan!$A$4:$A$200,0)),""))</f>
        <v/>
      </c>
      <c r="AC43" s="44" t="str">
        <f t="shared" si="45"/>
        <v/>
      </c>
      <c r="AD43" s="44" t="str">
        <f t="shared" si="46"/>
        <v/>
      </c>
      <c r="AE43" s="14" t="str">
        <f>IF(A43="","",IF(OR(V43&gt;1,AND(AY43&lt;&gt;"",AY43&lt;Inputs!$B$11),AND(AY43&lt;&gt;"",AY43&gt;Inputs!$B$12),AC43&lt;Inputs!$B$19,AD43&lt;Inputs!$B$19,P43&lt;Inputs!$B$7,P43&gt;Inputs!$B$8),"CHECK","OK"))</f>
        <v/>
      </c>
      <c r="AF43" s="14"/>
      <c r="AG43" s="14" t="str">
        <f>IF(A43="","",(1/Inputs!$B$9)*(PI()*(Inputs!$F$5/1000)^2/4)*((Inputs!$F$5/1000/4)^(2/3))*SQRT(P43))</f>
        <v/>
      </c>
      <c r="AH43" s="14" t="str">
        <f>IF(A43="","",(1/Inputs!$B$9)*(PI()*(Inputs!$F$6/1000)^2/4)*((Inputs!$F$6/1000/4)^(2/3))*SQRT(P43))</f>
        <v/>
      </c>
      <c r="AI43" s="14" t="str">
        <f>IF(A43="","",(1/Inputs!$B$9)*(PI()*(Inputs!$F$7/1000)^2/4)*((Inputs!$F$7/1000/4)^(2/3))*SQRT(P43))</f>
        <v/>
      </c>
      <c r="AJ43" s="14" t="str">
        <f>IF(A43="","",(1/Inputs!$B$9)*(PI()*(Inputs!$F$8/1000)^2/4)*((Inputs!$F$8/1000/4)^(2/3))*SQRT(P43))</f>
        <v/>
      </c>
      <c r="AK43" s="14" t="str">
        <f>IF(A43="","",(1/Inputs!$B$9)*(PI()*(Inputs!$F$9/1000)^2/4)*((Inputs!$F$9/1000/4)^(2/3))*SQRT(P43))</f>
        <v/>
      </c>
      <c r="AL43" s="14" t="str">
        <f>IF(A43="","",(1/Inputs!$B$9)*(PI()*(Inputs!$F$10/1000)^2/4)*((Inputs!$F$10/1000/4)^(2/3))*SQRT(P43))</f>
        <v/>
      </c>
      <c r="AM43" s="14" t="str">
        <f>IF(A43="","",(1/Inputs!$B$9)*(PI()*(Inputs!$F$11/1000)^2/4)*((Inputs!$F$11/1000/4)^(2/3))*SQRT(P43))</f>
        <v/>
      </c>
      <c r="AN43" s="14" t="str">
        <f>IF(A43="","",(1/Inputs!$B$9)*(PI()*(Inputs!$F$12/1000)^2/4)*((Inputs!$F$12/1000/4)^(2/3))*SQRT(P43))</f>
        <v/>
      </c>
      <c r="AO43" s="14" t="str">
        <f>IF(A43="","",(1/Inputs!$B$9)*(PI()*(Inputs!$F$13/1000)^2/4)*((Inputs!$F$13/1000/4)^(2/3))*SQRT(P43))</f>
        <v/>
      </c>
      <c r="AP43" s="14" t="str">
        <f>IF(A43="","",(1/Inputs!$B$9)*(PI()*(Inputs!$F$14/1000)^2/4)*((Inputs!$F$14/1000/4)^(2/3))*SQRT(P43))</f>
        <v/>
      </c>
      <c r="AQ43" s="14" t="str">
        <f t="shared" si="47"/>
        <v/>
      </c>
      <c r="AR43" s="14" t="str">
        <f t="shared" si="48"/>
        <v/>
      </c>
      <c r="AS43" s="17" t="str">
        <f>IF(A43="","",IF(J43="",Inputs!$B$18,J43))</f>
        <v/>
      </c>
      <c r="AT43" s="17" t="str">
        <f>IF(A43="","",IFERROR(_xludf.maxifs($AV$4:$AV$201,$D$4:$D$201,$A43),""))</f>
        <v/>
      </c>
      <c r="AU43" s="17" t="str">
        <f>IF(A43="","",IF(OR(E43="",Inputs!$B$23=""),"",E43/(Inputs!$B$23*60)))</f>
        <v/>
      </c>
      <c r="AV43" s="17" t="str">
        <f t="shared" si="49"/>
        <v/>
      </c>
      <c r="AW43" s="17" t="str">
        <f t="shared" si="50"/>
        <v/>
      </c>
      <c r="AX43" s="17" t="str">
        <f>IF(OR(T43="",P43=""),"",(1/Inputs!$B$9)*((T43/4)^(2/3))*SQRT(P43))</f>
        <v/>
      </c>
      <c r="AY43" s="17" t="str">
        <f>IF(A43="","",IF(AND(AW43="",AX43="",BA43=""),"",IF(OR(UPPER(TRIM(Inputs!$B$24))="MANNING",UPPER(TRIM(Inputs!$B$24))="M"),AX43,IF(OR(UPPER(TRIM(Inputs!$B$24))="PARTIAL",UPPER(TRIM(Inputs!$B$24))="P"),BA43,IF(OR(UPPER(TRIM(Inputs!$B$24))="MAX",UPPER(TRIM(Inputs!$B$24))="X"),MAX(IF(AW43="",0,AW43),IF(AX43="",0,AX43),IF(BA43="",0,BA43)),AW43)))))</f>
        <v/>
      </c>
      <c r="AZ43" s="17" t="str">
        <f t="shared" si="51"/>
        <v/>
      </c>
      <c r="BA43" s="17" t="str">
        <f t="shared" si="52"/>
        <v/>
      </c>
      <c r="BB43" s="14" t="str">
        <f t="shared" si="53"/>
        <v/>
      </c>
      <c r="BC43" s="14" t="str">
        <f>IF(OR(N43="",T43="",P43=""),"",IF(OR(T43="",P43="",(0.94*T43)="",T43&lt;=0,(0.94*T43)&lt;=0),"",(1/Inputs!$B$9)*((T43^2/8)*((2*ACOS(1-2*(0.94*T43)/T43))-SIN((2*ACOS(1-2*(0.94*T43)/T43)))))*((((T43^2/8)*((2*ACOS(1-2*(0.94*T43)/T43))-SIN((2*ACOS(1-2*(0.94*T43)/T43)))))/((T43/2)*((2*ACOS(1-2*(0.94*T43)/T43)))))^(2/3))*SQRT(P43)))</f>
        <v/>
      </c>
      <c r="BD43" s="14" t="str">
        <f t="shared" si="54"/>
        <v/>
      </c>
      <c r="BE43" s="14" t="str">
        <f t="shared" si="55"/>
        <v/>
      </c>
      <c r="BF43" s="14" t="str">
        <f t="shared" si="56"/>
        <v/>
      </c>
      <c r="BG43" s="14" t="str">
        <f>IF(OR(T43="",P43="",BF43="",T43&lt;=0,BF43&lt;=0),"",(1/Inputs!$B$9)*((T43^2/8)*((2*ACOS(1-2*BF43/T43))-SIN((2*ACOS(1-2*BF43/T43)))))*((((T43^2/8)*((2*ACOS(1-2*BF43/T43))-SIN((2*ACOS(1-2*BF43/T43)))))/((T43/2)*((2*ACOS(1-2*BF43/T43)))))^(2/3))*SQRT(P43))</f>
        <v/>
      </c>
      <c r="BH43" s="14" t="str">
        <f t="shared" si="57"/>
        <v/>
      </c>
      <c r="BI43" s="14" t="str">
        <f t="shared" si="58"/>
        <v/>
      </c>
      <c r="BJ43" s="14" t="str">
        <f t="shared" si="59"/>
        <v/>
      </c>
      <c r="BK43" s="14" t="str">
        <f>IF(OR(T43="",P43="",BJ43="",T43&lt;=0,BJ43&lt;=0),"",(1/Inputs!$B$9)*((T43^2/8)*((2*ACOS(1-2*BJ43/T43))-SIN((2*ACOS(1-2*BJ43/T43)))))*((((T43^2/8)*((2*ACOS(1-2*BJ43/T43))-SIN((2*ACOS(1-2*BJ43/T43)))))/((T43/2)*((2*ACOS(1-2*BJ43/T43)))))^(2/3))*SQRT(P43))</f>
        <v/>
      </c>
      <c r="BL43" s="14" t="str">
        <f t="shared" si="60"/>
        <v/>
      </c>
      <c r="BM43" s="14" t="str">
        <f t="shared" si="61"/>
        <v/>
      </c>
      <c r="BN43" s="14" t="str">
        <f t="shared" si="62"/>
        <v/>
      </c>
      <c r="BO43" s="14" t="str">
        <f>IF(OR(T43="",P43="",BN43="",T43&lt;=0,BN43&lt;=0),"",(1/Inputs!$B$9)*((T43^2/8)*((2*ACOS(1-2*BN43/T43))-SIN((2*ACOS(1-2*BN43/T43)))))*((((T43^2/8)*((2*ACOS(1-2*BN43/T43))-SIN((2*ACOS(1-2*BN43/T43)))))/((T43/2)*((2*ACOS(1-2*BN43/T43)))))^(2/3))*SQRT(P43))</f>
        <v/>
      </c>
      <c r="BP43" s="14" t="str">
        <f t="shared" si="63"/>
        <v/>
      </c>
      <c r="BQ43" s="14" t="str">
        <f t="shared" si="64"/>
        <v/>
      </c>
      <c r="BR43" s="14" t="str">
        <f t="shared" si="65"/>
        <v/>
      </c>
      <c r="BS43" s="14" t="str">
        <f>IF(OR(T43="",P43="",BR43="",T43&lt;=0,BR43&lt;=0),"",(1/Inputs!$B$9)*((T43^2/8)*((2*ACOS(1-2*BR43/T43))-SIN((2*ACOS(1-2*BR43/T43)))))*((((T43^2/8)*((2*ACOS(1-2*BR43/T43))-SIN((2*ACOS(1-2*BR43/T43)))))/((T43/2)*((2*ACOS(1-2*BR43/T43)))))^(2/3))*SQRT(P43))</f>
        <v/>
      </c>
      <c r="BT43" s="14" t="str">
        <f t="shared" si="66"/>
        <v/>
      </c>
      <c r="BU43" s="14" t="str">
        <f t="shared" si="67"/>
        <v/>
      </c>
      <c r="BV43" s="14" t="str">
        <f t="shared" si="68"/>
        <v/>
      </c>
      <c r="BW43" s="14" t="str">
        <f>IF(OR(T43="",P43="",BV43="",T43&lt;=0,BV43&lt;=0),"",(1/Inputs!$B$9)*((T43^2/8)*((2*ACOS(1-2*BV43/T43))-SIN((2*ACOS(1-2*BV43/T43)))))*((((T43^2/8)*((2*ACOS(1-2*BV43/T43))-SIN((2*ACOS(1-2*BV43/T43)))))/((T43/2)*((2*ACOS(1-2*BV43/T43)))))^(2/3))*SQRT(P43))</f>
        <v/>
      </c>
      <c r="BX43" s="14" t="str">
        <f t="shared" si="69"/>
        <v/>
      </c>
      <c r="BY43" s="14" t="str">
        <f t="shared" si="70"/>
        <v/>
      </c>
      <c r="BZ43" s="14" t="str">
        <f t="shared" si="71"/>
        <v/>
      </c>
      <c r="CA43" s="14" t="str">
        <f>IF(OR(T43="",P43="",BZ43="",T43&lt;=0,BZ43&lt;=0),"",(1/Inputs!$B$9)*((T43^2/8)*((2*ACOS(1-2*BZ43/T43))-SIN((2*ACOS(1-2*BZ43/T43)))))*((((T43^2/8)*((2*ACOS(1-2*BZ43/T43))-SIN((2*ACOS(1-2*BZ43/T43)))))/((T43/2)*((2*ACOS(1-2*BZ43/T43)))))^(2/3))*SQRT(P43))</f>
        <v/>
      </c>
      <c r="CB43" s="14" t="str">
        <f t="shared" si="72"/>
        <v/>
      </c>
      <c r="CC43" s="14" t="str">
        <f t="shared" si="73"/>
        <v/>
      </c>
      <c r="CD43" s="14" t="str">
        <f t="shared" si="74"/>
        <v/>
      </c>
      <c r="CE43" s="14" t="str">
        <f>IF(OR(T43="",P43="",CD43="",T43&lt;=0,CD43&lt;=0),"",(1/Inputs!$B$9)*((T43^2/8)*((2*ACOS(1-2*CD43/T43))-SIN((2*ACOS(1-2*CD43/T43)))))*((((T43^2/8)*((2*ACOS(1-2*CD43/T43))-SIN((2*ACOS(1-2*CD43/T43)))))/((T43/2)*((2*ACOS(1-2*CD43/T43)))))^(2/3))*SQRT(P43))</f>
        <v/>
      </c>
      <c r="CF43" s="14" t="str">
        <f t="shared" si="75"/>
        <v/>
      </c>
      <c r="CG43" s="14" t="str">
        <f t="shared" si="76"/>
        <v/>
      </c>
      <c r="CH43" s="14" t="str">
        <f t="shared" si="77"/>
        <v/>
      </c>
    </row>
    <row r="44" spans="1:86" x14ac:dyDescent="0.25">
      <c r="A44" s="14"/>
      <c r="B44" s="14"/>
      <c r="C44" s="14"/>
      <c r="D44" s="14"/>
      <c r="E44" s="44"/>
      <c r="F44" s="44"/>
      <c r="G44" s="44">
        <f>SUMIFS(CB_plan!$G:$G,CB_plan!$F:$F,$A44)</f>
        <v>0</v>
      </c>
      <c r="H44" s="44">
        <f t="shared" si="39"/>
        <v>0</v>
      </c>
      <c r="I44" s="14"/>
      <c r="J44" s="44"/>
      <c r="K44" s="44" t="str">
        <f>IF(A44="","",Inputs!$B$13/((IF(AV44="",Inputs!$B$18,AV44)+Inputs!$B$14)^Inputs!$B$15))</f>
        <v/>
      </c>
      <c r="L44" s="44" t="str">
        <f>IF(A44="","",IF(H44="","",0.000000278*IF(I44&lt;&gt;"",I44,IFERROR(SUMIFS(CB_plan!$H:$H,CB_plan!$F:$F,$A44)/SUMIFS(CB_plan!$G:$G,CB_plan!$F:$F,$A44),Inputs!$B$17))*H44*K44))</f>
        <v/>
      </c>
      <c r="M44" s="44" t="str">
        <f t="shared" si="40"/>
        <v/>
      </c>
      <c r="N44" s="44" t="str">
        <f>IF(A44="","",(L44+M44)*Inputs!$B$16)</f>
        <v/>
      </c>
      <c r="O44" s="44"/>
      <c r="P44" s="44" t="str">
        <f>IF(A44="","",IF(O44="",Inputs!$B$7,O44))</f>
        <v/>
      </c>
      <c r="Q44" s="14" t="str">
        <f>IF(A44="","",IF(N44/Inputs!$B$10&lt;=AG44,Inputs!$F$5,IF(N44/Inputs!$B$10&gt;AP44,"OVERSIZE",INDEX(Inputs!$F$5:$F$14,MATCH(N44/Inputs!$B$10,AG44:AP44,1)+1))))</f>
        <v/>
      </c>
      <c r="R44" s="14"/>
      <c r="S44" s="14" t="str">
        <f t="shared" si="41"/>
        <v/>
      </c>
      <c r="T44" s="44" t="str">
        <f t="shared" si="42"/>
        <v/>
      </c>
      <c r="U44" s="44" t="str">
        <f>IF(T44="","",(1/Inputs!$B$9)*(PI()*T44^2/4)*((T44/4)^(2/3))*SQRT(P44))</f>
        <v/>
      </c>
      <c r="V44" s="44" t="str">
        <f>IF(OR(U44="",N44=""),"",N44/(U44*Inputs!$B$10))</f>
        <v/>
      </c>
      <c r="W44" s="44" t="str">
        <f t="shared" si="43"/>
        <v/>
      </c>
      <c r="X44" s="44"/>
      <c r="Y44" s="44" t="str">
        <f>IF(A44="","",IF(A44=Inputs!$B$6,Inputs!$B$22,IF(D44="","",IFERROR(INDEX($Z$4:$Z$201,MATCH(D44,$A$4:$A$201,0))+IF(X44="",Inputs!$B$20,X44),""))))</f>
        <v/>
      </c>
      <c r="Z44" s="44" t="str">
        <f t="shared" si="44"/>
        <v/>
      </c>
      <c r="AA44" s="44" t="str">
        <f>IF(C44="","",IFERROR(INDEX(Noeuds_plan!$C$4:$C$200,MATCH(C44,Noeuds_plan!$A$4:$A$200,0)),""))</f>
        <v/>
      </c>
      <c r="AB44" s="44" t="str">
        <f>IF(B44="","",IFERROR(INDEX(Noeuds_plan!$C$4:$C$200,MATCH(B44,Noeuds_plan!$A$4:$A$200,0)),""))</f>
        <v/>
      </c>
      <c r="AC44" s="44" t="str">
        <f t="shared" si="45"/>
        <v/>
      </c>
      <c r="AD44" s="44" t="str">
        <f t="shared" si="46"/>
        <v/>
      </c>
      <c r="AE44" s="14" t="str">
        <f>IF(A44="","",IF(OR(V44&gt;1,AND(AY44&lt;&gt;"",AY44&lt;Inputs!$B$11),AND(AY44&lt;&gt;"",AY44&gt;Inputs!$B$12),AC44&lt;Inputs!$B$19,AD44&lt;Inputs!$B$19,P44&lt;Inputs!$B$7,P44&gt;Inputs!$B$8),"CHECK","OK"))</f>
        <v/>
      </c>
      <c r="AF44" s="14"/>
      <c r="AG44" s="14" t="str">
        <f>IF(A44="","",(1/Inputs!$B$9)*(PI()*(Inputs!$F$5/1000)^2/4)*((Inputs!$F$5/1000/4)^(2/3))*SQRT(P44))</f>
        <v/>
      </c>
      <c r="AH44" s="14" t="str">
        <f>IF(A44="","",(1/Inputs!$B$9)*(PI()*(Inputs!$F$6/1000)^2/4)*((Inputs!$F$6/1000/4)^(2/3))*SQRT(P44))</f>
        <v/>
      </c>
      <c r="AI44" s="14" t="str">
        <f>IF(A44="","",(1/Inputs!$B$9)*(PI()*(Inputs!$F$7/1000)^2/4)*((Inputs!$F$7/1000/4)^(2/3))*SQRT(P44))</f>
        <v/>
      </c>
      <c r="AJ44" s="14" t="str">
        <f>IF(A44="","",(1/Inputs!$B$9)*(PI()*(Inputs!$F$8/1000)^2/4)*((Inputs!$F$8/1000/4)^(2/3))*SQRT(P44))</f>
        <v/>
      </c>
      <c r="AK44" s="14" t="str">
        <f>IF(A44="","",(1/Inputs!$B$9)*(PI()*(Inputs!$F$9/1000)^2/4)*((Inputs!$F$9/1000/4)^(2/3))*SQRT(P44))</f>
        <v/>
      </c>
      <c r="AL44" s="14" t="str">
        <f>IF(A44="","",(1/Inputs!$B$9)*(PI()*(Inputs!$F$10/1000)^2/4)*((Inputs!$F$10/1000/4)^(2/3))*SQRT(P44))</f>
        <v/>
      </c>
      <c r="AM44" s="14" t="str">
        <f>IF(A44="","",(1/Inputs!$B$9)*(PI()*(Inputs!$F$11/1000)^2/4)*((Inputs!$F$11/1000/4)^(2/3))*SQRT(P44))</f>
        <v/>
      </c>
      <c r="AN44" s="14" t="str">
        <f>IF(A44="","",(1/Inputs!$B$9)*(PI()*(Inputs!$F$12/1000)^2/4)*((Inputs!$F$12/1000/4)^(2/3))*SQRT(P44))</f>
        <v/>
      </c>
      <c r="AO44" s="14" t="str">
        <f>IF(A44="","",(1/Inputs!$B$9)*(PI()*(Inputs!$F$13/1000)^2/4)*((Inputs!$F$13/1000/4)^(2/3))*SQRT(P44))</f>
        <v/>
      </c>
      <c r="AP44" s="14" t="str">
        <f>IF(A44="","",(1/Inputs!$B$9)*(PI()*(Inputs!$F$14/1000)^2/4)*((Inputs!$F$14/1000/4)^(2/3))*SQRT(P44))</f>
        <v/>
      </c>
      <c r="AQ44" s="14" t="str">
        <f t="shared" si="47"/>
        <v/>
      </c>
      <c r="AR44" s="14" t="str">
        <f t="shared" si="48"/>
        <v/>
      </c>
      <c r="AS44" s="17" t="str">
        <f>IF(A44="","",IF(J44="",Inputs!$B$18,J44))</f>
        <v/>
      </c>
      <c r="AT44" s="17" t="str">
        <f>IF(A44="","",IFERROR(_xludf.maxifs($AV$4:$AV$201,$D$4:$D$201,$A44),""))</f>
        <v/>
      </c>
      <c r="AU44" s="17" t="str">
        <f>IF(A44="","",IF(OR(E44="",Inputs!$B$23=""),"",E44/(Inputs!$B$23*60)))</f>
        <v/>
      </c>
      <c r="AV44" s="17" t="str">
        <f t="shared" si="49"/>
        <v/>
      </c>
      <c r="AW44" s="17" t="str">
        <f t="shared" si="50"/>
        <v/>
      </c>
      <c r="AX44" s="17" t="str">
        <f>IF(OR(T44="",P44=""),"",(1/Inputs!$B$9)*((T44/4)^(2/3))*SQRT(P44))</f>
        <v/>
      </c>
      <c r="AY44" s="17" t="str">
        <f>IF(A44="","",IF(AND(AW44="",AX44="",BA44=""),"",IF(OR(UPPER(TRIM(Inputs!$B$24))="MANNING",UPPER(TRIM(Inputs!$B$24))="M"),AX44,IF(OR(UPPER(TRIM(Inputs!$B$24))="PARTIAL",UPPER(TRIM(Inputs!$B$24))="P"),BA44,IF(OR(UPPER(TRIM(Inputs!$B$24))="MAX",UPPER(TRIM(Inputs!$B$24))="X"),MAX(IF(AW44="",0,AW44),IF(AX44="",0,AX44),IF(BA44="",0,BA44)),AW44)))))</f>
        <v/>
      </c>
      <c r="AZ44" s="17" t="str">
        <f t="shared" si="51"/>
        <v/>
      </c>
      <c r="BA44" s="17" t="str">
        <f t="shared" si="52"/>
        <v/>
      </c>
      <c r="BB44" s="14" t="str">
        <f t="shared" si="53"/>
        <v/>
      </c>
      <c r="BC44" s="14" t="str">
        <f>IF(OR(N44="",T44="",P44=""),"",IF(OR(T44="",P44="",(0.94*T44)="",T44&lt;=0,(0.94*T44)&lt;=0),"",(1/Inputs!$B$9)*((T44^2/8)*((2*ACOS(1-2*(0.94*T44)/T44))-SIN((2*ACOS(1-2*(0.94*T44)/T44)))))*((((T44^2/8)*((2*ACOS(1-2*(0.94*T44)/T44))-SIN((2*ACOS(1-2*(0.94*T44)/T44)))))/((T44/2)*((2*ACOS(1-2*(0.94*T44)/T44)))))^(2/3))*SQRT(P44)))</f>
        <v/>
      </c>
      <c r="BD44" s="14" t="str">
        <f t="shared" si="54"/>
        <v/>
      </c>
      <c r="BE44" s="14" t="str">
        <f t="shared" si="55"/>
        <v/>
      </c>
      <c r="BF44" s="14" t="str">
        <f t="shared" si="56"/>
        <v/>
      </c>
      <c r="BG44" s="14" t="str">
        <f>IF(OR(T44="",P44="",BF44="",T44&lt;=0,BF44&lt;=0),"",(1/Inputs!$B$9)*((T44^2/8)*((2*ACOS(1-2*BF44/T44))-SIN((2*ACOS(1-2*BF44/T44)))))*((((T44^2/8)*((2*ACOS(1-2*BF44/T44))-SIN((2*ACOS(1-2*BF44/T44)))))/((T44/2)*((2*ACOS(1-2*BF44/T44)))))^(2/3))*SQRT(P44))</f>
        <v/>
      </c>
      <c r="BH44" s="14" t="str">
        <f t="shared" si="57"/>
        <v/>
      </c>
      <c r="BI44" s="14" t="str">
        <f t="shared" si="58"/>
        <v/>
      </c>
      <c r="BJ44" s="14" t="str">
        <f t="shared" si="59"/>
        <v/>
      </c>
      <c r="BK44" s="14" t="str">
        <f>IF(OR(T44="",P44="",BJ44="",T44&lt;=0,BJ44&lt;=0),"",(1/Inputs!$B$9)*((T44^2/8)*((2*ACOS(1-2*BJ44/T44))-SIN((2*ACOS(1-2*BJ44/T44)))))*((((T44^2/8)*((2*ACOS(1-2*BJ44/T44))-SIN((2*ACOS(1-2*BJ44/T44)))))/((T44/2)*((2*ACOS(1-2*BJ44/T44)))))^(2/3))*SQRT(P44))</f>
        <v/>
      </c>
      <c r="BL44" s="14" t="str">
        <f t="shared" si="60"/>
        <v/>
      </c>
      <c r="BM44" s="14" t="str">
        <f t="shared" si="61"/>
        <v/>
      </c>
      <c r="BN44" s="14" t="str">
        <f t="shared" si="62"/>
        <v/>
      </c>
      <c r="BO44" s="14" t="str">
        <f>IF(OR(T44="",P44="",BN44="",T44&lt;=0,BN44&lt;=0),"",(1/Inputs!$B$9)*((T44^2/8)*((2*ACOS(1-2*BN44/T44))-SIN((2*ACOS(1-2*BN44/T44)))))*((((T44^2/8)*((2*ACOS(1-2*BN44/T44))-SIN((2*ACOS(1-2*BN44/T44)))))/((T44/2)*((2*ACOS(1-2*BN44/T44)))))^(2/3))*SQRT(P44))</f>
        <v/>
      </c>
      <c r="BP44" s="14" t="str">
        <f t="shared" si="63"/>
        <v/>
      </c>
      <c r="BQ44" s="14" t="str">
        <f t="shared" si="64"/>
        <v/>
      </c>
      <c r="BR44" s="14" t="str">
        <f t="shared" si="65"/>
        <v/>
      </c>
      <c r="BS44" s="14" t="str">
        <f>IF(OR(T44="",P44="",BR44="",T44&lt;=0,BR44&lt;=0),"",(1/Inputs!$B$9)*((T44^2/8)*((2*ACOS(1-2*BR44/T44))-SIN((2*ACOS(1-2*BR44/T44)))))*((((T44^2/8)*((2*ACOS(1-2*BR44/T44))-SIN((2*ACOS(1-2*BR44/T44)))))/((T44/2)*((2*ACOS(1-2*BR44/T44)))))^(2/3))*SQRT(P44))</f>
        <v/>
      </c>
      <c r="BT44" s="14" t="str">
        <f t="shared" si="66"/>
        <v/>
      </c>
      <c r="BU44" s="14" t="str">
        <f t="shared" si="67"/>
        <v/>
      </c>
      <c r="BV44" s="14" t="str">
        <f t="shared" si="68"/>
        <v/>
      </c>
      <c r="BW44" s="14" t="str">
        <f>IF(OR(T44="",P44="",BV44="",T44&lt;=0,BV44&lt;=0),"",(1/Inputs!$B$9)*((T44^2/8)*((2*ACOS(1-2*BV44/T44))-SIN((2*ACOS(1-2*BV44/T44)))))*((((T44^2/8)*((2*ACOS(1-2*BV44/T44))-SIN((2*ACOS(1-2*BV44/T44)))))/((T44/2)*((2*ACOS(1-2*BV44/T44)))))^(2/3))*SQRT(P44))</f>
        <v/>
      </c>
      <c r="BX44" s="14" t="str">
        <f t="shared" si="69"/>
        <v/>
      </c>
      <c r="BY44" s="14" t="str">
        <f t="shared" si="70"/>
        <v/>
      </c>
      <c r="BZ44" s="14" t="str">
        <f t="shared" si="71"/>
        <v/>
      </c>
      <c r="CA44" s="14" t="str">
        <f>IF(OR(T44="",P44="",BZ44="",T44&lt;=0,BZ44&lt;=0),"",(1/Inputs!$B$9)*((T44^2/8)*((2*ACOS(1-2*BZ44/T44))-SIN((2*ACOS(1-2*BZ44/T44)))))*((((T44^2/8)*((2*ACOS(1-2*BZ44/T44))-SIN((2*ACOS(1-2*BZ44/T44)))))/((T44/2)*((2*ACOS(1-2*BZ44/T44)))))^(2/3))*SQRT(P44))</f>
        <v/>
      </c>
      <c r="CB44" s="14" t="str">
        <f t="shared" si="72"/>
        <v/>
      </c>
      <c r="CC44" s="14" t="str">
        <f t="shared" si="73"/>
        <v/>
      </c>
      <c r="CD44" s="14" t="str">
        <f t="shared" si="74"/>
        <v/>
      </c>
      <c r="CE44" s="14" t="str">
        <f>IF(OR(T44="",P44="",CD44="",T44&lt;=0,CD44&lt;=0),"",(1/Inputs!$B$9)*((T44^2/8)*((2*ACOS(1-2*CD44/T44))-SIN((2*ACOS(1-2*CD44/T44)))))*((((T44^2/8)*((2*ACOS(1-2*CD44/T44))-SIN((2*ACOS(1-2*CD44/T44)))))/((T44/2)*((2*ACOS(1-2*CD44/T44)))))^(2/3))*SQRT(P44))</f>
        <v/>
      </c>
      <c r="CF44" s="14" t="str">
        <f t="shared" si="75"/>
        <v/>
      </c>
      <c r="CG44" s="14" t="str">
        <f t="shared" si="76"/>
        <v/>
      </c>
      <c r="CH44" s="14" t="str">
        <f t="shared" si="77"/>
        <v/>
      </c>
    </row>
    <row r="45" spans="1:86" x14ac:dyDescent="0.25">
      <c r="A45" s="14"/>
      <c r="B45" s="14"/>
      <c r="C45" s="14"/>
      <c r="D45" s="14"/>
      <c r="E45" s="44"/>
      <c r="F45" s="44"/>
      <c r="G45" s="44">
        <f>SUMIFS(CB_plan!$G:$G,CB_plan!$F:$F,$A45)</f>
        <v>0</v>
      </c>
      <c r="H45" s="44">
        <f t="shared" si="39"/>
        <v>0</v>
      </c>
      <c r="I45" s="14"/>
      <c r="J45" s="44"/>
      <c r="K45" s="44" t="str">
        <f>IF(A45="","",Inputs!$B$13/((IF(AV45="",Inputs!$B$18,AV45)+Inputs!$B$14)^Inputs!$B$15))</f>
        <v/>
      </c>
      <c r="L45" s="44" t="str">
        <f>IF(A45="","",IF(H45="","",0.000000278*IF(I45&lt;&gt;"",I45,IFERROR(SUMIFS(CB_plan!$H:$H,CB_plan!$F:$F,$A45)/SUMIFS(CB_plan!$G:$G,CB_plan!$F:$F,$A45),Inputs!$B$17))*H45*K45))</f>
        <v/>
      </c>
      <c r="M45" s="44" t="str">
        <f t="shared" si="40"/>
        <v/>
      </c>
      <c r="N45" s="44" t="str">
        <f>IF(A45="","",(L45+M45)*Inputs!$B$16)</f>
        <v/>
      </c>
      <c r="O45" s="44"/>
      <c r="P45" s="44" t="str">
        <f>IF(A45="","",IF(O45="",Inputs!$B$7,O45))</f>
        <v/>
      </c>
      <c r="Q45" s="14" t="str">
        <f>IF(A45="","",IF(N45/Inputs!$B$10&lt;=AG45,Inputs!$F$5,IF(N45/Inputs!$B$10&gt;AP45,"OVERSIZE",INDEX(Inputs!$F$5:$F$14,MATCH(N45/Inputs!$B$10,AG45:AP45,1)+1))))</f>
        <v/>
      </c>
      <c r="R45" s="14"/>
      <c r="S45" s="14" t="str">
        <f t="shared" si="41"/>
        <v/>
      </c>
      <c r="T45" s="44" t="str">
        <f t="shared" si="42"/>
        <v/>
      </c>
      <c r="U45" s="44" t="str">
        <f>IF(T45="","",(1/Inputs!$B$9)*(PI()*T45^2/4)*((T45/4)^(2/3))*SQRT(P45))</f>
        <v/>
      </c>
      <c r="V45" s="44" t="str">
        <f>IF(OR(U45="",N45=""),"",N45/(U45*Inputs!$B$10))</f>
        <v/>
      </c>
      <c r="W45" s="44" t="str">
        <f t="shared" si="43"/>
        <v/>
      </c>
      <c r="X45" s="44"/>
      <c r="Y45" s="44" t="str">
        <f>IF(A45="","",IF(A45=Inputs!$B$6,Inputs!$B$22,IF(D45="","",IFERROR(INDEX($Z$4:$Z$201,MATCH(D45,$A$4:$A$201,0))+IF(X45="",Inputs!$B$20,X45),""))))</f>
        <v/>
      </c>
      <c r="Z45" s="44" t="str">
        <f t="shared" si="44"/>
        <v/>
      </c>
      <c r="AA45" s="44" t="str">
        <f>IF(C45="","",IFERROR(INDEX(Noeuds_plan!$C$4:$C$200,MATCH(C45,Noeuds_plan!$A$4:$A$200,0)),""))</f>
        <v/>
      </c>
      <c r="AB45" s="44" t="str">
        <f>IF(B45="","",IFERROR(INDEX(Noeuds_plan!$C$4:$C$200,MATCH(B45,Noeuds_plan!$A$4:$A$200,0)),""))</f>
        <v/>
      </c>
      <c r="AC45" s="44" t="str">
        <f t="shared" si="45"/>
        <v/>
      </c>
      <c r="AD45" s="44" t="str">
        <f t="shared" si="46"/>
        <v/>
      </c>
      <c r="AE45" s="14" t="str">
        <f>IF(A45="","",IF(OR(V45&gt;1,AND(AY45&lt;&gt;"",AY45&lt;Inputs!$B$11),AND(AY45&lt;&gt;"",AY45&gt;Inputs!$B$12),AC45&lt;Inputs!$B$19,AD45&lt;Inputs!$B$19,P45&lt;Inputs!$B$7,P45&gt;Inputs!$B$8),"CHECK","OK"))</f>
        <v/>
      </c>
      <c r="AF45" s="14"/>
      <c r="AG45" s="14" t="str">
        <f>IF(A45="","",(1/Inputs!$B$9)*(PI()*(Inputs!$F$5/1000)^2/4)*((Inputs!$F$5/1000/4)^(2/3))*SQRT(P45))</f>
        <v/>
      </c>
      <c r="AH45" s="14" t="str">
        <f>IF(A45="","",(1/Inputs!$B$9)*(PI()*(Inputs!$F$6/1000)^2/4)*((Inputs!$F$6/1000/4)^(2/3))*SQRT(P45))</f>
        <v/>
      </c>
      <c r="AI45" s="14" t="str">
        <f>IF(A45="","",(1/Inputs!$B$9)*(PI()*(Inputs!$F$7/1000)^2/4)*((Inputs!$F$7/1000/4)^(2/3))*SQRT(P45))</f>
        <v/>
      </c>
      <c r="AJ45" s="14" t="str">
        <f>IF(A45="","",(1/Inputs!$B$9)*(PI()*(Inputs!$F$8/1000)^2/4)*((Inputs!$F$8/1000/4)^(2/3))*SQRT(P45))</f>
        <v/>
      </c>
      <c r="AK45" s="14" t="str">
        <f>IF(A45="","",(1/Inputs!$B$9)*(PI()*(Inputs!$F$9/1000)^2/4)*((Inputs!$F$9/1000/4)^(2/3))*SQRT(P45))</f>
        <v/>
      </c>
      <c r="AL45" s="14" t="str">
        <f>IF(A45="","",(1/Inputs!$B$9)*(PI()*(Inputs!$F$10/1000)^2/4)*((Inputs!$F$10/1000/4)^(2/3))*SQRT(P45))</f>
        <v/>
      </c>
      <c r="AM45" s="14" t="str">
        <f>IF(A45="","",(1/Inputs!$B$9)*(PI()*(Inputs!$F$11/1000)^2/4)*((Inputs!$F$11/1000/4)^(2/3))*SQRT(P45))</f>
        <v/>
      </c>
      <c r="AN45" s="14" t="str">
        <f>IF(A45="","",(1/Inputs!$B$9)*(PI()*(Inputs!$F$12/1000)^2/4)*((Inputs!$F$12/1000/4)^(2/3))*SQRT(P45))</f>
        <v/>
      </c>
      <c r="AO45" s="14" t="str">
        <f>IF(A45="","",(1/Inputs!$B$9)*(PI()*(Inputs!$F$13/1000)^2/4)*((Inputs!$F$13/1000/4)^(2/3))*SQRT(P45))</f>
        <v/>
      </c>
      <c r="AP45" s="14" t="str">
        <f>IF(A45="","",(1/Inputs!$B$9)*(PI()*(Inputs!$F$14/1000)^2/4)*((Inputs!$F$14/1000/4)^(2/3))*SQRT(P45))</f>
        <v/>
      </c>
      <c r="AQ45" s="14" t="str">
        <f t="shared" si="47"/>
        <v/>
      </c>
      <c r="AR45" s="14" t="str">
        <f t="shared" si="48"/>
        <v/>
      </c>
      <c r="AS45" s="17" t="str">
        <f>IF(A45="","",IF(J45="",Inputs!$B$18,J45))</f>
        <v/>
      </c>
      <c r="AT45" s="17" t="str">
        <f>IF(A45="","",IFERROR(_xludf.maxifs($AV$4:$AV$201,$D$4:$D$201,$A45),""))</f>
        <v/>
      </c>
      <c r="AU45" s="17" t="str">
        <f>IF(A45="","",IF(OR(E45="",Inputs!$B$23=""),"",E45/(Inputs!$B$23*60)))</f>
        <v/>
      </c>
      <c r="AV45" s="17" t="str">
        <f t="shared" si="49"/>
        <v/>
      </c>
      <c r="AW45" s="17" t="str">
        <f t="shared" si="50"/>
        <v/>
      </c>
      <c r="AX45" s="17" t="str">
        <f>IF(OR(T45="",P45=""),"",(1/Inputs!$B$9)*((T45/4)^(2/3))*SQRT(P45))</f>
        <v/>
      </c>
      <c r="AY45" s="17" t="str">
        <f>IF(A45="","",IF(AND(AW45="",AX45="",BA45=""),"",IF(OR(UPPER(TRIM(Inputs!$B$24))="MANNING",UPPER(TRIM(Inputs!$B$24))="M"),AX45,IF(OR(UPPER(TRIM(Inputs!$B$24))="PARTIAL",UPPER(TRIM(Inputs!$B$24))="P"),BA45,IF(OR(UPPER(TRIM(Inputs!$B$24))="MAX",UPPER(TRIM(Inputs!$B$24))="X"),MAX(IF(AW45="",0,AW45),IF(AX45="",0,AX45),IF(BA45="",0,BA45)),AW45)))))</f>
        <v/>
      </c>
      <c r="AZ45" s="17" t="str">
        <f t="shared" si="51"/>
        <v/>
      </c>
      <c r="BA45" s="17" t="str">
        <f t="shared" si="52"/>
        <v/>
      </c>
      <c r="BB45" s="14" t="str">
        <f t="shared" si="53"/>
        <v/>
      </c>
      <c r="BC45" s="14" t="str">
        <f>IF(OR(N45="",T45="",P45=""),"",IF(OR(T45="",P45="",(0.94*T45)="",T45&lt;=0,(0.94*T45)&lt;=0),"",(1/Inputs!$B$9)*((T45^2/8)*((2*ACOS(1-2*(0.94*T45)/T45))-SIN((2*ACOS(1-2*(0.94*T45)/T45)))))*((((T45^2/8)*((2*ACOS(1-2*(0.94*T45)/T45))-SIN((2*ACOS(1-2*(0.94*T45)/T45)))))/((T45/2)*((2*ACOS(1-2*(0.94*T45)/T45)))))^(2/3))*SQRT(P45)))</f>
        <v/>
      </c>
      <c r="BD45" s="14" t="str">
        <f t="shared" si="54"/>
        <v/>
      </c>
      <c r="BE45" s="14" t="str">
        <f t="shared" si="55"/>
        <v/>
      </c>
      <c r="BF45" s="14" t="str">
        <f t="shared" si="56"/>
        <v/>
      </c>
      <c r="BG45" s="14" t="str">
        <f>IF(OR(T45="",P45="",BF45="",T45&lt;=0,BF45&lt;=0),"",(1/Inputs!$B$9)*((T45^2/8)*((2*ACOS(1-2*BF45/T45))-SIN((2*ACOS(1-2*BF45/T45)))))*((((T45^2/8)*((2*ACOS(1-2*BF45/T45))-SIN((2*ACOS(1-2*BF45/T45)))))/((T45/2)*((2*ACOS(1-2*BF45/T45)))))^(2/3))*SQRT(P45))</f>
        <v/>
      </c>
      <c r="BH45" s="14" t="str">
        <f t="shared" si="57"/>
        <v/>
      </c>
      <c r="BI45" s="14" t="str">
        <f t="shared" si="58"/>
        <v/>
      </c>
      <c r="BJ45" s="14" t="str">
        <f t="shared" si="59"/>
        <v/>
      </c>
      <c r="BK45" s="14" t="str">
        <f>IF(OR(T45="",P45="",BJ45="",T45&lt;=0,BJ45&lt;=0),"",(1/Inputs!$B$9)*((T45^2/8)*((2*ACOS(1-2*BJ45/T45))-SIN((2*ACOS(1-2*BJ45/T45)))))*((((T45^2/8)*((2*ACOS(1-2*BJ45/T45))-SIN((2*ACOS(1-2*BJ45/T45)))))/((T45/2)*((2*ACOS(1-2*BJ45/T45)))))^(2/3))*SQRT(P45))</f>
        <v/>
      </c>
      <c r="BL45" s="14" t="str">
        <f t="shared" si="60"/>
        <v/>
      </c>
      <c r="BM45" s="14" t="str">
        <f t="shared" si="61"/>
        <v/>
      </c>
      <c r="BN45" s="14" t="str">
        <f t="shared" si="62"/>
        <v/>
      </c>
      <c r="BO45" s="14" t="str">
        <f>IF(OR(T45="",P45="",BN45="",T45&lt;=0,BN45&lt;=0),"",(1/Inputs!$B$9)*((T45^2/8)*((2*ACOS(1-2*BN45/T45))-SIN((2*ACOS(1-2*BN45/T45)))))*((((T45^2/8)*((2*ACOS(1-2*BN45/T45))-SIN((2*ACOS(1-2*BN45/T45)))))/((T45/2)*((2*ACOS(1-2*BN45/T45)))))^(2/3))*SQRT(P45))</f>
        <v/>
      </c>
      <c r="BP45" s="14" t="str">
        <f t="shared" si="63"/>
        <v/>
      </c>
      <c r="BQ45" s="14" t="str">
        <f t="shared" si="64"/>
        <v/>
      </c>
      <c r="BR45" s="14" t="str">
        <f t="shared" si="65"/>
        <v/>
      </c>
      <c r="BS45" s="14" t="str">
        <f>IF(OR(T45="",P45="",BR45="",T45&lt;=0,BR45&lt;=0),"",(1/Inputs!$B$9)*((T45^2/8)*((2*ACOS(1-2*BR45/T45))-SIN((2*ACOS(1-2*BR45/T45)))))*((((T45^2/8)*((2*ACOS(1-2*BR45/T45))-SIN((2*ACOS(1-2*BR45/T45)))))/((T45/2)*((2*ACOS(1-2*BR45/T45)))))^(2/3))*SQRT(P45))</f>
        <v/>
      </c>
      <c r="BT45" s="14" t="str">
        <f t="shared" si="66"/>
        <v/>
      </c>
      <c r="BU45" s="14" t="str">
        <f t="shared" si="67"/>
        <v/>
      </c>
      <c r="BV45" s="14" t="str">
        <f t="shared" si="68"/>
        <v/>
      </c>
      <c r="BW45" s="14" t="str">
        <f>IF(OR(T45="",P45="",BV45="",T45&lt;=0,BV45&lt;=0),"",(1/Inputs!$B$9)*((T45^2/8)*((2*ACOS(1-2*BV45/T45))-SIN((2*ACOS(1-2*BV45/T45)))))*((((T45^2/8)*((2*ACOS(1-2*BV45/T45))-SIN((2*ACOS(1-2*BV45/T45)))))/((T45/2)*((2*ACOS(1-2*BV45/T45)))))^(2/3))*SQRT(P45))</f>
        <v/>
      </c>
      <c r="BX45" s="14" t="str">
        <f t="shared" si="69"/>
        <v/>
      </c>
      <c r="BY45" s="14" t="str">
        <f t="shared" si="70"/>
        <v/>
      </c>
      <c r="BZ45" s="14" t="str">
        <f t="shared" si="71"/>
        <v/>
      </c>
      <c r="CA45" s="14" t="str">
        <f>IF(OR(T45="",P45="",BZ45="",T45&lt;=0,BZ45&lt;=0),"",(1/Inputs!$B$9)*((T45^2/8)*((2*ACOS(1-2*BZ45/T45))-SIN((2*ACOS(1-2*BZ45/T45)))))*((((T45^2/8)*((2*ACOS(1-2*BZ45/T45))-SIN((2*ACOS(1-2*BZ45/T45)))))/((T45/2)*((2*ACOS(1-2*BZ45/T45)))))^(2/3))*SQRT(P45))</f>
        <v/>
      </c>
      <c r="CB45" s="14" t="str">
        <f t="shared" si="72"/>
        <v/>
      </c>
      <c r="CC45" s="14" t="str">
        <f t="shared" si="73"/>
        <v/>
      </c>
      <c r="CD45" s="14" t="str">
        <f t="shared" si="74"/>
        <v/>
      </c>
      <c r="CE45" s="14" t="str">
        <f>IF(OR(T45="",P45="",CD45="",T45&lt;=0,CD45&lt;=0),"",(1/Inputs!$B$9)*((T45^2/8)*((2*ACOS(1-2*CD45/T45))-SIN((2*ACOS(1-2*CD45/T45)))))*((((T45^2/8)*((2*ACOS(1-2*CD45/T45))-SIN((2*ACOS(1-2*CD45/T45)))))/((T45/2)*((2*ACOS(1-2*CD45/T45)))))^(2/3))*SQRT(P45))</f>
        <v/>
      </c>
      <c r="CF45" s="14" t="str">
        <f t="shared" si="75"/>
        <v/>
      </c>
      <c r="CG45" s="14" t="str">
        <f t="shared" si="76"/>
        <v/>
      </c>
      <c r="CH45" s="14" t="str">
        <f t="shared" si="77"/>
        <v/>
      </c>
    </row>
    <row r="46" spans="1:86" x14ac:dyDescent="0.25">
      <c r="A46" s="14"/>
      <c r="B46" s="14"/>
      <c r="C46" s="14"/>
      <c r="D46" s="14"/>
      <c r="E46" s="44"/>
      <c r="F46" s="44"/>
      <c r="G46" s="44">
        <f>SUMIFS(CB_plan!$G:$G,CB_plan!$F:$F,$A46)</f>
        <v>0</v>
      </c>
      <c r="H46" s="44">
        <f t="shared" si="39"/>
        <v>0</v>
      </c>
      <c r="I46" s="14"/>
      <c r="J46" s="44"/>
      <c r="K46" s="44" t="str">
        <f>IF(A46="","",Inputs!$B$13/((IF(AV46="",Inputs!$B$18,AV46)+Inputs!$B$14)^Inputs!$B$15))</f>
        <v/>
      </c>
      <c r="L46" s="44" t="str">
        <f>IF(A46="","",IF(H46="","",0.000000278*IF(I46&lt;&gt;"",I46,IFERROR(SUMIFS(CB_plan!$H:$H,CB_plan!$F:$F,$A46)/SUMIFS(CB_plan!$G:$G,CB_plan!$F:$F,$A46),Inputs!$B$17))*H46*K46))</f>
        <v/>
      </c>
      <c r="M46" s="44" t="str">
        <f t="shared" si="40"/>
        <v/>
      </c>
      <c r="N46" s="44" t="str">
        <f>IF(A46="","",(L46+M46)*Inputs!$B$16)</f>
        <v/>
      </c>
      <c r="O46" s="44"/>
      <c r="P46" s="44" t="str">
        <f>IF(A46="","",IF(O46="",Inputs!$B$7,O46))</f>
        <v/>
      </c>
      <c r="Q46" s="14" t="str">
        <f>IF(A46="","",IF(N46/Inputs!$B$10&lt;=AG46,Inputs!$F$5,IF(N46/Inputs!$B$10&gt;AP46,"OVERSIZE",INDEX(Inputs!$F$5:$F$14,MATCH(N46/Inputs!$B$10,AG46:AP46,1)+1))))</f>
        <v/>
      </c>
      <c r="R46" s="14"/>
      <c r="S46" s="14" t="str">
        <f t="shared" si="41"/>
        <v/>
      </c>
      <c r="T46" s="44" t="str">
        <f t="shared" si="42"/>
        <v/>
      </c>
      <c r="U46" s="44" t="str">
        <f>IF(T46="","",(1/Inputs!$B$9)*(PI()*T46^2/4)*((T46/4)^(2/3))*SQRT(P46))</f>
        <v/>
      </c>
      <c r="V46" s="44" t="str">
        <f>IF(OR(U46="",N46=""),"",N46/(U46*Inputs!$B$10))</f>
        <v/>
      </c>
      <c r="W46" s="44" t="str">
        <f t="shared" si="43"/>
        <v/>
      </c>
      <c r="X46" s="44"/>
      <c r="Y46" s="44" t="str">
        <f>IF(A46="","",IF(A46=Inputs!$B$6,Inputs!$B$22,IF(D46="","",IFERROR(INDEX($Z$4:$Z$201,MATCH(D46,$A$4:$A$201,0))+IF(X46="",Inputs!$B$20,X46),""))))</f>
        <v/>
      </c>
      <c r="Z46" s="44" t="str">
        <f t="shared" si="44"/>
        <v/>
      </c>
      <c r="AA46" s="44" t="str">
        <f>IF(C46="","",IFERROR(INDEX(Noeuds_plan!$C$4:$C$200,MATCH(C46,Noeuds_plan!$A$4:$A$200,0)),""))</f>
        <v/>
      </c>
      <c r="AB46" s="44" t="str">
        <f>IF(B46="","",IFERROR(INDEX(Noeuds_plan!$C$4:$C$200,MATCH(B46,Noeuds_plan!$A$4:$A$200,0)),""))</f>
        <v/>
      </c>
      <c r="AC46" s="44" t="str">
        <f t="shared" si="45"/>
        <v/>
      </c>
      <c r="AD46" s="44" t="str">
        <f t="shared" si="46"/>
        <v/>
      </c>
      <c r="AE46" s="14" t="str">
        <f>IF(A46="","",IF(OR(V46&gt;1,AND(AY46&lt;&gt;"",AY46&lt;Inputs!$B$11),AND(AY46&lt;&gt;"",AY46&gt;Inputs!$B$12),AC46&lt;Inputs!$B$19,AD46&lt;Inputs!$B$19,P46&lt;Inputs!$B$7,P46&gt;Inputs!$B$8),"CHECK","OK"))</f>
        <v/>
      </c>
      <c r="AF46" s="14"/>
      <c r="AG46" s="14" t="str">
        <f>IF(A46="","",(1/Inputs!$B$9)*(PI()*(Inputs!$F$5/1000)^2/4)*((Inputs!$F$5/1000/4)^(2/3))*SQRT(P46))</f>
        <v/>
      </c>
      <c r="AH46" s="14" t="str">
        <f>IF(A46="","",(1/Inputs!$B$9)*(PI()*(Inputs!$F$6/1000)^2/4)*((Inputs!$F$6/1000/4)^(2/3))*SQRT(P46))</f>
        <v/>
      </c>
      <c r="AI46" s="14" t="str">
        <f>IF(A46="","",(1/Inputs!$B$9)*(PI()*(Inputs!$F$7/1000)^2/4)*((Inputs!$F$7/1000/4)^(2/3))*SQRT(P46))</f>
        <v/>
      </c>
      <c r="AJ46" s="14" t="str">
        <f>IF(A46="","",(1/Inputs!$B$9)*(PI()*(Inputs!$F$8/1000)^2/4)*((Inputs!$F$8/1000/4)^(2/3))*SQRT(P46))</f>
        <v/>
      </c>
      <c r="AK46" s="14" t="str">
        <f>IF(A46="","",(1/Inputs!$B$9)*(PI()*(Inputs!$F$9/1000)^2/4)*((Inputs!$F$9/1000/4)^(2/3))*SQRT(P46))</f>
        <v/>
      </c>
      <c r="AL46" s="14" t="str">
        <f>IF(A46="","",(1/Inputs!$B$9)*(PI()*(Inputs!$F$10/1000)^2/4)*((Inputs!$F$10/1000/4)^(2/3))*SQRT(P46))</f>
        <v/>
      </c>
      <c r="AM46" s="14" t="str">
        <f>IF(A46="","",(1/Inputs!$B$9)*(PI()*(Inputs!$F$11/1000)^2/4)*((Inputs!$F$11/1000/4)^(2/3))*SQRT(P46))</f>
        <v/>
      </c>
      <c r="AN46" s="14" t="str">
        <f>IF(A46="","",(1/Inputs!$B$9)*(PI()*(Inputs!$F$12/1000)^2/4)*((Inputs!$F$12/1000/4)^(2/3))*SQRT(P46))</f>
        <v/>
      </c>
      <c r="AO46" s="14" t="str">
        <f>IF(A46="","",(1/Inputs!$B$9)*(PI()*(Inputs!$F$13/1000)^2/4)*((Inputs!$F$13/1000/4)^(2/3))*SQRT(P46))</f>
        <v/>
      </c>
      <c r="AP46" s="14" t="str">
        <f>IF(A46="","",(1/Inputs!$B$9)*(PI()*(Inputs!$F$14/1000)^2/4)*((Inputs!$F$14/1000/4)^(2/3))*SQRT(P46))</f>
        <v/>
      </c>
      <c r="AQ46" s="14" t="str">
        <f t="shared" si="47"/>
        <v/>
      </c>
      <c r="AR46" s="14" t="str">
        <f t="shared" si="48"/>
        <v/>
      </c>
      <c r="AS46" s="17" t="str">
        <f>IF(A46="","",IF(J46="",Inputs!$B$18,J46))</f>
        <v/>
      </c>
      <c r="AT46" s="17" t="str">
        <f>IF(A46="","",IFERROR(_xludf.maxifs($AV$4:$AV$201,$D$4:$D$201,$A46),""))</f>
        <v/>
      </c>
      <c r="AU46" s="17" t="str">
        <f>IF(A46="","",IF(OR(E46="",Inputs!$B$23=""),"",E46/(Inputs!$B$23*60)))</f>
        <v/>
      </c>
      <c r="AV46" s="17" t="str">
        <f t="shared" si="49"/>
        <v/>
      </c>
      <c r="AW46" s="17" t="str">
        <f t="shared" si="50"/>
        <v/>
      </c>
      <c r="AX46" s="17" t="str">
        <f>IF(OR(T46="",P46=""),"",(1/Inputs!$B$9)*((T46/4)^(2/3))*SQRT(P46))</f>
        <v/>
      </c>
      <c r="AY46" s="17" t="str">
        <f>IF(A46="","",IF(AND(AW46="",AX46="",BA46=""),"",IF(OR(UPPER(TRIM(Inputs!$B$24))="MANNING",UPPER(TRIM(Inputs!$B$24))="M"),AX46,IF(OR(UPPER(TRIM(Inputs!$B$24))="PARTIAL",UPPER(TRIM(Inputs!$B$24))="P"),BA46,IF(OR(UPPER(TRIM(Inputs!$B$24))="MAX",UPPER(TRIM(Inputs!$B$24))="X"),MAX(IF(AW46="",0,AW46),IF(AX46="",0,AX46),IF(BA46="",0,BA46)),AW46)))))</f>
        <v/>
      </c>
      <c r="AZ46" s="17" t="str">
        <f t="shared" si="51"/>
        <v/>
      </c>
      <c r="BA46" s="17" t="str">
        <f t="shared" si="52"/>
        <v/>
      </c>
      <c r="BB46" s="14" t="str">
        <f t="shared" si="53"/>
        <v/>
      </c>
      <c r="BC46" s="14" t="str">
        <f>IF(OR(N46="",T46="",P46=""),"",IF(OR(T46="",P46="",(0.94*T46)="",T46&lt;=0,(0.94*T46)&lt;=0),"",(1/Inputs!$B$9)*((T46^2/8)*((2*ACOS(1-2*(0.94*T46)/T46))-SIN((2*ACOS(1-2*(0.94*T46)/T46)))))*((((T46^2/8)*((2*ACOS(1-2*(0.94*T46)/T46))-SIN((2*ACOS(1-2*(0.94*T46)/T46)))))/((T46/2)*((2*ACOS(1-2*(0.94*T46)/T46)))))^(2/3))*SQRT(P46)))</f>
        <v/>
      </c>
      <c r="BD46" s="14" t="str">
        <f t="shared" si="54"/>
        <v/>
      </c>
      <c r="BE46" s="14" t="str">
        <f t="shared" si="55"/>
        <v/>
      </c>
      <c r="BF46" s="14" t="str">
        <f t="shared" si="56"/>
        <v/>
      </c>
      <c r="BG46" s="14" t="str">
        <f>IF(OR(T46="",P46="",BF46="",T46&lt;=0,BF46&lt;=0),"",(1/Inputs!$B$9)*((T46^2/8)*((2*ACOS(1-2*BF46/T46))-SIN((2*ACOS(1-2*BF46/T46)))))*((((T46^2/8)*((2*ACOS(1-2*BF46/T46))-SIN((2*ACOS(1-2*BF46/T46)))))/((T46/2)*((2*ACOS(1-2*BF46/T46)))))^(2/3))*SQRT(P46))</f>
        <v/>
      </c>
      <c r="BH46" s="14" t="str">
        <f t="shared" si="57"/>
        <v/>
      </c>
      <c r="BI46" s="14" t="str">
        <f t="shared" si="58"/>
        <v/>
      </c>
      <c r="BJ46" s="14" t="str">
        <f t="shared" si="59"/>
        <v/>
      </c>
      <c r="BK46" s="14" t="str">
        <f>IF(OR(T46="",P46="",BJ46="",T46&lt;=0,BJ46&lt;=0),"",(1/Inputs!$B$9)*((T46^2/8)*((2*ACOS(1-2*BJ46/T46))-SIN((2*ACOS(1-2*BJ46/T46)))))*((((T46^2/8)*((2*ACOS(1-2*BJ46/T46))-SIN((2*ACOS(1-2*BJ46/T46)))))/((T46/2)*((2*ACOS(1-2*BJ46/T46)))))^(2/3))*SQRT(P46))</f>
        <v/>
      </c>
      <c r="BL46" s="14" t="str">
        <f t="shared" si="60"/>
        <v/>
      </c>
      <c r="BM46" s="14" t="str">
        <f t="shared" si="61"/>
        <v/>
      </c>
      <c r="BN46" s="14" t="str">
        <f t="shared" si="62"/>
        <v/>
      </c>
      <c r="BO46" s="14" t="str">
        <f>IF(OR(T46="",P46="",BN46="",T46&lt;=0,BN46&lt;=0),"",(1/Inputs!$B$9)*((T46^2/8)*((2*ACOS(1-2*BN46/T46))-SIN((2*ACOS(1-2*BN46/T46)))))*((((T46^2/8)*((2*ACOS(1-2*BN46/T46))-SIN((2*ACOS(1-2*BN46/T46)))))/((T46/2)*((2*ACOS(1-2*BN46/T46)))))^(2/3))*SQRT(P46))</f>
        <v/>
      </c>
      <c r="BP46" s="14" t="str">
        <f t="shared" si="63"/>
        <v/>
      </c>
      <c r="BQ46" s="14" t="str">
        <f t="shared" si="64"/>
        <v/>
      </c>
      <c r="BR46" s="14" t="str">
        <f t="shared" si="65"/>
        <v/>
      </c>
      <c r="BS46" s="14" t="str">
        <f>IF(OR(T46="",P46="",BR46="",T46&lt;=0,BR46&lt;=0),"",(1/Inputs!$B$9)*((T46^2/8)*((2*ACOS(1-2*BR46/T46))-SIN((2*ACOS(1-2*BR46/T46)))))*((((T46^2/8)*((2*ACOS(1-2*BR46/T46))-SIN((2*ACOS(1-2*BR46/T46)))))/((T46/2)*((2*ACOS(1-2*BR46/T46)))))^(2/3))*SQRT(P46))</f>
        <v/>
      </c>
      <c r="BT46" s="14" t="str">
        <f t="shared" si="66"/>
        <v/>
      </c>
      <c r="BU46" s="14" t="str">
        <f t="shared" si="67"/>
        <v/>
      </c>
      <c r="BV46" s="14" t="str">
        <f t="shared" si="68"/>
        <v/>
      </c>
      <c r="BW46" s="14" t="str">
        <f>IF(OR(T46="",P46="",BV46="",T46&lt;=0,BV46&lt;=0),"",(1/Inputs!$B$9)*((T46^2/8)*((2*ACOS(1-2*BV46/T46))-SIN((2*ACOS(1-2*BV46/T46)))))*((((T46^2/8)*((2*ACOS(1-2*BV46/T46))-SIN((2*ACOS(1-2*BV46/T46)))))/((T46/2)*((2*ACOS(1-2*BV46/T46)))))^(2/3))*SQRT(P46))</f>
        <v/>
      </c>
      <c r="BX46" s="14" t="str">
        <f t="shared" si="69"/>
        <v/>
      </c>
      <c r="BY46" s="14" t="str">
        <f t="shared" si="70"/>
        <v/>
      </c>
      <c r="BZ46" s="14" t="str">
        <f t="shared" si="71"/>
        <v/>
      </c>
      <c r="CA46" s="14" t="str">
        <f>IF(OR(T46="",P46="",BZ46="",T46&lt;=0,BZ46&lt;=0),"",(1/Inputs!$B$9)*((T46^2/8)*((2*ACOS(1-2*BZ46/T46))-SIN((2*ACOS(1-2*BZ46/T46)))))*((((T46^2/8)*((2*ACOS(1-2*BZ46/T46))-SIN((2*ACOS(1-2*BZ46/T46)))))/((T46/2)*((2*ACOS(1-2*BZ46/T46)))))^(2/3))*SQRT(P46))</f>
        <v/>
      </c>
      <c r="CB46" s="14" t="str">
        <f t="shared" si="72"/>
        <v/>
      </c>
      <c r="CC46" s="14" t="str">
        <f t="shared" si="73"/>
        <v/>
      </c>
      <c r="CD46" s="14" t="str">
        <f t="shared" si="74"/>
        <v/>
      </c>
      <c r="CE46" s="14" t="str">
        <f>IF(OR(T46="",P46="",CD46="",T46&lt;=0,CD46&lt;=0),"",(1/Inputs!$B$9)*((T46^2/8)*((2*ACOS(1-2*CD46/T46))-SIN((2*ACOS(1-2*CD46/T46)))))*((((T46^2/8)*((2*ACOS(1-2*CD46/T46))-SIN((2*ACOS(1-2*CD46/T46)))))/((T46/2)*((2*ACOS(1-2*CD46/T46)))))^(2/3))*SQRT(P46))</f>
        <v/>
      </c>
      <c r="CF46" s="14" t="str">
        <f t="shared" si="75"/>
        <v/>
      </c>
      <c r="CG46" s="14" t="str">
        <f t="shared" si="76"/>
        <v/>
      </c>
      <c r="CH46" s="14" t="str">
        <f t="shared" si="77"/>
        <v/>
      </c>
    </row>
    <row r="47" spans="1:86" x14ac:dyDescent="0.25">
      <c r="A47" s="14"/>
      <c r="B47" s="14"/>
      <c r="C47" s="14"/>
      <c r="D47" s="14"/>
      <c r="E47" s="44"/>
      <c r="F47" s="44"/>
      <c r="G47" s="44">
        <f>SUMIFS(CB_plan!$G:$G,CB_plan!$F:$F,$A47)</f>
        <v>0</v>
      </c>
      <c r="H47" s="44">
        <f t="shared" si="39"/>
        <v>0</v>
      </c>
      <c r="I47" s="14"/>
      <c r="J47" s="44"/>
      <c r="K47" s="44" t="str">
        <f>IF(A47="","",Inputs!$B$13/((IF(AV47="",Inputs!$B$18,AV47)+Inputs!$B$14)^Inputs!$B$15))</f>
        <v/>
      </c>
      <c r="L47" s="44" t="str">
        <f>IF(A47="","",IF(H47="","",0.000000278*IF(I47&lt;&gt;"",I47,IFERROR(SUMIFS(CB_plan!$H:$H,CB_plan!$F:$F,$A47)/SUMIFS(CB_plan!$G:$G,CB_plan!$F:$F,$A47),Inputs!$B$17))*H47*K47))</f>
        <v/>
      </c>
      <c r="M47" s="44" t="str">
        <f t="shared" si="40"/>
        <v/>
      </c>
      <c r="N47" s="44" t="str">
        <f>IF(A47="","",(L47+M47)*Inputs!$B$16)</f>
        <v/>
      </c>
      <c r="O47" s="44"/>
      <c r="P47" s="44" t="str">
        <f>IF(A47="","",IF(O47="",Inputs!$B$7,O47))</f>
        <v/>
      </c>
      <c r="Q47" s="14" t="str">
        <f>IF(A47="","",IF(N47/Inputs!$B$10&lt;=AG47,Inputs!$F$5,IF(N47/Inputs!$B$10&gt;AP47,"OVERSIZE",INDEX(Inputs!$F$5:$F$14,MATCH(N47/Inputs!$B$10,AG47:AP47,1)+1))))</f>
        <v/>
      </c>
      <c r="R47" s="14"/>
      <c r="S47" s="14" t="str">
        <f t="shared" si="41"/>
        <v/>
      </c>
      <c r="T47" s="44" t="str">
        <f t="shared" si="42"/>
        <v/>
      </c>
      <c r="U47" s="44" t="str">
        <f>IF(T47="","",(1/Inputs!$B$9)*(PI()*T47^2/4)*((T47/4)^(2/3))*SQRT(P47))</f>
        <v/>
      </c>
      <c r="V47" s="44" t="str">
        <f>IF(OR(U47="",N47=""),"",N47/(U47*Inputs!$B$10))</f>
        <v/>
      </c>
      <c r="W47" s="44" t="str">
        <f t="shared" si="43"/>
        <v/>
      </c>
      <c r="X47" s="44"/>
      <c r="Y47" s="44" t="str">
        <f>IF(A47="","",IF(A47=Inputs!$B$6,Inputs!$B$22,IF(D47="","",IFERROR(INDEX($Z$4:$Z$201,MATCH(D47,$A$4:$A$201,0))+IF(X47="",Inputs!$B$20,X47),""))))</f>
        <v/>
      </c>
      <c r="Z47" s="44" t="str">
        <f t="shared" si="44"/>
        <v/>
      </c>
      <c r="AA47" s="44" t="str">
        <f>IF(C47="","",IFERROR(INDEX(Noeuds_plan!$C$4:$C$200,MATCH(C47,Noeuds_plan!$A$4:$A$200,0)),""))</f>
        <v/>
      </c>
      <c r="AB47" s="44" t="str">
        <f>IF(B47="","",IFERROR(INDEX(Noeuds_plan!$C$4:$C$200,MATCH(B47,Noeuds_plan!$A$4:$A$200,0)),""))</f>
        <v/>
      </c>
      <c r="AC47" s="44" t="str">
        <f t="shared" si="45"/>
        <v/>
      </c>
      <c r="AD47" s="44" t="str">
        <f t="shared" si="46"/>
        <v/>
      </c>
      <c r="AE47" s="14" t="str">
        <f>IF(A47="","",IF(OR(V47&gt;1,AND(AY47&lt;&gt;"",AY47&lt;Inputs!$B$11),AND(AY47&lt;&gt;"",AY47&gt;Inputs!$B$12),AC47&lt;Inputs!$B$19,AD47&lt;Inputs!$B$19,P47&lt;Inputs!$B$7,P47&gt;Inputs!$B$8),"CHECK","OK"))</f>
        <v/>
      </c>
      <c r="AF47" s="14"/>
      <c r="AG47" s="14" t="str">
        <f>IF(A47="","",(1/Inputs!$B$9)*(PI()*(Inputs!$F$5/1000)^2/4)*((Inputs!$F$5/1000/4)^(2/3))*SQRT(P47))</f>
        <v/>
      </c>
      <c r="AH47" s="14" t="str">
        <f>IF(A47="","",(1/Inputs!$B$9)*(PI()*(Inputs!$F$6/1000)^2/4)*((Inputs!$F$6/1000/4)^(2/3))*SQRT(P47))</f>
        <v/>
      </c>
      <c r="AI47" s="14" t="str">
        <f>IF(A47="","",(1/Inputs!$B$9)*(PI()*(Inputs!$F$7/1000)^2/4)*((Inputs!$F$7/1000/4)^(2/3))*SQRT(P47))</f>
        <v/>
      </c>
      <c r="AJ47" s="14" t="str">
        <f>IF(A47="","",(1/Inputs!$B$9)*(PI()*(Inputs!$F$8/1000)^2/4)*((Inputs!$F$8/1000/4)^(2/3))*SQRT(P47))</f>
        <v/>
      </c>
      <c r="AK47" s="14" t="str">
        <f>IF(A47="","",(1/Inputs!$B$9)*(PI()*(Inputs!$F$9/1000)^2/4)*((Inputs!$F$9/1000/4)^(2/3))*SQRT(P47))</f>
        <v/>
      </c>
      <c r="AL47" s="14" t="str">
        <f>IF(A47="","",(1/Inputs!$B$9)*(PI()*(Inputs!$F$10/1000)^2/4)*((Inputs!$F$10/1000/4)^(2/3))*SQRT(P47))</f>
        <v/>
      </c>
      <c r="AM47" s="14" t="str">
        <f>IF(A47="","",(1/Inputs!$B$9)*(PI()*(Inputs!$F$11/1000)^2/4)*((Inputs!$F$11/1000/4)^(2/3))*SQRT(P47))</f>
        <v/>
      </c>
      <c r="AN47" s="14" t="str">
        <f>IF(A47="","",(1/Inputs!$B$9)*(PI()*(Inputs!$F$12/1000)^2/4)*((Inputs!$F$12/1000/4)^(2/3))*SQRT(P47))</f>
        <v/>
      </c>
      <c r="AO47" s="14" t="str">
        <f>IF(A47="","",(1/Inputs!$B$9)*(PI()*(Inputs!$F$13/1000)^2/4)*((Inputs!$F$13/1000/4)^(2/3))*SQRT(P47))</f>
        <v/>
      </c>
      <c r="AP47" s="14" t="str">
        <f>IF(A47="","",(1/Inputs!$B$9)*(PI()*(Inputs!$F$14/1000)^2/4)*((Inputs!$F$14/1000/4)^(2/3))*SQRT(P47))</f>
        <v/>
      </c>
      <c r="AQ47" s="14" t="str">
        <f t="shared" si="47"/>
        <v/>
      </c>
      <c r="AR47" s="14" t="str">
        <f t="shared" si="48"/>
        <v/>
      </c>
      <c r="AS47" s="17" t="str">
        <f>IF(A47="","",IF(J47="",Inputs!$B$18,J47))</f>
        <v/>
      </c>
      <c r="AT47" s="17" t="str">
        <f>IF(A47="","",IFERROR(_xludf.maxifs($AV$4:$AV$201,$D$4:$D$201,$A47),""))</f>
        <v/>
      </c>
      <c r="AU47" s="17" t="str">
        <f>IF(A47="","",IF(OR(E47="",Inputs!$B$23=""),"",E47/(Inputs!$B$23*60)))</f>
        <v/>
      </c>
      <c r="AV47" s="17" t="str">
        <f t="shared" si="49"/>
        <v/>
      </c>
      <c r="AW47" s="17" t="str">
        <f t="shared" si="50"/>
        <v/>
      </c>
      <c r="AX47" s="17" t="str">
        <f>IF(OR(T47="",P47=""),"",(1/Inputs!$B$9)*((T47/4)^(2/3))*SQRT(P47))</f>
        <v/>
      </c>
      <c r="AY47" s="17" t="str">
        <f>IF(A47="","",IF(AND(AW47="",AX47="",BA47=""),"",IF(OR(UPPER(TRIM(Inputs!$B$24))="MANNING",UPPER(TRIM(Inputs!$B$24))="M"),AX47,IF(OR(UPPER(TRIM(Inputs!$B$24))="PARTIAL",UPPER(TRIM(Inputs!$B$24))="P"),BA47,IF(OR(UPPER(TRIM(Inputs!$B$24))="MAX",UPPER(TRIM(Inputs!$B$24))="X"),MAX(IF(AW47="",0,AW47),IF(AX47="",0,AX47),IF(BA47="",0,BA47)),AW47)))))</f>
        <v/>
      </c>
      <c r="AZ47" s="17" t="str">
        <f t="shared" si="51"/>
        <v/>
      </c>
      <c r="BA47" s="17" t="str">
        <f t="shared" si="52"/>
        <v/>
      </c>
      <c r="BB47" s="14" t="str">
        <f t="shared" si="53"/>
        <v/>
      </c>
      <c r="BC47" s="14" t="str">
        <f>IF(OR(N47="",T47="",P47=""),"",IF(OR(T47="",P47="",(0.94*T47)="",T47&lt;=0,(0.94*T47)&lt;=0),"",(1/Inputs!$B$9)*((T47^2/8)*((2*ACOS(1-2*(0.94*T47)/T47))-SIN((2*ACOS(1-2*(0.94*T47)/T47)))))*((((T47^2/8)*((2*ACOS(1-2*(0.94*T47)/T47))-SIN((2*ACOS(1-2*(0.94*T47)/T47)))))/((T47/2)*((2*ACOS(1-2*(0.94*T47)/T47)))))^(2/3))*SQRT(P47)))</f>
        <v/>
      </c>
      <c r="BD47" s="14" t="str">
        <f t="shared" si="54"/>
        <v/>
      </c>
      <c r="BE47" s="14" t="str">
        <f t="shared" si="55"/>
        <v/>
      </c>
      <c r="BF47" s="14" t="str">
        <f t="shared" si="56"/>
        <v/>
      </c>
      <c r="BG47" s="14" t="str">
        <f>IF(OR(T47="",P47="",BF47="",T47&lt;=0,BF47&lt;=0),"",(1/Inputs!$B$9)*((T47^2/8)*((2*ACOS(1-2*BF47/T47))-SIN((2*ACOS(1-2*BF47/T47)))))*((((T47^2/8)*((2*ACOS(1-2*BF47/T47))-SIN((2*ACOS(1-2*BF47/T47)))))/((T47/2)*((2*ACOS(1-2*BF47/T47)))))^(2/3))*SQRT(P47))</f>
        <v/>
      </c>
      <c r="BH47" s="14" t="str">
        <f t="shared" si="57"/>
        <v/>
      </c>
      <c r="BI47" s="14" t="str">
        <f t="shared" si="58"/>
        <v/>
      </c>
      <c r="BJ47" s="14" t="str">
        <f t="shared" si="59"/>
        <v/>
      </c>
      <c r="BK47" s="14" t="str">
        <f>IF(OR(T47="",P47="",BJ47="",T47&lt;=0,BJ47&lt;=0),"",(1/Inputs!$B$9)*((T47^2/8)*((2*ACOS(1-2*BJ47/T47))-SIN((2*ACOS(1-2*BJ47/T47)))))*((((T47^2/8)*((2*ACOS(1-2*BJ47/T47))-SIN((2*ACOS(1-2*BJ47/T47)))))/((T47/2)*((2*ACOS(1-2*BJ47/T47)))))^(2/3))*SQRT(P47))</f>
        <v/>
      </c>
      <c r="BL47" s="14" t="str">
        <f t="shared" si="60"/>
        <v/>
      </c>
      <c r="BM47" s="14" t="str">
        <f t="shared" si="61"/>
        <v/>
      </c>
      <c r="BN47" s="14" t="str">
        <f t="shared" si="62"/>
        <v/>
      </c>
      <c r="BO47" s="14" t="str">
        <f>IF(OR(T47="",P47="",BN47="",T47&lt;=0,BN47&lt;=0),"",(1/Inputs!$B$9)*((T47^2/8)*((2*ACOS(1-2*BN47/T47))-SIN((2*ACOS(1-2*BN47/T47)))))*((((T47^2/8)*((2*ACOS(1-2*BN47/T47))-SIN((2*ACOS(1-2*BN47/T47)))))/((T47/2)*((2*ACOS(1-2*BN47/T47)))))^(2/3))*SQRT(P47))</f>
        <v/>
      </c>
      <c r="BP47" s="14" t="str">
        <f t="shared" si="63"/>
        <v/>
      </c>
      <c r="BQ47" s="14" t="str">
        <f t="shared" si="64"/>
        <v/>
      </c>
      <c r="BR47" s="14" t="str">
        <f t="shared" si="65"/>
        <v/>
      </c>
      <c r="BS47" s="14" t="str">
        <f>IF(OR(T47="",P47="",BR47="",T47&lt;=0,BR47&lt;=0),"",(1/Inputs!$B$9)*((T47^2/8)*((2*ACOS(1-2*BR47/T47))-SIN((2*ACOS(1-2*BR47/T47)))))*((((T47^2/8)*((2*ACOS(1-2*BR47/T47))-SIN((2*ACOS(1-2*BR47/T47)))))/((T47/2)*((2*ACOS(1-2*BR47/T47)))))^(2/3))*SQRT(P47))</f>
        <v/>
      </c>
      <c r="BT47" s="14" t="str">
        <f t="shared" si="66"/>
        <v/>
      </c>
      <c r="BU47" s="14" t="str">
        <f t="shared" si="67"/>
        <v/>
      </c>
      <c r="BV47" s="14" t="str">
        <f t="shared" si="68"/>
        <v/>
      </c>
      <c r="BW47" s="14" t="str">
        <f>IF(OR(T47="",P47="",BV47="",T47&lt;=0,BV47&lt;=0),"",(1/Inputs!$B$9)*((T47^2/8)*((2*ACOS(1-2*BV47/T47))-SIN((2*ACOS(1-2*BV47/T47)))))*((((T47^2/8)*((2*ACOS(1-2*BV47/T47))-SIN((2*ACOS(1-2*BV47/T47)))))/((T47/2)*((2*ACOS(1-2*BV47/T47)))))^(2/3))*SQRT(P47))</f>
        <v/>
      </c>
      <c r="BX47" s="14" t="str">
        <f t="shared" si="69"/>
        <v/>
      </c>
      <c r="BY47" s="14" t="str">
        <f t="shared" si="70"/>
        <v/>
      </c>
      <c r="BZ47" s="14" t="str">
        <f t="shared" si="71"/>
        <v/>
      </c>
      <c r="CA47" s="14" t="str">
        <f>IF(OR(T47="",P47="",BZ47="",T47&lt;=0,BZ47&lt;=0),"",(1/Inputs!$B$9)*((T47^2/8)*((2*ACOS(1-2*BZ47/T47))-SIN((2*ACOS(1-2*BZ47/T47)))))*((((T47^2/8)*((2*ACOS(1-2*BZ47/T47))-SIN((2*ACOS(1-2*BZ47/T47)))))/((T47/2)*((2*ACOS(1-2*BZ47/T47)))))^(2/3))*SQRT(P47))</f>
        <v/>
      </c>
      <c r="CB47" s="14" t="str">
        <f t="shared" si="72"/>
        <v/>
      </c>
      <c r="CC47" s="14" t="str">
        <f t="shared" si="73"/>
        <v/>
      </c>
      <c r="CD47" s="14" t="str">
        <f t="shared" si="74"/>
        <v/>
      </c>
      <c r="CE47" s="14" t="str">
        <f>IF(OR(T47="",P47="",CD47="",T47&lt;=0,CD47&lt;=0),"",(1/Inputs!$B$9)*((T47^2/8)*((2*ACOS(1-2*CD47/T47))-SIN((2*ACOS(1-2*CD47/T47)))))*((((T47^2/8)*((2*ACOS(1-2*CD47/T47))-SIN((2*ACOS(1-2*CD47/T47)))))/((T47/2)*((2*ACOS(1-2*CD47/T47)))))^(2/3))*SQRT(P47))</f>
        <v/>
      </c>
      <c r="CF47" s="14" t="str">
        <f t="shared" si="75"/>
        <v/>
      </c>
      <c r="CG47" s="14" t="str">
        <f t="shared" si="76"/>
        <v/>
      </c>
      <c r="CH47" s="14" t="str">
        <f t="shared" si="77"/>
        <v/>
      </c>
    </row>
    <row r="48" spans="1:86" x14ac:dyDescent="0.25">
      <c r="A48" s="14"/>
      <c r="B48" s="14"/>
      <c r="C48" s="14"/>
      <c r="D48" s="14"/>
      <c r="E48" s="44"/>
      <c r="F48" s="44"/>
      <c r="G48" s="44">
        <f>SUMIFS(CB_plan!$G:$G,CB_plan!$F:$F,$A48)</f>
        <v>0</v>
      </c>
      <c r="H48" s="44">
        <f t="shared" si="39"/>
        <v>0</v>
      </c>
      <c r="I48" s="14"/>
      <c r="J48" s="44"/>
      <c r="K48" s="44" t="str">
        <f>IF(A48="","",Inputs!$B$13/((IF(AV48="",Inputs!$B$18,AV48)+Inputs!$B$14)^Inputs!$B$15))</f>
        <v/>
      </c>
      <c r="L48" s="44" t="str">
        <f>IF(A48="","",IF(H48="","",0.000000278*IF(I48&lt;&gt;"",I48,IFERROR(SUMIFS(CB_plan!$H:$H,CB_plan!$F:$F,$A48)/SUMIFS(CB_plan!$G:$G,CB_plan!$F:$F,$A48),Inputs!$B$17))*H48*K48))</f>
        <v/>
      </c>
      <c r="M48" s="44" t="str">
        <f t="shared" si="40"/>
        <v/>
      </c>
      <c r="N48" s="44" t="str">
        <f>IF(A48="","",(L48+M48)*Inputs!$B$16)</f>
        <v/>
      </c>
      <c r="O48" s="44"/>
      <c r="P48" s="44" t="str">
        <f>IF(A48="","",IF(O48="",Inputs!$B$7,O48))</f>
        <v/>
      </c>
      <c r="Q48" s="14" t="str">
        <f>IF(A48="","",IF(N48/Inputs!$B$10&lt;=AG48,Inputs!$F$5,IF(N48/Inputs!$B$10&gt;AP48,"OVERSIZE",INDEX(Inputs!$F$5:$F$14,MATCH(N48/Inputs!$B$10,AG48:AP48,1)+1))))</f>
        <v/>
      </c>
      <c r="R48" s="14"/>
      <c r="S48" s="14" t="str">
        <f t="shared" si="41"/>
        <v/>
      </c>
      <c r="T48" s="44" t="str">
        <f t="shared" si="42"/>
        <v/>
      </c>
      <c r="U48" s="44" t="str">
        <f>IF(T48="","",(1/Inputs!$B$9)*(PI()*T48^2/4)*((T48/4)^(2/3))*SQRT(P48))</f>
        <v/>
      </c>
      <c r="V48" s="44" t="str">
        <f>IF(OR(U48="",N48=""),"",N48/(U48*Inputs!$B$10))</f>
        <v/>
      </c>
      <c r="W48" s="44" t="str">
        <f t="shared" si="43"/>
        <v/>
      </c>
      <c r="X48" s="44"/>
      <c r="Y48" s="44" t="str">
        <f>IF(A48="","",IF(A48=Inputs!$B$6,Inputs!$B$22,IF(D48="","",IFERROR(INDEX($Z$4:$Z$201,MATCH(D48,$A$4:$A$201,0))+IF(X48="",Inputs!$B$20,X48),""))))</f>
        <v/>
      </c>
      <c r="Z48" s="44" t="str">
        <f t="shared" si="44"/>
        <v/>
      </c>
      <c r="AA48" s="44" t="str">
        <f>IF(C48="","",IFERROR(INDEX(Noeuds_plan!$C$4:$C$200,MATCH(C48,Noeuds_plan!$A$4:$A$200,0)),""))</f>
        <v/>
      </c>
      <c r="AB48" s="44" t="str">
        <f>IF(B48="","",IFERROR(INDEX(Noeuds_plan!$C$4:$C$200,MATCH(B48,Noeuds_plan!$A$4:$A$200,0)),""))</f>
        <v/>
      </c>
      <c r="AC48" s="44" t="str">
        <f t="shared" si="45"/>
        <v/>
      </c>
      <c r="AD48" s="44" t="str">
        <f t="shared" si="46"/>
        <v/>
      </c>
      <c r="AE48" s="14" t="str">
        <f>IF(A48="","",IF(OR(V48&gt;1,AND(AY48&lt;&gt;"",AY48&lt;Inputs!$B$11),AND(AY48&lt;&gt;"",AY48&gt;Inputs!$B$12),AC48&lt;Inputs!$B$19,AD48&lt;Inputs!$B$19,P48&lt;Inputs!$B$7,P48&gt;Inputs!$B$8),"CHECK","OK"))</f>
        <v/>
      </c>
      <c r="AF48" s="14"/>
      <c r="AG48" s="14" t="str">
        <f>IF(A48="","",(1/Inputs!$B$9)*(PI()*(Inputs!$F$5/1000)^2/4)*((Inputs!$F$5/1000/4)^(2/3))*SQRT(P48))</f>
        <v/>
      </c>
      <c r="AH48" s="14" t="str">
        <f>IF(A48="","",(1/Inputs!$B$9)*(PI()*(Inputs!$F$6/1000)^2/4)*((Inputs!$F$6/1000/4)^(2/3))*SQRT(P48))</f>
        <v/>
      </c>
      <c r="AI48" s="14" t="str">
        <f>IF(A48="","",(1/Inputs!$B$9)*(PI()*(Inputs!$F$7/1000)^2/4)*((Inputs!$F$7/1000/4)^(2/3))*SQRT(P48))</f>
        <v/>
      </c>
      <c r="AJ48" s="14" t="str">
        <f>IF(A48="","",(1/Inputs!$B$9)*(PI()*(Inputs!$F$8/1000)^2/4)*((Inputs!$F$8/1000/4)^(2/3))*SQRT(P48))</f>
        <v/>
      </c>
      <c r="AK48" s="14" t="str">
        <f>IF(A48="","",(1/Inputs!$B$9)*(PI()*(Inputs!$F$9/1000)^2/4)*((Inputs!$F$9/1000/4)^(2/3))*SQRT(P48))</f>
        <v/>
      </c>
      <c r="AL48" s="14" t="str">
        <f>IF(A48="","",(1/Inputs!$B$9)*(PI()*(Inputs!$F$10/1000)^2/4)*((Inputs!$F$10/1000/4)^(2/3))*SQRT(P48))</f>
        <v/>
      </c>
      <c r="AM48" s="14" t="str">
        <f>IF(A48="","",(1/Inputs!$B$9)*(PI()*(Inputs!$F$11/1000)^2/4)*((Inputs!$F$11/1000/4)^(2/3))*SQRT(P48))</f>
        <v/>
      </c>
      <c r="AN48" s="14" t="str">
        <f>IF(A48="","",(1/Inputs!$B$9)*(PI()*(Inputs!$F$12/1000)^2/4)*((Inputs!$F$12/1000/4)^(2/3))*SQRT(P48))</f>
        <v/>
      </c>
      <c r="AO48" s="14" t="str">
        <f>IF(A48="","",(1/Inputs!$B$9)*(PI()*(Inputs!$F$13/1000)^2/4)*((Inputs!$F$13/1000/4)^(2/3))*SQRT(P48))</f>
        <v/>
      </c>
      <c r="AP48" s="14" t="str">
        <f>IF(A48="","",(1/Inputs!$B$9)*(PI()*(Inputs!$F$14/1000)^2/4)*((Inputs!$F$14/1000/4)^(2/3))*SQRT(P48))</f>
        <v/>
      </c>
      <c r="AQ48" s="14" t="str">
        <f t="shared" si="47"/>
        <v/>
      </c>
      <c r="AR48" s="14" t="str">
        <f t="shared" si="48"/>
        <v/>
      </c>
      <c r="AS48" s="17" t="str">
        <f>IF(A48="","",IF(J48="",Inputs!$B$18,J48))</f>
        <v/>
      </c>
      <c r="AT48" s="17" t="str">
        <f>IF(A48="","",IFERROR(_xludf.maxifs($AV$4:$AV$201,$D$4:$D$201,$A48),""))</f>
        <v/>
      </c>
      <c r="AU48" s="17" t="str">
        <f>IF(A48="","",IF(OR(E48="",Inputs!$B$23=""),"",E48/(Inputs!$B$23*60)))</f>
        <v/>
      </c>
      <c r="AV48" s="17" t="str">
        <f t="shared" si="49"/>
        <v/>
      </c>
      <c r="AW48" s="17" t="str">
        <f t="shared" si="50"/>
        <v/>
      </c>
      <c r="AX48" s="17" t="str">
        <f>IF(OR(T48="",P48=""),"",(1/Inputs!$B$9)*((T48/4)^(2/3))*SQRT(P48))</f>
        <v/>
      </c>
      <c r="AY48" s="17" t="str">
        <f>IF(A48="","",IF(AND(AW48="",AX48="",BA48=""),"",IF(OR(UPPER(TRIM(Inputs!$B$24))="MANNING",UPPER(TRIM(Inputs!$B$24))="M"),AX48,IF(OR(UPPER(TRIM(Inputs!$B$24))="PARTIAL",UPPER(TRIM(Inputs!$B$24))="P"),BA48,IF(OR(UPPER(TRIM(Inputs!$B$24))="MAX",UPPER(TRIM(Inputs!$B$24))="X"),MAX(IF(AW48="",0,AW48),IF(AX48="",0,AX48),IF(BA48="",0,BA48)),AW48)))))</f>
        <v/>
      </c>
      <c r="AZ48" s="17" t="str">
        <f t="shared" si="51"/>
        <v/>
      </c>
      <c r="BA48" s="17" t="str">
        <f t="shared" si="52"/>
        <v/>
      </c>
      <c r="BB48" s="14" t="str">
        <f t="shared" si="53"/>
        <v/>
      </c>
      <c r="BC48" s="14" t="str">
        <f>IF(OR(N48="",T48="",P48=""),"",IF(OR(T48="",P48="",(0.94*T48)="",T48&lt;=0,(0.94*T48)&lt;=0),"",(1/Inputs!$B$9)*((T48^2/8)*((2*ACOS(1-2*(0.94*T48)/T48))-SIN((2*ACOS(1-2*(0.94*T48)/T48)))))*((((T48^2/8)*((2*ACOS(1-2*(0.94*T48)/T48))-SIN((2*ACOS(1-2*(0.94*T48)/T48)))))/((T48/2)*((2*ACOS(1-2*(0.94*T48)/T48)))))^(2/3))*SQRT(P48)))</f>
        <v/>
      </c>
      <c r="BD48" s="14" t="str">
        <f t="shared" si="54"/>
        <v/>
      </c>
      <c r="BE48" s="14" t="str">
        <f t="shared" si="55"/>
        <v/>
      </c>
      <c r="BF48" s="14" t="str">
        <f t="shared" si="56"/>
        <v/>
      </c>
      <c r="BG48" s="14" t="str">
        <f>IF(OR(T48="",P48="",BF48="",T48&lt;=0,BF48&lt;=0),"",(1/Inputs!$B$9)*((T48^2/8)*((2*ACOS(1-2*BF48/T48))-SIN((2*ACOS(1-2*BF48/T48)))))*((((T48^2/8)*((2*ACOS(1-2*BF48/T48))-SIN((2*ACOS(1-2*BF48/T48)))))/((T48/2)*((2*ACOS(1-2*BF48/T48)))))^(2/3))*SQRT(P48))</f>
        <v/>
      </c>
      <c r="BH48" s="14" t="str">
        <f t="shared" si="57"/>
        <v/>
      </c>
      <c r="BI48" s="14" t="str">
        <f t="shared" si="58"/>
        <v/>
      </c>
      <c r="BJ48" s="14" t="str">
        <f t="shared" si="59"/>
        <v/>
      </c>
      <c r="BK48" s="14" t="str">
        <f>IF(OR(T48="",P48="",BJ48="",T48&lt;=0,BJ48&lt;=0),"",(1/Inputs!$B$9)*((T48^2/8)*((2*ACOS(1-2*BJ48/T48))-SIN((2*ACOS(1-2*BJ48/T48)))))*((((T48^2/8)*((2*ACOS(1-2*BJ48/T48))-SIN((2*ACOS(1-2*BJ48/T48)))))/((T48/2)*((2*ACOS(1-2*BJ48/T48)))))^(2/3))*SQRT(P48))</f>
        <v/>
      </c>
      <c r="BL48" s="14" t="str">
        <f t="shared" si="60"/>
        <v/>
      </c>
      <c r="BM48" s="14" t="str">
        <f t="shared" si="61"/>
        <v/>
      </c>
      <c r="BN48" s="14" t="str">
        <f t="shared" si="62"/>
        <v/>
      </c>
      <c r="BO48" s="14" t="str">
        <f>IF(OR(T48="",P48="",BN48="",T48&lt;=0,BN48&lt;=0),"",(1/Inputs!$B$9)*((T48^2/8)*((2*ACOS(1-2*BN48/T48))-SIN((2*ACOS(1-2*BN48/T48)))))*((((T48^2/8)*((2*ACOS(1-2*BN48/T48))-SIN((2*ACOS(1-2*BN48/T48)))))/((T48/2)*((2*ACOS(1-2*BN48/T48)))))^(2/3))*SQRT(P48))</f>
        <v/>
      </c>
      <c r="BP48" s="14" t="str">
        <f t="shared" si="63"/>
        <v/>
      </c>
      <c r="BQ48" s="14" t="str">
        <f t="shared" si="64"/>
        <v/>
      </c>
      <c r="BR48" s="14" t="str">
        <f t="shared" si="65"/>
        <v/>
      </c>
      <c r="BS48" s="14" t="str">
        <f>IF(OR(T48="",P48="",BR48="",T48&lt;=0,BR48&lt;=0),"",(1/Inputs!$B$9)*((T48^2/8)*((2*ACOS(1-2*BR48/T48))-SIN((2*ACOS(1-2*BR48/T48)))))*((((T48^2/8)*((2*ACOS(1-2*BR48/T48))-SIN((2*ACOS(1-2*BR48/T48)))))/((T48/2)*((2*ACOS(1-2*BR48/T48)))))^(2/3))*SQRT(P48))</f>
        <v/>
      </c>
      <c r="BT48" s="14" t="str">
        <f t="shared" si="66"/>
        <v/>
      </c>
      <c r="BU48" s="14" t="str">
        <f t="shared" si="67"/>
        <v/>
      </c>
      <c r="BV48" s="14" t="str">
        <f t="shared" si="68"/>
        <v/>
      </c>
      <c r="BW48" s="14" t="str">
        <f>IF(OR(T48="",P48="",BV48="",T48&lt;=0,BV48&lt;=0),"",(1/Inputs!$B$9)*((T48^2/8)*((2*ACOS(1-2*BV48/T48))-SIN((2*ACOS(1-2*BV48/T48)))))*((((T48^2/8)*((2*ACOS(1-2*BV48/T48))-SIN((2*ACOS(1-2*BV48/T48)))))/((T48/2)*((2*ACOS(1-2*BV48/T48)))))^(2/3))*SQRT(P48))</f>
        <v/>
      </c>
      <c r="BX48" s="14" t="str">
        <f t="shared" si="69"/>
        <v/>
      </c>
      <c r="BY48" s="14" t="str">
        <f t="shared" si="70"/>
        <v/>
      </c>
      <c r="BZ48" s="14" t="str">
        <f t="shared" si="71"/>
        <v/>
      </c>
      <c r="CA48" s="14" t="str">
        <f>IF(OR(T48="",P48="",BZ48="",T48&lt;=0,BZ48&lt;=0),"",(1/Inputs!$B$9)*((T48^2/8)*((2*ACOS(1-2*BZ48/T48))-SIN((2*ACOS(1-2*BZ48/T48)))))*((((T48^2/8)*((2*ACOS(1-2*BZ48/T48))-SIN((2*ACOS(1-2*BZ48/T48)))))/((T48/2)*((2*ACOS(1-2*BZ48/T48)))))^(2/3))*SQRT(P48))</f>
        <v/>
      </c>
      <c r="CB48" s="14" t="str">
        <f t="shared" si="72"/>
        <v/>
      </c>
      <c r="CC48" s="14" t="str">
        <f t="shared" si="73"/>
        <v/>
      </c>
      <c r="CD48" s="14" t="str">
        <f t="shared" si="74"/>
        <v/>
      </c>
      <c r="CE48" s="14" t="str">
        <f>IF(OR(T48="",P48="",CD48="",T48&lt;=0,CD48&lt;=0),"",(1/Inputs!$B$9)*((T48^2/8)*((2*ACOS(1-2*CD48/T48))-SIN((2*ACOS(1-2*CD48/T48)))))*((((T48^2/8)*((2*ACOS(1-2*CD48/T48))-SIN((2*ACOS(1-2*CD48/T48)))))/((T48/2)*((2*ACOS(1-2*CD48/T48)))))^(2/3))*SQRT(P48))</f>
        <v/>
      </c>
      <c r="CF48" s="14" t="str">
        <f t="shared" si="75"/>
        <v/>
      </c>
      <c r="CG48" s="14" t="str">
        <f t="shared" si="76"/>
        <v/>
      </c>
      <c r="CH48" s="14" t="str">
        <f t="shared" si="77"/>
        <v/>
      </c>
    </row>
    <row r="49" spans="1:86" x14ac:dyDescent="0.25">
      <c r="A49" s="14"/>
      <c r="B49" s="14"/>
      <c r="C49" s="14"/>
      <c r="D49" s="14"/>
      <c r="E49" s="44"/>
      <c r="F49" s="44"/>
      <c r="G49" s="44">
        <f>SUMIFS(CB_plan!$G:$G,CB_plan!$F:$F,$A49)</f>
        <v>0</v>
      </c>
      <c r="H49" s="44">
        <f t="shared" si="39"/>
        <v>0</v>
      </c>
      <c r="I49" s="14"/>
      <c r="J49" s="44"/>
      <c r="K49" s="44" t="str">
        <f>IF(A49="","",Inputs!$B$13/((IF(AV49="",Inputs!$B$18,AV49)+Inputs!$B$14)^Inputs!$B$15))</f>
        <v/>
      </c>
      <c r="L49" s="44" t="str">
        <f>IF(A49="","",IF(H49="","",0.000000278*IF(I49&lt;&gt;"",I49,IFERROR(SUMIFS(CB_plan!$H:$H,CB_plan!$F:$F,$A49)/SUMIFS(CB_plan!$G:$G,CB_plan!$F:$F,$A49),Inputs!$B$17))*H49*K49))</f>
        <v/>
      </c>
      <c r="M49" s="44" t="str">
        <f t="shared" si="40"/>
        <v/>
      </c>
      <c r="N49" s="44" t="str">
        <f>IF(A49="","",(L49+M49)*Inputs!$B$16)</f>
        <v/>
      </c>
      <c r="O49" s="44"/>
      <c r="P49" s="44" t="str">
        <f>IF(A49="","",IF(O49="",Inputs!$B$7,O49))</f>
        <v/>
      </c>
      <c r="Q49" s="14" t="str">
        <f>IF(A49="","",IF(N49/Inputs!$B$10&lt;=AG49,Inputs!$F$5,IF(N49/Inputs!$B$10&gt;AP49,"OVERSIZE",INDEX(Inputs!$F$5:$F$14,MATCH(N49/Inputs!$B$10,AG49:AP49,1)+1))))</f>
        <v/>
      </c>
      <c r="R49" s="14"/>
      <c r="S49" s="14" t="str">
        <f t="shared" si="41"/>
        <v/>
      </c>
      <c r="T49" s="44" t="str">
        <f t="shared" si="42"/>
        <v/>
      </c>
      <c r="U49" s="44" t="str">
        <f>IF(T49="","",(1/Inputs!$B$9)*(PI()*T49^2/4)*((T49/4)^(2/3))*SQRT(P49))</f>
        <v/>
      </c>
      <c r="V49" s="44" t="str">
        <f>IF(OR(U49="",N49=""),"",N49/(U49*Inputs!$B$10))</f>
        <v/>
      </c>
      <c r="W49" s="44" t="str">
        <f t="shared" si="43"/>
        <v/>
      </c>
      <c r="X49" s="44"/>
      <c r="Y49" s="44" t="str">
        <f>IF(A49="","",IF(A49=Inputs!$B$6,Inputs!$B$22,IF(D49="","",IFERROR(INDEX($Z$4:$Z$201,MATCH(D49,$A$4:$A$201,0))+IF(X49="",Inputs!$B$20,X49),""))))</f>
        <v/>
      </c>
      <c r="Z49" s="44" t="str">
        <f t="shared" si="44"/>
        <v/>
      </c>
      <c r="AA49" s="44" t="str">
        <f>IF(C49="","",IFERROR(INDEX(Noeuds_plan!$C$4:$C$200,MATCH(C49,Noeuds_plan!$A$4:$A$200,0)),""))</f>
        <v/>
      </c>
      <c r="AB49" s="44" t="str">
        <f>IF(B49="","",IFERROR(INDEX(Noeuds_plan!$C$4:$C$200,MATCH(B49,Noeuds_plan!$A$4:$A$200,0)),""))</f>
        <v/>
      </c>
      <c r="AC49" s="44" t="str">
        <f t="shared" si="45"/>
        <v/>
      </c>
      <c r="AD49" s="44" t="str">
        <f t="shared" si="46"/>
        <v/>
      </c>
      <c r="AE49" s="14" t="str">
        <f>IF(A49="","",IF(OR(V49&gt;1,AND(AY49&lt;&gt;"",AY49&lt;Inputs!$B$11),AND(AY49&lt;&gt;"",AY49&gt;Inputs!$B$12),AC49&lt;Inputs!$B$19,AD49&lt;Inputs!$B$19,P49&lt;Inputs!$B$7,P49&gt;Inputs!$B$8),"CHECK","OK"))</f>
        <v/>
      </c>
      <c r="AF49" s="14"/>
      <c r="AG49" s="14" t="str">
        <f>IF(A49="","",(1/Inputs!$B$9)*(PI()*(Inputs!$F$5/1000)^2/4)*((Inputs!$F$5/1000/4)^(2/3))*SQRT(P49))</f>
        <v/>
      </c>
      <c r="AH49" s="14" t="str">
        <f>IF(A49="","",(1/Inputs!$B$9)*(PI()*(Inputs!$F$6/1000)^2/4)*((Inputs!$F$6/1000/4)^(2/3))*SQRT(P49))</f>
        <v/>
      </c>
      <c r="AI49" s="14" t="str">
        <f>IF(A49="","",(1/Inputs!$B$9)*(PI()*(Inputs!$F$7/1000)^2/4)*((Inputs!$F$7/1000/4)^(2/3))*SQRT(P49))</f>
        <v/>
      </c>
      <c r="AJ49" s="14" t="str">
        <f>IF(A49="","",(1/Inputs!$B$9)*(PI()*(Inputs!$F$8/1000)^2/4)*((Inputs!$F$8/1000/4)^(2/3))*SQRT(P49))</f>
        <v/>
      </c>
      <c r="AK49" s="14" t="str">
        <f>IF(A49="","",(1/Inputs!$B$9)*(PI()*(Inputs!$F$9/1000)^2/4)*((Inputs!$F$9/1000/4)^(2/3))*SQRT(P49))</f>
        <v/>
      </c>
      <c r="AL49" s="14" t="str">
        <f>IF(A49="","",(1/Inputs!$B$9)*(PI()*(Inputs!$F$10/1000)^2/4)*((Inputs!$F$10/1000/4)^(2/3))*SQRT(P49))</f>
        <v/>
      </c>
      <c r="AM49" s="14" t="str">
        <f>IF(A49="","",(1/Inputs!$B$9)*(PI()*(Inputs!$F$11/1000)^2/4)*((Inputs!$F$11/1000/4)^(2/3))*SQRT(P49))</f>
        <v/>
      </c>
      <c r="AN49" s="14" t="str">
        <f>IF(A49="","",(1/Inputs!$B$9)*(PI()*(Inputs!$F$12/1000)^2/4)*((Inputs!$F$12/1000/4)^(2/3))*SQRT(P49))</f>
        <v/>
      </c>
      <c r="AO49" s="14" t="str">
        <f>IF(A49="","",(1/Inputs!$B$9)*(PI()*(Inputs!$F$13/1000)^2/4)*((Inputs!$F$13/1000/4)^(2/3))*SQRT(P49))</f>
        <v/>
      </c>
      <c r="AP49" s="14" t="str">
        <f>IF(A49="","",(1/Inputs!$B$9)*(PI()*(Inputs!$F$14/1000)^2/4)*((Inputs!$F$14/1000/4)^(2/3))*SQRT(P49))</f>
        <v/>
      </c>
      <c r="AQ49" s="14" t="str">
        <f t="shared" si="47"/>
        <v/>
      </c>
      <c r="AR49" s="14" t="str">
        <f t="shared" si="48"/>
        <v/>
      </c>
      <c r="AS49" s="17" t="str">
        <f>IF(A49="","",IF(J49="",Inputs!$B$18,J49))</f>
        <v/>
      </c>
      <c r="AT49" s="17" t="str">
        <f>IF(A49="","",IFERROR(_xludf.maxifs($AV$4:$AV$201,$D$4:$D$201,$A49),""))</f>
        <v/>
      </c>
      <c r="AU49" s="17" t="str">
        <f>IF(A49="","",IF(OR(E49="",Inputs!$B$23=""),"",E49/(Inputs!$B$23*60)))</f>
        <v/>
      </c>
      <c r="AV49" s="17" t="str">
        <f t="shared" si="49"/>
        <v/>
      </c>
      <c r="AW49" s="17" t="str">
        <f t="shared" si="50"/>
        <v/>
      </c>
      <c r="AX49" s="17" t="str">
        <f>IF(OR(T49="",P49=""),"",(1/Inputs!$B$9)*((T49/4)^(2/3))*SQRT(P49))</f>
        <v/>
      </c>
      <c r="AY49" s="17" t="str">
        <f>IF(A49="","",IF(AND(AW49="",AX49="",BA49=""),"",IF(OR(UPPER(TRIM(Inputs!$B$24))="MANNING",UPPER(TRIM(Inputs!$B$24))="M"),AX49,IF(OR(UPPER(TRIM(Inputs!$B$24))="PARTIAL",UPPER(TRIM(Inputs!$B$24))="P"),BA49,IF(OR(UPPER(TRIM(Inputs!$B$24))="MAX",UPPER(TRIM(Inputs!$B$24))="X"),MAX(IF(AW49="",0,AW49),IF(AX49="",0,AX49),IF(BA49="",0,BA49)),AW49)))))</f>
        <v/>
      </c>
      <c r="AZ49" s="17" t="str">
        <f t="shared" si="51"/>
        <v/>
      </c>
      <c r="BA49" s="17" t="str">
        <f t="shared" si="52"/>
        <v/>
      </c>
      <c r="BB49" s="14" t="str">
        <f t="shared" si="53"/>
        <v/>
      </c>
      <c r="BC49" s="14" t="str">
        <f>IF(OR(N49="",T49="",P49=""),"",IF(OR(T49="",P49="",(0.94*T49)="",T49&lt;=0,(0.94*T49)&lt;=0),"",(1/Inputs!$B$9)*((T49^2/8)*((2*ACOS(1-2*(0.94*T49)/T49))-SIN((2*ACOS(1-2*(0.94*T49)/T49)))))*((((T49^2/8)*((2*ACOS(1-2*(0.94*T49)/T49))-SIN((2*ACOS(1-2*(0.94*T49)/T49)))))/((T49/2)*((2*ACOS(1-2*(0.94*T49)/T49)))))^(2/3))*SQRT(P49)))</f>
        <v/>
      </c>
      <c r="BD49" s="14" t="str">
        <f t="shared" si="54"/>
        <v/>
      </c>
      <c r="BE49" s="14" t="str">
        <f t="shared" si="55"/>
        <v/>
      </c>
      <c r="BF49" s="14" t="str">
        <f t="shared" si="56"/>
        <v/>
      </c>
      <c r="BG49" s="14" t="str">
        <f>IF(OR(T49="",P49="",BF49="",T49&lt;=0,BF49&lt;=0),"",(1/Inputs!$B$9)*((T49^2/8)*((2*ACOS(1-2*BF49/T49))-SIN((2*ACOS(1-2*BF49/T49)))))*((((T49^2/8)*((2*ACOS(1-2*BF49/T49))-SIN((2*ACOS(1-2*BF49/T49)))))/((T49/2)*((2*ACOS(1-2*BF49/T49)))))^(2/3))*SQRT(P49))</f>
        <v/>
      </c>
      <c r="BH49" s="14" t="str">
        <f t="shared" si="57"/>
        <v/>
      </c>
      <c r="BI49" s="14" t="str">
        <f t="shared" si="58"/>
        <v/>
      </c>
      <c r="BJ49" s="14" t="str">
        <f t="shared" si="59"/>
        <v/>
      </c>
      <c r="BK49" s="14" t="str">
        <f>IF(OR(T49="",P49="",BJ49="",T49&lt;=0,BJ49&lt;=0),"",(1/Inputs!$B$9)*((T49^2/8)*((2*ACOS(1-2*BJ49/T49))-SIN((2*ACOS(1-2*BJ49/T49)))))*((((T49^2/8)*((2*ACOS(1-2*BJ49/T49))-SIN((2*ACOS(1-2*BJ49/T49)))))/((T49/2)*((2*ACOS(1-2*BJ49/T49)))))^(2/3))*SQRT(P49))</f>
        <v/>
      </c>
      <c r="BL49" s="14" t="str">
        <f t="shared" si="60"/>
        <v/>
      </c>
      <c r="BM49" s="14" t="str">
        <f t="shared" si="61"/>
        <v/>
      </c>
      <c r="BN49" s="14" t="str">
        <f t="shared" si="62"/>
        <v/>
      </c>
      <c r="BO49" s="14" t="str">
        <f>IF(OR(T49="",P49="",BN49="",T49&lt;=0,BN49&lt;=0),"",(1/Inputs!$B$9)*((T49^2/8)*((2*ACOS(1-2*BN49/T49))-SIN((2*ACOS(1-2*BN49/T49)))))*((((T49^2/8)*((2*ACOS(1-2*BN49/T49))-SIN((2*ACOS(1-2*BN49/T49)))))/((T49/2)*((2*ACOS(1-2*BN49/T49)))))^(2/3))*SQRT(P49))</f>
        <v/>
      </c>
      <c r="BP49" s="14" t="str">
        <f t="shared" si="63"/>
        <v/>
      </c>
      <c r="BQ49" s="14" t="str">
        <f t="shared" si="64"/>
        <v/>
      </c>
      <c r="BR49" s="14" t="str">
        <f t="shared" si="65"/>
        <v/>
      </c>
      <c r="BS49" s="14" t="str">
        <f>IF(OR(T49="",P49="",BR49="",T49&lt;=0,BR49&lt;=0),"",(1/Inputs!$B$9)*((T49^2/8)*((2*ACOS(1-2*BR49/T49))-SIN((2*ACOS(1-2*BR49/T49)))))*((((T49^2/8)*((2*ACOS(1-2*BR49/T49))-SIN((2*ACOS(1-2*BR49/T49)))))/((T49/2)*((2*ACOS(1-2*BR49/T49)))))^(2/3))*SQRT(P49))</f>
        <v/>
      </c>
      <c r="BT49" s="14" t="str">
        <f t="shared" si="66"/>
        <v/>
      </c>
      <c r="BU49" s="14" t="str">
        <f t="shared" si="67"/>
        <v/>
      </c>
      <c r="BV49" s="14" t="str">
        <f t="shared" si="68"/>
        <v/>
      </c>
      <c r="BW49" s="14" t="str">
        <f>IF(OR(T49="",P49="",BV49="",T49&lt;=0,BV49&lt;=0),"",(1/Inputs!$B$9)*((T49^2/8)*((2*ACOS(1-2*BV49/T49))-SIN((2*ACOS(1-2*BV49/T49)))))*((((T49^2/8)*((2*ACOS(1-2*BV49/T49))-SIN((2*ACOS(1-2*BV49/T49)))))/((T49/2)*((2*ACOS(1-2*BV49/T49)))))^(2/3))*SQRT(P49))</f>
        <v/>
      </c>
      <c r="BX49" s="14" t="str">
        <f t="shared" si="69"/>
        <v/>
      </c>
      <c r="BY49" s="14" t="str">
        <f t="shared" si="70"/>
        <v/>
      </c>
      <c r="BZ49" s="14" t="str">
        <f t="shared" si="71"/>
        <v/>
      </c>
      <c r="CA49" s="14" t="str">
        <f>IF(OR(T49="",P49="",BZ49="",T49&lt;=0,BZ49&lt;=0),"",(1/Inputs!$B$9)*((T49^2/8)*((2*ACOS(1-2*BZ49/T49))-SIN((2*ACOS(1-2*BZ49/T49)))))*((((T49^2/8)*((2*ACOS(1-2*BZ49/T49))-SIN((2*ACOS(1-2*BZ49/T49)))))/((T49/2)*((2*ACOS(1-2*BZ49/T49)))))^(2/3))*SQRT(P49))</f>
        <v/>
      </c>
      <c r="CB49" s="14" t="str">
        <f t="shared" si="72"/>
        <v/>
      </c>
      <c r="CC49" s="14" t="str">
        <f t="shared" si="73"/>
        <v/>
      </c>
      <c r="CD49" s="14" t="str">
        <f t="shared" si="74"/>
        <v/>
      </c>
      <c r="CE49" s="14" t="str">
        <f>IF(OR(T49="",P49="",CD49="",T49&lt;=0,CD49&lt;=0),"",(1/Inputs!$B$9)*((T49^2/8)*((2*ACOS(1-2*CD49/T49))-SIN((2*ACOS(1-2*CD49/T49)))))*((((T49^2/8)*((2*ACOS(1-2*CD49/T49))-SIN((2*ACOS(1-2*CD49/T49)))))/((T49/2)*((2*ACOS(1-2*CD49/T49)))))^(2/3))*SQRT(P49))</f>
        <v/>
      </c>
      <c r="CF49" s="14" t="str">
        <f t="shared" si="75"/>
        <v/>
      </c>
      <c r="CG49" s="14" t="str">
        <f t="shared" si="76"/>
        <v/>
      </c>
      <c r="CH49" s="14" t="str">
        <f t="shared" si="77"/>
        <v/>
      </c>
    </row>
    <row r="50" spans="1:86" x14ac:dyDescent="0.25">
      <c r="A50" s="14"/>
      <c r="B50" s="14"/>
      <c r="C50" s="14"/>
      <c r="D50" s="14"/>
      <c r="E50" s="44"/>
      <c r="F50" s="44"/>
      <c r="G50" s="44">
        <f>SUMIFS(CB_plan!$G:$G,CB_plan!$F:$F,$A50)</f>
        <v>0</v>
      </c>
      <c r="H50" s="44">
        <f t="shared" si="39"/>
        <v>0</v>
      </c>
      <c r="I50" s="14"/>
      <c r="J50" s="44"/>
      <c r="K50" s="44" t="str">
        <f>IF(A50="","",Inputs!$B$13/((IF(AV50="",Inputs!$B$18,AV50)+Inputs!$B$14)^Inputs!$B$15))</f>
        <v/>
      </c>
      <c r="L50" s="44" t="str">
        <f>IF(A50="","",IF(H50="","",0.000000278*IF(I50&lt;&gt;"",I50,IFERROR(SUMIFS(CB_plan!$H:$H,CB_plan!$F:$F,$A50)/SUMIFS(CB_plan!$G:$G,CB_plan!$F:$F,$A50),Inputs!$B$17))*H50*K50))</f>
        <v/>
      </c>
      <c r="M50" s="44" t="str">
        <f t="shared" si="40"/>
        <v/>
      </c>
      <c r="N50" s="44" t="str">
        <f>IF(A50="","",(L50+M50)*Inputs!$B$16)</f>
        <v/>
      </c>
      <c r="O50" s="44"/>
      <c r="P50" s="44" t="str">
        <f>IF(A50="","",IF(O50="",Inputs!$B$7,O50))</f>
        <v/>
      </c>
      <c r="Q50" s="14" t="str">
        <f>IF(A50="","",IF(N50/Inputs!$B$10&lt;=AG50,Inputs!$F$5,IF(N50/Inputs!$B$10&gt;AP50,"OVERSIZE",INDEX(Inputs!$F$5:$F$14,MATCH(N50/Inputs!$B$10,AG50:AP50,1)+1))))</f>
        <v/>
      </c>
      <c r="R50" s="14"/>
      <c r="S50" s="14" t="str">
        <f t="shared" si="41"/>
        <v/>
      </c>
      <c r="T50" s="44" t="str">
        <f t="shared" si="42"/>
        <v/>
      </c>
      <c r="U50" s="44" t="str">
        <f>IF(T50="","",(1/Inputs!$B$9)*(PI()*T50^2/4)*((T50/4)^(2/3))*SQRT(P50))</f>
        <v/>
      </c>
      <c r="V50" s="44" t="str">
        <f>IF(OR(U50="",N50=""),"",N50/(U50*Inputs!$B$10))</f>
        <v/>
      </c>
      <c r="W50" s="44" t="str">
        <f t="shared" si="43"/>
        <v/>
      </c>
      <c r="X50" s="44"/>
      <c r="Y50" s="44" t="str">
        <f>IF(A50="","",IF(A50=Inputs!$B$6,Inputs!$B$22,IF(D50="","",IFERROR(INDEX($Z$4:$Z$201,MATCH(D50,$A$4:$A$201,0))+IF(X50="",Inputs!$B$20,X50),""))))</f>
        <v/>
      </c>
      <c r="Z50" s="44" t="str">
        <f t="shared" si="44"/>
        <v/>
      </c>
      <c r="AA50" s="44" t="str">
        <f>IF(C50="","",IFERROR(INDEX(Noeuds_plan!$C$4:$C$200,MATCH(C50,Noeuds_plan!$A$4:$A$200,0)),""))</f>
        <v/>
      </c>
      <c r="AB50" s="44" t="str">
        <f>IF(B50="","",IFERROR(INDEX(Noeuds_plan!$C$4:$C$200,MATCH(B50,Noeuds_plan!$A$4:$A$200,0)),""))</f>
        <v/>
      </c>
      <c r="AC50" s="44" t="str">
        <f t="shared" si="45"/>
        <v/>
      </c>
      <c r="AD50" s="44" t="str">
        <f t="shared" si="46"/>
        <v/>
      </c>
      <c r="AE50" s="14" t="str">
        <f>IF(A50="","",IF(OR(V50&gt;1,AND(AY50&lt;&gt;"",AY50&lt;Inputs!$B$11),AND(AY50&lt;&gt;"",AY50&gt;Inputs!$B$12),AC50&lt;Inputs!$B$19,AD50&lt;Inputs!$B$19,P50&lt;Inputs!$B$7,P50&gt;Inputs!$B$8),"CHECK","OK"))</f>
        <v/>
      </c>
      <c r="AF50" s="14"/>
      <c r="AG50" s="14" t="str">
        <f>IF(A50="","",(1/Inputs!$B$9)*(PI()*(Inputs!$F$5/1000)^2/4)*((Inputs!$F$5/1000/4)^(2/3))*SQRT(P50))</f>
        <v/>
      </c>
      <c r="AH50" s="14" t="str">
        <f>IF(A50="","",(1/Inputs!$B$9)*(PI()*(Inputs!$F$6/1000)^2/4)*((Inputs!$F$6/1000/4)^(2/3))*SQRT(P50))</f>
        <v/>
      </c>
      <c r="AI50" s="14" t="str">
        <f>IF(A50="","",(1/Inputs!$B$9)*(PI()*(Inputs!$F$7/1000)^2/4)*((Inputs!$F$7/1000/4)^(2/3))*SQRT(P50))</f>
        <v/>
      </c>
      <c r="AJ50" s="14" t="str">
        <f>IF(A50="","",(1/Inputs!$B$9)*(PI()*(Inputs!$F$8/1000)^2/4)*((Inputs!$F$8/1000/4)^(2/3))*SQRT(P50))</f>
        <v/>
      </c>
      <c r="AK50" s="14" t="str">
        <f>IF(A50="","",(1/Inputs!$B$9)*(PI()*(Inputs!$F$9/1000)^2/4)*((Inputs!$F$9/1000/4)^(2/3))*SQRT(P50))</f>
        <v/>
      </c>
      <c r="AL50" s="14" t="str">
        <f>IF(A50="","",(1/Inputs!$B$9)*(PI()*(Inputs!$F$10/1000)^2/4)*((Inputs!$F$10/1000/4)^(2/3))*SQRT(P50))</f>
        <v/>
      </c>
      <c r="AM50" s="14" t="str">
        <f>IF(A50="","",(1/Inputs!$B$9)*(PI()*(Inputs!$F$11/1000)^2/4)*((Inputs!$F$11/1000/4)^(2/3))*SQRT(P50))</f>
        <v/>
      </c>
      <c r="AN50" s="14" t="str">
        <f>IF(A50="","",(1/Inputs!$B$9)*(PI()*(Inputs!$F$12/1000)^2/4)*((Inputs!$F$12/1000/4)^(2/3))*SQRT(P50))</f>
        <v/>
      </c>
      <c r="AO50" s="14" t="str">
        <f>IF(A50="","",(1/Inputs!$B$9)*(PI()*(Inputs!$F$13/1000)^2/4)*((Inputs!$F$13/1000/4)^(2/3))*SQRT(P50))</f>
        <v/>
      </c>
      <c r="AP50" s="14" t="str">
        <f>IF(A50="","",(1/Inputs!$B$9)*(PI()*(Inputs!$F$14/1000)^2/4)*((Inputs!$F$14/1000/4)^(2/3))*SQRT(P50))</f>
        <v/>
      </c>
      <c r="AQ50" s="14" t="str">
        <f t="shared" si="47"/>
        <v/>
      </c>
      <c r="AR50" s="14" t="str">
        <f t="shared" si="48"/>
        <v/>
      </c>
      <c r="AS50" s="17" t="str">
        <f>IF(A50="","",IF(J50="",Inputs!$B$18,J50))</f>
        <v/>
      </c>
      <c r="AT50" s="17" t="str">
        <f>IF(A50="","",IFERROR(_xludf.maxifs($AV$4:$AV$201,$D$4:$D$201,$A50),""))</f>
        <v/>
      </c>
      <c r="AU50" s="17" t="str">
        <f>IF(A50="","",IF(OR(E50="",Inputs!$B$23=""),"",E50/(Inputs!$B$23*60)))</f>
        <v/>
      </c>
      <c r="AV50" s="17" t="str">
        <f t="shared" si="49"/>
        <v/>
      </c>
      <c r="AW50" s="17" t="str">
        <f t="shared" si="50"/>
        <v/>
      </c>
      <c r="AX50" s="17" t="str">
        <f>IF(OR(T50="",P50=""),"",(1/Inputs!$B$9)*((T50/4)^(2/3))*SQRT(P50))</f>
        <v/>
      </c>
      <c r="AY50" s="17" t="str">
        <f>IF(A50="","",IF(AND(AW50="",AX50="",BA50=""),"",IF(OR(UPPER(TRIM(Inputs!$B$24))="MANNING",UPPER(TRIM(Inputs!$B$24))="M"),AX50,IF(OR(UPPER(TRIM(Inputs!$B$24))="PARTIAL",UPPER(TRIM(Inputs!$B$24))="P"),BA50,IF(OR(UPPER(TRIM(Inputs!$B$24))="MAX",UPPER(TRIM(Inputs!$B$24))="X"),MAX(IF(AW50="",0,AW50),IF(AX50="",0,AX50),IF(BA50="",0,BA50)),AW50)))))</f>
        <v/>
      </c>
      <c r="AZ50" s="17" t="str">
        <f t="shared" si="51"/>
        <v/>
      </c>
      <c r="BA50" s="17" t="str">
        <f t="shared" si="52"/>
        <v/>
      </c>
      <c r="BB50" s="14" t="str">
        <f t="shared" si="53"/>
        <v/>
      </c>
      <c r="BC50" s="14" t="str">
        <f>IF(OR(N50="",T50="",P50=""),"",IF(OR(T50="",P50="",(0.94*T50)="",T50&lt;=0,(0.94*T50)&lt;=0),"",(1/Inputs!$B$9)*((T50^2/8)*((2*ACOS(1-2*(0.94*T50)/T50))-SIN((2*ACOS(1-2*(0.94*T50)/T50)))))*((((T50^2/8)*((2*ACOS(1-2*(0.94*T50)/T50))-SIN((2*ACOS(1-2*(0.94*T50)/T50)))))/((T50/2)*((2*ACOS(1-2*(0.94*T50)/T50)))))^(2/3))*SQRT(P50)))</f>
        <v/>
      </c>
      <c r="BD50" s="14" t="str">
        <f t="shared" si="54"/>
        <v/>
      </c>
      <c r="BE50" s="14" t="str">
        <f t="shared" si="55"/>
        <v/>
      </c>
      <c r="BF50" s="14" t="str">
        <f t="shared" si="56"/>
        <v/>
      </c>
      <c r="BG50" s="14" t="str">
        <f>IF(OR(T50="",P50="",BF50="",T50&lt;=0,BF50&lt;=0),"",(1/Inputs!$B$9)*((T50^2/8)*((2*ACOS(1-2*BF50/T50))-SIN((2*ACOS(1-2*BF50/T50)))))*((((T50^2/8)*((2*ACOS(1-2*BF50/T50))-SIN((2*ACOS(1-2*BF50/T50)))))/((T50/2)*((2*ACOS(1-2*BF50/T50)))))^(2/3))*SQRT(P50))</f>
        <v/>
      </c>
      <c r="BH50" s="14" t="str">
        <f t="shared" si="57"/>
        <v/>
      </c>
      <c r="BI50" s="14" t="str">
        <f t="shared" si="58"/>
        <v/>
      </c>
      <c r="BJ50" s="14" t="str">
        <f t="shared" si="59"/>
        <v/>
      </c>
      <c r="BK50" s="14" t="str">
        <f>IF(OR(T50="",P50="",BJ50="",T50&lt;=0,BJ50&lt;=0),"",(1/Inputs!$B$9)*((T50^2/8)*((2*ACOS(1-2*BJ50/T50))-SIN((2*ACOS(1-2*BJ50/T50)))))*((((T50^2/8)*((2*ACOS(1-2*BJ50/T50))-SIN((2*ACOS(1-2*BJ50/T50)))))/((T50/2)*((2*ACOS(1-2*BJ50/T50)))))^(2/3))*SQRT(P50))</f>
        <v/>
      </c>
      <c r="BL50" s="14" t="str">
        <f t="shared" si="60"/>
        <v/>
      </c>
      <c r="BM50" s="14" t="str">
        <f t="shared" si="61"/>
        <v/>
      </c>
      <c r="BN50" s="14" t="str">
        <f t="shared" si="62"/>
        <v/>
      </c>
      <c r="BO50" s="14" t="str">
        <f>IF(OR(T50="",P50="",BN50="",T50&lt;=0,BN50&lt;=0),"",(1/Inputs!$B$9)*((T50^2/8)*((2*ACOS(1-2*BN50/T50))-SIN((2*ACOS(1-2*BN50/T50)))))*((((T50^2/8)*((2*ACOS(1-2*BN50/T50))-SIN((2*ACOS(1-2*BN50/T50)))))/((T50/2)*((2*ACOS(1-2*BN50/T50)))))^(2/3))*SQRT(P50))</f>
        <v/>
      </c>
      <c r="BP50" s="14" t="str">
        <f t="shared" si="63"/>
        <v/>
      </c>
      <c r="BQ50" s="14" t="str">
        <f t="shared" si="64"/>
        <v/>
      </c>
      <c r="BR50" s="14" t="str">
        <f t="shared" si="65"/>
        <v/>
      </c>
      <c r="BS50" s="14" t="str">
        <f>IF(OR(T50="",P50="",BR50="",T50&lt;=0,BR50&lt;=0),"",(1/Inputs!$B$9)*((T50^2/8)*((2*ACOS(1-2*BR50/T50))-SIN((2*ACOS(1-2*BR50/T50)))))*((((T50^2/8)*((2*ACOS(1-2*BR50/T50))-SIN((2*ACOS(1-2*BR50/T50)))))/((T50/2)*((2*ACOS(1-2*BR50/T50)))))^(2/3))*SQRT(P50))</f>
        <v/>
      </c>
      <c r="BT50" s="14" t="str">
        <f t="shared" si="66"/>
        <v/>
      </c>
      <c r="BU50" s="14" t="str">
        <f t="shared" si="67"/>
        <v/>
      </c>
      <c r="BV50" s="14" t="str">
        <f t="shared" si="68"/>
        <v/>
      </c>
      <c r="BW50" s="14" t="str">
        <f>IF(OR(T50="",P50="",BV50="",T50&lt;=0,BV50&lt;=0),"",(1/Inputs!$B$9)*((T50^2/8)*((2*ACOS(1-2*BV50/T50))-SIN((2*ACOS(1-2*BV50/T50)))))*((((T50^2/8)*((2*ACOS(1-2*BV50/T50))-SIN((2*ACOS(1-2*BV50/T50)))))/((T50/2)*((2*ACOS(1-2*BV50/T50)))))^(2/3))*SQRT(P50))</f>
        <v/>
      </c>
      <c r="BX50" s="14" t="str">
        <f t="shared" si="69"/>
        <v/>
      </c>
      <c r="BY50" s="14" t="str">
        <f t="shared" si="70"/>
        <v/>
      </c>
      <c r="BZ50" s="14" t="str">
        <f t="shared" si="71"/>
        <v/>
      </c>
      <c r="CA50" s="14" t="str">
        <f>IF(OR(T50="",P50="",BZ50="",T50&lt;=0,BZ50&lt;=0),"",(1/Inputs!$B$9)*((T50^2/8)*((2*ACOS(1-2*BZ50/T50))-SIN((2*ACOS(1-2*BZ50/T50)))))*((((T50^2/8)*((2*ACOS(1-2*BZ50/T50))-SIN((2*ACOS(1-2*BZ50/T50)))))/((T50/2)*((2*ACOS(1-2*BZ50/T50)))))^(2/3))*SQRT(P50))</f>
        <v/>
      </c>
      <c r="CB50" s="14" t="str">
        <f t="shared" si="72"/>
        <v/>
      </c>
      <c r="CC50" s="14" t="str">
        <f t="shared" si="73"/>
        <v/>
      </c>
      <c r="CD50" s="14" t="str">
        <f t="shared" si="74"/>
        <v/>
      </c>
      <c r="CE50" s="14" t="str">
        <f>IF(OR(T50="",P50="",CD50="",T50&lt;=0,CD50&lt;=0),"",(1/Inputs!$B$9)*((T50^2/8)*((2*ACOS(1-2*CD50/T50))-SIN((2*ACOS(1-2*CD50/T50)))))*((((T50^2/8)*((2*ACOS(1-2*CD50/T50))-SIN((2*ACOS(1-2*CD50/T50)))))/((T50/2)*((2*ACOS(1-2*CD50/T50)))))^(2/3))*SQRT(P50))</f>
        <v/>
      </c>
      <c r="CF50" s="14" t="str">
        <f t="shared" si="75"/>
        <v/>
      </c>
      <c r="CG50" s="14" t="str">
        <f t="shared" si="76"/>
        <v/>
      </c>
      <c r="CH50" s="14" t="str">
        <f t="shared" si="77"/>
        <v/>
      </c>
    </row>
    <row r="51" spans="1:86" x14ac:dyDescent="0.25">
      <c r="A51" s="14"/>
      <c r="B51" s="14"/>
      <c r="C51" s="14"/>
      <c r="D51" s="14"/>
      <c r="E51" s="44"/>
      <c r="F51" s="44"/>
      <c r="G51" s="44">
        <f>SUMIFS(CB_plan!$G:$G,CB_plan!$F:$F,$A51)</f>
        <v>0</v>
      </c>
      <c r="H51" s="44">
        <f t="shared" si="39"/>
        <v>0</v>
      </c>
      <c r="I51" s="14"/>
      <c r="J51" s="44"/>
      <c r="K51" s="44" t="str">
        <f>IF(A51="","",Inputs!$B$13/((IF(AV51="",Inputs!$B$18,AV51)+Inputs!$B$14)^Inputs!$B$15))</f>
        <v/>
      </c>
      <c r="L51" s="44" t="str">
        <f>IF(A51="","",IF(H51="","",0.000000278*IF(I51&lt;&gt;"",I51,IFERROR(SUMIFS(CB_plan!$H:$H,CB_plan!$F:$F,$A51)/SUMIFS(CB_plan!$G:$G,CB_plan!$F:$F,$A51),Inputs!$B$17))*H51*K51))</f>
        <v/>
      </c>
      <c r="M51" s="44" t="str">
        <f t="shared" si="40"/>
        <v/>
      </c>
      <c r="N51" s="44" t="str">
        <f>IF(A51="","",(L51+M51)*Inputs!$B$16)</f>
        <v/>
      </c>
      <c r="O51" s="44"/>
      <c r="P51" s="44" t="str">
        <f>IF(A51="","",IF(O51="",Inputs!$B$7,O51))</f>
        <v/>
      </c>
      <c r="Q51" s="14" t="str">
        <f>IF(A51="","",IF(N51/Inputs!$B$10&lt;=AG51,Inputs!$F$5,IF(N51/Inputs!$B$10&gt;AP51,"OVERSIZE",INDEX(Inputs!$F$5:$F$14,MATCH(N51/Inputs!$B$10,AG51:AP51,1)+1))))</f>
        <v/>
      </c>
      <c r="R51" s="14"/>
      <c r="S51" s="14" t="str">
        <f t="shared" si="41"/>
        <v/>
      </c>
      <c r="T51" s="44" t="str">
        <f t="shared" si="42"/>
        <v/>
      </c>
      <c r="U51" s="44" t="str">
        <f>IF(T51="","",(1/Inputs!$B$9)*(PI()*T51^2/4)*((T51/4)^(2/3))*SQRT(P51))</f>
        <v/>
      </c>
      <c r="V51" s="44" t="str">
        <f>IF(OR(U51="",N51=""),"",N51/(U51*Inputs!$B$10))</f>
        <v/>
      </c>
      <c r="W51" s="44" t="str">
        <f t="shared" si="43"/>
        <v/>
      </c>
      <c r="X51" s="44"/>
      <c r="Y51" s="44" t="str">
        <f>IF(A51="","",IF(A51=Inputs!$B$6,Inputs!$B$22,IF(D51="","",IFERROR(INDEX($Z$4:$Z$201,MATCH(D51,$A$4:$A$201,0))+IF(X51="",Inputs!$B$20,X51),""))))</f>
        <v/>
      </c>
      <c r="Z51" s="44" t="str">
        <f t="shared" si="44"/>
        <v/>
      </c>
      <c r="AA51" s="44" t="str">
        <f>IF(C51="","",IFERROR(INDEX(Noeuds_plan!$C$4:$C$200,MATCH(C51,Noeuds_plan!$A$4:$A$200,0)),""))</f>
        <v/>
      </c>
      <c r="AB51" s="44" t="str">
        <f>IF(B51="","",IFERROR(INDEX(Noeuds_plan!$C$4:$C$200,MATCH(B51,Noeuds_plan!$A$4:$A$200,0)),""))</f>
        <v/>
      </c>
      <c r="AC51" s="44" t="str">
        <f t="shared" si="45"/>
        <v/>
      </c>
      <c r="AD51" s="44" t="str">
        <f t="shared" si="46"/>
        <v/>
      </c>
      <c r="AE51" s="14" t="str">
        <f>IF(A51="","",IF(OR(V51&gt;1,AND(AY51&lt;&gt;"",AY51&lt;Inputs!$B$11),AND(AY51&lt;&gt;"",AY51&gt;Inputs!$B$12),AC51&lt;Inputs!$B$19,AD51&lt;Inputs!$B$19,P51&lt;Inputs!$B$7,P51&gt;Inputs!$B$8),"CHECK","OK"))</f>
        <v/>
      </c>
      <c r="AF51" s="14"/>
      <c r="AG51" s="14" t="str">
        <f>IF(A51="","",(1/Inputs!$B$9)*(PI()*(Inputs!$F$5/1000)^2/4)*((Inputs!$F$5/1000/4)^(2/3))*SQRT(P51))</f>
        <v/>
      </c>
      <c r="AH51" s="14" t="str">
        <f>IF(A51="","",(1/Inputs!$B$9)*(PI()*(Inputs!$F$6/1000)^2/4)*((Inputs!$F$6/1000/4)^(2/3))*SQRT(P51))</f>
        <v/>
      </c>
      <c r="AI51" s="14" t="str">
        <f>IF(A51="","",(1/Inputs!$B$9)*(PI()*(Inputs!$F$7/1000)^2/4)*((Inputs!$F$7/1000/4)^(2/3))*SQRT(P51))</f>
        <v/>
      </c>
      <c r="AJ51" s="14" t="str">
        <f>IF(A51="","",(1/Inputs!$B$9)*(PI()*(Inputs!$F$8/1000)^2/4)*((Inputs!$F$8/1000/4)^(2/3))*SQRT(P51))</f>
        <v/>
      </c>
      <c r="AK51" s="14" t="str">
        <f>IF(A51="","",(1/Inputs!$B$9)*(PI()*(Inputs!$F$9/1000)^2/4)*((Inputs!$F$9/1000/4)^(2/3))*SQRT(P51))</f>
        <v/>
      </c>
      <c r="AL51" s="14" t="str">
        <f>IF(A51="","",(1/Inputs!$B$9)*(PI()*(Inputs!$F$10/1000)^2/4)*((Inputs!$F$10/1000/4)^(2/3))*SQRT(P51))</f>
        <v/>
      </c>
      <c r="AM51" s="14" t="str">
        <f>IF(A51="","",(1/Inputs!$B$9)*(PI()*(Inputs!$F$11/1000)^2/4)*((Inputs!$F$11/1000/4)^(2/3))*SQRT(P51))</f>
        <v/>
      </c>
      <c r="AN51" s="14" t="str">
        <f>IF(A51="","",(1/Inputs!$B$9)*(PI()*(Inputs!$F$12/1000)^2/4)*((Inputs!$F$12/1000/4)^(2/3))*SQRT(P51))</f>
        <v/>
      </c>
      <c r="AO51" s="14" t="str">
        <f>IF(A51="","",(1/Inputs!$B$9)*(PI()*(Inputs!$F$13/1000)^2/4)*((Inputs!$F$13/1000/4)^(2/3))*SQRT(P51))</f>
        <v/>
      </c>
      <c r="AP51" s="14" t="str">
        <f>IF(A51="","",(1/Inputs!$B$9)*(PI()*(Inputs!$F$14/1000)^2/4)*((Inputs!$F$14/1000/4)^(2/3))*SQRT(P51))</f>
        <v/>
      </c>
      <c r="AQ51" s="14" t="str">
        <f t="shared" si="47"/>
        <v/>
      </c>
      <c r="AR51" s="14" t="str">
        <f t="shared" si="48"/>
        <v/>
      </c>
      <c r="AS51" s="17" t="str">
        <f>IF(A51="","",IF(J51="",Inputs!$B$18,J51))</f>
        <v/>
      </c>
      <c r="AT51" s="17" t="str">
        <f>IF(A51="","",IFERROR(_xludf.maxifs($AV$4:$AV$201,$D$4:$D$201,$A51),""))</f>
        <v/>
      </c>
      <c r="AU51" s="17" t="str">
        <f>IF(A51="","",IF(OR(E51="",Inputs!$B$23=""),"",E51/(Inputs!$B$23*60)))</f>
        <v/>
      </c>
      <c r="AV51" s="17" t="str">
        <f t="shared" si="49"/>
        <v/>
      </c>
      <c r="AW51" s="17" t="str">
        <f t="shared" si="50"/>
        <v/>
      </c>
      <c r="AX51" s="17" t="str">
        <f>IF(OR(T51="",P51=""),"",(1/Inputs!$B$9)*((T51/4)^(2/3))*SQRT(P51))</f>
        <v/>
      </c>
      <c r="AY51" s="17" t="str">
        <f>IF(A51="","",IF(AND(AW51="",AX51="",BA51=""),"",IF(OR(UPPER(TRIM(Inputs!$B$24))="MANNING",UPPER(TRIM(Inputs!$B$24))="M"),AX51,IF(OR(UPPER(TRIM(Inputs!$B$24))="PARTIAL",UPPER(TRIM(Inputs!$B$24))="P"),BA51,IF(OR(UPPER(TRIM(Inputs!$B$24))="MAX",UPPER(TRIM(Inputs!$B$24))="X"),MAX(IF(AW51="",0,AW51),IF(AX51="",0,AX51),IF(BA51="",0,BA51)),AW51)))))</f>
        <v/>
      </c>
      <c r="AZ51" s="17" t="str">
        <f t="shared" si="51"/>
        <v/>
      </c>
      <c r="BA51" s="17" t="str">
        <f t="shared" si="52"/>
        <v/>
      </c>
      <c r="BB51" s="14" t="str">
        <f t="shared" si="53"/>
        <v/>
      </c>
      <c r="BC51" s="14" t="str">
        <f>IF(OR(N51="",T51="",P51=""),"",IF(OR(T51="",P51="",(0.94*T51)="",T51&lt;=0,(0.94*T51)&lt;=0),"",(1/Inputs!$B$9)*((T51^2/8)*((2*ACOS(1-2*(0.94*T51)/T51))-SIN((2*ACOS(1-2*(0.94*T51)/T51)))))*((((T51^2/8)*((2*ACOS(1-2*(0.94*T51)/T51))-SIN((2*ACOS(1-2*(0.94*T51)/T51)))))/((T51/2)*((2*ACOS(1-2*(0.94*T51)/T51)))))^(2/3))*SQRT(P51)))</f>
        <v/>
      </c>
      <c r="BD51" s="14" t="str">
        <f t="shared" si="54"/>
        <v/>
      </c>
      <c r="BE51" s="14" t="str">
        <f t="shared" si="55"/>
        <v/>
      </c>
      <c r="BF51" s="14" t="str">
        <f t="shared" si="56"/>
        <v/>
      </c>
      <c r="BG51" s="14" t="str">
        <f>IF(OR(T51="",P51="",BF51="",T51&lt;=0,BF51&lt;=0),"",(1/Inputs!$B$9)*((T51^2/8)*((2*ACOS(1-2*BF51/T51))-SIN((2*ACOS(1-2*BF51/T51)))))*((((T51^2/8)*((2*ACOS(1-2*BF51/T51))-SIN((2*ACOS(1-2*BF51/T51)))))/((T51/2)*((2*ACOS(1-2*BF51/T51)))))^(2/3))*SQRT(P51))</f>
        <v/>
      </c>
      <c r="BH51" s="14" t="str">
        <f t="shared" si="57"/>
        <v/>
      </c>
      <c r="BI51" s="14" t="str">
        <f t="shared" si="58"/>
        <v/>
      </c>
      <c r="BJ51" s="14" t="str">
        <f t="shared" si="59"/>
        <v/>
      </c>
      <c r="BK51" s="14" t="str">
        <f>IF(OR(T51="",P51="",BJ51="",T51&lt;=0,BJ51&lt;=0),"",(1/Inputs!$B$9)*((T51^2/8)*((2*ACOS(1-2*BJ51/T51))-SIN((2*ACOS(1-2*BJ51/T51)))))*((((T51^2/8)*((2*ACOS(1-2*BJ51/T51))-SIN((2*ACOS(1-2*BJ51/T51)))))/((T51/2)*((2*ACOS(1-2*BJ51/T51)))))^(2/3))*SQRT(P51))</f>
        <v/>
      </c>
      <c r="BL51" s="14" t="str">
        <f t="shared" si="60"/>
        <v/>
      </c>
      <c r="BM51" s="14" t="str">
        <f t="shared" si="61"/>
        <v/>
      </c>
      <c r="BN51" s="14" t="str">
        <f t="shared" si="62"/>
        <v/>
      </c>
      <c r="BO51" s="14" t="str">
        <f>IF(OR(T51="",P51="",BN51="",T51&lt;=0,BN51&lt;=0),"",(1/Inputs!$B$9)*((T51^2/8)*((2*ACOS(1-2*BN51/T51))-SIN((2*ACOS(1-2*BN51/T51)))))*((((T51^2/8)*((2*ACOS(1-2*BN51/T51))-SIN((2*ACOS(1-2*BN51/T51)))))/((T51/2)*((2*ACOS(1-2*BN51/T51)))))^(2/3))*SQRT(P51))</f>
        <v/>
      </c>
      <c r="BP51" s="14" t="str">
        <f t="shared" si="63"/>
        <v/>
      </c>
      <c r="BQ51" s="14" t="str">
        <f t="shared" si="64"/>
        <v/>
      </c>
      <c r="BR51" s="14" t="str">
        <f t="shared" si="65"/>
        <v/>
      </c>
      <c r="BS51" s="14" t="str">
        <f>IF(OR(T51="",P51="",BR51="",T51&lt;=0,BR51&lt;=0),"",(1/Inputs!$B$9)*((T51^2/8)*((2*ACOS(1-2*BR51/T51))-SIN((2*ACOS(1-2*BR51/T51)))))*((((T51^2/8)*((2*ACOS(1-2*BR51/T51))-SIN((2*ACOS(1-2*BR51/T51)))))/((T51/2)*((2*ACOS(1-2*BR51/T51)))))^(2/3))*SQRT(P51))</f>
        <v/>
      </c>
      <c r="BT51" s="14" t="str">
        <f t="shared" si="66"/>
        <v/>
      </c>
      <c r="BU51" s="14" t="str">
        <f t="shared" si="67"/>
        <v/>
      </c>
      <c r="BV51" s="14" t="str">
        <f t="shared" si="68"/>
        <v/>
      </c>
      <c r="BW51" s="14" t="str">
        <f>IF(OR(T51="",P51="",BV51="",T51&lt;=0,BV51&lt;=0),"",(1/Inputs!$B$9)*((T51^2/8)*((2*ACOS(1-2*BV51/T51))-SIN((2*ACOS(1-2*BV51/T51)))))*((((T51^2/8)*((2*ACOS(1-2*BV51/T51))-SIN((2*ACOS(1-2*BV51/T51)))))/((T51/2)*((2*ACOS(1-2*BV51/T51)))))^(2/3))*SQRT(P51))</f>
        <v/>
      </c>
      <c r="BX51" s="14" t="str">
        <f t="shared" si="69"/>
        <v/>
      </c>
      <c r="BY51" s="14" t="str">
        <f t="shared" si="70"/>
        <v/>
      </c>
      <c r="BZ51" s="14" t="str">
        <f t="shared" si="71"/>
        <v/>
      </c>
      <c r="CA51" s="14" t="str">
        <f>IF(OR(T51="",P51="",BZ51="",T51&lt;=0,BZ51&lt;=0),"",(1/Inputs!$B$9)*((T51^2/8)*((2*ACOS(1-2*BZ51/T51))-SIN((2*ACOS(1-2*BZ51/T51)))))*((((T51^2/8)*((2*ACOS(1-2*BZ51/T51))-SIN((2*ACOS(1-2*BZ51/T51)))))/((T51/2)*((2*ACOS(1-2*BZ51/T51)))))^(2/3))*SQRT(P51))</f>
        <v/>
      </c>
      <c r="CB51" s="14" t="str">
        <f t="shared" si="72"/>
        <v/>
      </c>
      <c r="CC51" s="14" t="str">
        <f t="shared" si="73"/>
        <v/>
      </c>
      <c r="CD51" s="14" t="str">
        <f t="shared" si="74"/>
        <v/>
      </c>
      <c r="CE51" s="14" t="str">
        <f>IF(OR(T51="",P51="",CD51="",T51&lt;=0,CD51&lt;=0),"",(1/Inputs!$B$9)*((T51^2/8)*((2*ACOS(1-2*CD51/T51))-SIN((2*ACOS(1-2*CD51/T51)))))*((((T51^2/8)*((2*ACOS(1-2*CD51/T51))-SIN((2*ACOS(1-2*CD51/T51)))))/((T51/2)*((2*ACOS(1-2*CD51/T51)))))^(2/3))*SQRT(P51))</f>
        <v/>
      </c>
      <c r="CF51" s="14" t="str">
        <f t="shared" si="75"/>
        <v/>
      </c>
      <c r="CG51" s="14" t="str">
        <f t="shared" si="76"/>
        <v/>
      </c>
      <c r="CH51" s="14" t="str">
        <f t="shared" si="77"/>
        <v/>
      </c>
    </row>
    <row r="52" spans="1:86" x14ac:dyDescent="0.25">
      <c r="A52" s="14"/>
      <c r="B52" s="14"/>
      <c r="C52" s="14"/>
      <c r="D52" s="14"/>
      <c r="E52" s="44"/>
      <c r="F52" s="44"/>
      <c r="G52" s="44">
        <f>SUMIFS(CB_plan!$G:$G,CB_plan!$F:$F,$A52)</f>
        <v>0</v>
      </c>
      <c r="H52" s="44">
        <f t="shared" si="39"/>
        <v>0</v>
      </c>
      <c r="I52" s="14"/>
      <c r="J52" s="44"/>
      <c r="K52" s="44" t="str">
        <f>IF(A52="","",Inputs!$B$13/((IF(AV52="",Inputs!$B$18,AV52)+Inputs!$B$14)^Inputs!$B$15))</f>
        <v/>
      </c>
      <c r="L52" s="44" t="str">
        <f>IF(A52="","",IF(H52="","",0.000000278*IF(I52&lt;&gt;"",I52,IFERROR(SUMIFS(CB_plan!$H:$H,CB_plan!$F:$F,$A52)/SUMIFS(CB_plan!$G:$G,CB_plan!$F:$F,$A52),Inputs!$B$17))*H52*K52))</f>
        <v/>
      </c>
      <c r="M52" s="44" t="str">
        <f t="shared" si="40"/>
        <v/>
      </c>
      <c r="N52" s="44" t="str">
        <f>IF(A52="","",(L52+M52)*Inputs!$B$16)</f>
        <v/>
      </c>
      <c r="O52" s="44"/>
      <c r="P52" s="44" t="str">
        <f>IF(A52="","",IF(O52="",Inputs!$B$7,O52))</f>
        <v/>
      </c>
      <c r="Q52" s="14" t="str">
        <f>IF(A52="","",IF(N52/Inputs!$B$10&lt;=AG52,Inputs!$F$5,IF(N52/Inputs!$B$10&gt;AP52,"OVERSIZE",INDEX(Inputs!$F$5:$F$14,MATCH(N52/Inputs!$B$10,AG52:AP52,1)+1))))</f>
        <v/>
      </c>
      <c r="R52" s="14"/>
      <c r="S52" s="14" t="str">
        <f t="shared" si="41"/>
        <v/>
      </c>
      <c r="T52" s="44" t="str">
        <f t="shared" si="42"/>
        <v/>
      </c>
      <c r="U52" s="44" t="str">
        <f>IF(T52="","",(1/Inputs!$B$9)*(PI()*T52^2/4)*((T52/4)^(2/3))*SQRT(P52))</f>
        <v/>
      </c>
      <c r="V52" s="44" t="str">
        <f>IF(OR(U52="",N52=""),"",N52/(U52*Inputs!$B$10))</f>
        <v/>
      </c>
      <c r="W52" s="44" t="str">
        <f t="shared" si="43"/>
        <v/>
      </c>
      <c r="X52" s="44"/>
      <c r="Y52" s="44" t="str">
        <f>IF(A52="","",IF(A52=Inputs!$B$6,Inputs!$B$22,IF(D52="","",IFERROR(INDEX($Z$4:$Z$201,MATCH(D52,$A$4:$A$201,0))+IF(X52="",Inputs!$B$20,X52),""))))</f>
        <v/>
      </c>
      <c r="Z52" s="44" t="str">
        <f t="shared" si="44"/>
        <v/>
      </c>
      <c r="AA52" s="44" t="str">
        <f>IF(C52="","",IFERROR(INDEX(Noeuds_plan!$C$4:$C$200,MATCH(C52,Noeuds_plan!$A$4:$A$200,0)),""))</f>
        <v/>
      </c>
      <c r="AB52" s="44" t="str">
        <f>IF(B52="","",IFERROR(INDEX(Noeuds_plan!$C$4:$C$200,MATCH(B52,Noeuds_plan!$A$4:$A$200,0)),""))</f>
        <v/>
      </c>
      <c r="AC52" s="44" t="str">
        <f t="shared" si="45"/>
        <v/>
      </c>
      <c r="AD52" s="44" t="str">
        <f t="shared" si="46"/>
        <v/>
      </c>
      <c r="AE52" s="14" t="str">
        <f>IF(A52="","",IF(OR(V52&gt;1,AND(AY52&lt;&gt;"",AY52&lt;Inputs!$B$11),AND(AY52&lt;&gt;"",AY52&gt;Inputs!$B$12),AC52&lt;Inputs!$B$19,AD52&lt;Inputs!$B$19,P52&lt;Inputs!$B$7,P52&gt;Inputs!$B$8),"CHECK","OK"))</f>
        <v/>
      </c>
      <c r="AF52" s="14"/>
      <c r="AG52" s="14" t="str">
        <f>IF(A52="","",(1/Inputs!$B$9)*(PI()*(Inputs!$F$5/1000)^2/4)*((Inputs!$F$5/1000/4)^(2/3))*SQRT(P52))</f>
        <v/>
      </c>
      <c r="AH52" s="14" t="str">
        <f>IF(A52="","",(1/Inputs!$B$9)*(PI()*(Inputs!$F$6/1000)^2/4)*((Inputs!$F$6/1000/4)^(2/3))*SQRT(P52))</f>
        <v/>
      </c>
      <c r="AI52" s="14" t="str">
        <f>IF(A52="","",(1/Inputs!$B$9)*(PI()*(Inputs!$F$7/1000)^2/4)*((Inputs!$F$7/1000/4)^(2/3))*SQRT(P52))</f>
        <v/>
      </c>
      <c r="AJ52" s="14" t="str">
        <f>IF(A52="","",(1/Inputs!$B$9)*(PI()*(Inputs!$F$8/1000)^2/4)*((Inputs!$F$8/1000/4)^(2/3))*SQRT(P52))</f>
        <v/>
      </c>
      <c r="AK52" s="14" t="str">
        <f>IF(A52="","",(1/Inputs!$B$9)*(PI()*(Inputs!$F$9/1000)^2/4)*((Inputs!$F$9/1000/4)^(2/3))*SQRT(P52))</f>
        <v/>
      </c>
      <c r="AL52" s="14" t="str">
        <f>IF(A52="","",(1/Inputs!$B$9)*(PI()*(Inputs!$F$10/1000)^2/4)*((Inputs!$F$10/1000/4)^(2/3))*SQRT(P52))</f>
        <v/>
      </c>
      <c r="AM52" s="14" t="str">
        <f>IF(A52="","",(1/Inputs!$B$9)*(PI()*(Inputs!$F$11/1000)^2/4)*((Inputs!$F$11/1000/4)^(2/3))*SQRT(P52))</f>
        <v/>
      </c>
      <c r="AN52" s="14" t="str">
        <f>IF(A52="","",(1/Inputs!$B$9)*(PI()*(Inputs!$F$12/1000)^2/4)*((Inputs!$F$12/1000/4)^(2/3))*SQRT(P52))</f>
        <v/>
      </c>
      <c r="AO52" s="14" t="str">
        <f>IF(A52="","",(1/Inputs!$B$9)*(PI()*(Inputs!$F$13/1000)^2/4)*((Inputs!$F$13/1000/4)^(2/3))*SQRT(P52))</f>
        <v/>
      </c>
      <c r="AP52" s="14" t="str">
        <f>IF(A52="","",(1/Inputs!$B$9)*(PI()*(Inputs!$F$14/1000)^2/4)*((Inputs!$F$14/1000/4)^(2/3))*SQRT(P52))</f>
        <v/>
      </c>
      <c r="AQ52" s="14" t="str">
        <f t="shared" si="47"/>
        <v/>
      </c>
      <c r="AR52" s="14" t="str">
        <f t="shared" si="48"/>
        <v/>
      </c>
      <c r="AS52" s="17" t="str">
        <f>IF(A52="","",IF(J52="",Inputs!$B$18,J52))</f>
        <v/>
      </c>
      <c r="AT52" s="17" t="str">
        <f>IF(A52="","",IFERROR(_xludf.maxifs($AV$4:$AV$201,$D$4:$D$201,$A52),""))</f>
        <v/>
      </c>
      <c r="AU52" s="17" t="str">
        <f>IF(A52="","",IF(OR(E52="",Inputs!$B$23=""),"",E52/(Inputs!$B$23*60)))</f>
        <v/>
      </c>
      <c r="AV52" s="17" t="str">
        <f t="shared" si="49"/>
        <v/>
      </c>
      <c r="AW52" s="17" t="str">
        <f t="shared" si="50"/>
        <v/>
      </c>
      <c r="AX52" s="17" t="str">
        <f>IF(OR(T52="",P52=""),"",(1/Inputs!$B$9)*((T52/4)^(2/3))*SQRT(P52))</f>
        <v/>
      </c>
      <c r="AY52" s="17" t="str">
        <f>IF(A52="","",IF(AND(AW52="",AX52="",BA52=""),"",IF(OR(UPPER(TRIM(Inputs!$B$24))="MANNING",UPPER(TRIM(Inputs!$B$24))="M"),AX52,IF(OR(UPPER(TRIM(Inputs!$B$24))="PARTIAL",UPPER(TRIM(Inputs!$B$24))="P"),BA52,IF(OR(UPPER(TRIM(Inputs!$B$24))="MAX",UPPER(TRIM(Inputs!$B$24))="X"),MAX(IF(AW52="",0,AW52),IF(AX52="",0,AX52),IF(BA52="",0,BA52)),AW52)))))</f>
        <v/>
      </c>
      <c r="AZ52" s="17" t="str">
        <f t="shared" si="51"/>
        <v/>
      </c>
      <c r="BA52" s="17" t="str">
        <f t="shared" si="52"/>
        <v/>
      </c>
      <c r="BB52" s="14" t="str">
        <f t="shared" si="53"/>
        <v/>
      </c>
      <c r="BC52" s="14" t="str">
        <f>IF(OR(N52="",T52="",P52=""),"",IF(OR(T52="",P52="",(0.94*T52)="",T52&lt;=0,(0.94*T52)&lt;=0),"",(1/Inputs!$B$9)*((T52^2/8)*((2*ACOS(1-2*(0.94*T52)/T52))-SIN((2*ACOS(1-2*(0.94*T52)/T52)))))*((((T52^2/8)*((2*ACOS(1-2*(0.94*T52)/T52))-SIN((2*ACOS(1-2*(0.94*T52)/T52)))))/((T52/2)*((2*ACOS(1-2*(0.94*T52)/T52)))))^(2/3))*SQRT(P52)))</f>
        <v/>
      </c>
      <c r="BD52" s="14" t="str">
        <f t="shared" si="54"/>
        <v/>
      </c>
      <c r="BE52" s="14" t="str">
        <f t="shared" si="55"/>
        <v/>
      </c>
      <c r="BF52" s="14" t="str">
        <f t="shared" si="56"/>
        <v/>
      </c>
      <c r="BG52" s="14" t="str">
        <f>IF(OR(T52="",P52="",BF52="",T52&lt;=0,BF52&lt;=0),"",(1/Inputs!$B$9)*((T52^2/8)*((2*ACOS(1-2*BF52/T52))-SIN((2*ACOS(1-2*BF52/T52)))))*((((T52^2/8)*((2*ACOS(1-2*BF52/T52))-SIN((2*ACOS(1-2*BF52/T52)))))/((T52/2)*((2*ACOS(1-2*BF52/T52)))))^(2/3))*SQRT(P52))</f>
        <v/>
      </c>
      <c r="BH52" s="14" t="str">
        <f t="shared" si="57"/>
        <v/>
      </c>
      <c r="BI52" s="14" t="str">
        <f t="shared" si="58"/>
        <v/>
      </c>
      <c r="BJ52" s="14" t="str">
        <f t="shared" si="59"/>
        <v/>
      </c>
      <c r="BK52" s="14" t="str">
        <f>IF(OR(T52="",P52="",BJ52="",T52&lt;=0,BJ52&lt;=0),"",(1/Inputs!$B$9)*((T52^2/8)*((2*ACOS(1-2*BJ52/T52))-SIN((2*ACOS(1-2*BJ52/T52)))))*((((T52^2/8)*((2*ACOS(1-2*BJ52/T52))-SIN((2*ACOS(1-2*BJ52/T52)))))/((T52/2)*((2*ACOS(1-2*BJ52/T52)))))^(2/3))*SQRT(P52))</f>
        <v/>
      </c>
      <c r="BL52" s="14" t="str">
        <f t="shared" si="60"/>
        <v/>
      </c>
      <c r="BM52" s="14" t="str">
        <f t="shared" si="61"/>
        <v/>
      </c>
      <c r="BN52" s="14" t="str">
        <f t="shared" si="62"/>
        <v/>
      </c>
      <c r="BO52" s="14" t="str">
        <f>IF(OR(T52="",P52="",BN52="",T52&lt;=0,BN52&lt;=0),"",(1/Inputs!$B$9)*((T52^2/8)*((2*ACOS(1-2*BN52/T52))-SIN((2*ACOS(1-2*BN52/T52)))))*((((T52^2/8)*((2*ACOS(1-2*BN52/T52))-SIN((2*ACOS(1-2*BN52/T52)))))/((T52/2)*((2*ACOS(1-2*BN52/T52)))))^(2/3))*SQRT(P52))</f>
        <v/>
      </c>
      <c r="BP52" s="14" t="str">
        <f t="shared" si="63"/>
        <v/>
      </c>
      <c r="BQ52" s="14" t="str">
        <f t="shared" si="64"/>
        <v/>
      </c>
      <c r="BR52" s="14" t="str">
        <f t="shared" si="65"/>
        <v/>
      </c>
      <c r="BS52" s="14" t="str">
        <f>IF(OR(T52="",P52="",BR52="",T52&lt;=0,BR52&lt;=0),"",(1/Inputs!$B$9)*((T52^2/8)*((2*ACOS(1-2*BR52/T52))-SIN((2*ACOS(1-2*BR52/T52)))))*((((T52^2/8)*((2*ACOS(1-2*BR52/T52))-SIN((2*ACOS(1-2*BR52/T52)))))/((T52/2)*((2*ACOS(1-2*BR52/T52)))))^(2/3))*SQRT(P52))</f>
        <v/>
      </c>
      <c r="BT52" s="14" t="str">
        <f t="shared" si="66"/>
        <v/>
      </c>
      <c r="BU52" s="14" t="str">
        <f t="shared" si="67"/>
        <v/>
      </c>
      <c r="BV52" s="14" t="str">
        <f t="shared" si="68"/>
        <v/>
      </c>
      <c r="BW52" s="14" t="str">
        <f>IF(OR(T52="",P52="",BV52="",T52&lt;=0,BV52&lt;=0),"",(1/Inputs!$B$9)*((T52^2/8)*((2*ACOS(1-2*BV52/T52))-SIN((2*ACOS(1-2*BV52/T52)))))*((((T52^2/8)*((2*ACOS(1-2*BV52/T52))-SIN((2*ACOS(1-2*BV52/T52)))))/((T52/2)*((2*ACOS(1-2*BV52/T52)))))^(2/3))*SQRT(P52))</f>
        <v/>
      </c>
      <c r="BX52" s="14" t="str">
        <f t="shared" si="69"/>
        <v/>
      </c>
      <c r="BY52" s="14" t="str">
        <f t="shared" si="70"/>
        <v/>
      </c>
      <c r="BZ52" s="14" t="str">
        <f t="shared" si="71"/>
        <v/>
      </c>
      <c r="CA52" s="14" t="str">
        <f>IF(OR(T52="",P52="",BZ52="",T52&lt;=0,BZ52&lt;=0),"",(1/Inputs!$B$9)*((T52^2/8)*((2*ACOS(1-2*BZ52/T52))-SIN((2*ACOS(1-2*BZ52/T52)))))*((((T52^2/8)*((2*ACOS(1-2*BZ52/T52))-SIN((2*ACOS(1-2*BZ52/T52)))))/((T52/2)*((2*ACOS(1-2*BZ52/T52)))))^(2/3))*SQRT(P52))</f>
        <v/>
      </c>
      <c r="CB52" s="14" t="str">
        <f t="shared" si="72"/>
        <v/>
      </c>
      <c r="CC52" s="14" t="str">
        <f t="shared" si="73"/>
        <v/>
      </c>
      <c r="CD52" s="14" t="str">
        <f t="shared" si="74"/>
        <v/>
      </c>
      <c r="CE52" s="14" t="str">
        <f>IF(OR(T52="",P52="",CD52="",T52&lt;=0,CD52&lt;=0),"",(1/Inputs!$B$9)*((T52^2/8)*((2*ACOS(1-2*CD52/T52))-SIN((2*ACOS(1-2*CD52/T52)))))*((((T52^2/8)*((2*ACOS(1-2*CD52/T52))-SIN((2*ACOS(1-2*CD52/T52)))))/((T52/2)*((2*ACOS(1-2*CD52/T52)))))^(2/3))*SQRT(P52))</f>
        <v/>
      </c>
      <c r="CF52" s="14" t="str">
        <f t="shared" si="75"/>
        <v/>
      </c>
      <c r="CG52" s="14" t="str">
        <f t="shared" si="76"/>
        <v/>
      </c>
      <c r="CH52" s="14" t="str">
        <f t="shared" si="77"/>
        <v/>
      </c>
    </row>
    <row r="53" spans="1:86" x14ac:dyDescent="0.25">
      <c r="A53" s="14"/>
      <c r="B53" s="14"/>
      <c r="C53" s="14"/>
      <c r="D53" s="14"/>
      <c r="E53" s="44"/>
      <c r="F53" s="44"/>
      <c r="G53" s="44">
        <f>SUMIFS(CB_plan!$G:$G,CB_plan!$F:$F,$A53)</f>
        <v>0</v>
      </c>
      <c r="H53" s="44">
        <f t="shared" si="39"/>
        <v>0</v>
      </c>
      <c r="I53" s="14"/>
      <c r="J53" s="44"/>
      <c r="K53" s="44" t="str">
        <f>IF(A53="","",Inputs!$B$13/((IF(AV53="",Inputs!$B$18,AV53)+Inputs!$B$14)^Inputs!$B$15))</f>
        <v/>
      </c>
      <c r="L53" s="44" t="str">
        <f>IF(A53="","",IF(H53="","",0.000000278*IF(I53&lt;&gt;"",I53,IFERROR(SUMIFS(CB_plan!$H:$H,CB_plan!$F:$F,$A53)/SUMIFS(CB_plan!$G:$G,CB_plan!$F:$F,$A53),Inputs!$B$17))*H53*K53))</f>
        <v/>
      </c>
      <c r="M53" s="44" t="str">
        <f t="shared" si="40"/>
        <v/>
      </c>
      <c r="N53" s="44" t="str">
        <f>IF(A53="","",(L53+M53)*Inputs!$B$16)</f>
        <v/>
      </c>
      <c r="O53" s="44"/>
      <c r="P53" s="44" t="str">
        <f>IF(A53="","",IF(O53="",Inputs!$B$7,O53))</f>
        <v/>
      </c>
      <c r="Q53" s="14" t="str">
        <f>IF(A53="","",IF(N53/Inputs!$B$10&lt;=AG53,Inputs!$F$5,IF(N53/Inputs!$B$10&gt;AP53,"OVERSIZE",INDEX(Inputs!$F$5:$F$14,MATCH(N53/Inputs!$B$10,AG53:AP53,1)+1))))</f>
        <v/>
      </c>
      <c r="R53" s="14"/>
      <c r="S53" s="14" t="str">
        <f t="shared" si="41"/>
        <v/>
      </c>
      <c r="T53" s="44" t="str">
        <f t="shared" si="42"/>
        <v/>
      </c>
      <c r="U53" s="44" t="str">
        <f>IF(T53="","",(1/Inputs!$B$9)*(PI()*T53^2/4)*((T53/4)^(2/3))*SQRT(P53))</f>
        <v/>
      </c>
      <c r="V53" s="44" t="str">
        <f>IF(OR(U53="",N53=""),"",N53/(U53*Inputs!$B$10))</f>
        <v/>
      </c>
      <c r="W53" s="44" t="str">
        <f t="shared" si="43"/>
        <v/>
      </c>
      <c r="X53" s="44"/>
      <c r="Y53" s="44" t="str">
        <f>IF(A53="","",IF(A53=Inputs!$B$6,Inputs!$B$22,IF(D53="","",IFERROR(INDEX($Z$4:$Z$201,MATCH(D53,$A$4:$A$201,0))+IF(X53="",Inputs!$B$20,X53),""))))</f>
        <v/>
      </c>
      <c r="Z53" s="44" t="str">
        <f t="shared" si="44"/>
        <v/>
      </c>
      <c r="AA53" s="44" t="str">
        <f>IF(C53="","",IFERROR(INDEX(Noeuds_plan!$C$4:$C$200,MATCH(C53,Noeuds_plan!$A$4:$A$200,0)),""))</f>
        <v/>
      </c>
      <c r="AB53" s="44" t="str">
        <f>IF(B53="","",IFERROR(INDEX(Noeuds_plan!$C$4:$C$200,MATCH(B53,Noeuds_plan!$A$4:$A$200,0)),""))</f>
        <v/>
      </c>
      <c r="AC53" s="44" t="str">
        <f t="shared" si="45"/>
        <v/>
      </c>
      <c r="AD53" s="44" t="str">
        <f t="shared" si="46"/>
        <v/>
      </c>
      <c r="AE53" s="14" t="str">
        <f>IF(A53="","",IF(OR(V53&gt;1,AND(AY53&lt;&gt;"",AY53&lt;Inputs!$B$11),AND(AY53&lt;&gt;"",AY53&gt;Inputs!$B$12),AC53&lt;Inputs!$B$19,AD53&lt;Inputs!$B$19,P53&lt;Inputs!$B$7,P53&gt;Inputs!$B$8),"CHECK","OK"))</f>
        <v/>
      </c>
      <c r="AF53" s="14"/>
      <c r="AG53" s="14" t="str">
        <f>IF(A53="","",(1/Inputs!$B$9)*(PI()*(Inputs!$F$5/1000)^2/4)*((Inputs!$F$5/1000/4)^(2/3))*SQRT(P53))</f>
        <v/>
      </c>
      <c r="AH53" s="14" t="str">
        <f>IF(A53="","",(1/Inputs!$B$9)*(PI()*(Inputs!$F$6/1000)^2/4)*((Inputs!$F$6/1000/4)^(2/3))*SQRT(P53))</f>
        <v/>
      </c>
      <c r="AI53" s="14" t="str">
        <f>IF(A53="","",(1/Inputs!$B$9)*(PI()*(Inputs!$F$7/1000)^2/4)*((Inputs!$F$7/1000/4)^(2/3))*SQRT(P53))</f>
        <v/>
      </c>
      <c r="AJ53" s="14" t="str">
        <f>IF(A53="","",(1/Inputs!$B$9)*(PI()*(Inputs!$F$8/1000)^2/4)*((Inputs!$F$8/1000/4)^(2/3))*SQRT(P53))</f>
        <v/>
      </c>
      <c r="AK53" s="14" t="str">
        <f>IF(A53="","",(1/Inputs!$B$9)*(PI()*(Inputs!$F$9/1000)^2/4)*((Inputs!$F$9/1000/4)^(2/3))*SQRT(P53))</f>
        <v/>
      </c>
      <c r="AL53" s="14" t="str">
        <f>IF(A53="","",(1/Inputs!$B$9)*(PI()*(Inputs!$F$10/1000)^2/4)*((Inputs!$F$10/1000/4)^(2/3))*SQRT(P53))</f>
        <v/>
      </c>
      <c r="AM53" s="14" t="str">
        <f>IF(A53="","",(1/Inputs!$B$9)*(PI()*(Inputs!$F$11/1000)^2/4)*((Inputs!$F$11/1000/4)^(2/3))*SQRT(P53))</f>
        <v/>
      </c>
      <c r="AN53" s="14" t="str">
        <f>IF(A53="","",(1/Inputs!$B$9)*(PI()*(Inputs!$F$12/1000)^2/4)*((Inputs!$F$12/1000/4)^(2/3))*SQRT(P53))</f>
        <v/>
      </c>
      <c r="AO53" s="14" t="str">
        <f>IF(A53="","",(1/Inputs!$B$9)*(PI()*(Inputs!$F$13/1000)^2/4)*((Inputs!$F$13/1000/4)^(2/3))*SQRT(P53))</f>
        <v/>
      </c>
      <c r="AP53" s="14" t="str">
        <f>IF(A53="","",(1/Inputs!$B$9)*(PI()*(Inputs!$F$14/1000)^2/4)*((Inputs!$F$14/1000/4)^(2/3))*SQRT(P53))</f>
        <v/>
      </c>
      <c r="AQ53" s="14" t="str">
        <f t="shared" si="47"/>
        <v/>
      </c>
      <c r="AR53" s="14" t="str">
        <f t="shared" si="48"/>
        <v/>
      </c>
      <c r="AS53" s="17" t="str">
        <f>IF(A53="","",IF(J53="",Inputs!$B$18,J53))</f>
        <v/>
      </c>
      <c r="AT53" s="17" t="str">
        <f>IF(A53="","",IFERROR(_xludf.maxifs($AV$4:$AV$201,$D$4:$D$201,$A53),""))</f>
        <v/>
      </c>
      <c r="AU53" s="17" t="str">
        <f>IF(A53="","",IF(OR(E53="",Inputs!$B$23=""),"",E53/(Inputs!$B$23*60)))</f>
        <v/>
      </c>
      <c r="AV53" s="17" t="str">
        <f t="shared" si="49"/>
        <v/>
      </c>
      <c r="AW53" s="17" t="str">
        <f t="shared" si="50"/>
        <v/>
      </c>
      <c r="AX53" s="17" t="str">
        <f>IF(OR(T53="",P53=""),"",(1/Inputs!$B$9)*((T53/4)^(2/3))*SQRT(P53))</f>
        <v/>
      </c>
      <c r="AY53" s="17" t="str">
        <f>IF(A53="","",IF(AND(AW53="",AX53="",BA53=""),"",IF(OR(UPPER(TRIM(Inputs!$B$24))="MANNING",UPPER(TRIM(Inputs!$B$24))="M"),AX53,IF(OR(UPPER(TRIM(Inputs!$B$24))="PARTIAL",UPPER(TRIM(Inputs!$B$24))="P"),BA53,IF(OR(UPPER(TRIM(Inputs!$B$24))="MAX",UPPER(TRIM(Inputs!$B$24))="X"),MAX(IF(AW53="",0,AW53),IF(AX53="",0,AX53),IF(BA53="",0,BA53)),AW53)))))</f>
        <v/>
      </c>
      <c r="AZ53" s="17" t="str">
        <f t="shared" si="51"/>
        <v/>
      </c>
      <c r="BA53" s="17" t="str">
        <f t="shared" si="52"/>
        <v/>
      </c>
      <c r="BB53" s="14" t="str">
        <f t="shared" si="53"/>
        <v/>
      </c>
      <c r="BC53" s="14" t="str">
        <f>IF(OR(N53="",T53="",P53=""),"",IF(OR(T53="",P53="",(0.94*T53)="",T53&lt;=0,(0.94*T53)&lt;=0),"",(1/Inputs!$B$9)*((T53^2/8)*((2*ACOS(1-2*(0.94*T53)/T53))-SIN((2*ACOS(1-2*(0.94*T53)/T53)))))*((((T53^2/8)*((2*ACOS(1-2*(0.94*T53)/T53))-SIN((2*ACOS(1-2*(0.94*T53)/T53)))))/((T53/2)*((2*ACOS(1-2*(0.94*T53)/T53)))))^(2/3))*SQRT(P53)))</f>
        <v/>
      </c>
      <c r="BD53" s="14" t="str">
        <f t="shared" si="54"/>
        <v/>
      </c>
      <c r="BE53" s="14" t="str">
        <f t="shared" si="55"/>
        <v/>
      </c>
      <c r="BF53" s="14" t="str">
        <f t="shared" si="56"/>
        <v/>
      </c>
      <c r="BG53" s="14" t="str">
        <f>IF(OR(T53="",P53="",BF53="",T53&lt;=0,BF53&lt;=0),"",(1/Inputs!$B$9)*((T53^2/8)*((2*ACOS(1-2*BF53/T53))-SIN((2*ACOS(1-2*BF53/T53)))))*((((T53^2/8)*((2*ACOS(1-2*BF53/T53))-SIN((2*ACOS(1-2*BF53/T53)))))/((T53/2)*((2*ACOS(1-2*BF53/T53)))))^(2/3))*SQRT(P53))</f>
        <v/>
      </c>
      <c r="BH53" s="14" t="str">
        <f t="shared" si="57"/>
        <v/>
      </c>
      <c r="BI53" s="14" t="str">
        <f t="shared" si="58"/>
        <v/>
      </c>
      <c r="BJ53" s="14" t="str">
        <f t="shared" si="59"/>
        <v/>
      </c>
      <c r="BK53" s="14" t="str">
        <f>IF(OR(T53="",P53="",BJ53="",T53&lt;=0,BJ53&lt;=0),"",(1/Inputs!$B$9)*((T53^2/8)*((2*ACOS(1-2*BJ53/T53))-SIN((2*ACOS(1-2*BJ53/T53)))))*((((T53^2/8)*((2*ACOS(1-2*BJ53/T53))-SIN((2*ACOS(1-2*BJ53/T53)))))/((T53/2)*((2*ACOS(1-2*BJ53/T53)))))^(2/3))*SQRT(P53))</f>
        <v/>
      </c>
      <c r="BL53" s="14" t="str">
        <f t="shared" si="60"/>
        <v/>
      </c>
      <c r="BM53" s="14" t="str">
        <f t="shared" si="61"/>
        <v/>
      </c>
      <c r="BN53" s="14" t="str">
        <f t="shared" si="62"/>
        <v/>
      </c>
      <c r="BO53" s="14" t="str">
        <f>IF(OR(T53="",P53="",BN53="",T53&lt;=0,BN53&lt;=0),"",(1/Inputs!$B$9)*((T53^2/8)*((2*ACOS(1-2*BN53/T53))-SIN((2*ACOS(1-2*BN53/T53)))))*((((T53^2/8)*((2*ACOS(1-2*BN53/T53))-SIN((2*ACOS(1-2*BN53/T53)))))/((T53/2)*((2*ACOS(1-2*BN53/T53)))))^(2/3))*SQRT(P53))</f>
        <v/>
      </c>
      <c r="BP53" s="14" t="str">
        <f t="shared" si="63"/>
        <v/>
      </c>
      <c r="BQ53" s="14" t="str">
        <f t="shared" si="64"/>
        <v/>
      </c>
      <c r="BR53" s="14" t="str">
        <f t="shared" si="65"/>
        <v/>
      </c>
      <c r="BS53" s="14" t="str">
        <f>IF(OR(T53="",P53="",BR53="",T53&lt;=0,BR53&lt;=0),"",(1/Inputs!$B$9)*((T53^2/8)*((2*ACOS(1-2*BR53/T53))-SIN((2*ACOS(1-2*BR53/T53)))))*((((T53^2/8)*((2*ACOS(1-2*BR53/T53))-SIN((2*ACOS(1-2*BR53/T53)))))/((T53/2)*((2*ACOS(1-2*BR53/T53)))))^(2/3))*SQRT(P53))</f>
        <v/>
      </c>
      <c r="BT53" s="14" t="str">
        <f t="shared" si="66"/>
        <v/>
      </c>
      <c r="BU53" s="14" t="str">
        <f t="shared" si="67"/>
        <v/>
      </c>
      <c r="BV53" s="14" t="str">
        <f t="shared" si="68"/>
        <v/>
      </c>
      <c r="BW53" s="14" t="str">
        <f>IF(OR(T53="",P53="",BV53="",T53&lt;=0,BV53&lt;=0),"",(1/Inputs!$B$9)*((T53^2/8)*((2*ACOS(1-2*BV53/T53))-SIN((2*ACOS(1-2*BV53/T53)))))*((((T53^2/8)*((2*ACOS(1-2*BV53/T53))-SIN((2*ACOS(1-2*BV53/T53)))))/((T53/2)*((2*ACOS(1-2*BV53/T53)))))^(2/3))*SQRT(P53))</f>
        <v/>
      </c>
      <c r="BX53" s="14" t="str">
        <f t="shared" si="69"/>
        <v/>
      </c>
      <c r="BY53" s="14" t="str">
        <f t="shared" si="70"/>
        <v/>
      </c>
      <c r="BZ53" s="14" t="str">
        <f t="shared" si="71"/>
        <v/>
      </c>
      <c r="CA53" s="14" t="str">
        <f>IF(OR(T53="",P53="",BZ53="",T53&lt;=0,BZ53&lt;=0),"",(1/Inputs!$B$9)*((T53^2/8)*((2*ACOS(1-2*BZ53/T53))-SIN((2*ACOS(1-2*BZ53/T53)))))*((((T53^2/8)*((2*ACOS(1-2*BZ53/T53))-SIN((2*ACOS(1-2*BZ53/T53)))))/((T53/2)*((2*ACOS(1-2*BZ53/T53)))))^(2/3))*SQRT(P53))</f>
        <v/>
      </c>
      <c r="CB53" s="14" t="str">
        <f t="shared" si="72"/>
        <v/>
      </c>
      <c r="CC53" s="14" t="str">
        <f t="shared" si="73"/>
        <v/>
      </c>
      <c r="CD53" s="14" t="str">
        <f t="shared" si="74"/>
        <v/>
      </c>
      <c r="CE53" s="14" t="str">
        <f>IF(OR(T53="",P53="",CD53="",T53&lt;=0,CD53&lt;=0),"",(1/Inputs!$B$9)*((T53^2/8)*((2*ACOS(1-2*CD53/T53))-SIN((2*ACOS(1-2*CD53/T53)))))*((((T53^2/8)*((2*ACOS(1-2*CD53/T53))-SIN((2*ACOS(1-2*CD53/T53)))))/((T53/2)*((2*ACOS(1-2*CD53/T53)))))^(2/3))*SQRT(P53))</f>
        <v/>
      </c>
      <c r="CF53" s="14" t="str">
        <f t="shared" si="75"/>
        <v/>
      </c>
      <c r="CG53" s="14" t="str">
        <f t="shared" si="76"/>
        <v/>
      </c>
      <c r="CH53" s="14" t="str">
        <f t="shared" si="77"/>
        <v/>
      </c>
    </row>
    <row r="54" spans="1:86" x14ac:dyDescent="0.25">
      <c r="A54" s="14"/>
      <c r="B54" s="14"/>
      <c r="C54" s="14"/>
      <c r="D54" s="14"/>
      <c r="E54" s="44"/>
      <c r="F54" s="44"/>
      <c r="G54" s="44">
        <f>SUMIFS(CB_plan!$G:$G,CB_plan!$F:$F,$A54)</f>
        <v>0</v>
      </c>
      <c r="H54" s="44">
        <f t="shared" si="39"/>
        <v>0</v>
      </c>
      <c r="I54" s="14"/>
      <c r="J54" s="44"/>
      <c r="K54" s="44" t="str">
        <f>IF(A54="","",Inputs!$B$13/((IF(AV54="",Inputs!$B$18,AV54)+Inputs!$B$14)^Inputs!$B$15))</f>
        <v/>
      </c>
      <c r="L54" s="44" t="str">
        <f>IF(A54="","",IF(H54="","",0.000000278*IF(I54&lt;&gt;"",I54,IFERROR(SUMIFS(CB_plan!$H:$H,CB_plan!$F:$F,$A54)/SUMIFS(CB_plan!$G:$G,CB_plan!$F:$F,$A54),Inputs!$B$17))*H54*K54))</f>
        <v/>
      </c>
      <c r="M54" s="44" t="str">
        <f t="shared" si="40"/>
        <v/>
      </c>
      <c r="N54" s="44" t="str">
        <f>IF(A54="","",(L54+M54)*Inputs!$B$16)</f>
        <v/>
      </c>
      <c r="O54" s="44"/>
      <c r="P54" s="44" t="str">
        <f>IF(A54="","",IF(O54="",Inputs!$B$7,O54))</f>
        <v/>
      </c>
      <c r="Q54" s="14" t="str">
        <f>IF(A54="","",IF(N54/Inputs!$B$10&lt;=AG54,Inputs!$F$5,IF(N54/Inputs!$B$10&gt;AP54,"OVERSIZE",INDEX(Inputs!$F$5:$F$14,MATCH(N54/Inputs!$B$10,AG54:AP54,1)+1))))</f>
        <v/>
      </c>
      <c r="R54" s="14"/>
      <c r="S54" s="14" t="str">
        <f t="shared" si="41"/>
        <v/>
      </c>
      <c r="T54" s="44" t="str">
        <f t="shared" si="42"/>
        <v/>
      </c>
      <c r="U54" s="44" t="str">
        <f>IF(T54="","",(1/Inputs!$B$9)*(PI()*T54^2/4)*((T54/4)^(2/3))*SQRT(P54))</f>
        <v/>
      </c>
      <c r="V54" s="44" t="str">
        <f>IF(OR(U54="",N54=""),"",N54/(U54*Inputs!$B$10))</f>
        <v/>
      </c>
      <c r="W54" s="44" t="str">
        <f t="shared" si="43"/>
        <v/>
      </c>
      <c r="X54" s="44"/>
      <c r="Y54" s="44" t="str">
        <f>IF(A54="","",IF(A54=Inputs!$B$6,Inputs!$B$22,IF(D54="","",IFERROR(INDEX($Z$4:$Z$201,MATCH(D54,$A$4:$A$201,0))+IF(X54="",Inputs!$B$20,X54),""))))</f>
        <v/>
      </c>
      <c r="Z54" s="44" t="str">
        <f t="shared" si="44"/>
        <v/>
      </c>
      <c r="AA54" s="44" t="str">
        <f>IF(C54="","",IFERROR(INDEX(Noeuds_plan!$C$4:$C$200,MATCH(C54,Noeuds_plan!$A$4:$A$200,0)),""))</f>
        <v/>
      </c>
      <c r="AB54" s="44" t="str">
        <f>IF(B54="","",IFERROR(INDEX(Noeuds_plan!$C$4:$C$200,MATCH(B54,Noeuds_plan!$A$4:$A$200,0)),""))</f>
        <v/>
      </c>
      <c r="AC54" s="44" t="str">
        <f t="shared" si="45"/>
        <v/>
      </c>
      <c r="AD54" s="44" t="str">
        <f t="shared" si="46"/>
        <v/>
      </c>
      <c r="AE54" s="14" t="str">
        <f>IF(A54="","",IF(OR(V54&gt;1,AND(AY54&lt;&gt;"",AY54&lt;Inputs!$B$11),AND(AY54&lt;&gt;"",AY54&gt;Inputs!$B$12),AC54&lt;Inputs!$B$19,AD54&lt;Inputs!$B$19,P54&lt;Inputs!$B$7,P54&gt;Inputs!$B$8),"CHECK","OK"))</f>
        <v/>
      </c>
      <c r="AF54" s="14"/>
      <c r="AG54" s="14" t="str">
        <f>IF(A54="","",(1/Inputs!$B$9)*(PI()*(Inputs!$F$5/1000)^2/4)*((Inputs!$F$5/1000/4)^(2/3))*SQRT(P54))</f>
        <v/>
      </c>
      <c r="AH54" s="14" t="str">
        <f>IF(A54="","",(1/Inputs!$B$9)*(PI()*(Inputs!$F$6/1000)^2/4)*((Inputs!$F$6/1000/4)^(2/3))*SQRT(P54))</f>
        <v/>
      </c>
      <c r="AI54" s="14" t="str">
        <f>IF(A54="","",(1/Inputs!$B$9)*(PI()*(Inputs!$F$7/1000)^2/4)*((Inputs!$F$7/1000/4)^(2/3))*SQRT(P54))</f>
        <v/>
      </c>
      <c r="AJ54" s="14" t="str">
        <f>IF(A54="","",(1/Inputs!$B$9)*(PI()*(Inputs!$F$8/1000)^2/4)*((Inputs!$F$8/1000/4)^(2/3))*SQRT(P54))</f>
        <v/>
      </c>
      <c r="AK54" s="14" t="str">
        <f>IF(A54="","",(1/Inputs!$B$9)*(PI()*(Inputs!$F$9/1000)^2/4)*((Inputs!$F$9/1000/4)^(2/3))*SQRT(P54))</f>
        <v/>
      </c>
      <c r="AL54" s="14" t="str">
        <f>IF(A54="","",(1/Inputs!$B$9)*(PI()*(Inputs!$F$10/1000)^2/4)*((Inputs!$F$10/1000/4)^(2/3))*SQRT(P54))</f>
        <v/>
      </c>
      <c r="AM54" s="14" t="str">
        <f>IF(A54="","",(1/Inputs!$B$9)*(PI()*(Inputs!$F$11/1000)^2/4)*((Inputs!$F$11/1000/4)^(2/3))*SQRT(P54))</f>
        <v/>
      </c>
      <c r="AN54" s="14" t="str">
        <f>IF(A54="","",(1/Inputs!$B$9)*(PI()*(Inputs!$F$12/1000)^2/4)*((Inputs!$F$12/1000/4)^(2/3))*SQRT(P54))</f>
        <v/>
      </c>
      <c r="AO54" s="14" t="str">
        <f>IF(A54="","",(1/Inputs!$B$9)*(PI()*(Inputs!$F$13/1000)^2/4)*((Inputs!$F$13/1000/4)^(2/3))*SQRT(P54))</f>
        <v/>
      </c>
      <c r="AP54" s="14" t="str">
        <f>IF(A54="","",(1/Inputs!$B$9)*(PI()*(Inputs!$F$14/1000)^2/4)*((Inputs!$F$14/1000/4)^(2/3))*SQRT(P54))</f>
        <v/>
      </c>
      <c r="AQ54" s="14" t="str">
        <f t="shared" si="47"/>
        <v/>
      </c>
      <c r="AR54" s="14" t="str">
        <f t="shared" si="48"/>
        <v/>
      </c>
      <c r="AS54" s="17" t="str">
        <f>IF(A54="","",IF(J54="",Inputs!$B$18,J54))</f>
        <v/>
      </c>
      <c r="AT54" s="17" t="str">
        <f>IF(A54="","",IFERROR(_xludf.maxifs($AV$4:$AV$201,$D$4:$D$201,$A54),""))</f>
        <v/>
      </c>
      <c r="AU54" s="17" t="str">
        <f>IF(A54="","",IF(OR(E54="",Inputs!$B$23=""),"",E54/(Inputs!$B$23*60)))</f>
        <v/>
      </c>
      <c r="AV54" s="17" t="str">
        <f t="shared" si="49"/>
        <v/>
      </c>
      <c r="AW54" s="17" t="str">
        <f t="shared" si="50"/>
        <v/>
      </c>
      <c r="AX54" s="17" t="str">
        <f>IF(OR(T54="",P54=""),"",(1/Inputs!$B$9)*((T54/4)^(2/3))*SQRT(P54))</f>
        <v/>
      </c>
      <c r="AY54" s="17" t="str">
        <f>IF(A54="","",IF(AND(AW54="",AX54="",BA54=""),"",IF(OR(UPPER(TRIM(Inputs!$B$24))="MANNING",UPPER(TRIM(Inputs!$B$24))="M"),AX54,IF(OR(UPPER(TRIM(Inputs!$B$24))="PARTIAL",UPPER(TRIM(Inputs!$B$24))="P"),BA54,IF(OR(UPPER(TRIM(Inputs!$B$24))="MAX",UPPER(TRIM(Inputs!$B$24))="X"),MAX(IF(AW54="",0,AW54),IF(AX54="",0,AX54),IF(BA54="",0,BA54)),AW54)))))</f>
        <v/>
      </c>
      <c r="AZ54" s="17" t="str">
        <f t="shared" si="51"/>
        <v/>
      </c>
      <c r="BA54" s="17" t="str">
        <f t="shared" si="52"/>
        <v/>
      </c>
      <c r="BB54" s="14" t="str">
        <f t="shared" si="53"/>
        <v/>
      </c>
      <c r="BC54" s="14" t="str">
        <f>IF(OR(N54="",T54="",P54=""),"",IF(OR(T54="",P54="",(0.94*T54)="",T54&lt;=0,(0.94*T54)&lt;=0),"",(1/Inputs!$B$9)*((T54^2/8)*((2*ACOS(1-2*(0.94*T54)/T54))-SIN((2*ACOS(1-2*(0.94*T54)/T54)))))*((((T54^2/8)*((2*ACOS(1-2*(0.94*T54)/T54))-SIN((2*ACOS(1-2*(0.94*T54)/T54)))))/((T54/2)*((2*ACOS(1-2*(0.94*T54)/T54)))))^(2/3))*SQRT(P54)))</f>
        <v/>
      </c>
      <c r="BD54" s="14" t="str">
        <f t="shared" si="54"/>
        <v/>
      </c>
      <c r="BE54" s="14" t="str">
        <f t="shared" si="55"/>
        <v/>
      </c>
      <c r="BF54" s="14" t="str">
        <f t="shared" si="56"/>
        <v/>
      </c>
      <c r="BG54" s="14" t="str">
        <f>IF(OR(T54="",P54="",BF54="",T54&lt;=0,BF54&lt;=0),"",(1/Inputs!$B$9)*((T54^2/8)*((2*ACOS(1-2*BF54/T54))-SIN((2*ACOS(1-2*BF54/T54)))))*((((T54^2/8)*((2*ACOS(1-2*BF54/T54))-SIN((2*ACOS(1-2*BF54/T54)))))/((T54/2)*((2*ACOS(1-2*BF54/T54)))))^(2/3))*SQRT(P54))</f>
        <v/>
      </c>
      <c r="BH54" s="14" t="str">
        <f t="shared" si="57"/>
        <v/>
      </c>
      <c r="BI54" s="14" t="str">
        <f t="shared" si="58"/>
        <v/>
      </c>
      <c r="BJ54" s="14" t="str">
        <f t="shared" si="59"/>
        <v/>
      </c>
      <c r="BK54" s="14" t="str">
        <f>IF(OR(T54="",P54="",BJ54="",T54&lt;=0,BJ54&lt;=0),"",(1/Inputs!$B$9)*((T54^2/8)*((2*ACOS(1-2*BJ54/T54))-SIN((2*ACOS(1-2*BJ54/T54)))))*((((T54^2/8)*((2*ACOS(1-2*BJ54/T54))-SIN((2*ACOS(1-2*BJ54/T54)))))/((T54/2)*((2*ACOS(1-2*BJ54/T54)))))^(2/3))*SQRT(P54))</f>
        <v/>
      </c>
      <c r="BL54" s="14" t="str">
        <f t="shared" si="60"/>
        <v/>
      </c>
      <c r="BM54" s="14" t="str">
        <f t="shared" si="61"/>
        <v/>
      </c>
      <c r="BN54" s="14" t="str">
        <f t="shared" si="62"/>
        <v/>
      </c>
      <c r="BO54" s="14" t="str">
        <f>IF(OR(T54="",P54="",BN54="",T54&lt;=0,BN54&lt;=0),"",(1/Inputs!$B$9)*((T54^2/8)*((2*ACOS(1-2*BN54/T54))-SIN((2*ACOS(1-2*BN54/T54)))))*((((T54^2/8)*((2*ACOS(1-2*BN54/T54))-SIN((2*ACOS(1-2*BN54/T54)))))/((T54/2)*((2*ACOS(1-2*BN54/T54)))))^(2/3))*SQRT(P54))</f>
        <v/>
      </c>
      <c r="BP54" s="14" t="str">
        <f t="shared" si="63"/>
        <v/>
      </c>
      <c r="BQ54" s="14" t="str">
        <f t="shared" si="64"/>
        <v/>
      </c>
      <c r="BR54" s="14" t="str">
        <f t="shared" si="65"/>
        <v/>
      </c>
      <c r="BS54" s="14" t="str">
        <f>IF(OR(T54="",P54="",BR54="",T54&lt;=0,BR54&lt;=0),"",(1/Inputs!$B$9)*((T54^2/8)*((2*ACOS(1-2*BR54/T54))-SIN((2*ACOS(1-2*BR54/T54)))))*((((T54^2/8)*((2*ACOS(1-2*BR54/T54))-SIN((2*ACOS(1-2*BR54/T54)))))/((T54/2)*((2*ACOS(1-2*BR54/T54)))))^(2/3))*SQRT(P54))</f>
        <v/>
      </c>
      <c r="BT54" s="14" t="str">
        <f t="shared" si="66"/>
        <v/>
      </c>
      <c r="BU54" s="14" t="str">
        <f t="shared" si="67"/>
        <v/>
      </c>
      <c r="BV54" s="14" t="str">
        <f t="shared" si="68"/>
        <v/>
      </c>
      <c r="BW54" s="14" t="str">
        <f>IF(OR(T54="",P54="",BV54="",T54&lt;=0,BV54&lt;=0),"",(1/Inputs!$B$9)*((T54^2/8)*((2*ACOS(1-2*BV54/T54))-SIN((2*ACOS(1-2*BV54/T54)))))*((((T54^2/8)*((2*ACOS(1-2*BV54/T54))-SIN((2*ACOS(1-2*BV54/T54)))))/((T54/2)*((2*ACOS(1-2*BV54/T54)))))^(2/3))*SQRT(P54))</f>
        <v/>
      </c>
      <c r="BX54" s="14" t="str">
        <f t="shared" si="69"/>
        <v/>
      </c>
      <c r="BY54" s="14" t="str">
        <f t="shared" si="70"/>
        <v/>
      </c>
      <c r="BZ54" s="14" t="str">
        <f t="shared" si="71"/>
        <v/>
      </c>
      <c r="CA54" s="14" t="str">
        <f>IF(OR(T54="",P54="",BZ54="",T54&lt;=0,BZ54&lt;=0),"",(1/Inputs!$B$9)*((T54^2/8)*((2*ACOS(1-2*BZ54/T54))-SIN((2*ACOS(1-2*BZ54/T54)))))*((((T54^2/8)*((2*ACOS(1-2*BZ54/T54))-SIN((2*ACOS(1-2*BZ54/T54)))))/((T54/2)*((2*ACOS(1-2*BZ54/T54)))))^(2/3))*SQRT(P54))</f>
        <v/>
      </c>
      <c r="CB54" s="14" t="str">
        <f t="shared" si="72"/>
        <v/>
      </c>
      <c r="CC54" s="14" t="str">
        <f t="shared" si="73"/>
        <v/>
      </c>
      <c r="CD54" s="14" t="str">
        <f t="shared" si="74"/>
        <v/>
      </c>
      <c r="CE54" s="14" t="str">
        <f>IF(OR(T54="",P54="",CD54="",T54&lt;=0,CD54&lt;=0),"",(1/Inputs!$B$9)*((T54^2/8)*((2*ACOS(1-2*CD54/T54))-SIN((2*ACOS(1-2*CD54/T54)))))*((((T54^2/8)*((2*ACOS(1-2*CD54/T54))-SIN((2*ACOS(1-2*CD54/T54)))))/((T54/2)*((2*ACOS(1-2*CD54/T54)))))^(2/3))*SQRT(P54))</f>
        <v/>
      </c>
      <c r="CF54" s="14" t="str">
        <f t="shared" si="75"/>
        <v/>
      </c>
      <c r="CG54" s="14" t="str">
        <f t="shared" si="76"/>
        <v/>
      </c>
      <c r="CH54" s="14" t="str">
        <f t="shared" si="77"/>
        <v/>
      </c>
    </row>
    <row r="55" spans="1:86" x14ac:dyDescent="0.25">
      <c r="A55" s="14"/>
      <c r="B55" s="14"/>
      <c r="C55" s="14"/>
      <c r="D55" s="14"/>
      <c r="E55" s="44"/>
      <c r="F55" s="44"/>
      <c r="G55" s="44">
        <f>SUMIFS(CB_plan!$G:$G,CB_plan!$F:$F,$A55)</f>
        <v>0</v>
      </c>
      <c r="H55" s="44">
        <f t="shared" si="39"/>
        <v>0</v>
      </c>
      <c r="I55" s="14"/>
      <c r="J55" s="44"/>
      <c r="K55" s="44" t="str">
        <f>IF(A55="","",Inputs!$B$13/((IF(AV55="",Inputs!$B$18,AV55)+Inputs!$B$14)^Inputs!$B$15))</f>
        <v/>
      </c>
      <c r="L55" s="44" t="str">
        <f>IF(A55="","",IF(H55="","",0.000000278*IF(I55&lt;&gt;"",I55,IFERROR(SUMIFS(CB_plan!$H:$H,CB_plan!$F:$F,$A55)/SUMIFS(CB_plan!$G:$G,CB_plan!$F:$F,$A55),Inputs!$B$17))*H55*K55))</f>
        <v/>
      </c>
      <c r="M55" s="44" t="str">
        <f t="shared" si="40"/>
        <v/>
      </c>
      <c r="N55" s="44" t="str">
        <f>IF(A55="","",(L55+M55)*Inputs!$B$16)</f>
        <v/>
      </c>
      <c r="O55" s="44"/>
      <c r="P55" s="44" t="str">
        <f>IF(A55="","",IF(O55="",Inputs!$B$7,O55))</f>
        <v/>
      </c>
      <c r="Q55" s="14" t="str">
        <f>IF(A55="","",IF(N55/Inputs!$B$10&lt;=AG55,Inputs!$F$5,IF(N55/Inputs!$B$10&gt;AP55,"OVERSIZE",INDEX(Inputs!$F$5:$F$14,MATCH(N55/Inputs!$B$10,AG55:AP55,1)+1))))</f>
        <v/>
      </c>
      <c r="R55" s="14"/>
      <c r="S55" s="14" t="str">
        <f t="shared" si="41"/>
        <v/>
      </c>
      <c r="T55" s="44" t="str">
        <f t="shared" si="42"/>
        <v/>
      </c>
      <c r="U55" s="44" t="str">
        <f>IF(T55="","",(1/Inputs!$B$9)*(PI()*T55^2/4)*((T55/4)^(2/3))*SQRT(P55))</f>
        <v/>
      </c>
      <c r="V55" s="44" t="str">
        <f>IF(OR(U55="",N55=""),"",N55/(U55*Inputs!$B$10))</f>
        <v/>
      </c>
      <c r="W55" s="44" t="str">
        <f t="shared" si="43"/>
        <v/>
      </c>
      <c r="X55" s="44"/>
      <c r="Y55" s="44" t="str">
        <f>IF(A55="","",IF(A55=Inputs!$B$6,Inputs!$B$22,IF(D55="","",IFERROR(INDEX($Z$4:$Z$201,MATCH(D55,$A$4:$A$201,0))+IF(X55="",Inputs!$B$20,X55),""))))</f>
        <v/>
      </c>
      <c r="Z55" s="44" t="str">
        <f t="shared" si="44"/>
        <v/>
      </c>
      <c r="AA55" s="44" t="str">
        <f>IF(C55="","",IFERROR(INDEX(Noeuds_plan!$C$4:$C$200,MATCH(C55,Noeuds_plan!$A$4:$A$200,0)),""))</f>
        <v/>
      </c>
      <c r="AB55" s="44" t="str">
        <f>IF(B55="","",IFERROR(INDEX(Noeuds_plan!$C$4:$C$200,MATCH(B55,Noeuds_plan!$A$4:$A$200,0)),""))</f>
        <v/>
      </c>
      <c r="AC55" s="44" t="str">
        <f t="shared" si="45"/>
        <v/>
      </c>
      <c r="AD55" s="44" t="str">
        <f t="shared" si="46"/>
        <v/>
      </c>
      <c r="AE55" s="14" t="str">
        <f>IF(A55="","",IF(OR(V55&gt;1,AND(AY55&lt;&gt;"",AY55&lt;Inputs!$B$11),AND(AY55&lt;&gt;"",AY55&gt;Inputs!$B$12),AC55&lt;Inputs!$B$19,AD55&lt;Inputs!$B$19,P55&lt;Inputs!$B$7,P55&gt;Inputs!$B$8),"CHECK","OK"))</f>
        <v/>
      </c>
      <c r="AF55" s="14"/>
      <c r="AG55" s="14" t="str">
        <f>IF(A55="","",(1/Inputs!$B$9)*(PI()*(Inputs!$F$5/1000)^2/4)*((Inputs!$F$5/1000/4)^(2/3))*SQRT(P55))</f>
        <v/>
      </c>
      <c r="AH55" s="14" t="str">
        <f>IF(A55="","",(1/Inputs!$B$9)*(PI()*(Inputs!$F$6/1000)^2/4)*((Inputs!$F$6/1000/4)^(2/3))*SQRT(P55))</f>
        <v/>
      </c>
      <c r="AI55" s="14" t="str">
        <f>IF(A55="","",(1/Inputs!$B$9)*(PI()*(Inputs!$F$7/1000)^2/4)*((Inputs!$F$7/1000/4)^(2/3))*SQRT(P55))</f>
        <v/>
      </c>
      <c r="AJ55" s="14" t="str">
        <f>IF(A55="","",(1/Inputs!$B$9)*(PI()*(Inputs!$F$8/1000)^2/4)*((Inputs!$F$8/1000/4)^(2/3))*SQRT(P55))</f>
        <v/>
      </c>
      <c r="AK55" s="14" t="str">
        <f>IF(A55="","",(1/Inputs!$B$9)*(PI()*(Inputs!$F$9/1000)^2/4)*((Inputs!$F$9/1000/4)^(2/3))*SQRT(P55))</f>
        <v/>
      </c>
      <c r="AL55" s="14" t="str">
        <f>IF(A55="","",(1/Inputs!$B$9)*(PI()*(Inputs!$F$10/1000)^2/4)*((Inputs!$F$10/1000/4)^(2/3))*SQRT(P55))</f>
        <v/>
      </c>
      <c r="AM55" s="14" t="str">
        <f>IF(A55="","",(1/Inputs!$B$9)*(PI()*(Inputs!$F$11/1000)^2/4)*((Inputs!$F$11/1000/4)^(2/3))*SQRT(P55))</f>
        <v/>
      </c>
      <c r="AN55" s="14" t="str">
        <f>IF(A55="","",(1/Inputs!$B$9)*(PI()*(Inputs!$F$12/1000)^2/4)*((Inputs!$F$12/1000/4)^(2/3))*SQRT(P55))</f>
        <v/>
      </c>
      <c r="AO55" s="14" t="str">
        <f>IF(A55="","",(1/Inputs!$B$9)*(PI()*(Inputs!$F$13/1000)^2/4)*((Inputs!$F$13/1000/4)^(2/3))*SQRT(P55))</f>
        <v/>
      </c>
      <c r="AP55" s="14" t="str">
        <f>IF(A55="","",(1/Inputs!$B$9)*(PI()*(Inputs!$F$14/1000)^2/4)*((Inputs!$F$14/1000/4)^(2/3))*SQRT(P55))</f>
        <v/>
      </c>
      <c r="AQ55" s="14" t="str">
        <f t="shared" si="47"/>
        <v/>
      </c>
      <c r="AR55" s="14" t="str">
        <f t="shared" si="48"/>
        <v/>
      </c>
      <c r="AS55" s="17" t="str">
        <f>IF(A55="","",IF(J55="",Inputs!$B$18,J55))</f>
        <v/>
      </c>
      <c r="AT55" s="17" t="str">
        <f>IF(A55="","",IFERROR(_xludf.maxifs($AV$4:$AV$201,$D$4:$D$201,$A55),""))</f>
        <v/>
      </c>
      <c r="AU55" s="17" t="str">
        <f>IF(A55="","",IF(OR(E55="",Inputs!$B$23=""),"",E55/(Inputs!$B$23*60)))</f>
        <v/>
      </c>
      <c r="AV55" s="17" t="str">
        <f t="shared" si="49"/>
        <v/>
      </c>
      <c r="AW55" s="17" t="str">
        <f t="shared" si="50"/>
        <v/>
      </c>
      <c r="AX55" s="17" t="str">
        <f>IF(OR(T55="",P55=""),"",(1/Inputs!$B$9)*((T55/4)^(2/3))*SQRT(P55))</f>
        <v/>
      </c>
      <c r="AY55" s="17" t="str">
        <f>IF(A55="","",IF(AND(AW55="",AX55="",BA55=""),"",IF(OR(UPPER(TRIM(Inputs!$B$24))="MANNING",UPPER(TRIM(Inputs!$B$24))="M"),AX55,IF(OR(UPPER(TRIM(Inputs!$B$24))="PARTIAL",UPPER(TRIM(Inputs!$B$24))="P"),BA55,IF(OR(UPPER(TRIM(Inputs!$B$24))="MAX",UPPER(TRIM(Inputs!$B$24))="X"),MAX(IF(AW55="",0,AW55),IF(AX55="",0,AX55),IF(BA55="",0,BA55)),AW55)))))</f>
        <v/>
      </c>
      <c r="AZ55" s="17" t="str">
        <f t="shared" si="51"/>
        <v/>
      </c>
      <c r="BA55" s="17" t="str">
        <f t="shared" si="52"/>
        <v/>
      </c>
      <c r="BB55" s="14" t="str">
        <f t="shared" si="53"/>
        <v/>
      </c>
      <c r="BC55" s="14" t="str">
        <f>IF(OR(N55="",T55="",P55=""),"",IF(OR(T55="",P55="",(0.94*T55)="",T55&lt;=0,(0.94*T55)&lt;=0),"",(1/Inputs!$B$9)*((T55^2/8)*((2*ACOS(1-2*(0.94*T55)/T55))-SIN((2*ACOS(1-2*(0.94*T55)/T55)))))*((((T55^2/8)*((2*ACOS(1-2*(0.94*T55)/T55))-SIN((2*ACOS(1-2*(0.94*T55)/T55)))))/((T55/2)*((2*ACOS(1-2*(0.94*T55)/T55)))))^(2/3))*SQRT(P55)))</f>
        <v/>
      </c>
      <c r="BD55" s="14" t="str">
        <f t="shared" si="54"/>
        <v/>
      </c>
      <c r="BE55" s="14" t="str">
        <f t="shared" si="55"/>
        <v/>
      </c>
      <c r="BF55" s="14" t="str">
        <f t="shared" si="56"/>
        <v/>
      </c>
      <c r="BG55" s="14" t="str">
        <f>IF(OR(T55="",P55="",BF55="",T55&lt;=0,BF55&lt;=0),"",(1/Inputs!$B$9)*((T55^2/8)*((2*ACOS(1-2*BF55/T55))-SIN((2*ACOS(1-2*BF55/T55)))))*((((T55^2/8)*((2*ACOS(1-2*BF55/T55))-SIN((2*ACOS(1-2*BF55/T55)))))/((T55/2)*((2*ACOS(1-2*BF55/T55)))))^(2/3))*SQRT(P55))</f>
        <v/>
      </c>
      <c r="BH55" s="14" t="str">
        <f t="shared" si="57"/>
        <v/>
      </c>
      <c r="BI55" s="14" t="str">
        <f t="shared" si="58"/>
        <v/>
      </c>
      <c r="BJ55" s="14" t="str">
        <f t="shared" si="59"/>
        <v/>
      </c>
      <c r="BK55" s="14" t="str">
        <f>IF(OR(T55="",P55="",BJ55="",T55&lt;=0,BJ55&lt;=0),"",(1/Inputs!$B$9)*((T55^2/8)*((2*ACOS(1-2*BJ55/T55))-SIN((2*ACOS(1-2*BJ55/T55)))))*((((T55^2/8)*((2*ACOS(1-2*BJ55/T55))-SIN((2*ACOS(1-2*BJ55/T55)))))/((T55/2)*((2*ACOS(1-2*BJ55/T55)))))^(2/3))*SQRT(P55))</f>
        <v/>
      </c>
      <c r="BL55" s="14" t="str">
        <f t="shared" si="60"/>
        <v/>
      </c>
      <c r="BM55" s="14" t="str">
        <f t="shared" si="61"/>
        <v/>
      </c>
      <c r="BN55" s="14" t="str">
        <f t="shared" si="62"/>
        <v/>
      </c>
      <c r="BO55" s="14" t="str">
        <f>IF(OR(T55="",P55="",BN55="",T55&lt;=0,BN55&lt;=0),"",(1/Inputs!$B$9)*((T55^2/8)*((2*ACOS(1-2*BN55/T55))-SIN((2*ACOS(1-2*BN55/T55)))))*((((T55^2/8)*((2*ACOS(1-2*BN55/T55))-SIN((2*ACOS(1-2*BN55/T55)))))/((T55/2)*((2*ACOS(1-2*BN55/T55)))))^(2/3))*SQRT(P55))</f>
        <v/>
      </c>
      <c r="BP55" s="14" t="str">
        <f t="shared" si="63"/>
        <v/>
      </c>
      <c r="BQ55" s="14" t="str">
        <f t="shared" si="64"/>
        <v/>
      </c>
      <c r="BR55" s="14" t="str">
        <f t="shared" si="65"/>
        <v/>
      </c>
      <c r="BS55" s="14" t="str">
        <f>IF(OR(T55="",P55="",BR55="",T55&lt;=0,BR55&lt;=0),"",(1/Inputs!$B$9)*((T55^2/8)*((2*ACOS(1-2*BR55/T55))-SIN((2*ACOS(1-2*BR55/T55)))))*((((T55^2/8)*((2*ACOS(1-2*BR55/T55))-SIN((2*ACOS(1-2*BR55/T55)))))/((T55/2)*((2*ACOS(1-2*BR55/T55)))))^(2/3))*SQRT(P55))</f>
        <v/>
      </c>
      <c r="BT55" s="14" t="str">
        <f t="shared" si="66"/>
        <v/>
      </c>
      <c r="BU55" s="14" t="str">
        <f t="shared" si="67"/>
        <v/>
      </c>
      <c r="BV55" s="14" t="str">
        <f t="shared" si="68"/>
        <v/>
      </c>
      <c r="BW55" s="14" t="str">
        <f>IF(OR(T55="",P55="",BV55="",T55&lt;=0,BV55&lt;=0),"",(1/Inputs!$B$9)*((T55^2/8)*((2*ACOS(1-2*BV55/T55))-SIN((2*ACOS(1-2*BV55/T55)))))*((((T55^2/8)*((2*ACOS(1-2*BV55/T55))-SIN((2*ACOS(1-2*BV55/T55)))))/((T55/2)*((2*ACOS(1-2*BV55/T55)))))^(2/3))*SQRT(P55))</f>
        <v/>
      </c>
      <c r="BX55" s="14" t="str">
        <f t="shared" si="69"/>
        <v/>
      </c>
      <c r="BY55" s="14" t="str">
        <f t="shared" si="70"/>
        <v/>
      </c>
      <c r="BZ55" s="14" t="str">
        <f t="shared" si="71"/>
        <v/>
      </c>
      <c r="CA55" s="14" t="str">
        <f>IF(OR(T55="",P55="",BZ55="",T55&lt;=0,BZ55&lt;=0),"",(1/Inputs!$B$9)*((T55^2/8)*((2*ACOS(1-2*BZ55/T55))-SIN((2*ACOS(1-2*BZ55/T55)))))*((((T55^2/8)*((2*ACOS(1-2*BZ55/T55))-SIN((2*ACOS(1-2*BZ55/T55)))))/((T55/2)*((2*ACOS(1-2*BZ55/T55)))))^(2/3))*SQRT(P55))</f>
        <v/>
      </c>
      <c r="CB55" s="14" t="str">
        <f t="shared" si="72"/>
        <v/>
      </c>
      <c r="CC55" s="14" t="str">
        <f t="shared" si="73"/>
        <v/>
      </c>
      <c r="CD55" s="14" t="str">
        <f t="shared" si="74"/>
        <v/>
      </c>
      <c r="CE55" s="14" t="str">
        <f>IF(OR(T55="",P55="",CD55="",T55&lt;=0,CD55&lt;=0),"",(1/Inputs!$B$9)*((T55^2/8)*((2*ACOS(1-2*CD55/T55))-SIN((2*ACOS(1-2*CD55/T55)))))*((((T55^2/8)*((2*ACOS(1-2*CD55/T55))-SIN((2*ACOS(1-2*CD55/T55)))))/((T55/2)*((2*ACOS(1-2*CD55/T55)))))^(2/3))*SQRT(P55))</f>
        <v/>
      </c>
      <c r="CF55" s="14" t="str">
        <f t="shared" si="75"/>
        <v/>
      </c>
      <c r="CG55" s="14" t="str">
        <f t="shared" si="76"/>
        <v/>
      </c>
      <c r="CH55" s="14" t="str">
        <f t="shared" si="77"/>
        <v/>
      </c>
    </row>
    <row r="56" spans="1:86" x14ac:dyDescent="0.25">
      <c r="A56" s="14"/>
      <c r="B56" s="14"/>
      <c r="C56" s="14"/>
      <c r="D56" s="14"/>
      <c r="E56" s="44"/>
      <c r="F56" s="44"/>
      <c r="G56" s="44">
        <f>SUMIFS(CB_plan!$G:$G,CB_plan!$F:$F,$A56)</f>
        <v>0</v>
      </c>
      <c r="H56" s="44">
        <f t="shared" si="39"/>
        <v>0</v>
      </c>
      <c r="I56" s="14"/>
      <c r="J56" s="44"/>
      <c r="K56" s="44" t="str">
        <f>IF(A56="","",Inputs!$B$13/((IF(AV56="",Inputs!$B$18,AV56)+Inputs!$B$14)^Inputs!$B$15))</f>
        <v/>
      </c>
      <c r="L56" s="44" t="str">
        <f>IF(A56="","",IF(H56="","",0.000000278*IF(I56&lt;&gt;"",I56,IFERROR(SUMIFS(CB_plan!$H:$H,CB_plan!$F:$F,$A56)/SUMIFS(CB_plan!$G:$G,CB_plan!$F:$F,$A56),Inputs!$B$17))*H56*K56))</f>
        <v/>
      </c>
      <c r="M56" s="44" t="str">
        <f t="shared" si="40"/>
        <v/>
      </c>
      <c r="N56" s="44" t="str">
        <f>IF(A56="","",(L56+M56)*Inputs!$B$16)</f>
        <v/>
      </c>
      <c r="O56" s="44"/>
      <c r="P56" s="44" t="str">
        <f>IF(A56="","",IF(O56="",Inputs!$B$7,O56))</f>
        <v/>
      </c>
      <c r="Q56" s="14" t="str">
        <f>IF(A56="","",IF(N56/Inputs!$B$10&lt;=AG56,Inputs!$F$5,IF(N56/Inputs!$B$10&gt;AP56,"OVERSIZE",INDEX(Inputs!$F$5:$F$14,MATCH(N56/Inputs!$B$10,AG56:AP56,1)+1))))</f>
        <v/>
      </c>
      <c r="R56" s="14"/>
      <c r="S56" s="14" t="str">
        <f t="shared" si="41"/>
        <v/>
      </c>
      <c r="T56" s="44" t="str">
        <f t="shared" si="42"/>
        <v/>
      </c>
      <c r="U56" s="44" t="str">
        <f>IF(T56="","",(1/Inputs!$B$9)*(PI()*T56^2/4)*((T56/4)^(2/3))*SQRT(P56))</f>
        <v/>
      </c>
      <c r="V56" s="44" t="str">
        <f>IF(OR(U56="",N56=""),"",N56/(U56*Inputs!$B$10))</f>
        <v/>
      </c>
      <c r="W56" s="44" t="str">
        <f t="shared" si="43"/>
        <v/>
      </c>
      <c r="X56" s="44"/>
      <c r="Y56" s="44" t="str">
        <f>IF(A56="","",IF(A56=Inputs!$B$6,Inputs!$B$22,IF(D56="","",IFERROR(INDEX($Z$4:$Z$201,MATCH(D56,$A$4:$A$201,0))+IF(X56="",Inputs!$B$20,X56),""))))</f>
        <v/>
      </c>
      <c r="Z56" s="44" t="str">
        <f t="shared" si="44"/>
        <v/>
      </c>
      <c r="AA56" s="44" t="str">
        <f>IF(C56="","",IFERROR(INDEX(Noeuds_plan!$C$4:$C$200,MATCH(C56,Noeuds_plan!$A$4:$A$200,0)),""))</f>
        <v/>
      </c>
      <c r="AB56" s="44" t="str">
        <f>IF(B56="","",IFERROR(INDEX(Noeuds_plan!$C$4:$C$200,MATCH(B56,Noeuds_plan!$A$4:$A$200,0)),""))</f>
        <v/>
      </c>
      <c r="AC56" s="44" t="str">
        <f t="shared" si="45"/>
        <v/>
      </c>
      <c r="AD56" s="44" t="str">
        <f t="shared" si="46"/>
        <v/>
      </c>
      <c r="AE56" s="14" t="str">
        <f>IF(A56="","",IF(OR(V56&gt;1,AND(AY56&lt;&gt;"",AY56&lt;Inputs!$B$11),AND(AY56&lt;&gt;"",AY56&gt;Inputs!$B$12),AC56&lt;Inputs!$B$19,AD56&lt;Inputs!$B$19,P56&lt;Inputs!$B$7,P56&gt;Inputs!$B$8),"CHECK","OK"))</f>
        <v/>
      </c>
      <c r="AF56" s="14"/>
      <c r="AG56" s="14" t="str">
        <f>IF(A56="","",(1/Inputs!$B$9)*(PI()*(Inputs!$F$5/1000)^2/4)*((Inputs!$F$5/1000/4)^(2/3))*SQRT(P56))</f>
        <v/>
      </c>
      <c r="AH56" s="14" t="str">
        <f>IF(A56="","",(1/Inputs!$B$9)*(PI()*(Inputs!$F$6/1000)^2/4)*((Inputs!$F$6/1000/4)^(2/3))*SQRT(P56))</f>
        <v/>
      </c>
      <c r="AI56" s="14" t="str">
        <f>IF(A56="","",(1/Inputs!$B$9)*(PI()*(Inputs!$F$7/1000)^2/4)*((Inputs!$F$7/1000/4)^(2/3))*SQRT(P56))</f>
        <v/>
      </c>
      <c r="AJ56" s="14" t="str">
        <f>IF(A56="","",(1/Inputs!$B$9)*(PI()*(Inputs!$F$8/1000)^2/4)*((Inputs!$F$8/1000/4)^(2/3))*SQRT(P56))</f>
        <v/>
      </c>
      <c r="AK56" s="14" t="str">
        <f>IF(A56="","",(1/Inputs!$B$9)*(PI()*(Inputs!$F$9/1000)^2/4)*((Inputs!$F$9/1000/4)^(2/3))*SQRT(P56))</f>
        <v/>
      </c>
      <c r="AL56" s="14" t="str">
        <f>IF(A56="","",(1/Inputs!$B$9)*(PI()*(Inputs!$F$10/1000)^2/4)*((Inputs!$F$10/1000/4)^(2/3))*SQRT(P56))</f>
        <v/>
      </c>
      <c r="AM56" s="14" t="str">
        <f>IF(A56="","",(1/Inputs!$B$9)*(PI()*(Inputs!$F$11/1000)^2/4)*((Inputs!$F$11/1000/4)^(2/3))*SQRT(P56))</f>
        <v/>
      </c>
      <c r="AN56" s="14" t="str">
        <f>IF(A56="","",(1/Inputs!$B$9)*(PI()*(Inputs!$F$12/1000)^2/4)*((Inputs!$F$12/1000/4)^(2/3))*SQRT(P56))</f>
        <v/>
      </c>
      <c r="AO56" s="14" t="str">
        <f>IF(A56="","",(1/Inputs!$B$9)*(PI()*(Inputs!$F$13/1000)^2/4)*((Inputs!$F$13/1000/4)^(2/3))*SQRT(P56))</f>
        <v/>
      </c>
      <c r="AP56" s="14" t="str">
        <f>IF(A56="","",(1/Inputs!$B$9)*(PI()*(Inputs!$F$14/1000)^2/4)*((Inputs!$F$14/1000/4)^(2/3))*SQRT(P56))</f>
        <v/>
      </c>
      <c r="AQ56" s="14" t="str">
        <f t="shared" si="47"/>
        <v/>
      </c>
      <c r="AR56" s="14" t="str">
        <f t="shared" si="48"/>
        <v/>
      </c>
      <c r="AS56" s="17" t="str">
        <f>IF(A56="","",IF(J56="",Inputs!$B$18,J56))</f>
        <v/>
      </c>
      <c r="AT56" s="17" t="str">
        <f>IF(A56="","",IFERROR(_xludf.maxifs($AV$4:$AV$201,$D$4:$D$201,$A56),""))</f>
        <v/>
      </c>
      <c r="AU56" s="17" t="str">
        <f>IF(A56="","",IF(OR(E56="",Inputs!$B$23=""),"",E56/(Inputs!$B$23*60)))</f>
        <v/>
      </c>
      <c r="AV56" s="17" t="str">
        <f t="shared" si="49"/>
        <v/>
      </c>
      <c r="AW56" s="17" t="str">
        <f t="shared" si="50"/>
        <v/>
      </c>
      <c r="AX56" s="17" t="str">
        <f>IF(OR(T56="",P56=""),"",(1/Inputs!$B$9)*((T56/4)^(2/3))*SQRT(P56))</f>
        <v/>
      </c>
      <c r="AY56" s="17" t="str">
        <f>IF(A56="","",IF(AND(AW56="",AX56="",BA56=""),"",IF(OR(UPPER(TRIM(Inputs!$B$24))="MANNING",UPPER(TRIM(Inputs!$B$24))="M"),AX56,IF(OR(UPPER(TRIM(Inputs!$B$24))="PARTIAL",UPPER(TRIM(Inputs!$B$24))="P"),BA56,IF(OR(UPPER(TRIM(Inputs!$B$24))="MAX",UPPER(TRIM(Inputs!$B$24))="X"),MAX(IF(AW56="",0,AW56),IF(AX56="",0,AX56),IF(BA56="",0,BA56)),AW56)))))</f>
        <v/>
      </c>
      <c r="AZ56" s="17" t="str">
        <f t="shared" si="51"/>
        <v/>
      </c>
      <c r="BA56" s="17" t="str">
        <f t="shared" si="52"/>
        <v/>
      </c>
      <c r="BB56" s="14" t="str">
        <f t="shared" si="53"/>
        <v/>
      </c>
      <c r="BC56" s="14" t="str">
        <f>IF(OR(N56="",T56="",P56=""),"",IF(OR(T56="",P56="",(0.94*T56)="",T56&lt;=0,(0.94*T56)&lt;=0),"",(1/Inputs!$B$9)*((T56^2/8)*((2*ACOS(1-2*(0.94*T56)/T56))-SIN((2*ACOS(1-2*(0.94*T56)/T56)))))*((((T56^2/8)*((2*ACOS(1-2*(0.94*T56)/T56))-SIN((2*ACOS(1-2*(0.94*T56)/T56)))))/((T56/2)*((2*ACOS(1-2*(0.94*T56)/T56)))))^(2/3))*SQRT(P56)))</f>
        <v/>
      </c>
      <c r="BD56" s="14" t="str">
        <f t="shared" si="54"/>
        <v/>
      </c>
      <c r="BE56" s="14" t="str">
        <f t="shared" si="55"/>
        <v/>
      </c>
      <c r="BF56" s="14" t="str">
        <f t="shared" si="56"/>
        <v/>
      </c>
      <c r="BG56" s="14" t="str">
        <f>IF(OR(T56="",P56="",BF56="",T56&lt;=0,BF56&lt;=0),"",(1/Inputs!$B$9)*((T56^2/8)*((2*ACOS(1-2*BF56/T56))-SIN((2*ACOS(1-2*BF56/T56)))))*((((T56^2/8)*((2*ACOS(1-2*BF56/T56))-SIN((2*ACOS(1-2*BF56/T56)))))/((T56/2)*((2*ACOS(1-2*BF56/T56)))))^(2/3))*SQRT(P56))</f>
        <v/>
      </c>
      <c r="BH56" s="14" t="str">
        <f t="shared" si="57"/>
        <v/>
      </c>
      <c r="BI56" s="14" t="str">
        <f t="shared" si="58"/>
        <v/>
      </c>
      <c r="BJ56" s="14" t="str">
        <f t="shared" si="59"/>
        <v/>
      </c>
      <c r="BK56" s="14" t="str">
        <f>IF(OR(T56="",P56="",BJ56="",T56&lt;=0,BJ56&lt;=0),"",(1/Inputs!$B$9)*((T56^2/8)*((2*ACOS(1-2*BJ56/T56))-SIN((2*ACOS(1-2*BJ56/T56)))))*((((T56^2/8)*((2*ACOS(1-2*BJ56/T56))-SIN((2*ACOS(1-2*BJ56/T56)))))/((T56/2)*((2*ACOS(1-2*BJ56/T56)))))^(2/3))*SQRT(P56))</f>
        <v/>
      </c>
      <c r="BL56" s="14" t="str">
        <f t="shared" si="60"/>
        <v/>
      </c>
      <c r="BM56" s="14" t="str">
        <f t="shared" si="61"/>
        <v/>
      </c>
      <c r="BN56" s="14" t="str">
        <f t="shared" si="62"/>
        <v/>
      </c>
      <c r="BO56" s="14" t="str">
        <f>IF(OR(T56="",P56="",BN56="",T56&lt;=0,BN56&lt;=0),"",(1/Inputs!$B$9)*((T56^2/8)*((2*ACOS(1-2*BN56/T56))-SIN((2*ACOS(1-2*BN56/T56)))))*((((T56^2/8)*((2*ACOS(1-2*BN56/T56))-SIN((2*ACOS(1-2*BN56/T56)))))/((T56/2)*((2*ACOS(1-2*BN56/T56)))))^(2/3))*SQRT(P56))</f>
        <v/>
      </c>
      <c r="BP56" s="14" t="str">
        <f t="shared" si="63"/>
        <v/>
      </c>
      <c r="BQ56" s="14" t="str">
        <f t="shared" si="64"/>
        <v/>
      </c>
      <c r="BR56" s="14" t="str">
        <f t="shared" si="65"/>
        <v/>
      </c>
      <c r="BS56" s="14" t="str">
        <f>IF(OR(T56="",P56="",BR56="",T56&lt;=0,BR56&lt;=0),"",(1/Inputs!$B$9)*((T56^2/8)*((2*ACOS(1-2*BR56/T56))-SIN((2*ACOS(1-2*BR56/T56)))))*((((T56^2/8)*((2*ACOS(1-2*BR56/T56))-SIN((2*ACOS(1-2*BR56/T56)))))/((T56/2)*((2*ACOS(1-2*BR56/T56)))))^(2/3))*SQRT(P56))</f>
        <v/>
      </c>
      <c r="BT56" s="14" t="str">
        <f t="shared" si="66"/>
        <v/>
      </c>
      <c r="BU56" s="14" t="str">
        <f t="shared" si="67"/>
        <v/>
      </c>
      <c r="BV56" s="14" t="str">
        <f t="shared" si="68"/>
        <v/>
      </c>
      <c r="BW56" s="14" t="str">
        <f>IF(OR(T56="",P56="",BV56="",T56&lt;=0,BV56&lt;=0),"",(1/Inputs!$B$9)*((T56^2/8)*((2*ACOS(1-2*BV56/T56))-SIN((2*ACOS(1-2*BV56/T56)))))*((((T56^2/8)*((2*ACOS(1-2*BV56/T56))-SIN((2*ACOS(1-2*BV56/T56)))))/((T56/2)*((2*ACOS(1-2*BV56/T56)))))^(2/3))*SQRT(P56))</f>
        <v/>
      </c>
      <c r="BX56" s="14" t="str">
        <f t="shared" si="69"/>
        <v/>
      </c>
      <c r="BY56" s="14" t="str">
        <f t="shared" si="70"/>
        <v/>
      </c>
      <c r="BZ56" s="14" t="str">
        <f t="shared" si="71"/>
        <v/>
      </c>
      <c r="CA56" s="14" t="str">
        <f>IF(OR(T56="",P56="",BZ56="",T56&lt;=0,BZ56&lt;=0),"",(1/Inputs!$B$9)*((T56^2/8)*((2*ACOS(1-2*BZ56/T56))-SIN((2*ACOS(1-2*BZ56/T56)))))*((((T56^2/8)*((2*ACOS(1-2*BZ56/T56))-SIN((2*ACOS(1-2*BZ56/T56)))))/((T56/2)*((2*ACOS(1-2*BZ56/T56)))))^(2/3))*SQRT(P56))</f>
        <v/>
      </c>
      <c r="CB56" s="14" t="str">
        <f t="shared" si="72"/>
        <v/>
      </c>
      <c r="CC56" s="14" t="str">
        <f t="shared" si="73"/>
        <v/>
      </c>
      <c r="CD56" s="14" t="str">
        <f t="shared" si="74"/>
        <v/>
      </c>
      <c r="CE56" s="14" t="str">
        <f>IF(OR(T56="",P56="",CD56="",T56&lt;=0,CD56&lt;=0),"",(1/Inputs!$B$9)*((T56^2/8)*((2*ACOS(1-2*CD56/T56))-SIN((2*ACOS(1-2*CD56/T56)))))*((((T56^2/8)*((2*ACOS(1-2*CD56/T56))-SIN((2*ACOS(1-2*CD56/T56)))))/((T56/2)*((2*ACOS(1-2*CD56/T56)))))^(2/3))*SQRT(P56))</f>
        <v/>
      </c>
      <c r="CF56" s="14" t="str">
        <f t="shared" si="75"/>
        <v/>
      </c>
      <c r="CG56" s="14" t="str">
        <f t="shared" si="76"/>
        <v/>
      </c>
      <c r="CH56" s="14" t="str">
        <f t="shared" si="77"/>
        <v/>
      </c>
    </row>
    <row r="57" spans="1:86" x14ac:dyDescent="0.25">
      <c r="A57" s="14"/>
      <c r="B57" s="14"/>
      <c r="C57" s="14"/>
      <c r="D57" s="14"/>
      <c r="E57" s="44"/>
      <c r="F57" s="44"/>
      <c r="G57" s="44">
        <f>SUMIFS(CB_plan!$G:$G,CB_plan!$F:$F,$A57)</f>
        <v>0</v>
      </c>
      <c r="H57" s="44">
        <f t="shared" si="39"/>
        <v>0</v>
      </c>
      <c r="I57" s="14"/>
      <c r="J57" s="44"/>
      <c r="K57" s="44" t="str">
        <f>IF(A57="","",Inputs!$B$13/((IF(AV57="",Inputs!$B$18,AV57)+Inputs!$B$14)^Inputs!$B$15))</f>
        <v/>
      </c>
      <c r="L57" s="44" t="str">
        <f>IF(A57="","",IF(H57="","",0.000000278*IF(I57&lt;&gt;"",I57,IFERROR(SUMIFS(CB_plan!$H:$H,CB_plan!$F:$F,$A57)/SUMIFS(CB_plan!$G:$G,CB_plan!$F:$F,$A57),Inputs!$B$17))*H57*K57))</f>
        <v/>
      </c>
      <c r="M57" s="44" t="str">
        <f t="shared" si="40"/>
        <v/>
      </c>
      <c r="N57" s="44" t="str">
        <f>IF(A57="","",(L57+M57)*Inputs!$B$16)</f>
        <v/>
      </c>
      <c r="O57" s="44"/>
      <c r="P57" s="44" t="str">
        <f>IF(A57="","",IF(O57="",Inputs!$B$7,O57))</f>
        <v/>
      </c>
      <c r="Q57" s="14" t="str">
        <f>IF(A57="","",IF(N57/Inputs!$B$10&lt;=AG57,Inputs!$F$5,IF(N57/Inputs!$B$10&gt;AP57,"OVERSIZE",INDEX(Inputs!$F$5:$F$14,MATCH(N57/Inputs!$B$10,AG57:AP57,1)+1))))</f>
        <v/>
      </c>
      <c r="R57" s="14"/>
      <c r="S57" s="14" t="str">
        <f t="shared" si="41"/>
        <v/>
      </c>
      <c r="T57" s="44" t="str">
        <f t="shared" si="42"/>
        <v/>
      </c>
      <c r="U57" s="44" t="str">
        <f>IF(T57="","",(1/Inputs!$B$9)*(PI()*T57^2/4)*((T57/4)^(2/3))*SQRT(P57))</f>
        <v/>
      </c>
      <c r="V57" s="44" t="str">
        <f>IF(OR(U57="",N57=""),"",N57/(U57*Inputs!$B$10))</f>
        <v/>
      </c>
      <c r="W57" s="44" t="str">
        <f t="shared" si="43"/>
        <v/>
      </c>
      <c r="X57" s="44"/>
      <c r="Y57" s="44" t="str">
        <f>IF(A57="","",IF(A57=Inputs!$B$6,Inputs!$B$22,IF(D57="","",IFERROR(INDEX($Z$4:$Z$201,MATCH(D57,$A$4:$A$201,0))+IF(X57="",Inputs!$B$20,X57),""))))</f>
        <v/>
      </c>
      <c r="Z57" s="44" t="str">
        <f t="shared" si="44"/>
        <v/>
      </c>
      <c r="AA57" s="44" t="str">
        <f>IF(C57="","",IFERROR(INDEX(Noeuds_plan!$C$4:$C$200,MATCH(C57,Noeuds_plan!$A$4:$A$200,0)),""))</f>
        <v/>
      </c>
      <c r="AB57" s="44" t="str">
        <f>IF(B57="","",IFERROR(INDEX(Noeuds_plan!$C$4:$C$200,MATCH(B57,Noeuds_plan!$A$4:$A$200,0)),""))</f>
        <v/>
      </c>
      <c r="AC57" s="44" t="str">
        <f t="shared" si="45"/>
        <v/>
      </c>
      <c r="AD57" s="44" t="str">
        <f t="shared" si="46"/>
        <v/>
      </c>
      <c r="AE57" s="14" t="str">
        <f>IF(A57="","",IF(OR(V57&gt;1,AND(AY57&lt;&gt;"",AY57&lt;Inputs!$B$11),AND(AY57&lt;&gt;"",AY57&gt;Inputs!$B$12),AC57&lt;Inputs!$B$19,AD57&lt;Inputs!$B$19,P57&lt;Inputs!$B$7,P57&gt;Inputs!$B$8),"CHECK","OK"))</f>
        <v/>
      </c>
      <c r="AF57" s="14"/>
      <c r="AG57" s="14" t="str">
        <f>IF(A57="","",(1/Inputs!$B$9)*(PI()*(Inputs!$F$5/1000)^2/4)*((Inputs!$F$5/1000/4)^(2/3))*SQRT(P57))</f>
        <v/>
      </c>
      <c r="AH57" s="14" t="str">
        <f>IF(A57="","",(1/Inputs!$B$9)*(PI()*(Inputs!$F$6/1000)^2/4)*((Inputs!$F$6/1000/4)^(2/3))*SQRT(P57))</f>
        <v/>
      </c>
      <c r="AI57" s="14" t="str">
        <f>IF(A57="","",(1/Inputs!$B$9)*(PI()*(Inputs!$F$7/1000)^2/4)*((Inputs!$F$7/1000/4)^(2/3))*SQRT(P57))</f>
        <v/>
      </c>
      <c r="AJ57" s="14" t="str">
        <f>IF(A57="","",(1/Inputs!$B$9)*(PI()*(Inputs!$F$8/1000)^2/4)*((Inputs!$F$8/1000/4)^(2/3))*SQRT(P57))</f>
        <v/>
      </c>
      <c r="AK57" s="14" t="str">
        <f>IF(A57="","",(1/Inputs!$B$9)*(PI()*(Inputs!$F$9/1000)^2/4)*((Inputs!$F$9/1000/4)^(2/3))*SQRT(P57))</f>
        <v/>
      </c>
      <c r="AL57" s="14" t="str">
        <f>IF(A57="","",(1/Inputs!$B$9)*(PI()*(Inputs!$F$10/1000)^2/4)*((Inputs!$F$10/1000/4)^(2/3))*SQRT(P57))</f>
        <v/>
      </c>
      <c r="AM57" s="14" t="str">
        <f>IF(A57="","",(1/Inputs!$B$9)*(PI()*(Inputs!$F$11/1000)^2/4)*((Inputs!$F$11/1000/4)^(2/3))*SQRT(P57))</f>
        <v/>
      </c>
      <c r="AN57" s="14" t="str">
        <f>IF(A57="","",(1/Inputs!$B$9)*(PI()*(Inputs!$F$12/1000)^2/4)*((Inputs!$F$12/1000/4)^(2/3))*SQRT(P57))</f>
        <v/>
      </c>
      <c r="AO57" s="14" t="str">
        <f>IF(A57="","",(1/Inputs!$B$9)*(PI()*(Inputs!$F$13/1000)^2/4)*((Inputs!$F$13/1000/4)^(2/3))*SQRT(P57))</f>
        <v/>
      </c>
      <c r="AP57" s="14" t="str">
        <f>IF(A57="","",(1/Inputs!$B$9)*(PI()*(Inputs!$F$14/1000)^2/4)*((Inputs!$F$14/1000/4)^(2/3))*SQRT(P57))</f>
        <v/>
      </c>
      <c r="AQ57" s="14" t="str">
        <f t="shared" si="47"/>
        <v/>
      </c>
      <c r="AR57" s="14" t="str">
        <f t="shared" si="48"/>
        <v/>
      </c>
      <c r="AS57" s="17" t="str">
        <f>IF(A57="","",IF(J57="",Inputs!$B$18,J57))</f>
        <v/>
      </c>
      <c r="AT57" s="17" t="str">
        <f>IF(A57="","",IFERROR(_xludf.maxifs($AV$4:$AV$201,$D$4:$D$201,$A57),""))</f>
        <v/>
      </c>
      <c r="AU57" s="17" t="str">
        <f>IF(A57="","",IF(OR(E57="",Inputs!$B$23=""),"",E57/(Inputs!$B$23*60)))</f>
        <v/>
      </c>
      <c r="AV57" s="17" t="str">
        <f t="shared" si="49"/>
        <v/>
      </c>
      <c r="AW57" s="17" t="str">
        <f t="shared" si="50"/>
        <v/>
      </c>
      <c r="AX57" s="17" t="str">
        <f>IF(OR(T57="",P57=""),"",(1/Inputs!$B$9)*((T57/4)^(2/3))*SQRT(P57))</f>
        <v/>
      </c>
      <c r="AY57" s="17" t="str">
        <f>IF(A57="","",IF(AND(AW57="",AX57="",BA57=""),"",IF(OR(UPPER(TRIM(Inputs!$B$24))="MANNING",UPPER(TRIM(Inputs!$B$24))="M"),AX57,IF(OR(UPPER(TRIM(Inputs!$B$24))="PARTIAL",UPPER(TRIM(Inputs!$B$24))="P"),BA57,IF(OR(UPPER(TRIM(Inputs!$B$24))="MAX",UPPER(TRIM(Inputs!$B$24))="X"),MAX(IF(AW57="",0,AW57),IF(AX57="",0,AX57),IF(BA57="",0,BA57)),AW57)))))</f>
        <v/>
      </c>
      <c r="AZ57" s="17" t="str">
        <f t="shared" si="51"/>
        <v/>
      </c>
      <c r="BA57" s="17" t="str">
        <f t="shared" si="52"/>
        <v/>
      </c>
      <c r="BB57" s="14" t="str">
        <f t="shared" si="53"/>
        <v/>
      </c>
      <c r="BC57" s="14" t="str">
        <f>IF(OR(N57="",T57="",P57=""),"",IF(OR(T57="",P57="",(0.94*T57)="",T57&lt;=0,(0.94*T57)&lt;=0),"",(1/Inputs!$B$9)*((T57^2/8)*((2*ACOS(1-2*(0.94*T57)/T57))-SIN((2*ACOS(1-2*(0.94*T57)/T57)))))*((((T57^2/8)*((2*ACOS(1-2*(0.94*T57)/T57))-SIN((2*ACOS(1-2*(0.94*T57)/T57)))))/((T57/2)*((2*ACOS(1-2*(0.94*T57)/T57)))))^(2/3))*SQRT(P57)))</f>
        <v/>
      </c>
      <c r="BD57" s="14" t="str">
        <f t="shared" si="54"/>
        <v/>
      </c>
      <c r="BE57" s="14" t="str">
        <f t="shared" si="55"/>
        <v/>
      </c>
      <c r="BF57" s="14" t="str">
        <f t="shared" si="56"/>
        <v/>
      </c>
      <c r="BG57" s="14" t="str">
        <f>IF(OR(T57="",P57="",BF57="",T57&lt;=0,BF57&lt;=0),"",(1/Inputs!$B$9)*((T57^2/8)*((2*ACOS(1-2*BF57/T57))-SIN((2*ACOS(1-2*BF57/T57)))))*((((T57^2/8)*((2*ACOS(1-2*BF57/T57))-SIN((2*ACOS(1-2*BF57/T57)))))/((T57/2)*((2*ACOS(1-2*BF57/T57)))))^(2/3))*SQRT(P57))</f>
        <v/>
      </c>
      <c r="BH57" s="14" t="str">
        <f t="shared" si="57"/>
        <v/>
      </c>
      <c r="BI57" s="14" t="str">
        <f t="shared" si="58"/>
        <v/>
      </c>
      <c r="BJ57" s="14" t="str">
        <f t="shared" si="59"/>
        <v/>
      </c>
      <c r="BK57" s="14" t="str">
        <f>IF(OR(T57="",P57="",BJ57="",T57&lt;=0,BJ57&lt;=0),"",(1/Inputs!$B$9)*((T57^2/8)*((2*ACOS(1-2*BJ57/T57))-SIN((2*ACOS(1-2*BJ57/T57)))))*((((T57^2/8)*((2*ACOS(1-2*BJ57/T57))-SIN((2*ACOS(1-2*BJ57/T57)))))/((T57/2)*((2*ACOS(1-2*BJ57/T57)))))^(2/3))*SQRT(P57))</f>
        <v/>
      </c>
      <c r="BL57" s="14" t="str">
        <f t="shared" si="60"/>
        <v/>
      </c>
      <c r="BM57" s="14" t="str">
        <f t="shared" si="61"/>
        <v/>
      </c>
      <c r="BN57" s="14" t="str">
        <f t="shared" si="62"/>
        <v/>
      </c>
      <c r="BO57" s="14" t="str">
        <f>IF(OR(T57="",P57="",BN57="",T57&lt;=0,BN57&lt;=0),"",(1/Inputs!$B$9)*((T57^2/8)*((2*ACOS(1-2*BN57/T57))-SIN((2*ACOS(1-2*BN57/T57)))))*((((T57^2/8)*((2*ACOS(1-2*BN57/T57))-SIN((2*ACOS(1-2*BN57/T57)))))/((T57/2)*((2*ACOS(1-2*BN57/T57)))))^(2/3))*SQRT(P57))</f>
        <v/>
      </c>
      <c r="BP57" s="14" t="str">
        <f t="shared" si="63"/>
        <v/>
      </c>
      <c r="BQ57" s="14" t="str">
        <f t="shared" si="64"/>
        <v/>
      </c>
      <c r="BR57" s="14" t="str">
        <f t="shared" si="65"/>
        <v/>
      </c>
      <c r="BS57" s="14" t="str">
        <f>IF(OR(T57="",P57="",BR57="",T57&lt;=0,BR57&lt;=0),"",(1/Inputs!$B$9)*((T57^2/8)*((2*ACOS(1-2*BR57/T57))-SIN((2*ACOS(1-2*BR57/T57)))))*((((T57^2/8)*((2*ACOS(1-2*BR57/T57))-SIN((2*ACOS(1-2*BR57/T57)))))/((T57/2)*((2*ACOS(1-2*BR57/T57)))))^(2/3))*SQRT(P57))</f>
        <v/>
      </c>
      <c r="BT57" s="14" t="str">
        <f t="shared" si="66"/>
        <v/>
      </c>
      <c r="BU57" s="14" t="str">
        <f t="shared" si="67"/>
        <v/>
      </c>
      <c r="BV57" s="14" t="str">
        <f t="shared" si="68"/>
        <v/>
      </c>
      <c r="BW57" s="14" t="str">
        <f>IF(OR(T57="",P57="",BV57="",T57&lt;=0,BV57&lt;=0),"",(1/Inputs!$B$9)*((T57^2/8)*((2*ACOS(1-2*BV57/T57))-SIN((2*ACOS(1-2*BV57/T57)))))*((((T57^2/8)*((2*ACOS(1-2*BV57/T57))-SIN((2*ACOS(1-2*BV57/T57)))))/((T57/2)*((2*ACOS(1-2*BV57/T57)))))^(2/3))*SQRT(P57))</f>
        <v/>
      </c>
      <c r="BX57" s="14" t="str">
        <f t="shared" si="69"/>
        <v/>
      </c>
      <c r="BY57" s="14" t="str">
        <f t="shared" si="70"/>
        <v/>
      </c>
      <c r="BZ57" s="14" t="str">
        <f t="shared" si="71"/>
        <v/>
      </c>
      <c r="CA57" s="14" t="str">
        <f>IF(OR(T57="",P57="",BZ57="",T57&lt;=0,BZ57&lt;=0),"",(1/Inputs!$B$9)*((T57^2/8)*((2*ACOS(1-2*BZ57/T57))-SIN((2*ACOS(1-2*BZ57/T57)))))*((((T57^2/8)*((2*ACOS(1-2*BZ57/T57))-SIN((2*ACOS(1-2*BZ57/T57)))))/((T57/2)*((2*ACOS(1-2*BZ57/T57)))))^(2/3))*SQRT(P57))</f>
        <v/>
      </c>
      <c r="CB57" s="14" t="str">
        <f t="shared" si="72"/>
        <v/>
      </c>
      <c r="CC57" s="14" t="str">
        <f t="shared" si="73"/>
        <v/>
      </c>
      <c r="CD57" s="14" t="str">
        <f t="shared" si="74"/>
        <v/>
      </c>
      <c r="CE57" s="14" t="str">
        <f>IF(OR(T57="",P57="",CD57="",T57&lt;=0,CD57&lt;=0),"",(1/Inputs!$B$9)*((T57^2/8)*((2*ACOS(1-2*CD57/T57))-SIN((2*ACOS(1-2*CD57/T57)))))*((((T57^2/8)*((2*ACOS(1-2*CD57/T57))-SIN((2*ACOS(1-2*CD57/T57)))))/((T57/2)*((2*ACOS(1-2*CD57/T57)))))^(2/3))*SQRT(P57))</f>
        <v/>
      </c>
      <c r="CF57" s="14" t="str">
        <f t="shared" si="75"/>
        <v/>
      </c>
      <c r="CG57" s="14" t="str">
        <f t="shared" si="76"/>
        <v/>
      </c>
      <c r="CH57" s="14" t="str">
        <f t="shared" si="77"/>
        <v/>
      </c>
    </row>
    <row r="58" spans="1:86" x14ac:dyDescent="0.25">
      <c r="A58" s="14"/>
      <c r="B58" s="14"/>
      <c r="C58" s="14"/>
      <c r="D58" s="14"/>
      <c r="E58" s="44"/>
      <c r="F58" s="44"/>
      <c r="G58" s="44">
        <f>SUMIFS(CB_plan!$G:$G,CB_plan!$F:$F,$A58)</f>
        <v>0</v>
      </c>
      <c r="H58" s="44">
        <f t="shared" si="39"/>
        <v>0</v>
      </c>
      <c r="I58" s="14"/>
      <c r="J58" s="44"/>
      <c r="K58" s="44" t="str">
        <f>IF(A58="","",Inputs!$B$13/((IF(AV58="",Inputs!$B$18,AV58)+Inputs!$B$14)^Inputs!$B$15))</f>
        <v/>
      </c>
      <c r="L58" s="44" t="str">
        <f>IF(A58="","",IF(H58="","",0.000000278*IF(I58&lt;&gt;"",I58,IFERROR(SUMIFS(CB_plan!$H:$H,CB_plan!$F:$F,$A58)/SUMIFS(CB_plan!$G:$G,CB_plan!$F:$F,$A58),Inputs!$B$17))*H58*K58))</f>
        <v/>
      </c>
      <c r="M58" s="44" t="str">
        <f t="shared" si="40"/>
        <v/>
      </c>
      <c r="N58" s="44" t="str">
        <f>IF(A58="","",(L58+M58)*Inputs!$B$16)</f>
        <v/>
      </c>
      <c r="O58" s="44"/>
      <c r="P58" s="44" t="str">
        <f>IF(A58="","",IF(O58="",Inputs!$B$7,O58))</f>
        <v/>
      </c>
      <c r="Q58" s="14" t="str">
        <f>IF(A58="","",IF(N58/Inputs!$B$10&lt;=AG58,Inputs!$F$5,IF(N58/Inputs!$B$10&gt;AP58,"OVERSIZE",INDEX(Inputs!$F$5:$F$14,MATCH(N58/Inputs!$B$10,AG58:AP58,1)+1))))</f>
        <v/>
      </c>
      <c r="R58" s="14"/>
      <c r="S58" s="14" t="str">
        <f t="shared" si="41"/>
        <v/>
      </c>
      <c r="T58" s="44" t="str">
        <f t="shared" si="42"/>
        <v/>
      </c>
      <c r="U58" s="44" t="str">
        <f>IF(T58="","",(1/Inputs!$B$9)*(PI()*T58^2/4)*((T58/4)^(2/3))*SQRT(P58))</f>
        <v/>
      </c>
      <c r="V58" s="44" t="str">
        <f>IF(OR(U58="",N58=""),"",N58/(U58*Inputs!$B$10))</f>
        <v/>
      </c>
      <c r="W58" s="44" t="str">
        <f t="shared" si="43"/>
        <v/>
      </c>
      <c r="X58" s="44"/>
      <c r="Y58" s="44" t="str">
        <f>IF(A58="","",IF(A58=Inputs!$B$6,Inputs!$B$22,IF(D58="","",IFERROR(INDEX($Z$4:$Z$201,MATCH(D58,$A$4:$A$201,0))+IF(X58="",Inputs!$B$20,X58),""))))</f>
        <v/>
      </c>
      <c r="Z58" s="44" t="str">
        <f t="shared" si="44"/>
        <v/>
      </c>
      <c r="AA58" s="44" t="str">
        <f>IF(C58="","",IFERROR(INDEX(Noeuds_plan!$C$4:$C$200,MATCH(C58,Noeuds_plan!$A$4:$A$200,0)),""))</f>
        <v/>
      </c>
      <c r="AB58" s="44" t="str">
        <f>IF(B58="","",IFERROR(INDEX(Noeuds_plan!$C$4:$C$200,MATCH(B58,Noeuds_plan!$A$4:$A$200,0)),""))</f>
        <v/>
      </c>
      <c r="AC58" s="44" t="str">
        <f t="shared" si="45"/>
        <v/>
      </c>
      <c r="AD58" s="44" t="str">
        <f t="shared" si="46"/>
        <v/>
      </c>
      <c r="AE58" s="14" t="str">
        <f>IF(A58="","",IF(OR(V58&gt;1,AND(AY58&lt;&gt;"",AY58&lt;Inputs!$B$11),AND(AY58&lt;&gt;"",AY58&gt;Inputs!$B$12),AC58&lt;Inputs!$B$19,AD58&lt;Inputs!$B$19,P58&lt;Inputs!$B$7,P58&gt;Inputs!$B$8),"CHECK","OK"))</f>
        <v/>
      </c>
      <c r="AF58" s="14"/>
      <c r="AG58" s="14" t="str">
        <f>IF(A58="","",(1/Inputs!$B$9)*(PI()*(Inputs!$F$5/1000)^2/4)*((Inputs!$F$5/1000/4)^(2/3))*SQRT(P58))</f>
        <v/>
      </c>
      <c r="AH58" s="14" t="str">
        <f>IF(A58="","",(1/Inputs!$B$9)*(PI()*(Inputs!$F$6/1000)^2/4)*((Inputs!$F$6/1000/4)^(2/3))*SQRT(P58))</f>
        <v/>
      </c>
      <c r="AI58" s="14" t="str">
        <f>IF(A58="","",(1/Inputs!$B$9)*(PI()*(Inputs!$F$7/1000)^2/4)*((Inputs!$F$7/1000/4)^(2/3))*SQRT(P58))</f>
        <v/>
      </c>
      <c r="AJ58" s="14" t="str">
        <f>IF(A58="","",(1/Inputs!$B$9)*(PI()*(Inputs!$F$8/1000)^2/4)*((Inputs!$F$8/1000/4)^(2/3))*SQRT(P58))</f>
        <v/>
      </c>
      <c r="AK58" s="14" t="str">
        <f>IF(A58="","",(1/Inputs!$B$9)*(PI()*(Inputs!$F$9/1000)^2/4)*((Inputs!$F$9/1000/4)^(2/3))*SQRT(P58))</f>
        <v/>
      </c>
      <c r="AL58" s="14" t="str">
        <f>IF(A58="","",(1/Inputs!$B$9)*(PI()*(Inputs!$F$10/1000)^2/4)*((Inputs!$F$10/1000/4)^(2/3))*SQRT(P58))</f>
        <v/>
      </c>
      <c r="AM58" s="14" t="str">
        <f>IF(A58="","",(1/Inputs!$B$9)*(PI()*(Inputs!$F$11/1000)^2/4)*((Inputs!$F$11/1000/4)^(2/3))*SQRT(P58))</f>
        <v/>
      </c>
      <c r="AN58" s="14" t="str">
        <f>IF(A58="","",(1/Inputs!$B$9)*(PI()*(Inputs!$F$12/1000)^2/4)*((Inputs!$F$12/1000/4)^(2/3))*SQRT(P58))</f>
        <v/>
      </c>
      <c r="AO58" s="14" t="str">
        <f>IF(A58="","",(1/Inputs!$B$9)*(PI()*(Inputs!$F$13/1000)^2/4)*((Inputs!$F$13/1000/4)^(2/3))*SQRT(P58))</f>
        <v/>
      </c>
      <c r="AP58" s="14" t="str">
        <f>IF(A58="","",(1/Inputs!$B$9)*(PI()*(Inputs!$F$14/1000)^2/4)*((Inputs!$F$14/1000/4)^(2/3))*SQRT(P58))</f>
        <v/>
      </c>
      <c r="AQ58" s="14" t="str">
        <f t="shared" si="47"/>
        <v/>
      </c>
      <c r="AR58" s="14" t="str">
        <f t="shared" si="48"/>
        <v/>
      </c>
      <c r="AS58" s="17" t="str">
        <f>IF(A58="","",IF(J58="",Inputs!$B$18,J58))</f>
        <v/>
      </c>
      <c r="AT58" s="17" t="str">
        <f>IF(A58="","",IFERROR(_xludf.maxifs($AV$4:$AV$201,$D$4:$D$201,$A58),""))</f>
        <v/>
      </c>
      <c r="AU58" s="17" t="str">
        <f>IF(A58="","",IF(OR(E58="",Inputs!$B$23=""),"",E58/(Inputs!$B$23*60)))</f>
        <v/>
      </c>
      <c r="AV58" s="17" t="str">
        <f t="shared" si="49"/>
        <v/>
      </c>
      <c r="AW58" s="17" t="str">
        <f t="shared" si="50"/>
        <v/>
      </c>
      <c r="AX58" s="17" t="str">
        <f>IF(OR(T58="",P58=""),"",(1/Inputs!$B$9)*((T58/4)^(2/3))*SQRT(P58))</f>
        <v/>
      </c>
      <c r="AY58" s="17" t="str">
        <f>IF(A58="","",IF(AND(AW58="",AX58="",BA58=""),"",IF(OR(UPPER(TRIM(Inputs!$B$24))="MANNING",UPPER(TRIM(Inputs!$B$24))="M"),AX58,IF(OR(UPPER(TRIM(Inputs!$B$24))="PARTIAL",UPPER(TRIM(Inputs!$B$24))="P"),BA58,IF(OR(UPPER(TRIM(Inputs!$B$24))="MAX",UPPER(TRIM(Inputs!$B$24))="X"),MAX(IF(AW58="",0,AW58),IF(AX58="",0,AX58),IF(BA58="",0,BA58)),AW58)))))</f>
        <v/>
      </c>
      <c r="AZ58" s="17" t="str">
        <f t="shared" si="51"/>
        <v/>
      </c>
      <c r="BA58" s="17" t="str">
        <f t="shared" si="52"/>
        <v/>
      </c>
      <c r="BB58" s="14" t="str">
        <f t="shared" si="53"/>
        <v/>
      </c>
      <c r="BC58" s="14" t="str">
        <f>IF(OR(N58="",T58="",P58=""),"",IF(OR(T58="",P58="",(0.94*T58)="",T58&lt;=0,(0.94*T58)&lt;=0),"",(1/Inputs!$B$9)*((T58^2/8)*((2*ACOS(1-2*(0.94*T58)/T58))-SIN((2*ACOS(1-2*(0.94*T58)/T58)))))*((((T58^2/8)*((2*ACOS(1-2*(0.94*T58)/T58))-SIN((2*ACOS(1-2*(0.94*T58)/T58)))))/((T58/2)*((2*ACOS(1-2*(0.94*T58)/T58)))))^(2/3))*SQRT(P58)))</f>
        <v/>
      </c>
      <c r="BD58" s="14" t="str">
        <f t="shared" si="54"/>
        <v/>
      </c>
      <c r="BE58" s="14" t="str">
        <f t="shared" si="55"/>
        <v/>
      </c>
      <c r="BF58" s="14" t="str">
        <f t="shared" si="56"/>
        <v/>
      </c>
      <c r="BG58" s="14" t="str">
        <f>IF(OR(T58="",P58="",BF58="",T58&lt;=0,BF58&lt;=0),"",(1/Inputs!$B$9)*((T58^2/8)*((2*ACOS(1-2*BF58/T58))-SIN((2*ACOS(1-2*BF58/T58)))))*((((T58^2/8)*((2*ACOS(1-2*BF58/T58))-SIN((2*ACOS(1-2*BF58/T58)))))/((T58/2)*((2*ACOS(1-2*BF58/T58)))))^(2/3))*SQRT(P58))</f>
        <v/>
      </c>
      <c r="BH58" s="14" t="str">
        <f t="shared" si="57"/>
        <v/>
      </c>
      <c r="BI58" s="14" t="str">
        <f t="shared" si="58"/>
        <v/>
      </c>
      <c r="BJ58" s="14" t="str">
        <f t="shared" si="59"/>
        <v/>
      </c>
      <c r="BK58" s="14" t="str">
        <f>IF(OR(T58="",P58="",BJ58="",T58&lt;=0,BJ58&lt;=0),"",(1/Inputs!$B$9)*((T58^2/8)*((2*ACOS(1-2*BJ58/T58))-SIN((2*ACOS(1-2*BJ58/T58)))))*((((T58^2/8)*((2*ACOS(1-2*BJ58/T58))-SIN((2*ACOS(1-2*BJ58/T58)))))/((T58/2)*((2*ACOS(1-2*BJ58/T58)))))^(2/3))*SQRT(P58))</f>
        <v/>
      </c>
      <c r="BL58" s="14" t="str">
        <f t="shared" si="60"/>
        <v/>
      </c>
      <c r="BM58" s="14" t="str">
        <f t="shared" si="61"/>
        <v/>
      </c>
      <c r="BN58" s="14" t="str">
        <f t="shared" si="62"/>
        <v/>
      </c>
      <c r="BO58" s="14" t="str">
        <f>IF(OR(T58="",P58="",BN58="",T58&lt;=0,BN58&lt;=0),"",(1/Inputs!$B$9)*((T58^2/8)*((2*ACOS(1-2*BN58/T58))-SIN((2*ACOS(1-2*BN58/T58)))))*((((T58^2/8)*((2*ACOS(1-2*BN58/T58))-SIN((2*ACOS(1-2*BN58/T58)))))/((T58/2)*((2*ACOS(1-2*BN58/T58)))))^(2/3))*SQRT(P58))</f>
        <v/>
      </c>
      <c r="BP58" s="14" t="str">
        <f t="shared" si="63"/>
        <v/>
      </c>
      <c r="BQ58" s="14" t="str">
        <f t="shared" si="64"/>
        <v/>
      </c>
      <c r="BR58" s="14" t="str">
        <f t="shared" si="65"/>
        <v/>
      </c>
      <c r="BS58" s="14" t="str">
        <f>IF(OR(T58="",P58="",BR58="",T58&lt;=0,BR58&lt;=0),"",(1/Inputs!$B$9)*((T58^2/8)*((2*ACOS(1-2*BR58/T58))-SIN((2*ACOS(1-2*BR58/T58)))))*((((T58^2/8)*((2*ACOS(1-2*BR58/T58))-SIN((2*ACOS(1-2*BR58/T58)))))/((T58/2)*((2*ACOS(1-2*BR58/T58)))))^(2/3))*SQRT(P58))</f>
        <v/>
      </c>
      <c r="BT58" s="14" t="str">
        <f t="shared" si="66"/>
        <v/>
      </c>
      <c r="BU58" s="14" t="str">
        <f t="shared" si="67"/>
        <v/>
      </c>
      <c r="BV58" s="14" t="str">
        <f t="shared" si="68"/>
        <v/>
      </c>
      <c r="BW58" s="14" t="str">
        <f>IF(OR(T58="",P58="",BV58="",T58&lt;=0,BV58&lt;=0),"",(1/Inputs!$B$9)*((T58^2/8)*((2*ACOS(1-2*BV58/T58))-SIN((2*ACOS(1-2*BV58/T58)))))*((((T58^2/8)*((2*ACOS(1-2*BV58/T58))-SIN((2*ACOS(1-2*BV58/T58)))))/((T58/2)*((2*ACOS(1-2*BV58/T58)))))^(2/3))*SQRT(P58))</f>
        <v/>
      </c>
      <c r="BX58" s="14" t="str">
        <f t="shared" si="69"/>
        <v/>
      </c>
      <c r="BY58" s="14" t="str">
        <f t="shared" si="70"/>
        <v/>
      </c>
      <c r="BZ58" s="14" t="str">
        <f t="shared" si="71"/>
        <v/>
      </c>
      <c r="CA58" s="14" t="str">
        <f>IF(OR(T58="",P58="",BZ58="",T58&lt;=0,BZ58&lt;=0),"",(1/Inputs!$B$9)*((T58^2/8)*((2*ACOS(1-2*BZ58/T58))-SIN((2*ACOS(1-2*BZ58/T58)))))*((((T58^2/8)*((2*ACOS(1-2*BZ58/T58))-SIN((2*ACOS(1-2*BZ58/T58)))))/((T58/2)*((2*ACOS(1-2*BZ58/T58)))))^(2/3))*SQRT(P58))</f>
        <v/>
      </c>
      <c r="CB58" s="14" t="str">
        <f t="shared" si="72"/>
        <v/>
      </c>
      <c r="CC58" s="14" t="str">
        <f t="shared" si="73"/>
        <v/>
      </c>
      <c r="CD58" s="14" t="str">
        <f t="shared" si="74"/>
        <v/>
      </c>
      <c r="CE58" s="14" t="str">
        <f>IF(OR(T58="",P58="",CD58="",T58&lt;=0,CD58&lt;=0),"",(1/Inputs!$B$9)*((T58^2/8)*((2*ACOS(1-2*CD58/T58))-SIN((2*ACOS(1-2*CD58/T58)))))*((((T58^2/8)*((2*ACOS(1-2*CD58/T58))-SIN((2*ACOS(1-2*CD58/T58)))))/((T58/2)*((2*ACOS(1-2*CD58/T58)))))^(2/3))*SQRT(P58))</f>
        <v/>
      </c>
      <c r="CF58" s="14" t="str">
        <f t="shared" si="75"/>
        <v/>
      </c>
      <c r="CG58" s="14" t="str">
        <f t="shared" si="76"/>
        <v/>
      </c>
      <c r="CH58" s="14" t="str">
        <f t="shared" si="77"/>
        <v/>
      </c>
    </row>
    <row r="59" spans="1:86" x14ac:dyDescent="0.25">
      <c r="A59" s="14"/>
      <c r="B59" s="14"/>
      <c r="C59" s="14"/>
      <c r="D59" s="14"/>
      <c r="E59" s="44"/>
      <c r="F59" s="44"/>
      <c r="G59" s="44">
        <f>SUMIFS(CB_plan!$G:$G,CB_plan!$F:$F,$A59)</f>
        <v>0</v>
      </c>
      <c r="H59" s="44">
        <f t="shared" si="39"/>
        <v>0</v>
      </c>
      <c r="I59" s="14"/>
      <c r="J59" s="44"/>
      <c r="K59" s="44" t="str">
        <f>IF(A59="","",Inputs!$B$13/((IF(AV59="",Inputs!$B$18,AV59)+Inputs!$B$14)^Inputs!$B$15))</f>
        <v/>
      </c>
      <c r="L59" s="44" t="str">
        <f>IF(A59="","",IF(H59="","",0.000000278*IF(I59&lt;&gt;"",I59,IFERROR(SUMIFS(CB_plan!$H:$H,CB_plan!$F:$F,$A59)/SUMIFS(CB_plan!$G:$G,CB_plan!$F:$F,$A59),Inputs!$B$17))*H59*K59))</f>
        <v/>
      </c>
      <c r="M59" s="44" t="str">
        <f t="shared" si="40"/>
        <v/>
      </c>
      <c r="N59" s="44" t="str">
        <f>IF(A59="","",(L59+M59)*Inputs!$B$16)</f>
        <v/>
      </c>
      <c r="O59" s="44"/>
      <c r="P59" s="44" t="str">
        <f>IF(A59="","",IF(O59="",Inputs!$B$7,O59))</f>
        <v/>
      </c>
      <c r="Q59" s="14" t="str">
        <f>IF(A59="","",IF(N59/Inputs!$B$10&lt;=AG59,Inputs!$F$5,IF(N59/Inputs!$B$10&gt;AP59,"OVERSIZE",INDEX(Inputs!$F$5:$F$14,MATCH(N59/Inputs!$B$10,AG59:AP59,1)+1))))</f>
        <v/>
      </c>
      <c r="R59" s="14"/>
      <c r="S59" s="14" t="str">
        <f t="shared" si="41"/>
        <v/>
      </c>
      <c r="T59" s="44" t="str">
        <f t="shared" si="42"/>
        <v/>
      </c>
      <c r="U59" s="44" t="str">
        <f>IF(T59="","",(1/Inputs!$B$9)*(PI()*T59^2/4)*((T59/4)^(2/3))*SQRT(P59))</f>
        <v/>
      </c>
      <c r="V59" s="44" t="str">
        <f>IF(OR(U59="",N59=""),"",N59/(U59*Inputs!$B$10))</f>
        <v/>
      </c>
      <c r="W59" s="44" t="str">
        <f t="shared" si="43"/>
        <v/>
      </c>
      <c r="X59" s="44"/>
      <c r="Y59" s="44" t="str">
        <f>IF(A59="","",IF(A59=Inputs!$B$6,Inputs!$B$22,IF(D59="","",IFERROR(INDEX($Z$4:$Z$201,MATCH(D59,$A$4:$A$201,0))+IF(X59="",Inputs!$B$20,X59),""))))</f>
        <v/>
      </c>
      <c r="Z59" s="44" t="str">
        <f t="shared" si="44"/>
        <v/>
      </c>
      <c r="AA59" s="44" t="str">
        <f>IF(C59="","",IFERROR(INDEX(Noeuds_plan!$C$4:$C$200,MATCH(C59,Noeuds_plan!$A$4:$A$200,0)),""))</f>
        <v/>
      </c>
      <c r="AB59" s="44" t="str">
        <f>IF(B59="","",IFERROR(INDEX(Noeuds_plan!$C$4:$C$200,MATCH(B59,Noeuds_plan!$A$4:$A$200,0)),""))</f>
        <v/>
      </c>
      <c r="AC59" s="44" t="str">
        <f t="shared" si="45"/>
        <v/>
      </c>
      <c r="AD59" s="44" t="str">
        <f t="shared" si="46"/>
        <v/>
      </c>
      <c r="AE59" s="14" t="str">
        <f>IF(A59="","",IF(OR(V59&gt;1,AND(AY59&lt;&gt;"",AY59&lt;Inputs!$B$11),AND(AY59&lt;&gt;"",AY59&gt;Inputs!$B$12),AC59&lt;Inputs!$B$19,AD59&lt;Inputs!$B$19,P59&lt;Inputs!$B$7,P59&gt;Inputs!$B$8),"CHECK","OK"))</f>
        <v/>
      </c>
      <c r="AF59" s="14"/>
      <c r="AG59" s="14" t="str">
        <f>IF(A59="","",(1/Inputs!$B$9)*(PI()*(Inputs!$F$5/1000)^2/4)*((Inputs!$F$5/1000/4)^(2/3))*SQRT(P59))</f>
        <v/>
      </c>
      <c r="AH59" s="14" t="str">
        <f>IF(A59="","",(1/Inputs!$B$9)*(PI()*(Inputs!$F$6/1000)^2/4)*((Inputs!$F$6/1000/4)^(2/3))*SQRT(P59))</f>
        <v/>
      </c>
      <c r="AI59" s="14" t="str">
        <f>IF(A59="","",(1/Inputs!$B$9)*(PI()*(Inputs!$F$7/1000)^2/4)*((Inputs!$F$7/1000/4)^(2/3))*SQRT(P59))</f>
        <v/>
      </c>
      <c r="AJ59" s="14" t="str">
        <f>IF(A59="","",(1/Inputs!$B$9)*(PI()*(Inputs!$F$8/1000)^2/4)*((Inputs!$F$8/1000/4)^(2/3))*SQRT(P59))</f>
        <v/>
      </c>
      <c r="AK59" s="14" t="str">
        <f>IF(A59="","",(1/Inputs!$B$9)*(PI()*(Inputs!$F$9/1000)^2/4)*((Inputs!$F$9/1000/4)^(2/3))*SQRT(P59))</f>
        <v/>
      </c>
      <c r="AL59" s="14" t="str">
        <f>IF(A59="","",(1/Inputs!$B$9)*(PI()*(Inputs!$F$10/1000)^2/4)*((Inputs!$F$10/1000/4)^(2/3))*SQRT(P59))</f>
        <v/>
      </c>
      <c r="AM59" s="14" t="str">
        <f>IF(A59="","",(1/Inputs!$B$9)*(PI()*(Inputs!$F$11/1000)^2/4)*((Inputs!$F$11/1000/4)^(2/3))*SQRT(P59))</f>
        <v/>
      </c>
      <c r="AN59" s="14" t="str">
        <f>IF(A59="","",(1/Inputs!$B$9)*(PI()*(Inputs!$F$12/1000)^2/4)*((Inputs!$F$12/1000/4)^(2/3))*SQRT(P59))</f>
        <v/>
      </c>
      <c r="AO59" s="14" t="str">
        <f>IF(A59="","",(1/Inputs!$B$9)*(PI()*(Inputs!$F$13/1000)^2/4)*((Inputs!$F$13/1000/4)^(2/3))*SQRT(P59))</f>
        <v/>
      </c>
      <c r="AP59" s="14" t="str">
        <f>IF(A59="","",(1/Inputs!$B$9)*(PI()*(Inputs!$F$14/1000)^2/4)*((Inputs!$F$14/1000/4)^(2/3))*SQRT(P59))</f>
        <v/>
      </c>
      <c r="AQ59" s="14" t="str">
        <f t="shared" si="47"/>
        <v/>
      </c>
      <c r="AR59" s="14" t="str">
        <f t="shared" si="48"/>
        <v/>
      </c>
      <c r="AS59" s="17" t="str">
        <f>IF(A59="","",IF(J59="",Inputs!$B$18,J59))</f>
        <v/>
      </c>
      <c r="AT59" s="17" t="str">
        <f>IF(A59="","",IFERROR(_xludf.maxifs($AV$4:$AV$201,$D$4:$D$201,$A59),""))</f>
        <v/>
      </c>
      <c r="AU59" s="17" t="str">
        <f>IF(A59="","",IF(OR(E59="",Inputs!$B$23=""),"",E59/(Inputs!$B$23*60)))</f>
        <v/>
      </c>
      <c r="AV59" s="17" t="str">
        <f t="shared" si="49"/>
        <v/>
      </c>
      <c r="AW59" s="17" t="str">
        <f t="shared" si="50"/>
        <v/>
      </c>
      <c r="AX59" s="17" t="str">
        <f>IF(OR(T59="",P59=""),"",(1/Inputs!$B$9)*((T59/4)^(2/3))*SQRT(P59))</f>
        <v/>
      </c>
      <c r="AY59" s="17" t="str">
        <f>IF(A59="","",IF(AND(AW59="",AX59="",BA59=""),"",IF(OR(UPPER(TRIM(Inputs!$B$24))="MANNING",UPPER(TRIM(Inputs!$B$24))="M"),AX59,IF(OR(UPPER(TRIM(Inputs!$B$24))="PARTIAL",UPPER(TRIM(Inputs!$B$24))="P"),BA59,IF(OR(UPPER(TRIM(Inputs!$B$24))="MAX",UPPER(TRIM(Inputs!$B$24))="X"),MAX(IF(AW59="",0,AW59),IF(AX59="",0,AX59),IF(BA59="",0,BA59)),AW59)))))</f>
        <v/>
      </c>
      <c r="AZ59" s="17" t="str">
        <f t="shared" si="51"/>
        <v/>
      </c>
      <c r="BA59" s="17" t="str">
        <f t="shared" si="52"/>
        <v/>
      </c>
      <c r="BB59" s="14" t="str">
        <f t="shared" si="53"/>
        <v/>
      </c>
      <c r="BC59" s="14" t="str">
        <f>IF(OR(N59="",T59="",P59=""),"",IF(OR(T59="",P59="",(0.94*T59)="",T59&lt;=0,(0.94*T59)&lt;=0),"",(1/Inputs!$B$9)*((T59^2/8)*((2*ACOS(1-2*(0.94*T59)/T59))-SIN((2*ACOS(1-2*(0.94*T59)/T59)))))*((((T59^2/8)*((2*ACOS(1-2*(0.94*T59)/T59))-SIN((2*ACOS(1-2*(0.94*T59)/T59)))))/((T59/2)*((2*ACOS(1-2*(0.94*T59)/T59)))))^(2/3))*SQRT(P59)))</f>
        <v/>
      </c>
      <c r="BD59" s="14" t="str">
        <f t="shared" si="54"/>
        <v/>
      </c>
      <c r="BE59" s="14" t="str">
        <f t="shared" si="55"/>
        <v/>
      </c>
      <c r="BF59" s="14" t="str">
        <f t="shared" si="56"/>
        <v/>
      </c>
      <c r="BG59" s="14" t="str">
        <f>IF(OR(T59="",P59="",BF59="",T59&lt;=0,BF59&lt;=0),"",(1/Inputs!$B$9)*((T59^2/8)*((2*ACOS(1-2*BF59/T59))-SIN((2*ACOS(1-2*BF59/T59)))))*((((T59^2/8)*((2*ACOS(1-2*BF59/T59))-SIN((2*ACOS(1-2*BF59/T59)))))/((T59/2)*((2*ACOS(1-2*BF59/T59)))))^(2/3))*SQRT(P59))</f>
        <v/>
      </c>
      <c r="BH59" s="14" t="str">
        <f t="shared" si="57"/>
        <v/>
      </c>
      <c r="BI59" s="14" t="str">
        <f t="shared" si="58"/>
        <v/>
      </c>
      <c r="BJ59" s="14" t="str">
        <f t="shared" si="59"/>
        <v/>
      </c>
      <c r="BK59" s="14" t="str">
        <f>IF(OR(T59="",P59="",BJ59="",T59&lt;=0,BJ59&lt;=0),"",(1/Inputs!$B$9)*((T59^2/8)*((2*ACOS(1-2*BJ59/T59))-SIN((2*ACOS(1-2*BJ59/T59)))))*((((T59^2/8)*((2*ACOS(1-2*BJ59/T59))-SIN((2*ACOS(1-2*BJ59/T59)))))/((T59/2)*((2*ACOS(1-2*BJ59/T59)))))^(2/3))*SQRT(P59))</f>
        <v/>
      </c>
      <c r="BL59" s="14" t="str">
        <f t="shared" si="60"/>
        <v/>
      </c>
      <c r="BM59" s="14" t="str">
        <f t="shared" si="61"/>
        <v/>
      </c>
      <c r="BN59" s="14" t="str">
        <f t="shared" si="62"/>
        <v/>
      </c>
      <c r="BO59" s="14" t="str">
        <f>IF(OR(T59="",P59="",BN59="",T59&lt;=0,BN59&lt;=0),"",(1/Inputs!$B$9)*((T59^2/8)*((2*ACOS(1-2*BN59/T59))-SIN((2*ACOS(1-2*BN59/T59)))))*((((T59^2/8)*((2*ACOS(1-2*BN59/T59))-SIN((2*ACOS(1-2*BN59/T59)))))/((T59/2)*((2*ACOS(1-2*BN59/T59)))))^(2/3))*SQRT(P59))</f>
        <v/>
      </c>
      <c r="BP59" s="14" t="str">
        <f t="shared" si="63"/>
        <v/>
      </c>
      <c r="BQ59" s="14" t="str">
        <f t="shared" si="64"/>
        <v/>
      </c>
      <c r="BR59" s="14" t="str">
        <f t="shared" si="65"/>
        <v/>
      </c>
      <c r="BS59" s="14" t="str">
        <f>IF(OR(T59="",P59="",BR59="",T59&lt;=0,BR59&lt;=0),"",(1/Inputs!$B$9)*((T59^2/8)*((2*ACOS(1-2*BR59/T59))-SIN((2*ACOS(1-2*BR59/T59)))))*((((T59^2/8)*((2*ACOS(1-2*BR59/T59))-SIN((2*ACOS(1-2*BR59/T59)))))/((T59/2)*((2*ACOS(1-2*BR59/T59)))))^(2/3))*SQRT(P59))</f>
        <v/>
      </c>
      <c r="BT59" s="14" t="str">
        <f t="shared" si="66"/>
        <v/>
      </c>
      <c r="BU59" s="14" t="str">
        <f t="shared" si="67"/>
        <v/>
      </c>
      <c r="BV59" s="14" t="str">
        <f t="shared" si="68"/>
        <v/>
      </c>
      <c r="BW59" s="14" t="str">
        <f>IF(OR(T59="",P59="",BV59="",T59&lt;=0,BV59&lt;=0),"",(1/Inputs!$B$9)*((T59^2/8)*((2*ACOS(1-2*BV59/T59))-SIN((2*ACOS(1-2*BV59/T59)))))*((((T59^2/8)*((2*ACOS(1-2*BV59/T59))-SIN((2*ACOS(1-2*BV59/T59)))))/((T59/2)*((2*ACOS(1-2*BV59/T59)))))^(2/3))*SQRT(P59))</f>
        <v/>
      </c>
      <c r="BX59" s="14" t="str">
        <f t="shared" si="69"/>
        <v/>
      </c>
      <c r="BY59" s="14" t="str">
        <f t="shared" si="70"/>
        <v/>
      </c>
      <c r="BZ59" s="14" t="str">
        <f t="shared" si="71"/>
        <v/>
      </c>
      <c r="CA59" s="14" t="str">
        <f>IF(OR(T59="",P59="",BZ59="",T59&lt;=0,BZ59&lt;=0),"",(1/Inputs!$B$9)*((T59^2/8)*((2*ACOS(1-2*BZ59/T59))-SIN((2*ACOS(1-2*BZ59/T59)))))*((((T59^2/8)*((2*ACOS(1-2*BZ59/T59))-SIN((2*ACOS(1-2*BZ59/T59)))))/((T59/2)*((2*ACOS(1-2*BZ59/T59)))))^(2/3))*SQRT(P59))</f>
        <v/>
      </c>
      <c r="CB59" s="14" t="str">
        <f t="shared" si="72"/>
        <v/>
      </c>
      <c r="CC59" s="14" t="str">
        <f t="shared" si="73"/>
        <v/>
      </c>
      <c r="CD59" s="14" t="str">
        <f t="shared" si="74"/>
        <v/>
      </c>
      <c r="CE59" s="14" t="str">
        <f>IF(OR(T59="",P59="",CD59="",T59&lt;=0,CD59&lt;=0),"",(1/Inputs!$B$9)*((T59^2/8)*((2*ACOS(1-2*CD59/T59))-SIN((2*ACOS(1-2*CD59/T59)))))*((((T59^2/8)*((2*ACOS(1-2*CD59/T59))-SIN((2*ACOS(1-2*CD59/T59)))))/((T59/2)*((2*ACOS(1-2*CD59/T59)))))^(2/3))*SQRT(P59))</f>
        <v/>
      </c>
      <c r="CF59" s="14" t="str">
        <f t="shared" si="75"/>
        <v/>
      </c>
      <c r="CG59" s="14" t="str">
        <f t="shared" si="76"/>
        <v/>
      </c>
      <c r="CH59" s="14" t="str">
        <f t="shared" si="77"/>
        <v/>
      </c>
    </row>
    <row r="60" spans="1:86" x14ac:dyDescent="0.25">
      <c r="A60" s="14"/>
      <c r="B60" s="14"/>
      <c r="C60" s="14"/>
      <c r="D60" s="14"/>
      <c r="E60" s="44"/>
      <c r="F60" s="44"/>
      <c r="G60" s="44">
        <f>SUMIFS(CB_plan!$G:$G,CB_plan!$F:$F,$A60)</f>
        <v>0</v>
      </c>
      <c r="H60" s="44">
        <f t="shared" si="39"/>
        <v>0</v>
      </c>
      <c r="I60" s="14"/>
      <c r="J60" s="44"/>
      <c r="K60" s="44" t="str">
        <f>IF(A60="","",Inputs!$B$13/((IF(AV60="",Inputs!$B$18,AV60)+Inputs!$B$14)^Inputs!$B$15))</f>
        <v/>
      </c>
      <c r="L60" s="44" t="str">
        <f>IF(A60="","",IF(H60="","",0.000000278*IF(I60&lt;&gt;"",I60,IFERROR(SUMIFS(CB_plan!$H:$H,CB_plan!$F:$F,$A60)/SUMIFS(CB_plan!$G:$G,CB_plan!$F:$F,$A60),Inputs!$B$17))*H60*K60))</f>
        <v/>
      </c>
      <c r="M60" s="44" t="str">
        <f t="shared" si="40"/>
        <v/>
      </c>
      <c r="N60" s="44" t="str">
        <f>IF(A60="","",(L60+M60)*Inputs!$B$16)</f>
        <v/>
      </c>
      <c r="O60" s="44"/>
      <c r="P60" s="44" t="str">
        <f>IF(A60="","",IF(O60="",Inputs!$B$7,O60))</f>
        <v/>
      </c>
      <c r="Q60" s="14" t="str">
        <f>IF(A60="","",IF(N60/Inputs!$B$10&lt;=AG60,Inputs!$F$5,IF(N60/Inputs!$B$10&gt;AP60,"OVERSIZE",INDEX(Inputs!$F$5:$F$14,MATCH(N60/Inputs!$B$10,AG60:AP60,1)+1))))</f>
        <v/>
      </c>
      <c r="R60" s="14"/>
      <c r="S60" s="14" t="str">
        <f t="shared" si="41"/>
        <v/>
      </c>
      <c r="T60" s="44" t="str">
        <f t="shared" si="42"/>
        <v/>
      </c>
      <c r="U60" s="44" t="str">
        <f>IF(T60="","",(1/Inputs!$B$9)*(PI()*T60^2/4)*((T60/4)^(2/3))*SQRT(P60))</f>
        <v/>
      </c>
      <c r="V60" s="44" t="str">
        <f>IF(OR(U60="",N60=""),"",N60/(U60*Inputs!$B$10))</f>
        <v/>
      </c>
      <c r="W60" s="44" t="str">
        <f t="shared" si="43"/>
        <v/>
      </c>
      <c r="X60" s="44"/>
      <c r="Y60" s="44" t="str">
        <f>IF(A60="","",IF(A60=Inputs!$B$6,Inputs!$B$22,IF(D60="","",IFERROR(INDEX($Z$4:$Z$201,MATCH(D60,$A$4:$A$201,0))+IF(X60="",Inputs!$B$20,X60),""))))</f>
        <v/>
      </c>
      <c r="Z60" s="44" t="str">
        <f t="shared" si="44"/>
        <v/>
      </c>
      <c r="AA60" s="44" t="str">
        <f>IF(C60="","",IFERROR(INDEX(Noeuds_plan!$C$4:$C$200,MATCH(C60,Noeuds_plan!$A$4:$A$200,0)),""))</f>
        <v/>
      </c>
      <c r="AB60" s="44" t="str">
        <f>IF(B60="","",IFERROR(INDEX(Noeuds_plan!$C$4:$C$200,MATCH(B60,Noeuds_plan!$A$4:$A$200,0)),""))</f>
        <v/>
      </c>
      <c r="AC60" s="44" t="str">
        <f t="shared" si="45"/>
        <v/>
      </c>
      <c r="AD60" s="44" t="str">
        <f t="shared" si="46"/>
        <v/>
      </c>
      <c r="AE60" s="14" t="str">
        <f>IF(A60="","",IF(OR(V60&gt;1,AND(AY60&lt;&gt;"",AY60&lt;Inputs!$B$11),AND(AY60&lt;&gt;"",AY60&gt;Inputs!$B$12),AC60&lt;Inputs!$B$19,AD60&lt;Inputs!$B$19,P60&lt;Inputs!$B$7,P60&gt;Inputs!$B$8),"CHECK","OK"))</f>
        <v/>
      </c>
      <c r="AF60" s="14"/>
      <c r="AG60" s="14" t="str">
        <f>IF(A60="","",(1/Inputs!$B$9)*(PI()*(Inputs!$F$5/1000)^2/4)*((Inputs!$F$5/1000/4)^(2/3))*SQRT(P60))</f>
        <v/>
      </c>
      <c r="AH60" s="14" t="str">
        <f>IF(A60="","",(1/Inputs!$B$9)*(PI()*(Inputs!$F$6/1000)^2/4)*((Inputs!$F$6/1000/4)^(2/3))*SQRT(P60))</f>
        <v/>
      </c>
      <c r="AI60" s="14" t="str">
        <f>IF(A60="","",(1/Inputs!$B$9)*(PI()*(Inputs!$F$7/1000)^2/4)*((Inputs!$F$7/1000/4)^(2/3))*SQRT(P60))</f>
        <v/>
      </c>
      <c r="AJ60" s="14" t="str">
        <f>IF(A60="","",(1/Inputs!$B$9)*(PI()*(Inputs!$F$8/1000)^2/4)*((Inputs!$F$8/1000/4)^(2/3))*SQRT(P60))</f>
        <v/>
      </c>
      <c r="AK60" s="14" t="str">
        <f>IF(A60="","",(1/Inputs!$B$9)*(PI()*(Inputs!$F$9/1000)^2/4)*((Inputs!$F$9/1000/4)^(2/3))*SQRT(P60))</f>
        <v/>
      </c>
      <c r="AL60" s="14" t="str">
        <f>IF(A60="","",(1/Inputs!$B$9)*(PI()*(Inputs!$F$10/1000)^2/4)*((Inputs!$F$10/1000/4)^(2/3))*SQRT(P60))</f>
        <v/>
      </c>
      <c r="AM60" s="14" t="str">
        <f>IF(A60="","",(1/Inputs!$B$9)*(PI()*(Inputs!$F$11/1000)^2/4)*((Inputs!$F$11/1000/4)^(2/3))*SQRT(P60))</f>
        <v/>
      </c>
      <c r="AN60" s="14" t="str">
        <f>IF(A60="","",(1/Inputs!$B$9)*(PI()*(Inputs!$F$12/1000)^2/4)*((Inputs!$F$12/1000/4)^(2/3))*SQRT(P60))</f>
        <v/>
      </c>
      <c r="AO60" s="14" t="str">
        <f>IF(A60="","",(1/Inputs!$B$9)*(PI()*(Inputs!$F$13/1000)^2/4)*((Inputs!$F$13/1000/4)^(2/3))*SQRT(P60))</f>
        <v/>
      </c>
      <c r="AP60" s="14" t="str">
        <f>IF(A60="","",(1/Inputs!$B$9)*(PI()*(Inputs!$F$14/1000)^2/4)*((Inputs!$F$14/1000/4)^(2/3))*SQRT(P60))</f>
        <v/>
      </c>
      <c r="AQ60" s="14" t="str">
        <f t="shared" si="47"/>
        <v/>
      </c>
      <c r="AR60" s="14" t="str">
        <f t="shared" si="48"/>
        <v/>
      </c>
      <c r="AS60" s="17" t="str">
        <f>IF(A60="","",IF(J60="",Inputs!$B$18,J60))</f>
        <v/>
      </c>
      <c r="AT60" s="17" t="str">
        <f>IF(A60="","",IFERROR(_xludf.maxifs($AV$4:$AV$201,$D$4:$D$201,$A60),""))</f>
        <v/>
      </c>
      <c r="AU60" s="17" t="str">
        <f>IF(A60="","",IF(OR(E60="",Inputs!$B$23=""),"",E60/(Inputs!$B$23*60)))</f>
        <v/>
      </c>
      <c r="AV60" s="17" t="str">
        <f t="shared" si="49"/>
        <v/>
      </c>
      <c r="AW60" s="17" t="str">
        <f t="shared" si="50"/>
        <v/>
      </c>
      <c r="AX60" s="17" t="str">
        <f>IF(OR(T60="",P60=""),"",(1/Inputs!$B$9)*((T60/4)^(2/3))*SQRT(P60))</f>
        <v/>
      </c>
      <c r="AY60" s="17" t="str">
        <f>IF(A60="","",IF(AND(AW60="",AX60="",BA60=""),"",IF(OR(UPPER(TRIM(Inputs!$B$24))="MANNING",UPPER(TRIM(Inputs!$B$24))="M"),AX60,IF(OR(UPPER(TRIM(Inputs!$B$24))="PARTIAL",UPPER(TRIM(Inputs!$B$24))="P"),BA60,IF(OR(UPPER(TRIM(Inputs!$B$24))="MAX",UPPER(TRIM(Inputs!$B$24))="X"),MAX(IF(AW60="",0,AW60),IF(AX60="",0,AX60),IF(BA60="",0,BA60)),AW60)))))</f>
        <v/>
      </c>
      <c r="AZ60" s="17" t="str">
        <f t="shared" si="51"/>
        <v/>
      </c>
      <c r="BA60" s="17" t="str">
        <f t="shared" si="52"/>
        <v/>
      </c>
      <c r="BB60" s="14" t="str">
        <f t="shared" si="53"/>
        <v/>
      </c>
      <c r="BC60" s="14" t="str">
        <f>IF(OR(N60="",T60="",P60=""),"",IF(OR(T60="",P60="",(0.94*T60)="",T60&lt;=0,(0.94*T60)&lt;=0),"",(1/Inputs!$B$9)*((T60^2/8)*((2*ACOS(1-2*(0.94*T60)/T60))-SIN((2*ACOS(1-2*(0.94*T60)/T60)))))*((((T60^2/8)*((2*ACOS(1-2*(0.94*T60)/T60))-SIN((2*ACOS(1-2*(0.94*T60)/T60)))))/((T60/2)*((2*ACOS(1-2*(0.94*T60)/T60)))))^(2/3))*SQRT(P60)))</f>
        <v/>
      </c>
      <c r="BD60" s="14" t="str">
        <f t="shared" si="54"/>
        <v/>
      </c>
      <c r="BE60" s="14" t="str">
        <f t="shared" si="55"/>
        <v/>
      </c>
      <c r="BF60" s="14" t="str">
        <f t="shared" si="56"/>
        <v/>
      </c>
      <c r="BG60" s="14" t="str">
        <f>IF(OR(T60="",P60="",BF60="",T60&lt;=0,BF60&lt;=0),"",(1/Inputs!$B$9)*((T60^2/8)*((2*ACOS(1-2*BF60/T60))-SIN((2*ACOS(1-2*BF60/T60)))))*((((T60^2/8)*((2*ACOS(1-2*BF60/T60))-SIN((2*ACOS(1-2*BF60/T60)))))/((T60/2)*((2*ACOS(1-2*BF60/T60)))))^(2/3))*SQRT(P60))</f>
        <v/>
      </c>
      <c r="BH60" s="14" t="str">
        <f t="shared" si="57"/>
        <v/>
      </c>
      <c r="BI60" s="14" t="str">
        <f t="shared" si="58"/>
        <v/>
      </c>
      <c r="BJ60" s="14" t="str">
        <f t="shared" si="59"/>
        <v/>
      </c>
      <c r="BK60" s="14" t="str">
        <f>IF(OR(T60="",P60="",BJ60="",T60&lt;=0,BJ60&lt;=0),"",(1/Inputs!$B$9)*((T60^2/8)*((2*ACOS(1-2*BJ60/T60))-SIN((2*ACOS(1-2*BJ60/T60)))))*((((T60^2/8)*((2*ACOS(1-2*BJ60/T60))-SIN((2*ACOS(1-2*BJ60/T60)))))/((T60/2)*((2*ACOS(1-2*BJ60/T60)))))^(2/3))*SQRT(P60))</f>
        <v/>
      </c>
      <c r="BL60" s="14" t="str">
        <f t="shared" si="60"/>
        <v/>
      </c>
      <c r="BM60" s="14" t="str">
        <f t="shared" si="61"/>
        <v/>
      </c>
      <c r="BN60" s="14" t="str">
        <f t="shared" si="62"/>
        <v/>
      </c>
      <c r="BO60" s="14" t="str">
        <f>IF(OR(T60="",P60="",BN60="",T60&lt;=0,BN60&lt;=0),"",(1/Inputs!$B$9)*((T60^2/8)*((2*ACOS(1-2*BN60/T60))-SIN((2*ACOS(1-2*BN60/T60)))))*((((T60^2/8)*((2*ACOS(1-2*BN60/T60))-SIN((2*ACOS(1-2*BN60/T60)))))/((T60/2)*((2*ACOS(1-2*BN60/T60)))))^(2/3))*SQRT(P60))</f>
        <v/>
      </c>
      <c r="BP60" s="14" t="str">
        <f t="shared" si="63"/>
        <v/>
      </c>
      <c r="BQ60" s="14" t="str">
        <f t="shared" si="64"/>
        <v/>
      </c>
      <c r="BR60" s="14" t="str">
        <f t="shared" si="65"/>
        <v/>
      </c>
      <c r="BS60" s="14" t="str">
        <f>IF(OR(T60="",P60="",BR60="",T60&lt;=0,BR60&lt;=0),"",(1/Inputs!$B$9)*((T60^2/8)*((2*ACOS(1-2*BR60/T60))-SIN((2*ACOS(1-2*BR60/T60)))))*((((T60^2/8)*((2*ACOS(1-2*BR60/T60))-SIN((2*ACOS(1-2*BR60/T60)))))/((T60/2)*((2*ACOS(1-2*BR60/T60)))))^(2/3))*SQRT(P60))</f>
        <v/>
      </c>
      <c r="BT60" s="14" t="str">
        <f t="shared" si="66"/>
        <v/>
      </c>
      <c r="BU60" s="14" t="str">
        <f t="shared" si="67"/>
        <v/>
      </c>
      <c r="BV60" s="14" t="str">
        <f t="shared" si="68"/>
        <v/>
      </c>
      <c r="BW60" s="14" t="str">
        <f>IF(OR(T60="",P60="",BV60="",T60&lt;=0,BV60&lt;=0),"",(1/Inputs!$B$9)*((T60^2/8)*((2*ACOS(1-2*BV60/T60))-SIN((2*ACOS(1-2*BV60/T60)))))*((((T60^2/8)*((2*ACOS(1-2*BV60/T60))-SIN((2*ACOS(1-2*BV60/T60)))))/((T60/2)*((2*ACOS(1-2*BV60/T60)))))^(2/3))*SQRT(P60))</f>
        <v/>
      </c>
      <c r="BX60" s="14" t="str">
        <f t="shared" si="69"/>
        <v/>
      </c>
      <c r="BY60" s="14" t="str">
        <f t="shared" si="70"/>
        <v/>
      </c>
      <c r="BZ60" s="14" t="str">
        <f t="shared" si="71"/>
        <v/>
      </c>
      <c r="CA60" s="14" t="str">
        <f>IF(OR(T60="",P60="",BZ60="",T60&lt;=0,BZ60&lt;=0),"",(1/Inputs!$B$9)*((T60^2/8)*((2*ACOS(1-2*BZ60/T60))-SIN((2*ACOS(1-2*BZ60/T60)))))*((((T60^2/8)*((2*ACOS(1-2*BZ60/T60))-SIN((2*ACOS(1-2*BZ60/T60)))))/((T60/2)*((2*ACOS(1-2*BZ60/T60)))))^(2/3))*SQRT(P60))</f>
        <v/>
      </c>
      <c r="CB60" s="14" t="str">
        <f t="shared" si="72"/>
        <v/>
      </c>
      <c r="CC60" s="14" t="str">
        <f t="shared" si="73"/>
        <v/>
      </c>
      <c r="CD60" s="14" t="str">
        <f t="shared" si="74"/>
        <v/>
      </c>
      <c r="CE60" s="14" t="str">
        <f>IF(OR(T60="",P60="",CD60="",T60&lt;=0,CD60&lt;=0),"",(1/Inputs!$B$9)*((T60^2/8)*((2*ACOS(1-2*CD60/T60))-SIN((2*ACOS(1-2*CD60/T60)))))*((((T60^2/8)*((2*ACOS(1-2*CD60/T60))-SIN((2*ACOS(1-2*CD60/T60)))))/((T60/2)*((2*ACOS(1-2*CD60/T60)))))^(2/3))*SQRT(P60))</f>
        <v/>
      </c>
      <c r="CF60" s="14" t="str">
        <f t="shared" si="75"/>
        <v/>
      </c>
      <c r="CG60" s="14" t="str">
        <f t="shared" si="76"/>
        <v/>
      </c>
      <c r="CH60" s="14" t="str">
        <f t="shared" si="77"/>
        <v/>
      </c>
    </row>
    <row r="61" spans="1:86" x14ac:dyDescent="0.25">
      <c r="A61" s="14"/>
      <c r="B61" s="14"/>
      <c r="C61" s="14"/>
      <c r="D61" s="14"/>
      <c r="E61" s="44"/>
      <c r="F61" s="44"/>
      <c r="G61" s="44">
        <f>SUMIFS(CB_plan!$G:$G,CB_plan!$F:$F,$A61)</f>
        <v>0</v>
      </c>
      <c r="H61" s="44">
        <f t="shared" si="39"/>
        <v>0</v>
      </c>
      <c r="I61" s="14"/>
      <c r="J61" s="44"/>
      <c r="K61" s="44" t="str">
        <f>IF(A61="","",Inputs!$B$13/((IF(AV61="",Inputs!$B$18,AV61)+Inputs!$B$14)^Inputs!$B$15))</f>
        <v/>
      </c>
      <c r="L61" s="44" t="str">
        <f>IF(A61="","",IF(H61="","",0.000000278*IF(I61&lt;&gt;"",I61,IFERROR(SUMIFS(CB_plan!$H:$H,CB_plan!$F:$F,$A61)/SUMIFS(CB_plan!$G:$G,CB_plan!$F:$F,$A61),Inputs!$B$17))*H61*K61))</f>
        <v/>
      </c>
      <c r="M61" s="44" t="str">
        <f t="shared" si="40"/>
        <v/>
      </c>
      <c r="N61" s="44" t="str">
        <f>IF(A61="","",(L61+M61)*Inputs!$B$16)</f>
        <v/>
      </c>
      <c r="O61" s="44"/>
      <c r="P61" s="44" t="str">
        <f>IF(A61="","",IF(O61="",Inputs!$B$7,O61))</f>
        <v/>
      </c>
      <c r="Q61" s="14" t="str">
        <f>IF(A61="","",IF(N61/Inputs!$B$10&lt;=AG61,Inputs!$F$5,IF(N61/Inputs!$B$10&gt;AP61,"OVERSIZE",INDEX(Inputs!$F$5:$F$14,MATCH(N61/Inputs!$B$10,AG61:AP61,1)+1))))</f>
        <v/>
      </c>
      <c r="R61" s="14"/>
      <c r="S61" s="14" t="str">
        <f t="shared" si="41"/>
        <v/>
      </c>
      <c r="T61" s="44" t="str">
        <f t="shared" si="42"/>
        <v/>
      </c>
      <c r="U61" s="44" t="str">
        <f>IF(T61="","",(1/Inputs!$B$9)*(PI()*T61^2/4)*((T61/4)^(2/3))*SQRT(P61))</f>
        <v/>
      </c>
      <c r="V61" s="44" t="str">
        <f>IF(OR(U61="",N61=""),"",N61/(U61*Inputs!$B$10))</f>
        <v/>
      </c>
      <c r="W61" s="44" t="str">
        <f t="shared" si="43"/>
        <v/>
      </c>
      <c r="X61" s="44"/>
      <c r="Y61" s="44" t="str">
        <f>IF(A61="","",IF(A61=Inputs!$B$6,Inputs!$B$22,IF(D61="","",IFERROR(INDEX($Z$4:$Z$201,MATCH(D61,$A$4:$A$201,0))+IF(X61="",Inputs!$B$20,X61),""))))</f>
        <v/>
      </c>
      <c r="Z61" s="44" t="str">
        <f t="shared" si="44"/>
        <v/>
      </c>
      <c r="AA61" s="44" t="str">
        <f>IF(C61="","",IFERROR(INDEX(Noeuds_plan!$C$4:$C$200,MATCH(C61,Noeuds_plan!$A$4:$A$200,0)),""))</f>
        <v/>
      </c>
      <c r="AB61" s="44" t="str">
        <f>IF(B61="","",IFERROR(INDEX(Noeuds_plan!$C$4:$C$200,MATCH(B61,Noeuds_plan!$A$4:$A$200,0)),""))</f>
        <v/>
      </c>
      <c r="AC61" s="44" t="str">
        <f t="shared" si="45"/>
        <v/>
      </c>
      <c r="AD61" s="44" t="str">
        <f t="shared" si="46"/>
        <v/>
      </c>
      <c r="AE61" s="14" t="str">
        <f>IF(A61="","",IF(OR(V61&gt;1,AND(AY61&lt;&gt;"",AY61&lt;Inputs!$B$11),AND(AY61&lt;&gt;"",AY61&gt;Inputs!$B$12),AC61&lt;Inputs!$B$19,AD61&lt;Inputs!$B$19,P61&lt;Inputs!$B$7,P61&gt;Inputs!$B$8),"CHECK","OK"))</f>
        <v/>
      </c>
      <c r="AF61" s="14"/>
      <c r="AG61" s="14" t="str">
        <f>IF(A61="","",(1/Inputs!$B$9)*(PI()*(Inputs!$F$5/1000)^2/4)*((Inputs!$F$5/1000/4)^(2/3))*SQRT(P61))</f>
        <v/>
      </c>
      <c r="AH61" s="14" t="str">
        <f>IF(A61="","",(1/Inputs!$B$9)*(PI()*(Inputs!$F$6/1000)^2/4)*((Inputs!$F$6/1000/4)^(2/3))*SQRT(P61))</f>
        <v/>
      </c>
      <c r="AI61" s="14" t="str">
        <f>IF(A61="","",(1/Inputs!$B$9)*(PI()*(Inputs!$F$7/1000)^2/4)*((Inputs!$F$7/1000/4)^(2/3))*SQRT(P61))</f>
        <v/>
      </c>
      <c r="AJ61" s="14" t="str">
        <f>IF(A61="","",(1/Inputs!$B$9)*(PI()*(Inputs!$F$8/1000)^2/4)*((Inputs!$F$8/1000/4)^(2/3))*SQRT(P61))</f>
        <v/>
      </c>
      <c r="AK61" s="14" t="str">
        <f>IF(A61="","",(1/Inputs!$B$9)*(PI()*(Inputs!$F$9/1000)^2/4)*((Inputs!$F$9/1000/4)^(2/3))*SQRT(P61))</f>
        <v/>
      </c>
      <c r="AL61" s="14" t="str">
        <f>IF(A61="","",(1/Inputs!$B$9)*(PI()*(Inputs!$F$10/1000)^2/4)*((Inputs!$F$10/1000/4)^(2/3))*SQRT(P61))</f>
        <v/>
      </c>
      <c r="AM61" s="14" t="str">
        <f>IF(A61="","",(1/Inputs!$B$9)*(PI()*(Inputs!$F$11/1000)^2/4)*((Inputs!$F$11/1000/4)^(2/3))*SQRT(P61))</f>
        <v/>
      </c>
      <c r="AN61" s="14" t="str">
        <f>IF(A61="","",(1/Inputs!$B$9)*(PI()*(Inputs!$F$12/1000)^2/4)*((Inputs!$F$12/1000/4)^(2/3))*SQRT(P61))</f>
        <v/>
      </c>
      <c r="AO61" s="14" t="str">
        <f>IF(A61="","",(1/Inputs!$B$9)*(PI()*(Inputs!$F$13/1000)^2/4)*((Inputs!$F$13/1000/4)^(2/3))*SQRT(P61))</f>
        <v/>
      </c>
      <c r="AP61" s="14" t="str">
        <f>IF(A61="","",(1/Inputs!$B$9)*(PI()*(Inputs!$F$14/1000)^2/4)*((Inputs!$F$14/1000/4)^(2/3))*SQRT(P61))</f>
        <v/>
      </c>
      <c r="AQ61" s="14" t="str">
        <f t="shared" si="47"/>
        <v/>
      </c>
      <c r="AR61" s="14" t="str">
        <f t="shared" si="48"/>
        <v/>
      </c>
      <c r="AS61" s="17" t="str">
        <f>IF(A61="","",IF(J61="",Inputs!$B$18,J61))</f>
        <v/>
      </c>
      <c r="AT61" s="17" t="str">
        <f>IF(A61="","",IFERROR(_xludf.maxifs($AV$4:$AV$201,$D$4:$D$201,$A61),""))</f>
        <v/>
      </c>
      <c r="AU61" s="17" t="str">
        <f>IF(A61="","",IF(OR(E61="",Inputs!$B$23=""),"",E61/(Inputs!$B$23*60)))</f>
        <v/>
      </c>
      <c r="AV61" s="17" t="str">
        <f t="shared" si="49"/>
        <v/>
      </c>
      <c r="AW61" s="17" t="str">
        <f t="shared" si="50"/>
        <v/>
      </c>
      <c r="AX61" s="17" t="str">
        <f>IF(OR(T61="",P61=""),"",(1/Inputs!$B$9)*((T61/4)^(2/3))*SQRT(P61))</f>
        <v/>
      </c>
      <c r="AY61" s="17" t="str">
        <f>IF(A61="","",IF(AND(AW61="",AX61="",BA61=""),"",IF(OR(UPPER(TRIM(Inputs!$B$24))="MANNING",UPPER(TRIM(Inputs!$B$24))="M"),AX61,IF(OR(UPPER(TRIM(Inputs!$B$24))="PARTIAL",UPPER(TRIM(Inputs!$B$24))="P"),BA61,IF(OR(UPPER(TRIM(Inputs!$B$24))="MAX",UPPER(TRIM(Inputs!$B$24))="X"),MAX(IF(AW61="",0,AW61),IF(AX61="",0,AX61),IF(BA61="",0,BA61)),AW61)))))</f>
        <v/>
      </c>
      <c r="AZ61" s="17" t="str">
        <f t="shared" si="51"/>
        <v/>
      </c>
      <c r="BA61" s="17" t="str">
        <f t="shared" si="52"/>
        <v/>
      </c>
      <c r="BB61" s="14" t="str">
        <f t="shared" si="53"/>
        <v/>
      </c>
      <c r="BC61" s="14" t="str">
        <f>IF(OR(N61="",T61="",P61=""),"",IF(OR(T61="",P61="",(0.94*T61)="",T61&lt;=0,(0.94*T61)&lt;=0),"",(1/Inputs!$B$9)*((T61^2/8)*((2*ACOS(1-2*(0.94*T61)/T61))-SIN((2*ACOS(1-2*(0.94*T61)/T61)))))*((((T61^2/8)*((2*ACOS(1-2*(0.94*T61)/T61))-SIN((2*ACOS(1-2*(0.94*T61)/T61)))))/((T61/2)*((2*ACOS(1-2*(0.94*T61)/T61)))))^(2/3))*SQRT(P61)))</f>
        <v/>
      </c>
      <c r="BD61" s="14" t="str">
        <f t="shared" si="54"/>
        <v/>
      </c>
      <c r="BE61" s="14" t="str">
        <f t="shared" si="55"/>
        <v/>
      </c>
      <c r="BF61" s="14" t="str">
        <f t="shared" si="56"/>
        <v/>
      </c>
      <c r="BG61" s="14" t="str">
        <f>IF(OR(T61="",P61="",BF61="",T61&lt;=0,BF61&lt;=0),"",(1/Inputs!$B$9)*((T61^2/8)*((2*ACOS(1-2*BF61/T61))-SIN((2*ACOS(1-2*BF61/T61)))))*((((T61^2/8)*((2*ACOS(1-2*BF61/T61))-SIN((2*ACOS(1-2*BF61/T61)))))/((T61/2)*((2*ACOS(1-2*BF61/T61)))))^(2/3))*SQRT(P61))</f>
        <v/>
      </c>
      <c r="BH61" s="14" t="str">
        <f t="shared" si="57"/>
        <v/>
      </c>
      <c r="BI61" s="14" t="str">
        <f t="shared" si="58"/>
        <v/>
      </c>
      <c r="BJ61" s="14" t="str">
        <f t="shared" si="59"/>
        <v/>
      </c>
      <c r="BK61" s="14" t="str">
        <f>IF(OR(T61="",P61="",BJ61="",T61&lt;=0,BJ61&lt;=0),"",(1/Inputs!$B$9)*((T61^2/8)*((2*ACOS(1-2*BJ61/T61))-SIN((2*ACOS(1-2*BJ61/T61)))))*((((T61^2/8)*((2*ACOS(1-2*BJ61/T61))-SIN((2*ACOS(1-2*BJ61/T61)))))/((T61/2)*((2*ACOS(1-2*BJ61/T61)))))^(2/3))*SQRT(P61))</f>
        <v/>
      </c>
      <c r="BL61" s="14" t="str">
        <f t="shared" si="60"/>
        <v/>
      </c>
      <c r="BM61" s="14" t="str">
        <f t="shared" si="61"/>
        <v/>
      </c>
      <c r="BN61" s="14" t="str">
        <f t="shared" si="62"/>
        <v/>
      </c>
      <c r="BO61" s="14" t="str">
        <f>IF(OR(T61="",P61="",BN61="",T61&lt;=0,BN61&lt;=0),"",(1/Inputs!$B$9)*((T61^2/8)*((2*ACOS(1-2*BN61/T61))-SIN((2*ACOS(1-2*BN61/T61)))))*((((T61^2/8)*((2*ACOS(1-2*BN61/T61))-SIN((2*ACOS(1-2*BN61/T61)))))/((T61/2)*((2*ACOS(1-2*BN61/T61)))))^(2/3))*SQRT(P61))</f>
        <v/>
      </c>
      <c r="BP61" s="14" t="str">
        <f t="shared" si="63"/>
        <v/>
      </c>
      <c r="BQ61" s="14" t="str">
        <f t="shared" si="64"/>
        <v/>
      </c>
      <c r="BR61" s="14" t="str">
        <f t="shared" si="65"/>
        <v/>
      </c>
      <c r="BS61" s="14" t="str">
        <f>IF(OR(T61="",P61="",BR61="",T61&lt;=0,BR61&lt;=0),"",(1/Inputs!$B$9)*((T61^2/8)*((2*ACOS(1-2*BR61/T61))-SIN((2*ACOS(1-2*BR61/T61)))))*((((T61^2/8)*((2*ACOS(1-2*BR61/T61))-SIN((2*ACOS(1-2*BR61/T61)))))/((T61/2)*((2*ACOS(1-2*BR61/T61)))))^(2/3))*SQRT(P61))</f>
        <v/>
      </c>
      <c r="BT61" s="14" t="str">
        <f t="shared" si="66"/>
        <v/>
      </c>
      <c r="BU61" s="14" t="str">
        <f t="shared" si="67"/>
        <v/>
      </c>
      <c r="BV61" s="14" t="str">
        <f t="shared" si="68"/>
        <v/>
      </c>
      <c r="BW61" s="14" t="str">
        <f>IF(OR(T61="",P61="",BV61="",T61&lt;=0,BV61&lt;=0),"",(1/Inputs!$B$9)*((T61^2/8)*((2*ACOS(1-2*BV61/T61))-SIN((2*ACOS(1-2*BV61/T61)))))*((((T61^2/8)*((2*ACOS(1-2*BV61/T61))-SIN((2*ACOS(1-2*BV61/T61)))))/((T61/2)*((2*ACOS(1-2*BV61/T61)))))^(2/3))*SQRT(P61))</f>
        <v/>
      </c>
      <c r="BX61" s="14" t="str">
        <f t="shared" si="69"/>
        <v/>
      </c>
      <c r="BY61" s="14" t="str">
        <f t="shared" si="70"/>
        <v/>
      </c>
      <c r="BZ61" s="14" t="str">
        <f t="shared" si="71"/>
        <v/>
      </c>
      <c r="CA61" s="14" t="str">
        <f>IF(OR(T61="",P61="",BZ61="",T61&lt;=0,BZ61&lt;=0),"",(1/Inputs!$B$9)*((T61^2/8)*((2*ACOS(1-2*BZ61/T61))-SIN((2*ACOS(1-2*BZ61/T61)))))*((((T61^2/8)*((2*ACOS(1-2*BZ61/T61))-SIN((2*ACOS(1-2*BZ61/T61)))))/((T61/2)*((2*ACOS(1-2*BZ61/T61)))))^(2/3))*SQRT(P61))</f>
        <v/>
      </c>
      <c r="CB61" s="14" t="str">
        <f t="shared" si="72"/>
        <v/>
      </c>
      <c r="CC61" s="14" t="str">
        <f t="shared" si="73"/>
        <v/>
      </c>
      <c r="CD61" s="14" t="str">
        <f t="shared" si="74"/>
        <v/>
      </c>
      <c r="CE61" s="14" t="str">
        <f>IF(OR(T61="",P61="",CD61="",T61&lt;=0,CD61&lt;=0),"",(1/Inputs!$B$9)*((T61^2/8)*((2*ACOS(1-2*CD61/T61))-SIN((2*ACOS(1-2*CD61/T61)))))*((((T61^2/8)*((2*ACOS(1-2*CD61/T61))-SIN((2*ACOS(1-2*CD61/T61)))))/((T61/2)*((2*ACOS(1-2*CD61/T61)))))^(2/3))*SQRT(P61))</f>
        <v/>
      </c>
      <c r="CF61" s="14" t="str">
        <f t="shared" si="75"/>
        <v/>
      </c>
      <c r="CG61" s="14" t="str">
        <f t="shared" si="76"/>
        <v/>
      </c>
      <c r="CH61" s="14" t="str">
        <f t="shared" si="77"/>
        <v/>
      </c>
    </row>
    <row r="62" spans="1:86" x14ac:dyDescent="0.25">
      <c r="A62" s="14"/>
      <c r="B62" s="14"/>
      <c r="C62" s="14"/>
      <c r="D62" s="14"/>
      <c r="E62" s="44"/>
      <c r="F62" s="44"/>
      <c r="G62" s="44">
        <f>SUMIFS(CB_plan!$G:$G,CB_plan!$F:$F,$A62)</f>
        <v>0</v>
      </c>
      <c r="H62" s="44">
        <f t="shared" si="39"/>
        <v>0</v>
      </c>
      <c r="I62" s="14"/>
      <c r="J62" s="44"/>
      <c r="K62" s="44" t="str">
        <f>IF(A62="","",Inputs!$B$13/((IF(AV62="",Inputs!$B$18,AV62)+Inputs!$B$14)^Inputs!$B$15))</f>
        <v/>
      </c>
      <c r="L62" s="44" t="str">
        <f>IF(A62="","",IF(H62="","",0.000000278*IF(I62&lt;&gt;"",I62,IFERROR(SUMIFS(CB_plan!$H:$H,CB_plan!$F:$F,$A62)/SUMIFS(CB_plan!$G:$G,CB_plan!$F:$F,$A62),Inputs!$B$17))*H62*K62))</f>
        <v/>
      </c>
      <c r="M62" s="44" t="str">
        <f t="shared" si="40"/>
        <v/>
      </c>
      <c r="N62" s="44" t="str">
        <f>IF(A62="","",(L62+M62)*Inputs!$B$16)</f>
        <v/>
      </c>
      <c r="O62" s="44"/>
      <c r="P62" s="44" t="str">
        <f>IF(A62="","",IF(O62="",Inputs!$B$7,O62))</f>
        <v/>
      </c>
      <c r="Q62" s="14" t="str">
        <f>IF(A62="","",IF(N62/Inputs!$B$10&lt;=AG62,Inputs!$F$5,IF(N62/Inputs!$B$10&gt;AP62,"OVERSIZE",INDEX(Inputs!$F$5:$F$14,MATCH(N62/Inputs!$B$10,AG62:AP62,1)+1))))</f>
        <v/>
      </c>
      <c r="R62" s="14"/>
      <c r="S62" s="14" t="str">
        <f t="shared" si="41"/>
        <v/>
      </c>
      <c r="T62" s="44" t="str">
        <f t="shared" si="42"/>
        <v/>
      </c>
      <c r="U62" s="44" t="str">
        <f>IF(T62="","",(1/Inputs!$B$9)*(PI()*T62^2/4)*((T62/4)^(2/3))*SQRT(P62))</f>
        <v/>
      </c>
      <c r="V62" s="44" t="str">
        <f>IF(OR(U62="",N62=""),"",N62/(U62*Inputs!$B$10))</f>
        <v/>
      </c>
      <c r="W62" s="44" t="str">
        <f t="shared" si="43"/>
        <v/>
      </c>
      <c r="X62" s="44"/>
      <c r="Y62" s="44" t="str">
        <f>IF(A62="","",IF(A62=Inputs!$B$6,Inputs!$B$22,IF(D62="","",IFERROR(INDEX($Z$4:$Z$201,MATCH(D62,$A$4:$A$201,0))+IF(X62="",Inputs!$B$20,X62),""))))</f>
        <v/>
      </c>
      <c r="Z62" s="44" t="str">
        <f t="shared" si="44"/>
        <v/>
      </c>
      <c r="AA62" s="44" t="str">
        <f>IF(C62="","",IFERROR(INDEX(Noeuds_plan!$C$4:$C$200,MATCH(C62,Noeuds_plan!$A$4:$A$200,0)),""))</f>
        <v/>
      </c>
      <c r="AB62" s="44" t="str">
        <f>IF(B62="","",IFERROR(INDEX(Noeuds_plan!$C$4:$C$200,MATCH(B62,Noeuds_plan!$A$4:$A$200,0)),""))</f>
        <v/>
      </c>
      <c r="AC62" s="44" t="str">
        <f t="shared" si="45"/>
        <v/>
      </c>
      <c r="AD62" s="44" t="str">
        <f t="shared" si="46"/>
        <v/>
      </c>
      <c r="AE62" s="14" t="str">
        <f>IF(A62="","",IF(OR(V62&gt;1,AND(AY62&lt;&gt;"",AY62&lt;Inputs!$B$11),AND(AY62&lt;&gt;"",AY62&gt;Inputs!$B$12),AC62&lt;Inputs!$B$19,AD62&lt;Inputs!$B$19,P62&lt;Inputs!$B$7,P62&gt;Inputs!$B$8),"CHECK","OK"))</f>
        <v/>
      </c>
      <c r="AF62" s="14"/>
      <c r="AG62" s="14" t="str">
        <f>IF(A62="","",(1/Inputs!$B$9)*(PI()*(Inputs!$F$5/1000)^2/4)*((Inputs!$F$5/1000/4)^(2/3))*SQRT(P62))</f>
        <v/>
      </c>
      <c r="AH62" s="14" t="str">
        <f>IF(A62="","",(1/Inputs!$B$9)*(PI()*(Inputs!$F$6/1000)^2/4)*((Inputs!$F$6/1000/4)^(2/3))*SQRT(P62))</f>
        <v/>
      </c>
      <c r="AI62" s="14" t="str">
        <f>IF(A62="","",(1/Inputs!$B$9)*(PI()*(Inputs!$F$7/1000)^2/4)*((Inputs!$F$7/1000/4)^(2/3))*SQRT(P62))</f>
        <v/>
      </c>
      <c r="AJ62" s="14" t="str">
        <f>IF(A62="","",(1/Inputs!$B$9)*(PI()*(Inputs!$F$8/1000)^2/4)*((Inputs!$F$8/1000/4)^(2/3))*SQRT(P62))</f>
        <v/>
      </c>
      <c r="AK62" s="14" t="str">
        <f>IF(A62="","",(1/Inputs!$B$9)*(PI()*(Inputs!$F$9/1000)^2/4)*((Inputs!$F$9/1000/4)^(2/3))*SQRT(P62))</f>
        <v/>
      </c>
      <c r="AL62" s="14" t="str">
        <f>IF(A62="","",(1/Inputs!$B$9)*(PI()*(Inputs!$F$10/1000)^2/4)*((Inputs!$F$10/1000/4)^(2/3))*SQRT(P62))</f>
        <v/>
      </c>
      <c r="AM62" s="14" t="str">
        <f>IF(A62="","",(1/Inputs!$B$9)*(PI()*(Inputs!$F$11/1000)^2/4)*((Inputs!$F$11/1000/4)^(2/3))*SQRT(P62))</f>
        <v/>
      </c>
      <c r="AN62" s="14" t="str">
        <f>IF(A62="","",(1/Inputs!$B$9)*(PI()*(Inputs!$F$12/1000)^2/4)*((Inputs!$F$12/1000/4)^(2/3))*SQRT(P62))</f>
        <v/>
      </c>
      <c r="AO62" s="14" t="str">
        <f>IF(A62="","",(1/Inputs!$B$9)*(PI()*(Inputs!$F$13/1000)^2/4)*((Inputs!$F$13/1000/4)^(2/3))*SQRT(P62))</f>
        <v/>
      </c>
      <c r="AP62" s="14" t="str">
        <f>IF(A62="","",(1/Inputs!$B$9)*(PI()*(Inputs!$F$14/1000)^2/4)*((Inputs!$F$14/1000/4)^(2/3))*SQRT(P62))</f>
        <v/>
      </c>
      <c r="AQ62" s="14" t="str">
        <f t="shared" si="47"/>
        <v/>
      </c>
      <c r="AR62" s="14" t="str">
        <f t="shared" si="48"/>
        <v/>
      </c>
      <c r="AS62" s="17" t="str">
        <f>IF(A62="","",IF(J62="",Inputs!$B$18,J62))</f>
        <v/>
      </c>
      <c r="AT62" s="17" t="str">
        <f>IF(A62="","",IFERROR(_xludf.maxifs($AV$4:$AV$201,$D$4:$D$201,$A62),""))</f>
        <v/>
      </c>
      <c r="AU62" s="17" t="str">
        <f>IF(A62="","",IF(OR(E62="",Inputs!$B$23=""),"",E62/(Inputs!$B$23*60)))</f>
        <v/>
      </c>
      <c r="AV62" s="17" t="str">
        <f t="shared" si="49"/>
        <v/>
      </c>
      <c r="AW62" s="17" t="str">
        <f t="shared" si="50"/>
        <v/>
      </c>
      <c r="AX62" s="17" t="str">
        <f>IF(OR(T62="",P62=""),"",(1/Inputs!$B$9)*((T62/4)^(2/3))*SQRT(P62))</f>
        <v/>
      </c>
      <c r="AY62" s="17" t="str">
        <f>IF(A62="","",IF(AND(AW62="",AX62="",BA62=""),"",IF(OR(UPPER(TRIM(Inputs!$B$24))="MANNING",UPPER(TRIM(Inputs!$B$24))="M"),AX62,IF(OR(UPPER(TRIM(Inputs!$B$24))="PARTIAL",UPPER(TRIM(Inputs!$B$24))="P"),BA62,IF(OR(UPPER(TRIM(Inputs!$B$24))="MAX",UPPER(TRIM(Inputs!$B$24))="X"),MAX(IF(AW62="",0,AW62),IF(AX62="",0,AX62),IF(BA62="",0,BA62)),AW62)))))</f>
        <v/>
      </c>
      <c r="AZ62" s="17" t="str">
        <f t="shared" si="51"/>
        <v/>
      </c>
      <c r="BA62" s="17" t="str">
        <f t="shared" si="52"/>
        <v/>
      </c>
      <c r="BB62" s="14" t="str">
        <f t="shared" si="53"/>
        <v/>
      </c>
      <c r="BC62" s="14" t="str">
        <f>IF(OR(N62="",T62="",P62=""),"",IF(OR(T62="",P62="",(0.94*T62)="",T62&lt;=0,(0.94*T62)&lt;=0),"",(1/Inputs!$B$9)*((T62^2/8)*((2*ACOS(1-2*(0.94*T62)/T62))-SIN((2*ACOS(1-2*(0.94*T62)/T62)))))*((((T62^2/8)*((2*ACOS(1-2*(0.94*T62)/T62))-SIN((2*ACOS(1-2*(0.94*T62)/T62)))))/((T62/2)*((2*ACOS(1-2*(0.94*T62)/T62)))))^(2/3))*SQRT(P62)))</f>
        <v/>
      </c>
      <c r="BD62" s="14" t="str">
        <f t="shared" si="54"/>
        <v/>
      </c>
      <c r="BE62" s="14" t="str">
        <f t="shared" si="55"/>
        <v/>
      </c>
      <c r="BF62" s="14" t="str">
        <f t="shared" si="56"/>
        <v/>
      </c>
      <c r="BG62" s="14" t="str">
        <f>IF(OR(T62="",P62="",BF62="",T62&lt;=0,BF62&lt;=0),"",(1/Inputs!$B$9)*((T62^2/8)*((2*ACOS(1-2*BF62/T62))-SIN((2*ACOS(1-2*BF62/T62)))))*((((T62^2/8)*((2*ACOS(1-2*BF62/T62))-SIN((2*ACOS(1-2*BF62/T62)))))/((T62/2)*((2*ACOS(1-2*BF62/T62)))))^(2/3))*SQRT(P62))</f>
        <v/>
      </c>
      <c r="BH62" s="14" t="str">
        <f t="shared" si="57"/>
        <v/>
      </c>
      <c r="BI62" s="14" t="str">
        <f t="shared" si="58"/>
        <v/>
      </c>
      <c r="BJ62" s="14" t="str">
        <f t="shared" si="59"/>
        <v/>
      </c>
      <c r="BK62" s="14" t="str">
        <f>IF(OR(T62="",P62="",BJ62="",T62&lt;=0,BJ62&lt;=0),"",(1/Inputs!$B$9)*((T62^2/8)*((2*ACOS(1-2*BJ62/T62))-SIN((2*ACOS(1-2*BJ62/T62)))))*((((T62^2/8)*((2*ACOS(1-2*BJ62/T62))-SIN((2*ACOS(1-2*BJ62/T62)))))/((T62/2)*((2*ACOS(1-2*BJ62/T62)))))^(2/3))*SQRT(P62))</f>
        <v/>
      </c>
      <c r="BL62" s="14" t="str">
        <f t="shared" si="60"/>
        <v/>
      </c>
      <c r="BM62" s="14" t="str">
        <f t="shared" si="61"/>
        <v/>
      </c>
      <c r="BN62" s="14" t="str">
        <f t="shared" si="62"/>
        <v/>
      </c>
      <c r="BO62" s="14" t="str">
        <f>IF(OR(T62="",P62="",BN62="",T62&lt;=0,BN62&lt;=0),"",(1/Inputs!$B$9)*((T62^2/8)*((2*ACOS(1-2*BN62/T62))-SIN((2*ACOS(1-2*BN62/T62)))))*((((T62^2/8)*((2*ACOS(1-2*BN62/T62))-SIN((2*ACOS(1-2*BN62/T62)))))/((T62/2)*((2*ACOS(1-2*BN62/T62)))))^(2/3))*SQRT(P62))</f>
        <v/>
      </c>
      <c r="BP62" s="14" t="str">
        <f t="shared" si="63"/>
        <v/>
      </c>
      <c r="BQ62" s="14" t="str">
        <f t="shared" si="64"/>
        <v/>
      </c>
      <c r="BR62" s="14" t="str">
        <f t="shared" si="65"/>
        <v/>
      </c>
      <c r="BS62" s="14" t="str">
        <f>IF(OR(T62="",P62="",BR62="",T62&lt;=0,BR62&lt;=0),"",(1/Inputs!$B$9)*((T62^2/8)*((2*ACOS(1-2*BR62/T62))-SIN((2*ACOS(1-2*BR62/T62)))))*((((T62^2/8)*((2*ACOS(1-2*BR62/T62))-SIN((2*ACOS(1-2*BR62/T62)))))/((T62/2)*((2*ACOS(1-2*BR62/T62)))))^(2/3))*SQRT(P62))</f>
        <v/>
      </c>
      <c r="BT62" s="14" t="str">
        <f t="shared" si="66"/>
        <v/>
      </c>
      <c r="BU62" s="14" t="str">
        <f t="shared" si="67"/>
        <v/>
      </c>
      <c r="BV62" s="14" t="str">
        <f t="shared" si="68"/>
        <v/>
      </c>
      <c r="BW62" s="14" t="str">
        <f>IF(OR(T62="",P62="",BV62="",T62&lt;=0,BV62&lt;=0),"",(1/Inputs!$B$9)*((T62^2/8)*((2*ACOS(1-2*BV62/T62))-SIN((2*ACOS(1-2*BV62/T62)))))*((((T62^2/8)*((2*ACOS(1-2*BV62/T62))-SIN((2*ACOS(1-2*BV62/T62)))))/((T62/2)*((2*ACOS(1-2*BV62/T62)))))^(2/3))*SQRT(P62))</f>
        <v/>
      </c>
      <c r="BX62" s="14" t="str">
        <f t="shared" si="69"/>
        <v/>
      </c>
      <c r="BY62" s="14" t="str">
        <f t="shared" si="70"/>
        <v/>
      </c>
      <c r="BZ62" s="14" t="str">
        <f t="shared" si="71"/>
        <v/>
      </c>
      <c r="CA62" s="14" t="str">
        <f>IF(OR(T62="",P62="",BZ62="",T62&lt;=0,BZ62&lt;=0),"",(1/Inputs!$B$9)*((T62^2/8)*((2*ACOS(1-2*BZ62/T62))-SIN((2*ACOS(1-2*BZ62/T62)))))*((((T62^2/8)*((2*ACOS(1-2*BZ62/T62))-SIN((2*ACOS(1-2*BZ62/T62)))))/((T62/2)*((2*ACOS(1-2*BZ62/T62)))))^(2/3))*SQRT(P62))</f>
        <v/>
      </c>
      <c r="CB62" s="14" t="str">
        <f t="shared" si="72"/>
        <v/>
      </c>
      <c r="CC62" s="14" t="str">
        <f t="shared" si="73"/>
        <v/>
      </c>
      <c r="CD62" s="14" t="str">
        <f t="shared" si="74"/>
        <v/>
      </c>
      <c r="CE62" s="14" t="str">
        <f>IF(OR(T62="",P62="",CD62="",T62&lt;=0,CD62&lt;=0),"",(1/Inputs!$B$9)*((T62^2/8)*((2*ACOS(1-2*CD62/T62))-SIN((2*ACOS(1-2*CD62/T62)))))*((((T62^2/8)*((2*ACOS(1-2*CD62/T62))-SIN((2*ACOS(1-2*CD62/T62)))))/((T62/2)*((2*ACOS(1-2*CD62/T62)))))^(2/3))*SQRT(P62))</f>
        <v/>
      </c>
      <c r="CF62" s="14" t="str">
        <f t="shared" si="75"/>
        <v/>
      </c>
      <c r="CG62" s="14" t="str">
        <f t="shared" si="76"/>
        <v/>
      </c>
      <c r="CH62" s="14" t="str">
        <f t="shared" si="77"/>
        <v/>
      </c>
    </row>
    <row r="63" spans="1:86" x14ac:dyDescent="0.25">
      <c r="A63" s="14"/>
      <c r="B63" s="14"/>
      <c r="C63" s="14"/>
      <c r="D63" s="14"/>
      <c r="E63" s="44"/>
      <c r="F63" s="44"/>
      <c r="G63" s="44">
        <f>SUMIFS(CB_plan!$G:$G,CB_plan!$F:$F,$A63)</f>
        <v>0</v>
      </c>
      <c r="H63" s="44">
        <f t="shared" si="39"/>
        <v>0</v>
      </c>
      <c r="I63" s="14"/>
      <c r="J63" s="44"/>
      <c r="K63" s="44" t="str">
        <f>IF(A63="","",Inputs!$B$13/((IF(AV63="",Inputs!$B$18,AV63)+Inputs!$B$14)^Inputs!$B$15))</f>
        <v/>
      </c>
      <c r="L63" s="44" t="str">
        <f>IF(A63="","",IF(H63="","",0.000000278*IF(I63&lt;&gt;"",I63,IFERROR(SUMIFS(CB_plan!$H:$H,CB_plan!$F:$F,$A63)/SUMIFS(CB_plan!$G:$G,CB_plan!$F:$F,$A63),Inputs!$B$17))*H63*K63))</f>
        <v/>
      </c>
      <c r="M63" s="44" t="str">
        <f t="shared" si="40"/>
        <v/>
      </c>
      <c r="N63" s="44" t="str">
        <f>IF(A63="","",(L63+M63)*Inputs!$B$16)</f>
        <v/>
      </c>
      <c r="O63" s="44"/>
      <c r="P63" s="44" t="str">
        <f>IF(A63="","",IF(O63="",Inputs!$B$7,O63))</f>
        <v/>
      </c>
      <c r="Q63" s="14" t="str">
        <f>IF(A63="","",IF(N63/Inputs!$B$10&lt;=AG63,Inputs!$F$5,IF(N63/Inputs!$B$10&gt;AP63,"OVERSIZE",INDEX(Inputs!$F$5:$F$14,MATCH(N63/Inputs!$B$10,AG63:AP63,1)+1))))</f>
        <v/>
      </c>
      <c r="R63" s="14"/>
      <c r="S63" s="14" t="str">
        <f t="shared" si="41"/>
        <v/>
      </c>
      <c r="T63" s="44" t="str">
        <f t="shared" si="42"/>
        <v/>
      </c>
      <c r="U63" s="44" t="str">
        <f>IF(T63="","",(1/Inputs!$B$9)*(PI()*T63^2/4)*((T63/4)^(2/3))*SQRT(P63))</f>
        <v/>
      </c>
      <c r="V63" s="44" t="str">
        <f>IF(OR(U63="",N63=""),"",N63/(U63*Inputs!$B$10))</f>
        <v/>
      </c>
      <c r="W63" s="44" t="str">
        <f t="shared" si="43"/>
        <v/>
      </c>
      <c r="X63" s="44"/>
      <c r="Y63" s="44" t="str">
        <f>IF(A63="","",IF(A63=Inputs!$B$6,Inputs!$B$22,IF(D63="","",IFERROR(INDEX($Z$4:$Z$201,MATCH(D63,$A$4:$A$201,0))+IF(X63="",Inputs!$B$20,X63),""))))</f>
        <v/>
      </c>
      <c r="Z63" s="44" t="str">
        <f t="shared" si="44"/>
        <v/>
      </c>
      <c r="AA63" s="44" t="str">
        <f>IF(C63="","",IFERROR(INDEX(Noeuds_plan!$C$4:$C$200,MATCH(C63,Noeuds_plan!$A$4:$A$200,0)),""))</f>
        <v/>
      </c>
      <c r="AB63" s="44" t="str">
        <f>IF(B63="","",IFERROR(INDEX(Noeuds_plan!$C$4:$C$200,MATCH(B63,Noeuds_plan!$A$4:$A$200,0)),""))</f>
        <v/>
      </c>
      <c r="AC63" s="44" t="str">
        <f t="shared" si="45"/>
        <v/>
      </c>
      <c r="AD63" s="44" t="str">
        <f t="shared" si="46"/>
        <v/>
      </c>
      <c r="AE63" s="14" t="str">
        <f>IF(A63="","",IF(OR(V63&gt;1,AND(AY63&lt;&gt;"",AY63&lt;Inputs!$B$11),AND(AY63&lt;&gt;"",AY63&gt;Inputs!$B$12),AC63&lt;Inputs!$B$19,AD63&lt;Inputs!$B$19,P63&lt;Inputs!$B$7,P63&gt;Inputs!$B$8),"CHECK","OK"))</f>
        <v/>
      </c>
      <c r="AF63" s="14"/>
      <c r="AG63" s="14" t="str">
        <f>IF(A63="","",(1/Inputs!$B$9)*(PI()*(Inputs!$F$5/1000)^2/4)*((Inputs!$F$5/1000/4)^(2/3))*SQRT(P63))</f>
        <v/>
      </c>
      <c r="AH63" s="14" t="str">
        <f>IF(A63="","",(1/Inputs!$B$9)*(PI()*(Inputs!$F$6/1000)^2/4)*((Inputs!$F$6/1000/4)^(2/3))*SQRT(P63))</f>
        <v/>
      </c>
      <c r="AI63" s="14" t="str">
        <f>IF(A63="","",(1/Inputs!$B$9)*(PI()*(Inputs!$F$7/1000)^2/4)*((Inputs!$F$7/1000/4)^(2/3))*SQRT(P63))</f>
        <v/>
      </c>
      <c r="AJ63" s="14" t="str">
        <f>IF(A63="","",(1/Inputs!$B$9)*(PI()*(Inputs!$F$8/1000)^2/4)*((Inputs!$F$8/1000/4)^(2/3))*SQRT(P63))</f>
        <v/>
      </c>
      <c r="AK63" s="14" t="str">
        <f>IF(A63="","",(1/Inputs!$B$9)*(PI()*(Inputs!$F$9/1000)^2/4)*((Inputs!$F$9/1000/4)^(2/3))*SQRT(P63))</f>
        <v/>
      </c>
      <c r="AL63" s="14" t="str">
        <f>IF(A63="","",(1/Inputs!$B$9)*(PI()*(Inputs!$F$10/1000)^2/4)*((Inputs!$F$10/1000/4)^(2/3))*SQRT(P63))</f>
        <v/>
      </c>
      <c r="AM63" s="14" t="str">
        <f>IF(A63="","",(1/Inputs!$B$9)*(PI()*(Inputs!$F$11/1000)^2/4)*((Inputs!$F$11/1000/4)^(2/3))*SQRT(P63))</f>
        <v/>
      </c>
      <c r="AN63" s="14" t="str">
        <f>IF(A63="","",(1/Inputs!$B$9)*(PI()*(Inputs!$F$12/1000)^2/4)*((Inputs!$F$12/1000/4)^(2/3))*SQRT(P63))</f>
        <v/>
      </c>
      <c r="AO63" s="14" t="str">
        <f>IF(A63="","",(1/Inputs!$B$9)*(PI()*(Inputs!$F$13/1000)^2/4)*((Inputs!$F$13/1000/4)^(2/3))*SQRT(P63))</f>
        <v/>
      </c>
      <c r="AP63" s="14" t="str">
        <f>IF(A63="","",(1/Inputs!$B$9)*(PI()*(Inputs!$F$14/1000)^2/4)*((Inputs!$F$14/1000/4)^(2/3))*SQRT(P63))</f>
        <v/>
      </c>
      <c r="AQ63" s="14" t="str">
        <f t="shared" si="47"/>
        <v/>
      </c>
      <c r="AR63" s="14" t="str">
        <f t="shared" si="48"/>
        <v/>
      </c>
      <c r="AS63" s="17" t="str">
        <f>IF(A63="","",IF(J63="",Inputs!$B$18,J63))</f>
        <v/>
      </c>
      <c r="AT63" s="17" t="str">
        <f>IF(A63="","",IFERROR(_xludf.maxifs($AV$4:$AV$201,$D$4:$D$201,$A63),""))</f>
        <v/>
      </c>
      <c r="AU63" s="17" t="str">
        <f>IF(A63="","",IF(OR(E63="",Inputs!$B$23=""),"",E63/(Inputs!$B$23*60)))</f>
        <v/>
      </c>
      <c r="AV63" s="17" t="str">
        <f t="shared" si="49"/>
        <v/>
      </c>
      <c r="AW63" s="17" t="str">
        <f t="shared" si="50"/>
        <v/>
      </c>
      <c r="AX63" s="17" t="str">
        <f>IF(OR(T63="",P63=""),"",(1/Inputs!$B$9)*((T63/4)^(2/3))*SQRT(P63))</f>
        <v/>
      </c>
      <c r="AY63" s="17" t="str">
        <f>IF(A63="","",IF(AND(AW63="",AX63="",BA63=""),"",IF(OR(UPPER(TRIM(Inputs!$B$24))="MANNING",UPPER(TRIM(Inputs!$B$24))="M"),AX63,IF(OR(UPPER(TRIM(Inputs!$B$24))="PARTIAL",UPPER(TRIM(Inputs!$B$24))="P"),BA63,IF(OR(UPPER(TRIM(Inputs!$B$24))="MAX",UPPER(TRIM(Inputs!$B$24))="X"),MAX(IF(AW63="",0,AW63),IF(AX63="",0,AX63),IF(BA63="",0,BA63)),AW63)))))</f>
        <v/>
      </c>
      <c r="AZ63" s="17" t="str">
        <f t="shared" si="51"/>
        <v/>
      </c>
      <c r="BA63" s="17" t="str">
        <f t="shared" si="52"/>
        <v/>
      </c>
      <c r="BB63" s="14" t="str">
        <f t="shared" si="53"/>
        <v/>
      </c>
      <c r="BC63" s="14" t="str">
        <f>IF(OR(N63="",T63="",P63=""),"",IF(OR(T63="",P63="",(0.94*T63)="",T63&lt;=0,(0.94*T63)&lt;=0),"",(1/Inputs!$B$9)*((T63^2/8)*((2*ACOS(1-2*(0.94*T63)/T63))-SIN((2*ACOS(1-2*(0.94*T63)/T63)))))*((((T63^2/8)*((2*ACOS(1-2*(0.94*T63)/T63))-SIN((2*ACOS(1-2*(0.94*T63)/T63)))))/((T63/2)*((2*ACOS(1-2*(0.94*T63)/T63)))))^(2/3))*SQRT(P63)))</f>
        <v/>
      </c>
      <c r="BD63" s="14" t="str">
        <f t="shared" si="54"/>
        <v/>
      </c>
      <c r="BE63" s="14" t="str">
        <f t="shared" si="55"/>
        <v/>
      </c>
      <c r="BF63" s="14" t="str">
        <f t="shared" si="56"/>
        <v/>
      </c>
      <c r="BG63" s="14" t="str">
        <f>IF(OR(T63="",P63="",BF63="",T63&lt;=0,BF63&lt;=0),"",(1/Inputs!$B$9)*((T63^2/8)*((2*ACOS(1-2*BF63/T63))-SIN((2*ACOS(1-2*BF63/T63)))))*((((T63^2/8)*((2*ACOS(1-2*BF63/T63))-SIN((2*ACOS(1-2*BF63/T63)))))/((T63/2)*((2*ACOS(1-2*BF63/T63)))))^(2/3))*SQRT(P63))</f>
        <v/>
      </c>
      <c r="BH63" s="14" t="str">
        <f t="shared" si="57"/>
        <v/>
      </c>
      <c r="BI63" s="14" t="str">
        <f t="shared" si="58"/>
        <v/>
      </c>
      <c r="BJ63" s="14" t="str">
        <f t="shared" si="59"/>
        <v/>
      </c>
      <c r="BK63" s="14" t="str">
        <f>IF(OR(T63="",P63="",BJ63="",T63&lt;=0,BJ63&lt;=0),"",(1/Inputs!$B$9)*((T63^2/8)*((2*ACOS(1-2*BJ63/T63))-SIN((2*ACOS(1-2*BJ63/T63)))))*((((T63^2/8)*((2*ACOS(1-2*BJ63/T63))-SIN((2*ACOS(1-2*BJ63/T63)))))/((T63/2)*((2*ACOS(1-2*BJ63/T63)))))^(2/3))*SQRT(P63))</f>
        <v/>
      </c>
      <c r="BL63" s="14" t="str">
        <f t="shared" si="60"/>
        <v/>
      </c>
      <c r="BM63" s="14" t="str">
        <f t="shared" si="61"/>
        <v/>
      </c>
      <c r="BN63" s="14" t="str">
        <f t="shared" si="62"/>
        <v/>
      </c>
      <c r="BO63" s="14" t="str">
        <f>IF(OR(T63="",P63="",BN63="",T63&lt;=0,BN63&lt;=0),"",(1/Inputs!$B$9)*((T63^2/8)*((2*ACOS(1-2*BN63/T63))-SIN((2*ACOS(1-2*BN63/T63)))))*((((T63^2/8)*((2*ACOS(1-2*BN63/T63))-SIN((2*ACOS(1-2*BN63/T63)))))/((T63/2)*((2*ACOS(1-2*BN63/T63)))))^(2/3))*SQRT(P63))</f>
        <v/>
      </c>
      <c r="BP63" s="14" t="str">
        <f t="shared" si="63"/>
        <v/>
      </c>
      <c r="BQ63" s="14" t="str">
        <f t="shared" si="64"/>
        <v/>
      </c>
      <c r="BR63" s="14" t="str">
        <f t="shared" si="65"/>
        <v/>
      </c>
      <c r="BS63" s="14" t="str">
        <f>IF(OR(T63="",P63="",BR63="",T63&lt;=0,BR63&lt;=0),"",(1/Inputs!$B$9)*((T63^2/8)*((2*ACOS(1-2*BR63/T63))-SIN((2*ACOS(1-2*BR63/T63)))))*((((T63^2/8)*((2*ACOS(1-2*BR63/T63))-SIN((2*ACOS(1-2*BR63/T63)))))/((T63/2)*((2*ACOS(1-2*BR63/T63)))))^(2/3))*SQRT(P63))</f>
        <v/>
      </c>
      <c r="BT63" s="14" t="str">
        <f t="shared" si="66"/>
        <v/>
      </c>
      <c r="BU63" s="14" t="str">
        <f t="shared" si="67"/>
        <v/>
      </c>
      <c r="BV63" s="14" t="str">
        <f t="shared" si="68"/>
        <v/>
      </c>
      <c r="BW63" s="14" t="str">
        <f>IF(OR(T63="",P63="",BV63="",T63&lt;=0,BV63&lt;=0),"",(1/Inputs!$B$9)*((T63^2/8)*((2*ACOS(1-2*BV63/T63))-SIN((2*ACOS(1-2*BV63/T63)))))*((((T63^2/8)*((2*ACOS(1-2*BV63/T63))-SIN((2*ACOS(1-2*BV63/T63)))))/((T63/2)*((2*ACOS(1-2*BV63/T63)))))^(2/3))*SQRT(P63))</f>
        <v/>
      </c>
      <c r="BX63" s="14" t="str">
        <f t="shared" si="69"/>
        <v/>
      </c>
      <c r="BY63" s="14" t="str">
        <f t="shared" si="70"/>
        <v/>
      </c>
      <c r="BZ63" s="14" t="str">
        <f t="shared" si="71"/>
        <v/>
      </c>
      <c r="CA63" s="14" t="str">
        <f>IF(OR(T63="",P63="",BZ63="",T63&lt;=0,BZ63&lt;=0),"",(1/Inputs!$B$9)*((T63^2/8)*((2*ACOS(1-2*BZ63/T63))-SIN((2*ACOS(1-2*BZ63/T63)))))*((((T63^2/8)*((2*ACOS(1-2*BZ63/T63))-SIN((2*ACOS(1-2*BZ63/T63)))))/((T63/2)*((2*ACOS(1-2*BZ63/T63)))))^(2/3))*SQRT(P63))</f>
        <v/>
      </c>
      <c r="CB63" s="14" t="str">
        <f t="shared" si="72"/>
        <v/>
      </c>
      <c r="CC63" s="14" t="str">
        <f t="shared" si="73"/>
        <v/>
      </c>
      <c r="CD63" s="14" t="str">
        <f t="shared" si="74"/>
        <v/>
      </c>
      <c r="CE63" s="14" t="str">
        <f>IF(OR(T63="",P63="",CD63="",T63&lt;=0,CD63&lt;=0),"",(1/Inputs!$B$9)*((T63^2/8)*((2*ACOS(1-2*CD63/T63))-SIN((2*ACOS(1-2*CD63/T63)))))*((((T63^2/8)*((2*ACOS(1-2*CD63/T63))-SIN((2*ACOS(1-2*CD63/T63)))))/((T63/2)*((2*ACOS(1-2*CD63/T63)))))^(2/3))*SQRT(P63))</f>
        <v/>
      </c>
      <c r="CF63" s="14" t="str">
        <f t="shared" si="75"/>
        <v/>
      </c>
      <c r="CG63" s="14" t="str">
        <f t="shared" si="76"/>
        <v/>
      </c>
      <c r="CH63" s="14" t="str">
        <f t="shared" si="77"/>
        <v/>
      </c>
    </row>
    <row r="64" spans="1:86" x14ac:dyDescent="0.25">
      <c r="A64" s="14"/>
      <c r="B64" s="14"/>
      <c r="C64" s="14"/>
      <c r="D64" s="14"/>
      <c r="E64" s="44"/>
      <c r="F64" s="44"/>
      <c r="G64" s="44">
        <f>SUMIFS(CB_plan!$G:$G,CB_plan!$F:$F,$A64)</f>
        <v>0</v>
      </c>
      <c r="H64" s="44">
        <f t="shared" si="39"/>
        <v>0</v>
      </c>
      <c r="I64" s="14"/>
      <c r="J64" s="44"/>
      <c r="K64" s="44" t="str">
        <f>IF(A64="","",Inputs!$B$13/((IF(AV64="",Inputs!$B$18,AV64)+Inputs!$B$14)^Inputs!$B$15))</f>
        <v/>
      </c>
      <c r="L64" s="44" t="str">
        <f>IF(A64="","",IF(H64="","",0.000000278*IF(I64&lt;&gt;"",I64,IFERROR(SUMIFS(CB_plan!$H:$H,CB_plan!$F:$F,$A64)/SUMIFS(CB_plan!$G:$G,CB_plan!$F:$F,$A64),Inputs!$B$17))*H64*K64))</f>
        <v/>
      </c>
      <c r="M64" s="44" t="str">
        <f t="shared" si="40"/>
        <v/>
      </c>
      <c r="N64" s="44" t="str">
        <f>IF(A64="","",(L64+M64)*Inputs!$B$16)</f>
        <v/>
      </c>
      <c r="O64" s="44"/>
      <c r="P64" s="44" t="str">
        <f>IF(A64="","",IF(O64="",Inputs!$B$7,O64))</f>
        <v/>
      </c>
      <c r="Q64" s="14" t="str">
        <f>IF(A64="","",IF(N64/Inputs!$B$10&lt;=AG64,Inputs!$F$5,IF(N64/Inputs!$B$10&gt;AP64,"OVERSIZE",INDEX(Inputs!$F$5:$F$14,MATCH(N64/Inputs!$B$10,AG64:AP64,1)+1))))</f>
        <v/>
      </c>
      <c r="R64" s="14"/>
      <c r="S64" s="14" t="str">
        <f t="shared" si="41"/>
        <v/>
      </c>
      <c r="T64" s="44" t="str">
        <f t="shared" si="42"/>
        <v/>
      </c>
      <c r="U64" s="44" t="str">
        <f>IF(T64="","",(1/Inputs!$B$9)*(PI()*T64^2/4)*((T64/4)^(2/3))*SQRT(P64))</f>
        <v/>
      </c>
      <c r="V64" s="44" t="str">
        <f>IF(OR(U64="",N64=""),"",N64/(U64*Inputs!$B$10))</f>
        <v/>
      </c>
      <c r="W64" s="44" t="str">
        <f t="shared" si="43"/>
        <v/>
      </c>
      <c r="X64" s="44"/>
      <c r="Y64" s="44" t="str">
        <f>IF(A64="","",IF(A64=Inputs!$B$6,Inputs!$B$22,IF(D64="","",IFERROR(INDEX($Z$4:$Z$201,MATCH(D64,$A$4:$A$201,0))+IF(X64="",Inputs!$B$20,X64),""))))</f>
        <v/>
      </c>
      <c r="Z64" s="44" t="str">
        <f t="shared" si="44"/>
        <v/>
      </c>
      <c r="AA64" s="44" t="str">
        <f>IF(C64="","",IFERROR(INDEX(Noeuds_plan!$C$4:$C$200,MATCH(C64,Noeuds_plan!$A$4:$A$200,0)),""))</f>
        <v/>
      </c>
      <c r="AB64" s="44" t="str">
        <f>IF(B64="","",IFERROR(INDEX(Noeuds_plan!$C$4:$C$200,MATCH(B64,Noeuds_plan!$A$4:$A$200,0)),""))</f>
        <v/>
      </c>
      <c r="AC64" s="44" t="str">
        <f t="shared" si="45"/>
        <v/>
      </c>
      <c r="AD64" s="44" t="str">
        <f t="shared" si="46"/>
        <v/>
      </c>
      <c r="AE64" s="14" t="str">
        <f>IF(A64="","",IF(OR(V64&gt;1,AND(AY64&lt;&gt;"",AY64&lt;Inputs!$B$11),AND(AY64&lt;&gt;"",AY64&gt;Inputs!$B$12),AC64&lt;Inputs!$B$19,AD64&lt;Inputs!$B$19,P64&lt;Inputs!$B$7,P64&gt;Inputs!$B$8),"CHECK","OK"))</f>
        <v/>
      </c>
      <c r="AF64" s="14"/>
      <c r="AG64" s="14" t="str">
        <f>IF(A64="","",(1/Inputs!$B$9)*(PI()*(Inputs!$F$5/1000)^2/4)*((Inputs!$F$5/1000/4)^(2/3))*SQRT(P64))</f>
        <v/>
      </c>
      <c r="AH64" s="14" t="str">
        <f>IF(A64="","",(1/Inputs!$B$9)*(PI()*(Inputs!$F$6/1000)^2/4)*((Inputs!$F$6/1000/4)^(2/3))*SQRT(P64))</f>
        <v/>
      </c>
      <c r="AI64" s="14" t="str">
        <f>IF(A64="","",(1/Inputs!$B$9)*(PI()*(Inputs!$F$7/1000)^2/4)*((Inputs!$F$7/1000/4)^(2/3))*SQRT(P64))</f>
        <v/>
      </c>
      <c r="AJ64" s="14" t="str">
        <f>IF(A64="","",(1/Inputs!$B$9)*(PI()*(Inputs!$F$8/1000)^2/4)*((Inputs!$F$8/1000/4)^(2/3))*SQRT(P64))</f>
        <v/>
      </c>
      <c r="AK64" s="14" t="str">
        <f>IF(A64="","",(1/Inputs!$B$9)*(PI()*(Inputs!$F$9/1000)^2/4)*((Inputs!$F$9/1000/4)^(2/3))*SQRT(P64))</f>
        <v/>
      </c>
      <c r="AL64" s="14" t="str">
        <f>IF(A64="","",(1/Inputs!$B$9)*(PI()*(Inputs!$F$10/1000)^2/4)*((Inputs!$F$10/1000/4)^(2/3))*SQRT(P64))</f>
        <v/>
      </c>
      <c r="AM64" s="14" t="str">
        <f>IF(A64="","",(1/Inputs!$B$9)*(PI()*(Inputs!$F$11/1000)^2/4)*((Inputs!$F$11/1000/4)^(2/3))*SQRT(P64))</f>
        <v/>
      </c>
      <c r="AN64" s="14" t="str">
        <f>IF(A64="","",(1/Inputs!$B$9)*(PI()*(Inputs!$F$12/1000)^2/4)*((Inputs!$F$12/1000/4)^(2/3))*SQRT(P64))</f>
        <v/>
      </c>
      <c r="AO64" s="14" t="str">
        <f>IF(A64="","",(1/Inputs!$B$9)*(PI()*(Inputs!$F$13/1000)^2/4)*((Inputs!$F$13/1000/4)^(2/3))*SQRT(P64))</f>
        <v/>
      </c>
      <c r="AP64" s="14" t="str">
        <f>IF(A64="","",(1/Inputs!$B$9)*(PI()*(Inputs!$F$14/1000)^2/4)*((Inputs!$F$14/1000/4)^(2/3))*SQRT(P64))</f>
        <v/>
      </c>
      <c r="AQ64" s="14" t="str">
        <f t="shared" si="47"/>
        <v/>
      </c>
      <c r="AR64" s="14" t="str">
        <f t="shared" si="48"/>
        <v/>
      </c>
      <c r="AS64" s="17" t="str">
        <f>IF(A64="","",IF(J64="",Inputs!$B$18,J64))</f>
        <v/>
      </c>
      <c r="AT64" s="17" t="str">
        <f>IF(A64="","",IFERROR(_xludf.maxifs($AV$4:$AV$201,$D$4:$D$201,$A64),""))</f>
        <v/>
      </c>
      <c r="AU64" s="17" t="str">
        <f>IF(A64="","",IF(OR(E64="",Inputs!$B$23=""),"",E64/(Inputs!$B$23*60)))</f>
        <v/>
      </c>
      <c r="AV64" s="17" t="str">
        <f t="shared" si="49"/>
        <v/>
      </c>
      <c r="AW64" s="17" t="str">
        <f t="shared" si="50"/>
        <v/>
      </c>
      <c r="AX64" s="17" t="str">
        <f>IF(OR(T64="",P64=""),"",(1/Inputs!$B$9)*((T64/4)^(2/3))*SQRT(P64))</f>
        <v/>
      </c>
      <c r="AY64" s="17" t="str">
        <f>IF(A64="","",IF(AND(AW64="",AX64="",BA64=""),"",IF(OR(UPPER(TRIM(Inputs!$B$24))="MANNING",UPPER(TRIM(Inputs!$B$24))="M"),AX64,IF(OR(UPPER(TRIM(Inputs!$B$24))="PARTIAL",UPPER(TRIM(Inputs!$B$24))="P"),BA64,IF(OR(UPPER(TRIM(Inputs!$B$24))="MAX",UPPER(TRIM(Inputs!$B$24))="X"),MAX(IF(AW64="",0,AW64),IF(AX64="",0,AX64),IF(BA64="",0,BA64)),AW64)))))</f>
        <v/>
      </c>
      <c r="AZ64" s="17" t="str">
        <f t="shared" si="51"/>
        <v/>
      </c>
      <c r="BA64" s="17" t="str">
        <f t="shared" si="52"/>
        <v/>
      </c>
      <c r="BB64" s="14" t="str">
        <f t="shared" si="53"/>
        <v/>
      </c>
      <c r="BC64" s="14" t="str">
        <f>IF(OR(N64="",T64="",P64=""),"",IF(OR(T64="",P64="",(0.94*T64)="",T64&lt;=0,(0.94*T64)&lt;=0),"",(1/Inputs!$B$9)*((T64^2/8)*((2*ACOS(1-2*(0.94*T64)/T64))-SIN((2*ACOS(1-2*(0.94*T64)/T64)))))*((((T64^2/8)*((2*ACOS(1-2*(0.94*T64)/T64))-SIN((2*ACOS(1-2*(0.94*T64)/T64)))))/((T64/2)*((2*ACOS(1-2*(0.94*T64)/T64)))))^(2/3))*SQRT(P64)))</f>
        <v/>
      </c>
      <c r="BD64" s="14" t="str">
        <f t="shared" si="54"/>
        <v/>
      </c>
      <c r="BE64" s="14" t="str">
        <f t="shared" si="55"/>
        <v/>
      </c>
      <c r="BF64" s="14" t="str">
        <f t="shared" si="56"/>
        <v/>
      </c>
      <c r="BG64" s="14" t="str">
        <f>IF(OR(T64="",P64="",BF64="",T64&lt;=0,BF64&lt;=0),"",(1/Inputs!$B$9)*((T64^2/8)*((2*ACOS(1-2*BF64/T64))-SIN((2*ACOS(1-2*BF64/T64)))))*((((T64^2/8)*((2*ACOS(1-2*BF64/T64))-SIN((2*ACOS(1-2*BF64/T64)))))/((T64/2)*((2*ACOS(1-2*BF64/T64)))))^(2/3))*SQRT(P64))</f>
        <v/>
      </c>
      <c r="BH64" s="14" t="str">
        <f t="shared" si="57"/>
        <v/>
      </c>
      <c r="BI64" s="14" t="str">
        <f t="shared" si="58"/>
        <v/>
      </c>
      <c r="BJ64" s="14" t="str">
        <f t="shared" si="59"/>
        <v/>
      </c>
      <c r="BK64" s="14" t="str">
        <f>IF(OR(T64="",P64="",BJ64="",T64&lt;=0,BJ64&lt;=0),"",(1/Inputs!$B$9)*((T64^2/8)*((2*ACOS(1-2*BJ64/T64))-SIN((2*ACOS(1-2*BJ64/T64)))))*((((T64^2/8)*((2*ACOS(1-2*BJ64/T64))-SIN((2*ACOS(1-2*BJ64/T64)))))/((T64/2)*((2*ACOS(1-2*BJ64/T64)))))^(2/3))*SQRT(P64))</f>
        <v/>
      </c>
      <c r="BL64" s="14" t="str">
        <f t="shared" si="60"/>
        <v/>
      </c>
      <c r="BM64" s="14" t="str">
        <f t="shared" si="61"/>
        <v/>
      </c>
      <c r="BN64" s="14" t="str">
        <f t="shared" si="62"/>
        <v/>
      </c>
      <c r="BO64" s="14" t="str">
        <f>IF(OR(T64="",P64="",BN64="",T64&lt;=0,BN64&lt;=0),"",(1/Inputs!$B$9)*((T64^2/8)*((2*ACOS(1-2*BN64/T64))-SIN((2*ACOS(1-2*BN64/T64)))))*((((T64^2/8)*((2*ACOS(1-2*BN64/T64))-SIN((2*ACOS(1-2*BN64/T64)))))/((T64/2)*((2*ACOS(1-2*BN64/T64)))))^(2/3))*SQRT(P64))</f>
        <v/>
      </c>
      <c r="BP64" s="14" t="str">
        <f t="shared" si="63"/>
        <v/>
      </c>
      <c r="BQ64" s="14" t="str">
        <f t="shared" si="64"/>
        <v/>
      </c>
      <c r="BR64" s="14" t="str">
        <f t="shared" si="65"/>
        <v/>
      </c>
      <c r="BS64" s="14" t="str">
        <f>IF(OR(T64="",P64="",BR64="",T64&lt;=0,BR64&lt;=0),"",(1/Inputs!$B$9)*((T64^2/8)*((2*ACOS(1-2*BR64/T64))-SIN((2*ACOS(1-2*BR64/T64)))))*((((T64^2/8)*((2*ACOS(1-2*BR64/T64))-SIN((2*ACOS(1-2*BR64/T64)))))/((T64/2)*((2*ACOS(1-2*BR64/T64)))))^(2/3))*SQRT(P64))</f>
        <v/>
      </c>
      <c r="BT64" s="14" t="str">
        <f t="shared" si="66"/>
        <v/>
      </c>
      <c r="BU64" s="14" t="str">
        <f t="shared" si="67"/>
        <v/>
      </c>
      <c r="BV64" s="14" t="str">
        <f t="shared" si="68"/>
        <v/>
      </c>
      <c r="BW64" s="14" t="str">
        <f>IF(OR(T64="",P64="",BV64="",T64&lt;=0,BV64&lt;=0),"",(1/Inputs!$B$9)*((T64^2/8)*((2*ACOS(1-2*BV64/T64))-SIN((2*ACOS(1-2*BV64/T64)))))*((((T64^2/8)*((2*ACOS(1-2*BV64/T64))-SIN((2*ACOS(1-2*BV64/T64)))))/((T64/2)*((2*ACOS(1-2*BV64/T64)))))^(2/3))*SQRT(P64))</f>
        <v/>
      </c>
      <c r="BX64" s="14" t="str">
        <f t="shared" si="69"/>
        <v/>
      </c>
      <c r="BY64" s="14" t="str">
        <f t="shared" si="70"/>
        <v/>
      </c>
      <c r="BZ64" s="14" t="str">
        <f t="shared" si="71"/>
        <v/>
      </c>
      <c r="CA64" s="14" t="str">
        <f>IF(OR(T64="",P64="",BZ64="",T64&lt;=0,BZ64&lt;=0),"",(1/Inputs!$B$9)*((T64^2/8)*((2*ACOS(1-2*BZ64/T64))-SIN((2*ACOS(1-2*BZ64/T64)))))*((((T64^2/8)*((2*ACOS(1-2*BZ64/T64))-SIN((2*ACOS(1-2*BZ64/T64)))))/((T64/2)*((2*ACOS(1-2*BZ64/T64)))))^(2/3))*SQRT(P64))</f>
        <v/>
      </c>
      <c r="CB64" s="14" t="str">
        <f t="shared" si="72"/>
        <v/>
      </c>
      <c r="CC64" s="14" t="str">
        <f t="shared" si="73"/>
        <v/>
      </c>
      <c r="CD64" s="14" t="str">
        <f t="shared" si="74"/>
        <v/>
      </c>
      <c r="CE64" s="14" t="str">
        <f>IF(OR(T64="",P64="",CD64="",T64&lt;=0,CD64&lt;=0),"",(1/Inputs!$B$9)*((T64^2/8)*((2*ACOS(1-2*CD64/T64))-SIN((2*ACOS(1-2*CD64/T64)))))*((((T64^2/8)*((2*ACOS(1-2*CD64/T64))-SIN((2*ACOS(1-2*CD64/T64)))))/((T64/2)*((2*ACOS(1-2*CD64/T64)))))^(2/3))*SQRT(P64))</f>
        <v/>
      </c>
      <c r="CF64" s="14" t="str">
        <f t="shared" si="75"/>
        <v/>
      </c>
      <c r="CG64" s="14" t="str">
        <f t="shared" si="76"/>
        <v/>
      </c>
      <c r="CH64" s="14" t="str">
        <f t="shared" si="77"/>
        <v/>
      </c>
    </row>
    <row r="65" spans="1:86" x14ac:dyDescent="0.25">
      <c r="A65" s="14"/>
      <c r="B65" s="14"/>
      <c r="C65" s="14"/>
      <c r="D65" s="14"/>
      <c r="E65" s="44"/>
      <c r="F65" s="44"/>
      <c r="G65" s="44">
        <f>SUMIFS(CB_plan!$G:$G,CB_plan!$F:$F,$A65)</f>
        <v>0</v>
      </c>
      <c r="H65" s="44">
        <f t="shared" si="39"/>
        <v>0</v>
      </c>
      <c r="I65" s="14"/>
      <c r="J65" s="44"/>
      <c r="K65" s="44" t="str">
        <f>IF(A65="","",Inputs!$B$13/((IF(AV65="",Inputs!$B$18,AV65)+Inputs!$B$14)^Inputs!$B$15))</f>
        <v/>
      </c>
      <c r="L65" s="44" t="str">
        <f>IF(A65="","",IF(H65="","",0.000000278*IF(I65&lt;&gt;"",I65,IFERROR(SUMIFS(CB_plan!$H:$H,CB_plan!$F:$F,$A65)/SUMIFS(CB_plan!$G:$G,CB_plan!$F:$F,$A65),Inputs!$B$17))*H65*K65))</f>
        <v/>
      </c>
      <c r="M65" s="44" t="str">
        <f t="shared" si="40"/>
        <v/>
      </c>
      <c r="N65" s="44" t="str">
        <f>IF(A65="","",(L65+M65)*Inputs!$B$16)</f>
        <v/>
      </c>
      <c r="O65" s="44"/>
      <c r="P65" s="44" t="str">
        <f>IF(A65="","",IF(O65="",Inputs!$B$7,O65))</f>
        <v/>
      </c>
      <c r="Q65" s="14" t="str">
        <f>IF(A65="","",IF(N65/Inputs!$B$10&lt;=AG65,Inputs!$F$5,IF(N65/Inputs!$B$10&gt;AP65,"OVERSIZE",INDEX(Inputs!$F$5:$F$14,MATCH(N65/Inputs!$B$10,AG65:AP65,1)+1))))</f>
        <v/>
      </c>
      <c r="R65" s="14"/>
      <c r="S65" s="14" t="str">
        <f t="shared" si="41"/>
        <v/>
      </c>
      <c r="T65" s="44" t="str">
        <f t="shared" si="42"/>
        <v/>
      </c>
      <c r="U65" s="44" t="str">
        <f>IF(T65="","",(1/Inputs!$B$9)*(PI()*T65^2/4)*((T65/4)^(2/3))*SQRT(P65))</f>
        <v/>
      </c>
      <c r="V65" s="44" t="str">
        <f>IF(OR(U65="",N65=""),"",N65/(U65*Inputs!$B$10))</f>
        <v/>
      </c>
      <c r="W65" s="44" t="str">
        <f t="shared" si="43"/>
        <v/>
      </c>
      <c r="X65" s="44"/>
      <c r="Y65" s="44" t="str">
        <f>IF(A65="","",IF(A65=Inputs!$B$6,Inputs!$B$22,IF(D65="","",IFERROR(INDEX($Z$4:$Z$201,MATCH(D65,$A$4:$A$201,0))+IF(X65="",Inputs!$B$20,X65),""))))</f>
        <v/>
      </c>
      <c r="Z65" s="44" t="str">
        <f t="shared" si="44"/>
        <v/>
      </c>
      <c r="AA65" s="44" t="str">
        <f>IF(C65="","",IFERROR(INDEX(Noeuds_plan!$C$4:$C$200,MATCH(C65,Noeuds_plan!$A$4:$A$200,0)),""))</f>
        <v/>
      </c>
      <c r="AB65" s="44" t="str">
        <f>IF(B65="","",IFERROR(INDEX(Noeuds_plan!$C$4:$C$200,MATCH(B65,Noeuds_plan!$A$4:$A$200,0)),""))</f>
        <v/>
      </c>
      <c r="AC65" s="44" t="str">
        <f t="shared" si="45"/>
        <v/>
      </c>
      <c r="AD65" s="44" t="str">
        <f t="shared" si="46"/>
        <v/>
      </c>
      <c r="AE65" s="14" t="str">
        <f>IF(A65="","",IF(OR(V65&gt;1,AND(AY65&lt;&gt;"",AY65&lt;Inputs!$B$11),AND(AY65&lt;&gt;"",AY65&gt;Inputs!$B$12),AC65&lt;Inputs!$B$19,AD65&lt;Inputs!$B$19,P65&lt;Inputs!$B$7,P65&gt;Inputs!$B$8),"CHECK","OK"))</f>
        <v/>
      </c>
      <c r="AF65" s="14"/>
      <c r="AG65" s="14" t="str">
        <f>IF(A65="","",(1/Inputs!$B$9)*(PI()*(Inputs!$F$5/1000)^2/4)*((Inputs!$F$5/1000/4)^(2/3))*SQRT(P65))</f>
        <v/>
      </c>
      <c r="AH65" s="14" t="str">
        <f>IF(A65="","",(1/Inputs!$B$9)*(PI()*(Inputs!$F$6/1000)^2/4)*((Inputs!$F$6/1000/4)^(2/3))*SQRT(P65))</f>
        <v/>
      </c>
      <c r="AI65" s="14" t="str">
        <f>IF(A65="","",(1/Inputs!$B$9)*(PI()*(Inputs!$F$7/1000)^2/4)*((Inputs!$F$7/1000/4)^(2/3))*SQRT(P65))</f>
        <v/>
      </c>
      <c r="AJ65" s="14" t="str">
        <f>IF(A65="","",(1/Inputs!$B$9)*(PI()*(Inputs!$F$8/1000)^2/4)*((Inputs!$F$8/1000/4)^(2/3))*SQRT(P65))</f>
        <v/>
      </c>
      <c r="AK65" s="14" t="str">
        <f>IF(A65="","",(1/Inputs!$B$9)*(PI()*(Inputs!$F$9/1000)^2/4)*((Inputs!$F$9/1000/4)^(2/3))*SQRT(P65))</f>
        <v/>
      </c>
      <c r="AL65" s="14" t="str">
        <f>IF(A65="","",(1/Inputs!$B$9)*(PI()*(Inputs!$F$10/1000)^2/4)*((Inputs!$F$10/1000/4)^(2/3))*SQRT(P65))</f>
        <v/>
      </c>
      <c r="AM65" s="14" t="str">
        <f>IF(A65="","",(1/Inputs!$B$9)*(PI()*(Inputs!$F$11/1000)^2/4)*((Inputs!$F$11/1000/4)^(2/3))*SQRT(P65))</f>
        <v/>
      </c>
      <c r="AN65" s="14" t="str">
        <f>IF(A65="","",(1/Inputs!$B$9)*(PI()*(Inputs!$F$12/1000)^2/4)*((Inputs!$F$12/1000/4)^(2/3))*SQRT(P65))</f>
        <v/>
      </c>
      <c r="AO65" s="14" t="str">
        <f>IF(A65="","",(1/Inputs!$B$9)*(PI()*(Inputs!$F$13/1000)^2/4)*((Inputs!$F$13/1000/4)^(2/3))*SQRT(P65))</f>
        <v/>
      </c>
      <c r="AP65" s="14" t="str">
        <f>IF(A65="","",(1/Inputs!$B$9)*(PI()*(Inputs!$F$14/1000)^2/4)*((Inputs!$F$14/1000/4)^(2/3))*SQRT(P65))</f>
        <v/>
      </c>
      <c r="AQ65" s="14" t="str">
        <f t="shared" si="47"/>
        <v/>
      </c>
      <c r="AR65" s="14" t="str">
        <f t="shared" si="48"/>
        <v/>
      </c>
      <c r="AS65" s="17" t="str">
        <f>IF(A65="","",IF(J65="",Inputs!$B$18,J65))</f>
        <v/>
      </c>
      <c r="AT65" s="17" t="str">
        <f>IF(A65="","",IFERROR(_xludf.maxifs($AV$4:$AV$201,$D$4:$D$201,$A65),""))</f>
        <v/>
      </c>
      <c r="AU65" s="17" t="str">
        <f>IF(A65="","",IF(OR(E65="",Inputs!$B$23=""),"",E65/(Inputs!$B$23*60)))</f>
        <v/>
      </c>
      <c r="AV65" s="17" t="str">
        <f t="shared" si="49"/>
        <v/>
      </c>
      <c r="AW65" s="17" t="str">
        <f t="shared" si="50"/>
        <v/>
      </c>
      <c r="AX65" s="17" t="str">
        <f>IF(OR(T65="",P65=""),"",(1/Inputs!$B$9)*((T65/4)^(2/3))*SQRT(P65))</f>
        <v/>
      </c>
      <c r="AY65" s="17" t="str">
        <f>IF(A65="","",IF(AND(AW65="",AX65="",BA65=""),"",IF(OR(UPPER(TRIM(Inputs!$B$24))="MANNING",UPPER(TRIM(Inputs!$B$24))="M"),AX65,IF(OR(UPPER(TRIM(Inputs!$B$24))="PARTIAL",UPPER(TRIM(Inputs!$B$24))="P"),BA65,IF(OR(UPPER(TRIM(Inputs!$B$24))="MAX",UPPER(TRIM(Inputs!$B$24))="X"),MAX(IF(AW65="",0,AW65),IF(AX65="",0,AX65),IF(BA65="",0,BA65)),AW65)))))</f>
        <v/>
      </c>
      <c r="AZ65" s="17" t="str">
        <f t="shared" si="51"/>
        <v/>
      </c>
      <c r="BA65" s="17" t="str">
        <f t="shared" si="52"/>
        <v/>
      </c>
      <c r="BB65" s="14" t="str">
        <f t="shared" si="53"/>
        <v/>
      </c>
      <c r="BC65" s="14" t="str">
        <f>IF(OR(N65="",T65="",P65=""),"",IF(OR(T65="",P65="",(0.94*T65)="",T65&lt;=0,(0.94*T65)&lt;=0),"",(1/Inputs!$B$9)*((T65^2/8)*((2*ACOS(1-2*(0.94*T65)/T65))-SIN((2*ACOS(1-2*(0.94*T65)/T65)))))*((((T65^2/8)*((2*ACOS(1-2*(0.94*T65)/T65))-SIN((2*ACOS(1-2*(0.94*T65)/T65)))))/((T65/2)*((2*ACOS(1-2*(0.94*T65)/T65)))))^(2/3))*SQRT(P65)))</f>
        <v/>
      </c>
      <c r="BD65" s="14" t="str">
        <f t="shared" si="54"/>
        <v/>
      </c>
      <c r="BE65" s="14" t="str">
        <f t="shared" si="55"/>
        <v/>
      </c>
      <c r="BF65" s="14" t="str">
        <f t="shared" si="56"/>
        <v/>
      </c>
      <c r="BG65" s="14" t="str">
        <f>IF(OR(T65="",P65="",BF65="",T65&lt;=0,BF65&lt;=0),"",(1/Inputs!$B$9)*((T65^2/8)*((2*ACOS(1-2*BF65/T65))-SIN((2*ACOS(1-2*BF65/T65)))))*((((T65^2/8)*((2*ACOS(1-2*BF65/T65))-SIN((2*ACOS(1-2*BF65/T65)))))/((T65/2)*((2*ACOS(1-2*BF65/T65)))))^(2/3))*SQRT(P65))</f>
        <v/>
      </c>
      <c r="BH65" s="14" t="str">
        <f t="shared" si="57"/>
        <v/>
      </c>
      <c r="BI65" s="14" t="str">
        <f t="shared" si="58"/>
        <v/>
      </c>
      <c r="BJ65" s="14" t="str">
        <f t="shared" si="59"/>
        <v/>
      </c>
      <c r="BK65" s="14" t="str">
        <f>IF(OR(T65="",P65="",BJ65="",T65&lt;=0,BJ65&lt;=0),"",(1/Inputs!$B$9)*((T65^2/8)*((2*ACOS(1-2*BJ65/T65))-SIN((2*ACOS(1-2*BJ65/T65)))))*((((T65^2/8)*((2*ACOS(1-2*BJ65/T65))-SIN((2*ACOS(1-2*BJ65/T65)))))/((T65/2)*((2*ACOS(1-2*BJ65/T65)))))^(2/3))*SQRT(P65))</f>
        <v/>
      </c>
      <c r="BL65" s="14" t="str">
        <f t="shared" si="60"/>
        <v/>
      </c>
      <c r="BM65" s="14" t="str">
        <f t="shared" si="61"/>
        <v/>
      </c>
      <c r="BN65" s="14" t="str">
        <f t="shared" si="62"/>
        <v/>
      </c>
      <c r="BO65" s="14" t="str">
        <f>IF(OR(T65="",P65="",BN65="",T65&lt;=0,BN65&lt;=0),"",(1/Inputs!$B$9)*((T65^2/8)*((2*ACOS(1-2*BN65/T65))-SIN((2*ACOS(1-2*BN65/T65)))))*((((T65^2/8)*((2*ACOS(1-2*BN65/T65))-SIN((2*ACOS(1-2*BN65/T65)))))/((T65/2)*((2*ACOS(1-2*BN65/T65)))))^(2/3))*SQRT(P65))</f>
        <v/>
      </c>
      <c r="BP65" s="14" t="str">
        <f t="shared" si="63"/>
        <v/>
      </c>
      <c r="BQ65" s="14" t="str">
        <f t="shared" si="64"/>
        <v/>
      </c>
      <c r="BR65" s="14" t="str">
        <f t="shared" si="65"/>
        <v/>
      </c>
      <c r="BS65" s="14" t="str">
        <f>IF(OR(T65="",P65="",BR65="",T65&lt;=0,BR65&lt;=0),"",(1/Inputs!$B$9)*((T65^2/8)*((2*ACOS(1-2*BR65/T65))-SIN((2*ACOS(1-2*BR65/T65)))))*((((T65^2/8)*((2*ACOS(1-2*BR65/T65))-SIN((2*ACOS(1-2*BR65/T65)))))/((T65/2)*((2*ACOS(1-2*BR65/T65)))))^(2/3))*SQRT(P65))</f>
        <v/>
      </c>
      <c r="BT65" s="14" t="str">
        <f t="shared" si="66"/>
        <v/>
      </c>
      <c r="BU65" s="14" t="str">
        <f t="shared" si="67"/>
        <v/>
      </c>
      <c r="BV65" s="14" t="str">
        <f t="shared" si="68"/>
        <v/>
      </c>
      <c r="BW65" s="14" t="str">
        <f>IF(OR(T65="",P65="",BV65="",T65&lt;=0,BV65&lt;=0),"",(1/Inputs!$B$9)*((T65^2/8)*((2*ACOS(1-2*BV65/T65))-SIN((2*ACOS(1-2*BV65/T65)))))*((((T65^2/8)*((2*ACOS(1-2*BV65/T65))-SIN((2*ACOS(1-2*BV65/T65)))))/((T65/2)*((2*ACOS(1-2*BV65/T65)))))^(2/3))*SQRT(P65))</f>
        <v/>
      </c>
      <c r="BX65" s="14" t="str">
        <f t="shared" si="69"/>
        <v/>
      </c>
      <c r="BY65" s="14" t="str">
        <f t="shared" si="70"/>
        <v/>
      </c>
      <c r="BZ65" s="14" t="str">
        <f t="shared" si="71"/>
        <v/>
      </c>
      <c r="CA65" s="14" t="str">
        <f>IF(OR(T65="",P65="",BZ65="",T65&lt;=0,BZ65&lt;=0),"",(1/Inputs!$B$9)*((T65^2/8)*((2*ACOS(1-2*BZ65/T65))-SIN((2*ACOS(1-2*BZ65/T65)))))*((((T65^2/8)*((2*ACOS(1-2*BZ65/T65))-SIN((2*ACOS(1-2*BZ65/T65)))))/((T65/2)*((2*ACOS(1-2*BZ65/T65)))))^(2/3))*SQRT(P65))</f>
        <v/>
      </c>
      <c r="CB65" s="14" t="str">
        <f t="shared" si="72"/>
        <v/>
      </c>
      <c r="CC65" s="14" t="str">
        <f t="shared" si="73"/>
        <v/>
      </c>
      <c r="CD65" s="14" t="str">
        <f t="shared" si="74"/>
        <v/>
      </c>
      <c r="CE65" s="14" t="str">
        <f>IF(OR(T65="",P65="",CD65="",T65&lt;=0,CD65&lt;=0),"",(1/Inputs!$B$9)*((T65^2/8)*((2*ACOS(1-2*CD65/T65))-SIN((2*ACOS(1-2*CD65/T65)))))*((((T65^2/8)*((2*ACOS(1-2*CD65/T65))-SIN((2*ACOS(1-2*CD65/T65)))))/((T65/2)*((2*ACOS(1-2*CD65/T65)))))^(2/3))*SQRT(P65))</f>
        <v/>
      </c>
      <c r="CF65" s="14" t="str">
        <f t="shared" si="75"/>
        <v/>
      </c>
      <c r="CG65" s="14" t="str">
        <f t="shared" si="76"/>
        <v/>
      </c>
      <c r="CH65" s="14" t="str">
        <f t="shared" si="77"/>
        <v/>
      </c>
    </row>
    <row r="66" spans="1:86" x14ac:dyDescent="0.25">
      <c r="A66" s="14"/>
      <c r="B66" s="14"/>
      <c r="C66" s="14"/>
      <c r="D66" s="14"/>
      <c r="E66" s="44"/>
      <c r="F66" s="44"/>
      <c r="G66" s="44">
        <f>SUMIFS(CB_plan!$G:$G,CB_plan!$F:$F,$A66)</f>
        <v>0</v>
      </c>
      <c r="H66" s="44">
        <f t="shared" si="39"/>
        <v>0</v>
      </c>
      <c r="I66" s="14"/>
      <c r="J66" s="44"/>
      <c r="K66" s="44" t="str">
        <f>IF(A66="","",Inputs!$B$13/((IF(AV66="",Inputs!$B$18,AV66)+Inputs!$B$14)^Inputs!$B$15))</f>
        <v/>
      </c>
      <c r="L66" s="44" t="str">
        <f>IF(A66="","",IF(H66="","",0.000000278*IF(I66&lt;&gt;"",I66,IFERROR(SUMIFS(CB_plan!$H:$H,CB_plan!$F:$F,$A66)/SUMIFS(CB_plan!$G:$G,CB_plan!$F:$F,$A66),Inputs!$B$17))*H66*K66))</f>
        <v/>
      </c>
      <c r="M66" s="44" t="str">
        <f t="shared" si="40"/>
        <v/>
      </c>
      <c r="N66" s="44" t="str">
        <f>IF(A66="","",(L66+M66)*Inputs!$B$16)</f>
        <v/>
      </c>
      <c r="O66" s="44"/>
      <c r="P66" s="44" t="str">
        <f>IF(A66="","",IF(O66="",Inputs!$B$7,O66))</f>
        <v/>
      </c>
      <c r="Q66" s="14" t="str">
        <f>IF(A66="","",IF(N66/Inputs!$B$10&lt;=AG66,Inputs!$F$5,IF(N66/Inputs!$B$10&gt;AP66,"OVERSIZE",INDEX(Inputs!$F$5:$F$14,MATCH(N66/Inputs!$B$10,AG66:AP66,1)+1))))</f>
        <v/>
      </c>
      <c r="R66" s="14"/>
      <c r="S66" s="14" t="str">
        <f t="shared" si="41"/>
        <v/>
      </c>
      <c r="T66" s="44" t="str">
        <f t="shared" si="42"/>
        <v/>
      </c>
      <c r="U66" s="44" t="str">
        <f>IF(T66="","",(1/Inputs!$B$9)*(PI()*T66^2/4)*((T66/4)^(2/3))*SQRT(P66))</f>
        <v/>
      </c>
      <c r="V66" s="44" t="str">
        <f>IF(OR(U66="",N66=""),"",N66/(U66*Inputs!$B$10))</f>
        <v/>
      </c>
      <c r="W66" s="44" t="str">
        <f t="shared" si="43"/>
        <v/>
      </c>
      <c r="X66" s="44"/>
      <c r="Y66" s="44" t="str">
        <f>IF(A66="","",IF(A66=Inputs!$B$6,Inputs!$B$22,IF(D66="","",IFERROR(INDEX($Z$4:$Z$201,MATCH(D66,$A$4:$A$201,0))+IF(X66="",Inputs!$B$20,X66),""))))</f>
        <v/>
      </c>
      <c r="Z66" s="44" t="str">
        <f t="shared" si="44"/>
        <v/>
      </c>
      <c r="AA66" s="44" t="str">
        <f>IF(C66="","",IFERROR(INDEX(Noeuds_plan!$C$4:$C$200,MATCH(C66,Noeuds_plan!$A$4:$A$200,0)),""))</f>
        <v/>
      </c>
      <c r="AB66" s="44" t="str">
        <f>IF(B66="","",IFERROR(INDEX(Noeuds_plan!$C$4:$C$200,MATCH(B66,Noeuds_plan!$A$4:$A$200,0)),""))</f>
        <v/>
      </c>
      <c r="AC66" s="44" t="str">
        <f t="shared" si="45"/>
        <v/>
      </c>
      <c r="AD66" s="44" t="str">
        <f t="shared" si="46"/>
        <v/>
      </c>
      <c r="AE66" s="14" t="str">
        <f>IF(A66="","",IF(OR(V66&gt;1,AND(AY66&lt;&gt;"",AY66&lt;Inputs!$B$11),AND(AY66&lt;&gt;"",AY66&gt;Inputs!$B$12),AC66&lt;Inputs!$B$19,AD66&lt;Inputs!$B$19,P66&lt;Inputs!$B$7,P66&gt;Inputs!$B$8),"CHECK","OK"))</f>
        <v/>
      </c>
      <c r="AF66" s="14"/>
      <c r="AG66" s="14" t="str">
        <f>IF(A66="","",(1/Inputs!$B$9)*(PI()*(Inputs!$F$5/1000)^2/4)*((Inputs!$F$5/1000/4)^(2/3))*SQRT(P66))</f>
        <v/>
      </c>
      <c r="AH66" s="14" t="str">
        <f>IF(A66="","",(1/Inputs!$B$9)*(PI()*(Inputs!$F$6/1000)^2/4)*((Inputs!$F$6/1000/4)^(2/3))*SQRT(P66))</f>
        <v/>
      </c>
      <c r="AI66" s="14" t="str">
        <f>IF(A66="","",(1/Inputs!$B$9)*(PI()*(Inputs!$F$7/1000)^2/4)*((Inputs!$F$7/1000/4)^(2/3))*SQRT(P66))</f>
        <v/>
      </c>
      <c r="AJ66" s="14" t="str">
        <f>IF(A66="","",(1/Inputs!$B$9)*(PI()*(Inputs!$F$8/1000)^2/4)*((Inputs!$F$8/1000/4)^(2/3))*SQRT(P66))</f>
        <v/>
      </c>
      <c r="AK66" s="14" t="str">
        <f>IF(A66="","",(1/Inputs!$B$9)*(PI()*(Inputs!$F$9/1000)^2/4)*((Inputs!$F$9/1000/4)^(2/3))*SQRT(P66))</f>
        <v/>
      </c>
      <c r="AL66" s="14" t="str">
        <f>IF(A66="","",(1/Inputs!$B$9)*(PI()*(Inputs!$F$10/1000)^2/4)*((Inputs!$F$10/1000/4)^(2/3))*SQRT(P66))</f>
        <v/>
      </c>
      <c r="AM66" s="14" t="str">
        <f>IF(A66="","",(1/Inputs!$B$9)*(PI()*(Inputs!$F$11/1000)^2/4)*((Inputs!$F$11/1000/4)^(2/3))*SQRT(P66))</f>
        <v/>
      </c>
      <c r="AN66" s="14" t="str">
        <f>IF(A66="","",(1/Inputs!$B$9)*(PI()*(Inputs!$F$12/1000)^2/4)*((Inputs!$F$12/1000/4)^(2/3))*SQRT(P66))</f>
        <v/>
      </c>
      <c r="AO66" s="14" t="str">
        <f>IF(A66="","",(1/Inputs!$B$9)*(PI()*(Inputs!$F$13/1000)^2/4)*((Inputs!$F$13/1000/4)^(2/3))*SQRT(P66))</f>
        <v/>
      </c>
      <c r="AP66" s="14" t="str">
        <f>IF(A66="","",(1/Inputs!$B$9)*(PI()*(Inputs!$F$14/1000)^2/4)*((Inputs!$F$14/1000/4)^(2/3))*SQRT(P66))</f>
        <v/>
      </c>
      <c r="AQ66" s="14" t="str">
        <f t="shared" si="47"/>
        <v/>
      </c>
      <c r="AR66" s="14" t="str">
        <f t="shared" si="48"/>
        <v/>
      </c>
      <c r="AS66" s="17" t="str">
        <f>IF(A66="","",IF(J66="",Inputs!$B$18,J66))</f>
        <v/>
      </c>
      <c r="AT66" s="17" t="str">
        <f>IF(A66="","",IFERROR(_xludf.maxifs($AV$4:$AV$201,$D$4:$D$201,$A66),""))</f>
        <v/>
      </c>
      <c r="AU66" s="17" t="str">
        <f>IF(A66="","",IF(OR(E66="",Inputs!$B$23=""),"",E66/(Inputs!$B$23*60)))</f>
        <v/>
      </c>
      <c r="AV66" s="17" t="str">
        <f t="shared" si="49"/>
        <v/>
      </c>
      <c r="AW66" s="17" t="str">
        <f t="shared" si="50"/>
        <v/>
      </c>
      <c r="AX66" s="17" t="str">
        <f>IF(OR(T66="",P66=""),"",(1/Inputs!$B$9)*((T66/4)^(2/3))*SQRT(P66))</f>
        <v/>
      </c>
      <c r="AY66" s="17" t="str">
        <f>IF(A66="","",IF(AND(AW66="",AX66="",BA66=""),"",IF(OR(UPPER(TRIM(Inputs!$B$24))="MANNING",UPPER(TRIM(Inputs!$B$24))="M"),AX66,IF(OR(UPPER(TRIM(Inputs!$B$24))="PARTIAL",UPPER(TRIM(Inputs!$B$24))="P"),BA66,IF(OR(UPPER(TRIM(Inputs!$B$24))="MAX",UPPER(TRIM(Inputs!$B$24))="X"),MAX(IF(AW66="",0,AW66),IF(AX66="",0,AX66),IF(BA66="",0,BA66)),AW66)))))</f>
        <v/>
      </c>
      <c r="AZ66" s="17" t="str">
        <f t="shared" si="51"/>
        <v/>
      </c>
      <c r="BA66" s="17" t="str">
        <f t="shared" si="52"/>
        <v/>
      </c>
      <c r="BB66" s="14" t="str">
        <f t="shared" si="53"/>
        <v/>
      </c>
      <c r="BC66" s="14" t="str">
        <f>IF(OR(N66="",T66="",P66=""),"",IF(OR(T66="",P66="",(0.94*T66)="",T66&lt;=0,(0.94*T66)&lt;=0),"",(1/Inputs!$B$9)*((T66^2/8)*((2*ACOS(1-2*(0.94*T66)/T66))-SIN((2*ACOS(1-2*(0.94*T66)/T66)))))*((((T66^2/8)*((2*ACOS(1-2*(0.94*T66)/T66))-SIN((2*ACOS(1-2*(0.94*T66)/T66)))))/((T66/2)*((2*ACOS(1-2*(0.94*T66)/T66)))))^(2/3))*SQRT(P66)))</f>
        <v/>
      </c>
      <c r="BD66" s="14" t="str">
        <f t="shared" si="54"/>
        <v/>
      </c>
      <c r="BE66" s="14" t="str">
        <f t="shared" si="55"/>
        <v/>
      </c>
      <c r="BF66" s="14" t="str">
        <f t="shared" si="56"/>
        <v/>
      </c>
      <c r="BG66" s="14" t="str">
        <f>IF(OR(T66="",P66="",BF66="",T66&lt;=0,BF66&lt;=0),"",(1/Inputs!$B$9)*((T66^2/8)*((2*ACOS(1-2*BF66/T66))-SIN((2*ACOS(1-2*BF66/T66)))))*((((T66^2/8)*((2*ACOS(1-2*BF66/T66))-SIN((2*ACOS(1-2*BF66/T66)))))/((T66/2)*((2*ACOS(1-2*BF66/T66)))))^(2/3))*SQRT(P66))</f>
        <v/>
      </c>
      <c r="BH66" s="14" t="str">
        <f t="shared" si="57"/>
        <v/>
      </c>
      <c r="BI66" s="14" t="str">
        <f t="shared" si="58"/>
        <v/>
      </c>
      <c r="BJ66" s="14" t="str">
        <f t="shared" si="59"/>
        <v/>
      </c>
      <c r="BK66" s="14" t="str">
        <f>IF(OR(T66="",P66="",BJ66="",T66&lt;=0,BJ66&lt;=0),"",(1/Inputs!$B$9)*((T66^2/8)*((2*ACOS(1-2*BJ66/T66))-SIN((2*ACOS(1-2*BJ66/T66)))))*((((T66^2/8)*((2*ACOS(1-2*BJ66/T66))-SIN((2*ACOS(1-2*BJ66/T66)))))/((T66/2)*((2*ACOS(1-2*BJ66/T66)))))^(2/3))*SQRT(P66))</f>
        <v/>
      </c>
      <c r="BL66" s="14" t="str">
        <f t="shared" si="60"/>
        <v/>
      </c>
      <c r="BM66" s="14" t="str">
        <f t="shared" si="61"/>
        <v/>
      </c>
      <c r="BN66" s="14" t="str">
        <f t="shared" si="62"/>
        <v/>
      </c>
      <c r="BO66" s="14" t="str">
        <f>IF(OR(T66="",P66="",BN66="",T66&lt;=0,BN66&lt;=0),"",(1/Inputs!$B$9)*((T66^2/8)*((2*ACOS(1-2*BN66/T66))-SIN((2*ACOS(1-2*BN66/T66)))))*((((T66^2/8)*((2*ACOS(1-2*BN66/T66))-SIN((2*ACOS(1-2*BN66/T66)))))/((T66/2)*((2*ACOS(1-2*BN66/T66)))))^(2/3))*SQRT(P66))</f>
        <v/>
      </c>
      <c r="BP66" s="14" t="str">
        <f t="shared" si="63"/>
        <v/>
      </c>
      <c r="BQ66" s="14" t="str">
        <f t="shared" si="64"/>
        <v/>
      </c>
      <c r="BR66" s="14" t="str">
        <f t="shared" si="65"/>
        <v/>
      </c>
      <c r="BS66" s="14" t="str">
        <f>IF(OR(T66="",P66="",BR66="",T66&lt;=0,BR66&lt;=0),"",(1/Inputs!$B$9)*((T66^2/8)*((2*ACOS(1-2*BR66/T66))-SIN((2*ACOS(1-2*BR66/T66)))))*((((T66^2/8)*((2*ACOS(1-2*BR66/T66))-SIN((2*ACOS(1-2*BR66/T66)))))/((T66/2)*((2*ACOS(1-2*BR66/T66)))))^(2/3))*SQRT(P66))</f>
        <v/>
      </c>
      <c r="BT66" s="14" t="str">
        <f t="shared" si="66"/>
        <v/>
      </c>
      <c r="BU66" s="14" t="str">
        <f t="shared" si="67"/>
        <v/>
      </c>
      <c r="BV66" s="14" t="str">
        <f t="shared" si="68"/>
        <v/>
      </c>
      <c r="BW66" s="14" t="str">
        <f>IF(OR(T66="",P66="",BV66="",T66&lt;=0,BV66&lt;=0),"",(1/Inputs!$B$9)*((T66^2/8)*((2*ACOS(1-2*BV66/T66))-SIN((2*ACOS(1-2*BV66/T66)))))*((((T66^2/8)*((2*ACOS(1-2*BV66/T66))-SIN((2*ACOS(1-2*BV66/T66)))))/((T66/2)*((2*ACOS(1-2*BV66/T66)))))^(2/3))*SQRT(P66))</f>
        <v/>
      </c>
      <c r="BX66" s="14" t="str">
        <f t="shared" si="69"/>
        <v/>
      </c>
      <c r="BY66" s="14" t="str">
        <f t="shared" si="70"/>
        <v/>
      </c>
      <c r="BZ66" s="14" t="str">
        <f t="shared" si="71"/>
        <v/>
      </c>
      <c r="CA66" s="14" t="str">
        <f>IF(OR(T66="",P66="",BZ66="",T66&lt;=0,BZ66&lt;=0),"",(1/Inputs!$B$9)*((T66^2/8)*((2*ACOS(1-2*BZ66/T66))-SIN((2*ACOS(1-2*BZ66/T66)))))*((((T66^2/8)*((2*ACOS(1-2*BZ66/T66))-SIN((2*ACOS(1-2*BZ66/T66)))))/((T66/2)*((2*ACOS(1-2*BZ66/T66)))))^(2/3))*SQRT(P66))</f>
        <v/>
      </c>
      <c r="CB66" s="14" t="str">
        <f t="shared" si="72"/>
        <v/>
      </c>
      <c r="CC66" s="14" t="str">
        <f t="shared" si="73"/>
        <v/>
      </c>
      <c r="CD66" s="14" t="str">
        <f t="shared" si="74"/>
        <v/>
      </c>
      <c r="CE66" s="14" t="str">
        <f>IF(OR(T66="",P66="",CD66="",T66&lt;=0,CD66&lt;=0),"",(1/Inputs!$B$9)*((T66^2/8)*((2*ACOS(1-2*CD66/T66))-SIN((2*ACOS(1-2*CD66/T66)))))*((((T66^2/8)*((2*ACOS(1-2*CD66/T66))-SIN((2*ACOS(1-2*CD66/T66)))))/((T66/2)*((2*ACOS(1-2*CD66/T66)))))^(2/3))*SQRT(P66))</f>
        <v/>
      </c>
      <c r="CF66" s="14" t="str">
        <f t="shared" si="75"/>
        <v/>
      </c>
      <c r="CG66" s="14" t="str">
        <f t="shared" si="76"/>
        <v/>
      </c>
      <c r="CH66" s="14" t="str">
        <f t="shared" si="77"/>
        <v/>
      </c>
    </row>
    <row r="67" spans="1:86" x14ac:dyDescent="0.25">
      <c r="A67" s="14"/>
      <c r="B67" s="14"/>
      <c r="C67" s="14"/>
      <c r="D67" s="14"/>
      <c r="E67" s="44"/>
      <c r="F67" s="44"/>
      <c r="G67" s="44">
        <f>SUMIFS(CB_plan!$G:$G,CB_plan!$F:$F,$A67)</f>
        <v>0</v>
      </c>
      <c r="H67" s="44">
        <f t="shared" si="39"/>
        <v>0</v>
      </c>
      <c r="I67" s="14"/>
      <c r="J67" s="44"/>
      <c r="K67" s="44" t="str">
        <f>IF(A67="","",Inputs!$B$13/((IF(AV67="",Inputs!$B$18,AV67)+Inputs!$B$14)^Inputs!$B$15))</f>
        <v/>
      </c>
      <c r="L67" s="44" t="str">
        <f>IF(A67="","",IF(H67="","",0.000000278*IF(I67&lt;&gt;"",I67,IFERROR(SUMIFS(CB_plan!$H:$H,CB_plan!$F:$F,$A67)/SUMIFS(CB_plan!$G:$G,CB_plan!$F:$F,$A67),Inputs!$B$17))*H67*K67))</f>
        <v/>
      </c>
      <c r="M67" s="44" t="str">
        <f t="shared" si="40"/>
        <v/>
      </c>
      <c r="N67" s="44" t="str">
        <f>IF(A67="","",(L67+M67)*Inputs!$B$16)</f>
        <v/>
      </c>
      <c r="O67" s="44"/>
      <c r="P67" s="44" t="str">
        <f>IF(A67="","",IF(O67="",Inputs!$B$7,O67))</f>
        <v/>
      </c>
      <c r="Q67" s="14" t="str">
        <f>IF(A67="","",IF(N67/Inputs!$B$10&lt;=AG67,Inputs!$F$5,IF(N67/Inputs!$B$10&gt;AP67,"OVERSIZE",INDEX(Inputs!$F$5:$F$14,MATCH(N67/Inputs!$B$10,AG67:AP67,1)+1))))</f>
        <v/>
      </c>
      <c r="R67" s="14"/>
      <c r="S67" s="14" t="str">
        <f t="shared" si="41"/>
        <v/>
      </c>
      <c r="T67" s="44" t="str">
        <f t="shared" si="42"/>
        <v/>
      </c>
      <c r="U67" s="44" t="str">
        <f>IF(T67="","",(1/Inputs!$B$9)*(PI()*T67^2/4)*((T67/4)^(2/3))*SQRT(P67))</f>
        <v/>
      </c>
      <c r="V67" s="44" t="str">
        <f>IF(OR(U67="",N67=""),"",N67/(U67*Inputs!$B$10))</f>
        <v/>
      </c>
      <c r="W67" s="44" t="str">
        <f t="shared" si="43"/>
        <v/>
      </c>
      <c r="X67" s="44"/>
      <c r="Y67" s="44" t="str">
        <f>IF(A67="","",IF(A67=Inputs!$B$6,Inputs!$B$22,IF(D67="","",IFERROR(INDEX($Z$4:$Z$201,MATCH(D67,$A$4:$A$201,0))+IF(X67="",Inputs!$B$20,X67),""))))</f>
        <v/>
      </c>
      <c r="Z67" s="44" t="str">
        <f t="shared" si="44"/>
        <v/>
      </c>
      <c r="AA67" s="44" t="str">
        <f>IF(C67="","",IFERROR(INDEX(Noeuds_plan!$C$4:$C$200,MATCH(C67,Noeuds_plan!$A$4:$A$200,0)),""))</f>
        <v/>
      </c>
      <c r="AB67" s="44" t="str">
        <f>IF(B67="","",IFERROR(INDEX(Noeuds_plan!$C$4:$C$200,MATCH(B67,Noeuds_plan!$A$4:$A$200,0)),""))</f>
        <v/>
      </c>
      <c r="AC67" s="44" t="str">
        <f t="shared" si="45"/>
        <v/>
      </c>
      <c r="AD67" s="44" t="str">
        <f t="shared" si="46"/>
        <v/>
      </c>
      <c r="AE67" s="14" t="str">
        <f>IF(A67="","",IF(OR(V67&gt;1,AND(AY67&lt;&gt;"",AY67&lt;Inputs!$B$11),AND(AY67&lt;&gt;"",AY67&gt;Inputs!$B$12),AC67&lt;Inputs!$B$19,AD67&lt;Inputs!$B$19,P67&lt;Inputs!$B$7,P67&gt;Inputs!$B$8),"CHECK","OK"))</f>
        <v/>
      </c>
      <c r="AF67" s="14"/>
      <c r="AG67" s="14" t="str">
        <f>IF(A67="","",(1/Inputs!$B$9)*(PI()*(Inputs!$F$5/1000)^2/4)*((Inputs!$F$5/1000/4)^(2/3))*SQRT(P67))</f>
        <v/>
      </c>
      <c r="AH67" s="14" t="str">
        <f>IF(A67="","",(1/Inputs!$B$9)*(PI()*(Inputs!$F$6/1000)^2/4)*((Inputs!$F$6/1000/4)^(2/3))*SQRT(P67))</f>
        <v/>
      </c>
      <c r="AI67" s="14" t="str">
        <f>IF(A67="","",(1/Inputs!$B$9)*(PI()*(Inputs!$F$7/1000)^2/4)*((Inputs!$F$7/1000/4)^(2/3))*SQRT(P67))</f>
        <v/>
      </c>
      <c r="AJ67" s="14" t="str">
        <f>IF(A67="","",(1/Inputs!$B$9)*(PI()*(Inputs!$F$8/1000)^2/4)*((Inputs!$F$8/1000/4)^(2/3))*SQRT(P67))</f>
        <v/>
      </c>
      <c r="AK67" s="14" t="str">
        <f>IF(A67="","",(1/Inputs!$B$9)*(PI()*(Inputs!$F$9/1000)^2/4)*((Inputs!$F$9/1000/4)^(2/3))*SQRT(P67))</f>
        <v/>
      </c>
      <c r="AL67" s="14" t="str">
        <f>IF(A67="","",(1/Inputs!$B$9)*(PI()*(Inputs!$F$10/1000)^2/4)*((Inputs!$F$10/1000/4)^(2/3))*SQRT(P67))</f>
        <v/>
      </c>
      <c r="AM67" s="14" t="str">
        <f>IF(A67="","",(1/Inputs!$B$9)*(PI()*(Inputs!$F$11/1000)^2/4)*((Inputs!$F$11/1000/4)^(2/3))*SQRT(P67))</f>
        <v/>
      </c>
      <c r="AN67" s="14" t="str">
        <f>IF(A67="","",(1/Inputs!$B$9)*(PI()*(Inputs!$F$12/1000)^2/4)*((Inputs!$F$12/1000/4)^(2/3))*SQRT(P67))</f>
        <v/>
      </c>
      <c r="AO67" s="14" t="str">
        <f>IF(A67="","",(1/Inputs!$B$9)*(PI()*(Inputs!$F$13/1000)^2/4)*((Inputs!$F$13/1000/4)^(2/3))*SQRT(P67))</f>
        <v/>
      </c>
      <c r="AP67" s="14" t="str">
        <f>IF(A67="","",(1/Inputs!$B$9)*(PI()*(Inputs!$F$14/1000)^2/4)*((Inputs!$F$14/1000/4)^(2/3))*SQRT(P67))</f>
        <v/>
      </c>
      <c r="AQ67" s="14" t="str">
        <f t="shared" si="47"/>
        <v/>
      </c>
      <c r="AR67" s="14" t="str">
        <f t="shared" si="48"/>
        <v/>
      </c>
      <c r="AS67" s="17" t="str">
        <f>IF(A67="","",IF(J67="",Inputs!$B$18,J67))</f>
        <v/>
      </c>
      <c r="AT67" s="17" t="str">
        <f>IF(A67="","",IFERROR(_xludf.maxifs($AV$4:$AV$201,$D$4:$D$201,$A67),""))</f>
        <v/>
      </c>
      <c r="AU67" s="17" t="str">
        <f>IF(A67="","",IF(OR(E67="",Inputs!$B$23=""),"",E67/(Inputs!$B$23*60)))</f>
        <v/>
      </c>
      <c r="AV67" s="17" t="str">
        <f t="shared" si="49"/>
        <v/>
      </c>
      <c r="AW67" s="17" t="str">
        <f t="shared" si="50"/>
        <v/>
      </c>
      <c r="AX67" s="17" t="str">
        <f>IF(OR(T67="",P67=""),"",(1/Inputs!$B$9)*((T67/4)^(2/3))*SQRT(P67))</f>
        <v/>
      </c>
      <c r="AY67" s="17" t="str">
        <f>IF(A67="","",IF(AND(AW67="",AX67="",BA67=""),"",IF(OR(UPPER(TRIM(Inputs!$B$24))="MANNING",UPPER(TRIM(Inputs!$B$24))="M"),AX67,IF(OR(UPPER(TRIM(Inputs!$B$24))="PARTIAL",UPPER(TRIM(Inputs!$B$24))="P"),BA67,IF(OR(UPPER(TRIM(Inputs!$B$24))="MAX",UPPER(TRIM(Inputs!$B$24))="X"),MAX(IF(AW67="",0,AW67),IF(AX67="",0,AX67),IF(BA67="",0,BA67)),AW67)))))</f>
        <v/>
      </c>
      <c r="AZ67" s="17" t="str">
        <f t="shared" si="51"/>
        <v/>
      </c>
      <c r="BA67" s="17" t="str">
        <f t="shared" si="52"/>
        <v/>
      </c>
      <c r="BB67" s="14" t="str">
        <f t="shared" si="53"/>
        <v/>
      </c>
      <c r="BC67" s="14" t="str">
        <f>IF(OR(N67="",T67="",P67=""),"",IF(OR(T67="",P67="",(0.94*T67)="",T67&lt;=0,(0.94*T67)&lt;=0),"",(1/Inputs!$B$9)*((T67^2/8)*((2*ACOS(1-2*(0.94*T67)/T67))-SIN((2*ACOS(1-2*(0.94*T67)/T67)))))*((((T67^2/8)*((2*ACOS(1-2*(0.94*T67)/T67))-SIN((2*ACOS(1-2*(0.94*T67)/T67)))))/((T67/2)*((2*ACOS(1-2*(0.94*T67)/T67)))))^(2/3))*SQRT(P67)))</f>
        <v/>
      </c>
      <c r="BD67" s="14" t="str">
        <f t="shared" si="54"/>
        <v/>
      </c>
      <c r="BE67" s="14" t="str">
        <f t="shared" si="55"/>
        <v/>
      </c>
      <c r="BF67" s="14" t="str">
        <f t="shared" si="56"/>
        <v/>
      </c>
      <c r="BG67" s="14" t="str">
        <f>IF(OR(T67="",P67="",BF67="",T67&lt;=0,BF67&lt;=0),"",(1/Inputs!$B$9)*((T67^2/8)*((2*ACOS(1-2*BF67/T67))-SIN((2*ACOS(1-2*BF67/T67)))))*((((T67^2/8)*((2*ACOS(1-2*BF67/T67))-SIN((2*ACOS(1-2*BF67/T67)))))/((T67/2)*((2*ACOS(1-2*BF67/T67)))))^(2/3))*SQRT(P67))</f>
        <v/>
      </c>
      <c r="BH67" s="14" t="str">
        <f t="shared" si="57"/>
        <v/>
      </c>
      <c r="BI67" s="14" t="str">
        <f t="shared" si="58"/>
        <v/>
      </c>
      <c r="BJ67" s="14" t="str">
        <f t="shared" si="59"/>
        <v/>
      </c>
      <c r="BK67" s="14" t="str">
        <f>IF(OR(T67="",P67="",BJ67="",T67&lt;=0,BJ67&lt;=0),"",(1/Inputs!$B$9)*((T67^2/8)*((2*ACOS(1-2*BJ67/T67))-SIN((2*ACOS(1-2*BJ67/T67)))))*((((T67^2/8)*((2*ACOS(1-2*BJ67/T67))-SIN((2*ACOS(1-2*BJ67/T67)))))/((T67/2)*((2*ACOS(1-2*BJ67/T67)))))^(2/3))*SQRT(P67))</f>
        <v/>
      </c>
      <c r="BL67" s="14" t="str">
        <f t="shared" si="60"/>
        <v/>
      </c>
      <c r="BM67" s="14" t="str">
        <f t="shared" si="61"/>
        <v/>
      </c>
      <c r="BN67" s="14" t="str">
        <f t="shared" si="62"/>
        <v/>
      </c>
      <c r="BO67" s="14" t="str">
        <f>IF(OR(T67="",P67="",BN67="",T67&lt;=0,BN67&lt;=0),"",(1/Inputs!$B$9)*((T67^2/8)*((2*ACOS(1-2*BN67/T67))-SIN((2*ACOS(1-2*BN67/T67)))))*((((T67^2/8)*((2*ACOS(1-2*BN67/T67))-SIN((2*ACOS(1-2*BN67/T67)))))/((T67/2)*((2*ACOS(1-2*BN67/T67)))))^(2/3))*SQRT(P67))</f>
        <v/>
      </c>
      <c r="BP67" s="14" t="str">
        <f t="shared" si="63"/>
        <v/>
      </c>
      <c r="BQ67" s="14" t="str">
        <f t="shared" si="64"/>
        <v/>
      </c>
      <c r="BR67" s="14" t="str">
        <f t="shared" si="65"/>
        <v/>
      </c>
      <c r="BS67" s="14" t="str">
        <f>IF(OR(T67="",P67="",BR67="",T67&lt;=0,BR67&lt;=0),"",(1/Inputs!$B$9)*((T67^2/8)*((2*ACOS(1-2*BR67/T67))-SIN((2*ACOS(1-2*BR67/T67)))))*((((T67^2/8)*((2*ACOS(1-2*BR67/T67))-SIN((2*ACOS(1-2*BR67/T67)))))/((T67/2)*((2*ACOS(1-2*BR67/T67)))))^(2/3))*SQRT(P67))</f>
        <v/>
      </c>
      <c r="BT67" s="14" t="str">
        <f t="shared" si="66"/>
        <v/>
      </c>
      <c r="BU67" s="14" t="str">
        <f t="shared" si="67"/>
        <v/>
      </c>
      <c r="BV67" s="14" t="str">
        <f t="shared" si="68"/>
        <v/>
      </c>
      <c r="BW67" s="14" t="str">
        <f>IF(OR(T67="",P67="",BV67="",T67&lt;=0,BV67&lt;=0),"",(1/Inputs!$B$9)*((T67^2/8)*((2*ACOS(1-2*BV67/T67))-SIN((2*ACOS(1-2*BV67/T67)))))*((((T67^2/8)*((2*ACOS(1-2*BV67/T67))-SIN((2*ACOS(1-2*BV67/T67)))))/((T67/2)*((2*ACOS(1-2*BV67/T67)))))^(2/3))*SQRT(P67))</f>
        <v/>
      </c>
      <c r="BX67" s="14" t="str">
        <f t="shared" si="69"/>
        <v/>
      </c>
      <c r="BY67" s="14" t="str">
        <f t="shared" si="70"/>
        <v/>
      </c>
      <c r="BZ67" s="14" t="str">
        <f t="shared" si="71"/>
        <v/>
      </c>
      <c r="CA67" s="14" t="str">
        <f>IF(OR(T67="",P67="",BZ67="",T67&lt;=0,BZ67&lt;=0),"",(1/Inputs!$B$9)*((T67^2/8)*((2*ACOS(1-2*BZ67/T67))-SIN((2*ACOS(1-2*BZ67/T67)))))*((((T67^2/8)*((2*ACOS(1-2*BZ67/T67))-SIN((2*ACOS(1-2*BZ67/T67)))))/((T67/2)*((2*ACOS(1-2*BZ67/T67)))))^(2/3))*SQRT(P67))</f>
        <v/>
      </c>
      <c r="CB67" s="14" t="str">
        <f t="shared" si="72"/>
        <v/>
      </c>
      <c r="CC67" s="14" t="str">
        <f t="shared" si="73"/>
        <v/>
      </c>
      <c r="CD67" s="14" t="str">
        <f t="shared" si="74"/>
        <v/>
      </c>
      <c r="CE67" s="14" t="str">
        <f>IF(OR(T67="",P67="",CD67="",T67&lt;=0,CD67&lt;=0),"",(1/Inputs!$B$9)*((T67^2/8)*((2*ACOS(1-2*CD67/T67))-SIN((2*ACOS(1-2*CD67/T67)))))*((((T67^2/8)*((2*ACOS(1-2*CD67/T67))-SIN((2*ACOS(1-2*CD67/T67)))))/((T67/2)*((2*ACOS(1-2*CD67/T67)))))^(2/3))*SQRT(P67))</f>
        <v/>
      </c>
      <c r="CF67" s="14" t="str">
        <f t="shared" si="75"/>
        <v/>
      </c>
      <c r="CG67" s="14" t="str">
        <f t="shared" si="76"/>
        <v/>
      </c>
      <c r="CH67" s="14" t="str">
        <f t="shared" si="77"/>
        <v/>
      </c>
    </row>
    <row r="68" spans="1:86" x14ac:dyDescent="0.25">
      <c r="A68" s="14"/>
      <c r="B68" s="14"/>
      <c r="C68" s="14"/>
      <c r="D68" s="14"/>
      <c r="E68" s="44"/>
      <c r="F68" s="44"/>
      <c r="G68" s="44">
        <f>SUMIFS(CB_plan!$G:$G,CB_plan!$F:$F,$A68)</f>
        <v>0</v>
      </c>
      <c r="H68" s="44">
        <f t="shared" ref="H68:H99" si="78">IF(F68="",G68,F68)</f>
        <v>0</v>
      </c>
      <c r="I68" s="14"/>
      <c r="J68" s="44"/>
      <c r="K68" s="44" t="str">
        <f>IF(A68="","",Inputs!$B$13/((IF(AV68="",Inputs!$B$18,AV68)+Inputs!$B$14)^Inputs!$B$15))</f>
        <v/>
      </c>
      <c r="L68" s="44" t="str">
        <f>IF(A68="","",IF(H68="","",0.000000278*IF(I68&lt;&gt;"",I68,IFERROR(SUMIFS(CB_plan!$H:$H,CB_plan!$F:$F,$A68)/SUMIFS(CB_plan!$G:$G,CB_plan!$F:$F,$A68),Inputs!$B$17))*H68*K68))</f>
        <v/>
      </c>
      <c r="M68" s="44" t="str">
        <f t="shared" ref="M68:M99" si="79">IF(A68="","",SUMIFS($N$4:$N$201,$D$4:$D$201,$A68))</f>
        <v/>
      </c>
      <c r="N68" s="44" t="str">
        <f>IF(A68="","",(L68+M68)*Inputs!$B$16)</f>
        <v/>
      </c>
      <c r="O68" s="44"/>
      <c r="P68" s="44" t="str">
        <f>IF(A68="","",IF(O68="",Inputs!$B$7,O68))</f>
        <v/>
      </c>
      <c r="Q68" s="14" t="str">
        <f>IF(A68="","",IF(N68/Inputs!$B$10&lt;=AG68,Inputs!$F$5,IF(N68/Inputs!$B$10&gt;AP68,"OVERSIZE",INDEX(Inputs!$F$5:$F$14,MATCH(N68/Inputs!$B$10,AG68:AP68,1)+1))))</f>
        <v/>
      </c>
      <c r="R68" s="14"/>
      <c r="S68" s="14" t="str">
        <f t="shared" ref="S68:S99" si="80">IF(A68="","",IF(R68="",Q68,R68))</f>
        <v/>
      </c>
      <c r="T68" s="44" t="str">
        <f t="shared" ref="T68:T99" si="81">IF(OR(S68="",S68="OVERSIZE"),"",S68/1000)</f>
        <v/>
      </c>
      <c r="U68" s="44" t="str">
        <f>IF(T68="","",(1/Inputs!$B$9)*(PI()*T68^2/4)*((T68/4)^(2/3))*SQRT(P68))</f>
        <v/>
      </c>
      <c r="V68" s="44" t="str">
        <f>IF(OR(U68="",N68=""),"",N68/(U68*Inputs!$B$10))</f>
        <v/>
      </c>
      <c r="W68" s="44" t="str">
        <f t="shared" ref="W68:W99" si="82">IF(OR(T68="",N68=""),"",4*N68/(PI()*T68^2))</f>
        <v/>
      </c>
      <c r="X68" s="44"/>
      <c r="Y68" s="44" t="str">
        <f>IF(A68="","",IF(A68=Inputs!$B$6,Inputs!$B$22,IF(D68="","",IFERROR(INDEX($Z$4:$Z$201,MATCH(D68,$A$4:$A$201,0))+IF(X68="",Inputs!$B$20,X68),""))))</f>
        <v/>
      </c>
      <c r="Z68" s="44" t="str">
        <f t="shared" ref="Z68:Z99" si="83">IF(OR(Y68="",P68="",E68=""),"",Y68+P68*E68)</f>
        <v/>
      </c>
      <c r="AA68" s="44" t="str">
        <f>IF(C68="","",IFERROR(INDEX(Noeuds_plan!$C$4:$C$200,MATCH(C68,Noeuds_plan!$A$4:$A$200,0)),""))</f>
        <v/>
      </c>
      <c r="AB68" s="44" t="str">
        <f>IF(B68="","",IFERROR(INDEX(Noeuds_plan!$C$4:$C$200,MATCH(B68,Noeuds_plan!$A$4:$A$200,0)),""))</f>
        <v/>
      </c>
      <c r="AC68" s="44" t="str">
        <f t="shared" ref="AC68:AC99" si="84">IF(OR(AA68="",Y68=""),"",AA68-Y68)</f>
        <v/>
      </c>
      <c r="AD68" s="44" t="str">
        <f t="shared" ref="AD68:AD99" si="85">IF(OR(AB68="",Z68=""),"",AB68-Z68)</f>
        <v/>
      </c>
      <c r="AE68" s="14" t="str">
        <f>IF(A68="","",IF(OR(V68&gt;1,AND(AY68&lt;&gt;"",AY68&lt;Inputs!$B$11),AND(AY68&lt;&gt;"",AY68&gt;Inputs!$B$12),AC68&lt;Inputs!$B$19,AD68&lt;Inputs!$B$19,P68&lt;Inputs!$B$7,P68&gt;Inputs!$B$8),"CHECK","OK"))</f>
        <v/>
      </c>
      <c r="AF68" s="14"/>
      <c r="AG68" s="14" t="str">
        <f>IF(A68="","",(1/Inputs!$B$9)*(PI()*(Inputs!$F$5/1000)^2/4)*((Inputs!$F$5/1000/4)^(2/3))*SQRT(P68))</f>
        <v/>
      </c>
      <c r="AH68" s="14" t="str">
        <f>IF(A68="","",(1/Inputs!$B$9)*(PI()*(Inputs!$F$6/1000)^2/4)*((Inputs!$F$6/1000/4)^(2/3))*SQRT(P68))</f>
        <v/>
      </c>
      <c r="AI68" s="14" t="str">
        <f>IF(A68="","",(1/Inputs!$B$9)*(PI()*(Inputs!$F$7/1000)^2/4)*((Inputs!$F$7/1000/4)^(2/3))*SQRT(P68))</f>
        <v/>
      </c>
      <c r="AJ68" s="14" t="str">
        <f>IF(A68="","",(1/Inputs!$B$9)*(PI()*(Inputs!$F$8/1000)^2/4)*((Inputs!$F$8/1000/4)^(2/3))*SQRT(P68))</f>
        <v/>
      </c>
      <c r="AK68" s="14" t="str">
        <f>IF(A68="","",(1/Inputs!$B$9)*(PI()*(Inputs!$F$9/1000)^2/4)*((Inputs!$F$9/1000/4)^(2/3))*SQRT(P68))</f>
        <v/>
      </c>
      <c r="AL68" s="14" t="str">
        <f>IF(A68="","",(1/Inputs!$B$9)*(PI()*(Inputs!$F$10/1000)^2/4)*((Inputs!$F$10/1000/4)^(2/3))*SQRT(P68))</f>
        <v/>
      </c>
      <c r="AM68" s="14" t="str">
        <f>IF(A68="","",(1/Inputs!$B$9)*(PI()*(Inputs!$F$11/1000)^2/4)*((Inputs!$F$11/1000/4)^(2/3))*SQRT(P68))</f>
        <v/>
      </c>
      <c r="AN68" s="14" t="str">
        <f>IF(A68="","",(1/Inputs!$B$9)*(PI()*(Inputs!$F$12/1000)^2/4)*((Inputs!$F$12/1000/4)^(2/3))*SQRT(P68))</f>
        <v/>
      </c>
      <c r="AO68" s="14" t="str">
        <f>IF(A68="","",(1/Inputs!$B$9)*(PI()*(Inputs!$F$13/1000)^2/4)*((Inputs!$F$13/1000/4)^(2/3))*SQRT(P68))</f>
        <v/>
      </c>
      <c r="AP68" s="14" t="str">
        <f>IF(A68="","",(1/Inputs!$B$9)*(PI()*(Inputs!$F$14/1000)^2/4)*((Inputs!$F$14/1000/4)^(2/3))*SQRT(P68))</f>
        <v/>
      </c>
      <c r="AQ68" s="14" t="str">
        <f t="shared" ref="AQ68:AQ99" si="86">IF(A68="","",COUNTIF($D$4:$D$201,$A68))</f>
        <v/>
      </c>
      <c r="AR68" s="14" t="str">
        <f t="shared" ref="AR68:AR99" si="87">IF(A68="","",IF(AQ68=0,"START","CONTINUOUS"))</f>
        <v/>
      </c>
      <c r="AS68" s="17" t="str">
        <f>IF(A68="","",IF(J68="",Inputs!$B$18,J68))</f>
        <v/>
      </c>
      <c r="AT68" s="17" t="str">
        <f>IF(A68="","",IFERROR(_xludf.maxifs($AV$4:$AV$201,$D$4:$D$201,$A68),""))</f>
        <v/>
      </c>
      <c r="AU68" s="17" t="str">
        <f>IF(A68="","",IF(OR(E68="",Inputs!$B$23=""),"",E68/(Inputs!$B$23*60)))</f>
        <v/>
      </c>
      <c r="AV68" s="17" t="str">
        <f t="shared" ref="AV68:AV99" si="88">IF(A68="","",IF(AQ68=0,AS68+AU68,IF(AT68="",AS68+AU68,AT68+AU68)))</f>
        <v/>
      </c>
      <c r="AW68" s="17" t="str">
        <f t="shared" ref="AW68:AW99" si="89">IF(A68="","",W68)</f>
        <v/>
      </c>
      <c r="AX68" s="17" t="str">
        <f>IF(OR(T68="",P68=""),"",(1/Inputs!$B$9)*((T68/4)^(2/3))*SQRT(P68))</f>
        <v/>
      </c>
      <c r="AY68" s="17" t="str">
        <f>IF(A68="","",IF(AND(AW68="",AX68="",BA68=""),"",IF(OR(UPPER(TRIM(Inputs!$B$24))="MANNING",UPPER(TRIM(Inputs!$B$24))="M"),AX68,IF(OR(UPPER(TRIM(Inputs!$B$24))="PARTIAL",UPPER(TRIM(Inputs!$B$24))="P"),BA68,IF(OR(UPPER(TRIM(Inputs!$B$24))="MAX",UPPER(TRIM(Inputs!$B$24))="X"),MAX(IF(AW68="",0,AW68),IF(AX68="",0,AX68),IF(BA68="",0,BA68)),AW68)))))</f>
        <v/>
      </c>
      <c r="AZ68" s="17" t="str">
        <f t="shared" ref="AZ68:AZ99" si="90">IF(BB68="","",CH68)</f>
        <v/>
      </c>
      <c r="BA68" s="17" t="str">
        <f t="shared" ref="BA68:BA99" si="91">IF(OR(BB68="",AZ68="",T68="",T68&lt;=0,AZ68&lt;=0),"",BB68/((T68^2/8)*(2*ACOS(1-2*AZ68/T68)-SIN(2*ACOS(1-2*AZ68/T68)))))</f>
        <v/>
      </c>
      <c r="BB68" s="14" t="str">
        <f t="shared" ref="BB68:BB99" si="92">IF(OR(N68="",BC68=""),"",MIN(N68,BC68))</f>
        <v/>
      </c>
      <c r="BC68" s="14" t="str">
        <f>IF(OR(N68="",T68="",P68=""),"",IF(OR(T68="",P68="",(0.94*T68)="",T68&lt;=0,(0.94*T68)&lt;=0),"",(1/Inputs!$B$9)*((T68^2/8)*((2*ACOS(1-2*(0.94*T68)/T68))-SIN((2*ACOS(1-2*(0.94*T68)/T68)))))*((((T68^2/8)*((2*ACOS(1-2*(0.94*T68)/T68))-SIN((2*ACOS(1-2*(0.94*T68)/T68)))))/((T68/2)*((2*ACOS(1-2*(0.94*T68)/T68)))))^(2/3))*SQRT(P68)))</f>
        <v/>
      </c>
      <c r="BD68" s="14" t="str">
        <f t="shared" ref="BD68:BD99" si="93">IF(BB68="","",0.001*T68)</f>
        <v/>
      </c>
      <c r="BE68" s="14" t="str">
        <f t="shared" ref="BE68:BE99" si="94">IF(BB68="","",0.94*T68)</f>
        <v/>
      </c>
      <c r="BF68" s="14" t="str">
        <f t="shared" ref="BF68:BF99" si="95">IF(BB68="","",(BD68+BE68)/2)</f>
        <v/>
      </c>
      <c r="BG68" s="14" t="str">
        <f>IF(OR(T68="",P68="",BF68="",T68&lt;=0,BF68&lt;=0),"",(1/Inputs!$B$9)*((T68^2/8)*((2*ACOS(1-2*BF68/T68))-SIN((2*ACOS(1-2*BF68/T68)))))*((((T68^2/8)*((2*ACOS(1-2*BF68/T68))-SIN((2*ACOS(1-2*BF68/T68)))))/((T68/2)*((2*ACOS(1-2*BF68/T68)))))^(2/3))*SQRT(P68))</f>
        <v/>
      </c>
      <c r="BH68" s="14" t="str">
        <f t="shared" ref="BH68:BH99" si="96">IF(BB68="","",IF(BG68&lt;BB68,BF68,BD68))</f>
        <v/>
      </c>
      <c r="BI68" s="14" t="str">
        <f t="shared" ref="BI68:BI99" si="97">IF(BB68="","",IF(BG68&lt;BB68,BE68,BF68))</f>
        <v/>
      </c>
      <c r="BJ68" s="14" t="str">
        <f t="shared" ref="BJ68:BJ99" si="98">IF(BB68="","",(BH68+BI68)/2)</f>
        <v/>
      </c>
      <c r="BK68" s="14" t="str">
        <f>IF(OR(T68="",P68="",BJ68="",T68&lt;=0,BJ68&lt;=0),"",(1/Inputs!$B$9)*((T68^2/8)*((2*ACOS(1-2*BJ68/T68))-SIN((2*ACOS(1-2*BJ68/T68)))))*((((T68^2/8)*((2*ACOS(1-2*BJ68/T68))-SIN((2*ACOS(1-2*BJ68/T68)))))/((T68/2)*((2*ACOS(1-2*BJ68/T68)))))^(2/3))*SQRT(P68))</f>
        <v/>
      </c>
      <c r="BL68" s="14" t="str">
        <f t="shared" ref="BL68:BL99" si="99">IF(BB68="","",IF(BK68&lt;BB68,BJ68,BH68))</f>
        <v/>
      </c>
      <c r="BM68" s="14" t="str">
        <f t="shared" ref="BM68:BM99" si="100">IF(BB68="","",IF(BK68&lt;BB68,BI68,BJ68))</f>
        <v/>
      </c>
      <c r="BN68" s="14" t="str">
        <f t="shared" ref="BN68:BN99" si="101">IF(BB68="","",(BL68+BM68)/2)</f>
        <v/>
      </c>
      <c r="BO68" s="14" t="str">
        <f>IF(OR(T68="",P68="",BN68="",T68&lt;=0,BN68&lt;=0),"",(1/Inputs!$B$9)*((T68^2/8)*((2*ACOS(1-2*BN68/T68))-SIN((2*ACOS(1-2*BN68/T68)))))*((((T68^2/8)*((2*ACOS(1-2*BN68/T68))-SIN((2*ACOS(1-2*BN68/T68)))))/((T68/2)*((2*ACOS(1-2*BN68/T68)))))^(2/3))*SQRT(P68))</f>
        <v/>
      </c>
      <c r="BP68" s="14" t="str">
        <f t="shared" ref="BP68:BP99" si="102">IF(BB68="","",IF(BO68&lt;BB68,BN68,BL68))</f>
        <v/>
      </c>
      <c r="BQ68" s="14" t="str">
        <f t="shared" ref="BQ68:BQ99" si="103">IF(BB68="","",IF(BO68&lt;BB68,BM68,BN68))</f>
        <v/>
      </c>
      <c r="BR68" s="14" t="str">
        <f t="shared" ref="BR68:BR99" si="104">IF(BB68="","",(BP68+BQ68)/2)</f>
        <v/>
      </c>
      <c r="BS68" s="14" t="str">
        <f>IF(OR(T68="",P68="",BR68="",T68&lt;=0,BR68&lt;=0),"",(1/Inputs!$B$9)*((T68^2/8)*((2*ACOS(1-2*BR68/T68))-SIN((2*ACOS(1-2*BR68/T68)))))*((((T68^2/8)*((2*ACOS(1-2*BR68/T68))-SIN((2*ACOS(1-2*BR68/T68)))))/((T68/2)*((2*ACOS(1-2*BR68/T68)))))^(2/3))*SQRT(P68))</f>
        <v/>
      </c>
      <c r="BT68" s="14" t="str">
        <f t="shared" ref="BT68:BT99" si="105">IF(BB68="","",IF(BS68&lt;BB68,BR68,BP68))</f>
        <v/>
      </c>
      <c r="BU68" s="14" t="str">
        <f t="shared" ref="BU68:BU99" si="106">IF(BB68="","",IF(BS68&lt;BB68,BQ68,BR68))</f>
        <v/>
      </c>
      <c r="BV68" s="14" t="str">
        <f t="shared" ref="BV68:BV99" si="107">IF(BB68="","",(BT68+BU68)/2)</f>
        <v/>
      </c>
      <c r="BW68" s="14" t="str">
        <f>IF(OR(T68="",P68="",BV68="",T68&lt;=0,BV68&lt;=0),"",(1/Inputs!$B$9)*((T68^2/8)*((2*ACOS(1-2*BV68/T68))-SIN((2*ACOS(1-2*BV68/T68)))))*((((T68^2/8)*((2*ACOS(1-2*BV68/T68))-SIN((2*ACOS(1-2*BV68/T68)))))/((T68/2)*((2*ACOS(1-2*BV68/T68)))))^(2/3))*SQRT(P68))</f>
        <v/>
      </c>
      <c r="BX68" s="14" t="str">
        <f t="shared" ref="BX68:BX99" si="108">IF(BB68="","",IF(BW68&lt;BB68,BV68,BT68))</f>
        <v/>
      </c>
      <c r="BY68" s="14" t="str">
        <f t="shared" ref="BY68:BY99" si="109">IF(BB68="","",IF(BW68&lt;BB68,BU68,BV68))</f>
        <v/>
      </c>
      <c r="BZ68" s="14" t="str">
        <f t="shared" ref="BZ68:BZ99" si="110">IF(BB68="","",(BX68+BY68)/2)</f>
        <v/>
      </c>
      <c r="CA68" s="14" t="str">
        <f>IF(OR(T68="",P68="",BZ68="",T68&lt;=0,BZ68&lt;=0),"",(1/Inputs!$B$9)*((T68^2/8)*((2*ACOS(1-2*BZ68/T68))-SIN((2*ACOS(1-2*BZ68/T68)))))*((((T68^2/8)*((2*ACOS(1-2*BZ68/T68))-SIN((2*ACOS(1-2*BZ68/T68)))))/((T68/2)*((2*ACOS(1-2*BZ68/T68)))))^(2/3))*SQRT(P68))</f>
        <v/>
      </c>
      <c r="CB68" s="14" t="str">
        <f t="shared" ref="CB68:CB99" si="111">IF(BB68="","",IF(CA68&lt;BB68,BZ68,BX68))</f>
        <v/>
      </c>
      <c r="CC68" s="14" t="str">
        <f t="shared" ref="CC68:CC99" si="112">IF(BB68="","",IF(CA68&lt;BB68,BY68,BZ68))</f>
        <v/>
      </c>
      <c r="CD68" s="14" t="str">
        <f t="shared" ref="CD68:CD99" si="113">IF(BB68="","",(CB68+CC68)/2)</f>
        <v/>
      </c>
      <c r="CE68" s="14" t="str">
        <f>IF(OR(T68="",P68="",CD68="",T68&lt;=0,CD68&lt;=0),"",(1/Inputs!$B$9)*((T68^2/8)*((2*ACOS(1-2*CD68/T68))-SIN((2*ACOS(1-2*CD68/T68)))))*((((T68^2/8)*((2*ACOS(1-2*CD68/T68))-SIN((2*ACOS(1-2*CD68/T68)))))/((T68/2)*((2*ACOS(1-2*CD68/T68)))))^(2/3))*SQRT(P68))</f>
        <v/>
      </c>
      <c r="CF68" s="14" t="str">
        <f t="shared" ref="CF68:CF99" si="114">IF(BB68="","",IF(CE68&lt;BB68,CD68,CB68))</f>
        <v/>
      </c>
      <c r="CG68" s="14" t="str">
        <f t="shared" ref="CG68:CG99" si="115">IF(BB68="","",IF(CE68&lt;BB68,CC68,CD68))</f>
        <v/>
      </c>
      <c r="CH68" s="14" t="str">
        <f t="shared" ref="CH68:CH99" si="116">IF(BB68="","",(CF68+CG68)/2)</f>
        <v/>
      </c>
    </row>
    <row r="69" spans="1:86" x14ac:dyDescent="0.25">
      <c r="A69" s="14"/>
      <c r="B69" s="14"/>
      <c r="C69" s="14"/>
      <c r="D69" s="14"/>
      <c r="E69" s="44"/>
      <c r="F69" s="44"/>
      <c r="G69" s="44">
        <f>SUMIFS(CB_plan!$G:$G,CB_plan!$F:$F,$A69)</f>
        <v>0</v>
      </c>
      <c r="H69" s="44">
        <f t="shared" si="78"/>
        <v>0</v>
      </c>
      <c r="I69" s="14"/>
      <c r="J69" s="44"/>
      <c r="K69" s="44" t="str">
        <f>IF(A69="","",Inputs!$B$13/((IF(AV69="",Inputs!$B$18,AV69)+Inputs!$B$14)^Inputs!$B$15))</f>
        <v/>
      </c>
      <c r="L69" s="44" t="str">
        <f>IF(A69="","",IF(H69="","",0.000000278*IF(I69&lt;&gt;"",I69,IFERROR(SUMIFS(CB_plan!$H:$H,CB_plan!$F:$F,$A69)/SUMIFS(CB_plan!$G:$G,CB_plan!$F:$F,$A69),Inputs!$B$17))*H69*K69))</f>
        <v/>
      </c>
      <c r="M69" s="44" t="str">
        <f t="shared" si="79"/>
        <v/>
      </c>
      <c r="N69" s="44" t="str">
        <f>IF(A69="","",(L69+M69)*Inputs!$B$16)</f>
        <v/>
      </c>
      <c r="O69" s="44"/>
      <c r="P69" s="44" t="str">
        <f>IF(A69="","",IF(O69="",Inputs!$B$7,O69))</f>
        <v/>
      </c>
      <c r="Q69" s="14" t="str">
        <f>IF(A69="","",IF(N69/Inputs!$B$10&lt;=AG69,Inputs!$F$5,IF(N69/Inputs!$B$10&gt;AP69,"OVERSIZE",INDEX(Inputs!$F$5:$F$14,MATCH(N69/Inputs!$B$10,AG69:AP69,1)+1))))</f>
        <v/>
      </c>
      <c r="R69" s="14"/>
      <c r="S69" s="14" t="str">
        <f t="shared" si="80"/>
        <v/>
      </c>
      <c r="T69" s="44" t="str">
        <f t="shared" si="81"/>
        <v/>
      </c>
      <c r="U69" s="44" t="str">
        <f>IF(T69="","",(1/Inputs!$B$9)*(PI()*T69^2/4)*((T69/4)^(2/3))*SQRT(P69))</f>
        <v/>
      </c>
      <c r="V69" s="44" t="str">
        <f>IF(OR(U69="",N69=""),"",N69/(U69*Inputs!$B$10))</f>
        <v/>
      </c>
      <c r="W69" s="44" t="str">
        <f t="shared" si="82"/>
        <v/>
      </c>
      <c r="X69" s="44"/>
      <c r="Y69" s="44" t="str">
        <f>IF(A69="","",IF(A69=Inputs!$B$6,Inputs!$B$22,IF(D69="","",IFERROR(INDEX($Z$4:$Z$201,MATCH(D69,$A$4:$A$201,0))+IF(X69="",Inputs!$B$20,X69),""))))</f>
        <v/>
      </c>
      <c r="Z69" s="44" t="str">
        <f t="shared" si="83"/>
        <v/>
      </c>
      <c r="AA69" s="44" t="str">
        <f>IF(C69="","",IFERROR(INDEX(Noeuds_plan!$C$4:$C$200,MATCH(C69,Noeuds_plan!$A$4:$A$200,0)),""))</f>
        <v/>
      </c>
      <c r="AB69" s="44" t="str">
        <f>IF(B69="","",IFERROR(INDEX(Noeuds_plan!$C$4:$C$200,MATCH(B69,Noeuds_plan!$A$4:$A$200,0)),""))</f>
        <v/>
      </c>
      <c r="AC69" s="44" t="str">
        <f t="shared" si="84"/>
        <v/>
      </c>
      <c r="AD69" s="44" t="str">
        <f t="shared" si="85"/>
        <v/>
      </c>
      <c r="AE69" s="14" t="str">
        <f>IF(A69="","",IF(OR(V69&gt;1,AND(AY69&lt;&gt;"",AY69&lt;Inputs!$B$11),AND(AY69&lt;&gt;"",AY69&gt;Inputs!$B$12),AC69&lt;Inputs!$B$19,AD69&lt;Inputs!$B$19,P69&lt;Inputs!$B$7,P69&gt;Inputs!$B$8),"CHECK","OK"))</f>
        <v/>
      </c>
      <c r="AF69" s="14"/>
      <c r="AG69" s="14" t="str">
        <f>IF(A69="","",(1/Inputs!$B$9)*(PI()*(Inputs!$F$5/1000)^2/4)*((Inputs!$F$5/1000/4)^(2/3))*SQRT(P69))</f>
        <v/>
      </c>
      <c r="AH69" s="14" t="str">
        <f>IF(A69="","",(1/Inputs!$B$9)*(PI()*(Inputs!$F$6/1000)^2/4)*((Inputs!$F$6/1000/4)^(2/3))*SQRT(P69))</f>
        <v/>
      </c>
      <c r="AI69" s="14" t="str">
        <f>IF(A69="","",(1/Inputs!$B$9)*(PI()*(Inputs!$F$7/1000)^2/4)*((Inputs!$F$7/1000/4)^(2/3))*SQRT(P69))</f>
        <v/>
      </c>
      <c r="AJ69" s="14" t="str">
        <f>IF(A69="","",(1/Inputs!$B$9)*(PI()*(Inputs!$F$8/1000)^2/4)*((Inputs!$F$8/1000/4)^(2/3))*SQRT(P69))</f>
        <v/>
      </c>
      <c r="AK69" s="14" t="str">
        <f>IF(A69="","",(1/Inputs!$B$9)*(PI()*(Inputs!$F$9/1000)^2/4)*((Inputs!$F$9/1000/4)^(2/3))*SQRT(P69))</f>
        <v/>
      </c>
      <c r="AL69" s="14" t="str">
        <f>IF(A69="","",(1/Inputs!$B$9)*(PI()*(Inputs!$F$10/1000)^2/4)*((Inputs!$F$10/1000/4)^(2/3))*SQRT(P69))</f>
        <v/>
      </c>
      <c r="AM69" s="14" t="str">
        <f>IF(A69="","",(1/Inputs!$B$9)*(PI()*(Inputs!$F$11/1000)^2/4)*((Inputs!$F$11/1000/4)^(2/3))*SQRT(P69))</f>
        <v/>
      </c>
      <c r="AN69" s="14" t="str">
        <f>IF(A69="","",(1/Inputs!$B$9)*(PI()*(Inputs!$F$12/1000)^2/4)*((Inputs!$F$12/1000/4)^(2/3))*SQRT(P69))</f>
        <v/>
      </c>
      <c r="AO69" s="14" t="str">
        <f>IF(A69="","",(1/Inputs!$B$9)*(PI()*(Inputs!$F$13/1000)^2/4)*((Inputs!$F$13/1000/4)^(2/3))*SQRT(P69))</f>
        <v/>
      </c>
      <c r="AP69" s="14" t="str">
        <f>IF(A69="","",(1/Inputs!$B$9)*(PI()*(Inputs!$F$14/1000)^2/4)*((Inputs!$F$14/1000/4)^(2/3))*SQRT(P69))</f>
        <v/>
      </c>
      <c r="AQ69" s="14" t="str">
        <f t="shared" si="86"/>
        <v/>
      </c>
      <c r="AR69" s="14" t="str">
        <f t="shared" si="87"/>
        <v/>
      </c>
      <c r="AS69" s="17" t="str">
        <f>IF(A69="","",IF(J69="",Inputs!$B$18,J69))</f>
        <v/>
      </c>
      <c r="AT69" s="17" t="str">
        <f>IF(A69="","",IFERROR(_xludf.maxifs($AV$4:$AV$201,$D$4:$D$201,$A69),""))</f>
        <v/>
      </c>
      <c r="AU69" s="17" t="str">
        <f>IF(A69="","",IF(OR(E69="",Inputs!$B$23=""),"",E69/(Inputs!$B$23*60)))</f>
        <v/>
      </c>
      <c r="AV69" s="17" t="str">
        <f t="shared" si="88"/>
        <v/>
      </c>
      <c r="AW69" s="17" t="str">
        <f t="shared" si="89"/>
        <v/>
      </c>
      <c r="AX69" s="17" t="str">
        <f>IF(OR(T69="",P69=""),"",(1/Inputs!$B$9)*((T69/4)^(2/3))*SQRT(P69))</f>
        <v/>
      </c>
      <c r="AY69" s="17" t="str">
        <f>IF(A69="","",IF(AND(AW69="",AX69="",BA69=""),"",IF(OR(UPPER(TRIM(Inputs!$B$24))="MANNING",UPPER(TRIM(Inputs!$B$24))="M"),AX69,IF(OR(UPPER(TRIM(Inputs!$B$24))="PARTIAL",UPPER(TRIM(Inputs!$B$24))="P"),BA69,IF(OR(UPPER(TRIM(Inputs!$B$24))="MAX",UPPER(TRIM(Inputs!$B$24))="X"),MAX(IF(AW69="",0,AW69),IF(AX69="",0,AX69),IF(BA69="",0,BA69)),AW69)))))</f>
        <v/>
      </c>
      <c r="AZ69" s="17" t="str">
        <f t="shared" si="90"/>
        <v/>
      </c>
      <c r="BA69" s="17" t="str">
        <f t="shared" si="91"/>
        <v/>
      </c>
      <c r="BB69" s="14" t="str">
        <f t="shared" si="92"/>
        <v/>
      </c>
      <c r="BC69" s="14" t="str">
        <f>IF(OR(N69="",T69="",P69=""),"",IF(OR(T69="",P69="",(0.94*T69)="",T69&lt;=0,(0.94*T69)&lt;=0),"",(1/Inputs!$B$9)*((T69^2/8)*((2*ACOS(1-2*(0.94*T69)/T69))-SIN((2*ACOS(1-2*(0.94*T69)/T69)))))*((((T69^2/8)*((2*ACOS(1-2*(0.94*T69)/T69))-SIN((2*ACOS(1-2*(0.94*T69)/T69)))))/((T69/2)*((2*ACOS(1-2*(0.94*T69)/T69)))))^(2/3))*SQRT(P69)))</f>
        <v/>
      </c>
      <c r="BD69" s="14" t="str">
        <f t="shared" si="93"/>
        <v/>
      </c>
      <c r="BE69" s="14" t="str">
        <f t="shared" si="94"/>
        <v/>
      </c>
      <c r="BF69" s="14" t="str">
        <f t="shared" si="95"/>
        <v/>
      </c>
      <c r="BG69" s="14" t="str">
        <f>IF(OR(T69="",P69="",BF69="",T69&lt;=0,BF69&lt;=0),"",(1/Inputs!$B$9)*((T69^2/8)*((2*ACOS(1-2*BF69/T69))-SIN((2*ACOS(1-2*BF69/T69)))))*((((T69^2/8)*((2*ACOS(1-2*BF69/T69))-SIN((2*ACOS(1-2*BF69/T69)))))/((T69/2)*((2*ACOS(1-2*BF69/T69)))))^(2/3))*SQRT(P69))</f>
        <v/>
      </c>
      <c r="BH69" s="14" t="str">
        <f t="shared" si="96"/>
        <v/>
      </c>
      <c r="BI69" s="14" t="str">
        <f t="shared" si="97"/>
        <v/>
      </c>
      <c r="BJ69" s="14" t="str">
        <f t="shared" si="98"/>
        <v/>
      </c>
      <c r="BK69" s="14" t="str">
        <f>IF(OR(T69="",P69="",BJ69="",T69&lt;=0,BJ69&lt;=0),"",(1/Inputs!$B$9)*((T69^2/8)*((2*ACOS(1-2*BJ69/T69))-SIN((2*ACOS(1-2*BJ69/T69)))))*((((T69^2/8)*((2*ACOS(1-2*BJ69/T69))-SIN((2*ACOS(1-2*BJ69/T69)))))/((T69/2)*((2*ACOS(1-2*BJ69/T69)))))^(2/3))*SQRT(P69))</f>
        <v/>
      </c>
      <c r="BL69" s="14" t="str">
        <f t="shared" si="99"/>
        <v/>
      </c>
      <c r="BM69" s="14" t="str">
        <f t="shared" si="100"/>
        <v/>
      </c>
      <c r="BN69" s="14" t="str">
        <f t="shared" si="101"/>
        <v/>
      </c>
      <c r="BO69" s="14" t="str">
        <f>IF(OR(T69="",P69="",BN69="",T69&lt;=0,BN69&lt;=0),"",(1/Inputs!$B$9)*((T69^2/8)*((2*ACOS(1-2*BN69/T69))-SIN((2*ACOS(1-2*BN69/T69)))))*((((T69^2/8)*((2*ACOS(1-2*BN69/T69))-SIN((2*ACOS(1-2*BN69/T69)))))/((T69/2)*((2*ACOS(1-2*BN69/T69)))))^(2/3))*SQRT(P69))</f>
        <v/>
      </c>
      <c r="BP69" s="14" t="str">
        <f t="shared" si="102"/>
        <v/>
      </c>
      <c r="BQ69" s="14" t="str">
        <f t="shared" si="103"/>
        <v/>
      </c>
      <c r="BR69" s="14" t="str">
        <f t="shared" si="104"/>
        <v/>
      </c>
      <c r="BS69" s="14" t="str">
        <f>IF(OR(T69="",P69="",BR69="",T69&lt;=0,BR69&lt;=0),"",(1/Inputs!$B$9)*((T69^2/8)*((2*ACOS(1-2*BR69/T69))-SIN((2*ACOS(1-2*BR69/T69)))))*((((T69^2/8)*((2*ACOS(1-2*BR69/T69))-SIN((2*ACOS(1-2*BR69/T69)))))/((T69/2)*((2*ACOS(1-2*BR69/T69)))))^(2/3))*SQRT(P69))</f>
        <v/>
      </c>
      <c r="BT69" s="14" t="str">
        <f t="shared" si="105"/>
        <v/>
      </c>
      <c r="BU69" s="14" t="str">
        <f t="shared" si="106"/>
        <v/>
      </c>
      <c r="BV69" s="14" t="str">
        <f t="shared" si="107"/>
        <v/>
      </c>
      <c r="BW69" s="14" t="str">
        <f>IF(OR(T69="",P69="",BV69="",T69&lt;=0,BV69&lt;=0),"",(1/Inputs!$B$9)*((T69^2/8)*((2*ACOS(1-2*BV69/T69))-SIN((2*ACOS(1-2*BV69/T69)))))*((((T69^2/8)*((2*ACOS(1-2*BV69/T69))-SIN((2*ACOS(1-2*BV69/T69)))))/((T69/2)*((2*ACOS(1-2*BV69/T69)))))^(2/3))*SQRT(P69))</f>
        <v/>
      </c>
      <c r="BX69" s="14" t="str">
        <f t="shared" si="108"/>
        <v/>
      </c>
      <c r="BY69" s="14" t="str">
        <f t="shared" si="109"/>
        <v/>
      </c>
      <c r="BZ69" s="14" t="str">
        <f t="shared" si="110"/>
        <v/>
      </c>
      <c r="CA69" s="14" t="str">
        <f>IF(OR(T69="",P69="",BZ69="",T69&lt;=0,BZ69&lt;=0),"",(1/Inputs!$B$9)*((T69^2/8)*((2*ACOS(1-2*BZ69/T69))-SIN((2*ACOS(1-2*BZ69/T69)))))*((((T69^2/8)*((2*ACOS(1-2*BZ69/T69))-SIN((2*ACOS(1-2*BZ69/T69)))))/((T69/2)*((2*ACOS(1-2*BZ69/T69)))))^(2/3))*SQRT(P69))</f>
        <v/>
      </c>
      <c r="CB69" s="14" t="str">
        <f t="shared" si="111"/>
        <v/>
      </c>
      <c r="CC69" s="14" t="str">
        <f t="shared" si="112"/>
        <v/>
      </c>
      <c r="CD69" s="14" t="str">
        <f t="shared" si="113"/>
        <v/>
      </c>
      <c r="CE69" s="14" t="str">
        <f>IF(OR(T69="",P69="",CD69="",T69&lt;=0,CD69&lt;=0),"",(1/Inputs!$B$9)*((T69^2/8)*((2*ACOS(1-2*CD69/T69))-SIN((2*ACOS(1-2*CD69/T69)))))*((((T69^2/8)*((2*ACOS(1-2*CD69/T69))-SIN((2*ACOS(1-2*CD69/T69)))))/((T69/2)*((2*ACOS(1-2*CD69/T69)))))^(2/3))*SQRT(P69))</f>
        <v/>
      </c>
      <c r="CF69" s="14" t="str">
        <f t="shared" si="114"/>
        <v/>
      </c>
      <c r="CG69" s="14" t="str">
        <f t="shared" si="115"/>
        <v/>
      </c>
      <c r="CH69" s="14" t="str">
        <f t="shared" si="116"/>
        <v/>
      </c>
    </row>
    <row r="70" spans="1:86" x14ac:dyDescent="0.25">
      <c r="A70" s="14"/>
      <c r="B70" s="14"/>
      <c r="C70" s="14"/>
      <c r="D70" s="14"/>
      <c r="E70" s="44"/>
      <c r="F70" s="44"/>
      <c r="G70" s="44">
        <f>SUMIFS(CB_plan!$G:$G,CB_plan!$F:$F,$A70)</f>
        <v>0</v>
      </c>
      <c r="H70" s="44">
        <f t="shared" si="78"/>
        <v>0</v>
      </c>
      <c r="I70" s="14"/>
      <c r="J70" s="44"/>
      <c r="K70" s="44" t="str">
        <f>IF(A70="","",Inputs!$B$13/((IF(AV70="",Inputs!$B$18,AV70)+Inputs!$B$14)^Inputs!$B$15))</f>
        <v/>
      </c>
      <c r="L70" s="44" t="str">
        <f>IF(A70="","",IF(H70="","",0.000000278*IF(I70&lt;&gt;"",I70,IFERROR(SUMIFS(CB_plan!$H:$H,CB_plan!$F:$F,$A70)/SUMIFS(CB_plan!$G:$G,CB_plan!$F:$F,$A70),Inputs!$B$17))*H70*K70))</f>
        <v/>
      </c>
      <c r="M70" s="44" t="str">
        <f t="shared" si="79"/>
        <v/>
      </c>
      <c r="N70" s="44" t="str">
        <f>IF(A70="","",(L70+M70)*Inputs!$B$16)</f>
        <v/>
      </c>
      <c r="O70" s="44"/>
      <c r="P70" s="44" t="str">
        <f>IF(A70="","",IF(O70="",Inputs!$B$7,O70))</f>
        <v/>
      </c>
      <c r="Q70" s="14" t="str">
        <f>IF(A70="","",IF(N70/Inputs!$B$10&lt;=AG70,Inputs!$F$5,IF(N70/Inputs!$B$10&gt;AP70,"OVERSIZE",INDEX(Inputs!$F$5:$F$14,MATCH(N70/Inputs!$B$10,AG70:AP70,1)+1))))</f>
        <v/>
      </c>
      <c r="R70" s="14"/>
      <c r="S70" s="14" t="str">
        <f t="shared" si="80"/>
        <v/>
      </c>
      <c r="T70" s="44" t="str">
        <f t="shared" si="81"/>
        <v/>
      </c>
      <c r="U70" s="44" t="str">
        <f>IF(T70="","",(1/Inputs!$B$9)*(PI()*T70^2/4)*((T70/4)^(2/3))*SQRT(P70))</f>
        <v/>
      </c>
      <c r="V70" s="44" t="str">
        <f>IF(OR(U70="",N70=""),"",N70/(U70*Inputs!$B$10))</f>
        <v/>
      </c>
      <c r="W70" s="44" t="str">
        <f t="shared" si="82"/>
        <v/>
      </c>
      <c r="X70" s="44"/>
      <c r="Y70" s="44" t="str">
        <f>IF(A70="","",IF(A70=Inputs!$B$6,Inputs!$B$22,IF(D70="","",IFERROR(INDEX($Z$4:$Z$201,MATCH(D70,$A$4:$A$201,0))+IF(X70="",Inputs!$B$20,X70),""))))</f>
        <v/>
      </c>
      <c r="Z70" s="44" t="str">
        <f t="shared" si="83"/>
        <v/>
      </c>
      <c r="AA70" s="44" t="str">
        <f>IF(C70="","",IFERROR(INDEX(Noeuds_plan!$C$4:$C$200,MATCH(C70,Noeuds_plan!$A$4:$A$200,0)),""))</f>
        <v/>
      </c>
      <c r="AB70" s="44" t="str">
        <f>IF(B70="","",IFERROR(INDEX(Noeuds_plan!$C$4:$C$200,MATCH(B70,Noeuds_plan!$A$4:$A$200,0)),""))</f>
        <v/>
      </c>
      <c r="AC70" s="44" t="str">
        <f t="shared" si="84"/>
        <v/>
      </c>
      <c r="AD70" s="44" t="str">
        <f t="shared" si="85"/>
        <v/>
      </c>
      <c r="AE70" s="14" t="str">
        <f>IF(A70="","",IF(OR(V70&gt;1,AND(AY70&lt;&gt;"",AY70&lt;Inputs!$B$11),AND(AY70&lt;&gt;"",AY70&gt;Inputs!$B$12),AC70&lt;Inputs!$B$19,AD70&lt;Inputs!$B$19,P70&lt;Inputs!$B$7,P70&gt;Inputs!$B$8),"CHECK","OK"))</f>
        <v/>
      </c>
      <c r="AF70" s="14"/>
      <c r="AG70" s="14" t="str">
        <f>IF(A70="","",(1/Inputs!$B$9)*(PI()*(Inputs!$F$5/1000)^2/4)*((Inputs!$F$5/1000/4)^(2/3))*SQRT(P70))</f>
        <v/>
      </c>
      <c r="AH70" s="14" t="str">
        <f>IF(A70="","",(1/Inputs!$B$9)*(PI()*(Inputs!$F$6/1000)^2/4)*((Inputs!$F$6/1000/4)^(2/3))*SQRT(P70))</f>
        <v/>
      </c>
      <c r="AI70" s="14" t="str">
        <f>IF(A70="","",(1/Inputs!$B$9)*(PI()*(Inputs!$F$7/1000)^2/4)*((Inputs!$F$7/1000/4)^(2/3))*SQRT(P70))</f>
        <v/>
      </c>
      <c r="AJ70" s="14" t="str">
        <f>IF(A70="","",(1/Inputs!$B$9)*(PI()*(Inputs!$F$8/1000)^2/4)*((Inputs!$F$8/1000/4)^(2/3))*SQRT(P70))</f>
        <v/>
      </c>
      <c r="AK70" s="14" t="str">
        <f>IF(A70="","",(1/Inputs!$B$9)*(PI()*(Inputs!$F$9/1000)^2/4)*((Inputs!$F$9/1000/4)^(2/3))*SQRT(P70))</f>
        <v/>
      </c>
      <c r="AL70" s="14" t="str">
        <f>IF(A70="","",(1/Inputs!$B$9)*(PI()*(Inputs!$F$10/1000)^2/4)*((Inputs!$F$10/1000/4)^(2/3))*SQRT(P70))</f>
        <v/>
      </c>
      <c r="AM70" s="14" t="str">
        <f>IF(A70="","",(1/Inputs!$B$9)*(PI()*(Inputs!$F$11/1000)^2/4)*((Inputs!$F$11/1000/4)^(2/3))*SQRT(P70))</f>
        <v/>
      </c>
      <c r="AN70" s="14" t="str">
        <f>IF(A70="","",(1/Inputs!$B$9)*(PI()*(Inputs!$F$12/1000)^2/4)*((Inputs!$F$12/1000/4)^(2/3))*SQRT(P70))</f>
        <v/>
      </c>
      <c r="AO70" s="14" t="str">
        <f>IF(A70="","",(1/Inputs!$B$9)*(PI()*(Inputs!$F$13/1000)^2/4)*((Inputs!$F$13/1000/4)^(2/3))*SQRT(P70))</f>
        <v/>
      </c>
      <c r="AP70" s="14" t="str">
        <f>IF(A70="","",(1/Inputs!$B$9)*(PI()*(Inputs!$F$14/1000)^2/4)*((Inputs!$F$14/1000/4)^(2/3))*SQRT(P70))</f>
        <v/>
      </c>
      <c r="AQ70" s="14" t="str">
        <f t="shared" si="86"/>
        <v/>
      </c>
      <c r="AR70" s="14" t="str">
        <f t="shared" si="87"/>
        <v/>
      </c>
      <c r="AS70" s="17" t="str">
        <f>IF(A70="","",IF(J70="",Inputs!$B$18,J70))</f>
        <v/>
      </c>
      <c r="AT70" s="17" t="str">
        <f>IF(A70="","",IFERROR(_xludf.maxifs($AV$4:$AV$201,$D$4:$D$201,$A70),""))</f>
        <v/>
      </c>
      <c r="AU70" s="17" t="str">
        <f>IF(A70="","",IF(OR(E70="",Inputs!$B$23=""),"",E70/(Inputs!$B$23*60)))</f>
        <v/>
      </c>
      <c r="AV70" s="17" t="str">
        <f t="shared" si="88"/>
        <v/>
      </c>
      <c r="AW70" s="17" t="str">
        <f t="shared" si="89"/>
        <v/>
      </c>
      <c r="AX70" s="17" t="str">
        <f>IF(OR(T70="",P70=""),"",(1/Inputs!$B$9)*((T70/4)^(2/3))*SQRT(P70))</f>
        <v/>
      </c>
      <c r="AY70" s="17" t="str">
        <f>IF(A70="","",IF(AND(AW70="",AX70="",BA70=""),"",IF(OR(UPPER(TRIM(Inputs!$B$24))="MANNING",UPPER(TRIM(Inputs!$B$24))="M"),AX70,IF(OR(UPPER(TRIM(Inputs!$B$24))="PARTIAL",UPPER(TRIM(Inputs!$B$24))="P"),BA70,IF(OR(UPPER(TRIM(Inputs!$B$24))="MAX",UPPER(TRIM(Inputs!$B$24))="X"),MAX(IF(AW70="",0,AW70),IF(AX70="",0,AX70),IF(BA70="",0,BA70)),AW70)))))</f>
        <v/>
      </c>
      <c r="AZ70" s="17" t="str">
        <f t="shared" si="90"/>
        <v/>
      </c>
      <c r="BA70" s="17" t="str">
        <f t="shared" si="91"/>
        <v/>
      </c>
      <c r="BB70" s="14" t="str">
        <f t="shared" si="92"/>
        <v/>
      </c>
      <c r="BC70" s="14" t="str">
        <f>IF(OR(N70="",T70="",P70=""),"",IF(OR(T70="",P70="",(0.94*T70)="",T70&lt;=0,(0.94*T70)&lt;=0),"",(1/Inputs!$B$9)*((T70^2/8)*((2*ACOS(1-2*(0.94*T70)/T70))-SIN((2*ACOS(1-2*(0.94*T70)/T70)))))*((((T70^2/8)*((2*ACOS(1-2*(0.94*T70)/T70))-SIN((2*ACOS(1-2*(0.94*T70)/T70)))))/((T70/2)*((2*ACOS(1-2*(0.94*T70)/T70)))))^(2/3))*SQRT(P70)))</f>
        <v/>
      </c>
      <c r="BD70" s="14" t="str">
        <f t="shared" si="93"/>
        <v/>
      </c>
      <c r="BE70" s="14" t="str">
        <f t="shared" si="94"/>
        <v/>
      </c>
      <c r="BF70" s="14" t="str">
        <f t="shared" si="95"/>
        <v/>
      </c>
      <c r="BG70" s="14" t="str">
        <f>IF(OR(T70="",P70="",BF70="",T70&lt;=0,BF70&lt;=0),"",(1/Inputs!$B$9)*((T70^2/8)*((2*ACOS(1-2*BF70/T70))-SIN((2*ACOS(1-2*BF70/T70)))))*((((T70^2/8)*((2*ACOS(1-2*BF70/T70))-SIN((2*ACOS(1-2*BF70/T70)))))/((T70/2)*((2*ACOS(1-2*BF70/T70)))))^(2/3))*SQRT(P70))</f>
        <v/>
      </c>
      <c r="BH70" s="14" t="str">
        <f t="shared" si="96"/>
        <v/>
      </c>
      <c r="BI70" s="14" t="str">
        <f t="shared" si="97"/>
        <v/>
      </c>
      <c r="BJ70" s="14" t="str">
        <f t="shared" si="98"/>
        <v/>
      </c>
      <c r="BK70" s="14" t="str">
        <f>IF(OR(T70="",P70="",BJ70="",T70&lt;=0,BJ70&lt;=0),"",(1/Inputs!$B$9)*((T70^2/8)*((2*ACOS(1-2*BJ70/T70))-SIN((2*ACOS(1-2*BJ70/T70)))))*((((T70^2/8)*((2*ACOS(1-2*BJ70/T70))-SIN((2*ACOS(1-2*BJ70/T70)))))/((T70/2)*((2*ACOS(1-2*BJ70/T70)))))^(2/3))*SQRT(P70))</f>
        <v/>
      </c>
      <c r="BL70" s="14" t="str">
        <f t="shared" si="99"/>
        <v/>
      </c>
      <c r="BM70" s="14" t="str">
        <f t="shared" si="100"/>
        <v/>
      </c>
      <c r="BN70" s="14" t="str">
        <f t="shared" si="101"/>
        <v/>
      </c>
      <c r="BO70" s="14" t="str">
        <f>IF(OR(T70="",P70="",BN70="",T70&lt;=0,BN70&lt;=0),"",(1/Inputs!$B$9)*((T70^2/8)*((2*ACOS(1-2*BN70/T70))-SIN((2*ACOS(1-2*BN70/T70)))))*((((T70^2/8)*((2*ACOS(1-2*BN70/T70))-SIN((2*ACOS(1-2*BN70/T70)))))/((T70/2)*((2*ACOS(1-2*BN70/T70)))))^(2/3))*SQRT(P70))</f>
        <v/>
      </c>
      <c r="BP70" s="14" t="str">
        <f t="shared" si="102"/>
        <v/>
      </c>
      <c r="BQ70" s="14" t="str">
        <f t="shared" si="103"/>
        <v/>
      </c>
      <c r="BR70" s="14" t="str">
        <f t="shared" si="104"/>
        <v/>
      </c>
      <c r="BS70" s="14" t="str">
        <f>IF(OR(T70="",P70="",BR70="",T70&lt;=0,BR70&lt;=0),"",(1/Inputs!$B$9)*((T70^2/8)*((2*ACOS(1-2*BR70/T70))-SIN((2*ACOS(1-2*BR70/T70)))))*((((T70^2/8)*((2*ACOS(1-2*BR70/T70))-SIN((2*ACOS(1-2*BR70/T70)))))/((T70/2)*((2*ACOS(1-2*BR70/T70)))))^(2/3))*SQRT(P70))</f>
        <v/>
      </c>
      <c r="BT70" s="14" t="str">
        <f t="shared" si="105"/>
        <v/>
      </c>
      <c r="BU70" s="14" t="str">
        <f t="shared" si="106"/>
        <v/>
      </c>
      <c r="BV70" s="14" t="str">
        <f t="shared" si="107"/>
        <v/>
      </c>
      <c r="BW70" s="14" t="str">
        <f>IF(OR(T70="",P70="",BV70="",T70&lt;=0,BV70&lt;=0),"",(1/Inputs!$B$9)*((T70^2/8)*((2*ACOS(1-2*BV70/T70))-SIN((2*ACOS(1-2*BV70/T70)))))*((((T70^2/8)*((2*ACOS(1-2*BV70/T70))-SIN((2*ACOS(1-2*BV70/T70)))))/((T70/2)*((2*ACOS(1-2*BV70/T70)))))^(2/3))*SQRT(P70))</f>
        <v/>
      </c>
      <c r="BX70" s="14" t="str">
        <f t="shared" si="108"/>
        <v/>
      </c>
      <c r="BY70" s="14" t="str">
        <f t="shared" si="109"/>
        <v/>
      </c>
      <c r="BZ70" s="14" t="str">
        <f t="shared" si="110"/>
        <v/>
      </c>
      <c r="CA70" s="14" t="str">
        <f>IF(OR(T70="",P70="",BZ70="",T70&lt;=0,BZ70&lt;=0),"",(1/Inputs!$B$9)*((T70^2/8)*((2*ACOS(1-2*BZ70/T70))-SIN((2*ACOS(1-2*BZ70/T70)))))*((((T70^2/8)*((2*ACOS(1-2*BZ70/T70))-SIN((2*ACOS(1-2*BZ70/T70)))))/((T70/2)*((2*ACOS(1-2*BZ70/T70)))))^(2/3))*SQRT(P70))</f>
        <v/>
      </c>
      <c r="CB70" s="14" t="str">
        <f t="shared" si="111"/>
        <v/>
      </c>
      <c r="CC70" s="14" t="str">
        <f t="shared" si="112"/>
        <v/>
      </c>
      <c r="CD70" s="14" t="str">
        <f t="shared" si="113"/>
        <v/>
      </c>
      <c r="CE70" s="14" t="str">
        <f>IF(OR(T70="",P70="",CD70="",T70&lt;=0,CD70&lt;=0),"",(1/Inputs!$B$9)*((T70^2/8)*((2*ACOS(1-2*CD70/T70))-SIN((2*ACOS(1-2*CD70/T70)))))*((((T70^2/8)*((2*ACOS(1-2*CD70/T70))-SIN((2*ACOS(1-2*CD70/T70)))))/((T70/2)*((2*ACOS(1-2*CD70/T70)))))^(2/3))*SQRT(P70))</f>
        <v/>
      </c>
      <c r="CF70" s="14" t="str">
        <f t="shared" si="114"/>
        <v/>
      </c>
      <c r="CG70" s="14" t="str">
        <f t="shared" si="115"/>
        <v/>
      </c>
      <c r="CH70" s="14" t="str">
        <f t="shared" si="116"/>
        <v/>
      </c>
    </row>
    <row r="71" spans="1:86" x14ac:dyDescent="0.25">
      <c r="A71" s="14"/>
      <c r="B71" s="14"/>
      <c r="C71" s="14"/>
      <c r="D71" s="14"/>
      <c r="E71" s="44"/>
      <c r="F71" s="44"/>
      <c r="G71" s="44">
        <f>SUMIFS(CB_plan!$G:$G,CB_plan!$F:$F,$A71)</f>
        <v>0</v>
      </c>
      <c r="H71" s="44">
        <f t="shared" si="78"/>
        <v>0</v>
      </c>
      <c r="I71" s="14"/>
      <c r="J71" s="44"/>
      <c r="K71" s="44" t="str">
        <f>IF(A71="","",Inputs!$B$13/((IF(AV71="",Inputs!$B$18,AV71)+Inputs!$B$14)^Inputs!$B$15))</f>
        <v/>
      </c>
      <c r="L71" s="44" t="str">
        <f>IF(A71="","",IF(H71="","",0.000000278*IF(I71&lt;&gt;"",I71,IFERROR(SUMIFS(CB_plan!$H:$H,CB_plan!$F:$F,$A71)/SUMIFS(CB_plan!$G:$G,CB_plan!$F:$F,$A71),Inputs!$B$17))*H71*K71))</f>
        <v/>
      </c>
      <c r="M71" s="44" t="str">
        <f t="shared" si="79"/>
        <v/>
      </c>
      <c r="N71" s="44" t="str">
        <f>IF(A71="","",(L71+M71)*Inputs!$B$16)</f>
        <v/>
      </c>
      <c r="O71" s="44"/>
      <c r="P71" s="44" t="str">
        <f>IF(A71="","",IF(O71="",Inputs!$B$7,O71))</f>
        <v/>
      </c>
      <c r="Q71" s="14" t="str">
        <f>IF(A71="","",IF(N71/Inputs!$B$10&lt;=AG71,Inputs!$F$5,IF(N71/Inputs!$B$10&gt;AP71,"OVERSIZE",INDEX(Inputs!$F$5:$F$14,MATCH(N71/Inputs!$B$10,AG71:AP71,1)+1))))</f>
        <v/>
      </c>
      <c r="R71" s="14"/>
      <c r="S71" s="14" t="str">
        <f t="shared" si="80"/>
        <v/>
      </c>
      <c r="T71" s="44" t="str">
        <f t="shared" si="81"/>
        <v/>
      </c>
      <c r="U71" s="44" t="str">
        <f>IF(T71="","",(1/Inputs!$B$9)*(PI()*T71^2/4)*((T71/4)^(2/3))*SQRT(P71))</f>
        <v/>
      </c>
      <c r="V71" s="44" t="str">
        <f>IF(OR(U71="",N71=""),"",N71/(U71*Inputs!$B$10))</f>
        <v/>
      </c>
      <c r="W71" s="44" t="str">
        <f t="shared" si="82"/>
        <v/>
      </c>
      <c r="X71" s="44"/>
      <c r="Y71" s="44" t="str">
        <f>IF(A71="","",IF(A71=Inputs!$B$6,Inputs!$B$22,IF(D71="","",IFERROR(INDEX($Z$4:$Z$201,MATCH(D71,$A$4:$A$201,0))+IF(X71="",Inputs!$B$20,X71),""))))</f>
        <v/>
      </c>
      <c r="Z71" s="44" t="str">
        <f t="shared" si="83"/>
        <v/>
      </c>
      <c r="AA71" s="44" t="str">
        <f>IF(C71="","",IFERROR(INDEX(Noeuds_plan!$C$4:$C$200,MATCH(C71,Noeuds_plan!$A$4:$A$200,0)),""))</f>
        <v/>
      </c>
      <c r="AB71" s="44" t="str">
        <f>IF(B71="","",IFERROR(INDEX(Noeuds_plan!$C$4:$C$200,MATCH(B71,Noeuds_plan!$A$4:$A$200,0)),""))</f>
        <v/>
      </c>
      <c r="AC71" s="44" t="str">
        <f t="shared" si="84"/>
        <v/>
      </c>
      <c r="AD71" s="44" t="str">
        <f t="shared" si="85"/>
        <v/>
      </c>
      <c r="AE71" s="14" t="str">
        <f>IF(A71="","",IF(OR(V71&gt;1,AND(AY71&lt;&gt;"",AY71&lt;Inputs!$B$11),AND(AY71&lt;&gt;"",AY71&gt;Inputs!$B$12),AC71&lt;Inputs!$B$19,AD71&lt;Inputs!$B$19,P71&lt;Inputs!$B$7,P71&gt;Inputs!$B$8),"CHECK","OK"))</f>
        <v/>
      </c>
      <c r="AF71" s="14"/>
      <c r="AG71" s="14" t="str">
        <f>IF(A71="","",(1/Inputs!$B$9)*(PI()*(Inputs!$F$5/1000)^2/4)*((Inputs!$F$5/1000/4)^(2/3))*SQRT(P71))</f>
        <v/>
      </c>
      <c r="AH71" s="14" t="str">
        <f>IF(A71="","",(1/Inputs!$B$9)*(PI()*(Inputs!$F$6/1000)^2/4)*((Inputs!$F$6/1000/4)^(2/3))*SQRT(P71))</f>
        <v/>
      </c>
      <c r="AI71" s="14" t="str">
        <f>IF(A71="","",(1/Inputs!$B$9)*(PI()*(Inputs!$F$7/1000)^2/4)*((Inputs!$F$7/1000/4)^(2/3))*SQRT(P71))</f>
        <v/>
      </c>
      <c r="AJ71" s="14" t="str">
        <f>IF(A71="","",(1/Inputs!$B$9)*(PI()*(Inputs!$F$8/1000)^2/4)*((Inputs!$F$8/1000/4)^(2/3))*SQRT(P71))</f>
        <v/>
      </c>
      <c r="AK71" s="14" t="str">
        <f>IF(A71="","",(1/Inputs!$B$9)*(PI()*(Inputs!$F$9/1000)^2/4)*((Inputs!$F$9/1000/4)^(2/3))*SQRT(P71))</f>
        <v/>
      </c>
      <c r="AL71" s="14" t="str">
        <f>IF(A71="","",(1/Inputs!$B$9)*(PI()*(Inputs!$F$10/1000)^2/4)*((Inputs!$F$10/1000/4)^(2/3))*SQRT(P71))</f>
        <v/>
      </c>
      <c r="AM71" s="14" t="str">
        <f>IF(A71="","",(1/Inputs!$B$9)*(PI()*(Inputs!$F$11/1000)^2/4)*((Inputs!$F$11/1000/4)^(2/3))*SQRT(P71))</f>
        <v/>
      </c>
      <c r="AN71" s="14" t="str">
        <f>IF(A71="","",(1/Inputs!$B$9)*(PI()*(Inputs!$F$12/1000)^2/4)*((Inputs!$F$12/1000/4)^(2/3))*SQRT(P71))</f>
        <v/>
      </c>
      <c r="AO71" s="14" t="str">
        <f>IF(A71="","",(1/Inputs!$B$9)*(PI()*(Inputs!$F$13/1000)^2/4)*((Inputs!$F$13/1000/4)^(2/3))*SQRT(P71))</f>
        <v/>
      </c>
      <c r="AP71" s="14" t="str">
        <f>IF(A71="","",(1/Inputs!$B$9)*(PI()*(Inputs!$F$14/1000)^2/4)*((Inputs!$F$14/1000/4)^(2/3))*SQRT(P71))</f>
        <v/>
      </c>
      <c r="AQ71" s="14" t="str">
        <f t="shared" si="86"/>
        <v/>
      </c>
      <c r="AR71" s="14" t="str">
        <f t="shared" si="87"/>
        <v/>
      </c>
      <c r="AS71" s="17" t="str">
        <f>IF(A71="","",IF(J71="",Inputs!$B$18,J71))</f>
        <v/>
      </c>
      <c r="AT71" s="17" t="str">
        <f>IF(A71="","",IFERROR(_xludf.maxifs($AV$4:$AV$201,$D$4:$D$201,$A71),""))</f>
        <v/>
      </c>
      <c r="AU71" s="17" t="str">
        <f>IF(A71="","",IF(OR(E71="",Inputs!$B$23=""),"",E71/(Inputs!$B$23*60)))</f>
        <v/>
      </c>
      <c r="AV71" s="17" t="str">
        <f t="shared" si="88"/>
        <v/>
      </c>
      <c r="AW71" s="17" t="str">
        <f t="shared" si="89"/>
        <v/>
      </c>
      <c r="AX71" s="17" t="str">
        <f>IF(OR(T71="",P71=""),"",(1/Inputs!$B$9)*((T71/4)^(2/3))*SQRT(P71))</f>
        <v/>
      </c>
      <c r="AY71" s="17" t="str">
        <f>IF(A71="","",IF(AND(AW71="",AX71="",BA71=""),"",IF(OR(UPPER(TRIM(Inputs!$B$24))="MANNING",UPPER(TRIM(Inputs!$B$24))="M"),AX71,IF(OR(UPPER(TRIM(Inputs!$B$24))="PARTIAL",UPPER(TRIM(Inputs!$B$24))="P"),BA71,IF(OR(UPPER(TRIM(Inputs!$B$24))="MAX",UPPER(TRIM(Inputs!$B$24))="X"),MAX(IF(AW71="",0,AW71),IF(AX71="",0,AX71),IF(BA71="",0,BA71)),AW71)))))</f>
        <v/>
      </c>
      <c r="AZ71" s="17" t="str">
        <f t="shared" si="90"/>
        <v/>
      </c>
      <c r="BA71" s="17" t="str">
        <f t="shared" si="91"/>
        <v/>
      </c>
      <c r="BB71" s="14" t="str">
        <f t="shared" si="92"/>
        <v/>
      </c>
      <c r="BC71" s="14" t="str">
        <f>IF(OR(N71="",T71="",P71=""),"",IF(OR(T71="",P71="",(0.94*T71)="",T71&lt;=0,(0.94*T71)&lt;=0),"",(1/Inputs!$B$9)*((T71^2/8)*((2*ACOS(1-2*(0.94*T71)/T71))-SIN((2*ACOS(1-2*(0.94*T71)/T71)))))*((((T71^2/8)*((2*ACOS(1-2*(0.94*T71)/T71))-SIN((2*ACOS(1-2*(0.94*T71)/T71)))))/((T71/2)*((2*ACOS(1-2*(0.94*T71)/T71)))))^(2/3))*SQRT(P71)))</f>
        <v/>
      </c>
      <c r="BD71" s="14" t="str">
        <f t="shared" si="93"/>
        <v/>
      </c>
      <c r="BE71" s="14" t="str">
        <f t="shared" si="94"/>
        <v/>
      </c>
      <c r="BF71" s="14" t="str">
        <f t="shared" si="95"/>
        <v/>
      </c>
      <c r="BG71" s="14" t="str">
        <f>IF(OR(T71="",P71="",BF71="",T71&lt;=0,BF71&lt;=0),"",(1/Inputs!$B$9)*((T71^2/8)*((2*ACOS(1-2*BF71/T71))-SIN((2*ACOS(1-2*BF71/T71)))))*((((T71^2/8)*((2*ACOS(1-2*BF71/T71))-SIN((2*ACOS(1-2*BF71/T71)))))/((T71/2)*((2*ACOS(1-2*BF71/T71)))))^(2/3))*SQRT(P71))</f>
        <v/>
      </c>
      <c r="BH71" s="14" t="str">
        <f t="shared" si="96"/>
        <v/>
      </c>
      <c r="BI71" s="14" t="str">
        <f t="shared" si="97"/>
        <v/>
      </c>
      <c r="BJ71" s="14" t="str">
        <f t="shared" si="98"/>
        <v/>
      </c>
      <c r="BK71" s="14" t="str">
        <f>IF(OR(T71="",P71="",BJ71="",T71&lt;=0,BJ71&lt;=0),"",(1/Inputs!$B$9)*((T71^2/8)*((2*ACOS(1-2*BJ71/T71))-SIN((2*ACOS(1-2*BJ71/T71)))))*((((T71^2/8)*((2*ACOS(1-2*BJ71/T71))-SIN((2*ACOS(1-2*BJ71/T71)))))/((T71/2)*((2*ACOS(1-2*BJ71/T71)))))^(2/3))*SQRT(P71))</f>
        <v/>
      </c>
      <c r="BL71" s="14" t="str">
        <f t="shared" si="99"/>
        <v/>
      </c>
      <c r="BM71" s="14" t="str">
        <f t="shared" si="100"/>
        <v/>
      </c>
      <c r="BN71" s="14" t="str">
        <f t="shared" si="101"/>
        <v/>
      </c>
      <c r="BO71" s="14" t="str">
        <f>IF(OR(T71="",P71="",BN71="",T71&lt;=0,BN71&lt;=0),"",(1/Inputs!$B$9)*((T71^2/8)*((2*ACOS(1-2*BN71/T71))-SIN((2*ACOS(1-2*BN71/T71)))))*((((T71^2/8)*((2*ACOS(1-2*BN71/T71))-SIN((2*ACOS(1-2*BN71/T71)))))/((T71/2)*((2*ACOS(1-2*BN71/T71)))))^(2/3))*SQRT(P71))</f>
        <v/>
      </c>
      <c r="BP71" s="14" t="str">
        <f t="shared" si="102"/>
        <v/>
      </c>
      <c r="BQ71" s="14" t="str">
        <f t="shared" si="103"/>
        <v/>
      </c>
      <c r="BR71" s="14" t="str">
        <f t="shared" si="104"/>
        <v/>
      </c>
      <c r="BS71" s="14" t="str">
        <f>IF(OR(T71="",P71="",BR71="",T71&lt;=0,BR71&lt;=0),"",(1/Inputs!$B$9)*((T71^2/8)*((2*ACOS(1-2*BR71/T71))-SIN((2*ACOS(1-2*BR71/T71)))))*((((T71^2/8)*((2*ACOS(1-2*BR71/T71))-SIN((2*ACOS(1-2*BR71/T71)))))/((T71/2)*((2*ACOS(1-2*BR71/T71)))))^(2/3))*SQRT(P71))</f>
        <v/>
      </c>
      <c r="BT71" s="14" t="str">
        <f t="shared" si="105"/>
        <v/>
      </c>
      <c r="BU71" s="14" t="str">
        <f t="shared" si="106"/>
        <v/>
      </c>
      <c r="BV71" s="14" t="str">
        <f t="shared" si="107"/>
        <v/>
      </c>
      <c r="BW71" s="14" t="str">
        <f>IF(OR(T71="",P71="",BV71="",T71&lt;=0,BV71&lt;=0),"",(1/Inputs!$B$9)*((T71^2/8)*((2*ACOS(1-2*BV71/T71))-SIN((2*ACOS(1-2*BV71/T71)))))*((((T71^2/8)*((2*ACOS(1-2*BV71/T71))-SIN((2*ACOS(1-2*BV71/T71)))))/((T71/2)*((2*ACOS(1-2*BV71/T71)))))^(2/3))*SQRT(P71))</f>
        <v/>
      </c>
      <c r="BX71" s="14" t="str">
        <f t="shared" si="108"/>
        <v/>
      </c>
      <c r="BY71" s="14" t="str">
        <f t="shared" si="109"/>
        <v/>
      </c>
      <c r="BZ71" s="14" t="str">
        <f t="shared" si="110"/>
        <v/>
      </c>
      <c r="CA71" s="14" t="str">
        <f>IF(OR(T71="",P71="",BZ71="",T71&lt;=0,BZ71&lt;=0),"",(1/Inputs!$B$9)*((T71^2/8)*((2*ACOS(1-2*BZ71/T71))-SIN((2*ACOS(1-2*BZ71/T71)))))*((((T71^2/8)*((2*ACOS(1-2*BZ71/T71))-SIN((2*ACOS(1-2*BZ71/T71)))))/((T71/2)*((2*ACOS(1-2*BZ71/T71)))))^(2/3))*SQRT(P71))</f>
        <v/>
      </c>
      <c r="CB71" s="14" t="str">
        <f t="shared" si="111"/>
        <v/>
      </c>
      <c r="CC71" s="14" t="str">
        <f t="shared" si="112"/>
        <v/>
      </c>
      <c r="CD71" s="14" t="str">
        <f t="shared" si="113"/>
        <v/>
      </c>
      <c r="CE71" s="14" t="str">
        <f>IF(OR(T71="",P71="",CD71="",T71&lt;=0,CD71&lt;=0),"",(1/Inputs!$B$9)*((T71^2/8)*((2*ACOS(1-2*CD71/T71))-SIN((2*ACOS(1-2*CD71/T71)))))*((((T71^2/8)*((2*ACOS(1-2*CD71/T71))-SIN((2*ACOS(1-2*CD71/T71)))))/((T71/2)*((2*ACOS(1-2*CD71/T71)))))^(2/3))*SQRT(P71))</f>
        <v/>
      </c>
      <c r="CF71" s="14" t="str">
        <f t="shared" si="114"/>
        <v/>
      </c>
      <c r="CG71" s="14" t="str">
        <f t="shared" si="115"/>
        <v/>
      </c>
      <c r="CH71" s="14" t="str">
        <f t="shared" si="116"/>
        <v/>
      </c>
    </row>
    <row r="72" spans="1:86" x14ac:dyDescent="0.25">
      <c r="A72" s="14"/>
      <c r="B72" s="14"/>
      <c r="C72" s="14"/>
      <c r="D72" s="14"/>
      <c r="E72" s="44"/>
      <c r="F72" s="44"/>
      <c r="G72" s="44">
        <f>SUMIFS(CB_plan!$G:$G,CB_plan!$F:$F,$A72)</f>
        <v>0</v>
      </c>
      <c r="H72" s="44">
        <f t="shared" si="78"/>
        <v>0</v>
      </c>
      <c r="I72" s="14"/>
      <c r="J72" s="44"/>
      <c r="K72" s="44" t="str">
        <f>IF(A72="","",Inputs!$B$13/((IF(AV72="",Inputs!$B$18,AV72)+Inputs!$B$14)^Inputs!$B$15))</f>
        <v/>
      </c>
      <c r="L72" s="44" t="str">
        <f>IF(A72="","",IF(H72="","",0.000000278*IF(I72&lt;&gt;"",I72,IFERROR(SUMIFS(CB_plan!$H:$H,CB_plan!$F:$F,$A72)/SUMIFS(CB_plan!$G:$G,CB_plan!$F:$F,$A72),Inputs!$B$17))*H72*K72))</f>
        <v/>
      </c>
      <c r="M72" s="44" t="str">
        <f t="shared" si="79"/>
        <v/>
      </c>
      <c r="N72" s="44" t="str">
        <f>IF(A72="","",(L72+M72)*Inputs!$B$16)</f>
        <v/>
      </c>
      <c r="O72" s="44"/>
      <c r="P72" s="44" t="str">
        <f>IF(A72="","",IF(O72="",Inputs!$B$7,O72))</f>
        <v/>
      </c>
      <c r="Q72" s="14" t="str">
        <f>IF(A72="","",IF(N72/Inputs!$B$10&lt;=AG72,Inputs!$F$5,IF(N72/Inputs!$B$10&gt;AP72,"OVERSIZE",INDEX(Inputs!$F$5:$F$14,MATCH(N72/Inputs!$B$10,AG72:AP72,1)+1))))</f>
        <v/>
      </c>
      <c r="R72" s="14"/>
      <c r="S72" s="14" t="str">
        <f t="shared" si="80"/>
        <v/>
      </c>
      <c r="T72" s="44" t="str">
        <f t="shared" si="81"/>
        <v/>
      </c>
      <c r="U72" s="44" t="str">
        <f>IF(T72="","",(1/Inputs!$B$9)*(PI()*T72^2/4)*((T72/4)^(2/3))*SQRT(P72))</f>
        <v/>
      </c>
      <c r="V72" s="44" t="str">
        <f>IF(OR(U72="",N72=""),"",N72/(U72*Inputs!$B$10))</f>
        <v/>
      </c>
      <c r="W72" s="44" t="str">
        <f t="shared" si="82"/>
        <v/>
      </c>
      <c r="X72" s="44"/>
      <c r="Y72" s="44" t="str">
        <f>IF(A72="","",IF(A72=Inputs!$B$6,Inputs!$B$22,IF(D72="","",IFERROR(INDEX($Z$4:$Z$201,MATCH(D72,$A$4:$A$201,0))+IF(X72="",Inputs!$B$20,X72),""))))</f>
        <v/>
      </c>
      <c r="Z72" s="44" t="str">
        <f t="shared" si="83"/>
        <v/>
      </c>
      <c r="AA72" s="44" t="str">
        <f>IF(C72="","",IFERROR(INDEX(Noeuds_plan!$C$4:$C$200,MATCH(C72,Noeuds_plan!$A$4:$A$200,0)),""))</f>
        <v/>
      </c>
      <c r="AB72" s="44" t="str">
        <f>IF(B72="","",IFERROR(INDEX(Noeuds_plan!$C$4:$C$200,MATCH(B72,Noeuds_plan!$A$4:$A$200,0)),""))</f>
        <v/>
      </c>
      <c r="AC72" s="44" t="str">
        <f t="shared" si="84"/>
        <v/>
      </c>
      <c r="AD72" s="44" t="str">
        <f t="shared" si="85"/>
        <v/>
      </c>
      <c r="AE72" s="14" t="str">
        <f>IF(A72="","",IF(OR(V72&gt;1,AND(AY72&lt;&gt;"",AY72&lt;Inputs!$B$11),AND(AY72&lt;&gt;"",AY72&gt;Inputs!$B$12),AC72&lt;Inputs!$B$19,AD72&lt;Inputs!$B$19,P72&lt;Inputs!$B$7,P72&gt;Inputs!$B$8),"CHECK","OK"))</f>
        <v/>
      </c>
      <c r="AF72" s="14"/>
      <c r="AG72" s="14" t="str">
        <f>IF(A72="","",(1/Inputs!$B$9)*(PI()*(Inputs!$F$5/1000)^2/4)*((Inputs!$F$5/1000/4)^(2/3))*SQRT(P72))</f>
        <v/>
      </c>
      <c r="AH72" s="14" t="str">
        <f>IF(A72="","",(1/Inputs!$B$9)*(PI()*(Inputs!$F$6/1000)^2/4)*((Inputs!$F$6/1000/4)^(2/3))*SQRT(P72))</f>
        <v/>
      </c>
      <c r="AI72" s="14" t="str">
        <f>IF(A72="","",(1/Inputs!$B$9)*(PI()*(Inputs!$F$7/1000)^2/4)*((Inputs!$F$7/1000/4)^(2/3))*SQRT(P72))</f>
        <v/>
      </c>
      <c r="AJ72" s="14" t="str">
        <f>IF(A72="","",(1/Inputs!$B$9)*(PI()*(Inputs!$F$8/1000)^2/4)*((Inputs!$F$8/1000/4)^(2/3))*SQRT(P72))</f>
        <v/>
      </c>
      <c r="AK72" s="14" t="str">
        <f>IF(A72="","",(1/Inputs!$B$9)*(PI()*(Inputs!$F$9/1000)^2/4)*((Inputs!$F$9/1000/4)^(2/3))*SQRT(P72))</f>
        <v/>
      </c>
      <c r="AL72" s="14" t="str">
        <f>IF(A72="","",(1/Inputs!$B$9)*(PI()*(Inputs!$F$10/1000)^2/4)*((Inputs!$F$10/1000/4)^(2/3))*SQRT(P72))</f>
        <v/>
      </c>
      <c r="AM72" s="14" t="str">
        <f>IF(A72="","",(1/Inputs!$B$9)*(PI()*(Inputs!$F$11/1000)^2/4)*((Inputs!$F$11/1000/4)^(2/3))*SQRT(P72))</f>
        <v/>
      </c>
      <c r="AN72" s="14" t="str">
        <f>IF(A72="","",(1/Inputs!$B$9)*(PI()*(Inputs!$F$12/1000)^2/4)*((Inputs!$F$12/1000/4)^(2/3))*SQRT(P72))</f>
        <v/>
      </c>
      <c r="AO72" s="14" t="str">
        <f>IF(A72="","",(1/Inputs!$B$9)*(PI()*(Inputs!$F$13/1000)^2/4)*((Inputs!$F$13/1000/4)^(2/3))*SQRT(P72))</f>
        <v/>
      </c>
      <c r="AP72" s="14" t="str">
        <f>IF(A72="","",(1/Inputs!$B$9)*(PI()*(Inputs!$F$14/1000)^2/4)*((Inputs!$F$14/1000/4)^(2/3))*SQRT(P72))</f>
        <v/>
      </c>
      <c r="AQ72" s="14" t="str">
        <f t="shared" si="86"/>
        <v/>
      </c>
      <c r="AR72" s="14" t="str">
        <f t="shared" si="87"/>
        <v/>
      </c>
      <c r="AS72" s="17" t="str">
        <f>IF(A72="","",IF(J72="",Inputs!$B$18,J72))</f>
        <v/>
      </c>
      <c r="AT72" s="17" t="str">
        <f>IF(A72="","",IFERROR(_xludf.maxifs($AV$4:$AV$201,$D$4:$D$201,$A72),""))</f>
        <v/>
      </c>
      <c r="AU72" s="17" t="str">
        <f>IF(A72="","",IF(OR(E72="",Inputs!$B$23=""),"",E72/(Inputs!$B$23*60)))</f>
        <v/>
      </c>
      <c r="AV72" s="17" t="str">
        <f t="shared" si="88"/>
        <v/>
      </c>
      <c r="AW72" s="17" t="str">
        <f t="shared" si="89"/>
        <v/>
      </c>
      <c r="AX72" s="17" t="str">
        <f>IF(OR(T72="",P72=""),"",(1/Inputs!$B$9)*((T72/4)^(2/3))*SQRT(P72))</f>
        <v/>
      </c>
      <c r="AY72" s="17" t="str">
        <f>IF(A72="","",IF(AND(AW72="",AX72="",BA72=""),"",IF(OR(UPPER(TRIM(Inputs!$B$24))="MANNING",UPPER(TRIM(Inputs!$B$24))="M"),AX72,IF(OR(UPPER(TRIM(Inputs!$B$24))="PARTIAL",UPPER(TRIM(Inputs!$B$24))="P"),BA72,IF(OR(UPPER(TRIM(Inputs!$B$24))="MAX",UPPER(TRIM(Inputs!$B$24))="X"),MAX(IF(AW72="",0,AW72),IF(AX72="",0,AX72),IF(BA72="",0,BA72)),AW72)))))</f>
        <v/>
      </c>
      <c r="AZ72" s="17" t="str">
        <f t="shared" si="90"/>
        <v/>
      </c>
      <c r="BA72" s="17" t="str">
        <f t="shared" si="91"/>
        <v/>
      </c>
      <c r="BB72" s="14" t="str">
        <f t="shared" si="92"/>
        <v/>
      </c>
      <c r="BC72" s="14" t="str">
        <f>IF(OR(N72="",T72="",P72=""),"",IF(OR(T72="",P72="",(0.94*T72)="",T72&lt;=0,(0.94*T72)&lt;=0),"",(1/Inputs!$B$9)*((T72^2/8)*((2*ACOS(1-2*(0.94*T72)/T72))-SIN((2*ACOS(1-2*(0.94*T72)/T72)))))*((((T72^2/8)*((2*ACOS(1-2*(0.94*T72)/T72))-SIN((2*ACOS(1-2*(0.94*T72)/T72)))))/((T72/2)*((2*ACOS(1-2*(0.94*T72)/T72)))))^(2/3))*SQRT(P72)))</f>
        <v/>
      </c>
      <c r="BD72" s="14" t="str">
        <f t="shared" si="93"/>
        <v/>
      </c>
      <c r="BE72" s="14" t="str">
        <f t="shared" si="94"/>
        <v/>
      </c>
      <c r="BF72" s="14" t="str">
        <f t="shared" si="95"/>
        <v/>
      </c>
      <c r="BG72" s="14" t="str">
        <f>IF(OR(T72="",P72="",BF72="",T72&lt;=0,BF72&lt;=0),"",(1/Inputs!$B$9)*((T72^2/8)*((2*ACOS(1-2*BF72/T72))-SIN((2*ACOS(1-2*BF72/T72)))))*((((T72^2/8)*((2*ACOS(1-2*BF72/T72))-SIN((2*ACOS(1-2*BF72/T72)))))/((T72/2)*((2*ACOS(1-2*BF72/T72)))))^(2/3))*SQRT(P72))</f>
        <v/>
      </c>
      <c r="BH72" s="14" t="str">
        <f t="shared" si="96"/>
        <v/>
      </c>
      <c r="BI72" s="14" t="str">
        <f t="shared" si="97"/>
        <v/>
      </c>
      <c r="BJ72" s="14" t="str">
        <f t="shared" si="98"/>
        <v/>
      </c>
      <c r="BK72" s="14" t="str">
        <f>IF(OR(T72="",P72="",BJ72="",T72&lt;=0,BJ72&lt;=0),"",(1/Inputs!$B$9)*((T72^2/8)*((2*ACOS(1-2*BJ72/T72))-SIN((2*ACOS(1-2*BJ72/T72)))))*((((T72^2/8)*((2*ACOS(1-2*BJ72/T72))-SIN((2*ACOS(1-2*BJ72/T72)))))/((T72/2)*((2*ACOS(1-2*BJ72/T72)))))^(2/3))*SQRT(P72))</f>
        <v/>
      </c>
      <c r="BL72" s="14" t="str">
        <f t="shared" si="99"/>
        <v/>
      </c>
      <c r="BM72" s="14" t="str">
        <f t="shared" si="100"/>
        <v/>
      </c>
      <c r="BN72" s="14" t="str">
        <f t="shared" si="101"/>
        <v/>
      </c>
      <c r="BO72" s="14" t="str">
        <f>IF(OR(T72="",P72="",BN72="",T72&lt;=0,BN72&lt;=0),"",(1/Inputs!$B$9)*((T72^2/8)*((2*ACOS(1-2*BN72/T72))-SIN((2*ACOS(1-2*BN72/T72)))))*((((T72^2/8)*((2*ACOS(1-2*BN72/T72))-SIN((2*ACOS(1-2*BN72/T72)))))/((T72/2)*((2*ACOS(1-2*BN72/T72)))))^(2/3))*SQRT(P72))</f>
        <v/>
      </c>
      <c r="BP72" s="14" t="str">
        <f t="shared" si="102"/>
        <v/>
      </c>
      <c r="BQ72" s="14" t="str">
        <f t="shared" si="103"/>
        <v/>
      </c>
      <c r="BR72" s="14" t="str">
        <f t="shared" si="104"/>
        <v/>
      </c>
      <c r="BS72" s="14" t="str">
        <f>IF(OR(T72="",P72="",BR72="",T72&lt;=0,BR72&lt;=0),"",(1/Inputs!$B$9)*((T72^2/8)*((2*ACOS(1-2*BR72/T72))-SIN((2*ACOS(1-2*BR72/T72)))))*((((T72^2/8)*((2*ACOS(1-2*BR72/T72))-SIN((2*ACOS(1-2*BR72/T72)))))/((T72/2)*((2*ACOS(1-2*BR72/T72)))))^(2/3))*SQRT(P72))</f>
        <v/>
      </c>
      <c r="BT72" s="14" t="str">
        <f t="shared" si="105"/>
        <v/>
      </c>
      <c r="BU72" s="14" t="str">
        <f t="shared" si="106"/>
        <v/>
      </c>
      <c r="BV72" s="14" t="str">
        <f t="shared" si="107"/>
        <v/>
      </c>
      <c r="BW72" s="14" t="str">
        <f>IF(OR(T72="",P72="",BV72="",T72&lt;=0,BV72&lt;=0),"",(1/Inputs!$B$9)*((T72^2/8)*((2*ACOS(1-2*BV72/T72))-SIN((2*ACOS(1-2*BV72/T72)))))*((((T72^2/8)*((2*ACOS(1-2*BV72/T72))-SIN((2*ACOS(1-2*BV72/T72)))))/((T72/2)*((2*ACOS(1-2*BV72/T72)))))^(2/3))*SQRT(P72))</f>
        <v/>
      </c>
      <c r="BX72" s="14" t="str">
        <f t="shared" si="108"/>
        <v/>
      </c>
      <c r="BY72" s="14" t="str">
        <f t="shared" si="109"/>
        <v/>
      </c>
      <c r="BZ72" s="14" t="str">
        <f t="shared" si="110"/>
        <v/>
      </c>
      <c r="CA72" s="14" t="str">
        <f>IF(OR(T72="",P72="",BZ72="",T72&lt;=0,BZ72&lt;=0),"",(1/Inputs!$B$9)*((T72^2/8)*((2*ACOS(1-2*BZ72/T72))-SIN((2*ACOS(1-2*BZ72/T72)))))*((((T72^2/8)*((2*ACOS(1-2*BZ72/T72))-SIN((2*ACOS(1-2*BZ72/T72)))))/((T72/2)*((2*ACOS(1-2*BZ72/T72)))))^(2/3))*SQRT(P72))</f>
        <v/>
      </c>
      <c r="CB72" s="14" t="str">
        <f t="shared" si="111"/>
        <v/>
      </c>
      <c r="CC72" s="14" t="str">
        <f t="shared" si="112"/>
        <v/>
      </c>
      <c r="CD72" s="14" t="str">
        <f t="shared" si="113"/>
        <v/>
      </c>
      <c r="CE72" s="14" t="str">
        <f>IF(OR(T72="",P72="",CD72="",T72&lt;=0,CD72&lt;=0),"",(1/Inputs!$B$9)*((T72^2/8)*((2*ACOS(1-2*CD72/T72))-SIN((2*ACOS(1-2*CD72/T72)))))*((((T72^2/8)*((2*ACOS(1-2*CD72/T72))-SIN((2*ACOS(1-2*CD72/T72)))))/((T72/2)*((2*ACOS(1-2*CD72/T72)))))^(2/3))*SQRT(P72))</f>
        <v/>
      </c>
      <c r="CF72" s="14" t="str">
        <f t="shared" si="114"/>
        <v/>
      </c>
      <c r="CG72" s="14" t="str">
        <f t="shared" si="115"/>
        <v/>
      </c>
      <c r="CH72" s="14" t="str">
        <f t="shared" si="116"/>
        <v/>
      </c>
    </row>
    <row r="73" spans="1:86" x14ac:dyDescent="0.25">
      <c r="A73" s="14"/>
      <c r="B73" s="14"/>
      <c r="C73" s="14"/>
      <c r="D73" s="14"/>
      <c r="E73" s="44"/>
      <c r="F73" s="44"/>
      <c r="G73" s="44">
        <f>SUMIFS(CB_plan!$G:$G,CB_plan!$F:$F,$A73)</f>
        <v>0</v>
      </c>
      <c r="H73" s="44">
        <f t="shared" si="78"/>
        <v>0</v>
      </c>
      <c r="I73" s="14"/>
      <c r="J73" s="44"/>
      <c r="K73" s="44" t="str">
        <f>IF(A73="","",Inputs!$B$13/((IF(AV73="",Inputs!$B$18,AV73)+Inputs!$B$14)^Inputs!$B$15))</f>
        <v/>
      </c>
      <c r="L73" s="44" t="str">
        <f>IF(A73="","",IF(H73="","",0.000000278*IF(I73&lt;&gt;"",I73,IFERROR(SUMIFS(CB_plan!$H:$H,CB_plan!$F:$F,$A73)/SUMIFS(CB_plan!$G:$G,CB_plan!$F:$F,$A73),Inputs!$B$17))*H73*K73))</f>
        <v/>
      </c>
      <c r="M73" s="44" t="str">
        <f t="shared" si="79"/>
        <v/>
      </c>
      <c r="N73" s="44" t="str">
        <f>IF(A73="","",(L73+M73)*Inputs!$B$16)</f>
        <v/>
      </c>
      <c r="O73" s="44"/>
      <c r="P73" s="44" t="str">
        <f>IF(A73="","",IF(O73="",Inputs!$B$7,O73))</f>
        <v/>
      </c>
      <c r="Q73" s="14" t="str">
        <f>IF(A73="","",IF(N73/Inputs!$B$10&lt;=AG73,Inputs!$F$5,IF(N73/Inputs!$B$10&gt;AP73,"OVERSIZE",INDEX(Inputs!$F$5:$F$14,MATCH(N73/Inputs!$B$10,AG73:AP73,1)+1))))</f>
        <v/>
      </c>
      <c r="R73" s="14"/>
      <c r="S73" s="14" t="str">
        <f t="shared" si="80"/>
        <v/>
      </c>
      <c r="T73" s="44" t="str">
        <f t="shared" si="81"/>
        <v/>
      </c>
      <c r="U73" s="44" t="str">
        <f>IF(T73="","",(1/Inputs!$B$9)*(PI()*T73^2/4)*((T73/4)^(2/3))*SQRT(P73))</f>
        <v/>
      </c>
      <c r="V73" s="44" t="str">
        <f>IF(OR(U73="",N73=""),"",N73/(U73*Inputs!$B$10))</f>
        <v/>
      </c>
      <c r="W73" s="44" t="str">
        <f t="shared" si="82"/>
        <v/>
      </c>
      <c r="X73" s="44"/>
      <c r="Y73" s="44" t="str">
        <f>IF(A73="","",IF(A73=Inputs!$B$6,Inputs!$B$22,IF(D73="","",IFERROR(INDEX($Z$4:$Z$201,MATCH(D73,$A$4:$A$201,0))+IF(X73="",Inputs!$B$20,X73),""))))</f>
        <v/>
      </c>
      <c r="Z73" s="44" t="str">
        <f t="shared" si="83"/>
        <v/>
      </c>
      <c r="AA73" s="44" t="str">
        <f>IF(C73="","",IFERROR(INDEX(Noeuds_plan!$C$4:$C$200,MATCH(C73,Noeuds_plan!$A$4:$A$200,0)),""))</f>
        <v/>
      </c>
      <c r="AB73" s="44" t="str">
        <f>IF(B73="","",IFERROR(INDEX(Noeuds_plan!$C$4:$C$200,MATCH(B73,Noeuds_plan!$A$4:$A$200,0)),""))</f>
        <v/>
      </c>
      <c r="AC73" s="44" t="str">
        <f t="shared" si="84"/>
        <v/>
      </c>
      <c r="AD73" s="44" t="str">
        <f t="shared" si="85"/>
        <v/>
      </c>
      <c r="AE73" s="14" t="str">
        <f>IF(A73="","",IF(OR(V73&gt;1,AND(AY73&lt;&gt;"",AY73&lt;Inputs!$B$11),AND(AY73&lt;&gt;"",AY73&gt;Inputs!$B$12),AC73&lt;Inputs!$B$19,AD73&lt;Inputs!$B$19,P73&lt;Inputs!$B$7,P73&gt;Inputs!$B$8),"CHECK","OK"))</f>
        <v/>
      </c>
      <c r="AF73" s="14"/>
      <c r="AG73" s="14" t="str">
        <f>IF(A73="","",(1/Inputs!$B$9)*(PI()*(Inputs!$F$5/1000)^2/4)*((Inputs!$F$5/1000/4)^(2/3))*SQRT(P73))</f>
        <v/>
      </c>
      <c r="AH73" s="14" t="str">
        <f>IF(A73="","",(1/Inputs!$B$9)*(PI()*(Inputs!$F$6/1000)^2/4)*((Inputs!$F$6/1000/4)^(2/3))*SQRT(P73))</f>
        <v/>
      </c>
      <c r="AI73" s="14" t="str">
        <f>IF(A73="","",(1/Inputs!$B$9)*(PI()*(Inputs!$F$7/1000)^2/4)*((Inputs!$F$7/1000/4)^(2/3))*SQRT(P73))</f>
        <v/>
      </c>
      <c r="AJ73" s="14" t="str">
        <f>IF(A73="","",(1/Inputs!$B$9)*(PI()*(Inputs!$F$8/1000)^2/4)*((Inputs!$F$8/1000/4)^(2/3))*SQRT(P73))</f>
        <v/>
      </c>
      <c r="AK73" s="14" t="str">
        <f>IF(A73="","",(1/Inputs!$B$9)*(PI()*(Inputs!$F$9/1000)^2/4)*((Inputs!$F$9/1000/4)^(2/3))*SQRT(P73))</f>
        <v/>
      </c>
      <c r="AL73" s="14" t="str">
        <f>IF(A73="","",(1/Inputs!$B$9)*(PI()*(Inputs!$F$10/1000)^2/4)*((Inputs!$F$10/1000/4)^(2/3))*SQRT(P73))</f>
        <v/>
      </c>
      <c r="AM73" s="14" t="str">
        <f>IF(A73="","",(1/Inputs!$B$9)*(PI()*(Inputs!$F$11/1000)^2/4)*((Inputs!$F$11/1000/4)^(2/3))*SQRT(P73))</f>
        <v/>
      </c>
      <c r="AN73" s="14" t="str">
        <f>IF(A73="","",(1/Inputs!$B$9)*(PI()*(Inputs!$F$12/1000)^2/4)*((Inputs!$F$12/1000/4)^(2/3))*SQRT(P73))</f>
        <v/>
      </c>
      <c r="AO73" s="14" t="str">
        <f>IF(A73="","",(1/Inputs!$B$9)*(PI()*(Inputs!$F$13/1000)^2/4)*((Inputs!$F$13/1000/4)^(2/3))*SQRT(P73))</f>
        <v/>
      </c>
      <c r="AP73" s="14" t="str">
        <f>IF(A73="","",(1/Inputs!$B$9)*(PI()*(Inputs!$F$14/1000)^2/4)*((Inputs!$F$14/1000/4)^(2/3))*SQRT(P73))</f>
        <v/>
      </c>
      <c r="AQ73" s="14" t="str">
        <f t="shared" si="86"/>
        <v/>
      </c>
      <c r="AR73" s="14" t="str">
        <f t="shared" si="87"/>
        <v/>
      </c>
      <c r="AS73" s="17" t="str">
        <f>IF(A73="","",IF(J73="",Inputs!$B$18,J73))</f>
        <v/>
      </c>
      <c r="AT73" s="17" t="str">
        <f>IF(A73="","",IFERROR(_xludf.maxifs($AV$4:$AV$201,$D$4:$D$201,$A73),""))</f>
        <v/>
      </c>
      <c r="AU73" s="17" t="str">
        <f>IF(A73="","",IF(OR(E73="",Inputs!$B$23=""),"",E73/(Inputs!$B$23*60)))</f>
        <v/>
      </c>
      <c r="AV73" s="17" t="str">
        <f t="shared" si="88"/>
        <v/>
      </c>
      <c r="AW73" s="17" t="str">
        <f t="shared" si="89"/>
        <v/>
      </c>
      <c r="AX73" s="17" t="str">
        <f>IF(OR(T73="",P73=""),"",(1/Inputs!$B$9)*((T73/4)^(2/3))*SQRT(P73))</f>
        <v/>
      </c>
      <c r="AY73" s="17" t="str">
        <f>IF(A73="","",IF(AND(AW73="",AX73="",BA73=""),"",IF(OR(UPPER(TRIM(Inputs!$B$24))="MANNING",UPPER(TRIM(Inputs!$B$24))="M"),AX73,IF(OR(UPPER(TRIM(Inputs!$B$24))="PARTIAL",UPPER(TRIM(Inputs!$B$24))="P"),BA73,IF(OR(UPPER(TRIM(Inputs!$B$24))="MAX",UPPER(TRIM(Inputs!$B$24))="X"),MAX(IF(AW73="",0,AW73),IF(AX73="",0,AX73),IF(BA73="",0,BA73)),AW73)))))</f>
        <v/>
      </c>
      <c r="AZ73" s="17" t="str">
        <f t="shared" si="90"/>
        <v/>
      </c>
      <c r="BA73" s="17" t="str">
        <f t="shared" si="91"/>
        <v/>
      </c>
      <c r="BB73" s="14" t="str">
        <f t="shared" si="92"/>
        <v/>
      </c>
      <c r="BC73" s="14" t="str">
        <f>IF(OR(N73="",T73="",P73=""),"",IF(OR(T73="",P73="",(0.94*T73)="",T73&lt;=0,(0.94*T73)&lt;=0),"",(1/Inputs!$B$9)*((T73^2/8)*((2*ACOS(1-2*(0.94*T73)/T73))-SIN((2*ACOS(1-2*(0.94*T73)/T73)))))*((((T73^2/8)*((2*ACOS(1-2*(0.94*T73)/T73))-SIN((2*ACOS(1-2*(0.94*T73)/T73)))))/((T73/2)*((2*ACOS(1-2*(0.94*T73)/T73)))))^(2/3))*SQRT(P73)))</f>
        <v/>
      </c>
      <c r="BD73" s="14" t="str">
        <f t="shared" si="93"/>
        <v/>
      </c>
      <c r="BE73" s="14" t="str">
        <f t="shared" si="94"/>
        <v/>
      </c>
      <c r="BF73" s="14" t="str">
        <f t="shared" si="95"/>
        <v/>
      </c>
      <c r="BG73" s="14" t="str">
        <f>IF(OR(T73="",P73="",BF73="",T73&lt;=0,BF73&lt;=0),"",(1/Inputs!$B$9)*((T73^2/8)*((2*ACOS(1-2*BF73/T73))-SIN((2*ACOS(1-2*BF73/T73)))))*((((T73^2/8)*((2*ACOS(1-2*BF73/T73))-SIN((2*ACOS(1-2*BF73/T73)))))/((T73/2)*((2*ACOS(1-2*BF73/T73)))))^(2/3))*SQRT(P73))</f>
        <v/>
      </c>
      <c r="BH73" s="14" t="str">
        <f t="shared" si="96"/>
        <v/>
      </c>
      <c r="BI73" s="14" t="str">
        <f t="shared" si="97"/>
        <v/>
      </c>
      <c r="BJ73" s="14" t="str">
        <f t="shared" si="98"/>
        <v/>
      </c>
      <c r="BK73" s="14" t="str">
        <f>IF(OR(T73="",P73="",BJ73="",T73&lt;=0,BJ73&lt;=0),"",(1/Inputs!$B$9)*((T73^2/8)*((2*ACOS(1-2*BJ73/T73))-SIN((2*ACOS(1-2*BJ73/T73)))))*((((T73^2/8)*((2*ACOS(1-2*BJ73/T73))-SIN((2*ACOS(1-2*BJ73/T73)))))/((T73/2)*((2*ACOS(1-2*BJ73/T73)))))^(2/3))*SQRT(P73))</f>
        <v/>
      </c>
      <c r="BL73" s="14" t="str">
        <f t="shared" si="99"/>
        <v/>
      </c>
      <c r="BM73" s="14" t="str">
        <f t="shared" si="100"/>
        <v/>
      </c>
      <c r="BN73" s="14" t="str">
        <f t="shared" si="101"/>
        <v/>
      </c>
      <c r="BO73" s="14" t="str">
        <f>IF(OR(T73="",P73="",BN73="",T73&lt;=0,BN73&lt;=0),"",(1/Inputs!$B$9)*((T73^2/8)*((2*ACOS(1-2*BN73/T73))-SIN((2*ACOS(1-2*BN73/T73)))))*((((T73^2/8)*((2*ACOS(1-2*BN73/T73))-SIN((2*ACOS(1-2*BN73/T73)))))/((T73/2)*((2*ACOS(1-2*BN73/T73)))))^(2/3))*SQRT(P73))</f>
        <v/>
      </c>
      <c r="BP73" s="14" t="str">
        <f t="shared" si="102"/>
        <v/>
      </c>
      <c r="BQ73" s="14" t="str">
        <f t="shared" si="103"/>
        <v/>
      </c>
      <c r="BR73" s="14" t="str">
        <f t="shared" si="104"/>
        <v/>
      </c>
      <c r="BS73" s="14" t="str">
        <f>IF(OR(T73="",P73="",BR73="",T73&lt;=0,BR73&lt;=0),"",(1/Inputs!$B$9)*((T73^2/8)*((2*ACOS(1-2*BR73/T73))-SIN((2*ACOS(1-2*BR73/T73)))))*((((T73^2/8)*((2*ACOS(1-2*BR73/T73))-SIN((2*ACOS(1-2*BR73/T73)))))/((T73/2)*((2*ACOS(1-2*BR73/T73)))))^(2/3))*SQRT(P73))</f>
        <v/>
      </c>
      <c r="BT73" s="14" t="str">
        <f t="shared" si="105"/>
        <v/>
      </c>
      <c r="BU73" s="14" t="str">
        <f t="shared" si="106"/>
        <v/>
      </c>
      <c r="BV73" s="14" t="str">
        <f t="shared" si="107"/>
        <v/>
      </c>
      <c r="BW73" s="14" t="str">
        <f>IF(OR(T73="",P73="",BV73="",T73&lt;=0,BV73&lt;=0),"",(1/Inputs!$B$9)*((T73^2/8)*((2*ACOS(1-2*BV73/T73))-SIN((2*ACOS(1-2*BV73/T73)))))*((((T73^2/8)*((2*ACOS(1-2*BV73/T73))-SIN((2*ACOS(1-2*BV73/T73)))))/((T73/2)*((2*ACOS(1-2*BV73/T73)))))^(2/3))*SQRT(P73))</f>
        <v/>
      </c>
      <c r="BX73" s="14" t="str">
        <f t="shared" si="108"/>
        <v/>
      </c>
      <c r="BY73" s="14" t="str">
        <f t="shared" si="109"/>
        <v/>
      </c>
      <c r="BZ73" s="14" t="str">
        <f t="shared" si="110"/>
        <v/>
      </c>
      <c r="CA73" s="14" t="str">
        <f>IF(OR(T73="",P73="",BZ73="",T73&lt;=0,BZ73&lt;=0),"",(1/Inputs!$B$9)*((T73^2/8)*((2*ACOS(1-2*BZ73/T73))-SIN((2*ACOS(1-2*BZ73/T73)))))*((((T73^2/8)*((2*ACOS(1-2*BZ73/T73))-SIN((2*ACOS(1-2*BZ73/T73)))))/((T73/2)*((2*ACOS(1-2*BZ73/T73)))))^(2/3))*SQRT(P73))</f>
        <v/>
      </c>
      <c r="CB73" s="14" t="str">
        <f t="shared" si="111"/>
        <v/>
      </c>
      <c r="CC73" s="14" t="str">
        <f t="shared" si="112"/>
        <v/>
      </c>
      <c r="CD73" s="14" t="str">
        <f t="shared" si="113"/>
        <v/>
      </c>
      <c r="CE73" s="14" t="str">
        <f>IF(OR(T73="",P73="",CD73="",T73&lt;=0,CD73&lt;=0),"",(1/Inputs!$B$9)*((T73^2/8)*((2*ACOS(1-2*CD73/T73))-SIN((2*ACOS(1-2*CD73/T73)))))*((((T73^2/8)*((2*ACOS(1-2*CD73/T73))-SIN((2*ACOS(1-2*CD73/T73)))))/((T73/2)*((2*ACOS(1-2*CD73/T73)))))^(2/3))*SQRT(P73))</f>
        <v/>
      </c>
      <c r="CF73" s="14" t="str">
        <f t="shared" si="114"/>
        <v/>
      </c>
      <c r="CG73" s="14" t="str">
        <f t="shared" si="115"/>
        <v/>
      </c>
      <c r="CH73" s="14" t="str">
        <f t="shared" si="116"/>
        <v/>
      </c>
    </row>
    <row r="74" spans="1:86" x14ac:dyDescent="0.25">
      <c r="A74" s="14"/>
      <c r="B74" s="14"/>
      <c r="C74" s="14"/>
      <c r="D74" s="14"/>
      <c r="E74" s="44"/>
      <c r="F74" s="44"/>
      <c r="G74" s="44">
        <f>SUMIFS(CB_plan!$G:$G,CB_plan!$F:$F,$A74)</f>
        <v>0</v>
      </c>
      <c r="H74" s="44">
        <f t="shared" si="78"/>
        <v>0</v>
      </c>
      <c r="I74" s="14"/>
      <c r="J74" s="44"/>
      <c r="K74" s="44" t="str">
        <f>IF(A74="","",Inputs!$B$13/((IF(AV74="",Inputs!$B$18,AV74)+Inputs!$B$14)^Inputs!$B$15))</f>
        <v/>
      </c>
      <c r="L74" s="44" t="str">
        <f>IF(A74="","",IF(H74="","",0.000000278*IF(I74&lt;&gt;"",I74,IFERROR(SUMIFS(CB_plan!$H:$H,CB_plan!$F:$F,$A74)/SUMIFS(CB_plan!$G:$G,CB_plan!$F:$F,$A74),Inputs!$B$17))*H74*K74))</f>
        <v/>
      </c>
      <c r="M74" s="44" t="str">
        <f t="shared" si="79"/>
        <v/>
      </c>
      <c r="N74" s="44" t="str">
        <f>IF(A74="","",(L74+M74)*Inputs!$B$16)</f>
        <v/>
      </c>
      <c r="O74" s="44"/>
      <c r="P74" s="44" t="str">
        <f>IF(A74="","",IF(O74="",Inputs!$B$7,O74))</f>
        <v/>
      </c>
      <c r="Q74" s="14" t="str">
        <f>IF(A74="","",IF(N74/Inputs!$B$10&lt;=AG74,Inputs!$F$5,IF(N74/Inputs!$B$10&gt;AP74,"OVERSIZE",INDEX(Inputs!$F$5:$F$14,MATCH(N74/Inputs!$B$10,AG74:AP74,1)+1))))</f>
        <v/>
      </c>
      <c r="R74" s="14"/>
      <c r="S74" s="14" t="str">
        <f t="shared" si="80"/>
        <v/>
      </c>
      <c r="T74" s="44" t="str">
        <f t="shared" si="81"/>
        <v/>
      </c>
      <c r="U74" s="44" t="str">
        <f>IF(T74="","",(1/Inputs!$B$9)*(PI()*T74^2/4)*((T74/4)^(2/3))*SQRT(P74))</f>
        <v/>
      </c>
      <c r="V74" s="44" t="str">
        <f>IF(OR(U74="",N74=""),"",N74/(U74*Inputs!$B$10))</f>
        <v/>
      </c>
      <c r="W74" s="44" t="str">
        <f t="shared" si="82"/>
        <v/>
      </c>
      <c r="X74" s="44"/>
      <c r="Y74" s="44" t="str">
        <f>IF(A74="","",IF(A74=Inputs!$B$6,Inputs!$B$22,IF(D74="","",IFERROR(INDEX($Z$4:$Z$201,MATCH(D74,$A$4:$A$201,0))+IF(X74="",Inputs!$B$20,X74),""))))</f>
        <v/>
      </c>
      <c r="Z74" s="44" t="str">
        <f t="shared" si="83"/>
        <v/>
      </c>
      <c r="AA74" s="44" t="str">
        <f>IF(C74="","",IFERROR(INDEX(Noeuds_plan!$C$4:$C$200,MATCH(C74,Noeuds_plan!$A$4:$A$200,0)),""))</f>
        <v/>
      </c>
      <c r="AB74" s="44" t="str">
        <f>IF(B74="","",IFERROR(INDEX(Noeuds_plan!$C$4:$C$200,MATCH(B74,Noeuds_plan!$A$4:$A$200,0)),""))</f>
        <v/>
      </c>
      <c r="AC74" s="44" t="str">
        <f t="shared" si="84"/>
        <v/>
      </c>
      <c r="AD74" s="44" t="str">
        <f t="shared" si="85"/>
        <v/>
      </c>
      <c r="AE74" s="14" t="str">
        <f>IF(A74="","",IF(OR(V74&gt;1,AND(AY74&lt;&gt;"",AY74&lt;Inputs!$B$11),AND(AY74&lt;&gt;"",AY74&gt;Inputs!$B$12),AC74&lt;Inputs!$B$19,AD74&lt;Inputs!$B$19,P74&lt;Inputs!$B$7,P74&gt;Inputs!$B$8),"CHECK","OK"))</f>
        <v/>
      </c>
      <c r="AF74" s="14"/>
      <c r="AG74" s="14" t="str">
        <f>IF(A74="","",(1/Inputs!$B$9)*(PI()*(Inputs!$F$5/1000)^2/4)*((Inputs!$F$5/1000/4)^(2/3))*SQRT(P74))</f>
        <v/>
      </c>
      <c r="AH74" s="14" t="str">
        <f>IF(A74="","",(1/Inputs!$B$9)*(PI()*(Inputs!$F$6/1000)^2/4)*((Inputs!$F$6/1000/4)^(2/3))*SQRT(P74))</f>
        <v/>
      </c>
      <c r="AI74" s="14" t="str">
        <f>IF(A74="","",(1/Inputs!$B$9)*(PI()*(Inputs!$F$7/1000)^2/4)*((Inputs!$F$7/1000/4)^(2/3))*SQRT(P74))</f>
        <v/>
      </c>
      <c r="AJ74" s="14" t="str">
        <f>IF(A74="","",(1/Inputs!$B$9)*(PI()*(Inputs!$F$8/1000)^2/4)*((Inputs!$F$8/1000/4)^(2/3))*SQRT(P74))</f>
        <v/>
      </c>
      <c r="AK74" s="14" t="str">
        <f>IF(A74="","",(1/Inputs!$B$9)*(PI()*(Inputs!$F$9/1000)^2/4)*((Inputs!$F$9/1000/4)^(2/3))*SQRT(P74))</f>
        <v/>
      </c>
      <c r="AL74" s="14" t="str">
        <f>IF(A74="","",(1/Inputs!$B$9)*(PI()*(Inputs!$F$10/1000)^2/4)*((Inputs!$F$10/1000/4)^(2/3))*SQRT(P74))</f>
        <v/>
      </c>
      <c r="AM74" s="14" t="str">
        <f>IF(A74="","",(1/Inputs!$B$9)*(PI()*(Inputs!$F$11/1000)^2/4)*((Inputs!$F$11/1000/4)^(2/3))*SQRT(P74))</f>
        <v/>
      </c>
      <c r="AN74" s="14" t="str">
        <f>IF(A74="","",(1/Inputs!$B$9)*(PI()*(Inputs!$F$12/1000)^2/4)*((Inputs!$F$12/1000/4)^(2/3))*SQRT(P74))</f>
        <v/>
      </c>
      <c r="AO74" s="14" t="str">
        <f>IF(A74="","",(1/Inputs!$B$9)*(PI()*(Inputs!$F$13/1000)^2/4)*((Inputs!$F$13/1000/4)^(2/3))*SQRT(P74))</f>
        <v/>
      </c>
      <c r="AP74" s="14" t="str">
        <f>IF(A74="","",(1/Inputs!$B$9)*(PI()*(Inputs!$F$14/1000)^2/4)*((Inputs!$F$14/1000/4)^(2/3))*SQRT(P74))</f>
        <v/>
      </c>
      <c r="AQ74" s="14" t="str">
        <f t="shared" si="86"/>
        <v/>
      </c>
      <c r="AR74" s="14" t="str">
        <f t="shared" si="87"/>
        <v/>
      </c>
      <c r="AS74" s="17" t="str">
        <f>IF(A74="","",IF(J74="",Inputs!$B$18,J74))</f>
        <v/>
      </c>
      <c r="AT74" s="17" t="str">
        <f>IF(A74="","",IFERROR(_xludf.maxifs($AV$4:$AV$201,$D$4:$D$201,$A74),""))</f>
        <v/>
      </c>
      <c r="AU74" s="17" t="str">
        <f>IF(A74="","",IF(OR(E74="",Inputs!$B$23=""),"",E74/(Inputs!$B$23*60)))</f>
        <v/>
      </c>
      <c r="AV74" s="17" t="str">
        <f t="shared" si="88"/>
        <v/>
      </c>
      <c r="AW74" s="17" t="str">
        <f t="shared" si="89"/>
        <v/>
      </c>
      <c r="AX74" s="17" t="str">
        <f>IF(OR(T74="",P74=""),"",(1/Inputs!$B$9)*((T74/4)^(2/3))*SQRT(P74))</f>
        <v/>
      </c>
      <c r="AY74" s="17" t="str">
        <f>IF(A74="","",IF(AND(AW74="",AX74="",BA74=""),"",IF(OR(UPPER(TRIM(Inputs!$B$24))="MANNING",UPPER(TRIM(Inputs!$B$24))="M"),AX74,IF(OR(UPPER(TRIM(Inputs!$B$24))="PARTIAL",UPPER(TRIM(Inputs!$B$24))="P"),BA74,IF(OR(UPPER(TRIM(Inputs!$B$24))="MAX",UPPER(TRIM(Inputs!$B$24))="X"),MAX(IF(AW74="",0,AW74),IF(AX74="",0,AX74),IF(BA74="",0,BA74)),AW74)))))</f>
        <v/>
      </c>
      <c r="AZ74" s="17" t="str">
        <f t="shared" si="90"/>
        <v/>
      </c>
      <c r="BA74" s="17" t="str">
        <f t="shared" si="91"/>
        <v/>
      </c>
      <c r="BB74" s="14" t="str">
        <f t="shared" si="92"/>
        <v/>
      </c>
      <c r="BC74" s="14" t="str">
        <f>IF(OR(N74="",T74="",P74=""),"",IF(OR(T74="",P74="",(0.94*T74)="",T74&lt;=0,(0.94*T74)&lt;=0),"",(1/Inputs!$B$9)*((T74^2/8)*((2*ACOS(1-2*(0.94*T74)/T74))-SIN((2*ACOS(1-2*(0.94*T74)/T74)))))*((((T74^2/8)*((2*ACOS(1-2*(0.94*T74)/T74))-SIN((2*ACOS(1-2*(0.94*T74)/T74)))))/((T74/2)*((2*ACOS(1-2*(0.94*T74)/T74)))))^(2/3))*SQRT(P74)))</f>
        <v/>
      </c>
      <c r="BD74" s="14" t="str">
        <f t="shared" si="93"/>
        <v/>
      </c>
      <c r="BE74" s="14" t="str">
        <f t="shared" si="94"/>
        <v/>
      </c>
      <c r="BF74" s="14" t="str">
        <f t="shared" si="95"/>
        <v/>
      </c>
      <c r="BG74" s="14" t="str">
        <f>IF(OR(T74="",P74="",BF74="",T74&lt;=0,BF74&lt;=0),"",(1/Inputs!$B$9)*((T74^2/8)*((2*ACOS(1-2*BF74/T74))-SIN((2*ACOS(1-2*BF74/T74)))))*((((T74^2/8)*((2*ACOS(1-2*BF74/T74))-SIN((2*ACOS(1-2*BF74/T74)))))/((T74/2)*((2*ACOS(1-2*BF74/T74)))))^(2/3))*SQRT(P74))</f>
        <v/>
      </c>
      <c r="BH74" s="14" t="str">
        <f t="shared" si="96"/>
        <v/>
      </c>
      <c r="BI74" s="14" t="str">
        <f t="shared" si="97"/>
        <v/>
      </c>
      <c r="BJ74" s="14" t="str">
        <f t="shared" si="98"/>
        <v/>
      </c>
      <c r="BK74" s="14" t="str">
        <f>IF(OR(T74="",P74="",BJ74="",T74&lt;=0,BJ74&lt;=0),"",(1/Inputs!$B$9)*((T74^2/8)*((2*ACOS(1-2*BJ74/T74))-SIN((2*ACOS(1-2*BJ74/T74)))))*((((T74^2/8)*((2*ACOS(1-2*BJ74/T74))-SIN((2*ACOS(1-2*BJ74/T74)))))/((T74/2)*((2*ACOS(1-2*BJ74/T74)))))^(2/3))*SQRT(P74))</f>
        <v/>
      </c>
      <c r="BL74" s="14" t="str">
        <f t="shared" si="99"/>
        <v/>
      </c>
      <c r="BM74" s="14" t="str">
        <f t="shared" si="100"/>
        <v/>
      </c>
      <c r="BN74" s="14" t="str">
        <f t="shared" si="101"/>
        <v/>
      </c>
      <c r="BO74" s="14" t="str">
        <f>IF(OR(T74="",P74="",BN74="",T74&lt;=0,BN74&lt;=0),"",(1/Inputs!$B$9)*((T74^2/8)*((2*ACOS(1-2*BN74/T74))-SIN((2*ACOS(1-2*BN74/T74)))))*((((T74^2/8)*((2*ACOS(1-2*BN74/T74))-SIN((2*ACOS(1-2*BN74/T74)))))/((T74/2)*((2*ACOS(1-2*BN74/T74)))))^(2/3))*SQRT(P74))</f>
        <v/>
      </c>
      <c r="BP74" s="14" t="str">
        <f t="shared" si="102"/>
        <v/>
      </c>
      <c r="BQ74" s="14" t="str">
        <f t="shared" si="103"/>
        <v/>
      </c>
      <c r="BR74" s="14" t="str">
        <f t="shared" si="104"/>
        <v/>
      </c>
      <c r="BS74" s="14" t="str">
        <f>IF(OR(T74="",P74="",BR74="",T74&lt;=0,BR74&lt;=0),"",(1/Inputs!$B$9)*((T74^2/8)*((2*ACOS(1-2*BR74/T74))-SIN((2*ACOS(1-2*BR74/T74)))))*((((T74^2/8)*((2*ACOS(1-2*BR74/T74))-SIN((2*ACOS(1-2*BR74/T74)))))/((T74/2)*((2*ACOS(1-2*BR74/T74)))))^(2/3))*SQRT(P74))</f>
        <v/>
      </c>
      <c r="BT74" s="14" t="str">
        <f t="shared" si="105"/>
        <v/>
      </c>
      <c r="BU74" s="14" t="str">
        <f t="shared" si="106"/>
        <v/>
      </c>
      <c r="BV74" s="14" t="str">
        <f t="shared" si="107"/>
        <v/>
      </c>
      <c r="BW74" s="14" t="str">
        <f>IF(OR(T74="",P74="",BV74="",T74&lt;=0,BV74&lt;=0),"",(1/Inputs!$B$9)*((T74^2/8)*((2*ACOS(1-2*BV74/T74))-SIN((2*ACOS(1-2*BV74/T74)))))*((((T74^2/8)*((2*ACOS(1-2*BV74/T74))-SIN((2*ACOS(1-2*BV74/T74)))))/((T74/2)*((2*ACOS(1-2*BV74/T74)))))^(2/3))*SQRT(P74))</f>
        <v/>
      </c>
      <c r="BX74" s="14" t="str">
        <f t="shared" si="108"/>
        <v/>
      </c>
      <c r="BY74" s="14" t="str">
        <f t="shared" si="109"/>
        <v/>
      </c>
      <c r="BZ74" s="14" t="str">
        <f t="shared" si="110"/>
        <v/>
      </c>
      <c r="CA74" s="14" t="str">
        <f>IF(OR(T74="",P74="",BZ74="",T74&lt;=0,BZ74&lt;=0),"",(1/Inputs!$B$9)*((T74^2/8)*((2*ACOS(1-2*BZ74/T74))-SIN((2*ACOS(1-2*BZ74/T74)))))*((((T74^2/8)*((2*ACOS(1-2*BZ74/T74))-SIN((2*ACOS(1-2*BZ74/T74)))))/((T74/2)*((2*ACOS(1-2*BZ74/T74)))))^(2/3))*SQRT(P74))</f>
        <v/>
      </c>
      <c r="CB74" s="14" t="str">
        <f t="shared" si="111"/>
        <v/>
      </c>
      <c r="CC74" s="14" t="str">
        <f t="shared" si="112"/>
        <v/>
      </c>
      <c r="CD74" s="14" t="str">
        <f t="shared" si="113"/>
        <v/>
      </c>
      <c r="CE74" s="14" t="str">
        <f>IF(OR(T74="",P74="",CD74="",T74&lt;=0,CD74&lt;=0),"",(1/Inputs!$B$9)*((T74^2/8)*((2*ACOS(1-2*CD74/T74))-SIN((2*ACOS(1-2*CD74/T74)))))*((((T74^2/8)*((2*ACOS(1-2*CD74/T74))-SIN((2*ACOS(1-2*CD74/T74)))))/((T74/2)*((2*ACOS(1-2*CD74/T74)))))^(2/3))*SQRT(P74))</f>
        <v/>
      </c>
      <c r="CF74" s="14" t="str">
        <f t="shared" si="114"/>
        <v/>
      </c>
      <c r="CG74" s="14" t="str">
        <f t="shared" si="115"/>
        <v/>
      </c>
      <c r="CH74" s="14" t="str">
        <f t="shared" si="116"/>
        <v/>
      </c>
    </row>
    <row r="75" spans="1:86" x14ac:dyDescent="0.25">
      <c r="A75" s="14"/>
      <c r="B75" s="14"/>
      <c r="C75" s="14"/>
      <c r="D75" s="14"/>
      <c r="E75" s="44"/>
      <c r="F75" s="44"/>
      <c r="G75" s="44">
        <f>SUMIFS(CB_plan!$G:$G,CB_plan!$F:$F,$A75)</f>
        <v>0</v>
      </c>
      <c r="H75" s="44">
        <f t="shared" si="78"/>
        <v>0</v>
      </c>
      <c r="I75" s="14"/>
      <c r="J75" s="44"/>
      <c r="K75" s="44" t="str">
        <f>IF(A75="","",Inputs!$B$13/((IF(AV75="",Inputs!$B$18,AV75)+Inputs!$B$14)^Inputs!$B$15))</f>
        <v/>
      </c>
      <c r="L75" s="44" t="str">
        <f>IF(A75="","",IF(H75="","",0.000000278*IF(I75&lt;&gt;"",I75,IFERROR(SUMIFS(CB_plan!$H:$H,CB_plan!$F:$F,$A75)/SUMIFS(CB_plan!$G:$G,CB_plan!$F:$F,$A75),Inputs!$B$17))*H75*K75))</f>
        <v/>
      </c>
      <c r="M75" s="44" t="str">
        <f t="shared" si="79"/>
        <v/>
      </c>
      <c r="N75" s="44" t="str">
        <f>IF(A75="","",(L75+M75)*Inputs!$B$16)</f>
        <v/>
      </c>
      <c r="O75" s="44"/>
      <c r="P75" s="44" t="str">
        <f>IF(A75="","",IF(O75="",Inputs!$B$7,O75))</f>
        <v/>
      </c>
      <c r="Q75" s="14" t="str">
        <f>IF(A75="","",IF(N75/Inputs!$B$10&lt;=AG75,Inputs!$F$5,IF(N75/Inputs!$B$10&gt;AP75,"OVERSIZE",INDEX(Inputs!$F$5:$F$14,MATCH(N75/Inputs!$B$10,AG75:AP75,1)+1))))</f>
        <v/>
      </c>
      <c r="R75" s="14"/>
      <c r="S75" s="14" t="str">
        <f t="shared" si="80"/>
        <v/>
      </c>
      <c r="T75" s="44" t="str">
        <f t="shared" si="81"/>
        <v/>
      </c>
      <c r="U75" s="44" t="str">
        <f>IF(T75="","",(1/Inputs!$B$9)*(PI()*T75^2/4)*((T75/4)^(2/3))*SQRT(P75))</f>
        <v/>
      </c>
      <c r="V75" s="44" t="str">
        <f>IF(OR(U75="",N75=""),"",N75/(U75*Inputs!$B$10))</f>
        <v/>
      </c>
      <c r="W75" s="44" t="str">
        <f t="shared" si="82"/>
        <v/>
      </c>
      <c r="X75" s="44"/>
      <c r="Y75" s="44" t="str">
        <f>IF(A75="","",IF(A75=Inputs!$B$6,Inputs!$B$22,IF(D75="","",IFERROR(INDEX($Z$4:$Z$201,MATCH(D75,$A$4:$A$201,0))+IF(X75="",Inputs!$B$20,X75),""))))</f>
        <v/>
      </c>
      <c r="Z75" s="44" t="str">
        <f t="shared" si="83"/>
        <v/>
      </c>
      <c r="AA75" s="44" t="str">
        <f>IF(C75="","",IFERROR(INDEX(Noeuds_plan!$C$4:$C$200,MATCH(C75,Noeuds_plan!$A$4:$A$200,0)),""))</f>
        <v/>
      </c>
      <c r="AB75" s="44" t="str">
        <f>IF(B75="","",IFERROR(INDEX(Noeuds_plan!$C$4:$C$200,MATCH(B75,Noeuds_plan!$A$4:$A$200,0)),""))</f>
        <v/>
      </c>
      <c r="AC75" s="44" t="str">
        <f t="shared" si="84"/>
        <v/>
      </c>
      <c r="AD75" s="44" t="str">
        <f t="shared" si="85"/>
        <v/>
      </c>
      <c r="AE75" s="14" t="str">
        <f>IF(A75="","",IF(OR(V75&gt;1,AND(AY75&lt;&gt;"",AY75&lt;Inputs!$B$11),AND(AY75&lt;&gt;"",AY75&gt;Inputs!$B$12),AC75&lt;Inputs!$B$19,AD75&lt;Inputs!$B$19,P75&lt;Inputs!$B$7,P75&gt;Inputs!$B$8),"CHECK","OK"))</f>
        <v/>
      </c>
      <c r="AF75" s="14"/>
      <c r="AG75" s="14" t="str">
        <f>IF(A75="","",(1/Inputs!$B$9)*(PI()*(Inputs!$F$5/1000)^2/4)*((Inputs!$F$5/1000/4)^(2/3))*SQRT(P75))</f>
        <v/>
      </c>
      <c r="AH75" s="14" t="str">
        <f>IF(A75="","",(1/Inputs!$B$9)*(PI()*(Inputs!$F$6/1000)^2/4)*((Inputs!$F$6/1000/4)^(2/3))*SQRT(P75))</f>
        <v/>
      </c>
      <c r="AI75" s="14" t="str">
        <f>IF(A75="","",(1/Inputs!$B$9)*(PI()*(Inputs!$F$7/1000)^2/4)*((Inputs!$F$7/1000/4)^(2/3))*SQRT(P75))</f>
        <v/>
      </c>
      <c r="AJ75" s="14" t="str">
        <f>IF(A75="","",(1/Inputs!$B$9)*(PI()*(Inputs!$F$8/1000)^2/4)*((Inputs!$F$8/1000/4)^(2/3))*SQRT(P75))</f>
        <v/>
      </c>
      <c r="AK75" s="14" t="str">
        <f>IF(A75="","",(1/Inputs!$B$9)*(PI()*(Inputs!$F$9/1000)^2/4)*((Inputs!$F$9/1000/4)^(2/3))*SQRT(P75))</f>
        <v/>
      </c>
      <c r="AL75" s="14" t="str">
        <f>IF(A75="","",(1/Inputs!$B$9)*(PI()*(Inputs!$F$10/1000)^2/4)*((Inputs!$F$10/1000/4)^(2/3))*SQRT(P75))</f>
        <v/>
      </c>
      <c r="AM75" s="14" t="str">
        <f>IF(A75="","",(1/Inputs!$B$9)*(PI()*(Inputs!$F$11/1000)^2/4)*((Inputs!$F$11/1000/4)^(2/3))*SQRT(P75))</f>
        <v/>
      </c>
      <c r="AN75" s="14" t="str">
        <f>IF(A75="","",(1/Inputs!$B$9)*(PI()*(Inputs!$F$12/1000)^2/4)*((Inputs!$F$12/1000/4)^(2/3))*SQRT(P75))</f>
        <v/>
      </c>
      <c r="AO75" s="14" t="str">
        <f>IF(A75="","",(1/Inputs!$B$9)*(PI()*(Inputs!$F$13/1000)^2/4)*((Inputs!$F$13/1000/4)^(2/3))*SQRT(P75))</f>
        <v/>
      </c>
      <c r="AP75" s="14" t="str">
        <f>IF(A75="","",(1/Inputs!$B$9)*(PI()*(Inputs!$F$14/1000)^2/4)*((Inputs!$F$14/1000/4)^(2/3))*SQRT(P75))</f>
        <v/>
      </c>
      <c r="AQ75" s="14" t="str">
        <f t="shared" si="86"/>
        <v/>
      </c>
      <c r="AR75" s="14" t="str">
        <f t="shared" si="87"/>
        <v/>
      </c>
      <c r="AS75" s="17" t="str">
        <f>IF(A75="","",IF(J75="",Inputs!$B$18,J75))</f>
        <v/>
      </c>
      <c r="AT75" s="17" t="str">
        <f>IF(A75="","",IFERROR(_xludf.maxifs($AV$4:$AV$201,$D$4:$D$201,$A75),""))</f>
        <v/>
      </c>
      <c r="AU75" s="17" t="str">
        <f>IF(A75="","",IF(OR(E75="",Inputs!$B$23=""),"",E75/(Inputs!$B$23*60)))</f>
        <v/>
      </c>
      <c r="AV75" s="17" t="str">
        <f t="shared" si="88"/>
        <v/>
      </c>
      <c r="AW75" s="17" t="str">
        <f t="shared" si="89"/>
        <v/>
      </c>
      <c r="AX75" s="17" t="str">
        <f>IF(OR(T75="",P75=""),"",(1/Inputs!$B$9)*((T75/4)^(2/3))*SQRT(P75))</f>
        <v/>
      </c>
      <c r="AY75" s="17" t="str">
        <f>IF(A75="","",IF(AND(AW75="",AX75="",BA75=""),"",IF(OR(UPPER(TRIM(Inputs!$B$24))="MANNING",UPPER(TRIM(Inputs!$B$24))="M"),AX75,IF(OR(UPPER(TRIM(Inputs!$B$24))="PARTIAL",UPPER(TRIM(Inputs!$B$24))="P"),BA75,IF(OR(UPPER(TRIM(Inputs!$B$24))="MAX",UPPER(TRIM(Inputs!$B$24))="X"),MAX(IF(AW75="",0,AW75),IF(AX75="",0,AX75),IF(BA75="",0,BA75)),AW75)))))</f>
        <v/>
      </c>
      <c r="AZ75" s="17" t="str">
        <f t="shared" si="90"/>
        <v/>
      </c>
      <c r="BA75" s="17" t="str">
        <f t="shared" si="91"/>
        <v/>
      </c>
      <c r="BB75" s="14" t="str">
        <f t="shared" si="92"/>
        <v/>
      </c>
      <c r="BC75" s="14" t="str">
        <f>IF(OR(N75="",T75="",P75=""),"",IF(OR(T75="",P75="",(0.94*T75)="",T75&lt;=0,(0.94*T75)&lt;=0),"",(1/Inputs!$B$9)*((T75^2/8)*((2*ACOS(1-2*(0.94*T75)/T75))-SIN((2*ACOS(1-2*(0.94*T75)/T75)))))*((((T75^2/8)*((2*ACOS(1-2*(0.94*T75)/T75))-SIN((2*ACOS(1-2*(0.94*T75)/T75)))))/((T75/2)*((2*ACOS(1-2*(0.94*T75)/T75)))))^(2/3))*SQRT(P75)))</f>
        <v/>
      </c>
      <c r="BD75" s="14" t="str">
        <f t="shared" si="93"/>
        <v/>
      </c>
      <c r="BE75" s="14" t="str">
        <f t="shared" si="94"/>
        <v/>
      </c>
      <c r="BF75" s="14" t="str">
        <f t="shared" si="95"/>
        <v/>
      </c>
      <c r="BG75" s="14" t="str">
        <f>IF(OR(T75="",P75="",BF75="",T75&lt;=0,BF75&lt;=0),"",(1/Inputs!$B$9)*((T75^2/8)*((2*ACOS(1-2*BF75/T75))-SIN((2*ACOS(1-2*BF75/T75)))))*((((T75^2/8)*((2*ACOS(1-2*BF75/T75))-SIN((2*ACOS(1-2*BF75/T75)))))/((T75/2)*((2*ACOS(1-2*BF75/T75)))))^(2/3))*SQRT(P75))</f>
        <v/>
      </c>
      <c r="BH75" s="14" t="str">
        <f t="shared" si="96"/>
        <v/>
      </c>
      <c r="BI75" s="14" t="str">
        <f t="shared" si="97"/>
        <v/>
      </c>
      <c r="BJ75" s="14" t="str">
        <f t="shared" si="98"/>
        <v/>
      </c>
      <c r="BK75" s="14" t="str">
        <f>IF(OR(T75="",P75="",BJ75="",T75&lt;=0,BJ75&lt;=0),"",(1/Inputs!$B$9)*((T75^2/8)*((2*ACOS(1-2*BJ75/T75))-SIN((2*ACOS(1-2*BJ75/T75)))))*((((T75^2/8)*((2*ACOS(1-2*BJ75/T75))-SIN((2*ACOS(1-2*BJ75/T75)))))/((T75/2)*((2*ACOS(1-2*BJ75/T75)))))^(2/3))*SQRT(P75))</f>
        <v/>
      </c>
      <c r="BL75" s="14" t="str">
        <f t="shared" si="99"/>
        <v/>
      </c>
      <c r="BM75" s="14" t="str">
        <f t="shared" si="100"/>
        <v/>
      </c>
      <c r="BN75" s="14" t="str">
        <f t="shared" si="101"/>
        <v/>
      </c>
      <c r="BO75" s="14" t="str">
        <f>IF(OR(T75="",P75="",BN75="",T75&lt;=0,BN75&lt;=0),"",(1/Inputs!$B$9)*((T75^2/8)*((2*ACOS(1-2*BN75/T75))-SIN((2*ACOS(1-2*BN75/T75)))))*((((T75^2/8)*((2*ACOS(1-2*BN75/T75))-SIN((2*ACOS(1-2*BN75/T75)))))/((T75/2)*((2*ACOS(1-2*BN75/T75)))))^(2/3))*SQRT(P75))</f>
        <v/>
      </c>
      <c r="BP75" s="14" t="str">
        <f t="shared" si="102"/>
        <v/>
      </c>
      <c r="BQ75" s="14" t="str">
        <f t="shared" si="103"/>
        <v/>
      </c>
      <c r="BR75" s="14" t="str">
        <f t="shared" si="104"/>
        <v/>
      </c>
      <c r="BS75" s="14" t="str">
        <f>IF(OR(T75="",P75="",BR75="",T75&lt;=0,BR75&lt;=0),"",(1/Inputs!$B$9)*((T75^2/8)*((2*ACOS(1-2*BR75/T75))-SIN((2*ACOS(1-2*BR75/T75)))))*((((T75^2/8)*((2*ACOS(1-2*BR75/T75))-SIN((2*ACOS(1-2*BR75/T75)))))/((T75/2)*((2*ACOS(1-2*BR75/T75)))))^(2/3))*SQRT(P75))</f>
        <v/>
      </c>
      <c r="BT75" s="14" t="str">
        <f t="shared" si="105"/>
        <v/>
      </c>
      <c r="BU75" s="14" t="str">
        <f t="shared" si="106"/>
        <v/>
      </c>
      <c r="BV75" s="14" t="str">
        <f t="shared" si="107"/>
        <v/>
      </c>
      <c r="BW75" s="14" t="str">
        <f>IF(OR(T75="",P75="",BV75="",T75&lt;=0,BV75&lt;=0),"",(1/Inputs!$B$9)*((T75^2/8)*((2*ACOS(1-2*BV75/T75))-SIN((2*ACOS(1-2*BV75/T75)))))*((((T75^2/8)*((2*ACOS(1-2*BV75/T75))-SIN((2*ACOS(1-2*BV75/T75)))))/((T75/2)*((2*ACOS(1-2*BV75/T75)))))^(2/3))*SQRT(P75))</f>
        <v/>
      </c>
      <c r="BX75" s="14" t="str">
        <f t="shared" si="108"/>
        <v/>
      </c>
      <c r="BY75" s="14" t="str">
        <f t="shared" si="109"/>
        <v/>
      </c>
      <c r="BZ75" s="14" t="str">
        <f t="shared" si="110"/>
        <v/>
      </c>
      <c r="CA75" s="14" t="str">
        <f>IF(OR(T75="",P75="",BZ75="",T75&lt;=0,BZ75&lt;=0),"",(1/Inputs!$B$9)*((T75^2/8)*((2*ACOS(1-2*BZ75/T75))-SIN((2*ACOS(1-2*BZ75/T75)))))*((((T75^2/8)*((2*ACOS(1-2*BZ75/T75))-SIN((2*ACOS(1-2*BZ75/T75)))))/((T75/2)*((2*ACOS(1-2*BZ75/T75)))))^(2/3))*SQRT(P75))</f>
        <v/>
      </c>
      <c r="CB75" s="14" t="str">
        <f t="shared" si="111"/>
        <v/>
      </c>
      <c r="CC75" s="14" t="str">
        <f t="shared" si="112"/>
        <v/>
      </c>
      <c r="CD75" s="14" t="str">
        <f t="shared" si="113"/>
        <v/>
      </c>
      <c r="CE75" s="14" t="str">
        <f>IF(OR(T75="",P75="",CD75="",T75&lt;=0,CD75&lt;=0),"",(1/Inputs!$B$9)*((T75^2/8)*((2*ACOS(1-2*CD75/T75))-SIN((2*ACOS(1-2*CD75/T75)))))*((((T75^2/8)*((2*ACOS(1-2*CD75/T75))-SIN((2*ACOS(1-2*CD75/T75)))))/((T75/2)*((2*ACOS(1-2*CD75/T75)))))^(2/3))*SQRT(P75))</f>
        <v/>
      </c>
      <c r="CF75" s="14" t="str">
        <f t="shared" si="114"/>
        <v/>
      </c>
      <c r="CG75" s="14" t="str">
        <f t="shared" si="115"/>
        <v/>
      </c>
      <c r="CH75" s="14" t="str">
        <f t="shared" si="116"/>
        <v/>
      </c>
    </row>
    <row r="76" spans="1:86" x14ac:dyDescent="0.25">
      <c r="A76" s="14"/>
      <c r="B76" s="14"/>
      <c r="C76" s="14"/>
      <c r="D76" s="14"/>
      <c r="E76" s="44"/>
      <c r="F76" s="44"/>
      <c r="G76" s="44">
        <f>SUMIFS(CB_plan!$G:$G,CB_plan!$F:$F,$A76)</f>
        <v>0</v>
      </c>
      <c r="H76" s="44">
        <f t="shared" si="78"/>
        <v>0</v>
      </c>
      <c r="I76" s="14"/>
      <c r="J76" s="44"/>
      <c r="K76" s="44" t="str">
        <f>IF(A76="","",Inputs!$B$13/((IF(AV76="",Inputs!$B$18,AV76)+Inputs!$B$14)^Inputs!$B$15))</f>
        <v/>
      </c>
      <c r="L76" s="44" t="str">
        <f>IF(A76="","",IF(H76="","",0.000000278*IF(I76&lt;&gt;"",I76,IFERROR(SUMIFS(CB_plan!$H:$H,CB_plan!$F:$F,$A76)/SUMIFS(CB_plan!$G:$G,CB_plan!$F:$F,$A76),Inputs!$B$17))*H76*K76))</f>
        <v/>
      </c>
      <c r="M76" s="44" t="str">
        <f t="shared" si="79"/>
        <v/>
      </c>
      <c r="N76" s="44" t="str">
        <f>IF(A76="","",(L76+M76)*Inputs!$B$16)</f>
        <v/>
      </c>
      <c r="O76" s="44"/>
      <c r="P76" s="44" t="str">
        <f>IF(A76="","",IF(O76="",Inputs!$B$7,O76))</f>
        <v/>
      </c>
      <c r="Q76" s="14" t="str">
        <f>IF(A76="","",IF(N76/Inputs!$B$10&lt;=AG76,Inputs!$F$5,IF(N76/Inputs!$B$10&gt;AP76,"OVERSIZE",INDEX(Inputs!$F$5:$F$14,MATCH(N76/Inputs!$B$10,AG76:AP76,1)+1))))</f>
        <v/>
      </c>
      <c r="R76" s="14"/>
      <c r="S76" s="14" t="str">
        <f t="shared" si="80"/>
        <v/>
      </c>
      <c r="T76" s="44" t="str">
        <f t="shared" si="81"/>
        <v/>
      </c>
      <c r="U76" s="44" t="str">
        <f>IF(T76="","",(1/Inputs!$B$9)*(PI()*T76^2/4)*((T76/4)^(2/3))*SQRT(P76))</f>
        <v/>
      </c>
      <c r="V76" s="44" t="str">
        <f>IF(OR(U76="",N76=""),"",N76/(U76*Inputs!$B$10))</f>
        <v/>
      </c>
      <c r="W76" s="44" t="str">
        <f t="shared" si="82"/>
        <v/>
      </c>
      <c r="X76" s="44"/>
      <c r="Y76" s="44" t="str">
        <f>IF(A76="","",IF(A76=Inputs!$B$6,Inputs!$B$22,IF(D76="","",IFERROR(INDEX($Z$4:$Z$201,MATCH(D76,$A$4:$A$201,0))+IF(X76="",Inputs!$B$20,X76),""))))</f>
        <v/>
      </c>
      <c r="Z76" s="44" t="str">
        <f t="shared" si="83"/>
        <v/>
      </c>
      <c r="AA76" s="44" t="str">
        <f>IF(C76="","",IFERROR(INDEX(Noeuds_plan!$C$4:$C$200,MATCH(C76,Noeuds_plan!$A$4:$A$200,0)),""))</f>
        <v/>
      </c>
      <c r="AB76" s="44" t="str">
        <f>IF(B76="","",IFERROR(INDEX(Noeuds_plan!$C$4:$C$200,MATCH(B76,Noeuds_plan!$A$4:$A$200,0)),""))</f>
        <v/>
      </c>
      <c r="AC76" s="44" t="str">
        <f t="shared" si="84"/>
        <v/>
      </c>
      <c r="AD76" s="44" t="str">
        <f t="shared" si="85"/>
        <v/>
      </c>
      <c r="AE76" s="14" t="str">
        <f>IF(A76="","",IF(OR(V76&gt;1,AND(AY76&lt;&gt;"",AY76&lt;Inputs!$B$11),AND(AY76&lt;&gt;"",AY76&gt;Inputs!$B$12),AC76&lt;Inputs!$B$19,AD76&lt;Inputs!$B$19,P76&lt;Inputs!$B$7,P76&gt;Inputs!$B$8),"CHECK","OK"))</f>
        <v/>
      </c>
      <c r="AF76" s="14"/>
      <c r="AG76" s="14" t="str">
        <f>IF(A76="","",(1/Inputs!$B$9)*(PI()*(Inputs!$F$5/1000)^2/4)*((Inputs!$F$5/1000/4)^(2/3))*SQRT(P76))</f>
        <v/>
      </c>
      <c r="AH76" s="14" t="str">
        <f>IF(A76="","",(1/Inputs!$B$9)*(PI()*(Inputs!$F$6/1000)^2/4)*((Inputs!$F$6/1000/4)^(2/3))*SQRT(P76))</f>
        <v/>
      </c>
      <c r="AI76" s="14" t="str">
        <f>IF(A76="","",(1/Inputs!$B$9)*(PI()*(Inputs!$F$7/1000)^2/4)*((Inputs!$F$7/1000/4)^(2/3))*SQRT(P76))</f>
        <v/>
      </c>
      <c r="AJ76" s="14" t="str">
        <f>IF(A76="","",(1/Inputs!$B$9)*(PI()*(Inputs!$F$8/1000)^2/4)*((Inputs!$F$8/1000/4)^(2/3))*SQRT(P76))</f>
        <v/>
      </c>
      <c r="AK76" s="14" t="str">
        <f>IF(A76="","",(1/Inputs!$B$9)*(PI()*(Inputs!$F$9/1000)^2/4)*((Inputs!$F$9/1000/4)^(2/3))*SQRT(P76))</f>
        <v/>
      </c>
      <c r="AL76" s="14" t="str">
        <f>IF(A76="","",(1/Inputs!$B$9)*(PI()*(Inputs!$F$10/1000)^2/4)*((Inputs!$F$10/1000/4)^(2/3))*SQRT(P76))</f>
        <v/>
      </c>
      <c r="AM76" s="14" t="str">
        <f>IF(A76="","",(1/Inputs!$B$9)*(PI()*(Inputs!$F$11/1000)^2/4)*((Inputs!$F$11/1000/4)^(2/3))*SQRT(P76))</f>
        <v/>
      </c>
      <c r="AN76" s="14" t="str">
        <f>IF(A76="","",(1/Inputs!$B$9)*(PI()*(Inputs!$F$12/1000)^2/4)*((Inputs!$F$12/1000/4)^(2/3))*SQRT(P76))</f>
        <v/>
      </c>
      <c r="AO76" s="14" t="str">
        <f>IF(A76="","",(1/Inputs!$B$9)*(PI()*(Inputs!$F$13/1000)^2/4)*((Inputs!$F$13/1000/4)^(2/3))*SQRT(P76))</f>
        <v/>
      </c>
      <c r="AP76" s="14" t="str">
        <f>IF(A76="","",(1/Inputs!$B$9)*(PI()*(Inputs!$F$14/1000)^2/4)*((Inputs!$F$14/1000/4)^(2/3))*SQRT(P76))</f>
        <v/>
      </c>
      <c r="AQ76" s="14" t="str">
        <f t="shared" si="86"/>
        <v/>
      </c>
      <c r="AR76" s="14" t="str">
        <f t="shared" si="87"/>
        <v/>
      </c>
      <c r="AS76" s="17" t="str">
        <f>IF(A76="","",IF(J76="",Inputs!$B$18,J76))</f>
        <v/>
      </c>
      <c r="AT76" s="17" t="str">
        <f>IF(A76="","",IFERROR(_xludf.maxifs($AV$4:$AV$201,$D$4:$D$201,$A76),""))</f>
        <v/>
      </c>
      <c r="AU76" s="17" t="str">
        <f>IF(A76="","",IF(OR(E76="",Inputs!$B$23=""),"",E76/(Inputs!$B$23*60)))</f>
        <v/>
      </c>
      <c r="AV76" s="17" t="str">
        <f t="shared" si="88"/>
        <v/>
      </c>
      <c r="AW76" s="17" t="str">
        <f t="shared" si="89"/>
        <v/>
      </c>
      <c r="AX76" s="17" t="str">
        <f>IF(OR(T76="",P76=""),"",(1/Inputs!$B$9)*((T76/4)^(2/3))*SQRT(P76))</f>
        <v/>
      </c>
      <c r="AY76" s="17" t="str">
        <f>IF(A76="","",IF(AND(AW76="",AX76="",BA76=""),"",IF(OR(UPPER(TRIM(Inputs!$B$24))="MANNING",UPPER(TRIM(Inputs!$B$24))="M"),AX76,IF(OR(UPPER(TRIM(Inputs!$B$24))="PARTIAL",UPPER(TRIM(Inputs!$B$24))="P"),BA76,IF(OR(UPPER(TRIM(Inputs!$B$24))="MAX",UPPER(TRIM(Inputs!$B$24))="X"),MAX(IF(AW76="",0,AW76),IF(AX76="",0,AX76),IF(BA76="",0,BA76)),AW76)))))</f>
        <v/>
      </c>
      <c r="AZ76" s="17" t="str">
        <f t="shared" si="90"/>
        <v/>
      </c>
      <c r="BA76" s="17" t="str">
        <f t="shared" si="91"/>
        <v/>
      </c>
      <c r="BB76" s="14" t="str">
        <f t="shared" si="92"/>
        <v/>
      </c>
      <c r="BC76" s="14" t="str">
        <f>IF(OR(N76="",T76="",P76=""),"",IF(OR(T76="",P76="",(0.94*T76)="",T76&lt;=0,(0.94*T76)&lt;=0),"",(1/Inputs!$B$9)*((T76^2/8)*((2*ACOS(1-2*(0.94*T76)/T76))-SIN((2*ACOS(1-2*(0.94*T76)/T76)))))*((((T76^2/8)*((2*ACOS(1-2*(0.94*T76)/T76))-SIN((2*ACOS(1-2*(0.94*T76)/T76)))))/((T76/2)*((2*ACOS(1-2*(0.94*T76)/T76)))))^(2/3))*SQRT(P76)))</f>
        <v/>
      </c>
      <c r="BD76" s="14" t="str">
        <f t="shared" si="93"/>
        <v/>
      </c>
      <c r="BE76" s="14" t="str">
        <f t="shared" si="94"/>
        <v/>
      </c>
      <c r="BF76" s="14" t="str">
        <f t="shared" si="95"/>
        <v/>
      </c>
      <c r="BG76" s="14" t="str">
        <f>IF(OR(T76="",P76="",BF76="",T76&lt;=0,BF76&lt;=0),"",(1/Inputs!$B$9)*((T76^2/8)*((2*ACOS(1-2*BF76/T76))-SIN((2*ACOS(1-2*BF76/T76)))))*((((T76^2/8)*((2*ACOS(1-2*BF76/T76))-SIN((2*ACOS(1-2*BF76/T76)))))/((T76/2)*((2*ACOS(1-2*BF76/T76)))))^(2/3))*SQRT(P76))</f>
        <v/>
      </c>
      <c r="BH76" s="14" t="str">
        <f t="shared" si="96"/>
        <v/>
      </c>
      <c r="BI76" s="14" t="str">
        <f t="shared" si="97"/>
        <v/>
      </c>
      <c r="BJ76" s="14" t="str">
        <f t="shared" si="98"/>
        <v/>
      </c>
      <c r="BK76" s="14" t="str">
        <f>IF(OR(T76="",P76="",BJ76="",T76&lt;=0,BJ76&lt;=0),"",(1/Inputs!$B$9)*((T76^2/8)*((2*ACOS(1-2*BJ76/T76))-SIN((2*ACOS(1-2*BJ76/T76)))))*((((T76^2/8)*((2*ACOS(1-2*BJ76/T76))-SIN((2*ACOS(1-2*BJ76/T76)))))/((T76/2)*((2*ACOS(1-2*BJ76/T76)))))^(2/3))*SQRT(P76))</f>
        <v/>
      </c>
      <c r="BL76" s="14" t="str">
        <f t="shared" si="99"/>
        <v/>
      </c>
      <c r="BM76" s="14" t="str">
        <f t="shared" si="100"/>
        <v/>
      </c>
      <c r="BN76" s="14" t="str">
        <f t="shared" si="101"/>
        <v/>
      </c>
      <c r="BO76" s="14" t="str">
        <f>IF(OR(T76="",P76="",BN76="",T76&lt;=0,BN76&lt;=0),"",(1/Inputs!$B$9)*((T76^2/8)*((2*ACOS(1-2*BN76/T76))-SIN((2*ACOS(1-2*BN76/T76)))))*((((T76^2/8)*((2*ACOS(1-2*BN76/T76))-SIN((2*ACOS(1-2*BN76/T76)))))/((T76/2)*((2*ACOS(1-2*BN76/T76)))))^(2/3))*SQRT(P76))</f>
        <v/>
      </c>
      <c r="BP76" s="14" t="str">
        <f t="shared" si="102"/>
        <v/>
      </c>
      <c r="BQ76" s="14" t="str">
        <f t="shared" si="103"/>
        <v/>
      </c>
      <c r="BR76" s="14" t="str">
        <f t="shared" si="104"/>
        <v/>
      </c>
      <c r="BS76" s="14" t="str">
        <f>IF(OR(T76="",P76="",BR76="",T76&lt;=0,BR76&lt;=0),"",(1/Inputs!$B$9)*((T76^2/8)*((2*ACOS(1-2*BR76/T76))-SIN((2*ACOS(1-2*BR76/T76)))))*((((T76^2/8)*((2*ACOS(1-2*BR76/T76))-SIN((2*ACOS(1-2*BR76/T76)))))/((T76/2)*((2*ACOS(1-2*BR76/T76)))))^(2/3))*SQRT(P76))</f>
        <v/>
      </c>
      <c r="BT76" s="14" t="str">
        <f t="shared" si="105"/>
        <v/>
      </c>
      <c r="BU76" s="14" t="str">
        <f t="shared" si="106"/>
        <v/>
      </c>
      <c r="BV76" s="14" t="str">
        <f t="shared" si="107"/>
        <v/>
      </c>
      <c r="BW76" s="14" t="str">
        <f>IF(OR(T76="",P76="",BV76="",T76&lt;=0,BV76&lt;=0),"",(1/Inputs!$B$9)*((T76^2/8)*((2*ACOS(1-2*BV76/T76))-SIN((2*ACOS(1-2*BV76/T76)))))*((((T76^2/8)*((2*ACOS(1-2*BV76/T76))-SIN((2*ACOS(1-2*BV76/T76)))))/((T76/2)*((2*ACOS(1-2*BV76/T76)))))^(2/3))*SQRT(P76))</f>
        <v/>
      </c>
      <c r="BX76" s="14" t="str">
        <f t="shared" si="108"/>
        <v/>
      </c>
      <c r="BY76" s="14" t="str">
        <f t="shared" si="109"/>
        <v/>
      </c>
      <c r="BZ76" s="14" t="str">
        <f t="shared" si="110"/>
        <v/>
      </c>
      <c r="CA76" s="14" t="str">
        <f>IF(OR(T76="",P76="",BZ76="",T76&lt;=0,BZ76&lt;=0),"",(1/Inputs!$B$9)*((T76^2/8)*((2*ACOS(1-2*BZ76/T76))-SIN((2*ACOS(1-2*BZ76/T76)))))*((((T76^2/8)*((2*ACOS(1-2*BZ76/T76))-SIN((2*ACOS(1-2*BZ76/T76)))))/((T76/2)*((2*ACOS(1-2*BZ76/T76)))))^(2/3))*SQRT(P76))</f>
        <v/>
      </c>
      <c r="CB76" s="14" t="str">
        <f t="shared" si="111"/>
        <v/>
      </c>
      <c r="CC76" s="14" t="str">
        <f t="shared" si="112"/>
        <v/>
      </c>
      <c r="CD76" s="14" t="str">
        <f t="shared" si="113"/>
        <v/>
      </c>
      <c r="CE76" s="14" t="str">
        <f>IF(OR(T76="",P76="",CD76="",T76&lt;=0,CD76&lt;=0),"",(1/Inputs!$B$9)*((T76^2/8)*((2*ACOS(1-2*CD76/T76))-SIN((2*ACOS(1-2*CD76/T76)))))*((((T76^2/8)*((2*ACOS(1-2*CD76/T76))-SIN((2*ACOS(1-2*CD76/T76)))))/((T76/2)*((2*ACOS(1-2*CD76/T76)))))^(2/3))*SQRT(P76))</f>
        <v/>
      </c>
      <c r="CF76" s="14" t="str">
        <f t="shared" si="114"/>
        <v/>
      </c>
      <c r="CG76" s="14" t="str">
        <f t="shared" si="115"/>
        <v/>
      </c>
      <c r="CH76" s="14" t="str">
        <f t="shared" si="116"/>
        <v/>
      </c>
    </row>
    <row r="77" spans="1:86" x14ac:dyDescent="0.25">
      <c r="A77" s="14"/>
      <c r="B77" s="14"/>
      <c r="C77" s="14"/>
      <c r="D77" s="14"/>
      <c r="E77" s="44"/>
      <c r="F77" s="44"/>
      <c r="G77" s="44">
        <f>SUMIFS(CB_plan!$G:$G,CB_plan!$F:$F,$A77)</f>
        <v>0</v>
      </c>
      <c r="H77" s="44">
        <f t="shared" si="78"/>
        <v>0</v>
      </c>
      <c r="I77" s="14"/>
      <c r="J77" s="44"/>
      <c r="K77" s="44" t="str">
        <f>IF(A77="","",Inputs!$B$13/((IF(AV77="",Inputs!$B$18,AV77)+Inputs!$B$14)^Inputs!$B$15))</f>
        <v/>
      </c>
      <c r="L77" s="44" t="str">
        <f>IF(A77="","",IF(H77="","",0.000000278*IF(I77&lt;&gt;"",I77,IFERROR(SUMIFS(CB_plan!$H:$H,CB_plan!$F:$F,$A77)/SUMIFS(CB_plan!$G:$G,CB_plan!$F:$F,$A77),Inputs!$B$17))*H77*K77))</f>
        <v/>
      </c>
      <c r="M77" s="44" t="str">
        <f t="shared" si="79"/>
        <v/>
      </c>
      <c r="N77" s="44" t="str">
        <f>IF(A77="","",(L77+M77)*Inputs!$B$16)</f>
        <v/>
      </c>
      <c r="O77" s="44"/>
      <c r="P77" s="44" t="str">
        <f>IF(A77="","",IF(O77="",Inputs!$B$7,O77))</f>
        <v/>
      </c>
      <c r="Q77" s="14" t="str">
        <f>IF(A77="","",IF(N77/Inputs!$B$10&lt;=AG77,Inputs!$F$5,IF(N77/Inputs!$B$10&gt;AP77,"OVERSIZE",INDEX(Inputs!$F$5:$F$14,MATCH(N77/Inputs!$B$10,AG77:AP77,1)+1))))</f>
        <v/>
      </c>
      <c r="R77" s="14"/>
      <c r="S77" s="14" t="str">
        <f t="shared" si="80"/>
        <v/>
      </c>
      <c r="T77" s="44" t="str">
        <f t="shared" si="81"/>
        <v/>
      </c>
      <c r="U77" s="44" t="str">
        <f>IF(T77="","",(1/Inputs!$B$9)*(PI()*T77^2/4)*((T77/4)^(2/3))*SQRT(P77))</f>
        <v/>
      </c>
      <c r="V77" s="44" t="str">
        <f>IF(OR(U77="",N77=""),"",N77/(U77*Inputs!$B$10))</f>
        <v/>
      </c>
      <c r="W77" s="44" t="str">
        <f t="shared" si="82"/>
        <v/>
      </c>
      <c r="X77" s="44"/>
      <c r="Y77" s="44" t="str">
        <f>IF(A77="","",IF(A77=Inputs!$B$6,Inputs!$B$22,IF(D77="","",IFERROR(INDEX($Z$4:$Z$201,MATCH(D77,$A$4:$A$201,0))+IF(X77="",Inputs!$B$20,X77),""))))</f>
        <v/>
      </c>
      <c r="Z77" s="44" t="str">
        <f t="shared" si="83"/>
        <v/>
      </c>
      <c r="AA77" s="44" t="str">
        <f>IF(C77="","",IFERROR(INDEX(Noeuds_plan!$C$4:$C$200,MATCH(C77,Noeuds_plan!$A$4:$A$200,0)),""))</f>
        <v/>
      </c>
      <c r="AB77" s="44" t="str">
        <f>IF(B77="","",IFERROR(INDEX(Noeuds_plan!$C$4:$C$200,MATCH(B77,Noeuds_plan!$A$4:$A$200,0)),""))</f>
        <v/>
      </c>
      <c r="AC77" s="44" t="str">
        <f t="shared" si="84"/>
        <v/>
      </c>
      <c r="AD77" s="44" t="str">
        <f t="shared" si="85"/>
        <v/>
      </c>
      <c r="AE77" s="14" t="str">
        <f>IF(A77="","",IF(OR(V77&gt;1,AND(AY77&lt;&gt;"",AY77&lt;Inputs!$B$11),AND(AY77&lt;&gt;"",AY77&gt;Inputs!$B$12),AC77&lt;Inputs!$B$19,AD77&lt;Inputs!$B$19,P77&lt;Inputs!$B$7,P77&gt;Inputs!$B$8),"CHECK","OK"))</f>
        <v/>
      </c>
      <c r="AF77" s="14"/>
      <c r="AG77" s="14" t="str">
        <f>IF(A77="","",(1/Inputs!$B$9)*(PI()*(Inputs!$F$5/1000)^2/4)*((Inputs!$F$5/1000/4)^(2/3))*SQRT(P77))</f>
        <v/>
      </c>
      <c r="AH77" s="14" t="str">
        <f>IF(A77="","",(1/Inputs!$B$9)*(PI()*(Inputs!$F$6/1000)^2/4)*((Inputs!$F$6/1000/4)^(2/3))*SQRT(P77))</f>
        <v/>
      </c>
      <c r="AI77" s="14" t="str">
        <f>IF(A77="","",(1/Inputs!$B$9)*(PI()*(Inputs!$F$7/1000)^2/4)*((Inputs!$F$7/1000/4)^(2/3))*SQRT(P77))</f>
        <v/>
      </c>
      <c r="AJ77" s="14" t="str">
        <f>IF(A77="","",(1/Inputs!$B$9)*(PI()*(Inputs!$F$8/1000)^2/4)*((Inputs!$F$8/1000/4)^(2/3))*SQRT(P77))</f>
        <v/>
      </c>
      <c r="AK77" s="14" t="str">
        <f>IF(A77="","",(1/Inputs!$B$9)*(PI()*(Inputs!$F$9/1000)^2/4)*((Inputs!$F$9/1000/4)^(2/3))*SQRT(P77))</f>
        <v/>
      </c>
      <c r="AL77" s="14" t="str">
        <f>IF(A77="","",(1/Inputs!$B$9)*(PI()*(Inputs!$F$10/1000)^2/4)*((Inputs!$F$10/1000/4)^(2/3))*SQRT(P77))</f>
        <v/>
      </c>
      <c r="AM77" s="14" t="str">
        <f>IF(A77="","",(1/Inputs!$B$9)*(PI()*(Inputs!$F$11/1000)^2/4)*((Inputs!$F$11/1000/4)^(2/3))*SQRT(P77))</f>
        <v/>
      </c>
      <c r="AN77" s="14" t="str">
        <f>IF(A77="","",(1/Inputs!$B$9)*(PI()*(Inputs!$F$12/1000)^2/4)*((Inputs!$F$12/1000/4)^(2/3))*SQRT(P77))</f>
        <v/>
      </c>
      <c r="AO77" s="14" t="str">
        <f>IF(A77="","",(1/Inputs!$B$9)*(PI()*(Inputs!$F$13/1000)^2/4)*((Inputs!$F$13/1000/4)^(2/3))*SQRT(P77))</f>
        <v/>
      </c>
      <c r="AP77" s="14" t="str">
        <f>IF(A77="","",(1/Inputs!$B$9)*(PI()*(Inputs!$F$14/1000)^2/4)*((Inputs!$F$14/1000/4)^(2/3))*SQRT(P77))</f>
        <v/>
      </c>
      <c r="AQ77" s="14" t="str">
        <f t="shared" si="86"/>
        <v/>
      </c>
      <c r="AR77" s="14" t="str">
        <f t="shared" si="87"/>
        <v/>
      </c>
      <c r="AS77" s="17" t="str">
        <f>IF(A77="","",IF(J77="",Inputs!$B$18,J77))</f>
        <v/>
      </c>
      <c r="AT77" s="17" t="str">
        <f>IF(A77="","",IFERROR(_xludf.maxifs($AV$4:$AV$201,$D$4:$D$201,$A77),""))</f>
        <v/>
      </c>
      <c r="AU77" s="17" t="str">
        <f>IF(A77="","",IF(OR(E77="",Inputs!$B$23=""),"",E77/(Inputs!$B$23*60)))</f>
        <v/>
      </c>
      <c r="AV77" s="17" t="str">
        <f t="shared" si="88"/>
        <v/>
      </c>
      <c r="AW77" s="17" t="str">
        <f t="shared" si="89"/>
        <v/>
      </c>
      <c r="AX77" s="17" t="str">
        <f>IF(OR(T77="",P77=""),"",(1/Inputs!$B$9)*((T77/4)^(2/3))*SQRT(P77))</f>
        <v/>
      </c>
      <c r="AY77" s="17" t="str">
        <f>IF(A77="","",IF(AND(AW77="",AX77="",BA77=""),"",IF(OR(UPPER(TRIM(Inputs!$B$24))="MANNING",UPPER(TRIM(Inputs!$B$24))="M"),AX77,IF(OR(UPPER(TRIM(Inputs!$B$24))="PARTIAL",UPPER(TRIM(Inputs!$B$24))="P"),BA77,IF(OR(UPPER(TRIM(Inputs!$B$24))="MAX",UPPER(TRIM(Inputs!$B$24))="X"),MAX(IF(AW77="",0,AW77),IF(AX77="",0,AX77),IF(BA77="",0,BA77)),AW77)))))</f>
        <v/>
      </c>
      <c r="AZ77" s="17" t="str">
        <f t="shared" si="90"/>
        <v/>
      </c>
      <c r="BA77" s="17" t="str">
        <f t="shared" si="91"/>
        <v/>
      </c>
      <c r="BB77" s="14" t="str">
        <f t="shared" si="92"/>
        <v/>
      </c>
      <c r="BC77" s="14" t="str">
        <f>IF(OR(N77="",T77="",P77=""),"",IF(OR(T77="",P77="",(0.94*T77)="",T77&lt;=0,(0.94*T77)&lt;=0),"",(1/Inputs!$B$9)*((T77^2/8)*((2*ACOS(1-2*(0.94*T77)/T77))-SIN((2*ACOS(1-2*(0.94*T77)/T77)))))*((((T77^2/8)*((2*ACOS(1-2*(0.94*T77)/T77))-SIN((2*ACOS(1-2*(0.94*T77)/T77)))))/((T77/2)*((2*ACOS(1-2*(0.94*T77)/T77)))))^(2/3))*SQRT(P77)))</f>
        <v/>
      </c>
      <c r="BD77" s="14" t="str">
        <f t="shared" si="93"/>
        <v/>
      </c>
      <c r="BE77" s="14" t="str">
        <f t="shared" si="94"/>
        <v/>
      </c>
      <c r="BF77" s="14" t="str">
        <f t="shared" si="95"/>
        <v/>
      </c>
      <c r="BG77" s="14" t="str">
        <f>IF(OR(T77="",P77="",BF77="",T77&lt;=0,BF77&lt;=0),"",(1/Inputs!$B$9)*((T77^2/8)*((2*ACOS(1-2*BF77/T77))-SIN((2*ACOS(1-2*BF77/T77)))))*((((T77^2/8)*((2*ACOS(1-2*BF77/T77))-SIN((2*ACOS(1-2*BF77/T77)))))/((T77/2)*((2*ACOS(1-2*BF77/T77)))))^(2/3))*SQRT(P77))</f>
        <v/>
      </c>
      <c r="BH77" s="14" t="str">
        <f t="shared" si="96"/>
        <v/>
      </c>
      <c r="BI77" s="14" t="str">
        <f t="shared" si="97"/>
        <v/>
      </c>
      <c r="BJ77" s="14" t="str">
        <f t="shared" si="98"/>
        <v/>
      </c>
      <c r="BK77" s="14" t="str">
        <f>IF(OR(T77="",P77="",BJ77="",T77&lt;=0,BJ77&lt;=0),"",(1/Inputs!$B$9)*((T77^2/8)*((2*ACOS(1-2*BJ77/T77))-SIN((2*ACOS(1-2*BJ77/T77)))))*((((T77^2/8)*((2*ACOS(1-2*BJ77/T77))-SIN((2*ACOS(1-2*BJ77/T77)))))/((T77/2)*((2*ACOS(1-2*BJ77/T77)))))^(2/3))*SQRT(P77))</f>
        <v/>
      </c>
      <c r="BL77" s="14" t="str">
        <f t="shared" si="99"/>
        <v/>
      </c>
      <c r="BM77" s="14" t="str">
        <f t="shared" si="100"/>
        <v/>
      </c>
      <c r="BN77" s="14" t="str">
        <f t="shared" si="101"/>
        <v/>
      </c>
      <c r="BO77" s="14" t="str">
        <f>IF(OR(T77="",P77="",BN77="",T77&lt;=0,BN77&lt;=0),"",(1/Inputs!$B$9)*((T77^2/8)*((2*ACOS(1-2*BN77/T77))-SIN((2*ACOS(1-2*BN77/T77)))))*((((T77^2/8)*((2*ACOS(1-2*BN77/T77))-SIN((2*ACOS(1-2*BN77/T77)))))/((T77/2)*((2*ACOS(1-2*BN77/T77)))))^(2/3))*SQRT(P77))</f>
        <v/>
      </c>
      <c r="BP77" s="14" t="str">
        <f t="shared" si="102"/>
        <v/>
      </c>
      <c r="BQ77" s="14" t="str">
        <f t="shared" si="103"/>
        <v/>
      </c>
      <c r="BR77" s="14" t="str">
        <f t="shared" si="104"/>
        <v/>
      </c>
      <c r="BS77" s="14" t="str">
        <f>IF(OR(T77="",P77="",BR77="",T77&lt;=0,BR77&lt;=0),"",(1/Inputs!$B$9)*((T77^2/8)*((2*ACOS(1-2*BR77/T77))-SIN((2*ACOS(1-2*BR77/T77)))))*((((T77^2/8)*((2*ACOS(1-2*BR77/T77))-SIN((2*ACOS(1-2*BR77/T77)))))/((T77/2)*((2*ACOS(1-2*BR77/T77)))))^(2/3))*SQRT(P77))</f>
        <v/>
      </c>
      <c r="BT77" s="14" t="str">
        <f t="shared" si="105"/>
        <v/>
      </c>
      <c r="BU77" s="14" t="str">
        <f t="shared" si="106"/>
        <v/>
      </c>
      <c r="BV77" s="14" t="str">
        <f t="shared" si="107"/>
        <v/>
      </c>
      <c r="BW77" s="14" t="str">
        <f>IF(OR(T77="",P77="",BV77="",T77&lt;=0,BV77&lt;=0),"",(1/Inputs!$B$9)*((T77^2/8)*((2*ACOS(1-2*BV77/T77))-SIN((2*ACOS(1-2*BV77/T77)))))*((((T77^2/8)*((2*ACOS(1-2*BV77/T77))-SIN((2*ACOS(1-2*BV77/T77)))))/((T77/2)*((2*ACOS(1-2*BV77/T77)))))^(2/3))*SQRT(P77))</f>
        <v/>
      </c>
      <c r="BX77" s="14" t="str">
        <f t="shared" si="108"/>
        <v/>
      </c>
      <c r="BY77" s="14" t="str">
        <f t="shared" si="109"/>
        <v/>
      </c>
      <c r="BZ77" s="14" t="str">
        <f t="shared" si="110"/>
        <v/>
      </c>
      <c r="CA77" s="14" t="str">
        <f>IF(OR(T77="",P77="",BZ77="",T77&lt;=0,BZ77&lt;=0),"",(1/Inputs!$B$9)*((T77^2/8)*((2*ACOS(1-2*BZ77/T77))-SIN((2*ACOS(1-2*BZ77/T77)))))*((((T77^2/8)*((2*ACOS(1-2*BZ77/T77))-SIN((2*ACOS(1-2*BZ77/T77)))))/((T77/2)*((2*ACOS(1-2*BZ77/T77)))))^(2/3))*SQRT(P77))</f>
        <v/>
      </c>
      <c r="CB77" s="14" t="str">
        <f t="shared" si="111"/>
        <v/>
      </c>
      <c r="CC77" s="14" t="str">
        <f t="shared" si="112"/>
        <v/>
      </c>
      <c r="CD77" s="14" t="str">
        <f t="shared" si="113"/>
        <v/>
      </c>
      <c r="CE77" s="14" t="str">
        <f>IF(OR(T77="",P77="",CD77="",T77&lt;=0,CD77&lt;=0),"",(1/Inputs!$B$9)*((T77^2/8)*((2*ACOS(1-2*CD77/T77))-SIN((2*ACOS(1-2*CD77/T77)))))*((((T77^2/8)*((2*ACOS(1-2*CD77/T77))-SIN((2*ACOS(1-2*CD77/T77)))))/((T77/2)*((2*ACOS(1-2*CD77/T77)))))^(2/3))*SQRT(P77))</f>
        <v/>
      </c>
      <c r="CF77" s="14" t="str">
        <f t="shared" si="114"/>
        <v/>
      </c>
      <c r="CG77" s="14" t="str">
        <f t="shared" si="115"/>
        <v/>
      </c>
      <c r="CH77" s="14" t="str">
        <f t="shared" si="116"/>
        <v/>
      </c>
    </row>
    <row r="78" spans="1:86" x14ac:dyDescent="0.25">
      <c r="A78" s="14"/>
      <c r="B78" s="14"/>
      <c r="C78" s="14"/>
      <c r="D78" s="14"/>
      <c r="E78" s="44"/>
      <c r="F78" s="44"/>
      <c r="G78" s="44">
        <f>SUMIFS(CB_plan!$G:$G,CB_plan!$F:$F,$A78)</f>
        <v>0</v>
      </c>
      <c r="H78" s="44">
        <f t="shared" si="78"/>
        <v>0</v>
      </c>
      <c r="I78" s="14"/>
      <c r="J78" s="44"/>
      <c r="K78" s="44" t="str">
        <f>IF(A78="","",Inputs!$B$13/((IF(AV78="",Inputs!$B$18,AV78)+Inputs!$B$14)^Inputs!$B$15))</f>
        <v/>
      </c>
      <c r="L78" s="44" t="str">
        <f>IF(A78="","",IF(H78="","",0.000000278*IF(I78&lt;&gt;"",I78,IFERROR(SUMIFS(CB_plan!$H:$H,CB_plan!$F:$F,$A78)/SUMIFS(CB_plan!$G:$G,CB_plan!$F:$F,$A78),Inputs!$B$17))*H78*K78))</f>
        <v/>
      </c>
      <c r="M78" s="44" t="str">
        <f t="shared" si="79"/>
        <v/>
      </c>
      <c r="N78" s="44" t="str">
        <f>IF(A78="","",(L78+M78)*Inputs!$B$16)</f>
        <v/>
      </c>
      <c r="O78" s="44"/>
      <c r="P78" s="44" t="str">
        <f>IF(A78="","",IF(O78="",Inputs!$B$7,O78))</f>
        <v/>
      </c>
      <c r="Q78" s="14" t="str">
        <f>IF(A78="","",IF(N78/Inputs!$B$10&lt;=AG78,Inputs!$F$5,IF(N78/Inputs!$B$10&gt;AP78,"OVERSIZE",INDEX(Inputs!$F$5:$F$14,MATCH(N78/Inputs!$B$10,AG78:AP78,1)+1))))</f>
        <v/>
      </c>
      <c r="R78" s="14"/>
      <c r="S78" s="14" t="str">
        <f t="shared" si="80"/>
        <v/>
      </c>
      <c r="T78" s="44" t="str">
        <f t="shared" si="81"/>
        <v/>
      </c>
      <c r="U78" s="44" t="str">
        <f>IF(T78="","",(1/Inputs!$B$9)*(PI()*T78^2/4)*((T78/4)^(2/3))*SQRT(P78))</f>
        <v/>
      </c>
      <c r="V78" s="44" t="str">
        <f>IF(OR(U78="",N78=""),"",N78/(U78*Inputs!$B$10))</f>
        <v/>
      </c>
      <c r="W78" s="44" t="str">
        <f t="shared" si="82"/>
        <v/>
      </c>
      <c r="X78" s="44"/>
      <c r="Y78" s="44" t="str">
        <f>IF(A78="","",IF(A78=Inputs!$B$6,Inputs!$B$22,IF(D78="","",IFERROR(INDEX($Z$4:$Z$201,MATCH(D78,$A$4:$A$201,0))+IF(X78="",Inputs!$B$20,X78),""))))</f>
        <v/>
      </c>
      <c r="Z78" s="44" t="str">
        <f t="shared" si="83"/>
        <v/>
      </c>
      <c r="AA78" s="44" t="str">
        <f>IF(C78="","",IFERROR(INDEX(Noeuds_plan!$C$4:$C$200,MATCH(C78,Noeuds_plan!$A$4:$A$200,0)),""))</f>
        <v/>
      </c>
      <c r="AB78" s="44" t="str">
        <f>IF(B78="","",IFERROR(INDEX(Noeuds_plan!$C$4:$C$200,MATCH(B78,Noeuds_plan!$A$4:$A$200,0)),""))</f>
        <v/>
      </c>
      <c r="AC78" s="44" t="str">
        <f t="shared" si="84"/>
        <v/>
      </c>
      <c r="AD78" s="44" t="str">
        <f t="shared" si="85"/>
        <v/>
      </c>
      <c r="AE78" s="14" t="str">
        <f>IF(A78="","",IF(OR(V78&gt;1,AND(AY78&lt;&gt;"",AY78&lt;Inputs!$B$11),AND(AY78&lt;&gt;"",AY78&gt;Inputs!$B$12),AC78&lt;Inputs!$B$19,AD78&lt;Inputs!$B$19,P78&lt;Inputs!$B$7,P78&gt;Inputs!$B$8),"CHECK","OK"))</f>
        <v/>
      </c>
      <c r="AF78" s="14"/>
      <c r="AG78" s="14" t="str">
        <f>IF(A78="","",(1/Inputs!$B$9)*(PI()*(Inputs!$F$5/1000)^2/4)*((Inputs!$F$5/1000/4)^(2/3))*SQRT(P78))</f>
        <v/>
      </c>
      <c r="AH78" s="14" t="str">
        <f>IF(A78="","",(1/Inputs!$B$9)*(PI()*(Inputs!$F$6/1000)^2/4)*((Inputs!$F$6/1000/4)^(2/3))*SQRT(P78))</f>
        <v/>
      </c>
      <c r="AI78" s="14" t="str">
        <f>IF(A78="","",(1/Inputs!$B$9)*(PI()*(Inputs!$F$7/1000)^2/4)*((Inputs!$F$7/1000/4)^(2/3))*SQRT(P78))</f>
        <v/>
      </c>
      <c r="AJ78" s="14" t="str">
        <f>IF(A78="","",(1/Inputs!$B$9)*(PI()*(Inputs!$F$8/1000)^2/4)*((Inputs!$F$8/1000/4)^(2/3))*SQRT(P78))</f>
        <v/>
      </c>
      <c r="AK78" s="14" t="str">
        <f>IF(A78="","",(1/Inputs!$B$9)*(PI()*(Inputs!$F$9/1000)^2/4)*((Inputs!$F$9/1000/4)^(2/3))*SQRT(P78))</f>
        <v/>
      </c>
      <c r="AL78" s="14" t="str">
        <f>IF(A78="","",(1/Inputs!$B$9)*(PI()*(Inputs!$F$10/1000)^2/4)*((Inputs!$F$10/1000/4)^(2/3))*SQRT(P78))</f>
        <v/>
      </c>
      <c r="AM78" s="14" t="str">
        <f>IF(A78="","",(1/Inputs!$B$9)*(PI()*(Inputs!$F$11/1000)^2/4)*((Inputs!$F$11/1000/4)^(2/3))*SQRT(P78))</f>
        <v/>
      </c>
      <c r="AN78" s="14" t="str">
        <f>IF(A78="","",(1/Inputs!$B$9)*(PI()*(Inputs!$F$12/1000)^2/4)*((Inputs!$F$12/1000/4)^(2/3))*SQRT(P78))</f>
        <v/>
      </c>
      <c r="AO78" s="14" t="str">
        <f>IF(A78="","",(1/Inputs!$B$9)*(PI()*(Inputs!$F$13/1000)^2/4)*((Inputs!$F$13/1000/4)^(2/3))*SQRT(P78))</f>
        <v/>
      </c>
      <c r="AP78" s="14" t="str">
        <f>IF(A78="","",(1/Inputs!$B$9)*(PI()*(Inputs!$F$14/1000)^2/4)*((Inputs!$F$14/1000/4)^(2/3))*SQRT(P78))</f>
        <v/>
      </c>
      <c r="AQ78" s="14" t="str">
        <f t="shared" si="86"/>
        <v/>
      </c>
      <c r="AR78" s="14" t="str">
        <f t="shared" si="87"/>
        <v/>
      </c>
      <c r="AS78" s="17" t="str">
        <f>IF(A78="","",IF(J78="",Inputs!$B$18,J78))</f>
        <v/>
      </c>
      <c r="AT78" s="17" t="str">
        <f>IF(A78="","",IFERROR(_xludf.maxifs($AV$4:$AV$201,$D$4:$D$201,$A78),""))</f>
        <v/>
      </c>
      <c r="AU78" s="17" t="str">
        <f>IF(A78="","",IF(OR(E78="",Inputs!$B$23=""),"",E78/(Inputs!$B$23*60)))</f>
        <v/>
      </c>
      <c r="AV78" s="17" t="str">
        <f t="shared" si="88"/>
        <v/>
      </c>
      <c r="AW78" s="17" t="str">
        <f t="shared" si="89"/>
        <v/>
      </c>
      <c r="AX78" s="17" t="str">
        <f>IF(OR(T78="",P78=""),"",(1/Inputs!$B$9)*((T78/4)^(2/3))*SQRT(P78))</f>
        <v/>
      </c>
      <c r="AY78" s="17" t="str">
        <f>IF(A78="","",IF(AND(AW78="",AX78="",BA78=""),"",IF(OR(UPPER(TRIM(Inputs!$B$24))="MANNING",UPPER(TRIM(Inputs!$B$24))="M"),AX78,IF(OR(UPPER(TRIM(Inputs!$B$24))="PARTIAL",UPPER(TRIM(Inputs!$B$24))="P"),BA78,IF(OR(UPPER(TRIM(Inputs!$B$24))="MAX",UPPER(TRIM(Inputs!$B$24))="X"),MAX(IF(AW78="",0,AW78),IF(AX78="",0,AX78),IF(BA78="",0,BA78)),AW78)))))</f>
        <v/>
      </c>
      <c r="AZ78" s="17" t="str">
        <f t="shared" si="90"/>
        <v/>
      </c>
      <c r="BA78" s="17" t="str">
        <f t="shared" si="91"/>
        <v/>
      </c>
      <c r="BB78" s="14" t="str">
        <f t="shared" si="92"/>
        <v/>
      </c>
      <c r="BC78" s="14" t="str">
        <f>IF(OR(N78="",T78="",P78=""),"",IF(OR(T78="",P78="",(0.94*T78)="",T78&lt;=0,(0.94*T78)&lt;=0),"",(1/Inputs!$B$9)*((T78^2/8)*((2*ACOS(1-2*(0.94*T78)/T78))-SIN((2*ACOS(1-2*(0.94*T78)/T78)))))*((((T78^2/8)*((2*ACOS(1-2*(0.94*T78)/T78))-SIN((2*ACOS(1-2*(0.94*T78)/T78)))))/((T78/2)*((2*ACOS(1-2*(0.94*T78)/T78)))))^(2/3))*SQRT(P78)))</f>
        <v/>
      </c>
      <c r="BD78" s="14" t="str">
        <f t="shared" si="93"/>
        <v/>
      </c>
      <c r="BE78" s="14" t="str">
        <f t="shared" si="94"/>
        <v/>
      </c>
      <c r="BF78" s="14" t="str">
        <f t="shared" si="95"/>
        <v/>
      </c>
      <c r="BG78" s="14" t="str">
        <f>IF(OR(T78="",P78="",BF78="",T78&lt;=0,BF78&lt;=0),"",(1/Inputs!$B$9)*((T78^2/8)*((2*ACOS(1-2*BF78/T78))-SIN((2*ACOS(1-2*BF78/T78)))))*((((T78^2/8)*((2*ACOS(1-2*BF78/T78))-SIN((2*ACOS(1-2*BF78/T78)))))/((T78/2)*((2*ACOS(1-2*BF78/T78)))))^(2/3))*SQRT(P78))</f>
        <v/>
      </c>
      <c r="BH78" s="14" t="str">
        <f t="shared" si="96"/>
        <v/>
      </c>
      <c r="BI78" s="14" t="str">
        <f t="shared" si="97"/>
        <v/>
      </c>
      <c r="BJ78" s="14" t="str">
        <f t="shared" si="98"/>
        <v/>
      </c>
      <c r="BK78" s="14" t="str">
        <f>IF(OR(T78="",P78="",BJ78="",T78&lt;=0,BJ78&lt;=0),"",(1/Inputs!$B$9)*((T78^2/8)*((2*ACOS(1-2*BJ78/T78))-SIN((2*ACOS(1-2*BJ78/T78)))))*((((T78^2/8)*((2*ACOS(1-2*BJ78/T78))-SIN((2*ACOS(1-2*BJ78/T78)))))/((T78/2)*((2*ACOS(1-2*BJ78/T78)))))^(2/3))*SQRT(P78))</f>
        <v/>
      </c>
      <c r="BL78" s="14" t="str">
        <f t="shared" si="99"/>
        <v/>
      </c>
      <c r="BM78" s="14" t="str">
        <f t="shared" si="100"/>
        <v/>
      </c>
      <c r="BN78" s="14" t="str">
        <f t="shared" si="101"/>
        <v/>
      </c>
      <c r="BO78" s="14" t="str">
        <f>IF(OR(T78="",P78="",BN78="",T78&lt;=0,BN78&lt;=0),"",(1/Inputs!$B$9)*((T78^2/8)*((2*ACOS(1-2*BN78/T78))-SIN((2*ACOS(1-2*BN78/T78)))))*((((T78^2/8)*((2*ACOS(1-2*BN78/T78))-SIN((2*ACOS(1-2*BN78/T78)))))/((T78/2)*((2*ACOS(1-2*BN78/T78)))))^(2/3))*SQRT(P78))</f>
        <v/>
      </c>
      <c r="BP78" s="14" t="str">
        <f t="shared" si="102"/>
        <v/>
      </c>
      <c r="BQ78" s="14" t="str">
        <f t="shared" si="103"/>
        <v/>
      </c>
      <c r="BR78" s="14" t="str">
        <f t="shared" si="104"/>
        <v/>
      </c>
      <c r="BS78" s="14" t="str">
        <f>IF(OR(T78="",P78="",BR78="",T78&lt;=0,BR78&lt;=0),"",(1/Inputs!$B$9)*((T78^2/8)*((2*ACOS(1-2*BR78/T78))-SIN((2*ACOS(1-2*BR78/T78)))))*((((T78^2/8)*((2*ACOS(1-2*BR78/T78))-SIN((2*ACOS(1-2*BR78/T78)))))/((T78/2)*((2*ACOS(1-2*BR78/T78)))))^(2/3))*SQRT(P78))</f>
        <v/>
      </c>
      <c r="BT78" s="14" t="str">
        <f t="shared" si="105"/>
        <v/>
      </c>
      <c r="BU78" s="14" t="str">
        <f t="shared" si="106"/>
        <v/>
      </c>
      <c r="BV78" s="14" t="str">
        <f t="shared" si="107"/>
        <v/>
      </c>
      <c r="BW78" s="14" t="str">
        <f>IF(OR(T78="",P78="",BV78="",T78&lt;=0,BV78&lt;=0),"",(1/Inputs!$B$9)*((T78^2/8)*((2*ACOS(1-2*BV78/T78))-SIN((2*ACOS(1-2*BV78/T78)))))*((((T78^2/8)*((2*ACOS(1-2*BV78/T78))-SIN((2*ACOS(1-2*BV78/T78)))))/((T78/2)*((2*ACOS(1-2*BV78/T78)))))^(2/3))*SQRT(P78))</f>
        <v/>
      </c>
      <c r="BX78" s="14" t="str">
        <f t="shared" si="108"/>
        <v/>
      </c>
      <c r="BY78" s="14" t="str">
        <f t="shared" si="109"/>
        <v/>
      </c>
      <c r="BZ78" s="14" t="str">
        <f t="shared" si="110"/>
        <v/>
      </c>
      <c r="CA78" s="14" t="str">
        <f>IF(OR(T78="",P78="",BZ78="",T78&lt;=0,BZ78&lt;=0),"",(1/Inputs!$B$9)*((T78^2/8)*((2*ACOS(1-2*BZ78/T78))-SIN((2*ACOS(1-2*BZ78/T78)))))*((((T78^2/8)*((2*ACOS(1-2*BZ78/T78))-SIN((2*ACOS(1-2*BZ78/T78)))))/((T78/2)*((2*ACOS(1-2*BZ78/T78)))))^(2/3))*SQRT(P78))</f>
        <v/>
      </c>
      <c r="CB78" s="14" t="str">
        <f t="shared" si="111"/>
        <v/>
      </c>
      <c r="CC78" s="14" t="str">
        <f t="shared" si="112"/>
        <v/>
      </c>
      <c r="CD78" s="14" t="str">
        <f t="shared" si="113"/>
        <v/>
      </c>
      <c r="CE78" s="14" t="str">
        <f>IF(OR(T78="",P78="",CD78="",T78&lt;=0,CD78&lt;=0),"",(1/Inputs!$B$9)*((T78^2/8)*((2*ACOS(1-2*CD78/T78))-SIN((2*ACOS(1-2*CD78/T78)))))*((((T78^2/8)*((2*ACOS(1-2*CD78/T78))-SIN((2*ACOS(1-2*CD78/T78)))))/((T78/2)*((2*ACOS(1-2*CD78/T78)))))^(2/3))*SQRT(P78))</f>
        <v/>
      </c>
      <c r="CF78" s="14" t="str">
        <f t="shared" si="114"/>
        <v/>
      </c>
      <c r="CG78" s="14" t="str">
        <f t="shared" si="115"/>
        <v/>
      </c>
      <c r="CH78" s="14" t="str">
        <f t="shared" si="116"/>
        <v/>
      </c>
    </row>
    <row r="79" spans="1:86" x14ac:dyDescent="0.25">
      <c r="A79" s="14"/>
      <c r="B79" s="14"/>
      <c r="C79" s="14"/>
      <c r="D79" s="14"/>
      <c r="E79" s="44"/>
      <c r="F79" s="44"/>
      <c r="G79" s="44">
        <f>SUMIFS(CB_plan!$G:$G,CB_plan!$F:$F,$A79)</f>
        <v>0</v>
      </c>
      <c r="H79" s="44">
        <f t="shared" si="78"/>
        <v>0</v>
      </c>
      <c r="I79" s="14"/>
      <c r="J79" s="44"/>
      <c r="K79" s="44" t="str">
        <f>IF(A79="","",Inputs!$B$13/((IF(AV79="",Inputs!$B$18,AV79)+Inputs!$B$14)^Inputs!$B$15))</f>
        <v/>
      </c>
      <c r="L79" s="44" t="str">
        <f>IF(A79="","",IF(H79="","",0.000000278*IF(I79&lt;&gt;"",I79,IFERROR(SUMIFS(CB_plan!$H:$H,CB_plan!$F:$F,$A79)/SUMIFS(CB_plan!$G:$G,CB_plan!$F:$F,$A79),Inputs!$B$17))*H79*K79))</f>
        <v/>
      </c>
      <c r="M79" s="44" t="str">
        <f t="shared" si="79"/>
        <v/>
      </c>
      <c r="N79" s="44" t="str">
        <f>IF(A79="","",(L79+M79)*Inputs!$B$16)</f>
        <v/>
      </c>
      <c r="O79" s="44"/>
      <c r="P79" s="44" t="str">
        <f>IF(A79="","",IF(O79="",Inputs!$B$7,O79))</f>
        <v/>
      </c>
      <c r="Q79" s="14" t="str">
        <f>IF(A79="","",IF(N79/Inputs!$B$10&lt;=AG79,Inputs!$F$5,IF(N79/Inputs!$B$10&gt;AP79,"OVERSIZE",INDEX(Inputs!$F$5:$F$14,MATCH(N79/Inputs!$B$10,AG79:AP79,1)+1))))</f>
        <v/>
      </c>
      <c r="R79" s="14"/>
      <c r="S79" s="14" t="str">
        <f t="shared" si="80"/>
        <v/>
      </c>
      <c r="T79" s="44" t="str">
        <f t="shared" si="81"/>
        <v/>
      </c>
      <c r="U79" s="44" t="str">
        <f>IF(T79="","",(1/Inputs!$B$9)*(PI()*T79^2/4)*((T79/4)^(2/3))*SQRT(P79))</f>
        <v/>
      </c>
      <c r="V79" s="44" t="str">
        <f>IF(OR(U79="",N79=""),"",N79/(U79*Inputs!$B$10))</f>
        <v/>
      </c>
      <c r="W79" s="44" t="str">
        <f t="shared" si="82"/>
        <v/>
      </c>
      <c r="X79" s="44"/>
      <c r="Y79" s="44" t="str">
        <f>IF(A79="","",IF(A79=Inputs!$B$6,Inputs!$B$22,IF(D79="","",IFERROR(INDEX($Z$4:$Z$201,MATCH(D79,$A$4:$A$201,0))+IF(X79="",Inputs!$B$20,X79),""))))</f>
        <v/>
      </c>
      <c r="Z79" s="44" t="str">
        <f t="shared" si="83"/>
        <v/>
      </c>
      <c r="AA79" s="44" t="str">
        <f>IF(C79="","",IFERROR(INDEX(Noeuds_plan!$C$4:$C$200,MATCH(C79,Noeuds_plan!$A$4:$A$200,0)),""))</f>
        <v/>
      </c>
      <c r="AB79" s="44" t="str">
        <f>IF(B79="","",IFERROR(INDEX(Noeuds_plan!$C$4:$C$200,MATCH(B79,Noeuds_plan!$A$4:$A$200,0)),""))</f>
        <v/>
      </c>
      <c r="AC79" s="44" t="str">
        <f t="shared" si="84"/>
        <v/>
      </c>
      <c r="AD79" s="44" t="str">
        <f t="shared" si="85"/>
        <v/>
      </c>
      <c r="AE79" s="14" t="str">
        <f>IF(A79="","",IF(OR(V79&gt;1,AND(AY79&lt;&gt;"",AY79&lt;Inputs!$B$11),AND(AY79&lt;&gt;"",AY79&gt;Inputs!$B$12),AC79&lt;Inputs!$B$19,AD79&lt;Inputs!$B$19,P79&lt;Inputs!$B$7,P79&gt;Inputs!$B$8),"CHECK","OK"))</f>
        <v/>
      </c>
      <c r="AF79" s="14"/>
      <c r="AG79" s="14" t="str">
        <f>IF(A79="","",(1/Inputs!$B$9)*(PI()*(Inputs!$F$5/1000)^2/4)*((Inputs!$F$5/1000/4)^(2/3))*SQRT(P79))</f>
        <v/>
      </c>
      <c r="AH79" s="14" t="str">
        <f>IF(A79="","",(1/Inputs!$B$9)*(PI()*(Inputs!$F$6/1000)^2/4)*((Inputs!$F$6/1000/4)^(2/3))*SQRT(P79))</f>
        <v/>
      </c>
      <c r="AI79" s="14" t="str">
        <f>IF(A79="","",(1/Inputs!$B$9)*(PI()*(Inputs!$F$7/1000)^2/4)*((Inputs!$F$7/1000/4)^(2/3))*SQRT(P79))</f>
        <v/>
      </c>
      <c r="AJ79" s="14" t="str">
        <f>IF(A79="","",(1/Inputs!$B$9)*(PI()*(Inputs!$F$8/1000)^2/4)*((Inputs!$F$8/1000/4)^(2/3))*SQRT(P79))</f>
        <v/>
      </c>
      <c r="AK79" s="14" t="str">
        <f>IF(A79="","",(1/Inputs!$B$9)*(PI()*(Inputs!$F$9/1000)^2/4)*((Inputs!$F$9/1000/4)^(2/3))*SQRT(P79))</f>
        <v/>
      </c>
      <c r="AL79" s="14" t="str">
        <f>IF(A79="","",(1/Inputs!$B$9)*(PI()*(Inputs!$F$10/1000)^2/4)*((Inputs!$F$10/1000/4)^(2/3))*SQRT(P79))</f>
        <v/>
      </c>
      <c r="AM79" s="14" t="str">
        <f>IF(A79="","",(1/Inputs!$B$9)*(PI()*(Inputs!$F$11/1000)^2/4)*((Inputs!$F$11/1000/4)^(2/3))*SQRT(P79))</f>
        <v/>
      </c>
      <c r="AN79" s="14" t="str">
        <f>IF(A79="","",(1/Inputs!$B$9)*(PI()*(Inputs!$F$12/1000)^2/4)*((Inputs!$F$12/1000/4)^(2/3))*SQRT(P79))</f>
        <v/>
      </c>
      <c r="AO79" s="14" t="str">
        <f>IF(A79="","",(1/Inputs!$B$9)*(PI()*(Inputs!$F$13/1000)^2/4)*((Inputs!$F$13/1000/4)^(2/3))*SQRT(P79))</f>
        <v/>
      </c>
      <c r="AP79" s="14" t="str">
        <f>IF(A79="","",(1/Inputs!$B$9)*(PI()*(Inputs!$F$14/1000)^2/4)*((Inputs!$F$14/1000/4)^(2/3))*SQRT(P79))</f>
        <v/>
      </c>
      <c r="AQ79" s="14" t="str">
        <f t="shared" si="86"/>
        <v/>
      </c>
      <c r="AR79" s="14" t="str">
        <f t="shared" si="87"/>
        <v/>
      </c>
      <c r="AS79" s="17" t="str">
        <f>IF(A79="","",IF(J79="",Inputs!$B$18,J79))</f>
        <v/>
      </c>
      <c r="AT79" s="17" t="str">
        <f>IF(A79="","",IFERROR(_xludf.maxifs($AV$4:$AV$201,$D$4:$D$201,$A79),""))</f>
        <v/>
      </c>
      <c r="AU79" s="17" t="str">
        <f>IF(A79="","",IF(OR(E79="",Inputs!$B$23=""),"",E79/(Inputs!$B$23*60)))</f>
        <v/>
      </c>
      <c r="AV79" s="17" t="str">
        <f t="shared" si="88"/>
        <v/>
      </c>
      <c r="AW79" s="17" t="str">
        <f t="shared" si="89"/>
        <v/>
      </c>
      <c r="AX79" s="17" t="str">
        <f>IF(OR(T79="",P79=""),"",(1/Inputs!$B$9)*((T79/4)^(2/3))*SQRT(P79))</f>
        <v/>
      </c>
      <c r="AY79" s="17" t="str">
        <f>IF(A79="","",IF(AND(AW79="",AX79="",BA79=""),"",IF(OR(UPPER(TRIM(Inputs!$B$24))="MANNING",UPPER(TRIM(Inputs!$B$24))="M"),AX79,IF(OR(UPPER(TRIM(Inputs!$B$24))="PARTIAL",UPPER(TRIM(Inputs!$B$24))="P"),BA79,IF(OR(UPPER(TRIM(Inputs!$B$24))="MAX",UPPER(TRIM(Inputs!$B$24))="X"),MAX(IF(AW79="",0,AW79),IF(AX79="",0,AX79),IF(BA79="",0,BA79)),AW79)))))</f>
        <v/>
      </c>
      <c r="AZ79" s="17" t="str">
        <f t="shared" si="90"/>
        <v/>
      </c>
      <c r="BA79" s="17" t="str">
        <f t="shared" si="91"/>
        <v/>
      </c>
      <c r="BB79" s="14" t="str">
        <f t="shared" si="92"/>
        <v/>
      </c>
      <c r="BC79" s="14" t="str">
        <f>IF(OR(N79="",T79="",P79=""),"",IF(OR(T79="",P79="",(0.94*T79)="",T79&lt;=0,(0.94*T79)&lt;=0),"",(1/Inputs!$B$9)*((T79^2/8)*((2*ACOS(1-2*(0.94*T79)/T79))-SIN((2*ACOS(1-2*(0.94*T79)/T79)))))*((((T79^2/8)*((2*ACOS(1-2*(0.94*T79)/T79))-SIN((2*ACOS(1-2*(0.94*T79)/T79)))))/((T79/2)*((2*ACOS(1-2*(0.94*T79)/T79)))))^(2/3))*SQRT(P79)))</f>
        <v/>
      </c>
      <c r="BD79" s="14" t="str">
        <f t="shared" si="93"/>
        <v/>
      </c>
      <c r="BE79" s="14" t="str">
        <f t="shared" si="94"/>
        <v/>
      </c>
      <c r="BF79" s="14" t="str">
        <f t="shared" si="95"/>
        <v/>
      </c>
      <c r="BG79" s="14" t="str">
        <f>IF(OR(T79="",P79="",BF79="",T79&lt;=0,BF79&lt;=0),"",(1/Inputs!$B$9)*((T79^2/8)*((2*ACOS(1-2*BF79/T79))-SIN((2*ACOS(1-2*BF79/T79)))))*((((T79^2/8)*((2*ACOS(1-2*BF79/T79))-SIN((2*ACOS(1-2*BF79/T79)))))/((T79/2)*((2*ACOS(1-2*BF79/T79)))))^(2/3))*SQRT(P79))</f>
        <v/>
      </c>
      <c r="BH79" s="14" t="str">
        <f t="shared" si="96"/>
        <v/>
      </c>
      <c r="BI79" s="14" t="str">
        <f t="shared" si="97"/>
        <v/>
      </c>
      <c r="BJ79" s="14" t="str">
        <f t="shared" si="98"/>
        <v/>
      </c>
      <c r="BK79" s="14" t="str">
        <f>IF(OR(T79="",P79="",BJ79="",T79&lt;=0,BJ79&lt;=0),"",(1/Inputs!$B$9)*((T79^2/8)*((2*ACOS(1-2*BJ79/T79))-SIN((2*ACOS(1-2*BJ79/T79)))))*((((T79^2/8)*((2*ACOS(1-2*BJ79/T79))-SIN((2*ACOS(1-2*BJ79/T79)))))/((T79/2)*((2*ACOS(1-2*BJ79/T79)))))^(2/3))*SQRT(P79))</f>
        <v/>
      </c>
      <c r="BL79" s="14" t="str">
        <f t="shared" si="99"/>
        <v/>
      </c>
      <c r="BM79" s="14" t="str">
        <f t="shared" si="100"/>
        <v/>
      </c>
      <c r="BN79" s="14" t="str">
        <f t="shared" si="101"/>
        <v/>
      </c>
      <c r="BO79" s="14" t="str">
        <f>IF(OR(T79="",P79="",BN79="",T79&lt;=0,BN79&lt;=0),"",(1/Inputs!$B$9)*((T79^2/8)*((2*ACOS(1-2*BN79/T79))-SIN((2*ACOS(1-2*BN79/T79)))))*((((T79^2/8)*((2*ACOS(1-2*BN79/T79))-SIN((2*ACOS(1-2*BN79/T79)))))/((T79/2)*((2*ACOS(1-2*BN79/T79)))))^(2/3))*SQRT(P79))</f>
        <v/>
      </c>
      <c r="BP79" s="14" t="str">
        <f t="shared" si="102"/>
        <v/>
      </c>
      <c r="BQ79" s="14" t="str">
        <f t="shared" si="103"/>
        <v/>
      </c>
      <c r="BR79" s="14" t="str">
        <f t="shared" si="104"/>
        <v/>
      </c>
      <c r="BS79" s="14" t="str">
        <f>IF(OR(T79="",P79="",BR79="",T79&lt;=0,BR79&lt;=0),"",(1/Inputs!$B$9)*((T79^2/8)*((2*ACOS(1-2*BR79/T79))-SIN((2*ACOS(1-2*BR79/T79)))))*((((T79^2/8)*((2*ACOS(1-2*BR79/T79))-SIN((2*ACOS(1-2*BR79/T79)))))/((T79/2)*((2*ACOS(1-2*BR79/T79)))))^(2/3))*SQRT(P79))</f>
        <v/>
      </c>
      <c r="BT79" s="14" t="str">
        <f t="shared" si="105"/>
        <v/>
      </c>
      <c r="BU79" s="14" t="str">
        <f t="shared" si="106"/>
        <v/>
      </c>
      <c r="BV79" s="14" t="str">
        <f t="shared" si="107"/>
        <v/>
      </c>
      <c r="BW79" s="14" t="str">
        <f>IF(OR(T79="",P79="",BV79="",T79&lt;=0,BV79&lt;=0),"",(1/Inputs!$B$9)*((T79^2/8)*((2*ACOS(1-2*BV79/T79))-SIN((2*ACOS(1-2*BV79/T79)))))*((((T79^2/8)*((2*ACOS(1-2*BV79/T79))-SIN((2*ACOS(1-2*BV79/T79)))))/((T79/2)*((2*ACOS(1-2*BV79/T79)))))^(2/3))*SQRT(P79))</f>
        <v/>
      </c>
      <c r="BX79" s="14" t="str">
        <f t="shared" si="108"/>
        <v/>
      </c>
      <c r="BY79" s="14" t="str">
        <f t="shared" si="109"/>
        <v/>
      </c>
      <c r="BZ79" s="14" t="str">
        <f t="shared" si="110"/>
        <v/>
      </c>
      <c r="CA79" s="14" t="str">
        <f>IF(OR(T79="",P79="",BZ79="",T79&lt;=0,BZ79&lt;=0),"",(1/Inputs!$B$9)*((T79^2/8)*((2*ACOS(1-2*BZ79/T79))-SIN((2*ACOS(1-2*BZ79/T79)))))*((((T79^2/8)*((2*ACOS(1-2*BZ79/T79))-SIN((2*ACOS(1-2*BZ79/T79)))))/((T79/2)*((2*ACOS(1-2*BZ79/T79)))))^(2/3))*SQRT(P79))</f>
        <v/>
      </c>
      <c r="CB79" s="14" t="str">
        <f t="shared" si="111"/>
        <v/>
      </c>
      <c r="CC79" s="14" t="str">
        <f t="shared" si="112"/>
        <v/>
      </c>
      <c r="CD79" s="14" t="str">
        <f t="shared" si="113"/>
        <v/>
      </c>
      <c r="CE79" s="14" t="str">
        <f>IF(OR(T79="",P79="",CD79="",T79&lt;=0,CD79&lt;=0),"",(1/Inputs!$B$9)*((T79^2/8)*((2*ACOS(1-2*CD79/T79))-SIN((2*ACOS(1-2*CD79/T79)))))*((((T79^2/8)*((2*ACOS(1-2*CD79/T79))-SIN((2*ACOS(1-2*CD79/T79)))))/((T79/2)*((2*ACOS(1-2*CD79/T79)))))^(2/3))*SQRT(P79))</f>
        <v/>
      </c>
      <c r="CF79" s="14" t="str">
        <f t="shared" si="114"/>
        <v/>
      </c>
      <c r="CG79" s="14" t="str">
        <f t="shared" si="115"/>
        <v/>
      </c>
      <c r="CH79" s="14" t="str">
        <f t="shared" si="116"/>
        <v/>
      </c>
    </row>
    <row r="80" spans="1:86" x14ac:dyDescent="0.25">
      <c r="A80" s="14"/>
      <c r="B80" s="14"/>
      <c r="C80" s="14"/>
      <c r="D80" s="14"/>
      <c r="E80" s="44"/>
      <c r="F80" s="44"/>
      <c r="G80" s="44">
        <f>SUMIFS(CB_plan!$G:$G,CB_plan!$F:$F,$A80)</f>
        <v>0</v>
      </c>
      <c r="H80" s="44">
        <f t="shared" si="78"/>
        <v>0</v>
      </c>
      <c r="I80" s="14"/>
      <c r="J80" s="44"/>
      <c r="K80" s="44" t="str">
        <f>IF(A80="","",Inputs!$B$13/((IF(AV80="",Inputs!$B$18,AV80)+Inputs!$B$14)^Inputs!$B$15))</f>
        <v/>
      </c>
      <c r="L80" s="44" t="str">
        <f>IF(A80="","",IF(H80="","",0.000000278*IF(I80&lt;&gt;"",I80,IFERROR(SUMIFS(CB_plan!$H:$H,CB_plan!$F:$F,$A80)/SUMIFS(CB_plan!$G:$G,CB_plan!$F:$F,$A80),Inputs!$B$17))*H80*K80))</f>
        <v/>
      </c>
      <c r="M80" s="44" t="str">
        <f t="shared" si="79"/>
        <v/>
      </c>
      <c r="N80" s="44" t="str">
        <f>IF(A80="","",(L80+M80)*Inputs!$B$16)</f>
        <v/>
      </c>
      <c r="O80" s="44"/>
      <c r="P80" s="44" t="str">
        <f>IF(A80="","",IF(O80="",Inputs!$B$7,O80))</f>
        <v/>
      </c>
      <c r="Q80" s="14" t="str">
        <f>IF(A80="","",IF(N80/Inputs!$B$10&lt;=AG80,Inputs!$F$5,IF(N80/Inputs!$B$10&gt;AP80,"OVERSIZE",INDEX(Inputs!$F$5:$F$14,MATCH(N80/Inputs!$B$10,AG80:AP80,1)+1))))</f>
        <v/>
      </c>
      <c r="R80" s="14"/>
      <c r="S80" s="14" t="str">
        <f t="shared" si="80"/>
        <v/>
      </c>
      <c r="T80" s="44" t="str">
        <f t="shared" si="81"/>
        <v/>
      </c>
      <c r="U80" s="44" t="str">
        <f>IF(T80="","",(1/Inputs!$B$9)*(PI()*T80^2/4)*((T80/4)^(2/3))*SQRT(P80))</f>
        <v/>
      </c>
      <c r="V80" s="44" t="str">
        <f>IF(OR(U80="",N80=""),"",N80/(U80*Inputs!$B$10))</f>
        <v/>
      </c>
      <c r="W80" s="44" t="str">
        <f t="shared" si="82"/>
        <v/>
      </c>
      <c r="X80" s="44"/>
      <c r="Y80" s="44" t="str">
        <f>IF(A80="","",IF(A80=Inputs!$B$6,Inputs!$B$22,IF(D80="","",IFERROR(INDEX($Z$4:$Z$201,MATCH(D80,$A$4:$A$201,0))+IF(X80="",Inputs!$B$20,X80),""))))</f>
        <v/>
      </c>
      <c r="Z80" s="44" t="str">
        <f t="shared" si="83"/>
        <v/>
      </c>
      <c r="AA80" s="44" t="str">
        <f>IF(C80="","",IFERROR(INDEX(Noeuds_plan!$C$4:$C$200,MATCH(C80,Noeuds_plan!$A$4:$A$200,0)),""))</f>
        <v/>
      </c>
      <c r="AB80" s="44" t="str">
        <f>IF(B80="","",IFERROR(INDEX(Noeuds_plan!$C$4:$C$200,MATCH(B80,Noeuds_plan!$A$4:$A$200,0)),""))</f>
        <v/>
      </c>
      <c r="AC80" s="44" t="str">
        <f t="shared" si="84"/>
        <v/>
      </c>
      <c r="AD80" s="44" t="str">
        <f t="shared" si="85"/>
        <v/>
      </c>
      <c r="AE80" s="14" t="str">
        <f>IF(A80="","",IF(OR(V80&gt;1,AND(AY80&lt;&gt;"",AY80&lt;Inputs!$B$11),AND(AY80&lt;&gt;"",AY80&gt;Inputs!$B$12),AC80&lt;Inputs!$B$19,AD80&lt;Inputs!$B$19,P80&lt;Inputs!$B$7,P80&gt;Inputs!$B$8),"CHECK","OK"))</f>
        <v/>
      </c>
      <c r="AF80" s="14"/>
      <c r="AG80" s="14" t="str">
        <f>IF(A80="","",(1/Inputs!$B$9)*(PI()*(Inputs!$F$5/1000)^2/4)*((Inputs!$F$5/1000/4)^(2/3))*SQRT(P80))</f>
        <v/>
      </c>
      <c r="AH80" s="14" t="str">
        <f>IF(A80="","",(1/Inputs!$B$9)*(PI()*(Inputs!$F$6/1000)^2/4)*((Inputs!$F$6/1000/4)^(2/3))*SQRT(P80))</f>
        <v/>
      </c>
      <c r="AI80" s="14" t="str">
        <f>IF(A80="","",(1/Inputs!$B$9)*(PI()*(Inputs!$F$7/1000)^2/4)*((Inputs!$F$7/1000/4)^(2/3))*SQRT(P80))</f>
        <v/>
      </c>
      <c r="AJ80" s="14" t="str">
        <f>IF(A80="","",(1/Inputs!$B$9)*(PI()*(Inputs!$F$8/1000)^2/4)*((Inputs!$F$8/1000/4)^(2/3))*SQRT(P80))</f>
        <v/>
      </c>
      <c r="AK80" s="14" t="str">
        <f>IF(A80="","",(1/Inputs!$B$9)*(PI()*(Inputs!$F$9/1000)^2/4)*((Inputs!$F$9/1000/4)^(2/3))*SQRT(P80))</f>
        <v/>
      </c>
      <c r="AL80" s="14" t="str">
        <f>IF(A80="","",(1/Inputs!$B$9)*(PI()*(Inputs!$F$10/1000)^2/4)*((Inputs!$F$10/1000/4)^(2/3))*SQRT(P80))</f>
        <v/>
      </c>
      <c r="AM80" s="14" t="str">
        <f>IF(A80="","",(1/Inputs!$B$9)*(PI()*(Inputs!$F$11/1000)^2/4)*((Inputs!$F$11/1000/4)^(2/3))*SQRT(P80))</f>
        <v/>
      </c>
      <c r="AN80" s="14" t="str">
        <f>IF(A80="","",(1/Inputs!$B$9)*(PI()*(Inputs!$F$12/1000)^2/4)*((Inputs!$F$12/1000/4)^(2/3))*SQRT(P80))</f>
        <v/>
      </c>
      <c r="AO80" s="14" t="str">
        <f>IF(A80="","",(1/Inputs!$B$9)*(PI()*(Inputs!$F$13/1000)^2/4)*((Inputs!$F$13/1000/4)^(2/3))*SQRT(P80))</f>
        <v/>
      </c>
      <c r="AP80" s="14" t="str">
        <f>IF(A80="","",(1/Inputs!$B$9)*(PI()*(Inputs!$F$14/1000)^2/4)*((Inputs!$F$14/1000/4)^(2/3))*SQRT(P80))</f>
        <v/>
      </c>
      <c r="AQ80" s="14" t="str">
        <f t="shared" si="86"/>
        <v/>
      </c>
      <c r="AR80" s="14" t="str">
        <f t="shared" si="87"/>
        <v/>
      </c>
      <c r="AS80" s="17" t="str">
        <f>IF(A80="","",IF(J80="",Inputs!$B$18,J80))</f>
        <v/>
      </c>
      <c r="AT80" s="17" t="str">
        <f>IF(A80="","",IFERROR(_xludf.maxifs($AV$4:$AV$201,$D$4:$D$201,$A80),""))</f>
        <v/>
      </c>
      <c r="AU80" s="17" t="str">
        <f>IF(A80="","",IF(OR(E80="",Inputs!$B$23=""),"",E80/(Inputs!$B$23*60)))</f>
        <v/>
      </c>
      <c r="AV80" s="17" t="str">
        <f t="shared" si="88"/>
        <v/>
      </c>
      <c r="AW80" s="17" t="str">
        <f t="shared" si="89"/>
        <v/>
      </c>
      <c r="AX80" s="17" t="str">
        <f>IF(OR(T80="",P80=""),"",(1/Inputs!$B$9)*((T80/4)^(2/3))*SQRT(P80))</f>
        <v/>
      </c>
      <c r="AY80" s="17" t="str">
        <f>IF(A80="","",IF(AND(AW80="",AX80="",BA80=""),"",IF(OR(UPPER(TRIM(Inputs!$B$24))="MANNING",UPPER(TRIM(Inputs!$B$24))="M"),AX80,IF(OR(UPPER(TRIM(Inputs!$B$24))="PARTIAL",UPPER(TRIM(Inputs!$B$24))="P"),BA80,IF(OR(UPPER(TRIM(Inputs!$B$24))="MAX",UPPER(TRIM(Inputs!$B$24))="X"),MAX(IF(AW80="",0,AW80),IF(AX80="",0,AX80),IF(BA80="",0,BA80)),AW80)))))</f>
        <v/>
      </c>
      <c r="AZ80" s="17" t="str">
        <f t="shared" si="90"/>
        <v/>
      </c>
      <c r="BA80" s="17" t="str">
        <f t="shared" si="91"/>
        <v/>
      </c>
      <c r="BB80" s="14" t="str">
        <f t="shared" si="92"/>
        <v/>
      </c>
      <c r="BC80" s="14" t="str">
        <f>IF(OR(N80="",T80="",P80=""),"",IF(OR(T80="",P80="",(0.94*T80)="",T80&lt;=0,(0.94*T80)&lt;=0),"",(1/Inputs!$B$9)*((T80^2/8)*((2*ACOS(1-2*(0.94*T80)/T80))-SIN((2*ACOS(1-2*(0.94*T80)/T80)))))*((((T80^2/8)*((2*ACOS(1-2*(0.94*T80)/T80))-SIN((2*ACOS(1-2*(0.94*T80)/T80)))))/((T80/2)*((2*ACOS(1-2*(0.94*T80)/T80)))))^(2/3))*SQRT(P80)))</f>
        <v/>
      </c>
      <c r="BD80" s="14" t="str">
        <f t="shared" si="93"/>
        <v/>
      </c>
      <c r="BE80" s="14" t="str">
        <f t="shared" si="94"/>
        <v/>
      </c>
      <c r="BF80" s="14" t="str">
        <f t="shared" si="95"/>
        <v/>
      </c>
      <c r="BG80" s="14" t="str">
        <f>IF(OR(T80="",P80="",BF80="",T80&lt;=0,BF80&lt;=0),"",(1/Inputs!$B$9)*((T80^2/8)*((2*ACOS(1-2*BF80/T80))-SIN((2*ACOS(1-2*BF80/T80)))))*((((T80^2/8)*((2*ACOS(1-2*BF80/T80))-SIN((2*ACOS(1-2*BF80/T80)))))/((T80/2)*((2*ACOS(1-2*BF80/T80)))))^(2/3))*SQRT(P80))</f>
        <v/>
      </c>
      <c r="BH80" s="14" t="str">
        <f t="shared" si="96"/>
        <v/>
      </c>
      <c r="BI80" s="14" t="str">
        <f t="shared" si="97"/>
        <v/>
      </c>
      <c r="BJ80" s="14" t="str">
        <f t="shared" si="98"/>
        <v/>
      </c>
      <c r="BK80" s="14" t="str">
        <f>IF(OR(T80="",P80="",BJ80="",T80&lt;=0,BJ80&lt;=0),"",(1/Inputs!$B$9)*((T80^2/8)*((2*ACOS(1-2*BJ80/T80))-SIN((2*ACOS(1-2*BJ80/T80)))))*((((T80^2/8)*((2*ACOS(1-2*BJ80/T80))-SIN((2*ACOS(1-2*BJ80/T80)))))/((T80/2)*((2*ACOS(1-2*BJ80/T80)))))^(2/3))*SQRT(P80))</f>
        <v/>
      </c>
      <c r="BL80" s="14" t="str">
        <f t="shared" si="99"/>
        <v/>
      </c>
      <c r="BM80" s="14" t="str">
        <f t="shared" si="100"/>
        <v/>
      </c>
      <c r="BN80" s="14" t="str">
        <f t="shared" si="101"/>
        <v/>
      </c>
      <c r="BO80" s="14" t="str">
        <f>IF(OR(T80="",P80="",BN80="",T80&lt;=0,BN80&lt;=0),"",(1/Inputs!$B$9)*((T80^2/8)*((2*ACOS(1-2*BN80/T80))-SIN((2*ACOS(1-2*BN80/T80)))))*((((T80^2/8)*((2*ACOS(1-2*BN80/T80))-SIN((2*ACOS(1-2*BN80/T80)))))/((T80/2)*((2*ACOS(1-2*BN80/T80)))))^(2/3))*SQRT(P80))</f>
        <v/>
      </c>
      <c r="BP80" s="14" t="str">
        <f t="shared" si="102"/>
        <v/>
      </c>
      <c r="BQ80" s="14" t="str">
        <f t="shared" si="103"/>
        <v/>
      </c>
      <c r="BR80" s="14" t="str">
        <f t="shared" si="104"/>
        <v/>
      </c>
      <c r="BS80" s="14" t="str">
        <f>IF(OR(T80="",P80="",BR80="",T80&lt;=0,BR80&lt;=0),"",(1/Inputs!$B$9)*((T80^2/8)*((2*ACOS(1-2*BR80/T80))-SIN((2*ACOS(1-2*BR80/T80)))))*((((T80^2/8)*((2*ACOS(1-2*BR80/T80))-SIN((2*ACOS(1-2*BR80/T80)))))/((T80/2)*((2*ACOS(1-2*BR80/T80)))))^(2/3))*SQRT(P80))</f>
        <v/>
      </c>
      <c r="BT80" s="14" t="str">
        <f t="shared" si="105"/>
        <v/>
      </c>
      <c r="BU80" s="14" t="str">
        <f t="shared" si="106"/>
        <v/>
      </c>
      <c r="BV80" s="14" t="str">
        <f t="shared" si="107"/>
        <v/>
      </c>
      <c r="BW80" s="14" t="str">
        <f>IF(OR(T80="",P80="",BV80="",T80&lt;=0,BV80&lt;=0),"",(1/Inputs!$B$9)*((T80^2/8)*((2*ACOS(1-2*BV80/T80))-SIN((2*ACOS(1-2*BV80/T80)))))*((((T80^2/8)*((2*ACOS(1-2*BV80/T80))-SIN((2*ACOS(1-2*BV80/T80)))))/((T80/2)*((2*ACOS(1-2*BV80/T80)))))^(2/3))*SQRT(P80))</f>
        <v/>
      </c>
      <c r="BX80" s="14" t="str">
        <f t="shared" si="108"/>
        <v/>
      </c>
      <c r="BY80" s="14" t="str">
        <f t="shared" si="109"/>
        <v/>
      </c>
      <c r="BZ80" s="14" t="str">
        <f t="shared" si="110"/>
        <v/>
      </c>
      <c r="CA80" s="14" t="str">
        <f>IF(OR(T80="",P80="",BZ80="",T80&lt;=0,BZ80&lt;=0),"",(1/Inputs!$B$9)*((T80^2/8)*((2*ACOS(1-2*BZ80/T80))-SIN((2*ACOS(1-2*BZ80/T80)))))*((((T80^2/8)*((2*ACOS(1-2*BZ80/T80))-SIN((2*ACOS(1-2*BZ80/T80)))))/((T80/2)*((2*ACOS(1-2*BZ80/T80)))))^(2/3))*SQRT(P80))</f>
        <v/>
      </c>
      <c r="CB80" s="14" t="str">
        <f t="shared" si="111"/>
        <v/>
      </c>
      <c r="CC80" s="14" t="str">
        <f t="shared" si="112"/>
        <v/>
      </c>
      <c r="CD80" s="14" t="str">
        <f t="shared" si="113"/>
        <v/>
      </c>
      <c r="CE80" s="14" t="str">
        <f>IF(OR(T80="",P80="",CD80="",T80&lt;=0,CD80&lt;=0),"",(1/Inputs!$B$9)*((T80^2/8)*((2*ACOS(1-2*CD80/T80))-SIN((2*ACOS(1-2*CD80/T80)))))*((((T80^2/8)*((2*ACOS(1-2*CD80/T80))-SIN((2*ACOS(1-2*CD80/T80)))))/((T80/2)*((2*ACOS(1-2*CD80/T80)))))^(2/3))*SQRT(P80))</f>
        <v/>
      </c>
      <c r="CF80" s="14" t="str">
        <f t="shared" si="114"/>
        <v/>
      </c>
      <c r="CG80" s="14" t="str">
        <f t="shared" si="115"/>
        <v/>
      </c>
      <c r="CH80" s="14" t="str">
        <f t="shared" si="116"/>
        <v/>
      </c>
    </row>
    <row r="81" spans="1:86" x14ac:dyDescent="0.25">
      <c r="A81" s="14"/>
      <c r="B81" s="14"/>
      <c r="C81" s="14"/>
      <c r="D81" s="14"/>
      <c r="E81" s="44"/>
      <c r="F81" s="44"/>
      <c r="G81" s="44">
        <f>SUMIFS(CB_plan!$G:$G,CB_plan!$F:$F,$A81)</f>
        <v>0</v>
      </c>
      <c r="H81" s="44">
        <f t="shared" si="78"/>
        <v>0</v>
      </c>
      <c r="I81" s="14"/>
      <c r="J81" s="44"/>
      <c r="K81" s="44" t="str">
        <f>IF(A81="","",Inputs!$B$13/((IF(AV81="",Inputs!$B$18,AV81)+Inputs!$B$14)^Inputs!$B$15))</f>
        <v/>
      </c>
      <c r="L81" s="44" t="str">
        <f>IF(A81="","",IF(H81="","",0.000000278*IF(I81&lt;&gt;"",I81,IFERROR(SUMIFS(CB_plan!$H:$H,CB_plan!$F:$F,$A81)/SUMIFS(CB_plan!$G:$G,CB_plan!$F:$F,$A81),Inputs!$B$17))*H81*K81))</f>
        <v/>
      </c>
      <c r="M81" s="44" t="str">
        <f t="shared" si="79"/>
        <v/>
      </c>
      <c r="N81" s="44" t="str">
        <f>IF(A81="","",(L81+M81)*Inputs!$B$16)</f>
        <v/>
      </c>
      <c r="O81" s="44"/>
      <c r="P81" s="44" t="str">
        <f>IF(A81="","",IF(O81="",Inputs!$B$7,O81))</f>
        <v/>
      </c>
      <c r="Q81" s="14" t="str">
        <f>IF(A81="","",IF(N81/Inputs!$B$10&lt;=AG81,Inputs!$F$5,IF(N81/Inputs!$B$10&gt;AP81,"OVERSIZE",INDEX(Inputs!$F$5:$F$14,MATCH(N81/Inputs!$B$10,AG81:AP81,1)+1))))</f>
        <v/>
      </c>
      <c r="R81" s="14"/>
      <c r="S81" s="14" t="str">
        <f t="shared" si="80"/>
        <v/>
      </c>
      <c r="T81" s="44" t="str">
        <f t="shared" si="81"/>
        <v/>
      </c>
      <c r="U81" s="44" t="str">
        <f>IF(T81="","",(1/Inputs!$B$9)*(PI()*T81^2/4)*((T81/4)^(2/3))*SQRT(P81))</f>
        <v/>
      </c>
      <c r="V81" s="44" t="str">
        <f>IF(OR(U81="",N81=""),"",N81/(U81*Inputs!$B$10))</f>
        <v/>
      </c>
      <c r="W81" s="44" t="str">
        <f t="shared" si="82"/>
        <v/>
      </c>
      <c r="X81" s="44"/>
      <c r="Y81" s="44" t="str">
        <f>IF(A81="","",IF(A81=Inputs!$B$6,Inputs!$B$22,IF(D81="","",IFERROR(INDEX($Z$4:$Z$201,MATCH(D81,$A$4:$A$201,0))+IF(X81="",Inputs!$B$20,X81),""))))</f>
        <v/>
      </c>
      <c r="Z81" s="44" t="str">
        <f t="shared" si="83"/>
        <v/>
      </c>
      <c r="AA81" s="44" t="str">
        <f>IF(C81="","",IFERROR(INDEX(Noeuds_plan!$C$4:$C$200,MATCH(C81,Noeuds_plan!$A$4:$A$200,0)),""))</f>
        <v/>
      </c>
      <c r="AB81" s="44" t="str">
        <f>IF(B81="","",IFERROR(INDEX(Noeuds_plan!$C$4:$C$200,MATCH(B81,Noeuds_plan!$A$4:$A$200,0)),""))</f>
        <v/>
      </c>
      <c r="AC81" s="44" t="str">
        <f t="shared" si="84"/>
        <v/>
      </c>
      <c r="AD81" s="44" t="str">
        <f t="shared" si="85"/>
        <v/>
      </c>
      <c r="AE81" s="14" t="str">
        <f>IF(A81="","",IF(OR(V81&gt;1,AND(AY81&lt;&gt;"",AY81&lt;Inputs!$B$11),AND(AY81&lt;&gt;"",AY81&gt;Inputs!$B$12),AC81&lt;Inputs!$B$19,AD81&lt;Inputs!$B$19,P81&lt;Inputs!$B$7,P81&gt;Inputs!$B$8),"CHECK","OK"))</f>
        <v/>
      </c>
      <c r="AF81" s="14"/>
      <c r="AG81" s="14" t="str">
        <f>IF(A81="","",(1/Inputs!$B$9)*(PI()*(Inputs!$F$5/1000)^2/4)*((Inputs!$F$5/1000/4)^(2/3))*SQRT(P81))</f>
        <v/>
      </c>
      <c r="AH81" s="14" t="str">
        <f>IF(A81="","",(1/Inputs!$B$9)*(PI()*(Inputs!$F$6/1000)^2/4)*((Inputs!$F$6/1000/4)^(2/3))*SQRT(P81))</f>
        <v/>
      </c>
      <c r="AI81" s="14" t="str">
        <f>IF(A81="","",(1/Inputs!$B$9)*(PI()*(Inputs!$F$7/1000)^2/4)*((Inputs!$F$7/1000/4)^(2/3))*SQRT(P81))</f>
        <v/>
      </c>
      <c r="AJ81" s="14" t="str">
        <f>IF(A81="","",(1/Inputs!$B$9)*(PI()*(Inputs!$F$8/1000)^2/4)*((Inputs!$F$8/1000/4)^(2/3))*SQRT(P81))</f>
        <v/>
      </c>
      <c r="AK81" s="14" t="str">
        <f>IF(A81="","",(1/Inputs!$B$9)*(PI()*(Inputs!$F$9/1000)^2/4)*((Inputs!$F$9/1000/4)^(2/3))*SQRT(P81))</f>
        <v/>
      </c>
      <c r="AL81" s="14" t="str">
        <f>IF(A81="","",(1/Inputs!$B$9)*(PI()*(Inputs!$F$10/1000)^2/4)*((Inputs!$F$10/1000/4)^(2/3))*SQRT(P81))</f>
        <v/>
      </c>
      <c r="AM81" s="14" t="str">
        <f>IF(A81="","",(1/Inputs!$B$9)*(PI()*(Inputs!$F$11/1000)^2/4)*((Inputs!$F$11/1000/4)^(2/3))*SQRT(P81))</f>
        <v/>
      </c>
      <c r="AN81" s="14" t="str">
        <f>IF(A81="","",(1/Inputs!$B$9)*(PI()*(Inputs!$F$12/1000)^2/4)*((Inputs!$F$12/1000/4)^(2/3))*SQRT(P81))</f>
        <v/>
      </c>
      <c r="AO81" s="14" t="str">
        <f>IF(A81="","",(1/Inputs!$B$9)*(PI()*(Inputs!$F$13/1000)^2/4)*((Inputs!$F$13/1000/4)^(2/3))*SQRT(P81))</f>
        <v/>
      </c>
      <c r="AP81" s="14" t="str">
        <f>IF(A81="","",(1/Inputs!$B$9)*(PI()*(Inputs!$F$14/1000)^2/4)*((Inputs!$F$14/1000/4)^(2/3))*SQRT(P81))</f>
        <v/>
      </c>
      <c r="AQ81" s="14" t="str">
        <f t="shared" si="86"/>
        <v/>
      </c>
      <c r="AR81" s="14" t="str">
        <f t="shared" si="87"/>
        <v/>
      </c>
      <c r="AS81" s="17" t="str">
        <f>IF(A81="","",IF(J81="",Inputs!$B$18,J81))</f>
        <v/>
      </c>
      <c r="AT81" s="17" t="str">
        <f>IF(A81="","",IFERROR(_xludf.maxifs($AV$4:$AV$201,$D$4:$D$201,$A81),""))</f>
        <v/>
      </c>
      <c r="AU81" s="17" t="str">
        <f>IF(A81="","",IF(OR(E81="",Inputs!$B$23=""),"",E81/(Inputs!$B$23*60)))</f>
        <v/>
      </c>
      <c r="AV81" s="17" t="str">
        <f t="shared" si="88"/>
        <v/>
      </c>
      <c r="AW81" s="17" t="str">
        <f t="shared" si="89"/>
        <v/>
      </c>
      <c r="AX81" s="17" t="str">
        <f>IF(OR(T81="",P81=""),"",(1/Inputs!$B$9)*((T81/4)^(2/3))*SQRT(P81))</f>
        <v/>
      </c>
      <c r="AY81" s="17" t="str">
        <f>IF(A81="","",IF(AND(AW81="",AX81="",BA81=""),"",IF(OR(UPPER(TRIM(Inputs!$B$24))="MANNING",UPPER(TRIM(Inputs!$B$24))="M"),AX81,IF(OR(UPPER(TRIM(Inputs!$B$24))="PARTIAL",UPPER(TRIM(Inputs!$B$24))="P"),BA81,IF(OR(UPPER(TRIM(Inputs!$B$24))="MAX",UPPER(TRIM(Inputs!$B$24))="X"),MAX(IF(AW81="",0,AW81),IF(AX81="",0,AX81),IF(BA81="",0,BA81)),AW81)))))</f>
        <v/>
      </c>
      <c r="AZ81" s="17" t="str">
        <f t="shared" si="90"/>
        <v/>
      </c>
      <c r="BA81" s="17" t="str">
        <f t="shared" si="91"/>
        <v/>
      </c>
      <c r="BB81" s="14" t="str">
        <f t="shared" si="92"/>
        <v/>
      </c>
      <c r="BC81" s="14" t="str">
        <f>IF(OR(N81="",T81="",P81=""),"",IF(OR(T81="",P81="",(0.94*T81)="",T81&lt;=0,(0.94*T81)&lt;=0),"",(1/Inputs!$B$9)*((T81^2/8)*((2*ACOS(1-2*(0.94*T81)/T81))-SIN((2*ACOS(1-2*(0.94*T81)/T81)))))*((((T81^2/8)*((2*ACOS(1-2*(0.94*T81)/T81))-SIN((2*ACOS(1-2*(0.94*T81)/T81)))))/((T81/2)*((2*ACOS(1-2*(0.94*T81)/T81)))))^(2/3))*SQRT(P81)))</f>
        <v/>
      </c>
      <c r="BD81" s="14" t="str">
        <f t="shared" si="93"/>
        <v/>
      </c>
      <c r="BE81" s="14" t="str">
        <f t="shared" si="94"/>
        <v/>
      </c>
      <c r="BF81" s="14" t="str">
        <f t="shared" si="95"/>
        <v/>
      </c>
      <c r="BG81" s="14" t="str">
        <f>IF(OR(T81="",P81="",BF81="",T81&lt;=0,BF81&lt;=0),"",(1/Inputs!$B$9)*((T81^2/8)*((2*ACOS(1-2*BF81/T81))-SIN((2*ACOS(1-2*BF81/T81)))))*((((T81^2/8)*((2*ACOS(1-2*BF81/T81))-SIN((2*ACOS(1-2*BF81/T81)))))/((T81/2)*((2*ACOS(1-2*BF81/T81)))))^(2/3))*SQRT(P81))</f>
        <v/>
      </c>
      <c r="BH81" s="14" t="str">
        <f t="shared" si="96"/>
        <v/>
      </c>
      <c r="BI81" s="14" t="str">
        <f t="shared" si="97"/>
        <v/>
      </c>
      <c r="BJ81" s="14" t="str">
        <f t="shared" si="98"/>
        <v/>
      </c>
      <c r="BK81" s="14" t="str">
        <f>IF(OR(T81="",P81="",BJ81="",T81&lt;=0,BJ81&lt;=0),"",(1/Inputs!$B$9)*((T81^2/8)*((2*ACOS(1-2*BJ81/T81))-SIN((2*ACOS(1-2*BJ81/T81)))))*((((T81^2/8)*((2*ACOS(1-2*BJ81/T81))-SIN((2*ACOS(1-2*BJ81/T81)))))/((T81/2)*((2*ACOS(1-2*BJ81/T81)))))^(2/3))*SQRT(P81))</f>
        <v/>
      </c>
      <c r="BL81" s="14" t="str">
        <f t="shared" si="99"/>
        <v/>
      </c>
      <c r="BM81" s="14" t="str">
        <f t="shared" si="100"/>
        <v/>
      </c>
      <c r="BN81" s="14" t="str">
        <f t="shared" si="101"/>
        <v/>
      </c>
      <c r="BO81" s="14" t="str">
        <f>IF(OR(T81="",P81="",BN81="",T81&lt;=0,BN81&lt;=0),"",(1/Inputs!$B$9)*((T81^2/8)*((2*ACOS(1-2*BN81/T81))-SIN((2*ACOS(1-2*BN81/T81)))))*((((T81^2/8)*((2*ACOS(1-2*BN81/T81))-SIN((2*ACOS(1-2*BN81/T81)))))/((T81/2)*((2*ACOS(1-2*BN81/T81)))))^(2/3))*SQRT(P81))</f>
        <v/>
      </c>
      <c r="BP81" s="14" t="str">
        <f t="shared" si="102"/>
        <v/>
      </c>
      <c r="BQ81" s="14" t="str">
        <f t="shared" si="103"/>
        <v/>
      </c>
      <c r="BR81" s="14" t="str">
        <f t="shared" si="104"/>
        <v/>
      </c>
      <c r="BS81" s="14" t="str">
        <f>IF(OR(T81="",P81="",BR81="",T81&lt;=0,BR81&lt;=0),"",(1/Inputs!$B$9)*((T81^2/8)*((2*ACOS(1-2*BR81/T81))-SIN((2*ACOS(1-2*BR81/T81)))))*((((T81^2/8)*((2*ACOS(1-2*BR81/T81))-SIN((2*ACOS(1-2*BR81/T81)))))/((T81/2)*((2*ACOS(1-2*BR81/T81)))))^(2/3))*SQRT(P81))</f>
        <v/>
      </c>
      <c r="BT81" s="14" t="str">
        <f t="shared" si="105"/>
        <v/>
      </c>
      <c r="BU81" s="14" t="str">
        <f t="shared" si="106"/>
        <v/>
      </c>
      <c r="BV81" s="14" t="str">
        <f t="shared" si="107"/>
        <v/>
      </c>
      <c r="BW81" s="14" t="str">
        <f>IF(OR(T81="",P81="",BV81="",T81&lt;=0,BV81&lt;=0),"",(1/Inputs!$B$9)*((T81^2/8)*((2*ACOS(1-2*BV81/T81))-SIN((2*ACOS(1-2*BV81/T81)))))*((((T81^2/8)*((2*ACOS(1-2*BV81/T81))-SIN((2*ACOS(1-2*BV81/T81)))))/((T81/2)*((2*ACOS(1-2*BV81/T81)))))^(2/3))*SQRT(P81))</f>
        <v/>
      </c>
      <c r="BX81" s="14" t="str">
        <f t="shared" si="108"/>
        <v/>
      </c>
      <c r="BY81" s="14" t="str">
        <f t="shared" si="109"/>
        <v/>
      </c>
      <c r="BZ81" s="14" t="str">
        <f t="shared" si="110"/>
        <v/>
      </c>
      <c r="CA81" s="14" t="str">
        <f>IF(OR(T81="",P81="",BZ81="",T81&lt;=0,BZ81&lt;=0),"",(1/Inputs!$B$9)*((T81^2/8)*((2*ACOS(1-2*BZ81/T81))-SIN((2*ACOS(1-2*BZ81/T81)))))*((((T81^2/8)*((2*ACOS(1-2*BZ81/T81))-SIN((2*ACOS(1-2*BZ81/T81)))))/((T81/2)*((2*ACOS(1-2*BZ81/T81)))))^(2/3))*SQRT(P81))</f>
        <v/>
      </c>
      <c r="CB81" s="14" t="str">
        <f t="shared" si="111"/>
        <v/>
      </c>
      <c r="CC81" s="14" t="str">
        <f t="shared" si="112"/>
        <v/>
      </c>
      <c r="CD81" s="14" t="str">
        <f t="shared" si="113"/>
        <v/>
      </c>
      <c r="CE81" s="14" t="str">
        <f>IF(OR(T81="",P81="",CD81="",T81&lt;=0,CD81&lt;=0),"",(1/Inputs!$B$9)*((T81^2/8)*((2*ACOS(1-2*CD81/T81))-SIN((2*ACOS(1-2*CD81/T81)))))*((((T81^2/8)*((2*ACOS(1-2*CD81/T81))-SIN((2*ACOS(1-2*CD81/T81)))))/((T81/2)*((2*ACOS(1-2*CD81/T81)))))^(2/3))*SQRT(P81))</f>
        <v/>
      </c>
      <c r="CF81" s="14" t="str">
        <f t="shared" si="114"/>
        <v/>
      </c>
      <c r="CG81" s="14" t="str">
        <f t="shared" si="115"/>
        <v/>
      </c>
      <c r="CH81" s="14" t="str">
        <f t="shared" si="116"/>
        <v/>
      </c>
    </row>
    <row r="82" spans="1:86" x14ac:dyDescent="0.25">
      <c r="A82" s="14"/>
      <c r="B82" s="14"/>
      <c r="C82" s="14"/>
      <c r="D82" s="14"/>
      <c r="E82" s="44"/>
      <c r="F82" s="44"/>
      <c r="G82" s="44">
        <f>SUMIFS(CB_plan!$G:$G,CB_plan!$F:$F,$A82)</f>
        <v>0</v>
      </c>
      <c r="H82" s="44">
        <f t="shared" si="78"/>
        <v>0</v>
      </c>
      <c r="I82" s="14"/>
      <c r="J82" s="44"/>
      <c r="K82" s="44" t="str">
        <f>IF(A82="","",Inputs!$B$13/((IF(AV82="",Inputs!$B$18,AV82)+Inputs!$B$14)^Inputs!$B$15))</f>
        <v/>
      </c>
      <c r="L82" s="44" t="str">
        <f>IF(A82="","",IF(H82="","",0.000000278*IF(I82&lt;&gt;"",I82,IFERROR(SUMIFS(CB_plan!$H:$H,CB_plan!$F:$F,$A82)/SUMIFS(CB_plan!$G:$G,CB_plan!$F:$F,$A82),Inputs!$B$17))*H82*K82))</f>
        <v/>
      </c>
      <c r="M82" s="44" t="str">
        <f t="shared" si="79"/>
        <v/>
      </c>
      <c r="N82" s="44" t="str">
        <f>IF(A82="","",(L82+M82)*Inputs!$B$16)</f>
        <v/>
      </c>
      <c r="O82" s="44"/>
      <c r="P82" s="44" t="str">
        <f>IF(A82="","",IF(O82="",Inputs!$B$7,O82))</f>
        <v/>
      </c>
      <c r="Q82" s="14" t="str">
        <f>IF(A82="","",IF(N82/Inputs!$B$10&lt;=AG82,Inputs!$F$5,IF(N82/Inputs!$B$10&gt;AP82,"OVERSIZE",INDEX(Inputs!$F$5:$F$14,MATCH(N82/Inputs!$B$10,AG82:AP82,1)+1))))</f>
        <v/>
      </c>
      <c r="R82" s="14"/>
      <c r="S82" s="14" t="str">
        <f t="shared" si="80"/>
        <v/>
      </c>
      <c r="T82" s="44" t="str">
        <f t="shared" si="81"/>
        <v/>
      </c>
      <c r="U82" s="44" t="str">
        <f>IF(T82="","",(1/Inputs!$B$9)*(PI()*T82^2/4)*((T82/4)^(2/3))*SQRT(P82))</f>
        <v/>
      </c>
      <c r="V82" s="44" t="str">
        <f>IF(OR(U82="",N82=""),"",N82/(U82*Inputs!$B$10))</f>
        <v/>
      </c>
      <c r="W82" s="44" t="str">
        <f t="shared" si="82"/>
        <v/>
      </c>
      <c r="X82" s="44"/>
      <c r="Y82" s="44" t="str">
        <f>IF(A82="","",IF(A82=Inputs!$B$6,Inputs!$B$22,IF(D82="","",IFERROR(INDEX($Z$4:$Z$201,MATCH(D82,$A$4:$A$201,0))+IF(X82="",Inputs!$B$20,X82),""))))</f>
        <v/>
      </c>
      <c r="Z82" s="44" t="str">
        <f t="shared" si="83"/>
        <v/>
      </c>
      <c r="AA82" s="44" t="str">
        <f>IF(C82="","",IFERROR(INDEX(Noeuds_plan!$C$4:$C$200,MATCH(C82,Noeuds_plan!$A$4:$A$200,0)),""))</f>
        <v/>
      </c>
      <c r="AB82" s="44" t="str">
        <f>IF(B82="","",IFERROR(INDEX(Noeuds_plan!$C$4:$C$200,MATCH(B82,Noeuds_plan!$A$4:$A$200,0)),""))</f>
        <v/>
      </c>
      <c r="AC82" s="44" t="str">
        <f t="shared" si="84"/>
        <v/>
      </c>
      <c r="AD82" s="44" t="str">
        <f t="shared" si="85"/>
        <v/>
      </c>
      <c r="AE82" s="14" t="str">
        <f>IF(A82="","",IF(OR(V82&gt;1,AND(AY82&lt;&gt;"",AY82&lt;Inputs!$B$11),AND(AY82&lt;&gt;"",AY82&gt;Inputs!$B$12),AC82&lt;Inputs!$B$19,AD82&lt;Inputs!$B$19,P82&lt;Inputs!$B$7,P82&gt;Inputs!$B$8),"CHECK","OK"))</f>
        <v/>
      </c>
      <c r="AF82" s="14"/>
      <c r="AG82" s="14" t="str">
        <f>IF(A82="","",(1/Inputs!$B$9)*(PI()*(Inputs!$F$5/1000)^2/4)*((Inputs!$F$5/1000/4)^(2/3))*SQRT(P82))</f>
        <v/>
      </c>
      <c r="AH82" s="14" t="str">
        <f>IF(A82="","",(1/Inputs!$B$9)*(PI()*(Inputs!$F$6/1000)^2/4)*((Inputs!$F$6/1000/4)^(2/3))*SQRT(P82))</f>
        <v/>
      </c>
      <c r="AI82" s="14" t="str">
        <f>IF(A82="","",(1/Inputs!$B$9)*(PI()*(Inputs!$F$7/1000)^2/4)*((Inputs!$F$7/1000/4)^(2/3))*SQRT(P82))</f>
        <v/>
      </c>
      <c r="AJ82" s="14" t="str">
        <f>IF(A82="","",(1/Inputs!$B$9)*(PI()*(Inputs!$F$8/1000)^2/4)*((Inputs!$F$8/1000/4)^(2/3))*SQRT(P82))</f>
        <v/>
      </c>
      <c r="AK82" s="14" t="str">
        <f>IF(A82="","",(1/Inputs!$B$9)*(PI()*(Inputs!$F$9/1000)^2/4)*((Inputs!$F$9/1000/4)^(2/3))*SQRT(P82))</f>
        <v/>
      </c>
      <c r="AL82" s="14" t="str">
        <f>IF(A82="","",(1/Inputs!$B$9)*(PI()*(Inputs!$F$10/1000)^2/4)*((Inputs!$F$10/1000/4)^(2/3))*SQRT(P82))</f>
        <v/>
      </c>
      <c r="AM82" s="14" t="str">
        <f>IF(A82="","",(1/Inputs!$B$9)*(PI()*(Inputs!$F$11/1000)^2/4)*((Inputs!$F$11/1000/4)^(2/3))*SQRT(P82))</f>
        <v/>
      </c>
      <c r="AN82" s="14" t="str">
        <f>IF(A82="","",(1/Inputs!$B$9)*(PI()*(Inputs!$F$12/1000)^2/4)*((Inputs!$F$12/1000/4)^(2/3))*SQRT(P82))</f>
        <v/>
      </c>
      <c r="AO82" s="14" t="str">
        <f>IF(A82="","",(1/Inputs!$B$9)*(PI()*(Inputs!$F$13/1000)^2/4)*((Inputs!$F$13/1000/4)^(2/3))*SQRT(P82))</f>
        <v/>
      </c>
      <c r="AP82" s="14" t="str">
        <f>IF(A82="","",(1/Inputs!$B$9)*(PI()*(Inputs!$F$14/1000)^2/4)*((Inputs!$F$14/1000/4)^(2/3))*SQRT(P82))</f>
        <v/>
      </c>
      <c r="AQ82" s="14" t="str">
        <f t="shared" si="86"/>
        <v/>
      </c>
      <c r="AR82" s="14" t="str">
        <f t="shared" si="87"/>
        <v/>
      </c>
      <c r="AS82" s="17" t="str">
        <f>IF(A82="","",IF(J82="",Inputs!$B$18,J82))</f>
        <v/>
      </c>
      <c r="AT82" s="17" t="str">
        <f>IF(A82="","",IFERROR(_xludf.maxifs($AV$4:$AV$201,$D$4:$D$201,$A82),""))</f>
        <v/>
      </c>
      <c r="AU82" s="17" t="str">
        <f>IF(A82="","",IF(OR(E82="",Inputs!$B$23=""),"",E82/(Inputs!$B$23*60)))</f>
        <v/>
      </c>
      <c r="AV82" s="17" t="str">
        <f t="shared" si="88"/>
        <v/>
      </c>
      <c r="AW82" s="17" t="str">
        <f t="shared" si="89"/>
        <v/>
      </c>
      <c r="AX82" s="17" t="str">
        <f>IF(OR(T82="",P82=""),"",(1/Inputs!$B$9)*((T82/4)^(2/3))*SQRT(P82))</f>
        <v/>
      </c>
      <c r="AY82" s="17" t="str">
        <f>IF(A82="","",IF(AND(AW82="",AX82="",BA82=""),"",IF(OR(UPPER(TRIM(Inputs!$B$24))="MANNING",UPPER(TRIM(Inputs!$B$24))="M"),AX82,IF(OR(UPPER(TRIM(Inputs!$B$24))="PARTIAL",UPPER(TRIM(Inputs!$B$24))="P"),BA82,IF(OR(UPPER(TRIM(Inputs!$B$24))="MAX",UPPER(TRIM(Inputs!$B$24))="X"),MAX(IF(AW82="",0,AW82),IF(AX82="",0,AX82),IF(BA82="",0,BA82)),AW82)))))</f>
        <v/>
      </c>
      <c r="AZ82" s="17" t="str">
        <f t="shared" si="90"/>
        <v/>
      </c>
      <c r="BA82" s="17" t="str">
        <f t="shared" si="91"/>
        <v/>
      </c>
      <c r="BB82" s="14" t="str">
        <f t="shared" si="92"/>
        <v/>
      </c>
      <c r="BC82" s="14" t="str">
        <f>IF(OR(N82="",T82="",P82=""),"",IF(OR(T82="",P82="",(0.94*T82)="",T82&lt;=0,(0.94*T82)&lt;=0),"",(1/Inputs!$B$9)*((T82^2/8)*((2*ACOS(1-2*(0.94*T82)/T82))-SIN((2*ACOS(1-2*(0.94*T82)/T82)))))*((((T82^2/8)*((2*ACOS(1-2*(0.94*T82)/T82))-SIN((2*ACOS(1-2*(0.94*T82)/T82)))))/((T82/2)*((2*ACOS(1-2*(0.94*T82)/T82)))))^(2/3))*SQRT(P82)))</f>
        <v/>
      </c>
      <c r="BD82" s="14" t="str">
        <f t="shared" si="93"/>
        <v/>
      </c>
      <c r="BE82" s="14" t="str">
        <f t="shared" si="94"/>
        <v/>
      </c>
      <c r="BF82" s="14" t="str">
        <f t="shared" si="95"/>
        <v/>
      </c>
      <c r="BG82" s="14" t="str">
        <f>IF(OR(T82="",P82="",BF82="",T82&lt;=0,BF82&lt;=0),"",(1/Inputs!$B$9)*((T82^2/8)*((2*ACOS(1-2*BF82/T82))-SIN((2*ACOS(1-2*BF82/T82)))))*((((T82^2/8)*((2*ACOS(1-2*BF82/T82))-SIN((2*ACOS(1-2*BF82/T82)))))/((T82/2)*((2*ACOS(1-2*BF82/T82)))))^(2/3))*SQRT(P82))</f>
        <v/>
      </c>
      <c r="BH82" s="14" t="str">
        <f t="shared" si="96"/>
        <v/>
      </c>
      <c r="BI82" s="14" t="str">
        <f t="shared" si="97"/>
        <v/>
      </c>
      <c r="BJ82" s="14" t="str">
        <f t="shared" si="98"/>
        <v/>
      </c>
      <c r="BK82" s="14" t="str">
        <f>IF(OR(T82="",P82="",BJ82="",T82&lt;=0,BJ82&lt;=0),"",(1/Inputs!$B$9)*((T82^2/8)*((2*ACOS(1-2*BJ82/T82))-SIN((2*ACOS(1-2*BJ82/T82)))))*((((T82^2/8)*((2*ACOS(1-2*BJ82/T82))-SIN((2*ACOS(1-2*BJ82/T82)))))/((T82/2)*((2*ACOS(1-2*BJ82/T82)))))^(2/3))*SQRT(P82))</f>
        <v/>
      </c>
      <c r="BL82" s="14" t="str">
        <f t="shared" si="99"/>
        <v/>
      </c>
      <c r="BM82" s="14" t="str">
        <f t="shared" si="100"/>
        <v/>
      </c>
      <c r="BN82" s="14" t="str">
        <f t="shared" si="101"/>
        <v/>
      </c>
      <c r="BO82" s="14" t="str">
        <f>IF(OR(T82="",P82="",BN82="",T82&lt;=0,BN82&lt;=0),"",(1/Inputs!$B$9)*((T82^2/8)*((2*ACOS(1-2*BN82/T82))-SIN((2*ACOS(1-2*BN82/T82)))))*((((T82^2/8)*((2*ACOS(1-2*BN82/T82))-SIN((2*ACOS(1-2*BN82/T82)))))/((T82/2)*((2*ACOS(1-2*BN82/T82)))))^(2/3))*SQRT(P82))</f>
        <v/>
      </c>
      <c r="BP82" s="14" t="str">
        <f t="shared" si="102"/>
        <v/>
      </c>
      <c r="BQ82" s="14" t="str">
        <f t="shared" si="103"/>
        <v/>
      </c>
      <c r="BR82" s="14" t="str">
        <f t="shared" si="104"/>
        <v/>
      </c>
      <c r="BS82" s="14" t="str">
        <f>IF(OR(T82="",P82="",BR82="",T82&lt;=0,BR82&lt;=0),"",(1/Inputs!$B$9)*((T82^2/8)*((2*ACOS(1-2*BR82/T82))-SIN((2*ACOS(1-2*BR82/T82)))))*((((T82^2/8)*((2*ACOS(1-2*BR82/T82))-SIN((2*ACOS(1-2*BR82/T82)))))/((T82/2)*((2*ACOS(1-2*BR82/T82)))))^(2/3))*SQRT(P82))</f>
        <v/>
      </c>
      <c r="BT82" s="14" t="str">
        <f t="shared" si="105"/>
        <v/>
      </c>
      <c r="BU82" s="14" t="str">
        <f t="shared" si="106"/>
        <v/>
      </c>
      <c r="BV82" s="14" t="str">
        <f t="shared" si="107"/>
        <v/>
      </c>
      <c r="BW82" s="14" t="str">
        <f>IF(OR(T82="",P82="",BV82="",T82&lt;=0,BV82&lt;=0),"",(1/Inputs!$B$9)*((T82^2/8)*((2*ACOS(1-2*BV82/T82))-SIN((2*ACOS(1-2*BV82/T82)))))*((((T82^2/8)*((2*ACOS(1-2*BV82/T82))-SIN((2*ACOS(1-2*BV82/T82)))))/((T82/2)*((2*ACOS(1-2*BV82/T82)))))^(2/3))*SQRT(P82))</f>
        <v/>
      </c>
      <c r="BX82" s="14" t="str">
        <f t="shared" si="108"/>
        <v/>
      </c>
      <c r="BY82" s="14" t="str">
        <f t="shared" si="109"/>
        <v/>
      </c>
      <c r="BZ82" s="14" t="str">
        <f t="shared" si="110"/>
        <v/>
      </c>
      <c r="CA82" s="14" t="str">
        <f>IF(OR(T82="",P82="",BZ82="",T82&lt;=0,BZ82&lt;=0),"",(1/Inputs!$B$9)*((T82^2/8)*((2*ACOS(1-2*BZ82/T82))-SIN((2*ACOS(1-2*BZ82/T82)))))*((((T82^2/8)*((2*ACOS(1-2*BZ82/T82))-SIN((2*ACOS(1-2*BZ82/T82)))))/((T82/2)*((2*ACOS(1-2*BZ82/T82)))))^(2/3))*SQRT(P82))</f>
        <v/>
      </c>
      <c r="CB82" s="14" t="str">
        <f t="shared" si="111"/>
        <v/>
      </c>
      <c r="CC82" s="14" t="str">
        <f t="shared" si="112"/>
        <v/>
      </c>
      <c r="CD82" s="14" t="str">
        <f t="shared" si="113"/>
        <v/>
      </c>
      <c r="CE82" s="14" t="str">
        <f>IF(OR(T82="",P82="",CD82="",T82&lt;=0,CD82&lt;=0),"",(1/Inputs!$B$9)*((T82^2/8)*((2*ACOS(1-2*CD82/T82))-SIN((2*ACOS(1-2*CD82/T82)))))*((((T82^2/8)*((2*ACOS(1-2*CD82/T82))-SIN((2*ACOS(1-2*CD82/T82)))))/((T82/2)*((2*ACOS(1-2*CD82/T82)))))^(2/3))*SQRT(P82))</f>
        <v/>
      </c>
      <c r="CF82" s="14" t="str">
        <f t="shared" si="114"/>
        <v/>
      </c>
      <c r="CG82" s="14" t="str">
        <f t="shared" si="115"/>
        <v/>
      </c>
      <c r="CH82" s="14" t="str">
        <f t="shared" si="116"/>
        <v/>
      </c>
    </row>
    <row r="83" spans="1:86" x14ac:dyDescent="0.25">
      <c r="A83" s="14"/>
      <c r="B83" s="14"/>
      <c r="C83" s="14"/>
      <c r="D83" s="14"/>
      <c r="E83" s="44"/>
      <c r="F83" s="44"/>
      <c r="G83" s="44">
        <f>SUMIFS(CB_plan!$G:$G,CB_plan!$F:$F,$A83)</f>
        <v>0</v>
      </c>
      <c r="H83" s="44">
        <f t="shared" si="78"/>
        <v>0</v>
      </c>
      <c r="I83" s="14"/>
      <c r="J83" s="44"/>
      <c r="K83" s="44" t="str">
        <f>IF(A83="","",Inputs!$B$13/((IF(AV83="",Inputs!$B$18,AV83)+Inputs!$B$14)^Inputs!$B$15))</f>
        <v/>
      </c>
      <c r="L83" s="44" t="str">
        <f>IF(A83="","",IF(H83="","",0.000000278*IF(I83&lt;&gt;"",I83,IFERROR(SUMIFS(CB_plan!$H:$H,CB_plan!$F:$F,$A83)/SUMIFS(CB_plan!$G:$G,CB_plan!$F:$F,$A83),Inputs!$B$17))*H83*K83))</f>
        <v/>
      </c>
      <c r="M83" s="44" t="str">
        <f t="shared" si="79"/>
        <v/>
      </c>
      <c r="N83" s="44" t="str">
        <f>IF(A83="","",(L83+M83)*Inputs!$B$16)</f>
        <v/>
      </c>
      <c r="O83" s="44"/>
      <c r="P83" s="44" t="str">
        <f>IF(A83="","",IF(O83="",Inputs!$B$7,O83))</f>
        <v/>
      </c>
      <c r="Q83" s="14" t="str">
        <f>IF(A83="","",IF(N83/Inputs!$B$10&lt;=AG83,Inputs!$F$5,IF(N83/Inputs!$B$10&gt;AP83,"OVERSIZE",INDEX(Inputs!$F$5:$F$14,MATCH(N83/Inputs!$B$10,AG83:AP83,1)+1))))</f>
        <v/>
      </c>
      <c r="R83" s="14"/>
      <c r="S83" s="14" t="str">
        <f t="shared" si="80"/>
        <v/>
      </c>
      <c r="T83" s="44" t="str">
        <f t="shared" si="81"/>
        <v/>
      </c>
      <c r="U83" s="44" t="str">
        <f>IF(T83="","",(1/Inputs!$B$9)*(PI()*T83^2/4)*((T83/4)^(2/3))*SQRT(P83))</f>
        <v/>
      </c>
      <c r="V83" s="44" t="str">
        <f>IF(OR(U83="",N83=""),"",N83/(U83*Inputs!$B$10))</f>
        <v/>
      </c>
      <c r="W83" s="44" t="str">
        <f t="shared" si="82"/>
        <v/>
      </c>
      <c r="X83" s="44"/>
      <c r="Y83" s="44" t="str">
        <f>IF(A83="","",IF(A83=Inputs!$B$6,Inputs!$B$22,IF(D83="","",IFERROR(INDEX($Z$4:$Z$201,MATCH(D83,$A$4:$A$201,0))+IF(X83="",Inputs!$B$20,X83),""))))</f>
        <v/>
      </c>
      <c r="Z83" s="44" t="str">
        <f t="shared" si="83"/>
        <v/>
      </c>
      <c r="AA83" s="44" t="str">
        <f>IF(C83="","",IFERROR(INDEX(Noeuds_plan!$C$4:$C$200,MATCH(C83,Noeuds_plan!$A$4:$A$200,0)),""))</f>
        <v/>
      </c>
      <c r="AB83" s="44" t="str">
        <f>IF(B83="","",IFERROR(INDEX(Noeuds_plan!$C$4:$C$200,MATCH(B83,Noeuds_plan!$A$4:$A$200,0)),""))</f>
        <v/>
      </c>
      <c r="AC83" s="44" t="str">
        <f t="shared" si="84"/>
        <v/>
      </c>
      <c r="AD83" s="44" t="str">
        <f t="shared" si="85"/>
        <v/>
      </c>
      <c r="AE83" s="14" t="str">
        <f>IF(A83="","",IF(OR(V83&gt;1,AND(AY83&lt;&gt;"",AY83&lt;Inputs!$B$11),AND(AY83&lt;&gt;"",AY83&gt;Inputs!$B$12),AC83&lt;Inputs!$B$19,AD83&lt;Inputs!$B$19,P83&lt;Inputs!$B$7,P83&gt;Inputs!$B$8),"CHECK","OK"))</f>
        <v/>
      </c>
      <c r="AF83" s="14"/>
      <c r="AG83" s="14" t="str">
        <f>IF(A83="","",(1/Inputs!$B$9)*(PI()*(Inputs!$F$5/1000)^2/4)*((Inputs!$F$5/1000/4)^(2/3))*SQRT(P83))</f>
        <v/>
      </c>
      <c r="AH83" s="14" t="str">
        <f>IF(A83="","",(1/Inputs!$B$9)*(PI()*(Inputs!$F$6/1000)^2/4)*((Inputs!$F$6/1000/4)^(2/3))*SQRT(P83))</f>
        <v/>
      </c>
      <c r="AI83" s="14" t="str">
        <f>IF(A83="","",(1/Inputs!$B$9)*(PI()*(Inputs!$F$7/1000)^2/4)*((Inputs!$F$7/1000/4)^(2/3))*SQRT(P83))</f>
        <v/>
      </c>
      <c r="AJ83" s="14" t="str">
        <f>IF(A83="","",(1/Inputs!$B$9)*(PI()*(Inputs!$F$8/1000)^2/4)*((Inputs!$F$8/1000/4)^(2/3))*SQRT(P83))</f>
        <v/>
      </c>
      <c r="AK83" s="14" t="str">
        <f>IF(A83="","",(1/Inputs!$B$9)*(PI()*(Inputs!$F$9/1000)^2/4)*((Inputs!$F$9/1000/4)^(2/3))*SQRT(P83))</f>
        <v/>
      </c>
      <c r="AL83" s="14" t="str">
        <f>IF(A83="","",(1/Inputs!$B$9)*(PI()*(Inputs!$F$10/1000)^2/4)*((Inputs!$F$10/1000/4)^(2/3))*SQRT(P83))</f>
        <v/>
      </c>
      <c r="AM83" s="14" t="str">
        <f>IF(A83="","",(1/Inputs!$B$9)*(PI()*(Inputs!$F$11/1000)^2/4)*((Inputs!$F$11/1000/4)^(2/3))*SQRT(P83))</f>
        <v/>
      </c>
      <c r="AN83" s="14" t="str">
        <f>IF(A83="","",(1/Inputs!$B$9)*(PI()*(Inputs!$F$12/1000)^2/4)*((Inputs!$F$12/1000/4)^(2/3))*SQRT(P83))</f>
        <v/>
      </c>
      <c r="AO83" s="14" t="str">
        <f>IF(A83="","",(1/Inputs!$B$9)*(PI()*(Inputs!$F$13/1000)^2/4)*((Inputs!$F$13/1000/4)^(2/3))*SQRT(P83))</f>
        <v/>
      </c>
      <c r="AP83" s="14" t="str">
        <f>IF(A83="","",(1/Inputs!$B$9)*(PI()*(Inputs!$F$14/1000)^2/4)*((Inputs!$F$14/1000/4)^(2/3))*SQRT(P83))</f>
        <v/>
      </c>
      <c r="AQ83" s="14" t="str">
        <f t="shared" si="86"/>
        <v/>
      </c>
      <c r="AR83" s="14" t="str">
        <f t="shared" si="87"/>
        <v/>
      </c>
      <c r="AS83" s="17" t="str">
        <f>IF(A83="","",IF(J83="",Inputs!$B$18,J83))</f>
        <v/>
      </c>
      <c r="AT83" s="17" t="str">
        <f>IF(A83="","",IFERROR(_xludf.maxifs($AV$4:$AV$201,$D$4:$D$201,$A83),""))</f>
        <v/>
      </c>
      <c r="AU83" s="17" t="str">
        <f>IF(A83="","",IF(OR(E83="",Inputs!$B$23=""),"",E83/(Inputs!$B$23*60)))</f>
        <v/>
      </c>
      <c r="AV83" s="17" t="str">
        <f t="shared" si="88"/>
        <v/>
      </c>
      <c r="AW83" s="17" t="str">
        <f t="shared" si="89"/>
        <v/>
      </c>
      <c r="AX83" s="17" t="str">
        <f>IF(OR(T83="",P83=""),"",(1/Inputs!$B$9)*((T83/4)^(2/3))*SQRT(P83))</f>
        <v/>
      </c>
      <c r="AY83" s="17" t="str">
        <f>IF(A83="","",IF(AND(AW83="",AX83="",BA83=""),"",IF(OR(UPPER(TRIM(Inputs!$B$24))="MANNING",UPPER(TRIM(Inputs!$B$24))="M"),AX83,IF(OR(UPPER(TRIM(Inputs!$B$24))="PARTIAL",UPPER(TRIM(Inputs!$B$24))="P"),BA83,IF(OR(UPPER(TRIM(Inputs!$B$24))="MAX",UPPER(TRIM(Inputs!$B$24))="X"),MAX(IF(AW83="",0,AW83),IF(AX83="",0,AX83),IF(BA83="",0,BA83)),AW83)))))</f>
        <v/>
      </c>
      <c r="AZ83" s="17" t="str">
        <f t="shared" si="90"/>
        <v/>
      </c>
      <c r="BA83" s="17" t="str">
        <f t="shared" si="91"/>
        <v/>
      </c>
      <c r="BB83" s="14" t="str">
        <f t="shared" si="92"/>
        <v/>
      </c>
      <c r="BC83" s="14" t="str">
        <f>IF(OR(N83="",T83="",P83=""),"",IF(OR(T83="",P83="",(0.94*T83)="",T83&lt;=0,(0.94*T83)&lt;=0),"",(1/Inputs!$B$9)*((T83^2/8)*((2*ACOS(1-2*(0.94*T83)/T83))-SIN((2*ACOS(1-2*(0.94*T83)/T83)))))*((((T83^2/8)*((2*ACOS(1-2*(0.94*T83)/T83))-SIN((2*ACOS(1-2*(0.94*T83)/T83)))))/((T83/2)*((2*ACOS(1-2*(0.94*T83)/T83)))))^(2/3))*SQRT(P83)))</f>
        <v/>
      </c>
      <c r="BD83" s="14" t="str">
        <f t="shared" si="93"/>
        <v/>
      </c>
      <c r="BE83" s="14" t="str">
        <f t="shared" si="94"/>
        <v/>
      </c>
      <c r="BF83" s="14" t="str">
        <f t="shared" si="95"/>
        <v/>
      </c>
      <c r="BG83" s="14" t="str">
        <f>IF(OR(T83="",P83="",BF83="",T83&lt;=0,BF83&lt;=0),"",(1/Inputs!$B$9)*((T83^2/8)*((2*ACOS(1-2*BF83/T83))-SIN((2*ACOS(1-2*BF83/T83)))))*((((T83^2/8)*((2*ACOS(1-2*BF83/T83))-SIN((2*ACOS(1-2*BF83/T83)))))/((T83/2)*((2*ACOS(1-2*BF83/T83)))))^(2/3))*SQRT(P83))</f>
        <v/>
      </c>
      <c r="BH83" s="14" t="str">
        <f t="shared" si="96"/>
        <v/>
      </c>
      <c r="BI83" s="14" t="str">
        <f t="shared" si="97"/>
        <v/>
      </c>
      <c r="BJ83" s="14" t="str">
        <f t="shared" si="98"/>
        <v/>
      </c>
      <c r="BK83" s="14" t="str">
        <f>IF(OR(T83="",P83="",BJ83="",T83&lt;=0,BJ83&lt;=0),"",(1/Inputs!$B$9)*((T83^2/8)*((2*ACOS(1-2*BJ83/T83))-SIN((2*ACOS(1-2*BJ83/T83)))))*((((T83^2/8)*((2*ACOS(1-2*BJ83/T83))-SIN((2*ACOS(1-2*BJ83/T83)))))/((T83/2)*((2*ACOS(1-2*BJ83/T83)))))^(2/3))*SQRT(P83))</f>
        <v/>
      </c>
      <c r="BL83" s="14" t="str">
        <f t="shared" si="99"/>
        <v/>
      </c>
      <c r="BM83" s="14" t="str">
        <f t="shared" si="100"/>
        <v/>
      </c>
      <c r="BN83" s="14" t="str">
        <f t="shared" si="101"/>
        <v/>
      </c>
      <c r="BO83" s="14" t="str">
        <f>IF(OR(T83="",P83="",BN83="",T83&lt;=0,BN83&lt;=0),"",(1/Inputs!$B$9)*((T83^2/8)*((2*ACOS(1-2*BN83/T83))-SIN((2*ACOS(1-2*BN83/T83)))))*((((T83^2/8)*((2*ACOS(1-2*BN83/T83))-SIN((2*ACOS(1-2*BN83/T83)))))/((T83/2)*((2*ACOS(1-2*BN83/T83)))))^(2/3))*SQRT(P83))</f>
        <v/>
      </c>
      <c r="BP83" s="14" t="str">
        <f t="shared" si="102"/>
        <v/>
      </c>
      <c r="BQ83" s="14" t="str">
        <f t="shared" si="103"/>
        <v/>
      </c>
      <c r="BR83" s="14" t="str">
        <f t="shared" si="104"/>
        <v/>
      </c>
      <c r="BS83" s="14" t="str">
        <f>IF(OR(T83="",P83="",BR83="",T83&lt;=0,BR83&lt;=0),"",(1/Inputs!$B$9)*((T83^2/8)*((2*ACOS(1-2*BR83/T83))-SIN((2*ACOS(1-2*BR83/T83)))))*((((T83^2/8)*((2*ACOS(1-2*BR83/T83))-SIN((2*ACOS(1-2*BR83/T83)))))/((T83/2)*((2*ACOS(1-2*BR83/T83)))))^(2/3))*SQRT(P83))</f>
        <v/>
      </c>
      <c r="BT83" s="14" t="str">
        <f t="shared" si="105"/>
        <v/>
      </c>
      <c r="BU83" s="14" t="str">
        <f t="shared" si="106"/>
        <v/>
      </c>
      <c r="BV83" s="14" t="str">
        <f t="shared" si="107"/>
        <v/>
      </c>
      <c r="BW83" s="14" t="str">
        <f>IF(OR(T83="",P83="",BV83="",T83&lt;=0,BV83&lt;=0),"",(1/Inputs!$B$9)*((T83^2/8)*((2*ACOS(1-2*BV83/T83))-SIN((2*ACOS(1-2*BV83/T83)))))*((((T83^2/8)*((2*ACOS(1-2*BV83/T83))-SIN((2*ACOS(1-2*BV83/T83)))))/((T83/2)*((2*ACOS(1-2*BV83/T83)))))^(2/3))*SQRT(P83))</f>
        <v/>
      </c>
      <c r="BX83" s="14" t="str">
        <f t="shared" si="108"/>
        <v/>
      </c>
      <c r="BY83" s="14" t="str">
        <f t="shared" si="109"/>
        <v/>
      </c>
      <c r="BZ83" s="14" t="str">
        <f t="shared" si="110"/>
        <v/>
      </c>
      <c r="CA83" s="14" t="str">
        <f>IF(OR(T83="",P83="",BZ83="",T83&lt;=0,BZ83&lt;=0),"",(1/Inputs!$B$9)*((T83^2/8)*((2*ACOS(1-2*BZ83/T83))-SIN((2*ACOS(1-2*BZ83/T83)))))*((((T83^2/8)*((2*ACOS(1-2*BZ83/T83))-SIN((2*ACOS(1-2*BZ83/T83)))))/((T83/2)*((2*ACOS(1-2*BZ83/T83)))))^(2/3))*SQRT(P83))</f>
        <v/>
      </c>
      <c r="CB83" s="14" t="str">
        <f t="shared" si="111"/>
        <v/>
      </c>
      <c r="CC83" s="14" t="str">
        <f t="shared" si="112"/>
        <v/>
      </c>
      <c r="CD83" s="14" t="str">
        <f t="shared" si="113"/>
        <v/>
      </c>
      <c r="CE83" s="14" t="str">
        <f>IF(OR(T83="",P83="",CD83="",T83&lt;=0,CD83&lt;=0),"",(1/Inputs!$B$9)*((T83^2/8)*((2*ACOS(1-2*CD83/T83))-SIN((2*ACOS(1-2*CD83/T83)))))*((((T83^2/8)*((2*ACOS(1-2*CD83/T83))-SIN((2*ACOS(1-2*CD83/T83)))))/((T83/2)*((2*ACOS(1-2*CD83/T83)))))^(2/3))*SQRT(P83))</f>
        <v/>
      </c>
      <c r="CF83" s="14" t="str">
        <f t="shared" si="114"/>
        <v/>
      </c>
      <c r="CG83" s="14" t="str">
        <f t="shared" si="115"/>
        <v/>
      </c>
      <c r="CH83" s="14" t="str">
        <f t="shared" si="116"/>
        <v/>
      </c>
    </row>
    <row r="84" spans="1:86" x14ac:dyDescent="0.25">
      <c r="A84" s="14"/>
      <c r="B84" s="14"/>
      <c r="C84" s="14"/>
      <c r="D84" s="14"/>
      <c r="E84" s="44"/>
      <c r="F84" s="44"/>
      <c r="G84" s="44">
        <f>SUMIFS(CB_plan!$G:$G,CB_plan!$F:$F,$A84)</f>
        <v>0</v>
      </c>
      <c r="H84" s="44">
        <f t="shared" si="78"/>
        <v>0</v>
      </c>
      <c r="I84" s="14"/>
      <c r="J84" s="44"/>
      <c r="K84" s="44" t="str">
        <f>IF(A84="","",Inputs!$B$13/((IF(AV84="",Inputs!$B$18,AV84)+Inputs!$B$14)^Inputs!$B$15))</f>
        <v/>
      </c>
      <c r="L84" s="44" t="str">
        <f>IF(A84="","",IF(H84="","",0.000000278*IF(I84&lt;&gt;"",I84,IFERROR(SUMIFS(CB_plan!$H:$H,CB_plan!$F:$F,$A84)/SUMIFS(CB_plan!$G:$G,CB_plan!$F:$F,$A84),Inputs!$B$17))*H84*K84))</f>
        <v/>
      </c>
      <c r="M84" s="44" t="str">
        <f t="shared" si="79"/>
        <v/>
      </c>
      <c r="N84" s="44" t="str">
        <f>IF(A84="","",(L84+M84)*Inputs!$B$16)</f>
        <v/>
      </c>
      <c r="O84" s="44"/>
      <c r="P84" s="44" t="str">
        <f>IF(A84="","",IF(O84="",Inputs!$B$7,O84))</f>
        <v/>
      </c>
      <c r="Q84" s="14" t="str">
        <f>IF(A84="","",IF(N84/Inputs!$B$10&lt;=AG84,Inputs!$F$5,IF(N84/Inputs!$B$10&gt;AP84,"OVERSIZE",INDEX(Inputs!$F$5:$F$14,MATCH(N84/Inputs!$B$10,AG84:AP84,1)+1))))</f>
        <v/>
      </c>
      <c r="R84" s="14"/>
      <c r="S84" s="14" t="str">
        <f t="shared" si="80"/>
        <v/>
      </c>
      <c r="T84" s="44" t="str">
        <f t="shared" si="81"/>
        <v/>
      </c>
      <c r="U84" s="44" t="str">
        <f>IF(T84="","",(1/Inputs!$B$9)*(PI()*T84^2/4)*((T84/4)^(2/3))*SQRT(P84))</f>
        <v/>
      </c>
      <c r="V84" s="44" t="str">
        <f>IF(OR(U84="",N84=""),"",N84/(U84*Inputs!$B$10))</f>
        <v/>
      </c>
      <c r="W84" s="44" t="str">
        <f t="shared" si="82"/>
        <v/>
      </c>
      <c r="X84" s="44"/>
      <c r="Y84" s="44" t="str">
        <f>IF(A84="","",IF(A84=Inputs!$B$6,Inputs!$B$22,IF(D84="","",IFERROR(INDEX($Z$4:$Z$201,MATCH(D84,$A$4:$A$201,0))+IF(X84="",Inputs!$B$20,X84),""))))</f>
        <v/>
      </c>
      <c r="Z84" s="44" t="str">
        <f t="shared" si="83"/>
        <v/>
      </c>
      <c r="AA84" s="44" t="str">
        <f>IF(C84="","",IFERROR(INDEX(Noeuds_plan!$C$4:$C$200,MATCH(C84,Noeuds_plan!$A$4:$A$200,0)),""))</f>
        <v/>
      </c>
      <c r="AB84" s="44" t="str">
        <f>IF(B84="","",IFERROR(INDEX(Noeuds_plan!$C$4:$C$200,MATCH(B84,Noeuds_plan!$A$4:$A$200,0)),""))</f>
        <v/>
      </c>
      <c r="AC84" s="44" t="str">
        <f t="shared" si="84"/>
        <v/>
      </c>
      <c r="AD84" s="44" t="str">
        <f t="shared" si="85"/>
        <v/>
      </c>
      <c r="AE84" s="14" t="str">
        <f>IF(A84="","",IF(OR(V84&gt;1,AND(AY84&lt;&gt;"",AY84&lt;Inputs!$B$11),AND(AY84&lt;&gt;"",AY84&gt;Inputs!$B$12),AC84&lt;Inputs!$B$19,AD84&lt;Inputs!$B$19,P84&lt;Inputs!$B$7,P84&gt;Inputs!$B$8),"CHECK","OK"))</f>
        <v/>
      </c>
      <c r="AF84" s="14"/>
      <c r="AG84" s="14" t="str">
        <f>IF(A84="","",(1/Inputs!$B$9)*(PI()*(Inputs!$F$5/1000)^2/4)*((Inputs!$F$5/1000/4)^(2/3))*SQRT(P84))</f>
        <v/>
      </c>
      <c r="AH84" s="14" t="str">
        <f>IF(A84="","",(1/Inputs!$B$9)*(PI()*(Inputs!$F$6/1000)^2/4)*((Inputs!$F$6/1000/4)^(2/3))*SQRT(P84))</f>
        <v/>
      </c>
      <c r="AI84" s="14" t="str">
        <f>IF(A84="","",(1/Inputs!$B$9)*(PI()*(Inputs!$F$7/1000)^2/4)*((Inputs!$F$7/1000/4)^(2/3))*SQRT(P84))</f>
        <v/>
      </c>
      <c r="AJ84" s="14" t="str">
        <f>IF(A84="","",(1/Inputs!$B$9)*(PI()*(Inputs!$F$8/1000)^2/4)*((Inputs!$F$8/1000/4)^(2/3))*SQRT(P84))</f>
        <v/>
      </c>
      <c r="AK84" s="14" t="str">
        <f>IF(A84="","",(1/Inputs!$B$9)*(PI()*(Inputs!$F$9/1000)^2/4)*((Inputs!$F$9/1000/4)^(2/3))*SQRT(P84))</f>
        <v/>
      </c>
      <c r="AL84" s="14" t="str">
        <f>IF(A84="","",(1/Inputs!$B$9)*(PI()*(Inputs!$F$10/1000)^2/4)*((Inputs!$F$10/1000/4)^(2/3))*SQRT(P84))</f>
        <v/>
      </c>
      <c r="AM84" s="14" t="str">
        <f>IF(A84="","",(1/Inputs!$B$9)*(PI()*(Inputs!$F$11/1000)^2/4)*((Inputs!$F$11/1000/4)^(2/3))*SQRT(P84))</f>
        <v/>
      </c>
      <c r="AN84" s="14" t="str">
        <f>IF(A84="","",(1/Inputs!$B$9)*(PI()*(Inputs!$F$12/1000)^2/4)*((Inputs!$F$12/1000/4)^(2/3))*SQRT(P84))</f>
        <v/>
      </c>
      <c r="AO84" s="14" t="str">
        <f>IF(A84="","",(1/Inputs!$B$9)*(PI()*(Inputs!$F$13/1000)^2/4)*((Inputs!$F$13/1000/4)^(2/3))*SQRT(P84))</f>
        <v/>
      </c>
      <c r="AP84" s="14" t="str">
        <f>IF(A84="","",(1/Inputs!$B$9)*(PI()*(Inputs!$F$14/1000)^2/4)*((Inputs!$F$14/1000/4)^(2/3))*SQRT(P84))</f>
        <v/>
      </c>
      <c r="AQ84" s="14" t="str">
        <f t="shared" si="86"/>
        <v/>
      </c>
      <c r="AR84" s="14" t="str">
        <f t="shared" si="87"/>
        <v/>
      </c>
      <c r="AS84" s="17" t="str">
        <f>IF(A84="","",IF(J84="",Inputs!$B$18,J84))</f>
        <v/>
      </c>
      <c r="AT84" s="17" t="str">
        <f>IF(A84="","",IFERROR(_xludf.maxifs($AV$4:$AV$201,$D$4:$D$201,$A84),""))</f>
        <v/>
      </c>
      <c r="AU84" s="17" t="str">
        <f>IF(A84="","",IF(OR(E84="",Inputs!$B$23=""),"",E84/(Inputs!$B$23*60)))</f>
        <v/>
      </c>
      <c r="AV84" s="17" t="str">
        <f t="shared" si="88"/>
        <v/>
      </c>
      <c r="AW84" s="17" t="str">
        <f t="shared" si="89"/>
        <v/>
      </c>
      <c r="AX84" s="17" t="str">
        <f>IF(OR(T84="",P84=""),"",(1/Inputs!$B$9)*((T84/4)^(2/3))*SQRT(P84))</f>
        <v/>
      </c>
      <c r="AY84" s="17" t="str">
        <f>IF(A84="","",IF(AND(AW84="",AX84="",BA84=""),"",IF(OR(UPPER(TRIM(Inputs!$B$24))="MANNING",UPPER(TRIM(Inputs!$B$24))="M"),AX84,IF(OR(UPPER(TRIM(Inputs!$B$24))="PARTIAL",UPPER(TRIM(Inputs!$B$24))="P"),BA84,IF(OR(UPPER(TRIM(Inputs!$B$24))="MAX",UPPER(TRIM(Inputs!$B$24))="X"),MAX(IF(AW84="",0,AW84),IF(AX84="",0,AX84),IF(BA84="",0,BA84)),AW84)))))</f>
        <v/>
      </c>
      <c r="AZ84" s="17" t="str">
        <f t="shared" si="90"/>
        <v/>
      </c>
      <c r="BA84" s="17" t="str">
        <f t="shared" si="91"/>
        <v/>
      </c>
      <c r="BB84" s="14" t="str">
        <f t="shared" si="92"/>
        <v/>
      </c>
      <c r="BC84" s="14" t="str">
        <f>IF(OR(N84="",T84="",P84=""),"",IF(OR(T84="",P84="",(0.94*T84)="",T84&lt;=0,(0.94*T84)&lt;=0),"",(1/Inputs!$B$9)*((T84^2/8)*((2*ACOS(1-2*(0.94*T84)/T84))-SIN((2*ACOS(1-2*(0.94*T84)/T84)))))*((((T84^2/8)*((2*ACOS(1-2*(0.94*T84)/T84))-SIN((2*ACOS(1-2*(0.94*T84)/T84)))))/((T84/2)*((2*ACOS(1-2*(0.94*T84)/T84)))))^(2/3))*SQRT(P84)))</f>
        <v/>
      </c>
      <c r="BD84" s="14" t="str">
        <f t="shared" si="93"/>
        <v/>
      </c>
      <c r="BE84" s="14" t="str">
        <f t="shared" si="94"/>
        <v/>
      </c>
      <c r="BF84" s="14" t="str">
        <f t="shared" si="95"/>
        <v/>
      </c>
      <c r="BG84" s="14" t="str">
        <f>IF(OR(T84="",P84="",BF84="",T84&lt;=0,BF84&lt;=0),"",(1/Inputs!$B$9)*((T84^2/8)*((2*ACOS(1-2*BF84/T84))-SIN((2*ACOS(1-2*BF84/T84)))))*((((T84^2/8)*((2*ACOS(1-2*BF84/T84))-SIN((2*ACOS(1-2*BF84/T84)))))/((T84/2)*((2*ACOS(1-2*BF84/T84)))))^(2/3))*SQRT(P84))</f>
        <v/>
      </c>
      <c r="BH84" s="14" t="str">
        <f t="shared" si="96"/>
        <v/>
      </c>
      <c r="BI84" s="14" t="str">
        <f t="shared" si="97"/>
        <v/>
      </c>
      <c r="BJ84" s="14" t="str">
        <f t="shared" si="98"/>
        <v/>
      </c>
      <c r="BK84" s="14" t="str">
        <f>IF(OR(T84="",P84="",BJ84="",T84&lt;=0,BJ84&lt;=0),"",(1/Inputs!$B$9)*((T84^2/8)*((2*ACOS(1-2*BJ84/T84))-SIN((2*ACOS(1-2*BJ84/T84)))))*((((T84^2/8)*((2*ACOS(1-2*BJ84/T84))-SIN((2*ACOS(1-2*BJ84/T84)))))/((T84/2)*((2*ACOS(1-2*BJ84/T84)))))^(2/3))*SQRT(P84))</f>
        <v/>
      </c>
      <c r="BL84" s="14" t="str">
        <f t="shared" si="99"/>
        <v/>
      </c>
      <c r="BM84" s="14" t="str">
        <f t="shared" si="100"/>
        <v/>
      </c>
      <c r="BN84" s="14" t="str">
        <f t="shared" si="101"/>
        <v/>
      </c>
      <c r="BO84" s="14" t="str">
        <f>IF(OR(T84="",P84="",BN84="",T84&lt;=0,BN84&lt;=0),"",(1/Inputs!$B$9)*((T84^2/8)*((2*ACOS(1-2*BN84/T84))-SIN((2*ACOS(1-2*BN84/T84)))))*((((T84^2/8)*((2*ACOS(1-2*BN84/T84))-SIN((2*ACOS(1-2*BN84/T84)))))/((T84/2)*((2*ACOS(1-2*BN84/T84)))))^(2/3))*SQRT(P84))</f>
        <v/>
      </c>
      <c r="BP84" s="14" t="str">
        <f t="shared" si="102"/>
        <v/>
      </c>
      <c r="BQ84" s="14" t="str">
        <f t="shared" si="103"/>
        <v/>
      </c>
      <c r="BR84" s="14" t="str">
        <f t="shared" si="104"/>
        <v/>
      </c>
      <c r="BS84" s="14" t="str">
        <f>IF(OR(T84="",P84="",BR84="",T84&lt;=0,BR84&lt;=0),"",(1/Inputs!$B$9)*((T84^2/8)*((2*ACOS(1-2*BR84/T84))-SIN((2*ACOS(1-2*BR84/T84)))))*((((T84^2/8)*((2*ACOS(1-2*BR84/T84))-SIN((2*ACOS(1-2*BR84/T84)))))/((T84/2)*((2*ACOS(1-2*BR84/T84)))))^(2/3))*SQRT(P84))</f>
        <v/>
      </c>
      <c r="BT84" s="14" t="str">
        <f t="shared" si="105"/>
        <v/>
      </c>
      <c r="BU84" s="14" t="str">
        <f t="shared" si="106"/>
        <v/>
      </c>
      <c r="BV84" s="14" t="str">
        <f t="shared" si="107"/>
        <v/>
      </c>
      <c r="BW84" s="14" t="str">
        <f>IF(OR(T84="",P84="",BV84="",T84&lt;=0,BV84&lt;=0),"",(1/Inputs!$B$9)*((T84^2/8)*((2*ACOS(1-2*BV84/T84))-SIN((2*ACOS(1-2*BV84/T84)))))*((((T84^2/8)*((2*ACOS(1-2*BV84/T84))-SIN((2*ACOS(1-2*BV84/T84)))))/((T84/2)*((2*ACOS(1-2*BV84/T84)))))^(2/3))*SQRT(P84))</f>
        <v/>
      </c>
      <c r="BX84" s="14" t="str">
        <f t="shared" si="108"/>
        <v/>
      </c>
      <c r="BY84" s="14" t="str">
        <f t="shared" si="109"/>
        <v/>
      </c>
      <c r="BZ84" s="14" t="str">
        <f t="shared" si="110"/>
        <v/>
      </c>
      <c r="CA84" s="14" t="str">
        <f>IF(OR(T84="",P84="",BZ84="",T84&lt;=0,BZ84&lt;=0),"",(1/Inputs!$B$9)*((T84^2/8)*((2*ACOS(1-2*BZ84/T84))-SIN((2*ACOS(1-2*BZ84/T84)))))*((((T84^2/8)*((2*ACOS(1-2*BZ84/T84))-SIN((2*ACOS(1-2*BZ84/T84)))))/((T84/2)*((2*ACOS(1-2*BZ84/T84)))))^(2/3))*SQRT(P84))</f>
        <v/>
      </c>
      <c r="CB84" s="14" t="str">
        <f t="shared" si="111"/>
        <v/>
      </c>
      <c r="CC84" s="14" t="str">
        <f t="shared" si="112"/>
        <v/>
      </c>
      <c r="CD84" s="14" t="str">
        <f t="shared" si="113"/>
        <v/>
      </c>
      <c r="CE84" s="14" t="str">
        <f>IF(OR(T84="",P84="",CD84="",T84&lt;=0,CD84&lt;=0),"",(1/Inputs!$B$9)*((T84^2/8)*((2*ACOS(1-2*CD84/T84))-SIN((2*ACOS(1-2*CD84/T84)))))*((((T84^2/8)*((2*ACOS(1-2*CD84/T84))-SIN((2*ACOS(1-2*CD84/T84)))))/((T84/2)*((2*ACOS(1-2*CD84/T84)))))^(2/3))*SQRT(P84))</f>
        <v/>
      </c>
      <c r="CF84" s="14" t="str">
        <f t="shared" si="114"/>
        <v/>
      </c>
      <c r="CG84" s="14" t="str">
        <f t="shared" si="115"/>
        <v/>
      </c>
      <c r="CH84" s="14" t="str">
        <f t="shared" si="116"/>
        <v/>
      </c>
    </row>
    <row r="85" spans="1:86" x14ac:dyDescent="0.25">
      <c r="A85" s="14"/>
      <c r="B85" s="14"/>
      <c r="C85" s="14"/>
      <c r="D85" s="14"/>
      <c r="E85" s="44"/>
      <c r="F85" s="44"/>
      <c r="G85" s="44">
        <f>SUMIFS(CB_plan!$G:$G,CB_plan!$F:$F,$A85)</f>
        <v>0</v>
      </c>
      <c r="H85" s="44">
        <f t="shared" si="78"/>
        <v>0</v>
      </c>
      <c r="I85" s="14"/>
      <c r="J85" s="44"/>
      <c r="K85" s="44" t="str">
        <f>IF(A85="","",Inputs!$B$13/((IF(AV85="",Inputs!$B$18,AV85)+Inputs!$B$14)^Inputs!$B$15))</f>
        <v/>
      </c>
      <c r="L85" s="44" t="str">
        <f>IF(A85="","",IF(H85="","",0.000000278*IF(I85&lt;&gt;"",I85,IFERROR(SUMIFS(CB_plan!$H:$H,CB_plan!$F:$F,$A85)/SUMIFS(CB_plan!$G:$G,CB_plan!$F:$F,$A85),Inputs!$B$17))*H85*K85))</f>
        <v/>
      </c>
      <c r="M85" s="44" t="str">
        <f t="shared" si="79"/>
        <v/>
      </c>
      <c r="N85" s="44" t="str">
        <f>IF(A85="","",(L85+M85)*Inputs!$B$16)</f>
        <v/>
      </c>
      <c r="O85" s="44"/>
      <c r="P85" s="44" t="str">
        <f>IF(A85="","",IF(O85="",Inputs!$B$7,O85))</f>
        <v/>
      </c>
      <c r="Q85" s="14" t="str">
        <f>IF(A85="","",IF(N85/Inputs!$B$10&lt;=AG85,Inputs!$F$5,IF(N85/Inputs!$B$10&gt;AP85,"OVERSIZE",INDEX(Inputs!$F$5:$F$14,MATCH(N85/Inputs!$B$10,AG85:AP85,1)+1))))</f>
        <v/>
      </c>
      <c r="R85" s="14"/>
      <c r="S85" s="14" t="str">
        <f t="shared" si="80"/>
        <v/>
      </c>
      <c r="T85" s="44" t="str">
        <f t="shared" si="81"/>
        <v/>
      </c>
      <c r="U85" s="44" t="str">
        <f>IF(T85="","",(1/Inputs!$B$9)*(PI()*T85^2/4)*((T85/4)^(2/3))*SQRT(P85))</f>
        <v/>
      </c>
      <c r="V85" s="44" t="str">
        <f>IF(OR(U85="",N85=""),"",N85/(U85*Inputs!$B$10))</f>
        <v/>
      </c>
      <c r="W85" s="44" t="str">
        <f t="shared" si="82"/>
        <v/>
      </c>
      <c r="X85" s="44"/>
      <c r="Y85" s="44" t="str">
        <f>IF(A85="","",IF(A85=Inputs!$B$6,Inputs!$B$22,IF(D85="","",IFERROR(INDEX($Z$4:$Z$201,MATCH(D85,$A$4:$A$201,0))+IF(X85="",Inputs!$B$20,X85),""))))</f>
        <v/>
      </c>
      <c r="Z85" s="44" t="str">
        <f t="shared" si="83"/>
        <v/>
      </c>
      <c r="AA85" s="44" t="str">
        <f>IF(C85="","",IFERROR(INDEX(Noeuds_plan!$C$4:$C$200,MATCH(C85,Noeuds_plan!$A$4:$A$200,0)),""))</f>
        <v/>
      </c>
      <c r="AB85" s="44" t="str">
        <f>IF(B85="","",IFERROR(INDEX(Noeuds_plan!$C$4:$C$200,MATCH(B85,Noeuds_plan!$A$4:$A$200,0)),""))</f>
        <v/>
      </c>
      <c r="AC85" s="44" t="str">
        <f t="shared" si="84"/>
        <v/>
      </c>
      <c r="AD85" s="44" t="str">
        <f t="shared" si="85"/>
        <v/>
      </c>
      <c r="AE85" s="14" t="str">
        <f>IF(A85="","",IF(OR(V85&gt;1,AND(AY85&lt;&gt;"",AY85&lt;Inputs!$B$11),AND(AY85&lt;&gt;"",AY85&gt;Inputs!$B$12),AC85&lt;Inputs!$B$19,AD85&lt;Inputs!$B$19,P85&lt;Inputs!$B$7,P85&gt;Inputs!$B$8),"CHECK","OK"))</f>
        <v/>
      </c>
      <c r="AF85" s="14"/>
      <c r="AG85" s="14" t="str">
        <f>IF(A85="","",(1/Inputs!$B$9)*(PI()*(Inputs!$F$5/1000)^2/4)*((Inputs!$F$5/1000/4)^(2/3))*SQRT(P85))</f>
        <v/>
      </c>
      <c r="AH85" s="14" t="str">
        <f>IF(A85="","",(1/Inputs!$B$9)*(PI()*(Inputs!$F$6/1000)^2/4)*((Inputs!$F$6/1000/4)^(2/3))*SQRT(P85))</f>
        <v/>
      </c>
      <c r="AI85" s="14" t="str">
        <f>IF(A85="","",(1/Inputs!$B$9)*(PI()*(Inputs!$F$7/1000)^2/4)*((Inputs!$F$7/1000/4)^(2/3))*SQRT(P85))</f>
        <v/>
      </c>
      <c r="AJ85" s="14" t="str">
        <f>IF(A85="","",(1/Inputs!$B$9)*(PI()*(Inputs!$F$8/1000)^2/4)*((Inputs!$F$8/1000/4)^(2/3))*SQRT(P85))</f>
        <v/>
      </c>
      <c r="AK85" s="14" t="str">
        <f>IF(A85="","",(1/Inputs!$B$9)*(PI()*(Inputs!$F$9/1000)^2/4)*((Inputs!$F$9/1000/4)^(2/3))*SQRT(P85))</f>
        <v/>
      </c>
      <c r="AL85" s="14" t="str">
        <f>IF(A85="","",(1/Inputs!$B$9)*(PI()*(Inputs!$F$10/1000)^2/4)*((Inputs!$F$10/1000/4)^(2/3))*SQRT(P85))</f>
        <v/>
      </c>
      <c r="AM85" s="14" t="str">
        <f>IF(A85="","",(1/Inputs!$B$9)*(PI()*(Inputs!$F$11/1000)^2/4)*((Inputs!$F$11/1000/4)^(2/3))*SQRT(P85))</f>
        <v/>
      </c>
      <c r="AN85" s="14" t="str">
        <f>IF(A85="","",(1/Inputs!$B$9)*(PI()*(Inputs!$F$12/1000)^2/4)*((Inputs!$F$12/1000/4)^(2/3))*SQRT(P85))</f>
        <v/>
      </c>
      <c r="AO85" s="14" t="str">
        <f>IF(A85="","",(1/Inputs!$B$9)*(PI()*(Inputs!$F$13/1000)^2/4)*((Inputs!$F$13/1000/4)^(2/3))*SQRT(P85))</f>
        <v/>
      </c>
      <c r="AP85" s="14" t="str">
        <f>IF(A85="","",(1/Inputs!$B$9)*(PI()*(Inputs!$F$14/1000)^2/4)*((Inputs!$F$14/1000/4)^(2/3))*SQRT(P85))</f>
        <v/>
      </c>
      <c r="AQ85" s="14" t="str">
        <f t="shared" si="86"/>
        <v/>
      </c>
      <c r="AR85" s="14" t="str">
        <f t="shared" si="87"/>
        <v/>
      </c>
      <c r="AS85" s="17" t="str">
        <f>IF(A85="","",IF(J85="",Inputs!$B$18,J85))</f>
        <v/>
      </c>
      <c r="AT85" s="17" t="str">
        <f>IF(A85="","",IFERROR(_xludf.maxifs($AV$4:$AV$201,$D$4:$D$201,$A85),""))</f>
        <v/>
      </c>
      <c r="AU85" s="17" t="str">
        <f>IF(A85="","",IF(OR(E85="",Inputs!$B$23=""),"",E85/(Inputs!$B$23*60)))</f>
        <v/>
      </c>
      <c r="AV85" s="17" t="str">
        <f t="shared" si="88"/>
        <v/>
      </c>
      <c r="AW85" s="17" t="str">
        <f t="shared" si="89"/>
        <v/>
      </c>
      <c r="AX85" s="17" t="str">
        <f>IF(OR(T85="",P85=""),"",(1/Inputs!$B$9)*((T85/4)^(2/3))*SQRT(P85))</f>
        <v/>
      </c>
      <c r="AY85" s="17" t="str">
        <f>IF(A85="","",IF(AND(AW85="",AX85="",BA85=""),"",IF(OR(UPPER(TRIM(Inputs!$B$24))="MANNING",UPPER(TRIM(Inputs!$B$24))="M"),AX85,IF(OR(UPPER(TRIM(Inputs!$B$24))="PARTIAL",UPPER(TRIM(Inputs!$B$24))="P"),BA85,IF(OR(UPPER(TRIM(Inputs!$B$24))="MAX",UPPER(TRIM(Inputs!$B$24))="X"),MAX(IF(AW85="",0,AW85),IF(AX85="",0,AX85),IF(BA85="",0,BA85)),AW85)))))</f>
        <v/>
      </c>
      <c r="AZ85" s="17" t="str">
        <f t="shared" si="90"/>
        <v/>
      </c>
      <c r="BA85" s="17" t="str">
        <f t="shared" si="91"/>
        <v/>
      </c>
      <c r="BB85" s="14" t="str">
        <f t="shared" si="92"/>
        <v/>
      </c>
      <c r="BC85" s="14" t="str">
        <f>IF(OR(N85="",T85="",P85=""),"",IF(OR(T85="",P85="",(0.94*T85)="",T85&lt;=0,(0.94*T85)&lt;=0),"",(1/Inputs!$B$9)*((T85^2/8)*((2*ACOS(1-2*(0.94*T85)/T85))-SIN((2*ACOS(1-2*(0.94*T85)/T85)))))*((((T85^2/8)*((2*ACOS(1-2*(0.94*T85)/T85))-SIN((2*ACOS(1-2*(0.94*T85)/T85)))))/((T85/2)*((2*ACOS(1-2*(0.94*T85)/T85)))))^(2/3))*SQRT(P85)))</f>
        <v/>
      </c>
      <c r="BD85" s="14" t="str">
        <f t="shared" si="93"/>
        <v/>
      </c>
      <c r="BE85" s="14" t="str">
        <f t="shared" si="94"/>
        <v/>
      </c>
      <c r="BF85" s="14" t="str">
        <f t="shared" si="95"/>
        <v/>
      </c>
      <c r="BG85" s="14" t="str">
        <f>IF(OR(T85="",P85="",BF85="",T85&lt;=0,BF85&lt;=0),"",(1/Inputs!$B$9)*((T85^2/8)*((2*ACOS(1-2*BF85/T85))-SIN((2*ACOS(1-2*BF85/T85)))))*((((T85^2/8)*((2*ACOS(1-2*BF85/T85))-SIN((2*ACOS(1-2*BF85/T85)))))/((T85/2)*((2*ACOS(1-2*BF85/T85)))))^(2/3))*SQRT(P85))</f>
        <v/>
      </c>
      <c r="BH85" s="14" t="str">
        <f t="shared" si="96"/>
        <v/>
      </c>
      <c r="BI85" s="14" t="str">
        <f t="shared" si="97"/>
        <v/>
      </c>
      <c r="BJ85" s="14" t="str">
        <f t="shared" si="98"/>
        <v/>
      </c>
      <c r="BK85" s="14" t="str">
        <f>IF(OR(T85="",P85="",BJ85="",T85&lt;=0,BJ85&lt;=0),"",(1/Inputs!$B$9)*((T85^2/8)*((2*ACOS(1-2*BJ85/T85))-SIN((2*ACOS(1-2*BJ85/T85)))))*((((T85^2/8)*((2*ACOS(1-2*BJ85/T85))-SIN((2*ACOS(1-2*BJ85/T85)))))/((T85/2)*((2*ACOS(1-2*BJ85/T85)))))^(2/3))*SQRT(P85))</f>
        <v/>
      </c>
      <c r="BL85" s="14" t="str">
        <f t="shared" si="99"/>
        <v/>
      </c>
      <c r="BM85" s="14" t="str">
        <f t="shared" si="100"/>
        <v/>
      </c>
      <c r="BN85" s="14" t="str">
        <f t="shared" si="101"/>
        <v/>
      </c>
      <c r="BO85" s="14" t="str">
        <f>IF(OR(T85="",P85="",BN85="",T85&lt;=0,BN85&lt;=0),"",(1/Inputs!$B$9)*((T85^2/8)*((2*ACOS(1-2*BN85/T85))-SIN((2*ACOS(1-2*BN85/T85)))))*((((T85^2/8)*((2*ACOS(1-2*BN85/T85))-SIN((2*ACOS(1-2*BN85/T85)))))/((T85/2)*((2*ACOS(1-2*BN85/T85)))))^(2/3))*SQRT(P85))</f>
        <v/>
      </c>
      <c r="BP85" s="14" t="str">
        <f t="shared" si="102"/>
        <v/>
      </c>
      <c r="BQ85" s="14" t="str">
        <f t="shared" si="103"/>
        <v/>
      </c>
      <c r="BR85" s="14" t="str">
        <f t="shared" si="104"/>
        <v/>
      </c>
      <c r="BS85" s="14" t="str">
        <f>IF(OR(T85="",P85="",BR85="",T85&lt;=0,BR85&lt;=0),"",(1/Inputs!$B$9)*((T85^2/8)*((2*ACOS(1-2*BR85/T85))-SIN((2*ACOS(1-2*BR85/T85)))))*((((T85^2/8)*((2*ACOS(1-2*BR85/T85))-SIN((2*ACOS(1-2*BR85/T85)))))/((T85/2)*((2*ACOS(1-2*BR85/T85)))))^(2/3))*SQRT(P85))</f>
        <v/>
      </c>
      <c r="BT85" s="14" t="str">
        <f t="shared" si="105"/>
        <v/>
      </c>
      <c r="BU85" s="14" t="str">
        <f t="shared" si="106"/>
        <v/>
      </c>
      <c r="BV85" s="14" t="str">
        <f t="shared" si="107"/>
        <v/>
      </c>
      <c r="BW85" s="14" t="str">
        <f>IF(OR(T85="",P85="",BV85="",T85&lt;=0,BV85&lt;=0),"",(1/Inputs!$B$9)*((T85^2/8)*((2*ACOS(1-2*BV85/T85))-SIN((2*ACOS(1-2*BV85/T85)))))*((((T85^2/8)*((2*ACOS(1-2*BV85/T85))-SIN((2*ACOS(1-2*BV85/T85)))))/((T85/2)*((2*ACOS(1-2*BV85/T85)))))^(2/3))*SQRT(P85))</f>
        <v/>
      </c>
      <c r="BX85" s="14" t="str">
        <f t="shared" si="108"/>
        <v/>
      </c>
      <c r="BY85" s="14" t="str">
        <f t="shared" si="109"/>
        <v/>
      </c>
      <c r="BZ85" s="14" t="str">
        <f t="shared" si="110"/>
        <v/>
      </c>
      <c r="CA85" s="14" t="str">
        <f>IF(OR(T85="",P85="",BZ85="",T85&lt;=0,BZ85&lt;=0),"",(1/Inputs!$B$9)*((T85^2/8)*((2*ACOS(1-2*BZ85/T85))-SIN((2*ACOS(1-2*BZ85/T85)))))*((((T85^2/8)*((2*ACOS(1-2*BZ85/T85))-SIN((2*ACOS(1-2*BZ85/T85)))))/((T85/2)*((2*ACOS(1-2*BZ85/T85)))))^(2/3))*SQRT(P85))</f>
        <v/>
      </c>
      <c r="CB85" s="14" t="str">
        <f t="shared" si="111"/>
        <v/>
      </c>
      <c r="CC85" s="14" t="str">
        <f t="shared" si="112"/>
        <v/>
      </c>
      <c r="CD85" s="14" t="str">
        <f t="shared" si="113"/>
        <v/>
      </c>
      <c r="CE85" s="14" t="str">
        <f>IF(OR(T85="",P85="",CD85="",T85&lt;=0,CD85&lt;=0),"",(1/Inputs!$B$9)*((T85^2/8)*((2*ACOS(1-2*CD85/T85))-SIN((2*ACOS(1-2*CD85/T85)))))*((((T85^2/8)*((2*ACOS(1-2*CD85/T85))-SIN((2*ACOS(1-2*CD85/T85)))))/((T85/2)*((2*ACOS(1-2*CD85/T85)))))^(2/3))*SQRT(P85))</f>
        <v/>
      </c>
      <c r="CF85" s="14" t="str">
        <f t="shared" si="114"/>
        <v/>
      </c>
      <c r="CG85" s="14" t="str">
        <f t="shared" si="115"/>
        <v/>
      </c>
      <c r="CH85" s="14" t="str">
        <f t="shared" si="116"/>
        <v/>
      </c>
    </row>
    <row r="86" spans="1:86" x14ac:dyDescent="0.25">
      <c r="A86" s="14"/>
      <c r="B86" s="14"/>
      <c r="C86" s="14"/>
      <c r="D86" s="14"/>
      <c r="E86" s="44"/>
      <c r="F86" s="44"/>
      <c r="G86" s="44">
        <f>SUMIFS(CB_plan!$G:$G,CB_plan!$F:$F,$A86)</f>
        <v>0</v>
      </c>
      <c r="H86" s="44">
        <f t="shared" si="78"/>
        <v>0</v>
      </c>
      <c r="I86" s="14"/>
      <c r="J86" s="44"/>
      <c r="K86" s="44" t="str">
        <f>IF(A86="","",Inputs!$B$13/((IF(AV86="",Inputs!$B$18,AV86)+Inputs!$B$14)^Inputs!$B$15))</f>
        <v/>
      </c>
      <c r="L86" s="44" t="str">
        <f>IF(A86="","",IF(H86="","",0.000000278*IF(I86&lt;&gt;"",I86,IFERROR(SUMIFS(CB_plan!$H:$H,CB_plan!$F:$F,$A86)/SUMIFS(CB_plan!$G:$G,CB_plan!$F:$F,$A86),Inputs!$B$17))*H86*K86))</f>
        <v/>
      </c>
      <c r="M86" s="44" t="str">
        <f t="shared" si="79"/>
        <v/>
      </c>
      <c r="N86" s="44" t="str">
        <f>IF(A86="","",(L86+M86)*Inputs!$B$16)</f>
        <v/>
      </c>
      <c r="O86" s="44"/>
      <c r="P86" s="44" t="str">
        <f>IF(A86="","",IF(O86="",Inputs!$B$7,O86))</f>
        <v/>
      </c>
      <c r="Q86" s="14" t="str">
        <f>IF(A86="","",IF(N86/Inputs!$B$10&lt;=AG86,Inputs!$F$5,IF(N86/Inputs!$B$10&gt;AP86,"OVERSIZE",INDEX(Inputs!$F$5:$F$14,MATCH(N86/Inputs!$B$10,AG86:AP86,1)+1))))</f>
        <v/>
      </c>
      <c r="R86" s="14"/>
      <c r="S86" s="14" t="str">
        <f t="shared" si="80"/>
        <v/>
      </c>
      <c r="T86" s="44" t="str">
        <f t="shared" si="81"/>
        <v/>
      </c>
      <c r="U86" s="44" t="str">
        <f>IF(T86="","",(1/Inputs!$B$9)*(PI()*T86^2/4)*((T86/4)^(2/3))*SQRT(P86))</f>
        <v/>
      </c>
      <c r="V86" s="44" t="str">
        <f>IF(OR(U86="",N86=""),"",N86/(U86*Inputs!$B$10))</f>
        <v/>
      </c>
      <c r="W86" s="44" t="str">
        <f t="shared" si="82"/>
        <v/>
      </c>
      <c r="X86" s="44"/>
      <c r="Y86" s="44" t="str">
        <f>IF(A86="","",IF(A86=Inputs!$B$6,Inputs!$B$22,IF(D86="","",IFERROR(INDEX($Z$4:$Z$201,MATCH(D86,$A$4:$A$201,0))+IF(X86="",Inputs!$B$20,X86),""))))</f>
        <v/>
      </c>
      <c r="Z86" s="44" t="str">
        <f t="shared" si="83"/>
        <v/>
      </c>
      <c r="AA86" s="44" t="str">
        <f>IF(C86="","",IFERROR(INDEX(Noeuds_plan!$C$4:$C$200,MATCH(C86,Noeuds_plan!$A$4:$A$200,0)),""))</f>
        <v/>
      </c>
      <c r="AB86" s="44" t="str">
        <f>IF(B86="","",IFERROR(INDEX(Noeuds_plan!$C$4:$C$200,MATCH(B86,Noeuds_plan!$A$4:$A$200,0)),""))</f>
        <v/>
      </c>
      <c r="AC86" s="44" t="str">
        <f t="shared" si="84"/>
        <v/>
      </c>
      <c r="AD86" s="44" t="str">
        <f t="shared" si="85"/>
        <v/>
      </c>
      <c r="AE86" s="14" t="str">
        <f>IF(A86="","",IF(OR(V86&gt;1,AND(AY86&lt;&gt;"",AY86&lt;Inputs!$B$11),AND(AY86&lt;&gt;"",AY86&gt;Inputs!$B$12),AC86&lt;Inputs!$B$19,AD86&lt;Inputs!$B$19,P86&lt;Inputs!$B$7,P86&gt;Inputs!$B$8),"CHECK","OK"))</f>
        <v/>
      </c>
      <c r="AF86" s="14"/>
      <c r="AG86" s="14" t="str">
        <f>IF(A86="","",(1/Inputs!$B$9)*(PI()*(Inputs!$F$5/1000)^2/4)*((Inputs!$F$5/1000/4)^(2/3))*SQRT(P86))</f>
        <v/>
      </c>
      <c r="AH86" s="14" t="str">
        <f>IF(A86="","",(1/Inputs!$B$9)*(PI()*(Inputs!$F$6/1000)^2/4)*((Inputs!$F$6/1000/4)^(2/3))*SQRT(P86))</f>
        <v/>
      </c>
      <c r="AI86" s="14" t="str">
        <f>IF(A86="","",(1/Inputs!$B$9)*(PI()*(Inputs!$F$7/1000)^2/4)*((Inputs!$F$7/1000/4)^(2/3))*SQRT(P86))</f>
        <v/>
      </c>
      <c r="AJ86" s="14" t="str">
        <f>IF(A86="","",(1/Inputs!$B$9)*(PI()*(Inputs!$F$8/1000)^2/4)*((Inputs!$F$8/1000/4)^(2/3))*SQRT(P86))</f>
        <v/>
      </c>
      <c r="AK86" s="14" t="str">
        <f>IF(A86="","",(1/Inputs!$B$9)*(PI()*(Inputs!$F$9/1000)^2/4)*((Inputs!$F$9/1000/4)^(2/3))*SQRT(P86))</f>
        <v/>
      </c>
      <c r="AL86" s="14" t="str">
        <f>IF(A86="","",(1/Inputs!$B$9)*(PI()*(Inputs!$F$10/1000)^2/4)*((Inputs!$F$10/1000/4)^(2/3))*SQRT(P86))</f>
        <v/>
      </c>
      <c r="AM86" s="14" t="str">
        <f>IF(A86="","",(1/Inputs!$B$9)*(PI()*(Inputs!$F$11/1000)^2/4)*((Inputs!$F$11/1000/4)^(2/3))*SQRT(P86))</f>
        <v/>
      </c>
      <c r="AN86" s="14" t="str">
        <f>IF(A86="","",(1/Inputs!$B$9)*(PI()*(Inputs!$F$12/1000)^2/4)*((Inputs!$F$12/1000/4)^(2/3))*SQRT(P86))</f>
        <v/>
      </c>
      <c r="AO86" s="14" t="str">
        <f>IF(A86="","",(1/Inputs!$B$9)*(PI()*(Inputs!$F$13/1000)^2/4)*((Inputs!$F$13/1000/4)^(2/3))*SQRT(P86))</f>
        <v/>
      </c>
      <c r="AP86" s="14" t="str">
        <f>IF(A86="","",(1/Inputs!$B$9)*(PI()*(Inputs!$F$14/1000)^2/4)*((Inputs!$F$14/1000/4)^(2/3))*SQRT(P86))</f>
        <v/>
      </c>
      <c r="AQ86" s="14" t="str">
        <f t="shared" si="86"/>
        <v/>
      </c>
      <c r="AR86" s="14" t="str">
        <f t="shared" si="87"/>
        <v/>
      </c>
      <c r="AS86" s="17" t="str">
        <f>IF(A86="","",IF(J86="",Inputs!$B$18,J86))</f>
        <v/>
      </c>
      <c r="AT86" s="17" t="str">
        <f>IF(A86="","",IFERROR(_xludf.maxifs($AV$4:$AV$201,$D$4:$D$201,$A86),""))</f>
        <v/>
      </c>
      <c r="AU86" s="17" t="str">
        <f>IF(A86="","",IF(OR(E86="",Inputs!$B$23=""),"",E86/(Inputs!$B$23*60)))</f>
        <v/>
      </c>
      <c r="AV86" s="17" t="str">
        <f t="shared" si="88"/>
        <v/>
      </c>
      <c r="AW86" s="17" t="str">
        <f t="shared" si="89"/>
        <v/>
      </c>
      <c r="AX86" s="17" t="str">
        <f>IF(OR(T86="",P86=""),"",(1/Inputs!$B$9)*((T86/4)^(2/3))*SQRT(P86))</f>
        <v/>
      </c>
      <c r="AY86" s="17" t="str">
        <f>IF(A86="","",IF(AND(AW86="",AX86="",BA86=""),"",IF(OR(UPPER(TRIM(Inputs!$B$24))="MANNING",UPPER(TRIM(Inputs!$B$24))="M"),AX86,IF(OR(UPPER(TRIM(Inputs!$B$24))="PARTIAL",UPPER(TRIM(Inputs!$B$24))="P"),BA86,IF(OR(UPPER(TRIM(Inputs!$B$24))="MAX",UPPER(TRIM(Inputs!$B$24))="X"),MAX(IF(AW86="",0,AW86),IF(AX86="",0,AX86),IF(BA86="",0,BA86)),AW86)))))</f>
        <v/>
      </c>
      <c r="AZ86" s="17" t="str">
        <f t="shared" si="90"/>
        <v/>
      </c>
      <c r="BA86" s="17" t="str">
        <f t="shared" si="91"/>
        <v/>
      </c>
      <c r="BB86" s="14" t="str">
        <f t="shared" si="92"/>
        <v/>
      </c>
      <c r="BC86" s="14" t="str">
        <f>IF(OR(N86="",T86="",P86=""),"",IF(OR(T86="",P86="",(0.94*T86)="",T86&lt;=0,(0.94*T86)&lt;=0),"",(1/Inputs!$B$9)*((T86^2/8)*((2*ACOS(1-2*(0.94*T86)/T86))-SIN((2*ACOS(1-2*(0.94*T86)/T86)))))*((((T86^2/8)*((2*ACOS(1-2*(0.94*T86)/T86))-SIN((2*ACOS(1-2*(0.94*T86)/T86)))))/((T86/2)*((2*ACOS(1-2*(0.94*T86)/T86)))))^(2/3))*SQRT(P86)))</f>
        <v/>
      </c>
      <c r="BD86" s="14" t="str">
        <f t="shared" si="93"/>
        <v/>
      </c>
      <c r="BE86" s="14" t="str">
        <f t="shared" si="94"/>
        <v/>
      </c>
      <c r="BF86" s="14" t="str">
        <f t="shared" si="95"/>
        <v/>
      </c>
      <c r="BG86" s="14" t="str">
        <f>IF(OR(T86="",P86="",BF86="",T86&lt;=0,BF86&lt;=0),"",(1/Inputs!$B$9)*((T86^2/8)*((2*ACOS(1-2*BF86/T86))-SIN((2*ACOS(1-2*BF86/T86)))))*((((T86^2/8)*((2*ACOS(1-2*BF86/T86))-SIN((2*ACOS(1-2*BF86/T86)))))/((T86/2)*((2*ACOS(1-2*BF86/T86)))))^(2/3))*SQRT(P86))</f>
        <v/>
      </c>
      <c r="BH86" s="14" t="str">
        <f t="shared" si="96"/>
        <v/>
      </c>
      <c r="BI86" s="14" t="str">
        <f t="shared" si="97"/>
        <v/>
      </c>
      <c r="BJ86" s="14" t="str">
        <f t="shared" si="98"/>
        <v/>
      </c>
      <c r="BK86" s="14" t="str">
        <f>IF(OR(T86="",P86="",BJ86="",T86&lt;=0,BJ86&lt;=0),"",(1/Inputs!$B$9)*((T86^2/8)*((2*ACOS(1-2*BJ86/T86))-SIN((2*ACOS(1-2*BJ86/T86)))))*((((T86^2/8)*((2*ACOS(1-2*BJ86/T86))-SIN((2*ACOS(1-2*BJ86/T86)))))/((T86/2)*((2*ACOS(1-2*BJ86/T86)))))^(2/3))*SQRT(P86))</f>
        <v/>
      </c>
      <c r="BL86" s="14" t="str">
        <f t="shared" si="99"/>
        <v/>
      </c>
      <c r="BM86" s="14" t="str">
        <f t="shared" si="100"/>
        <v/>
      </c>
      <c r="BN86" s="14" t="str">
        <f t="shared" si="101"/>
        <v/>
      </c>
      <c r="BO86" s="14" t="str">
        <f>IF(OR(T86="",P86="",BN86="",T86&lt;=0,BN86&lt;=0),"",(1/Inputs!$B$9)*((T86^2/8)*((2*ACOS(1-2*BN86/T86))-SIN((2*ACOS(1-2*BN86/T86)))))*((((T86^2/8)*((2*ACOS(1-2*BN86/T86))-SIN((2*ACOS(1-2*BN86/T86)))))/((T86/2)*((2*ACOS(1-2*BN86/T86)))))^(2/3))*SQRT(P86))</f>
        <v/>
      </c>
      <c r="BP86" s="14" t="str">
        <f t="shared" si="102"/>
        <v/>
      </c>
      <c r="BQ86" s="14" t="str">
        <f t="shared" si="103"/>
        <v/>
      </c>
      <c r="BR86" s="14" t="str">
        <f t="shared" si="104"/>
        <v/>
      </c>
      <c r="BS86" s="14" t="str">
        <f>IF(OR(T86="",P86="",BR86="",T86&lt;=0,BR86&lt;=0),"",(1/Inputs!$B$9)*((T86^2/8)*((2*ACOS(1-2*BR86/T86))-SIN((2*ACOS(1-2*BR86/T86)))))*((((T86^2/8)*((2*ACOS(1-2*BR86/T86))-SIN((2*ACOS(1-2*BR86/T86)))))/((T86/2)*((2*ACOS(1-2*BR86/T86)))))^(2/3))*SQRT(P86))</f>
        <v/>
      </c>
      <c r="BT86" s="14" t="str">
        <f t="shared" si="105"/>
        <v/>
      </c>
      <c r="BU86" s="14" t="str">
        <f t="shared" si="106"/>
        <v/>
      </c>
      <c r="BV86" s="14" t="str">
        <f t="shared" si="107"/>
        <v/>
      </c>
      <c r="BW86" s="14" t="str">
        <f>IF(OR(T86="",P86="",BV86="",T86&lt;=0,BV86&lt;=0),"",(1/Inputs!$B$9)*((T86^2/8)*((2*ACOS(1-2*BV86/T86))-SIN((2*ACOS(1-2*BV86/T86)))))*((((T86^2/8)*((2*ACOS(1-2*BV86/T86))-SIN((2*ACOS(1-2*BV86/T86)))))/((T86/2)*((2*ACOS(1-2*BV86/T86)))))^(2/3))*SQRT(P86))</f>
        <v/>
      </c>
      <c r="BX86" s="14" t="str">
        <f t="shared" si="108"/>
        <v/>
      </c>
      <c r="BY86" s="14" t="str">
        <f t="shared" si="109"/>
        <v/>
      </c>
      <c r="BZ86" s="14" t="str">
        <f t="shared" si="110"/>
        <v/>
      </c>
      <c r="CA86" s="14" t="str">
        <f>IF(OR(T86="",P86="",BZ86="",T86&lt;=0,BZ86&lt;=0),"",(1/Inputs!$B$9)*((T86^2/8)*((2*ACOS(1-2*BZ86/T86))-SIN((2*ACOS(1-2*BZ86/T86)))))*((((T86^2/8)*((2*ACOS(1-2*BZ86/T86))-SIN((2*ACOS(1-2*BZ86/T86)))))/((T86/2)*((2*ACOS(1-2*BZ86/T86)))))^(2/3))*SQRT(P86))</f>
        <v/>
      </c>
      <c r="CB86" s="14" t="str">
        <f t="shared" si="111"/>
        <v/>
      </c>
      <c r="CC86" s="14" t="str">
        <f t="shared" si="112"/>
        <v/>
      </c>
      <c r="CD86" s="14" t="str">
        <f t="shared" si="113"/>
        <v/>
      </c>
      <c r="CE86" s="14" t="str">
        <f>IF(OR(T86="",P86="",CD86="",T86&lt;=0,CD86&lt;=0),"",(1/Inputs!$B$9)*((T86^2/8)*((2*ACOS(1-2*CD86/T86))-SIN((2*ACOS(1-2*CD86/T86)))))*((((T86^2/8)*((2*ACOS(1-2*CD86/T86))-SIN((2*ACOS(1-2*CD86/T86)))))/((T86/2)*((2*ACOS(1-2*CD86/T86)))))^(2/3))*SQRT(P86))</f>
        <v/>
      </c>
      <c r="CF86" s="14" t="str">
        <f t="shared" si="114"/>
        <v/>
      </c>
      <c r="CG86" s="14" t="str">
        <f t="shared" si="115"/>
        <v/>
      </c>
      <c r="CH86" s="14" t="str">
        <f t="shared" si="116"/>
        <v/>
      </c>
    </row>
    <row r="87" spans="1:86" x14ac:dyDescent="0.25">
      <c r="A87" s="14"/>
      <c r="B87" s="14"/>
      <c r="C87" s="14"/>
      <c r="D87" s="14"/>
      <c r="E87" s="44"/>
      <c r="F87" s="44"/>
      <c r="G87" s="44">
        <f>SUMIFS(CB_plan!$G:$G,CB_plan!$F:$F,$A87)</f>
        <v>0</v>
      </c>
      <c r="H87" s="44">
        <f t="shared" si="78"/>
        <v>0</v>
      </c>
      <c r="I87" s="14"/>
      <c r="J87" s="44"/>
      <c r="K87" s="44" t="str">
        <f>IF(A87="","",Inputs!$B$13/((IF(AV87="",Inputs!$B$18,AV87)+Inputs!$B$14)^Inputs!$B$15))</f>
        <v/>
      </c>
      <c r="L87" s="44" t="str">
        <f>IF(A87="","",IF(H87="","",0.000000278*IF(I87&lt;&gt;"",I87,IFERROR(SUMIFS(CB_plan!$H:$H,CB_plan!$F:$F,$A87)/SUMIFS(CB_plan!$G:$G,CB_plan!$F:$F,$A87),Inputs!$B$17))*H87*K87))</f>
        <v/>
      </c>
      <c r="M87" s="44" t="str">
        <f t="shared" si="79"/>
        <v/>
      </c>
      <c r="N87" s="44" t="str">
        <f>IF(A87="","",(L87+M87)*Inputs!$B$16)</f>
        <v/>
      </c>
      <c r="O87" s="44"/>
      <c r="P87" s="44" t="str">
        <f>IF(A87="","",IF(O87="",Inputs!$B$7,O87))</f>
        <v/>
      </c>
      <c r="Q87" s="14" t="str">
        <f>IF(A87="","",IF(N87/Inputs!$B$10&lt;=AG87,Inputs!$F$5,IF(N87/Inputs!$B$10&gt;AP87,"OVERSIZE",INDEX(Inputs!$F$5:$F$14,MATCH(N87/Inputs!$B$10,AG87:AP87,1)+1))))</f>
        <v/>
      </c>
      <c r="R87" s="14"/>
      <c r="S87" s="14" t="str">
        <f t="shared" si="80"/>
        <v/>
      </c>
      <c r="T87" s="44" t="str">
        <f t="shared" si="81"/>
        <v/>
      </c>
      <c r="U87" s="44" t="str">
        <f>IF(T87="","",(1/Inputs!$B$9)*(PI()*T87^2/4)*((T87/4)^(2/3))*SQRT(P87))</f>
        <v/>
      </c>
      <c r="V87" s="44" t="str">
        <f>IF(OR(U87="",N87=""),"",N87/(U87*Inputs!$B$10))</f>
        <v/>
      </c>
      <c r="W87" s="44" t="str">
        <f t="shared" si="82"/>
        <v/>
      </c>
      <c r="X87" s="44"/>
      <c r="Y87" s="44" t="str">
        <f>IF(A87="","",IF(A87=Inputs!$B$6,Inputs!$B$22,IF(D87="","",IFERROR(INDEX($Z$4:$Z$201,MATCH(D87,$A$4:$A$201,0))+IF(X87="",Inputs!$B$20,X87),""))))</f>
        <v/>
      </c>
      <c r="Z87" s="44" t="str">
        <f t="shared" si="83"/>
        <v/>
      </c>
      <c r="AA87" s="44" t="str">
        <f>IF(C87="","",IFERROR(INDEX(Noeuds_plan!$C$4:$C$200,MATCH(C87,Noeuds_plan!$A$4:$A$200,0)),""))</f>
        <v/>
      </c>
      <c r="AB87" s="44" t="str">
        <f>IF(B87="","",IFERROR(INDEX(Noeuds_plan!$C$4:$C$200,MATCH(B87,Noeuds_plan!$A$4:$A$200,0)),""))</f>
        <v/>
      </c>
      <c r="AC87" s="44" t="str">
        <f t="shared" si="84"/>
        <v/>
      </c>
      <c r="AD87" s="44" t="str">
        <f t="shared" si="85"/>
        <v/>
      </c>
      <c r="AE87" s="14" t="str">
        <f>IF(A87="","",IF(OR(V87&gt;1,AND(AY87&lt;&gt;"",AY87&lt;Inputs!$B$11),AND(AY87&lt;&gt;"",AY87&gt;Inputs!$B$12),AC87&lt;Inputs!$B$19,AD87&lt;Inputs!$B$19,P87&lt;Inputs!$B$7,P87&gt;Inputs!$B$8),"CHECK","OK"))</f>
        <v/>
      </c>
      <c r="AF87" s="14"/>
      <c r="AG87" s="14" t="str">
        <f>IF(A87="","",(1/Inputs!$B$9)*(PI()*(Inputs!$F$5/1000)^2/4)*((Inputs!$F$5/1000/4)^(2/3))*SQRT(P87))</f>
        <v/>
      </c>
      <c r="AH87" s="14" t="str">
        <f>IF(A87="","",(1/Inputs!$B$9)*(PI()*(Inputs!$F$6/1000)^2/4)*((Inputs!$F$6/1000/4)^(2/3))*SQRT(P87))</f>
        <v/>
      </c>
      <c r="AI87" s="14" t="str">
        <f>IF(A87="","",(1/Inputs!$B$9)*(PI()*(Inputs!$F$7/1000)^2/4)*((Inputs!$F$7/1000/4)^(2/3))*SQRT(P87))</f>
        <v/>
      </c>
      <c r="AJ87" s="14" t="str">
        <f>IF(A87="","",(1/Inputs!$B$9)*(PI()*(Inputs!$F$8/1000)^2/4)*((Inputs!$F$8/1000/4)^(2/3))*SQRT(P87))</f>
        <v/>
      </c>
      <c r="AK87" s="14" t="str">
        <f>IF(A87="","",(1/Inputs!$B$9)*(PI()*(Inputs!$F$9/1000)^2/4)*((Inputs!$F$9/1000/4)^(2/3))*SQRT(P87))</f>
        <v/>
      </c>
      <c r="AL87" s="14" t="str">
        <f>IF(A87="","",(1/Inputs!$B$9)*(PI()*(Inputs!$F$10/1000)^2/4)*((Inputs!$F$10/1000/4)^(2/3))*SQRT(P87))</f>
        <v/>
      </c>
      <c r="AM87" s="14" t="str">
        <f>IF(A87="","",(1/Inputs!$B$9)*(PI()*(Inputs!$F$11/1000)^2/4)*((Inputs!$F$11/1000/4)^(2/3))*SQRT(P87))</f>
        <v/>
      </c>
      <c r="AN87" s="14" t="str">
        <f>IF(A87="","",(1/Inputs!$B$9)*(PI()*(Inputs!$F$12/1000)^2/4)*((Inputs!$F$12/1000/4)^(2/3))*SQRT(P87))</f>
        <v/>
      </c>
      <c r="AO87" s="14" t="str">
        <f>IF(A87="","",(1/Inputs!$B$9)*(PI()*(Inputs!$F$13/1000)^2/4)*((Inputs!$F$13/1000/4)^(2/3))*SQRT(P87))</f>
        <v/>
      </c>
      <c r="AP87" s="14" t="str">
        <f>IF(A87="","",(1/Inputs!$B$9)*(PI()*(Inputs!$F$14/1000)^2/4)*((Inputs!$F$14/1000/4)^(2/3))*SQRT(P87))</f>
        <v/>
      </c>
      <c r="AQ87" s="14" t="str">
        <f t="shared" si="86"/>
        <v/>
      </c>
      <c r="AR87" s="14" t="str">
        <f t="shared" si="87"/>
        <v/>
      </c>
      <c r="AS87" s="17" t="str">
        <f>IF(A87="","",IF(J87="",Inputs!$B$18,J87))</f>
        <v/>
      </c>
      <c r="AT87" s="17" t="str">
        <f>IF(A87="","",IFERROR(_xludf.maxifs($AV$4:$AV$201,$D$4:$D$201,$A87),""))</f>
        <v/>
      </c>
      <c r="AU87" s="17" t="str">
        <f>IF(A87="","",IF(OR(E87="",Inputs!$B$23=""),"",E87/(Inputs!$B$23*60)))</f>
        <v/>
      </c>
      <c r="AV87" s="17" t="str">
        <f t="shared" si="88"/>
        <v/>
      </c>
      <c r="AW87" s="17" t="str">
        <f t="shared" si="89"/>
        <v/>
      </c>
      <c r="AX87" s="17" t="str">
        <f>IF(OR(T87="",P87=""),"",(1/Inputs!$B$9)*((T87/4)^(2/3))*SQRT(P87))</f>
        <v/>
      </c>
      <c r="AY87" s="17" t="str">
        <f>IF(A87="","",IF(AND(AW87="",AX87="",BA87=""),"",IF(OR(UPPER(TRIM(Inputs!$B$24))="MANNING",UPPER(TRIM(Inputs!$B$24))="M"),AX87,IF(OR(UPPER(TRIM(Inputs!$B$24))="PARTIAL",UPPER(TRIM(Inputs!$B$24))="P"),BA87,IF(OR(UPPER(TRIM(Inputs!$B$24))="MAX",UPPER(TRIM(Inputs!$B$24))="X"),MAX(IF(AW87="",0,AW87),IF(AX87="",0,AX87),IF(BA87="",0,BA87)),AW87)))))</f>
        <v/>
      </c>
      <c r="AZ87" s="17" t="str">
        <f t="shared" si="90"/>
        <v/>
      </c>
      <c r="BA87" s="17" t="str">
        <f t="shared" si="91"/>
        <v/>
      </c>
      <c r="BB87" s="14" t="str">
        <f t="shared" si="92"/>
        <v/>
      </c>
      <c r="BC87" s="14" t="str">
        <f>IF(OR(N87="",T87="",P87=""),"",IF(OR(T87="",P87="",(0.94*T87)="",T87&lt;=0,(0.94*T87)&lt;=0),"",(1/Inputs!$B$9)*((T87^2/8)*((2*ACOS(1-2*(0.94*T87)/T87))-SIN((2*ACOS(1-2*(0.94*T87)/T87)))))*((((T87^2/8)*((2*ACOS(1-2*(0.94*T87)/T87))-SIN((2*ACOS(1-2*(0.94*T87)/T87)))))/((T87/2)*((2*ACOS(1-2*(0.94*T87)/T87)))))^(2/3))*SQRT(P87)))</f>
        <v/>
      </c>
      <c r="BD87" s="14" t="str">
        <f t="shared" si="93"/>
        <v/>
      </c>
      <c r="BE87" s="14" t="str">
        <f t="shared" si="94"/>
        <v/>
      </c>
      <c r="BF87" s="14" t="str">
        <f t="shared" si="95"/>
        <v/>
      </c>
      <c r="BG87" s="14" t="str">
        <f>IF(OR(T87="",P87="",BF87="",T87&lt;=0,BF87&lt;=0),"",(1/Inputs!$B$9)*((T87^2/8)*((2*ACOS(1-2*BF87/T87))-SIN((2*ACOS(1-2*BF87/T87)))))*((((T87^2/8)*((2*ACOS(1-2*BF87/T87))-SIN((2*ACOS(1-2*BF87/T87)))))/((T87/2)*((2*ACOS(1-2*BF87/T87)))))^(2/3))*SQRT(P87))</f>
        <v/>
      </c>
      <c r="BH87" s="14" t="str">
        <f t="shared" si="96"/>
        <v/>
      </c>
      <c r="BI87" s="14" t="str">
        <f t="shared" si="97"/>
        <v/>
      </c>
      <c r="BJ87" s="14" t="str">
        <f t="shared" si="98"/>
        <v/>
      </c>
      <c r="BK87" s="14" t="str">
        <f>IF(OR(T87="",P87="",BJ87="",T87&lt;=0,BJ87&lt;=0),"",(1/Inputs!$B$9)*((T87^2/8)*((2*ACOS(1-2*BJ87/T87))-SIN((2*ACOS(1-2*BJ87/T87)))))*((((T87^2/8)*((2*ACOS(1-2*BJ87/T87))-SIN((2*ACOS(1-2*BJ87/T87)))))/((T87/2)*((2*ACOS(1-2*BJ87/T87)))))^(2/3))*SQRT(P87))</f>
        <v/>
      </c>
      <c r="BL87" s="14" t="str">
        <f t="shared" si="99"/>
        <v/>
      </c>
      <c r="BM87" s="14" t="str">
        <f t="shared" si="100"/>
        <v/>
      </c>
      <c r="BN87" s="14" t="str">
        <f t="shared" si="101"/>
        <v/>
      </c>
      <c r="BO87" s="14" t="str">
        <f>IF(OR(T87="",P87="",BN87="",T87&lt;=0,BN87&lt;=0),"",(1/Inputs!$B$9)*((T87^2/8)*((2*ACOS(1-2*BN87/T87))-SIN((2*ACOS(1-2*BN87/T87)))))*((((T87^2/8)*((2*ACOS(1-2*BN87/T87))-SIN((2*ACOS(1-2*BN87/T87)))))/((T87/2)*((2*ACOS(1-2*BN87/T87)))))^(2/3))*SQRT(P87))</f>
        <v/>
      </c>
      <c r="BP87" s="14" t="str">
        <f t="shared" si="102"/>
        <v/>
      </c>
      <c r="BQ87" s="14" t="str">
        <f t="shared" si="103"/>
        <v/>
      </c>
      <c r="BR87" s="14" t="str">
        <f t="shared" si="104"/>
        <v/>
      </c>
      <c r="BS87" s="14" t="str">
        <f>IF(OR(T87="",P87="",BR87="",T87&lt;=0,BR87&lt;=0),"",(1/Inputs!$B$9)*((T87^2/8)*((2*ACOS(1-2*BR87/T87))-SIN((2*ACOS(1-2*BR87/T87)))))*((((T87^2/8)*((2*ACOS(1-2*BR87/T87))-SIN((2*ACOS(1-2*BR87/T87)))))/((T87/2)*((2*ACOS(1-2*BR87/T87)))))^(2/3))*SQRT(P87))</f>
        <v/>
      </c>
      <c r="BT87" s="14" t="str">
        <f t="shared" si="105"/>
        <v/>
      </c>
      <c r="BU87" s="14" t="str">
        <f t="shared" si="106"/>
        <v/>
      </c>
      <c r="BV87" s="14" t="str">
        <f t="shared" si="107"/>
        <v/>
      </c>
      <c r="BW87" s="14" t="str">
        <f>IF(OR(T87="",P87="",BV87="",T87&lt;=0,BV87&lt;=0),"",(1/Inputs!$B$9)*((T87^2/8)*((2*ACOS(1-2*BV87/T87))-SIN((2*ACOS(1-2*BV87/T87)))))*((((T87^2/8)*((2*ACOS(1-2*BV87/T87))-SIN((2*ACOS(1-2*BV87/T87)))))/((T87/2)*((2*ACOS(1-2*BV87/T87)))))^(2/3))*SQRT(P87))</f>
        <v/>
      </c>
      <c r="BX87" s="14" t="str">
        <f t="shared" si="108"/>
        <v/>
      </c>
      <c r="BY87" s="14" t="str">
        <f t="shared" si="109"/>
        <v/>
      </c>
      <c r="BZ87" s="14" t="str">
        <f t="shared" si="110"/>
        <v/>
      </c>
      <c r="CA87" s="14" t="str">
        <f>IF(OR(T87="",P87="",BZ87="",T87&lt;=0,BZ87&lt;=0),"",(1/Inputs!$B$9)*((T87^2/8)*((2*ACOS(1-2*BZ87/T87))-SIN((2*ACOS(1-2*BZ87/T87)))))*((((T87^2/8)*((2*ACOS(1-2*BZ87/T87))-SIN((2*ACOS(1-2*BZ87/T87)))))/((T87/2)*((2*ACOS(1-2*BZ87/T87)))))^(2/3))*SQRT(P87))</f>
        <v/>
      </c>
      <c r="CB87" s="14" t="str">
        <f t="shared" si="111"/>
        <v/>
      </c>
      <c r="CC87" s="14" t="str">
        <f t="shared" si="112"/>
        <v/>
      </c>
      <c r="CD87" s="14" t="str">
        <f t="shared" si="113"/>
        <v/>
      </c>
      <c r="CE87" s="14" t="str">
        <f>IF(OR(T87="",P87="",CD87="",T87&lt;=0,CD87&lt;=0),"",(1/Inputs!$B$9)*((T87^2/8)*((2*ACOS(1-2*CD87/T87))-SIN((2*ACOS(1-2*CD87/T87)))))*((((T87^2/8)*((2*ACOS(1-2*CD87/T87))-SIN((2*ACOS(1-2*CD87/T87)))))/((T87/2)*((2*ACOS(1-2*CD87/T87)))))^(2/3))*SQRT(P87))</f>
        <v/>
      </c>
      <c r="CF87" s="14" t="str">
        <f t="shared" si="114"/>
        <v/>
      </c>
      <c r="CG87" s="14" t="str">
        <f t="shared" si="115"/>
        <v/>
      </c>
      <c r="CH87" s="14" t="str">
        <f t="shared" si="116"/>
        <v/>
      </c>
    </row>
    <row r="88" spans="1:86" x14ac:dyDescent="0.25">
      <c r="A88" s="14"/>
      <c r="B88" s="14"/>
      <c r="C88" s="14"/>
      <c r="D88" s="14"/>
      <c r="E88" s="44"/>
      <c r="F88" s="44"/>
      <c r="G88" s="44">
        <f>SUMIFS(CB_plan!$G:$G,CB_plan!$F:$F,$A88)</f>
        <v>0</v>
      </c>
      <c r="H88" s="44">
        <f t="shared" si="78"/>
        <v>0</v>
      </c>
      <c r="I88" s="14"/>
      <c r="J88" s="44"/>
      <c r="K88" s="44" t="str">
        <f>IF(A88="","",Inputs!$B$13/((IF(AV88="",Inputs!$B$18,AV88)+Inputs!$B$14)^Inputs!$B$15))</f>
        <v/>
      </c>
      <c r="L88" s="44" t="str">
        <f>IF(A88="","",IF(H88="","",0.000000278*IF(I88&lt;&gt;"",I88,IFERROR(SUMIFS(CB_plan!$H:$H,CB_plan!$F:$F,$A88)/SUMIFS(CB_plan!$G:$G,CB_plan!$F:$F,$A88),Inputs!$B$17))*H88*K88))</f>
        <v/>
      </c>
      <c r="M88" s="44" t="str">
        <f t="shared" si="79"/>
        <v/>
      </c>
      <c r="N88" s="44" t="str">
        <f>IF(A88="","",(L88+M88)*Inputs!$B$16)</f>
        <v/>
      </c>
      <c r="O88" s="44"/>
      <c r="P88" s="44" t="str">
        <f>IF(A88="","",IF(O88="",Inputs!$B$7,O88))</f>
        <v/>
      </c>
      <c r="Q88" s="14" t="str">
        <f>IF(A88="","",IF(N88/Inputs!$B$10&lt;=AG88,Inputs!$F$5,IF(N88/Inputs!$B$10&gt;AP88,"OVERSIZE",INDEX(Inputs!$F$5:$F$14,MATCH(N88/Inputs!$B$10,AG88:AP88,1)+1))))</f>
        <v/>
      </c>
      <c r="R88" s="14"/>
      <c r="S88" s="14" t="str">
        <f t="shared" si="80"/>
        <v/>
      </c>
      <c r="T88" s="44" t="str">
        <f t="shared" si="81"/>
        <v/>
      </c>
      <c r="U88" s="44" t="str">
        <f>IF(T88="","",(1/Inputs!$B$9)*(PI()*T88^2/4)*((T88/4)^(2/3))*SQRT(P88))</f>
        <v/>
      </c>
      <c r="V88" s="44" t="str">
        <f>IF(OR(U88="",N88=""),"",N88/(U88*Inputs!$B$10))</f>
        <v/>
      </c>
      <c r="W88" s="44" t="str">
        <f t="shared" si="82"/>
        <v/>
      </c>
      <c r="X88" s="44"/>
      <c r="Y88" s="44" t="str">
        <f>IF(A88="","",IF(A88=Inputs!$B$6,Inputs!$B$22,IF(D88="","",IFERROR(INDEX($Z$4:$Z$201,MATCH(D88,$A$4:$A$201,0))+IF(X88="",Inputs!$B$20,X88),""))))</f>
        <v/>
      </c>
      <c r="Z88" s="44" t="str">
        <f t="shared" si="83"/>
        <v/>
      </c>
      <c r="AA88" s="44" t="str">
        <f>IF(C88="","",IFERROR(INDEX(Noeuds_plan!$C$4:$C$200,MATCH(C88,Noeuds_plan!$A$4:$A$200,0)),""))</f>
        <v/>
      </c>
      <c r="AB88" s="44" t="str">
        <f>IF(B88="","",IFERROR(INDEX(Noeuds_plan!$C$4:$C$200,MATCH(B88,Noeuds_plan!$A$4:$A$200,0)),""))</f>
        <v/>
      </c>
      <c r="AC88" s="44" t="str">
        <f t="shared" si="84"/>
        <v/>
      </c>
      <c r="AD88" s="44" t="str">
        <f t="shared" si="85"/>
        <v/>
      </c>
      <c r="AE88" s="14" t="str">
        <f>IF(A88="","",IF(OR(V88&gt;1,AND(AY88&lt;&gt;"",AY88&lt;Inputs!$B$11),AND(AY88&lt;&gt;"",AY88&gt;Inputs!$B$12),AC88&lt;Inputs!$B$19,AD88&lt;Inputs!$B$19,P88&lt;Inputs!$B$7,P88&gt;Inputs!$B$8),"CHECK","OK"))</f>
        <v/>
      </c>
      <c r="AF88" s="14"/>
      <c r="AG88" s="14" t="str">
        <f>IF(A88="","",(1/Inputs!$B$9)*(PI()*(Inputs!$F$5/1000)^2/4)*((Inputs!$F$5/1000/4)^(2/3))*SQRT(P88))</f>
        <v/>
      </c>
      <c r="AH88" s="14" t="str">
        <f>IF(A88="","",(1/Inputs!$B$9)*(PI()*(Inputs!$F$6/1000)^2/4)*((Inputs!$F$6/1000/4)^(2/3))*SQRT(P88))</f>
        <v/>
      </c>
      <c r="AI88" s="14" t="str">
        <f>IF(A88="","",(1/Inputs!$B$9)*(PI()*(Inputs!$F$7/1000)^2/4)*((Inputs!$F$7/1000/4)^(2/3))*SQRT(P88))</f>
        <v/>
      </c>
      <c r="AJ88" s="14" t="str">
        <f>IF(A88="","",(1/Inputs!$B$9)*(PI()*(Inputs!$F$8/1000)^2/4)*((Inputs!$F$8/1000/4)^(2/3))*SQRT(P88))</f>
        <v/>
      </c>
      <c r="AK88" s="14" t="str">
        <f>IF(A88="","",(1/Inputs!$B$9)*(PI()*(Inputs!$F$9/1000)^2/4)*((Inputs!$F$9/1000/4)^(2/3))*SQRT(P88))</f>
        <v/>
      </c>
      <c r="AL88" s="14" t="str">
        <f>IF(A88="","",(1/Inputs!$B$9)*(PI()*(Inputs!$F$10/1000)^2/4)*((Inputs!$F$10/1000/4)^(2/3))*SQRT(P88))</f>
        <v/>
      </c>
      <c r="AM88" s="14" t="str">
        <f>IF(A88="","",(1/Inputs!$B$9)*(PI()*(Inputs!$F$11/1000)^2/4)*((Inputs!$F$11/1000/4)^(2/3))*SQRT(P88))</f>
        <v/>
      </c>
      <c r="AN88" s="14" t="str">
        <f>IF(A88="","",(1/Inputs!$B$9)*(PI()*(Inputs!$F$12/1000)^2/4)*((Inputs!$F$12/1000/4)^(2/3))*SQRT(P88))</f>
        <v/>
      </c>
      <c r="AO88" s="14" t="str">
        <f>IF(A88="","",(1/Inputs!$B$9)*(PI()*(Inputs!$F$13/1000)^2/4)*((Inputs!$F$13/1000/4)^(2/3))*SQRT(P88))</f>
        <v/>
      </c>
      <c r="AP88" s="14" t="str">
        <f>IF(A88="","",(1/Inputs!$B$9)*(PI()*(Inputs!$F$14/1000)^2/4)*((Inputs!$F$14/1000/4)^(2/3))*SQRT(P88))</f>
        <v/>
      </c>
      <c r="AQ88" s="14" t="str">
        <f t="shared" si="86"/>
        <v/>
      </c>
      <c r="AR88" s="14" t="str">
        <f t="shared" si="87"/>
        <v/>
      </c>
      <c r="AS88" s="17" t="str">
        <f>IF(A88="","",IF(J88="",Inputs!$B$18,J88))</f>
        <v/>
      </c>
      <c r="AT88" s="17" t="str">
        <f>IF(A88="","",IFERROR(_xludf.maxifs($AV$4:$AV$201,$D$4:$D$201,$A88),""))</f>
        <v/>
      </c>
      <c r="AU88" s="17" t="str">
        <f>IF(A88="","",IF(OR(E88="",Inputs!$B$23=""),"",E88/(Inputs!$B$23*60)))</f>
        <v/>
      </c>
      <c r="AV88" s="17" t="str">
        <f t="shared" si="88"/>
        <v/>
      </c>
      <c r="AW88" s="17" t="str">
        <f t="shared" si="89"/>
        <v/>
      </c>
      <c r="AX88" s="17" t="str">
        <f>IF(OR(T88="",P88=""),"",(1/Inputs!$B$9)*((T88/4)^(2/3))*SQRT(P88))</f>
        <v/>
      </c>
      <c r="AY88" s="17" t="str">
        <f>IF(A88="","",IF(AND(AW88="",AX88="",BA88=""),"",IF(OR(UPPER(TRIM(Inputs!$B$24))="MANNING",UPPER(TRIM(Inputs!$B$24))="M"),AX88,IF(OR(UPPER(TRIM(Inputs!$B$24))="PARTIAL",UPPER(TRIM(Inputs!$B$24))="P"),BA88,IF(OR(UPPER(TRIM(Inputs!$B$24))="MAX",UPPER(TRIM(Inputs!$B$24))="X"),MAX(IF(AW88="",0,AW88),IF(AX88="",0,AX88),IF(BA88="",0,BA88)),AW88)))))</f>
        <v/>
      </c>
      <c r="AZ88" s="17" t="str">
        <f t="shared" si="90"/>
        <v/>
      </c>
      <c r="BA88" s="17" t="str">
        <f t="shared" si="91"/>
        <v/>
      </c>
      <c r="BB88" s="14" t="str">
        <f t="shared" si="92"/>
        <v/>
      </c>
      <c r="BC88" s="14" t="str">
        <f>IF(OR(N88="",T88="",P88=""),"",IF(OR(T88="",P88="",(0.94*T88)="",T88&lt;=0,(0.94*T88)&lt;=0),"",(1/Inputs!$B$9)*((T88^2/8)*((2*ACOS(1-2*(0.94*T88)/T88))-SIN((2*ACOS(1-2*(0.94*T88)/T88)))))*((((T88^2/8)*((2*ACOS(1-2*(0.94*T88)/T88))-SIN((2*ACOS(1-2*(0.94*T88)/T88)))))/((T88/2)*((2*ACOS(1-2*(0.94*T88)/T88)))))^(2/3))*SQRT(P88)))</f>
        <v/>
      </c>
      <c r="BD88" s="14" t="str">
        <f t="shared" si="93"/>
        <v/>
      </c>
      <c r="BE88" s="14" t="str">
        <f t="shared" si="94"/>
        <v/>
      </c>
      <c r="BF88" s="14" t="str">
        <f t="shared" si="95"/>
        <v/>
      </c>
      <c r="BG88" s="14" t="str">
        <f>IF(OR(T88="",P88="",BF88="",T88&lt;=0,BF88&lt;=0),"",(1/Inputs!$B$9)*((T88^2/8)*((2*ACOS(1-2*BF88/T88))-SIN((2*ACOS(1-2*BF88/T88)))))*((((T88^2/8)*((2*ACOS(1-2*BF88/T88))-SIN((2*ACOS(1-2*BF88/T88)))))/((T88/2)*((2*ACOS(1-2*BF88/T88)))))^(2/3))*SQRT(P88))</f>
        <v/>
      </c>
      <c r="BH88" s="14" t="str">
        <f t="shared" si="96"/>
        <v/>
      </c>
      <c r="BI88" s="14" t="str">
        <f t="shared" si="97"/>
        <v/>
      </c>
      <c r="BJ88" s="14" t="str">
        <f t="shared" si="98"/>
        <v/>
      </c>
      <c r="BK88" s="14" t="str">
        <f>IF(OR(T88="",P88="",BJ88="",T88&lt;=0,BJ88&lt;=0),"",(1/Inputs!$B$9)*((T88^2/8)*((2*ACOS(1-2*BJ88/T88))-SIN((2*ACOS(1-2*BJ88/T88)))))*((((T88^2/8)*((2*ACOS(1-2*BJ88/T88))-SIN((2*ACOS(1-2*BJ88/T88)))))/((T88/2)*((2*ACOS(1-2*BJ88/T88)))))^(2/3))*SQRT(P88))</f>
        <v/>
      </c>
      <c r="BL88" s="14" t="str">
        <f t="shared" si="99"/>
        <v/>
      </c>
      <c r="BM88" s="14" t="str">
        <f t="shared" si="100"/>
        <v/>
      </c>
      <c r="BN88" s="14" t="str">
        <f t="shared" si="101"/>
        <v/>
      </c>
      <c r="BO88" s="14" t="str">
        <f>IF(OR(T88="",P88="",BN88="",T88&lt;=0,BN88&lt;=0),"",(1/Inputs!$B$9)*((T88^2/8)*((2*ACOS(1-2*BN88/T88))-SIN((2*ACOS(1-2*BN88/T88)))))*((((T88^2/8)*((2*ACOS(1-2*BN88/T88))-SIN((2*ACOS(1-2*BN88/T88)))))/((T88/2)*((2*ACOS(1-2*BN88/T88)))))^(2/3))*SQRT(P88))</f>
        <v/>
      </c>
      <c r="BP88" s="14" t="str">
        <f t="shared" si="102"/>
        <v/>
      </c>
      <c r="BQ88" s="14" t="str">
        <f t="shared" si="103"/>
        <v/>
      </c>
      <c r="BR88" s="14" t="str">
        <f t="shared" si="104"/>
        <v/>
      </c>
      <c r="BS88" s="14" t="str">
        <f>IF(OR(T88="",P88="",BR88="",T88&lt;=0,BR88&lt;=0),"",(1/Inputs!$B$9)*((T88^2/8)*((2*ACOS(1-2*BR88/T88))-SIN((2*ACOS(1-2*BR88/T88)))))*((((T88^2/8)*((2*ACOS(1-2*BR88/T88))-SIN((2*ACOS(1-2*BR88/T88)))))/((T88/2)*((2*ACOS(1-2*BR88/T88)))))^(2/3))*SQRT(P88))</f>
        <v/>
      </c>
      <c r="BT88" s="14" t="str">
        <f t="shared" si="105"/>
        <v/>
      </c>
      <c r="BU88" s="14" t="str">
        <f t="shared" si="106"/>
        <v/>
      </c>
      <c r="BV88" s="14" t="str">
        <f t="shared" si="107"/>
        <v/>
      </c>
      <c r="BW88" s="14" t="str">
        <f>IF(OR(T88="",P88="",BV88="",T88&lt;=0,BV88&lt;=0),"",(1/Inputs!$B$9)*((T88^2/8)*((2*ACOS(1-2*BV88/T88))-SIN((2*ACOS(1-2*BV88/T88)))))*((((T88^2/8)*((2*ACOS(1-2*BV88/T88))-SIN((2*ACOS(1-2*BV88/T88)))))/((T88/2)*((2*ACOS(1-2*BV88/T88)))))^(2/3))*SQRT(P88))</f>
        <v/>
      </c>
      <c r="BX88" s="14" t="str">
        <f t="shared" si="108"/>
        <v/>
      </c>
      <c r="BY88" s="14" t="str">
        <f t="shared" si="109"/>
        <v/>
      </c>
      <c r="BZ88" s="14" t="str">
        <f t="shared" si="110"/>
        <v/>
      </c>
      <c r="CA88" s="14" t="str">
        <f>IF(OR(T88="",P88="",BZ88="",T88&lt;=0,BZ88&lt;=0),"",(1/Inputs!$B$9)*((T88^2/8)*((2*ACOS(1-2*BZ88/T88))-SIN((2*ACOS(1-2*BZ88/T88)))))*((((T88^2/8)*((2*ACOS(1-2*BZ88/T88))-SIN((2*ACOS(1-2*BZ88/T88)))))/((T88/2)*((2*ACOS(1-2*BZ88/T88)))))^(2/3))*SQRT(P88))</f>
        <v/>
      </c>
      <c r="CB88" s="14" t="str">
        <f t="shared" si="111"/>
        <v/>
      </c>
      <c r="CC88" s="14" t="str">
        <f t="shared" si="112"/>
        <v/>
      </c>
      <c r="CD88" s="14" t="str">
        <f t="shared" si="113"/>
        <v/>
      </c>
      <c r="CE88" s="14" t="str">
        <f>IF(OR(T88="",P88="",CD88="",T88&lt;=0,CD88&lt;=0),"",(1/Inputs!$B$9)*((T88^2/8)*((2*ACOS(1-2*CD88/T88))-SIN((2*ACOS(1-2*CD88/T88)))))*((((T88^2/8)*((2*ACOS(1-2*CD88/T88))-SIN((2*ACOS(1-2*CD88/T88)))))/((T88/2)*((2*ACOS(1-2*CD88/T88)))))^(2/3))*SQRT(P88))</f>
        <v/>
      </c>
      <c r="CF88" s="14" t="str">
        <f t="shared" si="114"/>
        <v/>
      </c>
      <c r="CG88" s="14" t="str">
        <f t="shared" si="115"/>
        <v/>
      </c>
      <c r="CH88" s="14" t="str">
        <f t="shared" si="116"/>
        <v/>
      </c>
    </row>
    <row r="89" spans="1:86" x14ac:dyDescent="0.25">
      <c r="A89" s="14"/>
      <c r="B89" s="14"/>
      <c r="C89" s="14"/>
      <c r="D89" s="14"/>
      <c r="E89" s="44"/>
      <c r="F89" s="44"/>
      <c r="G89" s="44">
        <f>SUMIFS(CB_plan!$G:$G,CB_plan!$F:$F,$A89)</f>
        <v>0</v>
      </c>
      <c r="H89" s="44">
        <f t="shared" si="78"/>
        <v>0</v>
      </c>
      <c r="I89" s="14"/>
      <c r="J89" s="44"/>
      <c r="K89" s="44" t="str">
        <f>IF(A89="","",Inputs!$B$13/((IF(AV89="",Inputs!$B$18,AV89)+Inputs!$B$14)^Inputs!$B$15))</f>
        <v/>
      </c>
      <c r="L89" s="44" t="str">
        <f>IF(A89="","",IF(H89="","",0.000000278*IF(I89&lt;&gt;"",I89,IFERROR(SUMIFS(CB_plan!$H:$H,CB_plan!$F:$F,$A89)/SUMIFS(CB_plan!$G:$G,CB_plan!$F:$F,$A89),Inputs!$B$17))*H89*K89))</f>
        <v/>
      </c>
      <c r="M89" s="44" t="str">
        <f t="shared" si="79"/>
        <v/>
      </c>
      <c r="N89" s="44" t="str">
        <f>IF(A89="","",(L89+M89)*Inputs!$B$16)</f>
        <v/>
      </c>
      <c r="O89" s="44"/>
      <c r="P89" s="44" t="str">
        <f>IF(A89="","",IF(O89="",Inputs!$B$7,O89))</f>
        <v/>
      </c>
      <c r="Q89" s="14" t="str">
        <f>IF(A89="","",IF(N89/Inputs!$B$10&lt;=AG89,Inputs!$F$5,IF(N89/Inputs!$B$10&gt;AP89,"OVERSIZE",INDEX(Inputs!$F$5:$F$14,MATCH(N89/Inputs!$B$10,AG89:AP89,1)+1))))</f>
        <v/>
      </c>
      <c r="R89" s="14"/>
      <c r="S89" s="14" t="str">
        <f t="shared" si="80"/>
        <v/>
      </c>
      <c r="T89" s="44" t="str">
        <f t="shared" si="81"/>
        <v/>
      </c>
      <c r="U89" s="44" t="str">
        <f>IF(T89="","",(1/Inputs!$B$9)*(PI()*T89^2/4)*((T89/4)^(2/3))*SQRT(P89))</f>
        <v/>
      </c>
      <c r="V89" s="44" t="str">
        <f>IF(OR(U89="",N89=""),"",N89/(U89*Inputs!$B$10))</f>
        <v/>
      </c>
      <c r="W89" s="44" t="str">
        <f t="shared" si="82"/>
        <v/>
      </c>
      <c r="X89" s="44"/>
      <c r="Y89" s="44" t="str">
        <f>IF(A89="","",IF(A89=Inputs!$B$6,Inputs!$B$22,IF(D89="","",IFERROR(INDEX($Z$4:$Z$201,MATCH(D89,$A$4:$A$201,0))+IF(X89="",Inputs!$B$20,X89),""))))</f>
        <v/>
      </c>
      <c r="Z89" s="44" t="str">
        <f t="shared" si="83"/>
        <v/>
      </c>
      <c r="AA89" s="44" t="str">
        <f>IF(C89="","",IFERROR(INDEX(Noeuds_plan!$C$4:$C$200,MATCH(C89,Noeuds_plan!$A$4:$A$200,0)),""))</f>
        <v/>
      </c>
      <c r="AB89" s="44" t="str">
        <f>IF(B89="","",IFERROR(INDEX(Noeuds_plan!$C$4:$C$200,MATCH(B89,Noeuds_plan!$A$4:$A$200,0)),""))</f>
        <v/>
      </c>
      <c r="AC89" s="44" t="str">
        <f t="shared" si="84"/>
        <v/>
      </c>
      <c r="AD89" s="44" t="str">
        <f t="shared" si="85"/>
        <v/>
      </c>
      <c r="AE89" s="14" t="str">
        <f>IF(A89="","",IF(OR(V89&gt;1,AND(AY89&lt;&gt;"",AY89&lt;Inputs!$B$11),AND(AY89&lt;&gt;"",AY89&gt;Inputs!$B$12),AC89&lt;Inputs!$B$19,AD89&lt;Inputs!$B$19,P89&lt;Inputs!$B$7,P89&gt;Inputs!$B$8),"CHECK","OK"))</f>
        <v/>
      </c>
      <c r="AF89" s="14"/>
      <c r="AG89" s="14" t="str">
        <f>IF(A89="","",(1/Inputs!$B$9)*(PI()*(Inputs!$F$5/1000)^2/4)*((Inputs!$F$5/1000/4)^(2/3))*SQRT(P89))</f>
        <v/>
      </c>
      <c r="AH89" s="14" t="str">
        <f>IF(A89="","",(1/Inputs!$B$9)*(PI()*(Inputs!$F$6/1000)^2/4)*((Inputs!$F$6/1000/4)^(2/3))*SQRT(P89))</f>
        <v/>
      </c>
      <c r="AI89" s="14" t="str">
        <f>IF(A89="","",(1/Inputs!$B$9)*(PI()*(Inputs!$F$7/1000)^2/4)*((Inputs!$F$7/1000/4)^(2/3))*SQRT(P89))</f>
        <v/>
      </c>
      <c r="AJ89" s="14" t="str">
        <f>IF(A89="","",(1/Inputs!$B$9)*(PI()*(Inputs!$F$8/1000)^2/4)*((Inputs!$F$8/1000/4)^(2/3))*SQRT(P89))</f>
        <v/>
      </c>
      <c r="AK89" s="14" t="str">
        <f>IF(A89="","",(1/Inputs!$B$9)*(PI()*(Inputs!$F$9/1000)^2/4)*((Inputs!$F$9/1000/4)^(2/3))*SQRT(P89))</f>
        <v/>
      </c>
      <c r="AL89" s="14" t="str">
        <f>IF(A89="","",(1/Inputs!$B$9)*(PI()*(Inputs!$F$10/1000)^2/4)*((Inputs!$F$10/1000/4)^(2/3))*SQRT(P89))</f>
        <v/>
      </c>
      <c r="AM89" s="14" t="str">
        <f>IF(A89="","",(1/Inputs!$B$9)*(PI()*(Inputs!$F$11/1000)^2/4)*((Inputs!$F$11/1000/4)^(2/3))*SQRT(P89))</f>
        <v/>
      </c>
      <c r="AN89" s="14" t="str">
        <f>IF(A89="","",(1/Inputs!$B$9)*(PI()*(Inputs!$F$12/1000)^2/4)*((Inputs!$F$12/1000/4)^(2/3))*SQRT(P89))</f>
        <v/>
      </c>
      <c r="AO89" s="14" t="str">
        <f>IF(A89="","",(1/Inputs!$B$9)*(PI()*(Inputs!$F$13/1000)^2/4)*((Inputs!$F$13/1000/4)^(2/3))*SQRT(P89))</f>
        <v/>
      </c>
      <c r="AP89" s="14" t="str">
        <f>IF(A89="","",(1/Inputs!$B$9)*(PI()*(Inputs!$F$14/1000)^2/4)*((Inputs!$F$14/1000/4)^(2/3))*SQRT(P89))</f>
        <v/>
      </c>
      <c r="AQ89" s="14" t="str">
        <f t="shared" si="86"/>
        <v/>
      </c>
      <c r="AR89" s="14" t="str">
        <f t="shared" si="87"/>
        <v/>
      </c>
      <c r="AS89" s="17" t="str">
        <f>IF(A89="","",IF(J89="",Inputs!$B$18,J89))</f>
        <v/>
      </c>
      <c r="AT89" s="17" t="str">
        <f>IF(A89="","",IFERROR(_xludf.maxifs($AV$4:$AV$201,$D$4:$D$201,$A89),""))</f>
        <v/>
      </c>
      <c r="AU89" s="17" t="str">
        <f>IF(A89="","",IF(OR(E89="",Inputs!$B$23=""),"",E89/(Inputs!$B$23*60)))</f>
        <v/>
      </c>
      <c r="AV89" s="17" t="str">
        <f t="shared" si="88"/>
        <v/>
      </c>
      <c r="AW89" s="17" t="str">
        <f t="shared" si="89"/>
        <v/>
      </c>
      <c r="AX89" s="17" t="str">
        <f>IF(OR(T89="",P89=""),"",(1/Inputs!$B$9)*((T89/4)^(2/3))*SQRT(P89))</f>
        <v/>
      </c>
      <c r="AY89" s="17" t="str">
        <f>IF(A89="","",IF(AND(AW89="",AX89="",BA89=""),"",IF(OR(UPPER(TRIM(Inputs!$B$24))="MANNING",UPPER(TRIM(Inputs!$B$24))="M"),AX89,IF(OR(UPPER(TRIM(Inputs!$B$24))="PARTIAL",UPPER(TRIM(Inputs!$B$24))="P"),BA89,IF(OR(UPPER(TRIM(Inputs!$B$24))="MAX",UPPER(TRIM(Inputs!$B$24))="X"),MAX(IF(AW89="",0,AW89),IF(AX89="",0,AX89),IF(BA89="",0,BA89)),AW89)))))</f>
        <v/>
      </c>
      <c r="AZ89" s="17" t="str">
        <f t="shared" si="90"/>
        <v/>
      </c>
      <c r="BA89" s="17" t="str">
        <f t="shared" si="91"/>
        <v/>
      </c>
      <c r="BB89" s="14" t="str">
        <f t="shared" si="92"/>
        <v/>
      </c>
      <c r="BC89" s="14" t="str">
        <f>IF(OR(N89="",T89="",P89=""),"",IF(OR(T89="",P89="",(0.94*T89)="",T89&lt;=0,(0.94*T89)&lt;=0),"",(1/Inputs!$B$9)*((T89^2/8)*((2*ACOS(1-2*(0.94*T89)/T89))-SIN((2*ACOS(1-2*(0.94*T89)/T89)))))*((((T89^2/8)*((2*ACOS(1-2*(0.94*T89)/T89))-SIN((2*ACOS(1-2*(0.94*T89)/T89)))))/((T89/2)*((2*ACOS(1-2*(0.94*T89)/T89)))))^(2/3))*SQRT(P89)))</f>
        <v/>
      </c>
      <c r="BD89" s="14" t="str">
        <f t="shared" si="93"/>
        <v/>
      </c>
      <c r="BE89" s="14" t="str">
        <f t="shared" si="94"/>
        <v/>
      </c>
      <c r="BF89" s="14" t="str">
        <f t="shared" si="95"/>
        <v/>
      </c>
      <c r="BG89" s="14" t="str">
        <f>IF(OR(T89="",P89="",BF89="",T89&lt;=0,BF89&lt;=0),"",(1/Inputs!$B$9)*((T89^2/8)*((2*ACOS(1-2*BF89/T89))-SIN((2*ACOS(1-2*BF89/T89)))))*((((T89^2/8)*((2*ACOS(1-2*BF89/T89))-SIN((2*ACOS(1-2*BF89/T89)))))/((T89/2)*((2*ACOS(1-2*BF89/T89)))))^(2/3))*SQRT(P89))</f>
        <v/>
      </c>
      <c r="BH89" s="14" t="str">
        <f t="shared" si="96"/>
        <v/>
      </c>
      <c r="BI89" s="14" t="str">
        <f t="shared" si="97"/>
        <v/>
      </c>
      <c r="BJ89" s="14" t="str">
        <f t="shared" si="98"/>
        <v/>
      </c>
      <c r="BK89" s="14" t="str">
        <f>IF(OR(T89="",P89="",BJ89="",T89&lt;=0,BJ89&lt;=0),"",(1/Inputs!$B$9)*((T89^2/8)*((2*ACOS(1-2*BJ89/T89))-SIN((2*ACOS(1-2*BJ89/T89)))))*((((T89^2/8)*((2*ACOS(1-2*BJ89/T89))-SIN((2*ACOS(1-2*BJ89/T89)))))/((T89/2)*((2*ACOS(1-2*BJ89/T89)))))^(2/3))*SQRT(P89))</f>
        <v/>
      </c>
      <c r="BL89" s="14" t="str">
        <f t="shared" si="99"/>
        <v/>
      </c>
      <c r="BM89" s="14" t="str">
        <f t="shared" si="100"/>
        <v/>
      </c>
      <c r="BN89" s="14" t="str">
        <f t="shared" si="101"/>
        <v/>
      </c>
      <c r="BO89" s="14" t="str">
        <f>IF(OR(T89="",P89="",BN89="",T89&lt;=0,BN89&lt;=0),"",(1/Inputs!$B$9)*((T89^2/8)*((2*ACOS(1-2*BN89/T89))-SIN((2*ACOS(1-2*BN89/T89)))))*((((T89^2/8)*((2*ACOS(1-2*BN89/T89))-SIN((2*ACOS(1-2*BN89/T89)))))/((T89/2)*((2*ACOS(1-2*BN89/T89)))))^(2/3))*SQRT(P89))</f>
        <v/>
      </c>
      <c r="BP89" s="14" t="str">
        <f t="shared" si="102"/>
        <v/>
      </c>
      <c r="BQ89" s="14" t="str">
        <f t="shared" si="103"/>
        <v/>
      </c>
      <c r="BR89" s="14" t="str">
        <f t="shared" si="104"/>
        <v/>
      </c>
      <c r="BS89" s="14" t="str">
        <f>IF(OR(T89="",P89="",BR89="",T89&lt;=0,BR89&lt;=0),"",(1/Inputs!$B$9)*((T89^2/8)*((2*ACOS(1-2*BR89/T89))-SIN((2*ACOS(1-2*BR89/T89)))))*((((T89^2/8)*((2*ACOS(1-2*BR89/T89))-SIN((2*ACOS(1-2*BR89/T89)))))/((T89/2)*((2*ACOS(1-2*BR89/T89)))))^(2/3))*SQRT(P89))</f>
        <v/>
      </c>
      <c r="BT89" s="14" t="str">
        <f t="shared" si="105"/>
        <v/>
      </c>
      <c r="BU89" s="14" t="str">
        <f t="shared" si="106"/>
        <v/>
      </c>
      <c r="BV89" s="14" t="str">
        <f t="shared" si="107"/>
        <v/>
      </c>
      <c r="BW89" s="14" t="str">
        <f>IF(OR(T89="",P89="",BV89="",T89&lt;=0,BV89&lt;=0),"",(1/Inputs!$B$9)*((T89^2/8)*((2*ACOS(1-2*BV89/T89))-SIN((2*ACOS(1-2*BV89/T89)))))*((((T89^2/8)*((2*ACOS(1-2*BV89/T89))-SIN((2*ACOS(1-2*BV89/T89)))))/((T89/2)*((2*ACOS(1-2*BV89/T89)))))^(2/3))*SQRT(P89))</f>
        <v/>
      </c>
      <c r="BX89" s="14" t="str">
        <f t="shared" si="108"/>
        <v/>
      </c>
      <c r="BY89" s="14" t="str">
        <f t="shared" si="109"/>
        <v/>
      </c>
      <c r="BZ89" s="14" t="str">
        <f t="shared" si="110"/>
        <v/>
      </c>
      <c r="CA89" s="14" t="str">
        <f>IF(OR(T89="",P89="",BZ89="",T89&lt;=0,BZ89&lt;=0),"",(1/Inputs!$B$9)*((T89^2/8)*((2*ACOS(1-2*BZ89/T89))-SIN((2*ACOS(1-2*BZ89/T89)))))*((((T89^2/8)*((2*ACOS(1-2*BZ89/T89))-SIN((2*ACOS(1-2*BZ89/T89)))))/((T89/2)*((2*ACOS(1-2*BZ89/T89)))))^(2/3))*SQRT(P89))</f>
        <v/>
      </c>
      <c r="CB89" s="14" t="str">
        <f t="shared" si="111"/>
        <v/>
      </c>
      <c r="CC89" s="14" t="str">
        <f t="shared" si="112"/>
        <v/>
      </c>
      <c r="CD89" s="14" t="str">
        <f t="shared" si="113"/>
        <v/>
      </c>
      <c r="CE89" s="14" t="str">
        <f>IF(OR(T89="",P89="",CD89="",T89&lt;=0,CD89&lt;=0),"",(1/Inputs!$B$9)*((T89^2/8)*((2*ACOS(1-2*CD89/T89))-SIN((2*ACOS(1-2*CD89/T89)))))*((((T89^2/8)*((2*ACOS(1-2*CD89/T89))-SIN((2*ACOS(1-2*CD89/T89)))))/((T89/2)*((2*ACOS(1-2*CD89/T89)))))^(2/3))*SQRT(P89))</f>
        <v/>
      </c>
      <c r="CF89" s="14" t="str">
        <f t="shared" si="114"/>
        <v/>
      </c>
      <c r="CG89" s="14" t="str">
        <f t="shared" si="115"/>
        <v/>
      </c>
      <c r="CH89" s="14" t="str">
        <f t="shared" si="116"/>
        <v/>
      </c>
    </row>
    <row r="90" spans="1:86" x14ac:dyDescent="0.25">
      <c r="A90" s="14"/>
      <c r="B90" s="14"/>
      <c r="C90" s="14"/>
      <c r="D90" s="14"/>
      <c r="E90" s="44"/>
      <c r="F90" s="44"/>
      <c r="G90" s="44">
        <f>SUMIFS(CB_plan!$G:$G,CB_plan!$F:$F,$A90)</f>
        <v>0</v>
      </c>
      <c r="H90" s="44">
        <f t="shared" si="78"/>
        <v>0</v>
      </c>
      <c r="I90" s="14"/>
      <c r="J90" s="44"/>
      <c r="K90" s="44" t="str">
        <f>IF(A90="","",Inputs!$B$13/((IF(AV90="",Inputs!$B$18,AV90)+Inputs!$B$14)^Inputs!$B$15))</f>
        <v/>
      </c>
      <c r="L90" s="44" t="str">
        <f>IF(A90="","",IF(H90="","",0.000000278*IF(I90&lt;&gt;"",I90,IFERROR(SUMIFS(CB_plan!$H:$H,CB_plan!$F:$F,$A90)/SUMIFS(CB_plan!$G:$G,CB_plan!$F:$F,$A90),Inputs!$B$17))*H90*K90))</f>
        <v/>
      </c>
      <c r="M90" s="44" t="str">
        <f t="shared" si="79"/>
        <v/>
      </c>
      <c r="N90" s="44" t="str">
        <f>IF(A90="","",(L90+M90)*Inputs!$B$16)</f>
        <v/>
      </c>
      <c r="O90" s="44"/>
      <c r="P90" s="44" t="str">
        <f>IF(A90="","",IF(O90="",Inputs!$B$7,O90))</f>
        <v/>
      </c>
      <c r="Q90" s="14" t="str">
        <f>IF(A90="","",IF(N90/Inputs!$B$10&lt;=AG90,Inputs!$F$5,IF(N90/Inputs!$B$10&gt;AP90,"OVERSIZE",INDEX(Inputs!$F$5:$F$14,MATCH(N90/Inputs!$B$10,AG90:AP90,1)+1))))</f>
        <v/>
      </c>
      <c r="R90" s="14"/>
      <c r="S90" s="14" t="str">
        <f t="shared" si="80"/>
        <v/>
      </c>
      <c r="T90" s="44" t="str">
        <f t="shared" si="81"/>
        <v/>
      </c>
      <c r="U90" s="44" t="str">
        <f>IF(T90="","",(1/Inputs!$B$9)*(PI()*T90^2/4)*((T90/4)^(2/3))*SQRT(P90))</f>
        <v/>
      </c>
      <c r="V90" s="44" t="str">
        <f>IF(OR(U90="",N90=""),"",N90/(U90*Inputs!$B$10))</f>
        <v/>
      </c>
      <c r="W90" s="44" t="str">
        <f t="shared" si="82"/>
        <v/>
      </c>
      <c r="X90" s="44"/>
      <c r="Y90" s="44" t="str">
        <f>IF(A90="","",IF(A90=Inputs!$B$6,Inputs!$B$22,IF(D90="","",IFERROR(INDEX($Z$4:$Z$201,MATCH(D90,$A$4:$A$201,0))+IF(X90="",Inputs!$B$20,X90),""))))</f>
        <v/>
      </c>
      <c r="Z90" s="44" t="str">
        <f t="shared" si="83"/>
        <v/>
      </c>
      <c r="AA90" s="44" t="str">
        <f>IF(C90="","",IFERROR(INDEX(Noeuds_plan!$C$4:$C$200,MATCH(C90,Noeuds_plan!$A$4:$A$200,0)),""))</f>
        <v/>
      </c>
      <c r="AB90" s="44" t="str">
        <f>IF(B90="","",IFERROR(INDEX(Noeuds_plan!$C$4:$C$200,MATCH(B90,Noeuds_plan!$A$4:$A$200,0)),""))</f>
        <v/>
      </c>
      <c r="AC90" s="44" t="str">
        <f t="shared" si="84"/>
        <v/>
      </c>
      <c r="AD90" s="44" t="str">
        <f t="shared" si="85"/>
        <v/>
      </c>
      <c r="AE90" s="14" t="str">
        <f>IF(A90="","",IF(OR(V90&gt;1,AND(AY90&lt;&gt;"",AY90&lt;Inputs!$B$11),AND(AY90&lt;&gt;"",AY90&gt;Inputs!$B$12),AC90&lt;Inputs!$B$19,AD90&lt;Inputs!$B$19,P90&lt;Inputs!$B$7,P90&gt;Inputs!$B$8),"CHECK","OK"))</f>
        <v/>
      </c>
      <c r="AF90" s="14"/>
      <c r="AG90" s="14" t="str">
        <f>IF(A90="","",(1/Inputs!$B$9)*(PI()*(Inputs!$F$5/1000)^2/4)*((Inputs!$F$5/1000/4)^(2/3))*SQRT(P90))</f>
        <v/>
      </c>
      <c r="AH90" s="14" t="str">
        <f>IF(A90="","",(1/Inputs!$B$9)*(PI()*(Inputs!$F$6/1000)^2/4)*((Inputs!$F$6/1000/4)^(2/3))*SQRT(P90))</f>
        <v/>
      </c>
      <c r="AI90" s="14" t="str">
        <f>IF(A90="","",(1/Inputs!$B$9)*(PI()*(Inputs!$F$7/1000)^2/4)*((Inputs!$F$7/1000/4)^(2/3))*SQRT(P90))</f>
        <v/>
      </c>
      <c r="AJ90" s="14" t="str">
        <f>IF(A90="","",(1/Inputs!$B$9)*(PI()*(Inputs!$F$8/1000)^2/4)*((Inputs!$F$8/1000/4)^(2/3))*SQRT(P90))</f>
        <v/>
      </c>
      <c r="AK90" s="14" t="str">
        <f>IF(A90="","",(1/Inputs!$B$9)*(PI()*(Inputs!$F$9/1000)^2/4)*((Inputs!$F$9/1000/4)^(2/3))*SQRT(P90))</f>
        <v/>
      </c>
      <c r="AL90" s="14" t="str">
        <f>IF(A90="","",(1/Inputs!$B$9)*(PI()*(Inputs!$F$10/1000)^2/4)*((Inputs!$F$10/1000/4)^(2/3))*SQRT(P90))</f>
        <v/>
      </c>
      <c r="AM90" s="14" t="str">
        <f>IF(A90="","",(1/Inputs!$B$9)*(PI()*(Inputs!$F$11/1000)^2/4)*((Inputs!$F$11/1000/4)^(2/3))*SQRT(P90))</f>
        <v/>
      </c>
      <c r="AN90" s="14" t="str">
        <f>IF(A90="","",(1/Inputs!$B$9)*(PI()*(Inputs!$F$12/1000)^2/4)*((Inputs!$F$12/1000/4)^(2/3))*SQRT(P90))</f>
        <v/>
      </c>
      <c r="AO90" s="14" t="str">
        <f>IF(A90="","",(1/Inputs!$B$9)*(PI()*(Inputs!$F$13/1000)^2/4)*((Inputs!$F$13/1000/4)^(2/3))*SQRT(P90))</f>
        <v/>
      </c>
      <c r="AP90" s="14" t="str">
        <f>IF(A90="","",(1/Inputs!$B$9)*(PI()*(Inputs!$F$14/1000)^2/4)*((Inputs!$F$14/1000/4)^(2/3))*SQRT(P90))</f>
        <v/>
      </c>
      <c r="AQ90" s="14" t="str">
        <f t="shared" si="86"/>
        <v/>
      </c>
      <c r="AR90" s="14" t="str">
        <f t="shared" si="87"/>
        <v/>
      </c>
      <c r="AS90" s="17" t="str">
        <f>IF(A90="","",IF(J90="",Inputs!$B$18,J90))</f>
        <v/>
      </c>
      <c r="AT90" s="17" t="str">
        <f>IF(A90="","",IFERROR(_xludf.maxifs($AV$4:$AV$201,$D$4:$D$201,$A90),""))</f>
        <v/>
      </c>
      <c r="AU90" s="17" t="str">
        <f>IF(A90="","",IF(OR(E90="",Inputs!$B$23=""),"",E90/(Inputs!$B$23*60)))</f>
        <v/>
      </c>
      <c r="AV90" s="17" t="str">
        <f t="shared" si="88"/>
        <v/>
      </c>
      <c r="AW90" s="17" t="str">
        <f t="shared" si="89"/>
        <v/>
      </c>
      <c r="AX90" s="17" t="str">
        <f>IF(OR(T90="",P90=""),"",(1/Inputs!$B$9)*((T90/4)^(2/3))*SQRT(P90))</f>
        <v/>
      </c>
      <c r="AY90" s="17" t="str">
        <f>IF(A90="","",IF(AND(AW90="",AX90="",BA90=""),"",IF(OR(UPPER(TRIM(Inputs!$B$24))="MANNING",UPPER(TRIM(Inputs!$B$24))="M"),AX90,IF(OR(UPPER(TRIM(Inputs!$B$24))="PARTIAL",UPPER(TRIM(Inputs!$B$24))="P"),BA90,IF(OR(UPPER(TRIM(Inputs!$B$24))="MAX",UPPER(TRIM(Inputs!$B$24))="X"),MAX(IF(AW90="",0,AW90),IF(AX90="",0,AX90),IF(BA90="",0,BA90)),AW90)))))</f>
        <v/>
      </c>
      <c r="AZ90" s="17" t="str">
        <f t="shared" si="90"/>
        <v/>
      </c>
      <c r="BA90" s="17" t="str">
        <f t="shared" si="91"/>
        <v/>
      </c>
      <c r="BB90" s="14" t="str">
        <f t="shared" si="92"/>
        <v/>
      </c>
      <c r="BC90" s="14" t="str">
        <f>IF(OR(N90="",T90="",P90=""),"",IF(OR(T90="",P90="",(0.94*T90)="",T90&lt;=0,(0.94*T90)&lt;=0),"",(1/Inputs!$B$9)*((T90^2/8)*((2*ACOS(1-2*(0.94*T90)/T90))-SIN((2*ACOS(1-2*(0.94*T90)/T90)))))*((((T90^2/8)*((2*ACOS(1-2*(0.94*T90)/T90))-SIN((2*ACOS(1-2*(0.94*T90)/T90)))))/((T90/2)*((2*ACOS(1-2*(0.94*T90)/T90)))))^(2/3))*SQRT(P90)))</f>
        <v/>
      </c>
      <c r="BD90" s="14" t="str">
        <f t="shared" si="93"/>
        <v/>
      </c>
      <c r="BE90" s="14" t="str">
        <f t="shared" si="94"/>
        <v/>
      </c>
      <c r="BF90" s="14" t="str">
        <f t="shared" si="95"/>
        <v/>
      </c>
      <c r="BG90" s="14" t="str">
        <f>IF(OR(T90="",P90="",BF90="",T90&lt;=0,BF90&lt;=0),"",(1/Inputs!$B$9)*((T90^2/8)*((2*ACOS(1-2*BF90/T90))-SIN((2*ACOS(1-2*BF90/T90)))))*((((T90^2/8)*((2*ACOS(1-2*BF90/T90))-SIN((2*ACOS(1-2*BF90/T90)))))/((T90/2)*((2*ACOS(1-2*BF90/T90)))))^(2/3))*SQRT(P90))</f>
        <v/>
      </c>
      <c r="BH90" s="14" t="str">
        <f t="shared" si="96"/>
        <v/>
      </c>
      <c r="BI90" s="14" t="str">
        <f t="shared" si="97"/>
        <v/>
      </c>
      <c r="BJ90" s="14" t="str">
        <f t="shared" si="98"/>
        <v/>
      </c>
      <c r="BK90" s="14" t="str">
        <f>IF(OR(T90="",P90="",BJ90="",T90&lt;=0,BJ90&lt;=0),"",(1/Inputs!$B$9)*((T90^2/8)*((2*ACOS(1-2*BJ90/T90))-SIN((2*ACOS(1-2*BJ90/T90)))))*((((T90^2/8)*((2*ACOS(1-2*BJ90/T90))-SIN((2*ACOS(1-2*BJ90/T90)))))/((T90/2)*((2*ACOS(1-2*BJ90/T90)))))^(2/3))*SQRT(P90))</f>
        <v/>
      </c>
      <c r="BL90" s="14" t="str">
        <f t="shared" si="99"/>
        <v/>
      </c>
      <c r="BM90" s="14" t="str">
        <f t="shared" si="100"/>
        <v/>
      </c>
      <c r="BN90" s="14" t="str">
        <f t="shared" si="101"/>
        <v/>
      </c>
      <c r="BO90" s="14" t="str">
        <f>IF(OR(T90="",P90="",BN90="",T90&lt;=0,BN90&lt;=0),"",(1/Inputs!$B$9)*((T90^2/8)*((2*ACOS(1-2*BN90/T90))-SIN((2*ACOS(1-2*BN90/T90)))))*((((T90^2/8)*((2*ACOS(1-2*BN90/T90))-SIN((2*ACOS(1-2*BN90/T90)))))/((T90/2)*((2*ACOS(1-2*BN90/T90)))))^(2/3))*SQRT(P90))</f>
        <v/>
      </c>
      <c r="BP90" s="14" t="str">
        <f t="shared" si="102"/>
        <v/>
      </c>
      <c r="BQ90" s="14" t="str">
        <f t="shared" si="103"/>
        <v/>
      </c>
      <c r="BR90" s="14" t="str">
        <f t="shared" si="104"/>
        <v/>
      </c>
      <c r="BS90" s="14" t="str">
        <f>IF(OR(T90="",P90="",BR90="",T90&lt;=0,BR90&lt;=0),"",(1/Inputs!$B$9)*((T90^2/8)*((2*ACOS(1-2*BR90/T90))-SIN((2*ACOS(1-2*BR90/T90)))))*((((T90^2/8)*((2*ACOS(1-2*BR90/T90))-SIN((2*ACOS(1-2*BR90/T90)))))/((T90/2)*((2*ACOS(1-2*BR90/T90)))))^(2/3))*SQRT(P90))</f>
        <v/>
      </c>
      <c r="BT90" s="14" t="str">
        <f t="shared" si="105"/>
        <v/>
      </c>
      <c r="BU90" s="14" t="str">
        <f t="shared" si="106"/>
        <v/>
      </c>
      <c r="BV90" s="14" t="str">
        <f t="shared" si="107"/>
        <v/>
      </c>
      <c r="BW90" s="14" t="str">
        <f>IF(OR(T90="",P90="",BV90="",T90&lt;=0,BV90&lt;=0),"",(1/Inputs!$B$9)*((T90^2/8)*((2*ACOS(1-2*BV90/T90))-SIN((2*ACOS(1-2*BV90/T90)))))*((((T90^2/8)*((2*ACOS(1-2*BV90/T90))-SIN((2*ACOS(1-2*BV90/T90)))))/((T90/2)*((2*ACOS(1-2*BV90/T90)))))^(2/3))*SQRT(P90))</f>
        <v/>
      </c>
      <c r="BX90" s="14" t="str">
        <f t="shared" si="108"/>
        <v/>
      </c>
      <c r="BY90" s="14" t="str">
        <f t="shared" si="109"/>
        <v/>
      </c>
      <c r="BZ90" s="14" t="str">
        <f t="shared" si="110"/>
        <v/>
      </c>
      <c r="CA90" s="14" t="str">
        <f>IF(OR(T90="",P90="",BZ90="",T90&lt;=0,BZ90&lt;=0),"",(1/Inputs!$B$9)*((T90^2/8)*((2*ACOS(1-2*BZ90/T90))-SIN((2*ACOS(1-2*BZ90/T90)))))*((((T90^2/8)*((2*ACOS(1-2*BZ90/T90))-SIN((2*ACOS(1-2*BZ90/T90)))))/((T90/2)*((2*ACOS(1-2*BZ90/T90)))))^(2/3))*SQRT(P90))</f>
        <v/>
      </c>
      <c r="CB90" s="14" t="str">
        <f t="shared" si="111"/>
        <v/>
      </c>
      <c r="CC90" s="14" t="str">
        <f t="shared" si="112"/>
        <v/>
      </c>
      <c r="CD90" s="14" t="str">
        <f t="shared" si="113"/>
        <v/>
      </c>
      <c r="CE90" s="14" t="str">
        <f>IF(OR(T90="",P90="",CD90="",T90&lt;=0,CD90&lt;=0),"",(1/Inputs!$B$9)*((T90^2/8)*((2*ACOS(1-2*CD90/T90))-SIN((2*ACOS(1-2*CD90/T90)))))*((((T90^2/8)*((2*ACOS(1-2*CD90/T90))-SIN((2*ACOS(1-2*CD90/T90)))))/((T90/2)*((2*ACOS(1-2*CD90/T90)))))^(2/3))*SQRT(P90))</f>
        <v/>
      </c>
      <c r="CF90" s="14" t="str">
        <f t="shared" si="114"/>
        <v/>
      </c>
      <c r="CG90" s="14" t="str">
        <f t="shared" si="115"/>
        <v/>
      </c>
      <c r="CH90" s="14" t="str">
        <f t="shared" si="116"/>
        <v/>
      </c>
    </row>
    <row r="91" spans="1:86" x14ac:dyDescent="0.25">
      <c r="A91" s="14"/>
      <c r="B91" s="14"/>
      <c r="C91" s="14"/>
      <c r="D91" s="14"/>
      <c r="E91" s="44"/>
      <c r="F91" s="44"/>
      <c r="G91" s="44">
        <f>SUMIFS(CB_plan!$G:$G,CB_plan!$F:$F,$A91)</f>
        <v>0</v>
      </c>
      <c r="H91" s="44">
        <f t="shared" si="78"/>
        <v>0</v>
      </c>
      <c r="I91" s="14"/>
      <c r="J91" s="44"/>
      <c r="K91" s="44" t="str">
        <f>IF(A91="","",Inputs!$B$13/((IF(AV91="",Inputs!$B$18,AV91)+Inputs!$B$14)^Inputs!$B$15))</f>
        <v/>
      </c>
      <c r="L91" s="44" t="str">
        <f>IF(A91="","",IF(H91="","",0.000000278*IF(I91&lt;&gt;"",I91,IFERROR(SUMIFS(CB_plan!$H:$H,CB_plan!$F:$F,$A91)/SUMIFS(CB_plan!$G:$G,CB_plan!$F:$F,$A91),Inputs!$B$17))*H91*K91))</f>
        <v/>
      </c>
      <c r="M91" s="44" t="str">
        <f t="shared" si="79"/>
        <v/>
      </c>
      <c r="N91" s="44" t="str">
        <f>IF(A91="","",(L91+M91)*Inputs!$B$16)</f>
        <v/>
      </c>
      <c r="O91" s="44"/>
      <c r="P91" s="44" t="str">
        <f>IF(A91="","",IF(O91="",Inputs!$B$7,O91))</f>
        <v/>
      </c>
      <c r="Q91" s="14" t="str">
        <f>IF(A91="","",IF(N91/Inputs!$B$10&lt;=AG91,Inputs!$F$5,IF(N91/Inputs!$B$10&gt;AP91,"OVERSIZE",INDEX(Inputs!$F$5:$F$14,MATCH(N91/Inputs!$B$10,AG91:AP91,1)+1))))</f>
        <v/>
      </c>
      <c r="R91" s="14"/>
      <c r="S91" s="14" t="str">
        <f t="shared" si="80"/>
        <v/>
      </c>
      <c r="T91" s="44" t="str">
        <f t="shared" si="81"/>
        <v/>
      </c>
      <c r="U91" s="44" t="str">
        <f>IF(T91="","",(1/Inputs!$B$9)*(PI()*T91^2/4)*((T91/4)^(2/3))*SQRT(P91))</f>
        <v/>
      </c>
      <c r="V91" s="44" t="str">
        <f>IF(OR(U91="",N91=""),"",N91/(U91*Inputs!$B$10))</f>
        <v/>
      </c>
      <c r="W91" s="44" t="str">
        <f t="shared" si="82"/>
        <v/>
      </c>
      <c r="X91" s="44"/>
      <c r="Y91" s="44" t="str">
        <f>IF(A91="","",IF(A91=Inputs!$B$6,Inputs!$B$22,IF(D91="","",IFERROR(INDEX($Z$4:$Z$201,MATCH(D91,$A$4:$A$201,0))+IF(X91="",Inputs!$B$20,X91),""))))</f>
        <v/>
      </c>
      <c r="Z91" s="44" t="str">
        <f t="shared" si="83"/>
        <v/>
      </c>
      <c r="AA91" s="44" t="str">
        <f>IF(C91="","",IFERROR(INDEX(Noeuds_plan!$C$4:$C$200,MATCH(C91,Noeuds_plan!$A$4:$A$200,0)),""))</f>
        <v/>
      </c>
      <c r="AB91" s="44" t="str">
        <f>IF(B91="","",IFERROR(INDEX(Noeuds_plan!$C$4:$C$200,MATCH(B91,Noeuds_plan!$A$4:$A$200,0)),""))</f>
        <v/>
      </c>
      <c r="AC91" s="44" t="str">
        <f t="shared" si="84"/>
        <v/>
      </c>
      <c r="AD91" s="44" t="str">
        <f t="shared" si="85"/>
        <v/>
      </c>
      <c r="AE91" s="14" t="str">
        <f>IF(A91="","",IF(OR(V91&gt;1,AND(AY91&lt;&gt;"",AY91&lt;Inputs!$B$11),AND(AY91&lt;&gt;"",AY91&gt;Inputs!$B$12),AC91&lt;Inputs!$B$19,AD91&lt;Inputs!$B$19,P91&lt;Inputs!$B$7,P91&gt;Inputs!$B$8),"CHECK","OK"))</f>
        <v/>
      </c>
      <c r="AF91" s="14"/>
      <c r="AG91" s="14" t="str">
        <f>IF(A91="","",(1/Inputs!$B$9)*(PI()*(Inputs!$F$5/1000)^2/4)*((Inputs!$F$5/1000/4)^(2/3))*SQRT(P91))</f>
        <v/>
      </c>
      <c r="AH91" s="14" t="str">
        <f>IF(A91="","",(1/Inputs!$B$9)*(PI()*(Inputs!$F$6/1000)^2/4)*((Inputs!$F$6/1000/4)^(2/3))*SQRT(P91))</f>
        <v/>
      </c>
      <c r="AI91" s="14" t="str">
        <f>IF(A91="","",(1/Inputs!$B$9)*(PI()*(Inputs!$F$7/1000)^2/4)*((Inputs!$F$7/1000/4)^(2/3))*SQRT(P91))</f>
        <v/>
      </c>
      <c r="AJ91" s="14" t="str">
        <f>IF(A91="","",(1/Inputs!$B$9)*(PI()*(Inputs!$F$8/1000)^2/4)*((Inputs!$F$8/1000/4)^(2/3))*SQRT(P91))</f>
        <v/>
      </c>
      <c r="AK91" s="14" t="str">
        <f>IF(A91="","",(1/Inputs!$B$9)*(PI()*(Inputs!$F$9/1000)^2/4)*((Inputs!$F$9/1000/4)^(2/3))*SQRT(P91))</f>
        <v/>
      </c>
      <c r="AL91" s="14" t="str">
        <f>IF(A91="","",(1/Inputs!$B$9)*(PI()*(Inputs!$F$10/1000)^2/4)*((Inputs!$F$10/1000/4)^(2/3))*SQRT(P91))</f>
        <v/>
      </c>
      <c r="AM91" s="14" t="str">
        <f>IF(A91="","",(1/Inputs!$B$9)*(PI()*(Inputs!$F$11/1000)^2/4)*((Inputs!$F$11/1000/4)^(2/3))*SQRT(P91))</f>
        <v/>
      </c>
      <c r="AN91" s="14" t="str">
        <f>IF(A91="","",(1/Inputs!$B$9)*(PI()*(Inputs!$F$12/1000)^2/4)*((Inputs!$F$12/1000/4)^(2/3))*SQRT(P91))</f>
        <v/>
      </c>
      <c r="AO91" s="14" t="str">
        <f>IF(A91="","",(1/Inputs!$B$9)*(PI()*(Inputs!$F$13/1000)^2/4)*((Inputs!$F$13/1000/4)^(2/3))*SQRT(P91))</f>
        <v/>
      </c>
      <c r="AP91" s="14" t="str">
        <f>IF(A91="","",(1/Inputs!$B$9)*(PI()*(Inputs!$F$14/1000)^2/4)*((Inputs!$F$14/1000/4)^(2/3))*SQRT(P91))</f>
        <v/>
      </c>
      <c r="AQ91" s="14" t="str">
        <f t="shared" si="86"/>
        <v/>
      </c>
      <c r="AR91" s="14" t="str">
        <f t="shared" si="87"/>
        <v/>
      </c>
      <c r="AS91" s="17" t="str">
        <f>IF(A91="","",IF(J91="",Inputs!$B$18,J91))</f>
        <v/>
      </c>
      <c r="AT91" s="17" t="str">
        <f>IF(A91="","",IFERROR(_xludf.maxifs($AV$4:$AV$201,$D$4:$D$201,$A91),""))</f>
        <v/>
      </c>
      <c r="AU91" s="17" t="str">
        <f>IF(A91="","",IF(OR(E91="",Inputs!$B$23=""),"",E91/(Inputs!$B$23*60)))</f>
        <v/>
      </c>
      <c r="AV91" s="17" t="str">
        <f t="shared" si="88"/>
        <v/>
      </c>
      <c r="AW91" s="17" t="str">
        <f t="shared" si="89"/>
        <v/>
      </c>
      <c r="AX91" s="17" t="str">
        <f>IF(OR(T91="",P91=""),"",(1/Inputs!$B$9)*((T91/4)^(2/3))*SQRT(P91))</f>
        <v/>
      </c>
      <c r="AY91" s="17" t="str">
        <f>IF(A91="","",IF(AND(AW91="",AX91="",BA91=""),"",IF(OR(UPPER(TRIM(Inputs!$B$24))="MANNING",UPPER(TRIM(Inputs!$B$24))="M"),AX91,IF(OR(UPPER(TRIM(Inputs!$B$24))="PARTIAL",UPPER(TRIM(Inputs!$B$24))="P"),BA91,IF(OR(UPPER(TRIM(Inputs!$B$24))="MAX",UPPER(TRIM(Inputs!$B$24))="X"),MAX(IF(AW91="",0,AW91),IF(AX91="",0,AX91),IF(BA91="",0,BA91)),AW91)))))</f>
        <v/>
      </c>
      <c r="AZ91" s="17" t="str">
        <f t="shared" si="90"/>
        <v/>
      </c>
      <c r="BA91" s="17" t="str">
        <f t="shared" si="91"/>
        <v/>
      </c>
      <c r="BB91" s="14" t="str">
        <f t="shared" si="92"/>
        <v/>
      </c>
      <c r="BC91" s="14" t="str">
        <f>IF(OR(N91="",T91="",P91=""),"",IF(OR(T91="",P91="",(0.94*T91)="",T91&lt;=0,(0.94*T91)&lt;=0),"",(1/Inputs!$B$9)*((T91^2/8)*((2*ACOS(1-2*(0.94*T91)/T91))-SIN((2*ACOS(1-2*(0.94*T91)/T91)))))*((((T91^2/8)*((2*ACOS(1-2*(0.94*T91)/T91))-SIN((2*ACOS(1-2*(0.94*T91)/T91)))))/((T91/2)*((2*ACOS(1-2*(0.94*T91)/T91)))))^(2/3))*SQRT(P91)))</f>
        <v/>
      </c>
      <c r="BD91" s="14" t="str">
        <f t="shared" si="93"/>
        <v/>
      </c>
      <c r="BE91" s="14" t="str">
        <f t="shared" si="94"/>
        <v/>
      </c>
      <c r="BF91" s="14" t="str">
        <f t="shared" si="95"/>
        <v/>
      </c>
      <c r="BG91" s="14" t="str">
        <f>IF(OR(T91="",P91="",BF91="",T91&lt;=0,BF91&lt;=0),"",(1/Inputs!$B$9)*((T91^2/8)*((2*ACOS(1-2*BF91/T91))-SIN((2*ACOS(1-2*BF91/T91)))))*((((T91^2/8)*((2*ACOS(1-2*BF91/T91))-SIN((2*ACOS(1-2*BF91/T91)))))/((T91/2)*((2*ACOS(1-2*BF91/T91)))))^(2/3))*SQRT(P91))</f>
        <v/>
      </c>
      <c r="BH91" s="14" t="str">
        <f t="shared" si="96"/>
        <v/>
      </c>
      <c r="BI91" s="14" t="str">
        <f t="shared" si="97"/>
        <v/>
      </c>
      <c r="BJ91" s="14" t="str">
        <f t="shared" si="98"/>
        <v/>
      </c>
      <c r="BK91" s="14" t="str">
        <f>IF(OR(T91="",P91="",BJ91="",T91&lt;=0,BJ91&lt;=0),"",(1/Inputs!$B$9)*((T91^2/8)*((2*ACOS(1-2*BJ91/T91))-SIN((2*ACOS(1-2*BJ91/T91)))))*((((T91^2/8)*((2*ACOS(1-2*BJ91/T91))-SIN((2*ACOS(1-2*BJ91/T91)))))/((T91/2)*((2*ACOS(1-2*BJ91/T91)))))^(2/3))*SQRT(P91))</f>
        <v/>
      </c>
      <c r="BL91" s="14" t="str">
        <f t="shared" si="99"/>
        <v/>
      </c>
      <c r="BM91" s="14" t="str">
        <f t="shared" si="100"/>
        <v/>
      </c>
      <c r="BN91" s="14" t="str">
        <f t="shared" si="101"/>
        <v/>
      </c>
      <c r="BO91" s="14" t="str">
        <f>IF(OR(T91="",P91="",BN91="",T91&lt;=0,BN91&lt;=0),"",(1/Inputs!$B$9)*((T91^2/8)*((2*ACOS(1-2*BN91/T91))-SIN((2*ACOS(1-2*BN91/T91)))))*((((T91^2/8)*((2*ACOS(1-2*BN91/T91))-SIN((2*ACOS(1-2*BN91/T91)))))/((T91/2)*((2*ACOS(1-2*BN91/T91)))))^(2/3))*SQRT(P91))</f>
        <v/>
      </c>
      <c r="BP91" s="14" t="str">
        <f t="shared" si="102"/>
        <v/>
      </c>
      <c r="BQ91" s="14" t="str">
        <f t="shared" si="103"/>
        <v/>
      </c>
      <c r="BR91" s="14" t="str">
        <f t="shared" si="104"/>
        <v/>
      </c>
      <c r="BS91" s="14" t="str">
        <f>IF(OR(T91="",P91="",BR91="",T91&lt;=0,BR91&lt;=0),"",(1/Inputs!$B$9)*((T91^2/8)*((2*ACOS(1-2*BR91/T91))-SIN((2*ACOS(1-2*BR91/T91)))))*((((T91^2/8)*((2*ACOS(1-2*BR91/T91))-SIN((2*ACOS(1-2*BR91/T91)))))/((T91/2)*((2*ACOS(1-2*BR91/T91)))))^(2/3))*SQRT(P91))</f>
        <v/>
      </c>
      <c r="BT91" s="14" t="str">
        <f t="shared" si="105"/>
        <v/>
      </c>
      <c r="BU91" s="14" t="str">
        <f t="shared" si="106"/>
        <v/>
      </c>
      <c r="BV91" s="14" t="str">
        <f t="shared" si="107"/>
        <v/>
      </c>
      <c r="BW91" s="14" t="str">
        <f>IF(OR(T91="",P91="",BV91="",T91&lt;=0,BV91&lt;=0),"",(1/Inputs!$B$9)*((T91^2/8)*((2*ACOS(1-2*BV91/T91))-SIN((2*ACOS(1-2*BV91/T91)))))*((((T91^2/8)*((2*ACOS(1-2*BV91/T91))-SIN((2*ACOS(1-2*BV91/T91)))))/((T91/2)*((2*ACOS(1-2*BV91/T91)))))^(2/3))*SQRT(P91))</f>
        <v/>
      </c>
      <c r="BX91" s="14" t="str">
        <f t="shared" si="108"/>
        <v/>
      </c>
      <c r="BY91" s="14" t="str">
        <f t="shared" si="109"/>
        <v/>
      </c>
      <c r="BZ91" s="14" t="str">
        <f t="shared" si="110"/>
        <v/>
      </c>
      <c r="CA91" s="14" t="str">
        <f>IF(OR(T91="",P91="",BZ91="",T91&lt;=0,BZ91&lt;=0),"",(1/Inputs!$B$9)*((T91^2/8)*((2*ACOS(1-2*BZ91/T91))-SIN((2*ACOS(1-2*BZ91/T91)))))*((((T91^2/8)*((2*ACOS(1-2*BZ91/T91))-SIN((2*ACOS(1-2*BZ91/T91)))))/((T91/2)*((2*ACOS(1-2*BZ91/T91)))))^(2/3))*SQRT(P91))</f>
        <v/>
      </c>
      <c r="CB91" s="14" t="str">
        <f t="shared" si="111"/>
        <v/>
      </c>
      <c r="CC91" s="14" t="str">
        <f t="shared" si="112"/>
        <v/>
      </c>
      <c r="CD91" s="14" t="str">
        <f t="shared" si="113"/>
        <v/>
      </c>
      <c r="CE91" s="14" t="str">
        <f>IF(OR(T91="",P91="",CD91="",T91&lt;=0,CD91&lt;=0),"",(1/Inputs!$B$9)*((T91^2/8)*((2*ACOS(1-2*CD91/T91))-SIN((2*ACOS(1-2*CD91/T91)))))*((((T91^2/8)*((2*ACOS(1-2*CD91/T91))-SIN((2*ACOS(1-2*CD91/T91)))))/((T91/2)*((2*ACOS(1-2*CD91/T91)))))^(2/3))*SQRT(P91))</f>
        <v/>
      </c>
      <c r="CF91" s="14" t="str">
        <f t="shared" si="114"/>
        <v/>
      </c>
      <c r="CG91" s="14" t="str">
        <f t="shared" si="115"/>
        <v/>
      </c>
      <c r="CH91" s="14" t="str">
        <f t="shared" si="116"/>
        <v/>
      </c>
    </row>
    <row r="92" spans="1:86" x14ac:dyDescent="0.25">
      <c r="A92" s="14"/>
      <c r="B92" s="14"/>
      <c r="C92" s="14"/>
      <c r="D92" s="14"/>
      <c r="E92" s="44"/>
      <c r="F92" s="44"/>
      <c r="G92" s="44">
        <f>SUMIFS(CB_plan!$G:$G,CB_plan!$F:$F,$A92)</f>
        <v>0</v>
      </c>
      <c r="H92" s="44">
        <f t="shared" si="78"/>
        <v>0</v>
      </c>
      <c r="I92" s="14"/>
      <c r="J92" s="44"/>
      <c r="K92" s="44" t="str">
        <f>IF(A92="","",Inputs!$B$13/((IF(AV92="",Inputs!$B$18,AV92)+Inputs!$B$14)^Inputs!$B$15))</f>
        <v/>
      </c>
      <c r="L92" s="44" t="str">
        <f>IF(A92="","",IF(H92="","",0.000000278*IF(I92&lt;&gt;"",I92,IFERROR(SUMIFS(CB_plan!$H:$H,CB_plan!$F:$F,$A92)/SUMIFS(CB_plan!$G:$G,CB_plan!$F:$F,$A92),Inputs!$B$17))*H92*K92))</f>
        <v/>
      </c>
      <c r="M92" s="44" t="str">
        <f t="shared" si="79"/>
        <v/>
      </c>
      <c r="N92" s="44" t="str">
        <f>IF(A92="","",(L92+M92)*Inputs!$B$16)</f>
        <v/>
      </c>
      <c r="O92" s="44"/>
      <c r="P92" s="44" t="str">
        <f>IF(A92="","",IF(O92="",Inputs!$B$7,O92))</f>
        <v/>
      </c>
      <c r="Q92" s="14" t="str">
        <f>IF(A92="","",IF(N92/Inputs!$B$10&lt;=AG92,Inputs!$F$5,IF(N92/Inputs!$B$10&gt;AP92,"OVERSIZE",INDEX(Inputs!$F$5:$F$14,MATCH(N92/Inputs!$B$10,AG92:AP92,1)+1))))</f>
        <v/>
      </c>
      <c r="R92" s="14"/>
      <c r="S92" s="14" t="str">
        <f t="shared" si="80"/>
        <v/>
      </c>
      <c r="T92" s="44" t="str">
        <f t="shared" si="81"/>
        <v/>
      </c>
      <c r="U92" s="44" t="str">
        <f>IF(T92="","",(1/Inputs!$B$9)*(PI()*T92^2/4)*((T92/4)^(2/3))*SQRT(P92))</f>
        <v/>
      </c>
      <c r="V92" s="44" t="str">
        <f>IF(OR(U92="",N92=""),"",N92/(U92*Inputs!$B$10))</f>
        <v/>
      </c>
      <c r="W92" s="44" t="str">
        <f t="shared" si="82"/>
        <v/>
      </c>
      <c r="X92" s="44"/>
      <c r="Y92" s="44" t="str">
        <f>IF(A92="","",IF(A92=Inputs!$B$6,Inputs!$B$22,IF(D92="","",IFERROR(INDEX($Z$4:$Z$201,MATCH(D92,$A$4:$A$201,0))+IF(X92="",Inputs!$B$20,X92),""))))</f>
        <v/>
      </c>
      <c r="Z92" s="44" t="str">
        <f t="shared" si="83"/>
        <v/>
      </c>
      <c r="AA92" s="44" t="str">
        <f>IF(C92="","",IFERROR(INDEX(Noeuds_plan!$C$4:$C$200,MATCH(C92,Noeuds_plan!$A$4:$A$200,0)),""))</f>
        <v/>
      </c>
      <c r="AB92" s="44" t="str">
        <f>IF(B92="","",IFERROR(INDEX(Noeuds_plan!$C$4:$C$200,MATCH(B92,Noeuds_plan!$A$4:$A$200,0)),""))</f>
        <v/>
      </c>
      <c r="AC92" s="44" t="str">
        <f t="shared" si="84"/>
        <v/>
      </c>
      <c r="AD92" s="44" t="str">
        <f t="shared" si="85"/>
        <v/>
      </c>
      <c r="AE92" s="14" t="str">
        <f>IF(A92="","",IF(OR(V92&gt;1,AND(AY92&lt;&gt;"",AY92&lt;Inputs!$B$11),AND(AY92&lt;&gt;"",AY92&gt;Inputs!$B$12),AC92&lt;Inputs!$B$19,AD92&lt;Inputs!$B$19,P92&lt;Inputs!$B$7,P92&gt;Inputs!$B$8),"CHECK","OK"))</f>
        <v/>
      </c>
      <c r="AF92" s="14"/>
      <c r="AG92" s="14" t="str">
        <f>IF(A92="","",(1/Inputs!$B$9)*(PI()*(Inputs!$F$5/1000)^2/4)*((Inputs!$F$5/1000/4)^(2/3))*SQRT(P92))</f>
        <v/>
      </c>
      <c r="AH92" s="14" t="str">
        <f>IF(A92="","",(1/Inputs!$B$9)*(PI()*(Inputs!$F$6/1000)^2/4)*((Inputs!$F$6/1000/4)^(2/3))*SQRT(P92))</f>
        <v/>
      </c>
      <c r="AI92" s="14" t="str">
        <f>IF(A92="","",(1/Inputs!$B$9)*(PI()*(Inputs!$F$7/1000)^2/4)*((Inputs!$F$7/1000/4)^(2/3))*SQRT(P92))</f>
        <v/>
      </c>
      <c r="AJ92" s="14" t="str">
        <f>IF(A92="","",(1/Inputs!$B$9)*(PI()*(Inputs!$F$8/1000)^2/4)*((Inputs!$F$8/1000/4)^(2/3))*SQRT(P92))</f>
        <v/>
      </c>
      <c r="AK92" s="14" t="str">
        <f>IF(A92="","",(1/Inputs!$B$9)*(PI()*(Inputs!$F$9/1000)^2/4)*((Inputs!$F$9/1000/4)^(2/3))*SQRT(P92))</f>
        <v/>
      </c>
      <c r="AL92" s="14" t="str">
        <f>IF(A92="","",(1/Inputs!$B$9)*(PI()*(Inputs!$F$10/1000)^2/4)*((Inputs!$F$10/1000/4)^(2/3))*SQRT(P92))</f>
        <v/>
      </c>
      <c r="AM92" s="14" t="str">
        <f>IF(A92="","",(1/Inputs!$B$9)*(PI()*(Inputs!$F$11/1000)^2/4)*((Inputs!$F$11/1000/4)^(2/3))*SQRT(P92))</f>
        <v/>
      </c>
      <c r="AN92" s="14" t="str">
        <f>IF(A92="","",(1/Inputs!$B$9)*(PI()*(Inputs!$F$12/1000)^2/4)*((Inputs!$F$12/1000/4)^(2/3))*SQRT(P92))</f>
        <v/>
      </c>
      <c r="AO92" s="14" t="str">
        <f>IF(A92="","",(1/Inputs!$B$9)*(PI()*(Inputs!$F$13/1000)^2/4)*((Inputs!$F$13/1000/4)^(2/3))*SQRT(P92))</f>
        <v/>
      </c>
      <c r="AP92" s="14" t="str">
        <f>IF(A92="","",(1/Inputs!$B$9)*(PI()*(Inputs!$F$14/1000)^2/4)*((Inputs!$F$14/1000/4)^(2/3))*SQRT(P92))</f>
        <v/>
      </c>
      <c r="AQ92" s="14" t="str">
        <f t="shared" si="86"/>
        <v/>
      </c>
      <c r="AR92" s="14" t="str">
        <f t="shared" si="87"/>
        <v/>
      </c>
      <c r="AS92" s="17" t="str">
        <f>IF(A92="","",IF(J92="",Inputs!$B$18,J92))</f>
        <v/>
      </c>
      <c r="AT92" s="17" t="str">
        <f>IF(A92="","",IFERROR(_xludf.maxifs($AV$4:$AV$201,$D$4:$D$201,$A92),""))</f>
        <v/>
      </c>
      <c r="AU92" s="17" t="str">
        <f>IF(A92="","",IF(OR(E92="",Inputs!$B$23=""),"",E92/(Inputs!$B$23*60)))</f>
        <v/>
      </c>
      <c r="AV92" s="17" t="str">
        <f t="shared" si="88"/>
        <v/>
      </c>
      <c r="AW92" s="17" t="str">
        <f t="shared" si="89"/>
        <v/>
      </c>
      <c r="AX92" s="17" t="str">
        <f>IF(OR(T92="",P92=""),"",(1/Inputs!$B$9)*((T92/4)^(2/3))*SQRT(P92))</f>
        <v/>
      </c>
      <c r="AY92" s="17" t="str">
        <f>IF(A92="","",IF(AND(AW92="",AX92="",BA92=""),"",IF(OR(UPPER(TRIM(Inputs!$B$24))="MANNING",UPPER(TRIM(Inputs!$B$24))="M"),AX92,IF(OR(UPPER(TRIM(Inputs!$B$24))="PARTIAL",UPPER(TRIM(Inputs!$B$24))="P"),BA92,IF(OR(UPPER(TRIM(Inputs!$B$24))="MAX",UPPER(TRIM(Inputs!$B$24))="X"),MAX(IF(AW92="",0,AW92),IF(AX92="",0,AX92),IF(BA92="",0,BA92)),AW92)))))</f>
        <v/>
      </c>
      <c r="AZ92" s="17" t="str">
        <f t="shared" si="90"/>
        <v/>
      </c>
      <c r="BA92" s="17" t="str">
        <f t="shared" si="91"/>
        <v/>
      </c>
      <c r="BB92" s="14" t="str">
        <f t="shared" si="92"/>
        <v/>
      </c>
      <c r="BC92" s="14" t="str">
        <f>IF(OR(N92="",T92="",P92=""),"",IF(OR(T92="",P92="",(0.94*T92)="",T92&lt;=0,(0.94*T92)&lt;=0),"",(1/Inputs!$B$9)*((T92^2/8)*((2*ACOS(1-2*(0.94*T92)/T92))-SIN((2*ACOS(1-2*(0.94*T92)/T92)))))*((((T92^2/8)*((2*ACOS(1-2*(0.94*T92)/T92))-SIN((2*ACOS(1-2*(0.94*T92)/T92)))))/((T92/2)*((2*ACOS(1-2*(0.94*T92)/T92)))))^(2/3))*SQRT(P92)))</f>
        <v/>
      </c>
      <c r="BD92" s="14" t="str">
        <f t="shared" si="93"/>
        <v/>
      </c>
      <c r="BE92" s="14" t="str">
        <f t="shared" si="94"/>
        <v/>
      </c>
      <c r="BF92" s="14" t="str">
        <f t="shared" si="95"/>
        <v/>
      </c>
      <c r="BG92" s="14" t="str">
        <f>IF(OR(T92="",P92="",BF92="",T92&lt;=0,BF92&lt;=0),"",(1/Inputs!$B$9)*((T92^2/8)*((2*ACOS(1-2*BF92/T92))-SIN((2*ACOS(1-2*BF92/T92)))))*((((T92^2/8)*((2*ACOS(1-2*BF92/T92))-SIN((2*ACOS(1-2*BF92/T92)))))/((T92/2)*((2*ACOS(1-2*BF92/T92)))))^(2/3))*SQRT(P92))</f>
        <v/>
      </c>
      <c r="BH92" s="14" t="str">
        <f t="shared" si="96"/>
        <v/>
      </c>
      <c r="BI92" s="14" t="str">
        <f t="shared" si="97"/>
        <v/>
      </c>
      <c r="BJ92" s="14" t="str">
        <f t="shared" si="98"/>
        <v/>
      </c>
      <c r="BK92" s="14" t="str">
        <f>IF(OR(T92="",P92="",BJ92="",T92&lt;=0,BJ92&lt;=0),"",(1/Inputs!$B$9)*((T92^2/8)*((2*ACOS(1-2*BJ92/T92))-SIN((2*ACOS(1-2*BJ92/T92)))))*((((T92^2/8)*((2*ACOS(1-2*BJ92/T92))-SIN((2*ACOS(1-2*BJ92/T92)))))/((T92/2)*((2*ACOS(1-2*BJ92/T92)))))^(2/3))*SQRT(P92))</f>
        <v/>
      </c>
      <c r="BL92" s="14" t="str">
        <f t="shared" si="99"/>
        <v/>
      </c>
      <c r="BM92" s="14" t="str">
        <f t="shared" si="100"/>
        <v/>
      </c>
      <c r="BN92" s="14" t="str">
        <f t="shared" si="101"/>
        <v/>
      </c>
      <c r="BO92" s="14" t="str">
        <f>IF(OR(T92="",P92="",BN92="",T92&lt;=0,BN92&lt;=0),"",(1/Inputs!$B$9)*((T92^2/8)*((2*ACOS(1-2*BN92/T92))-SIN((2*ACOS(1-2*BN92/T92)))))*((((T92^2/8)*((2*ACOS(1-2*BN92/T92))-SIN((2*ACOS(1-2*BN92/T92)))))/((T92/2)*((2*ACOS(1-2*BN92/T92)))))^(2/3))*SQRT(P92))</f>
        <v/>
      </c>
      <c r="BP92" s="14" t="str">
        <f t="shared" si="102"/>
        <v/>
      </c>
      <c r="BQ92" s="14" t="str">
        <f t="shared" si="103"/>
        <v/>
      </c>
      <c r="BR92" s="14" t="str">
        <f t="shared" si="104"/>
        <v/>
      </c>
      <c r="BS92" s="14" t="str">
        <f>IF(OR(T92="",P92="",BR92="",T92&lt;=0,BR92&lt;=0),"",(1/Inputs!$B$9)*((T92^2/8)*((2*ACOS(1-2*BR92/T92))-SIN((2*ACOS(1-2*BR92/T92)))))*((((T92^2/8)*((2*ACOS(1-2*BR92/T92))-SIN((2*ACOS(1-2*BR92/T92)))))/((T92/2)*((2*ACOS(1-2*BR92/T92)))))^(2/3))*SQRT(P92))</f>
        <v/>
      </c>
      <c r="BT92" s="14" t="str">
        <f t="shared" si="105"/>
        <v/>
      </c>
      <c r="BU92" s="14" t="str">
        <f t="shared" si="106"/>
        <v/>
      </c>
      <c r="BV92" s="14" t="str">
        <f t="shared" si="107"/>
        <v/>
      </c>
      <c r="BW92" s="14" t="str">
        <f>IF(OR(T92="",P92="",BV92="",T92&lt;=0,BV92&lt;=0),"",(1/Inputs!$B$9)*((T92^2/8)*((2*ACOS(1-2*BV92/T92))-SIN((2*ACOS(1-2*BV92/T92)))))*((((T92^2/8)*((2*ACOS(1-2*BV92/T92))-SIN((2*ACOS(1-2*BV92/T92)))))/((T92/2)*((2*ACOS(1-2*BV92/T92)))))^(2/3))*SQRT(P92))</f>
        <v/>
      </c>
      <c r="BX92" s="14" t="str">
        <f t="shared" si="108"/>
        <v/>
      </c>
      <c r="BY92" s="14" t="str">
        <f t="shared" si="109"/>
        <v/>
      </c>
      <c r="BZ92" s="14" t="str">
        <f t="shared" si="110"/>
        <v/>
      </c>
      <c r="CA92" s="14" t="str">
        <f>IF(OR(T92="",P92="",BZ92="",T92&lt;=0,BZ92&lt;=0),"",(1/Inputs!$B$9)*((T92^2/8)*((2*ACOS(1-2*BZ92/T92))-SIN((2*ACOS(1-2*BZ92/T92)))))*((((T92^2/8)*((2*ACOS(1-2*BZ92/T92))-SIN((2*ACOS(1-2*BZ92/T92)))))/((T92/2)*((2*ACOS(1-2*BZ92/T92)))))^(2/3))*SQRT(P92))</f>
        <v/>
      </c>
      <c r="CB92" s="14" t="str">
        <f t="shared" si="111"/>
        <v/>
      </c>
      <c r="CC92" s="14" t="str">
        <f t="shared" si="112"/>
        <v/>
      </c>
      <c r="CD92" s="14" t="str">
        <f t="shared" si="113"/>
        <v/>
      </c>
      <c r="CE92" s="14" t="str">
        <f>IF(OR(T92="",P92="",CD92="",T92&lt;=0,CD92&lt;=0),"",(1/Inputs!$B$9)*((T92^2/8)*((2*ACOS(1-2*CD92/T92))-SIN((2*ACOS(1-2*CD92/T92)))))*((((T92^2/8)*((2*ACOS(1-2*CD92/T92))-SIN((2*ACOS(1-2*CD92/T92)))))/((T92/2)*((2*ACOS(1-2*CD92/T92)))))^(2/3))*SQRT(P92))</f>
        <v/>
      </c>
      <c r="CF92" s="14" t="str">
        <f t="shared" si="114"/>
        <v/>
      </c>
      <c r="CG92" s="14" t="str">
        <f t="shared" si="115"/>
        <v/>
      </c>
      <c r="CH92" s="14" t="str">
        <f t="shared" si="116"/>
        <v/>
      </c>
    </row>
    <row r="93" spans="1:86" x14ac:dyDescent="0.25">
      <c r="A93" s="14"/>
      <c r="B93" s="14"/>
      <c r="C93" s="14"/>
      <c r="D93" s="14"/>
      <c r="E93" s="44"/>
      <c r="F93" s="44"/>
      <c r="G93" s="44">
        <f>SUMIFS(CB_plan!$G:$G,CB_plan!$F:$F,$A93)</f>
        <v>0</v>
      </c>
      <c r="H93" s="44">
        <f t="shared" si="78"/>
        <v>0</v>
      </c>
      <c r="I93" s="14"/>
      <c r="J93" s="44"/>
      <c r="K93" s="44" t="str">
        <f>IF(A93="","",Inputs!$B$13/((IF(AV93="",Inputs!$B$18,AV93)+Inputs!$B$14)^Inputs!$B$15))</f>
        <v/>
      </c>
      <c r="L93" s="44" t="str">
        <f>IF(A93="","",IF(H93="","",0.000000278*IF(I93&lt;&gt;"",I93,IFERROR(SUMIFS(CB_plan!$H:$H,CB_plan!$F:$F,$A93)/SUMIFS(CB_plan!$G:$G,CB_plan!$F:$F,$A93),Inputs!$B$17))*H93*K93))</f>
        <v/>
      </c>
      <c r="M93" s="44" t="str">
        <f t="shared" si="79"/>
        <v/>
      </c>
      <c r="N93" s="44" t="str">
        <f>IF(A93="","",(L93+M93)*Inputs!$B$16)</f>
        <v/>
      </c>
      <c r="O93" s="44"/>
      <c r="P93" s="44" t="str">
        <f>IF(A93="","",IF(O93="",Inputs!$B$7,O93))</f>
        <v/>
      </c>
      <c r="Q93" s="14" t="str">
        <f>IF(A93="","",IF(N93/Inputs!$B$10&lt;=AG93,Inputs!$F$5,IF(N93/Inputs!$B$10&gt;AP93,"OVERSIZE",INDEX(Inputs!$F$5:$F$14,MATCH(N93/Inputs!$B$10,AG93:AP93,1)+1))))</f>
        <v/>
      </c>
      <c r="R93" s="14"/>
      <c r="S93" s="14" t="str">
        <f t="shared" si="80"/>
        <v/>
      </c>
      <c r="T93" s="44" t="str">
        <f t="shared" si="81"/>
        <v/>
      </c>
      <c r="U93" s="44" t="str">
        <f>IF(T93="","",(1/Inputs!$B$9)*(PI()*T93^2/4)*((T93/4)^(2/3))*SQRT(P93))</f>
        <v/>
      </c>
      <c r="V93" s="44" t="str">
        <f>IF(OR(U93="",N93=""),"",N93/(U93*Inputs!$B$10))</f>
        <v/>
      </c>
      <c r="W93" s="44" t="str">
        <f t="shared" si="82"/>
        <v/>
      </c>
      <c r="X93" s="44"/>
      <c r="Y93" s="44" t="str">
        <f>IF(A93="","",IF(A93=Inputs!$B$6,Inputs!$B$22,IF(D93="","",IFERROR(INDEX($Z$4:$Z$201,MATCH(D93,$A$4:$A$201,0))+IF(X93="",Inputs!$B$20,X93),""))))</f>
        <v/>
      </c>
      <c r="Z93" s="44" t="str">
        <f t="shared" si="83"/>
        <v/>
      </c>
      <c r="AA93" s="44" t="str">
        <f>IF(C93="","",IFERROR(INDEX(Noeuds_plan!$C$4:$C$200,MATCH(C93,Noeuds_plan!$A$4:$A$200,0)),""))</f>
        <v/>
      </c>
      <c r="AB93" s="44" t="str">
        <f>IF(B93="","",IFERROR(INDEX(Noeuds_plan!$C$4:$C$200,MATCH(B93,Noeuds_plan!$A$4:$A$200,0)),""))</f>
        <v/>
      </c>
      <c r="AC93" s="44" t="str">
        <f t="shared" si="84"/>
        <v/>
      </c>
      <c r="AD93" s="44" t="str">
        <f t="shared" si="85"/>
        <v/>
      </c>
      <c r="AE93" s="14" t="str">
        <f>IF(A93="","",IF(OR(V93&gt;1,AND(AY93&lt;&gt;"",AY93&lt;Inputs!$B$11),AND(AY93&lt;&gt;"",AY93&gt;Inputs!$B$12),AC93&lt;Inputs!$B$19,AD93&lt;Inputs!$B$19,P93&lt;Inputs!$B$7,P93&gt;Inputs!$B$8),"CHECK","OK"))</f>
        <v/>
      </c>
      <c r="AF93" s="14"/>
      <c r="AG93" s="14" t="str">
        <f>IF(A93="","",(1/Inputs!$B$9)*(PI()*(Inputs!$F$5/1000)^2/4)*((Inputs!$F$5/1000/4)^(2/3))*SQRT(P93))</f>
        <v/>
      </c>
      <c r="AH93" s="14" t="str">
        <f>IF(A93="","",(1/Inputs!$B$9)*(PI()*(Inputs!$F$6/1000)^2/4)*((Inputs!$F$6/1000/4)^(2/3))*SQRT(P93))</f>
        <v/>
      </c>
      <c r="AI93" s="14" t="str">
        <f>IF(A93="","",(1/Inputs!$B$9)*(PI()*(Inputs!$F$7/1000)^2/4)*((Inputs!$F$7/1000/4)^(2/3))*SQRT(P93))</f>
        <v/>
      </c>
      <c r="AJ93" s="14" t="str">
        <f>IF(A93="","",(1/Inputs!$B$9)*(PI()*(Inputs!$F$8/1000)^2/4)*((Inputs!$F$8/1000/4)^(2/3))*SQRT(P93))</f>
        <v/>
      </c>
      <c r="AK93" s="14" t="str">
        <f>IF(A93="","",(1/Inputs!$B$9)*(PI()*(Inputs!$F$9/1000)^2/4)*((Inputs!$F$9/1000/4)^(2/3))*SQRT(P93))</f>
        <v/>
      </c>
      <c r="AL93" s="14" t="str">
        <f>IF(A93="","",(1/Inputs!$B$9)*(PI()*(Inputs!$F$10/1000)^2/4)*((Inputs!$F$10/1000/4)^(2/3))*SQRT(P93))</f>
        <v/>
      </c>
      <c r="AM93" s="14" t="str">
        <f>IF(A93="","",(1/Inputs!$B$9)*(PI()*(Inputs!$F$11/1000)^2/4)*((Inputs!$F$11/1000/4)^(2/3))*SQRT(P93))</f>
        <v/>
      </c>
      <c r="AN93" s="14" t="str">
        <f>IF(A93="","",(1/Inputs!$B$9)*(PI()*(Inputs!$F$12/1000)^2/4)*((Inputs!$F$12/1000/4)^(2/3))*SQRT(P93))</f>
        <v/>
      </c>
      <c r="AO93" s="14" t="str">
        <f>IF(A93="","",(1/Inputs!$B$9)*(PI()*(Inputs!$F$13/1000)^2/4)*((Inputs!$F$13/1000/4)^(2/3))*SQRT(P93))</f>
        <v/>
      </c>
      <c r="AP93" s="14" t="str">
        <f>IF(A93="","",(1/Inputs!$B$9)*(PI()*(Inputs!$F$14/1000)^2/4)*((Inputs!$F$14/1000/4)^(2/3))*SQRT(P93))</f>
        <v/>
      </c>
      <c r="AQ93" s="14" t="str">
        <f t="shared" si="86"/>
        <v/>
      </c>
      <c r="AR93" s="14" t="str">
        <f t="shared" si="87"/>
        <v/>
      </c>
      <c r="AS93" s="17" t="str">
        <f>IF(A93="","",IF(J93="",Inputs!$B$18,J93))</f>
        <v/>
      </c>
      <c r="AT93" s="17" t="str">
        <f>IF(A93="","",IFERROR(_xludf.maxifs($AV$4:$AV$201,$D$4:$D$201,$A93),""))</f>
        <v/>
      </c>
      <c r="AU93" s="17" t="str">
        <f>IF(A93="","",IF(OR(E93="",Inputs!$B$23=""),"",E93/(Inputs!$B$23*60)))</f>
        <v/>
      </c>
      <c r="AV93" s="17" t="str">
        <f t="shared" si="88"/>
        <v/>
      </c>
      <c r="AW93" s="17" t="str">
        <f t="shared" si="89"/>
        <v/>
      </c>
      <c r="AX93" s="17" t="str">
        <f>IF(OR(T93="",P93=""),"",(1/Inputs!$B$9)*((T93/4)^(2/3))*SQRT(P93))</f>
        <v/>
      </c>
      <c r="AY93" s="17" t="str">
        <f>IF(A93="","",IF(AND(AW93="",AX93="",BA93=""),"",IF(OR(UPPER(TRIM(Inputs!$B$24))="MANNING",UPPER(TRIM(Inputs!$B$24))="M"),AX93,IF(OR(UPPER(TRIM(Inputs!$B$24))="PARTIAL",UPPER(TRIM(Inputs!$B$24))="P"),BA93,IF(OR(UPPER(TRIM(Inputs!$B$24))="MAX",UPPER(TRIM(Inputs!$B$24))="X"),MAX(IF(AW93="",0,AW93),IF(AX93="",0,AX93),IF(BA93="",0,BA93)),AW93)))))</f>
        <v/>
      </c>
      <c r="AZ93" s="17" t="str">
        <f t="shared" si="90"/>
        <v/>
      </c>
      <c r="BA93" s="17" t="str">
        <f t="shared" si="91"/>
        <v/>
      </c>
      <c r="BB93" s="14" t="str">
        <f t="shared" si="92"/>
        <v/>
      </c>
      <c r="BC93" s="14" t="str">
        <f>IF(OR(N93="",T93="",P93=""),"",IF(OR(T93="",P93="",(0.94*T93)="",T93&lt;=0,(0.94*T93)&lt;=0),"",(1/Inputs!$B$9)*((T93^2/8)*((2*ACOS(1-2*(0.94*T93)/T93))-SIN((2*ACOS(1-2*(0.94*T93)/T93)))))*((((T93^2/8)*((2*ACOS(1-2*(0.94*T93)/T93))-SIN((2*ACOS(1-2*(0.94*T93)/T93)))))/((T93/2)*((2*ACOS(1-2*(0.94*T93)/T93)))))^(2/3))*SQRT(P93)))</f>
        <v/>
      </c>
      <c r="BD93" s="14" t="str">
        <f t="shared" si="93"/>
        <v/>
      </c>
      <c r="BE93" s="14" t="str">
        <f t="shared" si="94"/>
        <v/>
      </c>
      <c r="BF93" s="14" t="str">
        <f t="shared" si="95"/>
        <v/>
      </c>
      <c r="BG93" s="14" t="str">
        <f>IF(OR(T93="",P93="",BF93="",T93&lt;=0,BF93&lt;=0),"",(1/Inputs!$B$9)*((T93^2/8)*((2*ACOS(1-2*BF93/T93))-SIN((2*ACOS(1-2*BF93/T93)))))*((((T93^2/8)*((2*ACOS(1-2*BF93/T93))-SIN((2*ACOS(1-2*BF93/T93)))))/((T93/2)*((2*ACOS(1-2*BF93/T93)))))^(2/3))*SQRT(P93))</f>
        <v/>
      </c>
      <c r="BH93" s="14" t="str">
        <f t="shared" si="96"/>
        <v/>
      </c>
      <c r="BI93" s="14" t="str">
        <f t="shared" si="97"/>
        <v/>
      </c>
      <c r="BJ93" s="14" t="str">
        <f t="shared" si="98"/>
        <v/>
      </c>
      <c r="BK93" s="14" t="str">
        <f>IF(OR(T93="",P93="",BJ93="",T93&lt;=0,BJ93&lt;=0),"",(1/Inputs!$B$9)*((T93^2/8)*((2*ACOS(1-2*BJ93/T93))-SIN((2*ACOS(1-2*BJ93/T93)))))*((((T93^2/8)*((2*ACOS(1-2*BJ93/T93))-SIN((2*ACOS(1-2*BJ93/T93)))))/((T93/2)*((2*ACOS(1-2*BJ93/T93)))))^(2/3))*SQRT(P93))</f>
        <v/>
      </c>
      <c r="BL93" s="14" t="str">
        <f t="shared" si="99"/>
        <v/>
      </c>
      <c r="BM93" s="14" t="str">
        <f t="shared" si="100"/>
        <v/>
      </c>
      <c r="BN93" s="14" t="str">
        <f t="shared" si="101"/>
        <v/>
      </c>
      <c r="BO93" s="14" t="str">
        <f>IF(OR(T93="",P93="",BN93="",T93&lt;=0,BN93&lt;=0),"",(1/Inputs!$B$9)*((T93^2/8)*((2*ACOS(1-2*BN93/T93))-SIN((2*ACOS(1-2*BN93/T93)))))*((((T93^2/8)*((2*ACOS(1-2*BN93/T93))-SIN((2*ACOS(1-2*BN93/T93)))))/((T93/2)*((2*ACOS(1-2*BN93/T93)))))^(2/3))*SQRT(P93))</f>
        <v/>
      </c>
      <c r="BP93" s="14" t="str">
        <f t="shared" si="102"/>
        <v/>
      </c>
      <c r="BQ93" s="14" t="str">
        <f t="shared" si="103"/>
        <v/>
      </c>
      <c r="BR93" s="14" t="str">
        <f t="shared" si="104"/>
        <v/>
      </c>
      <c r="BS93" s="14" t="str">
        <f>IF(OR(T93="",P93="",BR93="",T93&lt;=0,BR93&lt;=0),"",(1/Inputs!$B$9)*((T93^2/8)*((2*ACOS(1-2*BR93/T93))-SIN((2*ACOS(1-2*BR93/T93)))))*((((T93^2/8)*((2*ACOS(1-2*BR93/T93))-SIN((2*ACOS(1-2*BR93/T93)))))/((T93/2)*((2*ACOS(1-2*BR93/T93)))))^(2/3))*SQRT(P93))</f>
        <v/>
      </c>
      <c r="BT93" s="14" t="str">
        <f t="shared" si="105"/>
        <v/>
      </c>
      <c r="BU93" s="14" t="str">
        <f t="shared" si="106"/>
        <v/>
      </c>
      <c r="BV93" s="14" t="str">
        <f t="shared" si="107"/>
        <v/>
      </c>
      <c r="BW93" s="14" t="str">
        <f>IF(OR(T93="",P93="",BV93="",T93&lt;=0,BV93&lt;=0),"",(1/Inputs!$B$9)*((T93^2/8)*((2*ACOS(1-2*BV93/T93))-SIN((2*ACOS(1-2*BV93/T93)))))*((((T93^2/8)*((2*ACOS(1-2*BV93/T93))-SIN((2*ACOS(1-2*BV93/T93)))))/((T93/2)*((2*ACOS(1-2*BV93/T93)))))^(2/3))*SQRT(P93))</f>
        <v/>
      </c>
      <c r="BX93" s="14" t="str">
        <f t="shared" si="108"/>
        <v/>
      </c>
      <c r="BY93" s="14" t="str">
        <f t="shared" si="109"/>
        <v/>
      </c>
      <c r="BZ93" s="14" t="str">
        <f t="shared" si="110"/>
        <v/>
      </c>
      <c r="CA93" s="14" t="str">
        <f>IF(OR(T93="",P93="",BZ93="",T93&lt;=0,BZ93&lt;=0),"",(1/Inputs!$B$9)*((T93^2/8)*((2*ACOS(1-2*BZ93/T93))-SIN((2*ACOS(1-2*BZ93/T93)))))*((((T93^2/8)*((2*ACOS(1-2*BZ93/T93))-SIN((2*ACOS(1-2*BZ93/T93)))))/((T93/2)*((2*ACOS(1-2*BZ93/T93)))))^(2/3))*SQRT(P93))</f>
        <v/>
      </c>
      <c r="CB93" s="14" t="str">
        <f t="shared" si="111"/>
        <v/>
      </c>
      <c r="CC93" s="14" t="str">
        <f t="shared" si="112"/>
        <v/>
      </c>
      <c r="CD93" s="14" t="str">
        <f t="shared" si="113"/>
        <v/>
      </c>
      <c r="CE93" s="14" t="str">
        <f>IF(OR(T93="",P93="",CD93="",T93&lt;=0,CD93&lt;=0),"",(1/Inputs!$B$9)*((T93^2/8)*((2*ACOS(1-2*CD93/T93))-SIN((2*ACOS(1-2*CD93/T93)))))*((((T93^2/8)*((2*ACOS(1-2*CD93/T93))-SIN((2*ACOS(1-2*CD93/T93)))))/((T93/2)*((2*ACOS(1-2*CD93/T93)))))^(2/3))*SQRT(P93))</f>
        <v/>
      </c>
      <c r="CF93" s="14" t="str">
        <f t="shared" si="114"/>
        <v/>
      </c>
      <c r="CG93" s="14" t="str">
        <f t="shared" si="115"/>
        <v/>
      </c>
      <c r="CH93" s="14" t="str">
        <f t="shared" si="116"/>
        <v/>
      </c>
    </row>
    <row r="94" spans="1:86" x14ac:dyDescent="0.25">
      <c r="A94" s="14"/>
      <c r="B94" s="14"/>
      <c r="C94" s="14"/>
      <c r="D94" s="14"/>
      <c r="E94" s="44"/>
      <c r="F94" s="44"/>
      <c r="G94" s="44">
        <f>SUMIFS(CB_plan!$G:$G,CB_plan!$F:$F,$A94)</f>
        <v>0</v>
      </c>
      <c r="H94" s="44">
        <f t="shared" si="78"/>
        <v>0</v>
      </c>
      <c r="I94" s="14"/>
      <c r="J94" s="44"/>
      <c r="K94" s="44" t="str">
        <f>IF(A94="","",Inputs!$B$13/((IF(AV94="",Inputs!$B$18,AV94)+Inputs!$B$14)^Inputs!$B$15))</f>
        <v/>
      </c>
      <c r="L94" s="44" t="str">
        <f>IF(A94="","",IF(H94="","",0.000000278*IF(I94&lt;&gt;"",I94,IFERROR(SUMIFS(CB_plan!$H:$H,CB_plan!$F:$F,$A94)/SUMIFS(CB_plan!$G:$G,CB_plan!$F:$F,$A94),Inputs!$B$17))*H94*K94))</f>
        <v/>
      </c>
      <c r="M94" s="44" t="str">
        <f t="shared" si="79"/>
        <v/>
      </c>
      <c r="N94" s="44" t="str">
        <f>IF(A94="","",(L94+M94)*Inputs!$B$16)</f>
        <v/>
      </c>
      <c r="O94" s="44"/>
      <c r="P94" s="44" t="str">
        <f>IF(A94="","",IF(O94="",Inputs!$B$7,O94))</f>
        <v/>
      </c>
      <c r="Q94" s="14" t="str">
        <f>IF(A94="","",IF(N94/Inputs!$B$10&lt;=AG94,Inputs!$F$5,IF(N94/Inputs!$B$10&gt;AP94,"OVERSIZE",INDEX(Inputs!$F$5:$F$14,MATCH(N94/Inputs!$B$10,AG94:AP94,1)+1))))</f>
        <v/>
      </c>
      <c r="R94" s="14"/>
      <c r="S94" s="14" t="str">
        <f t="shared" si="80"/>
        <v/>
      </c>
      <c r="T94" s="44" t="str">
        <f t="shared" si="81"/>
        <v/>
      </c>
      <c r="U94" s="44" t="str">
        <f>IF(T94="","",(1/Inputs!$B$9)*(PI()*T94^2/4)*((T94/4)^(2/3))*SQRT(P94))</f>
        <v/>
      </c>
      <c r="V94" s="44" t="str">
        <f>IF(OR(U94="",N94=""),"",N94/(U94*Inputs!$B$10))</f>
        <v/>
      </c>
      <c r="W94" s="44" t="str">
        <f t="shared" si="82"/>
        <v/>
      </c>
      <c r="X94" s="44"/>
      <c r="Y94" s="44" t="str">
        <f>IF(A94="","",IF(A94=Inputs!$B$6,Inputs!$B$22,IF(D94="","",IFERROR(INDEX($Z$4:$Z$201,MATCH(D94,$A$4:$A$201,0))+IF(X94="",Inputs!$B$20,X94),""))))</f>
        <v/>
      </c>
      <c r="Z94" s="44" t="str">
        <f t="shared" si="83"/>
        <v/>
      </c>
      <c r="AA94" s="44" t="str">
        <f>IF(C94="","",IFERROR(INDEX(Noeuds_plan!$C$4:$C$200,MATCH(C94,Noeuds_plan!$A$4:$A$200,0)),""))</f>
        <v/>
      </c>
      <c r="AB94" s="44" t="str">
        <f>IF(B94="","",IFERROR(INDEX(Noeuds_plan!$C$4:$C$200,MATCH(B94,Noeuds_plan!$A$4:$A$200,0)),""))</f>
        <v/>
      </c>
      <c r="AC94" s="44" t="str">
        <f t="shared" si="84"/>
        <v/>
      </c>
      <c r="AD94" s="44" t="str">
        <f t="shared" si="85"/>
        <v/>
      </c>
      <c r="AE94" s="14" t="str">
        <f>IF(A94="","",IF(OR(V94&gt;1,AND(AY94&lt;&gt;"",AY94&lt;Inputs!$B$11),AND(AY94&lt;&gt;"",AY94&gt;Inputs!$B$12),AC94&lt;Inputs!$B$19,AD94&lt;Inputs!$B$19,P94&lt;Inputs!$B$7,P94&gt;Inputs!$B$8),"CHECK","OK"))</f>
        <v/>
      </c>
      <c r="AF94" s="14"/>
      <c r="AG94" s="14" t="str">
        <f>IF(A94="","",(1/Inputs!$B$9)*(PI()*(Inputs!$F$5/1000)^2/4)*((Inputs!$F$5/1000/4)^(2/3))*SQRT(P94))</f>
        <v/>
      </c>
      <c r="AH94" s="14" t="str">
        <f>IF(A94="","",(1/Inputs!$B$9)*(PI()*(Inputs!$F$6/1000)^2/4)*((Inputs!$F$6/1000/4)^(2/3))*SQRT(P94))</f>
        <v/>
      </c>
      <c r="AI94" s="14" t="str">
        <f>IF(A94="","",(1/Inputs!$B$9)*(PI()*(Inputs!$F$7/1000)^2/4)*((Inputs!$F$7/1000/4)^(2/3))*SQRT(P94))</f>
        <v/>
      </c>
      <c r="AJ94" s="14" t="str">
        <f>IF(A94="","",(1/Inputs!$B$9)*(PI()*(Inputs!$F$8/1000)^2/4)*((Inputs!$F$8/1000/4)^(2/3))*SQRT(P94))</f>
        <v/>
      </c>
      <c r="AK94" s="14" t="str">
        <f>IF(A94="","",(1/Inputs!$B$9)*(PI()*(Inputs!$F$9/1000)^2/4)*((Inputs!$F$9/1000/4)^(2/3))*SQRT(P94))</f>
        <v/>
      </c>
      <c r="AL94" s="14" t="str">
        <f>IF(A94="","",(1/Inputs!$B$9)*(PI()*(Inputs!$F$10/1000)^2/4)*((Inputs!$F$10/1000/4)^(2/3))*SQRT(P94))</f>
        <v/>
      </c>
      <c r="AM94" s="14" t="str">
        <f>IF(A94="","",(1/Inputs!$B$9)*(PI()*(Inputs!$F$11/1000)^2/4)*((Inputs!$F$11/1000/4)^(2/3))*SQRT(P94))</f>
        <v/>
      </c>
      <c r="AN94" s="14" t="str">
        <f>IF(A94="","",(1/Inputs!$B$9)*(PI()*(Inputs!$F$12/1000)^2/4)*((Inputs!$F$12/1000/4)^(2/3))*SQRT(P94))</f>
        <v/>
      </c>
      <c r="AO94" s="14" t="str">
        <f>IF(A94="","",(1/Inputs!$B$9)*(PI()*(Inputs!$F$13/1000)^2/4)*((Inputs!$F$13/1000/4)^(2/3))*SQRT(P94))</f>
        <v/>
      </c>
      <c r="AP94" s="14" t="str">
        <f>IF(A94="","",(1/Inputs!$B$9)*(PI()*(Inputs!$F$14/1000)^2/4)*((Inputs!$F$14/1000/4)^(2/3))*SQRT(P94))</f>
        <v/>
      </c>
      <c r="AQ94" s="14" t="str">
        <f t="shared" si="86"/>
        <v/>
      </c>
      <c r="AR94" s="14" t="str">
        <f t="shared" si="87"/>
        <v/>
      </c>
      <c r="AS94" s="17" t="str">
        <f>IF(A94="","",IF(J94="",Inputs!$B$18,J94))</f>
        <v/>
      </c>
      <c r="AT94" s="17" t="str">
        <f>IF(A94="","",IFERROR(_xludf.maxifs($AV$4:$AV$201,$D$4:$D$201,$A94),""))</f>
        <v/>
      </c>
      <c r="AU94" s="17" t="str">
        <f>IF(A94="","",IF(OR(E94="",Inputs!$B$23=""),"",E94/(Inputs!$B$23*60)))</f>
        <v/>
      </c>
      <c r="AV94" s="17" t="str">
        <f t="shared" si="88"/>
        <v/>
      </c>
      <c r="AW94" s="17" t="str">
        <f t="shared" si="89"/>
        <v/>
      </c>
      <c r="AX94" s="17" t="str">
        <f>IF(OR(T94="",P94=""),"",(1/Inputs!$B$9)*((T94/4)^(2/3))*SQRT(P94))</f>
        <v/>
      </c>
      <c r="AY94" s="17" t="str">
        <f>IF(A94="","",IF(AND(AW94="",AX94="",BA94=""),"",IF(OR(UPPER(TRIM(Inputs!$B$24))="MANNING",UPPER(TRIM(Inputs!$B$24))="M"),AX94,IF(OR(UPPER(TRIM(Inputs!$B$24))="PARTIAL",UPPER(TRIM(Inputs!$B$24))="P"),BA94,IF(OR(UPPER(TRIM(Inputs!$B$24))="MAX",UPPER(TRIM(Inputs!$B$24))="X"),MAX(IF(AW94="",0,AW94),IF(AX94="",0,AX94),IF(BA94="",0,BA94)),AW94)))))</f>
        <v/>
      </c>
      <c r="AZ94" s="17" t="str">
        <f t="shared" si="90"/>
        <v/>
      </c>
      <c r="BA94" s="17" t="str">
        <f t="shared" si="91"/>
        <v/>
      </c>
      <c r="BB94" s="14" t="str">
        <f t="shared" si="92"/>
        <v/>
      </c>
      <c r="BC94" s="14" t="str">
        <f>IF(OR(N94="",T94="",P94=""),"",IF(OR(T94="",P94="",(0.94*T94)="",T94&lt;=0,(0.94*T94)&lt;=0),"",(1/Inputs!$B$9)*((T94^2/8)*((2*ACOS(1-2*(0.94*T94)/T94))-SIN((2*ACOS(1-2*(0.94*T94)/T94)))))*((((T94^2/8)*((2*ACOS(1-2*(0.94*T94)/T94))-SIN((2*ACOS(1-2*(0.94*T94)/T94)))))/((T94/2)*((2*ACOS(1-2*(0.94*T94)/T94)))))^(2/3))*SQRT(P94)))</f>
        <v/>
      </c>
      <c r="BD94" s="14" t="str">
        <f t="shared" si="93"/>
        <v/>
      </c>
      <c r="BE94" s="14" t="str">
        <f t="shared" si="94"/>
        <v/>
      </c>
      <c r="BF94" s="14" t="str">
        <f t="shared" si="95"/>
        <v/>
      </c>
      <c r="BG94" s="14" t="str">
        <f>IF(OR(T94="",P94="",BF94="",T94&lt;=0,BF94&lt;=0),"",(1/Inputs!$B$9)*((T94^2/8)*((2*ACOS(1-2*BF94/T94))-SIN((2*ACOS(1-2*BF94/T94)))))*((((T94^2/8)*((2*ACOS(1-2*BF94/T94))-SIN((2*ACOS(1-2*BF94/T94)))))/((T94/2)*((2*ACOS(1-2*BF94/T94)))))^(2/3))*SQRT(P94))</f>
        <v/>
      </c>
      <c r="BH94" s="14" t="str">
        <f t="shared" si="96"/>
        <v/>
      </c>
      <c r="BI94" s="14" t="str">
        <f t="shared" si="97"/>
        <v/>
      </c>
      <c r="BJ94" s="14" t="str">
        <f t="shared" si="98"/>
        <v/>
      </c>
      <c r="BK94" s="14" t="str">
        <f>IF(OR(T94="",P94="",BJ94="",T94&lt;=0,BJ94&lt;=0),"",(1/Inputs!$B$9)*((T94^2/8)*((2*ACOS(1-2*BJ94/T94))-SIN((2*ACOS(1-2*BJ94/T94)))))*((((T94^2/8)*((2*ACOS(1-2*BJ94/T94))-SIN((2*ACOS(1-2*BJ94/T94)))))/((T94/2)*((2*ACOS(1-2*BJ94/T94)))))^(2/3))*SQRT(P94))</f>
        <v/>
      </c>
      <c r="BL94" s="14" t="str">
        <f t="shared" si="99"/>
        <v/>
      </c>
      <c r="BM94" s="14" t="str">
        <f t="shared" si="100"/>
        <v/>
      </c>
      <c r="BN94" s="14" t="str">
        <f t="shared" si="101"/>
        <v/>
      </c>
      <c r="BO94" s="14" t="str">
        <f>IF(OR(T94="",P94="",BN94="",T94&lt;=0,BN94&lt;=0),"",(1/Inputs!$B$9)*((T94^2/8)*((2*ACOS(1-2*BN94/T94))-SIN((2*ACOS(1-2*BN94/T94)))))*((((T94^2/8)*((2*ACOS(1-2*BN94/T94))-SIN((2*ACOS(1-2*BN94/T94)))))/((T94/2)*((2*ACOS(1-2*BN94/T94)))))^(2/3))*SQRT(P94))</f>
        <v/>
      </c>
      <c r="BP94" s="14" t="str">
        <f t="shared" si="102"/>
        <v/>
      </c>
      <c r="BQ94" s="14" t="str">
        <f t="shared" si="103"/>
        <v/>
      </c>
      <c r="BR94" s="14" t="str">
        <f t="shared" si="104"/>
        <v/>
      </c>
      <c r="BS94" s="14" t="str">
        <f>IF(OR(T94="",P94="",BR94="",T94&lt;=0,BR94&lt;=0),"",(1/Inputs!$B$9)*((T94^2/8)*((2*ACOS(1-2*BR94/T94))-SIN((2*ACOS(1-2*BR94/T94)))))*((((T94^2/8)*((2*ACOS(1-2*BR94/T94))-SIN((2*ACOS(1-2*BR94/T94)))))/((T94/2)*((2*ACOS(1-2*BR94/T94)))))^(2/3))*SQRT(P94))</f>
        <v/>
      </c>
      <c r="BT94" s="14" t="str">
        <f t="shared" si="105"/>
        <v/>
      </c>
      <c r="BU94" s="14" t="str">
        <f t="shared" si="106"/>
        <v/>
      </c>
      <c r="BV94" s="14" t="str">
        <f t="shared" si="107"/>
        <v/>
      </c>
      <c r="BW94" s="14" t="str">
        <f>IF(OR(T94="",P94="",BV94="",T94&lt;=0,BV94&lt;=0),"",(1/Inputs!$B$9)*((T94^2/8)*((2*ACOS(1-2*BV94/T94))-SIN((2*ACOS(1-2*BV94/T94)))))*((((T94^2/8)*((2*ACOS(1-2*BV94/T94))-SIN((2*ACOS(1-2*BV94/T94)))))/((T94/2)*((2*ACOS(1-2*BV94/T94)))))^(2/3))*SQRT(P94))</f>
        <v/>
      </c>
      <c r="BX94" s="14" t="str">
        <f t="shared" si="108"/>
        <v/>
      </c>
      <c r="BY94" s="14" t="str">
        <f t="shared" si="109"/>
        <v/>
      </c>
      <c r="BZ94" s="14" t="str">
        <f t="shared" si="110"/>
        <v/>
      </c>
      <c r="CA94" s="14" t="str">
        <f>IF(OR(T94="",P94="",BZ94="",T94&lt;=0,BZ94&lt;=0),"",(1/Inputs!$B$9)*((T94^2/8)*((2*ACOS(1-2*BZ94/T94))-SIN((2*ACOS(1-2*BZ94/T94)))))*((((T94^2/8)*((2*ACOS(1-2*BZ94/T94))-SIN((2*ACOS(1-2*BZ94/T94)))))/((T94/2)*((2*ACOS(1-2*BZ94/T94)))))^(2/3))*SQRT(P94))</f>
        <v/>
      </c>
      <c r="CB94" s="14" t="str">
        <f t="shared" si="111"/>
        <v/>
      </c>
      <c r="CC94" s="14" t="str">
        <f t="shared" si="112"/>
        <v/>
      </c>
      <c r="CD94" s="14" t="str">
        <f t="shared" si="113"/>
        <v/>
      </c>
      <c r="CE94" s="14" t="str">
        <f>IF(OR(T94="",P94="",CD94="",T94&lt;=0,CD94&lt;=0),"",(1/Inputs!$B$9)*((T94^2/8)*((2*ACOS(1-2*CD94/T94))-SIN((2*ACOS(1-2*CD94/T94)))))*((((T94^2/8)*((2*ACOS(1-2*CD94/T94))-SIN((2*ACOS(1-2*CD94/T94)))))/((T94/2)*((2*ACOS(1-2*CD94/T94)))))^(2/3))*SQRT(P94))</f>
        <v/>
      </c>
      <c r="CF94" s="14" t="str">
        <f t="shared" si="114"/>
        <v/>
      </c>
      <c r="CG94" s="14" t="str">
        <f t="shared" si="115"/>
        <v/>
      </c>
      <c r="CH94" s="14" t="str">
        <f t="shared" si="116"/>
        <v/>
      </c>
    </row>
    <row r="95" spans="1:86" x14ac:dyDescent="0.25">
      <c r="A95" s="14"/>
      <c r="B95" s="14"/>
      <c r="C95" s="14"/>
      <c r="D95" s="14"/>
      <c r="E95" s="44"/>
      <c r="F95" s="44"/>
      <c r="G95" s="44">
        <f>SUMIFS(CB_plan!$G:$G,CB_plan!$F:$F,$A95)</f>
        <v>0</v>
      </c>
      <c r="H95" s="44">
        <f t="shared" si="78"/>
        <v>0</v>
      </c>
      <c r="I95" s="14"/>
      <c r="J95" s="44"/>
      <c r="K95" s="44" t="str">
        <f>IF(A95="","",Inputs!$B$13/((IF(AV95="",Inputs!$B$18,AV95)+Inputs!$B$14)^Inputs!$B$15))</f>
        <v/>
      </c>
      <c r="L95" s="44" t="str">
        <f>IF(A95="","",IF(H95="","",0.000000278*IF(I95&lt;&gt;"",I95,IFERROR(SUMIFS(CB_plan!$H:$H,CB_plan!$F:$F,$A95)/SUMIFS(CB_plan!$G:$G,CB_plan!$F:$F,$A95),Inputs!$B$17))*H95*K95))</f>
        <v/>
      </c>
      <c r="M95" s="44" t="str">
        <f t="shared" si="79"/>
        <v/>
      </c>
      <c r="N95" s="44" t="str">
        <f>IF(A95="","",(L95+M95)*Inputs!$B$16)</f>
        <v/>
      </c>
      <c r="O95" s="44"/>
      <c r="P95" s="44" t="str">
        <f>IF(A95="","",IF(O95="",Inputs!$B$7,O95))</f>
        <v/>
      </c>
      <c r="Q95" s="14" t="str">
        <f>IF(A95="","",IF(N95/Inputs!$B$10&lt;=AG95,Inputs!$F$5,IF(N95/Inputs!$B$10&gt;AP95,"OVERSIZE",INDEX(Inputs!$F$5:$F$14,MATCH(N95/Inputs!$B$10,AG95:AP95,1)+1))))</f>
        <v/>
      </c>
      <c r="R95" s="14"/>
      <c r="S95" s="14" t="str">
        <f t="shared" si="80"/>
        <v/>
      </c>
      <c r="T95" s="44" t="str">
        <f t="shared" si="81"/>
        <v/>
      </c>
      <c r="U95" s="44" t="str">
        <f>IF(T95="","",(1/Inputs!$B$9)*(PI()*T95^2/4)*((T95/4)^(2/3))*SQRT(P95))</f>
        <v/>
      </c>
      <c r="V95" s="44" t="str">
        <f>IF(OR(U95="",N95=""),"",N95/(U95*Inputs!$B$10))</f>
        <v/>
      </c>
      <c r="W95" s="44" t="str">
        <f t="shared" si="82"/>
        <v/>
      </c>
      <c r="X95" s="44"/>
      <c r="Y95" s="44" t="str">
        <f>IF(A95="","",IF(A95=Inputs!$B$6,Inputs!$B$22,IF(D95="","",IFERROR(INDEX($Z$4:$Z$201,MATCH(D95,$A$4:$A$201,0))+IF(X95="",Inputs!$B$20,X95),""))))</f>
        <v/>
      </c>
      <c r="Z95" s="44" t="str">
        <f t="shared" si="83"/>
        <v/>
      </c>
      <c r="AA95" s="44" t="str">
        <f>IF(C95="","",IFERROR(INDEX(Noeuds_plan!$C$4:$C$200,MATCH(C95,Noeuds_plan!$A$4:$A$200,0)),""))</f>
        <v/>
      </c>
      <c r="AB95" s="44" t="str">
        <f>IF(B95="","",IFERROR(INDEX(Noeuds_plan!$C$4:$C$200,MATCH(B95,Noeuds_plan!$A$4:$A$200,0)),""))</f>
        <v/>
      </c>
      <c r="AC95" s="44" t="str">
        <f t="shared" si="84"/>
        <v/>
      </c>
      <c r="AD95" s="44" t="str">
        <f t="shared" si="85"/>
        <v/>
      </c>
      <c r="AE95" s="14" t="str">
        <f>IF(A95="","",IF(OR(V95&gt;1,AND(AY95&lt;&gt;"",AY95&lt;Inputs!$B$11),AND(AY95&lt;&gt;"",AY95&gt;Inputs!$B$12),AC95&lt;Inputs!$B$19,AD95&lt;Inputs!$B$19,P95&lt;Inputs!$B$7,P95&gt;Inputs!$B$8),"CHECK","OK"))</f>
        <v/>
      </c>
      <c r="AF95" s="14"/>
      <c r="AG95" s="14" t="str">
        <f>IF(A95="","",(1/Inputs!$B$9)*(PI()*(Inputs!$F$5/1000)^2/4)*((Inputs!$F$5/1000/4)^(2/3))*SQRT(P95))</f>
        <v/>
      </c>
      <c r="AH95" s="14" t="str">
        <f>IF(A95="","",(1/Inputs!$B$9)*(PI()*(Inputs!$F$6/1000)^2/4)*((Inputs!$F$6/1000/4)^(2/3))*SQRT(P95))</f>
        <v/>
      </c>
      <c r="AI95" s="14" t="str">
        <f>IF(A95="","",(1/Inputs!$B$9)*(PI()*(Inputs!$F$7/1000)^2/4)*((Inputs!$F$7/1000/4)^(2/3))*SQRT(P95))</f>
        <v/>
      </c>
      <c r="AJ95" s="14" t="str">
        <f>IF(A95="","",(1/Inputs!$B$9)*(PI()*(Inputs!$F$8/1000)^2/4)*((Inputs!$F$8/1000/4)^(2/3))*SQRT(P95))</f>
        <v/>
      </c>
      <c r="AK95" s="14" t="str">
        <f>IF(A95="","",(1/Inputs!$B$9)*(PI()*(Inputs!$F$9/1000)^2/4)*((Inputs!$F$9/1000/4)^(2/3))*SQRT(P95))</f>
        <v/>
      </c>
      <c r="AL95" s="14" t="str">
        <f>IF(A95="","",(1/Inputs!$B$9)*(PI()*(Inputs!$F$10/1000)^2/4)*((Inputs!$F$10/1000/4)^(2/3))*SQRT(P95))</f>
        <v/>
      </c>
      <c r="AM95" s="14" t="str">
        <f>IF(A95="","",(1/Inputs!$B$9)*(PI()*(Inputs!$F$11/1000)^2/4)*((Inputs!$F$11/1000/4)^(2/3))*SQRT(P95))</f>
        <v/>
      </c>
      <c r="AN95" s="14" t="str">
        <f>IF(A95="","",(1/Inputs!$B$9)*(PI()*(Inputs!$F$12/1000)^2/4)*((Inputs!$F$12/1000/4)^(2/3))*SQRT(P95))</f>
        <v/>
      </c>
      <c r="AO95" s="14" t="str">
        <f>IF(A95="","",(1/Inputs!$B$9)*(PI()*(Inputs!$F$13/1000)^2/4)*((Inputs!$F$13/1000/4)^(2/3))*SQRT(P95))</f>
        <v/>
      </c>
      <c r="AP95" s="14" t="str">
        <f>IF(A95="","",(1/Inputs!$B$9)*(PI()*(Inputs!$F$14/1000)^2/4)*((Inputs!$F$14/1000/4)^(2/3))*SQRT(P95))</f>
        <v/>
      </c>
      <c r="AQ95" s="14" t="str">
        <f t="shared" si="86"/>
        <v/>
      </c>
      <c r="AR95" s="14" t="str">
        <f t="shared" si="87"/>
        <v/>
      </c>
      <c r="AS95" s="17" t="str">
        <f>IF(A95="","",IF(J95="",Inputs!$B$18,J95))</f>
        <v/>
      </c>
      <c r="AT95" s="17" t="str">
        <f>IF(A95="","",IFERROR(_xludf.maxifs($AV$4:$AV$201,$D$4:$D$201,$A95),""))</f>
        <v/>
      </c>
      <c r="AU95" s="17" t="str">
        <f>IF(A95="","",IF(OR(E95="",Inputs!$B$23=""),"",E95/(Inputs!$B$23*60)))</f>
        <v/>
      </c>
      <c r="AV95" s="17" t="str">
        <f t="shared" si="88"/>
        <v/>
      </c>
      <c r="AW95" s="17" t="str">
        <f t="shared" si="89"/>
        <v/>
      </c>
      <c r="AX95" s="17" t="str">
        <f>IF(OR(T95="",P95=""),"",(1/Inputs!$B$9)*((T95/4)^(2/3))*SQRT(P95))</f>
        <v/>
      </c>
      <c r="AY95" s="17" t="str">
        <f>IF(A95="","",IF(AND(AW95="",AX95="",BA95=""),"",IF(OR(UPPER(TRIM(Inputs!$B$24))="MANNING",UPPER(TRIM(Inputs!$B$24))="M"),AX95,IF(OR(UPPER(TRIM(Inputs!$B$24))="PARTIAL",UPPER(TRIM(Inputs!$B$24))="P"),BA95,IF(OR(UPPER(TRIM(Inputs!$B$24))="MAX",UPPER(TRIM(Inputs!$B$24))="X"),MAX(IF(AW95="",0,AW95),IF(AX95="",0,AX95),IF(BA95="",0,BA95)),AW95)))))</f>
        <v/>
      </c>
      <c r="AZ95" s="17" t="str">
        <f t="shared" si="90"/>
        <v/>
      </c>
      <c r="BA95" s="17" t="str">
        <f t="shared" si="91"/>
        <v/>
      </c>
      <c r="BB95" s="14" t="str">
        <f t="shared" si="92"/>
        <v/>
      </c>
      <c r="BC95" s="14" t="str">
        <f>IF(OR(N95="",T95="",P95=""),"",IF(OR(T95="",P95="",(0.94*T95)="",T95&lt;=0,(0.94*T95)&lt;=0),"",(1/Inputs!$B$9)*((T95^2/8)*((2*ACOS(1-2*(0.94*T95)/T95))-SIN((2*ACOS(1-2*(0.94*T95)/T95)))))*((((T95^2/8)*((2*ACOS(1-2*(0.94*T95)/T95))-SIN((2*ACOS(1-2*(0.94*T95)/T95)))))/((T95/2)*((2*ACOS(1-2*(0.94*T95)/T95)))))^(2/3))*SQRT(P95)))</f>
        <v/>
      </c>
      <c r="BD95" s="14" t="str">
        <f t="shared" si="93"/>
        <v/>
      </c>
      <c r="BE95" s="14" t="str">
        <f t="shared" si="94"/>
        <v/>
      </c>
      <c r="BF95" s="14" t="str">
        <f t="shared" si="95"/>
        <v/>
      </c>
      <c r="BG95" s="14" t="str">
        <f>IF(OR(T95="",P95="",BF95="",T95&lt;=0,BF95&lt;=0),"",(1/Inputs!$B$9)*((T95^2/8)*((2*ACOS(1-2*BF95/T95))-SIN((2*ACOS(1-2*BF95/T95)))))*((((T95^2/8)*((2*ACOS(1-2*BF95/T95))-SIN((2*ACOS(1-2*BF95/T95)))))/((T95/2)*((2*ACOS(1-2*BF95/T95)))))^(2/3))*SQRT(P95))</f>
        <v/>
      </c>
      <c r="BH95" s="14" t="str">
        <f t="shared" si="96"/>
        <v/>
      </c>
      <c r="BI95" s="14" t="str">
        <f t="shared" si="97"/>
        <v/>
      </c>
      <c r="BJ95" s="14" t="str">
        <f t="shared" si="98"/>
        <v/>
      </c>
      <c r="BK95" s="14" t="str">
        <f>IF(OR(T95="",P95="",BJ95="",T95&lt;=0,BJ95&lt;=0),"",(1/Inputs!$B$9)*((T95^2/8)*((2*ACOS(1-2*BJ95/T95))-SIN((2*ACOS(1-2*BJ95/T95)))))*((((T95^2/8)*((2*ACOS(1-2*BJ95/T95))-SIN((2*ACOS(1-2*BJ95/T95)))))/((T95/2)*((2*ACOS(1-2*BJ95/T95)))))^(2/3))*SQRT(P95))</f>
        <v/>
      </c>
      <c r="BL95" s="14" t="str">
        <f t="shared" si="99"/>
        <v/>
      </c>
      <c r="BM95" s="14" t="str">
        <f t="shared" si="100"/>
        <v/>
      </c>
      <c r="BN95" s="14" t="str">
        <f t="shared" si="101"/>
        <v/>
      </c>
      <c r="BO95" s="14" t="str">
        <f>IF(OR(T95="",P95="",BN95="",T95&lt;=0,BN95&lt;=0),"",(1/Inputs!$B$9)*((T95^2/8)*((2*ACOS(1-2*BN95/T95))-SIN((2*ACOS(1-2*BN95/T95)))))*((((T95^2/8)*((2*ACOS(1-2*BN95/T95))-SIN((2*ACOS(1-2*BN95/T95)))))/((T95/2)*((2*ACOS(1-2*BN95/T95)))))^(2/3))*SQRT(P95))</f>
        <v/>
      </c>
      <c r="BP95" s="14" t="str">
        <f t="shared" si="102"/>
        <v/>
      </c>
      <c r="BQ95" s="14" t="str">
        <f t="shared" si="103"/>
        <v/>
      </c>
      <c r="BR95" s="14" t="str">
        <f t="shared" si="104"/>
        <v/>
      </c>
      <c r="BS95" s="14" t="str">
        <f>IF(OR(T95="",P95="",BR95="",T95&lt;=0,BR95&lt;=0),"",(1/Inputs!$B$9)*((T95^2/8)*((2*ACOS(1-2*BR95/T95))-SIN((2*ACOS(1-2*BR95/T95)))))*((((T95^2/8)*((2*ACOS(1-2*BR95/T95))-SIN((2*ACOS(1-2*BR95/T95)))))/((T95/2)*((2*ACOS(1-2*BR95/T95)))))^(2/3))*SQRT(P95))</f>
        <v/>
      </c>
      <c r="BT95" s="14" t="str">
        <f t="shared" si="105"/>
        <v/>
      </c>
      <c r="BU95" s="14" t="str">
        <f t="shared" si="106"/>
        <v/>
      </c>
      <c r="BV95" s="14" t="str">
        <f t="shared" si="107"/>
        <v/>
      </c>
      <c r="BW95" s="14" t="str">
        <f>IF(OR(T95="",P95="",BV95="",T95&lt;=0,BV95&lt;=0),"",(1/Inputs!$B$9)*((T95^2/8)*((2*ACOS(1-2*BV95/T95))-SIN((2*ACOS(1-2*BV95/T95)))))*((((T95^2/8)*((2*ACOS(1-2*BV95/T95))-SIN((2*ACOS(1-2*BV95/T95)))))/((T95/2)*((2*ACOS(1-2*BV95/T95)))))^(2/3))*SQRT(P95))</f>
        <v/>
      </c>
      <c r="BX95" s="14" t="str">
        <f t="shared" si="108"/>
        <v/>
      </c>
      <c r="BY95" s="14" t="str">
        <f t="shared" si="109"/>
        <v/>
      </c>
      <c r="BZ95" s="14" t="str">
        <f t="shared" si="110"/>
        <v/>
      </c>
      <c r="CA95" s="14" t="str">
        <f>IF(OR(T95="",P95="",BZ95="",T95&lt;=0,BZ95&lt;=0),"",(1/Inputs!$B$9)*((T95^2/8)*((2*ACOS(1-2*BZ95/T95))-SIN((2*ACOS(1-2*BZ95/T95)))))*((((T95^2/8)*((2*ACOS(1-2*BZ95/T95))-SIN((2*ACOS(1-2*BZ95/T95)))))/((T95/2)*((2*ACOS(1-2*BZ95/T95)))))^(2/3))*SQRT(P95))</f>
        <v/>
      </c>
      <c r="CB95" s="14" t="str">
        <f t="shared" si="111"/>
        <v/>
      </c>
      <c r="CC95" s="14" t="str">
        <f t="shared" si="112"/>
        <v/>
      </c>
      <c r="CD95" s="14" t="str">
        <f t="shared" si="113"/>
        <v/>
      </c>
      <c r="CE95" s="14" t="str">
        <f>IF(OR(T95="",P95="",CD95="",T95&lt;=0,CD95&lt;=0),"",(1/Inputs!$B$9)*((T95^2/8)*((2*ACOS(1-2*CD95/T95))-SIN((2*ACOS(1-2*CD95/T95)))))*((((T95^2/8)*((2*ACOS(1-2*CD95/T95))-SIN((2*ACOS(1-2*CD95/T95)))))/((T95/2)*((2*ACOS(1-2*CD95/T95)))))^(2/3))*SQRT(P95))</f>
        <v/>
      </c>
      <c r="CF95" s="14" t="str">
        <f t="shared" si="114"/>
        <v/>
      </c>
      <c r="CG95" s="14" t="str">
        <f t="shared" si="115"/>
        <v/>
      </c>
      <c r="CH95" s="14" t="str">
        <f t="shared" si="116"/>
        <v/>
      </c>
    </row>
    <row r="96" spans="1:86" x14ac:dyDescent="0.25">
      <c r="A96" s="14"/>
      <c r="B96" s="14"/>
      <c r="C96" s="14"/>
      <c r="D96" s="14"/>
      <c r="E96" s="44"/>
      <c r="F96" s="44"/>
      <c r="G96" s="44">
        <f>SUMIFS(CB_plan!$G:$G,CB_plan!$F:$F,$A96)</f>
        <v>0</v>
      </c>
      <c r="H96" s="44">
        <f t="shared" si="78"/>
        <v>0</v>
      </c>
      <c r="I96" s="14"/>
      <c r="J96" s="44"/>
      <c r="K96" s="44" t="str">
        <f>IF(A96="","",Inputs!$B$13/((IF(AV96="",Inputs!$B$18,AV96)+Inputs!$B$14)^Inputs!$B$15))</f>
        <v/>
      </c>
      <c r="L96" s="44" t="str">
        <f>IF(A96="","",IF(H96="","",0.000000278*IF(I96&lt;&gt;"",I96,IFERROR(SUMIFS(CB_plan!$H:$H,CB_plan!$F:$F,$A96)/SUMIFS(CB_plan!$G:$G,CB_plan!$F:$F,$A96),Inputs!$B$17))*H96*K96))</f>
        <v/>
      </c>
      <c r="M96" s="44" t="str">
        <f t="shared" si="79"/>
        <v/>
      </c>
      <c r="N96" s="44" t="str">
        <f>IF(A96="","",(L96+M96)*Inputs!$B$16)</f>
        <v/>
      </c>
      <c r="O96" s="44"/>
      <c r="P96" s="44" t="str">
        <f>IF(A96="","",IF(O96="",Inputs!$B$7,O96))</f>
        <v/>
      </c>
      <c r="Q96" s="14" t="str">
        <f>IF(A96="","",IF(N96/Inputs!$B$10&lt;=AG96,Inputs!$F$5,IF(N96/Inputs!$B$10&gt;AP96,"OVERSIZE",INDEX(Inputs!$F$5:$F$14,MATCH(N96/Inputs!$B$10,AG96:AP96,1)+1))))</f>
        <v/>
      </c>
      <c r="R96" s="14"/>
      <c r="S96" s="14" t="str">
        <f t="shared" si="80"/>
        <v/>
      </c>
      <c r="T96" s="44" t="str">
        <f t="shared" si="81"/>
        <v/>
      </c>
      <c r="U96" s="44" t="str">
        <f>IF(T96="","",(1/Inputs!$B$9)*(PI()*T96^2/4)*((T96/4)^(2/3))*SQRT(P96))</f>
        <v/>
      </c>
      <c r="V96" s="44" t="str">
        <f>IF(OR(U96="",N96=""),"",N96/(U96*Inputs!$B$10))</f>
        <v/>
      </c>
      <c r="W96" s="44" t="str">
        <f t="shared" si="82"/>
        <v/>
      </c>
      <c r="X96" s="44"/>
      <c r="Y96" s="44" t="str">
        <f>IF(A96="","",IF(A96=Inputs!$B$6,Inputs!$B$22,IF(D96="","",IFERROR(INDEX($Z$4:$Z$201,MATCH(D96,$A$4:$A$201,0))+IF(X96="",Inputs!$B$20,X96),""))))</f>
        <v/>
      </c>
      <c r="Z96" s="44" t="str">
        <f t="shared" si="83"/>
        <v/>
      </c>
      <c r="AA96" s="44" t="str">
        <f>IF(C96="","",IFERROR(INDEX(Noeuds_plan!$C$4:$C$200,MATCH(C96,Noeuds_plan!$A$4:$A$200,0)),""))</f>
        <v/>
      </c>
      <c r="AB96" s="44" t="str">
        <f>IF(B96="","",IFERROR(INDEX(Noeuds_plan!$C$4:$C$200,MATCH(B96,Noeuds_plan!$A$4:$A$200,0)),""))</f>
        <v/>
      </c>
      <c r="AC96" s="44" t="str">
        <f t="shared" si="84"/>
        <v/>
      </c>
      <c r="AD96" s="44" t="str">
        <f t="shared" si="85"/>
        <v/>
      </c>
      <c r="AE96" s="14" t="str">
        <f>IF(A96="","",IF(OR(V96&gt;1,AND(AY96&lt;&gt;"",AY96&lt;Inputs!$B$11),AND(AY96&lt;&gt;"",AY96&gt;Inputs!$B$12),AC96&lt;Inputs!$B$19,AD96&lt;Inputs!$B$19,P96&lt;Inputs!$B$7,P96&gt;Inputs!$B$8),"CHECK","OK"))</f>
        <v/>
      </c>
      <c r="AF96" s="14"/>
      <c r="AG96" s="14" t="str">
        <f>IF(A96="","",(1/Inputs!$B$9)*(PI()*(Inputs!$F$5/1000)^2/4)*((Inputs!$F$5/1000/4)^(2/3))*SQRT(P96))</f>
        <v/>
      </c>
      <c r="AH96" s="14" t="str">
        <f>IF(A96="","",(1/Inputs!$B$9)*(PI()*(Inputs!$F$6/1000)^2/4)*((Inputs!$F$6/1000/4)^(2/3))*SQRT(P96))</f>
        <v/>
      </c>
      <c r="AI96" s="14" t="str">
        <f>IF(A96="","",(1/Inputs!$B$9)*(PI()*(Inputs!$F$7/1000)^2/4)*((Inputs!$F$7/1000/4)^(2/3))*SQRT(P96))</f>
        <v/>
      </c>
      <c r="AJ96" s="14" t="str">
        <f>IF(A96="","",(1/Inputs!$B$9)*(PI()*(Inputs!$F$8/1000)^2/4)*((Inputs!$F$8/1000/4)^(2/3))*SQRT(P96))</f>
        <v/>
      </c>
      <c r="AK96" s="14" t="str">
        <f>IF(A96="","",(1/Inputs!$B$9)*(PI()*(Inputs!$F$9/1000)^2/4)*((Inputs!$F$9/1000/4)^(2/3))*SQRT(P96))</f>
        <v/>
      </c>
      <c r="AL96" s="14" t="str">
        <f>IF(A96="","",(1/Inputs!$B$9)*(PI()*(Inputs!$F$10/1000)^2/4)*((Inputs!$F$10/1000/4)^(2/3))*SQRT(P96))</f>
        <v/>
      </c>
      <c r="AM96" s="14" t="str">
        <f>IF(A96="","",(1/Inputs!$B$9)*(PI()*(Inputs!$F$11/1000)^2/4)*((Inputs!$F$11/1000/4)^(2/3))*SQRT(P96))</f>
        <v/>
      </c>
      <c r="AN96" s="14" t="str">
        <f>IF(A96="","",(1/Inputs!$B$9)*(PI()*(Inputs!$F$12/1000)^2/4)*((Inputs!$F$12/1000/4)^(2/3))*SQRT(P96))</f>
        <v/>
      </c>
      <c r="AO96" s="14" t="str">
        <f>IF(A96="","",(1/Inputs!$B$9)*(PI()*(Inputs!$F$13/1000)^2/4)*((Inputs!$F$13/1000/4)^(2/3))*SQRT(P96))</f>
        <v/>
      </c>
      <c r="AP96" s="14" t="str">
        <f>IF(A96="","",(1/Inputs!$B$9)*(PI()*(Inputs!$F$14/1000)^2/4)*((Inputs!$F$14/1000/4)^(2/3))*SQRT(P96))</f>
        <v/>
      </c>
      <c r="AQ96" s="14" t="str">
        <f t="shared" si="86"/>
        <v/>
      </c>
      <c r="AR96" s="14" t="str">
        <f t="shared" si="87"/>
        <v/>
      </c>
      <c r="AS96" s="17" t="str">
        <f>IF(A96="","",IF(J96="",Inputs!$B$18,J96))</f>
        <v/>
      </c>
      <c r="AT96" s="17" t="str">
        <f>IF(A96="","",IFERROR(_xludf.maxifs($AV$4:$AV$201,$D$4:$D$201,$A96),""))</f>
        <v/>
      </c>
      <c r="AU96" s="17" t="str">
        <f>IF(A96="","",IF(OR(E96="",Inputs!$B$23=""),"",E96/(Inputs!$B$23*60)))</f>
        <v/>
      </c>
      <c r="AV96" s="17" t="str">
        <f t="shared" si="88"/>
        <v/>
      </c>
      <c r="AW96" s="17" t="str">
        <f t="shared" si="89"/>
        <v/>
      </c>
      <c r="AX96" s="17" t="str">
        <f>IF(OR(T96="",P96=""),"",(1/Inputs!$B$9)*((T96/4)^(2/3))*SQRT(P96))</f>
        <v/>
      </c>
      <c r="AY96" s="17" t="str">
        <f>IF(A96="","",IF(AND(AW96="",AX96="",BA96=""),"",IF(OR(UPPER(TRIM(Inputs!$B$24))="MANNING",UPPER(TRIM(Inputs!$B$24))="M"),AX96,IF(OR(UPPER(TRIM(Inputs!$B$24))="PARTIAL",UPPER(TRIM(Inputs!$B$24))="P"),BA96,IF(OR(UPPER(TRIM(Inputs!$B$24))="MAX",UPPER(TRIM(Inputs!$B$24))="X"),MAX(IF(AW96="",0,AW96),IF(AX96="",0,AX96),IF(BA96="",0,BA96)),AW96)))))</f>
        <v/>
      </c>
      <c r="AZ96" s="17" t="str">
        <f t="shared" si="90"/>
        <v/>
      </c>
      <c r="BA96" s="17" t="str">
        <f t="shared" si="91"/>
        <v/>
      </c>
      <c r="BB96" s="14" t="str">
        <f t="shared" si="92"/>
        <v/>
      </c>
      <c r="BC96" s="14" t="str">
        <f>IF(OR(N96="",T96="",P96=""),"",IF(OR(T96="",P96="",(0.94*T96)="",T96&lt;=0,(0.94*T96)&lt;=0),"",(1/Inputs!$B$9)*((T96^2/8)*((2*ACOS(1-2*(0.94*T96)/T96))-SIN((2*ACOS(1-2*(0.94*T96)/T96)))))*((((T96^2/8)*((2*ACOS(1-2*(0.94*T96)/T96))-SIN((2*ACOS(1-2*(0.94*T96)/T96)))))/((T96/2)*((2*ACOS(1-2*(0.94*T96)/T96)))))^(2/3))*SQRT(P96)))</f>
        <v/>
      </c>
      <c r="BD96" s="14" t="str">
        <f t="shared" si="93"/>
        <v/>
      </c>
      <c r="BE96" s="14" t="str">
        <f t="shared" si="94"/>
        <v/>
      </c>
      <c r="BF96" s="14" t="str">
        <f t="shared" si="95"/>
        <v/>
      </c>
      <c r="BG96" s="14" t="str">
        <f>IF(OR(T96="",P96="",BF96="",T96&lt;=0,BF96&lt;=0),"",(1/Inputs!$B$9)*((T96^2/8)*((2*ACOS(1-2*BF96/T96))-SIN((2*ACOS(1-2*BF96/T96)))))*((((T96^2/8)*((2*ACOS(1-2*BF96/T96))-SIN((2*ACOS(1-2*BF96/T96)))))/((T96/2)*((2*ACOS(1-2*BF96/T96)))))^(2/3))*SQRT(P96))</f>
        <v/>
      </c>
      <c r="BH96" s="14" t="str">
        <f t="shared" si="96"/>
        <v/>
      </c>
      <c r="BI96" s="14" t="str">
        <f t="shared" si="97"/>
        <v/>
      </c>
      <c r="BJ96" s="14" t="str">
        <f t="shared" si="98"/>
        <v/>
      </c>
      <c r="BK96" s="14" t="str">
        <f>IF(OR(T96="",P96="",BJ96="",T96&lt;=0,BJ96&lt;=0),"",(1/Inputs!$B$9)*((T96^2/8)*((2*ACOS(1-2*BJ96/T96))-SIN((2*ACOS(1-2*BJ96/T96)))))*((((T96^2/8)*((2*ACOS(1-2*BJ96/T96))-SIN((2*ACOS(1-2*BJ96/T96)))))/((T96/2)*((2*ACOS(1-2*BJ96/T96)))))^(2/3))*SQRT(P96))</f>
        <v/>
      </c>
      <c r="BL96" s="14" t="str">
        <f t="shared" si="99"/>
        <v/>
      </c>
      <c r="BM96" s="14" t="str">
        <f t="shared" si="100"/>
        <v/>
      </c>
      <c r="BN96" s="14" t="str">
        <f t="shared" si="101"/>
        <v/>
      </c>
      <c r="BO96" s="14" t="str">
        <f>IF(OR(T96="",P96="",BN96="",T96&lt;=0,BN96&lt;=0),"",(1/Inputs!$B$9)*((T96^2/8)*((2*ACOS(1-2*BN96/T96))-SIN((2*ACOS(1-2*BN96/T96)))))*((((T96^2/8)*((2*ACOS(1-2*BN96/T96))-SIN((2*ACOS(1-2*BN96/T96)))))/((T96/2)*((2*ACOS(1-2*BN96/T96)))))^(2/3))*SQRT(P96))</f>
        <v/>
      </c>
      <c r="BP96" s="14" t="str">
        <f t="shared" si="102"/>
        <v/>
      </c>
      <c r="BQ96" s="14" t="str">
        <f t="shared" si="103"/>
        <v/>
      </c>
      <c r="BR96" s="14" t="str">
        <f t="shared" si="104"/>
        <v/>
      </c>
      <c r="BS96" s="14" t="str">
        <f>IF(OR(T96="",P96="",BR96="",T96&lt;=0,BR96&lt;=0),"",(1/Inputs!$B$9)*((T96^2/8)*((2*ACOS(1-2*BR96/T96))-SIN((2*ACOS(1-2*BR96/T96)))))*((((T96^2/8)*((2*ACOS(1-2*BR96/T96))-SIN((2*ACOS(1-2*BR96/T96)))))/((T96/2)*((2*ACOS(1-2*BR96/T96)))))^(2/3))*SQRT(P96))</f>
        <v/>
      </c>
      <c r="BT96" s="14" t="str">
        <f t="shared" si="105"/>
        <v/>
      </c>
      <c r="BU96" s="14" t="str">
        <f t="shared" si="106"/>
        <v/>
      </c>
      <c r="BV96" s="14" t="str">
        <f t="shared" si="107"/>
        <v/>
      </c>
      <c r="BW96" s="14" t="str">
        <f>IF(OR(T96="",P96="",BV96="",T96&lt;=0,BV96&lt;=0),"",(1/Inputs!$B$9)*((T96^2/8)*((2*ACOS(1-2*BV96/T96))-SIN((2*ACOS(1-2*BV96/T96)))))*((((T96^2/8)*((2*ACOS(1-2*BV96/T96))-SIN((2*ACOS(1-2*BV96/T96)))))/((T96/2)*((2*ACOS(1-2*BV96/T96)))))^(2/3))*SQRT(P96))</f>
        <v/>
      </c>
      <c r="BX96" s="14" t="str">
        <f t="shared" si="108"/>
        <v/>
      </c>
      <c r="BY96" s="14" t="str">
        <f t="shared" si="109"/>
        <v/>
      </c>
      <c r="BZ96" s="14" t="str">
        <f t="shared" si="110"/>
        <v/>
      </c>
      <c r="CA96" s="14" t="str">
        <f>IF(OR(T96="",P96="",BZ96="",T96&lt;=0,BZ96&lt;=0),"",(1/Inputs!$B$9)*((T96^2/8)*((2*ACOS(1-2*BZ96/T96))-SIN((2*ACOS(1-2*BZ96/T96)))))*((((T96^2/8)*((2*ACOS(1-2*BZ96/T96))-SIN((2*ACOS(1-2*BZ96/T96)))))/((T96/2)*((2*ACOS(1-2*BZ96/T96)))))^(2/3))*SQRT(P96))</f>
        <v/>
      </c>
      <c r="CB96" s="14" t="str">
        <f t="shared" si="111"/>
        <v/>
      </c>
      <c r="CC96" s="14" t="str">
        <f t="shared" si="112"/>
        <v/>
      </c>
      <c r="CD96" s="14" t="str">
        <f t="shared" si="113"/>
        <v/>
      </c>
      <c r="CE96" s="14" t="str">
        <f>IF(OR(T96="",P96="",CD96="",T96&lt;=0,CD96&lt;=0),"",(1/Inputs!$B$9)*((T96^2/8)*((2*ACOS(1-2*CD96/T96))-SIN((2*ACOS(1-2*CD96/T96)))))*((((T96^2/8)*((2*ACOS(1-2*CD96/T96))-SIN((2*ACOS(1-2*CD96/T96)))))/((T96/2)*((2*ACOS(1-2*CD96/T96)))))^(2/3))*SQRT(P96))</f>
        <v/>
      </c>
      <c r="CF96" s="14" t="str">
        <f t="shared" si="114"/>
        <v/>
      </c>
      <c r="CG96" s="14" t="str">
        <f t="shared" si="115"/>
        <v/>
      </c>
      <c r="CH96" s="14" t="str">
        <f t="shared" si="116"/>
        <v/>
      </c>
    </row>
    <row r="97" spans="1:86" x14ac:dyDescent="0.25">
      <c r="A97" s="14"/>
      <c r="B97" s="14"/>
      <c r="C97" s="14"/>
      <c r="D97" s="14"/>
      <c r="E97" s="44"/>
      <c r="F97" s="44"/>
      <c r="G97" s="44">
        <f>SUMIFS(CB_plan!$G:$G,CB_plan!$F:$F,$A97)</f>
        <v>0</v>
      </c>
      <c r="H97" s="44">
        <f t="shared" si="78"/>
        <v>0</v>
      </c>
      <c r="I97" s="14"/>
      <c r="J97" s="44"/>
      <c r="K97" s="44" t="str">
        <f>IF(A97="","",Inputs!$B$13/((IF(AV97="",Inputs!$B$18,AV97)+Inputs!$B$14)^Inputs!$B$15))</f>
        <v/>
      </c>
      <c r="L97" s="44" t="str">
        <f>IF(A97="","",IF(H97="","",0.000000278*IF(I97&lt;&gt;"",I97,IFERROR(SUMIFS(CB_plan!$H:$H,CB_plan!$F:$F,$A97)/SUMIFS(CB_plan!$G:$G,CB_plan!$F:$F,$A97),Inputs!$B$17))*H97*K97))</f>
        <v/>
      </c>
      <c r="M97" s="44" t="str">
        <f t="shared" si="79"/>
        <v/>
      </c>
      <c r="N97" s="44" t="str">
        <f>IF(A97="","",(L97+M97)*Inputs!$B$16)</f>
        <v/>
      </c>
      <c r="O97" s="44"/>
      <c r="P97" s="44" t="str">
        <f>IF(A97="","",IF(O97="",Inputs!$B$7,O97))</f>
        <v/>
      </c>
      <c r="Q97" s="14" t="str">
        <f>IF(A97="","",IF(N97/Inputs!$B$10&lt;=AG97,Inputs!$F$5,IF(N97/Inputs!$B$10&gt;AP97,"OVERSIZE",INDEX(Inputs!$F$5:$F$14,MATCH(N97/Inputs!$B$10,AG97:AP97,1)+1))))</f>
        <v/>
      </c>
      <c r="R97" s="14"/>
      <c r="S97" s="14" t="str">
        <f t="shared" si="80"/>
        <v/>
      </c>
      <c r="T97" s="44" t="str">
        <f t="shared" si="81"/>
        <v/>
      </c>
      <c r="U97" s="44" t="str">
        <f>IF(T97="","",(1/Inputs!$B$9)*(PI()*T97^2/4)*((T97/4)^(2/3))*SQRT(P97))</f>
        <v/>
      </c>
      <c r="V97" s="44" t="str">
        <f>IF(OR(U97="",N97=""),"",N97/(U97*Inputs!$B$10))</f>
        <v/>
      </c>
      <c r="W97" s="44" t="str">
        <f t="shared" si="82"/>
        <v/>
      </c>
      <c r="X97" s="44"/>
      <c r="Y97" s="44" t="str">
        <f>IF(A97="","",IF(A97=Inputs!$B$6,Inputs!$B$22,IF(D97="","",IFERROR(INDEX($Z$4:$Z$201,MATCH(D97,$A$4:$A$201,0))+IF(X97="",Inputs!$B$20,X97),""))))</f>
        <v/>
      </c>
      <c r="Z97" s="44" t="str">
        <f t="shared" si="83"/>
        <v/>
      </c>
      <c r="AA97" s="44" t="str">
        <f>IF(C97="","",IFERROR(INDEX(Noeuds_plan!$C$4:$C$200,MATCH(C97,Noeuds_plan!$A$4:$A$200,0)),""))</f>
        <v/>
      </c>
      <c r="AB97" s="44" t="str">
        <f>IF(B97="","",IFERROR(INDEX(Noeuds_plan!$C$4:$C$200,MATCH(B97,Noeuds_plan!$A$4:$A$200,0)),""))</f>
        <v/>
      </c>
      <c r="AC97" s="44" t="str">
        <f t="shared" si="84"/>
        <v/>
      </c>
      <c r="AD97" s="44" t="str">
        <f t="shared" si="85"/>
        <v/>
      </c>
      <c r="AE97" s="14" t="str">
        <f>IF(A97="","",IF(OR(V97&gt;1,AND(AY97&lt;&gt;"",AY97&lt;Inputs!$B$11),AND(AY97&lt;&gt;"",AY97&gt;Inputs!$B$12),AC97&lt;Inputs!$B$19,AD97&lt;Inputs!$B$19,P97&lt;Inputs!$B$7,P97&gt;Inputs!$B$8),"CHECK","OK"))</f>
        <v/>
      </c>
      <c r="AF97" s="14"/>
      <c r="AG97" s="14" t="str">
        <f>IF(A97="","",(1/Inputs!$B$9)*(PI()*(Inputs!$F$5/1000)^2/4)*((Inputs!$F$5/1000/4)^(2/3))*SQRT(P97))</f>
        <v/>
      </c>
      <c r="AH97" s="14" t="str">
        <f>IF(A97="","",(1/Inputs!$B$9)*(PI()*(Inputs!$F$6/1000)^2/4)*((Inputs!$F$6/1000/4)^(2/3))*SQRT(P97))</f>
        <v/>
      </c>
      <c r="AI97" s="14" t="str">
        <f>IF(A97="","",(1/Inputs!$B$9)*(PI()*(Inputs!$F$7/1000)^2/4)*((Inputs!$F$7/1000/4)^(2/3))*SQRT(P97))</f>
        <v/>
      </c>
      <c r="AJ97" s="14" t="str">
        <f>IF(A97="","",(1/Inputs!$B$9)*(PI()*(Inputs!$F$8/1000)^2/4)*((Inputs!$F$8/1000/4)^(2/3))*SQRT(P97))</f>
        <v/>
      </c>
      <c r="AK97" s="14" t="str">
        <f>IF(A97="","",(1/Inputs!$B$9)*(PI()*(Inputs!$F$9/1000)^2/4)*((Inputs!$F$9/1000/4)^(2/3))*SQRT(P97))</f>
        <v/>
      </c>
      <c r="AL97" s="14" t="str">
        <f>IF(A97="","",(1/Inputs!$B$9)*(PI()*(Inputs!$F$10/1000)^2/4)*((Inputs!$F$10/1000/4)^(2/3))*SQRT(P97))</f>
        <v/>
      </c>
      <c r="AM97" s="14" t="str">
        <f>IF(A97="","",(1/Inputs!$B$9)*(PI()*(Inputs!$F$11/1000)^2/4)*((Inputs!$F$11/1000/4)^(2/3))*SQRT(P97))</f>
        <v/>
      </c>
      <c r="AN97" s="14" t="str">
        <f>IF(A97="","",(1/Inputs!$B$9)*(PI()*(Inputs!$F$12/1000)^2/4)*((Inputs!$F$12/1000/4)^(2/3))*SQRT(P97))</f>
        <v/>
      </c>
      <c r="AO97" s="14" t="str">
        <f>IF(A97="","",(1/Inputs!$B$9)*(PI()*(Inputs!$F$13/1000)^2/4)*((Inputs!$F$13/1000/4)^(2/3))*SQRT(P97))</f>
        <v/>
      </c>
      <c r="AP97" s="14" t="str">
        <f>IF(A97="","",(1/Inputs!$B$9)*(PI()*(Inputs!$F$14/1000)^2/4)*((Inputs!$F$14/1000/4)^(2/3))*SQRT(P97))</f>
        <v/>
      </c>
      <c r="AQ97" s="14" t="str">
        <f t="shared" si="86"/>
        <v/>
      </c>
      <c r="AR97" s="14" t="str">
        <f t="shared" si="87"/>
        <v/>
      </c>
      <c r="AS97" s="17" t="str">
        <f>IF(A97="","",IF(J97="",Inputs!$B$18,J97))</f>
        <v/>
      </c>
      <c r="AT97" s="17" t="str">
        <f>IF(A97="","",IFERROR(_xludf.maxifs($AV$4:$AV$201,$D$4:$D$201,$A97),""))</f>
        <v/>
      </c>
      <c r="AU97" s="17" t="str">
        <f>IF(A97="","",IF(OR(E97="",Inputs!$B$23=""),"",E97/(Inputs!$B$23*60)))</f>
        <v/>
      </c>
      <c r="AV97" s="17" t="str">
        <f t="shared" si="88"/>
        <v/>
      </c>
      <c r="AW97" s="17" t="str">
        <f t="shared" si="89"/>
        <v/>
      </c>
      <c r="AX97" s="17" t="str">
        <f>IF(OR(T97="",P97=""),"",(1/Inputs!$B$9)*((T97/4)^(2/3))*SQRT(P97))</f>
        <v/>
      </c>
      <c r="AY97" s="17" t="str">
        <f>IF(A97="","",IF(AND(AW97="",AX97="",BA97=""),"",IF(OR(UPPER(TRIM(Inputs!$B$24))="MANNING",UPPER(TRIM(Inputs!$B$24))="M"),AX97,IF(OR(UPPER(TRIM(Inputs!$B$24))="PARTIAL",UPPER(TRIM(Inputs!$B$24))="P"),BA97,IF(OR(UPPER(TRIM(Inputs!$B$24))="MAX",UPPER(TRIM(Inputs!$B$24))="X"),MAX(IF(AW97="",0,AW97),IF(AX97="",0,AX97),IF(BA97="",0,BA97)),AW97)))))</f>
        <v/>
      </c>
      <c r="AZ97" s="17" t="str">
        <f t="shared" si="90"/>
        <v/>
      </c>
      <c r="BA97" s="17" t="str">
        <f t="shared" si="91"/>
        <v/>
      </c>
      <c r="BB97" s="14" t="str">
        <f t="shared" si="92"/>
        <v/>
      </c>
      <c r="BC97" s="14" t="str">
        <f>IF(OR(N97="",T97="",P97=""),"",IF(OR(T97="",P97="",(0.94*T97)="",T97&lt;=0,(0.94*T97)&lt;=0),"",(1/Inputs!$B$9)*((T97^2/8)*((2*ACOS(1-2*(0.94*T97)/T97))-SIN((2*ACOS(1-2*(0.94*T97)/T97)))))*((((T97^2/8)*((2*ACOS(1-2*(0.94*T97)/T97))-SIN((2*ACOS(1-2*(0.94*T97)/T97)))))/((T97/2)*((2*ACOS(1-2*(0.94*T97)/T97)))))^(2/3))*SQRT(P97)))</f>
        <v/>
      </c>
      <c r="BD97" s="14" t="str">
        <f t="shared" si="93"/>
        <v/>
      </c>
      <c r="BE97" s="14" t="str">
        <f t="shared" si="94"/>
        <v/>
      </c>
      <c r="BF97" s="14" t="str">
        <f t="shared" si="95"/>
        <v/>
      </c>
      <c r="BG97" s="14" t="str">
        <f>IF(OR(T97="",P97="",BF97="",T97&lt;=0,BF97&lt;=0),"",(1/Inputs!$B$9)*((T97^2/8)*((2*ACOS(1-2*BF97/T97))-SIN((2*ACOS(1-2*BF97/T97)))))*((((T97^2/8)*((2*ACOS(1-2*BF97/T97))-SIN((2*ACOS(1-2*BF97/T97)))))/((T97/2)*((2*ACOS(1-2*BF97/T97)))))^(2/3))*SQRT(P97))</f>
        <v/>
      </c>
      <c r="BH97" s="14" t="str">
        <f t="shared" si="96"/>
        <v/>
      </c>
      <c r="BI97" s="14" t="str">
        <f t="shared" si="97"/>
        <v/>
      </c>
      <c r="BJ97" s="14" t="str">
        <f t="shared" si="98"/>
        <v/>
      </c>
      <c r="BK97" s="14" t="str">
        <f>IF(OR(T97="",P97="",BJ97="",T97&lt;=0,BJ97&lt;=0),"",(1/Inputs!$B$9)*((T97^2/8)*((2*ACOS(1-2*BJ97/T97))-SIN((2*ACOS(1-2*BJ97/T97)))))*((((T97^2/8)*((2*ACOS(1-2*BJ97/T97))-SIN((2*ACOS(1-2*BJ97/T97)))))/((T97/2)*((2*ACOS(1-2*BJ97/T97)))))^(2/3))*SQRT(P97))</f>
        <v/>
      </c>
      <c r="BL97" s="14" t="str">
        <f t="shared" si="99"/>
        <v/>
      </c>
      <c r="BM97" s="14" t="str">
        <f t="shared" si="100"/>
        <v/>
      </c>
      <c r="BN97" s="14" t="str">
        <f t="shared" si="101"/>
        <v/>
      </c>
      <c r="BO97" s="14" t="str">
        <f>IF(OR(T97="",P97="",BN97="",T97&lt;=0,BN97&lt;=0),"",(1/Inputs!$B$9)*((T97^2/8)*((2*ACOS(1-2*BN97/T97))-SIN((2*ACOS(1-2*BN97/T97)))))*((((T97^2/8)*((2*ACOS(1-2*BN97/T97))-SIN((2*ACOS(1-2*BN97/T97)))))/((T97/2)*((2*ACOS(1-2*BN97/T97)))))^(2/3))*SQRT(P97))</f>
        <v/>
      </c>
      <c r="BP97" s="14" t="str">
        <f t="shared" si="102"/>
        <v/>
      </c>
      <c r="BQ97" s="14" t="str">
        <f t="shared" si="103"/>
        <v/>
      </c>
      <c r="BR97" s="14" t="str">
        <f t="shared" si="104"/>
        <v/>
      </c>
      <c r="BS97" s="14" t="str">
        <f>IF(OR(T97="",P97="",BR97="",T97&lt;=0,BR97&lt;=0),"",(1/Inputs!$B$9)*((T97^2/8)*((2*ACOS(1-2*BR97/T97))-SIN((2*ACOS(1-2*BR97/T97)))))*((((T97^2/8)*((2*ACOS(1-2*BR97/T97))-SIN((2*ACOS(1-2*BR97/T97)))))/((T97/2)*((2*ACOS(1-2*BR97/T97)))))^(2/3))*SQRT(P97))</f>
        <v/>
      </c>
      <c r="BT97" s="14" t="str">
        <f t="shared" si="105"/>
        <v/>
      </c>
      <c r="BU97" s="14" t="str">
        <f t="shared" si="106"/>
        <v/>
      </c>
      <c r="BV97" s="14" t="str">
        <f t="shared" si="107"/>
        <v/>
      </c>
      <c r="BW97" s="14" t="str">
        <f>IF(OR(T97="",P97="",BV97="",T97&lt;=0,BV97&lt;=0),"",(1/Inputs!$B$9)*((T97^2/8)*((2*ACOS(1-2*BV97/T97))-SIN((2*ACOS(1-2*BV97/T97)))))*((((T97^2/8)*((2*ACOS(1-2*BV97/T97))-SIN((2*ACOS(1-2*BV97/T97)))))/((T97/2)*((2*ACOS(1-2*BV97/T97)))))^(2/3))*SQRT(P97))</f>
        <v/>
      </c>
      <c r="BX97" s="14" t="str">
        <f t="shared" si="108"/>
        <v/>
      </c>
      <c r="BY97" s="14" t="str">
        <f t="shared" si="109"/>
        <v/>
      </c>
      <c r="BZ97" s="14" t="str">
        <f t="shared" si="110"/>
        <v/>
      </c>
      <c r="CA97" s="14" t="str">
        <f>IF(OR(T97="",P97="",BZ97="",T97&lt;=0,BZ97&lt;=0),"",(1/Inputs!$B$9)*((T97^2/8)*((2*ACOS(1-2*BZ97/T97))-SIN((2*ACOS(1-2*BZ97/T97)))))*((((T97^2/8)*((2*ACOS(1-2*BZ97/T97))-SIN((2*ACOS(1-2*BZ97/T97)))))/((T97/2)*((2*ACOS(1-2*BZ97/T97)))))^(2/3))*SQRT(P97))</f>
        <v/>
      </c>
      <c r="CB97" s="14" t="str">
        <f t="shared" si="111"/>
        <v/>
      </c>
      <c r="CC97" s="14" t="str">
        <f t="shared" si="112"/>
        <v/>
      </c>
      <c r="CD97" s="14" t="str">
        <f t="shared" si="113"/>
        <v/>
      </c>
      <c r="CE97" s="14" t="str">
        <f>IF(OR(T97="",P97="",CD97="",T97&lt;=0,CD97&lt;=0),"",(1/Inputs!$B$9)*((T97^2/8)*((2*ACOS(1-2*CD97/T97))-SIN((2*ACOS(1-2*CD97/T97)))))*((((T97^2/8)*((2*ACOS(1-2*CD97/T97))-SIN((2*ACOS(1-2*CD97/T97)))))/((T97/2)*((2*ACOS(1-2*CD97/T97)))))^(2/3))*SQRT(P97))</f>
        <v/>
      </c>
      <c r="CF97" s="14" t="str">
        <f t="shared" si="114"/>
        <v/>
      </c>
      <c r="CG97" s="14" t="str">
        <f t="shared" si="115"/>
        <v/>
      </c>
      <c r="CH97" s="14" t="str">
        <f t="shared" si="116"/>
        <v/>
      </c>
    </row>
    <row r="98" spans="1:86" x14ac:dyDescent="0.25">
      <c r="A98" s="14"/>
      <c r="B98" s="14"/>
      <c r="C98" s="14"/>
      <c r="D98" s="14"/>
      <c r="E98" s="44"/>
      <c r="F98" s="44"/>
      <c r="G98" s="44">
        <f>SUMIFS(CB_plan!$G:$G,CB_plan!$F:$F,$A98)</f>
        <v>0</v>
      </c>
      <c r="H98" s="44">
        <f t="shared" si="78"/>
        <v>0</v>
      </c>
      <c r="I98" s="14"/>
      <c r="J98" s="44"/>
      <c r="K98" s="44" t="str">
        <f>IF(A98="","",Inputs!$B$13/((IF(AV98="",Inputs!$B$18,AV98)+Inputs!$B$14)^Inputs!$B$15))</f>
        <v/>
      </c>
      <c r="L98" s="44" t="str">
        <f>IF(A98="","",IF(H98="","",0.000000278*IF(I98&lt;&gt;"",I98,IFERROR(SUMIFS(CB_plan!$H:$H,CB_plan!$F:$F,$A98)/SUMIFS(CB_plan!$G:$G,CB_plan!$F:$F,$A98),Inputs!$B$17))*H98*K98))</f>
        <v/>
      </c>
      <c r="M98" s="44" t="str">
        <f t="shared" si="79"/>
        <v/>
      </c>
      <c r="N98" s="44" t="str">
        <f>IF(A98="","",(L98+M98)*Inputs!$B$16)</f>
        <v/>
      </c>
      <c r="O98" s="44"/>
      <c r="P98" s="44" t="str">
        <f>IF(A98="","",IF(O98="",Inputs!$B$7,O98))</f>
        <v/>
      </c>
      <c r="Q98" s="14" t="str">
        <f>IF(A98="","",IF(N98/Inputs!$B$10&lt;=AG98,Inputs!$F$5,IF(N98/Inputs!$B$10&gt;AP98,"OVERSIZE",INDEX(Inputs!$F$5:$F$14,MATCH(N98/Inputs!$B$10,AG98:AP98,1)+1))))</f>
        <v/>
      </c>
      <c r="R98" s="14"/>
      <c r="S98" s="14" t="str">
        <f t="shared" si="80"/>
        <v/>
      </c>
      <c r="T98" s="44" t="str">
        <f t="shared" si="81"/>
        <v/>
      </c>
      <c r="U98" s="44" t="str">
        <f>IF(T98="","",(1/Inputs!$B$9)*(PI()*T98^2/4)*((T98/4)^(2/3))*SQRT(P98))</f>
        <v/>
      </c>
      <c r="V98" s="44" t="str">
        <f>IF(OR(U98="",N98=""),"",N98/(U98*Inputs!$B$10))</f>
        <v/>
      </c>
      <c r="W98" s="44" t="str">
        <f t="shared" si="82"/>
        <v/>
      </c>
      <c r="X98" s="44"/>
      <c r="Y98" s="44" t="str">
        <f>IF(A98="","",IF(A98=Inputs!$B$6,Inputs!$B$22,IF(D98="","",IFERROR(INDEX($Z$4:$Z$201,MATCH(D98,$A$4:$A$201,0))+IF(X98="",Inputs!$B$20,X98),""))))</f>
        <v/>
      </c>
      <c r="Z98" s="44" t="str">
        <f t="shared" si="83"/>
        <v/>
      </c>
      <c r="AA98" s="44" t="str">
        <f>IF(C98="","",IFERROR(INDEX(Noeuds_plan!$C$4:$C$200,MATCH(C98,Noeuds_plan!$A$4:$A$200,0)),""))</f>
        <v/>
      </c>
      <c r="AB98" s="44" t="str">
        <f>IF(B98="","",IFERROR(INDEX(Noeuds_plan!$C$4:$C$200,MATCH(B98,Noeuds_plan!$A$4:$A$200,0)),""))</f>
        <v/>
      </c>
      <c r="AC98" s="44" t="str">
        <f t="shared" si="84"/>
        <v/>
      </c>
      <c r="AD98" s="44" t="str">
        <f t="shared" si="85"/>
        <v/>
      </c>
      <c r="AE98" s="14" t="str">
        <f>IF(A98="","",IF(OR(V98&gt;1,AND(AY98&lt;&gt;"",AY98&lt;Inputs!$B$11),AND(AY98&lt;&gt;"",AY98&gt;Inputs!$B$12),AC98&lt;Inputs!$B$19,AD98&lt;Inputs!$B$19,P98&lt;Inputs!$B$7,P98&gt;Inputs!$B$8),"CHECK","OK"))</f>
        <v/>
      </c>
      <c r="AF98" s="14"/>
      <c r="AG98" s="14" t="str">
        <f>IF(A98="","",(1/Inputs!$B$9)*(PI()*(Inputs!$F$5/1000)^2/4)*((Inputs!$F$5/1000/4)^(2/3))*SQRT(P98))</f>
        <v/>
      </c>
      <c r="AH98" s="14" t="str">
        <f>IF(A98="","",(1/Inputs!$B$9)*(PI()*(Inputs!$F$6/1000)^2/4)*((Inputs!$F$6/1000/4)^(2/3))*SQRT(P98))</f>
        <v/>
      </c>
      <c r="AI98" s="14" t="str">
        <f>IF(A98="","",(1/Inputs!$B$9)*(PI()*(Inputs!$F$7/1000)^2/4)*((Inputs!$F$7/1000/4)^(2/3))*SQRT(P98))</f>
        <v/>
      </c>
      <c r="AJ98" s="14" t="str">
        <f>IF(A98="","",(1/Inputs!$B$9)*(PI()*(Inputs!$F$8/1000)^2/4)*((Inputs!$F$8/1000/4)^(2/3))*SQRT(P98))</f>
        <v/>
      </c>
      <c r="AK98" s="14" t="str">
        <f>IF(A98="","",(1/Inputs!$B$9)*(PI()*(Inputs!$F$9/1000)^2/4)*((Inputs!$F$9/1000/4)^(2/3))*SQRT(P98))</f>
        <v/>
      </c>
      <c r="AL98" s="14" t="str">
        <f>IF(A98="","",(1/Inputs!$B$9)*(PI()*(Inputs!$F$10/1000)^2/4)*((Inputs!$F$10/1000/4)^(2/3))*SQRT(P98))</f>
        <v/>
      </c>
      <c r="AM98" s="14" t="str">
        <f>IF(A98="","",(1/Inputs!$B$9)*(PI()*(Inputs!$F$11/1000)^2/4)*((Inputs!$F$11/1000/4)^(2/3))*SQRT(P98))</f>
        <v/>
      </c>
      <c r="AN98" s="14" t="str">
        <f>IF(A98="","",(1/Inputs!$B$9)*(PI()*(Inputs!$F$12/1000)^2/4)*((Inputs!$F$12/1000/4)^(2/3))*SQRT(P98))</f>
        <v/>
      </c>
      <c r="AO98" s="14" t="str">
        <f>IF(A98="","",(1/Inputs!$B$9)*(PI()*(Inputs!$F$13/1000)^2/4)*((Inputs!$F$13/1000/4)^(2/3))*SQRT(P98))</f>
        <v/>
      </c>
      <c r="AP98" s="14" t="str">
        <f>IF(A98="","",(1/Inputs!$B$9)*(PI()*(Inputs!$F$14/1000)^2/4)*((Inputs!$F$14/1000/4)^(2/3))*SQRT(P98))</f>
        <v/>
      </c>
      <c r="AQ98" s="14" t="str">
        <f t="shared" si="86"/>
        <v/>
      </c>
      <c r="AR98" s="14" t="str">
        <f t="shared" si="87"/>
        <v/>
      </c>
      <c r="AS98" s="17" t="str">
        <f>IF(A98="","",IF(J98="",Inputs!$B$18,J98))</f>
        <v/>
      </c>
      <c r="AT98" s="17" t="str">
        <f>IF(A98="","",IFERROR(_xludf.maxifs($AV$4:$AV$201,$D$4:$D$201,$A98),""))</f>
        <v/>
      </c>
      <c r="AU98" s="17" t="str">
        <f>IF(A98="","",IF(OR(E98="",Inputs!$B$23=""),"",E98/(Inputs!$B$23*60)))</f>
        <v/>
      </c>
      <c r="AV98" s="17" t="str">
        <f t="shared" si="88"/>
        <v/>
      </c>
      <c r="AW98" s="17" t="str">
        <f t="shared" si="89"/>
        <v/>
      </c>
      <c r="AX98" s="17" t="str">
        <f>IF(OR(T98="",P98=""),"",(1/Inputs!$B$9)*((T98/4)^(2/3))*SQRT(P98))</f>
        <v/>
      </c>
      <c r="AY98" s="17" t="str">
        <f>IF(A98="","",IF(AND(AW98="",AX98="",BA98=""),"",IF(OR(UPPER(TRIM(Inputs!$B$24))="MANNING",UPPER(TRIM(Inputs!$B$24))="M"),AX98,IF(OR(UPPER(TRIM(Inputs!$B$24))="PARTIAL",UPPER(TRIM(Inputs!$B$24))="P"),BA98,IF(OR(UPPER(TRIM(Inputs!$B$24))="MAX",UPPER(TRIM(Inputs!$B$24))="X"),MAX(IF(AW98="",0,AW98),IF(AX98="",0,AX98),IF(BA98="",0,BA98)),AW98)))))</f>
        <v/>
      </c>
      <c r="AZ98" s="17" t="str">
        <f t="shared" si="90"/>
        <v/>
      </c>
      <c r="BA98" s="17" t="str">
        <f t="shared" si="91"/>
        <v/>
      </c>
      <c r="BB98" s="14" t="str">
        <f t="shared" si="92"/>
        <v/>
      </c>
      <c r="BC98" s="14" t="str">
        <f>IF(OR(N98="",T98="",P98=""),"",IF(OR(T98="",P98="",(0.94*T98)="",T98&lt;=0,(0.94*T98)&lt;=0),"",(1/Inputs!$B$9)*((T98^2/8)*((2*ACOS(1-2*(0.94*T98)/T98))-SIN((2*ACOS(1-2*(0.94*T98)/T98)))))*((((T98^2/8)*((2*ACOS(1-2*(0.94*T98)/T98))-SIN((2*ACOS(1-2*(0.94*T98)/T98)))))/((T98/2)*((2*ACOS(1-2*(0.94*T98)/T98)))))^(2/3))*SQRT(P98)))</f>
        <v/>
      </c>
      <c r="BD98" s="14" t="str">
        <f t="shared" si="93"/>
        <v/>
      </c>
      <c r="BE98" s="14" t="str">
        <f t="shared" si="94"/>
        <v/>
      </c>
      <c r="BF98" s="14" t="str">
        <f t="shared" si="95"/>
        <v/>
      </c>
      <c r="BG98" s="14" t="str">
        <f>IF(OR(T98="",P98="",BF98="",T98&lt;=0,BF98&lt;=0),"",(1/Inputs!$B$9)*((T98^2/8)*((2*ACOS(1-2*BF98/T98))-SIN((2*ACOS(1-2*BF98/T98)))))*((((T98^2/8)*((2*ACOS(1-2*BF98/T98))-SIN((2*ACOS(1-2*BF98/T98)))))/((T98/2)*((2*ACOS(1-2*BF98/T98)))))^(2/3))*SQRT(P98))</f>
        <v/>
      </c>
      <c r="BH98" s="14" t="str">
        <f t="shared" si="96"/>
        <v/>
      </c>
      <c r="BI98" s="14" t="str">
        <f t="shared" si="97"/>
        <v/>
      </c>
      <c r="BJ98" s="14" t="str">
        <f t="shared" si="98"/>
        <v/>
      </c>
      <c r="BK98" s="14" t="str">
        <f>IF(OR(T98="",P98="",BJ98="",T98&lt;=0,BJ98&lt;=0),"",(1/Inputs!$B$9)*((T98^2/8)*((2*ACOS(1-2*BJ98/T98))-SIN((2*ACOS(1-2*BJ98/T98)))))*((((T98^2/8)*((2*ACOS(1-2*BJ98/T98))-SIN((2*ACOS(1-2*BJ98/T98)))))/((T98/2)*((2*ACOS(1-2*BJ98/T98)))))^(2/3))*SQRT(P98))</f>
        <v/>
      </c>
      <c r="BL98" s="14" t="str">
        <f t="shared" si="99"/>
        <v/>
      </c>
      <c r="BM98" s="14" t="str">
        <f t="shared" si="100"/>
        <v/>
      </c>
      <c r="BN98" s="14" t="str">
        <f t="shared" si="101"/>
        <v/>
      </c>
      <c r="BO98" s="14" t="str">
        <f>IF(OR(T98="",P98="",BN98="",T98&lt;=0,BN98&lt;=0),"",(1/Inputs!$B$9)*((T98^2/8)*((2*ACOS(1-2*BN98/T98))-SIN((2*ACOS(1-2*BN98/T98)))))*((((T98^2/8)*((2*ACOS(1-2*BN98/T98))-SIN((2*ACOS(1-2*BN98/T98)))))/((T98/2)*((2*ACOS(1-2*BN98/T98)))))^(2/3))*SQRT(P98))</f>
        <v/>
      </c>
      <c r="BP98" s="14" t="str">
        <f t="shared" si="102"/>
        <v/>
      </c>
      <c r="BQ98" s="14" t="str">
        <f t="shared" si="103"/>
        <v/>
      </c>
      <c r="BR98" s="14" t="str">
        <f t="shared" si="104"/>
        <v/>
      </c>
      <c r="BS98" s="14" t="str">
        <f>IF(OR(T98="",P98="",BR98="",T98&lt;=0,BR98&lt;=0),"",(1/Inputs!$B$9)*((T98^2/8)*((2*ACOS(1-2*BR98/T98))-SIN((2*ACOS(1-2*BR98/T98)))))*((((T98^2/8)*((2*ACOS(1-2*BR98/T98))-SIN((2*ACOS(1-2*BR98/T98)))))/((T98/2)*((2*ACOS(1-2*BR98/T98)))))^(2/3))*SQRT(P98))</f>
        <v/>
      </c>
      <c r="BT98" s="14" t="str">
        <f t="shared" si="105"/>
        <v/>
      </c>
      <c r="BU98" s="14" t="str">
        <f t="shared" si="106"/>
        <v/>
      </c>
      <c r="BV98" s="14" t="str">
        <f t="shared" si="107"/>
        <v/>
      </c>
      <c r="BW98" s="14" t="str">
        <f>IF(OR(T98="",P98="",BV98="",T98&lt;=0,BV98&lt;=0),"",(1/Inputs!$B$9)*((T98^2/8)*((2*ACOS(1-2*BV98/T98))-SIN((2*ACOS(1-2*BV98/T98)))))*((((T98^2/8)*((2*ACOS(1-2*BV98/T98))-SIN((2*ACOS(1-2*BV98/T98)))))/((T98/2)*((2*ACOS(1-2*BV98/T98)))))^(2/3))*SQRT(P98))</f>
        <v/>
      </c>
      <c r="BX98" s="14" t="str">
        <f t="shared" si="108"/>
        <v/>
      </c>
      <c r="BY98" s="14" t="str">
        <f t="shared" si="109"/>
        <v/>
      </c>
      <c r="BZ98" s="14" t="str">
        <f t="shared" si="110"/>
        <v/>
      </c>
      <c r="CA98" s="14" t="str">
        <f>IF(OR(T98="",P98="",BZ98="",T98&lt;=0,BZ98&lt;=0),"",(1/Inputs!$B$9)*((T98^2/8)*((2*ACOS(1-2*BZ98/T98))-SIN((2*ACOS(1-2*BZ98/T98)))))*((((T98^2/8)*((2*ACOS(1-2*BZ98/T98))-SIN((2*ACOS(1-2*BZ98/T98)))))/((T98/2)*((2*ACOS(1-2*BZ98/T98)))))^(2/3))*SQRT(P98))</f>
        <v/>
      </c>
      <c r="CB98" s="14" t="str">
        <f t="shared" si="111"/>
        <v/>
      </c>
      <c r="CC98" s="14" t="str">
        <f t="shared" si="112"/>
        <v/>
      </c>
      <c r="CD98" s="14" t="str">
        <f t="shared" si="113"/>
        <v/>
      </c>
      <c r="CE98" s="14" t="str">
        <f>IF(OR(T98="",P98="",CD98="",T98&lt;=0,CD98&lt;=0),"",(1/Inputs!$B$9)*((T98^2/8)*((2*ACOS(1-2*CD98/T98))-SIN((2*ACOS(1-2*CD98/T98)))))*((((T98^2/8)*((2*ACOS(1-2*CD98/T98))-SIN((2*ACOS(1-2*CD98/T98)))))/((T98/2)*((2*ACOS(1-2*CD98/T98)))))^(2/3))*SQRT(P98))</f>
        <v/>
      </c>
      <c r="CF98" s="14" t="str">
        <f t="shared" si="114"/>
        <v/>
      </c>
      <c r="CG98" s="14" t="str">
        <f t="shared" si="115"/>
        <v/>
      </c>
      <c r="CH98" s="14" t="str">
        <f t="shared" si="116"/>
        <v/>
      </c>
    </row>
    <row r="99" spans="1:86" x14ac:dyDescent="0.25">
      <c r="A99" s="14"/>
      <c r="B99" s="14"/>
      <c r="C99" s="14"/>
      <c r="D99" s="14"/>
      <c r="E99" s="44"/>
      <c r="F99" s="44"/>
      <c r="G99" s="44">
        <f>SUMIFS(CB_plan!$G:$G,CB_plan!$F:$F,$A99)</f>
        <v>0</v>
      </c>
      <c r="H99" s="44">
        <f t="shared" si="78"/>
        <v>0</v>
      </c>
      <c r="I99" s="14"/>
      <c r="J99" s="44"/>
      <c r="K99" s="44" t="str">
        <f>IF(A99="","",Inputs!$B$13/((IF(AV99="",Inputs!$B$18,AV99)+Inputs!$B$14)^Inputs!$B$15))</f>
        <v/>
      </c>
      <c r="L99" s="44" t="str">
        <f>IF(A99="","",IF(H99="","",0.000000278*IF(I99&lt;&gt;"",I99,IFERROR(SUMIFS(CB_plan!$H:$H,CB_plan!$F:$F,$A99)/SUMIFS(CB_plan!$G:$G,CB_plan!$F:$F,$A99),Inputs!$B$17))*H99*K99))</f>
        <v/>
      </c>
      <c r="M99" s="44" t="str">
        <f t="shared" si="79"/>
        <v/>
      </c>
      <c r="N99" s="44" t="str">
        <f>IF(A99="","",(L99+M99)*Inputs!$B$16)</f>
        <v/>
      </c>
      <c r="O99" s="44"/>
      <c r="P99" s="44" t="str">
        <f>IF(A99="","",IF(O99="",Inputs!$B$7,O99))</f>
        <v/>
      </c>
      <c r="Q99" s="14" t="str">
        <f>IF(A99="","",IF(N99/Inputs!$B$10&lt;=AG99,Inputs!$F$5,IF(N99/Inputs!$B$10&gt;AP99,"OVERSIZE",INDEX(Inputs!$F$5:$F$14,MATCH(N99/Inputs!$B$10,AG99:AP99,1)+1))))</f>
        <v/>
      </c>
      <c r="R99" s="14"/>
      <c r="S99" s="14" t="str">
        <f t="shared" si="80"/>
        <v/>
      </c>
      <c r="T99" s="44" t="str">
        <f t="shared" si="81"/>
        <v/>
      </c>
      <c r="U99" s="44" t="str">
        <f>IF(T99="","",(1/Inputs!$B$9)*(PI()*T99^2/4)*((T99/4)^(2/3))*SQRT(P99))</f>
        <v/>
      </c>
      <c r="V99" s="44" t="str">
        <f>IF(OR(U99="",N99=""),"",N99/(U99*Inputs!$B$10))</f>
        <v/>
      </c>
      <c r="W99" s="44" t="str">
        <f t="shared" si="82"/>
        <v/>
      </c>
      <c r="X99" s="44"/>
      <c r="Y99" s="44" t="str">
        <f>IF(A99="","",IF(A99=Inputs!$B$6,Inputs!$B$22,IF(D99="","",IFERROR(INDEX($Z$4:$Z$201,MATCH(D99,$A$4:$A$201,0))+IF(X99="",Inputs!$B$20,X99),""))))</f>
        <v/>
      </c>
      <c r="Z99" s="44" t="str">
        <f t="shared" si="83"/>
        <v/>
      </c>
      <c r="AA99" s="44" t="str">
        <f>IF(C99="","",IFERROR(INDEX(Noeuds_plan!$C$4:$C$200,MATCH(C99,Noeuds_plan!$A$4:$A$200,0)),""))</f>
        <v/>
      </c>
      <c r="AB99" s="44" t="str">
        <f>IF(B99="","",IFERROR(INDEX(Noeuds_plan!$C$4:$C$200,MATCH(B99,Noeuds_plan!$A$4:$A$200,0)),""))</f>
        <v/>
      </c>
      <c r="AC99" s="44" t="str">
        <f t="shared" si="84"/>
        <v/>
      </c>
      <c r="AD99" s="44" t="str">
        <f t="shared" si="85"/>
        <v/>
      </c>
      <c r="AE99" s="14" t="str">
        <f>IF(A99="","",IF(OR(V99&gt;1,AND(AY99&lt;&gt;"",AY99&lt;Inputs!$B$11),AND(AY99&lt;&gt;"",AY99&gt;Inputs!$B$12),AC99&lt;Inputs!$B$19,AD99&lt;Inputs!$B$19,P99&lt;Inputs!$B$7,P99&gt;Inputs!$B$8),"CHECK","OK"))</f>
        <v/>
      </c>
      <c r="AF99" s="14"/>
      <c r="AG99" s="14" t="str">
        <f>IF(A99="","",(1/Inputs!$B$9)*(PI()*(Inputs!$F$5/1000)^2/4)*((Inputs!$F$5/1000/4)^(2/3))*SQRT(P99))</f>
        <v/>
      </c>
      <c r="AH99" s="14" t="str">
        <f>IF(A99="","",(1/Inputs!$B$9)*(PI()*(Inputs!$F$6/1000)^2/4)*((Inputs!$F$6/1000/4)^(2/3))*SQRT(P99))</f>
        <v/>
      </c>
      <c r="AI99" s="14" t="str">
        <f>IF(A99="","",(1/Inputs!$B$9)*(PI()*(Inputs!$F$7/1000)^2/4)*((Inputs!$F$7/1000/4)^(2/3))*SQRT(P99))</f>
        <v/>
      </c>
      <c r="AJ99" s="14" t="str">
        <f>IF(A99="","",(1/Inputs!$B$9)*(PI()*(Inputs!$F$8/1000)^2/4)*((Inputs!$F$8/1000/4)^(2/3))*SQRT(P99))</f>
        <v/>
      </c>
      <c r="AK99" s="14" t="str">
        <f>IF(A99="","",(1/Inputs!$B$9)*(PI()*(Inputs!$F$9/1000)^2/4)*((Inputs!$F$9/1000/4)^(2/3))*SQRT(P99))</f>
        <v/>
      </c>
      <c r="AL99" s="14" t="str">
        <f>IF(A99="","",(1/Inputs!$B$9)*(PI()*(Inputs!$F$10/1000)^2/4)*((Inputs!$F$10/1000/4)^(2/3))*SQRT(P99))</f>
        <v/>
      </c>
      <c r="AM99" s="14" t="str">
        <f>IF(A99="","",(1/Inputs!$B$9)*(PI()*(Inputs!$F$11/1000)^2/4)*((Inputs!$F$11/1000/4)^(2/3))*SQRT(P99))</f>
        <v/>
      </c>
      <c r="AN99" s="14" t="str">
        <f>IF(A99="","",(1/Inputs!$B$9)*(PI()*(Inputs!$F$12/1000)^2/4)*((Inputs!$F$12/1000/4)^(2/3))*SQRT(P99))</f>
        <v/>
      </c>
      <c r="AO99" s="14" t="str">
        <f>IF(A99="","",(1/Inputs!$B$9)*(PI()*(Inputs!$F$13/1000)^2/4)*((Inputs!$F$13/1000/4)^(2/3))*SQRT(P99))</f>
        <v/>
      </c>
      <c r="AP99" s="14" t="str">
        <f>IF(A99="","",(1/Inputs!$B$9)*(PI()*(Inputs!$F$14/1000)^2/4)*((Inputs!$F$14/1000/4)^(2/3))*SQRT(P99))</f>
        <v/>
      </c>
      <c r="AQ99" s="14" t="str">
        <f t="shared" si="86"/>
        <v/>
      </c>
      <c r="AR99" s="14" t="str">
        <f t="shared" si="87"/>
        <v/>
      </c>
      <c r="AS99" s="17" t="str">
        <f>IF(A99="","",IF(J99="",Inputs!$B$18,J99))</f>
        <v/>
      </c>
      <c r="AT99" s="17" t="str">
        <f>IF(A99="","",IFERROR(_xludf.maxifs($AV$4:$AV$201,$D$4:$D$201,$A99),""))</f>
        <v/>
      </c>
      <c r="AU99" s="17" t="str">
        <f>IF(A99="","",IF(OR(E99="",Inputs!$B$23=""),"",E99/(Inputs!$B$23*60)))</f>
        <v/>
      </c>
      <c r="AV99" s="17" t="str">
        <f t="shared" si="88"/>
        <v/>
      </c>
      <c r="AW99" s="17" t="str">
        <f t="shared" si="89"/>
        <v/>
      </c>
      <c r="AX99" s="17" t="str">
        <f>IF(OR(T99="",P99=""),"",(1/Inputs!$B$9)*((T99/4)^(2/3))*SQRT(P99))</f>
        <v/>
      </c>
      <c r="AY99" s="17" t="str">
        <f>IF(A99="","",IF(AND(AW99="",AX99="",BA99=""),"",IF(OR(UPPER(TRIM(Inputs!$B$24))="MANNING",UPPER(TRIM(Inputs!$B$24))="M"),AX99,IF(OR(UPPER(TRIM(Inputs!$B$24))="PARTIAL",UPPER(TRIM(Inputs!$B$24))="P"),BA99,IF(OR(UPPER(TRIM(Inputs!$B$24))="MAX",UPPER(TRIM(Inputs!$B$24))="X"),MAX(IF(AW99="",0,AW99),IF(AX99="",0,AX99),IF(BA99="",0,BA99)),AW99)))))</f>
        <v/>
      </c>
      <c r="AZ99" s="17" t="str">
        <f t="shared" si="90"/>
        <v/>
      </c>
      <c r="BA99" s="17" t="str">
        <f t="shared" si="91"/>
        <v/>
      </c>
      <c r="BB99" s="14" t="str">
        <f t="shared" si="92"/>
        <v/>
      </c>
      <c r="BC99" s="14" t="str">
        <f>IF(OR(N99="",T99="",P99=""),"",IF(OR(T99="",P99="",(0.94*T99)="",T99&lt;=0,(0.94*T99)&lt;=0),"",(1/Inputs!$B$9)*((T99^2/8)*((2*ACOS(1-2*(0.94*T99)/T99))-SIN((2*ACOS(1-2*(0.94*T99)/T99)))))*((((T99^2/8)*((2*ACOS(1-2*(0.94*T99)/T99))-SIN((2*ACOS(1-2*(0.94*T99)/T99)))))/((T99/2)*((2*ACOS(1-2*(0.94*T99)/T99)))))^(2/3))*SQRT(P99)))</f>
        <v/>
      </c>
      <c r="BD99" s="14" t="str">
        <f t="shared" si="93"/>
        <v/>
      </c>
      <c r="BE99" s="14" t="str">
        <f t="shared" si="94"/>
        <v/>
      </c>
      <c r="BF99" s="14" t="str">
        <f t="shared" si="95"/>
        <v/>
      </c>
      <c r="BG99" s="14" t="str">
        <f>IF(OR(T99="",P99="",BF99="",T99&lt;=0,BF99&lt;=0),"",(1/Inputs!$B$9)*((T99^2/8)*((2*ACOS(1-2*BF99/T99))-SIN((2*ACOS(1-2*BF99/T99)))))*((((T99^2/8)*((2*ACOS(1-2*BF99/T99))-SIN((2*ACOS(1-2*BF99/T99)))))/((T99/2)*((2*ACOS(1-2*BF99/T99)))))^(2/3))*SQRT(P99))</f>
        <v/>
      </c>
      <c r="BH99" s="14" t="str">
        <f t="shared" si="96"/>
        <v/>
      </c>
      <c r="BI99" s="14" t="str">
        <f t="shared" si="97"/>
        <v/>
      </c>
      <c r="BJ99" s="14" t="str">
        <f t="shared" si="98"/>
        <v/>
      </c>
      <c r="BK99" s="14" t="str">
        <f>IF(OR(T99="",P99="",BJ99="",T99&lt;=0,BJ99&lt;=0),"",(1/Inputs!$B$9)*((T99^2/8)*((2*ACOS(1-2*BJ99/T99))-SIN((2*ACOS(1-2*BJ99/T99)))))*((((T99^2/8)*((2*ACOS(1-2*BJ99/T99))-SIN((2*ACOS(1-2*BJ99/T99)))))/((T99/2)*((2*ACOS(1-2*BJ99/T99)))))^(2/3))*SQRT(P99))</f>
        <v/>
      </c>
      <c r="BL99" s="14" t="str">
        <f t="shared" si="99"/>
        <v/>
      </c>
      <c r="BM99" s="14" t="str">
        <f t="shared" si="100"/>
        <v/>
      </c>
      <c r="BN99" s="14" t="str">
        <f t="shared" si="101"/>
        <v/>
      </c>
      <c r="BO99" s="14" t="str">
        <f>IF(OR(T99="",P99="",BN99="",T99&lt;=0,BN99&lt;=0),"",(1/Inputs!$B$9)*((T99^2/8)*((2*ACOS(1-2*BN99/T99))-SIN((2*ACOS(1-2*BN99/T99)))))*((((T99^2/8)*((2*ACOS(1-2*BN99/T99))-SIN((2*ACOS(1-2*BN99/T99)))))/((T99/2)*((2*ACOS(1-2*BN99/T99)))))^(2/3))*SQRT(P99))</f>
        <v/>
      </c>
      <c r="BP99" s="14" t="str">
        <f t="shared" si="102"/>
        <v/>
      </c>
      <c r="BQ99" s="14" t="str">
        <f t="shared" si="103"/>
        <v/>
      </c>
      <c r="BR99" s="14" t="str">
        <f t="shared" si="104"/>
        <v/>
      </c>
      <c r="BS99" s="14" t="str">
        <f>IF(OR(T99="",P99="",BR99="",T99&lt;=0,BR99&lt;=0),"",(1/Inputs!$B$9)*((T99^2/8)*((2*ACOS(1-2*BR99/T99))-SIN((2*ACOS(1-2*BR99/T99)))))*((((T99^2/8)*((2*ACOS(1-2*BR99/T99))-SIN((2*ACOS(1-2*BR99/T99)))))/((T99/2)*((2*ACOS(1-2*BR99/T99)))))^(2/3))*SQRT(P99))</f>
        <v/>
      </c>
      <c r="BT99" s="14" t="str">
        <f t="shared" si="105"/>
        <v/>
      </c>
      <c r="BU99" s="14" t="str">
        <f t="shared" si="106"/>
        <v/>
      </c>
      <c r="BV99" s="14" t="str">
        <f t="shared" si="107"/>
        <v/>
      </c>
      <c r="BW99" s="14" t="str">
        <f>IF(OR(T99="",P99="",BV99="",T99&lt;=0,BV99&lt;=0),"",(1/Inputs!$B$9)*((T99^2/8)*((2*ACOS(1-2*BV99/T99))-SIN((2*ACOS(1-2*BV99/T99)))))*((((T99^2/8)*((2*ACOS(1-2*BV99/T99))-SIN((2*ACOS(1-2*BV99/T99)))))/((T99/2)*((2*ACOS(1-2*BV99/T99)))))^(2/3))*SQRT(P99))</f>
        <v/>
      </c>
      <c r="BX99" s="14" t="str">
        <f t="shared" si="108"/>
        <v/>
      </c>
      <c r="BY99" s="14" t="str">
        <f t="shared" si="109"/>
        <v/>
      </c>
      <c r="BZ99" s="14" t="str">
        <f t="shared" si="110"/>
        <v/>
      </c>
      <c r="CA99" s="14" t="str">
        <f>IF(OR(T99="",P99="",BZ99="",T99&lt;=0,BZ99&lt;=0),"",(1/Inputs!$B$9)*((T99^2/8)*((2*ACOS(1-2*BZ99/T99))-SIN((2*ACOS(1-2*BZ99/T99)))))*((((T99^2/8)*((2*ACOS(1-2*BZ99/T99))-SIN((2*ACOS(1-2*BZ99/T99)))))/((T99/2)*((2*ACOS(1-2*BZ99/T99)))))^(2/3))*SQRT(P99))</f>
        <v/>
      </c>
      <c r="CB99" s="14" t="str">
        <f t="shared" si="111"/>
        <v/>
      </c>
      <c r="CC99" s="14" t="str">
        <f t="shared" si="112"/>
        <v/>
      </c>
      <c r="CD99" s="14" t="str">
        <f t="shared" si="113"/>
        <v/>
      </c>
      <c r="CE99" s="14" t="str">
        <f>IF(OR(T99="",P99="",CD99="",T99&lt;=0,CD99&lt;=0),"",(1/Inputs!$B$9)*((T99^2/8)*((2*ACOS(1-2*CD99/T99))-SIN((2*ACOS(1-2*CD99/T99)))))*((((T99^2/8)*((2*ACOS(1-2*CD99/T99))-SIN((2*ACOS(1-2*CD99/T99)))))/((T99/2)*((2*ACOS(1-2*CD99/T99)))))^(2/3))*SQRT(P99))</f>
        <v/>
      </c>
      <c r="CF99" s="14" t="str">
        <f t="shared" si="114"/>
        <v/>
      </c>
      <c r="CG99" s="14" t="str">
        <f t="shared" si="115"/>
        <v/>
      </c>
      <c r="CH99" s="14" t="str">
        <f t="shared" si="116"/>
        <v/>
      </c>
    </row>
    <row r="100" spans="1:86" x14ac:dyDescent="0.25">
      <c r="A100" s="14"/>
      <c r="B100" s="14"/>
      <c r="C100" s="14"/>
      <c r="D100" s="14"/>
      <c r="E100" s="44"/>
      <c r="F100" s="44"/>
      <c r="G100" s="44">
        <f>SUMIFS(CB_plan!$G:$G,CB_plan!$F:$F,$A100)</f>
        <v>0</v>
      </c>
      <c r="H100" s="44">
        <f t="shared" ref="H100:H131" si="117">IF(F100="",G100,F100)</f>
        <v>0</v>
      </c>
      <c r="I100" s="14"/>
      <c r="J100" s="44"/>
      <c r="K100" s="44" t="str">
        <f>IF(A100="","",Inputs!$B$13/((IF(AV100="",Inputs!$B$18,AV100)+Inputs!$B$14)^Inputs!$B$15))</f>
        <v/>
      </c>
      <c r="L100" s="44" t="str">
        <f>IF(A100="","",IF(H100="","",0.000000278*IF(I100&lt;&gt;"",I100,IFERROR(SUMIFS(CB_plan!$H:$H,CB_plan!$F:$F,$A100)/SUMIFS(CB_plan!$G:$G,CB_plan!$F:$F,$A100),Inputs!$B$17))*H100*K100))</f>
        <v/>
      </c>
      <c r="M100" s="44" t="str">
        <f t="shared" ref="M100:M131" si="118">IF(A100="","",SUMIFS($N$4:$N$201,$D$4:$D$201,$A100))</f>
        <v/>
      </c>
      <c r="N100" s="44" t="str">
        <f>IF(A100="","",(L100+M100)*Inputs!$B$16)</f>
        <v/>
      </c>
      <c r="O100" s="44"/>
      <c r="P100" s="44" t="str">
        <f>IF(A100="","",IF(O100="",Inputs!$B$7,O100))</f>
        <v/>
      </c>
      <c r="Q100" s="14" t="str">
        <f>IF(A100="","",IF(N100/Inputs!$B$10&lt;=AG100,Inputs!$F$5,IF(N100/Inputs!$B$10&gt;AP100,"OVERSIZE",INDEX(Inputs!$F$5:$F$14,MATCH(N100/Inputs!$B$10,AG100:AP100,1)+1))))</f>
        <v/>
      </c>
      <c r="R100" s="14"/>
      <c r="S100" s="14" t="str">
        <f t="shared" ref="S100:S131" si="119">IF(A100="","",IF(R100="",Q100,R100))</f>
        <v/>
      </c>
      <c r="T100" s="44" t="str">
        <f t="shared" ref="T100:T131" si="120">IF(OR(S100="",S100="OVERSIZE"),"",S100/1000)</f>
        <v/>
      </c>
      <c r="U100" s="44" t="str">
        <f>IF(T100="","",(1/Inputs!$B$9)*(PI()*T100^2/4)*((T100/4)^(2/3))*SQRT(P100))</f>
        <v/>
      </c>
      <c r="V100" s="44" t="str">
        <f>IF(OR(U100="",N100=""),"",N100/(U100*Inputs!$B$10))</f>
        <v/>
      </c>
      <c r="W100" s="44" t="str">
        <f t="shared" ref="W100:W131" si="121">IF(OR(T100="",N100=""),"",4*N100/(PI()*T100^2))</f>
        <v/>
      </c>
      <c r="X100" s="44"/>
      <c r="Y100" s="44" t="str">
        <f>IF(A100="","",IF(A100=Inputs!$B$6,Inputs!$B$22,IF(D100="","",IFERROR(INDEX($Z$4:$Z$201,MATCH(D100,$A$4:$A$201,0))+IF(X100="",Inputs!$B$20,X100),""))))</f>
        <v/>
      </c>
      <c r="Z100" s="44" t="str">
        <f t="shared" ref="Z100:Z131" si="122">IF(OR(Y100="",P100="",E100=""),"",Y100+P100*E100)</f>
        <v/>
      </c>
      <c r="AA100" s="44" t="str">
        <f>IF(C100="","",IFERROR(INDEX(Noeuds_plan!$C$4:$C$200,MATCH(C100,Noeuds_plan!$A$4:$A$200,0)),""))</f>
        <v/>
      </c>
      <c r="AB100" s="44" t="str">
        <f>IF(B100="","",IFERROR(INDEX(Noeuds_plan!$C$4:$C$200,MATCH(B100,Noeuds_plan!$A$4:$A$200,0)),""))</f>
        <v/>
      </c>
      <c r="AC100" s="44" t="str">
        <f t="shared" ref="AC100:AC131" si="123">IF(OR(AA100="",Y100=""),"",AA100-Y100)</f>
        <v/>
      </c>
      <c r="AD100" s="44" t="str">
        <f t="shared" ref="AD100:AD131" si="124">IF(OR(AB100="",Z100=""),"",AB100-Z100)</f>
        <v/>
      </c>
      <c r="AE100" s="14" t="str">
        <f>IF(A100="","",IF(OR(V100&gt;1,AND(AY100&lt;&gt;"",AY100&lt;Inputs!$B$11),AND(AY100&lt;&gt;"",AY100&gt;Inputs!$B$12),AC100&lt;Inputs!$B$19,AD100&lt;Inputs!$B$19,P100&lt;Inputs!$B$7,P100&gt;Inputs!$B$8),"CHECK","OK"))</f>
        <v/>
      </c>
      <c r="AF100" s="14"/>
      <c r="AG100" s="14" t="str">
        <f>IF(A100="","",(1/Inputs!$B$9)*(PI()*(Inputs!$F$5/1000)^2/4)*((Inputs!$F$5/1000/4)^(2/3))*SQRT(P100))</f>
        <v/>
      </c>
      <c r="AH100" s="14" t="str">
        <f>IF(A100="","",(1/Inputs!$B$9)*(PI()*(Inputs!$F$6/1000)^2/4)*((Inputs!$F$6/1000/4)^(2/3))*SQRT(P100))</f>
        <v/>
      </c>
      <c r="AI100" s="14" t="str">
        <f>IF(A100="","",(1/Inputs!$B$9)*(PI()*(Inputs!$F$7/1000)^2/4)*((Inputs!$F$7/1000/4)^(2/3))*SQRT(P100))</f>
        <v/>
      </c>
      <c r="AJ100" s="14" t="str">
        <f>IF(A100="","",(1/Inputs!$B$9)*(PI()*(Inputs!$F$8/1000)^2/4)*((Inputs!$F$8/1000/4)^(2/3))*SQRT(P100))</f>
        <v/>
      </c>
      <c r="AK100" s="14" t="str">
        <f>IF(A100="","",(1/Inputs!$B$9)*(PI()*(Inputs!$F$9/1000)^2/4)*((Inputs!$F$9/1000/4)^(2/3))*SQRT(P100))</f>
        <v/>
      </c>
      <c r="AL100" s="14" t="str">
        <f>IF(A100="","",(1/Inputs!$B$9)*(PI()*(Inputs!$F$10/1000)^2/4)*((Inputs!$F$10/1000/4)^(2/3))*SQRT(P100))</f>
        <v/>
      </c>
      <c r="AM100" s="14" t="str">
        <f>IF(A100="","",(1/Inputs!$B$9)*(PI()*(Inputs!$F$11/1000)^2/4)*((Inputs!$F$11/1000/4)^(2/3))*SQRT(P100))</f>
        <v/>
      </c>
      <c r="AN100" s="14" t="str">
        <f>IF(A100="","",(1/Inputs!$B$9)*(PI()*(Inputs!$F$12/1000)^2/4)*((Inputs!$F$12/1000/4)^(2/3))*SQRT(P100))</f>
        <v/>
      </c>
      <c r="AO100" s="14" t="str">
        <f>IF(A100="","",(1/Inputs!$B$9)*(PI()*(Inputs!$F$13/1000)^2/4)*((Inputs!$F$13/1000/4)^(2/3))*SQRT(P100))</f>
        <v/>
      </c>
      <c r="AP100" s="14" t="str">
        <f>IF(A100="","",(1/Inputs!$B$9)*(PI()*(Inputs!$F$14/1000)^2/4)*((Inputs!$F$14/1000/4)^(2/3))*SQRT(P100))</f>
        <v/>
      </c>
      <c r="AQ100" s="14" t="str">
        <f t="shared" ref="AQ100:AQ131" si="125">IF(A100="","",COUNTIF($D$4:$D$201,$A100))</f>
        <v/>
      </c>
      <c r="AR100" s="14" t="str">
        <f t="shared" ref="AR100:AR131" si="126">IF(A100="","",IF(AQ100=0,"START","CONTINUOUS"))</f>
        <v/>
      </c>
      <c r="AS100" s="17" t="str">
        <f>IF(A100="","",IF(J100="",Inputs!$B$18,J100))</f>
        <v/>
      </c>
      <c r="AT100" s="17" t="str">
        <f>IF(A100="","",IFERROR(_xludf.maxifs($AV$4:$AV$201,$D$4:$D$201,$A100),""))</f>
        <v/>
      </c>
      <c r="AU100" s="17" t="str">
        <f>IF(A100="","",IF(OR(E100="",Inputs!$B$23=""),"",E100/(Inputs!$B$23*60)))</f>
        <v/>
      </c>
      <c r="AV100" s="17" t="str">
        <f t="shared" ref="AV100:AV131" si="127">IF(A100="","",IF(AQ100=0,AS100+AU100,IF(AT100="",AS100+AU100,AT100+AU100)))</f>
        <v/>
      </c>
      <c r="AW100" s="17" t="str">
        <f t="shared" ref="AW100:AW131" si="128">IF(A100="","",W100)</f>
        <v/>
      </c>
      <c r="AX100" s="17" t="str">
        <f>IF(OR(T100="",P100=""),"",(1/Inputs!$B$9)*((T100/4)^(2/3))*SQRT(P100))</f>
        <v/>
      </c>
      <c r="AY100" s="17" t="str">
        <f>IF(A100="","",IF(AND(AW100="",AX100="",BA100=""),"",IF(OR(UPPER(TRIM(Inputs!$B$24))="MANNING",UPPER(TRIM(Inputs!$B$24))="M"),AX100,IF(OR(UPPER(TRIM(Inputs!$B$24))="PARTIAL",UPPER(TRIM(Inputs!$B$24))="P"),BA100,IF(OR(UPPER(TRIM(Inputs!$B$24))="MAX",UPPER(TRIM(Inputs!$B$24))="X"),MAX(IF(AW100="",0,AW100),IF(AX100="",0,AX100),IF(BA100="",0,BA100)),AW100)))))</f>
        <v/>
      </c>
      <c r="AZ100" s="17" t="str">
        <f t="shared" ref="AZ100:AZ131" si="129">IF(BB100="","",CH100)</f>
        <v/>
      </c>
      <c r="BA100" s="17" t="str">
        <f t="shared" ref="BA100:BA131" si="130">IF(OR(BB100="",AZ100="",T100="",T100&lt;=0,AZ100&lt;=0),"",BB100/((T100^2/8)*(2*ACOS(1-2*AZ100/T100)-SIN(2*ACOS(1-2*AZ100/T100)))))</f>
        <v/>
      </c>
      <c r="BB100" s="14" t="str">
        <f t="shared" ref="BB100:BB131" si="131">IF(OR(N100="",BC100=""),"",MIN(N100,BC100))</f>
        <v/>
      </c>
      <c r="BC100" s="14" t="str">
        <f>IF(OR(N100="",T100="",P100=""),"",IF(OR(T100="",P100="",(0.94*T100)="",T100&lt;=0,(0.94*T100)&lt;=0),"",(1/Inputs!$B$9)*((T100^2/8)*((2*ACOS(1-2*(0.94*T100)/T100))-SIN((2*ACOS(1-2*(0.94*T100)/T100)))))*((((T100^2/8)*((2*ACOS(1-2*(0.94*T100)/T100))-SIN((2*ACOS(1-2*(0.94*T100)/T100)))))/((T100/2)*((2*ACOS(1-2*(0.94*T100)/T100)))))^(2/3))*SQRT(P100)))</f>
        <v/>
      </c>
      <c r="BD100" s="14" t="str">
        <f t="shared" ref="BD100:BD131" si="132">IF(BB100="","",0.001*T100)</f>
        <v/>
      </c>
      <c r="BE100" s="14" t="str">
        <f t="shared" ref="BE100:BE131" si="133">IF(BB100="","",0.94*T100)</f>
        <v/>
      </c>
      <c r="BF100" s="14" t="str">
        <f t="shared" ref="BF100:BF131" si="134">IF(BB100="","",(BD100+BE100)/2)</f>
        <v/>
      </c>
      <c r="BG100" s="14" t="str">
        <f>IF(OR(T100="",P100="",BF100="",T100&lt;=0,BF100&lt;=0),"",(1/Inputs!$B$9)*((T100^2/8)*((2*ACOS(1-2*BF100/T100))-SIN((2*ACOS(1-2*BF100/T100)))))*((((T100^2/8)*((2*ACOS(1-2*BF100/T100))-SIN((2*ACOS(1-2*BF100/T100)))))/((T100/2)*((2*ACOS(1-2*BF100/T100)))))^(2/3))*SQRT(P100))</f>
        <v/>
      </c>
      <c r="BH100" s="14" t="str">
        <f t="shared" ref="BH100:BH131" si="135">IF(BB100="","",IF(BG100&lt;BB100,BF100,BD100))</f>
        <v/>
      </c>
      <c r="BI100" s="14" t="str">
        <f t="shared" ref="BI100:BI131" si="136">IF(BB100="","",IF(BG100&lt;BB100,BE100,BF100))</f>
        <v/>
      </c>
      <c r="BJ100" s="14" t="str">
        <f t="shared" ref="BJ100:BJ131" si="137">IF(BB100="","",(BH100+BI100)/2)</f>
        <v/>
      </c>
      <c r="BK100" s="14" t="str">
        <f>IF(OR(T100="",P100="",BJ100="",T100&lt;=0,BJ100&lt;=0),"",(1/Inputs!$B$9)*((T100^2/8)*((2*ACOS(1-2*BJ100/T100))-SIN((2*ACOS(1-2*BJ100/T100)))))*((((T100^2/8)*((2*ACOS(1-2*BJ100/T100))-SIN((2*ACOS(1-2*BJ100/T100)))))/((T100/2)*((2*ACOS(1-2*BJ100/T100)))))^(2/3))*SQRT(P100))</f>
        <v/>
      </c>
      <c r="BL100" s="14" t="str">
        <f t="shared" ref="BL100:BL131" si="138">IF(BB100="","",IF(BK100&lt;BB100,BJ100,BH100))</f>
        <v/>
      </c>
      <c r="BM100" s="14" t="str">
        <f t="shared" ref="BM100:BM131" si="139">IF(BB100="","",IF(BK100&lt;BB100,BI100,BJ100))</f>
        <v/>
      </c>
      <c r="BN100" s="14" t="str">
        <f t="shared" ref="BN100:BN131" si="140">IF(BB100="","",(BL100+BM100)/2)</f>
        <v/>
      </c>
      <c r="BO100" s="14" t="str">
        <f>IF(OR(T100="",P100="",BN100="",T100&lt;=0,BN100&lt;=0),"",(1/Inputs!$B$9)*((T100^2/8)*((2*ACOS(1-2*BN100/T100))-SIN((2*ACOS(1-2*BN100/T100)))))*((((T100^2/8)*((2*ACOS(1-2*BN100/T100))-SIN((2*ACOS(1-2*BN100/T100)))))/((T100/2)*((2*ACOS(1-2*BN100/T100)))))^(2/3))*SQRT(P100))</f>
        <v/>
      </c>
      <c r="BP100" s="14" t="str">
        <f t="shared" ref="BP100:BP131" si="141">IF(BB100="","",IF(BO100&lt;BB100,BN100,BL100))</f>
        <v/>
      </c>
      <c r="BQ100" s="14" t="str">
        <f t="shared" ref="BQ100:BQ131" si="142">IF(BB100="","",IF(BO100&lt;BB100,BM100,BN100))</f>
        <v/>
      </c>
      <c r="BR100" s="14" t="str">
        <f t="shared" ref="BR100:BR131" si="143">IF(BB100="","",(BP100+BQ100)/2)</f>
        <v/>
      </c>
      <c r="BS100" s="14" t="str">
        <f>IF(OR(T100="",P100="",BR100="",T100&lt;=0,BR100&lt;=0),"",(1/Inputs!$B$9)*((T100^2/8)*((2*ACOS(1-2*BR100/T100))-SIN((2*ACOS(1-2*BR100/T100)))))*((((T100^2/8)*((2*ACOS(1-2*BR100/T100))-SIN((2*ACOS(1-2*BR100/T100)))))/((T100/2)*((2*ACOS(1-2*BR100/T100)))))^(2/3))*SQRT(P100))</f>
        <v/>
      </c>
      <c r="BT100" s="14" t="str">
        <f t="shared" ref="BT100:BT131" si="144">IF(BB100="","",IF(BS100&lt;BB100,BR100,BP100))</f>
        <v/>
      </c>
      <c r="BU100" s="14" t="str">
        <f t="shared" ref="BU100:BU131" si="145">IF(BB100="","",IF(BS100&lt;BB100,BQ100,BR100))</f>
        <v/>
      </c>
      <c r="BV100" s="14" t="str">
        <f t="shared" ref="BV100:BV131" si="146">IF(BB100="","",(BT100+BU100)/2)</f>
        <v/>
      </c>
      <c r="BW100" s="14" t="str">
        <f>IF(OR(T100="",P100="",BV100="",T100&lt;=0,BV100&lt;=0),"",(1/Inputs!$B$9)*((T100^2/8)*((2*ACOS(1-2*BV100/T100))-SIN((2*ACOS(1-2*BV100/T100)))))*((((T100^2/8)*((2*ACOS(1-2*BV100/T100))-SIN((2*ACOS(1-2*BV100/T100)))))/((T100/2)*((2*ACOS(1-2*BV100/T100)))))^(2/3))*SQRT(P100))</f>
        <v/>
      </c>
      <c r="BX100" s="14" t="str">
        <f t="shared" ref="BX100:BX131" si="147">IF(BB100="","",IF(BW100&lt;BB100,BV100,BT100))</f>
        <v/>
      </c>
      <c r="BY100" s="14" t="str">
        <f t="shared" ref="BY100:BY131" si="148">IF(BB100="","",IF(BW100&lt;BB100,BU100,BV100))</f>
        <v/>
      </c>
      <c r="BZ100" s="14" t="str">
        <f t="shared" ref="BZ100:BZ131" si="149">IF(BB100="","",(BX100+BY100)/2)</f>
        <v/>
      </c>
      <c r="CA100" s="14" t="str">
        <f>IF(OR(T100="",P100="",BZ100="",T100&lt;=0,BZ100&lt;=0),"",(1/Inputs!$B$9)*((T100^2/8)*((2*ACOS(1-2*BZ100/T100))-SIN((2*ACOS(1-2*BZ100/T100)))))*((((T100^2/8)*((2*ACOS(1-2*BZ100/T100))-SIN((2*ACOS(1-2*BZ100/T100)))))/((T100/2)*((2*ACOS(1-2*BZ100/T100)))))^(2/3))*SQRT(P100))</f>
        <v/>
      </c>
      <c r="CB100" s="14" t="str">
        <f t="shared" ref="CB100:CB131" si="150">IF(BB100="","",IF(CA100&lt;BB100,BZ100,BX100))</f>
        <v/>
      </c>
      <c r="CC100" s="14" t="str">
        <f t="shared" ref="CC100:CC131" si="151">IF(BB100="","",IF(CA100&lt;BB100,BY100,BZ100))</f>
        <v/>
      </c>
      <c r="CD100" s="14" t="str">
        <f t="shared" ref="CD100:CD131" si="152">IF(BB100="","",(CB100+CC100)/2)</f>
        <v/>
      </c>
      <c r="CE100" s="14" t="str">
        <f>IF(OR(T100="",P100="",CD100="",T100&lt;=0,CD100&lt;=0),"",(1/Inputs!$B$9)*((T100^2/8)*((2*ACOS(1-2*CD100/T100))-SIN((2*ACOS(1-2*CD100/T100)))))*((((T100^2/8)*((2*ACOS(1-2*CD100/T100))-SIN((2*ACOS(1-2*CD100/T100)))))/((T100/2)*((2*ACOS(1-2*CD100/T100)))))^(2/3))*SQRT(P100))</f>
        <v/>
      </c>
      <c r="CF100" s="14" t="str">
        <f t="shared" ref="CF100:CF131" si="153">IF(BB100="","",IF(CE100&lt;BB100,CD100,CB100))</f>
        <v/>
      </c>
      <c r="CG100" s="14" t="str">
        <f t="shared" ref="CG100:CG131" si="154">IF(BB100="","",IF(CE100&lt;BB100,CC100,CD100))</f>
        <v/>
      </c>
      <c r="CH100" s="14" t="str">
        <f t="shared" ref="CH100:CH131" si="155">IF(BB100="","",(CF100+CG100)/2)</f>
        <v/>
      </c>
    </row>
    <row r="101" spans="1:86" x14ac:dyDescent="0.25">
      <c r="A101" s="14"/>
      <c r="B101" s="14"/>
      <c r="C101" s="14"/>
      <c r="D101" s="14"/>
      <c r="E101" s="44"/>
      <c r="F101" s="44"/>
      <c r="G101" s="44">
        <f>SUMIFS(CB_plan!$G:$G,CB_plan!$F:$F,$A101)</f>
        <v>0</v>
      </c>
      <c r="H101" s="44">
        <f t="shared" si="117"/>
        <v>0</v>
      </c>
      <c r="I101" s="14"/>
      <c r="J101" s="44"/>
      <c r="K101" s="44" t="str">
        <f>IF(A101="","",Inputs!$B$13/((IF(AV101="",Inputs!$B$18,AV101)+Inputs!$B$14)^Inputs!$B$15))</f>
        <v/>
      </c>
      <c r="L101" s="44" t="str">
        <f>IF(A101="","",IF(H101="","",0.000000278*IF(I101&lt;&gt;"",I101,IFERROR(SUMIFS(CB_plan!$H:$H,CB_plan!$F:$F,$A101)/SUMIFS(CB_plan!$G:$G,CB_plan!$F:$F,$A101),Inputs!$B$17))*H101*K101))</f>
        <v/>
      </c>
      <c r="M101" s="44" t="str">
        <f t="shared" si="118"/>
        <v/>
      </c>
      <c r="N101" s="44" t="str">
        <f>IF(A101="","",(L101+M101)*Inputs!$B$16)</f>
        <v/>
      </c>
      <c r="O101" s="44"/>
      <c r="P101" s="44" t="str">
        <f>IF(A101="","",IF(O101="",Inputs!$B$7,O101))</f>
        <v/>
      </c>
      <c r="Q101" s="14" t="str">
        <f>IF(A101="","",IF(N101/Inputs!$B$10&lt;=AG101,Inputs!$F$5,IF(N101/Inputs!$B$10&gt;AP101,"OVERSIZE",INDEX(Inputs!$F$5:$F$14,MATCH(N101/Inputs!$B$10,AG101:AP101,1)+1))))</f>
        <v/>
      </c>
      <c r="R101" s="14"/>
      <c r="S101" s="14" t="str">
        <f t="shared" si="119"/>
        <v/>
      </c>
      <c r="T101" s="44" t="str">
        <f t="shared" si="120"/>
        <v/>
      </c>
      <c r="U101" s="44" t="str">
        <f>IF(T101="","",(1/Inputs!$B$9)*(PI()*T101^2/4)*((T101/4)^(2/3))*SQRT(P101))</f>
        <v/>
      </c>
      <c r="V101" s="44" t="str">
        <f>IF(OR(U101="",N101=""),"",N101/(U101*Inputs!$B$10))</f>
        <v/>
      </c>
      <c r="W101" s="44" t="str">
        <f t="shared" si="121"/>
        <v/>
      </c>
      <c r="X101" s="44"/>
      <c r="Y101" s="44" t="str">
        <f>IF(A101="","",IF(A101=Inputs!$B$6,Inputs!$B$22,IF(D101="","",IFERROR(INDEX($Z$4:$Z$201,MATCH(D101,$A$4:$A$201,0))+IF(X101="",Inputs!$B$20,X101),""))))</f>
        <v/>
      </c>
      <c r="Z101" s="44" t="str">
        <f t="shared" si="122"/>
        <v/>
      </c>
      <c r="AA101" s="44" t="str">
        <f>IF(C101="","",IFERROR(INDEX(Noeuds_plan!$C$4:$C$200,MATCH(C101,Noeuds_plan!$A$4:$A$200,0)),""))</f>
        <v/>
      </c>
      <c r="AB101" s="44" t="str">
        <f>IF(B101="","",IFERROR(INDEX(Noeuds_plan!$C$4:$C$200,MATCH(B101,Noeuds_plan!$A$4:$A$200,0)),""))</f>
        <v/>
      </c>
      <c r="AC101" s="44" t="str">
        <f t="shared" si="123"/>
        <v/>
      </c>
      <c r="AD101" s="44" t="str">
        <f t="shared" si="124"/>
        <v/>
      </c>
      <c r="AE101" s="14" t="str">
        <f>IF(A101="","",IF(OR(V101&gt;1,AND(AY101&lt;&gt;"",AY101&lt;Inputs!$B$11),AND(AY101&lt;&gt;"",AY101&gt;Inputs!$B$12),AC101&lt;Inputs!$B$19,AD101&lt;Inputs!$B$19,P101&lt;Inputs!$B$7,P101&gt;Inputs!$B$8),"CHECK","OK"))</f>
        <v/>
      </c>
      <c r="AF101" s="14"/>
      <c r="AG101" s="14" t="str">
        <f>IF(A101="","",(1/Inputs!$B$9)*(PI()*(Inputs!$F$5/1000)^2/4)*((Inputs!$F$5/1000/4)^(2/3))*SQRT(P101))</f>
        <v/>
      </c>
      <c r="AH101" s="14" t="str">
        <f>IF(A101="","",(1/Inputs!$B$9)*(PI()*(Inputs!$F$6/1000)^2/4)*((Inputs!$F$6/1000/4)^(2/3))*SQRT(P101))</f>
        <v/>
      </c>
      <c r="AI101" s="14" t="str">
        <f>IF(A101="","",(1/Inputs!$B$9)*(PI()*(Inputs!$F$7/1000)^2/4)*((Inputs!$F$7/1000/4)^(2/3))*SQRT(P101))</f>
        <v/>
      </c>
      <c r="AJ101" s="14" t="str">
        <f>IF(A101="","",(1/Inputs!$B$9)*(PI()*(Inputs!$F$8/1000)^2/4)*((Inputs!$F$8/1000/4)^(2/3))*SQRT(P101))</f>
        <v/>
      </c>
      <c r="AK101" s="14" t="str">
        <f>IF(A101="","",(1/Inputs!$B$9)*(PI()*(Inputs!$F$9/1000)^2/4)*((Inputs!$F$9/1000/4)^(2/3))*SQRT(P101))</f>
        <v/>
      </c>
      <c r="AL101" s="14" t="str">
        <f>IF(A101="","",(1/Inputs!$B$9)*(PI()*(Inputs!$F$10/1000)^2/4)*((Inputs!$F$10/1000/4)^(2/3))*SQRT(P101))</f>
        <v/>
      </c>
      <c r="AM101" s="14" t="str">
        <f>IF(A101="","",(1/Inputs!$B$9)*(PI()*(Inputs!$F$11/1000)^2/4)*((Inputs!$F$11/1000/4)^(2/3))*SQRT(P101))</f>
        <v/>
      </c>
      <c r="AN101" s="14" t="str">
        <f>IF(A101="","",(1/Inputs!$B$9)*(PI()*(Inputs!$F$12/1000)^2/4)*((Inputs!$F$12/1000/4)^(2/3))*SQRT(P101))</f>
        <v/>
      </c>
      <c r="AO101" s="14" t="str">
        <f>IF(A101="","",(1/Inputs!$B$9)*(PI()*(Inputs!$F$13/1000)^2/4)*((Inputs!$F$13/1000/4)^(2/3))*SQRT(P101))</f>
        <v/>
      </c>
      <c r="AP101" s="14" t="str">
        <f>IF(A101="","",(1/Inputs!$B$9)*(PI()*(Inputs!$F$14/1000)^2/4)*((Inputs!$F$14/1000/4)^(2/3))*SQRT(P101))</f>
        <v/>
      </c>
      <c r="AQ101" s="14" t="str">
        <f t="shared" si="125"/>
        <v/>
      </c>
      <c r="AR101" s="14" t="str">
        <f t="shared" si="126"/>
        <v/>
      </c>
      <c r="AS101" s="17" t="str">
        <f>IF(A101="","",IF(J101="",Inputs!$B$18,J101))</f>
        <v/>
      </c>
      <c r="AT101" s="17" t="str">
        <f>IF(A101="","",IFERROR(_xludf.maxifs($AV$4:$AV$201,$D$4:$D$201,$A101),""))</f>
        <v/>
      </c>
      <c r="AU101" s="17" t="str">
        <f>IF(A101="","",IF(OR(E101="",Inputs!$B$23=""),"",E101/(Inputs!$B$23*60)))</f>
        <v/>
      </c>
      <c r="AV101" s="17" t="str">
        <f t="shared" si="127"/>
        <v/>
      </c>
      <c r="AW101" s="17" t="str">
        <f t="shared" si="128"/>
        <v/>
      </c>
      <c r="AX101" s="17" t="str">
        <f>IF(OR(T101="",P101=""),"",(1/Inputs!$B$9)*((T101/4)^(2/3))*SQRT(P101))</f>
        <v/>
      </c>
      <c r="AY101" s="17" t="str">
        <f>IF(A101="","",IF(AND(AW101="",AX101="",BA101=""),"",IF(OR(UPPER(TRIM(Inputs!$B$24))="MANNING",UPPER(TRIM(Inputs!$B$24))="M"),AX101,IF(OR(UPPER(TRIM(Inputs!$B$24))="PARTIAL",UPPER(TRIM(Inputs!$B$24))="P"),BA101,IF(OR(UPPER(TRIM(Inputs!$B$24))="MAX",UPPER(TRIM(Inputs!$B$24))="X"),MAX(IF(AW101="",0,AW101),IF(AX101="",0,AX101),IF(BA101="",0,BA101)),AW101)))))</f>
        <v/>
      </c>
      <c r="AZ101" s="17" t="str">
        <f t="shared" si="129"/>
        <v/>
      </c>
      <c r="BA101" s="17" t="str">
        <f t="shared" si="130"/>
        <v/>
      </c>
      <c r="BB101" s="14" t="str">
        <f t="shared" si="131"/>
        <v/>
      </c>
      <c r="BC101" s="14" t="str">
        <f>IF(OR(N101="",T101="",P101=""),"",IF(OR(T101="",P101="",(0.94*T101)="",T101&lt;=0,(0.94*T101)&lt;=0),"",(1/Inputs!$B$9)*((T101^2/8)*((2*ACOS(1-2*(0.94*T101)/T101))-SIN((2*ACOS(1-2*(0.94*T101)/T101)))))*((((T101^2/8)*((2*ACOS(1-2*(0.94*T101)/T101))-SIN((2*ACOS(1-2*(0.94*T101)/T101)))))/((T101/2)*((2*ACOS(1-2*(0.94*T101)/T101)))))^(2/3))*SQRT(P101)))</f>
        <v/>
      </c>
      <c r="BD101" s="14" t="str">
        <f t="shared" si="132"/>
        <v/>
      </c>
      <c r="BE101" s="14" t="str">
        <f t="shared" si="133"/>
        <v/>
      </c>
      <c r="BF101" s="14" t="str">
        <f t="shared" si="134"/>
        <v/>
      </c>
      <c r="BG101" s="14" t="str">
        <f>IF(OR(T101="",P101="",BF101="",T101&lt;=0,BF101&lt;=0),"",(1/Inputs!$B$9)*((T101^2/8)*((2*ACOS(1-2*BF101/T101))-SIN((2*ACOS(1-2*BF101/T101)))))*((((T101^2/8)*((2*ACOS(1-2*BF101/T101))-SIN((2*ACOS(1-2*BF101/T101)))))/((T101/2)*((2*ACOS(1-2*BF101/T101)))))^(2/3))*SQRT(P101))</f>
        <v/>
      </c>
      <c r="BH101" s="14" t="str">
        <f t="shared" si="135"/>
        <v/>
      </c>
      <c r="BI101" s="14" t="str">
        <f t="shared" si="136"/>
        <v/>
      </c>
      <c r="BJ101" s="14" t="str">
        <f t="shared" si="137"/>
        <v/>
      </c>
      <c r="BK101" s="14" t="str">
        <f>IF(OR(T101="",P101="",BJ101="",T101&lt;=0,BJ101&lt;=0),"",(1/Inputs!$B$9)*((T101^2/8)*((2*ACOS(1-2*BJ101/T101))-SIN((2*ACOS(1-2*BJ101/T101)))))*((((T101^2/8)*((2*ACOS(1-2*BJ101/T101))-SIN((2*ACOS(1-2*BJ101/T101)))))/((T101/2)*((2*ACOS(1-2*BJ101/T101)))))^(2/3))*SQRT(P101))</f>
        <v/>
      </c>
      <c r="BL101" s="14" t="str">
        <f t="shared" si="138"/>
        <v/>
      </c>
      <c r="BM101" s="14" t="str">
        <f t="shared" si="139"/>
        <v/>
      </c>
      <c r="BN101" s="14" t="str">
        <f t="shared" si="140"/>
        <v/>
      </c>
      <c r="BO101" s="14" t="str">
        <f>IF(OR(T101="",P101="",BN101="",T101&lt;=0,BN101&lt;=0),"",(1/Inputs!$B$9)*((T101^2/8)*((2*ACOS(1-2*BN101/T101))-SIN((2*ACOS(1-2*BN101/T101)))))*((((T101^2/8)*((2*ACOS(1-2*BN101/T101))-SIN((2*ACOS(1-2*BN101/T101)))))/((T101/2)*((2*ACOS(1-2*BN101/T101)))))^(2/3))*SQRT(P101))</f>
        <v/>
      </c>
      <c r="BP101" s="14" t="str">
        <f t="shared" si="141"/>
        <v/>
      </c>
      <c r="BQ101" s="14" t="str">
        <f t="shared" si="142"/>
        <v/>
      </c>
      <c r="BR101" s="14" t="str">
        <f t="shared" si="143"/>
        <v/>
      </c>
      <c r="BS101" s="14" t="str">
        <f>IF(OR(T101="",P101="",BR101="",T101&lt;=0,BR101&lt;=0),"",(1/Inputs!$B$9)*((T101^2/8)*((2*ACOS(1-2*BR101/T101))-SIN((2*ACOS(1-2*BR101/T101)))))*((((T101^2/8)*((2*ACOS(1-2*BR101/T101))-SIN((2*ACOS(1-2*BR101/T101)))))/((T101/2)*((2*ACOS(1-2*BR101/T101)))))^(2/3))*SQRT(P101))</f>
        <v/>
      </c>
      <c r="BT101" s="14" t="str">
        <f t="shared" si="144"/>
        <v/>
      </c>
      <c r="BU101" s="14" t="str">
        <f t="shared" si="145"/>
        <v/>
      </c>
      <c r="BV101" s="14" t="str">
        <f t="shared" si="146"/>
        <v/>
      </c>
      <c r="BW101" s="14" t="str">
        <f>IF(OR(T101="",P101="",BV101="",T101&lt;=0,BV101&lt;=0),"",(1/Inputs!$B$9)*((T101^2/8)*((2*ACOS(1-2*BV101/T101))-SIN((2*ACOS(1-2*BV101/T101)))))*((((T101^2/8)*((2*ACOS(1-2*BV101/T101))-SIN((2*ACOS(1-2*BV101/T101)))))/((T101/2)*((2*ACOS(1-2*BV101/T101)))))^(2/3))*SQRT(P101))</f>
        <v/>
      </c>
      <c r="BX101" s="14" t="str">
        <f t="shared" si="147"/>
        <v/>
      </c>
      <c r="BY101" s="14" t="str">
        <f t="shared" si="148"/>
        <v/>
      </c>
      <c r="BZ101" s="14" t="str">
        <f t="shared" si="149"/>
        <v/>
      </c>
      <c r="CA101" s="14" t="str">
        <f>IF(OR(T101="",P101="",BZ101="",T101&lt;=0,BZ101&lt;=0),"",(1/Inputs!$B$9)*((T101^2/8)*((2*ACOS(1-2*BZ101/T101))-SIN((2*ACOS(1-2*BZ101/T101)))))*((((T101^2/8)*((2*ACOS(1-2*BZ101/T101))-SIN((2*ACOS(1-2*BZ101/T101)))))/((T101/2)*((2*ACOS(1-2*BZ101/T101)))))^(2/3))*SQRT(P101))</f>
        <v/>
      </c>
      <c r="CB101" s="14" t="str">
        <f t="shared" si="150"/>
        <v/>
      </c>
      <c r="CC101" s="14" t="str">
        <f t="shared" si="151"/>
        <v/>
      </c>
      <c r="CD101" s="14" t="str">
        <f t="shared" si="152"/>
        <v/>
      </c>
      <c r="CE101" s="14" t="str">
        <f>IF(OR(T101="",P101="",CD101="",T101&lt;=0,CD101&lt;=0),"",(1/Inputs!$B$9)*((T101^2/8)*((2*ACOS(1-2*CD101/T101))-SIN((2*ACOS(1-2*CD101/T101)))))*((((T101^2/8)*((2*ACOS(1-2*CD101/T101))-SIN((2*ACOS(1-2*CD101/T101)))))/((T101/2)*((2*ACOS(1-2*CD101/T101)))))^(2/3))*SQRT(P101))</f>
        <v/>
      </c>
      <c r="CF101" s="14" t="str">
        <f t="shared" si="153"/>
        <v/>
      </c>
      <c r="CG101" s="14" t="str">
        <f t="shared" si="154"/>
        <v/>
      </c>
      <c r="CH101" s="14" t="str">
        <f t="shared" si="155"/>
        <v/>
      </c>
    </row>
    <row r="102" spans="1:86" x14ac:dyDescent="0.25">
      <c r="A102" s="14"/>
      <c r="B102" s="14"/>
      <c r="C102" s="14"/>
      <c r="D102" s="14"/>
      <c r="E102" s="44"/>
      <c r="F102" s="44"/>
      <c r="G102" s="44">
        <f>SUMIFS(CB_plan!$G:$G,CB_plan!$F:$F,$A102)</f>
        <v>0</v>
      </c>
      <c r="H102" s="44">
        <f t="shared" si="117"/>
        <v>0</v>
      </c>
      <c r="I102" s="14"/>
      <c r="J102" s="44"/>
      <c r="K102" s="44" t="str">
        <f>IF(A102="","",Inputs!$B$13/((IF(AV102="",Inputs!$B$18,AV102)+Inputs!$B$14)^Inputs!$B$15))</f>
        <v/>
      </c>
      <c r="L102" s="44" t="str">
        <f>IF(A102="","",IF(H102="","",0.000000278*IF(I102&lt;&gt;"",I102,IFERROR(SUMIFS(CB_plan!$H:$H,CB_plan!$F:$F,$A102)/SUMIFS(CB_plan!$G:$G,CB_plan!$F:$F,$A102),Inputs!$B$17))*H102*K102))</f>
        <v/>
      </c>
      <c r="M102" s="44" t="str">
        <f t="shared" si="118"/>
        <v/>
      </c>
      <c r="N102" s="44" t="str">
        <f>IF(A102="","",(L102+M102)*Inputs!$B$16)</f>
        <v/>
      </c>
      <c r="O102" s="44"/>
      <c r="P102" s="44" t="str">
        <f>IF(A102="","",IF(O102="",Inputs!$B$7,O102))</f>
        <v/>
      </c>
      <c r="Q102" s="14" t="str">
        <f>IF(A102="","",IF(N102/Inputs!$B$10&lt;=AG102,Inputs!$F$5,IF(N102/Inputs!$B$10&gt;AP102,"OVERSIZE",INDEX(Inputs!$F$5:$F$14,MATCH(N102/Inputs!$B$10,AG102:AP102,1)+1))))</f>
        <v/>
      </c>
      <c r="R102" s="14"/>
      <c r="S102" s="14" t="str">
        <f t="shared" si="119"/>
        <v/>
      </c>
      <c r="T102" s="44" t="str">
        <f t="shared" si="120"/>
        <v/>
      </c>
      <c r="U102" s="44" t="str">
        <f>IF(T102="","",(1/Inputs!$B$9)*(PI()*T102^2/4)*((T102/4)^(2/3))*SQRT(P102))</f>
        <v/>
      </c>
      <c r="V102" s="44" t="str">
        <f>IF(OR(U102="",N102=""),"",N102/(U102*Inputs!$B$10))</f>
        <v/>
      </c>
      <c r="W102" s="44" t="str">
        <f t="shared" si="121"/>
        <v/>
      </c>
      <c r="X102" s="44"/>
      <c r="Y102" s="44" t="str">
        <f>IF(A102="","",IF(A102=Inputs!$B$6,Inputs!$B$22,IF(D102="","",IFERROR(INDEX($Z$4:$Z$201,MATCH(D102,$A$4:$A$201,0))+IF(X102="",Inputs!$B$20,X102),""))))</f>
        <v/>
      </c>
      <c r="Z102" s="44" t="str">
        <f t="shared" si="122"/>
        <v/>
      </c>
      <c r="AA102" s="44" t="str">
        <f>IF(C102="","",IFERROR(INDEX(Noeuds_plan!$C$4:$C$200,MATCH(C102,Noeuds_plan!$A$4:$A$200,0)),""))</f>
        <v/>
      </c>
      <c r="AB102" s="44" t="str">
        <f>IF(B102="","",IFERROR(INDEX(Noeuds_plan!$C$4:$C$200,MATCH(B102,Noeuds_plan!$A$4:$A$200,0)),""))</f>
        <v/>
      </c>
      <c r="AC102" s="44" t="str">
        <f t="shared" si="123"/>
        <v/>
      </c>
      <c r="AD102" s="44" t="str">
        <f t="shared" si="124"/>
        <v/>
      </c>
      <c r="AE102" s="14" t="str">
        <f>IF(A102="","",IF(OR(V102&gt;1,AND(AY102&lt;&gt;"",AY102&lt;Inputs!$B$11),AND(AY102&lt;&gt;"",AY102&gt;Inputs!$B$12),AC102&lt;Inputs!$B$19,AD102&lt;Inputs!$B$19,P102&lt;Inputs!$B$7,P102&gt;Inputs!$B$8),"CHECK","OK"))</f>
        <v/>
      </c>
      <c r="AF102" s="14"/>
      <c r="AG102" s="14" t="str">
        <f>IF(A102="","",(1/Inputs!$B$9)*(PI()*(Inputs!$F$5/1000)^2/4)*((Inputs!$F$5/1000/4)^(2/3))*SQRT(P102))</f>
        <v/>
      </c>
      <c r="AH102" s="14" t="str">
        <f>IF(A102="","",(1/Inputs!$B$9)*(PI()*(Inputs!$F$6/1000)^2/4)*((Inputs!$F$6/1000/4)^(2/3))*SQRT(P102))</f>
        <v/>
      </c>
      <c r="AI102" s="14" t="str">
        <f>IF(A102="","",(1/Inputs!$B$9)*(PI()*(Inputs!$F$7/1000)^2/4)*((Inputs!$F$7/1000/4)^(2/3))*SQRT(P102))</f>
        <v/>
      </c>
      <c r="AJ102" s="14" t="str">
        <f>IF(A102="","",(1/Inputs!$B$9)*(PI()*(Inputs!$F$8/1000)^2/4)*((Inputs!$F$8/1000/4)^(2/3))*SQRT(P102))</f>
        <v/>
      </c>
      <c r="AK102" s="14" t="str">
        <f>IF(A102="","",(1/Inputs!$B$9)*(PI()*(Inputs!$F$9/1000)^2/4)*((Inputs!$F$9/1000/4)^(2/3))*SQRT(P102))</f>
        <v/>
      </c>
      <c r="AL102" s="14" t="str">
        <f>IF(A102="","",(1/Inputs!$B$9)*(PI()*(Inputs!$F$10/1000)^2/4)*((Inputs!$F$10/1000/4)^(2/3))*SQRT(P102))</f>
        <v/>
      </c>
      <c r="AM102" s="14" t="str">
        <f>IF(A102="","",(1/Inputs!$B$9)*(PI()*(Inputs!$F$11/1000)^2/4)*((Inputs!$F$11/1000/4)^(2/3))*SQRT(P102))</f>
        <v/>
      </c>
      <c r="AN102" s="14" t="str">
        <f>IF(A102="","",(1/Inputs!$B$9)*(PI()*(Inputs!$F$12/1000)^2/4)*((Inputs!$F$12/1000/4)^(2/3))*SQRT(P102))</f>
        <v/>
      </c>
      <c r="AO102" s="14" t="str">
        <f>IF(A102="","",(1/Inputs!$B$9)*(PI()*(Inputs!$F$13/1000)^2/4)*((Inputs!$F$13/1000/4)^(2/3))*SQRT(P102))</f>
        <v/>
      </c>
      <c r="AP102" s="14" t="str">
        <f>IF(A102="","",(1/Inputs!$B$9)*(PI()*(Inputs!$F$14/1000)^2/4)*((Inputs!$F$14/1000/4)^(2/3))*SQRT(P102))</f>
        <v/>
      </c>
      <c r="AQ102" s="14" t="str">
        <f t="shared" si="125"/>
        <v/>
      </c>
      <c r="AR102" s="14" t="str">
        <f t="shared" si="126"/>
        <v/>
      </c>
      <c r="AS102" s="17" t="str">
        <f>IF(A102="","",IF(J102="",Inputs!$B$18,J102))</f>
        <v/>
      </c>
      <c r="AT102" s="17" t="str">
        <f>IF(A102="","",IFERROR(_xludf.maxifs($AV$4:$AV$201,$D$4:$D$201,$A102),""))</f>
        <v/>
      </c>
      <c r="AU102" s="17" t="str">
        <f>IF(A102="","",IF(OR(E102="",Inputs!$B$23=""),"",E102/(Inputs!$B$23*60)))</f>
        <v/>
      </c>
      <c r="AV102" s="17" t="str">
        <f t="shared" si="127"/>
        <v/>
      </c>
      <c r="AW102" s="17" t="str">
        <f t="shared" si="128"/>
        <v/>
      </c>
      <c r="AX102" s="17" t="str">
        <f>IF(OR(T102="",P102=""),"",(1/Inputs!$B$9)*((T102/4)^(2/3))*SQRT(P102))</f>
        <v/>
      </c>
      <c r="AY102" s="17" t="str">
        <f>IF(A102="","",IF(AND(AW102="",AX102="",BA102=""),"",IF(OR(UPPER(TRIM(Inputs!$B$24))="MANNING",UPPER(TRIM(Inputs!$B$24))="M"),AX102,IF(OR(UPPER(TRIM(Inputs!$B$24))="PARTIAL",UPPER(TRIM(Inputs!$B$24))="P"),BA102,IF(OR(UPPER(TRIM(Inputs!$B$24))="MAX",UPPER(TRIM(Inputs!$B$24))="X"),MAX(IF(AW102="",0,AW102),IF(AX102="",0,AX102),IF(BA102="",0,BA102)),AW102)))))</f>
        <v/>
      </c>
      <c r="AZ102" s="17" t="str">
        <f t="shared" si="129"/>
        <v/>
      </c>
      <c r="BA102" s="17" t="str">
        <f t="shared" si="130"/>
        <v/>
      </c>
      <c r="BB102" s="14" t="str">
        <f t="shared" si="131"/>
        <v/>
      </c>
      <c r="BC102" s="14" t="str">
        <f>IF(OR(N102="",T102="",P102=""),"",IF(OR(T102="",P102="",(0.94*T102)="",T102&lt;=0,(0.94*T102)&lt;=0),"",(1/Inputs!$B$9)*((T102^2/8)*((2*ACOS(1-2*(0.94*T102)/T102))-SIN((2*ACOS(1-2*(0.94*T102)/T102)))))*((((T102^2/8)*((2*ACOS(1-2*(0.94*T102)/T102))-SIN((2*ACOS(1-2*(0.94*T102)/T102)))))/((T102/2)*((2*ACOS(1-2*(0.94*T102)/T102)))))^(2/3))*SQRT(P102)))</f>
        <v/>
      </c>
      <c r="BD102" s="14" t="str">
        <f t="shared" si="132"/>
        <v/>
      </c>
      <c r="BE102" s="14" t="str">
        <f t="shared" si="133"/>
        <v/>
      </c>
      <c r="BF102" s="14" t="str">
        <f t="shared" si="134"/>
        <v/>
      </c>
      <c r="BG102" s="14" t="str">
        <f>IF(OR(T102="",P102="",BF102="",T102&lt;=0,BF102&lt;=0),"",(1/Inputs!$B$9)*((T102^2/8)*((2*ACOS(1-2*BF102/T102))-SIN((2*ACOS(1-2*BF102/T102)))))*((((T102^2/8)*((2*ACOS(1-2*BF102/T102))-SIN((2*ACOS(1-2*BF102/T102)))))/((T102/2)*((2*ACOS(1-2*BF102/T102)))))^(2/3))*SQRT(P102))</f>
        <v/>
      </c>
      <c r="BH102" s="14" t="str">
        <f t="shared" si="135"/>
        <v/>
      </c>
      <c r="BI102" s="14" t="str">
        <f t="shared" si="136"/>
        <v/>
      </c>
      <c r="BJ102" s="14" t="str">
        <f t="shared" si="137"/>
        <v/>
      </c>
      <c r="BK102" s="14" t="str">
        <f>IF(OR(T102="",P102="",BJ102="",T102&lt;=0,BJ102&lt;=0),"",(1/Inputs!$B$9)*((T102^2/8)*((2*ACOS(1-2*BJ102/T102))-SIN((2*ACOS(1-2*BJ102/T102)))))*((((T102^2/8)*((2*ACOS(1-2*BJ102/T102))-SIN((2*ACOS(1-2*BJ102/T102)))))/((T102/2)*((2*ACOS(1-2*BJ102/T102)))))^(2/3))*SQRT(P102))</f>
        <v/>
      </c>
      <c r="BL102" s="14" t="str">
        <f t="shared" si="138"/>
        <v/>
      </c>
      <c r="BM102" s="14" t="str">
        <f t="shared" si="139"/>
        <v/>
      </c>
      <c r="BN102" s="14" t="str">
        <f t="shared" si="140"/>
        <v/>
      </c>
      <c r="BO102" s="14" t="str">
        <f>IF(OR(T102="",P102="",BN102="",T102&lt;=0,BN102&lt;=0),"",(1/Inputs!$B$9)*((T102^2/8)*((2*ACOS(1-2*BN102/T102))-SIN((2*ACOS(1-2*BN102/T102)))))*((((T102^2/8)*((2*ACOS(1-2*BN102/T102))-SIN((2*ACOS(1-2*BN102/T102)))))/((T102/2)*((2*ACOS(1-2*BN102/T102)))))^(2/3))*SQRT(P102))</f>
        <v/>
      </c>
      <c r="BP102" s="14" t="str">
        <f t="shared" si="141"/>
        <v/>
      </c>
      <c r="BQ102" s="14" t="str">
        <f t="shared" si="142"/>
        <v/>
      </c>
      <c r="BR102" s="14" t="str">
        <f t="shared" si="143"/>
        <v/>
      </c>
      <c r="BS102" s="14" t="str">
        <f>IF(OR(T102="",P102="",BR102="",T102&lt;=0,BR102&lt;=0),"",(1/Inputs!$B$9)*((T102^2/8)*((2*ACOS(1-2*BR102/T102))-SIN((2*ACOS(1-2*BR102/T102)))))*((((T102^2/8)*((2*ACOS(1-2*BR102/T102))-SIN((2*ACOS(1-2*BR102/T102)))))/((T102/2)*((2*ACOS(1-2*BR102/T102)))))^(2/3))*SQRT(P102))</f>
        <v/>
      </c>
      <c r="BT102" s="14" t="str">
        <f t="shared" si="144"/>
        <v/>
      </c>
      <c r="BU102" s="14" t="str">
        <f t="shared" si="145"/>
        <v/>
      </c>
      <c r="BV102" s="14" t="str">
        <f t="shared" si="146"/>
        <v/>
      </c>
      <c r="BW102" s="14" t="str">
        <f>IF(OR(T102="",P102="",BV102="",T102&lt;=0,BV102&lt;=0),"",(1/Inputs!$B$9)*((T102^2/8)*((2*ACOS(1-2*BV102/T102))-SIN((2*ACOS(1-2*BV102/T102)))))*((((T102^2/8)*((2*ACOS(1-2*BV102/T102))-SIN((2*ACOS(1-2*BV102/T102)))))/((T102/2)*((2*ACOS(1-2*BV102/T102)))))^(2/3))*SQRT(P102))</f>
        <v/>
      </c>
      <c r="BX102" s="14" t="str">
        <f t="shared" si="147"/>
        <v/>
      </c>
      <c r="BY102" s="14" t="str">
        <f t="shared" si="148"/>
        <v/>
      </c>
      <c r="BZ102" s="14" t="str">
        <f t="shared" si="149"/>
        <v/>
      </c>
      <c r="CA102" s="14" t="str">
        <f>IF(OR(T102="",P102="",BZ102="",T102&lt;=0,BZ102&lt;=0),"",(1/Inputs!$B$9)*((T102^2/8)*((2*ACOS(1-2*BZ102/T102))-SIN((2*ACOS(1-2*BZ102/T102)))))*((((T102^2/8)*((2*ACOS(1-2*BZ102/T102))-SIN((2*ACOS(1-2*BZ102/T102)))))/((T102/2)*((2*ACOS(1-2*BZ102/T102)))))^(2/3))*SQRT(P102))</f>
        <v/>
      </c>
      <c r="CB102" s="14" t="str">
        <f t="shared" si="150"/>
        <v/>
      </c>
      <c r="CC102" s="14" t="str">
        <f t="shared" si="151"/>
        <v/>
      </c>
      <c r="CD102" s="14" t="str">
        <f t="shared" si="152"/>
        <v/>
      </c>
      <c r="CE102" s="14" t="str">
        <f>IF(OR(T102="",P102="",CD102="",T102&lt;=0,CD102&lt;=0),"",(1/Inputs!$B$9)*((T102^2/8)*((2*ACOS(1-2*CD102/T102))-SIN((2*ACOS(1-2*CD102/T102)))))*((((T102^2/8)*((2*ACOS(1-2*CD102/T102))-SIN((2*ACOS(1-2*CD102/T102)))))/((T102/2)*((2*ACOS(1-2*CD102/T102)))))^(2/3))*SQRT(P102))</f>
        <v/>
      </c>
      <c r="CF102" s="14" t="str">
        <f t="shared" si="153"/>
        <v/>
      </c>
      <c r="CG102" s="14" t="str">
        <f t="shared" si="154"/>
        <v/>
      </c>
      <c r="CH102" s="14" t="str">
        <f t="shared" si="155"/>
        <v/>
      </c>
    </row>
    <row r="103" spans="1:86" x14ac:dyDescent="0.25">
      <c r="A103" s="14"/>
      <c r="B103" s="14"/>
      <c r="C103" s="14"/>
      <c r="D103" s="14"/>
      <c r="E103" s="44"/>
      <c r="F103" s="44"/>
      <c r="G103" s="44">
        <f>SUMIFS(CB_plan!$G:$G,CB_plan!$F:$F,$A103)</f>
        <v>0</v>
      </c>
      <c r="H103" s="44">
        <f t="shared" si="117"/>
        <v>0</v>
      </c>
      <c r="I103" s="14"/>
      <c r="J103" s="44"/>
      <c r="K103" s="44" t="str">
        <f>IF(A103="","",Inputs!$B$13/((IF(AV103="",Inputs!$B$18,AV103)+Inputs!$B$14)^Inputs!$B$15))</f>
        <v/>
      </c>
      <c r="L103" s="44" t="str">
        <f>IF(A103="","",IF(H103="","",0.000000278*IF(I103&lt;&gt;"",I103,IFERROR(SUMIFS(CB_plan!$H:$H,CB_plan!$F:$F,$A103)/SUMIFS(CB_plan!$G:$G,CB_plan!$F:$F,$A103),Inputs!$B$17))*H103*K103))</f>
        <v/>
      </c>
      <c r="M103" s="44" t="str">
        <f t="shared" si="118"/>
        <v/>
      </c>
      <c r="N103" s="44" t="str">
        <f>IF(A103="","",(L103+M103)*Inputs!$B$16)</f>
        <v/>
      </c>
      <c r="O103" s="44"/>
      <c r="P103" s="44" t="str">
        <f>IF(A103="","",IF(O103="",Inputs!$B$7,O103))</f>
        <v/>
      </c>
      <c r="Q103" s="14" t="str">
        <f>IF(A103="","",IF(N103/Inputs!$B$10&lt;=AG103,Inputs!$F$5,IF(N103/Inputs!$B$10&gt;AP103,"OVERSIZE",INDEX(Inputs!$F$5:$F$14,MATCH(N103/Inputs!$B$10,AG103:AP103,1)+1))))</f>
        <v/>
      </c>
      <c r="R103" s="14"/>
      <c r="S103" s="14" t="str">
        <f t="shared" si="119"/>
        <v/>
      </c>
      <c r="T103" s="44" t="str">
        <f t="shared" si="120"/>
        <v/>
      </c>
      <c r="U103" s="44" t="str">
        <f>IF(T103="","",(1/Inputs!$B$9)*(PI()*T103^2/4)*((T103/4)^(2/3))*SQRT(P103))</f>
        <v/>
      </c>
      <c r="V103" s="44" t="str">
        <f>IF(OR(U103="",N103=""),"",N103/(U103*Inputs!$B$10))</f>
        <v/>
      </c>
      <c r="W103" s="44" t="str">
        <f t="shared" si="121"/>
        <v/>
      </c>
      <c r="X103" s="44"/>
      <c r="Y103" s="44" t="str">
        <f>IF(A103="","",IF(A103=Inputs!$B$6,Inputs!$B$22,IF(D103="","",IFERROR(INDEX($Z$4:$Z$201,MATCH(D103,$A$4:$A$201,0))+IF(X103="",Inputs!$B$20,X103),""))))</f>
        <v/>
      </c>
      <c r="Z103" s="44" t="str">
        <f t="shared" si="122"/>
        <v/>
      </c>
      <c r="AA103" s="44" t="str">
        <f>IF(C103="","",IFERROR(INDEX(Noeuds_plan!$C$4:$C$200,MATCH(C103,Noeuds_plan!$A$4:$A$200,0)),""))</f>
        <v/>
      </c>
      <c r="AB103" s="44" t="str">
        <f>IF(B103="","",IFERROR(INDEX(Noeuds_plan!$C$4:$C$200,MATCH(B103,Noeuds_plan!$A$4:$A$200,0)),""))</f>
        <v/>
      </c>
      <c r="AC103" s="44" t="str">
        <f t="shared" si="123"/>
        <v/>
      </c>
      <c r="AD103" s="44" t="str">
        <f t="shared" si="124"/>
        <v/>
      </c>
      <c r="AE103" s="14" t="str">
        <f>IF(A103="","",IF(OR(V103&gt;1,AND(AY103&lt;&gt;"",AY103&lt;Inputs!$B$11),AND(AY103&lt;&gt;"",AY103&gt;Inputs!$B$12),AC103&lt;Inputs!$B$19,AD103&lt;Inputs!$B$19,P103&lt;Inputs!$B$7,P103&gt;Inputs!$B$8),"CHECK","OK"))</f>
        <v/>
      </c>
      <c r="AF103" s="14"/>
      <c r="AG103" s="14" t="str">
        <f>IF(A103="","",(1/Inputs!$B$9)*(PI()*(Inputs!$F$5/1000)^2/4)*((Inputs!$F$5/1000/4)^(2/3))*SQRT(P103))</f>
        <v/>
      </c>
      <c r="AH103" s="14" t="str">
        <f>IF(A103="","",(1/Inputs!$B$9)*(PI()*(Inputs!$F$6/1000)^2/4)*((Inputs!$F$6/1000/4)^(2/3))*SQRT(P103))</f>
        <v/>
      </c>
      <c r="AI103" s="14" t="str">
        <f>IF(A103="","",(1/Inputs!$B$9)*(PI()*(Inputs!$F$7/1000)^2/4)*((Inputs!$F$7/1000/4)^(2/3))*SQRT(P103))</f>
        <v/>
      </c>
      <c r="AJ103" s="14" t="str">
        <f>IF(A103="","",(1/Inputs!$B$9)*(PI()*(Inputs!$F$8/1000)^2/4)*((Inputs!$F$8/1000/4)^(2/3))*SQRT(P103))</f>
        <v/>
      </c>
      <c r="AK103" s="14" t="str">
        <f>IF(A103="","",(1/Inputs!$B$9)*(PI()*(Inputs!$F$9/1000)^2/4)*((Inputs!$F$9/1000/4)^(2/3))*SQRT(P103))</f>
        <v/>
      </c>
      <c r="AL103" s="14" t="str">
        <f>IF(A103="","",(1/Inputs!$B$9)*(PI()*(Inputs!$F$10/1000)^2/4)*((Inputs!$F$10/1000/4)^(2/3))*SQRT(P103))</f>
        <v/>
      </c>
      <c r="AM103" s="14" t="str">
        <f>IF(A103="","",(1/Inputs!$B$9)*(PI()*(Inputs!$F$11/1000)^2/4)*((Inputs!$F$11/1000/4)^(2/3))*SQRT(P103))</f>
        <v/>
      </c>
      <c r="AN103" s="14" t="str">
        <f>IF(A103="","",(1/Inputs!$B$9)*(PI()*(Inputs!$F$12/1000)^2/4)*((Inputs!$F$12/1000/4)^(2/3))*SQRT(P103))</f>
        <v/>
      </c>
      <c r="AO103" s="14" t="str">
        <f>IF(A103="","",(1/Inputs!$B$9)*(PI()*(Inputs!$F$13/1000)^2/4)*((Inputs!$F$13/1000/4)^(2/3))*SQRT(P103))</f>
        <v/>
      </c>
      <c r="AP103" s="14" t="str">
        <f>IF(A103="","",(1/Inputs!$B$9)*(PI()*(Inputs!$F$14/1000)^2/4)*((Inputs!$F$14/1000/4)^(2/3))*SQRT(P103))</f>
        <v/>
      </c>
      <c r="AQ103" s="14" t="str">
        <f t="shared" si="125"/>
        <v/>
      </c>
      <c r="AR103" s="14" t="str">
        <f t="shared" si="126"/>
        <v/>
      </c>
      <c r="AS103" s="17" t="str">
        <f>IF(A103="","",IF(J103="",Inputs!$B$18,J103))</f>
        <v/>
      </c>
      <c r="AT103" s="17" t="str">
        <f>IF(A103="","",IFERROR(_xludf.maxifs($AV$4:$AV$201,$D$4:$D$201,$A103),""))</f>
        <v/>
      </c>
      <c r="AU103" s="17" t="str">
        <f>IF(A103="","",IF(OR(E103="",Inputs!$B$23=""),"",E103/(Inputs!$B$23*60)))</f>
        <v/>
      </c>
      <c r="AV103" s="17" t="str">
        <f t="shared" si="127"/>
        <v/>
      </c>
      <c r="AW103" s="17" t="str">
        <f t="shared" si="128"/>
        <v/>
      </c>
      <c r="AX103" s="17" t="str">
        <f>IF(OR(T103="",P103=""),"",(1/Inputs!$B$9)*((T103/4)^(2/3))*SQRT(P103))</f>
        <v/>
      </c>
      <c r="AY103" s="17" t="str">
        <f>IF(A103="","",IF(AND(AW103="",AX103="",BA103=""),"",IF(OR(UPPER(TRIM(Inputs!$B$24))="MANNING",UPPER(TRIM(Inputs!$B$24))="M"),AX103,IF(OR(UPPER(TRIM(Inputs!$B$24))="PARTIAL",UPPER(TRIM(Inputs!$B$24))="P"),BA103,IF(OR(UPPER(TRIM(Inputs!$B$24))="MAX",UPPER(TRIM(Inputs!$B$24))="X"),MAX(IF(AW103="",0,AW103),IF(AX103="",0,AX103),IF(BA103="",0,BA103)),AW103)))))</f>
        <v/>
      </c>
      <c r="AZ103" s="17" t="str">
        <f t="shared" si="129"/>
        <v/>
      </c>
      <c r="BA103" s="17" t="str">
        <f t="shared" si="130"/>
        <v/>
      </c>
      <c r="BB103" s="14" t="str">
        <f t="shared" si="131"/>
        <v/>
      </c>
      <c r="BC103" s="14" t="str">
        <f>IF(OR(N103="",T103="",P103=""),"",IF(OR(T103="",P103="",(0.94*T103)="",T103&lt;=0,(0.94*T103)&lt;=0),"",(1/Inputs!$B$9)*((T103^2/8)*((2*ACOS(1-2*(0.94*T103)/T103))-SIN((2*ACOS(1-2*(0.94*T103)/T103)))))*((((T103^2/8)*((2*ACOS(1-2*(0.94*T103)/T103))-SIN((2*ACOS(1-2*(0.94*T103)/T103)))))/((T103/2)*((2*ACOS(1-2*(0.94*T103)/T103)))))^(2/3))*SQRT(P103)))</f>
        <v/>
      </c>
      <c r="BD103" s="14" t="str">
        <f t="shared" si="132"/>
        <v/>
      </c>
      <c r="BE103" s="14" t="str">
        <f t="shared" si="133"/>
        <v/>
      </c>
      <c r="BF103" s="14" t="str">
        <f t="shared" si="134"/>
        <v/>
      </c>
      <c r="BG103" s="14" t="str">
        <f>IF(OR(T103="",P103="",BF103="",T103&lt;=0,BF103&lt;=0),"",(1/Inputs!$B$9)*((T103^2/8)*((2*ACOS(1-2*BF103/T103))-SIN((2*ACOS(1-2*BF103/T103)))))*((((T103^2/8)*((2*ACOS(1-2*BF103/T103))-SIN((2*ACOS(1-2*BF103/T103)))))/((T103/2)*((2*ACOS(1-2*BF103/T103)))))^(2/3))*SQRT(P103))</f>
        <v/>
      </c>
      <c r="BH103" s="14" t="str">
        <f t="shared" si="135"/>
        <v/>
      </c>
      <c r="BI103" s="14" t="str">
        <f t="shared" si="136"/>
        <v/>
      </c>
      <c r="BJ103" s="14" t="str">
        <f t="shared" si="137"/>
        <v/>
      </c>
      <c r="BK103" s="14" t="str">
        <f>IF(OR(T103="",P103="",BJ103="",T103&lt;=0,BJ103&lt;=0),"",(1/Inputs!$B$9)*((T103^2/8)*((2*ACOS(1-2*BJ103/T103))-SIN((2*ACOS(1-2*BJ103/T103)))))*((((T103^2/8)*((2*ACOS(1-2*BJ103/T103))-SIN((2*ACOS(1-2*BJ103/T103)))))/((T103/2)*((2*ACOS(1-2*BJ103/T103)))))^(2/3))*SQRT(P103))</f>
        <v/>
      </c>
      <c r="BL103" s="14" t="str">
        <f t="shared" si="138"/>
        <v/>
      </c>
      <c r="BM103" s="14" t="str">
        <f t="shared" si="139"/>
        <v/>
      </c>
      <c r="BN103" s="14" t="str">
        <f t="shared" si="140"/>
        <v/>
      </c>
      <c r="BO103" s="14" t="str">
        <f>IF(OR(T103="",P103="",BN103="",T103&lt;=0,BN103&lt;=0),"",(1/Inputs!$B$9)*((T103^2/8)*((2*ACOS(1-2*BN103/T103))-SIN((2*ACOS(1-2*BN103/T103)))))*((((T103^2/8)*((2*ACOS(1-2*BN103/T103))-SIN((2*ACOS(1-2*BN103/T103)))))/((T103/2)*((2*ACOS(1-2*BN103/T103)))))^(2/3))*SQRT(P103))</f>
        <v/>
      </c>
      <c r="BP103" s="14" t="str">
        <f t="shared" si="141"/>
        <v/>
      </c>
      <c r="BQ103" s="14" t="str">
        <f t="shared" si="142"/>
        <v/>
      </c>
      <c r="BR103" s="14" t="str">
        <f t="shared" si="143"/>
        <v/>
      </c>
      <c r="BS103" s="14" t="str">
        <f>IF(OR(T103="",P103="",BR103="",T103&lt;=0,BR103&lt;=0),"",(1/Inputs!$B$9)*((T103^2/8)*((2*ACOS(1-2*BR103/T103))-SIN((2*ACOS(1-2*BR103/T103)))))*((((T103^2/8)*((2*ACOS(1-2*BR103/T103))-SIN((2*ACOS(1-2*BR103/T103)))))/((T103/2)*((2*ACOS(1-2*BR103/T103)))))^(2/3))*SQRT(P103))</f>
        <v/>
      </c>
      <c r="BT103" s="14" t="str">
        <f t="shared" si="144"/>
        <v/>
      </c>
      <c r="BU103" s="14" t="str">
        <f t="shared" si="145"/>
        <v/>
      </c>
      <c r="BV103" s="14" t="str">
        <f t="shared" si="146"/>
        <v/>
      </c>
      <c r="BW103" s="14" t="str">
        <f>IF(OR(T103="",P103="",BV103="",T103&lt;=0,BV103&lt;=0),"",(1/Inputs!$B$9)*((T103^2/8)*((2*ACOS(1-2*BV103/T103))-SIN((2*ACOS(1-2*BV103/T103)))))*((((T103^2/8)*((2*ACOS(1-2*BV103/T103))-SIN((2*ACOS(1-2*BV103/T103)))))/((T103/2)*((2*ACOS(1-2*BV103/T103)))))^(2/3))*SQRT(P103))</f>
        <v/>
      </c>
      <c r="BX103" s="14" t="str">
        <f t="shared" si="147"/>
        <v/>
      </c>
      <c r="BY103" s="14" t="str">
        <f t="shared" si="148"/>
        <v/>
      </c>
      <c r="BZ103" s="14" t="str">
        <f t="shared" si="149"/>
        <v/>
      </c>
      <c r="CA103" s="14" t="str">
        <f>IF(OR(T103="",P103="",BZ103="",T103&lt;=0,BZ103&lt;=0),"",(1/Inputs!$B$9)*((T103^2/8)*((2*ACOS(1-2*BZ103/T103))-SIN((2*ACOS(1-2*BZ103/T103)))))*((((T103^2/8)*((2*ACOS(1-2*BZ103/T103))-SIN((2*ACOS(1-2*BZ103/T103)))))/((T103/2)*((2*ACOS(1-2*BZ103/T103)))))^(2/3))*SQRT(P103))</f>
        <v/>
      </c>
      <c r="CB103" s="14" t="str">
        <f t="shared" si="150"/>
        <v/>
      </c>
      <c r="CC103" s="14" t="str">
        <f t="shared" si="151"/>
        <v/>
      </c>
      <c r="CD103" s="14" t="str">
        <f t="shared" si="152"/>
        <v/>
      </c>
      <c r="CE103" s="14" t="str">
        <f>IF(OR(T103="",P103="",CD103="",T103&lt;=0,CD103&lt;=0),"",(1/Inputs!$B$9)*((T103^2/8)*((2*ACOS(1-2*CD103/T103))-SIN((2*ACOS(1-2*CD103/T103)))))*((((T103^2/8)*((2*ACOS(1-2*CD103/T103))-SIN((2*ACOS(1-2*CD103/T103)))))/((T103/2)*((2*ACOS(1-2*CD103/T103)))))^(2/3))*SQRT(P103))</f>
        <v/>
      </c>
      <c r="CF103" s="14" t="str">
        <f t="shared" si="153"/>
        <v/>
      </c>
      <c r="CG103" s="14" t="str">
        <f t="shared" si="154"/>
        <v/>
      </c>
      <c r="CH103" s="14" t="str">
        <f t="shared" si="155"/>
        <v/>
      </c>
    </row>
    <row r="104" spans="1:86" x14ac:dyDescent="0.25">
      <c r="A104" s="14"/>
      <c r="B104" s="14"/>
      <c r="C104" s="14"/>
      <c r="D104" s="14"/>
      <c r="E104" s="44"/>
      <c r="F104" s="44"/>
      <c r="G104" s="44">
        <f>SUMIFS(CB_plan!$G:$G,CB_plan!$F:$F,$A104)</f>
        <v>0</v>
      </c>
      <c r="H104" s="44">
        <f t="shared" si="117"/>
        <v>0</v>
      </c>
      <c r="I104" s="14"/>
      <c r="J104" s="44"/>
      <c r="K104" s="44" t="str">
        <f>IF(A104="","",Inputs!$B$13/((IF(AV104="",Inputs!$B$18,AV104)+Inputs!$B$14)^Inputs!$B$15))</f>
        <v/>
      </c>
      <c r="L104" s="44" t="str">
        <f>IF(A104="","",IF(H104="","",0.000000278*IF(I104&lt;&gt;"",I104,IFERROR(SUMIFS(CB_plan!$H:$H,CB_plan!$F:$F,$A104)/SUMIFS(CB_plan!$G:$G,CB_plan!$F:$F,$A104),Inputs!$B$17))*H104*K104))</f>
        <v/>
      </c>
      <c r="M104" s="44" t="str">
        <f t="shared" si="118"/>
        <v/>
      </c>
      <c r="N104" s="44" t="str">
        <f>IF(A104="","",(L104+M104)*Inputs!$B$16)</f>
        <v/>
      </c>
      <c r="O104" s="44"/>
      <c r="P104" s="44" t="str">
        <f>IF(A104="","",IF(O104="",Inputs!$B$7,O104))</f>
        <v/>
      </c>
      <c r="Q104" s="14" t="str">
        <f>IF(A104="","",IF(N104/Inputs!$B$10&lt;=AG104,Inputs!$F$5,IF(N104/Inputs!$B$10&gt;AP104,"OVERSIZE",INDEX(Inputs!$F$5:$F$14,MATCH(N104/Inputs!$B$10,AG104:AP104,1)+1))))</f>
        <v/>
      </c>
      <c r="R104" s="14"/>
      <c r="S104" s="14" t="str">
        <f t="shared" si="119"/>
        <v/>
      </c>
      <c r="T104" s="44" t="str">
        <f t="shared" si="120"/>
        <v/>
      </c>
      <c r="U104" s="44" t="str">
        <f>IF(T104="","",(1/Inputs!$B$9)*(PI()*T104^2/4)*((T104/4)^(2/3))*SQRT(P104))</f>
        <v/>
      </c>
      <c r="V104" s="44" t="str">
        <f>IF(OR(U104="",N104=""),"",N104/(U104*Inputs!$B$10))</f>
        <v/>
      </c>
      <c r="W104" s="44" t="str">
        <f t="shared" si="121"/>
        <v/>
      </c>
      <c r="X104" s="44"/>
      <c r="Y104" s="44" t="str">
        <f>IF(A104="","",IF(A104=Inputs!$B$6,Inputs!$B$22,IF(D104="","",IFERROR(INDEX($Z$4:$Z$201,MATCH(D104,$A$4:$A$201,0))+IF(X104="",Inputs!$B$20,X104),""))))</f>
        <v/>
      </c>
      <c r="Z104" s="44" t="str">
        <f t="shared" si="122"/>
        <v/>
      </c>
      <c r="AA104" s="44" t="str">
        <f>IF(C104="","",IFERROR(INDEX(Noeuds_plan!$C$4:$C$200,MATCH(C104,Noeuds_plan!$A$4:$A$200,0)),""))</f>
        <v/>
      </c>
      <c r="AB104" s="44" t="str">
        <f>IF(B104="","",IFERROR(INDEX(Noeuds_plan!$C$4:$C$200,MATCH(B104,Noeuds_plan!$A$4:$A$200,0)),""))</f>
        <v/>
      </c>
      <c r="AC104" s="44" t="str">
        <f t="shared" si="123"/>
        <v/>
      </c>
      <c r="AD104" s="44" t="str">
        <f t="shared" si="124"/>
        <v/>
      </c>
      <c r="AE104" s="14" t="str">
        <f>IF(A104="","",IF(OR(V104&gt;1,AND(AY104&lt;&gt;"",AY104&lt;Inputs!$B$11),AND(AY104&lt;&gt;"",AY104&gt;Inputs!$B$12),AC104&lt;Inputs!$B$19,AD104&lt;Inputs!$B$19,P104&lt;Inputs!$B$7,P104&gt;Inputs!$B$8),"CHECK","OK"))</f>
        <v/>
      </c>
      <c r="AF104" s="14"/>
      <c r="AG104" s="14" t="str">
        <f>IF(A104="","",(1/Inputs!$B$9)*(PI()*(Inputs!$F$5/1000)^2/4)*((Inputs!$F$5/1000/4)^(2/3))*SQRT(P104))</f>
        <v/>
      </c>
      <c r="AH104" s="14" t="str">
        <f>IF(A104="","",(1/Inputs!$B$9)*(PI()*(Inputs!$F$6/1000)^2/4)*((Inputs!$F$6/1000/4)^(2/3))*SQRT(P104))</f>
        <v/>
      </c>
      <c r="AI104" s="14" t="str">
        <f>IF(A104="","",(1/Inputs!$B$9)*(PI()*(Inputs!$F$7/1000)^2/4)*((Inputs!$F$7/1000/4)^(2/3))*SQRT(P104))</f>
        <v/>
      </c>
      <c r="AJ104" s="14" t="str">
        <f>IF(A104="","",(1/Inputs!$B$9)*(PI()*(Inputs!$F$8/1000)^2/4)*((Inputs!$F$8/1000/4)^(2/3))*SQRT(P104))</f>
        <v/>
      </c>
      <c r="AK104" s="14" t="str">
        <f>IF(A104="","",(1/Inputs!$B$9)*(PI()*(Inputs!$F$9/1000)^2/4)*((Inputs!$F$9/1000/4)^(2/3))*SQRT(P104))</f>
        <v/>
      </c>
      <c r="AL104" s="14" t="str">
        <f>IF(A104="","",(1/Inputs!$B$9)*(PI()*(Inputs!$F$10/1000)^2/4)*((Inputs!$F$10/1000/4)^(2/3))*SQRT(P104))</f>
        <v/>
      </c>
      <c r="AM104" s="14" t="str">
        <f>IF(A104="","",(1/Inputs!$B$9)*(PI()*(Inputs!$F$11/1000)^2/4)*((Inputs!$F$11/1000/4)^(2/3))*SQRT(P104))</f>
        <v/>
      </c>
      <c r="AN104" s="14" t="str">
        <f>IF(A104="","",(1/Inputs!$B$9)*(PI()*(Inputs!$F$12/1000)^2/4)*((Inputs!$F$12/1000/4)^(2/3))*SQRT(P104))</f>
        <v/>
      </c>
      <c r="AO104" s="14" t="str">
        <f>IF(A104="","",(1/Inputs!$B$9)*(PI()*(Inputs!$F$13/1000)^2/4)*((Inputs!$F$13/1000/4)^(2/3))*SQRT(P104))</f>
        <v/>
      </c>
      <c r="AP104" s="14" t="str">
        <f>IF(A104="","",(1/Inputs!$B$9)*(PI()*(Inputs!$F$14/1000)^2/4)*((Inputs!$F$14/1000/4)^(2/3))*SQRT(P104))</f>
        <v/>
      </c>
      <c r="AQ104" s="14" t="str">
        <f t="shared" si="125"/>
        <v/>
      </c>
      <c r="AR104" s="14" t="str">
        <f t="shared" si="126"/>
        <v/>
      </c>
      <c r="AS104" s="17" t="str">
        <f>IF(A104="","",IF(J104="",Inputs!$B$18,J104))</f>
        <v/>
      </c>
      <c r="AT104" s="17" t="str">
        <f>IF(A104="","",IFERROR(_xludf.maxifs($AV$4:$AV$201,$D$4:$D$201,$A104),""))</f>
        <v/>
      </c>
      <c r="AU104" s="17" t="str">
        <f>IF(A104="","",IF(OR(E104="",Inputs!$B$23=""),"",E104/(Inputs!$B$23*60)))</f>
        <v/>
      </c>
      <c r="AV104" s="17" t="str">
        <f t="shared" si="127"/>
        <v/>
      </c>
      <c r="AW104" s="17" t="str">
        <f t="shared" si="128"/>
        <v/>
      </c>
      <c r="AX104" s="17" t="str">
        <f>IF(OR(T104="",P104=""),"",(1/Inputs!$B$9)*((T104/4)^(2/3))*SQRT(P104))</f>
        <v/>
      </c>
      <c r="AY104" s="17" t="str">
        <f>IF(A104="","",IF(AND(AW104="",AX104="",BA104=""),"",IF(OR(UPPER(TRIM(Inputs!$B$24))="MANNING",UPPER(TRIM(Inputs!$B$24))="M"),AX104,IF(OR(UPPER(TRIM(Inputs!$B$24))="PARTIAL",UPPER(TRIM(Inputs!$B$24))="P"),BA104,IF(OR(UPPER(TRIM(Inputs!$B$24))="MAX",UPPER(TRIM(Inputs!$B$24))="X"),MAX(IF(AW104="",0,AW104),IF(AX104="",0,AX104),IF(BA104="",0,BA104)),AW104)))))</f>
        <v/>
      </c>
      <c r="AZ104" s="17" t="str">
        <f t="shared" si="129"/>
        <v/>
      </c>
      <c r="BA104" s="17" t="str">
        <f t="shared" si="130"/>
        <v/>
      </c>
      <c r="BB104" s="14" t="str">
        <f t="shared" si="131"/>
        <v/>
      </c>
      <c r="BC104" s="14" t="str">
        <f>IF(OR(N104="",T104="",P104=""),"",IF(OR(T104="",P104="",(0.94*T104)="",T104&lt;=0,(0.94*T104)&lt;=0),"",(1/Inputs!$B$9)*((T104^2/8)*((2*ACOS(1-2*(0.94*T104)/T104))-SIN((2*ACOS(1-2*(0.94*T104)/T104)))))*((((T104^2/8)*((2*ACOS(1-2*(0.94*T104)/T104))-SIN((2*ACOS(1-2*(0.94*T104)/T104)))))/((T104/2)*((2*ACOS(1-2*(0.94*T104)/T104)))))^(2/3))*SQRT(P104)))</f>
        <v/>
      </c>
      <c r="BD104" s="14" t="str">
        <f t="shared" si="132"/>
        <v/>
      </c>
      <c r="BE104" s="14" t="str">
        <f t="shared" si="133"/>
        <v/>
      </c>
      <c r="BF104" s="14" t="str">
        <f t="shared" si="134"/>
        <v/>
      </c>
      <c r="BG104" s="14" t="str">
        <f>IF(OR(T104="",P104="",BF104="",T104&lt;=0,BF104&lt;=0),"",(1/Inputs!$B$9)*((T104^2/8)*((2*ACOS(1-2*BF104/T104))-SIN((2*ACOS(1-2*BF104/T104)))))*((((T104^2/8)*((2*ACOS(1-2*BF104/T104))-SIN((2*ACOS(1-2*BF104/T104)))))/((T104/2)*((2*ACOS(1-2*BF104/T104)))))^(2/3))*SQRT(P104))</f>
        <v/>
      </c>
      <c r="BH104" s="14" t="str">
        <f t="shared" si="135"/>
        <v/>
      </c>
      <c r="BI104" s="14" t="str">
        <f t="shared" si="136"/>
        <v/>
      </c>
      <c r="BJ104" s="14" t="str">
        <f t="shared" si="137"/>
        <v/>
      </c>
      <c r="BK104" s="14" t="str">
        <f>IF(OR(T104="",P104="",BJ104="",T104&lt;=0,BJ104&lt;=0),"",(1/Inputs!$B$9)*((T104^2/8)*((2*ACOS(1-2*BJ104/T104))-SIN((2*ACOS(1-2*BJ104/T104)))))*((((T104^2/8)*((2*ACOS(1-2*BJ104/T104))-SIN((2*ACOS(1-2*BJ104/T104)))))/((T104/2)*((2*ACOS(1-2*BJ104/T104)))))^(2/3))*SQRT(P104))</f>
        <v/>
      </c>
      <c r="BL104" s="14" t="str">
        <f t="shared" si="138"/>
        <v/>
      </c>
      <c r="BM104" s="14" t="str">
        <f t="shared" si="139"/>
        <v/>
      </c>
      <c r="BN104" s="14" t="str">
        <f t="shared" si="140"/>
        <v/>
      </c>
      <c r="BO104" s="14" t="str">
        <f>IF(OR(T104="",P104="",BN104="",T104&lt;=0,BN104&lt;=0),"",(1/Inputs!$B$9)*((T104^2/8)*((2*ACOS(1-2*BN104/T104))-SIN((2*ACOS(1-2*BN104/T104)))))*((((T104^2/8)*((2*ACOS(1-2*BN104/T104))-SIN((2*ACOS(1-2*BN104/T104)))))/((T104/2)*((2*ACOS(1-2*BN104/T104)))))^(2/3))*SQRT(P104))</f>
        <v/>
      </c>
      <c r="BP104" s="14" t="str">
        <f t="shared" si="141"/>
        <v/>
      </c>
      <c r="BQ104" s="14" t="str">
        <f t="shared" si="142"/>
        <v/>
      </c>
      <c r="BR104" s="14" t="str">
        <f t="shared" si="143"/>
        <v/>
      </c>
      <c r="BS104" s="14" t="str">
        <f>IF(OR(T104="",P104="",BR104="",T104&lt;=0,BR104&lt;=0),"",(1/Inputs!$B$9)*((T104^2/8)*((2*ACOS(1-2*BR104/T104))-SIN((2*ACOS(1-2*BR104/T104)))))*((((T104^2/8)*((2*ACOS(1-2*BR104/T104))-SIN((2*ACOS(1-2*BR104/T104)))))/((T104/2)*((2*ACOS(1-2*BR104/T104)))))^(2/3))*SQRT(P104))</f>
        <v/>
      </c>
      <c r="BT104" s="14" t="str">
        <f t="shared" si="144"/>
        <v/>
      </c>
      <c r="BU104" s="14" t="str">
        <f t="shared" si="145"/>
        <v/>
      </c>
      <c r="BV104" s="14" t="str">
        <f t="shared" si="146"/>
        <v/>
      </c>
      <c r="BW104" s="14" t="str">
        <f>IF(OR(T104="",P104="",BV104="",T104&lt;=0,BV104&lt;=0),"",(1/Inputs!$B$9)*((T104^2/8)*((2*ACOS(1-2*BV104/T104))-SIN((2*ACOS(1-2*BV104/T104)))))*((((T104^2/8)*((2*ACOS(1-2*BV104/T104))-SIN((2*ACOS(1-2*BV104/T104)))))/((T104/2)*((2*ACOS(1-2*BV104/T104)))))^(2/3))*SQRT(P104))</f>
        <v/>
      </c>
      <c r="BX104" s="14" t="str">
        <f t="shared" si="147"/>
        <v/>
      </c>
      <c r="BY104" s="14" t="str">
        <f t="shared" si="148"/>
        <v/>
      </c>
      <c r="BZ104" s="14" t="str">
        <f t="shared" si="149"/>
        <v/>
      </c>
      <c r="CA104" s="14" t="str">
        <f>IF(OR(T104="",P104="",BZ104="",T104&lt;=0,BZ104&lt;=0),"",(1/Inputs!$B$9)*((T104^2/8)*((2*ACOS(1-2*BZ104/T104))-SIN((2*ACOS(1-2*BZ104/T104)))))*((((T104^2/8)*((2*ACOS(1-2*BZ104/T104))-SIN((2*ACOS(1-2*BZ104/T104)))))/((T104/2)*((2*ACOS(1-2*BZ104/T104)))))^(2/3))*SQRT(P104))</f>
        <v/>
      </c>
      <c r="CB104" s="14" t="str">
        <f t="shared" si="150"/>
        <v/>
      </c>
      <c r="CC104" s="14" t="str">
        <f t="shared" si="151"/>
        <v/>
      </c>
      <c r="CD104" s="14" t="str">
        <f t="shared" si="152"/>
        <v/>
      </c>
      <c r="CE104" s="14" t="str">
        <f>IF(OR(T104="",P104="",CD104="",T104&lt;=0,CD104&lt;=0),"",(1/Inputs!$B$9)*((T104^2/8)*((2*ACOS(1-2*CD104/T104))-SIN((2*ACOS(1-2*CD104/T104)))))*((((T104^2/8)*((2*ACOS(1-2*CD104/T104))-SIN((2*ACOS(1-2*CD104/T104)))))/((T104/2)*((2*ACOS(1-2*CD104/T104)))))^(2/3))*SQRT(P104))</f>
        <v/>
      </c>
      <c r="CF104" s="14" t="str">
        <f t="shared" si="153"/>
        <v/>
      </c>
      <c r="CG104" s="14" t="str">
        <f t="shared" si="154"/>
        <v/>
      </c>
      <c r="CH104" s="14" t="str">
        <f t="shared" si="155"/>
        <v/>
      </c>
    </row>
    <row r="105" spans="1:86" x14ac:dyDescent="0.25">
      <c r="A105" s="14"/>
      <c r="B105" s="14"/>
      <c r="C105" s="14"/>
      <c r="D105" s="14"/>
      <c r="E105" s="44"/>
      <c r="F105" s="44"/>
      <c r="G105" s="44">
        <f>SUMIFS(CB_plan!$G:$G,CB_plan!$F:$F,$A105)</f>
        <v>0</v>
      </c>
      <c r="H105" s="44">
        <f t="shared" si="117"/>
        <v>0</v>
      </c>
      <c r="I105" s="14"/>
      <c r="J105" s="44"/>
      <c r="K105" s="44" t="str">
        <f>IF(A105="","",Inputs!$B$13/((IF(AV105="",Inputs!$B$18,AV105)+Inputs!$B$14)^Inputs!$B$15))</f>
        <v/>
      </c>
      <c r="L105" s="44" t="str">
        <f>IF(A105="","",IF(H105="","",0.000000278*IF(I105&lt;&gt;"",I105,IFERROR(SUMIFS(CB_plan!$H:$H,CB_plan!$F:$F,$A105)/SUMIFS(CB_plan!$G:$G,CB_plan!$F:$F,$A105),Inputs!$B$17))*H105*K105))</f>
        <v/>
      </c>
      <c r="M105" s="44" t="str">
        <f t="shared" si="118"/>
        <v/>
      </c>
      <c r="N105" s="44" t="str">
        <f>IF(A105="","",(L105+M105)*Inputs!$B$16)</f>
        <v/>
      </c>
      <c r="O105" s="44"/>
      <c r="P105" s="44" t="str">
        <f>IF(A105="","",IF(O105="",Inputs!$B$7,O105))</f>
        <v/>
      </c>
      <c r="Q105" s="14" t="str">
        <f>IF(A105="","",IF(N105/Inputs!$B$10&lt;=AG105,Inputs!$F$5,IF(N105/Inputs!$B$10&gt;AP105,"OVERSIZE",INDEX(Inputs!$F$5:$F$14,MATCH(N105/Inputs!$B$10,AG105:AP105,1)+1))))</f>
        <v/>
      </c>
      <c r="R105" s="14"/>
      <c r="S105" s="14" t="str">
        <f t="shared" si="119"/>
        <v/>
      </c>
      <c r="T105" s="44" t="str">
        <f t="shared" si="120"/>
        <v/>
      </c>
      <c r="U105" s="44" t="str">
        <f>IF(T105="","",(1/Inputs!$B$9)*(PI()*T105^2/4)*((T105/4)^(2/3))*SQRT(P105))</f>
        <v/>
      </c>
      <c r="V105" s="44" t="str">
        <f>IF(OR(U105="",N105=""),"",N105/(U105*Inputs!$B$10))</f>
        <v/>
      </c>
      <c r="W105" s="44" t="str">
        <f t="shared" si="121"/>
        <v/>
      </c>
      <c r="X105" s="44"/>
      <c r="Y105" s="44" t="str">
        <f>IF(A105="","",IF(A105=Inputs!$B$6,Inputs!$B$22,IF(D105="","",IFERROR(INDEX($Z$4:$Z$201,MATCH(D105,$A$4:$A$201,0))+IF(X105="",Inputs!$B$20,X105),""))))</f>
        <v/>
      </c>
      <c r="Z105" s="44" t="str">
        <f t="shared" si="122"/>
        <v/>
      </c>
      <c r="AA105" s="44" t="str">
        <f>IF(C105="","",IFERROR(INDEX(Noeuds_plan!$C$4:$C$200,MATCH(C105,Noeuds_plan!$A$4:$A$200,0)),""))</f>
        <v/>
      </c>
      <c r="AB105" s="44" t="str">
        <f>IF(B105="","",IFERROR(INDEX(Noeuds_plan!$C$4:$C$200,MATCH(B105,Noeuds_plan!$A$4:$A$200,0)),""))</f>
        <v/>
      </c>
      <c r="AC105" s="44" t="str">
        <f t="shared" si="123"/>
        <v/>
      </c>
      <c r="AD105" s="44" t="str">
        <f t="shared" si="124"/>
        <v/>
      </c>
      <c r="AE105" s="14" t="str">
        <f>IF(A105="","",IF(OR(V105&gt;1,AND(AY105&lt;&gt;"",AY105&lt;Inputs!$B$11),AND(AY105&lt;&gt;"",AY105&gt;Inputs!$B$12),AC105&lt;Inputs!$B$19,AD105&lt;Inputs!$B$19,P105&lt;Inputs!$B$7,P105&gt;Inputs!$B$8),"CHECK","OK"))</f>
        <v/>
      </c>
      <c r="AF105" s="14"/>
      <c r="AG105" s="14" t="str">
        <f>IF(A105="","",(1/Inputs!$B$9)*(PI()*(Inputs!$F$5/1000)^2/4)*((Inputs!$F$5/1000/4)^(2/3))*SQRT(P105))</f>
        <v/>
      </c>
      <c r="AH105" s="14" t="str">
        <f>IF(A105="","",(1/Inputs!$B$9)*(PI()*(Inputs!$F$6/1000)^2/4)*((Inputs!$F$6/1000/4)^(2/3))*SQRT(P105))</f>
        <v/>
      </c>
      <c r="AI105" s="14" t="str">
        <f>IF(A105="","",(1/Inputs!$B$9)*(PI()*(Inputs!$F$7/1000)^2/4)*((Inputs!$F$7/1000/4)^(2/3))*SQRT(P105))</f>
        <v/>
      </c>
      <c r="AJ105" s="14" t="str">
        <f>IF(A105="","",(1/Inputs!$B$9)*(PI()*(Inputs!$F$8/1000)^2/4)*((Inputs!$F$8/1000/4)^(2/3))*SQRT(P105))</f>
        <v/>
      </c>
      <c r="AK105" s="14" t="str">
        <f>IF(A105="","",(1/Inputs!$B$9)*(PI()*(Inputs!$F$9/1000)^2/4)*((Inputs!$F$9/1000/4)^(2/3))*SQRT(P105))</f>
        <v/>
      </c>
      <c r="AL105" s="14" t="str">
        <f>IF(A105="","",(1/Inputs!$B$9)*(PI()*(Inputs!$F$10/1000)^2/4)*((Inputs!$F$10/1000/4)^(2/3))*SQRT(P105))</f>
        <v/>
      </c>
      <c r="AM105" s="14" t="str">
        <f>IF(A105="","",(1/Inputs!$B$9)*(PI()*(Inputs!$F$11/1000)^2/4)*((Inputs!$F$11/1000/4)^(2/3))*SQRT(P105))</f>
        <v/>
      </c>
      <c r="AN105" s="14" t="str">
        <f>IF(A105="","",(1/Inputs!$B$9)*(PI()*(Inputs!$F$12/1000)^2/4)*((Inputs!$F$12/1000/4)^(2/3))*SQRT(P105))</f>
        <v/>
      </c>
      <c r="AO105" s="14" t="str">
        <f>IF(A105="","",(1/Inputs!$B$9)*(PI()*(Inputs!$F$13/1000)^2/4)*((Inputs!$F$13/1000/4)^(2/3))*SQRT(P105))</f>
        <v/>
      </c>
      <c r="AP105" s="14" t="str">
        <f>IF(A105="","",(1/Inputs!$B$9)*(PI()*(Inputs!$F$14/1000)^2/4)*((Inputs!$F$14/1000/4)^(2/3))*SQRT(P105))</f>
        <v/>
      </c>
      <c r="AQ105" s="14" t="str">
        <f t="shared" si="125"/>
        <v/>
      </c>
      <c r="AR105" s="14" t="str">
        <f t="shared" si="126"/>
        <v/>
      </c>
      <c r="AS105" s="17" t="str">
        <f>IF(A105="","",IF(J105="",Inputs!$B$18,J105))</f>
        <v/>
      </c>
      <c r="AT105" s="17" t="str">
        <f>IF(A105="","",IFERROR(_xludf.maxifs($AV$4:$AV$201,$D$4:$D$201,$A105),""))</f>
        <v/>
      </c>
      <c r="AU105" s="17" t="str">
        <f>IF(A105="","",IF(OR(E105="",Inputs!$B$23=""),"",E105/(Inputs!$B$23*60)))</f>
        <v/>
      </c>
      <c r="AV105" s="17" t="str">
        <f t="shared" si="127"/>
        <v/>
      </c>
      <c r="AW105" s="17" t="str">
        <f t="shared" si="128"/>
        <v/>
      </c>
      <c r="AX105" s="17" t="str">
        <f>IF(OR(T105="",P105=""),"",(1/Inputs!$B$9)*((T105/4)^(2/3))*SQRT(P105))</f>
        <v/>
      </c>
      <c r="AY105" s="17" t="str">
        <f>IF(A105="","",IF(AND(AW105="",AX105="",BA105=""),"",IF(OR(UPPER(TRIM(Inputs!$B$24))="MANNING",UPPER(TRIM(Inputs!$B$24))="M"),AX105,IF(OR(UPPER(TRIM(Inputs!$B$24))="PARTIAL",UPPER(TRIM(Inputs!$B$24))="P"),BA105,IF(OR(UPPER(TRIM(Inputs!$B$24))="MAX",UPPER(TRIM(Inputs!$B$24))="X"),MAX(IF(AW105="",0,AW105),IF(AX105="",0,AX105),IF(BA105="",0,BA105)),AW105)))))</f>
        <v/>
      </c>
      <c r="AZ105" s="17" t="str">
        <f t="shared" si="129"/>
        <v/>
      </c>
      <c r="BA105" s="17" t="str">
        <f t="shared" si="130"/>
        <v/>
      </c>
      <c r="BB105" s="14" t="str">
        <f t="shared" si="131"/>
        <v/>
      </c>
      <c r="BC105" s="14" t="str">
        <f>IF(OR(N105="",T105="",P105=""),"",IF(OR(T105="",P105="",(0.94*T105)="",T105&lt;=0,(0.94*T105)&lt;=0),"",(1/Inputs!$B$9)*((T105^2/8)*((2*ACOS(1-2*(0.94*T105)/T105))-SIN((2*ACOS(1-2*(0.94*T105)/T105)))))*((((T105^2/8)*((2*ACOS(1-2*(0.94*T105)/T105))-SIN((2*ACOS(1-2*(0.94*T105)/T105)))))/((T105/2)*((2*ACOS(1-2*(0.94*T105)/T105)))))^(2/3))*SQRT(P105)))</f>
        <v/>
      </c>
      <c r="BD105" s="14" t="str">
        <f t="shared" si="132"/>
        <v/>
      </c>
      <c r="BE105" s="14" t="str">
        <f t="shared" si="133"/>
        <v/>
      </c>
      <c r="BF105" s="14" t="str">
        <f t="shared" si="134"/>
        <v/>
      </c>
      <c r="BG105" s="14" t="str">
        <f>IF(OR(T105="",P105="",BF105="",T105&lt;=0,BF105&lt;=0),"",(1/Inputs!$B$9)*((T105^2/8)*((2*ACOS(1-2*BF105/T105))-SIN((2*ACOS(1-2*BF105/T105)))))*((((T105^2/8)*((2*ACOS(1-2*BF105/T105))-SIN((2*ACOS(1-2*BF105/T105)))))/((T105/2)*((2*ACOS(1-2*BF105/T105)))))^(2/3))*SQRT(P105))</f>
        <v/>
      </c>
      <c r="BH105" s="14" t="str">
        <f t="shared" si="135"/>
        <v/>
      </c>
      <c r="BI105" s="14" t="str">
        <f t="shared" si="136"/>
        <v/>
      </c>
      <c r="BJ105" s="14" t="str">
        <f t="shared" si="137"/>
        <v/>
      </c>
      <c r="BK105" s="14" t="str">
        <f>IF(OR(T105="",P105="",BJ105="",T105&lt;=0,BJ105&lt;=0),"",(1/Inputs!$B$9)*((T105^2/8)*((2*ACOS(1-2*BJ105/T105))-SIN((2*ACOS(1-2*BJ105/T105)))))*((((T105^2/8)*((2*ACOS(1-2*BJ105/T105))-SIN((2*ACOS(1-2*BJ105/T105)))))/((T105/2)*((2*ACOS(1-2*BJ105/T105)))))^(2/3))*SQRT(P105))</f>
        <v/>
      </c>
      <c r="BL105" s="14" t="str">
        <f t="shared" si="138"/>
        <v/>
      </c>
      <c r="BM105" s="14" t="str">
        <f t="shared" si="139"/>
        <v/>
      </c>
      <c r="BN105" s="14" t="str">
        <f t="shared" si="140"/>
        <v/>
      </c>
      <c r="BO105" s="14" t="str">
        <f>IF(OR(T105="",P105="",BN105="",T105&lt;=0,BN105&lt;=0),"",(1/Inputs!$B$9)*((T105^2/8)*((2*ACOS(1-2*BN105/T105))-SIN((2*ACOS(1-2*BN105/T105)))))*((((T105^2/8)*((2*ACOS(1-2*BN105/T105))-SIN((2*ACOS(1-2*BN105/T105)))))/((T105/2)*((2*ACOS(1-2*BN105/T105)))))^(2/3))*SQRT(P105))</f>
        <v/>
      </c>
      <c r="BP105" s="14" t="str">
        <f t="shared" si="141"/>
        <v/>
      </c>
      <c r="BQ105" s="14" t="str">
        <f t="shared" si="142"/>
        <v/>
      </c>
      <c r="BR105" s="14" t="str">
        <f t="shared" si="143"/>
        <v/>
      </c>
      <c r="BS105" s="14" t="str">
        <f>IF(OR(T105="",P105="",BR105="",T105&lt;=0,BR105&lt;=0),"",(1/Inputs!$B$9)*((T105^2/8)*((2*ACOS(1-2*BR105/T105))-SIN((2*ACOS(1-2*BR105/T105)))))*((((T105^2/8)*((2*ACOS(1-2*BR105/T105))-SIN((2*ACOS(1-2*BR105/T105)))))/((T105/2)*((2*ACOS(1-2*BR105/T105)))))^(2/3))*SQRT(P105))</f>
        <v/>
      </c>
      <c r="BT105" s="14" t="str">
        <f t="shared" si="144"/>
        <v/>
      </c>
      <c r="BU105" s="14" t="str">
        <f t="shared" si="145"/>
        <v/>
      </c>
      <c r="BV105" s="14" t="str">
        <f t="shared" si="146"/>
        <v/>
      </c>
      <c r="BW105" s="14" t="str">
        <f>IF(OR(T105="",P105="",BV105="",T105&lt;=0,BV105&lt;=0),"",(1/Inputs!$B$9)*((T105^2/8)*((2*ACOS(1-2*BV105/T105))-SIN((2*ACOS(1-2*BV105/T105)))))*((((T105^2/8)*((2*ACOS(1-2*BV105/T105))-SIN((2*ACOS(1-2*BV105/T105)))))/((T105/2)*((2*ACOS(1-2*BV105/T105)))))^(2/3))*SQRT(P105))</f>
        <v/>
      </c>
      <c r="BX105" s="14" t="str">
        <f t="shared" si="147"/>
        <v/>
      </c>
      <c r="BY105" s="14" t="str">
        <f t="shared" si="148"/>
        <v/>
      </c>
      <c r="BZ105" s="14" t="str">
        <f t="shared" si="149"/>
        <v/>
      </c>
      <c r="CA105" s="14" t="str">
        <f>IF(OR(T105="",P105="",BZ105="",T105&lt;=0,BZ105&lt;=0),"",(1/Inputs!$B$9)*((T105^2/8)*((2*ACOS(1-2*BZ105/T105))-SIN((2*ACOS(1-2*BZ105/T105)))))*((((T105^2/8)*((2*ACOS(1-2*BZ105/T105))-SIN((2*ACOS(1-2*BZ105/T105)))))/((T105/2)*((2*ACOS(1-2*BZ105/T105)))))^(2/3))*SQRT(P105))</f>
        <v/>
      </c>
      <c r="CB105" s="14" t="str">
        <f t="shared" si="150"/>
        <v/>
      </c>
      <c r="CC105" s="14" t="str">
        <f t="shared" si="151"/>
        <v/>
      </c>
      <c r="CD105" s="14" t="str">
        <f t="shared" si="152"/>
        <v/>
      </c>
      <c r="CE105" s="14" t="str">
        <f>IF(OR(T105="",P105="",CD105="",T105&lt;=0,CD105&lt;=0),"",(1/Inputs!$B$9)*((T105^2/8)*((2*ACOS(1-2*CD105/T105))-SIN((2*ACOS(1-2*CD105/T105)))))*((((T105^2/8)*((2*ACOS(1-2*CD105/T105))-SIN((2*ACOS(1-2*CD105/T105)))))/((T105/2)*((2*ACOS(1-2*CD105/T105)))))^(2/3))*SQRT(P105))</f>
        <v/>
      </c>
      <c r="CF105" s="14" t="str">
        <f t="shared" si="153"/>
        <v/>
      </c>
      <c r="CG105" s="14" t="str">
        <f t="shared" si="154"/>
        <v/>
      </c>
      <c r="CH105" s="14" t="str">
        <f t="shared" si="155"/>
        <v/>
      </c>
    </row>
    <row r="106" spans="1:86" x14ac:dyDescent="0.25">
      <c r="A106" s="14"/>
      <c r="B106" s="14"/>
      <c r="C106" s="14"/>
      <c r="D106" s="14"/>
      <c r="E106" s="44"/>
      <c r="F106" s="44"/>
      <c r="G106" s="44">
        <f>SUMIFS(CB_plan!$G:$G,CB_plan!$F:$F,$A106)</f>
        <v>0</v>
      </c>
      <c r="H106" s="44">
        <f t="shared" si="117"/>
        <v>0</v>
      </c>
      <c r="I106" s="14"/>
      <c r="J106" s="44"/>
      <c r="K106" s="44" t="str">
        <f>IF(A106="","",Inputs!$B$13/((IF(AV106="",Inputs!$B$18,AV106)+Inputs!$B$14)^Inputs!$B$15))</f>
        <v/>
      </c>
      <c r="L106" s="44" t="str">
        <f>IF(A106="","",IF(H106="","",0.000000278*IF(I106&lt;&gt;"",I106,IFERROR(SUMIFS(CB_plan!$H:$H,CB_plan!$F:$F,$A106)/SUMIFS(CB_plan!$G:$G,CB_plan!$F:$F,$A106),Inputs!$B$17))*H106*K106))</f>
        <v/>
      </c>
      <c r="M106" s="44" t="str">
        <f t="shared" si="118"/>
        <v/>
      </c>
      <c r="N106" s="44" t="str">
        <f>IF(A106="","",(L106+M106)*Inputs!$B$16)</f>
        <v/>
      </c>
      <c r="O106" s="44"/>
      <c r="P106" s="44" t="str">
        <f>IF(A106="","",IF(O106="",Inputs!$B$7,O106))</f>
        <v/>
      </c>
      <c r="Q106" s="14" t="str">
        <f>IF(A106="","",IF(N106/Inputs!$B$10&lt;=AG106,Inputs!$F$5,IF(N106/Inputs!$B$10&gt;AP106,"OVERSIZE",INDEX(Inputs!$F$5:$F$14,MATCH(N106/Inputs!$B$10,AG106:AP106,1)+1))))</f>
        <v/>
      </c>
      <c r="R106" s="14"/>
      <c r="S106" s="14" t="str">
        <f t="shared" si="119"/>
        <v/>
      </c>
      <c r="T106" s="44" t="str">
        <f t="shared" si="120"/>
        <v/>
      </c>
      <c r="U106" s="44" t="str">
        <f>IF(T106="","",(1/Inputs!$B$9)*(PI()*T106^2/4)*((T106/4)^(2/3))*SQRT(P106))</f>
        <v/>
      </c>
      <c r="V106" s="44" t="str">
        <f>IF(OR(U106="",N106=""),"",N106/(U106*Inputs!$B$10))</f>
        <v/>
      </c>
      <c r="W106" s="44" t="str">
        <f t="shared" si="121"/>
        <v/>
      </c>
      <c r="X106" s="44"/>
      <c r="Y106" s="44" t="str">
        <f>IF(A106="","",IF(A106=Inputs!$B$6,Inputs!$B$22,IF(D106="","",IFERROR(INDEX($Z$4:$Z$201,MATCH(D106,$A$4:$A$201,0))+IF(X106="",Inputs!$B$20,X106),""))))</f>
        <v/>
      </c>
      <c r="Z106" s="44" t="str">
        <f t="shared" si="122"/>
        <v/>
      </c>
      <c r="AA106" s="44" t="str">
        <f>IF(C106="","",IFERROR(INDEX(Noeuds_plan!$C$4:$C$200,MATCH(C106,Noeuds_plan!$A$4:$A$200,0)),""))</f>
        <v/>
      </c>
      <c r="AB106" s="44" t="str">
        <f>IF(B106="","",IFERROR(INDEX(Noeuds_plan!$C$4:$C$200,MATCH(B106,Noeuds_plan!$A$4:$A$200,0)),""))</f>
        <v/>
      </c>
      <c r="AC106" s="44" t="str">
        <f t="shared" si="123"/>
        <v/>
      </c>
      <c r="AD106" s="44" t="str">
        <f t="shared" si="124"/>
        <v/>
      </c>
      <c r="AE106" s="14" t="str">
        <f>IF(A106="","",IF(OR(V106&gt;1,AND(AY106&lt;&gt;"",AY106&lt;Inputs!$B$11),AND(AY106&lt;&gt;"",AY106&gt;Inputs!$B$12),AC106&lt;Inputs!$B$19,AD106&lt;Inputs!$B$19,P106&lt;Inputs!$B$7,P106&gt;Inputs!$B$8),"CHECK","OK"))</f>
        <v/>
      </c>
      <c r="AF106" s="14"/>
      <c r="AG106" s="14" t="str">
        <f>IF(A106="","",(1/Inputs!$B$9)*(PI()*(Inputs!$F$5/1000)^2/4)*((Inputs!$F$5/1000/4)^(2/3))*SQRT(P106))</f>
        <v/>
      </c>
      <c r="AH106" s="14" t="str">
        <f>IF(A106="","",(1/Inputs!$B$9)*(PI()*(Inputs!$F$6/1000)^2/4)*((Inputs!$F$6/1000/4)^(2/3))*SQRT(P106))</f>
        <v/>
      </c>
      <c r="AI106" s="14" t="str">
        <f>IF(A106="","",(1/Inputs!$B$9)*(PI()*(Inputs!$F$7/1000)^2/4)*((Inputs!$F$7/1000/4)^(2/3))*SQRT(P106))</f>
        <v/>
      </c>
      <c r="AJ106" s="14" t="str">
        <f>IF(A106="","",(1/Inputs!$B$9)*(PI()*(Inputs!$F$8/1000)^2/4)*((Inputs!$F$8/1000/4)^(2/3))*SQRT(P106))</f>
        <v/>
      </c>
      <c r="AK106" s="14" t="str">
        <f>IF(A106="","",(1/Inputs!$B$9)*(PI()*(Inputs!$F$9/1000)^2/4)*((Inputs!$F$9/1000/4)^(2/3))*SQRT(P106))</f>
        <v/>
      </c>
      <c r="AL106" s="14" t="str">
        <f>IF(A106="","",(1/Inputs!$B$9)*(PI()*(Inputs!$F$10/1000)^2/4)*((Inputs!$F$10/1000/4)^(2/3))*SQRT(P106))</f>
        <v/>
      </c>
      <c r="AM106" s="14" t="str">
        <f>IF(A106="","",(1/Inputs!$B$9)*(PI()*(Inputs!$F$11/1000)^2/4)*((Inputs!$F$11/1000/4)^(2/3))*SQRT(P106))</f>
        <v/>
      </c>
      <c r="AN106" s="14" t="str">
        <f>IF(A106="","",(1/Inputs!$B$9)*(PI()*(Inputs!$F$12/1000)^2/4)*((Inputs!$F$12/1000/4)^(2/3))*SQRT(P106))</f>
        <v/>
      </c>
      <c r="AO106" s="14" t="str">
        <f>IF(A106="","",(1/Inputs!$B$9)*(PI()*(Inputs!$F$13/1000)^2/4)*((Inputs!$F$13/1000/4)^(2/3))*SQRT(P106))</f>
        <v/>
      </c>
      <c r="AP106" s="14" t="str">
        <f>IF(A106="","",(1/Inputs!$B$9)*(PI()*(Inputs!$F$14/1000)^2/4)*((Inputs!$F$14/1000/4)^(2/3))*SQRT(P106))</f>
        <v/>
      </c>
      <c r="AQ106" s="14" t="str">
        <f t="shared" si="125"/>
        <v/>
      </c>
      <c r="AR106" s="14" t="str">
        <f t="shared" si="126"/>
        <v/>
      </c>
      <c r="AS106" s="17" t="str">
        <f>IF(A106="","",IF(J106="",Inputs!$B$18,J106))</f>
        <v/>
      </c>
      <c r="AT106" s="17" t="str">
        <f>IF(A106="","",IFERROR(_xludf.maxifs($AV$4:$AV$201,$D$4:$D$201,$A106),""))</f>
        <v/>
      </c>
      <c r="AU106" s="17" t="str">
        <f>IF(A106="","",IF(OR(E106="",Inputs!$B$23=""),"",E106/(Inputs!$B$23*60)))</f>
        <v/>
      </c>
      <c r="AV106" s="17" t="str">
        <f t="shared" si="127"/>
        <v/>
      </c>
      <c r="AW106" s="17" t="str">
        <f t="shared" si="128"/>
        <v/>
      </c>
      <c r="AX106" s="17" t="str">
        <f>IF(OR(T106="",P106=""),"",(1/Inputs!$B$9)*((T106/4)^(2/3))*SQRT(P106))</f>
        <v/>
      </c>
      <c r="AY106" s="17" t="str">
        <f>IF(A106="","",IF(AND(AW106="",AX106="",BA106=""),"",IF(OR(UPPER(TRIM(Inputs!$B$24))="MANNING",UPPER(TRIM(Inputs!$B$24))="M"),AX106,IF(OR(UPPER(TRIM(Inputs!$B$24))="PARTIAL",UPPER(TRIM(Inputs!$B$24))="P"),BA106,IF(OR(UPPER(TRIM(Inputs!$B$24))="MAX",UPPER(TRIM(Inputs!$B$24))="X"),MAX(IF(AW106="",0,AW106),IF(AX106="",0,AX106),IF(BA106="",0,BA106)),AW106)))))</f>
        <v/>
      </c>
      <c r="AZ106" s="17" t="str">
        <f t="shared" si="129"/>
        <v/>
      </c>
      <c r="BA106" s="17" t="str">
        <f t="shared" si="130"/>
        <v/>
      </c>
      <c r="BB106" s="14" t="str">
        <f t="shared" si="131"/>
        <v/>
      </c>
      <c r="BC106" s="14" t="str">
        <f>IF(OR(N106="",T106="",P106=""),"",IF(OR(T106="",P106="",(0.94*T106)="",T106&lt;=0,(0.94*T106)&lt;=0),"",(1/Inputs!$B$9)*((T106^2/8)*((2*ACOS(1-2*(0.94*T106)/T106))-SIN((2*ACOS(1-2*(0.94*T106)/T106)))))*((((T106^2/8)*((2*ACOS(1-2*(0.94*T106)/T106))-SIN((2*ACOS(1-2*(0.94*T106)/T106)))))/((T106/2)*((2*ACOS(1-2*(0.94*T106)/T106)))))^(2/3))*SQRT(P106)))</f>
        <v/>
      </c>
      <c r="BD106" s="14" t="str">
        <f t="shared" si="132"/>
        <v/>
      </c>
      <c r="BE106" s="14" t="str">
        <f t="shared" si="133"/>
        <v/>
      </c>
      <c r="BF106" s="14" t="str">
        <f t="shared" si="134"/>
        <v/>
      </c>
      <c r="BG106" s="14" t="str">
        <f>IF(OR(T106="",P106="",BF106="",T106&lt;=0,BF106&lt;=0),"",(1/Inputs!$B$9)*((T106^2/8)*((2*ACOS(1-2*BF106/T106))-SIN((2*ACOS(1-2*BF106/T106)))))*((((T106^2/8)*((2*ACOS(1-2*BF106/T106))-SIN((2*ACOS(1-2*BF106/T106)))))/((T106/2)*((2*ACOS(1-2*BF106/T106)))))^(2/3))*SQRT(P106))</f>
        <v/>
      </c>
      <c r="BH106" s="14" t="str">
        <f t="shared" si="135"/>
        <v/>
      </c>
      <c r="BI106" s="14" t="str">
        <f t="shared" si="136"/>
        <v/>
      </c>
      <c r="BJ106" s="14" t="str">
        <f t="shared" si="137"/>
        <v/>
      </c>
      <c r="BK106" s="14" t="str">
        <f>IF(OR(T106="",P106="",BJ106="",T106&lt;=0,BJ106&lt;=0),"",(1/Inputs!$B$9)*((T106^2/8)*((2*ACOS(1-2*BJ106/T106))-SIN((2*ACOS(1-2*BJ106/T106)))))*((((T106^2/8)*((2*ACOS(1-2*BJ106/T106))-SIN((2*ACOS(1-2*BJ106/T106)))))/((T106/2)*((2*ACOS(1-2*BJ106/T106)))))^(2/3))*SQRT(P106))</f>
        <v/>
      </c>
      <c r="BL106" s="14" t="str">
        <f t="shared" si="138"/>
        <v/>
      </c>
      <c r="BM106" s="14" t="str">
        <f t="shared" si="139"/>
        <v/>
      </c>
      <c r="BN106" s="14" t="str">
        <f t="shared" si="140"/>
        <v/>
      </c>
      <c r="BO106" s="14" t="str">
        <f>IF(OR(T106="",P106="",BN106="",T106&lt;=0,BN106&lt;=0),"",(1/Inputs!$B$9)*((T106^2/8)*((2*ACOS(1-2*BN106/T106))-SIN((2*ACOS(1-2*BN106/T106)))))*((((T106^2/8)*((2*ACOS(1-2*BN106/T106))-SIN((2*ACOS(1-2*BN106/T106)))))/((T106/2)*((2*ACOS(1-2*BN106/T106)))))^(2/3))*SQRT(P106))</f>
        <v/>
      </c>
      <c r="BP106" s="14" t="str">
        <f t="shared" si="141"/>
        <v/>
      </c>
      <c r="BQ106" s="14" t="str">
        <f t="shared" si="142"/>
        <v/>
      </c>
      <c r="BR106" s="14" t="str">
        <f t="shared" si="143"/>
        <v/>
      </c>
      <c r="BS106" s="14" t="str">
        <f>IF(OR(T106="",P106="",BR106="",T106&lt;=0,BR106&lt;=0),"",(1/Inputs!$B$9)*((T106^2/8)*((2*ACOS(1-2*BR106/T106))-SIN((2*ACOS(1-2*BR106/T106)))))*((((T106^2/8)*((2*ACOS(1-2*BR106/T106))-SIN((2*ACOS(1-2*BR106/T106)))))/((T106/2)*((2*ACOS(1-2*BR106/T106)))))^(2/3))*SQRT(P106))</f>
        <v/>
      </c>
      <c r="BT106" s="14" t="str">
        <f t="shared" si="144"/>
        <v/>
      </c>
      <c r="BU106" s="14" t="str">
        <f t="shared" si="145"/>
        <v/>
      </c>
      <c r="BV106" s="14" t="str">
        <f t="shared" si="146"/>
        <v/>
      </c>
      <c r="BW106" s="14" t="str">
        <f>IF(OR(T106="",P106="",BV106="",T106&lt;=0,BV106&lt;=0),"",(1/Inputs!$B$9)*((T106^2/8)*((2*ACOS(1-2*BV106/T106))-SIN((2*ACOS(1-2*BV106/T106)))))*((((T106^2/8)*((2*ACOS(1-2*BV106/T106))-SIN((2*ACOS(1-2*BV106/T106)))))/((T106/2)*((2*ACOS(1-2*BV106/T106)))))^(2/3))*SQRT(P106))</f>
        <v/>
      </c>
      <c r="BX106" s="14" t="str">
        <f t="shared" si="147"/>
        <v/>
      </c>
      <c r="BY106" s="14" t="str">
        <f t="shared" si="148"/>
        <v/>
      </c>
      <c r="BZ106" s="14" t="str">
        <f t="shared" si="149"/>
        <v/>
      </c>
      <c r="CA106" s="14" t="str">
        <f>IF(OR(T106="",P106="",BZ106="",T106&lt;=0,BZ106&lt;=0),"",(1/Inputs!$B$9)*((T106^2/8)*((2*ACOS(1-2*BZ106/T106))-SIN((2*ACOS(1-2*BZ106/T106)))))*((((T106^2/8)*((2*ACOS(1-2*BZ106/T106))-SIN((2*ACOS(1-2*BZ106/T106)))))/((T106/2)*((2*ACOS(1-2*BZ106/T106)))))^(2/3))*SQRT(P106))</f>
        <v/>
      </c>
      <c r="CB106" s="14" t="str">
        <f t="shared" si="150"/>
        <v/>
      </c>
      <c r="CC106" s="14" t="str">
        <f t="shared" si="151"/>
        <v/>
      </c>
      <c r="CD106" s="14" t="str">
        <f t="shared" si="152"/>
        <v/>
      </c>
      <c r="CE106" s="14" t="str">
        <f>IF(OR(T106="",P106="",CD106="",T106&lt;=0,CD106&lt;=0),"",(1/Inputs!$B$9)*((T106^2/8)*((2*ACOS(1-2*CD106/T106))-SIN((2*ACOS(1-2*CD106/T106)))))*((((T106^2/8)*((2*ACOS(1-2*CD106/T106))-SIN((2*ACOS(1-2*CD106/T106)))))/((T106/2)*((2*ACOS(1-2*CD106/T106)))))^(2/3))*SQRT(P106))</f>
        <v/>
      </c>
      <c r="CF106" s="14" t="str">
        <f t="shared" si="153"/>
        <v/>
      </c>
      <c r="CG106" s="14" t="str">
        <f t="shared" si="154"/>
        <v/>
      </c>
      <c r="CH106" s="14" t="str">
        <f t="shared" si="155"/>
        <v/>
      </c>
    </row>
    <row r="107" spans="1:86" x14ac:dyDescent="0.25">
      <c r="A107" s="14"/>
      <c r="B107" s="14"/>
      <c r="C107" s="14"/>
      <c r="D107" s="14"/>
      <c r="E107" s="44"/>
      <c r="F107" s="44"/>
      <c r="G107" s="44">
        <f>SUMIFS(CB_plan!$G:$G,CB_plan!$F:$F,$A107)</f>
        <v>0</v>
      </c>
      <c r="H107" s="44">
        <f t="shared" si="117"/>
        <v>0</v>
      </c>
      <c r="I107" s="14"/>
      <c r="J107" s="44"/>
      <c r="K107" s="44" t="str">
        <f>IF(A107="","",Inputs!$B$13/((IF(AV107="",Inputs!$B$18,AV107)+Inputs!$B$14)^Inputs!$B$15))</f>
        <v/>
      </c>
      <c r="L107" s="44" t="str">
        <f>IF(A107="","",IF(H107="","",0.000000278*IF(I107&lt;&gt;"",I107,IFERROR(SUMIFS(CB_plan!$H:$H,CB_plan!$F:$F,$A107)/SUMIFS(CB_plan!$G:$G,CB_plan!$F:$F,$A107),Inputs!$B$17))*H107*K107))</f>
        <v/>
      </c>
      <c r="M107" s="44" t="str">
        <f t="shared" si="118"/>
        <v/>
      </c>
      <c r="N107" s="44" t="str">
        <f>IF(A107="","",(L107+M107)*Inputs!$B$16)</f>
        <v/>
      </c>
      <c r="O107" s="44"/>
      <c r="P107" s="44" t="str">
        <f>IF(A107="","",IF(O107="",Inputs!$B$7,O107))</f>
        <v/>
      </c>
      <c r="Q107" s="14" t="str">
        <f>IF(A107="","",IF(N107/Inputs!$B$10&lt;=AG107,Inputs!$F$5,IF(N107/Inputs!$B$10&gt;AP107,"OVERSIZE",INDEX(Inputs!$F$5:$F$14,MATCH(N107/Inputs!$B$10,AG107:AP107,1)+1))))</f>
        <v/>
      </c>
      <c r="R107" s="14"/>
      <c r="S107" s="14" t="str">
        <f t="shared" si="119"/>
        <v/>
      </c>
      <c r="T107" s="44" t="str">
        <f t="shared" si="120"/>
        <v/>
      </c>
      <c r="U107" s="44" t="str">
        <f>IF(T107="","",(1/Inputs!$B$9)*(PI()*T107^2/4)*((T107/4)^(2/3))*SQRT(P107))</f>
        <v/>
      </c>
      <c r="V107" s="44" t="str">
        <f>IF(OR(U107="",N107=""),"",N107/(U107*Inputs!$B$10))</f>
        <v/>
      </c>
      <c r="W107" s="44" t="str">
        <f t="shared" si="121"/>
        <v/>
      </c>
      <c r="X107" s="44"/>
      <c r="Y107" s="44" t="str">
        <f>IF(A107="","",IF(A107=Inputs!$B$6,Inputs!$B$22,IF(D107="","",IFERROR(INDEX($Z$4:$Z$201,MATCH(D107,$A$4:$A$201,0))+IF(X107="",Inputs!$B$20,X107),""))))</f>
        <v/>
      </c>
      <c r="Z107" s="44" t="str">
        <f t="shared" si="122"/>
        <v/>
      </c>
      <c r="AA107" s="44" t="str">
        <f>IF(C107="","",IFERROR(INDEX(Noeuds_plan!$C$4:$C$200,MATCH(C107,Noeuds_plan!$A$4:$A$200,0)),""))</f>
        <v/>
      </c>
      <c r="AB107" s="44" t="str">
        <f>IF(B107="","",IFERROR(INDEX(Noeuds_plan!$C$4:$C$200,MATCH(B107,Noeuds_plan!$A$4:$A$200,0)),""))</f>
        <v/>
      </c>
      <c r="AC107" s="44" t="str">
        <f t="shared" si="123"/>
        <v/>
      </c>
      <c r="AD107" s="44" t="str">
        <f t="shared" si="124"/>
        <v/>
      </c>
      <c r="AE107" s="14" t="str">
        <f>IF(A107="","",IF(OR(V107&gt;1,AND(AY107&lt;&gt;"",AY107&lt;Inputs!$B$11),AND(AY107&lt;&gt;"",AY107&gt;Inputs!$B$12),AC107&lt;Inputs!$B$19,AD107&lt;Inputs!$B$19,P107&lt;Inputs!$B$7,P107&gt;Inputs!$B$8),"CHECK","OK"))</f>
        <v/>
      </c>
      <c r="AF107" s="14"/>
      <c r="AG107" s="14" t="str">
        <f>IF(A107="","",(1/Inputs!$B$9)*(PI()*(Inputs!$F$5/1000)^2/4)*((Inputs!$F$5/1000/4)^(2/3))*SQRT(P107))</f>
        <v/>
      </c>
      <c r="AH107" s="14" t="str">
        <f>IF(A107="","",(1/Inputs!$B$9)*(PI()*(Inputs!$F$6/1000)^2/4)*((Inputs!$F$6/1000/4)^(2/3))*SQRT(P107))</f>
        <v/>
      </c>
      <c r="AI107" s="14" t="str">
        <f>IF(A107="","",(1/Inputs!$B$9)*(PI()*(Inputs!$F$7/1000)^2/4)*((Inputs!$F$7/1000/4)^(2/3))*SQRT(P107))</f>
        <v/>
      </c>
      <c r="AJ107" s="14" t="str">
        <f>IF(A107="","",(1/Inputs!$B$9)*(PI()*(Inputs!$F$8/1000)^2/4)*((Inputs!$F$8/1000/4)^(2/3))*SQRT(P107))</f>
        <v/>
      </c>
      <c r="AK107" s="14" t="str">
        <f>IF(A107="","",(1/Inputs!$B$9)*(PI()*(Inputs!$F$9/1000)^2/4)*((Inputs!$F$9/1000/4)^(2/3))*SQRT(P107))</f>
        <v/>
      </c>
      <c r="AL107" s="14" t="str">
        <f>IF(A107="","",(1/Inputs!$B$9)*(PI()*(Inputs!$F$10/1000)^2/4)*((Inputs!$F$10/1000/4)^(2/3))*SQRT(P107))</f>
        <v/>
      </c>
      <c r="AM107" s="14" t="str">
        <f>IF(A107="","",(1/Inputs!$B$9)*(PI()*(Inputs!$F$11/1000)^2/4)*((Inputs!$F$11/1000/4)^(2/3))*SQRT(P107))</f>
        <v/>
      </c>
      <c r="AN107" s="14" t="str">
        <f>IF(A107="","",(1/Inputs!$B$9)*(PI()*(Inputs!$F$12/1000)^2/4)*((Inputs!$F$12/1000/4)^(2/3))*SQRT(P107))</f>
        <v/>
      </c>
      <c r="AO107" s="14" t="str">
        <f>IF(A107="","",(1/Inputs!$B$9)*(PI()*(Inputs!$F$13/1000)^2/4)*((Inputs!$F$13/1000/4)^(2/3))*SQRT(P107))</f>
        <v/>
      </c>
      <c r="AP107" s="14" t="str">
        <f>IF(A107="","",(1/Inputs!$B$9)*(PI()*(Inputs!$F$14/1000)^2/4)*((Inputs!$F$14/1000/4)^(2/3))*SQRT(P107))</f>
        <v/>
      </c>
      <c r="AQ107" s="14" t="str">
        <f t="shared" si="125"/>
        <v/>
      </c>
      <c r="AR107" s="14" t="str">
        <f t="shared" si="126"/>
        <v/>
      </c>
      <c r="AS107" s="17" t="str">
        <f>IF(A107="","",IF(J107="",Inputs!$B$18,J107))</f>
        <v/>
      </c>
      <c r="AT107" s="17" t="str">
        <f>IF(A107="","",IFERROR(_xludf.maxifs($AV$4:$AV$201,$D$4:$D$201,$A107),""))</f>
        <v/>
      </c>
      <c r="AU107" s="17" t="str">
        <f>IF(A107="","",IF(OR(E107="",Inputs!$B$23=""),"",E107/(Inputs!$B$23*60)))</f>
        <v/>
      </c>
      <c r="AV107" s="17" t="str">
        <f t="shared" si="127"/>
        <v/>
      </c>
      <c r="AW107" s="17" t="str">
        <f t="shared" si="128"/>
        <v/>
      </c>
      <c r="AX107" s="17" t="str">
        <f>IF(OR(T107="",P107=""),"",(1/Inputs!$B$9)*((T107/4)^(2/3))*SQRT(P107))</f>
        <v/>
      </c>
      <c r="AY107" s="17" t="str">
        <f>IF(A107="","",IF(AND(AW107="",AX107="",BA107=""),"",IF(OR(UPPER(TRIM(Inputs!$B$24))="MANNING",UPPER(TRIM(Inputs!$B$24))="M"),AX107,IF(OR(UPPER(TRIM(Inputs!$B$24))="PARTIAL",UPPER(TRIM(Inputs!$B$24))="P"),BA107,IF(OR(UPPER(TRIM(Inputs!$B$24))="MAX",UPPER(TRIM(Inputs!$B$24))="X"),MAX(IF(AW107="",0,AW107),IF(AX107="",0,AX107),IF(BA107="",0,BA107)),AW107)))))</f>
        <v/>
      </c>
      <c r="AZ107" s="17" t="str">
        <f t="shared" si="129"/>
        <v/>
      </c>
      <c r="BA107" s="17" t="str">
        <f t="shared" si="130"/>
        <v/>
      </c>
      <c r="BB107" s="14" t="str">
        <f t="shared" si="131"/>
        <v/>
      </c>
      <c r="BC107" s="14" t="str">
        <f>IF(OR(N107="",T107="",P107=""),"",IF(OR(T107="",P107="",(0.94*T107)="",T107&lt;=0,(0.94*T107)&lt;=0),"",(1/Inputs!$B$9)*((T107^2/8)*((2*ACOS(1-2*(0.94*T107)/T107))-SIN((2*ACOS(1-2*(0.94*T107)/T107)))))*((((T107^2/8)*((2*ACOS(1-2*(0.94*T107)/T107))-SIN((2*ACOS(1-2*(0.94*T107)/T107)))))/((T107/2)*((2*ACOS(1-2*(0.94*T107)/T107)))))^(2/3))*SQRT(P107)))</f>
        <v/>
      </c>
      <c r="BD107" s="14" t="str">
        <f t="shared" si="132"/>
        <v/>
      </c>
      <c r="BE107" s="14" t="str">
        <f t="shared" si="133"/>
        <v/>
      </c>
      <c r="BF107" s="14" t="str">
        <f t="shared" si="134"/>
        <v/>
      </c>
      <c r="BG107" s="14" t="str">
        <f>IF(OR(T107="",P107="",BF107="",T107&lt;=0,BF107&lt;=0),"",(1/Inputs!$B$9)*((T107^2/8)*((2*ACOS(1-2*BF107/T107))-SIN((2*ACOS(1-2*BF107/T107)))))*((((T107^2/8)*((2*ACOS(1-2*BF107/T107))-SIN((2*ACOS(1-2*BF107/T107)))))/((T107/2)*((2*ACOS(1-2*BF107/T107)))))^(2/3))*SQRT(P107))</f>
        <v/>
      </c>
      <c r="BH107" s="14" t="str">
        <f t="shared" si="135"/>
        <v/>
      </c>
      <c r="BI107" s="14" t="str">
        <f t="shared" si="136"/>
        <v/>
      </c>
      <c r="BJ107" s="14" t="str">
        <f t="shared" si="137"/>
        <v/>
      </c>
      <c r="BK107" s="14" t="str">
        <f>IF(OR(T107="",P107="",BJ107="",T107&lt;=0,BJ107&lt;=0),"",(1/Inputs!$B$9)*((T107^2/8)*((2*ACOS(1-2*BJ107/T107))-SIN((2*ACOS(1-2*BJ107/T107)))))*((((T107^2/8)*((2*ACOS(1-2*BJ107/T107))-SIN((2*ACOS(1-2*BJ107/T107)))))/((T107/2)*((2*ACOS(1-2*BJ107/T107)))))^(2/3))*SQRT(P107))</f>
        <v/>
      </c>
      <c r="BL107" s="14" t="str">
        <f t="shared" si="138"/>
        <v/>
      </c>
      <c r="BM107" s="14" t="str">
        <f t="shared" si="139"/>
        <v/>
      </c>
      <c r="BN107" s="14" t="str">
        <f t="shared" si="140"/>
        <v/>
      </c>
      <c r="BO107" s="14" t="str">
        <f>IF(OR(T107="",P107="",BN107="",T107&lt;=0,BN107&lt;=0),"",(1/Inputs!$B$9)*((T107^2/8)*((2*ACOS(1-2*BN107/T107))-SIN((2*ACOS(1-2*BN107/T107)))))*((((T107^2/8)*((2*ACOS(1-2*BN107/T107))-SIN((2*ACOS(1-2*BN107/T107)))))/((T107/2)*((2*ACOS(1-2*BN107/T107)))))^(2/3))*SQRT(P107))</f>
        <v/>
      </c>
      <c r="BP107" s="14" t="str">
        <f t="shared" si="141"/>
        <v/>
      </c>
      <c r="BQ107" s="14" t="str">
        <f t="shared" si="142"/>
        <v/>
      </c>
      <c r="BR107" s="14" t="str">
        <f t="shared" si="143"/>
        <v/>
      </c>
      <c r="BS107" s="14" t="str">
        <f>IF(OR(T107="",P107="",BR107="",T107&lt;=0,BR107&lt;=0),"",(1/Inputs!$B$9)*((T107^2/8)*((2*ACOS(1-2*BR107/T107))-SIN((2*ACOS(1-2*BR107/T107)))))*((((T107^2/8)*((2*ACOS(1-2*BR107/T107))-SIN((2*ACOS(1-2*BR107/T107)))))/((T107/2)*((2*ACOS(1-2*BR107/T107)))))^(2/3))*SQRT(P107))</f>
        <v/>
      </c>
      <c r="BT107" s="14" t="str">
        <f t="shared" si="144"/>
        <v/>
      </c>
      <c r="BU107" s="14" t="str">
        <f t="shared" si="145"/>
        <v/>
      </c>
      <c r="BV107" s="14" t="str">
        <f t="shared" si="146"/>
        <v/>
      </c>
      <c r="BW107" s="14" t="str">
        <f>IF(OR(T107="",P107="",BV107="",T107&lt;=0,BV107&lt;=0),"",(1/Inputs!$B$9)*((T107^2/8)*((2*ACOS(1-2*BV107/T107))-SIN((2*ACOS(1-2*BV107/T107)))))*((((T107^2/8)*((2*ACOS(1-2*BV107/T107))-SIN((2*ACOS(1-2*BV107/T107)))))/((T107/2)*((2*ACOS(1-2*BV107/T107)))))^(2/3))*SQRT(P107))</f>
        <v/>
      </c>
      <c r="BX107" s="14" t="str">
        <f t="shared" si="147"/>
        <v/>
      </c>
      <c r="BY107" s="14" t="str">
        <f t="shared" si="148"/>
        <v/>
      </c>
      <c r="BZ107" s="14" t="str">
        <f t="shared" si="149"/>
        <v/>
      </c>
      <c r="CA107" s="14" t="str">
        <f>IF(OR(T107="",P107="",BZ107="",T107&lt;=0,BZ107&lt;=0),"",(1/Inputs!$B$9)*((T107^2/8)*((2*ACOS(1-2*BZ107/T107))-SIN((2*ACOS(1-2*BZ107/T107)))))*((((T107^2/8)*((2*ACOS(1-2*BZ107/T107))-SIN((2*ACOS(1-2*BZ107/T107)))))/((T107/2)*((2*ACOS(1-2*BZ107/T107)))))^(2/3))*SQRT(P107))</f>
        <v/>
      </c>
      <c r="CB107" s="14" t="str">
        <f t="shared" si="150"/>
        <v/>
      </c>
      <c r="CC107" s="14" t="str">
        <f t="shared" si="151"/>
        <v/>
      </c>
      <c r="CD107" s="14" t="str">
        <f t="shared" si="152"/>
        <v/>
      </c>
      <c r="CE107" s="14" t="str">
        <f>IF(OR(T107="",P107="",CD107="",T107&lt;=0,CD107&lt;=0),"",(1/Inputs!$B$9)*((T107^2/8)*((2*ACOS(1-2*CD107/T107))-SIN((2*ACOS(1-2*CD107/T107)))))*((((T107^2/8)*((2*ACOS(1-2*CD107/T107))-SIN((2*ACOS(1-2*CD107/T107)))))/((T107/2)*((2*ACOS(1-2*CD107/T107)))))^(2/3))*SQRT(P107))</f>
        <v/>
      </c>
      <c r="CF107" s="14" t="str">
        <f t="shared" si="153"/>
        <v/>
      </c>
      <c r="CG107" s="14" t="str">
        <f t="shared" si="154"/>
        <v/>
      </c>
      <c r="CH107" s="14" t="str">
        <f t="shared" si="155"/>
        <v/>
      </c>
    </row>
    <row r="108" spans="1:86" x14ac:dyDescent="0.25">
      <c r="A108" s="14"/>
      <c r="B108" s="14"/>
      <c r="C108" s="14"/>
      <c r="D108" s="14"/>
      <c r="E108" s="44"/>
      <c r="F108" s="44"/>
      <c r="G108" s="44">
        <f>SUMIFS(CB_plan!$G:$G,CB_plan!$F:$F,$A108)</f>
        <v>0</v>
      </c>
      <c r="H108" s="44">
        <f t="shared" si="117"/>
        <v>0</v>
      </c>
      <c r="I108" s="14"/>
      <c r="J108" s="44"/>
      <c r="K108" s="44" t="str">
        <f>IF(A108="","",Inputs!$B$13/((IF(AV108="",Inputs!$B$18,AV108)+Inputs!$B$14)^Inputs!$B$15))</f>
        <v/>
      </c>
      <c r="L108" s="44" t="str">
        <f>IF(A108="","",IF(H108="","",0.000000278*IF(I108&lt;&gt;"",I108,IFERROR(SUMIFS(CB_plan!$H:$H,CB_plan!$F:$F,$A108)/SUMIFS(CB_plan!$G:$G,CB_plan!$F:$F,$A108),Inputs!$B$17))*H108*K108))</f>
        <v/>
      </c>
      <c r="M108" s="44" t="str">
        <f t="shared" si="118"/>
        <v/>
      </c>
      <c r="N108" s="44" t="str">
        <f>IF(A108="","",(L108+M108)*Inputs!$B$16)</f>
        <v/>
      </c>
      <c r="O108" s="44"/>
      <c r="P108" s="44" t="str">
        <f>IF(A108="","",IF(O108="",Inputs!$B$7,O108))</f>
        <v/>
      </c>
      <c r="Q108" s="14" t="str">
        <f>IF(A108="","",IF(N108/Inputs!$B$10&lt;=AG108,Inputs!$F$5,IF(N108/Inputs!$B$10&gt;AP108,"OVERSIZE",INDEX(Inputs!$F$5:$F$14,MATCH(N108/Inputs!$B$10,AG108:AP108,1)+1))))</f>
        <v/>
      </c>
      <c r="R108" s="14"/>
      <c r="S108" s="14" t="str">
        <f t="shared" si="119"/>
        <v/>
      </c>
      <c r="T108" s="44" t="str">
        <f t="shared" si="120"/>
        <v/>
      </c>
      <c r="U108" s="44" t="str">
        <f>IF(T108="","",(1/Inputs!$B$9)*(PI()*T108^2/4)*((T108/4)^(2/3))*SQRT(P108))</f>
        <v/>
      </c>
      <c r="V108" s="44" t="str">
        <f>IF(OR(U108="",N108=""),"",N108/(U108*Inputs!$B$10))</f>
        <v/>
      </c>
      <c r="W108" s="44" t="str">
        <f t="shared" si="121"/>
        <v/>
      </c>
      <c r="X108" s="44"/>
      <c r="Y108" s="44" t="str">
        <f>IF(A108="","",IF(A108=Inputs!$B$6,Inputs!$B$22,IF(D108="","",IFERROR(INDEX($Z$4:$Z$201,MATCH(D108,$A$4:$A$201,0))+IF(X108="",Inputs!$B$20,X108),""))))</f>
        <v/>
      </c>
      <c r="Z108" s="44" t="str">
        <f t="shared" si="122"/>
        <v/>
      </c>
      <c r="AA108" s="44" t="str">
        <f>IF(C108="","",IFERROR(INDEX(Noeuds_plan!$C$4:$C$200,MATCH(C108,Noeuds_plan!$A$4:$A$200,0)),""))</f>
        <v/>
      </c>
      <c r="AB108" s="44" t="str">
        <f>IF(B108="","",IFERROR(INDEX(Noeuds_plan!$C$4:$C$200,MATCH(B108,Noeuds_plan!$A$4:$A$200,0)),""))</f>
        <v/>
      </c>
      <c r="AC108" s="44" t="str">
        <f t="shared" si="123"/>
        <v/>
      </c>
      <c r="AD108" s="44" t="str">
        <f t="shared" si="124"/>
        <v/>
      </c>
      <c r="AE108" s="14" t="str">
        <f>IF(A108="","",IF(OR(V108&gt;1,AND(AY108&lt;&gt;"",AY108&lt;Inputs!$B$11),AND(AY108&lt;&gt;"",AY108&gt;Inputs!$B$12),AC108&lt;Inputs!$B$19,AD108&lt;Inputs!$B$19,P108&lt;Inputs!$B$7,P108&gt;Inputs!$B$8),"CHECK","OK"))</f>
        <v/>
      </c>
      <c r="AF108" s="14"/>
      <c r="AG108" s="14" t="str">
        <f>IF(A108="","",(1/Inputs!$B$9)*(PI()*(Inputs!$F$5/1000)^2/4)*((Inputs!$F$5/1000/4)^(2/3))*SQRT(P108))</f>
        <v/>
      </c>
      <c r="AH108" s="14" t="str">
        <f>IF(A108="","",(1/Inputs!$B$9)*(PI()*(Inputs!$F$6/1000)^2/4)*((Inputs!$F$6/1000/4)^(2/3))*SQRT(P108))</f>
        <v/>
      </c>
      <c r="AI108" s="14" t="str">
        <f>IF(A108="","",(1/Inputs!$B$9)*(PI()*(Inputs!$F$7/1000)^2/4)*((Inputs!$F$7/1000/4)^(2/3))*SQRT(P108))</f>
        <v/>
      </c>
      <c r="AJ108" s="14" t="str">
        <f>IF(A108="","",(1/Inputs!$B$9)*(PI()*(Inputs!$F$8/1000)^2/4)*((Inputs!$F$8/1000/4)^(2/3))*SQRT(P108))</f>
        <v/>
      </c>
      <c r="AK108" s="14" t="str">
        <f>IF(A108="","",(1/Inputs!$B$9)*(PI()*(Inputs!$F$9/1000)^2/4)*((Inputs!$F$9/1000/4)^(2/3))*SQRT(P108))</f>
        <v/>
      </c>
      <c r="AL108" s="14" t="str">
        <f>IF(A108="","",(1/Inputs!$B$9)*(PI()*(Inputs!$F$10/1000)^2/4)*((Inputs!$F$10/1000/4)^(2/3))*SQRT(P108))</f>
        <v/>
      </c>
      <c r="AM108" s="14" t="str">
        <f>IF(A108="","",(1/Inputs!$B$9)*(PI()*(Inputs!$F$11/1000)^2/4)*((Inputs!$F$11/1000/4)^(2/3))*SQRT(P108))</f>
        <v/>
      </c>
      <c r="AN108" s="14" t="str">
        <f>IF(A108="","",(1/Inputs!$B$9)*(PI()*(Inputs!$F$12/1000)^2/4)*((Inputs!$F$12/1000/4)^(2/3))*SQRT(P108))</f>
        <v/>
      </c>
      <c r="AO108" s="14" t="str">
        <f>IF(A108="","",(1/Inputs!$B$9)*(PI()*(Inputs!$F$13/1000)^2/4)*((Inputs!$F$13/1000/4)^(2/3))*SQRT(P108))</f>
        <v/>
      </c>
      <c r="AP108" s="14" t="str">
        <f>IF(A108="","",(1/Inputs!$B$9)*(PI()*(Inputs!$F$14/1000)^2/4)*((Inputs!$F$14/1000/4)^(2/3))*SQRT(P108))</f>
        <v/>
      </c>
      <c r="AQ108" s="14" t="str">
        <f t="shared" si="125"/>
        <v/>
      </c>
      <c r="AR108" s="14" t="str">
        <f t="shared" si="126"/>
        <v/>
      </c>
      <c r="AS108" s="17" t="str">
        <f>IF(A108="","",IF(J108="",Inputs!$B$18,J108))</f>
        <v/>
      </c>
      <c r="AT108" s="17" t="str">
        <f>IF(A108="","",IFERROR(_xludf.maxifs($AV$4:$AV$201,$D$4:$D$201,$A108),""))</f>
        <v/>
      </c>
      <c r="AU108" s="17" t="str">
        <f>IF(A108="","",IF(OR(E108="",Inputs!$B$23=""),"",E108/(Inputs!$B$23*60)))</f>
        <v/>
      </c>
      <c r="AV108" s="17" t="str">
        <f t="shared" si="127"/>
        <v/>
      </c>
      <c r="AW108" s="17" t="str">
        <f t="shared" si="128"/>
        <v/>
      </c>
      <c r="AX108" s="17" t="str">
        <f>IF(OR(T108="",P108=""),"",(1/Inputs!$B$9)*((T108/4)^(2/3))*SQRT(P108))</f>
        <v/>
      </c>
      <c r="AY108" s="17" t="str">
        <f>IF(A108="","",IF(AND(AW108="",AX108="",BA108=""),"",IF(OR(UPPER(TRIM(Inputs!$B$24))="MANNING",UPPER(TRIM(Inputs!$B$24))="M"),AX108,IF(OR(UPPER(TRIM(Inputs!$B$24))="PARTIAL",UPPER(TRIM(Inputs!$B$24))="P"),BA108,IF(OR(UPPER(TRIM(Inputs!$B$24))="MAX",UPPER(TRIM(Inputs!$B$24))="X"),MAX(IF(AW108="",0,AW108),IF(AX108="",0,AX108),IF(BA108="",0,BA108)),AW108)))))</f>
        <v/>
      </c>
      <c r="AZ108" s="17" t="str">
        <f t="shared" si="129"/>
        <v/>
      </c>
      <c r="BA108" s="17" t="str">
        <f t="shared" si="130"/>
        <v/>
      </c>
      <c r="BB108" s="14" t="str">
        <f t="shared" si="131"/>
        <v/>
      </c>
      <c r="BC108" s="14" t="str">
        <f>IF(OR(N108="",T108="",P108=""),"",IF(OR(T108="",P108="",(0.94*T108)="",T108&lt;=0,(0.94*T108)&lt;=0),"",(1/Inputs!$B$9)*((T108^2/8)*((2*ACOS(1-2*(0.94*T108)/T108))-SIN((2*ACOS(1-2*(0.94*T108)/T108)))))*((((T108^2/8)*((2*ACOS(1-2*(0.94*T108)/T108))-SIN((2*ACOS(1-2*(0.94*T108)/T108)))))/((T108/2)*((2*ACOS(1-2*(0.94*T108)/T108)))))^(2/3))*SQRT(P108)))</f>
        <v/>
      </c>
      <c r="BD108" s="14" t="str">
        <f t="shared" si="132"/>
        <v/>
      </c>
      <c r="BE108" s="14" t="str">
        <f t="shared" si="133"/>
        <v/>
      </c>
      <c r="BF108" s="14" t="str">
        <f t="shared" si="134"/>
        <v/>
      </c>
      <c r="BG108" s="14" t="str">
        <f>IF(OR(T108="",P108="",BF108="",T108&lt;=0,BF108&lt;=0),"",(1/Inputs!$B$9)*((T108^2/8)*((2*ACOS(1-2*BF108/T108))-SIN((2*ACOS(1-2*BF108/T108)))))*((((T108^2/8)*((2*ACOS(1-2*BF108/T108))-SIN((2*ACOS(1-2*BF108/T108)))))/((T108/2)*((2*ACOS(1-2*BF108/T108)))))^(2/3))*SQRT(P108))</f>
        <v/>
      </c>
      <c r="BH108" s="14" t="str">
        <f t="shared" si="135"/>
        <v/>
      </c>
      <c r="BI108" s="14" t="str">
        <f t="shared" si="136"/>
        <v/>
      </c>
      <c r="BJ108" s="14" t="str">
        <f t="shared" si="137"/>
        <v/>
      </c>
      <c r="BK108" s="14" t="str">
        <f>IF(OR(T108="",P108="",BJ108="",T108&lt;=0,BJ108&lt;=0),"",(1/Inputs!$B$9)*((T108^2/8)*((2*ACOS(1-2*BJ108/T108))-SIN((2*ACOS(1-2*BJ108/T108)))))*((((T108^2/8)*((2*ACOS(1-2*BJ108/T108))-SIN((2*ACOS(1-2*BJ108/T108)))))/((T108/2)*((2*ACOS(1-2*BJ108/T108)))))^(2/3))*SQRT(P108))</f>
        <v/>
      </c>
      <c r="BL108" s="14" t="str">
        <f t="shared" si="138"/>
        <v/>
      </c>
      <c r="BM108" s="14" t="str">
        <f t="shared" si="139"/>
        <v/>
      </c>
      <c r="BN108" s="14" t="str">
        <f t="shared" si="140"/>
        <v/>
      </c>
      <c r="BO108" s="14" t="str">
        <f>IF(OR(T108="",P108="",BN108="",T108&lt;=0,BN108&lt;=0),"",(1/Inputs!$B$9)*((T108^2/8)*((2*ACOS(1-2*BN108/T108))-SIN((2*ACOS(1-2*BN108/T108)))))*((((T108^2/8)*((2*ACOS(1-2*BN108/T108))-SIN((2*ACOS(1-2*BN108/T108)))))/((T108/2)*((2*ACOS(1-2*BN108/T108)))))^(2/3))*SQRT(P108))</f>
        <v/>
      </c>
      <c r="BP108" s="14" t="str">
        <f t="shared" si="141"/>
        <v/>
      </c>
      <c r="BQ108" s="14" t="str">
        <f t="shared" si="142"/>
        <v/>
      </c>
      <c r="BR108" s="14" t="str">
        <f t="shared" si="143"/>
        <v/>
      </c>
      <c r="BS108" s="14" t="str">
        <f>IF(OR(T108="",P108="",BR108="",T108&lt;=0,BR108&lt;=0),"",(1/Inputs!$B$9)*((T108^2/8)*((2*ACOS(1-2*BR108/T108))-SIN((2*ACOS(1-2*BR108/T108)))))*((((T108^2/8)*((2*ACOS(1-2*BR108/T108))-SIN((2*ACOS(1-2*BR108/T108)))))/((T108/2)*((2*ACOS(1-2*BR108/T108)))))^(2/3))*SQRT(P108))</f>
        <v/>
      </c>
      <c r="BT108" s="14" t="str">
        <f t="shared" si="144"/>
        <v/>
      </c>
      <c r="BU108" s="14" t="str">
        <f t="shared" si="145"/>
        <v/>
      </c>
      <c r="BV108" s="14" t="str">
        <f t="shared" si="146"/>
        <v/>
      </c>
      <c r="BW108" s="14" t="str">
        <f>IF(OR(T108="",P108="",BV108="",T108&lt;=0,BV108&lt;=0),"",(1/Inputs!$B$9)*((T108^2/8)*((2*ACOS(1-2*BV108/T108))-SIN((2*ACOS(1-2*BV108/T108)))))*((((T108^2/8)*((2*ACOS(1-2*BV108/T108))-SIN((2*ACOS(1-2*BV108/T108)))))/((T108/2)*((2*ACOS(1-2*BV108/T108)))))^(2/3))*SQRT(P108))</f>
        <v/>
      </c>
      <c r="BX108" s="14" t="str">
        <f t="shared" si="147"/>
        <v/>
      </c>
      <c r="BY108" s="14" t="str">
        <f t="shared" si="148"/>
        <v/>
      </c>
      <c r="BZ108" s="14" t="str">
        <f t="shared" si="149"/>
        <v/>
      </c>
      <c r="CA108" s="14" t="str">
        <f>IF(OR(T108="",P108="",BZ108="",T108&lt;=0,BZ108&lt;=0),"",(1/Inputs!$B$9)*((T108^2/8)*((2*ACOS(1-2*BZ108/T108))-SIN((2*ACOS(1-2*BZ108/T108)))))*((((T108^2/8)*((2*ACOS(1-2*BZ108/T108))-SIN((2*ACOS(1-2*BZ108/T108)))))/((T108/2)*((2*ACOS(1-2*BZ108/T108)))))^(2/3))*SQRT(P108))</f>
        <v/>
      </c>
      <c r="CB108" s="14" t="str">
        <f t="shared" si="150"/>
        <v/>
      </c>
      <c r="CC108" s="14" t="str">
        <f t="shared" si="151"/>
        <v/>
      </c>
      <c r="CD108" s="14" t="str">
        <f t="shared" si="152"/>
        <v/>
      </c>
      <c r="CE108" s="14" t="str">
        <f>IF(OR(T108="",P108="",CD108="",T108&lt;=0,CD108&lt;=0),"",(1/Inputs!$B$9)*((T108^2/8)*((2*ACOS(1-2*CD108/T108))-SIN((2*ACOS(1-2*CD108/T108)))))*((((T108^2/8)*((2*ACOS(1-2*CD108/T108))-SIN((2*ACOS(1-2*CD108/T108)))))/((T108/2)*((2*ACOS(1-2*CD108/T108)))))^(2/3))*SQRT(P108))</f>
        <v/>
      </c>
      <c r="CF108" s="14" t="str">
        <f t="shared" si="153"/>
        <v/>
      </c>
      <c r="CG108" s="14" t="str">
        <f t="shared" si="154"/>
        <v/>
      </c>
      <c r="CH108" s="14" t="str">
        <f t="shared" si="155"/>
        <v/>
      </c>
    </row>
    <row r="109" spans="1:86" x14ac:dyDescent="0.25">
      <c r="A109" s="14"/>
      <c r="B109" s="14"/>
      <c r="C109" s="14"/>
      <c r="D109" s="14"/>
      <c r="E109" s="44"/>
      <c r="F109" s="44"/>
      <c r="G109" s="44">
        <f>SUMIFS(CB_plan!$G:$G,CB_plan!$F:$F,$A109)</f>
        <v>0</v>
      </c>
      <c r="H109" s="44">
        <f t="shared" si="117"/>
        <v>0</v>
      </c>
      <c r="I109" s="14"/>
      <c r="J109" s="44"/>
      <c r="K109" s="44" t="str">
        <f>IF(A109="","",Inputs!$B$13/((IF(AV109="",Inputs!$B$18,AV109)+Inputs!$B$14)^Inputs!$B$15))</f>
        <v/>
      </c>
      <c r="L109" s="44" t="str">
        <f>IF(A109="","",IF(H109="","",0.000000278*IF(I109&lt;&gt;"",I109,IFERROR(SUMIFS(CB_plan!$H:$H,CB_plan!$F:$F,$A109)/SUMIFS(CB_plan!$G:$G,CB_plan!$F:$F,$A109),Inputs!$B$17))*H109*K109))</f>
        <v/>
      </c>
      <c r="M109" s="44" t="str">
        <f t="shared" si="118"/>
        <v/>
      </c>
      <c r="N109" s="44" t="str">
        <f>IF(A109="","",(L109+M109)*Inputs!$B$16)</f>
        <v/>
      </c>
      <c r="O109" s="44"/>
      <c r="P109" s="44" t="str">
        <f>IF(A109="","",IF(O109="",Inputs!$B$7,O109))</f>
        <v/>
      </c>
      <c r="Q109" s="14" t="str">
        <f>IF(A109="","",IF(N109/Inputs!$B$10&lt;=AG109,Inputs!$F$5,IF(N109/Inputs!$B$10&gt;AP109,"OVERSIZE",INDEX(Inputs!$F$5:$F$14,MATCH(N109/Inputs!$B$10,AG109:AP109,1)+1))))</f>
        <v/>
      </c>
      <c r="R109" s="14"/>
      <c r="S109" s="14" t="str">
        <f t="shared" si="119"/>
        <v/>
      </c>
      <c r="T109" s="44" t="str">
        <f t="shared" si="120"/>
        <v/>
      </c>
      <c r="U109" s="44" t="str">
        <f>IF(T109="","",(1/Inputs!$B$9)*(PI()*T109^2/4)*((T109/4)^(2/3))*SQRT(P109))</f>
        <v/>
      </c>
      <c r="V109" s="44" t="str">
        <f>IF(OR(U109="",N109=""),"",N109/(U109*Inputs!$B$10))</f>
        <v/>
      </c>
      <c r="W109" s="44" t="str">
        <f t="shared" si="121"/>
        <v/>
      </c>
      <c r="X109" s="44"/>
      <c r="Y109" s="44" t="str">
        <f>IF(A109="","",IF(A109=Inputs!$B$6,Inputs!$B$22,IF(D109="","",IFERROR(INDEX($Z$4:$Z$201,MATCH(D109,$A$4:$A$201,0))+IF(X109="",Inputs!$B$20,X109),""))))</f>
        <v/>
      </c>
      <c r="Z109" s="44" t="str">
        <f t="shared" si="122"/>
        <v/>
      </c>
      <c r="AA109" s="44" t="str">
        <f>IF(C109="","",IFERROR(INDEX(Noeuds_plan!$C$4:$C$200,MATCH(C109,Noeuds_plan!$A$4:$A$200,0)),""))</f>
        <v/>
      </c>
      <c r="AB109" s="44" t="str">
        <f>IF(B109="","",IFERROR(INDEX(Noeuds_plan!$C$4:$C$200,MATCH(B109,Noeuds_plan!$A$4:$A$200,0)),""))</f>
        <v/>
      </c>
      <c r="AC109" s="44" t="str">
        <f t="shared" si="123"/>
        <v/>
      </c>
      <c r="AD109" s="44" t="str">
        <f t="shared" si="124"/>
        <v/>
      </c>
      <c r="AE109" s="14" t="str">
        <f>IF(A109="","",IF(OR(V109&gt;1,AND(AY109&lt;&gt;"",AY109&lt;Inputs!$B$11),AND(AY109&lt;&gt;"",AY109&gt;Inputs!$B$12),AC109&lt;Inputs!$B$19,AD109&lt;Inputs!$B$19,P109&lt;Inputs!$B$7,P109&gt;Inputs!$B$8),"CHECK","OK"))</f>
        <v/>
      </c>
      <c r="AF109" s="14"/>
      <c r="AG109" s="14" t="str">
        <f>IF(A109="","",(1/Inputs!$B$9)*(PI()*(Inputs!$F$5/1000)^2/4)*((Inputs!$F$5/1000/4)^(2/3))*SQRT(P109))</f>
        <v/>
      </c>
      <c r="AH109" s="14" t="str">
        <f>IF(A109="","",(1/Inputs!$B$9)*(PI()*(Inputs!$F$6/1000)^2/4)*((Inputs!$F$6/1000/4)^(2/3))*SQRT(P109))</f>
        <v/>
      </c>
      <c r="AI109" s="14" t="str">
        <f>IF(A109="","",(1/Inputs!$B$9)*(PI()*(Inputs!$F$7/1000)^2/4)*((Inputs!$F$7/1000/4)^(2/3))*SQRT(P109))</f>
        <v/>
      </c>
      <c r="AJ109" s="14" t="str">
        <f>IF(A109="","",(1/Inputs!$B$9)*(PI()*(Inputs!$F$8/1000)^2/4)*((Inputs!$F$8/1000/4)^(2/3))*SQRT(P109))</f>
        <v/>
      </c>
      <c r="AK109" s="14" t="str">
        <f>IF(A109="","",(1/Inputs!$B$9)*(PI()*(Inputs!$F$9/1000)^2/4)*((Inputs!$F$9/1000/4)^(2/3))*SQRT(P109))</f>
        <v/>
      </c>
      <c r="AL109" s="14" t="str">
        <f>IF(A109="","",(1/Inputs!$B$9)*(PI()*(Inputs!$F$10/1000)^2/4)*((Inputs!$F$10/1000/4)^(2/3))*SQRT(P109))</f>
        <v/>
      </c>
      <c r="AM109" s="14" t="str">
        <f>IF(A109="","",(1/Inputs!$B$9)*(PI()*(Inputs!$F$11/1000)^2/4)*((Inputs!$F$11/1000/4)^(2/3))*SQRT(P109))</f>
        <v/>
      </c>
      <c r="AN109" s="14" t="str">
        <f>IF(A109="","",(1/Inputs!$B$9)*(PI()*(Inputs!$F$12/1000)^2/4)*((Inputs!$F$12/1000/4)^(2/3))*SQRT(P109))</f>
        <v/>
      </c>
      <c r="AO109" s="14" t="str">
        <f>IF(A109="","",(1/Inputs!$B$9)*(PI()*(Inputs!$F$13/1000)^2/4)*((Inputs!$F$13/1000/4)^(2/3))*SQRT(P109))</f>
        <v/>
      </c>
      <c r="AP109" s="14" t="str">
        <f>IF(A109="","",(1/Inputs!$B$9)*(PI()*(Inputs!$F$14/1000)^2/4)*((Inputs!$F$14/1000/4)^(2/3))*SQRT(P109))</f>
        <v/>
      </c>
      <c r="AQ109" s="14" t="str">
        <f t="shared" si="125"/>
        <v/>
      </c>
      <c r="AR109" s="14" t="str">
        <f t="shared" si="126"/>
        <v/>
      </c>
      <c r="AS109" s="17" t="str">
        <f>IF(A109="","",IF(J109="",Inputs!$B$18,J109))</f>
        <v/>
      </c>
      <c r="AT109" s="17" t="str">
        <f>IF(A109="","",IFERROR(_xludf.maxifs($AV$4:$AV$201,$D$4:$D$201,$A109),""))</f>
        <v/>
      </c>
      <c r="AU109" s="17" t="str">
        <f>IF(A109="","",IF(OR(E109="",Inputs!$B$23=""),"",E109/(Inputs!$B$23*60)))</f>
        <v/>
      </c>
      <c r="AV109" s="17" t="str">
        <f t="shared" si="127"/>
        <v/>
      </c>
      <c r="AW109" s="17" t="str">
        <f t="shared" si="128"/>
        <v/>
      </c>
      <c r="AX109" s="17" t="str">
        <f>IF(OR(T109="",P109=""),"",(1/Inputs!$B$9)*((T109/4)^(2/3))*SQRT(P109))</f>
        <v/>
      </c>
      <c r="AY109" s="17" t="str">
        <f>IF(A109="","",IF(AND(AW109="",AX109="",BA109=""),"",IF(OR(UPPER(TRIM(Inputs!$B$24))="MANNING",UPPER(TRIM(Inputs!$B$24))="M"),AX109,IF(OR(UPPER(TRIM(Inputs!$B$24))="PARTIAL",UPPER(TRIM(Inputs!$B$24))="P"),BA109,IF(OR(UPPER(TRIM(Inputs!$B$24))="MAX",UPPER(TRIM(Inputs!$B$24))="X"),MAX(IF(AW109="",0,AW109),IF(AX109="",0,AX109),IF(BA109="",0,BA109)),AW109)))))</f>
        <v/>
      </c>
      <c r="AZ109" s="17" t="str">
        <f t="shared" si="129"/>
        <v/>
      </c>
      <c r="BA109" s="17" t="str">
        <f t="shared" si="130"/>
        <v/>
      </c>
      <c r="BB109" s="14" t="str">
        <f t="shared" si="131"/>
        <v/>
      </c>
      <c r="BC109" s="14" t="str">
        <f>IF(OR(N109="",T109="",P109=""),"",IF(OR(T109="",P109="",(0.94*T109)="",T109&lt;=0,(0.94*T109)&lt;=0),"",(1/Inputs!$B$9)*((T109^2/8)*((2*ACOS(1-2*(0.94*T109)/T109))-SIN((2*ACOS(1-2*(0.94*T109)/T109)))))*((((T109^2/8)*((2*ACOS(1-2*(0.94*T109)/T109))-SIN((2*ACOS(1-2*(0.94*T109)/T109)))))/((T109/2)*((2*ACOS(1-2*(0.94*T109)/T109)))))^(2/3))*SQRT(P109)))</f>
        <v/>
      </c>
      <c r="BD109" s="14" t="str">
        <f t="shared" si="132"/>
        <v/>
      </c>
      <c r="BE109" s="14" t="str">
        <f t="shared" si="133"/>
        <v/>
      </c>
      <c r="BF109" s="14" t="str">
        <f t="shared" si="134"/>
        <v/>
      </c>
      <c r="BG109" s="14" t="str">
        <f>IF(OR(T109="",P109="",BF109="",T109&lt;=0,BF109&lt;=0),"",(1/Inputs!$B$9)*((T109^2/8)*((2*ACOS(1-2*BF109/T109))-SIN((2*ACOS(1-2*BF109/T109)))))*((((T109^2/8)*((2*ACOS(1-2*BF109/T109))-SIN((2*ACOS(1-2*BF109/T109)))))/((T109/2)*((2*ACOS(1-2*BF109/T109)))))^(2/3))*SQRT(P109))</f>
        <v/>
      </c>
      <c r="BH109" s="14" t="str">
        <f t="shared" si="135"/>
        <v/>
      </c>
      <c r="BI109" s="14" t="str">
        <f t="shared" si="136"/>
        <v/>
      </c>
      <c r="BJ109" s="14" t="str">
        <f t="shared" si="137"/>
        <v/>
      </c>
      <c r="BK109" s="14" t="str">
        <f>IF(OR(T109="",P109="",BJ109="",T109&lt;=0,BJ109&lt;=0),"",(1/Inputs!$B$9)*((T109^2/8)*((2*ACOS(1-2*BJ109/T109))-SIN((2*ACOS(1-2*BJ109/T109)))))*((((T109^2/8)*((2*ACOS(1-2*BJ109/T109))-SIN((2*ACOS(1-2*BJ109/T109)))))/((T109/2)*((2*ACOS(1-2*BJ109/T109)))))^(2/3))*SQRT(P109))</f>
        <v/>
      </c>
      <c r="BL109" s="14" t="str">
        <f t="shared" si="138"/>
        <v/>
      </c>
      <c r="BM109" s="14" t="str">
        <f t="shared" si="139"/>
        <v/>
      </c>
      <c r="BN109" s="14" t="str">
        <f t="shared" si="140"/>
        <v/>
      </c>
      <c r="BO109" s="14" t="str">
        <f>IF(OR(T109="",P109="",BN109="",T109&lt;=0,BN109&lt;=0),"",(1/Inputs!$B$9)*((T109^2/8)*((2*ACOS(1-2*BN109/T109))-SIN((2*ACOS(1-2*BN109/T109)))))*((((T109^2/8)*((2*ACOS(1-2*BN109/T109))-SIN((2*ACOS(1-2*BN109/T109)))))/((T109/2)*((2*ACOS(1-2*BN109/T109)))))^(2/3))*SQRT(P109))</f>
        <v/>
      </c>
      <c r="BP109" s="14" t="str">
        <f t="shared" si="141"/>
        <v/>
      </c>
      <c r="BQ109" s="14" t="str">
        <f t="shared" si="142"/>
        <v/>
      </c>
      <c r="BR109" s="14" t="str">
        <f t="shared" si="143"/>
        <v/>
      </c>
      <c r="BS109" s="14" t="str">
        <f>IF(OR(T109="",P109="",BR109="",T109&lt;=0,BR109&lt;=0),"",(1/Inputs!$B$9)*((T109^2/8)*((2*ACOS(1-2*BR109/T109))-SIN((2*ACOS(1-2*BR109/T109)))))*((((T109^2/8)*((2*ACOS(1-2*BR109/T109))-SIN((2*ACOS(1-2*BR109/T109)))))/((T109/2)*((2*ACOS(1-2*BR109/T109)))))^(2/3))*SQRT(P109))</f>
        <v/>
      </c>
      <c r="BT109" s="14" t="str">
        <f t="shared" si="144"/>
        <v/>
      </c>
      <c r="BU109" s="14" t="str">
        <f t="shared" si="145"/>
        <v/>
      </c>
      <c r="BV109" s="14" t="str">
        <f t="shared" si="146"/>
        <v/>
      </c>
      <c r="BW109" s="14" t="str">
        <f>IF(OR(T109="",P109="",BV109="",T109&lt;=0,BV109&lt;=0),"",(1/Inputs!$B$9)*((T109^2/8)*((2*ACOS(1-2*BV109/T109))-SIN((2*ACOS(1-2*BV109/T109)))))*((((T109^2/8)*((2*ACOS(1-2*BV109/T109))-SIN((2*ACOS(1-2*BV109/T109)))))/((T109/2)*((2*ACOS(1-2*BV109/T109)))))^(2/3))*SQRT(P109))</f>
        <v/>
      </c>
      <c r="BX109" s="14" t="str">
        <f t="shared" si="147"/>
        <v/>
      </c>
      <c r="BY109" s="14" t="str">
        <f t="shared" si="148"/>
        <v/>
      </c>
      <c r="BZ109" s="14" t="str">
        <f t="shared" si="149"/>
        <v/>
      </c>
      <c r="CA109" s="14" t="str">
        <f>IF(OR(T109="",P109="",BZ109="",T109&lt;=0,BZ109&lt;=0),"",(1/Inputs!$B$9)*((T109^2/8)*((2*ACOS(1-2*BZ109/T109))-SIN((2*ACOS(1-2*BZ109/T109)))))*((((T109^2/8)*((2*ACOS(1-2*BZ109/T109))-SIN((2*ACOS(1-2*BZ109/T109)))))/((T109/2)*((2*ACOS(1-2*BZ109/T109)))))^(2/3))*SQRT(P109))</f>
        <v/>
      </c>
      <c r="CB109" s="14" t="str">
        <f t="shared" si="150"/>
        <v/>
      </c>
      <c r="CC109" s="14" t="str">
        <f t="shared" si="151"/>
        <v/>
      </c>
      <c r="CD109" s="14" t="str">
        <f t="shared" si="152"/>
        <v/>
      </c>
      <c r="CE109" s="14" t="str">
        <f>IF(OR(T109="",P109="",CD109="",T109&lt;=0,CD109&lt;=0),"",(1/Inputs!$B$9)*((T109^2/8)*((2*ACOS(1-2*CD109/T109))-SIN((2*ACOS(1-2*CD109/T109)))))*((((T109^2/8)*((2*ACOS(1-2*CD109/T109))-SIN((2*ACOS(1-2*CD109/T109)))))/((T109/2)*((2*ACOS(1-2*CD109/T109)))))^(2/3))*SQRT(P109))</f>
        <v/>
      </c>
      <c r="CF109" s="14" t="str">
        <f t="shared" si="153"/>
        <v/>
      </c>
      <c r="CG109" s="14" t="str">
        <f t="shared" si="154"/>
        <v/>
      </c>
      <c r="CH109" s="14" t="str">
        <f t="shared" si="155"/>
        <v/>
      </c>
    </row>
    <row r="110" spans="1:86" x14ac:dyDescent="0.25">
      <c r="A110" s="14"/>
      <c r="B110" s="14"/>
      <c r="C110" s="14"/>
      <c r="D110" s="14"/>
      <c r="E110" s="44"/>
      <c r="F110" s="44"/>
      <c r="G110" s="44">
        <f>SUMIFS(CB_plan!$G:$G,CB_plan!$F:$F,$A110)</f>
        <v>0</v>
      </c>
      <c r="H110" s="44">
        <f t="shared" si="117"/>
        <v>0</v>
      </c>
      <c r="I110" s="14"/>
      <c r="J110" s="44"/>
      <c r="K110" s="44" t="str">
        <f>IF(A110="","",Inputs!$B$13/((IF(AV110="",Inputs!$B$18,AV110)+Inputs!$B$14)^Inputs!$B$15))</f>
        <v/>
      </c>
      <c r="L110" s="44" t="str">
        <f>IF(A110="","",IF(H110="","",0.000000278*IF(I110&lt;&gt;"",I110,IFERROR(SUMIFS(CB_plan!$H:$H,CB_plan!$F:$F,$A110)/SUMIFS(CB_plan!$G:$G,CB_plan!$F:$F,$A110),Inputs!$B$17))*H110*K110))</f>
        <v/>
      </c>
      <c r="M110" s="44" t="str">
        <f t="shared" si="118"/>
        <v/>
      </c>
      <c r="N110" s="44" t="str">
        <f>IF(A110="","",(L110+M110)*Inputs!$B$16)</f>
        <v/>
      </c>
      <c r="O110" s="44"/>
      <c r="P110" s="44" t="str">
        <f>IF(A110="","",IF(O110="",Inputs!$B$7,O110))</f>
        <v/>
      </c>
      <c r="Q110" s="14" t="str">
        <f>IF(A110="","",IF(N110/Inputs!$B$10&lt;=AG110,Inputs!$F$5,IF(N110/Inputs!$B$10&gt;AP110,"OVERSIZE",INDEX(Inputs!$F$5:$F$14,MATCH(N110/Inputs!$B$10,AG110:AP110,1)+1))))</f>
        <v/>
      </c>
      <c r="R110" s="14"/>
      <c r="S110" s="14" t="str">
        <f t="shared" si="119"/>
        <v/>
      </c>
      <c r="T110" s="44" t="str">
        <f t="shared" si="120"/>
        <v/>
      </c>
      <c r="U110" s="44" t="str">
        <f>IF(T110="","",(1/Inputs!$B$9)*(PI()*T110^2/4)*((T110/4)^(2/3))*SQRT(P110))</f>
        <v/>
      </c>
      <c r="V110" s="44" t="str">
        <f>IF(OR(U110="",N110=""),"",N110/(U110*Inputs!$B$10))</f>
        <v/>
      </c>
      <c r="W110" s="44" t="str">
        <f t="shared" si="121"/>
        <v/>
      </c>
      <c r="X110" s="44"/>
      <c r="Y110" s="44" t="str">
        <f>IF(A110="","",IF(A110=Inputs!$B$6,Inputs!$B$22,IF(D110="","",IFERROR(INDEX($Z$4:$Z$201,MATCH(D110,$A$4:$A$201,0))+IF(X110="",Inputs!$B$20,X110),""))))</f>
        <v/>
      </c>
      <c r="Z110" s="44" t="str">
        <f t="shared" si="122"/>
        <v/>
      </c>
      <c r="AA110" s="44" t="str">
        <f>IF(C110="","",IFERROR(INDEX(Noeuds_plan!$C$4:$C$200,MATCH(C110,Noeuds_plan!$A$4:$A$200,0)),""))</f>
        <v/>
      </c>
      <c r="AB110" s="44" t="str">
        <f>IF(B110="","",IFERROR(INDEX(Noeuds_plan!$C$4:$C$200,MATCH(B110,Noeuds_plan!$A$4:$A$200,0)),""))</f>
        <v/>
      </c>
      <c r="AC110" s="44" t="str">
        <f t="shared" si="123"/>
        <v/>
      </c>
      <c r="AD110" s="44" t="str">
        <f t="shared" si="124"/>
        <v/>
      </c>
      <c r="AE110" s="14" t="str">
        <f>IF(A110="","",IF(OR(V110&gt;1,AND(AY110&lt;&gt;"",AY110&lt;Inputs!$B$11),AND(AY110&lt;&gt;"",AY110&gt;Inputs!$B$12),AC110&lt;Inputs!$B$19,AD110&lt;Inputs!$B$19,P110&lt;Inputs!$B$7,P110&gt;Inputs!$B$8),"CHECK","OK"))</f>
        <v/>
      </c>
      <c r="AF110" s="14"/>
      <c r="AG110" s="14" t="str">
        <f>IF(A110="","",(1/Inputs!$B$9)*(PI()*(Inputs!$F$5/1000)^2/4)*((Inputs!$F$5/1000/4)^(2/3))*SQRT(P110))</f>
        <v/>
      </c>
      <c r="AH110" s="14" t="str">
        <f>IF(A110="","",(1/Inputs!$B$9)*(PI()*(Inputs!$F$6/1000)^2/4)*((Inputs!$F$6/1000/4)^(2/3))*SQRT(P110))</f>
        <v/>
      </c>
      <c r="AI110" s="14" t="str">
        <f>IF(A110="","",(1/Inputs!$B$9)*(PI()*(Inputs!$F$7/1000)^2/4)*((Inputs!$F$7/1000/4)^(2/3))*SQRT(P110))</f>
        <v/>
      </c>
      <c r="AJ110" s="14" t="str">
        <f>IF(A110="","",(1/Inputs!$B$9)*(PI()*(Inputs!$F$8/1000)^2/4)*((Inputs!$F$8/1000/4)^(2/3))*SQRT(P110))</f>
        <v/>
      </c>
      <c r="AK110" s="14" t="str">
        <f>IF(A110="","",(1/Inputs!$B$9)*(PI()*(Inputs!$F$9/1000)^2/4)*((Inputs!$F$9/1000/4)^(2/3))*SQRT(P110))</f>
        <v/>
      </c>
      <c r="AL110" s="14" t="str">
        <f>IF(A110="","",(1/Inputs!$B$9)*(PI()*(Inputs!$F$10/1000)^2/4)*((Inputs!$F$10/1000/4)^(2/3))*SQRT(P110))</f>
        <v/>
      </c>
      <c r="AM110" s="14" t="str">
        <f>IF(A110="","",(1/Inputs!$B$9)*(PI()*(Inputs!$F$11/1000)^2/4)*((Inputs!$F$11/1000/4)^(2/3))*SQRT(P110))</f>
        <v/>
      </c>
      <c r="AN110" s="14" t="str">
        <f>IF(A110="","",(1/Inputs!$B$9)*(PI()*(Inputs!$F$12/1000)^2/4)*((Inputs!$F$12/1000/4)^(2/3))*SQRT(P110))</f>
        <v/>
      </c>
      <c r="AO110" s="14" t="str">
        <f>IF(A110="","",(1/Inputs!$B$9)*(PI()*(Inputs!$F$13/1000)^2/4)*((Inputs!$F$13/1000/4)^(2/3))*SQRT(P110))</f>
        <v/>
      </c>
      <c r="AP110" s="14" t="str">
        <f>IF(A110="","",(1/Inputs!$B$9)*(PI()*(Inputs!$F$14/1000)^2/4)*((Inputs!$F$14/1000/4)^(2/3))*SQRT(P110))</f>
        <v/>
      </c>
      <c r="AQ110" s="14" t="str">
        <f t="shared" si="125"/>
        <v/>
      </c>
      <c r="AR110" s="14" t="str">
        <f t="shared" si="126"/>
        <v/>
      </c>
      <c r="AS110" s="17" t="str">
        <f>IF(A110="","",IF(J110="",Inputs!$B$18,J110))</f>
        <v/>
      </c>
      <c r="AT110" s="17" t="str">
        <f>IF(A110="","",IFERROR(_xludf.maxifs($AV$4:$AV$201,$D$4:$D$201,$A110),""))</f>
        <v/>
      </c>
      <c r="AU110" s="17" t="str">
        <f>IF(A110="","",IF(OR(E110="",Inputs!$B$23=""),"",E110/(Inputs!$B$23*60)))</f>
        <v/>
      </c>
      <c r="AV110" s="17" t="str">
        <f t="shared" si="127"/>
        <v/>
      </c>
      <c r="AW110" s="17" t="str">
        <f t="shared" si="128"/>
        <v/>
      </c>
      <c r="AX110" s="17" t="str">
        <f>IF(OR(T110="",P110=""),"",(1/Inputs!$B$9)*((T110/4)^(2/3))*SQRT(P110))</f>
        <v/>
      </c>
      <c r="AY110" s="17" t="str">
        <f>IF(A110="","",IF(AND(AW110="",AX110="",BA110=""),"",IF(OR(UPPER(TRIM(Inputs!$B$24))="MANNING",UPPER(TRIM(Inputs!$B$24))="M"),AX110,IF(OR(UPPER(TRIM(Inputs!$B$24))="PARTIAL",UPPER(TRIM(Inputs!$B$24))="P"),BA110,IF(OR(UPPER(TRIM(Inputs!$B$24))="MAX",UPPER(TRIM(Inputs!$B$24))="X"),MAX(IF(AW110="",0,AW110),IF(AX110="",0,AX110),IF(BA110="",0,BA110)),AW110)))))</f>
        <v/>
      </c>
      <c r="AZ110" s="17" t="str">
        <f t="shared" si="129"/>
        <v/>
      </c>
      <c r="BA110" s="17" t="str">
        <f t="shared" si="130"/>
        <v/>
      </c>
      <c r="BB110" s="14" t="str">
        <f t="shared" si="131"/>
        <v/>
      </c>
      <c r="BC110" s="14" t="str">
        <f>IF(OR(N110="",T110="",P110=""),"",IF(OR(T110="",P110="",(0.94*T110)="",T110&lt;=0,(0.94*T110)&lt;=0),"",(1/Inputs!$B$9)*((T110^2/8)*((2*ACOS(1-2*(0.94*T110)/T110))-SIN((2*ACOS(1-2*(0.94*T110)/T110)))))*((((T110^2/8)*((2*ACOS(1-2*(0.94*T110)/T110))-SIN((2*ACOS(1-2*(0.94*T110)/T110)))))/((T110/2)*((2*ACOS(1-2*(0.94*T110)/T110)))))^(2/3))*SQRT(P110)))</f>
        <v/>
      </c>
      <c r="BD110" s="14" t="str">
        <f t="shared" si="132"/>
        <v/>
      </c>
      <c r="BE110" s="14" t="str">
        <f t="shared" si="133"/>
        <v/>
      </c>
      <c r="BF110" s="14" t="str">
        <f t="shared" si="134"/>
        <v/>
      </c>
      <c r="BG110" s="14" t="str">
        <f>IF(OR(T110="",P110="",BF110="",T110&lt;=0,BF110&lt;=0),"",(1/Inputs!$B$9)*((T110^2/8)*((2*ACOS(1-2*BF110/T110))-SIN((2*ACOS(1-2*BF110/T110)))))*((((T110^2/8)*((2*ACOS(1-2*BF110/T110))-SIN((2*ACOS(1-2*BF110/T110)))))/((T110/2)*((2*ACOS(1-2*BF110/T110)))))^(2/3))*SQRT(P110))</f>
        <v/>
      </c>
      <c r="BH110" s="14" t="str">
        <f t="shared" si="135"/>
        <v/>
      </c>
      <c r="BI110" s="14" t="str">
        <f t="shared" si="136"/>
        <v/>
      </c>
      <c r="BJ110" s="14" t="str">
        <f t="shared" si="137"/>
        <v/>
      </c>
      <c r="BK110" s="14" t="str">
        <f>IF(OR(T110="",P110="",BJ110="",T110&lt;=0,BJ110&lt;=0),"",(1/Inputs!$B$9)*((T110^2/8)*((2*ACOS(1-2*BJ110/T110))-SIN((2*ACOS(1-2*BJ110/T110)))))*((((T110^2/8)*((2*ACOS(1-2*BJ110/T110))-SIN((2*ACOS(1-2*BJ110/T110)))))/((T110/2)*((2*ACOS(1-2*BJ110/T110)))))^(2/3))*SQRT(P110))</f>
        <v/>
      </c>
      <c r="BL110" s="14" t="str">
        <f t="shared" si="138"/>
        <v/>
      </c>
      <c r="BM110" s="14" t="str">
        <f t="shared" si="139"/>
        <v/>
      </c>
      <c r="BN110" s="14" t="str">
        <f t="shared" si="140"/>
        <v/>
      </c>
      <c r="BO110" s="14" t="str">
        <f>IF(OR(T110="",P110="",BN110="",T110&lt;=0,BN110&lt;=0),"",(1/Inputs!$B$9)*((T110^2/8)*((2*ACOS(1-2*BN110/T110))-SIN((2*ACOS(1-2*BN110/T110)))))*((((T110^2/8)*((2*ACOS(1-2*BN110/T110))-SIN((2*ACOS(1-2*BN110/T110)))))/((T110/2)*((2*ACOS(1-2*BN110/T110)))))^(2/3))*SQRT(P110))</f>
        <v/>
      </c>
      <c r="BP110" s="14" t="str">
        <f t="shared" si="141"/>
        <v/>
      </c>
      <c r="BQ110" s="14" t="str">
        <f t="shared" si="142"/>
        <v/>
      </c>
      <c r="BR110" s="14" t="str">
        <f t="shared" si="143"/>
        <v/>
      </c>
      <c r="BS110" s="14" t="str">
        <f>IF(OR(T110="",P110="",BR110="",T110&lt;=0,BR110&lt;=0),"",(1/Inputs!$B$9)*((T110^2/8)*((2*ACOS(1-2*BR110/T110))-SIN((2*ACOS(1-2*BR110/T110)))))*((((T110^2/8)*((2*ACOS(1-2*BR110/T110))-SIN((2*ACOS(1-2*BR110/T110)))))/((T110/2)*((2*ACOS(1-2*BR110/T110)))))^(2/3))*SQRT(P110))</f>
        <v/>
      </c>
      <c r="BT110" s="14" t="str">
        <f t="shared" si="144"/>
        <v/>
      </c>
      <c r="BU110" s="14" t="str">
        <f t="shared" si="145"/>
        <v/>
      </c>
      <c r="BV110" s="14" t="str">
        <f t="shared" si="146"/>
        <v/>
      </c>
      <c r="BW110" s="14" t="str">
        <f>IF(OR(T110="",P110="",BV110="",T110&lt;=0,BV110&lt;=0),"",(1/Inputs!$B$9)*((T110^2/8)*((2*ACOS(1-2*BV110/T110))-SIN((2*ACOS(1-2*BV110/T110)))))*((((T110^2/8)*((2*ACOS(1-2*BV110/T110))-SIN((2*ACOS(1-2*BV110/T110)))))/((T110/2)*((2*ACOS(1-2*BV110/T110)))))^(2/3))*SQRT(P110))</f>
        <v/>
      </c>
      <c r="BX110" s="14" t="str">
        <f t="shared" si="147"/>
        <v/>
      </c>
      <c r="BY110" s="14" t="str">
        <f t="shared" si="148"/>
        <v/>
      </c>
      <c r="BZ110" s="14" t="str">
        <f t="shared" si="149"/>
        <v/>
      </c>
      <c r="CA110" s="14" t="str">
        <f>IF(OR(T110="",P110="",BZ110="",T110&lt;=0,BZ110&lt;=0),"",(1/Inputs!$B$9)*((T110^2/8)*((2*ACOS(1-2*BZ110/T110))-SIN((2*ACOS(1-2*BZ110/T110)))))*((((T110^2/8)*((2*ACOS(1-2*BZ110/T110))-SIN((2*ACOS(1-2*BZ110/T110)))))/((T110/2)*((2*ACOS(1-2*BZ110/T110)))))^(2/3))*SQRT(P110))</f>
        <v/>
      </c>
      <c r="CB110" s="14" t="str">
        <f t="shared" si="150"/>
        <v/>
      </c>
      <c r="CC110" s="14" t="str">
        <f t="shared" si="151"/>
        <v/>
      </c>
      <c r="CD110" s="14" t="str">
        <f t="shared" si="152"/>
        <v/>
      </c>
      <c r="CE110" s="14" t="str">
        <f>IF(OR(T110="",P110="",CD110="",T110&lt;=0,CD110&lt;=0),"",(1/Inputs!$B$9)*((T110^2/8)*((2*ACOS(1-2*CD110/T110))-SIN((2*ACOS(1-2*CD110/T110)))))*((((T110^2/8)*((2*ACOS(1-2*CD110/T110))-SIN((2*ACOS(1-2*CD110/T110)))))/((T110/2)*((2*ACOS(1-2*CD110/T110)))))^(2/3))*SQRT(P110))</f>
        <v/>
      </c>
      <c r="CF110" s="14" t="str">
        <f t="shared" si="153"/>
        <v/>
      </c>
      <c r="CG110" s="14" t="str">
        <f t="shared" si="154"/>
        <v/>
      </c>
      <c r="CH110" s="14" t="str">
        <f t="shared" si="155"/>
        <v/>
      </c>
    </row>
    <row r="111" spans="1:86" x14ac:dyDescent="0.25">
      <c r="A111" s="14"/>
      <c r="B111" s="14"/>
      <c r="C111" s="14"/>
      <c r="D111" s="14"/>
      <c r="E111" s="44"/>
      <c r="F111" s="44"/>
      <c r="G111" s="44">
        <f>SUMIFS(CB_plan!$G:$G,CB_plan!$F:$F,$A111)</f>
        <v>0</v>
      </c>
      <c r="H111" s="44">
        <f t="shared" si="117"/>
        <v>0</v>
      </c>
      <c r="I111" s="14"/>
      <c r="J111" s="44"/>
      <c r="K111" s="44" t="str">
        <f>IF(A111="","",Inputs!$B$13/((IF(AV111="",Inputs!$B$18,AV111)+Inputs!$B$14)^Inputs!$B$15))</f>
        <v/>
      </c>
      <c r="L111" s="44" t="str">
        <f>IF(A111="","",IF(H111="","",0.000000278*IF(I111&lt;&gt;"",I111,IFERROR(SUMIFS(CB_plan!$H:$H,CB_plan!$F:$F,$A111)/SUMIFS(CB_plan!$G:$G,CB_plan!$F:$F,$A111),Inputs!$B$17))*H111*K111))</f>
        <v/>
      </c>
      <c r="M111" s="44" t="str">
        <f t="shared" si="118"/>
        <v/>
      </c>
      <c r="N111" s="44" t="str">
        <f>IF(A111="","",(L111+M111)*Inputs!$B$16)</f>
        <v/>
      </c>
      <c r="O111" s="44"/>
      <c r="P111" s="44" t="str">
        <f>IF(A111="","",IF(O111="",Inputs!$B$7,O111))</f>
        <v/>
      </c>
      <c r="Q111" s="14" t="str">
        <f>IF(A111="","",IF(N111/Inputs!$B$10&lt;=AG111,Inputs!$F$5,IF(N111/Inputs!$B$10&gt;AP111,"OVERSIZE",INDEX(Inputs!$F$5:$F$14,MATCH(N111/Inputs!$B$10,AG111:AP111,1)+1))))</f>
        <v/>
      </c>
      <c r="R111" s="14"/>
      <c r="S111" s="14" t="str">
        <f t="shared" si="119"/>
        <v/>
      </c>
      <c r="T111" s="44" t="str">
        <f t="shared" si="120"/>
        <v/>
      </c>
      <c r="U111" s="44" t="str">
        <f>IF(T111="","",(1/Inputs!$B$9)*(PI()*T111^2/4)*((T111/4)^(2/3))*SQRT(P111))</f>
        <v/>
      </c>
      <c r="V111" s="44" t="str">
        <f>IF(OR(U111="",N111=""),"",N111/(U111*Inputs!$B$10))</f>
        <v/>
      </c>
      <c r="W111" s="44" t="str">
        <f t="shared" si="121"/>
        <v/>
      </c>
      <c r="X111" s="44"/>
      <c r="Y111" s="44" t="str">
        <f>IF(A111="","",IF(A111=Inputs!$B$6,Inputs!$B$22,IF(D111="","",IFERROR(INDEX($Z$4:$Z$201,MATCH(D111,$A$4:$A$201,0))+IF(X111="",Inputs!$B$20,X111),""))))</f>
        <v/>
      </c>
      <c r="Z111" s="44" t="str">
        <f t="shared" si="122"/>
        <v/>
      </c>
      <c r="AA111" s="44" t="str">
        <f>IF(C111="","",IFERROR(INDEX(Noeuds_plan!$C$4:$C$200,MATCH(C111,Noeuds_plan!$A$4:$A$200,0)),""))</f>
        <v/>
      </c>
      <c r="AB111" s="44" t="str">
        <f>IF(B111="","",IFERROR(INDEX(Noeuds_plan!$C$4:$C$200,MATCH(B111,Noeuds_plan!$A$4:$A$200,0)),""))</f>
        <v/>
      </c>
      <c r="AC111" s="44" t="str">
        <f t="shared" si="123"/>
        <v/>
      </c>
      <c r="AD111" s="44" t="str">
        <f t="shared" si="124"/>
        <v/>
      </c>
      <c r="AE111" s="14" t="str">
        <f>IF(A111="","",IF(OR(V111&gt;1,AND(AY111&lt;&gt;"",AY111&lt;Inputs!$B$11),AND(AY111&lt;&gt;"",AY111&gt;Inputs!$B$12),AC111&lt;Inputs!$B$19,AD111&lt;Inputs!$B$19,P111&lt;Inputs!$B$7,P111&gt;Inputs!$B$8),"CHECK","OK"))</f>
        <v/>
      </c>
      <c r="AF111" s="14"/>
      <c r="AG111" s="14" t="str">
        <f>IF(A111="","",(1/Inputs!$B$9)*(PI()*(Inputs!$F$5/1000)^2/4)*((Inputs!$F$5/1000/4)^(2/3))*SQRT(P111))</f>
        <v/>
      </c>
      <c r="AH111" s="14" t="str">
        <f>IF(A111="","",(1/Inputs!$B$9)*(PI()*(Inputs!$F$6/1000)^2/4)*((Inputs!$F$6/1000/4)^(2/3))*SQRT(P111))</f>
        <v/>
      </c>
      <c r="AI111" s="14" t="str">
        <f>IF(A111="","",(1/Inputs!$B$9)*(PI()*(Inputs!$F$7/1000)^2/4)*((Inputs!$F$7/1000/4)^(2/3))*SQRT(P111))</f>
        <v/>
      </c>
      <c r="AJ111" s="14" t="str">
        <f>IF(A111="","",(1/Inputs!$B$9)*(PI()*(Inputs!$F$8/1000)^2/4)*((Inputs!$F$8/1000/4)^(2/3))*SQRT(P111))</f>
        <v/>
      </c>
      <c r="AK111" s="14" t="str">
        <f>IF(A111="","",(1/Inputs!$B$9)*(PI()*(Inputs!$F$9/1000)^2/4)*((Inputs!$F$9/1000/4)^(2/3))*SQRT(P111))</f>
        <v/>
      </c>
      <c r="AL111" s="14" t="str">
        <f>IF(A111="","",(1/Inputs!$B$9)*(PI()*(Inputs!$F$10/1000)^2/4)*((Inputs!$F$10/1000/4)^(2/3))*SQRT(P111))</f>
        <v/>
      </c>
      <c r="AM111" s="14" t="str">
        <f>IF(A111="","",(1/Inputs!$B$9)*(PI()*(Inputs!$F$11/1000)^2/4)*((Inputs!$F$11/1000/4)^(2/3))*SQRT(P111))</f>
        <v/>
      </c>
      <c r="AN111" s="14" t="str">
        <f>IF(A111="","",(1/Inputs!$B$9)*(PI()*(Inputs!$F$12/1000)^2/4)*((Inputs!$F$12/1000/4)^(2/3))*SQRT(P111))</f>
        <v/>
      </c>
      <c r="AO111" s="14" t="str">
        <f>IF(A111="","",(1/Inputs!$B$9)*(PI()*(Inputs!$F$13/1000)^2/4)*((Inputs!$F$13/1000/4)^(2/3))*SQRT(P111))</f>
        <v/>
      </c>
      <c r="AP111" s="14" t="str">
        <f>IF(A111="","",(1/Inputs!$B$9)*(PI()*(Inputs!$F$14/1000)^2/4)*((Inputs!$F$14/1000/4)^(2/3))*SQRT(P111))</f>
        <v/>
      </c>
      <c r="AQ111" s="14" t="str">
        <f t="shared" si="125"/>
        <v/>
      </c>
      <c r="AR111" s="14" t="str">
        <f t="shared" si="126"/>
        <v/>
      </c>
      <c r="AS111" s="17" t="str">
        <f>IF(A111="","",IF(J111="",Inputs!$B$18,J111))</f>
        <v/>
      </c>
      <c r="AT111" s="17" t="str">
        <f>IF(A111="","",IFERROR(_xludf.maxifs($AV$4:$AV$201,$D$4:$D$201,$A111),""))</f>
        <v/>
      </c>
      <c r="AU111" s="17" t="str">
        <f>IF(A111="","",IF(OR(E111="",Inputs!$B$23=""),"",E111/(Inputs!$B$23*60)))</f>
        <v/>
      </c>
      <c r="AV111" s="17" t="str">
        <f t="shared" si="127"/>
        <v/>
      </c>
      <c r="AW111" s="17" t="str">
        <f t="shared" si="128"/>
        <v/>
      </c>
      <c r="AX111" s="17" t="str">
        <f>IF(OR(T111="",P111=""),"",(1/Inputs!$B$9)*((T111/4)^(2/3))*SQRT(P111))</f>
        <v/>
      </c>
      <c r="AY111" s="17" t="str">
        <f>IF(A111="","",IF(AND(AW111="",AX111="",BA111=""),"",IF(OR(UPPER(TRIM(Inputs!$B$24))="MANNING",UPPER(TRIM(Inputs!$B$24))="M"),AX111,IF(OR(UPPER(TRIM(Inputs!$B$24))="PARTIAL",UPPER(TRIM(Inputs!$B$24))="P"),BA111,IF(OR(UPPER(TRIM(Inputs!$B$24))="MAX",UPPER(TRIM(Inputs!$B$24))="X"),MAX(IF(AW111="",0,AW111),IF(AX111="",0,AX111),IF(BA111="",0,BA111)),AW111)))))</f>
        <v/>
      </c>
      <c r="AZ111" s="17" t="str">
        <f t="shared" si="129"/>
        <v/>
      </c>
      <c r="BA111" s="17" t="str">
        <f t="shared" si="130"/>
        <v/>
      </c>
      <c r="BB111" s="14" t="str">
        <f t="shared" si="131"/>
        <v/>
      </c>
      <c r="BC111" s="14" t="str">
        <f>IF(OR(N111="",T111="",P111=""),"",IF(OR(T111="",P111="",(0.94*T111)="",T111&lt;=0,(0.94*T111)&lt;=0),"",(1/Inputs!$B$9)*((T111^2/8)*((2*ACOS(1-2*(0.94*T111)/T111))-SIN((2*ACOS(1-2*(0.94*T111)/T111)))))*((((T111^2/8)*((2*ACOS(1-2*(0.94*T111)/T111))-SIN((2*ACOS(1-2*(0.94*T111)/T111)))))/((T111/2)*((2*ACOS(1-2*(0.94*T111)/T111)))))^(2/3))*SQRT(P111)))</f>
        <v/>
      </c>
      <c r="BD111" s="14" t="str">
        <f t="shared" si="132"/>
        <v/>
      </c>
      <c r="BE111" s="14" t="str">
        <f t="shared" si="133"/>
        <v/>
      </c>
      <c r="BF111" s="14" t="str">
        <f t="shared" si="134"/>
        <v/>
      </c>
      <c r="BG111" s="14" t="str">
        <f>IF(OR(T111="",P111="",BF111="",T111&lt;=0,BF111&lt;=0),"",(1/Inputs!$B$9)*((T111^2/8)*((2*ACOS(1-2*BF111/T111))-SIN((2*ACOS(1-2*BF111/T111)))))*((((T111^2/8)*((2*ACOS(1-2*BF111/T111))-SIN((2*ACOS(1-2*BF111/T111)))))/((T111/2)*((2*ACOS(1-2*BF111/T111)))))^(2/3))*SQRT(P111))</f>
        <v/>
      </c>
      <c r="BH111" s="14" t="str">
        <f t="shared" si="135"/>
        <v/>
      </c>
      <c r="BI111" s="14" t="str">
        <f t="shared" si="136"/>
        <v/>
      </c>
      <c r="BJ111" s="14" t="str">
        <f t="shared" si="137"/>
        <v/>
      </c>
      <c r="BK111" s="14" t="str">
        <f>IF(OR(T111="",P111="",BJ111="",T111&lt;=0,BJ111&lt;=0),"",(1/Inputs!$B$9)*((T111^2/8)*((2*ACOS(1-2*BJ111/T111))-SIN((2*ACOS(1-2*BJ111/T111)))))*((((T111^2/8)*((2*ACOS(1-2*BJ111/T111))-SIN((2*ACOS(1-2*BJ111/T111)))))/((T111/2)*((2*ACOS(1-2*BJ111/T111)))))^(2/3))*SQRT(P111))</f>
        <v/>
      </c>
      <c r="BL111" s="14" t="str">
        <f t="shared" si="138"/>
        <v/>
      </c>
      <c r="BM111" s="14" t="str">
        <f t="shared" si="139"/>
        <v/>
      </c>
      <c r="BN111" s="14" t="str">
        <f t="shared" si="140"/>
        <v/>
      </c>
      <c r="BO111" s="14" t="str">
        <f>IF(OR(T111="",P111="",BN111="",T111&lt;=0,BN111&lt;=0),"",(1/Inputs!$B$9)*((T111^2/8)*((2*ACOS(1-2*BN111/T111))-SIN((2*ACOS(1-2*BN111/T111)))))*((((T111^2/8)*((2*ACOS(1-2*BN111/T111))-SIN((2*ACOS(1-2*BN111/T111)))))/((T111/2)*((2*ACOS(1-2*BN111/T111)))))^(2/3))*SQRT(P111))</f>
        <v/>
      </c>
      <c r="BP111" s="14" t="str">
        <f t="shared" si="141"/>
        <v/>
      </c>
      <c r="BQ111" s="14" t="str">
        <f t="shared" si="142"/>
        <v/>
      </c>
      <c r="BR111" s="14" t="str">
        <f t="shared" si="143"/>
        <v/>
      </c>
      <c r="BS111" s="14" t="str">
        <f>IF(OR(T111="",P111="",BR111="",T111&lt;=0,BR111&lt;=0),"",(1/Inputs!$B$9)*((T111^2/8)*((2*ACOS(1-2*BR111/T111))-SIN((2*ACOS(1-2*BR111/T111)))))*((((T111^2/8)*((2*ACOS(1-2*BR111/T111))-SIN((2*ACOS(1-2*BR111/T111)))))/((T111/2)*((2*ACOS(1-2*BR111/T111)))))^(2/3))*SQRT(P111))</f>
        <v/>
      </c>
      <c r="BT111" s="14" t="str">
        <f t="shared" si="144"/>
        <v/>
      </c>
      <c r="BU111" s="14" t="str">
        <f t="shared" si="145"/>
        <v/>
      </c>
      <c r="BV111" s="14" t="str">
        <f t="shared" si="146"/>
        <v/>
      </c>
      <c r="BW111" s="14" t="str">
        <f>IF(OR(T111="",P111="",BV111="",T111&lt;=0,BV111&lt;=0),"",(1/Inputs!$B$9)*((T111^2/8)*((2*ACOS(1-2*BV111/T111))-SIN((2*ACOS(1-2*BV111/T111)))))*((((T111^2/8)*((2*ACOS(1-2*BV111/T111))-SIN((2*ACOS(1-2*BV111/T111)))))/((T111/2)*((2*ACOS(1-2*BV111/T111)))))^(2/3))*SQRT(P111))</f>
        <v/>
      </c>
      <c r="BX111" s="14" t="str">
        <f t="shared" si="147"/>
        <v/>
      </c>
      <c r="BY111" s="14" t="str">
        <f t="shared" si="148"/>
        <v/>
      </c>
      <c r="BZ111" s="14" t="str">
        <f t="shared" si="149"/>
        <v/>
      </c>
      <c r="CA111" s="14" t="str">
        <f>IF(OR(T111="",P111="",BZ111="",T111&lt;=0,BZ111&lt;=0),"",(1/Inputs!$B$9)*((T111^2/8)*((2*ACOS(1-2*BZ111/T111))-SIN((2*ACOS(1-2*BZ111/T111)))))*((((T111^2/8)*((2*ACOS(1-2*BZ111/T111))-SIN((2*ACOS(1-2*BZ111/T111)))))/((T111/2)*((2*ACOS(1-2*BZ111/T111)))))^(2/3))*SQRT(P111))</f>
        <v/>
      </c>
      <c r="CB111" s="14" t="str">
        <f t="shared" si="150"/>
        <v/>
      </c>
      <c r="CC111" s="14" t="str">
        <f t="shared" si="151"/>
        <v/>
      </c>
      <c r="CD111" s="14" t="str">
        <f t="shared" si="152"/>
        <v/>
      </c>
      <c r="CE111" s="14" t="str">
        <f>IF(OR(T111="",P111="",CD111="",T111&lt;=0,CD111&lt;=0),"",(1/Inputs!$B$9)*((T111^2/8)*((2*ACOS(1-2*CD111/T111))-SIN((2*ACOS(1-2*CD111/T111)))))*((((T111^2/8)*((2*ACOS(1-2*CD111/T111))-SIN((2*ACOS(1-2*CD111/T111)))))/((T111/2)*((2*ACOS(1-2*CD111/T111)))))^(2/3))*SQRT(P111))</f>
        <v/>
      </c>
      <c r="CF111" s="14" t="str">
        <f t="shared" si="153"/>
        <v/>
      </c>
      <c r="CG111" s="14" t="str">
        <f t="shared" si="154"/>
        <v/>
      </c>
      <c r="CH111" s="14" t="str">
        <f t="shared" si="155"/>
        <v/>
      </c>
    </row>
    <row r="112" spans="1:86" x14ac:dyDescent="0.25">
      <c r="A112" s="14"/>
      <c r="B112" s="14"/>
      <c r="C112" s="14"/>
      <c r="D112" s="14"/>
      <c r="E112" s="44"/>
      <c r="F112" s="44"/>
      <c r="G112" s="44">
        <f>SUMIFS(CB_plan!$G:$G,CB_plan!$F:$F,$A112)</f>
        <v>0</v>
      </c>
      <c r="H112" s="44">
        <f t="shared" si="117"/>
        <v>0</v>
      </c>
      <c r="I112" s="14"/>
      <c r="J112" s="44"/>
      <c r="K112" s="44" t="str">
        <f>IF(A112="","",Inputs!$B$13/((IF(AV112="",Inputs!$B$18,AV112)+Inputs!$B$14)^Inputs!$B$15))</f>
        <v/>
      </c>
      <c r="L112" s="44" t="str">
        <f>IF(A112="","",IF(H112="","",0.000000278*IF(I112&lt;&gt;"",I112,IFERROR(SUMIFS(CB_plan!$H:$H,CB_plan!$F:$F,$A112)/SUMIFS(CB_plan!$G:$G,CB_plan!$F:$F,$A112),Inputs!$B$17))*H112*K112))</f>
        <v/>
      </c>
      <c r="M112" s="44" t="str">
        <f t="shared" si="118"/>
        <v/>
      </c>
      <c r="N112" s="44" t="str">
        <f>IF(A112="","",(L112+M112)*Inputs!$B$16)</f>
        <v/>
      </c>
      <c r="O112" s="44"/>
      <c r="P112" s="44" t="str">
        <f>IF(A112="","",IF(O112="",Inputs!$B$7,O112))</f>
        <v/>
      </c>
      <c r="Q112" s="14" t="str">
        <f>IF(A112="","",IF(N112/Inputs!$B$10&lt;=AG112,Inputs!$F$5,IF(N112/Inputs!$B$10&gt;AP112,"OVERSIZE",INDEX(Inputs!$F$5:$F$14,MATCH(N112/Inputs!$B$10,AG112:AP112,1)+1))))</f>
        <v/>
      </c>
      <c r="R112" s="14"/>
      <c r="S112" s="14" t="str">
        <f t="shared" si="119"/>
        <v/>
      </c>
      <c r="T112" s="44" t="str">
        <f t="shared" si="120"/>
        <v/>
      </c>
      <c r="U112" s="44" t="str">
        <f>IF(T112="","",(1/Inputs!$B$9)*(PI()*T112^2/4)*((T112/4)^(2/3))*SQRT(P112))</f>
        <v/>
      </c>
      <c r="V112" s="44" t="str">
        <f>IF(OR(U112="",N112=""),"",N112/(U112*Inputs!$B$10))</f>
        <v/>
      </c>
      <c r="W112" s="44" t="str">
        <f t="shared" si="121"/>
        <v/>
      </c>
      <c r="X112" s="44"/>
      <c r="Y112" s="44" t="str">
        <f>IF(A112="","",IF(A112=Inputs!$B$6,Inputs!$B$22,IF(D112="","",IFERROR(INDEX($Z$4:$Z$201,MATCH(D112,$A$4:$A$201,0))+IF(X112="",Inputs!$B$20,X112),""))))</f>
        <v/>
      </c>
      <c r="Z112" s="44" t="str">
        <f t="shared" si="122"/>
        <v/>
      </c>
      <c r="AA112" s="44" t="str">
        <f>IF(C112="","",IFERROR(INDEX(Noeuds_plan!$C$4:$C$200,MATCH(C112,Noeuds_plan!$A$4:$A$200,0)),""))</f>
        <v/>
      </c>
      <c r="AB112" s="44" t="str">
        <f>IF(B112="","",IFERROR(INDEX(Noeuds_plan!$C$4:$C$200,MATCH(B112,Noeuds_plan!$A$4:$A$200,0)),""))</f>
        <v/>
      </c>
      <c r="AC112" s="44" t="str">
        <f t="shared" si="123"/>
        <v/>
      </c>
      <c r="AD112" s="44" t="str">
        <f t="shared" si="124"/>
        <v/>
      </c>
      <c r="AE112" s="14" t="str">
        <f>IF(A112="","",IF(OR(V112&gt;1,AND(AY112&lt;&gt;"",AY112&lt;Inputs!$B$11),AND(AY112&lt;&gt;"",AY112&gt;Inputs!$B$12),AC112&lt;Inputs!$B$19,AD112&lt;Inputs!$B$19,P112&lt;Inputs!$B$7,P112&gt;Inputs!$B$8),"CHECK","OK"))</f>
        <v/>
      </c>
      <c r="AF112" s="14"/>
      <c r="AG112" s="14" t="str">
        <f>IF(A112="","",(1/Inputs!$B$9)*(PI()*(Inputs!$F$5/1000)^2/4)*((Inputs!$F$5/1000/4)^(2/3))*SQRT(P112))</f>
        <v/>
      </c>
      <c r="AH112" s="14" t="str">
        <f>IF(A112="","",(1/Inputs!$B$9)*(PI()*(Inputs!$F$6/1000)^2/4)*((Inputs!$F$6/1000/4)^(2/3))*SQRT(P112))</f>
        <v/>
      </c>
      <c r="AI112" s="14" t="str">
        <f>IF(A112="","",(1/Inputs!$B$9)*(PI()*(Inputs!$F$7/1000)^2/4)*((Inputs!$F$7/1000/4)^(2/3))*SQRT(P112))</f>
        <v/>
      </c>
      <c r="AJ112" s="14" t="str">
        <f>IF(A112="","",(1/Inputs!$B$9)*(PI()*(Inputs!$F$8/1000)^2/4)*((Inputs!$F$8/1000/4)^(2/3))*SQRT(P112))</f>
        <v/>
      </c>
      <c r="AK112" s="14" t="str">
        <f>IF(A112="","",(1/Inputs!$B$9)*(PI()*(Inputs!$F$9/1000)^2/4)*((Inputs!$F$9/1000/4)^(2/3))*SQRT(P112))</f>
        <v/>
      </c>
      <c r="AL112" s="14" t="str">
        <f>IF(A112="","",(1/Inputs!$B$9)*(PI()*(Inputs!$F$10/1000)^2/4)*((Inputs!$F$10/1000/4)^(2/3))*SQRT(P112))</f>
        <v/>
      </c>
      <c r="AM112" s="14" t="str">
        <f>IF(A112="","",(1/Inputs!$B$9)*(PI()*(Inputs!$F$11/1000)^2/4)*((Inputs!$F$11/1000/4)^(2/3))*SQRT(P112))</f>
        <v/>
      </c>
      <c r="AN112" s="14" t="str">
        <f>IF(A112="","",(1/Inputs!$B$9)*(PI()*(Inputs!$F$12/1000)^2/4)*((Inputs!$F$12/1000/4)^(2/3))*SQRT(P112))</f>
        <v/>
      </c>
      <c r="AO112" s="14" t="str">
        <f>IF(A112="","",(1/Inputs!$B$9)*(PI()*(Inputs!$F$13/1000)^2/4)*((Inputs!$F$13/1000/4)^(2/3))*SQRT(P112))</f>
        <v/>
      </c>
      <c r="AP112" s="14" t="str">
        <f>IF(A112="","",(1/Inputs!$B$9)*(PI()*(Inputs!$F$14/1000)^2/4)*((Inputs!$F$14/1000/4)^(2/3))*SQRT(P112))</f>
        <v/>
      </c>
      <c r="AQ112" s="14" t="str">
        <f t="shared" si="125"/>
        <v/>
      </c>
      <c r="AR112" s="14" t="str">
        <f t="shared" si="126"/>
        <v/>
      </c>
      <c r="AS112" s="17" t="str">
        <f>IF(A112="","",IF(J112="",Inputs!$B$18,J112))</f>
        <v/>
      </c>
      <c r="AT112" s="17" t="str">
        <f>IF(A112="","",IFERROR(_xludf.maxifs($AV$4:$AV$201,$D$4:$D$201,$A112),""))</f>
        <v/>
      </c>
      <c r="AU112" s="17" t="str">
        <f>IF(A112="","",IF(OR(E112="",Inputs!$B$23=""),"",E112/(Inputs!$B$23*60)))</f>
        <v/>
      </c>
      <c r="AV112" s="17" t="str">
        <f t="shared" si="127"/>
        <v/>
      </c>
      <c r="AW112" s="17" t="str">
        <f t="shared" si="128"/>
        <v/>
      </c>
      <c r="AX112" s="17" t="str">
        <f>IF(OR(T112="",P112=""),"",(1/Inputs!$B$9)*((T112/4)^(2/3))*SQRT(P112))</f>
        <v/>
      </c>
      <c r="AY112" s="17" t="str">
        <f>IF(A112="","",IF(AND(AW112="",AX112="",BA112=""),"",IF(OR(UPPER(TRIM(Inputs!$B$24))="MANNING",UPPER(TRIM(Inputs!$B$24))="M"),AX112,IF(OR(UPPER(TRIM(Inputs!$B$24))="PARTIAL",UPPER(TRIM(Inputs!$B$24))="P"),BA112,IF(OR(UPPER(TRIM(Inputs!$B$24))="MAX",UPPER(TRIM(Inputs!$B$24))="X"),MAX(IF(AW112="",0,AW112),IF(AX112="",0,AX112),IF(BA112="",0,BA112)),AW112)))))</f>
        <v/>
      </c>
      <c r="AZ112" s="17" t="str">
        <f t="shared" si="129"/>
        <v/>
      </c>
      <c r="BA112" s="17" t="str">
        <f t="shared" si="130"/>
        <v/>
      </c>
      <c r="BB112" s="14" t="str">
        <f t="shared" si="131"/>
        <v/>
      </c>
      <c r="BC112" s="14" t="str">
        <f>IF(OR(N112="",T112="",P112=""),"",IF(OR(T112="",P112="",(0.94*T112)="",T112&lt;=0,(0.94*T112)&lt;=0),"",(1/Inputs!$B$9)*((T112^2/8)*((2*ACOS(1-2*(0.94*T112)/T112))-SIN((2*ACOS(1-2*(0.94*T112)/T112)))))*((((T112^2/8)*((2*ACOS(1-2*(0.94*T112)/T112))-SIN((2*ACOS(1-2*(0.94*T112)/T112)))))/((T112/2)*((2*ACOS(1-2*(0.94*T112)/T112)))))^(2/3))*SQRT(P112)))</f>
        <v/>
      </c>
      <c r="BD112" s="14" t="str">
        <f t="shared" si="132"/>
        <v/>
      </c>
      <c r="BE112" s="14" t="str">
        <f t="shared" si="133"/>
        <v/>
      </c>
      <c r="BF112" s="14" t="str">
        <f t="shared" si="134"/>
        <v/>
      </c>
      <c r="BG112" s="14" t="str">
        <f>IF(OR(T112="",P112="",BF112="",T112&lt;=0,BF112&lt;=0),"",(1/Inputs!$B$9)*((T112^2/8)*((2*ACOS(1-2*BF112/T112))-SIN((2*ACOS(1-2*BF112/T112)))))*((((T112^2/8)*((2*ACOS(1-2*BF112/T112))-SIN((2*ACOS(1-2*BF112/T112)))))/((T112/2)*((2*ACOS(1-2*BF112/T112)))))^(2/3))*SQRT(P112))</f>
        <v/>
      </c>
      <c r="BH112" s="14" t="str">
        <f t="shared" si="135"/>
        <v/>
      </c>
      <c r="BI112" s="14" t="str">
        <f t="shared" si="136"/>
        <v/>
      </c>
      <c r="BJ112" s="14" t="str">
        <f t="shared" si="137"/>
        <v/>
      </c>
      <c r="BK112" s="14" t="str">
        <f>IF(OR(T112="",P112="",BJ112="",T112&lt;=0,BJ112&lt;=0),"",(1/Inputs!$B$9)*((T112^2/8)*((2*ACOS(1-2*BJ112/T112))-SIN((2*ACOS(1-2*BJ112/T112)))))*((((T112^2/8)*((2*ACOS(1-2*BJ112/T112))-SIN((2*ACOS(1-2*BJ112/T112)))))/((T112/2)*((2*ACOS(1-2*BJ112/T112)))))^(2/3))*SQRT(P112))</f>
        <v/>
      </c>
      <c r="BL112" s="14" t="str">
        <f t="shared" si="138"/>
        <v/>
      </c>
      <c r="BM112" s="14" t="str">
        <f t="shared" si="139"/>
        <v/>
      </c>
      <c r="BN112" s="14" t="str">
        <f t="shared" si="140"/>
        <v/>
      </c>
      <c r="BO112" s="14" t="str">
        <f>IF(OR(T112="",P112="",BN112="",T112&lt;=0,BN112&lt;=0),"",(1/Inputs!$B$9)*((T112^2/8)*((2*ACOS(1-2*BN112/T112))-SIN((2*ACOS(1-2*BN112/T112)))))*((((T112^2/8)*((2*ACOS(1-2*BN112/T112))-SIN((2*ACOS(1-2*BN112/T112)))))/((T112/2)*((2*ACOS(1-2*BN112/T112)))))^(2/3))*SQRT(P112))</f>
        <v/>
      </c>
      <c r="BP112" s="14" t="str">
        <f t="shared" si="141"/>
        <v/>
      </c>
      <c r="BQ112" s="14" t="str">
        <f t="shared" si="142"/>
        <v/>
      </c>
      <c r="BR112" s="14" t="str">
        <f t="shared" si="143"/>
        <v/>
      </c>
      <c r="BS112" s="14" t="str">
        <f>IF(OR(T112="",P112="",BR112="",T112&lt;=0,BR112&lt;=0),"",(1/Inputs!$B$9)*((T112^2/8)*((2*ACOS(1-2*BR112/T112))-SIN((2*ACOS(1-2*BR112/T112)))))*((((T112^2/8)*((2*ACOS(1-2*BR112/T112))-SIN((2*ACOS(1-2*BR112/T112)))))/((T112/2)*((2*ACOS(1-2*BR112/T112)))))^(2/3))*SQRT(P112))</f>
        <v/>
      </c>
      <c r="BT112" s="14" t="str">
        <f t="shared" si="144"/>
        <v/>
      </c>
      <c r="BU112" s="14" t="str">
        <f t="shared" si="145"/>
        <v/>
      </c>
      <c r="BV112" s="14" t="str">
        <f t="shared" si="146"/>
        <v/>
      </c>
      <c r="BW112" s="14" t="str">
        <f>IF(OR(T112="",P112="",BV112="",T112&lt;=0,BV112&lt;=0),"",(1/Inputs!$B$9)*((T112^2/8)*((2*ACOS(1-2*BV112/T112))-SIN((2*ACOS(1-2*BV112/T112)))))*((((T112^2/8)*((2*ACOS(1-2*BV112/T112))-SIN((2*ACOS(1-2*BV112/T112)))))/((T112/2)*((2*ACOS(1-2*BV112/T112)))))^(2/3))*SQRT(P112))</f>
        <v/>
      </c>
      <c r="BX112" s="14" t="str">
        <f t="shared" si="147"/>
        <v/>
      </c>
      <c r="BY112" s="14" t="str">
        <f t="shared" si="148"/>
        <v/>
      </c>
      <c r="BZ112" s="14" t="str">
        <f t="shared" si="149"/>
        <v/>
      </c>
      <c r="CA112" s="14" t="str">
        <f>IF(OR(T112="",P112="",BZ112="",T112&lt;=0,BZ112&lt;=0),"",(1/Inputs!$B$9)*((T112^2/8)*((2*ACOS(1-2*BZ112/T112))-SIN((2*ACOS(1-2*BZ112/T112)))))*((((T112^2/8)*((2*ACOS(1-2*BZ112/T112))-SIN((2*ACOS(1-2*BZ112/T112)))))/((T112/2)*((2*ACOS(1-2*BZ112/T112)))))^(2/3))*SQRT(P112))</f>
        <v/>
      </c>
      <c r="CB112" s="14" t="str">
        <f t="shared" si="150"/>
        <v/>
      </c>
      <c r="CC112" s="14" t="str">
        <f t="shared" si="151"/>
        <v/>
      </c>
      <c r="CD112" s="14" t="str">
        <f t="shared" si="152"/>
        <v/>
      </c>
      <c r="CE112" s="14" t="str">
        <f>IF(OR(T112="",P112="",CD112="",T112&lt;=0,CD112&lt;=0),"",(1/Inputs!$B$9)*((T112^2/8)*((2*ACOS(1-2*CD112/T112))-SIN((2*ACOS(1-2*CD112/T112)))))*((((T112^2/8)*((2*ACOS(1-2*CD112/T112))-SIN((2*ACOS(1-2*CD112/T112)))))/((T112/2)*((2*ACOS(1-2*CD112/T112)))))^(2/3))*SQRT(P112))</f>
        <v/>
      </c>
      <c r="CF112" s="14" t="str">
        <f t="shared" si="153"/>
        <v/>
      </c>
      <c r="CG112" s="14" t="str">
        <f t="shared" si="154"/>
        <v/>
      </c>
      <c r="CH112" s="14" t="str">
        <f t="shared" si="155"/>
        <v/>
      </c>
    </row>
    <row r="113" spans="1:86" x14ac:dyDescent="0.25">
      <c r="A113" s="14"/>
      <c r="B113" s="14"/>
      <c r="C113" s="14"/>
      <c r="D113" s="14"/>
      <c r="E113" s="44"/>
      <c r="F113" s="44"/>
      <c r="G113" s="44">
        <f>SUMIFS(CB_plan!$G:$G,CB_plan!$F:$F,$A113)</f>
        <v>0</v>
      </c>
      <c r="H113" s="44">
        <f t="shared" si="117"/>
        <v>0</v>
      </c>
      <c r="I113" s="14"/>
      <c r="J113" s="44"/>
      <c r="K113" s="44" t="str">
        <f>IF(A113="","",Inputs!$B$13/((IF(AV113="",Inputs!$B$18,AV113)+Inputs!$B$14)^Inputs!$B$15))</f>
        <v/>
      </c>
      <c r="L113" s="44" t="str">
        <f>IF(A113="","",IF(H113="","",0.000000278*IF(I113&lt;&gt;"",I113,IFERROR(SUMIFS(CB_plan!$H:$H,CB_plan!$F:$F,$A113)/SUMIFS(CB_plan!$G:$G,CB_plan!$F:$F,$A113),Inputs!$B$17))*H113*K113))</f>
        <v/>
      </c>
      <c r="M113" s="44" t="str">
        <f t="shared" si="118"/>
        <v/>
      </c>
      <c r="N113" s="44" t="str">
        <f>IF(A113="","",(L113+M113)*Inputs!$B$16)</f>
        <v/>
      </c>
      <c r="O113" s="44"/>
      <c r="P113" s="44" t="str">
        <f>IF(A113="","",IF(O113="",Inputs!$B$7,O113))</f>
        <v/>
      </c>
      <c r="Q113" s="14" t="str">
        <f>IF(A113="","",IF(N113/Inputs!$B$10&lt;=AG113,Inputs!$F$5,IF(N113/Inputs!$B$10&gt;AP113,"OVERSIZE",INDEX(Inputs!$F$5:$F$14,MATCH(N113/Inputs!$B$10,AG113:AP113,1)+1))))</f>
        <v/>
      </c>
      <c r="R113" s="14"/>
      <c r="S113" s="14" t="str">
        <f t="shared" si="119"/>
        <v/>
      </c>
      <c r="T113" s="44" t="str">
        <f t="shared" si="120"/>
        <v/>
      </c>
      <c r="U113" s="44" t="str">
        <f>IF(T113="","",(1/Inputs!$B$9)*(PI()*T113^2/4)*((T113/4)^(2/3))*SQRT(P113))</f>
        <v/>
      </c>
      <c r="V113" s="44" t="str">
        <f>IF(OR(U113="",N113=""),"",N113/(U113*Inputs!$B$10))</f>
        <v/>
      </c>
      <c r="W113" s="44" t="str">
        <f t="shared" si="121"/>
        <v/>
      </c>
      <c r="X113" s="44"/>
      <c r="Y113" s="44" t="str">
        <f>IF(A113="","",IF(A113=Inputs!$B$6,Inputs!$B$22,IF(D113="","",IFERROR(INDEX($Z$4:$Z$201,MATCH(D113,$A$4:$A$201,0))+IF(X113="",Inputs!$B$20,X113),""))))</f>
        <v/>
      </c>
      <c r="Z113" s="44" t="str">
        <f t="shared" si="122"/>
        <v/>
      </c>
      <c r="AA113" s="44" t="str">
        <f>IF(C113="","",IFERROR(INDEX(Noeuds_plan!$C$4:$C$200,MATCH(C113,Noeuds_plan!$A$4:$A$200,0)),""))</f>
        <v/>
      </c>
      <c r="AB113" s="44" t="str">
        <f>IF(B113="","",IFERROR(INDEX(Noeuds_plan!$C$4:$C$200,MATCH(B113,Noeuds_plan!$A$4:$A$200,0)),""))</f>
        <v/>
      </c>
      <c r="AC113" s="44" t="str">
        <f t="shared" si="123"/>
        <v/>
      </c>
      <c r="AD113" s="44" t="str">
        <f t="shared" si="124"/>
        <v/>
      </c>
      <c r="AE113" s="14" t="str">
        <f>IF(A113="","",IF(OR(V113&gt;1,AND(AY113&lt;&gt;"",AY113&lt;Inputs!$B$11),AND(AY113&lt;&gt;"",AY113&gt;Inputs!$B$12),AC113&lt;Inputs!$B$19,AD113&lt;Inputs!$B$19,P113&lt;Inputs!$B$7,P113&gt;Inputs!$B$8),"CHECK","OK"))</f>
        <v/>
      </c>
      <c r="AF113" s="14"/>
      <c r="AG113" s="14" t="str">
        <f>IF(A113="","",(1/Inputs!$B$9)*(PI()*(Inputs!$F$5/1000)^2/4)*((Inputs!$F$5/1000/4)^(2/3))*SQRT(P113))</f>
        <v/>
      </c>
      <c r="AH113" s="14" t="str">
        <f>IF(A113="","",(1/Inputs!$B$9)*(PI()*(Inputs!$F$6/1000)^2/4)*((Inputs!$F$6/1000/4)^(2/3))*SQRT(P113))</f>
        <v/>
      </c>
      <c r="AI113" s="14" t="str">
        <f>IF(A113="","",(1/Inputs!$B$9)*(PI()*(Inputs!$F$7/1000)^2/4)*((Inputs!$F$7/1000/4)^(2/3))*SQRT(P113))</f>
        <v/>
      </c>
      <c r="AJ113" s="14" t="str">
        <f>IF(A113="","",(1/Inputs!$B$9)*(PI()*(Inputs!$F$8/1000)^2/4)*((Inputs!$F$8/1000/4)^(2/3))*SQRT(P113))</f>
        <v/>
      </c>
      <c r="AK113" s="14" t="str">
        <f>IF(A113="","",(1/Inputs!$B$9)*(PI()*(Inputs!$F$9/1000)^2/4)*((Inputs!$F$9/1000/4)^(2/3))*SQRT(P113))</f>
        <v/>
      </c>
      <c r="AL113" s="14" t="str">
        <f>IF(A113="","",(1/Inputs!$B$9)*(PI()*(Inputs!$F$10/1000)^2/4)*((Inputs!$F$10/1000/4)^(2/3))*SQRT(P113))</f>
        <v/>
      </c>
      <c r="AM113" s="14" t="str">
        <f>IF(A113="","",(1/Inputs!$B$9)*(PI()*(Inputs!$F$11/1000)^2/4)*((Inputs!$F$11/1000/4)^(2/3))*SQRT(P113))</f>
        <v/>
      </c>
      <c r="AN113" s="14" t="str">
        <f>IF(A113="","",(1/Inputs!$B$9)*(PI()*(Inputs!$F$12/1000)^2/4)*((Inputs!$F$12/1000/4)^(2/3))*SQRT(P113))</f>
        <v/>
      </c>
      <c r="AO113" s="14" t="str">
        <f>IF(A113="","",(1/Inputs!$B$9)*(PI()*(Inputs!$F$13/1000)^2/4)*((Inputs!$F$13/1000/4)^(2/3))*SQRT(P113))</f>
        <v/>
      </c>
      <c r="AP113" s="14" t="str">
        <f>IF(A113="","",(1/Inputs!$B$9)*(PI()*(Inputs!$F$14/1000)^2/4)*((Inputs!$F$14/1000/4)^(2/3))*SQRT(P113))</f>
        <v/>
      </c>
      <c r="AQ113" s="14" t="str">
        <f t="shared" si="125"/>
        <v/>
      </c>
      <c r="AR113" s="14" t="str">
        <f t="shared" si="126"/>
        <v/>
      </c>
      <c r="AS113" s="17" t="str">
        <f>IF(A113="","",IF(J113="",Inputs!$B$18,J113))</f>
        <v/>
      </c>
      <c r="AT113" s="17" t="str">
        <f>IF(A113="","",IFERROR(_xludf.maxifs($AV$4:$AV$201,$D$4:$D$201,$A113),""))</f>
        <v/>
      </c>
      <c r="AU113" s="17" t="str">
        <f>IF(A113="","",IF(OR(E113="",Inputs!$B$23=""),"",E113/(Inputs!$B$23*60)))</f>
        <v/>
      </c>
      <c r="AV113" s="17" t="str">
        <f t="shared" si="127"/>
        <v/>
      </c>
      <c r="AW113" s="17" t="str">
        <f t="shared" si="128"/>
        <v/>
      </c>
      <c r="AX113" s="17" t="str">
        <f>IF(OR(T113="",P113=""),"",(1/Inputs!$B$9)*((T113/4)^(2/3))*SQRT(P113))</f>
        <v/>
      </c>
      <c r="AY113" s="17" t="str">
        <f>IF(A113="","",IF(AND(AW113="",AX113="",BA113=""),"",IF(OR(UPPER(TRIM(Inputs!$B$24))="MANNING",UPPER(TRIM(Inputs!$B$24))="M"),AX113,IF(OR(UPPER(TRIM(Inputs!$B$24))="PARTIAL",UPPER(TRIM(Inputs!$B$24))="P"),BA113,IF(OR(UPPER(TRIM(Inputs!$B$24))="MAX",UPPER(TRIM(Inputs!$B$24))="X"),MAX(IF(AW113="",0,AW113),IF(AX113="",0,AX113),IF(BA113="",0,BA113)),AW113)))))</f>
        <v/>
      </c>
      <c r="AZ113" s="17" t="str">
        <f t="shared" si="129"/>
        <v/>
      </c>
      <c r="BA113" s="17" t="str">
        <f t="shared" si="130"/>
        <v/>
      </c>
      <c r="BB113" s="14" t="str">
        <f t="shared" si="131"/>
        <v/>
      </c>
      <c r="BC113" s="14" t="str">
        <f>IF(OR(N113="",T113="",P113=""),"",IF(OR(T113="",P113="",(0.94*T113)="",T113&lt;=0,(0.94*T113)&lt;=0),"",(1/Inputs!$B$9)*((T113^2/8)*((2*ACOS(1-2*(0.94*T113)/T113))-SIN((2*ACOS(1-2*(0.94*T113)/T113)))))*((((T113^2/8)*((2*ACOS(1-2*(0.94*T113)/T113))-SIN((2*ACOS(1-2*(0.94*T113)/T113)))))/((T113/2)*((2*ACOS(1-2*(0.94*T113)/T113)))))^(2/3))*SQRT(P113)))</f>
        <v/>
      </c>
      <c r="BD113" s="14" t="str">
        <f t="shared" si="132"/>
        <v/>
      </c>
      <c r="BE113" s="14" t="str">
        <f t="shared" si="133"/>
        <v/>
      </c>
      <c r="BF113" s="14" t="str">
        <f t="shared" si="134"/>
        <v/>
      </c>
      <c r="BG113" s="14" t="str">
        <f>IF(OR(T113="",P113="",BF113="",T113&lt;=0,BF113&lt;=0),"",(1/Inputs!$B$9)*((T113^2/8)*((2*ACOS(1-2*BF113/T113))-SIN((2*ACOS(1-2*BF113/T113)))))*((((T113^2/8)*((2*ACOS(1-2*BF113/T113))-SIN((2*ACOS(1-2*BF113/T113)))))/((T113/2)*((2*ACOS(1-2*BF113/T113)))))^(2/3))*SQRT(P113))</f>
        <v/>
      </c>
      <c r="BH113" s="14" t="str">
        <f t="shared" si="135"/>
        <v/>
      </c>
      <c r="BI113" s="14" t="str">
        <f t="shared" si="136"/>
        <v/>
      </c>
      <c r="BJ113" s="14" t="str">
        <f t="shared" si="137"/>
        <v/>
      </c>
      <c r="BK113" s="14" t="str">
        <f>IF(OR(T113="",P113="",BJ113="",T113&lt;=0,BJ113&lt;=0),"",(1/Inputs!$B$9)*((T113^2/8)*((2*ACOS(1-2*BJ113/T113))-SIN((2*ACOS(1-2*BJ113/T113)))))*((((T113^2/8)*((2*ACOS(1-2*BJ113/T113))-SIN((2*ACOS(1-2*BJ113/T113)))))/((T113/2)*((2*ACOS(1-2*BJ113/T113)))))^(2/3))*SQRT(P113))</f>
        <v/>
      </c>
      <c r="BL113" s="14" t="str">
        <f t="shared" si="138"/>
        <v/>
      </c>
      <c r="BM113" s="14" t="str">
        <f t="shared" si="139"/>
        <v/>
      </c>
      <c r="BN113" s="14" t="str">
        <f t="shared" si="140"/>
        <v/>
      </c>
      <c r="BO113" s="14" t="str">
        <f>IF(OR(T113="",P113="",BN113="",T113&lt;=0,BN113&lt;=0),"",(1/Inputs!$B$9)*((T113^2/8)*((2*ACOS(1-2*BN113/T113))-SIN((2*ACOS(1-2*BN113/T113)))))*((((T113^2/8)*((2*ACOS(1-2*BN113/T113))-SIN((2*ACOS(1-2*BN113/T113)))))/((T113/2)*((2*ACOS(1-2*BN113/T113)))))^(2/3))*SQRT(P113))</f>
        <v/>
      </c>
      <c r="BP113" s="14" t="str">
        <f t="shared" si="141"/>
        <v/>
      </c>
      <c r="BQ113" s="14" t="str">
        <f t="shared" si="142"/>
        <v/>
      </c>
      <c r="BR113" s="14" t="str">
        <f t="shared" si="143"/>
        <v/>
      </c>
      <c r="BS113" s="14" t="str">
        <f>IF(OR(T113="",P113="",BR113="",T113&lt;=0,BR113&lt;=0),"",(1/Inputs!$B$9)*((T113^2/8)*((2*ACOS(1-2*BR113/T113))-SIN((2*ACOS(1-2*BR113/T113)))))*((((T113^2/8)*((2*ACOS(1-2*BR113/T113))-SIN((2*ACOS(1-2*BR113/T113)))))/((T113/2)*((2*ACOS(1-2*BR113/T113)))))^(2/3))*SQRT(P113))</f>
        <v/>
      </c>
      <c r="BT113" s="14" t="str">
        <f t="shared" si="144"/>
        <v/>
      </c>
      <c r="BU113" s="14" t="str">
        <f t="shared" si="145"/>
        <v/>
      </c>
      <c r="BV113" s="14" t="str">
        <f t="shared" si="146"/>
        <v/>
      </c>
      <c r="BW113" s="14" t="str">
        <f>IF(OR(T113="",P113="",BV113="",T113&lt;=0,BV113&lt;=0),"",(1/Inputs!$B$9)*((T113^2/8)*((2*ACOS(1-2*BV113/T113))-SIN((2*ACOS(1-2*BV113/T113)))))*((((T113^2/8)*((2*ACOS(1-2*BV113/T113))-SIN((2*ACOS(1-2*BV113/T113)))))/((T113/2)*((2*ACOS(1-2*BV113/T113)))))^(2/3))*SQRT(P113))</f>
        <v/>
      </c>
      <c r="BX113" s="14" t="str">
        <f t="shared" si="147"/>
        <v/>
      </c>
      <c r="BY113" s="14" t="str">
        <f t="shared" si="148"/>
        <v/>
      </c>
      <c r="BZ113" s="14" t="str">
        <f t="shared" si="149"/>
        <v/>
      </c>
      <c r="CA113" s="14" t="str">
        <f>IF(OR(T113="",P113="",BZ113="",T113&lt;=0,BZ113&lt;=0),"",(1/Inputs!$B$9)*((T113^2/8)*((2*ACOS(1-2*BZ113/T113))-SIN((2*ACOS(1-2*BZ113/T113)))))*((((T113^2/8)*((2*ACOS(1-2*BZ113/T113))-SIN((2*ACOS(1-2*BZ113/T113)))))/((T113/2)*((2*ACOS(1-2*BZ113/T113)))))^(2/3))*SQRT(P113))</f>
        <v/>
      </c>
      <c r="CB113" s="14" t="str">
        <f t="shared" si="150"/>
        <v/>
      </c>
      <c r="CC113" s="14" t="str">
        <f t="shared" si="151"/>
        <v/>
      </c>
      <c r="CD113" s="14" t="str">
        <f t="shared" si="152"/>
        <v/>
      </c>
      <c r="CE113" s="14" t="str">
        <f>IF(OR(T113="",P113="",CD113="",T113&lt;=0,CD113&lt;=0),"",(1/Inputs!$B$9)*((T113^2/8)*((2*ACOS(1-2*CD113/T113))-SIN((2*ACOS(1-2*CD113/T113)))))*((((T113^2/8)*((2*ACOS(1-2*CD113/T113))-SIN((2*ACOS(1-2*CD113/T113)))))/((T113/2)*((2*ACOS(1-2*CD113/T113)))))^(2/3))*SQRT(P113))</f>
        <v/>
      </c>
      <c r="CF113" s="14" t="str">
        <f t="shared" si="153"/>
        <v/>
      </c>
      <c r="CG113" s="14" t="str">
        <f t="shared" si="154"/>
        <v/>
      </c>
      <c r="CH113" s="14" t="str">
        <f t="shared" si="155"/>
        <v/>
      </c>
    </row>
    <row r="114" spans="1:86" x14ac:dyDescent="0.25">
      <c r="A114" s="14"/>
      <c r="B114" s="14"/>
      <c r="C114" s="14"/>
      <c r="D114" s="14"/>
      <c r="E114" s="44"/>
      <c r="F114" s="44"/>
      <c r="G114" s="44">
        <f>SUMIFS(CB_plan!$G:$G,CB_plan!$F:$F,$A114)</f>
        <v>0</v>
      </c>
      <c r="H114" s="44">
        <f t="shared" si="117"/>
        <v>0</v>
      </c>
      <c r="I114" s="14"/>
      <c r="J114" s="44"/>
      <c r="K114" s="44" t="str">
        <f>IF(A114="","",Inputs!$B$13/((IF(AV114="",Inputs!$B$18,AV114)+Inputs!$B$14)^Inputs!$B$15))</f>
        <v/>
      </c>
      <c r="L114" s="44" t="str">
        <f>IF(A114="","",IF(H114="","",0.000000278*IF(I114&lt;&gt;"",I114,IFERROR(SUMIFS(CB_plan!$H:$H,CB_plan!$F:$F,$A114)/SUMIFS(CB_plan!$G:$G,CB_plan!$F:$F,$A114),Inputs!$B$17))*H114*K114))</f>
        <v/>
      </c>
      <c r="M114" s="44" t="str">
        <f t="shared" si="118"/>
        <v/>
      </c>
      <c r="N114" s="44" t="str">
        <f>IF(A114="","",(L114+M114)*Inputs!$B$16)</f>
        <v/>
      </c>
      <c r="O114" s="44"/>
      <c r="P114" s="44" t="str">
        <f>IF(A114="","",IF(O114="",Inputs!$B$7,O114))</f>
        <v/>
      </c>
      <c r="Q114" s="14" t="str">
        <f>IF(A114="","",IF(N114/Inputs!$B$10&lt;=AG114,Inputs!$F$5,IF(N114/Inputs!$B$10&gt;AP114,"OVERSIZE",INDEX(Inputs!$F$5:$F$14,MATCH(N114/Inputs!$B$10,AG114:AP114,1)+1))))</f>
        <v/>
      </c>
      <c r="R114" s="14"/>
      <c r="S114" s="14" t="str">
        <f t="shared" si="119"/>
        <v/>
      </c>
      <c r="T114" s="44" t="str">
        <f t="shared" si="120"/>
        <v/>
      </c>
      <c r="U114" s="44" t="str">
        <f>IF(T114="","",(1/Inputs!$B$9)*(PI()*T114^2/4)*((T114/4)^(2/3))*SQRT(P114))</f>
        <v/>
      </c>
      <c r="V114" s="44" t="str">
        <f>IF(OR(U114="",N114=""),"",N114/(U114*Inputs!$B$10))</f>
        <v/>
      </c>
      <c r="W114" s="44" t="str">
        <f t="shared" si="121"/>
        <v/>
      </c>
      <c r="X114" s="44"/>
      <c r="Y114" s="44" t="str">
        <f>IF(A114="","",IF(A114=Inputs!$B$6,Inputs!$B$22,IF(D114="","",IFERROR(INDEX($Z$4:$Z$201,MATCH(D114,$A$4:$A$201,0))+IF(X114="",Inputs!$B$20,X114),""))))</f>
        <v/>
      </c>
      <c r="Z114" s="44" t="str">
        <f t="shared" si="122"/>
        <v/>
      </c>
      <c r="AA114" s="44" t="str">
        <f>IF(C114="","",IFERROR(INDEX(Noeuds_plan!$C$4:$C$200,MATCH(C114,Noeuds_plan!$A$4:$A$200,0)),""))</f>
        <v/>
      </c>
      <c r="AB114" s="44" t="str">
        <f>IF(B114="","",IFERROR(INDEX(Noeuds_plan!$C$4:$C$200,MATCH(B114,Noeuds_plan!$A$4:$A$200,0)),""))</f>
        <v/>
      </c>
      <c r="AC114" s="44" t="str">
        <f t="shared" si="123"/>
        <v/>
      </c>
      <c r="AD114" s="44" t="str">
        <f t="shared" si="124"/>
        <v/>
      </c>
      <c r="AE114" s="14" t="str">
        <f>IF(A114="","",IF(OR(V114&gt;1,AND(AY114&lt;&gt;"",AY114&lt;Inputs!$B$11),AND(AY114&lt;&gt;"",AY114&gt;Inputs!$B$12),AC114&lt;Inputs!$B$19,AD114&lt;Inputs!$B$19,P114&lt;Inputs!$B$7,P114&gt;Inputs!$B$8),"CHECK","OK"))</f>
        <v/>
      </c>
      <c r="AF114" s="14"/>
      <c r="AG114" s="14" t="str">
        <f>IF(A114="","",(1/Inputs!$B$9)*(PI()*(Inputs!$F$5/1000)^2/4)*((Inputs!$F$5/1000/4)^(2/3))*SQRT(P114))</f>
        <v/>
      </c>
      <c r="AH114" s="14" t="str">
        <f>IF(A114="","",(1/Inputs!$B$9)*(PI()*(Inputs!$F$6/1000)^2/4)*((Inputs!$F$6/1000/4)^(2/3))*SQRT(P114))</f>
        <v/>
      </c>
      <c r="AI114" s="14" t="str">
        <f>IF(A114="","",(1/Inputs!$B$9)*(PI()*(Inputs!$F$7/1000)^2/4)*((Inputs!$F$7/1000/4)^(2/3))*SQRT(P114))</f>
        <v/>
      </c>
      <c r="AJ114" s="14" t="str">
        <f>IF(A114="","",(1/Inputs!$B$9)*(PI()*(Inputs!$F$8/1000)^2/4)*((Inputs!$F$8/1000/4)^(2/3))*SQRT(P114))</f>
        <v/>
      </c>
      <c r="AK114" s="14" t="str">
        <f>IF(A114="","",(1/Inputs!$B$9)*(PI()*(Inputs!$F$9/1000)^2/4)*((Inputs!$F$9/1000/4)^(2/3))*SQRT(P114))</f>
        <v/>
      </c>
      <c r="AL114" s="14" t="str">
        <f>IF(A114="","",(1/Inputs!$B$9)*(PI()*(Inputs!$F$10/1000)^2/4)*((Inputs!$F$10/1000/4)^(2/3))*SQRT(P114))</f>
        <v/>
      </c>
      <c r="AM114" s="14" t="str">
        <f>IF(A114="","",(1/Inputs!$B$9)*(PI()*(Inputs!$F$11/1000)^2/4)*((Inputs!$F$11/1000/4)^(2/3))*SQRT(P114))</f>
        <v/>
      </c>
      <c r="AN114" s="14" t="str">
        <f>IF(A114="","",(1/Inputs!$B$9)*(PI()*(Inputs!$F$12/1000)^2/4)*((Inputs!$F$12/1000/4)^(2/3))*SQRT(P114))</f>
        <v/>
      </c>
      <c r="AO114" s="14" t="str">
        <f>IF(A114="","",(1/Inputs!$B$9)*(PI()*(Inputs!$F$13/1000)^2/4)*((Inputs!$F$13/1000/4)^(2/3))*SQRT(P114))</f>
        <v/>
      </c>
      <c r="AP114" s="14" t="str">
        <f>IF(A114="","",(1/Inputs!$B$9)*(PI()*(Inputs!$F$14/1000)^2/4)*((Inputs!$F$14/1000/4)^(2/3))*SQRT(P114))</f>
        <v/>
      </c>
      <c r="AQ114" s="14" t="str">
        <f t="shared" si="125"/>
        <v/>
      </c>
      <c r="AR114" s="14" t="str">
        <f t="shared" si="126"/>
        <v/>
      </c>
      <c r="AS114" s="17" t="str">
        <f>IF(A114="","",IF(J114="",Inputs!$B$18,J114))</f>
        <v/>
      </c>
      <c r="AT114" s="17" t="str">
        <f>IF(A114="","",IFERROR(_xludf.maxifs($AV$4:$AV$201,$D$4:$D$201,$A114),""))</f>
        <v/>
      </c>
      <c r="AU114" s="17" t="str">
        <f>IF(A114="","",IF(OR(E114="",Inputs!$B$23=""),"",E114/(Inputs!$B$23*60)))</f>
        <v/>
      </c>
      <c r="AV114" s="17" t="str">
        <f t="shared" si="127"/>
        <v/>
      </c>
      <c r="AW114" s="17" t="str">
        <f t="shared" si="128"/>
        <v/>
      </c>
      <c r="AX114" s="17" t="str">
        <f>IF(OR(T114="",P114=""),"",(1/Inputs!$B$9)*((T114/4)^(2/3))*SQRT(P114))</f>
        <v/>
      </c>
      <c r="AY114" s="17" t="str">
        <f>IF(A114="","",IF(AND(AW114="",AX114="",BA114=""),"",IF(OR(UPPER(TRIM(Inputs!$B$24))="MANNING",UPPER(TRIM(Inputs!$B$24))="M"),AX114,IF(OR(UPPER(TRIM(Inputs!$B$24))="PARTIAL",UPPER(TRIM(Inputs!$B$24))="P"),BA114,IF(OR(UPPER(TRIM(Inputs!$B$24))="MAX",UPPER(TRIM(Inputs!$B$24))="X"),MAX(IF(AW114="",0,AW114),IF(AX114="",0,AX114),IF(BA114="",0,BA114)),AW114)))))</f>
        <v/>
      </c>
      <c r="AZ114" s="17" t="str">
        <f t="shared" si="129"/>
        <v/>
      </c>
      <c r="BA114" s="17" t="str">
        <f t="shared" si="130"/>
        <v/>
      </c>
      <c r="BB114" s="14" t="str">
        <f t="shared" si="131"/>
        <v/>
      </c>
      <c r="BC114" s="14" t="str">
        <f>IF(OR(N114="",T114="",P114=""),"",IF(OR(T114="",P114="",(0.94*T114)="",T114&lt;=0,(0.94*T114)&lt;=0),"",(1/Inputs!$B$9)*((T114^2/8)*((2*ACOS(1-2*(0.94*T114)/T114))-SIN((2*ACOS(1-2*(0.94*T114)/T114)))))*((((T114^2/8)*((2*ACOS(1-2*(0.94*T114)/T114))-SIN((2*ACOS(1-2*(0.94*T114)/T114)))))/((T114/2)*((2*ACOS(1-2*(0.94*T114)/T114)))))^(2/3))*SQRT(P114)))</f>
        <v/>
      </c>
      <c r="BD114" s="14" t="str">
        <f t="shared" si="132"/>
        <v/>
      </c>
      <c r="BE114" s="14" t="str">
        <f t="shared" si="133"/>
        <v/>
      </c>
      <c r="BF114" s="14" t="str">
        <f t="shared" si="134"/>
        <v/>
      </c>
      <c r="BG114" s="14" t="str">
        <f>IF(OR(T114="",P114="",BF114="",T114&lt;=0,BF114&lt;=0),"",(1/Inputs!$B$9)*((T114^2/8)*((2*ACOS(1-2*BF114/T114))-SIN((2*ACOS(1-2*BF114/T114)))))*((((T114^2/8)*((2*ACOS(1-2*BF114/T114))-SIN((2*ACOS(1-2*BF114/T114)))))/((T114/2)*((2*ACOS(1-2*BF114/T114)))))^(2/3))*SQRT(P114))</f>
        <v/>
      </c>
      <c r="BH114" s="14" t="str">
        <f t="shared" si="135"/>
        <v/>
      </c>
      <c r="BI114" s="14" t="str">
        <f t="shared" si="136"/>
        <v/>
      </c>
      <c r="BJ114" s="14" t="str">
        <f t="shared" si="137"/>
        <v/>
      </c>
      <c r="BK114" s="14" t="str">
        <f>IF(OR(T114="",P114="",BJ114="",T114&lt;=0,BJ114&lt;=0),"",(1/Inputs!$B$9)*((T114^2/8)*((2*ACOS(1-2*BJ114/T114))-SIN((2*ACOS(1-2*BJ114/T114)))))*((((T114^2/8)*((2*ACOS(1-2*BJ114/T114))-SIN((2*ACOS(1-2*BJ114/T114)))))/((T114/2)*((2*ACOS(1-2*BJ114/T114)))))^(2/3))*SQRT(P114))</f>
        <v/>
      </c>
      <c r="BL114" s="14" t="str">
        <f t="shared" si="138"/>
        <v/>
      </c>
      <c r="BM114" s="14" t="str">
        <f t="shared" si="139"/>
        <v/>
      </c>
      <c r="BN114" s="14" t="str">
        <f t="shared" si="140"/>
        <v/>
      </c>
      <c r="BO114" s="14" t="str">
        <f>IF(OR(T114="",P114="",BN114="",T114&lt;=0,BN114&lt;=0),"",(1/Inputs!$B$9)*((T114^2/8)*((2*ACOS(1-2*BN114/T114))-SIN((2*ACOS(1-2*BN114/T114)))))*((((T114^2/8)*((2*ACOS(1-2*BN114/T114))-SIN((2*ACOS(1-2*BN114/T114)))))/((T114/2)*((2*ACOS(1-2*BN114/T114)))))^(2/3))*SQRT(P114))</f>
        <v/>
      </c>
      <c r="BP114" s="14" t="str">
        <f t="shared" si="141"/>
        <v/>
      </c>
      <c r="BQ114" s="14" t="str">
        <f t="shared" si="142"/>
        <v/>
      </c>
      <c r="BR114" s="14" t="str">
        <f t="shared" si="143"/>
        <v/>
      </c>
      <c r="BS114" s="14" t="str">
        <f>IF(OR(T114="",P114="",BR114="",T114&lt;=0,BR114&lt;=0),"",(1/Inputs!$B$9)*((T114^2/8)*((2*ACOS(1-2*BR114/T114))-SIN((2*ACOS(1-2*BR114/T114)))))*((((T114^2/8)*((2*ACOS(1-2*BR114/T114))-SIN((2*ACOS(1-2*BR114/T114)))))/((T114/2)*((2*ACOS(1-2*BR114/T114)))))^(2/3))*SQRT(P114))</f>
        <v/>
      </c>
      <c r="BT114" s="14" t="str">
        <f t="shared" si="144"/>
        <v/>
      </c>
      <c r="BU114" s="14" t="str">
        <f t="shared" si="145"/>
        <v/>
      </c>
      <c r="BV114" s="14" t="str">
        <f t="shared" si="146"/>
        <v/>
      </c>
      <c r="BW114" s="14" t="str">
        <f>IF(OR(T114="",P114="",BV114="",T114&lt;=0,BV114&lt;=0),"",(1/Inputs!$B$9)*((T114^2/8)*((2*ACOS(1-2*BV114/T114))-SIN((2*ACOS(1-2*BV114/T114)))))*((((T114^2/8)*((2*ACOS(1-2*BV114/T114))-SIN((2*ACOS(1-2*BV114/T114)))))/((T114/2)*((2*ACOS(1-2*BV114/T114)))))^(2/3))*SQRT(P114))</f>
        <v/>
      </c>
      <c r="BX114" s="14" t="str">
        <f t="shared" si="147"/>
        <v/>
      </c>
      <c r="BY114" s="14" t="str">
        <f t="shared" si="148"/>
        <v/>
      </c>
      <c r="BZ114" s="14" t="str">
        <f t="shared" si="149"/>
        <v/>
      </c>
      <c r="CA114" s="14" t="str">
        <f>IF(OR(T114="",P114="",BZ114="",T114&lt;=0,BZ114&lt;=0),"",(1/Inputs!$B$9)*((T114^2/8)*((2*ACOS(1-2*BZ114/T114))-SIN((2*ACOS(1-2*BZ114/T114)))))*((((T114^2/8)*((2*ACOS(1-2*BZ114/T114))-SIN((2*ACOS(1-2*BZ114/T114)))))/((T114/2)*((2*ACOS(1-2*BZ114/T114)))))^(2/3))*SQRT(P114))</f>
        <v/>
      </c>
      <c r="CB114" s="14" t="str">
        <f t="shared" si="150"/>
        <v/>
      </c>
      <c r="CC114" s="14" t="str">
        <f t="shared" si="151"/>
        <v/>
      </c>
      <c r="CD114" s="14" t="str">
        <f t="shared" si="152"/>
        <v/>
      </c>
      <c r="CE114" s="14" t="str">
        <f>IF(OR(T114="",P114="",CD114="",T114&lt;=0,CD114&lt;=0),"",(1/Inputs!$B$9)*((T114^2/8)*((2*ACOS(1-2*CD114/T114))-SIN((2*ACOS(1-2*CD114/T114)))))*((((T114^2/8)*((2*ACOS(1-2*CD114/T114))-SIN((2*ACOS(1-2*CD114/T114)))))/((T114/2)*((2*ACOS(1-2*CD114/T114)))))^(2/3))*SQRT(P114))</f>
        <v/>
      </c>
      <c r="CF114" s="14" t="str">
        <f t="shared" si="153"/>
        <v/>
      </c>
      <c r="CG114" s="14" t="str">
        <f t="shared" si="154"/>
        <v/>
      </c>
      <c r="CH114" s="14" t="str">
        <f t="shared" si="155"/>
        <v/>
      </c>
    </row>
    <row r="115" spans="1:86" x14ac:dyDescent="0.25">
      <c r="A115" s="14"/>
      <c r="B115" s="14"/>
      <c r="C115" s="14"/>
      <c r="D115" s="14"/>
      <c r="E115" s="44"/>
      <c r="F115" s="44"/>
      <c r="G115" s="44">
        <f>SUMIFS(CB_plan!$G:$G,CB_plan!$F:$F,$A115)</f>
        <v>0</v>
      </c>
      <c r="H115" s="44">
        <f t="shared" si="117"/>
        <v>0</v>
      </c>
      <c r="I115" s="14"/>
      <c r="J115" s="44"/>
      <c r="K115" s="44" t="str">
        <f>IF(A115="","",Inputs!$B$13/((IF(AV115="",Inputs!$B$18,AV115)+Inputs!$B$14)^Inputs!$B$15))</f>
        <v/>
      </c>
      <c r="L115" s="44" t="str">
        <f>IF(A115="","",IF(H115="","",0.000000278*IF(I115&lt;&gt;"",I115,IFERROR(SUMIFS(CB_plan!$H:$H,CB_plan!$F:$F,$A115)/SUMIFS(CB_plan!$G:$G,CB_plan!$F:$F,$A115),Inputs!$B$17))*H115*K115))</f>
        <v/>
      </c>
      <c r="M115" s="44" t="str">
        <f t="shared" si="118"/>
        <v/>
      </c>
      <c r="N115" s="44" t="str">
        <f>IF(A115="","",(L115+M115)*Inputs!$B$16)</f>
        <v/>
      </c>
      <c r="O115" s="44"/>
      <c r="P115" s="44" t="str">
        <f>IF(A115="","",IF(O115="",Inputs!$B$7,O115))</f>
        <v/>
      </c>
      <c r="Q115" s="14" t="str">
        <f>IF(A115="","",IF(N115/Inputs!$B$10&lt;=AG115,Inputs!$F$5,IF(N115/Inputs!$B$10&gt;AP115,"OVERSIZE",INDEX(Inputs!$F$5:$F$14,MATCH(N115/Inputs!$B$10,AG115:AP115,1)+1))))</f>
        <v/>
      </c>
      <c r="R115" s="14"/>
      <c r="S115" s="14" t="str">
        <f t="shared" si="119"/>
        <v/>
      </c>
      <c r="T115" s="44" t="str">
        <f t="shared" si="120"/>
        <v/>
      </c>
      <c r="U115" s="44" t="str">
        <f>IF(T115="","",(1/Inputs!$B$9)*(PI()*T115^2/4)*((T115/4)^(2/3))*SQRT(P115))</f>
        <v/>
      </c>
      <c r="V115" s="44" t="str">
        <f>IF(OR(U115="",N115=""),"",N115/(U115*Inputs!$B$10))</f>
        <v/>
      </c>
      <c r="W115" s="44" t="str">
        <f t="shared" si="121"/>
        <v/>
      </c>
      <c r="X115" s="44"/>
      <c r="Y115" s="44" t="str">
        <f>IF(A115="","",IF(A115=Inputs!$B$6,Inputs!$B$22,IF(D115="","",IFERROR(INDEX($Z$4:$Z$201,MATCH(D115,$A$4:$A$201,0))+IF(X115="",Inputs!$B$20,X115),""))))</f>
        <v/>
      </c>
      <c r="Z115" s="44" t="str">
        <f t="shared" si="122"/>
        <v/>
      </c>
      <c r="AA115" s="44" t="str">
        <f>IF(C115="","",IFERROR(INDEX(Noeuds_plan!$C$4:$C$200,MATCH(C115,Noeuds_plan!$A$4:$A$200,0)),""))</f>
        <v/>
      </c>
      <c r="AB115" s="44" t="str">
        <f>IF(B115="","",IFERROR(INDEX(Noeuds_plan!$C$4:$C$200,MATCH(B115,Noeuds_plan!$A$4:$A$200,0)),""))</f>
        <v/>
      </c>
      <c r="AC115" s="44" t="str">
        <f t="shared" si="123"/>
        <v/>
      </c>
      <c r="AD115" s="44" t="str">
        <f t="shared" si="124"/>
        <v/>
      </c>
      <c r="AE115" s="14" t="str">
        <f>IF(A115="","",IF(OR(V115&gt;1,AND(AY115&lt;&gt;"",AY115&lt;Inputs!$B$11),AND(AY115&lt;&gt;"",AY115&gt;Inputs!$B$12),AC115&lt;Inputs!$B$19,AD115&lt;Inputs!$B$19,P115&lt;Inputs!$B$7,P115&gt;Inputs!$B$8),"CHECK","OK"))</f>
        <v/>
      </c>
      <c r="AF115" s="14"/>
      <c r="AG115" s="14" t="str">
        <f>IF(A115="","",(1/Inputs!$B$9)*(PI()*(Inputs!$F$5/1000)^2/4)*((Inputs!$F$5/1000/4)^(2/3))*SQRT(P115))</f>
        <v/>
      </c>
      <c r="AH115" s="14" t="str">
        <f>IF(A115="","",(1/Inputs!$B$9)*(PI()*(Inputs!$F$6/1000)^2/4)*((Inputs!$F$6/1000/4)^(2/3))*SQRT(P115))</f>
        <v/>
      </c>
      <c r="AI115" s="14" t="str">
        <f>IF(A115="","",(1/Inputs!$B$9)*(PI()*(Inputs!$F$7/1000)^2/4)*((Inputs!$F$7/1000/4)^(2/3))*SQRT(P115))</f>
        <v/>
      </c>
      <c r="AJ115" s="14" t="str">
        <f>IF(A115="","",(1/Inputs!$B$9)*(PI()*(Inputs!$F$8/1000)^2/4)*((Inputs!$F$8/1000/4)^(2/3))*SQRT(P115))</f>
        <v/>
      </c>
      <c r="AK115" s="14" t="str">
        <f>IF(A115="","",(1/Inputs!$B$9)*(PI()*(Inputs!$F$9/1000)^2/4)*((Inputs!$F$9/1000/4)^(2/3))*SQRT(P115))</f>
        <v/>
      </c>
      <c r="AL115" s="14" t="str">
        <f>IF(A115="","",(1/Inputs!$B$9)*(PI()*(Inputs!$F$10/1000)^2/4)*((Inputs!$F$10/1000/4)^(2/3))*SQRT(P115))</f>
        <v/>
      </c>
      <c r="AM115" s="14" t="str">
        <f>IF(A115="","",(1/Inputs!$B$9)*(PI()*(Inputs!$F$11/1000)^2/4)*((Inputs!$F$11/1000/4)^(2/3))*SQRT(P115))</f>
        <v/>
      </c>
      <c r="AN115" s="14" t="str">
        <f>IF(A115="","",(1/Inputs!$B$9)*(PI()*(Inputs!$F$12/1000)^2/4)*((Inputs!$F$12/1000/4)^(2/3))*SQRT(P115))</f>
        <v/>
      </c>
      <c r="AO115" s="14" t="str">
        <f>IF(A115="","",(1/Inputs!$B$9)*(PI()*(Inputs!$F$13/1000)^2/4)*((Inputs!$F$13/1000/4)^(2/3))*SQRT(P115))</f>
        <v/>
      </c>
      <c r="AP115" s="14" t="str">
        <f>IF(A115="","",(1/Inputs!$B$9)*(PI()*(Inputs!$F$14/1000)^2/4)*((Inputs!$F$14/1000/4)^(2/3))*SQRT(P115))</f>
        <v/>
      </c>
      <c r="AQ115" s="14" t="str">
        <f t="shared" si="125"/>
        <v/>
      </c>
      <c r="AR115" s="14" t="str">
        <f t="shared" si="126"/>
        <v/>
      </c>
      <c r="AS115" s="17" t="str">
        <f>IF(A115="","",IF(J115="",Inputs!$B$18,J115))</f>
        <v/>
      </c>
      <c r="AT115" s="17" t="str">
        <f>IF(A115="","",IFERROR(_xludf.maxifs($AV$4:$AV$201,$D$4:$D$201,$A115),""))</f>
        <v/>
      </c>
      <c r="AU115" s="17" t="str">
        <f>IF(A115="","",IF(OR(E115="",Inputs!$B$23=""),"",E115/(Inputs!$B$23*60)))</f>
        <v/>
      </c>
      <c r="AV115" s="17" t="str">
        <f t="shared" si="127"/>
        <v/>
      </c>
      <c r="AW115" s="17" t="str">
        <f t="shared" si="128"/>
        <v/>
      </c>
      <c r="AX115" s="17" t="str">
        <f>IF(OR(T115="",P115=""),"",(1/Inputs!$B$9)*((T115/4)^(2/3))*SQRT(P115))</f>
        <v/>
      </c>
      <c r="AY115" s="17" t="str">
        <f>IF(A115="","",IF(AND(AW115="",AX115="",BA115=""),"",IF(OR(UPPER(TRIM(Inputs!$B$24))="MANNING",UPPER(TRIM(Inputs!$B$24))="M"),AX115,IF(OR(UPPER(TRIM(Inputs!$B$24))="PARTIAL",UPPER(TRIM(Inputs!$B$24))="P"),BA115,IF(OR(UPPER(TRIM(Inputs!$B$24))="MAX",UPPER(TRIM(Inputs!$B$24))="X"),MAX(IF(AW115="",0,AW115),IF(AX115="",0,AX115),IF(BA115="",0,BA115)),AW115)))))</f>
        <v/>
      </c>
      <c r="AZ115" s="17" t="str">
        <f t="shared" si="129"/>
        <v/>
      </c>
      <c r="BA115" s="17" t="str">
        <f t="shared" si="130"/>
        <v/>
      </c>
      <c r="BB115" s="14" t="str">
        <f t="shared" si="131"/>
        <v/>
      </c>
      <c r="BC115" s="14" t="str">
        <f>IF(OR(N115="",T115="",P115=""),"",IF(OR(T115="",P115="",(0.94*T115)="",T115&lt;=0,(0.94*T115)&lt;=0),"",(1/Inputs!$B$9)*((T115^2/8)*((2*ACOS(1-2*(0.94*T115)/T115))-SIN((2*ACOS(1-2*(0.94*T115)/T115)))))*((((T115^2/8)*((2*ACOS(1-2*(0.94*T115)/T115))-SIN((2*ACOS(1-2*(0.94*T115)/T115)))))/((T115/2)*((2*ACOS(1-2*(0.94*T115)/T115)))))^(2/3))*SQRT(P115)))</f>
        <v/>
      </c>
      <c r="BD115" s="14" t="str">
        <f t="shared" si="132"/>
        <v/>
      </c>
      <c r="BE115" s="14" t="str">
        <f t="shared" si="133"/>
        <v/>
      </c>
      <c r="BF115" s="14" t="str">
        <f t="shared" si="134"/>
        <v/>
      </c>
      <c r="BG115" s="14" t="str">
        <f>IF(OR(T115="",P115="",BF115="",T115&lt;=0,BF115&lt;=0),"",(1/Inputs!$B$9)*((T115^2/8)*((2*ACOS(1-2*BF115/T115))-SIN((2*ACOS(1-2*BF115/T115)))))*((((T115^2/8)*((2*ACOS(1-2*BF115/T115))-SIN((2*ACOS(1-2*BF115/T115)))))/((T115/2)*((2*ACOS(1-2*BF115/T115)))))^(2/3))*SQRT(P115))</f>
        <v/>
      </c>
      <c r="BH115" s="14" t="str">
        <f t="shared" si="135"/>
        <v/>
      </c>
      <c r="BI115" s="14" t="str">
        <f t="shared" si="136"/>
        <v/>
      </c>
      <c r="BJ115" s="14" t="str">
        <f t="shared" si="137"/>
        <v/>
      </c>
      <c r="BK115" s="14" t="str">
        <f>IF(OR(T115="",P115="",BJ115="",T115&lt;=0,BJ115&lt;=0),"",(1/Inputs!$B$9)*((T115^2/8)*((2*ACOS(1-2*BJ115/T115))-SIN((2*ACOS(1-2*BJ115/T115)))))*((((T115^2/8)*((2*ACOS(1-2*BJ115/T115))-SIN((2*ACOS(1-2*BJ115/T115)))))/((T115/2)*((2*ACOS(1-2*BJ115/T115)))))^(2/3))*SQRT(P115))</f>
        <v/>
      </c>
      <c r="BL115" s="14" t="str">
        <f t="shared" si="138"/>
        <v/>
      </c>
      <c r="BM115" s="14" t="str">
        <f t="shared" si="139"/>
        <v/>
      </c>
      <c r="BN115" s="14" t="str">
        <f t="shared" si="140"/>
        <v/>
      </c>
      <c r="BO115" s="14" t="str">
        <f>IF(OR(T115="",P115="",BN115="",T115&lt;=0,BN115&lt;=0),"",(1/Inputs!$B$9)*((T115^2/8)*((2*ACOS(1-2*BN115/T115))-SIN((2*ACOS(1-2*BN115/T115)))))*((((T115^2/8)*((2*ACOS(1-2*BN115/T115))-SIN((2*ACOS(1-2*BN115/T115)))))/((T115/2)*((2*ACOS(1-2*BN115/T115)))))^(2/3))*SQRT(P115))</f>
        <v/>
      </c>
      <c r="BP115" s="14" t="str">
        <f t="shared" si="141"/>
        <v/>
      </c>
      <c r="BQ115" s="14" t="str">
        <f t="shared" si="142"/>
        <v/>
      </c>
      <c r="BR115" s="14" t="str">
        <f t="shared" si="143"/>
        <v/>
      </c>
      <c r="BS115" s="14" t="str">
        <f>IF(OR(T115="",P115="",BR115="",T115&lt;=0,BR115&lt;=0),"",(1/Inputs!$B$9)*((T115^2/8)*((2*ACOS(1-2*BR115/T115))-SIN((2*ACOS(1-2*BR115/T115)))))*((((T115^2/8)*((2*ACOS(1-2*BR115/T115))-SIN((2*ACOS(1-2*BR115/T115)))))/((T115/2)*((2*ACOS(1-2*BR115/T115)))))^(2/3))*SQRT(P115))</f>
        <v/>
      </c>
      <c r="BT115" s="14" t="str">
        <f t="shared" si="144"/>
        <v/>
      </c>
      <c r="BU115" s="14" t="str">
        <f t="shared" si="145"/>
        <v/>
      </c>
      <c r="BV115" s="14" t="str">
        <f t="shared" si="146"/>
        <v/>
      </c>
      <c r="BW115" s="14" t="str">
        <f>IF(OR(T115="",P115="",BV115="",T115&lt;=0,BV115&lt;=0),"",(1/Inputs!$B$9)*((T115^2/8)*((2*ACOS(1-2*BV115/T115))-SIN((2*ACOS(1-2*BV115/T115)))))*((((T115^2/8)*((2*ACOS(1-2*BV115/T115))-SIN((2*ACOS(1-2*BV115/T115)))))/((T115/2)*((2*ACOS(1-2*BV115/T115)))))^(2/3))*SQRT(P115))</f>
        <v/>
      </c>
      <c r="BX115" s="14" t="str">
        <f t="shared" si="147"/>
        <v/>
      </c>
      <c r="BY115" s="14" t="str">
        <f t="shared" si="148"/>
        <v/>
      </c>
      <c r="BZ115" s="14" t="str">
        <f t="shared" si="149"/>
        <v/>
      </c>
      <c r="CA115" s="14" t="str">
        <f>IF(OR(T115="",P115="",BZ115="",T115&lt;=0,BZ115&lt;=0),"",(1/Inputs!$B$9)*((T115^2/8)*((2*ACOS(1-2*BZ115/T115))-SIN((2*ACOS(1-2*BZ115/T115)))))*((((T115^2/8)*((2*ACOS(1-2*BZ115/T115))-SIN((2*ACOS(1-2*BZ115/T115)))))/((T115/2)*((2*ACOS(1-2*BZ115/T115)))))^(2/3))*SQRT(P115))</f>
        <v/>
      </c>
      <c r="CB115" s="14" t="str">
        <f t="shared" si="150"/>
        <v/>
      </c>
      <c r="CC115" s="14" t="str">
        <f t="shared" si="151"/>
        <v/>
      </c>
      <c r="CD115" s="14" t="str">
        <f t="shared" si="152"/>
        <v/>
      </c>
      <c r="CE115" s="14" t="str">
        <f>IF(OR(T115="",P115="",CD115="",T115&lt;=0,CD115&lt;=0),"",(1/Inputs!$B$9)*((T115^2/8)*((2*ACOS(1-2*CD115/T115))-SIN((2*ACOS(1-2*CD115/T115)))))*((((T115^2/8)*((2*ACOS(1-2*CD115/T115))-SIN((2*ACOS(1-2*CD115/T115)))))/((T115/2)*((2*ACOS(1-2*CD115/T115)))))^(2/3))*SQRT(P115))</f>
        <v/>
      </c>
      <c r="CF115" s="14" t="str">
        <f t="shared" si="153"/>
        <v/>
      </c>
      <c r="CG115" s="14" t="str">
        <f t="shared" si="154"/>
        <v/>
      </c>
      <c r="CH115" s="14" t="str">
        <f t="shared" si="155"/>
        <v/>
      </c>
    </row>
    <row r="116" spans="1:86" x14ac:dyDescent="0.25">
      <c r="A116" s="14"/>
      <c r="B116" s="14"/>
      <c r="C116" s="14"/>
      <c r="D116" s="14"/>
      <c r="E116" s="44"/>
      <c r="F116" s="44"/>
      <c r="G116" s="44">
        <f>SUMIFS(CB_plan!$G:$G,CB_plan!$F:$F,$A116)</f>
        <v>0</v>
      </c>
      <c r="H116" s="44">
        <f t="shared" si="117"/>
        <v>0</v>
      </c>
      <c r="I116" s="14"/>
      <c r="J116" s="44"/>
      <c r="K116" s="44" t="str">
        <f>IF(A116="","",Inputs!$B$13/((IF(AV116="",Inputs!$B$18,AV116)+Inputs!$B$14)^Inputs!$B$15))</f>
        <v/>
      </c>
      <c r="L116" s="44" t="str">
        <f>IF(A116="","",IF(H116="","",0.000000278*IF(I116&lt;&gt;"",I116,IFERROR(SUMIFS(CB_plan!$H:$H,CB_plan!$F:$F,$A116)/SUMIFS(CB_plan!$G:$G,CB_plan!$F:$F,$A116),Inputs!$B$17))*H116*K116))</f>
        <v/>
      </c>
      <c r="M116" s="44" t="str">
        <f t="shared" si="118"/>
        <v/>
      </c>
      <c r="N116" s="44" t="str">
        <f>IF(A116="","",(L116+M116)*Inputs!$B$16)</f>
        <v/>
      </c>
      <c r="O116" s="44"/>
      <c r="P116" s="44" t="str">
        <f>IF(A116="","",IF(O116="",Inputs!$B$7,O116))</f>
        <v/>
      </c>
      <c r="Q116" s="14" t="str">
        <f>IF(A116="","",IF(N116/Inputs!$B$10&lt;=AG116,Inputs!$F$5,IF(N116/Inputs!$B$10&gt;AP116,"OVERSIZE",INDEX(Inputs!$F$5:$F$14,MATCH(N116/Inputs!$B$10,AG116:AP116,1)+1))))</f>
        <v/>
      </c>
      <c r="R116" s="14"/>
      <c r="S116" s="14" t="str">
        <f t="shared" si="119"/>
        <v/>
      </c>
      <c r="T116" s="44" t="str">
        <f t="shared" si="120"/>
        <v/>
      </c>
      <c r="U116" s="44" t="str">
        <f>IF(T116="","",(1/Inputs!$B$9)*(PI()*T116^2/4)*((T116/4)^(2/3))*SQRT(P116))</f>
        <v/>
      </c>
      <c r="V116" s="44" t="str">
        <f>IF(OR(U116="",N116=""),"",N116/(U116*Inputs!$B$10))</f>
        <v/>
      </c>
      <c r="W116" s="44" t="str">
        <f t="shared" si="121"/>
        <v/>
      </c>
      <c r="X116" s="44"/>
      <c r="Y116" s="44" t="str">
        <f>IF(A116="","",IF(A116=Inputs!$B$6,Inputs!$B$22,IF(D116="","",IFERROR(INDEX($Z$4:$Z$201,MATCH(D116,$A$4:$A$201,0))+IF(X116="",Inputs!$B$20,X116),""))))</f>
        <v/>
      </c>
      <c r="Z116" s="44" t="str">
        <f t="shared" si="122"/>
        <v/>
      </c>
      <c r="AA116" s="44" t="str">
        <f>IF(C116="","",IFERROR(INDEX(Noeuds_plan!$C$4:$C$200,MATCH(C116,Noeuds_plan!$A$4:$A$200,0)),""))</f>
        <v/>
      </c>
      <c r="AB116" s="44" t="str">
        <f>IF(B116="","",IFERROR(INDEX(Noeuds_plan!$C$4:$C$200,MATCH(B116,Noeuds_plan!$A$4:$A$200,0)),""))</f>
        <v/>
      </c>
      <c r="AC116" s="44" t="str">
        <f t="shared" si="123"/>
        <v/>
      </c>
      <c r="AD116" s="44" t="str">
        <f t="shared" si="124"/>
        <v/>
      </c>
      <c r="AE116" s="14" t="str">
        <f>IF(A116="","",IF(OR(V116&gt;1,AND(AY116&lt;&gt;"",AY116&lt;Inputs!$B$11),AND(AY116&lt;&gt;"",AY116&gt;Inputs!$B$12),AC116&lt;Inputs!$B$19,AD116&lt;Inputs!$B$19,P116&lt;Inputs!$B$7,P116&gt;Inputs!$B$8),"CHECK","OK"))</f>
        <v/>
      </c>
      <c r="AF116" s="14"/>
      <c r="AG116" s="14" t="str">
        <f>IF(A116="","",(1/Inputs!$B$9)*(PI()*(Inputs!$F$5/1000)^2/4)*((Inputs!$F$5/1000/4)^(2/3))*SQRT(P116))</f>
        <v/>
      </c>
      <c r="AH116" s="14" t="str">
        <f>IF(A116="","",(1/Inputs!$B$9)*(PI()*(Inputs!$F$6/1000)^2/4)*((Inputs!$F$6/1000/4)^(2/3))*SQRT(P116))</f>
        <v/>
      </c>
      <c r="AI116" s="14" t="str">
        <f>IF(A116="","",(1/Inputs!$B$9)*(PI()*(Inputs!$F$7/1000)^2/4)*((Inputs!$F$7/1000/4)^(2/3))*SQRT(P116))</f>
        <v/>
      </c>
      <c r="AJ116" s="14" t="str">
        <f>IF(A116="","",(1/Inputs!$B$9)*(PI()*(Inputs!$F$8/1000)^2/4)*((Inputs!$F$8/1000/4)^(2/3))*SQRT(P116))</f>
        <v/>
      </c>
      <c r="AK116" s="14" t="str">
        <f>IF(A116="","",(1/Inputs!$B$9)*(PI()*(Inputs!$F$9/1000)^2/4)*((Inputs!$F$9/1000/4)^(2/3))*SQRT(P116))</f>
        <v/>
      </c>
      <c r="AL116" s="14" t="str">
        <f>IF(A116="","",(1/Inputs!$B$9)*(PI()*(Inputs!$F$10/1000)^2/4)*((Inputs!$F$10/1000/4)^(2/3))*SQRT(P116))</f>
        <v/>
      </c>
      <c r="AM116" s="14" t="str">
        <f>IF(A116="","",(1/Inputs!$B$9)*(PI()*(Inputs!$F$11/1000)^2/4)*((Inputs!$F$11/1000/4)^(2/3))*SQRT(P116))</f>
        <v/>
      </c>
      <c r="AN116" s="14" t="str">
        <f>IF(A116="","",(1/Inputs!$B$9)*(PI()*(Inputs!$F$12/1000)^2/4)*((Inputs!$F$12/1000/4)^(2/3))*SQRT(P116))</f>
        <v/>
      </c>
      <c r="AO116" s="14" t="str">
        <f>IF(A116="","",(1/Inputs!$B$9)*(PI()*(Inputs!$F$13/1000)^2/4)*((Inputs!$F$13/1000/4)^(2/3))*SQRT(P116))</f>
        <v/>
      </c>
      <c r="AP116" s="14" t="str">
        <f>IF(A116="","",(1/Inputs!$B$9)*(PI()*(Inputs!$F$14/1000)^2/4)*((Inputs!$F$14/1000/4)^(2/3))*SQRT(P116))</f>
        <v/>
      </c>
      <c r="AQ116" s="14" t="str">
        <f t="shared" si="125"/>
        <v/>
      </c>
      <c r="AR116" s="14" t="str">
        <f t="shared" si="126"/>
        <v/>
      </c>
      <c r="AS116" s="17" t="str">
        <f>IF(A116="","",IF(J116="",Inputs!$B$18,J116))</f>
        <v/>
      </c>
      <c r="AT116" s="17" t="str">
        <f>IF(A116="","",IFERROR(_xludf.maxifs($AV$4:$AV$201,$D$4:$D$201,$A116),""))</f>
        <v/>
      </c>
      <c r="AU116" s="17" t="str">
        <f>IF(A116="","",IF(OR(E116="",Inputs!$B$23=""),"",E116/(Inputs!$B$23*60)))</f>
        <v/>
      </c>
      <c r="AV116" s="17" t="str">
        <f t="shared" si="127"/>
        <v/>
      </c>
      <c r="AW116" s="17" t="str">
        <f t="shared" si="128"/>
        <v/>
      </c>
      <c r="AX116" s="17" t="str">
        <f>IF(OR(T116="",P116=""),"",(1/Inputs!$B$9)*((T116/4)^(2/3))*SQRT(P116))</f>
        <v/>
      </c>
      <c r="AY116" s="17" t="str">
        <f>IF(A116="","",IF(AND(AW116="",AX116="",BA116=""),"",IF(OR(UPPER(TRIM(Inputs!$B$24))="MANNING",UPPER(TRIM(Inputs!$B$24))="M"),AX116,IF(OR(UPPER(TRIM(Inputs!$B$24))="PARTIAL",UPPER(TRIM(Inputs!$B$24))="P"),BA116,IF(OR(UPPER(TRIM(Inputs!$B$24))="MAX",UPPER(TRIM(Inputs!$B$24))="X"),MAX(IF(AW116="",0,AW116),IF(AX116="",0,AX116),IF(BA116="",0,BA116)),AW116)))))</f>
        <v/>
      </c>
      <c r="AZ116" s="17" t="str">
        <f t="shared" si="129"/>
        <v/>
      </c>
      <c r="BA116" s="17" t="str">
        <f t="shared" si="130"/>
        <v/>
      </c>
      <c r="BB116" s="14" t="str">
        <f t="shared" si="131"/>
        <v/>
      </c>
      <c r="BC116" s="14" t="str">
        <f>IF(OR(N116="",T116="",P116=""),"",IF(OR(T116="",P116="",(0.94*T116)="",T116&lt;=0,(0.94*T116)&lt;=0),"",(1/Inputs!$B$9)*((T116^2/8)*((2*ACOS(1-2*(0.94*T116)/T116))-SIN((2*ACOS(1-2*(0.94*T116)/T116)))))*((((T116^2/8)*((2*ACOS(1-2*(0.94*T116)/T116))-SIN((2*ACOS(1-2*(0.94*T116)/T116)))))/((T116/2)*((2*ACOS(1-2*(0.94*T116)/T116)))))^(2/3))*SQRT(P116)))</f>
        <v/>
      </c>
      <c r="BD116" s="14" t="str">
        <f t="shared" si="132"/>
        <v/>
      </c>
      <c r="BE116" s="14" t="str">
        <f t="shared" si="133"/>
        <v/>
      </c>
      <c r="BF116" s="14" t="str">
        <f t="shared" si="134"/>
        <v/>
      </c>
      <c r="BG116" s="14" t="str">
        <f>IF(OR(T116="",P116="",BF116="",T116&lt;=0,BF116&lt;=0),"",(1/Inputs!$B$9)*((T116^2/8)*((2*ACOS(1-2*BF116/T116))-SIN((2*ACOS(1-2*BF116/T116)))))*((((T116^2/8)*((2*ACOS(1-2*BF116/T116))-SIN((2*ACOS(1-2*BF116/T116)))))/((T116/2)*((2*ACOS(1-2*BF116/T116)))))^(2/3))*SQRT(P116))</f>
        <v/>
      </c>
      <c r="BH116" s="14" t="str">
        <f t="shared" si="135"/>
        <v/>
      </c>
      <c r="BI116" s="14" t="str">
        <f t="shared" si="136"/>
        <v/>
      </c>
      <c r="BJ116" s="14" t="str">
        <f t="shared" si="137"/>
        <v/>
      </c>
      <c r="BK116" s="14" t="str">
        <f>IF(OR(T116="",P116="",BJ116="",T116&lt;=0,BJ116&lt;=0),"",(1/Inputs!$B$9)*((T116^2/8)*((2*ACOS(1-2*BJ116/T116))-SIN((2*ACOS(1-2*BJ116/T116)))))*((((T116^2/8)*((2*ACOS(1-2*BJ116/T116))-SIN((2*ACOS(1-2*BJ116/T116)))))/((T116/2)*((2*ACOS(1-2*BJ116/T116)))))^(2/3))*SQRT(P116))</f>
        <v/>
      </c>
      <c r="BL116" s="14" t="str">
        <f t="shared" si="138"/>
        <v/>
      </c>
      <c r="BM116" s="14" t="str">
        <f t="shared" si="139"/>
        <v/>
      </c>
      <c r="BN116" s="14" t="str">
        <f t="shared" si="140"/>
        <v/>
      </c>
      <c r="BO116" s="14" t="str">
        <f>IF(OR(T116="",P116="",BN116="",T116&lt;=0,BN116&lt;=0),"",(1/Inputs!$B$9)*((T116^2/8)*((2*ACOS(1-2*BN116/T116))-SIN((2*ACOS(1-2*BN116/T116)))))*((((T116^2/8)*((2*ACOS(1-2*BN116/T116))-SIN((2*ACOS(1-2*BN116/T116)))))/((T116/2)*((2*ACOS(1-2*BN116/T116)))))^(2/3))*SQRT(P116))</f>
        <v/>
      </c>
      <c r="BP116" s="14" t="str">
        <f t="shared" si="141"/>
        <v/>
      </c>
      <c r="BQ116" s="14" t="str">
        <f t="shared" si="142"/>
        <v/>
      </c>
      <c r="BR116" s="14" t="str">
        <f t="shared" si="143"/>
        <v/>
      </c>
      <c r="BS116" s="14" t="str">
        <f>IF(OR(T116="",P116="",BR116="",T116&lt;=0,BR116&lt;=0),"",(1/Inputs!$B$9)*((T116^2/8)*((2*ACOS(1-2*BR116/T116))-SIN((2*ACOS(1-2*BR116/T116)))))*((((T116^2/8)*((2*ACOS(1-2*BR116/T116))-SIN((2*ACOS(1-2*BR116/T116)))))/((T116/2)*((2*ACOS(1-2*BR116/T116)))))^(2/3))*SQRT(P116))</f>
        <v/>
      </c>
      <c r="BT116" s="14" t="str">
        <f t="shared" si="144"/>
        <v/>
      </c>
      <c r="BU116" s="14" t="str">
        <f t="shared" si="145"/>
        <v/>
      </c>
      <c r="BV116" s="14" t="str">
        <f t="shared" si="146"/>
        <v/>
      </c>
      <c r="BW116" s="14" t="str">
        <f>IF(OR(T116="",P116="",BV116="",T116&lt;=0,BV116&lt;=0),"",(1/Inputs!$B$9)*((T116^2/8)*((2*ACOS(1-2*BV116/T116))-SIN((2*ACOS(1-2*BV116/T116)))))*((((T116^2/8)*((2*ACOS(1-2*BV116/T116))-SIN((2*ACOS(1-2*BV116/T116)))))/((T116/2)*((2*ACOS(1-2*BV116/T116)))))^(2/3))*SQRT(P116))</f>
        <v/>
      </c>
      <c r="BX116" s="14" t="str">
        <f t="shared" si="147"/>
        <v/>
      </c>
      <c r="BY116" s="14" t="str">
        <f t="shared" si="148"/>
        <v/>
      </c>
      <c r="BZ116" s="14" t="str">
        <f t="shared" si="149"/>
        <v/>
      </c>
      <c r="CA116" s="14" t="str">
        <f>IF(OR(T116="",P116="",BZ116="",T116&lt;=0,BZ116&lt;=0),"",(1/Inputs!$B$9)*((T116^2/8)*((2*ACOS(1-2*BZ116/T116))-SIN((2*ACOS(1-2*BZ116/T116)))))*((((T116^2/8)*((2*ACOS(1-2*BZ116/T116))-SIN((2*ACOS(1-2*BZ116/T116)))))/((T116/2)*((2*ACOS(1-2*BZ116/T116)))))^(2/3))*SQRT(P116))</f>
        <v/>
      </c>
      <c r="CB116" s="14" t="str">
        <f t="shared" si="150"/>
        <v/>
      </c>
      <c r="CC116" s="14" t="str">
        <f t="shared" si="151"/>
        <v/>
      </c>
      <c r="CD116" s="14" t="str">
        <f t="shared" si="152"/>
        <v/>
      </c>
      <c r="CE116" s="14" t="str">
        <f>IF(OR(T116="",P116="",CD116="",T116&lt;=0,CD116&lt;=0),"",(1/Inputs!$B$9)*((T116^2/8)*((2*ACOS(1-2*CD116/T116))-SIN((2*ACOS(1-2*CD116/T116)))))*((((T116^2/8)*((2*ACOS(1-2*CD116/T116))-SIN((2*ACOS(1-2*CD116/T116)))))/((T116/2)*((2*ACOS(1-2*CD116/T116)))))^(2/3))*SQRT(P116))</f>
        <v/>
      </c>
      <c r="CF116" s="14" t="str">
        <f t="shared" si="153"/>
        <v/>
      </c>
      <c r="CG116" s="14" t="str">
        <f t="shared" si="154"/>
        <v/>
      </c>
      <c r="CH116" s="14" t="str">
        <f t="shared" si="155"/>
        <v/>
      </c>
    </row>
    <row r="117" spans="1:86" x14ac:dyDescent="0.25">
      <c r="A117" s="14"/>
      <c r="B117" s="14"/>
      <c r="C117" s="14"/>
      <c r="D117" s="14"/>
      <c r="E117" s="44"/>
      <c r="F117" s="44"/>
      <c r="G117" s="44">
        <f>SUMIFS(CB_plan!$G:$G,CB_plan!$F:$F,$A117)</f>
        <v>0</v>
      </c>
      <c r="H117" s="44">
        <f t="shared" si="117"/>
        <v>0</v>
      </c>
      <c r="I117" s="14"/>
      <c r="J117" s="44"/>
      <c r="K117" s="44" t="str">
        <f>IF(A117="","",Inputs!$B$13/((IF(AV117="",Inputs!$B$18,AV117)+Inputs!$B$14)^Inputs!$B$15))</f>
        <v/>
      </c>
      <c r="L117" s="44" t="str">
        <f>IF(A117="","",IF(H117="","",0.000000278*IF(I117&lt;&gt;"",I117,IFERROR(SUMIFS(CB_plan!$H:$H,CB_plan!$F:$F,$A117)/SUMIFS(CB_plan!$G:$G,CB_plan!$F:$F,$A117),Inputs!$B$17))*H117*K117))</f>
        <v/>
      </c>
      <c r="M117" s="44" t="str">
        <f t="shared" si="118"/>
        <v/>
      </c>
      <c r="N117" s="44" t="str">
        <f>IF(A117="","",(L117+M117)*Inputs!$B$16)</f>
        <v/>
      </c>
      <c r="O117" s="44"/>
      <c r="P117" s="44" t="str">
        <f>IF(A117="","",IF(O117="",Inputs!$B$7,O117))</f>
        <v/>
      </c>
      <c r="Q117" s="14" t="str">
        <f>IF(A117="","",IF(N117/Inputs!$B$10&lt;=AG117,Inputs!$F$5,IF(N117/Inputs!$B$10&gt;AP117,"OVERSIZE",INDEX(Inputs!$F$5:$F$14,MATCH(N117/Inputs!$B$10,AG117:AP117,1)+1))))</f>
        <v/>
      </c>
      <c r="R117" s="14"/>
      <c r="S117" s="14" t="str">
        <f t="shared" si="119"/>
        <v/>
      </c>
      <c r="T117" s="44" t="str">
        <f t="shared" si="120"/>
        <v/>
      </c>
      <c r="U117" s="44" t="str">
        <f>IF(T117="","",(1/Inputs!$B$9)*(PI()*T117^2/4)*((T117/4)^(2/3))*SQRT(P117))</f>
        <v/>
      </c>
      <c r="V117" s="44" t="str">
        <f>IF(OR(U117="",N117=""),"",N117/(U117*Inputs!$B$10))</f>
        <v/>
      </c>
      <c r="W117" s="44" t="str">
        <f t="shared" si="121"/>
        <v/>
      </c>
      <c r="X117" s="44"/>
      <c r="Y117" s="44" t="str">
        <f>IF(A117="","",IF(A117=Inputs!$B$6,Inputs!$B$22,IF(D117="","",IFERROR(INDEX($Z$4:$Z$201,MATCH(D117,$A$4:$A$201,0))+IF(X117="",Inputs!$B$20,X117),""))))</f>
        <v/>
      </c>
      <c r="Z117" s="44" t="str">
        <f t="shared" si="122"/>
        <v/>
      </c>
      <c r="AA117" s="44" t="str">
        <f>IF(C117="","",IFERROR(INDEX(Noeuds_plan!$C$4:$C$200,MATCH(C117,Noeuds_plan!$A$4:$A$200,0)),""))</f>
        <v/>
      </c>
      <c r="AB117" s="44" t="str">
        <f>IF(B117="","",IFERROR(INDEX(Noeuds_plan!$C$4:$C$200,MATCH(B117,Noeuds_plan!$A$4:$A$200,0)),""))</f>
        <v/>
      </c>
      <c r="AC117" s="44" t="str">
        <f t="shared" si="123"/>
        <v/>
      </c>
      <c r="AD117" s="44" t="str">
        <f t="shared" si="124"/>
        <v/>
      </c>
      <c r="AE117" s="14" t="str">
        <f>IF(A117="","",IF(OR(V117&gt;1,AND(AY117&lt;&gt;"",AY117&lt;Inputs!$B$11),AND(AY117&lt;&gt;"",AY117&gt;Inputs!$B$12),AC117&lt;Inputs!$B$19,AD117&lt;Inputs!$B$19,P117&lt;Inputs!$B$7,P117&gt;Inputs!$B$8),"CHECK","OK"))</f>
        <v/>
      </c>
      <c r="AF117" s="14"/>
      <c r="AG117" s="14" t="str">
        <f>IF(A117="","",(1/Inputs!$B$9)*(PI()*(Inputs!$F$5/1000)^2/4)*((Inputs!$F$5/1000/4)^(2/3))*SQRT(P117))</f>
        <v/>
      </c>
      <c r="AH117" s="14" t="str">
        <f>IF(A117="","",(1/Inputs!$B$9)*(PI()*(Inputs!$F$6/1000)^2/4)*((Inputs!$F$6/1000/4)^(2/3))*SQRT(P117))</f>
        <v/>
      </c>
      <c r="AI117" s="14" t="str">
        <f>IF(A117="","",(1/Inputs!$B$9)*(PI()*(Inputs!$F$7/1000)^2/4)*((Inputs!$F$7/1000/4)^(2/3))*SQRT(P117))</f>
        <v/>
      </c>
      <c r="AJ117" s="14" t="str">
        <f>IF(A117="","",(1/Inputs!$B$9)*(PI()*(Inputs!$F$8/1000)^2/4)*((Inputs!$F$8/1000/4)^(2/3))*SQRT(P117))</f>
        <v/>
      </c>
      <c r="AK117" s="14" t="str">
        <f>IF(A117="","",(1/Inputs!$B$9)*(PI()*(Inputs!$F$9/1000)^2/4)*((Inputs!$F$9/1000/4)^(2/3))*SQRT(P117))</f>
        <v/>
      </c>
      <c r="AL117" s="14" t="str">
        <f>IF(A117="","",(1/Inputs!$B$9)*(PI()*(Inputs!$F$10/1000)^2/4)*((Inputs!$F$10/1000/4)^(2/3))*SQRT(P117))</f>
        <v/>
      </c>
      <c r="AM117" s="14" t="str">
        <f>IF(A117="","",(1/Inputs!$B$9)*(PI()*(Inputs!$F$11/1000)^2/4)*((Inputs!$F$11/1000/4)^(2/3))*SQRT(P117))</f>
        <v/>
      </c>
      <c r="AN117" s="14" t="str">
        <f>IF(A117="","",(1/Inputs!$B$9)*(PI()*(Inputs!$F$12/1000)^2/4)*((Inputs!$F$12/1000/4)^(2/3))*SQRT(P117))</f>
        <v/>
      </c>
      <c r="AO117" s="14" t="str">
        <f>IF(A117="","",(1/Inputs!$B$9)*(PI()*(Inputs!$F$13/1000)^2/4)*((Inputs!$F$13/1000/4)^(2/3))*SQRT(P117))</f>
        <v/>
      </c>
      <c r="AP117" s="14" t="str">
        <f>IF(A117="","",(1/Inputs!$B$9)*(PI()*(Inputs!$F$14/1000)^2/4)*((Inputs!$F$14/1000/4)^(2/3))*SQRT(P117))</f>
        <v/>
      </c>
      <c r="AQ117" s="14" t="str">
        <f t="shared" si="125"/>
        <v/>
      </c>
      <c r="AR117" s="14" t="str">
        <f t="shared" si="126"/>
        <v/>
      </c>
      <c r="AS117" s="17" t="str">
        <f>IF(A117="","",IF(J117="",Inputs!$B$18,J117))</f>
        <v/>
      </c>
      <c r="AT117" s="17" t="str">
        <f>IF(A117="","",IFERROR(_xludf.maxifs($AV$4:$AV$201,$D$4:$D$201,$A117),""))</f>
        <v/>
      </c>
      <c r="AU117" s="17" t="str">
        <f>IF(A117="","",IF(OR(E117="",Inputs!$B$23=""),"",E117/(Inputs!$B$23*60)))</f>
        <v/>
      </c>
      <c r="AV117" s="17" t="str">
        <f t="shared" si="127"/>
        <v/>
      </c>
      <c r="AW117" s="17" t="str">
        <f t="shared" si="128"/>
        <v/>
      </c>
      <c r="AX117" s="17" t="str">
        <f>IF(OR(T117="",P117=""),"",(1/Inputs!$B$9)*((T117/4)^(2/3))*SQRT(P117))</f>
        <v/>
      </c>
      <c r="AY117" s="17" t="str">
        <f>IF(A117="","",IF(AND(AW117="",AX117="",BA117=""),"",IF(OR(UPPER(TRIM(Inputs!$B$24))="MANNING",UPPER(TRIM(Inputs!$B$24))="M"),AX117,IF(OR(UPPER(TRIM(Inputs!$B$24))="PARTIAL",UPPER(TRIM(Inputs!$B$24))="P"),BA117,IF(OR(UPPER(TRIM(Inputs!$B$24))="MAX",UPPER(TRIM(Inputs!$B$24))="X"),MAX(IF(AW117="",0,AW117),IF(AX117="",0,AX117),IF(BA117="",0,BA117)),AW117)))))</f>
        <v/>
      </c>
      <c r="AZ117" s="17" t="str">
        <f t="shared" si="129"/>
        <v/>
      </c>
      <c r="BA117" s="17" t="str">
        <f t="shared" si="130"/>
        <v/>
      </c>
      <c r="BB117" s="14" t="str">
        <f t="shared" si="131"/>
        <v/>
      </c>
      <c r="BC117" s="14" t="str">
        <f>IF(OR(N117="",T117="",P117=""),"",IF(OR(T117="",P117="",(0.94*T117)="",T117&lt;=0,(0.94*T117)&lt;=0),"",(1/Inputs!$B$9)*((T117^2/8)*((2*ACOS(1-2*(0.94*T117)/T117))-SIN((2*ACOS(1-2*(0.94*T117)/T117)))))*((((T117^2/8)*((2*ACOS(1-2*(0.94*T117)/T117))-SIN((2*ACOS(1-2*(0.94*T117)/T117)))))/((T117/2)*((2*ACOS(1-2*(0.94*T117)/T117)))))^(2/3))*SQRT(P117)))</f>
        <v/>
      </c>
      <c r="BD117" s="14" t="str">
        <f t="shared" si="132"/>
        <v/>
      </c>
      <c r="BE117" s="14" t="str">
        <f t="shared" si="133"/>
        <v/>
      </c>
      <c r="BF117" s="14" t="str">
        <f t="shared" si="134"/>
        <v/>
      </c>
      <c r="BG117" s="14" t="str">
        <f>IF(OR(T117="",P117="",BF117="",T117&lt;=0,BF117&lt;=0),"",(1/Inputs!$B$9)*((T117^2/8)*((2*ACOS(1-2*BF117/T117))-SIN((2*ACOS(1-2*BF117/T117)))))*((((T117^2/8)*((2*ACOS(1-2*BF117/T117))-SIN((2*ACOS(1-2*BF117/T117)))))/((T117/2)*((2*ACOS(1-2*BF117/T117)))))^(2/3))*SQRT(P117))</f>
        <v/>
      </c>
      <c r="BH117" s="14" t="str">
        <f t="shared" si="135"/>
        <v/>
      </c>
      <c r="BI117" s="14" t="str">
        <f t="shared" si="136"/>
        <v/>
      </c>
      <c r="BJ117" s="14" t="str">
        <f t="shared" si="137"/>
        <v/>
      </c>
      <c r="BK117" s="14" t="str">
        <f>IF(OR(T117="",P117="",BJ117="",T117&lt;=0,BJ117&lt;=0),"",(1/Inputs!$B$9)*((T117^2/8)*((2*ACOS(1-2*BJ117/T117))-SIN((2*ACOS(1-2*BJ117/T117)))))*((((T117^2/8)*((2*ACOS(1-2*BJ117/T117))-SIN((2*ACOS(1-2*BJ117/T117)))))/((T117/2)*((2*ACOS(1-2*BJ117/T117)))))^(2/3))*SQRT(P117))</f>
        <v/>
      </c>
      <c r="BL117" s="14" t="str">
        <f t="shared" si="138"/>
        <v/>
      </c>
      <c r="BM117" s="14" t="str">
        <f t="shared" si="139"/>
        <v/>
      </c>
      <c r="BN117" s="14" t="str">
        <f t="shared" si="140"/>
        <v/>
      </c>
      <c r="BO117" s="14" t="str">
        <f>IF(OR(T117="",P117="",BN117="",T117&lt;=0,BN117&lt;=0),"",(1/Inputs!$B$9)*((T117^2/8)*((2*ACOS(1-2*BN117/T117))-SIN((2*ACOS(1-2*BN117/T117)))))*((((T117^2/8)*((2*ACOS(1-2*BN117/T117))-SIN((2*ACOS(1-2*BN117/T117)))))/((T117/2)*((2*ACOS(1-2*BN117/T117)))))^(2/3))*SQRT(P117))</f>
        <v/>
      </c>
      <c r="BP117" s="14" t="str">
        <f t="shared" si="141"/>
        <v/>
      </c>
      <c r="BQ117" s="14" t="str">
        <f t="shared" si="142"/>
        <v/>
      </c>
      <c r="BR117" s="14" t="str">
        <f t="shared" si="143"/>
        <v/>
      </c>
      <c r="BS117" s="14" t="str">
        <f>IF(OR(T117="",P117="",BR117="",T117&lt;=0,BR117&lt;=0),"",(1/Inputs!$B$9)*((T117^2/8)*((2*ACOS(1-2*BR117/T117))-SIN((2*ACOS(1-2*BR117/T117)))))*((((T117^2/8)*((2*ACOS(1-2*BR117/T117))-SIN((2*ACOS(1-2*BR117/T117)))))/((T117/2)*((2*ACOS(1-2*BR117/T117)))))^(2/3))*SQRT(P117))</f>
        <v/>
      </c>
      <c r="BT117" s="14" t="str">
        <f t="shared" si="144"/>
        <v/>
      </c>
      <c r="BU117" s="14" t="str">
        <f t="shared" si="145"/>
        <v/>
      </c>
      <c r="BV117" s="14" t="str">
        <f t="shared" si="146"/>
        <v/>
      </c>
      <c r="BW117" s="14" t="str">
        <f>IF(OR(T117="",P117="",BV117="",T117&lt;=0,BV117&lt;=0),"",(1/Inputs!$B$9)*((T117^2/8)*((2*ACOS(1-2*BV117/T117))-SIN((2*ACOS(1-2*BV117/T117)))))*((((T117^2/8)*((2*ACOS(1-2*BV117/T117))-SIN((2*ACOS(1-2*BV117/T117)))))/((T117/2)*((2*ACOS(1-2*BV117/T117)))))^(2/3))*SQRT(P117))</f>
        <v/>
      </c>
      <c r="BX117" s="14" t="str">
        <f t="shared" si="147"/>
        <v/>
      </c>
      <c r="BY117" s="14" t="str">
        <f t="shared" si="148"/>
        <v/>
      </c>
      <c r="BZ117" s="14" t="str">
        <f t="shared" si="149"/>
        <v/>
      </c>
      <c r="CA117" s="14" t="str">
        <f>IF(OR(T117="",P117="",BZ117="",T117&lt;=0,BZ117&lt;=0),"",(1/Inputs!$B$9)*((T117^2/8)*((2*ACOS(1-2*BZ117/T117))-SIN((2*ACOS(1-2*BZ117/T117)))))*((((T117^2/8)*((2*ACOS(1-2*BZ117/T117))-SIN((2*ACOS(1-2*BZ117/T117)))))/((T117/2)*((2*ACOS(1-2*BZ117/T117)))))^(2/3))*SQRT(P117))</f>
        <v/>
      </c>
      <c r="CB117" s="14" t="str">
        <f t="shared" si="150"/>
        <v/>
      </c>
      <c r="CC117" s="14" t="str">
        <f t="shared" si="151"/>
        <v/>
      </c>
      <c r="CD117" s="14" t="str">
        <f t="shared" si="152"/>
        <v/>
      </c>
      <c r="CE117" s="14" t="str">
        <f>IF(OR(T117="",P117="",CD117="",T117&lt;=0,CD117&lt;=0),"",(1/Inputs!$B$9)*((T117^2/8)*((2*ACOS(1-2*CD117/T117))-SIN((2*ACOS(1-2*CD117/T117)))))*((((T117^2/8)*((2*ACOS(1-2*CD117/T117))-SIN((2*ACOS(1-2*CD117/T117)))))/((T117/2)*((2*ACOS(1-2*CD117/T117)))))^(2/3))*SQRT(P117))</f>
        <v/>
      </c>
      <c r="CF117" s="14" t="str">
        <f t="shared" si="153"/>
        <v/>
      </c>
      <c r="CG117" s="14" t="str">
        <f t="shared" si="154"/>
        <v/>
      </c>
      <c r="CH117" s="14" t="str">
        <f t="shared" si="155"/>
        <v/>
      </c>
    </row>
    <row r="118" spans="1:86" x14ac:dyDescent="0.25">
      <c r="A118" s="14"/>
      <c r="B118" s="14"/>
      <c r="C118" s="14"/>
      <c r="D118" s="14"/>
      <c r="E118" s="44"/>
      <c r="F118" s="44"/>
      <c r="G118" s="44">
        <f>SUMIFS(CB_plan!$G:$G,CB_plan!$F:$F,$A118)</f>
        <v>0</v>
      </c>
      <c r="H118" s="44">
        <f t="shared" si="117"/>
        <v>0</v>
      </c>
      <c r="I118" s="14"/>
      <c r="J118" s="44"/>
      <c r="K118" s="44" t="str">
        <f>IF(A118="","",Inputs!$B$13/((IF(AV118="",Inputs!$B$18,AV118)+Inputs!$B$14)^Inputs!$B$15))</f>
        <v/>
      </c>
      <c r="L118" s="44" t="str">
        <f>IF(A118="","",IF(H118="","",0.000000278*IF(I118&lt;&gt;"",I118,IFERROR(SUMIFS(CB_plan!$H:$H,CB_plan!$F:$F,$A118)/SUMIFS(CB_plan!$G:$G,CB_plan!$F:$F,$A118),Inputs!$B$17))*H118*K118))</f>
        <v/>
      </c>
      <c r="M118" s="44" t="str">
        <f t="shared" si="118"/>
        <v/>
      </c>
      <c r="N118" s="44" t="str">
        <f>IF(A118="","",(L118+M118)*Inputs!$B$16)</f>
        <v/>
      </c>
      <c r="O118" s="44"/>
      <c r="P118" s="44" t="str">
        <f>IF(A118="","",IF(O118="",Inputs!$B$7,O118))</f>
        <v/>
      </c>
      <c r="Q118" s="14" t="str">
        <f>IF(A118="","",IF(N118/Inputs!$B$10&lt;=AG118,Inputs!$F$5,IF(N118/Inputs!$B$10&gt;AP118,"OVERSIZE",INDEX(Inputs!$F$5:$F$14,MATCH(N118/Inputs!$B$10,AG118:AP118,1)+1))))</f>
        <v/>
      </c>
      <c r="R118" s="14"/>
      <c r="S118" s="14" t="str">
        <f t="shared" si="119"/>
        <v/>
      </c>
      <c r="T118" s="44" t="str">
        <f t="shared" si="120"/>
        <v/>
      </c>
      <c r="U118" s="44" t="str">
        <f>IF(T118="","",(1/Inputs!$B$9)*(PI()*T118^2/4)*((T118/4)^(2/3))*SQRT(P118))</f>
        <v/>
      </c>
      <c r="V118" s="44" t="str">
        <f>IF(OR(U118="",N118=""),"",N118/(U118*Inputs!$B$10))</f>
        <v/>
      </c>
      <c r="W118" s="44" t="str">
        <f t="shared" si="121"/>
        <v/>
      </c>
      <c r="X118" s="44"/>
      <c r="Y118" s="44" t="str">
        <f>IF(A118="","",IF(A118=Inputs!$B$6,Inputs!$B$22,IF(D118="","",IFERROR(INDEX($Z$4:$Z$201,MATCH(D118,$A$4:$A$201,0))+IF(X118="",Inputs!$B$20,X118),""))))</f>
        <v/>
      </c>
      <c r="Z118" s="44" t="str">
        <f t="shared" si="122"/>
        <v/>
      </c>
      <c r="AA118" s="44" t="str">
        <f>IF(C118="","",IFERROR(INDEX(Noeuds_plan!$C$4:$C$200,MATCH(C118,Noeuds_plan!$A$4:$A$200,0)),""))</f>
        <v/>
      </c>
      <c r="AB118" s="44" t="str">
        <f>IF(B118="","",IFERROR(INDEX(Noeuds_plan!$C$4:$C$200,MATCH(B118,Noeuds_plan!$A$4:$A$200,0)),""))</f>
        <v/>
      </c>
      <c r="AC118" s="44" t="str">
        <f t="shared" si="123"/>
        <v/>
      </c>
      <c r="AD118" s="44" t="str">
        <f t="shared" si="124"/>
        <v/>
      </c>
      <c r="AE118" s="14" t="str">
        <f>IF(A118="","",IF(OR(V118&gt;1,AND(AY118&lt;&gt;"",AY118&lt;Inputs!$B$11),AND(AY118&lt;&gt;"",AY118&gt;Inputs!$B$12),AC118&lt;Inputs!$B$19,AD118&lt;Inputs!$B$19,P118&lt;Inputs!$B$7,P118&gt;Inputs!$B$8),"CHECK","OK"))</f>
        <v/>
      </c>
      <c r="AF118" s="14"/>
      <c r="AG118" s="14" t="str">
        <f>IF(A118="","",(1/Inputs!$B$9)*(PI()*(Inputs!$F$5/1000)^2/4)*((Inputs!$F$5/1000/4)^(2/3))*SQRT(P118))</f>
        <v/>
      </c>
      <c r="AH118" s="14" t="str">
        <f>IF(A118="","",(1/Inputs!$B$9)*(PI()*(Inputs!$F$6/1000)^2/4)*((Inputs!$F$6/1000/4)^(2/3))*SQRT(P118))</f>
        <v/>
      </c>
      <c r="AI118" s="14" t="str">
        <f>IF(A118="","",(1/Inputs!$B$9)*(PI()*(Inputs!$F$7/1000)^2/4)*((Inputs!$F$7/1000/4)^(2/3))*SQRT(P118))</f>
        <v/>
      </c>
      <c r="AJ118" s="14" t="str">
        <f>IF(A118="","",(1/Inputs!$B$9)*(PI()*(Inputs!$F$8/1000)^2/4)*((Inputs!$F$8/1000/4)^(2/3))*SQRT(P118))</f>
        <v/>
      </c>
      <c r="AK118" s="14" t="str">
        <f>IF(A118="","",(1/Inputs!$B$9)*(PI()*(Inputs!$F$9/1000)^2/4)*((Inputs!$F$9/1000/4)^(2/3))*SQRT(P118))</f>
        <v/>
      </c>
      <c r="AL118" s="14" t="str">
        <f>IF(A118="","",(1/Inputs!$B$9)*(PI()*(Inputs!$F$10/1000)^2/4)*((Inputs!$F$10/1000/4)^(2/3))*SQRT(P118))</f>
        <v/>
      </c>
      <c r="AM118" s="14" t="str">
        <f>IF(A118="","",(1/Inputs!$B$9)*(PI()*(Inputs!$F$11/1000)^2/4)*((Inputs!$F$11/1000/4)^(2/3))*SQRT(P118))</f>
        <v/>
      </c>
      <c r="AN118" s="14" t="str">
        <f>IF(A118="","",(1/Inputs!$B$9)*(PI()*(Inputs!$F$12/1000)^2/4)*((Inputs!$F$12/1000/4)^(2/3))*SQRT(P118))</f>
        <v/>
      </c>
      <c r="AO118" s="14" t="str">
        <f>IF(A118="","",(1/Inputs!$B$9)*(PI()*(Inputs!$F$13/1000)^2/4)*((Inputs!$F$13/1000/4)^(2/3))*SQRT(P118))</f>
        <v/>
      </c>
      <c r="AP118" s="14" t="str">
        <f>IF(A118="","",(1/Inputs!$B$9)*(PI()*(Inputs!$F$14/1000)^2/4)*((Inputs!$F$14/1000/4)^(2/3))*SQRT(P118))</f>
        <v/>
      </c>
      <c r="AQ118" s="14" t="str">
        <f t="shared" si="125"/>
        <v/>
      </c>
      <c r="AR118" s="14" t="str">
        <f t="shared" si="126"/>
        <v/>
      </c>
      <c r="AS118" s="17" t="str">
        <f>IF(A118="","",IF(J118="",Inputs!$B$18,J118))</f>
        <v/>
      </c>
      <c r="AT118" s="17" t="str">
        <f>IF(A118="","",IFERROR(_xludf.maxifs($AV$4:$AV$201,$D$4:$D$201,$A118),""))</f>
        <v/>
      </c>
      <c r="AU118" s="17" t="str">
        <f>IF(A118="","",IF(OR(E118="",Inputs!$B$23=""),"",E118/(Inputs!$B$23*60)))</f>
        <v/>
      </c>
      <c r="AV118" s="17" t="str">
        <f t="shared" si="127"/>
        <v/>
      </c>
      <c r="AW118" s="17" t="str">
        <f t="shared" si="128"/>
        <v/>
      </c>
      <c r="AX118" s="17" t="str">
        <f>IF(OR(T118="",P118=""),"",(1/Inputs!$B$9)*((T118/4)^(2/3))*SQRT(P118))</f>
        <v/>
      </c>
      <c r="AY118" s="17" t="str">
        <f>IF(A118="","",IF(AND(AW118="",AX118="",BA118=""),"",IF(OR(UPPER(TRIM(Inputs!$B$24))="MANNING",UPPER(TRIM(Inputs!$B$24))="M"),AX118,IF(OR(UPPER(TRIM(Inputs!$B$24))="PARTIAL",UPPER(TRIM(Inputs!$B$24))="P"),BA118,IF(OR(UPPER(TRIM(Inputs!$B$24))="MAX",UPPER(TRIM(Inputs!$B$24))="X"),MAX(IF(AW118="",0,AW118),IF(AX118="",0,AX118),IF(BA118="",0,BA118)),AW118)))))</f>
        <v/>
      </c>
      <c r="AZ118" s="17" t="str">
        <f t="shared" si="129"/>
        <v/>
      </c>
      <c r="BA118" s="17" t="str">
        <f t="shared" si="130"/>
        <v/>
      </c>
      <c r="BB118" s="14" t="str">
        <f t="shared" si="131"/>
        <v/>
      </c>
      <c r="BC118" s="14" t="str">
        <f>IF(OR(N118="",T118="",P118=""),"",IF(OR(T118="",P118="",(0.94*T118)="",T118&lt;=0,(0.94*T118)&lt;=0),"",(1/Inputs!$B$9)*((T118^2/8)*((2*ACOS(1-2*(0.94*T118)/T118))-SIN((2*ACOS(1-2*(0.94*T118)/T118)))))*((((T118^2/8)*((2*ACOS(1-2*(0.94*T118)/T118))-SIN((2*ACOS(1-2*(0.94*T118)/T118)))))/((T118/2)*((2*ACOS(1-2*(0.94*T118)/T118)))))^(2/3))*SQRT(P118)))</f>
        <v/>
      </c>
      <c r="BD118" s="14" t="str">
        <f t="shared" si="132"/>
        <v/>
      </c>
      <c r="BE118" s="14" t="str">
        <f t="shared" si="133"/>
        <v/>
      </c>
      <c r="BF118" s="14" t="str">
        <f t="shared" si="134"/>
        <v/>
      </c>
      <c r="BG118" s="14" t="str">
        <f>IF(OR(T118="",P118="",BF118="",T118&lt;=0,BF118&lt;=0),"",(1/Inputs!$B$9)*((T118^2/8)*((2*ACOS(1-2*BF118/T118))-SIN((2*ACOS(1-2*BF118/T118)))))*((((T118^2/8)*((2*ACOS(1-2*BF118/T118))-SIN((2*ACOS(1-2*BF118/T118)))))/((T118/2)*((2*ACOS(1-2*BF118/T118)))))^(2/3))*SQRT(P118))</f>
        <v/>
      </c>
      <c r="BH118" s="14" t="str">
        <f t="shared" si="135"/>
        <v/>
      </c>
      <c r="BI118" s="14" t="str">
        <f t="shared" si="136"/>
        <v/>
      </c>
      <c r="BJ118" s="14" t="str">
        <f t="shared" si="137"/>
        <v/>
      </c>
      <c r="BK118" s="14" t="str">
        <f>IF(OR(T118="",P118="",BJ118="",T118&lt;=0,BJ118&lt;=0),"",(1/Inputs!$B$9)*((T118^2/8)*((2*ACOS(1-2*BJ118/T118))-SIN((2*ACOS(1-2*BJ118/T118)))))*((((T118^2/8)*((2*ACOS(1-2*BJ118/T118))-SIN((2*ACOS(1-2*BJ118/T118)))))/((T118/2)*((2*ACOS(1-2*BJ118/T118)))))^(2/3))*SQRT(P118))</f>
        <v/>
      </c>
      <c r="BL118" s="14" t="str">
        <f t="shared" si="138"/>
        <v/>
      </c>
      <c r="BM118" s="14" t="str">
        <f t="shared" si="139"/>
        <v/>
      </c>
      <c r="BN118" s="14" t="str">
        <f t="shared" si="140"/>
        <v/>
      </c>
      <c r="BO118" s="14" t="str">
        <f>IF(OR(T118="",P118="",BN118="",T118&lt;=0,BN118&lt;=0),"",(1/Inputs!$B$9)*((T118^2/8)*((2*ACOS(1-2*BN118/T118))-SIN((2*ACOS(1-2*BN118/T118)))))*((((T118^2/8)*((2*ACOS(1-2*BN118/T118))-SIN((2*ACOS(1-2*BN118/T118)))))/((T118/2)*((2*ACOS(1-2*BN118/T118)))))^(2/3))*SQRT(P118))</f>
        <v/>
      </c>
      <c r="BP118" s="14" t="str">
        <f t="shared" si="141"/>
        <v/>
      </c>
      <c r="BQ118" s="14" t="str">
        <f t="shared" si="142"/>
        <v/>
      </c>
      <c r="BR118" s="14" t="str">
        <f t="shared" si="143"/>
        <v/>
      </c>
      <c r="BS118" s="14" t="str">
        <f>IF(OR(T118="",P118="",BR118="",T118&lt;=0,BR118&lt;=0),"",(1/Inputs!$B$9)*((T118^2/8)*((2*ACOS(1-2*BR118/T118))-SIN((2*ACOS(1-2*BR118/T118)))))*((((T118^2/8)*((2*ACOS(1-2*BR118/T118))-SIN((2*ACOS(1-2*BR118/T118)))))/((T118/2)*((2*ACOS(1-2*BR118/T118)))))^(2/3))*SQRT(P118))</f>
        <v/>
      </c>
      <c r="BT118" s="14" t="str">
        <f t="shared" si="144"/>
        <v/>
      </c>
      <c r="BU118" s="14" t="str">
        <f t="shared" si="145"/>
        <v/>
      </c>
      <c r="BV118" s="14" t="str">
        <f t="shared" si="146"/>
        <v/>
      </c>
      <c r="BW118" s="14" t="str">
        <f>IF(OR(T118="",P118="",BV118="",T118&lt;=0,BV118&lt;=0),"",(1/Inputs!$B$9)*((T118^2/8)*((2*ACOS(1-2*BV118/T118))-SIN((2*ACOS(1-2*BV118/T118)))))*((((T118^2/8)*((2*ACOS(1-2*BV118/T118))-SIN((2*ACOS(1-2*BV118/T118)))))/((T118/2)*((2*ACOS(1-2*BV118/T118)))))^(2/3))*SQRT(P118))</f>
        <v/>
      </c>
      <c r="BX118" s="14" t="str">
        <f t="shared" si="147"/>
        <v/>
      </c>
      <c r="BY118" s="14" t="str">
        <f t="shared" si="148"/>
        <v/>
      </c>
      <c r="BZ118" s="14" t="str">
        <f t="shared" si="149"/>
        <v/>
      </c>
      <c r="CA118" s="14" t="str">
        <f>IF(OR(T118="",P118="",BZ118="",T118&lt;=0,BZ118&lt;=0),"",(1/Inputs!$B$9)*((T118^2/8)*((2*ACOS(1-2*BZ118/T118))-SIN((2*ACOS(1-2*BZ118/T118)))))*((((T118^2/8)*((2*ACOS(1-2*BZ118/T118))-SIN((2*ACOS(1-2*BZ118/T118)))))/((T118/2)*((2*ACOS(1-2*BZ118/T118)))))^(2/3))*SQRT(P118))</f>
        <v/>
      </c>
      <c r="CB118" s="14" t="str">
        <f t="shared" si="150"/>
        <v/>
      </c>
      <c r="CC118" s="14" t="str">
        <f t="shared" si="151"/>
        <v/>
      </c>
      <c r="CD118" s="14" t="str">
        <f t="shared" si="152"/>
        <v/>
      </c>
      <c r="CE118" s="14" t="str">
        <f>IF(OR(T118="",P118="",CD118="",T118&lt;=0,CD118&lt;=0),"",(1/Inputs!$B$9)*((T118^2/8)*((2*ACOS(1-2*CD118/T118))-SIN((2*ACOS(1-2*CD118/T118)))))*((((T118^2/8)*((2*ACOS(1-2*CD118/T118))-SIN((2*ACOS(1-2*CD118/T118)))))/((T118/2)*((2*ACOS(1-2*CD118/T118)))))^(2/3))*SQRT(P118))</f>
        <v/>
      </c>
      <c r="CF118" s="14" t="str">
        <f t="shared" si="153"/>
        <v/>
      </c>
      <c r="CG118" s="14" t="str">
        <f t="shared" si="154"/>
        <v/>
      </c>
      <c r="CH118" s="14" t="str">
        <f t="shared" si="155"/>
        <v/>
      </c>
    </row>
    <row r="119" spans="1:86" x14ac:dyDescent="0.25">
      <c r="A119" s="14"/>
      <c r="B119" s="14"/>
      <c r="C119" s="14"/>
      <c r="D119" s="14"/>
      <c r="E119" s="44"/>
      <c r="F119" s="44"/>
      <c r="G119" s="44">
        <f>SUMIFS(CB_plan!$G:$G,CB_plan!$F:$F,$A119)</f>
        <v>0</v>
      </c>
      <c r="H119" s="44">
        <f t="shared" si="117"/>
        <v>0</v>
      </c>
      <c r="I119" s="14"/>
      <c r="J119" s="44"/>
      <c r="K119" s="44" t="str">
        <f>IF(A119="","",Inputs!$B$13/((IF(AV119="",Inputs!$B$18,AV119)+Inputs!$B$14)^Inputs!$B$15))</f>
        <v/>
      </c>
      <c r="L119" s="44" t="str">
        <f>IF(A119="","",IF(H119="","",0.000000278*IF(I119&lt;&gt;"",I119,IFERROR(SUMIFS(CB_plan!$H:$H,CB_plan!$F:$F,$A119)/SUMIFS(CB_plan!$G:$G,CB_plan!$F:$F,$A119),Inputs!$B$17))*H119*K119))</f>
        <v/>
      </c>
      <c r="M119" s="44" t="str">
        <f t="shared" si="118"/>
        <v/>
      </c>
      <c r="N119" s="44" t="str">
        <f>IF(A119="","",(L119+M119)*Inputs!$B$16)</f>
        <v/>
      </c>
      <c r="O119" s="44"/>
      <c r="P119" s="44" t="str">
        <f>IF(A119="","",IF(O119="",Inputs!$B$7,O119))</f>
        <v/>
      </c>
      <c r="Q119" s="14" t="str">
        <f>IF(A119="","",IF(N119/Inputs!$B$10&lt;=AG119,Inputs!$F$5,IF(N119/Inputs!$B$10&gt;AP119,"OVERSIZE",INDEX(Inputs!$F$5:$F$14,MATCH(N119/Inputs!$B$10,AG119:AP119,1)+1))))</f>
        <v/>
      </c>
      <c r="R119" s="14"/>
      <c r="S119" s="14" t="str">
        <f t="shared" si="119"/>
        <v/>
      </c>
      <c r="T119" s="44" t="str">
        <f t="shared" si="120"/>
        <v/>
      </c>
      <c r="U119" s="44" t="str">
        <f>IF(T119="","",(1/Inputs!$B$9)*(PI()*T119^2/4)*((T119/4)^(2/3))*SQRT(P119))</f>
        <v/>
      </c>
      <c r="V119" s="44" t="str">
        <f>IF(OR(U119="",N119=""),"",N119/(U119*Inputs!$B$10))</f>
        <v/>
      </c>
      <c r="W119" s="44" t="str">
        <f t="shared" si="121"/>
        <v/>
      </c>
      <c r="X119" s="44"/>
      <c r="Y119" s="44" t="str">
        <f>IF(A119="","",IF(A119=Inputs!$B$6,Inputs!$B$22,IF(D119="","",IFERROR(INDEX($Z$4:$Z$201,MATCH(D119,$A$4:$A$201,0))+IF(X119="",Inputs!$B$20,X119),""))))</f>
        <v/>
      </c>
      <c r="Z119" s="44" t="str">
        <f t="shared" si="122"/>
        <v/>
      </c>
      <c r="AA119" s="44" t="str">
        <f>IF(C119="","",IFERROR(INDEX(Noeuds_plan!$C$4:$C$200,MATCH(C119,Noeuds_plan!$A$4:$A$200,0)),""))</f>
        <v/>
      </c>
      <c r="AB119" s="44" t="str">
        <f>IF(B119="","",IFERROR(INDEX(Noeuds_plan!$C$4:$C$200,MATCH(B119,Noeuds_plan!$A$4:$A$200,0)),""))</f>
        <v/>
      </c>
      <c r="AC119" s="44" t="str">
        <f t="shared" si="123"/>
        <v/>
      </c>
      <c r="AD119" s="44" t="str">
        <f t="shared" si="124"/>
        <v/>
      </c>
      <c r="AE119" s="14" t="str">
        <f>IF(A119="","",IF(OR(V119&gt;1,AND(AY119&lt;&gt;"",AY119&lt;Inputs!$B$11),AND(AY119&lt;&gt;"",AY119&gt;Inputs!$B$12),AC119&lt;Inputs!$B$19,AD119&lt;Inputs!$B$19,P119&lt;Inputs!$B$7,P119&gt;Inputs!$B$8),"CHECK","OK"))</f>
        <v/>
      </c>
      <c r="AF119" s="14"/>
      <c r="AG119" s="14" t="str">
        <f>IF(A119="","",(1/Inputs!$B$9)*(PI()*(Inputs!$F$5/1000)^2/4)*((Inputs!$F$5/1000/4)^(2/3))*SQRT(P119))</f>
        <v/>
      </c>
      <c r="AH119" s="14" t="str">
        <f>IF(A119="","",(1/Inputs!$B$9)*(PI()*(Inputs!$F$6/1000)^2/4)*((Inputs!$F$6/1000/4)^(2/3))*SQRT(P119))</f>
        <v/>
      </c>
      <c r="AI119" s="14" t="str">
        <f>IF(A119="","",(1/Inputs!$B$9)*(PI()*(Inputs!$F$7/1000)^2/4)*((Inputs!$F$7/1000/4)^(2/3))*SQRT(P119))</f>
        <v/>
      </c>
      <c r="AJ119" s="14" t="str">
        <f>IF(A119="","",(1/Inputs!$B$9)*(PI()*(Inputs!$F$8/1000)^2/4)*((Inputs!$F$8/1000/4)^(2/3))*SQRT(P119))</f>
        <v/>
      </c>
      <c r="AK119" s="14" t="str">
        <f>IF(A119="","",(1/Inputs!$B$9)*(PI()*(Inputs!$F$9/1000)^2/4)*((Inputs!$F$9/1000/4)^(2/3))*SQRT(P119))</f>
        <v/>
      </c>
      <c r="AL119" s="14" t="str">
        <f>IF(A119="","",(1/Inputs!$B$9)*(PI()*(Inputs!$F$10/1000)^2/4)*((Inputs!$F$10/1000/4)^(2/3))*SQRT(P119))</f>
        <v/>
      </c>
      <c r="AM119" s="14" t="str">
        <f>IF(A119="","",(1/Inputs!$B$9)*(PI()*(Inputs!$F$11/1000)^2/4)*((Inputs!$F$11/1000/4)^(2/3))*SQRT(P119))</f>
        <v/>
      </c>
      <c r="AN119" s="14" t="str">
        <f>IF(A119="","",(1/Inputs!$B$9)*(PI()*(Inputs!$F$12/1000)^2/4)*((Inputs!$F$12/1000/4)^(2/3))*SQRT(P119))</f>
        <v/>
      </c>
      <c r="AO119" s="14" t="str">
        <f>IF(A119="","",(1/Inputs!$B$9)*(PI()*(Inputs!$F$13/1000)^2/4)*((Inputs!$F$13/1000/4)^(2/3))*SQRT(P119))</f>
        <v/>
      </c>
      <c r="AP119" s="14" t="str">
        <f>IF(A119="","",(1/Inputs!$B$9)*(PI()*(Inputs!$F$14/1000)^2/4)*((Inputs!$F$14/1000/4)^(2/3))*SQRT(P119))</f>
        <v/>
      </c>
      <c r="AQ119" s="14" t="str">
        <f t="shared" si="125"/>
        <v/>
      </c>
      <c r="AR119" s="14" t="str">
        <f t="shared" si="126"/>
        <v/>
      </c>
      <c r="AS119" s="17" t="str">
        <f>IF(A119="","",IF(J119="",Inputs!$B$18,J119))</f>
        <v/>
      </c>
      <c r="AT119" s="17" t="str">
        <f>IF(A119="","",IFERROR(_xludf.maxifs($AV$4:$AV$201,$D$4:$D$201,$A119),""))</f>
        <v/>
      </c>
      <c r="AU119" s="17" t="str">
        <f>IF(A119="","",IF(OR(E119="",Inputs!$B$23=""),"",E119/(Inputs!$B$23*60)))</f>
        <v/>
      </c>
      <c r="AV119" s="17" t="str">
        <f t="shared" si="127"/>
        <v/>
      </c>
      <c r="AW119" s="17" t="str">
        <f t="shared" si="128"/>
        <v/>
      </c>
      <c r="AX119" s="17" t="str">
        <f>IF(OR(T119="",P119=""),"",(1/Inputs!$B$9)*((T119/4)^(2/3))*SQRT(P119))</f>
        <v/>
      </c>
      <c r="AY119" s="17" t="str">
        <f>IF(A119="","",IF(AND(AW119="",AX119="",BA119=""),"",IF(OR(UPPER(TRIM(Inputs!$B$24))="MANNING",UPPER(TRIM(Inputs!$B$24))="M"),AX119,IF(OR(UPPER(TRIM(Inputs!$B$24))="PARTIAL",UPPER(TRIM(Inputs!$B$24))="P"),BA119,IF(OR(UPPER(TRIM(Inputs!$B$24))="MAX",UPPER(TRIM(Inputs!$B$24))="X"),MAX(IF(AW119="",0,AW119),IF(AX119="",0,AX119),IF(BA119="",0,BA119)),AW119)))))</f>
        <v/>
      </c>
      <c r="AZ119" s="17" t="str">
        <f t="shared" si="129"/>
        <v/>
      </c>
      <c r="BA119" s="17" t="str">
        <f t="shared" si="130"/>
        <v/>
      </c>
      <c r="BB119" s="14" t="str">
        <f t="shared" si="131"/>
        <v/>
      </c>
      <c r="BC119" s="14" t="str">
        <f>IF(OR(N119="",T119="",P119=""),"",IF(OR(T119="",P119="",(0.94*T119)="",T119&lt;=0,(0.94*T119)&lt;=0),"",(1/Inputs!$B$9)*((T119^2/8)*((2*ACOS(1-2*(0.94*T119)/T119))-SIN((2*ACOS(1-2*(0.94*T119)/T119)))))*((((T119^2/8)*((2*ACOS(1-2*(0.94*T119)/T119))-SIN((2*ACOS(1-2*(0.94*T119)/T119)))))/((T119/2)*((2*ACOS(1-2*(0.94*T119)/T119)))))^(2/3))*SQRT(P119)))</f>
        <v/>
      </c>
      <c r="BD119" s="14" t="str">
        <f t="shared" si="132"/>
        <v/>
      </c>
      <c r="BE119" s="14" t="str">
        <f t="shared" si="133"/>
        <v/>
      </c>
      <c r="BF119" s="14" t="str">
        <f t="shared" si="134"/>
        <v/>
      </c>
      <c r="BG119" s="14" t="str">
        <f>IF(OR(T119="",P119="",BF119="",T119&lt;=0,BF119&lt;=0),"",(1/Inputs!$B$9)*((T119^2/8)*((2*ACOS(1-2*BF119/T119))-SIN((2*ACOS(1-2*BF119/T119)))))*((((T119^2/8)*((2*ACOS(1-2*BF119/T119))-SIN((2*ACOS(1-2*BF119/T119)))))/((T119/2)*((2*ACOS(1-2*BF119/T119)))))^(2/3))*SQRT(P119))</f>
        <v/>
      </c>
      <c r="BH119" s="14" t="str">
        <f t="shared" si="135"/>
        <v/>
      </c>
      <c r="BI119" s="14" t="str">
        <f t="shared" si="136"/>
        <v/>
      </c>
      <c r="BJ119" s="14" t="str">
        <f t="shared" si="137"/>
        <v/>
      </c>
      <c r="BK119" s="14" t="str">
        <f>IF(OR(T119="",P119="",BJ119="",T119&lt;=0,BJ119&lt;=0),"",(1/Inputs!$B$9)*((T119^2/8)*((2*ACOS(1-2*BJ119/T119))-SIN((2*ACOS(1-2*BJ119/T119)))))*((((T119^2/8)*((2*ACOS(1-2*BJ119/T119))-SIN((2*ACOS(1-2*BJ119/T119)))))/((T119/2)*((2*ACOS(1-2*BJ119/T119)))))^(2/3))*SQRT(P119))</f>
        <v/>
      </c>
      <c r="BL119" s="14" t="str">
        <f t="shared" si="138"/>
        <v/>
      </c>
      <c r="BM119" s="14" t="str">
        <f t="shared" si="139"/>
        <v/>
      </c>
      <c r="BN119" s="14" t="str">
        <f t="shared" si="140"/>
        <v/>
      </c>
      <c r="BO119" s="14" t="str">
        <f>IF(OR(T119="",P119="",BN119="",T119&lt;=0,BN119&lt;=0),"",(1/Inputs!$B$9)*((T119^2/8)*((2*ACOS(1-2*BN119/T119))-SIN((2*ACOS(1-2*BN119/T119)))))*((((T119^2/8)*((2*ACOS(1-2*BN119/T119))-SIN((2*ACOS(1-2*BN119/T119)))))/((T119/2)*((2*ACOS(1-2*BN119/T119)))))^(2/3))*SQRT(P119))</f>
        <v/>
      </c>
      <c r="BP119" s="14" t="str">
        <f t="shared" si="141"/>
        <v/>
      </c>
      <c r="BQ119" s="14" t="str">
        <f t="shared" si="142"/>
        <v/>
      </c>
      <c r="BR119" s="14" t="str">
        <f t="shared" si="143"/>
        <v/>
      </c>
      <c r="BS119" s="14" t="str">
        <f>IF(OR(T119="",P119="",BR119="",T119&lt;=0,BR119&lt;=0),"",(1/Inputs!$B$9)*((T119^2/8)*((2*ACOS(1-2*BR119/T119))-SIN((2*ACOS(1-2*BR119/T119)))))*((((T119^2/8)*((2*ACOS(1-2*BR119/T119))-SIN((2*ACOS(1-2*BR119/T119)))))/((T119/2)*((2*ACOS(1-2*BR119/T119)))))^(2/3))*SQRT(P119))</f>
        <v/>
      </c>
      <c r="BT119" s="14" t="str">
        <f t="shared" si="144"/>
        <v/>
      </c>
      <c r="BU119" s="14" t="str">
        <f t="shared" si="145"/>
        <v/>
      </c>
      <c r="BV119" s="14" t="str">
        <f t="shared" si="146"/>
        <v/>
      </c>
      <c r="BW119" s="14" t="str">
        <f>IF(OR(T119="",P119="",BV119="",T119&lt;=0,BV119&lt;=0),"",(1/Inputs!$B$9)*((T119^2/8)*((2*ACOS(1-2*BV119/T119))-SIN((2*ACOS(1-2*BV119/T119)))))*((((T119^2/8)*((2*ACOS(1-2*BV119/T119))-SIN((2*ACOS(1-2*BV119/T119)))))/((T119/2)*((2*ACOS(1-2*BV119/T119)))))^(2/3))*SQRT(P119))</f>
        <v/>
      </c>
      <c r="BX119" s="14" t="str">
        <f t="shared" si="147"/>
        <v/>
      </c>
      <c r="BY119" s="14" t="str">
        <f t="shared" si="148"/>
        <v/>
      </c>
      <c r="BZ119" s="14" t="str">
        <f t="shared" si="149"/>
        <v/>
      </c>
      <c r="CA119" s="14" t="str">
        <f>IF(OR(T119="",P119="",BZ119="",T119&lt;=0,BZ119&lt;=0),"",(1/Inputs!$B$9)*((T119^2/8)*((2*ACOS(1-2*BZ119/T119))-SIN((2*ACOS(1-2*BZ119/T119)))))*((((T119^2/8)*((2*ACOS(1-2*BZ119/T119))-SIN((2*ACOS(1-2*BZ119/T119)))))/((T119/2)*((2*ACOS(1-2*BZ119/T119)))))^(2/3))*SQRT(P119))</f>
        <v/>
      </c>
      <c r="CB119" s="14" t="str">
        <f t="shared" si="150"/>
        <v/>
      </c>
      <c r="CC119" s="14" t="str">
        <f t="shared" si="151"/>
        <v/>
      </c>
      <c r="CD119" s="14" t="str">
        <f t="shared" si="152"/>
        <v/>
      </c>
      <c r="CE119" s="14" t="str">
        <f>IF(OR(T119="",P119="",CD119="",T119&lt;=0,CD119&lt;=0),"",(1/Inputs!$B$9)*((T119^2/8)*((2*ACOS(1-2*CD119/T119))-SIN((2*ACOS(1-2*CD119/T119)))))*((((T119^2/8)*((2*ACOS(1-2*CD119/T119))-SIN((2*ACOS(1-2*CD119/T119)))))/((T119/2)*((2*ACOS(1-2*CD119/T119)))))^(2/3))*SQRT(P119))</f>
        <v/>
      </c>
      <c r="CF119" s="14" t="str">
        <f t="shared" si="153"/>
        <v/>
      </c>
      <c r="CG119" s="14" t="str">
        <f t="shared" si="154"/>
        <v/>
      </c>
      <c r="CH119" s="14" t="str">
        <f t="shared" si="155"/>
        <v/>
      </c>
    </row>
    <row r="120" spans="1:86" x14ac:dyDescent="0.25">
      <c r="A120" s="14"/>
      <c r="B120" s="14"/>
      <c r="C120" s="14"/>
      <c r="D120" s="14"/>
      <c r="E120" s="44"/>
      <c r="F120" s="44"/>
      <c r="G120" s="44">
        <f>SUMIFS(CB_plan!$G:$G,CB_plan!$F:$F,$A120)</f>
        <v>0</v>
      </c>
      <c r="H120" s="44">
        <f t="shared" si="117"/>
        <v>0</v>
      </c>
      <c r="I120" s="14"/>
      <c r="J120" s="44"/>
      <c r="K120" s="44" t="str">
        <f>IF(A120="","",Inputs!$B$13/((IF(AV120="",Inputs!$B$18,AV120)+Inputs!$B$14)^Inputs!$B$15))</f>
        <v/>
      </c>
      <c r="L120" s="44" t="str">
        <f>IF(A120="","",IF(H120="","",0.000000278*IF(I120&lt;&gt;"",I120,IFERROR(SUMIFS(CB_plan!$H:$H,CB_plan!$F:$F,$A120)/SUMIFS(CB_plan!$G:$G,CB_plan!$F:$F,$A120),Inputs!$B$17))*H120*K120))</f>
        <v/>
      </c>
      <c r="M120" s="44" t="str">
        <f t="shared" si="118"/>
        <v/>
      </c>
      <c r="N120" s="44" t="str">
        <f>IF(A120="","",(L120+M120)*Inputs!$B$16)</f>
        <v/>
      </c>
      <c r="O120" s="44"/>
      <c r="P120" s="44" t="str">
        <f>IF(A120="","",IF(O120="",Inputs!$B$7,O120))</f>
        <v/>
      </c>
      <c r="Q120" s="14" t="str">
        <f>IF(A120="","",IF(N120/Inputs!$B$10&lt;=AG120,Inputs!$F$5,IF(N120/Inputs!$B$10&gt;AP120,"OVERSIZE",INDEX(Inputs!$F$5:$F$14,MATCH(N120/Inputs!$B$10,AG120:AP120,1)+1))))</f>
        <v/>
      </c>
      <c r="R120" s="14"/>
      <c r="S120" s="14" t="str">
        <f t="shared" si="119"/>
        <v/>
      </c>
      <c r="T120" s="44" t="str">
        <f t="shared" si="120"/>
        <v/>
      </c>
      <c r="U120" s="44" t="str">
        <f>IF(T120="","",(1/Inputs!$B$9)*(PI()*T120^2/4)*((T120/4)^(2/3))*SQRT(P120))</f>
        <v/>
      </c>
      <c r="V120" s="44" t="str">
        <f>IF(OR(U120="",N120=""),"",N120/(U120*Inputs!$B$10))</f>
        <v/>
      </c>
      <c r="W120" s="44" t="str">
        <f t="shared" si="121"/>
        <v/>
      </c>
      <c r="X120" s="44"/>
      <c r="Y120" s="44" t="str">
        <f>IF(A120="","",IF(A120=Inputs!$B$6,Inputs!$B$22,IF(D120="","",IFERROR(INDEX($Z$4:$Z$201,MATCH(D120,$A$4:$A$201,0))+IF(X120="",Inputs!$B$20,X120),""))))</f>
        <v/>
      </c>
      <c r="Z120" s="44" t="str">
        <f t="shared" si="122"/>
        <v/>
      </c>
      <c r="AA120" s="44" t="str">
        <f>IF(C120="","",IFERROR(INDEX(Noeuds_plan!$C$4:$C$200,MATCH(C120,Noeuds_plan!$A$4:$A$200,0)),""))</f>
        <v/>
      </c>
      <c r="AB120" s="44" t="str">
        <f>IF(B120="","",IFERROR(INDEX(Noeuds_plan!$C$4:$C$200,MATCH(B120,Noeuds_plan!$A$4:$A$200,0)),""))</f>
        <v/>
      </c>
      <c r="AC120" s="44" t="str">
        <f t="shared" si="123"/>
        <v/>
      </c>
      <c r="AD120" s="44" t="str">
        <f t="shared" si="124"/>
        <v/>
      </c>
      <c r="AE120" s="14" t="str">
        <f>IF(A120="","",IF(OR(V120&gt;1,AND(AY120&lt;&gt;"",AY120&lt;Inputs!$B$11),AND(AY120&lt;&gt;"",AY120&gt;Inputs!$B$12),AC120&lt;Inputs!$B$19,AD120&lt;Inputs!$B$19,P120&lt;Inputs!$B$7,P120&gt;Inputs!$B$8),"CHECK","OK"))</f>
        <v/>
      </c>
      <c r="AF120" s="14"/>
      <c r="AG120" s="14" t="str">
        <f>IF(A120="","",(1/Inputs!$B$9)*(PI()*(Inputs!$F$5/1000)^2/4)*((Inputs!$F$5/1000/4)^(2/3))*SQRT(P120))</f>
        <v/>
      </c>
      <c r="AH120" s="14" t="str">
        <f>IF(A120="","",(1/Inputs!$B$9)*(PI()*(Inputs!$F$6/1000)^2/4)*((Inputs!$F$6/1000/4)^(2/3))*SQRT(P120))</f>
        <v/>
      </c>
      <c r="AI120" s="14" t="str">
        <f>IF(A120="","",(1/Inputs!$B$9)*(PI()*(Inputs!$F$7/1000)^2/4)*((Inputs!$F$7/1000/4)^(2/3))*SQRT(P120))</f>
        <v/>
      </c>
      <c r="AJ120" s="14" t="str">
        <f>IF(A120="","",(1/Inputs!$B$9)*(PI()*(Inputs!$F$8/1000)^2/4)*((Inputs!$F$8/1000/4)^(2/3))*SQRT(P120))</f>
        <v/>
      </c>
      <c r="AK120" s="14" t="str">
        <f>IF(A120="","",(1/Inputs!$B$9)*(PI()*(Inputs!$F$9/1000)^2/4)*((Inputs!$F$9/1000/4)^(2/3))*SQRT(P120))</f>
        <v/>
      </c>
      <c r="AL120" s="14" t="str">
        <f>IF(A120="","",(1/Inputs!$B$9)*(PI()*(Inputs!$F$10/1000)^2/4)*((Inputs!$F$10/1000/4)^(2/3))*SQRT(P120))</f>
        <v/>
      </c>
      <c r="AM120" s="14" t="str">
        <f>IF(A120="","",(1/Inputs!$B$9)*(PI()*(Inputs!$F$11/1000)^2/4)*((Inputs!$F$11/1000/4)^(2/3))*SQRT(P120))</f>
        <v/>
      </c>
      <c r="AN120" s="14" t="str">
        <f>IF(A120="","",(1/Inputs!$B$9)*(PI()*(Inputs!$F$12/1000)^2/4)*((Inputs!$F$12/1000/4)^(2/3))*SQRT(P120))</f>
        <v/>
      </c>
      <c r="AO120" s="14" t="str">
        <f>IF(A120="","",(1/Inputs!$B$9)*(PI()*(Inputs!$F$13/1000)^2/4)*((Inputs!$F$13/1000/4)^(2/3))*SQRT(P120))</f>
        <v/>
      </c>
      <c r="AP120" s="14" t="str">
        <f>IF(A120="","",(1/Inputs!$B$9)*(PI()*(Inputs!$F$14/1000)^2/4)*((Inputs!$F$14/1000/4)^(2/3))*SQRT(P120))</f>
        <v/>
      </c>
      <c r="AQ120" s="14" t="str">
        <f t="shared" si="125"/>
        <v/>
      </c>
      <c r="AR120" s="14" t="str">
        <f t="shared" si="126"/>
        <v/>
      </c>
      <c r="AS120" s="17" t="str">
        <f>IF(A120="","",IF(J120="",Inputs!$B$18,J120))</f>
        <v/>
      </c>
      <c r="AT120" s="17" t="str">
        <f>IF(A120="","",IFERROR(_xludf.maxifs($AV$4:$AV$201,$D$4:$D$201,$A120),""))</f>
        <v/>
      </c>
      <c r="AU120" s="17" t="str">
        <f>IF(A120="","",IF(OR(E120="",Inputs!$B$23=""),"",E120/(Inputs!$B$23*60)))</f>
        <v/>
      </c>
      <c r="AV120" s="17" t="str">
        <f t="shared" si="127"/>
        <v/>
      </c>
      <c r="AW120" s="17" t="str">
        <f t="shared" si="128"/>
        <v/>
      </c>
      <c r="AX120" s="17" t="str">
        <f>IF(OR(T120="",P120=""),"",(1/Inputs!$B$9)*((T120/4)^(2/3))*SQRT(P120))</f>
        <v/>
      </c>
      <c r="AY120" s="17" t="str">
        <f>IF(A120="","",IF(AND(AW120="",AX120="",BA120=""),"",IF(OR(UPPER(TRIM(Inputs!$B$24))="MANNING",UPPER(TRIM(Inputs!$B$24))="M"),AX120,IF(OR(UPPER(TRIM(Inputs!$B$24))="PARTIAL",UPPER(TRIM(Inputs!$B$24))="P"),BA120,IF(OR(UPPER(TRIM(Inputs!$B$24))="MAX",UPPER(TRIM(Inputs!$B$24))="X"),MAX(IF(AW120="",0,AW120),IF(AX120="",0,AX120),IF(BA120="",0,BA120)),AW120)))))</f>
        <v/>
      </c>
      <c r="AZ120" s="17" t="str">
        <f t="shared" si="129"/>
        <v/>
      </c>
      <c r="BA120" s="17" t="str">
        <f t="shared" si="130"/>
        <v/>
      </c>
      <c r="BB120" s="14" t="str">
        <f t="shared" si="131"/>
        <v/>
      </c>
      <c r="BC120" s="14" t="str">
        <f>IF(OR(N120="",T120="",P120=""),"",IF(OR(T120="",P120="",(0.94*T120)="",T120&lt;=0,(0.94*T120)&lt;=0),"",(1/Inputs!$B$9)*((T120^2/8)*((2*ACOS(1-2*(0.94*T120)/T120))-SIN((2*ACOS(1-2*(0.94*T120)/T120)))))*((((T120^2/8)*((2*ACOS(1-2*(0.94*T120)/T120))-SIN((2*ACOS(1-2*(0.94*T120)/T120)))))/((T120/2)*((2*ACOS(1-2*(0.94*T120)/T120)))))^(2/3))*SQRT(P120)))</f>
        <v/>
      </c>
      <c r="BD120" s="14" t="str">
        <f t="shared" si="132"/>
        <v/>
      </c>
      <c r="BE120" s="14" t="str">
        <f t="shared" si="133"/>
        <v/>
      </c>
      <c r="BF120" s="14" t="str">
        <f t="shared" si="134"/>
        <v/>
      </c>
      <c r="BG120" s="14" t="str">
        <f>IF(OR(T120="",P120="",BF120="",T120&lt;=0,BF120&lt;=0),"",(1/Inputs!$B$9)*((T120^2/8)*((2*ACOS(1-2*BF120/T120))-SIN((2*ACOS(1-2*BF120/T120)))))*((((T120^2/8)*((2*ACOS(1-2*BF120/T120))-SIN((2*ACOS(1-2*BF120/T120)))))/((T120/2)*((2*ACOS(1-2*BF120/T120)))))^(2/3))*SQRT(P120))</f>
        <v/>
      </c>
      <c r="BH120" s="14" t="str">
        <f t="shared" si="135"/>
        <v/>
      </c>
      <c r="BI120" s="14" t="str">
        <f t="shared" si="136"/>
        <v/>
      </c>
      <c r="BJ120" s="14" t="str">
        <f t="shared" si="137"/>
        <v/>
      </c>
      <c r="BK120" s="14" t="str">
        <f>IF(OR(T120="",P120="",BJ120="",T120&lt;=0,BJ120&lt;=0),"",(1/Inputs!$B$9)*((T120^2/8)*((2*ACOS(1-2*BJ120/T120))-SIN((2*ACOS(1-2*BJ120/T120)))))*((((T120^2/8)*((2*ACOS(1-2*BJ120/T120))-SIN((2*ACOS(1-2*BJ120/T120)))))/((T120/2)*((2*ACOS(1-2*BJ120/T120)))))^(2/3))*SQRT(P120))</f>
        <v/>
      </c>
      <c r="BL120" s="14" t="str">
        <f t="shared" si="138"/>
        <v/>
      </c>
      <c r="BM120" s="14" t="str">
        <f t="shared" si="139"/>
        <v/>
      </c>
      <c r="BN120" s="14" t="str">
        <f t="shared" si="140"/>
        <v/>
      </c>
      <c r="BO120" s="14" t="str">
        <f>IF(OR(T120="",P120="",BN120="",T120&lt;=0,BN120&lt;=0),"",(1/Inputs!$B$9)*((T120^2/8)*((2*ACOS(1-2*BN120/T120))-SIN((2*ACOS(1-2*BN120/T120)))))*((((T120^2/8)*((2*ACOS(1-2*BN120/T120))-SIN((2*ACOS(1-2*BN120/T120)))))/((T120/2)*((2*ACOS(1-2*BN120/T120)))))^(2/3))*SQRT(P120))</f>
        <v/>
      </c>
      <c r="BP120" s="14" t="str">
        <f t="shared" si="141"/>
        <v/>
      </c>
      <c r="BQ120" s="14" t="str">
        <f t="shared" si="142"/>
        <v/>
      </c>
      <c r="BR120" s="14" t="str">
        <f t="shared" si="143"/>
        <v/>
      </c>
      <c r="BS120" s="14" t="str">
        <f>IF(OR(T120="",P120="",BR120="",T120&lt;=0,BR120&lt;=0),"",(1/Inputs!$B$9)*((T120^2/8)*((2*ACOS(1-2*BR120/T120))-SIN((2*ACOS(1-2*BR120/T120)))))*((((T120^2/8)*((2*ACOS(1-2*BR120/T120))-SIN((2*ACOS(1-2*BR120/T120)))))/((T120/2)*((2*ACOS(1-2*BR120/T120)))))^(2/3))*SQRT(P120))</f>
        <v/>
      </c>
      <c r="BT120" s="14" t="str">
        <f t="shared" si="144"/>
        <v/>
      </c>
      <c r="BU120" s="14" t="str">
        <f t="shared" si="145"/>
        <v/>
      </c>
      <c r="BV120" s="14" t="str">
        <f t="shared" si="146"/>
        <v/>
      </c>
      <c r="BW120" s="14" t="str">
        <f>IF(OR(T120="",P120="",BV120="",T120&lt;=0,BV120&lt;=0),"",(1/Inputs!$B$9)*((T120^2/8)*((2*ACOS(1-2*BV120/T120))-SIN((2*ACOS(1-2*BV120/T120)))))*((((T120^2/8)*((2*ACOS(1-2*BV120/T120))-SIN((2*ACOS(1-2*BV120/T120)))))/((T120/2)*((2*ACOS(1-2*BV120/T120)))))^(2/3))*SQRT(P120))</f>
        <v/>
      </c>
      <c r="BX120" s="14" t="str">
        <f t="shared" si="147"/>
        <v/>
      </c>
      <c r="BY120" s="14" t="str">
        <f t="shared" si="148"/>
        <v/>
      </c>
      <c r="BZ120" s="14" t="str">
        <f t="shared" si="149"/>
        <v/>
      </c>
      <c r="CA120" s="14" t="str">
        <f>IF(OR(T120="",P120="",BZ120="",T120&lt;=0,BZ120&lt;=0),"",(1/Inputs!$B$9)*((T120^2/8)*((2*ACOS(1-2*BZ120/T120))-SIN((2*ACOS(1-2*BZ120/T120)))))*((((T120^2/8)*((2*ACOS(1-2*BZ120/T120))-SIN((2*ACOS(1-2*BZ120/T120)))))/((T120/2)*((2*ACOS(1-2*BZ120/T120)))))^(2/3))*SQRT(P120))</f>
        <v/>
      </c>
      <c r="CB120" s="14" t="str">
        <f t="shared" si="150"/>
        <v/>
      </c>
      <c r="CC120" s="14" t="str">
        <f t="shared" si="151"/>
        <v/>
      </c>
      <c r="CD120" s="14" t="str">
        <f t="shared" si="152"/>
        <v/>
      </c>
      <c r="CE120" s="14" t="str">
        <f>IF(OR(T120="",P120="",CD120="",T120&lt;=0,CD120&lt;=0),"",(1/Inputs!$B$9)*((T120^2/8)*((2*ACOS(1-2*CD120/T120))-SIN((2*ACOS(1-2*CD120/T120)))))*((((T120^2/8)*((2*ACOS(1-2*CD120/T120))-SIN((2*ACOS(1-2*CD120/T120)))))/((T120/2)*((2*ACOS(1-2*CD120/T120)))))^(2/3))*SQRT(P120))</f>
        <v/>
      </c>
      <c r="CF120" s="14" t="str">
        <f t="shared" si="153"/>
        <v/>
      </c>
      <c r="CG120" s="14" t="str">
        <f t="shared" si="154"/>
        <v/>
      </c>
      <c r="CH120" s="14" t="str">
        <f t="shared" si="155"/>
        <v/>
      </c>
    </row>
    <row r="121" spans="1:86" x14ac:dyDescent="0.25">
      <c r="A121" s="14"/>
      <c r="B121" s="14"/>
      <c r="C121" s="14"/>
      <c r="D121" s="14"/>
      <c r="E121" s="44"/>
      <c r="F121" s="44"/>
      <c r="G121" s="44">
        <f>SUMIFS(CB_plan!$G:$G,CB_plan!$F:$F,$A121)</f>
        <v>0</v>
      </c>
      <c r="H121" s="44">
        <f t="shared" si="117"/>
        <v>0</v>
      </c>
      <c r="I121" s="14"/>
      <c r="J121" s="44"/>
      <c r="K121" s="44" t="str">
        <f>IF(A121="","",Inputs!$B$13/((IF(AV121="",Inputs!$B$18,AV121)+Inputs!$B$14)^Inputs!$B$15))</f>
        <v/>
      </c>
      <c r="L121" s="44" t="str">
        <f>IF(A121="","",IF(H121="","",0.000000278*IF(I121&lt;&gt;"",I121,IFERROR(SUMIFS(CB_plan!$H:$H,CB_plan!$F:$F,$A121)/SUMIFS(CB_plan!$G:$G,CB_plan!$F:$F,$A121),Inputs!$B$17))*H121*K121))</f>
        <v/>
      </c>
      <c r="M121" s="44" t="str">
        <f t="shared" si="118"/>
        <v/>
      </c>
      <c r="N121" s="44" t="str">
        <f>IF(A121="","",(L121+M121)*Inputs!$B$16)</f>
        <v/>
      </c>
      <c r="O121" s="44"/>
      <c r="P121" s="44" t="str">
        <f>IF(A121="","",IF(O121="",Inputs!$B$7,O121))</f>
        <v/>
      </c>
      <c r="Q121" s="14" t="str">
        <f>IF(A121="","",IF(N121/Inputs!$B$10&lt;=AG121,Inputs!$F$5,IF(N121/Inputs!$B$10&gt;AP121,"OVERSIZE",INDEX(Inputs!$F$5:$F$14,MATCH(N121/Inputs!$B$10,AG121:AP121,1)+1))))</f>
        <v/>
      </c>
      <c r="R121" s="14"/>
      <c r="S121" s="14" t="str">
        <f t="shared" si="119"/>
        <v/>
      </c>
      <c r="T121" s="44" t="str">
        <f t="shared" si="120"/>
        <v/>
      </c>
      <c r="U121" s="44" t="str">
        <f>IF(T121="","",(1/Inputs!$B$9)*(PI()*T121^2/4)*((T121/4)^(2/3))*SQRT(P121))</f>
        <v/>
      </c>
      <c r="V121" s="44" t="str">
        <f>IF(OR(U121="",N121=""),"",N121/(U121*Inputs!$B$10))</f>
        <v/>
      </c>
      <c r="W121" s="44" t="str">
        <f t="shared" si="121"/>
        <v/>
      </c>
      <c r="X121" s="44"/>
      <c r="Y121" s="44" t="str">
        <f>IF(A121="","",IF(A121=Inputs!$B$6,Inputs!$B$22,IF(D121="","",IFERROR(INDEX($Z$4:$Z$201,MATCH(D121,$A$4:$A$201,0))+IF(X121="",Inputs!$B$20,X121),""))))</f>
        <v/>
      </c>
      <c r="Z121" s="44" t="str">
        <f t="shared" si="122"/>
        <v/>
      </c>
      <c r="AA121" s="44" t="str">
        <f>IF(C121="","",IFERROR(INDEX(Noeuds_plan!$C$4:$C$200,MATCH(C121,Noeuds_plan!$A$4:$A$200,0)),""))</f>
        <v/>
      </c>
      <c r="AB121" s="44" t="str">
        <f>IF(B121="","",IFERROR(INDEX(Noeuds_plan!$C$4:$C$200,MATCH(B121,Noeuds_plan!$A$4:$A$200,0)),""))</f>
        <v/>
      </c>
      <c r="AC121" s="44" t="str">
        <f t="shared" si="123"/>
        <v/>
      </c>
      <c r="AD121" s="44" t="str">
        <f t="shared" si="124"/>
        <v/>
      </c>
      <c r="AE121" s="14" t="str">
        <f>IF(A121="","",IF(OR(V121&gt;1,AND(AY121&lt;&gt;"",AY121&lt;Inputs!$B$11),AND(AY121&lt;&gt;"",AY121&gt;Inputs!$B$12),AC121&lt;Inputs!$B$19,AD121&lt;Inputs!$B$19,P121&lt;Inputs!$B$7,P121&gt;Inputs!$B$8),"CHECK","OK"))</f>
        <v/>
      </c>
      <c r="AF121" s="14"/>
      <c r="AG121" s="14" t="str">
        <f>IF(A121="","",(1/Inputs!$B$9)*(PI()*(Inputs!$F$5/1000)^2/4)*((Inputs!$F$5/1000/4)^(2/3))*SQRT(P121))</f>
        <v/>
      </c>
      <c r="AH121" s="14" t="str">
        <f>IF(A121="","",(1/Inputs!$B$9)*(PI()*(Inputs!$F$6/1000)^2/4)*((Inputs!$F$6/1000/4)^(2/3))*SQRT(P121))</f>
        <v/>
      </c>
      <c r="AI121" s="14" t="str">
        <f>IF(A121="","",(1/Inputs!$B$9)*(PI()*(Inputs!$F$7/1000)^2/4)*((Inputs!$F$7/1000/4)^(2/3))*SQRT(P121))</f>
        <v/>
      </c>
      <c r="AJ121" s="14" t="str">
        <f>IF(A121="","",(1/Inputs!$B$9)*(PI()*(Inputs!$F$8/1000)^2/4)*((Inputs!$F$8/1000/4)^(2/3))*SQRT(P121))</f>
        <v/>
      </c>
      <c r="AK121" s="14" t="str">
        <f>IF(A121="","",(1/Inputs!$B$9)*(PI()*(Inputs!$F$9/1000)^2/4)*((Inputs!$F$9/1000/4)^(2/3))*SQRT(P121))</f>
        <v/>
      </c>
      <c r="AL121" s="14" t="str">
        <f>IF(A121="","",(1/Inputs!$B$9)*(PI()*(Inputs!$F$10/1000)^2/4)*((Inputs!$F$10/1000/4)^(2/3))*SQRT(P121))</f>
        <v/>
      </c>
      <c r="AM121" s="14" t="str">
        <f>IF(A121="","",(1/Inputs!$B$9)*(PI()*(Inputs!$F$11/1000)^2/4)*((Inputs!$F$11/1000/4)^(2/3))*SQRT(P121))</f>
        <v/>
      </c>
      <c r="AN121" s="14" t="str">
        <f>IF(A121="","",(1/Inputs!$B$9)*(PI()*(Inputs!$F$12/1000)^2/4)*((Inputs!$F$12/1000/4)^(2/3))*SQRT(P121))</f>
        <v/>
      </c>
      <c r="AO121" s="14" t="str">
        <f>IF(A121="","",(1/Inputs!$B$9)*(PI()*(Inputs!$F$13/1000)^2/4)*((Inputs!$F$13/1000/4)^(2/3))*SQRT(P121))</f>
        <v/>
      </c>
      <c r="AP121" s="14" t="str">
        <f>IF(A121="","",(1/Inputs!$B$9)*(PI()*(Inputs!$F$14/1000)^2/4)*((Inputs!$F$14/1000/4)^(2/3))*SQRT(P121))</f>
        <v/>
      </c>
      <c r="AQ121" s="14" t="str">
        <f t="shared" si="125"/>
        <v/>
      </c>
      <c r="AR121" s="14" t="str">
        <f t="shared" si="126"/>
        <v/>
      </c>
      <c r="AS121" s="17" t="str">
        <f>IF(A121="","",IF(J121="",Inputs!$B$18,J121))</f>
        <v/>
      </c>
      <c r="AT121" s="17" t="str">
        <f>IF(A121="","",IFERROR(_xludf.maxifs($AV$4:$AV$201,$D$4:$D$201,$A121),""))</f>
        <v/>
      </c>
      <c r="AU121" s="17" t="str">
        <f>IF(A121="","",IF(OR(E121="",Inputs!$B$23=""),"",E121/(Inputs!$B$23*60)))</f>
        <v/>
      </c>
      <c r="AV121" s="17" t="str">
        <f t="shared" si="127"/>
        <v/>
      </c>
      <c r="AW121" s="17" t="str">
        <f t="shared" si="128"/>
        <v/>
      </c>
      <c r="AX121" s="17" t="str">
        <f>IF(OR(T121="",P121=""),"",(1/Inputs!$B$9)*((T121/4)^(2/3))*SQRT(P121))</f>
        <v/>
      </c>
      <c r="AY121" s="17" t="str">
        <f>IF(A121="","",IF(AND(AW121="",AX121="",BA121=""),"",IF(OR(UPPER(TRIM(Inputs!$B$24))="MANNING",UPPER(TRIM(Inputs!$B$24))="M"),AX121,IF(OR(UPPER(TRIM(Inputs!$B$24))="PARTIAL",UPPER(TRIM(Inputs!$B$24))="P"),BA121,IF(OR(UPPER(TRIM(Inputs!$B$24))="MAX",UPPER(TRIM(Inputs!$B$24))="X"),MAX(IF(AW121="",0,AW121),IF(AX121="",0,AX121),IF(BA121="",0,BA121)),AW121)))))</f>
        <v/>
      </c>
      <c r="AZ121" s="17" t="str">
        <f t="shared" si="129"/>
        <v/>
      </c>
      <c r="BA121" s="17" t="str">
        <f t="shared" si="130"/>
        <v/>
      </c>
      <c r="BB121" s="14" t="str">
        <f t="shared" si="131"/>
        <v/>
      </c>
      <c r="BC121" s="14" t="str">
        <f>IF(OR(N121="",T121="",P121=""),"",IF(OR(T121="",P121="",(0.94*T121)="",T121&lt;=0,(0.94*T121)&lt;=0),"",(1/Inputs!$B$9)*((T121^2/8)*((2*ACOS(1-2*(0.94*T121)/T121))-SIN((2*ACOS(1-2*(0.94*T121)/T121)))))*((((T121^2/8)*((2*ACOS(1-2*(0.94*T121)/T121))-SIN((2*ACOS(1-2*(0.94*T121)/T121)))))/((T121/2)*((2*ACOS(1-2*(0.94*T121)/T121)))))^(2/3))*SQRT(P121)))</f>
        <v/>
      </c>
      <c r="BD121" s="14" t="str">
        <f t="shared" si="132"/>
        <v/>
      </c>
      <c r="BE121" s="14" t="str">
        <f t="shared" si="133"/>
        <v/>
      </c>
      <c r="BF121" s="14" t="str">
        <f t="shared" si="134"/>
        <v/>
      </c>
      <c r="BG121" s="14" t="str">
        <f>IF(OR(T121="",P121="",BF121="",T121&lt;=0,BF121&lt;=0),"",(1/Inputs!$B$9)*((T121^2/8)*((2*ACOS(1-2*BF121/T121))-SIN((2*ACOS(1-2*BF121/T121)))))*((((T121^2/8)*((2*ACOS(1-2*BF121/T121))-SIN((2*ACOS(1-2*BF121/T121)))))/((T121/2)*((2*ACOS(1-2*BF121/T121)))))^(2/3))*SQRT(P121))</f>
        <v/>
      </c>
      <c r="BH121" s="14" t="str">
        <f t="shared" si="135"/>
        <v/>
      </c>
      <c r="BI121" s="14" t="str">
        <f t="shared" si="136"/>
        <v/>
      </c>
      <c r="BJ121" s="14" t="str">
        <f t="shared" si="137"/>
        <v/>
      </c>
      <c r="BK121" s="14" t="str">
        <f>IF(OR(T121="",P121="",BJ121="",T121&lt;=0,BJ121&lt;=0),"",(1/Inputs!$B$9)*((T121^2/8)*((2*ACOS(1-2*BJ121/T121))-SIN((2*ACOS(1-2*BJ121/T121)))))*((((T121^2/8)*((2*ACOS(1-2*BJ121/T121))-SIN((2*ACOS(1-2*BJ121/T121)))))/((T121/2)*((2*ACOS(1-2*BJ121/T121)))))^(2/3))*SQRT(P121))</f>
        <v/>
      </c>
      <c r="BL121" s="14" t="str">
        <f t="shared" si="138"/>
        <v/>
      </c>
      <c r="BM121" s="14" t="str">
        <f t="shared" si="139"/>
        <v/>
      </c>
      <c r="BN121" s="14" t="str">
        <f t="shared" si="140"/>
        <v/>
      </c>
      <c r="BO121" s="14" t="str">
        <f>IF(OR(T121="",P121="",BN121="",T121&lt;=0,BN121&lt;=0),"",(1/Inputs!$B$9)*((T121^2/8)*((2*ACOS(1-2*BN121/T121))-SIN((2*ACOS(1-2*BN121/T121)))))*((((T121^2/8)*((2*ACOS(1-2*BN121/T121))-SIN((2*ACOS(1-2*BN121/T121)))))/((T121/2)*((2*ACOS(1-2*BN121/T121)))))^(2/3))*SQRT(P121))</f>
        <v/>
      </c>
      <c r="BP121" s="14" t="str">
        <f t="shared" si="141"/>
        <v/>
      </c>
      <c r="BQ121" s="14" t="str">
        <f t="shared" si="142"/>
        <v/>
      </c>
      <c r="BR121" s="14" t="str">
        <f t="shared" si="143"/>
        <v/>
      </c>
      <c r="BS121" s="14" t="str">
        <f>IF(OR(T121="",P121="",BR121="",T121&lt;=0,BR121&lt;=0),"",(1/Inputs!$B$9)*((T121^2/8)*((2*ACOS(1-2*BR121/T121))-SIN((2*ACOS(1-2*BR121/T121)))))*((((T121^2/8)*((2*ACOS(1-2*BR121/T121))-SIN((2*ACOS(1-2*BR121/T121)))))/((T121/2)*((2*ACOS(1-2*BR121/T121)))))^(2/3))*SQRT(P121))</f>
        <v/>
      </c>
      <c r="BT121" s="14" t="str">
        <f t="shared" si="144"/>
        <v/>
      </c>
      <c r="BU121" s="14" t="str">
        <f t="shared" si="145"/>
        <v/>
      </c>
      <c r="BV121" s="14" t="str">
        <f t="shared" si="146"/>
        <v/>
      </c>
      <c r="BW121" s="14" t="str">
        <f>IF(OR(T121="",P121="",BV121="",T121&lt;=0,BV121&lt;=0),"",(1/Inputs!$B$9)*((T121^2/8)*((2*ACOS(1-2*BV121/T121))-SIN((2*ACOS(1-2*BV121/T121)))))*((((T121^2/8)*((2*ACOS(1-2*BV121/T121))-SIN((2*ACOS(1-2*BV121/T121)))))/((T121/2)*((2*ACOS(1-2*BV121/T121)))))^(2/3))*SQRT(P121))</f>
        <v/>
      </c>
      <c r="BX121" s="14" t="str">
        <f t="shared" si="147"/>
        <v/>
      </c>
      <c r="BY121" s="14" t="str">
        <f t="shared" si="148"/>
        <v/>
      </c>
      <c r="BZ121" s="14" t="str">
        <f t="shared" si="149"/>
        <v/>
      </c>
      <c r="CA121" s="14" t="str">
        <f>IF(OR(T121="",P121="",BZ121="",T121&lt;=0,BZ121&lt;=0),"",(1/Inputs!$B$9)*((T121^2/8)*((2*ACOS(1-2*BZ121/T121))-SIN((2*ACOS(1-2*BZ121/T121)))))*((((T121^2/8)*((2*ACOS(1-2*BZ121/T121))-SIN((2*ACOS(1-2*BZ121/T121)))))/((T121/2)*((2*ACOS(1-2*BZ121/T121)))))^(2/3))*SQRT(P121))</f>
        <v/>
      </c>
      <c r="CB121" s="14" t="str">
        <f t="shared" si="150"/>
        <v/>
      </c>
      <c r="CC121" s="14" t="str">
        <f t="shared" si="151"/>
        <v/>
      </c>
      <c r="CD121" s="14" t="str">
        <f t="shared" si="152"/>
        <v/>
      </c>
      <c r="CE121" s="14" t="str">
        <f>IF(OR(T121="",P121="",CD121="",T121&lt;=0,CD121&lt;=0),"",(1/Inputs!$B$9)*((T121^2/8)*((2*ACOS(1-2*CD121/T121))-SIN((2*ACOS(1-2*CD121/T121)))))*((((T121^2/8)*((2*ACOS(1-2*CD121/T121))-SIN((2*ACOS(1-2*CD121/T121)))))/((T121/2)*((2*ACOS(1-2*CD121/T121)))))^(2/3))*SQRT(P121))</f>
        <v/>
      </c>
      <c r="CF121" s="14" t="str">
        <f t="shared" si="153"/>
        <v/>
      </c>
      <c r="CG121" s="14" t="str">
        <f t="shared" si="154"/>
        <v/>
      </c>
      <c r="CH121" s="14" t="str">
        <f t="shared" si="155"/>
        <v/>
      </c>
    </row>
    <row r="122" spans="1:86" x14ac:dyDescent="0.25">
      <c r="A122" s="14"/>
      <c r="B122" s="14"/>
      <c r="C122" s="14"/>
      <c r="D122" s="14"/>
      <c r="E122" s="44"/>
      <c r="F122" s="44"/>
      <c r="G122" s="44">
        <f>SUMIFS(CB_plan!$G:$G,CB_plan!$F:$F,$A122)</f>
        <v>0</v>
      </c>
      <c r="H122" s="44">
        <f t="shared" si="117"/>
        <v>0</v>
      </c>
      <c r="I122" s="14"/>
      <c r="J122" s="44"/>
      <c r="K122" s="44" t="str">
        <f>IF(A122="","",Inputs!$B$13/((IF(AV122="",Inputs!$B$18,AV122)+Inputs!$B$14)^Inputs!$B$15))</f>
        <v/>
      </c>
      <c r="L122" s="44" t="str">
        <f>IF(A122="","",IF(H122="","",0.000000278*IF(I122&lt;&gt;"",I122,IFERROR(SUMIFS(CB_plan!$H:$H,CB_plan!$F:$F,$A122)/SUMIFS(CB_plan!$G:$G,CB_plan!$F:$F,$A122),Inputs!$B$17))*H122*K122))</f>
        <v/>
      </c>
      <c r="M122" s="44" t="str">
        <f t="shared" si="118"/>
        <v/>
      </c>
      <c r="N122" s="44" t="str">
        <f>IF(A122="","",(L122+M122)*Inputs!$B$16)</f>
        <v/>
      </c>
      <c r="O122" s="44"/>
      <c r="P122" s="44" t="str">
        <f>IF(A122="","",IF(O122="",Inputs!$B$7,O122))</f>
        <v/>
      </c>
      <c r="Q122" s="14" t="str">
        <f>IF(A122="","",IF(N122/Inputs!$B$10&lt;=AG122,Inputs!$F$5,IF(N122/Inputs!$B$10&gt;AP122,"OVERSIZE",INDEX(Inputs!$F$5:$F$14,MATCH(N122/Inputs!$B$10,AG122:AP122,1)+1))))</f>
        <v/>
      </c>
      <c r="R122" s="14"/>
      <c r="S122" s="14" t="str">
        <f t="shared" si="119"/>
        <v/>
      </c>
      <c r="T122" s="44" t="str">
        <f t="shared" si="120"/>
        <v/>
      </c>
      <c r="U122" s="44" t="str">
        <f>IF(T122="","",(1/Inputs!$B$9)*(PI()*T122^2/4)*((T122/4)^(2/3))*SQRT(P122))</f>
        <v/>
      </c>
      <c r="V122" s="44" t="str">
        <f>IF(OR(U122="",N122=""),"",N122/(U122*Inputs!$B$10))</f>
        <v/>
      </c>
      <c r="W122" s="44" t="str">
        <f t="shared" si="121"/>
        <v/>
      </c>
      <c r="X122" s="44"/>
      <c r="Y122" s="44" t="str">
        <f>IF(A122="","",IF(A122=Inputs!$B$6,Inputs!$B$22,IF(D122="","",IFERROR(INDEX($Z$4:$Z$201,MATCH(D122,$A$4:$A$201,0))+IF(X122="",Inputs!$B$20,X122),""))))</f>
        <v/>
      </c>
      <c r="Z122" s="44" t="str">
        <f t="shared" si="122"/>
        <v/>
      </c>
      <c r="AA122" s="44" t="str">
        <f>IF(C122="","",IFERROR(INDEX(Noeuds_plan!$C$4:$C$200,MATCH(C122,Noeuds_plan!$A$4:$A$200,0)),""))</f>
        <v/>
      </c>
      <c r="AB122" s="44" t="str">
        <f>IF(B122="","",IFERROR(INDEX(Noeuds_plan!$C$4:$C$200,MATCH(B122,Noeuds_plan!$A$4:$A$200,0)),""))</f>
        <v/>
      </c>
      <c r="AC122" s="44" t="str">
        <f t="shared" si="123"/>
        <v/>
      </c>
      <c r="AD122" s="44" t="str">
        <f t="shared" si="124"/>
        <v/>
      </c>
      <c r="AE122" s="14" t="str">
        <f>IF(A122="","",IF(OR(V122&gt;1,AND(AY122&lt;&gt;"",AY122&lt;Inputs!$B$11),AND(AY122&lt;&gt;"",AY122&gt;Inputs!$B$12),AC122&lt;Inputs!$B$19,AD122&lt;Inputs!$B$19,P122&lt;Inputs!$B$7,P122&gt;Inputs!$B$8),"CHECK","OK"))</f>
        <v/>
      </c>
      <c r="AF122" s="14"/>
      <c r="AG122" s="14" t="str">
        <f>IF(A122="","",(1/Inputs!$B$9)*(PI()*(Inputs!$F$5/1000)^2/4)*((Inputs!$F$5/1000/4)^(2/3))*SQRT(P122))</f>
        <v/>
      </c>
      <c r="AH122" s="14" t="str">
        <f>IF(A122="","",(1/Inputs!$B$9)*(PI()*(Inputs!$F$6/1000)^2/4)*((Inputs!$F$6/1000/4)^(2/3))*SQRT(P122))</f>
        <v/>
      </c>
      <c r="AI122" s="14" t="str">
        <f>IF(A122="","",(1/Inputs!$B$9)*(PI()*(Inputs!$F$7/1000)^2/4)*((Inputs!$F$7/1000/4)^(2/3))*SQRT(P122))</f>
        <v/>
      </c>
      <c r="AJ122" s="14" t="str">
        <f>IF(A122="","",(1/Inputs!$B$9)*(PI()*(Inputs!$F$8/1000)^2/4)*((Inputs!$F$8/1000/4)^(2/3))*SQRT(P122))</f>
        <v/>
      </c>
      <c r="AK122" s="14" t="str">
        <f>IF(A122="","",(1/Inputs!$B$9)*(PI()*(Inputs!$F$9/1000)^2/4)*((Inputs!$F$9/1000/4)^(2/3))*SQRT(P122))</f>
        <v/>
      </c>
      <c r="AL122" s="14" t="str">
        <f>IF(A122="","",(1/Inputs!$B$9)*(PI()*(Inputs!$F$10/1000)^2/4)*((Inputs!$F$10/1000/4)^(2/3))*SQRT(P122))</f>
        <v/>
      </c>
      <c r="AM122" s="14" t="str">
        <f>IF(A122="","",(1/Inputs!$B$9)*(PI()*(Inputs!$F$11/1000)^2/4)*((Inputs!$F$11/1000/4)^(2/3))*SQRT(P122))</f>
        <v/>
      </c>
      <c r="AN122" s="14" t="str">
        <f>IF(A122="","",(1/Inputs!$B$9)*(PI()*(Inputs!$F$12/1000)^2/4)*((Inputs!$F$12/1000/4)^(2/3))*SQRT(P122))</f>
        <v/>
      </c>
      <c r="AO122" s="14" t="str">
        <f>IF(A122="","",(1/Inputs!$B$9)*(PI()*(Inputs!$F$13/1000)^2/4)*((Inputs!$F$13/1000/4)^(2/3))*SQRT(P122))</f>
        <v/>
      </c>
      <c r="AP122" s="14" t="str">
        <f>IF(A122="","",(1/Inputs!$B$9)*(PI()*(Inputs!$F$14/1000)^2/4)*((Inputs!$F$14/1000/4)^(2/3))*SQRT(P122))</f>
        <v/>
      </c>
      <c r="AQ122" s="14" t="str">
        <f t="shared" si="125"/>
        <v/>
      </c>
      <c r="AR122" s="14" t="str">
        <f t="shared" si="126"/>
        <v/>
      </c>
      <c r="AS122" s="17" t="str">
        <f>IF(A122="","",IF(J122="",Inputs!$B$18,J122))</f>
        <v/>
      </c>
      <c r="AT122" s="17" t="str">
        <f>IF(A122="","",IFERROR(_xludf.maxifs($AV$4:$AV$201,$D$4:$D$201,$A122),""))</f>
        <v/>
      </c>
      <c r="AU122" s="17" t="str">
        <f>IF(A122="","",IF(OR(E122="",Inputs!$B$23=""),"",E122/(Inputs!$B$23*60)))</f>
        <v/>
      </c>
      <c r="AV122" s="17" t="str">
        <f t="shared" si="127"/>
        <v/>
      </c>
      <c r="AW122" s="17" t="str">
        <f t="shared" si="128"/>
        <v/>
      </c>
      <c r="AX122" s="17" t="str">
        <f>IF(OR(T122="",P122=""),"",(1/Inputs!$B$9)*((T122/4)^(2/3))*SQRT(P122))</f>
        <v/>
      </c>
      <c r="AY122" s="17" t="str">
        <f>IF(A122="","",IF(AND(AW122="",AX122="",BA122=""),"",IF(OR(UPPER(TRIM(Inputs!$B$24))="MANNING",UPPER(TRIM(Inputs!$B$24))="M"),AX122,IF(OR(UPPER(TRIM(Inputs!$B$24))="PARTIAL",UPPER(TRIM(Inputs!$B$24))="P"),BA122,IF(OR(UPPER(TRIM(Inputs!$B$24))="MAX",UPPER(TRIM(Inputs!$B$24))="X"),MAX(IF(AW122="",0,AW122),IF(AX122="",0,AX122),IF(BA122="",0,BA122)),AW122)))))</f>
        <v/>
      </c>
      <c r="AZ122" s="17" t="str">
        <f t="shared" si="129"/>
        <v/>
      </c>
      <c r="BA122" s="17" t="str">
        <f t="shared" si="130"/>
        <v/>
      </c>
      <c r="BB122" s="14" t="str">
        <f t="shared" si="131"/>
        <v/>
      </c>
      <c r="BC122" s="14" t="str">
        <f>IF(OR(N122="",T122="",P122=""),"",IF(OR(T122="",P122="",(0.94*T122)="",T122&lt;=0,(0.94*T122)&lt;=0),"",(1/Inputs!$B$9)*((T122^2/8)*((2*ACOS(1-2*(0.94*T122)/T122))-SIN((2*ACOS(1-2*(0.94*T122)/T122)))))*((((T122^2/8)*((2*ACOS(1-2*(0.94*T122)/T122))-SIN((2*ACOS(1-2*(0.94*T122)/T122)))))/((T122/2)*((2*ACOS(1-2*(0.94*T122)/T122)))))^(2/3))*SQRT(P122)))</f>
        <v/>
      </c>
      <c r="BD122" s="14" t="str">
        <f t="shared" si="132"/>
        <v/>
      </c>
      <c r="BE122" s="14" t="str">
        <f t="shared" si="133"/>
        <v/>
      </c>
      <c r="BF122" s="14" t="str">
        <f t="shared" si="134"/>
        <v/>
      </c>
      <c r="BG122" s="14" t="str">
        <f>IF(OR(T122="",P122="",BF122="",T122&lt;=0,BF122&lt;=0),"",(1/Inputs!$B$9)*((T122^2/8)*((2*ACOS(1-2*BF122/T122))-SIN((2*ACOS(1-2*BF122/T122)))))*((((T122^2/8)*((2*ACOS(1-2*BF122/T122))-SIN((2*ACOS(1-2*BF122/T122)))))/((T122/2)*((2*ACOS(1-2*BF122/T122)))))^(2/3))*SQRT(P122))</f>
        <v/>
      </c>
      <c r="BH122" s="14" t="str">
        <f t="shared" si="135"/>
        <v/>
      </c>
      <c r="BI122" s="14" t="str">
        <f t="shared" si="136"/>
        <v/>
      </c>
      <c r="BJ122" s="14" t="str">
        <f t="shared" si="137"/>
        <v/>
      </c>
      <c r="BK122" s="14" t="str">
        <f>IF(OR(T122="",P122="",BJ122="",T122&lt;=0,BJ122&lt;=0),"",(1/Inputs!$B$9)*((T122^2/8)*((2*ACOS(1-2*BJ122/T122))-SIN((2*ACOS(1-2*BJ122/T122)))))*((((T122^2/8)*((2*ACOS(1-2*BJ122/T122))-SIN((2*ACOS(1-2*BJ122/T122)))))/((T122/2)*((2*ACOS(1-2*BJ122/T122)))))^(2/3))*SQRT(P122))</f>
        <v/>
      </c>
      <c r="BL122" s="14" t="str">
        <f t="shared" si="138"/>
        <v/>
      </c>
      <c r="BM122" s="14" t="str">
        <f t="shared" si="139"/>
        <v/>
      </c>
      <c r="BN122" s="14" t="str">
        <f t="shared" si="140"/>
        <v/>
      </c>
      <c r="BO122" s="14" t="str">
        <f>IF(OR(T122="",P122="",BN122="",T122&lt;=0,BN122&lt;=0),"",(1/Inputs!$B$9)*((T122^2/8)*((2*ACOS(1-2*BN122/T122))-SIN((2*ACOS(1-2*BN122/T122)))))*((((T122^2/8)*((2*ACOS(1-2*BN122/T122))-SIN((2*ACOS(1-2*BN122/T122)))))/((T122/2)*((2*ACOS(1-2*BN122/T122)))))^(2/3))*SQRT(P122))</f>
        <v/>
      </c>
      <c r="BP122" s="14" t="str">
        <f t="shared" si="141"/>
        <v/>
      </c>
      <c r="BQ122" s="14" t="str">
        <f t="shared" si="142"/>
        <v/>
      </c>
      <c r="BR122" s="14" t="str">
        <f t="shared" si="143"/>
        <v/>
      </c>
      <c r="BS122" s="14" t="str">
        <f>IF(OR(T122="",P122="",BR122="",T122&lt;=0,BR122&lt;=0),"",(1/Inputs!$B$9)*((T122^2/8)*((2*ACOS(1-2*BR122/T122))-SIN((2*ACOS(1-2*BR122/T122)))))*((((T122^2/8)*((2*ACOS(1-2*BR122/T122))-SIN((2*ACOS(1-2*BR122/T122)))))/((T122/2)*((2*ACOS(1-2*BR122/T122)))))^(2/3))*SQRT(P122))</f>
        <v/>
      </c>
      <c r="BT122" s="14" t="str">
        <f t="shared" si="144"/>
        <v/>
      </c>
      <c r="BU122" s="14" t="str">
        <f t="shared" si="145"/>
        <v/>
      </c>
      <c r="BV122" s="14" t="str">
        <f t="shared" si="146"/>
        <v/>
      </c>
      <c r="BW122" s="14" t="str">
        <f>IF(OR(T122="",P122="",BV122="",T122&lt;=0,BV122&lt;=0),"",(1/Inputs!$B$9)*((T122^2/8)*((2*ACOS(1-2*BV122/T122))-SIN((2*ACOS(1-2*BV122/T122)))))*((((T122^2/8)*((2*ACOS(1-2*BV122/T122))-SIN((2*ACOS(1-2*BV122/T122)))))/((T122/2)*((2*ACOS(1-2*BV122/T122)))))^(2/3))*SQRT(P122))</f>
        <v/>
      </c>
      <c r="BX122" s="14" t="str">
        <f t="shared" si="147"/>
        <v/>
      </c>
      <c r="BY122" s="14" t="str">
        <f t="shared" si="148"/>
        <v/>
      </c>
      <c r="BZ122" s="14" t="str">
        <f t="shared" si="149"/>
        <v/>
      </c>
      <c r="CA122" s="14" t="str">
        <f>IF(OR(T122="",P122="",BZ122="",T122&lt;=0,BZ122&lt;=0),"",(1/Inputs!$B$9)*((T122^2/8)*((2*ACOS(1-2*BZ122/T122))-SIN((2*ACOS(1-2*BZ122/T122)))))*((((T122^2/8)*((2*ACOS(1-2*BZ122/T122))-SIN((2*ACOS(1-2*BZ122/T122)))))/((T122/2)*((2*ACOS(1-2*BZ122/T122)))))^(2/3))*SQRT(P122))</f>
        <v/>
      </c>
      <c r="CB122" s="14" t="str">
        <f t="shared" si="150"/>
        <v/>
      </c>
      <c r="CC122" s="14" t="str">
        <f t="shared" si="151"/>
        <v/>
      </c>
      <c r="CD122" s="14" t="str">
        <f t="shared" si="152"/>
        <v/>
      </c>
      <c r="CE122" s="14" t="str">
        <f>IF(OR(T122="",P122="",CD122="",T122&lt;=0,CD122&lt;=0),"",(1/Inputs!$B$9)*((T122^2/8)*((2*ACOS(1-2*CD122/T122))-SIN((2*ACOS(1-2*CD122/T122)))))*((((T122^2/8)*((2*ACOS(1-2*CD122/T122))-SIN((2*ACOS(1-2*CD122/T122)))))/((T122/2)*((2*ACOS(1-2*CD122/T122)))))^(2/3))*SQRT(P122))</f>
        <v/>
      </c>
      <c r="CF122" s="14" t="str">
        <f t="shared" si="153"/>
        <v/>
      </c>
      <c r="CG122" s="14" t="str">
        <f t="shared" si="154"/>
        <v/>
      </c>
      <c r="CH122" s="14" t="str">
        <f t="shared" si="155"/>
        <v/>
      </c>
    </row>
    <row r="123" spans="1:86" x14ac:dyDescent="0.25">
      <c r="A123" s="14"/>
      <c r="B123" s="14"/>
      <c r="C123" s="14"/>
      <c r="D123" s="14"/>
      <c r="E123" s="44"/>
      <c r="F123" s="44"/>
      <c r="G123" s="44">
        <f>SUMIFS(CB_plan!$G:$G,CB_plan!$F:$F,$A123)</f>
        <v>0</v>
      </c>
      <c r="H123" s="44">
        <f t="shared" si="117"/>
        <v>0</v>
      </c>
      <c r="I123" s="14"/>
      <c r="J123" s="44"/>
      <c r="K123" s="44" t="str">
        <f>IF(A123="","",Inputs!$B$13/((IF(AV123="",Inputs!$B$18,AV123)+Inputs!$B$14)^Inputs!$B$15))</f>
        <v/>
      </c>
      <c r="L123" s="44" t="str">
        <f>IF(A123="","",IF(H123="","",0.000000278*IF(I123&lt;&gt;"",I123,IFERROR(SUMIFS(CB_plan!$H:$H,CB_plan!$F:$F,$A123)/SUMIFS(CB_plan!$G:$G,CB_plan!$F:$F,$A123),Inputs!$B$17))*H123*K123))</f>
        <v/>
      </c>
      <c r="M123" s="44" t="str">
        <f t="shared" si="118"/>
        <v/>
      </c>
      <c r="N123" s="44" t="str">
        <f>IF(A123="","",(L123+M123)*Inputs!$B$16)</f>
        <v/>
      </c>
      <c r="O123" s="44"/>
      <c r="P123" s="44" t="str">
        <f>IF(A123="","",IF(O123="",Inputs!$B$7,O123))</f>
        <v/>
      </c>
      <c r="Q123" s="14" t="str">
        <f>IF(A123="","",IF(N123/Inputs!$B$10&lt;=AG123,Inputs!$F$5,IF(N123/Inputs!$B$10&gt;AP123,"OVERSIZE",INDEX(Inputs!$F$5:$F$14,MATCH(N123/Inputs!$B$10,AG123:AP123,1)+1))))</f>
        <v/>
      </c>
      <c r="R123" s="14"/>
      <c r="S123" s="14" t="str">
        <f t="shared" si="119"/>
        <v/>
      </c>
      <c r="T123" s="44" t="str">
        <f t="shared" si="120"/>
        <v/>
      </c>
      <c r="U123" s="44" t="str">
        <f>IF(T123="","",(1/Inputs!$B$9)*(PI()*T123^2/4)*((T123/4)^(2/3))*SQRT(P123))</f>
        <v/>
      </c>
      <c r="V123" s="44" t="str">
        <f>IF(OR(U123="",N123=""),"",N123/(U123*Inputs!$B$10))</f>
        <v/>
      </c>
      <c r="W123" s="44" t="str">
        <f t="shared" si="121"/>
        <v/>
      </c>
      <c r="X123" s="44"/>
      <c r="Y123" s="44" t="str">
        <f>IF(A123="","",IF(A123=Inputs!$B$6,Inputs!$B$22,IF(D123="","",IFERROR(INDEX($Z$4:$Z$201,MATCH(D123,$A$4:$A$201,0))+IF(X123="",Inputs!$B$20,X123),""))))</f>
        <v/>
      </c>
      <c r="Z123" s="44" t="str">
        <f t="shared" si="122"/>
        <v/>
      </c>
      <c r="AA123" s="44" t="str">
        <f>IF(C123="","",IFERROR(INDEX(Noeuds_plan!$C$4:$C$200,MATCH(C123,Noeuds_plan!$A$4:$A$200,0)),""))</f>
        <v/>
      </c>
      <c r="AB123" s="44" t="str">
        <f>IF(B123="","",IFERROR(INDEX(Noeuds_plan!$C$4:$C$200,MATCH(B123,Noeuds_plan!$A$4:$A$200,0)),""))</f>
        <v/>
      </c>
      <c r="AC123" s="44" t="str">
        <f t="shared" si="123"/>
        <v/>
      </c>
      <c r="AD123" s="44" t="str">
        <f t="shared" si="124"/>
        <v/>
      </c>
      <c r="AE123" s="14" t="str">
        <f>IF(A123="","",IF(OR(V123&gt;1,AND(AY123&lt;&gt;"",AY123&lt;Inputs!$B$11),AND(AY123&lt;&gt;"",AY123&gt;Inputs!$B$12),AC123&lt;Inputs!$B$19,AD123&lt;Inputs!$B$19,P123&lt;Inputs!$B$7,P123&gt;Inputs!$B$8),"CHECK","OK"))</f>
        <v/>
      </c>
      <c r="AF123" s="14"/>
      <c r="AG123" s="14" t="str">
        <f>IF(A123="","",(1/Inputs!$B$9)*(PI()*(Inputs!$F$5/1000)^2/4)*((Inputs!$F$5/1000/4)^(2/3))*SQRT(P123))</f>
        <v/>
      </c>
      <c r="AH123" s="14" t="str">
        <f>IF(A123="","",(1/Inputs!$B$9)*(PI()*(Inputs!$F$6/1000)^2/4)*((Inputs!$F$6/1000/4)^(2/3))*SQRT(P123))</f>
        <v/>
      </c>
      <c r="AI123" s="14" t="str">
        <f>IF(A123="","",(1/Inputs!$B$9)*(PI()*(Inputs!$F$7/1000)^2/4)*((Inputs!$F$7/1000/4)^(2/3))*SQRT(P123))</f>
        <v/>
      </c>
      <c r="AJ123" s="14" t="str">
        <f>IF(A123="","",(1/Inputs!$B$9)*(PI()*(Inputs!$F$8/1000)^2/4)*((Inputs!$F$8/1000/4)^(2/3))*SQRT(P123))</f>
        <v/>
      </c>
      <c r="AK123" s="14" t="str">
        <f>IF(A123="","",(1/Inputs!$B$9)*(PI()*(Inputs!$F$9/1000)^2/4)*((Inputs!$F$9/1000/4)^(2/3))*SQRT(P123))</f>
        <v/>
      </c>
      <c r="AL123" s="14" t="str">
        <f>IF(A123="","",(1/Inputs!$B$9)*(PI()*(Inputs!$F$10/1000)^2/4)*((Inputs!$F$10/1000/4)^(2/3))*SQRT(P123))</f>
        <v/>
      </c>
      <c r="AM123" s="14" t="str">
        <f>IF(A123="","",(1/Inputs!$B$9)*(PI()*(Inputs!$F$11/1000)^2/4)*((Inputs!$F$11/1000/4)^(2/3))*SQRT(P123))</f>
        <v/>
      </c>
      <c r="AN123" s="14" t="str">
        <f>IF(A123="","",(1/Inputs!$B$9)*(PI()*(Inputs!$F$12/1000)^2/4)*((Inputs!$F$12/1000/4)^(2/3))*SQRT(P123))</f>
        <v/>
      </c>
      <c r="AO123" s="14" t="str">
        <f>IF(A123="","",(1/Inputs!$B$9)*(PI()*(Inputs!$F$13/1000)^2/4)*((Inputs!$F$13/1000/4)^(2/3))*SQRT(P123))</f>
        <v/>
      </c>
      <c r="AP123" s="14" t="str">
        <f>IF(A123="","",(1/Inputs!$B$9)*(PI()*(Inputs!$F$14/1000)^2/4)*((Inputs!$F$14/1000/4)^(2/3))*SQRT(P123))</f>
        <v/>
      </c>
      <c r="AQ123" s="14" t="str">
        <f t="shared" si="125"/>
        <v/>
      </c>
      <c r="AR123" s="14" t="str">
        <f t="shared" si="126"/>
        <v/>
      </c>
      <c r="AS123" s="17" t="str">
        <f>IF(A123="","",IF(J123="",Inputs!$B$18,J123))</f>
        <v/>
      </c>
      <c r="AT123" s="17" t="str">
        <f>IF(A123="","",IFERROR(_xludf.maxifs($AV$4:$AV$201,$D$4:$D$201,$A123),""))</f>
        <v/>
      </c>
      <c r="AU123" s="17" t="str">
        <f>IF(A123="","",IF(OR(E123="",Inputs!$B$23=""),"",E123/(Inputs!$B$23*60)))</f>
        <v/>
      </c>
      <c r="AV123" s="17" t="str">
        <f t="shared" si="127"/>
        <v/>
      </c>
      <c r="AW123" s="17" t="str">
        <f t="shared" si="128"/>
        <v/>
      </c>
      <c r="AX123" s="17" t="str">
        <f>IF(OR(T123="",P123=""),"",(1/Inputs!$B$9)*((T123/4)^(2/3))*SQRT(P123))</f>
        <v/>
      </c>
      <c r="AY123" s="17" t="str">
        <f>IF(A123="","",IF(AND(AW123="",AX123="",BA123=""),"",IF(OR(UPPER(TRIM(Inputs!$B$24))="MANNING",UPPER(TRIM(Inputs!$B$24))="M"),AX123,IF(OR(UPPER(TRIM(Inputs!$B$24))="PARTIAL",UPPER(TRIM(Inputs!$B$24))="P"),BA123,IF(OR(UPPER(TRIM(Inputs!$B$24))="MAX",UPPER(TRIM(Inputs!$B$24))="X"),MAX(IF(AW123="",0,AW123),IF(AX123="",0,AX123),IF(BA123="",0,BA123)),AW123)))))</f>
        <v/>
      </c>
      <c r="AZ123" s="17" t="str">
        <f t="shared" si="129"/>
        <v/>
      </c>
      <c r="BA123" s="17" t="str">
        <f t="shared" si="130"/>
        <v/>
      </c>
      <c r="BB123" s="14" t="str">
        <f t="shared" si="131"/>
        <v/>
      </c>
      <c r="BC123" s="14" t="str">
        <f>IF(OR(N123="",T123="",P123=""),"",IF(OR(T123="",P123="",(0.94*T123)="",T123&lt;=0,(0.94*T123)&lt;=0),"",(1/Inputs!$B$9)*((T123^2/8)*((2*ACOS(1-2*(0.94*T123)/T123))-SIN((2*ACOS(1-2*(0.94*T123)/T123)))))*((((T123^2/8)*((2*ACOS(1-2*(0.94*T123)/T123))-SIN((2*ACOS(1-2*(0.94*T123)/T123)))))/((T123/2)*((2*ACOS(1-2*(0.94*T123)/T123)))))^(2/3))*SQRT(P123)))</f>
        <v/>
      </c>
      <c r="BD123" s="14" t="str">
        <f t="shared" si="132"/>
        <v/>
      </c>
      <c r="BE123" s="14" t="str">
        <f t="shared" si="133"/>
        <v/>
      </c>
      <c r="BF123" s="14" t="str">
        <f t="shared" si="134"/>
        <v/>
      </c>
      <c r="BG123" s="14" t="str">
        <f>IF(OR(T123="",P123="",BF123="",T123&lt;=0,BF123&lt;=0),"",(1/Inputs!$B$9)*((T123^2/8)*((2*ACOS(1-2*BF123/T123))-SIN((2*ACOS(1-2*BF123/T123)))))*((((T123^2/8)*((2*ACOS(1-2*BF123/T123))-SIN((2*ACOS(1-2*BF123/T123)))))/((T123/2)*((2*ACOS(1-2*BF123/T123)))))^(2/3))*SQRT(P123))</f>
        <v/>
      </c>
      <c r="BH123" s="14" t="str">
        <f t="shared" si="135"/>
        <v/>
      </c>
      <c r="BI123" s="14" t="str">
        <f t="shared" si="136"/>
        <v/>
      </c>
      <c r="BJ123" s="14" t="str">
        <f t="shared" si="137"/>
        <v/>
      </c>
      <c r="BK123" s="14" t="str">
        <f>IF(OR(T123="",P123="",BJ123="",T123&lt;=0,BJ123&lt;=0),"",(1/Inputs!$B$9)*((T123^2/8)*((2*ACOS(1-2*BJ123/T123))-SIN((2*ACOS(1-2*BJ123/T123)))))*((((T123^2/8)*((2*ACOS(1-2*BJ123/T123))-SIN((2*ACOS(1-2*BJ123/T123)))))/((T123/2)*((2*ACOS(1-2*BJ123/T123)))))^(2/3))*SQRT(P123))</f>
        <v/>
      </c>
      <c r="BL123" s="14" t="str">
        <f t="shared" si="138"/>
        <v/>
      </c>
      <c r="BM123" s="14" t="str">
        <f t="shared" si="139"/>
        <v/>
      </c>
      <c r="BN123" s="14" t="str">
        <f t="shared" si="140"/>
        <v/>
      </c>
      <c r="BO123" s="14" t="str">
        <f>IF(OR(T123="",P123="",BN123="",T123&lt;=0,BN123&lt;=0),"",(1/Inputs!$B$9)*((T123^2/8)*((2*ACOS(1-2*BN123/T123))-SIN((2*ACOS(1-2*BN123/T123)))))*((((T123^2/8)*((2*ACOS(1-2*BN123/T123))-SIN((2*ACOS(1-2*BN123/T123)))))/((T123/2)*((2*ACOS(1-2*BN123/T123)))))^(2/3))*SQRT(P123))</f>
        <v/>
      </c>
      <c r="BP123" s="14" t="str">
        <f t="shared" si="141"/>
        <v/>
      </c>
      <c r="BQ123" s="14" t="str">
        <f t="shared" si="142"/>
        <v/>
      </c>
      <c r="BR123" s="14" t="str">
        <f t="shared" si="143"/>
        <v/>
      </c>
      <c r="BS123" s="14" t="str">
        <f>IF(OR(T123="",P123="",BR123="",T123&lt;=0,BR123&lt;=0),"",(1/Inputs!$B$9)*((T123^2/8)*((2*ACOS(1-2*BR123/T123))-SIN((2*ACOS(1-2*BR123/T123)))))*((((T123^2/8)*((2*ACOS(1-2*BR123/T123))-SIN((2*ACOS(1-2*BR123/T123)))))/((T123/2)*((2*ACOS(1-2*BR123/T123)))))^(2/3))*SQRT(P123))</f>
        <v/>
      </c>
      <c r="BT123" s="14" t="str">
        <f t="shared" si="144"/>
        <v/>
      </c>
      <c r="BU123" s="14" t="str">
        <f t="shared" si="145"/>
        <v/>
      </c>
      <c r="BV123" s="14" t="str">
        <f t="shared" si="146"/>
        <v/>
      </c>
      <c r="BW123" s="14" t="str">
        <f>IF(OR(T123="",P123="",BV123="",T123&lt;=0,BV123&lt;=0),"",(1/Inputs!$B$9)*((T123^2/8)*((2*ACOS(1-2*BV123/T123))-SIN((2*ACOS(1-2*BV123/T123)))))*((((T123^2/8)*((2*ACOS(1-2*BV123/T123))-SIN((2*ACOS(1-2*BV123/T123)))))/((T123/2)*((2*ACOS(1-2*BV123/T123)))))^(2/3))*SQRT(P123))</f>
        <v/>
      </c>
      <c r="BX123" s="14" t="str">
        <f t="shared" si="147"/>
        <v/>
      </c>
      <c r="BY123" s="14" t="str">
        <f t="shared" si="148"/>
        <v/>
      </c>
      <c r="BZ123" s="14" t="str">
        <f t="shared" si="149"/>
        <v/>
      </c>
      <c r="CA123" s="14" t="str">
        <f>IF(OR(T123="",P123="",BZ123="",T123&lt;=0,BZ123&lt;=0),"",(1/Inputs!$B$9)*((T123^2/8)*((2*ACOS(1-2*BZ123/T123))-SIN((2*ACOS(1-2*BZ123/T123)))))*((((T123^2/8)*((2*ACOS(1-2*BZ123/T123))-SIN((2*ACOS(1-2*BZ123/T123)))))/((T123/2)*((2*ACOS(1-2*BZ123/T123)))))^(2/3))*SQRT(P123))</f>
        <v/>
      </c>
      <c r="CB123" s="14" t="str">
        <f t="shared" si="150"/>
        <v/>
      </c>
      <c r="CC123" s="14" t="str">
        <f t="shared" si="151"/>
        <v/>
      </c>
      <c r="CD123" s="14" t="str">
        <f t="shared" si="152"/>
        <v/>
      </c>
      <c r="CE123" s="14" t="str">
        <f>IF(OR(T123="",P123="",CD123="",T123&lt;=0,CD123&lt;=0),"",(1/Inputs!$B$9)*((T123^2/8)*((2*ACOS(1-2*CD123/T123))-SIN((2*ACOS(1-2*CD123/T123)))))*((((T123^2/8)*((2*ACOS(1-2*CD123/T123))-SIN((2*ACOS(1-2*CD123/T123)))))/((T123/2)*((2*ACOS(1-2*CD123/T123)))))^(2/3))*SQRT(P123))</f>
        <v/>
      </c>
      <c r="CF123" s="14" t="str">
        <f t="shared" si="153"/>
        <v/>
      </c>
      <c r="CG123" s="14" t="str">
        <f t="shared" si="154"/>
        <v/>
      </c>
      <c r="CH123" s="14" t="str">
        <f t="shared" si="155"/>
        <v/>
      </c>
    </row>
    <row r="124" spans="1:86" x14ac:dyDescent="0.25">
      <c r="A124" s="14"/>
      <c r="B124" s="14"/>
      <c r="C124" s="14"/>
      <c r="D124" s="14"/>
      <c r="E124" s="44"/>
      <c r="F124" s="44"/>
      <c r="G124" s="44">
        <f>SUMIFS(CB_plan!$G:$G,CB_plan!$F:$F,$A124)</f>
        <v>0</v>
      </c>
      <c r="H124" s="44">
        <f t="shared" si="117"/>
        <v>0</v>
      </c>
      <c r="I124" s="14"/>
      <c r="J124" s="44"/>
      <c r="K124" s="44" t="str">
        <f>IF(A124="","",Inputs!$B$13/((IF(AV124="",Inputs!$B$18,AV124)+Inputs!$B$14)^Inputs!$B$15))</f>
        <v/>
      </c>
      <c r="L124" s="44" t="str">
        <f>IF(A124="","",IF(H124="","",0.000000278*IF(I124&lt;&gt;"",I124,IFERROR(SUMIFS(CB_plan!$H:$H,CB_plan!$F:$F,$A124)/SUMIFS(CB_plan!$G:$G,CB_plan!$F:$F,$A124),Inputs!$B$17))*H124*K124))</f>
        <v/>
      </c>
      <c r="M124" s="44" t="str">
        <f t="shared" si="118"/>
        <v/>
      </c>
      <c r="N124" s="44" t="str">
        <f>IF(A124="","",(L124+M124)*Inputs!$B$16)</f>
        <v/>
      </c>
      <c r="O124" s="44"/>
      <c r="P124" s="44" t="str">
        <f>IF(A124="","",IF(O124="",Inputs!$B$7,O124))</f>
        <v/>
      </c>
      <c r="Q124" s="14" t="str">
        <f>IF(A124="","",IF(N124/Inputs!$B$10&lt;=AG124,Inputs!$F$5,IF(N124/Inputs!$B$10&gt;AP124,"OVERSIZE",INDEX(Inputs!$F$5:$F$14,MATCH(N124/Inputs!$B$10,AG124:AP124,1)+1))))</f>
        <v/>
      </c>
      <c r="R124" s="14"/>
      <c r="S124" s="14" t="str">
        <f t="shared" si="119"/>
        <v/>
      </c>
      <c r="T124" s="44" t="str">
        <f t="shared" si="120"/>
        <v/>
      </c>
      <c r="U124" s="44" t="str">
        <f>IF(T124="","",(1/Inputs!$B$9)*(PI()*T124^2/4)*((T124/4)^(2/3))*SQRT(P124))</f>
        <v/>
      </c>
      <c r="V124" s="44" t="str">
        <f>IF(OR(U124="",N124=""),"",N124/(U124*Inputs!$B$10))</f>
        <v/>
      </c>
      <c r="W124" s="44" t="str">
        <f t="shared" si="121"/>
        <v/>
      </c>
      <c r="X124" s="44"/>
      <c r="Y124" s="44" t="str">
        <f>IF(A124="","",IF(A124=Inputs!$B$6,Inputs!$B$22,IF(D124="","",IFERROR(INDEX($Z$4:$Z$201,MATCH(D124,$A$4:$A$201,0))+IF(X124="",Inputs!$B$20,X124),""))))</f>
        <v/>
      </c>
      <c r="Z124" s="44" t="str">
        <f t="shared" si="122"/>
        <v/>
      </c>
      <c r="AA124" s="44" t="str">
        <f>IF(C124="","",IFERROR(INDEX(Noeuds_plan!$C$4:$C$200,MATCH(C124,Noeuds_plan!$A$4:$A$200,0)),""))</f>
        <v/>
      </c>
      <c r="AB124" s="44" t="str">
        <f>IF(B124="","",IFERROR(INDEX(Noeuds_plan!$C$4:$C$200,MATCH(B124,Noeuds_plan!$A$4:$A$200,0)),""))</f>
        <v/>
      </c>
      <c r="AC124" s="44" t="str">
        <f t="shared" si="123"/>
        <v/>
      </c>
      <c r="AD124" s="44" t="str">
        <f t="shared" si="124"/>
        <v/>
      </c>
      <c r="AE124" s="14" t="str">
        <f>IF(A124="","",IF(OR(V124&gt;1,AND(AY124&lt;&gt;"",AY124&lt;Inputs!$B$11),AND(AY124&lt;&gt;"",AY124&gt;Inputs!$B$12),AC124&lt;Inputs!$B$19,AD124&lt;Inputs!$B$19,P124&lt;Inputs!$B$7,P124&gt;Inputs!$B$8),"CHECK","OK"))</f>
        <v/>
      </c>
      <c r="AF124" s="14"/>
      <c r="AG124" s="14" t="str">
        <f>IF(A124="","",(1/Inputs!$B$9)*(PI()*(Inputs!$F$5/1000)^2/4)*((Inputs!$F$5/1000/4)^(2/3))*SQRT(P124))</f>
        <v/>
      </c>
      <c r="AH124" s="14" t="str">
        <f>IF(A124="","",(1/Inputs!$B$9)*(PI()*(Inputs!$F$6/1000)^2/4)*((Inputs!$F$6/1000/4)^(2/3))*SQRT(P124))</f>
        <v/>
      </c>
      <c r="AI124" s="14" t="str">
        <f>IF(A124="","",(1/Inputs!$B$9)*(PI()*(Inputs!$F$7/1000)^2/4)*((Inputs!$F$7/1000/4)^(2/3))*SQRT(P124))</f>
        <v/>
      </c>
      <c r="AJ124" s="14" t="str">
        <f>IF(A124="","",(1/Inputs!$B$9)*(PI()*(Inputs!$F$8/1000)^2/4)*((Inputs!$F$8/1000/4)^(2/3))*SQRT(P124))</f>
        <v/>
      </c>
      <c r="AK124" s="14" t="str">
        <f>IF(A124="","",(1/Inputs!$B$9)*(PI()*(Inputs!$F$9/1000)^2/4)*((Inputs!$F$9/1000/4)^(2/3))*SQRT(P124))</f>
        <v/>
      </c>
      <c r="AL124" s="14" t="str">
        <f>IF(A124="","",(1/Inputs!$B$9)*(PI()*(Inputs!$F$10/1000)^2/4)*((Inputs!$F$10/1000/4)^(2/3))*SQRT(P124))</f>
        <v/>
      </c>
      <c r="AM124" s="14" t="str">
        <f>IF(A124="","",(1/Inputs!$B$9)*(PI()*(Inputs!$F$11/1000)^2/4)*((Inputs!$F$11/1000/4)^(2/3))*SQRT(P124))</f>
        <v/>
      </c>
      <c r="AN124" s="14" t="str">
        <f>IF(A124="","",(1/Inputs!$B$9)*(PI()*(Inputs!$F$12/1000)^2/4)*((Inputs!$F$12/1000/4)^(2/3))*SQRT(P124))</f>
        <v/>
      </c>
      <c r="AO124" s="14" t="str">
        <f>IF(A124="","",(1/Inputs!$B$9)*(PI()*(Inputs!$F$13/1000)^2/4)*((Inputs!$F$13/1000/4)^(2/3))*SQRT(P124))</f>
        <v/>
      </c>
      <c r="AP124" s="14" t="str">
        <f>IF(A124="","",(1/Inputs!$B$9)*(PI()*(Inputs!$F$14/1000)^2/4)*((Inputs!$F$14/1000/4)^(2/3))*SQRT(P124))</f>
        <v/>
      </c>
      <c r="AQ124" s="14" t="str">
        <f t="shared" si="125"/>
        <v/>
      </c>
      <c r="AR124" s="14" t="str">
        <f t="shared" si="126"/>
        <v/>
      </c>
      <c r="AS124" s="17" t="str">
        <f>IF(A124="","",IF(J124="",Inputs!$B$18,J124))</f>
        <v/>
      </c>
      <c r="AT124" s="17" t="str">
        <f>IF(A124="","",IFERROR(_xludf.maxifs($AV$4:$AV$201,$D$4:$D$201,$A124),""))</f>
        <v/>
      </c>
      <c r="AU124" s="17" t="str">
        <f>IF(A124="","",IF(OR(E124="",Inputs!$B$23=""),"",E124/(Inputs!$B$23*60)))</f>
        <v/>
      </c>
      <c r="AV124" s="17" t="str">
        <f t="shared" si="127"/>
        <v/>
      </c>
      <c r="AW124" s="17" t="str">
        <f t="shared" si="128"/>
        <v/>
      </c>
      <c r="AX124" s="17" t="str">
        <f>IF(OR(T124="",P124=""),"",(1/Inputs!$B$9)*((T124/4)^(2/3))*SQRT(P124))</f>
        <v/>
      </c>
      <c r="AY124" s="17" t="str">
        <f>IF(A124="","",IF(AND(AW124="",AX124="",BA124=""),"",IF(OR(UPPER(TRIM(Inputs!$B$24))="MANNING",UPPER(TRIM(Inputs!$B$24))="M"),AX124,IF(OR(UPPER(TRIM(Inputs!$B$24))="PARTIAL",UPPER(TRIM(Inputs!$B$24))="P"),BA124,IF(OR(UPPER(TRIM(Inputs!$B$24))="MAX",UPPER(TRIM(Inputs!$B$24))="X"),MAX(IF(AW124="",0,AW124),IF(AX124="",0,AX124),IF(BA124="",0,BA124)),AW124)))))</f>
        <v/>
      </c>
      <c r="AZ124" s="17" t="str">
        <f t="shared" si="129"/>
        <v/>
      </c>
      <c r="BA124" s="17" t="str">
        <f t="shared" si="130"/>
        <v/>
      </c>
      <c r="BB124" s="14" t="str">
        <f t="shared" si="131"/>
        <v/>
      </c>
      <c r="BC124" s="14" t="str">
        <f>IF(OR(N124="",T124="",P124=""),"",IF(OR(T124="",P124="",(0.94*T124)="",T124&lt;=0,(0.94*T124)&lt;=0),"",(1/Inputs!$B$9)*((T124^2/8)*((2*ACOS(1-2*(0.94*T124)/T124))-SIN((2*ACOS(1-2*(0.94*T124)/T124)))))*((((T124^2/8)*((2*ACOS(1-2*(0.94*T124)/T124))-SIN((2*ACOS(1-2*(0.94*T124)/T124)))))/((T124/2)*((2*ACOS(1-2*(0.94*T124)/T124)))))^(2/3))*SQRT(P124)))</f>
        <v/>
      </c>
      <c r="BD124" s="14" t="str">
        <f t="shared" si="132"/>
        <v/>
      </c>
      <c r="BE124" s="14" t="str">
        <f t="shared" si="133"/>
        <v/>
      </c>
      <c r="BF124" s="14" t="str">
        <f t="shared" si="134"/>
        <v/>
      </c>
      <c r="BG124" s="14" t="str">
        <f>IF(OR(T124="",P124="",BF124="",T124&lt;=0,BF124&lt;=0),"",(1/Inputs!$B$9)*((T124^2/8)*((2*ACOS(1-2*BF124/T124))-SIN((2*ACOS(1-2*BF124/T124)))))*((((T124^2/8)*((2*ACOS(1-2*BF124/T124))-SIN((2*ACOS(1-2*BF124/T124)))))/((T124/2)*((2*ACOS(1-2*BF124/T124)))))^(2/3))*SQRT(P124))</f>
        <v/>
      </c>
      <c r="BH124" s="14" t="str">
        <f t="shared" si="135"/>
        <v/>
      </c>
      <c r="BI124" s="14" t="str">
        <f t="shared" si="136"/>
        <v/>
      </c>
      <c r="BJ124" s="14" t="str">
        <f t="shared" si="137"/>
        <v/>
      </c>
      <c r="BK124" s="14" t="str">
        <f>IF(OR(T124="",P124="",BJ124="",T124&lt;=0,BJ124&lt;=0),"",(1/Inputs!$B$9)*((T124^2/8)*((2*ACOS(1-2*BJ124/T124))-SIN((2*ACOS(1-2*BJ124/T124)))))*((((T124^2/8)*((2*ACOS(1-2*BJ124/T124))-SIN((2*ACOS(1-2*BJ124/T124)))))/((T124/2)*((2*ACOS(1-2*BJ124/T124)))))^(2/3))*SQRT(P124))</f>
        <v/>
      </c>
      <c r="BL124" s="14" t="str">
        <f t="shared" si="138"/>
        <v/>
      </c>
      <c r="BM124" s="14" t="str">
        <f t="shared" si="139"/>
        <v/>
      </c>
      <c r="BN124" s="14" t="str">
        <f t="shared" si="140"/>
        <v/>
      </c>
      <c r="BO124" s="14" t="str">
        <f>IF(OR(T124="",P124="",BN124="",T124&lt;=0,BN124&lt;=0),"",(1/Inputs!$B$9)*((T124^2/8)*((2*ACOS(1-2*BN124/T124))-SIN((2*ACOS(1-2*BN124/T124)))))*((((T124^2/8)*((2*ACOS(1-2*BN124/T124))-SIN((2*ACOS(1-2*BN124/T124)))))/((T124/2)*((2*ACOS(1-2*BN124/T124)))))^(2/3))*SQRT(P124))</f>
        <v/>
      </c>
      <c r="BP124" s="14" t="str">
        <f t="shared" si="141"/>
        <v/>
      </c>
      <c r="BQ124" s="14" t="str">
        <f t="shared" si="142"/>
        <v/>
      </c>
      <c r="BR124" s="14" t="str">
        <f t="shared" si="143"/>
        <v/>
      </c>
      <c r="BS124" s="14" t="str">
        <f>IF(OR(T124="",P124="",BR124="",T124&lt;=0,BR124&lt;=0),"",(1/Inputs!$B$9)*((T124^2/8)*((2*ACOS(1-2*BR124/T124))-SIN((2*ACOS(1-2*BR124/T124)))))*((((T124^2/8)*((2*ACOS(1-2*BR124/T124))-SIN((2*ACOS(1-2*BR124/T124)))))/((T124/2)*((2*ACOS(1-2*BR124/T124)))))^(2/3))*SQRT(P124))</f>
        <v/>
      </c>
      <c r="BT124" s="14" t="str">
        <f t="shared" si="144"/>
        <v/>
      </c>
      <c r="BU124" s="14" t="str">
        <f t="shared" si="145"/>
        <v/>
      </c>
      <c r="BV124" s="14" t="str">
        <f t="shared" si="146"/>
        <v/>
      </c>
      <c r="BW124" s="14" t="str">
        <f>IF(OR(T124="",P124="",BV124="",T124&lt;=0,BV124&lt;=0),"",(1/Inputs!$B$9)*((T124^2/8)*((2*ACOS(1-2*BV124/T124))-SIN((2*ACOS(1-2*BV124/T124)))))*((((T124^2/8)*((2*ACOS(1-2*BV124/T124))-SIN((2*ACOS(1-2*BV124/T124)))))/((T124/2)*((2*ACOS(1-2*BV124/T124)))))^(2/3))*SQRT(P124))</f>
        <v/>
      </c>
      <c r="BX124" s="14" t="str">
        <f t="shared" si="147"/>
        <v/>
      </c>
      <c r="BY124" s="14" t="str">
        <f t="shared" si="148"/>
        <v/>
      </c>
      <c r="BZ124" s="14" t="str">
        <f t="shared" si="149"/>
        <v/>
      </c>
      <c r="CA124" s="14" t="str">
        <f>IF(OR(T124="",P124="",BZ124="",T124&lt;=0,BZ124&lt;=0),"",(1/Inputs!$B$9)*((T124^2/8)*((2*ACOS(1-2*BZ124/T124))-SIN((2*ACOS(1-2*BZ124/T124)))))*((((T124^2/8)*((2*ACOS(1-2*BZ124/T124))-SIN((2*ACOS(1-2*BZ124/T124)))))/((T124/2)*((2*ACOS(1-2*BZ124/T124)))))^(2/3))*SQRT(P124))</f>
        <v/>
      </c>
      <c r="CB124" s="14" t="str">
        <f t="shared" si="150"/>
        <v/>
      </c>
      <c r="CC124" s="14" t="str">
        <f t="shared" si="151"/>
        <v/>
      </c>
      <c r="CD124" s="14" t="str">
        <f t="shared" si="152"/>
        <v/>
      </c>
      <c r="CE124" s="14" t="str">
        <f>IF(OR(T124="",P124="",CD124="",T124&lt;=0,CD124&lt;=0),"",(1/Inputs!$B$9)*((T124^2/8)*((2*ACOS(1-2*CD124/T124))-SIN((2*ACOS(1-2*CD124/T124)))))*((((T124^2/8)*((2*ACOS(1-2*CD124/T124))-SIN((2*ACOS(1-2*CD124/T124)))))/((T124/2)*((2*ACOS(1-2*CD124/T124)))))^(2/3))*SQRT(P124))</f>
        <v/>
      </c>
      <c r="CF124" s="14" t="str">
        <f t="shared" si="153"/>
        <v/>
      </c>
      <c r="CG124" s="14" t="str">
        <f t="shared" si="154"/>
        <v/>
      </c>
      <c r="CH124" s="14" t="str">
        <f t="shared" si="155"/>
        <v/>
      </c>
    </row>
    <row r="125" spans="1:86" x14ac:dyDescent="0.25">
      <c r="A125" s="14"/>
      <c r="B125" s="14"/>
      <c r="C125" s="14"/>
      <c r="D125" s="14"/>
      <c r="E125" s="44"/>
      <c r="F125" s="44"/>
      <c r="G125" s="44">
        <f>SUMIFS(CB_plan!$G:$G,CB_plan!$F:$F,$A125)</f>
        <v>0</v>
      </c>
      <c r="H125" s="44">
        <f t="shared" si="117"/>
        <v>0</v>
      </c>
      <c r="I125" s="14"/>
      <c r="J125" s="44"/>
      <c r="K125" s="44" t="str">
        <f>IF(A125="","",Inputs!$B$13/((IF(AV125="",Inputs!$B$18,AV125)+Inputs!$B$14)^Inputs!$B$15))</f>
        <v/>
      </c>
      <c r="L125" s="44" t="str">
        <f>IF(A125="","",IF(H125="","",0.000000278*IF(I125&lt;&gt;"",I125,IFERROR(SUMIFS(CB_plan!$H:$H,CB_plan!$F:$F,$A125)/SUMIFS(CB_plan!$G:$G,CB_plan!$F:$F,$A125),Inputs!$B$17))*H125*K125))</f>
        <v/>
      </c>
      <c r="M125" s="44" t="str">
        <f t="shared" si="118"/>
        <v/>
      </c>
      <c r="N125" s="44" t="str">
        <f>IF(A125="","",(L125+M125)*Inputs!$B$16)</f>
        <v/>
      </c>
      <c r="O125" s="44"/>
      <c r="P125" s="44" t="str">
        <f>IF(A125="","",IF(O125="",Inputs!$B$7,O125))</f>
        <v/>
      </c>
      <c r="Q125" s="14" t="str">
        <f>IF(A125="","",IF(N125/Inputs!$B$10&lt;=AG125,Inputs!$F$5,IF(N125/Inputs!$B$10&gt;AP125,"OVERSIZE",INDEX(Inputs!$F$5:$F$14,MATCH(N125/Inputs!$B$10,AG125:AP125,1)+1))))</f>
        <v/>
      </c>
      <c r="R125" s="14"/>
      <c r="S125" s="14" t="str">
        <f t="shared" si="119"/>
        <v/>
      </c>
      <c r="T125" s="44" t="str">
        <f t="shared" si="120"/>
        <v/>
      </c>
      <c r="U125" s="44" t="str">
        <f>IF(T125="","",(1/Inputs!$B$9)*(PI()*T125^2/4)*((T125/4)^(2/3))*SQRT(P125))</f>
        <v/>
      </c>
      <c r="V125" s="44" t="str">
        <f>IF(OR(U125="",N125=""),"",N125/(U125*Inputs!$B$10))</f>
        <v/>
      </c>
      <c r="W125" s="44" t="str">
        <f t="shared" si="121"/>
        <v/>
      </c>
      <c r="X125" s="44"/>
      <c r="Y125" s="44" t="str">
        <f>IF(A125="","",IF(A125=Inputs!$B$6,Inputs!$B$22,IF(D125="","",IFERROR(INDEX($Z$4:$Z$201,MATCH(D125,$A$4:$A$201,0))+IF(X125="",Inputs!$B$20,X125),""))))</f>
        <v/>
      </c>
      <c r="Z125" s="44" t="str">
        <f t="shared" si="122"/>
        <v/>
      </c>
      <c r="AA125" s="44" t="str">
        <f>IF(C125="","",IFERROR(INDEX(Noeuds_plan!$C$4:$C$200,MATCH(C125,Noeuds_plan!$A$4:$A$200,0)),""))</f>
        <v/>
      </c>
      <c r="AB125" s="44" t="str">
        <f>IF(B125="","",IFERROR(INDEX(Noeuds_plan!$C$4:$C$200,MATCH(B125,Noeuds_plan!$A$4:$A$200,0)),""))</f>
        <v/>
      </c>
      <c r="AC125" s="44" t="str">
        <f t="shared" si="123"/>
        <v/>
      </c>
      <c r="AD125" s="44" t="str">
        <f t="shared" si="124"/>
        <v/>
      </c>
      <c r="AE125" s="14" t="str">
        <f>IF(A125="","",IF(OR(V125&gt;1,AND(AY125&lt;&gt;"",AY125&lt;Inputs!$B$11),AND(AY125&lt;&gt;"",AY125&gt;Inputs!$B$12),AC125&lt;Inputs!$B$19,AD125&lt;Inputs!$B$19,P125&lt;Inputs!$B$7,P125&gt;Inputs!$B$8),"CHECK","OK"))</f>
        <v/>
      </c>
      <c r="AF125" s="14"/>
      <c r="AG125" s="14" t="str">
        <f>IF(A125="","",(1/Inputs!$B$9)*(PI()*(Inputs!$F$5/1000)^2/4)*((Inputs!$F$5/1000/4)^(2/3))*SQRT(P125))</f>
        <v/>
      </c>
      <c r="AH125" s="14" t="str">
        <f>IF(A125="","",(1/Inputs!$B$9)*(PI()*(Inputs!$F$6/1000)^2/4)*((Inputs!$F$6/1000/4)^(2/3))*SQRT(P125))</f>
        <v/>
      </c>
      <c r="AI125" s="14" t="str">
        <f>IF(A125="","",(1/Inputs!$B$9)*(PI()*(Inputs!$F$7/1000)^2/4)*((Inputs!$F$7/1000/4)^(2/3))*SQRT(P125))</f>
        <v/>
      </c>
      <c r="AJ125" s="14" t="str">
        <f>IF(A125="","",(1/Inputs!$B$9)*(PI()*(Inputs!$F$8/1000)^2/4)*((Inputs!$F$8/1000/4)^(2/3))*SQRT(P125))</f>
        <v/>
      </c>
      <c r="AK125" s="14" t="str">
        <f>IF(A125="","",(1/Inputs!$B$9)*(PI()*(Inputs!$F$9/1000)^2/4)*((Inputs!$F$9/1000/4)^(2/3))*SQRT(P125))</f>
        <v/>
      </c>
      <c r="AL125" s="14" t="str">
        <f>IF(A125="","",(1/Inputs!$B$9)*(PI()*(Inputs!$F$10/1000)^2/4)*((Inputs!$F$10/1000/4)^(2/3))*SQRT(P125))</f>
        <v/>
      </c>
      <c r="AM125" s="14" t="str">
        <f>IF(A125="","",(1/Inputs!$B$9)*(PI()*(Inputs!$F$11/1000)^2/4)*((Inputs!$F$11/1000/4)^(2/3))*SQRT(P125))</f>
        <v/>
      </c>
      <c r="AN125" s="14" t="str">
        <f>IF(A125="","",(1/Inputs!$B$9)*(PI()*(Inputs!$F$12/1000)^2/4)*((Inputs!$F$12/1000/4)^(2/3))*SQRT(P125))</f>
        <v/>
      </c>
      <c r="AO125" s="14" t="str">
        <f>IF(A125="","",(1/Inputs!$B$9)*(PI()*(Inputs!$F$13/1000)^2/4)*((Inputs!$F$13/1000/4)^(2/3))*SQRT(P125))</f>
        <v/>
      </c>
      <c r="AP125" s="14" t="str">
        <f>IF(A125="","",(1/Inputs!$B$9)*(PI()*(Inputs!$F$14/1000)^2/4)*((Inputs!$F$14/1000/4)^(2/3))*SQRT(P125))</f>
        <v/>
      </c>
      <c r="AQ125" s="14" t="str">
        <f t="shared" si="125"/>
        <v/>
      </c>
      <c r="AR125" s="14" t="str">
        <f t="shared" si="126"/>
        <v/>
      </c>
      <c r="AS125" s="17" t="str">
        <f>IF(A125="","",IF(J125="",Inputs!$B$18,J125))</f>
        <v/>
      </c>
      <c r="AT125" s="17" t="str">
        <f>IF(A125="","",IFERROR(_xludf.maxifs($AV$4:$AV$201,$D$4:$D$201,$A125),""))</f>
        <v/>
      </c>
      <c r="AU125" s="17" t="str">
        <f>IF(A125="","",IF(OR(E125="",Inputs!$B$23=""),"",E125/(Inputs!$B$23*60)))</f>
        <v/>
      </c>
      <c r="AV125" s="17" t="str">
        <f t="shared" si="127"/>
        <v/>
      </c>
      <c r="AW125" s="17" t="str">
        <f t="shared" si="128"/>
        <v/>
      </c>
      <c r="AX125" s="17" t="str">
        <f>IF(OR(T125="",P125=""),"",(1/Inputs!$B$9)*((T125/4)^(2/3))*SQRT(P125))</f>
        <v/>
      </c>
      <c r="AY125" s="17" t="str">
        <f>IF(A125="","",IF(AND(AW125="",AX125="",BA125=""),"",IF(OR(UPPER(TRIM(Inputs!$B$24))="MANNING",UPPER(TRIM(Inputs!$B$24))="M"),AX125,IF(OR(UPPER(TRIM(Inputs!$B$24))="PARTIAL",UPPER(TRIM(Inputs!$B$24))="P"),BA125,IF(OR(UPPER(TRIM(Inputs!$B$24))="MAX",UPPER(TRIM(Inputs!$B$24))="X"),MAX(IF(AW125="",0,AW125),IF(AX125="",0,AX125),IF(BA125="",0,BA125)),AW125)))))</f>
        <v/>
      </c>
      <c r="AZ125" s="17" t="str">
        <f t="shared" si="129"/>
        <v/>
      </c>
      <c r="BA125" s="17" t="str">
        <f t="shared" si="130"/>
        <v/>
      </c>
      <c r="BB125" s="14" t="str">
        <f t="shared" si="131"/>
        <v/>
      </c>
      <c r="BC125" s="14" t="str">
        <f>IF(OR(N125="",T125="",P125=""),"",IF(OR(T125="",P125="",(0.94*T125)="",T125&lt;=0,(0.94*T125)&lt;=0),"",(1/Inputs!$B$9)*((T125^2/8)*((2*ACOS(1-2*(0.94*T125)/T125))-SIN((2*ACOS(1-2*(0.94*T125)/T125)))))*((((T125^2/8)*((2*ACOS(1-2*(0.94*T125)/T125))-SIN((2*ACOS(1-2*(0.94*T125)/T125)))))/((T125/2)*((2*ACOS(1-2*(0.94*T125)/T125)))))^(2/3))*SQRT(P125)))</f>
        <v/>
      </c>
      <c r="BD125" s="14" t="str">
        <f t="shared" si="132"/>
        <v/>
      </c>
      <c r="BE125" s="14" t="str">
        <f t="shared" si="133"/>
        <v/>
      </c>
      <c r="BF125" s="14" t="str">
        <f t="shared" si="134"/>
        <v/>
      </c>
      <c r="BG125" s="14" t="str">
        <f>IF(OR(T125="",P125="",BF125="",T125&lt;=0,BF125&lt;=0),"",(1/Inputs!$B$9)*((T125^2/8)*((2*ACOS(1-2*BF125/T125))-SIN((2*ACOS(1-2*BF125/T125)))))*((((T125^2/8)*((2*ACOS(1-2*BF125/T125))-SIN((2*ACOS(1-2*BF125/T125)))))/((T125/2)*((2*ACOS(1-2*BF125/T125)))))^(2/3))*SQRT(P125))</f>
        <v/>
      </c>
      <c r="BH125" s="14" t="str">
        <f t="shared" si="135"/>
        <v/>
      </c>
      <c r="BI125" s="14" t="str">
        <f t="shared" si="136"/>
        <v/>
      </c>
      <c r="BJ125" s="14" t="str">
        <f t="shared" si="137"/>
        <v/>
      </c>
      <c r="BK125" s="14" t="str">
        <f>IF(OR(T125="",P125="",BJ125="",T125&lt;=0,BJ125&lt;=0),"",(1/Inputs!$B$9)*((T125^2/8)*((2*ACOS(1-2*BJ125/T125))-SIN((2*ACOS(1-2*BJ125/T125)))))*((((T125^2/8)*((2*ACOS(1-2*BJ125/T125))-SIN((2*ACOS(1-2*BJ125/T125)))))/((T125/2)*((2*ACOS(1-2*BJ125/T125)))))^(2/3))*SQRT(P125))</f>
        <v/>
      </c>
      <c r="BL125" s="14" t="str">
        <f t="shared" si="138"/>
        <v/>
      </c>
      <c r="BM125" s="14" t="str">
        <f t="shared" si="139"/>
        <v/>
      </c>
      <c r="BN125" s="14" t="str">
        <f t="shared" si="140"/>
        <v/>
      </c>
      <c r="BO125" s="14" t="str">
        <f>IF(OR(T125="",P125="",BN125="",T125&lt;=0,BN125&lt;=0),"",(1/Inputs!$B$9)*((T125^2/8)*((2*ACOS(1-2*BN125/T125))-SIN((2*ACOS(1-2*BN125/T125)))))*((((T125^2/8)*((2*ACOS(1-2*BN125/T125))-SIN((2*ACOS(1-2*BN125/T125)))))/((T125/2)*((2*ACOS(1-2*BN125/T125)))))^(2/3))*SQRT(P125))</f>
        <v/>
      </c>
      <c r="BP125" s="14" t="str">
        <f t="shared" si="141"/>
        <v/>
      </c>
      <c r="BQ125" s="14" t="str">
        <f t="shared" si="142"/>
        <v/>
      </c>
      <c r="BR125" s="14" t="str">
        <f t="shared" si="143"/>
        <v/>
      </c>
      <c r="BS125" s="14" t="str">
        <f>IF(OR(T125="",P125="",BR125="",T125&lt;=0,BR125&lt;=0),"",(1/Inputs!$B$9)*((T125^2/8)*((2*ACOS(1-2*BR125/T125))-SIN((2*ACOS(1-2*BR125/T125)))))*((((T125^2/8)*((2*ACOS(1-2*BR125/T125))-SIN((2*ACOS(1-2*BR125/T125)))))/((T125/2)*((2*ACOS(1-2*BR125/T125)))))^(2/3))*SQRT(P125))</f>
        <v/>
      </c>
      <c r="BT125" s="14" t="str">
        <f t="shared" si="144"/>
        <v/>
      </c>
      <c r="BU125" s="14" t="str">
        <f t="shared" si="145"/>
        <v/>
      </c>
      <c r="BV125" s="14" t="str">
        <f t="shared" si="146"/>
        <v/>
      </c>
      <c r="BW125" s="14" t="str">
        <f>IF(OR(T125="",P125="",BV125="",T125&lt;=0,BV125&lt;=0),"",(1/Inputs!$B$9)*((T125^2/8)*((2*ACOS(1-2*BV125/T125))-SIN((2*ACOS(1-2*BV125/T125)))))*((((T125^2/8)*((2*ACOS(1-2*BV125/T125))-SIN((2*ACOS(1-2*BV125/T125)))))/((T125/2)*((2*ACOS(1-2*BV125/T125)))))^(2/3))*SQRT(P125))</f>
        <v/>
      </c>
      <c r="BX125" s="14" t="str">
        <f t="shared" si="147"/>
        <v/>
      </c>
      <c r="BY125" s="14" t="str">
        <f t="shared" si="148"/>
        <v/>
      </c>
      <c r="BZ125" s="14" t="str">
        <f t="shared" si="149"/>
        <v/>
      </c>
      <c r="CA125" s="14" t="str">
        <f>IF(OR(T125="",P125="",BZ125="",T125&lt;=0,BZ125&lt;=0),"",(1/Inputs!$B$9)*((T125^2/8)*((2*ACOS(1-2*BZ125/T125))-SIN((2*ACOS(1-2*BZ125/T125)))))*((((T125^2/8)*((2*ACOS(1-2*BZ125/T125))-SIN((2*ACOS(1-2*BZ125/T125)))))/((T125/2)*((2*ACOS(1-2*BZ125/T125)))))^(2/3))*SQRT(P125))</f>
        <v/>
      </c>
      <c r="CB125" s="14" t="str">
        <f t="shared" si="150"/>
        <v/>
      </c>
      <c r="CC125" s="14" t="str">
        <f t="shared" si="151"/>
        <v/>
      </c>
      <c r="CD125" s="14" t="str">
        <f t="shared" si="152"/>
        <v/>
      </c>
      <c r="CE125" s="14" t="str">
        <f>IF(OR(T125="",P125="",CD125="",T125&lt;=0,CD125&lt;=0),"",(1/Inputs!$B$9)*((T125^2/8)*((2*ACOS(1-2*CD125/T125))-SIN((2*ACOS(1-2*CD125/T125)))))*((((T125^2/8)*((2*ACOS(1-2*CD125/T125))-SIN((2*ACOS(1-2*CD125/T125)))))/((T125/2)*((2*ACOS(1-2*CD125/T125)))))^(2/3))*SQRT(P125))</f>
        <v/>
      </c>
      <c r="CF125" s="14" t="str">
        <f t="shared" si="153"/>
        <v/>
      </c>
      <c r="CG125" s="14" t="str">
        <f t="shared" si="154"/>
        <v/>
      </c>
      <c r="CH125" s="14" t="str">
        <f t="shared" si="155"/>
        <v/>
      </c>
    </row>
    <row r="126" spans="1:86" x14ac:dyDescent="0.25">
      <c r="A126" s="14"/>
      <c r="B126" s="14"/>
      <c r="C126" s="14"/>
      <c r="D126" s="14"/>
      <c r="E126" s="44"/>
      <c r="F126" s="44"/>
      <c r="G126" s="44">
        <f>SUMIFS(CB_plan!$G:$G,CB_plan!$F:$F,$A126)</f>
        <v>0</v>
      </c>
      <c r="H126" s="44">
        <f t="shared" si="117"/>
        <v>0</v>
      </c>
      <c r="I126" s="14"/>
      <c r="J126" s="44"/>
      <c r="K126" s="44" t="str">
        <f>IF(A126="","",Inputs!$B$13/((IF(AV126="",Inputs!$B$18,AV126)+Inputs!$B$14)^Inputs!$B$15))</f>
        <v/>
      </c>
      <c r="L126" s="44" t="str">
        <f>IF(A126="","",IF(H126="","",0.000000278*IF(I126&lt;&gt;"",I126,IFERROR(SUMIFS(CB_plan!$H:$H,CB_plan!$F:$F,$A126)/SUMIFS(CB_plan!$G:$G,CB_plan!$F:$F,$A126),Inputs!$B$17))*H126*K126))</f>
        <v/>
      </c>
      <c r="M126" s="44" t="str">
        <f t="shared" si="118"/>
        <v/>
      </c>
      <c r="N126" s="44" t="str">
        <f>IF(A126="","",(L126+M126)*Inputs!$B$16)</f>
        <v/>
      </c>
      <c r="O126" s="44"/>
      <c r="P126" s="44" t="str">
        <f>IF(A126="","",IF(O126="",Inputs!$B$7,O126))</f>
        <v/>
      </c>
      <c r="Q126" s="14" t="str">
        <f>IF(A126="","",IF(N126/Inputs!$B$10&lt;=AG126,Inputs!$F$5,IF(N126/Inputs!$B$10&gt;AP126,"OVERSIZE",INDEX(Inputs!$F$5:$F$14,MATCH(N126/Inputs!$B$10,AG126:AP126,1)+1))))</f>
        <v/>
      </c>
      <c r="R126" s="14"/>
      <c r="S126" s="14" t="str">
        <f t="shared" si="119"/>
        <v/>
      </c>
      <c r="T126" s="44" t="str">
        <f t="shared" si="120"/>
        <v/>
      </c>
      <c r="U126" s="44" t="str">
        <f>IF(T126="","",(1/Inputs!$B$9)*(PI()*T126^2/4)*((T126/4)^(2/3))*SQRT(P126))</f>
        <v/>
      </c>
      <c r="V126" s="44" t="str">
        <f>IF(OR(U126="",N126=""),"",N126/(U126*Inputs!$B$10))</f>
        <v/>
      </c>
      <c r="W126" s="44" t="str">
        <f t="shared" si="121"/>
        <v/>
      </c>
      <c r="X126" s="44"/>
      <c r="Y126" s="44" t="str">
        <f>IF(A126="","",IF(A126=Inputs!$B$6,Inputs!$B$22,IF(D126="","",IFERROR(INDEX($Z$4:$Z$201,MATCH(D126,$A$4:$A$201,0))+IF(X126="",Inputs!$B$20,X126),""))))</f>
        <v/>
      </c>
      <c r="Z126" s="44" t="str">
        <f t="shared" si="122"/>
        <v/>
      </c>
      <c r="AA126" s="44" t="str">
        <f>IF(C126="","",IFERROR(INDEX(Noeuds_plan!$C$4:$C$200,MATCH(C126,Noeuds_plan!$A$4:$A$200,0)),""))</f>
        <v/>
      </c>
      <c r="AB126" s="44" t="str">
        <f>IF(B126="","",IFERROR(INDEX(Noeuds_plan!$C$4:$C$200,MATCH(B126,Noeuds_plan!$A$4:$A$200,0)),""))</f>
        <v/>
      </c>
      <c r="AC126" s="44" t="str">
        <f t="shared" si="123"/>
        <v/>
      </c>
      <c r="AD126" s="44" t="str">
        <f t="shared" si="124"/>
        <v/>
      </c>
      <c r="AE126" s="14" t="str">
        <f>IF(A126="","",IF(OR(V126&gt;1,AND(AY126&lt;&gt;"",AY126&lt;Inputs!$B$11),AND(AY126&lt;&gt;"",AY126&gt;Inputs!$B$12),AC126&lt;Inputs!$B$19,AD126&lt;Inputs!$B$19,P126&lt;Inputs!$B$7,P126&gt;Inputs!$B$8),"CHECK","OK"))</f>
        <v/>
      </c>
      <c r="AF126" s="14"/>
      <c r="AG126" s="14" t="str">
        <f>IF(A126="","",(1/Inputs!$B$9)*(PI()*(Inputs!$F$5/1000)^2/4)*((Inputs!$F$5/1000/4)^(2/3))*SQRT(P126))</f>
        <v/>
      </c>
      <c r="AH126" s="14" t="str">
        <f>IF(A126="","",(1/Inputs!$B$9)*(PI()*(Inputs!$F$6/1000)^2/4)*((Inputs!$F$6/1000/4)^(2/3))*SQRT(P126))</f>
        <v/>
      </c>
      <c r="AI126" s="14" t="str">
        <f>IF(A126="","",(1/Inputs!$B$9)*(PI()*(Inputs!$F$7/1000)^2/4)*((Inputs!$F$7/1000/4)^(2/3))*SQRT(P126))</f>
        <v/>
      </c>
      <c r="AJ126" s="14" t="str">
        <f>IF(A126="","",(1/Inputs!$B$9)*(PI()*(Inputs!$F$8/1000)^2/4)*((Inputs!$F$8/1000/4)^(2/3))*SQRT(P126))</f>
        <v/>
      </c>
      <c r="AK126" s="14" t="str">
        <f>IF(A126="","",(1/Inputs!$B$9)*(PI()*(Inputs!$F$9/1000)^2/4)*((Inputs!$F$9/1000/4)^(2/3))*SQRT(P126))</f>
        <v/>
      </c>
      <c r="AL126" s="14" t="str">
        <f>IF(A126="","",(1/Inputs!$B$9)*(PI()*(Inputs!$F$10/1000)^2/4)*((Inputs!$F$10/1000/4)^(2/3))*SQRT(P126))</f>
        <v/>
      </c>
      <c r="AM126" s="14" t="str">
        <f>IF(A126="","",(1/Inputs!$B$9)*(PI()*(Inputs!$F$11/1000)^2/4)*((Inputs!$F$11/1000/4)^(2/3))*SQRT(P126))</f>
        <v/>
      </c>
      <c r="AN126" s="14" t="str">
        <f>IF(A126="","",(1/Inputs!$B$9)*(PI()*(Inputs!$F$12/1000)^2/4)*((Inputs!$F$12/1000/4)^(2/3))*SQRT(P126))</f>
        <v/>
      </c>
      <c r="AO126" s="14" t="str">
        <f>IF(A126="","",(1/Inputs!$B$9)*(PI()*(Inputs!$F$13/1000)^2/4)*((Inputs!$F$13/1000/4)^(2/3))*SQRT(P126))</f>
        <v/>
      </c>
      <c r="AP126" s="14" t="str">
        <f>IF(A126="","",(1/Inputs!$B$9)*(PI()*(Inputs!$F$14/1000)^2/4)*((Inputs!$F$14/1000/4)^(2/3))*SQRT(P126))</f>
        <v/>
      </c>
      <c r="AQ126" s="14" t="str">
        <f t="shared" si="125"/>
        <v/>
      </c>
      <c r="AR126" s="14" t="str">
        <f t="shared" si="126"/>
        <v/>
      </c>
      <c r="AS126" s="17" t="str">
        <f>IF(A126="","",IF(J126="",Inputs!$B$18,J126))</f>
        <v/>
      </c>
      <c r="AT126" s="17" t="str">
        <f>IF(A126="","",IFERROR(_xludf.maxifs($AV$4:$AV$201,$D$4:$D$201,$A126),""))</f>
        <v/>
      </c>
      <c r="AU126" s="17" t="str">
        <f>IF(A126="","",IF(OR(E126="",Inputs!$B$23=""),"",E126/(Inputs!$B$23*60)))</f>
        <v/>
      </c>
      <c r="AV126" s="17" t="str">
        <f t="shared" si="127"/>
        <v/>
      </c>
      <c r="AW126" s="17" t="str">
        <f t="shared" si="128"/>
        <v/>
      </c>
      <c r="AX126" s="17" t="str">
        <f>IF(OR(T126="",P126=""),"",(1/Inputs!$B$9)*((T126/4)^(2/3))*SQRT(P126))</f>
        <v/>
      </c>
      <c r="AY126" s="17" t="str">
        <f>IF(A126="","",IF(AND(AW126="",AX126="",BA126=""),"",IF(OR(UPPER(TRIM(Inputs!$B$24))="MANNING",UPPER(TRIM(Inputs!$B$24))="M"),AX126,IF(OR(UPPER(TRIM(Inputs!$B$24))="PARTIAL",UPPER(TRIM(Inputs!$B$24))="P"),BA126,IF(OR(UPPER(TRIM(Inputs!$B$24))="MAX",UPPER(TRIM(Inputs!$B$24))="X"),MAX(IF(AW126="",0,AW126),IF(AX126="",0,AX126),IF(BA126="",0,BA126)),AW126)))))</f>
        <v/>
      </c>
      <c r="AZ126" s="17" t="str">
        <f t="shared" si="129"/>
        <v/>
      </c>
      <c r="BA126" s="17" t="str">
        <f t="shared" si="130"/>
        <v/>
      </c>
      <c r="BB126" s="14" t="str">
        <f t="shared" si="131"/>
        <v/>
      </c>
      <c r="BC126" s="14" t="str">
        <f>IF(OR(N126="",T126="",P126=""),"",IF(OR(T126="",P126="",(0.94*T126)="",T126&lt;=0,(0.94*T126)&lt;=0),"",(1/Inputs!$B$9)*((T126^2/8)*((2*ACOS(1-2*(0.94*T126)/T126))-SIN((2*ACOS(1-2*(0.94*T126)/T126)))))*((((T126^2/8)*((2*ACOS(1-2*(0.94*T126)/T126))-SIN((2*ACOS(1-2*(0.94*T126)/T126)))))/((T126/2)*((2*ACOS(1-2*(0.94*T126)/T126)))))^(2/3))*SQRT(P126)))</f>
        <v/>
      </c>
      <c r="BD126" s="14" t="str">
        <f t="shared" si="132"/>
        <v/>
      </c>
      <c r="BE126" s="14" t="str">
        <f t="shared" si="133"/>
        <v/>
      </c>
      <c r="BF126" s="14" t="str">
        <f t="shared" si="134"/>
        <v/>
      </c>
      <c r="BG126" s="14" t="str">
        <f>IF(OR(T126="",P126="",BF126="",T126&lt;=0,BF126&lt;=0),"",(1/Inputs!$B$9)*((T126^2/8)*((2*ACOS(1-2*BF126/T126))-SIN((2*ACOS(1-2*BF126/T126)))))*((((T126^2/8)*((2*ACOS(1-2*BF126/T126))-SIN((2*ACOS(1-2*BF126/T126)))))/((T126/2)*((2*ACOS(1-2*BF126/T126)))))^(2/3))*SQRT(P126))</f>
        <v/>
      </c>
      <c r="BH126" s="14" t="str">
        <f t="shared" si="135"/>
        <v/>
      </c>
      <c r="BI126" s="14" t="str">
        <f t="shared" si="136"/>
        <v/>
      </c>
      <c r="BJ126" s="14" t="str">
        <f t="shared" si="137"/>
        <v/>
      </c>
      <c r="BK126" s="14" t="str">
        <f>IF(OR(T126="",P126="",BJ126="",T126&lt;=0,BJ126&lt;=0),"",(1/Inputs!$B$9)*((T126^2/8)*((2*ACOS(1-2*BJ126/T126))-SIN((2*ACOS(1-2*BJ126/T126)))))*((((T126^2/8)*((2*ACOS(1-2*BJ126/T126))-SIN((2*ACOS(1-2*BJ126/T126)))))/((T126/2)*((2*ACOS(1-2*BJ126/T126)))))^(2/3))*SQRT(P126))</f>
        <v/>
      </c>
      <c r="BL126" s="14" t="str">
        <f t="shared" si="138"/>
        <v/>
      </c>
      <c r="BM126" s="14" t="str">
        <f t="shared" si="139"/>
        <v/>
      </c>
      <c r="BN126" s="14" t="str">
        <f t="shared" si="140"/>
        <v/>
      </c>
      <c r="BO126" s="14" t="str">
        <f>IF(OR(T126="",P126="",BN126="",T126&lt;=0,BN126&lt;=0),"",(1/Inputs!$B$9)*((T126^2/8)*((2*ACOS(1-2*BN126/T126))-SIN((2*ACOS(1-2*BN126/T126)))))*((((T126^2/8)*((2*ACOS(1-2*BN126/T126))-SIN((2*ACOS(1-2*BN126/T126)))))/((T126/2)*((2*ACOS(1-2*BN126/T126)))))^(2/3))*SQRT(P126))</f>
        <v/>
      </c>
      <c r="BP126" s="14" t="str">
        <f t="shared" si="141"/>
        <v/>
      </c>
      <c r="BQ126" s="14" t="str">
        <f t="shared" si="142"/>
        <v/>
      </c>
      <c r="BR126" s="14" t="str">
        <f t="shared" si="143"/>
        <v/>
      </c>
      <c r="BS126" s="14" t="str">
        <f>IF(OR(T126="",P126="",BR126="",T126&lt;=0,BR126&lt;=0),"",(1/Inputs!$B$9)*((T126^2/8)*((2*ACOS(1-2*BR126/T126))-SIN((2*ACOS(1-2*BR126/T126)))))*((((T126^2/8)*((2*ACOS(1-2*BR126/T126))-SIN((2*ACOS(1-2*BR126/T126)))))/((T126/2)*((2*ACOS(1-2*BR126/T126)))))^(2/3))*SQRT(P126))</f>
        <v/>
      </c>
      <c r="BT126" s="14" t="str">
        <f t="shared" si="144"/>
        <v/>
      </c>
      <c r="BU126" s="14" t="str">
        <f t="shared" si="145"/>
        <v/>
      </c>
      <c r="BV126" s="14" t="str">
        <f t="shared" si="146"/>
        <v/>
      </c>
      <c r="BW126" s="14" t="str">
        <f>IF(OR(T126="",P126="",BV126="",T126&lt;=0,BV126&lt;=0),"",(1/Inputs!$B$9)*((T126^2/8)*((2*ACOS(1-2*BV126/T126))-SIN((2*ACOS(1-2*BV126/T126)))))*((((T126^2/8)*((2*ACOS(1-2*BV126/T126))-SIN((2*ACOS(1-2*BV126/T126)))))/((T126/2)*((2*ACOS(1-2*BV126/T126)))))^(2/3))*SQRT(P126))</f>
        <v/>
      </c>
      <c r="BX126" s="14" t="str">
        <f t="shared" si="147"/>
        <v/>
      </c>
      <c r="BY126" s="14" t="str">
        <f t="shared" si="148"/>
        <v/>
      </c>
      <c r="BZ126" s="14" t="str">
        <f t="shared" si="149"/>
        <v/>
      </c>
      <c r="CA126" s="14" t="str">
        <f>IF(OR(T126="",P126="",BZ126="",T126&lt;=0,BZ126&lt;=0),"",(1/Inputs!$B$9)*((T126^2/8)*((2*ACOS(1-2*BZ126/T126))-SIN((2*ACOS(1-2*BZ126/T126)))))*((((T126^2/8)*((2*ACOS(1-2*BZ126/T126))-SIN((2*ACOS(1-2*BZ126/T126)))))/((T126/2)*((2*ACOS(1-2*BZ126/T126)))))^(2/3))*SQRT(P126))</f>
        <v/>
      </c>
      <c r="CB126" s="14" t="str">
        <f t="shared" si="150"/>
        <v/>
      </c>
      <c r="CC126" s="14" t="str">
        <f t="shared" si="151"/>
        <v/>
      </c>
      <c r="CD126" s="14" t="str">
        <f t="shared" si="152"/>
        <v/>
      </c>
      <c r="CE126" s="14" t="str">
        <f>IF(OR(T126="",P126="",CD126="",T126&lt;=0,CD126&lt;=0),"",(1/Inputs!$B$9)*((T126^2/8)*((2*ACOS(1-2*CD126/T126))-SIN((2*ACOS(1-2*CD126/T126)))))*((((T126^2/8)*((2*ACOS(1-2*CD126/T126))-SIN((2*ACOS(1-2*CD126/T126)))))/((T126/2)*((2*ACOS(1-2*CD126/T126)))))^(2/3))*SQRT(P126))</f>
        <v/>
      </c>
      <c r="CF126" s="14" t="str">
        <f t="shared" si="153"/>
        <v/>
      </c>
      <c r="CG126" s="14" t="str">
        <f t="shared" si="154"/>
        <v/>
      </c>
      <c r="CH126" s="14" t="str">
        <f t="shared" si="155"/>
        <v/>
      </c>
    </row>
    <row r="127" spans="1:86" x14ac:dyDescent="0.25">
      <c r="A127" s="14"/>
      <c r="B127" s="14"/>
      <c r="C127" s="14"/>
      <c r="D127" s="14"/>
      <c r="E127" s="44"/>
      <c r="F127" s="44"/>
      <c r="G127" s="44">
        <f>SUMIFS(CB_plan!$G:$G,CB_plan!$F:$F,$A127)</f>
        <v>0</v>
      </c>
      <c r="H127" s="44">
        <f t="shared" si="117"/>
        <v>0</v>
      </c>
      <c r="I127" s="14"/>
      <c r="J127" s="44"/>
      <c r="K127" s="44" t="str">
        <f>IF(A127="","",Inputs!$B$13/((IF(AV127="",Inputs!$B$18,AV127)+Inputs!$B$14)^Inputs!$B$15))</f>
        <v/>
      </c>
      <c r="L127" s="44" t="str">
        <f>IF(A127="","",IF(H127="","",0.000000278*IF(I127&lt;&gt;"",I127,IFERROR(SUMIFS(CB_plan!$H:$H,CB_plan!$F:$F,$A127)/SUMIFS(CB_plan!$G:$G,CB_plan!$F:$F,$A127),Inputs!$B$17))*H127*K127))</f>
        <v/>
      </c>
      <c r="M127" s="44" t="str">
        <f t="shared" si="118"/>
        <v/>
      </c>
      <c r="N127" s="44" t="str">
        <f>IF(A127="","",(L127+M127)*Inputs!$B$16)</f>
        <v/>
      </c>
      <c r="O127" s="44"/>
      <c r="P127" s="44" t="str">
        <f>IF(A127="","",IF(O127="",Inputs!$B$7,O127))</f>
        <v/>
      </c>
      <c r="Q127" s="14" t="str">
        <f>IF(A127="","",IF(N127/Inputs!$B$10&lt;=AG127,Inputs!$F$5,IF(N127/Inputs!$B$10&gt;AP127,"OVERSIZE",INDEX(Inputs!$F$5:$F$14,MATCH(N127/Inputs!$B$10,AG127:AP127,1)+1))))</f>
        <v/>
      </c>
      <c r="R127" s="14"/>
      <c r="S127" s="14" t="str">
        <f t="shared" si="119"/>
        <v/>
      </c>
      <c r="T127" s="44" t="str">
        <f t="shared" si="120"/>
        <v/>
      </c>
      <c r="U127" s="44" t="str">
        <f>IF(T127="","",(1/Inputs!$B$9)*(PI()*T127^2/4)*((T127/4)^(2/3))*SQRT(P127))</f>
        <v/>
      </c>
      <c r="V127" s="44" t="str">
        <f>IF(OR(U127="",N127=""),"",N127/(U127*Inputs!$B$10))</f>
        <v/>
      </c>
      <c r="W127" s="44" t="str">
        <f t="shared" si="121"/>
        <v/>
      </c>
      <c r="X127" s="44"/>
      <c r="Y127" s="44" t="str">
        <f>IF(A127="","",IF(A127=Inputs!$B$6,Inputs!$B$22,IF(D127="","",IFERROR(INDEX($Z$4:$Z$201,MATCH(D127,$A$4:$A$201,0))+IF(X127="",Inputs!$B$20,X127),""))))</f>
        <v/>
      </c>
      <c r="Z127" s="44" t="str">
        <f t="shared" si="122"/>
        <v/>
      </c>
      <c r="AA127" s="44" t="str">
        <f>IF(C127="","",IFERROR(INDEX(Noeuds_plan!$C$4:$C$200,MATCH(C127,Noeuds_plan!$A$4:$A$200,0)),""))</f>
        <v/>
      </c>
      <c r="AB127" s="44" t="str">
        <f>IF(B127="","",IFERROR(INDEX(Noeuds_plan!$C$4:$C$200,MATCH(B127,Noeuds_plan!$A$4:$A$200,0)),""))</f>
        <v/>
      </c>
      <c r="AC127" s="44" t="str">
        <f t="shared" si="123"/>
        <v/>
      </c>
      <c r="AD127" s="44" t="str">
        <f t="shared" si="124"/>
        <v/>
      </c>
      <c r="AE127" s="14" t="str">
        <f>IF(A127="","",IF(OR(V127&gt;1,AND(AY127&lt;&gt;"",AY127&lt;Inputs!$B$11),AND(AY127&lt;&gt;"",AY127&gt;Inputs!$B$12),AC127&lt;Inputs!$B$19,AD127&lt;Inputs!$B$19,P127&lt;Inputs!$B$7,P127&gt;Inputs!$B$8),"CHECK","OK"))</f>
        <v/>
      </c>
      <c r="AF127" s="14"/>
      <c r="AG127" s="14" t="str">
        <f>IF(A127="","",(1/Inputs!$B$9)*(PI()*(Inputs!$F$5/1000)^2/4)*((Inputs!$F$5/1000/4)^(2/3))*SQRT(P127))</f>
        <v/>
      </c>
      <c r="AH127" s="14" t="str">
        <f>IF(A127="","",(1/Inputs!$B$9)*(PI()*(Inputs!$F$6/1000)^2/4)*((Inputs!$F$6/1000/4)^(2/3))*SQRT(P127))</f>
        <v/>
      </c>
      <c r="AI127" s="14" t="str">
        <f>IF(A127="","",(1/Inputs!$B$9)*(PI()*(Inputs!$F$7/1000)^2/4)*((Inputs!$F$7/1000/4)^(2/3))*SQRT(P127))</f>
        <v/>
      </c>
      <c r="AJ127" s="14" t="str">
        <f>IF(A127="","",(1/Inputs!$B$9)*(PI()*(Inputs!$F$8/1000)^2/4)*((Inputs!$F$8/1000/4)^(2/3))*SQRT(P127))</f>
        <v/>
      </c>
      <c r="AK127" s="14" t="str">
        <f>IF(A127="","",(1/Inputs!$B$9)*(PI()*(Inputs!$F$9/1000)^2/4)*((Inputs!$F$9/1000/4)^(2/3))*SQRT(P127))</f>
        <v/>
      </c>
      <c r="AL127" s="14" t="str">
        <f>IF(A127="","",(1/Inputs!$B$9)*(PI()*(Inputs!$F$10/1000)^2/4)*((Inputs!$F$10/1000/4)^(2/3))*SQRT(P127))</f>
        <v/>
      </c>
      <c r="AM127" s="14" t="str">
        <f>IF(A127="","",(1/Inputs!$B$9)*(PI()*(Inputs!$F$11/1000)^2/4)*((Inputs!$F$11/1000/4)^(2/3))*SQRT(P127))</f>
        <v/>
      </c>
      <c r="AN127" s="14" t="str">
        <f>IF(A127="","",(1/Inputs!$B$9)*(PI()*(Inputs!$F$12/1000)^2/4)*((Inputs!$F$12/1000/4)^(2/3))*SQRT(P127))</f>
        <v/>
      </c>
      <c r="AO127" s="14" t="str">
        <f>IF(A127="","",(1/Inputs!$B$9)*(PI()*(Inputs!$F$13/1000)^2/4)*((Inputs!$F$13/1000/4)^(2/3))*SQRT(P127))</f>
        <v/>
      </c>
      <c r="AP127" s="14" t="str">
        <f>IF(A127="","",(1/Inputs!$B$9)*(PI()*(Inputs!$F$14/1000)^2/4)*((Inputs!$F$14/1000/4)^(2/3))*SQRT(P127))</f>
        <v/>
      </c>
      <c r="AQ127" s="14" t="str">
        <f t="shared" si="125"/>
        <v/>
      </c>
      <c r="AR127" s="14" t="str">
        <f t="shared" si="126"/>
        <v/>
      </c>
      <c r="AS127" s="17" t="str">
        <f>IF(A127="","",IF(J127="",Inputs!$B$18,J127))</f>
        <v/>
      </c>
      <c r="AT127" s="17" t="str">
        <f>IF(A127="","",IFERROR(_xludf.maxifs($AV$4:$AV$201,$D$4:$D$201,$A127),""))</f>
        <v/>
      </c>
      <c r="AU127" s="17" t="str">
        <f>IF(A127="","",IF(OR(E127="",Inputs!$B$23=""),"",E127/(Inputs!$B$23*60)))</f>
        <v/>
      </c>
      <c r="AV127" s="17" t="str">
        <f t="shared" si="127"/>
        <v/>
      </c>
      <c r="AW127" s="17" t="str">
        <f t="shared" si="128"/>
        <v/>
      </c>
      <c r="AX127" s="17" t="str">
        <f>IF(OR(T127="",P127=""),"",(1/Inputs!$B$9)*((T127/4)^(2/3))*SQRT(P127))</f>
        <v/>
      </c>
      <c r="AY127" s="17" t="str">
        <f>IF(A127="","",IF(AND(AW127="",AX127="",BA127=""),"",IF(OR(UPPER(TRIM(Inputs!$B$24))="MANNING",UPPER(TRIM(Inputs!$B$24))="M"),AX127,IF(OR(UPPER(TRIM(Inputs!$B$24))="PARTIAL",UPPER(TRIM(Inputs!$B$24))="P"),BA127,IF(OR(UPPER(TRIM(Inputs!$B$24))="MAX",UPPER(TRIM(Inputs!$B$24))="X"),MAX(IF(AW127="",0,AW127),IF(AX127="",0,AX127),IF(BA127="",0,BA127)),AW127)))))</f>
        <v/>
      </c>
      <c r="AZ127" s="17" t="str">
        <f t="shared" si="129"/>
        <v/>
      </c>
      <c r="BA127" s="17" t="str">
        <f t="shared" si="130"/>
        <v/>
      </c>
      <c r="BB127" s="14" t="str">
        <f t="shared" si="131"/>
        <v/>
      </c>
      <c r="BC127" s="14" t="str">
        <f>IF(OR(N127="",T127="",P127=""),"",IF(OR(T127="",P127="",(0.94*T127)="",T127&lt;=0,(0.94*T127)&lt;=0),"",(1/Inputs!$B$9)*((T127^2/8)*((2*ACOS(1-2*(0.94*T127)/T127))-SIN((2*ACOS(1-2*(0.94*T127)/T127)))))*((((T127^2/8)*((2*ACOS(1-2*(0.94*T127)/T127))-SIN((2*ACOS(1-2*(0.94*T127)/T127)))))/((T127/2)*((2*ACOS(1-2*(0.94*T127)/T127)))))^(2/3))*SQRT(P127)))</f>
        <v/>
      </c>
      <c r="BD127" s="14" t="str">
        <f t="shared" si="132"/>
        <v/>
      </c>
      <c r="BE127" s="14" t="str">
        <f t="shared" si="133"/>
        <v/>
      </c>
      <c r="BF127" s="14" t="str">
        <f t="shared" si="134"/>
        <v/>
      </c>
      <c r="BG127" s="14" t="str">
        <f>IF(OR(T127="",P127="",BF127="",T127&lt;=0,BF127&lt;=0),"",(1/Inputs!$B$9)*((T127^2/8)*((2*ACOS(1-2*BF127/T127))-SIN((2*ACOS(1-2*BF127/T127)))))*((((T127^2/8)*((2*ACOS(1-2*BF127/T127))-SIN((2*ACOS(1-2*BF127/T127)))))/((T127/2)*((2*ACOS(1-2*BF127/T127)))))^(2/3))*SQRT(P127))</f>
        <v/>
      </c>
      <c r="BH127" s="14" t="str">
        <f t="shared" si="135"/>
        <v/>
      </c>
      <c r="BI127" s="14" t="str">
        <f t="shared" si="136"/>
        <v/>
      </c>
      <c r="BJ127" s="14" t="str">
        <f t="shared" si="137"/>
        <v/>
      </c>
      <c r="BK127" s="14" t="str">
        <f>IF(OR(T127="",P127="",BJ127="",T127&lt;=0,BJ127&lt;=0),"",(1/Inputs!$B$9)*((T127^2/8)*((2*ACOS(1-2*BJ127/T127))-SIN((2*ACOS(1-2*BJ127/T127)))))*((((T127^2/8)*((2*ACOS(1-2*BJ127/T127))-SIN((2*ACOS(1-2*BJ127/T127)))))/((T127/2)*((2*ACOS(1-2*BJ127/T127)))))^(2/3))*SQRT(P127))</f>
        <v/>
      </c>
      <c r="BL127" s="14" t="str">
        <f t="shared" si="138"/>
        <v/>
      </c>
      <c r="BM127" s="14" t="str">
        <f t="shared" si="139"/>
        <v/>
      </c>
      <c r="BN127" s="14" t="str">
        <f t="shared" si="140"/>
        <v/>
      </c>
      <c r="BO127" s="14" t="str">
        <f>IF(OR(T127="",P127="",BN127="",T127&lt;=0,BN127&lt;=0),"",(1/Inputs!$B$9)*((T127^2/8)*((2*ACOS(1-2*BN127/T127))-SIN((2*ACOS(1-2*BN127/T127)))))*((((T127^2/8)*((2*ACOS(1-2*BN127/T127))-SIN((2*ACOS(1-2*BN127/T127)))))/((T127/2)*((2*ACOS(1-2*BN127/T127)))))^(2/3))*SQRT(P127))</f>
        <v/>
      </c>
      <c r="BP127" s="14" t="str">
        <f t="shared" si="141"/>
        <v/>
      </c>
      <c r="BQ127" s="14" t="str">
        <f t="shared" si="142"/>
        <v/>
      </c>
      <c r="BR127" s="14" t="str">
        <f t="shared" si="143"/>
        <v/>
      </c>
      <c r="BS127" s="14" t="str">
        <f>IF(OR(T127="",P127="",BR127="",T127&lt;=0,BR127&lt;=0),"",(1/Inputs!$B$9)*((T127^2/8)*((2*ACOS(1-2*BR127/T127))-SIN((2*ACOS(1-2*BR127/T127)))))*((((T127^2/8)*((2*ACOS(1-2*BR127/T127))-SIN((2*ACOS(1-2*BR127/T127)))))/((T127/2)*((2*ACOS(1-2*BR127/T127)))))^(2/3))*SQRT(P127))</f>
        <v/>
      </c>
      <c r="BT127" s="14" t="str">
        <f t="shared" si="144"/>
        <v/>
      </c>
      <c r="BU127" s="14" t="str">
        <f t="shared" si="145"/>
        <v/>
      </c>
      <c r="BV127" s="14" t="str">
        <f t="shared" si="146"/>
        <v/>
      </c>
      <c r="BW127" s="14" t="str">
        <f>IF(OR(T127="",P127="",BV127="",T127&lt;=0,BV127&lt;=0),"",(1/Inputs!$B$9)*((T127^2/8)*((2*ACOS(1-2*BV127/T127))-SIN((2*ACOS(1-2*BV127/T127)))))*((((T127^2/8)*((2*ACOS(1-2*BV127/T127))-SIN((2*ACOS(1-2*BV127/T127)))))/((T127/2)*((2*ACOS(1-2*BV127/T127)))))^(2/3))*SQRT(P127))</f>
        <v/>
      </c>
      <c r="BX127" s="14" t="str">
        <f t="shared" si="147"/>
        <v/>
      </c>
      <c r="BY127" s="14" t="str">
        <f t="shared" si="148"/>
        <v/>
      </c>
      <c r="BZ127" s="14" t="str">
        <f t="shared" si="149"/>
        <v/>
      </c>
      <c r="CA127" s="14" t="str">
        <f>IF(OR(T127="",P127="",BZ127="",T127&lt;=0,BZ127&lt;=0),"",(1/Inputs!$B$9)*((T127^2/8)*((2*ACOS(1-2*BZ127/T127))-SIN((2*ACOS(1-2*BZ127/T127)))))*((((T127^2/8)*((2*ACOS(1-2*BZ127/T127))-SIN((2*ACOS(1-2*BZ127/T127)))))/((T127/2)*((2*ACOS(1-2*BZ127/T127)))))^(2/3))*SQRT(P127))</f>
        <v/>
      </c>
      <c r="CB127" s="14" t="str">
        <f t="shared" si="150"/>
        <v/>
      </c>
      <c r="CC127" s="14" t="str">
        <f t="shared" si="151"/>
        <v/>
      </c>
      <c r="CD127" s="14" t="str">
        <f t="shared" si="152"/>
        <v/>
      </c>
      <c r="CE127" s="14" t="str">
        <f>IF(OR(T127="",P127="",CD127="",T127&lt;=0,CD127&lt;=0),"",(1/Inputs!$B$9)*((T127^2/8)*((2*ACOS(1-2*CD127/T127))-SIN((2*ACOS(1-2*CD127/T127)))))*((((T127^2/8)*((2*ACOS(1-2*CD127/T127))-SIN((2*ACOS(1-2*CD127/T127)))))/((T127/2)*((2*ACOS(1-2*CD127/T127)))))^(2/3))*SQRT(P127))</f>
        <v/>
      </c>
      <c r="CF127" s="14" t="str">
        <f t="shared" si="153"/>
        <v/>
      </c>
      <c r="CG127" s="14" t="str">
        <f t="shared" si="154"/>
        <v/>
      </c>
      <c r="CH127" s="14" t="str">
        <f t="shared" si="155"/>
        <v/>
      </c>
    </row>
    <row r="128" spans="1:86" x14ac:dyDescent="0.25">
      <c r="A128" s="14"/>
      <c r="B128" s="14"/>
      <c r="C128" s="14"/>
      <c r="D128" s="14"/>
      <c r="E128" s="44"/>
      <c r="F128" s="44"/>
      <c r="G128" s="44">
        <f>SUMIFS(CB_plan!$G:$G,CB_plan!$F:$F,$A128)</f>
        <v>0</v>
      </c>
      <c r="H128" s="44">
        <f t="shared" si="117"/>
        <v>0</v>
      </c>
      <c r="I128" s="14"/>
      <c r="J128" s="44"/>
      <c r="K128" s="44" t="str">
        <f>IF(A128="","",Inputs!$B$13/((IF(AV128="",Inputs!$B$18,AV128)+Inputs!$B$14)^Inputs!$B$15))</f>
        <v/>
      </c>
      <c r="L128" s="44" t="str">
        <f>IF(A128="","",IF(H128="","",0.000000278*IF(I128&lt;&gt;"",I128,IFERROR(SUMIFS(CB_plan!$H:$H,CB_plan!$F:$F,$A128)/SUMIFS(CB_plan!$G:$G,CB_plan!$F:$F,$A128),Inputs!$B$17))*H128*K128))</f>
        <v/>
      </c>
      <c r="M128" s="44" t="str">
        <f t="shared" si="118"/>
        <v/>
      </c>
      <c r="N128" s="44" t="str">
        <f>IF(A128="","",(L128+M128)*Inputs!$B$16)</f>
        <v/>
      </c>
      <c r="O128" s="44"/>
      <c r="P128" s="44" t="str">
        <f>IF(A128="","",IF(O128="",Inputs!$B$7,O128))</f>
        <v/>
      </c>
      <c r="Q128" s="14" t="str">
        <f>IF(A128="","",IF(N128/Inputs!$B$10&lt;=AG128,Inputs!$F$5,IF(N128/Inputs!$B$10&gt;AP128,"OVERSIZE",INDEX(Inputs!$F$5:$F$14,MATCH(N128/Inputs!$B$10,AG128:AP128,1)+1))))</f>
        <v/>
      </c>
      <c r="R128" s="14"/>
      <c r="S128" s="14" t="str">
        <f t="shared" si="119"/>
        <v/>
      </c>
      <c r="T128" s="44" t="str">
        <f t="shared" si="120"/>
        <v/>
      </c>
      <c r="U128" s="44" t="str">
        <f>IF(T128="","",(1/Inputs!$B$9)*(PI()*T128^2/4)*((T128/4)^(2/3))*SQRT(P128))</f>
        <v/>
      </c>
      <c r="V128" s="44" t="str">
        <f>IF(OR(U128="",N128=""),"",N128/(U128*Inputs!$B$10))</f>
        <v/>
      </c>
      <c r="W128" s="44" t="str">
        <f t="shared" si="121"/>
        <v/>
      </c>
      <c r="X128" s="44"/>
      <c r="Y128" s="44" t="str">
        <f>IF(A128="","",IF(A128=Inputs!$B$6,Inputs!$B$22,IF(D128="","",IFERROR(INDEX($Z$4:$Z$201,MATCH(D128,$A$4:$A$201,0))+IF(X128="",Inputs!$B$20,X128),""))))</f>
        <v/>
      </c>
      <c r="Z128" s="44" t="str">
        <f t="shared" si="122"/>
        <v/>
      </c>
      <c r="AA128" s="44" t="str">
        <f>IF(C128="","",IFERROR(INDEX(Noeuds_plan!$C$4:$C$200,MATCH(C128,Noeuds_plan!$A$4:$A$200,0)),""))</f>
        <v/>
      </c>
      <c r="AB128" s="44" t="str">
        <f>IF(B128="","",IFERROR(INDEX(Noeuds_plan!$C$4:$C$200,MATCH(B128,Noeuds_plan!$A$4:$A$200,0)),""))</f>
        <v/>
      </c>
      <c r="AC128" s="44" t="str">
        <f t="shared" si="123"/>
        <v/>
      </c>
      <c r="AD128" s="44" t="str">
        <f t="shared" si="124"/>
        <v/>
      </c>
      <c r="AE128" s="14" t="str">
        <f>IF(A128="","",IF(OR(V128&gt;1,AND(AY128&lt;&gt;"",AY128&lt;Inputs!$B$11),AND(AY128&lt;&gt;"",AY128&gt;Inputs!$B$12),AC128&lt;Inputs!$B$19,AD128&lt;Inputs!$B$19,P128&lt;Inputs!$B$7,P128&gt;Inputs!$B$8),"CHECK","OK"))</f>
        <v/>
      </c>
      <c r="AF128" s="14"/>
      <c r="AG128" s="14" t="str">
        <f>IF(A128="","",(1/Inputs!$B$9)*(PI()*(Inputs!$F$5/1000)^2/4)*((Inputs!$F$5/1000/4)^(2/3))*SQRT(P128))</f>
        <v/>
      </c>
      <c r="AH128" s="14" t="str">
        <f>IF(A128="","",(1/Inputs!$B$9)*(PI()*(Inputs!$F$6/1000)^2/4)*((Inputs!$F$6/1000/4)^(2/3))*SQRT(P128))</f>
        <v/>
      </c>
      <c r="AI128" s="14" t="str">
        <f>IF(A128="","",(1/Inputs!$B$9)*(PI()*(Inputs!$F$7/1000)^2/4)*((Inputs!$F$7/1000/4)^(2/3))*SQRT(P128))</f>
        <v/>
      </c>
      <c r="AJ128" s="14" t="str">
        <f>IF(A128="","",(1/Inputs!$B$9)*(PI()*(Inputs!$F$8/1000)^2/4)*((Inputs!$F$8/1000/4)^(2/3))*SQRT(P128))</f>
        <v/>
      </c>
      <c r="AK128" s="14" t="str">
        <f>IF(A128="","",(1/Inputs!$B$9)*(PI()*(Inputs!$F$9/1000)^2/4)*((Inputs!$F$9/1000/4)^(2/3))*SQRT(P128))</f>
        <v/>
      </c>
      <c r="AL128" s="14" t="str">
        <f>IF(A128="","",(1/Inputs!$B$9)*(PI()*(Inputs!$F$10/1000)^2/4)*((Inputs!$F$10/1000/4)^(2/3))*SQRT(P128))</f>
        <v/>
      </c>
      <c r="AM128" s="14" t="str">
        <f>IF(A128="","",(1/Inputs!$B$9)*(PI()*(Inputs!$F$11/1000)^2/4)*((Inputs!$F$11/1000/4)^(2/3))*SQRT(P128))</f>
        <v/>
      </c>
      <c r="AN128" s="14" t="str">
        <f>IF(A128="","",(1/Inputs!$B$9)*(PI()*(Inputs!$F$12/1000)^2/4)*((Inputs!$F$12/1000/4)^(2/3))*SQRT(P128))</f>
        <v/>
      </c>
      <c r="AO128" s="14" t="str">
        <f>IF(A128="","",(1/Inputs!$B$9)*(PI()*(Inputs!$F$13/1000)^2/4)*((Inputs!$F$13/1000/4)^(2/3))*SQRT(P128))</f>
        <v/>
      </c>
      <c r="AP128" s="14" t="str">
        <f>IF(A128="","",(1/Inputs!$B$9)*(PI()*(Inputs!$F$14/1000)^2/4)*((Inputs!$F$14/1000/4)^(2/3))*SQRT(P128))</f>
        <v/>
      </c>
      <c r="AQ128" s="14" t="str">
        <f t="shared" si="125"/>
        <v/>
      </c>
      <c r="AR128" s="14" t="str">
        <f t="shared" si="126"/>
        <v/>
      </c>
      <c r="AS128" s="17" t="str">
        <f>IF(A128="","",IF(J128="",Inputs!$B$18,J128))</f>
        <v/>
      </c>
      <c r="AT128" s="17" t="str">
        <f>IF(A128="","",IFERROR(_xludf.maxifs($AV$4:$AV$201,$D$4:$D$201,$A128),""))</f>
        <v/>
      </c>
      <c r="AU128" s="17" t="str">
        <f>IF(A128="","",IF(OR(E128="",Inputs!$B$23=""),"",E128/(Inputs!$B$23*60)))</f>
        <v/>
      </c>
      <c r="AV128" s="17" t="str">
        <f t="shared" si="127"/>
        <v/>
      </c>
      <c r="AW128" s="17" t="str">
        <f t="shared" si="128"/>
        <v/>
      </c>
      <c r="AX128" s="17" t="str">
        <f>IF(OR(T128="",P128=""),"",(1/Inputs!$B$9)*((T128/4)^(2/3))*SQRT(P128))</f>
        <v/>
      </c>
      <c r="AY128" s="17" t="str">
        <f>IF(A128="","",IF(AND(AW128="",AX128="",BA128=""),"",IF(OR(UPPER(TRIM(Inputs!$B$24))="MANNING",UPPER(TRIM(Inputs!$B$24))="M"),AX128,IF(OR(UPPER(TRIM(Inputs!$B$24))="PARTIAL",UPPER(TRIM(Inputs!$B$24))="P"),BA128,IF(OR(UPPER(TRIM(Inputs!$B$24))="MAX",UPPER(TRIM(Inputs!$B$24))="X"),MAX(IF(AW128="",0,AW128),IF(AX128="",0,AX128),IF(BA128="",0,BA128)),AW128)))))</f>
        <v/>
      </c>
      <c r="AZ128" s="17" t="str">
        <f t="shared" si="129"/>
        <v/>
      </c>
      <c r="BA128" s="17" t="str">
        <f t="shared" si="130"/>
        <v/>
      </c>
      <c r="BB128" s="14" t="str">
        <f t="shared" si="131"/>
        <v/>
      </c>
      <c r="BC128" s="14" t="str">
        <f>IF(OR(N128="",T128="",P128=""),"",IF(OR(T128="",P128="",(0.94*T128)="",T128&lt;=0,(0.94*T128)&lt;=0),"",(1/Inputs!$B$9)*((T128^2/8)*((2*ACOS(1-2*(0.94*T128)/T128))-SIN((2*ACOS(1-2*(0.94*T128)/T128)))))*((((T128^2/8)*((2*ACOS(1-2*(0.94*T128)/T128))-SIN((2*ACOS(1-2*(0.94*T128)/T128)))))/((T128/2)*((2*ACOS(1-2*(0.94*T128)/T128)))))^(2/3))*SQRT(P128)))</f>
        <v/>
      </c>
      <c r="BD128" s="14" t="str">
        <f t="shared" si="132"/>
        <v/>
      </c>
      <c r="BE128" s="14" t="str">
        <f t="shared" si="133"/>
        <v/>
      </c>
      <c r="BF128" s="14" t="str">
        <f t="shared" si="134"/>
        <v/>
      </c>
      <c r="BG128" s="14" t="str">
        <f>IF(OR(T128="",P128="",BF128="",T128&lt;=0,BF128&lt;=0),"",(1/Inputs!$B$9)*((T128^2/8)*((2*ACOS(1-2*BF128/T128))-SIN((2*ACOS(1-2*BF128/T128)))))*((((T128^2/8)*((2*ACOS(1-2*BF128/T128))-SIN((2*ACOS(1-2*BF128/T128)))))/((T128/2)*((2*ACOS(1-2*BF128/T128)))))^(2/3))*SQRT(P128))</f>
        <v/>
      </c>
      <c r="BH128" s="14" t="str">
        <f t="shared" si="135"/>
        <v/>
      </c>
      <c r="BI128" s="14" t="str">
        <f t="shared" si="136"/>
        <v/>
      </c>
      <c r="BJ128" s="14" t="str">
        <f t="shared" si="137"/>
        <v/>
      </c>
      <c r="BK128" s="14" t="str">
        <f>IF(OR(T128="",P128="",BJ128="",T128&lt;=0,BJ128&lt;=0),"",(1/Inputs!$B$9)*((T128^2/8)*((2*ACOS(1-2*BJ128/T128))-SIN((2*ACOS(1-2*BJ128/T128)))))*((((T128^2/8)*((2*ACOS(1-2*BJ128/T128))-SIN((2*ACOS(1-2*BJ128/T128)))))/((T128/2)*((2*ACOS(1-2*BJ128/T128)))))^(2/3))*SQRT(P128))</f>
        <v/>
      </c>
      <c r="BL128" s="14" t="str">
        <f t="shared" si="138"/>
        <v/>
      </c>
      <c r="BM128" s="14" t="str">
        <f t="shared" si="139"/>
        <v/>
      </c>
      <c r="BN128" s="14" t="str">
        <f t="shared" si="140"/>
        <v/>
      </c>
      <c r="BO128" s="14" t="str">
        <f>IF(OR(T128="",P128="",BN128="",T128&lt;=0,BN128&lt;=0),"",(1/Inputs!$B$9)*((T128^2/8)*((2*ACOS(1-2*BN128/T128))-SIN((2*ACOS(1-2*BN128/T128)))))*((((T128^2/8)*((2*ACOS(1-2*BN128/T128))-SIN((2*ACOS(1-2*BN128/T128)))))/((T128/2)*((2*ACOS(1-2*BN128/T128)))))^(2/3))*SQRT(P128))</f>
        <v/>
      </c>
      <c r="BP128" s="14" t="str">
        <f t="shared" si="141"/>
        <v/>
      </c>
      <c r="BQ128" s="14" t="str">
        <f t="shared" si="142"/>
        <v/>
      </c>
      <c r="BR128" s="14" t="str">
        <f t="shared" si="143"/>
        <v/>
      </c>
      <c r="BS128" s="14" t="str">
        <f>IF(OR(T128="",P128="",BR128="",T128&lt;=0,BR128&lt;=0),"",(1/Inputs!$B$9)*((T128^2/8)*((2*ACOS(1-2*BR128/T128))-SIN((2*ACOS(1-2*BR128/T128)))))*((((T128^2/8)*((2*ACOS(1-2*BR128/T128))-SIN((2*ACOS(1-2*BR128/T128)))))/((T128/2)*((2*ACOS(1-2*BR128/T128)))))^(2/3))*SQRT(P128))</f>
        <v/>
      </c>
      <c r="BT128" s="14" t="str">
        <f t="shared" si="144"/>
        <v/>
      </c>
      <c r="BU128" s="14" t="str">
        <f t="shared" si="145"/>
        <v/>
      </c>
      <c r="BV128" s="14" t="str">
        <f t="shared" si="146"/>
        <v/>
      </c>
      <c r="BW128" s="14" t="str">
        <f>IF(OR(T128="",P128="",BV128="",T128&lt;=0,BV128&lt;=0),"",(1/Inputs!$B$9)*((T128^2/8)*((2*ACOS(1-2*BV128/T128))-SIN((2*ACOS(1-2*BV128/T128)))))*((((T128^2/8)*((2*ACOS(1-2*BV128/T128))-SIN((2*ACOS(1-2*BV128/T128)))))/((T128/2)*((2*ACOS(1-2*BV128/T128)))))^(2/3))*SQRT(P128))</f>
        <v/>
      </c>
      <c r="BX128" s="14" t="str">
        <f t="shared" si="147"/>
        <v/>
      </c>
      <c r="BY128" s="14" t="str">
        <f t="shared" si="148"/>
        <v/>
      </c>
      <c r="BZ128" s="14" t="str">
        <f t="shared" si="149"/>
        <v/>
      </c>
      <c r="CA128" s="14" t="str">
        <f>IF(OR(T128="",P128="",BZ128="",T128&lt;=0,BZ128&lt;=0),"",(1/Inputs!$B$9)*((T128^2/8)*((2*ACOS(1-2*BZ128/T128))-SIN((2*ACOS(1-2*BZ128/T128)))))*((((T128^2/8)*((2*ACOS(1-2*BZ128/T128))-SIN((2*ACOS(1-2*BZ128/T128)))))/((T128/2)*((2*ACOS(1-2*BZ128/T128)))))^(2/3))*SQRT(P128))</f>
        <v/>
      </c>
      <c r="CB128" s="14" t="str">
        <f t="shared" si="150"/>
        <v/>
      </c>
      <c r="CC128" s="14" t="str">
        <f t="shared" si="151"/>
        <v/>
      </c>
      <c r="CD128" s="14" t="str">
        <f t="shared" si="152"/>
        <v/>
      </c>
      <c r="CE128" s="14" t="str">
        <f>IF(OR(T128="",P128="",CD128="",T128&lt;=0,CD128&lt;=0),"",(1/Inputs!$B$9)*((T128^2/8)*((2*ACOS(1-2*CD128/T128))-SIN((2*ACOS(1-2*CD128/T128)))))*((((T128^2/8)*((2*ACOS(1-2*CD128/T128))-SIN((2*ACOS(1-2*CD128/T128)))))/((T128/2)*((2*ACOS(1-2*CD128/T128)))))^(2/3))*SQRT(P128))</f>
        <v/>
      </c>
      <c r="CF128" s="14" t="str">
        <f t="shared" si="153"/>
        <v/>
      </c>
      <c r="CG128" s="14" t="str">
        <f t="shared" si="154"/>
        <v/>
      </c>
      <c r="CH128" s="14" t="str">
        <f t="shared" si="155"/>
        <v/>
      </c>
    </row>
    <row r="129" spans="1:86" x14ac:dyDescent="0.25">
      <c r="A129" s="14"/>
      <c r="B129" s="14"/>
      <c r="C129" s="14"/>
      <c r="D129" s="14"/>
      <c r="E129" s="44"/>
      <c r="F129" s="44"/>
      <c r="G129" s="44">
        <f>SUMIFS(CB_plan!$G:$G,CB_plan!$F:$F,$A129)</f>
        <v>0</v>
      </c>
      <c r="H129" s="44">
        <f t="shared" si="117"/>
        <v>0</v>
      </c>
      <c r="I129" s="14"/>
      <c r="J129" s="44"/>
      <c r="K129" s="44" t="str">
        <f>IF(A129="","",Inputs!$B$13/((IF(AV129="",Inputs!$B$18,AV129)+Inputs!$B$14)^Inputs!$B$15))</f>
        <v/>
      </c>
      <c r="L129" s="44" t="str">
        <f>IF(A129="","",IF(H129="","",0.000000278*IF(I129&lt;&gt;"",I129,IFERROR(SUMIFS(CB_plan!$H:$H,CB_plan!$F:$F,$A129)/SUMIFS(CB_plan!$G:$G,CB_plan!$F:$F,$A129),Inputs!$B$17))*H129*K129))</f>
        <v/>
      </c>
      <c r="M129" s="44" t="str">
        <f t="shared" si="118"/>
        <v/>
      </c>
      <c r="N129" s="44" t="str">
        <f>IF(A129="","",(L129+M129)*Inputs!$B$16)</f>
        <v/>
      </c>
      <c r="O129" s="44"/>
      <c r="P129" s="44" t="str">
        <f>IF(A129="","",IF(O129="",Inputs!$B$7,O129))</f>
        <v/>
      </c>
      <c r="Q129" s="14" t="str">
        <f>IF(A129="","",IF(N129/Inputs!$B$10&lt;=AG129,Inputs!$F$5,IF(N129/Inputs!$B$10&gt;AP129,"OVERSIZE",INDEX(Inputs!$F$5:$F$14,MATCH(N129/Inputs!$B$10,AG129:AP129,1)+1))))</f>
        <v/>
      </c>
      <c r="R129" s="14"/>
      <c r="S129" s="14" t="str">
        <f t="shared" si="119"/>
        <v/>
      </c>
      <c r="T129" s="44" t="str">
        <f t="shared" si="120"/>
        <v/>
      </c>
      <c r="U129" s="44" t="str">
        <f>IF(T129="","",(1/Inputs!$B$9)*(PI()*T129^2/4)*((T129/4)^(2/3))*SQRT(P129))</f>
        <v/>
      </c>
      <c r="V129" s="44" t="str">
        <f>IF(OR(U129="",N129=""),"",N129/(U129*Inputs!$B$10))</f>
        <v/>
      </c>
      <c r="W129" s="44" t="str">
        <f t="shared" si="121"/>
        <v/>
      </c>
      <c r="X129" s="44"/>
      <c r="Y129" s="44" t="str">
        <f>IF(A129="","",IF(A129=Inputs!$B$6,Inputs!$B$22,IF(D129="","",IFERROR(INDEX($Z$4:$Z$201,MATCH(D129,$A$4:$A$201,0))+IF(X129="",Inputs!$B$20,X129),""))))</f>
        <v/>
      </c>
      <c r="Z129" s="44" t="str">
        <f t="shared" si="122"/>
        <v/>
      </c>
      <c r="AA129" s="44" t="str">
        <f>IF(C129="","",IFERROR(INDEX(Noeuds_plan!$C$4:$C$200,MATCH(C129,Noeuds_plan!$A$4:$A$200,0)),""))</f>
        <v/>
      </c>
      <c r="AB129" s="44" t="str">
        <f>IF(B129="","",IFERROR(INDEX(Noeuds_plan!$C$4:$C$200,MATCH(B129,Noeuds_plan!$A$4:$A$200,0)),""))</f>
        <v/>
      </c>
      <c r="AC129" s="44" t="str">
        <f t="shared" si="123"/>
        <v/>
      </c>
      <c r="AD129" s="44" t="str">
        <f t="shared" si="124"/>
        <v/>
      </c>
      <c r="AE129" s="14" t="str">
        <f>IF(A129="","",IF(OR(V129&gt;1,AND(AY129&lt;&gt;"",AY129&lt;Inputs!$B$11),AND(AY129&lt;&gt;"",AY129&gt;Inputs!$B$12),AC129&lt;Inputs!$B$19,AD129&lt;Inputs!$B$19,P129&lt;Inputs!$B$7,P129&gt;Inputs!$B$8),"CHECK","OK"))</f>
        <v/>
      </c>
      <c r="AF129" s="14"/>
      <c r="AG129" s="14" t="str">
        <f>IF(A129="","",(1/Inputs!$B$9)*(PI()*(Inputs!$F$5/1000)^2/4)*((Inputs!$F$5/1000/4)^(2/3))*SQRT(P129))</f>
        <v/>
      </c>
      <c r="AH129" s="14" t="str">
        <f>IF(A129="","",(1/Inputs!$B$9)*(PI()*(Inputs!$F$6/1000)^2/4)*((Inputs!$F$6/1000/4)^(2/3))*SQRT(P129))</f>
        <v/>
      </c>
      <c r="AI129" s="14" t="str">
        <f>IF(A129="","",(1/Inputs!$B$9)*(PI()*(Inputs!$F$7/1000)^2/4)*((Inputs!$F$7/1000/4)^(2/3))*SQRT(P129))</f>
        <v/>
      </c>
      <c r="AJ129" s="14" t="str">
        <f>IF(A129="","",(1/Inputs!$B$9)*(PI()*(Inputs!$F$8/1000)^2/4)*((Inputs!$F$8/1000/4)^(2/3))*SQRT(P129))</f>
        <v/>
      </c>
      <c r="AK129" s="14" t="str">
        <f>IF(A129="","",(1/Inputs!$B$9)*(PI()*(Inputs!$F$9/1000)^2/4)*((Inputs!$F$9/1000/4)^(2/3))*SQRT(P129))</f>
        <v/>
      </c>
      <c r="AL129" s="14" t="str">
        <f>IF(A129="","",(1/Inputs!$B$9)*(PI()*(Inputs!$F$10/1000)^2/4)*((Inputs!$F$10/1000/4)^(2/3))*SQRT(P129))</f>
        <v/>
      </c>
      <c r="AM129" s="14" t="str">
        <f>IF(A129="","",(1/Inputs!$B$9)*(PI()*(Inputs!$F$11/1000)^2/4)*((Inputs!$F$11/1000/4)^(2/3))*SQRT(P129))</f>
        <v/>
      </c>
      <c r="AN129" s="14" t="str">
        <f>IF(A129="","",(1/Inputs!$B$9)*(PI()*(Inputs!$F$12/1000)^2/4)*((Inputs!$F$12/1000/4)^(2/3))*SQRT(P129))</f>
        <v/>
      </c>
      <c r="AO129" s="14" t="str">
        <f>IF(A129="","",(1/Inputs!$B$9)*(PI()*(Inputs!$F$13/1000)^2/4)*((Inputs!$F$13/1000/4)^(2/3))*SQRT(P129))</f>
        <v/>
      </c>
      <c r="AP129" s="14" t="str">
        <f>IF(A129="","",(1/Inputs!$B$9)*(PI()*(Inputs!$F$14/1000)^2/4)*((Inputs!$F$14/1000/4)^(2/3))*SQRT(P129))</f>
        <v/>
      </c>
      <c r="AQ129" s="14" t="str">
        <f t="shared" si="125"/>
        <v/>
      </c>
      <c r="AR129" s="14" t="str">
        <f t="shared" si="126"/>
        <v/>
      </c>
      <c r="AS129" s="17" t="str">
        <f>IF(A129="","",IF(J129="",Inputs!$B$18,J129))</f>
        <v/>
      </c>
      <c r="AT129" s="17" t="str">
        <f>IF(A129="","",IFERROR(_xludf.maxifs($AV$4:$AV$201,$D$4:$D$201,$A129),""))</f>
        <v/>
      </c>
      <c r="AU129" s="17" t="str">
        <f>IF(A129="","",IF(OR(E129="",Inputs!$B$23=""),"",E129/(Inputs!$B$23*60)))</f>
        <v/>
      </c>
      <c r="AV129" s="17" t="str">
        <f t="shared" si="127"/>
        <v/>
      </c>
      <c r="AW129" s="17" t="str">
        <f t="shared" si="128"/>
        <v/>
      </c>
      <c r="AX129" s="17" t="str">
        <f>IF(OR(T129="",P129=""),"",(1/Inputs!$B$9)*((T129/4)^(2/3))*SQRT(P129))</f>
        <v/>
      </c>
      <c r="AY129" s="17" t="str">
        <f>IF(A129="","",IF(AND(AW129="",AX129="",BA129=""),"",IF(OR(UPPER(TRIM(Inputs!$B$24))="MANNING",UPPER(TRIM(Inputs!$B$24))="M"),AX129,IF(OR(UPPER(TRIM(Inputs!$B$24))="PARTIAL",UPPER(TRIM(Inputs!$B$24))="P"),BA129,IF(OR(UPPER(TRIM(Inputs!$B$24))="MAX",UPPER(TRIM(Inputs!$B$24))="X"),MAX(IF(AW129="",0,AW129),IF(AX129="",0,AX129),IF(BA129="",0,BA129)),AW129)))))</f>
        <v/>
      </c>
      <c r="AZ129" s="17" t="str">
        <f t="shared" si="129"/>
        <v/>
      </c>
      <c r="BA129" s="17" t="str">
        <f t="shared" si="130"/>
        <v/>
      </c>
      <c r="BB129" s="14" t="str">
        <f t="shared" si="131"/>
        <v/>
      </c>
      <c r="BC129" s="14" t="str">
        <f>IF(OR(N129="",T129="",P129=""),"",IF(OR(T129="",P129="",(0.94*T129)="",T129&lt;=0,(0.94*T129)&lt;=0),"",(1/Inputs!$B$9)*((T129^2/8)*((2*ACOS(1-2*(0.94*T129)/T129))-SIN((2*ACOS(1-2*(0.94*T129)/T129)))))*((((T129^2/8)*((2*ACOS(1-2*(0.94*T129)/T129))-SIN((2*ACOS(1-2*(0.94*T129)/T129)))))/((T129/2)*((2*ACOS(1-2*(0.94*T129)/T129)))))^(2/3))*SQRT(P129)))</f>
        <v/>
      </c>
      <c r="BD129" s="14" t="str">
        <f t="shared" si="132"/>
        <v/>
      </c>
      <c r="BE129" s="14" t="str">
        <f t="shared" si="133"/>
        <v/>
      </c>
      <c r="BF129" s="14" t="str">
        <f t="shared" si="134"/>
        <v/>
      </c>
      <c r="BG129" s="14" t="str">
        <f>IF(OR(T129="",P129="",BF129="",T129&lt;=0,BF129&lt;=0),"",(1/Inputs!$B$9)*((T129^2/8)*((2*ACOS(1-2*BF129/T129))-SIN((2*ACOS(1-2*BF129/T129)))))*((((T129^2/8)*((2*ACOS(1-2*BF129/T129))-SIN((2*ACOS(1-2*BF129/T129)))))/((T129/2)*((2*ACOS(1-2*BF129/T129)))))^(2/3))*SQRT(P129))</f>
        <v/>
      </c>
      <c r="BH129" s="14" t="str">
        <f t="shared" si="135"/>
        <v/>
      </c>
      <c r="BI129" s="14" t="str">
        <f t="shared" si="136"/>
        <v/>
      </c>
      <c r="BJ129" s="14" t="str">
        <f t="shared" si="137"/>
        <v/>
      </c>
      <c r="BK129" s="14" t="str">
        <f>IF(OR(T129="",P129="",BJ129="",T129&lt;=0,BJ129&lt;=0),"",(1/Inputs!$B$9)*((T129^2/8)*((2*ACOS(1-2*BJ129/T129))-SIN((2*ACOS(1-2*BJ129/T129)))))*((((T129^2/8)*((2*ACOS(1-2*BJ129/T129))-SIN((2*ACOS(1-2*BJ129/T129)))))/((T129/2)*((2*ACOS(1-2*BJ129/T129)))))^(2/3))*SQRT(P129))</f>
        <v/>
      </c>
      <c r="BL129" s="14" t="str">
        <f t="shared" si="138"/>
        <v/>
      </c>
      <c r="BM129" s="14" t="str">
        <f t="shared" si="139"/>
        <v/>
      </c>
      <c r="BN129" s="14" t="str">
        <f t="shared" si="140"/>
        <v/>
      </c>
      <c r="BO129" s="14" t="str">
        <f>IF(OR(T129="",P129="",BN129="",T129&lt;=0,BN129&lt;=0),"",(1/Inputs!$B$9)*((T129^2/8)*((2*ACOS(1-2*BN129/T129))-SIN((2*ACOS(1-2*BN129/T129)))))*((((T129^2/8)*((2*ACOS(1-2*BN129/T129))-SIN((2*ACOS(1-2*BN129/T129)))))/((T129/2)*((2*ACOS(1-2*BN129/T129)))))^(2/3))*SQRT(P129))</f>
        <v/>
      </c>
      <c r="BP129" s="14" t="str">
        <f t="shared" si="141"/>
        <v/>
      </c>
      <c r="BQ129" s="14" t="str">
        <f t="shared" si="142"/>
        <v/>
      </c>
      <c r="BR129" s="14" t="str">
        <f t="shared" si="143"/>
        <v/>
      </c>
      <c r="BS129" s="14" t="str">
        <f>IF(OR(T129="",P129="",BR129="",T129&lt;=0,BR129&lt;=0),"",(1/Inputs!$B$9)*((T129^2/8)*((2*ACOS(1-2*BR129/T129))-SIN((2*ACOS(1-2*BR129/T129)))))*((((T129^2/8)*((2*ACOS(1-2*BR129/T129))-SIN((2*ACOS(1-2*BR129/T129)))))/((T129/2)*((2*ACOS(1-2*BR129/T129)))))^(2/3))*SQRT(P129))</f>
        <v/>
      </c>
      <c r="BT129" s="14" t="str">
        <f t="shared" si="144"/>
        <v/>
      </c>
      <c r="BU129" s="14" t="str">
        <f t="shared" si="145"/>
        <v/>
      </c>
      <c r="BV129" s="14" t="str">
        <f t="shared" si="146"/>
        <v/>
      </c>
      <c r="BW129" s="14" t="str">
        <f>IF(OR(T129="",P129="",BV129="",T129&lt;=0,BV129&lt;=0),"",(1/Inputs!$B$9)*((T129^2/8)*((2*ACOS(1-2*BV129/T129))-SIN((2*ACOS(1-2*BV129/T129)))))*((((T129^2/8)*((2*ACOS(1-2*BV129/T129))-SIN((2*ACOS(1-2*BV129/T129)))))/((T129/2)*((2*ACOS(1-2*BV129/T129)))))^(2/3))*SQRT(P129))</f>
        <v/>
      </c>
      <c r="BX129" s="14" t="str">
        <f t="shared" si="147"/>
        <v/>
      </c>
      <c r="BY129" s="14" t="str">
        <f t="shared" si="148"/>
        <v/>
      </c>
      <c r="BZ129" s="14" t="str">
        <f t="shared" si="149"/>
        <v/>
      </c>
      <c r="CA129" s="14" t="str">
        <f>IF(OR(T129="",P129="",BZ129="",T129&lt;=0,BZ129&lt;=0),"",(1/Inputs!$B$9)*((T129^2/8)*((2*ACOS(1-2*BZ129/T129))-SIN((2*ACOS(1-2*BZ129/T129)))))*((((T129^2/8)*((2*ACOS(1-2*BZ129/T129))-SIN((2*ACOS(1-2*BZ129/T129)))))/((T129/2)*((2*ACOS(1-2*BZ129/T129)))))^(2/3))*SQRT(P129))</f>
        <v/>
      </c>
      <c r="CB129" s="14" t="str">
        <f t="shared" si="150"/>
        <v/>
      </c>
      <c r="CC129" s="14" t="str">
        <f t="shared" si="151"/>
        <v/>
      </c>
      <c r="CD129" s="14" t="str">
        <f t="shared" si="152"/>
        <v/>
      </c>
      <c r="CE129" s="14" t="str">
        <f>IF(OR(T129="",P129="",CD129="",T129&lt;=0,CD129&lt;=0),"",(1/Inputs!$B$9)*((T129^2/8)*((2*ACOS(1-2*CD129/T129))-SIN((2*ACOS(1-2*CD129/T129)))))*((((T129^2/8)*((2*ACOS(1-2*CD129/T129))-SIN((2*ACOS(1-2*CD129/T129)))))/((T129/2)*((2*ACOS(1-2*CD129/T129)))))^(2/3))*SQRT(P129))</f>
        <v/>
      </c>
      <c r="CF129" s="14" t="str">
        <f t="shared" si="153"/>
        <v/>
      </c>
      <c r="CG129" s="14" t="str">
        <f t="shared" si="154"/>
        <v/>
      </c>
      <c r="CH129" s="14" t="str">
        <f t="shared" si="155"/>
        <v/>
      </c>
    </row>
    <row r="130" spans="1:86" x14ac:dyDescent="0.25">
      <c r="A130" s="14"/>
      <c r="B130" s="14"/>
      <c r="C130" s="14"/>
      <c r="D130" s="14"/>
      <c r="E130" s="44"/>
      <c r="F130" s="44"/>
      <c r="G130" s="44">
        <f>SUMIFS(CB_plan!$G:$G,CB_plan!$F:$F,$A130)</f>
        <v>0</v>
      </c>
      <c r="H130" s="44">
        <f t="shared" si="117"/>
        <v>0</v>
      </c>
      <c r="I130" s="14"/>
      <c r="J130" s="44"/>
      <c r="K130" s="44" t="str">
        <f>IF(A130="","",Inputs!$B$13/((IF(AV130="",Inputs!$B$18,AV130)+Inputs!$B$14)^Inputs!$B$15))</f>
        <v/>
      </c>
      <c r="L130" s="44" t="str">
        <f>IF(A130="","",IF(H130="","",0.000000278*IF(I130&lt;&gt;"",I130,IFERROR(SUMIFS(CB_plan!$H:$H,CB_plan!$F:$F,$A130)/SUMIFS(CB_plan!$G:$G,CB_plan!$F:$F,$A130),Inputs!$B$17))*H130*K130))</f>
        <v/>
      </c>
      <c r="M130" s="44" t="str">
        <f t="shared" si="118"/>
        <v/>
      </c>
      <c r="N130" s="44" t="str">
        <f>IF(A130="","",(L130+M130)*Inputs!$B$16)</f>
        <v/>
      </c>
      <c r="O130" s="44"/>
      <c r="P130" s="44" t="str">
        <f>IF(A130="","",IF(O130="",Inputs!$B$7,O130))</f>
        <v/>
      </c>
      <c r="Q130" s="14" t="str">
        <f>IF(A130="","",IF(N130/Inputs!$B$10&lt;=AG130,Inputs!$F$5,IF(N130/Inputs!$B$10&gt;AP130,"OVERSIZE",INDEX(Inputs!$F$5:$F$14,MATCH(N130/Inputs!$B$10,AG130:AP130,1)+1))))</f>
        <v/>
      </c>
      <c r="R130" s="14"/>
      <c r="S130" s="14" t="str">
        <f t="shared" si="119"/>
        <v/>
      </c>
      <c r="T130" s="44" t="str">
        <f t="shared" si="120"/>
        <v/>
      </c>
      <c r="U130" s="44" t="str">
        <f>IF(T130="","",(1/Inputs!$B$9)*(PI()*T130^2/4)*((T130/4)^(2/3))*SQRT(P130))</f>
        <v/>
      </c>
      <c r="V130" s="44" t="str">
        <f>IF(OR(U130="",N130=""),"",N130/(U130*Inputs!$B$10))</f>
        <v/>
      </c>
      <c r="W130" s="44" t="str">
        <f t="shared" si="121"/>
        <v/>
      </c>
      <c r="X130" s="44"/>
      <c r="Y130" s="44" t="str">
        <f>IF(A130="","",IF(A130=Inputs!$B$6,Inputs!$B$22,IF(D130="","",IFERROR(INDEX($Z$4:$Z$201,MATCH(D130,$A$4:$A$201,0))+IF(X130="",Inputs!$B$20,X130),""))))</f>
        <v/>
      </c>
      <c r="Z130" s="44" t="str">
        <f t="shared" si="122"/>
        <v/>
      </c>
      <c r="AA130" s="44" t="str">
        <f>IF(C130="","",IFERROR(INDEX(Noeuds_plan!$C$4:$C$200,MATCH(C130,Noeuds_plan!$A$4:$A$200,0)),""))</f>
        <v/>
      </c>
      <c r="AB130" s="44" t="str">
        <f>IF(B130="","",IFERROR(INDEX(Noeuds_plan!$C$4:$C$200,MATCH(B130,Noeuds_plan!$A$4:$A$200,0)),""))</f>
        <v/>
      </c>
      <c r="AC130" s="44" t="str">
        <f t="shared" si="123"/>
        <v/>
      </c>
      <c r="AD130" s="44" t="str">
        <f t="shared" si="124"/>
        <v/>
      </c>
      <c r="AE130" s="14" t="str">
        <f>IF(A130="","",IF(OR(V130&gt;1,AND(AY130&lt;&gt;"",AY130&lt;Inputs!$B$11),AND(AY130&lt;&gt;"",AY130&gt;Inputs!$B$12),AC130&lt;Inputs!$B$19,AD130&lt;Inputs!$B$19,P130&lt;Inputs!$B$7,P130&gt;Inputs!$B$8),"CHECK","OK"))</f>
        <v/>
      </c>
      <c r="AF130" s="14"/>
      <c r="AG130" s="14" t="str">
        <f>IF(A130="","",(1/Inputs!$B$9)*(PI()*(Inputs!$F$5/1000)^2/4)*((Inputs!$F$5/1000/4)^(2/3))*SQRT(P130))</f>
        <v/>
      </c>
      <c r="AH130" s="14" t="str">
        <f>IF(A130="","",(1/Inputs!$B$9)*(PI()*(Inputs!$F$6/1000)^2/4)*((Inputs!$F$6/1000/4)^(2/3))*SQRT(P130))</f>
        <v/>
      </c>
      <c r="AI130" s="14" t="str">
        <f>IF(A130="","",(1/Inputs!$B$9)*(PI()*(Inputs!$F$7/1000)^2/4)*((Inputs!$F$7/1000/4)^(2/3))*SQRT(P130))</f>
        <v/>
      </c>
      <c r="AJ130" s="14" t="str">
        <f>IF(A130="","",(1/Inputs!$B$9)*(PI()*(Inputs!$F$8/1000)^2/4)*((Inputs!$F$8/1000/4)^(2/3))*SQRT(P130))</f>
        <v/>
      </c>
      <c r="AK130" s="14" t="str">
        <f>IF(A130="","",(1/Inputs!$B$9)*(PI()*(Inputs!$F$9/1000)^2/4)*((Inputs!$F$9/1000/4)^(2/3))*SQRT(P130))</f>
        <v/>
      </c>
      <c r="AL130" s="14" t="str">
        <f>IF(A130="","",(1/Inputs!$B$9)*(PI()*(Inputs!$F$10/1000)^2/4)*((Inputs!$F$10/1000/4)^(2/3))*SQRT(P130))</f>
        <v/>
      </c>
      <c r="AM130" s="14" t="str">
        <f>IF(A130="","",(1/Inputs!$B$9)*(PI()*(Inputs!$F$11/1000)^2/4)*((Inputs!$F$11/1000/4)^(2/3))*SQRT(P130))</f>
        <v/>
      </c>
      <c r="AN130" s="14" t="str">
        <f>IF(A130="","",(1/Inputs!$B$9)*(PI()*(Inputs!$F$12/1000)^2/4)*((Inputs!$F$12/1000/4)^(2/3))*SQRT(P130))</f>
        <v/>
      </c>
      <c r="AO130" s="14" t="str">
        <f>IF(A130="","",(1/Inputs!$B$9)*(PI()*(Inputs!$F$13/1000)^2/4)*((Inputs!$F$13/1000/4)^(2/3))*SQRT(P130))</f>
        <v/>
      </c>
      <c r="AP130" s="14" t="str">
        <f>IF(A130="","",(1/Inputs!$B$9)*(PI()*(Inputs!$F$14/1000)^2/4)*((Inputs!$F$14/1000/4)^(2/3))*SQRT(P130))</f>
        <v/>
      </c>
      <c r="AQ130" s="14" t="str">
        <f t="shared" si="125"/>
        <v/>
      </c>
      <c r="AR130" s="14" t="str">
        <f t="shared" si="126"/>
        <v/>
      </c>
      <c r="AS130" s="17" t="str">
        <f>IF(A130="","",IF(J130="",Inputs!$B$18,J130))</f>
        <v/>
      </c>
      <c r="AT130" s="17" t="str">
        <f>IF(A130="","",IFERROR(_xludf.maxifs($AV$4:$AV$201,$D$4:$D$201,$A130),""))</f>
        <v/>
      </c>
      <c r="AU130" s="17" t="str">
        <f>IF(A130="","",IF(OR(E130="",Inputs!$B$23=""),"",E130/(Inputs!$B$23*60)))</f>
        <v/>
      </c>
      <c r="AV130" s="17" t="str">
        <f t="shared" si="127"/>
        <v/>
      </c>
      <c r="AW130" s="17" t="str">
        <f t="shared" si="128"/>
        <v/>
      </c>
      <c r="AX130" s="17" t="str">
        <f>IF(OR(T130="",P130=""),"",(1/Inputs!$B$9)*((T130/4)^(2/3))*SQRT(P130))</f>
        <v/>
      </c>
      <c r="AY130" s="17" t="str">
        <f>IF(A130="","",IF(AND(AW130="",AX130="",BA130=""),"",IF(OR(UPPER(TRIM(Inputs!$B$24))="MANNING",UPPER(TRIM(Inputs!$B$24))="M"),AX130,IF(OR(UPPER(TRIM(Inputs!$B$24))="PARTIAL",UPPER(TRIM(Inputs!$B$24))="P"),BA130,IF(OR(UPPER(TRIM(Inputs!$B$24))="MAX",UPPER(TRIM(Inputs!$B$24))="X"),MAX(IF(AW130="",0,AW130),IF(AX130="",0,AX130),IF(BA130="",0,BA130)),AW130)))))</f>
        <v/>
      </c>
      <c r="AZ130" s="17" t="str">
        <f t="shared" si="129"/>
        <v/>
      </c>
      <c r="BA130" s="17" t="str">
        <f t="shared" si="130"/>
        <v/>
      </c>
      <c r="BB130" s="14" t="str">
        <f t="shared" si="131"/>
        <v/>
      </c>
      <c r="BC130" s="14" t="str">
        <f>IF(OR(N130="",T130="",P130=""),"",IF(OR(T130="",P130="",(0.94*T130)="",T130&lt;=0,(0.94*T130)&lt;=0),"",(1/Inputs!$B$9)*((T130^2/8)*((2*ACOS(1-2*(0.94*T130)/T130))-SIN((2*ACOS(1-2*(0.94*T130)/T130)))))*((((T130^2/8)*((2*ACOS(1-2*(0.94*T130)/T130))-SIN((2*ACOS(1-2*(0.94*T130)/T130)))))/((T130/2)*((2*ACOS(1-2*(0.94*T130)/T130)))))^(2/3))*SQRT(P130)))</f>
        <v/>
      </c>
      <c r="BD130" s="14" t="str">
        <f t="shared" si="132"/>
        <v/>
      </c>
      <c r="BE130" s="14" t="str">
        <f t="shared" si="133"/>
        <v/>
      </c>
      <c r="BF130" s="14" t="str">
        <f t="shared" si="134"/>
        <v/>
      </c>
      <c r="BG130" s="14" t="str">
        <f>IF(OR(T130="",P130="",BF130="",T130&lt;=0,BF130&lt;=0),"",(1/Inputs!$B$9)*((T130^2/8)*((2*ACOS(1-2*BF130/T130))-SIN((2*ACOS(1-2*BF130/T130)))))*((((T130^2/8)*((2*ACOS(1-2*BF130/T130))-SIN((2*ACOS(1-2*BF130/T130)))))/((T130/2)*((2*ACOS(1-2*BF130/T130)))))^(2/3))*SQRT(P130))</f>
        <v/>
      </c>
      <c r="BH130" s="14" t="str">
        <f t="shared" si="135"/>
        <v/>
      </c>
      <c r="BI130" s="14" t="str">
        <f t="shared" si="136"/>
        <v/>
      </c>
      <c r="BJ130" s="14" t="str">
        <f t="shared" si="137"/>
        <v/>
      </c>
      <c r="BK130" s="14" t="str">
        <f>IF(OR(T130="",P130="",BJ130="",T130&lt;=0,BJ130&lt;=0),"",(1/Inputs!$B$9)*((T130^2/8)*((2*ACOS(1-2*BJ130/T130))-SIN((2*ACOS(1-2*BJ130/T130)))))*((((T130^2/8)*((2*ACOS(1-2*BJ130/T130))-SIN((2*ACOS(1-2*BJ130/T130)))))/((T130/2)*((2*ACOS(1-2*BJ130/T130)))))^(2/3))*SQRT(P130))</f>
        <v/>
      </c>
      <c r="BL130" s="14" t="str">
        <f t="shared" si="138"/>
        <v/>
      </c>
      <c r="BM130" s="14" t="str">
        <f t="shared" si="139"/>
        <v/>
      </c>
      <c r="BN130" s="14" t="str">
        <f t="shared" si="140"/>
        <v/>
      </c>
      <c r="BO130" s="14" t="str">
        <f>IF(OR(T130="",P130="",BN130="",T130&lt;=0,BN130&lt;=0),"",(1/Inputs!$B$9)*((T130^2/8)*((2*ACOS(1-2*BN130/T130))-SIN((2*ACOS(1-2*BN130/T130)))))*((((T130^2/8)*((2*ACOS(1-2*BN130/T130))-SIN((2*ACOS(1-2*BN130/T130)))))/((T130/2)*((2*ACOS(1-2*BN130/T130)))))^(2/3))*SQRT(P130))</f>
        <v/>
      </c>
      <c r="BP130" s="14" t="str">
        <f t="shared" si="141"/>
        <v/>
      </c>
      <c r="BQ130" s="14" t="str">
        <f t="shared" si="142"/>
        <v/>
      </c>
      <c r="BR130" s="14" t="str">
        <f t="shared" si="143"/>
        <v/>
      </c>
      <c r="BS130" s="14" t="str">
        <f>IF(OR(T130="",P130="",BR130="",T130&lt;=0,BR130&lt;=0),"",(1/Inputs!$B$9)*((T130^2/8)*((2*ACOS(1-2*BR130/T130))-SIN((2*ACOS(1-2*BR130/T130)))))*((((T130^2/8)*((2*ACOS(1-2*BR130/T130))-SIN((2*ACOS(1-2*BR130/T130)))))/((T130/2)*((2*ACOS(1-2*BR130/T130)))))^(2/3))*SQRT(P130))</f>
        <v/>
      </c>
      <c r="BT130" s="14" t="str">
        <f t="shared" si="144"/>
        <v/>
      </c>
      <c r="BU130" s="14" t="str">
        <f t="shared" si="145"/>
        <v/>
      </c>
      <c r="BV130" s="14" t="str">
        <f t="shared" si="146"/>
        <v/>
      </c>
      <c r="BW130" s="14" t="str">
        <f>IF(OR(T130="",P130="",BV130="",T130&lt;=0,BV130&lt;=0),"",(1/Inputs!$B$9)*((T130^2/8)*((2*ACOS(1-2*BV130/T130))-SIN((2*ACOS(1-2*BV130/T130)))))*((((T130^2/8)*((2*ACOS(1-2*BV130/T130))-SIN((2*ACOS(1-2*BV130/T130)))))/((T130/2)*((2*ACOS(1-2*BV130/T130)))))^(2/3))*SQRT(P130))</f>
        <v/>
      </c>
      <c r="BX130" s="14" t="str">
        <f t="shared" si="147"/>
        <v/>
      </c>
      <c r="BY130" s="14" t="str">
        <f t="shared" si="148"/>
        <v/>
      </c>
      <c r="BZ130" s="14" t="str">
        <f t="shared" si="149"/>
        <v/>
      </c>
      <c r="CA130" s="14" t="str">
        <f>IF(OR(T130="",P130="",BZ130="",T130&lt;=0,BZ130&lt;=0),"",(1/Inputs!$B$9)*((T130^2/8)*((2*ACOS(1-2*BZ130/T130))-SIN((2*ACOS(1-2*BZ130/T130)))))*((((T130^2/8)*((2*ACOS(1-2*BZ130/T130))-SIN((2*ACOS(1-2*BZ130/T130)))))/((T130/2)*((2*ACOS(1-2*BZ130/T130)))))^(2/3))*SQRT(P130))</f>
        <v/>
      </c>
      <c r="CB130" s="14" t="str">
        <f t="shared" si="150"/>
        <v/>
      </c>
      <c r="CC130" s="14" t="str">
        <f t="shared" si="151"/>
        <v/>
      </c>
      <c r="CD130" s="14" t="str">
        <f t="shared" si="152"/>
        <v/>
      </c>
      <c r="CE130" s="14" t="str">
        <f>IF(OR(T130="",P130="",CD130="",T130&lt;=0,CD130&lt;=0),"",(1/Inputs!$B$9)*((T130^2/8)*((2*ACOS(1-2*CD130/T130))-SIN((2*ACOS(1-2*CD130/T130)))))*((((T130^2/8)*((2*ACOS(1-2*CD130/T130))-SIN((2*ACOS(1-2*CD130/T130)))))/((T130/2)*((2*ACOS(1-2*CD130/T130)))))^(2/3))*SQRT(P130))</f>
        <v/>
      </c>
      <c r="CF130" s="14" t="str">
        <f t="shared" si="153"/>
        <v/>
      </c>
      <c r="CG130" s="14" t="str">
        <f t="shared" si="154"/>
        <v/>
      </c>
      <c r="CH130" s="14" t="str">
        <f t="shared" si="155"/>
        <v/>
      </c>
    </row>
    <row r="131" spans="1:86" x14ac:dyDescent="0.25">
      <c r="A131" s="14"/>
      <c r="B131" s="14"/>
      <c r="C131" s="14"/>
      <c r="D131" s="14"/>
      <c r="E131" s="44"/>
      <c r="F131" s="44"/>
      <c r="G131" s="44">
        <f>SUMIFS(CB_plan!$G:$G,CB_plan!$F:$F,$A131)</f>
        <v>0</v>
      </c>
      <c r="H131" s="44">
        <f t="shared" si="117"/>
        <v>0</v>
      </c>
      <c r="I131" s="14"/>
      <c r="J131" s="44"/>
      <c r="K131" s="44" t="str">
        <f>IF(A131="","",Inputs!$B$13/((IF(AV131="",Inputs!$B$18,AV131)+Inputs!$B$14)^Inputs!$B$15))</f>
        <v/>
      </c>
      <c r="L131" s="44" t="str">
        <f>IF(A131="","",IF(H131="","",0.000000278*IF(I131&lt;&gt;"",I131,IFERROR(SUMIFS(CB_plan!$H:$H,CB_plan!$F:$F,$A131)/SUMIFS(CB_plan!$G:$G,CB_plan!$F:$F,$A131),Inputs!$B$17))*H131*K131))</f>
        <v/>
      </c>
      <c r="M131" s="44" t="str">
        <f t="shared" si="118"/>
        <v/>
      </c>
      <c r="N131" s="44" t="str">
        <f>IF(A131="","",(L131+M131)*Inputs!$B$16)</f>
        <v/>
      </c>
      <c r="O131" s="44"/>
      <c r="P131" s="44" t="str">
        <f>IF(A131="","",IF(O131="",Inputs!$B$7,O131))</f>
        <v/>
      </c>
      <c r="Q131" s="14" t="str">
        <f>IF(A131="","",IF(N131/Inputs!$B$10&lt;=AG131,Inputs!$F$5,IF(N131/Inputs!$B$10&gt;AP131,"OVERSIZE",INDEX(Inputs!$F$5:$F$14,MATCH(N131/Inputs!$B$10,AG131:AP131,1)+1))))</f>
        <v/>
      </c>
      <c r="R131" s="14"/>
      <c r="S131" s="14" t="str">
        <f t="shared" si="119"/>
        <v/>
      </c>
      <c r="T131" s="44" t="str">
        <f t="shared" si="120"/>
        <v/>
      </c>
      <c r="U131" s="44" t="str">
        <f>IF(T131="","",(1/Inputs!$B$9)*(PI()*T131^2/4)*((T131/4)^(2/3))*SQRT(P131))</f>
        <v/>
      </c>
      <c r="V131" s="44" t="str">
        <f>IF(OR(U131="",N131=""),"",N131/(U131*Inputs!$B$10))</f>
        <v/>
      </c>
      <c r="W131" s="44" t="str">
        <f t="shared" si="121"/>
        <v/>
      </c>
      <c r="X131" s="44"/>
      <c r="Y131" s="44" t="str">
        <f>IF(A131="","",IF(A131=Inputs!$B$6,Inputs!$B$22,IF(D131="","",IFERROR(INDEX($Z$4:$Z$201,MATCH(D131,$A$4:$A$201,0))+IF(X131="",Inputs!$B$20,X131),""))))</f>
        <v/>
      </c>
      <c r="Z131" s="44" t="str">
        <f t="shared" si="122"/>
        <v/>
      </c>
      <c r="AA131" s="44" t="str">
        <f>IF(C131="","",IFERROR(INDEX(Noeuds_plan!$C$4:$C$200,MATCH(C131,Noeuds_plan!$A$4:$A$200,0)),""))</f>
        <v/>
      </c>
      <c r="AB131" s="44" t="str">
        <f>IF(B131="","",IFERROR(INDEX(Noeuds_plan!$C$4:$C$200,MATCH(B131,Noeuds_plan!$A$4:$A$200,0)),""))</f>
        <v/>
      </c>
      <c r="AC131" s="44" t="str">
        <f t="shared" si="123"/>
        <v/>
      </c>
      <c r="AD131" s="44" t="str">
        <f t="shared" si="124"/>
        <v/>
      </c>
      <c r="AE131" s="14" t="str">
        <f>IF(A131="","",IF(OR(V131&gt;1,AND(AY131&lt;&gt;"",AY131&lt;Inputs!$B$11),AND(AY131&lt;&gt;"",AY131&gt;Inputs!$B$12),AC131&lt;Inputs!$B$19,AD131&lt;Inputs!$B$19,P131&lt;Inputs!$B$7,P131&gt;Inputs!$B$8),"CHECK","OK"))</f>
        <v/>
      </c>
      <c r="AF131" s="14"/>
      <c r="AG131" s="14" t="str">
        <f>IF(A131="","",(1/Inputs!$B$9)*(PI()*(Inputs!$F$5/1000)^2/4)*((Inputs!$F$5/1000/4)^(2/3))*SQRT(P131))</f>
        <v/>
      </c>
      <c r="AH131" s="14" t="str">
        <f>IF(A131="","",(1/Inputs!$B$9)*(PI()*(Inputs!$F$6/1000)^2/4)*((Inputs!$F$6/1000/4)^(2/3))*SQRT(P131))</f>
        <v/>
      </c>
      <c r="AI131" s="14" t="str">
        <f>IF(A131="","",(1/Inputs!$B$9)*(PI()*(Inputs!$F$7/1000)^2/4)*((Inputs!$F$7/1000/4)^(2/3))*SQRT(P131))</f>
        <v/>
      </c>
      <c r="AJ131" s="14" t="str">
        <f>IF(A131="","",(1/Inputs!$B$9)*(PI()*(Inputs!$F$8/1000)^2/4)*((Inputs!$F$8/1000/4)^(2/3))*SQRT(P131))</f>
        <v/>
      </c>
      <c r="AK131" s="14" t="str">
        <f>IF(A131="","",(1/Inputs!$B$9)*(PI()*(Inputs!$F$9/1000)^2/4)*((Inputs!$F$9/1000/4)^(2/3))*SQRT(P131))</f>
        <v/>
      </c>
      <c r="AL131" s="14" t="str">
        <f>IF(A131="","",(1/Inputs!$B$9)*(PI()*(Inputs!$F$10/1000)^2/4)*((Inputs!$F$10/1000/4)^(2/3))*SQRT(P131))</f>
        <v/>
      </c>
      <c r="AM131" s="14" t="str">
        <f>IF(A131="","",(1/Inputs!$B$9)*(PI()*(Inputs!$F$11/1000)^2/4)*((Inputs!$F$11/1000/4)^(2/3))*SQRT(P131))</f>
        <v/>
      </c>
      <c r="AN131" s="14" t="str">
        <f>IF(A131="","",(1/Inputs!$B$9)*(PI()*(Inputs!$F$12/1000)^2/4)*((Inputs!$F$12/1000/4)^(2/3))*SQRT(P131))</f>
        <v/>
      </c>
      <c r="AO131" s="14" t="str">
        <f>IF(A131="","",(1/Inputs!$B$9)*(PI()*(Inputs!$F$13/1000)^2/4)*((Inputs!$F$13/1000/4)^(2/3))*SQRT(P131))</f>
        <v/>
      </c>
      <c r="AP131" s="14" t="str">
        <f>IF(A131="","",(1/Inputs!$B$9)*(PI()*(Inputs!$F$14/1000)^2/4)*((Inputs!$F$14/1000/4)^(2/3))*SQRT(P131))</f>
        <v/>
      </c>
      <c r="AQ131" s="14" t="str">
        <f t="shared" si="125"/>
        <v/>
      </c>
      <c r="AR131" s="14" t="str">
        <f t="shared" si="126"/>
        <v/>
      </c>
      <c r="AS131" s="17" t="str">
        <f>IF(A131="","",IF(J131="",Inputs!$B$18,J131))</f>
        <v/>
      </c>
      <c r="AT131" s="17" t="str">
        <f>IF(A131="","",IFERROR(_xludf.maxifs($AV$4:$AV$201,$D$4:$D$201,$A131),""))</f>
        <v/>
      </c>
      <c r="AU131" s="17" t="str">
        <f>IF(A131="","",IF(OR(E131="",Inputs!$B$23=""),"",E131/(Inputs!$B$23*60)))</f>
        <v/>
      </c>
      <c r="AV131" s="17" t="str">
        <f t="shared" si="127"/>
        <v/>
      </c>
      <c r="AW131" s="17" t="str">
        <f t="shared" si="128"/>
        <v/>
      </c>
      <c r="AX131" s="17" t="str">
        <f>IF(OR(T131="",P131=""),"",(1/Inputs!$B$9)*((T131/4)^(2/3))*SQRT(P131))</f>
        <v/>
      </c>
      <c r="AY131" s="17" t="str">
        <f>IF(A131="","",IF(AND(AW131="",AX131="",BA131=""),"",IF(OR(UPPER(TRIM(Inputs!$B$24))="MANNING",UPPER(TRIM(Inputs!$B$24))="M"),AX131,IF(OR(UPPER(TRIM(Inputs!$B$24))="PARTIAL",UPPER(TRIM(Inputs!$B$24))="P"),BA131,IF(OR(UPPER(TRIM(Inputs!$B$24))="MAX",UPPER(TRIM(Inputs!$B$24))="X"),MAX(IF(AW131="",0,AW131),IF(AX131="",0,AX131),IF(BA131="",0,BA131)),AW131)))))</f>
        <v/>
      </c>
      <c r="AZ131" s="17" t="str">
        <f t="shared" si="129"/>
        <v/>
      </c>
      <c r="BA131" s="17" t="str">
        <f t="shared" si="130"/>
        <v/>
      </c>
      <c r="BB131" s="14" t="str">
        <f t="shared" si="131"/>
        <v/>
      </c>
      <c r="BC131" s="14" t="str">
        <f>IF(OR(N131="",T131="",P131=""),"",IF(OR(T131="",P131="",(0.94*T131)="",T131&lt;=0,(0.94*T131)&lt;=0),"",(1/Inputs!$B$9)*((T131^2/8)*((2*ACOS(1-2*(0.94*T131)/T131))-SIN((2*ACOS(1-2*(0.94*T131)/T131)))))*((((T131^2/8)*((2*ACOS(1-2*(0.94*T131)/T131))-SIN((2*ACOS(1-2*(0.94*T131)/T131)))))/((T131/2)*((2*ACOS(1-2*(0.94*T131)/T131)))))^(2/3))*SQRT(P131)))</f>
        <v/>
      </c>
      <c r="BD131" s="14" t="str">
        <f t="shared" si="132"/>
        <v/>
      </c>
      <c r="BE131" s="14" t="str">
        <f t="shared" si="133"/>
        <v/>
      </c>
      <c r="BF131" s="14" t="str">
        <f t="shared" si="134"/>
        <v/>
      </c>
      <c r="BG131" s="14" t="str">
        <f>IF(OR(T131="",P131="",BF131="",T131&lt;=0,BF131&lt;=0),"",(1/Inputs!$B$9)*((T131^2/8)*((2*ACOS(1-2*BF131/T131))-SIN((2*ACOS(1-2*BF131/T131)))))*((((T131^2/8)*((2*ACOS(1-2*BF131/T131))-SIN((2*ACOS(1-2*BF131/T131)))))/((T131/2)*((2*ACOS(1-2*BF131/T131)))))^(2/3))*SQRT(P131))</f>
        <v/>
      </c>
      <c r="BH131" s="14" t="str">
        <f t="shared" si="135"/>
        <v/>
      </c>
      <c r="BI131" s="14" t="str">
        <f t="shared" si="136"/>
        <v/>
      </c>
      <c r="BJ131" s="14" t="str">
        <f t="shared" si="137"/>
        <v/>
      </c>
      <c r="BK131" s="14" t="str">
        <f>IF(OR(T131="",P131="",BJ131="",T131&lt;=0,BJ131&lt;=0),"",(1/Inputs!$B$9)*((T131^2/8)*((2*ACOS(1-2*BJ131/T131))-SIN((2*ACOS(1-2*BJ131/T131)))))*((((T131^2/8)*((2*ACOS(1-2*BJ131/T131))-SIN((2*ACOS(1-2*BJ131/T131)))))/((T131/2)*((2*ACOS(1-2*BJ131/T131)))))^(2/3))*SQRT(P131))</f>
        <v/>
      </c>
      <c r="BL131" s="14" t="str">
        <f t="shared" si="138"/>
        <v/>
      </c>
      <c r="BM131" s="14" t="str">
        <f t="shared" si="139"/>
        <v/>
      </c>
      <c r="BN131" s="14" t="str">
        <f t="shared" si="140"/>
        <v/>
      </c>
      <c r="BO131" s="14" t="str">
        <f>IF(OR(T131="",P131="",BN131="",T131&lt;=0,BN131&lt;=0),"",(1/Inputs!$B$9)*((T131^2/8)*((2*ACOS(1-2*BN131/T131))-SIN((2*ACOS(1-2*BN131/T131)))))*((((T131^2/8)*((2*ACOS(1-2*BN131/T131))-SIN((2*ACOS(1-2*BN131/T131)))))/((T131/2)*((2*ACOS(1-2*BN131/T131)))))^(2/3))*SQRT(P131))</f>
        <v/>
      </c>
      <c r="BP131" s="14" t="str">
        <f t="shared" si="141"/>
        <v/>
      </c>
      <c r="BQ131" s="14" t="str">
        <f t="shared" si="142"/>
        <v/>
      </c>
      <c r="BR131" s="14" t="str">
        <f t="shared" si="143"/>
        <v/>
      </c>
      <c r="BS131" s="14" t="str">
        <f>IF(OR(T131="",P131="",BR131="",T131&lt;=0,BR131&lt;=0),"",(1/Inputs!$B$9)*((T131^2/8)*((2*ACOS(1-2*BR131/T131))-SIN((2*ACOS(1-2*BR131/T131)))))*((((T131^2/8)*((2*ACOS(1-2*BR131/T131))-SIN((2*ACOS(1-2*BR131/T131)))))/((T131/2)*((2*ACOS(1-2*BR131/T131)))))^(2/3))*SQRT(P131))</f>
        <v/>
      </c>
      <c r="BT131" s="14" t="str">
        <f t="shared" si="144"/>
        <v/>
      </c>
      <c r="BU131" s="14" t="str">
        <f t="shared" si="145"/>
        <v/>
      </c>
      <c r="BV131" s="14" t="str">
        <f t="shared" si="146"/>
        <v/>
      </c>
      <c r="BW131" s="14" t="str">
        <f>IF(OR(T131="",P131="",BV131="",T131&lt;=0,BV131&lt;=0),"",(1/Inputs!$B$9)*((T131^2/8)*((2*ACOS(1-2*BV131/T131))-SIN((2*ACOS(1-2*BV131/T131)))))*((((T131^2/8)*((2*ACOS(1-2*BV131/T131))-SIN((2*ACOS(1-2*BV131/T131)))))/((T131/2)*((2*ACOS(1-2*BV131/T131)))))^(2/3))*SQRT(P131))</f>
        <v/>
      </c>
      <c r="BX131" s="14" t="str">
        <f t="shared" si="147"/>
        <v/>
      </c>
      <c r="BY131" s="14" t="str">
        <f t="shared" si="148"/>
        <v/>
      </c>
      <c r="BZ131" s="14" t="str">
        <f t="shared" si="149"/>
        <v/>
      </c>
      <c r="CA131" s="14" t="str">
        <f>IF(OR(T131="",P131="",BZ131="",T131&lt;=0,BZ131&lt;=0),"",(1/Inputs!$B$9)*((T131^2/8)*((2*ACOS(1-2*BZ131/T131))-SIN((2*ACOS(1-2*BZ131/T131)))))*((((T131^2/8)*((2*ACOS(1-2*BZ131/T131))-SIN((2*ACOS(1-2*BZ131/T131)))))/((T131/2)*((2*ACOS(1-2*BZ131/T131)))))^(2/3))*SQRT(P131))</f>
        <v/>
      </c>
      <c r="CB131" s="14" t="str">
        <f t="shared" si="150"/>
        <v/>
      </c>
      <c r="CC131" s="14" t="str">
        <f t="shared" si="151"/>
        <v/>
      </c>
      <c r="CD131" s="14" t="str">
        <f t="shared" si="152"/>
        <v/>
      </c>
      <c r="CE131" s="14" t="str">
        <f>IF(OR(T131="",P131="",CD131="",T131&lt;=0,CD131&lt;=0),"",(1/Inputs!$B$9)*((T131^2/8)*((2*ACOS(1-2*CD131/T131))-SIN((2*ACOS(1-2*CD131/T131)))))*((((T131^2/8)*((2*ACOS(1-2*CD131/T131))-SIN((2*ACOS(1-2*CD131/T131)))))/((T131/2)*((2*ACOS(1-2*CD131/T131)))))^(2/3))*SQRT(P131))</f>
        <v/>
      </c>
      <c r="CF131" s="14" t="str">
        <f t="shared" si="153"/>
        <v/>
      </c>
      <c r="CG131" s="14" t="str">
        <f t="shared" si="154"/>
        <v/>
      </c>
      <c r="CH131" s="14" t="str">
        <f t="shared" si="155"/>
        <v/>
      </c>
    </row>
    <row r="132" spans="1:86" x14ac:dyDescent="0.25">
      <c r="A132" s="14"/>
      <c r="B132" s="14"/>
      <c r="C132" s="14"/>
      <c r="D132" s="14"/>
      <c r="E132" s="44"/>
      <c r="F132" s="44"/>
      <c r="G132" s="44">
        <f>SUMIFS(CB_plan!$G:$G,CB_plan!$F:$F,$A132)</f>
        <v>0</v>
      </c>
      <c r="H132" s="44">
        <f t="shared" ref="H132:H163" si="156">IF(F132="",G132,F132)</f>
        <v>0</v>
      </c>
      <c r="I132" s="14"/>
      <c r="J132" s="44"/>
      <c r="K132" s="44" t="str">
        <f>IF(A132="","",Inputs!$B$13/((IF(AV132="",Inputs!$B$18,AV132)+Inputs!$B$14)^Inputs!$B$15))</f>
        <v/>
      </c>
      <c r="L132" s="44" t="str">
        <f>IF(A132="","",IF(H132="","",0.000000278*IF(I132&lt;&gt;"",I132,IFERROR(SUMIFS(CB_plan!$H:$H,CB_plan!$F:$F,$A132)/SUMIFS(CB_plan!$G:$G,CB_plan!$F:$F,$A132),Inputs!$B$17))*H132*K132))</f>
        <v/>
      </c>
      <c r="M132" s="44" t="str">
        <f t="shared" ref="M132:M163" si="157">IF(A132="","",SUMIFS($N$4:$N$201,$D$4:$D$201,$A132))</f>
        <v/>
      </c>
      <c r="N132" s="44" t="str">
        <f>IF(A132="","",(L132+M132)*Inputs!$B$16)</f>
        <v/>
      </c>
      <c r="O132" s="44"/>
      <c r="P132" s="44" t="str">
        <f>IF(A132="","",IF(O132="",Inputs!$B$7,O132))</f>
        <v/>
      </c>
      <c r="Q132" s="14" t="str">
        <f>IF(A132="","",IF(N132/Inputs!$B$10&lt;=AG132,Inputs!$F$5,IF(N132/Inputs!$B$10&gt;AP132,"OVERSIZE",INDEX(Inputs!$F$5:$F$14,MATCH(N132/Inputs!$B$10,AG132:AP132,1)+1))))</f>
        <v/>
      </c>
      <c r="R132" s="14"/>
      <c r="S132" s="14" t="str">
        <f t="shared" ref="S132:S163" si="158">IF(A132="","",IF(R132="",Q132,R132))</f>
        <v/>
      </c>
      <c r="T132" s="44" t="str">
        <f t="shared" ref="T132:T163" si="159">IF(OR(S132="",S132="OVERSIZE"),"",S132/1000)</f>
        <v/>
      </c>
      <c r="U132" s="44" t="str">
        <f>IF(T132="","",(1/Inputs!$B$9)*(PI()*T132^2/4)*((T132/4)^(2/3))*SQRT(P132))</f>
        <v/>
      </c>
      <c r="V132" s="44" t="str">
        <f>IF(OR(U132="",N132=""),"",N132/(U132*Inputs!$B$10))</f>
        <v/>
      </c>
      <c r="W132" s="44" t="str">
        <f t="shared" ref="W132:W163" si="160">IF(OR(T132="",N132=""),"",4*N132/(PI()*T132^2))</f>
        <v/>
      </c>
      <c r="X132" s="44"/>
      <c r="Y132" s="44" t="str">
        <f>IF(A132="","",IF(A132=Inputs!$B$6,Inputs!$B$22,IF(D132="","",IFERROR(INDEX($Z$4:$Z$201,MATCH(D132,$A$4:$A$201,0))+IF(X132="",Inputs!$B$20,X132),""))))</f>
        <v/>
      </c>
      <c r="Z132" s="44" t="str">
        <f t="shared" ref="Z132:Z163" si="161">IF(OR(Y132="",P132="",E132=""),"",Y132+P132*E132)</f>
        <v/>
      </c>
      <c r="AA132" s="44" t="str">
        <f>IF(C132="","",IFERROR(INDEX(Noeuds_plan!$C$4:$C$200,MATCH(C132,Noeuds_plan!$A$4:$A$200,0)),""))</f>
        <v/>
      </c>
      <c r="AB132" s="44" t="str">
        <f>IF(B132="","",IFERROR(INDEX(Noeuds_plan!$C$4:$C$200,MATCH(B132,Noeuds_plan!$A$4:$A$200,0)),""))</f>
        <v/>
      </c>
      <c r="AC132" s="44" t="str">
        <f t="shared" ref="AC132:AC163" si="162">IF(OR(AA132="",Y132=""),"",AA132-Y132)</f>
        <v/>
      </c>
      <c r="AD132" s="44" t="str">
        <f t="shared" ref="AD132:AD163" si="163">IF(OR(AB132="",Z132=""),"",AB132-Z132)</f>
        <v/>
      </c>
      <c r="AE132" s="14" t="str">
        <f>IF(A132="","",IF(OR(V132&gt;1,AND(AY132&lt;&gt;"",AY132&lt;Inputs!$B$11),AND(AY132&lt;&gt;"",AY132&gt;Inputs!$B$12),AC132&lt;Inputs!$B$19,AD132&lt;Inputs!$B$19,P132&lt;Inputs!$B$7,P132&gt;Inputs!$B$8),"CHECK","OK"))</f>
        <v/>
      </c>
      <c r="AF132" s="14"/>
      <c r="AG132" s="14" t="str">
        <f>IF(A132="","",(1/Inputs!$B$9)*(PI()*(Inputs!$F$5/1000)^2/4)*((Inputs!$F$5/1000/4)^(2/3))*SQRT(P132))</f>
        <v/>
      </c>
      <c r="AH132" s="14" t="str">
        <f>IF(A132="","",(1/Inputs!$B$9)*(PI()*(Inputs!$F$6/1000)^2/4)*((Inputs!$F$6/1000/4)^(2/3))*SQRT(P132))</f>
        <v/>
      </c>
      <c r="AI132" s="14" t="str">
        <f>IF(A132="","",(1/Inputs!$B$9)*(PI()*(Inputs!$F$7/1000)^2/4)*((Inputs!$F$7/1000/4)^(2/3))*SQRT(P132))</f>
        <v/>
      </c>
      <c r="AJ132" s="14" t="str">
        <f>IF(A132="","",(1/Inputs!$B$9)*(PI()*(Inputs!$F$8/1000)^2/4)*((Inputs!$F$8/1000/4)^(2/3))*SQRT(P132))</f>
        <v/>
      </c>
      <c r="AK132" s="14" t="str">
        <f>IF(A132="","",(1/Inputs!$B$9)*(PI()*(Inputs!$F$9/1000)^2/4)*((Inputs!$F$9/1000/4)^(2/3))*SQRT(P132))</f>
        <v/>
      </c>
      <c r="AL132" s="14" t="str">
        <f>IF(A132="","",(1/Inputs!$B$9)*(PI()*(Inputs!$F$10/1000)^2/4)*((Inputs!$F$10/1000/4)^(2/3))*SQRT(P132))</f>
        <v/>
      </c>
      <c r="AM132" s="14" t="str">
        <f>IF(A132="","",(1/Inputs!$B$9)*(PI()*(Inputs!$F$11/1000)^2/4)*((Inputs!$F$11/1000/4)^(2/3))*SQRT(P132))</f>
        <v/>
      </c>
      <c r="AN132" s="14" t="str">
        <f>IF(A132="","",(1/Inputs!$B$9)*(PI()*(Inputs!$F$12/1000)^2/4)*((Inputs!$F$12/1000/4)^(2/3))*SQRT(P132))</f>
        <v/>
      </c>
      <c r="AO132" s="14" t="str">
        <f>IF(A132="","",(1/Inputs!$B$9)*(PI()*(Inputs!$F$13/1000)^2/4)*((Inputs!$F$13/1000/4)^(2/3))*SQRT(P132))</f>
        <v/>
      </c>
      <c r="AP132" s="14" t="str">
        <f>IF(A132="","",(1/Inputs!$B$9)*(PI()*(Inputs!$F$14/1000)^2/4)*((Inputs!$F$14/1000/4)^(2/3))*SQRT(P132))</f>
        <v/>
      </c>
      <c r="AQ132" s="14" t="str">
        <f t="shared" ref="AQ132:AQ163" si="164">IF(A132="","",COUNTIF($D$4:$D$201,$A132))</f>
        <v/>
      </c>
      <c r="AR132" s="14" t="str">
        <f t="shared" ref="AR132:AR163" si="165">IF(A132="","",IF(AQ132=0,"START","CONTINUOUS"))</f>
        <v/>
      </c>
      <c r="AS132" s="17" t="str">
        <f>IF(A132="","",IF(J132="",Inputs!$B$18,J132))</f>
        <v/>
      </c>
      <c r="AT132" s="17" t="str">
        <f>IF(A132="","",IFERROR(_xludf.maxifs($AV$4:$AV$201,$D$4:$D$201,$A132),""))</f>
        <v/>
      </c>
      <c r="AU132" s="17" t="str">
        <f>IF(A132="","",IF(OR(E132="",Inputs!$B$23=""),"",E132/(Inputs!$B$23*60)))</f>
        <v/>
      </c>
      <c r="AV132" s="17" t="str">
        <f t="shared" ref="AV132:AV163" si="166">IF(A132="","",IF(AQ132=0,AS132+AU132,IF(AT132="",AS132+AU132,AT132+AU132)))</f>
        <v/>
      </c>
      <c r="AW132" s="17" t="str">
        <f t="shared" ref="AW132:AW163" si="167">IF(A132="","",W132)</f>
        <v/>
      </c>
      <c r="AX132" s="17" t="str">
        <f>IF(OR(T132="",P132=""),"",(1/Inputs!$B$9)*((T132/4)^(2/3))*SQRT(P132))</f>
        <v/>
      </c>
      <c r="AY132" s="17" t="str">
        <f>IF(A132="","",IF(AND(AW132="",AX132="",BA132=""),"",IF(OR(UPPER(TRIM(Inputs!$B$24))="MANNING",UPPER(TRIM(Inputs!$B$24))="M"),AX132,IF(OR(UPPER(TRIM(Inputs!$B$24))="PARTIAL",UPPER(TRIM(Inputs!$B$24))="P"),BA132,IF(OR(UPPER(TRIM(Inputs!$B$24))="MAX",UPPER(TRIM(Inputs!$B$24))="X"),MAX(IF(AW132="",0,AW132),IF(AX132="",0,AX132),IF(BA132="",0,BA132)),AW132)))))</f>
        <v/>
      </c>
      <c r="AZ132" s="17" t="str">
        <f t="shared" ref="AZ132:AZ163" si="168">IF(BB132="","",CH132)</f>
        <v/>
      </c>
      <c r="BA132" s="17" t="str">
        <f t="shared" ref="BA132:BA163" si="169">IF(OR(BB132="",AZ132="",T132="",T132&lt;=0,AZ132&lt;=0),"",BB132/((T132^2/8)*(2*ACOS(1-2*AZ132/T132)-SIN(2*ACOS(1-2*AZ132/T132)))))</f>
        <v/>
      </c>
      <c r="BB132" s="14" t="str">
        <f t="shared" ref="BB132:BB163" si="170">IF(OR(N132="",BC132=""),"",MIN(N132,BC132))</f>
        <v/>
      </c>
      <c r="BC132" s="14" t="str">
        <f>IF(OR(N132="",T132="",P132=""),"",IF(OR(T132="",P132="",(0.94*T132)="",T132&lt;=0,(0.94*T132)&lt;=0),"",(1/Inputs!$B$9)*((T132^2/8)*((2*ACOS(1-2*(0.94*T132)/T132))-SIN((2*ACOS(1-2*(0.94*T132)/T132)))))*((((T132^2/8)*((2*ACOS(1-2*(0.94*T132)/T132))-SIN((2*ACOS(1-2*(0.94*T132)/T132)))))/((T132/2)*((2*ACOS(1-2*(0.94*T132)/T132)))))^(2/3))*SQRT(P132)))</f>
        <v/>
      </c>
      <c r="BD132" s="14" t="str">
        <f t="shared" ref="BD132:BD163" si="171">IF(BB132="","",0.001*T132)</f>
        <v/>
      </c>
      <c r="BE132" s="14" t="str">
        <f t="shared" ref="BE132:BE163" si="172">IF(BB132="","",0.94*T132)</f>
        <v/>
      </c>
      <c r="BF132" s="14" t="str">
        <f t="shared" ref="BF132:BF163" si="173">IF(BB132="","",(BD132+BE132)/2)</f>
        <v/>
      </c>
      <c r="BG132" s="14" t="str">
        <f>IF(OR(T132="",P132="",BF132="",T132&lt;=0,BF132&lt;=0),"",(1/Inputs!$B$9)*((T132^2/8)*((2*ACOS(1-2*BF132/T132))-SIN((2*ACOS(1-2*BF132/T132)))))*((((T132^2/8)*((2*ACOS(1-2*BF132/T132))-SIN((2*ACOS(1-2*BF132/T132)))))/((T132/2)*((2*ACOS(1-2*BF132/T132)))))^(2/3))*SQRT(P132))</f>
        <v/>
      </c>
      <c r="BH132" s="14" t="str">
        <f t="shared" ref="BH132:BH163" si="174">IF(BB132="","",IF(BG132&lt;BB132,BF132,BD132))</f>
        <v/>
      </c>
      <c r="BI132" s="14" t="str">
        <f t="shared" ref="BI132:BI163" si="175">IF(BB132="","",IF(BG132&lt;BB132,BE132,BF132))</f>
        <v/>
      </c>
      <c r="BJ132" s="14" t="str">
        <f t="shared" ref="BJ132:BJ163" si="176">IF(BB132="","",(BH132+BI132)/2)</f>
        <v/>
      </c>
      <c r="BK132" s="14" t="str">
        <f>IF(OR(T132="",P132="",BJ132="",T132&lt;=0,BJ132&lt;=0),"",(1/Inputs!$B$9)*((T132^2/8)*((2*ACOS(1-2*BJ132/T132))-SIN((2*ACOS(1-2*BJ132/T132)))))*((((T132^2/8)*((2*ACOS(1-2*BJ132/T132))-SIN((2*ACOS(1-2*BJ132/T132)))))/((T132/2)*((2*ACOS(1-2*BJ132/T132)))))^(2/3))*SQRT(P132))</f>
        <v/>
      </c>
      <c r="BL132" s="14" t="str">
        <f t="shared" ref="BL132:BL163" si="177">IF(BB132="","",IF(BK132&lt;BB132,BJ132,BH132))</f>
        <v/>
      </c>
      <c r="BM132" s="14" t="str">
        <f t="shared" ref="BM132:BM163" si="178">IF(BB132="","",IF(BK132&lt;BB132,BI132,BJ132))</f>
        <v/>
      </c>
      <c r="BN132" s="14" t="str">
        <f t="shared" ref="BN132:BN163" si="179">IF(BB132="","",(BL132+BM132)/2)</f>
        <v/>
      </c>
      <c r="BO132" s="14" t="str">
        <f>IF(OR(T132="",P132="",BN132="",T132&lt;=0,BN132&lt;=0),"",(1/Inputs!$B$9)*((T132^2/8)*((2*ACOS(1-2*BN132/T132))-SIN((2*ACOS(1-2*BN132/T132)))))*((((T132^2/8)*((2*ACOS(1-2*BN132/T132))-SIN((2*ACOS(1-2*BN132/T132)))))/((T132/2)*((2*ACOS(1-2*BN132/T132)))))^(2/3))*SQRT(P132))</f>
        <v/>
      </c>
      <c r="BP132" s="14" t="str">
        <f t="shared" ref="BP132:BP163" si="180">IF(BB132="","",IF(BO132&lt;BB132,BN132,BL132))</f>
        <v/>
      </c>
      <c r="BQ132" s="14" t="str">
        <f t="shared" ref="BQ132:BQ163" si="181">IF(BB132="","",IF(BO132&lt;BB132,BM132,BN132))</f>
        <v/>
      </c>
      <c r="BR132" s="14" t="str">
        <f t="shared" ref="BR132:BR163" si="182">IF(BB132="","",(BP132+BQ132)/2)</f>
        <v/>
      </c>
      <c r="BS132" s="14" t="str">
        <f>IF(OR(T132="",P132="",BR132="",T132&lt;=0,BR132&lt;=0),"",(1/Inputs!$B$9)*((T132^2/8)*((2*ACOS(1-2*BR132/T132))-SIN((2*ACOS(1-2*BR132/T132)))))*((((T132^2/8)*((2*ACOS(1-2*BR132/T132))-SIN((2*ACOS(1-2*BR132/T132)))))/((T132/2)*((2*ACOS(1-2*BR132/T132)))))^(2/3))*SQRT(P132))</f>
        <v/>
      </c>
      <c r="BT132" s="14" t="str">
        <f t="shared" ref="BT132:BT163" si="183">IF(BB132="","",IF(BS132&lt;BB132,BR132,BP132))</f>
        <v/>
      </c>
      <c r="BU132" s="14" t="str">
        <f t="shared" ref="BU132:BU163" si="184">IF(BB132="","",IF(BS132&lt;BB132,BQ132,BR132))</f>
        <v/>
      </c>
      <c r="BV132" s="14" t="str">
        <f t="shared" ref="BV132:BV163" si="185">IF(BB132="","",(BT132+BU132)/2)</f>
        <v/>
      </c>
      <c r="BW132" s="14" t="str">
        <f>IF(OR(T132="",P132="",BV132="",T132&lt;=0,BV132&lt;=0),"",(1/Inputs!$B$9)*((T132^2/8)*((2*ACOS(1-2*BV132/T132))-SIN((2*ACOS(1-2*BV132/T132)))))*((((T132^2/8)*((2*ACOS(1-2*BV132/T132))-SIN((2*ACOS(1-2*BV132/T132)))))/((T132/2)*((2*ACOS(1-2*BV132/T132)))))^(2/3))*SQRT(P132))</f>
        <v/>
      </c>
      <c r="BX132" s="14" t="str">
        <f t="shared" ref="BX132:BX163" si="186">IF(BB132="","",IF(BW132&lt;BB132,BV132,BT132))</f>
        <v/>
      </c>
      <c r="BY132" s="14" t="str">
        <f t="shared" ref="BY132:BY163" si="187">IF(BB132="","",IF(BW132&lt;BB132,BU132,BV132))</f>
        <v/>
      </c>
      <c r="BZ132" s="14" t="str">
        <f t="shared" ref="BZ132:BZ163" si="188">IF(BB132="","",(BX132+BY132)/2)</f>
        <v/>
      </c>
      <c r="CA132" s="14" t="str">
        <f>IF(OR(T132="",P132="",BZ132="",T132&lt;=0,BZ132&lt;=0),"",(1/Inputs!$B$9)*((T132^2/8)*((2*ACOS(1-2*BZ132/T132))-SIN((2*ACOS(1-2*BZ132/T132)))))*((((T132^2/8)*((2*ACOS(1-2*BZ132/T132))-SIN((2*ACOS(1-2*BZ132/T132)))))/((T132/2)*((2*ACOS(1-2*BZ132/T132)))))^(2/3))*SQRT(P132))</f>
        <v/>
      </c>
      <c r="CB132" s="14" t="str">
        <f t="shared" ref="CB132:CB163" si="189">IF(BB132="","",IF(CA132&lt;BB132,BZ132,BX132))</f>
        <v/>
      </c>
      <c r="CC132" s="14" t="str">
        <f t="shared" ref="CC132:CC163" si="190">IF(BB132="","",IF(CA132&lt;BB132,BY132,BZ132))</f>
        <v/>
      </c>
      <c r="CD132" s="14" t="str">
        <f t="shared" ref="CD132:CD163" si="191">IF(BB132="","",(CB132+CC132)/2)</f>
        <v/>
      </c>
      <c r="CE132" s="14" t="str">
        <f>IF(OR(T132="",P132="",CD132="",T132&lt;=0,CD132&lt;=0),"",(1/Inputs!$B$9)*((T132^2/8)*((2*ACOS(1-2*CD132/T132))-SIN((2*ACOS(1-2*CD132/T132)))))*((((T132^2/8)*((2*ACOS(1-2*CD132/T132))-SIN((2*ACOS(1-2*CD132/T132)))))/((T132/2)*((2*ACOS(1-2*CD132/T132)))))^(2/3))*SQRT(P132))</f>
        <v/>
      </c>
      <c r="CF132" s="14" t="str">
        <f t="shared" ref="CF132:CF163" si="192">IF(BB132="","",IF(CE132&lt;BB132,CD132,CB132))</f>
        <v/>
      </c>
      <c r="CG132" s="14" t="str">
        <f t="shared" ref="CG132:CG163" si="193">IF(BB132="","",IF(CE132&lt;BB132,CC132,CD132))</f>
        <v/>
      </c>
      <c r="CH132" s="14" t="str">
        <f t="shared" ref="CH132:CH163" si="194">IF(BB132="","",(CF132+CG132)/2)</f>
        <v/>
      </c>
    </row>
    <row r="133" spans="1:86" x14ac:dyDescent="0.25">
      <c r="A133" s="14"/>
      <c r="B133" s="14"/>
      <c r="C133" s="14"/>
      <c r="D133" s="14"/>
      <c r="E133" s="44"/>
      <c r="F133" s="44"/>
      <c r="G133" s="44">
        <f>SUMIFS(CB_plan!$G:$G,CB_plan!$F:$F,$A133)</f>
        <v>0</v>
      </c>
      <c r="H133" s="44">
        <f t="shared" si="156"/>
        <v>0</v>
      </c>
      <c r="I133" s="14"/>
      <c r="J133" s="44"/>
      <c r="K133" s="44" t="str">
        <f>IF(A133="","",Inputs!$B$13/((IF(AV133="",Inputs!$B$18,AV133)+Inputs!$B$14)^Inputs!$B$15))</f>
        <v/>
      </c>
      <c r="L133" s="44" t="str">
        <f>IF(A133="","",IF(H133="","",0.000000278*IF(I133&lt;&gt;"",I133,IFERROR(SUMIFS(CB_plan!$H:$H,CB_plan!$F:$F,$A133)/SUMIFS(CB_plan!$G:$G,CB_plan!$F:$F,$A133),Inputs!$B$17))*H133*K133))</f>
        <v/>
      </c>
      <c r="M133" s="44" t="str">
        <f t="shared" si="157"/>
        <v/>
      </c>
      <c r="N133" s="44" t="str">
        <f>IF(A133="","",(L133+M133)*Inputs!$B$16)</f>
        <v/>
      </c>
      <c r="O133" s="44"/>
      <c r="P133" s="44" t="str">
        <f>IF(A133="","",IF(O133="",Inputs!$B$7,O133))</f>
        <v/>
      </c>
      <c r="Q133" s="14" t="str">
        <f>IF(A133="","",IF(N133/Inputs!$B$10&lt;=AG133,Inputs!$F$5,IF(N133/Inputs!$B$10&gt;AP133,"OVERSIZE",INDEX(Inputs!$F$5:$F$14,MATCH(N133/Inputs!$B$10,AG133:AP133,1)+1))))</f>
        <v/>
      </c>
      <c r="R133" s="14"/>
      <c r="S133" s="14" t="str">
        <f t="shared" si="158"/>
        <v/>
      </c>
      <c r="T133" s="44" t="str">
        <f t="shared" si="159"/>
        <v/>
      </c>
      <c r="U133" s="44" t="str">
        <f>IF(T133="","",(1/Inputs!$B$9)*(PI()*T133^2/4)*((T133/4)^(2/3))*SQRT(P133))</f>
        <v/>
      </c>
      <c r="V133" s="44" t="str">
        <f>IF(OR(U133="",N133=""),"",N133/(U133*Inputs!$B$10))</f>
        <v/>
      </c>
      <c r="W133" s="44" t="str">
        <f t="shared" si="160"/>
        <v/>
      </c>
      <c r="X133" s="44"/>
      <c r="Y133" s="44" t="str">
        <f>IF(A133="","",IF(A133=Inputs!$B$6,Inputs!$B$22,IF(D133="","",IFERROR(INDEX($Z$4:$Z$201,MATCH(D133,$A$4:$A$201,0))+IF(X133="",Inputs!$B$20,X133),""))))</f>
        <v/>
      </c>
      <c r="Z133" s="44" t="str">
        <f t="shared" si="161"/>
        <v/>
      </c>
      <c r="AA133" s="44" t="str">
        <f>IF(C133="","",IFERROR(INDEX(Noeuds_plan!$C$4:$C$200,MATCH(C133,Noeuds_plan!$A$4:$A$200,0)),""))</f>
        <v/>
      </c>
      <c r="AB133" s="44" t="str">
        <f>IF(B133="","",IFERROR(INDEX(Noeuds_plan!$C$4:$C$200,MATCH(B133,Noeuds_plan!$A$4:$A$200,0)),""))</f>
        <v/>
      </c>
      <c r="AC133" s="44" t="str">
        <f t="shared" si="162"/>
        <v/>
      </c>
      <c r="AD133" s="44" t="str">
        <f t="shared" si="163"/>
        <v/>
      </c>
      <c r="AE133" s="14" t="str">
        <f>IF(A133="","",IF(OR(V133&gt;1,AND(AY133&lt;&gt;"",AY133&lt;Inputs!$B$11),AND(AY133&lt;&gt;"",AY133&gt;Inputs!$B$12),AC133&lt;Inputs!$B$19,AD133&lt;Inputs!$B$19,P133&lt;Inputs!$B$7,P133&gt;Inputs!$B$8),"CHECK","OK"))</f>
        <v/>
      </c>
      <c r="AF133" s="14"/>
      <c r="AG133" s="14" t="str">
        <f>IF(A133="","",(1/Inputs!$B$9)*(PI()*(Inputs!$F$5/1000)^2/4)*((Inputs!$F$5/1000/4)^(2/3))*SQRT(P133))</f>
        <v/>
      </c>
      <c r="AH133" s="14" t="str">
        <f>IF(A133="","",(1/Inputs!$B$9)*(PI()*(Inputs!$F$6/1000)^2/4)*((Inputs!$F$6/1000/4)^(2/3))*SQRT(P133))</f>
        <v/>
      </c>
      <c r="AI133" s="14" t="str">
        <f>IF(A133="","",(1/Inputs!$B$9)*(PI()*(Inputs!$F$7/1000)^2/4)*((Inputs!$F$7/1000/4)^(2/3))*SQRT(P133))</f>
        <v/>
      </c>
      <c r="AJ133" s="14" t="str">
        <f>IF(A133="","",(1/Inputs!$B$9)*(PI()*(Inputs!$F$8/1000)^2/4)*((Inputs!$F$8/1000/4)^(2/3))*SQRT(P133))</f>
        <v/>
      </c>
      <c r="AK133" s="14" t="str">
        <f>IF(A133="","",(1/Inputs!$B$9)*(PI()*(Inputs!$F$9/1000)^2/4)*((Inputs!$F$9/1000/4)^(2/3))*SQRT(P133))</f>
        <v/>
      </c>
      <c r="AL133" s="14" t="str">
        <f>IF(A133="","",(1/Inputs!$B$9)*(PI()*(Inputs!$F$10/1000)^2/4)*((Inputs!$F$10/1000/4)^(2/3))*SQRT(P133))</f>
        <v/>
      </c>
      <c r="AM133" s="14" t="str">
        <f>IF(A133="","",(1/Inputs!$B$9)*(PI()*(Inputs!$F$11/1000)^2/4)*((Inputs!$F$11/1000/4)^(2/3))*SQRT(P133))</f>
        <v/>
      </c>
      <c r="AN133" s="14" t="str">
        <f>IF(A133="","",(1/Inputs!$B$9)*(PI()*(Inputs!$F$12/1000)^2/4)*((Inputs!$F$12/1000/4)^(2/3))*SQRT(P133))</f>
        <v/>
      </c>
      <c r="AO133" s="14" t="str">
        <f>IF(A133="","",(1/Inputs!$B$9)*(PI()*(Inputs!$F$13/1000)^2/4)*((Inputs!$F$13/1000/4)^(2/3))*SQRT(P133))</f>
        <v/>
      </c>
      <c r="AP133" s="14" t="str">
        <f>IF(A133="","",(1/Inputs!$B$9)*(PI()*(Inputs!$F$14/1000)^2/4)*((Inputs!$F$14/1000/4)^(2/3))*SQRT(P133))</f>
        <v/>
      </c>
      <c r="AQ133" s="14" t="str">
        <f t="shared" si="164"/>
        <v/>
      </c>
      <c r="AR133" s="14" t="str">
        <f t="shared" si="165"/>
        <v/>
      </c>
      <c r="AS133" s="17" t="str">
        <f>IF(A133="","",IF(J133="",Inputs!$B$18,J133))</f>
        <v/>
      </c>
      <c r="AT133" s="17" t="str">
        <f>IF(A133="","",IFERROR(_xludf.maxifs($AV$4:$AV$201,$D$4:$D$201,$A133),""))</f>
        <v/>
      </c>
      <c r="AU133" s="17" t="str">
        <f>IF(A133="","",IF(OR(E133="",Inputs!$B$23=""),"",E133/(Inputs!$B$23*60)))</f>
        <v/>
      </c>
      <c r="AV133" s="17" t="str">
        <f t="shared" si="166"/>
        <v/>
      </c>
      <c r="AW133" s="17" t="str">
        <f t="shared" si="167"/>
        <v/>
      </c>
      <c r="AX133" s="17" t="str">
        <f>IF(OR(T133="",P133=""),"",(1/Inputs!$B$9)*((T133/4)^(2/3))*SQRT(P133))</f>
        <v/>
      </c>
      <c r="AY133" s="17" t="str">
        <f>IF(A133="","",IF(AND(AW133="",AX133="",BA133=""),"",IF(OR(UPPER(TRIM(Inputs!$B$24))="MANNING",UPPER(TRIM(Inputs!$B$24))="M"),AX133,IF(OR(UPPER(TRIM(Inputs!$B$24))="PARTIAL",UPPER(TRIM(Inputs!$B$24))="P"),BA133,IF(OR(UPPER(TRIM(Inputs!$B$24))="MAX",UPPER(TRIM(Inputs!$B$24))="X"),MAX(IF(AW133="",0,AW133),IF(AX133="",0,AX133),IF(BA133="",0,BA133)),AW133)))))</f>
        <v/>
      </c>
      <c r="AZ133" s="17" t="str">
        <f t="shared" si="168"/>
        <v/>
      </c>
      <c r="BA133" s="17" t="str">
        <f t="shared" si="169"/>
        <v/>
      </c>
      <c r="BB133" s="14" t="str">
        <f t="shared" si="170"/>
        <v/>
      </c>
      <c r="BC133" s="14" t="str">
        <f>IF(OR(N133="",T133="",P133=""),"",IF(OR(T133="",P133="",(0.94*T133)="",T133&lt;=0,(0.94*T133)&lt;=0),"",(1/Inputs!$B$9)*((T133^2/8)*((2*ACOS(1-2*(0.94*T133)/T133))-SIN((2*ACOS(1-2*(0.94*T133)/T133)))))*((((T133^2/8)*((2*ACOS(1-2*(0.94*T133)/T133))-SIN((2*ACOS(1-2*(0.94*T133)/T133)))))/((T133/2)*((2*ACOS(1-2*(0.94*T133)/T133)))))^(2/3))*SQRT(P133)))</f>
        <v/>
      </c>
      <c r="BD133" s="14" t="str">
        <f t="shared" si="171"/>
        <v/>
      </c>
      <c r="BE133" s="14" t="str">
        <f t="shared" si="172"/>
        <v/>
      </c>
      <c r="BF133" s="14" t="str">
        <f t="shared" si="173"/>
        <v/>
      </c>
      <c r="BG133" s="14" t="str">
        <f>IF(OR(T133="",P133="",BF133="",T133&lt;=0,BF133&lt;=0),"",(1/Inputs!$B$9)*((T133^2/8)*((2*ACOS(1-2*BF133/T133))-SIN((2*ACOS(1-2*BF133/T133)))))*((((T133^2/8)*((2*ACOS(1-2*BF133/T133))-SIN((2*ACOS(1-2*BF133/T133)))))/((T133/2)*((2*ACOS(1-2*BF133/T133)))))^(2/3))*SQRT(P133))</f>
        <v/>
      </c>
      <c r="BH133" s="14" t="str">
        <f t="shared" si="174"/>
        <v/>
      </c>
      <c r="BI133" s="14" t="str">
        <f t="shared" si="175"/>
        <v/>
      </c>
      <c r="BJ133" s="14" t="str">
        <f t="shared" si="176"/>
        <v/>
      </c>
      <c r="BK133" s="14" t="str">
        <f>IF(OR(T133="",P133="",BJ133="",T133&lt;=0,BJ133&lt;=0),"",(1/Inputs!$B$9)*((T133^2/8)*((2*ACOS(1-2*BJ133/T133))-SIN((2*ACOS(1-2*BJ133/T133)))))*((((T133^2/8)*((2*ACOS(1-2*BJ133/T133))-SIN((2*ACOS(1-2*BJ133/T133)))))/((T133/2)*((2*ACOS(1-2*BJ133/T133)))))^(2/3))*SQRT(P133))</f>
        <v/>
      </c>
      <c r="BL133" s="14" t="str">
        <f t="shared" si="177"/>
        <v/>
      </c>
      <c r="BM133" s="14" t="str">
        <f t="shared" si="178"/>
        <v/>
      </c>
      <c r="BN133" s="14" t="str">
        <f t="shared" si="179"/>
        <v/>
      </c>
      <c r="BO133" s="14" t="str">
        <f>IF(OR(T133="",P133="",BN133="",T133&lt;=0,BN133&lt;=0),"",(1/Inputs!$B$9)*((T133^2/8)*((2*ACOS(1-2*BN133/T133))-SIN((2*ACOS(1-2*BN133/T133)))))*((((T133^2/8)*((2*ACOS(1-2*BN133/T133))-SIN((2*ACOS(1-2*BN133/T133)))))/((T133/2)*((2*ACOS(1-2*BN133/T133)))))^(2/3))*SQRT(P133))</f>
        <v/>
      </c>
      <c r="BP133" s="14" t="str">
        <f t="shared" si="180"/>
        <v/>
      </c>
      <c r="BQ133" s="14" t="str">
        <f t="shared" si="181"/>
        <v/>
      </c>
      <c r="BR133" s="14" t="str">
        <f t="shared" si="182"/>
        <v/>
      </c>
      <c r="BS133" s="14" t="str">
        <f>IF(OR(T133="",P133="",BR133="",T133&lt;=0,BR133&lt;=0),"",(1/Inputs!$B$9)*((T133^2/8)*((2*ACOS(1-2*BR133/T133))-SIN((2*ACOS(1-2*BR133/T133)))))*((((T133^2/8)*((2*ACOS(1-2*BR133/T133))-SIN((2*ACOS(1-2*BR133/T133)))))/((T133/2)*((2*ACOS(1-2*BR133/T133)))))^(2/3))*SQRT(P133))</f>
        <v/>
      </c>
      <c r="BT133" s="14" t="str">
        <f t="shared" si="183"/>
        <v/>
      </c>
      <c r="BU133" s="14" t="str">
        <f t="shared" si="184"/>
        <v/>
      </c>
      <c r="BV133" s="14" t="str">
        <f t="shared" si="185"/>
        <v/>
      </c>
      <c r="BW133" s="14" t="str">
        <f>IF(OR(T133="",P133="",BV133="",T133&lt;=0,BV133&lt;=0),"",(1/Inputs!$B$9)*((T133^2/8)*((2*ACOS(1-2*BV133/T133))-SIN((2*ACOS(1-2*BV133/T133)))))*((((T133^2/8)*((2*ACOS(1-2*BV133/T133))-SIN((2*ACOS(1-2*BV133/T133)))))/((T133/2)*((2*ACOS(1-2*BV133/T133)))))^(2/3))*SQRT(P133))</f>
        <v/>
      </c>
      <c r="BX133" s="14" t="str">
        <f t="shared" si="186"/>
        <v/>
      </c>
      <c r="BY133" s="14" t="str">
        <f t="shared" si="187"/>
        <v/>
      </c>
      <c r="BZ133" s="14" t="str">
        <f t="shared" si="188"/>
        <v/>
      </c>
      <c r="CA133" s="14" t="str">
        <f>IF(OR(T133="",P133="",BZ133="",T133&lt;=0,BZ133&lt;=0),"",(1/Inputs!$B$9)*((T133^2/8)*((2*ACOS(1-2*BZ133/T133))-SIN((2*ACOS(1-2*BZ133/T133)))))*((((T133^2/8)*((2*ACOS(1-2*BZ133/T133))-SIN((2*ACOS(1-2*BZ133/T133)))))/((T133/2)*((2*ACOS(1-2*BZ133/T133)))))^(2/3))*SQRT(P133))</f>
        <v/>
      </c>
      <c r="CB133" s="14" t="str">
        <f t="shared" si="189"/>
        <v/>
      </c>
      <c r="CC133" s="14" t="str">
        <f t="shared" si="190"/>
        <v/>
      </c>
      <c r="CD133" s="14" t="str">
        <f t="shared" si="191"/>
        <v/>
      </c>
      <c r="CE133" s="14" t="str">
        <f>IF(OR(T133="",P133="",CD133="",T133&lt;=0,CD133&lt;=0),"",(1/Inputs!$B$9)*((T133^2/8)*((2*ACOS(1-2*CD133/T133))-SIN((2*ACOS(1-2*CD133/T133)))))*((((T133^2/8)*((2*ACOS(1-2*CD133/T133))-SIN((2*ACOS(1-2*CD133/T133)))))/((T133/2)*((2*ACOS(1-2*CD133/T133)))))^(2/3))*SQRT(P133))</f>
        <v/>
      </c>
      <c r="CF133" s="14" t="str">
        <f t="shared" si="192"/>
        <v/>
      </c>
      <c r="CG133" s="14" t="str">
        <f t="shared" si="193"/>
        <v/>
      </c>
      <c r="CH133" s="14" t="str">
        <f t="shared" si="194"/>
        <v/>
      </c>
    </row>
    <row r="134" spans="1:86" x14ac:dyDescent="0.25">
      <c r="A134" s="14"/>
      <c r="B134" s="14"/>
      <c r="C134" s="14"/>
      <c r="D134" s="14"/>
      <c r="E134" s="44"/>
      <c r="F134" s="44"/>
      <c r="G134" s="44">
        <f>SUMIFS(CB_plan!$G:$G,CB_plan!$F:$F,$A134)</f>
        <v>0</v>
      </c>
      <c r="H134" s="44">
        <f t="shared" si="156"/>
        <v>0</v>
      </c>
      <c r="I134" s="14"/>
      <c r="J134" s="44"/>
      <c r="K134" s="44" t="str">
        <f>IF(A134="","",Inputs!$B$13/((IF(AV134="",Inputs!$B$18,AV134)+Inputs!$B$14)^Inputs!$B$15))</f>
        <v/>
      </c>
      <c r="L134" s="44" t="str">
        <f>IF(A134="","",IF(H134="","",0.000000278*IF(I134&lt;&gt;"",I134,IFERROR(SUMIFS(CB_plan!$H:$H,CB_plan!$F:$F,$A134)/SUMIFS(CB_plan!$G:$G,CB_plan!$F:$F,$A134),Inputs!$B$17))*H134*K134))</f>
        <v/>
      </c>
      <c r="M134" s="44" t="str">
        <f t="shared" si="157"/>
        <v/>
      </c>
      <c r="N134" s="44" t="str">
        <f>IF(A134="","",(L134+M134)*Inputs!$B$16)</f>
        <v/>
      </c>
      <c r="O134" s="44"/>
      <c r="P134" s="44" t="str">
        <f>IF(A134="","",IF(O134="",Inputs!$B$7,O134))</f>
        <v/>
      </c>
      <c r="Q134" s="14" t="str">
        <f>IF(A134="","",IF(N134/Inputs!$B$10&lt;=AG134,Inputs!$F$5,IF(N134/Inputs!$B$10&gt;AP134,"OVERSIZE",INDEX(Inputs!$F$5:$F$14,MATCH(N134/Inputs!$B$10,AG134:AP134,1)+1))))</f>
        <v/>
      </c>
      <c r="R134" s="14"/>
      <c r="S134" s="14" t="str">
        <f t="shared" si="158"/>
        <v/>
      </c>
      <c r="T134" s="44" t="str">
        <f t="shared" si="159"/>
        <v/>
      </c>
      <c r="U134" s="44" t="str">
        <f>IF(T134="","",(1/Inputs!$B$9)*(PI()*T134^2/4)*((T134/4)^(2/3))*SQRT(P134))</f>
        <v/>
      </c>
      <c r="V134" s="44" t="str">
        <f>IF(OR(U134="",N134=""),"",N134/(U134*Inputs!$B$10))</f>
        <v/>
      </c>
      <c r="W134" s="44" t="str">
        <f t="shared" si="160"/>
        <v/>
      </c>
      <c r="X134" s="44"/>
      <c r="Y134" s="44" t="str">
        <f>IF(A134="","",IF(A134=Inputs!$B$6,Inputs!$B$22,IF(D134="","",IFERROR(INDEX($Z$4:$Z$201,MATCH(D134,$A$4:$A$201,0))+IF(X134="",Inputs!$B$20,X134),""))))</f>
        <v/>
      </c>
      <c r="Z134" s="44" t="str">
        <f t="shared" si="161"/>
        <v/>
      </c>
      <c r="AA134" s="44" t="str">
        <f>IF(C134="","",IFERROR(INDEX(Noeuds_plan!$C$4:$C$200,MATCH(C134,Noeuds_plan!$A$4:$A$200,0)),""))</f>
        <v/>
      </c>
      <c r="AB134" s="44" t="str">
        <f>IF(B134="","",IFERROR(INDEX(Noeuds_plan!$C$4:$C$200,MATCH(B134,Noeuds_plan!$A$4:$A$200,0)),""))</f>
        <v/>
      </c>
      <c r="AC134" s="44" t="str">
        <f t="shared" si="162"/>
        <v/>
      </c>
      <c r="AD134" s="44" t="str">
        <f t="shared" si="163"/>
        <v/>
      </c>
      <c r="AE134" s="14" t="str">
        <f>IF(A134="","",IF(OR(V134&gt;1,AND(AY134&lt;&gt;"",AY134&lt;Inputs!$B$11),AND(AY134&lt;&gt;"",AY134&gt;Inputs!$B$12),AC134&lt;Inputs!$B$19,AD134&lt;Inputs!$B$19,P134&lt;Inputs!$B$7,P134&gt;Inputs!$B$8),"CHECK","OK"))</f>
        <v/>
      </c>
      <c r="AF134" s="14"/>
      <c r="AG134" s="14" t="str">
        <f>IF(A134="","",(1/Inputs!$B$9)*(PI()*(Inputs!$F$5/1000)^2/4)*((Inputs!$F$5/1000/4)^(2/3))*SQRT(P134))</f>
        <v/>
      </c>
      <c r="AH134" s="14" t="str">
        <f>IF(A134="","",(1/Inputs!$B$9)*(PI()*(Inputs!$F$6/1000)^2/4)*((Inputs!$F$6/1000/4)^(2/3))*SQRT(P134))</f>
        <v/>
      </c>
      <c r="AI134" s="14" t="str">
        <f>IF(A134="","",(1/Inputs!$B$9)*(PI()*(Inputs!$F$7/1000)^2/4)*((Inputs!$F$7/1000/4)^(2/3))*SQRT(P134))</f>
        <v/>
      </c>
      <c r="AJ134" s="14" t="str">
        <f>IF(A134="","",(1/Inputs!$B$9)*(PI()*(Inputs!$F$8/1000)^2/4)*((Inputs!$F$8/1000/4)^(2/3))*SQRT(P134))</f>
        <v/>
      </c>
      <c r="AK134" s="14" t="str">
        <f>IF(A134="","",(1/Inputs!$B$9)*(PI()*(Inputs!$F$9/1000)^2/4)*((Inputs!$F$9/1000/4)^(2/3))*SQRT(P134))</f>
        <v/>
      </c>
      <c r="AL134" s="14" t="str">
        <f>IF(A134="","",(1/Inputs!$B$9)*(PI()*(Inputs!$F$10/1000)^2/4)*((Inputs!$F$10/1000/4)^(2/3))*SQRT(P134))</f>
        <v/>
      </c>
      <c r="AM134" s="14" t="str">
        <f>IF(A134="","",(1/Inputs!$B$9)*(PI()*(Inputs!$F$11/1000)^2/4)*((Inputs!$F$11/1000/4)^(2/3))*SQRT(P134))</f>
        <v/>
      </c>
      <c r="AN134" s="14" t="str">
        <f>IF(A134="","",(1/Inputs!$B$9)*(PI()*(Inputs!$F$12/1000)^2/4)*((Inputs!$F$12/1000/4)^(2/3))*SQRT(P134))</f>
        <v/>
      </c>
      <c r="AO134" s="14" t="str">
        <f>IF(A134="","",(1/Inputs!$B$9)*(PI()*(Inputs!$F$13/1000)^2/4)*((Inputs!$F$13/1000/4)^(2/3))*SQRT(P134))</f>
        <v/>
      </c>
      <c r="AP134" s="14" t="str">
        <f>IF(A134="","",(1/Inputs!$B$9)*(PI()*(Inputs!$F$14/1000)^2/4)*((Inputs!$F$14/1000/4)^(2/3))*SQRT(P134))</f>
        <v/>
      </c>
      <c r="AQ134" s="14" t="str">
        <f t="shared" si="164"/>
        <v/>
      </c>
      <c r="AR134" s="14" t="str">
        <f t="shared" si="165"/>
        <v/>
      </c>
      <c r="AS134" s="17" t="str">
        <f>IF(A134="","",IF(J134="",Inputs!$B$18,J134))</f>
        <v/>
      </c>
      <c r="AT134" s="17" t="str">
        <f>IF(A134="","",IFERROR(_xludf.maxifs($AV$4:$AV$201,$D$4:$D$201,$A134),""))</f>
        <v/>
      </c>
      <c r="AU134" s="17" t="str">
        <f>IF(A134="","",IF(OR(E134="",Inputs!$B$23=""),"",E134/(Inputs!$B$23*60)))</f>
        <v/>
      </c>
      <c r="AV134" s="17" t="str">
        <f t="shared" si="166"/>
        <v/>
      </c>
      <c r="AW134" s="17" t="str">
        <f t="shared" si="167"/>
        <v/>
      </c>
      <c r="AX134" s="17" t="str">
        <f>IF(OR(T134="",P134=""),"",(1/Inputs!$B$9)*((T134/4)^(2/3))*SQRT(P134))</f>
        <v/>
      </c>
      <c r="AY134" s="17" t="str">
        <f>IF(A134="","",IF(AND(AW134="",AX134="",BA134=""),"",IF(OR(UPPER(TRIM(Inputs!$B$24))="MANNING",UPPER(TRIM(Inputs!$B$24))="M"),AX134,IF(OR(UPPER(TRIM(Inputs!$B$24))="PARTIAL",UPPER(TRIM(Inputs!$B$24))="P"),BA134,IF(OR(UPPER(TRIM(Inputs!$B$24))="MAX",UPPER(TRIM(Inputs!$B$24))="X"),MAX(IF(AW134="",0,AW134),IF(AX134="",0,AX134),IF(BA134="",0,BA134)),AW134)))))</f>
        <v/>
      </c>
      <c r="AZ134" s="17" t="str">
        <f t="shared" si="168"/>
        <v/>
      </c>
      <c r="BA134" s="17" t="str">
        <f t="shared" si="169"/>
        <v/>
      </c>
      <c r="BB134" s="14" t="str">
        <f t="shared" si="170"/>
        <v/>
      </c>
      <c r="BC134" s="14" t="str">
        <f>IF(OR(N134="",T134="",P134=""),"",IF(OR(T134="",P134="",(0.94*T134)="",T134&lt;=0,(0.94*T134)&lt;=0),"",(1/Inputs!$B$9)*((T134^2/8)*((2*ACOS(1-2*(0.94*T134)/T134))-SIN((2*ACOS(1-2*(0.94*T134)/T134)))))*((((T134^2/8)*((2*ACOS(1-2*(0.94*T134)/T134))-SIN((2*ACOS(1-2*(0.94*T134)/T134)))))/((T134/2)*((2*ACOS(1-2*(0.94*T134)/T134)))))^(2/3))*SQRT(P134)))</f>
        <v/>
      </c>
      <c r="BD134" s="14" t="str">
        <f t="shared" si="171"/>
        <v/>
      </c>
      <c r="BE134" s="14" t="str">
        <f t="shared" si="172"/>
        <v/>
      </c>
      <c r="BF134" s="14" t="str">
        <f t="shared" si="173"/>
        <v/>
      </c>
      <c r="BG134" s="14" t="str">
        <f>IF(OR(T134="",P134="",BF134="",T134&lt;=0,BF134&lt;=0),"",(1/Inputs!$B$9)*((T134^2/8)*((2*ACOS(1-2*BF134/T134))-SIN((2*ACOS(1-2*BF134/T134)))))*((((T134^2/8)*((2*ACOS(1-2*BF134/T134))-SIN((2*ACOS(1-2*BF134/T134)))))/((T134/2)*((2*ACOS(1-2*BF134/T134)))))^(2/3))*SQRT(P134))</f>
        <v/>
      </c>
      <c r="BH134" s="14" t="str">
        <f t="shared" si="174"/>
        <v/>
      </c>
      <c r="BI134" s="14" t="str">
        <f t="shared" si="175"/>
        <v/>
      </c>
      <c r="BJ134" s="14" t="str">
        <f t="shared" si="176"/>
        <v/>
      </c>
      <c r="BK134" s="14" t="str">
        <f>IF(OR(T134="",P134="",BJ134="",T134&lt;=0,BJ134&lt;=0),"",(1/Inputs!$B$9)*((T134^2/8)*((2*ACOS(1-2*BJ134/T134))-SIN((2*ACOS(1-2*BJ134/T134)))))*((((T134^2/8)*((2*ACOS(1-2*BJ134/T134))-SIN((2*ACOS(1-2*BJ134/T134)))))/((T134/2)*((2*ACOS(1-2*BJ134/T134)))))^(2/3))*SQRT(P134))</f>
        <v/>
      </c>
      <c r="BL134" s="14" t="str">
        <f t="shared" si="177"/>
        <v/>
      </c>
      <c r="BM134" s="14" t="str">
        <f t="shared" si="178"/>
        <v/>
      </c>
      <c r="BN134" s="14" t="str">
        <f t="shared" si="179"/>
        <v/>
      </c>
      <c r="BO134" s="14" t="str">
        <f>IF(OR(T134="",P134="",BN134="",T134&lt;=0,BN134&lt;=0),"",(1/Inputs!$B$9)*((T134^2/8)*((2*ACOS(1-2*BN134/T134))-SIN((2*ACOS(1-2*BN134/T134)))))*((((T134^2/8)*((2*ACOS(1-2*BN134/T134))-SIN((2*ACOS(1-2*BN134/T134)))))/((T134/2)*((2*ACOS(1-2*BN134/T134)))))^(2/3))*SQRT(P134))</f>
        <v/>
      </c>
      <c r="BP134" s="14" t="str">
        <f t="shared" si="180"/>
        <v/>
      </c>
      <c r="BQ134" s="14" t="str">
        <f t="shared" si="181"/>
        <v/>
      </c>
      <c r="BR134" s="14" t="str">
        <f t="shared" si="182"/>
        <v/>
      </c>
      <c r="BS134" s="14" t="str">
        <f>IF(OR(T134="",P134="",BR134="",T134&lt;=0,BR134&lt;=0),"",(1/Inputs!$B$9)*((T134^2/8)*((2*ACOS(1-2*BR134/T134))-SIN((2*ACOS(1-2*BR134/T134)))))*((((T134^2/8)*((2*ACOS(1-2*BR134/T134))-SIN((2*ACOS(1-2*BR134/T134)))))/((T134/2)*((2*ACOS(1-2*BR134/T134)))))^(2/3))*SQRT(P134))</f>
        <v/>
      </c>
      <c r="BT134" s="14" t="str">
        <f t="shared" si="183"/>
        <v/>
      </c>
      <c r="BU134" s="14" t="str">
        <f t="shared" si="184"/>
        <v/>
      </c>
      <c r="BV134" s="14" t="str">
        <f t="shared" si="185"/>
        <v/>
      </c>
      <c r="BW134" s="14" t="str">
        <f>IF(OR(T134="",P134="",BV134="",T134&lt;=0,BV134&lt;=0),"",(1/Inputs!$B$9)*((T134^2/8)*((2*ACOS(1-2*BV134/T134))-SIN((2*ACOS(1-2*BV134/T134)))))*((((T134^2/8)*((2*ACOS(1-2*BV134/T134))-SIN((2*ACOS(1-2*BV134/T134)))))/((T134/2)*((2*ACOS(1-2*BV134/T134)))))^(2/3))*SQRT(P134))</f>
        <v/>
      </c>
      <c r="BX134" s="14" t="str">
        <f t="shared" si="186"/>
        <v/>
      </c>
      <c r="BY134" s="14" t="str">
        <f t="shared" si="187"/>
        <v/>
      </c>
      <c r="BZ134" s="14" t="str">
        <f t="shared" si="188"/>
        <v/>
      </c>
      <c r="CA134" s="14" t="str">
        <f>IF(OR(T134="",P134="",BZ134="",T134&lt;=0,BZ134&lt;=0),"",(1/Inputs!$B$9)*((T134^2/8)*((2*ACOS(1-2*BZ134/T134))-SIN((2*ACOS(1-2*BZ134/T134)))))*((((T134^2/8)*((2*ACOS(1-2*BZ134/T134))-SIN((2*ACOS(1-2*BZ134/T134)))))/((T134/2)*((2*ACOS(1-2*BZ134/T134)))))^(2/3))*SQRT(P134))</f>
        <v/>
      </c>
      <c r="CB134" s="14" t="str">
        <f t="shared" si="189"/>
        <v/>
      </c>
      <c r="CC134" s="14" t="str">
        <f t="shared" si="190"/>
        <v/>
      </c>
      <c r="CD134" s="14" t="str">
        <f t="shared" si="191"/>
        <v/>
      </c>
      <c r="CE134" s="14" t="str">
        <f>IF(OR(T134="",P134="",CD134="",T134&lt;=0,CD134&lt;=0),"",(1/Inputs!$B$9)*((T134^2/8)*((2*ACOS(1-2*CD134/T134))-SIN((2*ACOS(1-2*CD134/T134)))))*((((T134^2/8)*((2*ACOS(1-2*CD134/T134))-SIN((2*ACOS(1-2*CD134/T134)))))/((T134/2)*((2*ACOS(1-2*CD134/T134)))))^(2/3))*SQRT(P134))</f>
        <v/>
      </c>
      <c r="CF134" s="14" t="str">
        <f t="shared" si="192"/>
        <v/>
      </c>
      <c r="CG134" s="14" t="str">
        <f t="shared" si="193"/>
        <v/>
      </c>
      <c r="CH134" s="14" t="str">
        <f t="shared" si="194"/>
        <v/>
      </c>
    </row>
    <row r="135" spans="1:86" x14ac:dyDescent="0.25">
      <c r="A135" s="14"/>
      <c r="B135" s="14"/>
      <c r="C135" s="14"/>
      <c r="D135" s="14"/>
      <c r="E135" s="44"/>
      <c r="F135" s="44"/>
      <c r="G135" s="44">
        <f>SUMIFS(CB_plan!$G:$G,CB_plan!$F:$F,$A135)</f>
        <v>0</v>
      </c>
      <c r="H135" s="44">
        <f t="shared" si="156"/>
        <v>0</v>
      </c>
      <c r="I135" s="14"/>
      <c r="J135" s="44"/>
      <c r="K135" s="44" t="str">
        <f>IF(A135="","",Inputs!$B$13/((IF(AV135="",Inputs!$B$18,AV135)+Inputs!$B$14)^Inputs!$B$15))</f>
        <v/>
      </c>
      <c r="L135" s="44" t="str">
        <f>IF(A135="","",IF(H135="","",0.000000278*IF(I135&lt;&gt;"",I135,IFERROR(SUMIFS(CB_plan!$H:$H,CB_plan!$F:$F,$A135)/SUMIFS(CB_plan!$G:$G,CB_plan!$F:$F,$A135),Inputs!$B$17))*H135*K135))</f>
        <v/>
      </c>
      <c r="M135" s="44" t="str">
        <f t="shared" si="157"/>
        <v/>
      </c>
      <c r="N135" s="44" t="str">
        <f>IF(A135="","",(L135+M135)*Inputs!$B$16)</f>
        <v/>
      </c>
      <c r="O135" s="44"/>
      <c r="P135" s="44" t="str">
        <f>IF(A135="","",IF(O135="",Inputs!$B$7,O135))</f>
        <v/>
      </c>
      <c r="Q135" s="14" t="str">
        <f>IF(A135="","",IF(N135/Inputs!$B$10&lt;=AG135,Inputs!$F$5,IF(N135/Inputs!$B$10&gt;AP135,"OVERSIZE",INDEX(Inputs!$F$5:$F$14,MATCH(N135/Inputs!$B$10,AG135:AP135,1)+1))))</f>
        <v/>
      </c>
      <c r="R135" s="14"/>
      <c r="S135" s="14" t="str">
        <f t="shared" si="158"/>
        <v/>
      </c>
      <c r="T135" s="44" t="str">
        <f t="shared" si="159"/>
        <v/>
      </c>
      <c r="U135" s="44" t="str">
        <f>IF(T135="","",(1/Inputs!$B$9)*(PI()*T135^2/4)*((T135/4)^(2/3))*SQRT(P135))</f>
        <v/>
      </c>
      <c r="V135" s="44" t="str">
        <f>IF(OR(U135="",N135=""),"",N135/(U135*Inputs!$B$10))</f>
        <v/>
      </c>
      <c r="W135" s="44" t="str">
        <f t="shared" si="160"/>
        <v/>
      </c>
      <c r="X135" s="44"/>
      <c r="Y135" s="44" t="str">
        <f>IF(A135="","",IF(A135=Inputs!$B$6,Inputs!$B$22,IF(D135="","",IFERROR(INDEX($Z$4:$Z$201,MATCH(D135,$A$4:$A$201,0))+IF(X135="",Inputs!$B$20,X135),""))))</f>
        <v/>
      </c>
      <c r="Z135" s="44" t="str">
        <f t="shared" si="161"/>
        <v/>
      </c>
      <c r="AA135" s="44" t="str">
        <f>IF(C135="","",IFERROR(INDEX(Noeuds_plan!$C$4:$C$200,MATCH(C135,Noeuds_plan!$A$4:$A$200,0)),""))</f>
        <v/>
      </c>
      <c r="AB135" s="44" t="str">
        <f>IF(B135="","",IFERROR(INDEX(Noeuds_plan!$C$4:$C$200,MATCH(B135,Noeuds_plan!$A$4:$A$200,0)),""))</f>
        <v/>
      </c>
      <c r="AC135" s="44" t="str">
        <f t="shared" si="162"/>
        <v/>
      </c>
      <c r="AD135" s="44" t="str">
        <f t="shared" si="163"/>
        <v/>
      </c>
      <c r="AE135" s="14" t="str">
        <f>IF(A135="","",IF(OR(V135&gt;1,AND(AY135&lt;&gt;"",AY135&lt;Inputs!$B$11),AND(AY135&lt;&gt;"",AY135&gt;Inputs!$B$12),AC135&lt;Inputs!$B$19,AD135&lt;Inputs!$B$19,P135&lt;Inputs!$B$7,P135&gt;Inputs!$B$8),"CHECK","OK"))</f>
        <v/>
      </c>
      <c r="AF135" s="14"/>
      <c r="AG135" s="14" t="str">
        <f>IF(A135="","",(1/Inputs!$B$9)*(PI()*(Inputs!$F$5/1000)^2/4)*((Inputs!$F$5/1000/4)^(2/3))*SQRT(P135))</f>
        <v/>
      </c>
      <c r="AH135" s="14" t="str">
        <f>IF(A135="","",(1/Inputs!$B$9)*(PI()*(Inputs!$F$6/1000)^2/4)*((Inputs!$F$6/1000/4)^(2/3))*SQRT(P135))</f>
        <v/>
      </c>
      <c r="AI135" s="14" t="str">
        <f>IF(A135="","",(1/Inputs!$B$9)*(PI()*(Inputs!$F$7/1000)^2/4)*((Inputs!$F$7/1000/4)^(2/3))*SQRT(P135))</f>
        <v/>
      </c>
      <c r="AJ135" s="14" t="str">
        <f>IF(A135="","",(1/Inputs!$B$9)*(PI()*(Inputs!$F$8/1000)^2/4)*((Inputs!$F$8/1000/4)^(2/3))*SQRT(P135))</f>
        <v/>
      </c>
      <c r="AK135" s="14" t="str">
        <f>IF(A135="","",(1/Inputs!$B$9)*(PI()*(Inputs!$F$9/1000)^2/4)*((Inputs!$F$9/1000/4)^(2/3))*SQRT(P135))</f>
        <v/>
      </c>
      <c r="AL135" s="14" t="str">
        <f>IF(A135="","",(1/Inputs!$B$9)*(PI()*(Inputs!$F$10/1000)^2/4)*((Inputs!$F$10/1000/4)^(2/3))*SQRT(P135))</f>
        <v/>
      </c>
      <c r="AM135" s="14" t="str">
        <f>IF(A135="","",(1/Inputs!$B$9)*(PI()*(Inputs!$F$11/1000)^2/4)*((Inputs!$F$11/1000/4)^(2/3))*SQRT(P135))</f>
        <v/>
      </c>
      <c r="AN135" s="14" t="str">
        <f>IF(A135="","",(1/Inputs!$B$9)*(PI()*(Inputs!$F$12/1000)^2/4)*((Inputs!$F$12/1000/4)^(2/3))*SQRT(P135))</f>
        <v/>
      </c>
      <c r="AO135" s="14" t="str">
        <f>IF(A135="","",(1/Inputs!$B$9)*(PI()*(Inputs!$F$13/1000)^2/4)*((Inputs!$F$13/1000/4)^(2/3))*SQRT(P135))</f>
        <v/>
      </c>
      <c r="AP135" s="14" t="str">
        <f>IF(A135="","",(1/Inputs!$B$9)*(PI()*(Inputs!$F$14/1000)^2/4)*((Inputs!$F$14/1000/4)^(2/3))*SQRT(P135))</f>
        <v/>
      </c>
      <c r="AQ135" s="14" t="str">
        <f t="shared" si="164"/>
        <v/>
      </c>
      <c r="AR135" s="14" t="str">
        <f t="shared" si="165"/>
        <v/>
      </c>
      <c r="AS135" s="17" t="str">
        <f>IF(A135="","",IF(J135="",Inputs!$B$18,J135))</f>
        <v/>
      </c>
      <c r="AT135" s="17" t="str">
        <f>IF(A135="","",IFERROR(_xludf.maxifs($AV$4:$AV$201,$D$4:$D$201,$A135),""))</f>
        <v/>
      </c>
      <c r="AU135" s="17" t="str">
        <f>IF(A135="","",IF(OR(E135="",Inputs!$B$23=""),"",E135/(Inputs!$B$23*60)))</f>
        <v/>
      </c>
      <c r="AV135" s="17" t="str">
        <f t="shared" si="166"/>
        <v/>
      </c>
      <c r="AW135" s="17" t="str">
        <f t="shared" si="167"/>
        <v/>
      </c>
      <c r="AX135" s="17" t="str">
        <f>IF(OR(T135="",P135=""),"",(1/Inputs!$B$9)*((T135/4)^(2/3))*SQRT(P135))</f>
        <v/>
      </c>
      <c r="AY135" s="17" t="str">
        <f>IF(A135="","",IF(AND(AW135="",AX135="",BA135=""),"",IF(OR(UPPER(TRIM(Inputs!$B$24))="MANNING",UPPER(TRIM(Inputs!$B$24))="M"),AX135,IF(OR(UPPER(TRIM(Inputs!$B$24))="PARTIAL",UPPER(TRIM(Inputs!$B$24))="P"),BA135,IF(OR(UPPER(TRIM(Inputs!$B$24))="MAX",UPPER(TRIM(Inputs!$B$24))="X"),MAX(IF(AW135="",0,AW135),IF(AX135="",0,AX135),IF(BA135="",0,BA135)),AW135)))))</f>
        <v/>
      </c>
      <c r="AZ135" s="17" t="str">
        <f t="shared" si="168"/>
        <v/>
      </c>
      <c r="BA135" s="17" t="str">
        <f t="shared" si="169"/>
        <v/>
      </c>
      <c r="BB135" s="14" t="str">
        <f t="shared" si="170"/>
        <v/>
      </c>
      <c r="BC135" s="14" t="str">
        <f>IF(OR(N135="",T135="",P135=""),"",IF(OR(T135="",P135="",(0.94*T135)="",T135&lt;=0,(0.94*T135)&lt;=0),"",(1/Inputs!$B$9)*((T135^2/8)*((2*ACOS(1-2*(0.94*T135)/T135))-SIN((2*ACOS(1-2*(0.94*T135)/T135)))))*((((T135^2/8)*((2*ACOS(1-2*(0.94*T135)/T135))-SIN((2*ACOS(1-2*(0.94*T135)/T135)))))/((T135/2)*((2*ACOS(1-2*(0.94*T135)/T135)))))^(2/3))*SQRT(P135)))</f>
        <v/>
      </c>
      <c r="BD135" s="14" t="str">
        <f t="shared" si="171"/>
        <v/>
      </c>
      <c r="BE135" s="14" t="str">
        <f t="shared" si="172"/>
        <v/>
      </c>
      <c r="BF135" s="14" t="str">
        <f t="shared" si="173"/>
        <v/>
      </c>
      <c r="BG135" s="14" t="str">
        <f>IF(OR(T135="",P135="",BF135="",T135&lt;=0,BF135&lt;=0),"",(1/Inputs!$B$9)*((T135^2/8)*((2*ACOS(1-2*BF135/T135))-SIN((2*ACOS(1-2*BF135/T135)))))*((((T135^2/8)*((2*ACOS(1-2*BF135/T135))-SIN((2*ACOS(1-2*BF135/T135)))))/((T135/2)*((2*ACOS(1-2*BF135/T135)))))^(2/3))*SQRT(P135))</f>
        <v/>
      </c>
      <c r="BH135" s="14" t="str">
        <f t="shared" si="174"/>
        <v/>
      </c>
      <c r="BI135" s="14" t="str">
        <f t="shared" si="175"/>
        <v/>
      </c>
      <c r="BJ135" s="14" t="str">
        <f t="shared" si="176"/>
        <v/>
      </c>
      <c r="BK135" s="14" t="str">
        <f>IF(OR(T135="",P135="",BJ135="",T135&lt;=0,BJ135&lt;=0),"",(1/Inputs!$B$9)*((T135^2/8)*((2*ACOS(1-2*BJ135/T135))-SIN((2*ACOS(1-2*BJ135/T135)))))*((((T135^2/8)*((2*ACOS(1-2*BJ135/T135))-SIN((2*ACOS(1-2*BJ135/T135)))))/((T135/2)*((2*ACOS(1-2*BJ135/T135)))))^(2/3))*SQRT(P135))</f>
        <v/>
      </c>
      <c r="BL135" s="14" t="str">
        <f t="shared" si="177"/>
        <v/>
      </c>
      <c r="BM135" s="14" t="str">
        <f t="shared" si="178"/>
        <v/>
      </c>
      <c r="BN135" s="14" t="str">
        <f t="shared" si="179"/>
        <v/>
      </c>
      <c r="BO135" s="14" t="str">
        <f>IF(OR(T135="",P135="",BN135="",T135&lt;=0,BN135&lt;=0),"",(1/Inputs!$B$9)*((T135^2/8)*((2*ACOS(1-2*BN135/T135))-SIN((2*ACOS(1-2*BN135/T135)))))*((((T135^2/8)*((2*ACOS(1-2*BN135/T135))-SIN((2*ACOS(1-2*BN135/T135)))))/((T135/2)*((2*ACOS(1-2*BN135/T135)))))^(2/3))*SQRT(P135))</f>
        <v/>
      </c>
      <c r="BP135" s="14" t="str">
        <f t="shared" si="180"/>
        <v/>
      </c>
      <c r="BQ135" s="14" t="str">
        <f t="shared" si="181"/>
        <v/>
      </c>
      <c r="BR135" s="14" t="str">
        <f t="shared" si="182"/>
        <v/>
      </c>
      <c r="BS135" s="14" t="str">
        <f>IF(OR(T135="",P135="",BR135="",T135&lt;=0,BR135&lt;=0),"",(1/Inputs!$B$9)*((T135^2/8)*((2*ACOS(1-2*BR135/T135))-SIN((2*ACOS(1-2*BR135/T135)))))*((((T135^2/8)*((2*ACOS(1-2*BR135/T135))-SIN((2*ACOS(1-2*BR135/T135)))))/((T135/2)*((2*ACOS(1-2*BR135/T135)))))^(2/3))*SQRT(P135))</f>
        <v/>
      </c>
      <c r="BT135" s="14" t="str">
        <f t="shared" si="183"/>
        <v/>
      </c>
      <c r="BU135" s="14" t="str">
        <f t="shared" si="184"/>
        <v/>
      </c>
      <c r="BV135" s="14" t="str">
        <f t="shared" si="185"/>
        <v/>
      </c>
      <c r="BW135" s="14" t="str">
        <f>IF(OR(T135="",P135="",BV135="",T135&lt;=0,BV135&lt;=0),"",(1/Inputs!$B$9)*((T135^2/8)*((2*ACOS(1-2*BV135/T135))-SIN((2*ACOS(1-2*BV135/T135)))))*((((T135^2/8)*((2*ACOS(1-2*BV135/T135))-SIN((2*ACOS(1-2*BV135/T135)))))/((T135/2)*((2*ACOS(1-2*BV135/T135)))))^(2/3))*SQRT(P135))</f>
        <v/>
      </c>
      <c r="BX135" s="14" t="str">
        <f t="shared" si="186"/>
        <v/>
      </c>
      <c r="BY135" s="14" t="str">
        <f t="shared" si="187"/>
        <v/>
      </c>
      <c r="BZ135" s="14" t="str">
        <f t="shared" si="188"/>
        <v/>
      </c>
      <c r="CA135" s="14" t="str">
        <f>IF(OR(T135="",P135="",BZ135="",T135&lt;=0,BZ135&lt;=0),"",(1/Inputs!$B$9)*((T135^2/8)*((2*ACOS(1-2*BZ135/T135))-SIN((2*ACOS(1-2*BZ135/T135)))))*((((T135^2/8)*((2*ACOS(1-2*BZ135/T135))-SIN((2*ACOS(1-2*BZ135/T135)))))/((T135/2)*((2*ACOS(1-2*BZ135/T135)))))^(2/3))*SQRT(P135))</f>
        <v/>
      </c>
      <c r="CB135" s="14" t="str">
        <f t="shared" si="189"/>
        <v/>
      </c>
      <c r="CC135" s="14" t="str">
        <f t="shared" si="190"/>
        <v/>
      </c>
      <c r="CD135" s="14" t="str">
        <f t="shared" si="191"/>
        <v/>
      </c>
      <c r="CE135" s="14" t="str">
        <f>IF(OR(T135="",P135="",CD135="",T135&lt;=0,CD135&lt;=0),"",(1/Inputs!$B$9)*((T135^2/8)*((2*ACOS(1-2*CD135/T135))-SIN((2*ACOS(1-2*CD135/T135)))))*((((T135^2/8)*((2*ACOS(1-2*CD135/T135))-SIN((2*ACOS(1-2*CD135/T135)))))/((T135/2)*((2*ACOS(1-2*CD135/T135)))))^(2/3))*SQRT(P135))</f>
        <v/>
      </c>
      <c r="CF135" s="14" t="str">
        <f t="shared" si="192"/>
        <v/>
      </c>
      <c r="CG135" s="14" t="str">
        <f t="shared" si="193"/>
        <v/>
      </c>
      <c r="CH135" s="14" t="str">
        <f t="shared" si="194"/>
        <v/>
      </c>
    </row>
    <row r="136" spans="1:86" x14ac:dyDescent="0.25">
      <c r="A136" s="14"/>
      <c r="B136" s="14"/>
      <c r="C136" s="14"/>
      <c r="D136" s="14"/>
      <c r="E136" s="44"/>
      <c r="F136" s="44"/>
      <c r="G136" s="44">
        <f>SUMIFS(CB_plan!$G:$G,CB_plan!$F:$F,$A136)</f>
        <v>0</v>
      </c>
      <c r="H136" s="44">
        <f t="shared" si="156"/>
        <v>0</v>
      </c>
      <c r="I136" s="14"/>
      <c r="J136" s="44"/>
      <c r="K136" s="44" t="str">
        <f>IF(A136="","",Inputs!$B$13/((IF(AV136="",Inputs!$B$18,AV136)+Inputs!$B$14)^Inputs!$B$15))</f>
        <v/>
      </c>
      <c r="L136" s="44" t="str">
        <f>IF(A136="","",IF(H136="","",0.000000278*IF(I136&lt;&gt;"",I136,IFERROR(SUMIFS(CB_plan!$H:$H,CB_plan!$F:$F,$A136)/SUMIFS(CB_plan!$G:$G,CB_plan!$F:$F,$A136),Inputs!$B$17))*H136*K136))</f>
        <v/>
      </c>
      <c r="M136" s="44" t="str">
        <f t="shared" si="157"/>
        <v/>
      </c>
      <c r="N136" s="44" t="str">
        <f>IF(A136="","",(L136+M136)*Inputs!$B$16)</f>
        <v/>
      </c>
      <c r="O136" s="44"/>
      <c r="P136" s="44" t="str">
        <f>IF(A136="","",IF(O136="",Inputs!$B$7,O136))</f>
        <v/>
      </c>
      <c r="Q136" s="14" t="str">
        <f>IF(A136="","",IF(N136/Inputs!$B$10&lt;=AG136,Inputs!$F$5,IF(N136/Inputs!$B$10&gt;AP136,"OVERSIZE",INDEX(Inputs!$F$5:$F$14,MATCH(N136/Inputs!$B$10,AG136:AP136,1)+1))))</f>
        <v/>
      </c>
      <c r="R136" s="14"/>
      <c r="S136" s="14" t="str">
        <f t="shared" si="158"/>
        <v/>
      </c>
      <c r="T136" s="44" t="str">
        <f t="shared" si="159"/>
        <v/>
      </c>
      <c r="U136" s="44" t="str">
        <f>IF(T136="","",(1/Inputs!$B$9)*(PI()*T136^2/4)*((T136/4)^(2/3))*SQRT(P136))</f>
        <v/>
      </c>
      <c r="V136" s="44" t="str">
        <f>IF(OR(U136="",N136=""),"",N136/(U136*Inputs!$B$10))</f>
        <v/>
      </c>
      <c r="W136" s="44" t="str">
        <f t="shared" si="160"/>
        <v/>
      </c>
      <c r="X136" s="44"/>
      <c r="Y136" s="44" t="str">
        <f>IF(A136="","",IF(A136=Inputs!$B$6,Inputs!$B$22,IF(D136="","",IFERROR(INDEX($Z$4:$Z$201,MATCH(D136,$A$4:$A$201,0))+IF(X136="",Inputs!$B$20,X136),""))))</f>
        <v/>
      </c>
      <c r="Z136" s="44" t="str">
        <f t="shared" si="161"/>
        <v/>
      </c>
      <c r="AA136" s="44" t="str">
        <f>IF(C136="","",IFERROR(INDEX(Noeuds_plan!$C$4:$C$200,MATCH(C136,Noeuds_plan!$A$4:$A$200,0)),""))</f>
        <v/>
      </c>
      <c r="AB136" s="44" t="str">
        <f>IF(B136="","",IFERROR(INDEX(Noeuds_plan!$C$4:$C$200,MATCH(B136,Noeuds_plan!$A$4:$A$200,0)),""))</f>
        <v/>
      </c>
      <c r="AC136" s="44" t="str">
        <f t="shared" si="162"/>
        <v/>
      </c>
      <c r="AD136" s="44" t="str">
        <f t="shared" si="163"/>
        <v/>
      </c>
      <c r="AE136" s="14" t="str">
        <f>IF(A136="","",IF(OR(V136&gt;1,AND(AY136&lt;&gt;"",AY136&lt;Inputs!$B$11),AND(AY136&lt;&gt;"",AY136&gt;Inputs!$B$12),AC136&lt;Inputs!$B$19,AD136&lt;Inputs!$B$19,P136&lt;Inputs!$B$7,P136&gt;Inputs!$B$8),"CHECK","OK"))</f>
        <v/>
      </c>
      <c r="AF136" s="14"/>
      <c r="AG136" s="14" t="str">
        <f>IF(A136="","",(1/Inputs!$B$9)*(PI()*(Inputs!$F$5/1000)^2/4)*((Inputs!$F$5/1000/4)^(2/3))*SQRT(P136))</f>
        <v/>
      </c>
      <c r="AH136" s="14" t="str">
        <f>IF(A136="","",(1/Inputs!$B$9)*(PI()*(Inputs!$F$6/1000)^2/4)*((Inputs!$F$6/1000/4)^(2/3))*SQRT(P136))</f>
        <v/>
      </c>
      <c r="AI136" s="14" t="str">
        <f>IF(A136="","",(1/Inputs!$B$9)*(PI()*(Inputs!$F$7/1000)^2/4)*((Inputs!$F$7/1000/4)^(2/3))*SQRT(P136))</f>
        <v/>
      </c>
      <c r="AJ136" s="14" t="str">
        <f>IF(A136="","",(1/Inputs!$B$9)*(PI()*(Inputs!$F$8/1000)^2/4)*((Inputs!$F$8/1000/4)^(2/3))*SQRT(P136))</f>
        <v/>
      </c>
      <c r="AK136" s="14" t="str">
        <f>IF(A136="","",(1/Inputs!$B$9)*(PI()*(Inputs!$F$9/1000)^2/4)*((Inputs!$F$9/1000/4)^(2/3))*SQRT(P136))</f>
        <v/>
      </c>
      <c r="AL136" s="14" t="str">
        <f>IF(A136="","",(1/Inputs!$B$9)*(PI()*(Inputs!$F$10/1000)^2/4)*((Inputs!$F$10/1000/4)^(2/3))*SQRT(P136))</f>
        <v/>
      </c>
      <c r="AM136" s="14" t="str">
        <f>IF(A136="","",(1/Inputs!$B$9)*(PI()*(Inputs!$F$11/1000)^2/4)*((Inputs!$F$11/1000/4)^(2/3))*SQRT(P136))</f>
        <v/>
      </c>
      <c r="AN136" s="14" t="str">
        <f>IF(A136="","",(1/Inputs!$B$9)*(PI()*(Inputs!$F$12/1000)^2/4)*((Inputs!$F$12/1000/4)^(2/3))*SQRT(P136))</f>
        <v/>
      </c>
      <c r="AO136" s="14" t="str">
        <f>IF(A136="","",(1/Inputs!$B$9)*(PI()*(Inputs!$F$13/1000)^2/4)*((Inputs!$F$13/1000/4)^(2/3))*SQRT(P136))</f>
        <v/>
      </c>
      <c r="AP136" s="14" t="str">
        <f>IF(A136="","",(1/Inputs!$B$9)*(PI()*(Inputs!$F$14/1000)^2/4)*((Inputs!$F$14/1000/4)^(2/3))*SQRT(P136))</f>
        <v/>
      </c>
      <c r="AQ136" s="14" t="str">
        <f t="shared" si="164"/>
        <v/>
      </c>
      <c r="AR136" s="14" t="str">
        <f t="shared" si="165"/>
        <v/>
      </c>
      <c r="AS136" s="17" t="str">
        <f>IF(A136="","",IF(J136="",Inputs!$B$18,J136))</f>
        <v/>
      </c>
      <c r="AT136" s="17" t="str">
        <f>IF(A136="","",IFERROR(_xludf.maxifs($AV$4:$AV$201,$D$4:$D$201,$A136),""))</f>
        <v/>
      </c>
      <c r="AU136" s="17" t="str">
        <f>IF(A136="","",IF(OR(E136="",Inputs!$B$23=""),"",E136/(Inputs!$B$23*60)))</f>
        <v/>
      </c>
      <c r="AV136" s="17" t="str">
        <f t="shared" si="166"/>
        <v/>
      </c>
      <c r="AW136" s="17" t="str">
        <f t="shared" si="167"/>
        <v/>
      </c>
      <c r="AX136" s="17" t="str">
        <f>IF(OR(T136="",P136=""),"",(1/Inputs!$B$9)*((T136/4)^(2/3))*SQRT(P136))</f>
        <v/>
      </c>
      <c r="AY136" s="17" t="str">
        <f>IF(A136="","",IF(AND(AW136="",AX136="",BA136=""),"",IF(OR(UPPER(TRIM(Inputs!$B$24))="MANNING",UPPER(TRIM(Inputs!$B$24))="M"),AX136,IF(OR(UPPER(TRIM(Inputs!$B$24))="PARTIAL",UPPER(TRIM(Inputs!$B$24))="P"),BA136,IF(OR(UPPER(TRIM(Inputs!$B$24))="MAX",UPPER(TRIM(Inputs!$B$24))="X"),MAX(IF(AW136="",0,AW136),IF(AX136="",0,AX136),IF(BA136="",0,BA136)),AW136)))))</f>
        <v/>
      </c>
      <c r="AZ136" s="17" t="str">
        <f t="shared" si="168"/>
        <v/>
      </c>
      <c r="BA136" s="17" t="str">
        <f t="shared" si="169"/>
        <v/>
      </c>
      <c r="BB136" s="14" t="str">
        <f t="shared" si="170"/>
        <v/>
      </c>
      <c r="BC136" s="14" t="str">
        <f>IF(OR(N136="",T136="",P136=""),"",IF(OR(T136="",P136="",(0.94*T136)="",T136&lt;=0,(0.94*T136)&lt;=0),"",(1/Inputs!$B$9)*((T136^2/8)*((2*ACOS(1-2*(0.94*T136)/T136))-SIN((2*ACOS(1-2*(0.94*T136)/T136)))))*((((T136^2/8)*((2*ACOS(1-2*(0.94*T136)/T136))-SIN((2*ACOS(1-2*(0.94*T136)/T136)))))/((T136/2)*((2*ACOS(1-2*(0.94*T136)/T136)))))^(2/3))*SQRT(P136)))</f>
        <v/>
      </c>
      <c r="BD136" s="14" t="str">
        <f t="shared" si="171"/>
        <v/>
      </c>
      <c r="BE136" s="14" t="str">
        <f t="shared" si="172"/>
        <v/>
      </c>
      <c r="BF136" s="14" t="str">
        <f t="shared" si="173"/>
        <v/>
      </c>
      <c r="BG136" s="14" t="str">
        <f>IF(OR(T136="",P136="",BF136="",T136&lt;=0,BF136&lt;=0),"",(1/Inputs!$B$9)*((T136^2/8)*((2*ACOS(1-2*BF136/T136))-SIN((2*ACOS(1-2*BF136/T136)))))*((((T136^2/8)*((2*ACOS(1-2*BF136/T136))-SIN((2*ACOS(1-2*BF136/T136)))))/((T136/2)*((2*ACOS(1-2*BF136/T136)))))^(2/3))*SQRT(P136))</f>
        <v/>
      </c>
      <c r="BH136" s="14" t="str">
        <f t="shared" si="174"/>
        <v/>
      </c>
      <c r="BI136" s="14" t="str">
        <f t="shared" si="175"/>
        <v/>
      </c>
      <c r="BJ136" s="14" t="str">
        <f t="shared" si="176"/>
        <v/>
      </c>
      <c r="BK136" s="14" t="str">
        <f>IF(OR(T136="",P136="",BJ136="",T136&lt;=0,BJ136&lt;=0),"",(1/Inputs!$B$9)*((T136^2/8)*((2*ACOS(1-2*BJ136/T136))-SIN((2*ACOS(1-2*BJ136/T136)))))*((((T136^2/8)*((2*ACOS(1-2*BJ136/T136))-SIN((2*ACOS(1-2*BJ136/T136)))))/((T136/2)*((2*ACOS(1-2*BJ136/T136)))))^(2/3))*SQRT(P136))</f>
        <v/>
      </c>
      <c r="BL136" s="14" t="str">
        <f t="shared" si="177"/>
        <v/>
      </c>
      <c r="BM136" s="14" t="str">
        <f t="shared" si="178"/>
        <v/>
      </c>
      <c r="BN136" s="14" t="str">
        <f t="shared" si="179"/>
        <v/>
      </c>
      <c r="BO136" s="14" t="str">
        <f>IF(OR(T136="",P136="",BN136="",T136&lt;=0,BN136&lt;=0),"",(1/Inputs!$B$9)*((T136^2/8)*((2*ACOS(1-2*BN136/T136))-SIN((2*ACOS(1-2*BN136/T136)))))*((((T136^2/8)*((2*ACOS(1-2*BN136/T136))-SIN((2*ACOS(1-2*BN136/T136)))))/((T136/2)*((2*ACOS(1-2*BN136/T136)))))^(2/3))*SQRT(P136))</f>
        <v/>
      </c>
      <c r="BP136" s="14" t="str">
        <f t="shared" si="180"/>
        <v/>
      </c>
      <c r="BQ136" s="14" t="str">
        <f t="shared" si="181"/>
        <v/>
      </c>
      <c r="BR136" s="14" t="str">
        <f t="shared" si="182"/>
        <v/>
      </c>
      <c r="BS136" s="14" t="str">
        <f>IF(OR(T136="",P136="",BR136="",T136&lt;=0,BR136&lt;=0),"",(1/Inputs!$B$9)*((T136^2/8)*((2*ACOS(1-2*BR136/T136))-SIN((2*ACOS(1-2*BR136/T136)))))*((((T136^2/8)*((2*ACOS(1-2*BR136/T136))-SIN((2*ACOS(1-2*BR136/T136)))))/((T136/2)*((2*ACOS(1-2*BR136/T136)))))^(2/3))*SQRT(P136))</f>
        <v/>
      </c>
      <c r="BT136" s="14" t="str">
        <f t="shared" si="183"/>
        <v/>
      </c>
      <c r="BU136" s="14" t="str">
        <f t="shared" si="184"/>
        <v/>
      </c>
      <c r="BV136" s="14" t="str">
        <f t="shared" si="185"/>
        <v/>
      </c>
      <c r="BW136" s="14" t="str">
        <f>IF(OR(T136="",P136="",BV136="",T136&lt;=0,BV136&lt;=0),"",(1/Inputs!$B$9)*((T136^2/8)*((2*ACOS(1-2*BV136/T136))-SIN((2*ACOS(1-2*BV136/T136)))))*((((T136^2/8)*((2*ACOS(1-2*BV136/T136))-SIN((2*ACOS(1-2*BV136/T136)))))/((T136/2)*((2*ACOS(1-2*BV136/T136)))))^(2/3))*SQRT(P136))</f>
        <v/>
      </c>
      <c r="BX136" s="14" t="str">
        <f t="shared" si="186"/>
        <v/>
      </c>
      <c r="BY136" s="14" t="str">
        <f t="shared" si="187"/>
        <v/>
      </c>
      <c r="BZ136" s="14" t="str">
        <f t="shared" si="188"/>
        <v/>
      </c>
      <c r="CA136" s="14" t="str">
        <f>IF(OR(T136="",P136="",BZ136="",T136&lt;=0,BZ136&lt;=0),"",(1/Inputs!$B$9)*((T136^2/8)*((2*ACOS(1-2*BZ136/T136))-SIN((2*ACOS(1-2*BZ136/T136)))))*((((T136^2/8)*((2*ACOS(1-2*BZ136/T136))-SIN((2*ACOS(1-2*BZ136/T136)))))/((T136/2)*((2*ACOS(1-2*BZ136/T136)))))^(2/3))*SQRT(P136))</f>
        <v/>
      </c>
      <c r="CB136" s="14" t="str">
        <f t="shared" si="189"/>
        <v/>
      </c>
      <c r="CC136" s="14" t="str">
        <f t="shared" si="190"/>
        <v/>
      </c>
      <c r="CD136" s="14" t="str">
        <f t="shared" si="191"/>
        <v/>
      </c>
      <c r="CE136" s="14" t="str">
        <f>IF(OR(T136="",P136="",CD136="",T136&lt;=0,CD136&lt;=0),"",(1/Inputs!$B$9)*((T136^2/8)*((2*ACOS(1-2*CD136/T136))-SIN((2*ACOS(1-2*CD136/T136)))))*((((T136^2/8)*((2*ACOS(1-2*CD136/T136))-SIN((2*ACOS(1-2*CD136/T136)))))/((T136/2)*((2*ACOS(1-2*CD136/T136)))))^(2/3))*SQRT(P136))</f>
        <v/>
      </c>
      <c r="CF136" s="14" t="str">
        <f t="shared" si="192"/>
        <v/>
      </c>
      <c r="CG136" s="14" t="str">
        <f t="shared" si="193"/>
        <v/>
      </c>
      <c r="CH136" s="14" t="str">
        <f t="shared" si="194"/>
        <v/>
      </c>
    </row>
    <row r="137" spans="1:86" x14ac:dyDescent="0.25">
      <c r="A137" s="14"/>
      <c r="B137" s="14"/>
      <c r="C137" s="14"/>
      <c r="D137" s="14"/>
      <c r="E137" s="44"/>
      <c r="F137" s="44"/>
      <c r="G137" s="44">
        <f>SUMIFS(CB_plan!$G:$G,CB_plan!$F:$F,$A137)</f>
        <v>0</v>
      </c>
      <c r="H137" s="44">
        <f t="shared" si="156"/>
        <v>0</v>
      </c>
      <c r="I137" s="14"/>
      <c r="J137" s="44"/>
      <c r="K137" s="44" t="str">
        <f>IF(A137="","",Inputs!$B$13/((IF(AV137="",Inputs!$B$18,AV137)+Inputs!$B$14)^Inputs!$B$15))</f>
        <v/>
      </c>
      <c r="L137" s="44" t="str">
        <f>IF(A137="","",IF(H137="","",0.000000278*IF(I137&lt;&gt;"",I137,IFERROR(SUMIFS(CB_plan!$H:$H,CB_plan!$F:$F,$A137)/SUMIFS(CB_plan!$G:$G,CB_plan!$F:$F,$A137),Inputs!$B$17))*H137*K137))</f>
        <v/>
      </c>
      <c r="M137" s="44" t="str">
        <f t="shared" si="157"/>
        <v/>
      </c>
      <c r="N137" s="44" t="str">
        <f>IF(A137="","",(L137+M137)*Inputs!$B$16)</f>
        <v/>
      </c>
      <c r="O137" s="44"/>
      <c r="P137" s="44" t="str">
        <f>IF(A137="","",IF(O137="",Inputs!$B$7,O137))</f>
        <v/>
      </c>
      <c r="Q137" s="14" t="str">
        <f>IF(A137="","",IF(N137/Inputs!$B$10&lt;=AG137,Inputs!$F$5,IF(N137/Inputs!$B$10&gt;AP137,"OVERSIZE",INDEX(Inputs!$F$5:$F$14,MATCH(N137/Inputs!$B$10,AG137:AP137,1)+1))))</f>
        <v/>
      </c>
      <c r="R137" s="14"/>
      <c r="S137" s="14" t="str">
        <f t="shared" si="158"/>
        <v/>
      </c>
      <c r="T137" s="44" t="str">
        <f t="shared" si="159"/>
        <v/>
      </c>
      <c r="U137" s="44" t="str">
        <f>IF(T137="","",(1/Inputs!$B$9)*(PI()*T137^2/4)*((T137/4)^(2/3))*SQRT(P137))</f>
        <v/>
      </c>
      <c r="V137" s="44" t="str">
        <f>IF(OR(U137="",N137=""),"",N137/(U137*Inputs!$B$10))</f>
        <v/>
      </c>
      <c r="W137" s="44" t="str">
        <f t="shared" si="160"/>
        <v/>
      </c>
      <c r="X137" s="44"/>
      <c r="Y137" s="44" t="str">
        <f>IF(A137="","",IF(A137=Inputs!$B$6,Inputs!$B$22,IF(D137="","",IFERROR(INDEX($Z$4:$Z$201,MATCH(D137,$A$4:$A$201,0))+IF(X137="",Inputs!$B$20,X137),""))))</f>
        <v/>
      </c>
      <c r="Z137" s="44" t="str">
        <f t="shared" si="161"/>
        <v/>
      </c>
      <c r="AA137" s="44" t="str">
        <f>IF(C137="","",IFERROR(INDEX(Noeuds_plan!$C$4:$C$200,MATCH(C137,Noeuds_plan!$A$4:$A$200,0)),""))</f>
        <v/>
      </c>
      <c r="AB137" s="44" t="str">
        <f>IF(B137="","",IFERROR(INDEX(Noeuds_plan!$C$4:$C$200,MATCH(B137,Noeuds_plan!$A$4:$A$200,0)),""))</f>
        <v/>
      </c>
      <c r="AC137" s="44" t="str">
        <f t="shared" si="162"/>
        <v/>
      </c>
      <c r="AD137" s="44" t="str">
        <f t="shared" si="163"/>
        <v/>
      </c>
      <c r="AE137" s="14" t="str">
        <f>IF(A137="","",IF(OR(V137&gt;1,AND(AY137&lt;&gt;"",AY137&lt;Inputs!$B$11),AND(AY137&lt;&gt;"",AY137&gt;Inputs!$B$12),AC137&lt;Inputs!$B$19,AD137&lt;Inputs!$B$19,P137&lt;Inputs!$B$7,P137&gt;Inputs!$B$8),"CHECK","OK"))</f>
        <v/>
      </c>
      <c r="AF137" s="14"/>
      <c r="AG137" s="14" t="str">
        <f>IF(A137="","",(1/Inputs!$B$9)*(PI()*(Inputs!$F$5/1000)^2/4)*((Inputs!$F$5/1000/4)^(2/3))*SQRT(P137))</f>
        <v/>
      </c>
      <c r="AH137" s="14" t="str">
        <f>IF(A137="","",(1/Inputs!$B$9)*(PI()*(Inputs!$F$6/1000)^2/4)*((Inputs!$F$6/1000/4)^(2/3))*SQRT(P137))</f>
        <v/>
      </c>
      <c r="AI137" s="14" t="str">
        <f>IF(A137="","",(1/Inputs!$B$9)*(PI()*(Inputs!$F$7/1000)^2/4)*((Inputs!$F$7/1000/4)^(2/3))*SQRT(P137))</f>
        <v/>
      </c>
      <c r="AJ137" s="14" t="str">
        <f>IF(A137="","",(1/Inputs!$B$9)*(PI()*(Inputs!$F$8/1000)^2/4)*((Inputs!$F$8/1000/4)^(2/3))*SQRT(P137))</f>
        <v/>
      </c>
      <c r="AK137" s="14" t="str">
        <f>IF(A137="","",(1/Inputs!$B$9)*(PI()*(Inputs!$F$9/1000)^2/4)*((Inputs!$F$9/1000/4)^(2/3))*SQRT(P137))</f>
        <v/>
      </c>
      <c r="AL137" s="14" t="str">
        <f>IF(A137="","",(1/Inputs!$B$9)*(PI()*(Inputs!$F$10/1000)^2/4)*((Inputs!$F$10/1000/4)^(2/3))*SQRT(P137))</f>
        <v/>
      </c>
      <c r="AM137" s="14" t="str">
        <f>IF(A137="","",(1/Inputs!$B$9)*(PI()*(Inputs!$F$11/1000)^2/4)*((Inputs!$F$11/1000/4)^(2/3))*SQRT(P137))</f>
        <v/>
      </c>
      <c r="AN137" s="14" t="str">
        <f>IF(A137="","",(1/Inputs!$B$9)*(PI()*(Inputs!$F$12/1000)^2/4)*((Inputs!$F$12/1000/4)^(2/3))*SQRT(P137))</f>
        <v/>
      </c>
      <c r="AO137" s="14" t="str">
        <f>IF(A137="","",(1/Inputs!$B$9)*(PI()*(Inputs!$F$13/1000)^2/4)*((Inputs!$F$13/1000/4)^(2/3))*SQRT(P137))</f>
        <v/>
      </c>
      <c r="AP137" s="14" t="str">
        <f>IF(A137="","",(1/Inputs!$B$9)*(PI()*(Inputs!$F$14/1000)^2/4)*((Inputs!$F$14/1000/4)^(2/3))*SQRT(P137))</f>
        <v/>
      </c>
      <c r="AQ137" s="14" t="str">
        <f t="shared" si="164"/>
        <v/>
      </c>
      <c r="AR137" s="14" t="str">
        <f t="shared" si="165"/>
        <v/>
      </c>
      <c r="AS137" s="17" t="str">
        <f>IF(A137="","",IF(J137="",Inputs!$B$18,J137))</f>
        <v/>
      </c>
      <c r="AT137" s="17" t="str">
        <f>IF(A137="","",IFERROR(_xludf.maxifs($AV$4:$AV$201,$D$4:$D$201,$A137),""))</f>
        <v/>
      </c>
      <c r="AU137" s="17" t="str">
        <f>IF(A137="","",IF(OR(E137="",Inputs!$B$23=""),"",E137/(Inputs!$B$23*60)))</f>
        <v/>
      </c>
      <c r="AV137" s="17" t="str">
        <f t="shared" si="166"/>
        <v/>
      </c>
      <c r="AW137" s="17" t="str">
        <f t="shared" si="167"/>
        <v/>
      </c>
      <c r="AX137" s="17" t="str">
        <f>IF(OR(T137="",P137=""),"",(1/Inputs!$B$9)*((T137/4)^(2/3))*SQRT(P137))</f>
        <v/>
      </c>
      <c r="AY137" s="17" t="str">
        <f>IF(A137="","",IF(AND(AW137="",AX137="",BA137=""),"",IF(OR(UPPER(TRIM(Inputs!$B$24))="MANNING",UPPER(TRIM(Inputs!$B$24))="M"),AX137,IF(OR(UPPER(TRIM(Inputs!$B$24))="PARTIAL",UPPER(TRIM(Inputs!$B$24))="P"),BA137,IF(OR(UPPER(TRIM(Inputs!$B$24))="MAX",UPPER(TRIM(Inputs!$B$24))="X"),MAX(IF(AW137="",0,AW137),IF(AX137="",0,AX137),IF(BA137="",0,BA137)),AW137)))))</f>
        <v/>
      </c>
      <c r="AZ137" s="17" t="str">
        <f t="shared" si="168"/>
        <v/>
      </c>
      <c r="BA137" s="17" t="str">
        <f t="shared" si="169"/>
        <v/>
      </c>
      <c r="BB137" s="14" t="str">
        <f t="shared" si="170"/>
        <v/>
      </c>
      <c r="BC137" s="14" t="str">
        <f>IF(OR(N137="",T137="",P137=""),"",IF(OR(T137="",P137="",(0.94*T137)="",T137&lt;=0,(0.94*T137)&lt;=0),"",(1/Inputs!$B$9)*((T137^2/8)*((2*ACOS(1-2*(0.94*T137)/T137))-SIN((2*ACOS(1-2*(0.94*T137)/T137)))))*((((T137^2/8)*((2*ACOS(1-2*(0.94*T137)/T137))-SIN((2*ACOS(1-2*(0.94*T137)/T137)))))/((T137/2)*((2*ACOS(1-2*(0.94*T137)/T137)))))^(2/3))*SQRT(P137)))</f>
        <v/>
      </c>
      <c r="BD137" s="14" t="str">
        <f t="shared" si="171"/>
        <v/>
      </c>
      <c r="BE137" s="14" t="str">
        <f t="shared" si="172"/>
        <v/>
      </c>
      <c r="BF137" s="14" t="str">
        <f t="shared" si="173"/>
        <v/>
      </c>
      <c r="BG137" s="14" t="str">
        <f>IF(OR(T137="",P137="",BF137="",T137&lt;=0,BF137&lt;=0),"",(1/Inputs!$B$9)*((T137^2/8)*((2*ACOS(1-2*BF137/T137))-SIN((2*ACOS(1-2*BF137/T137)))))*((((T137^2/8)*((2*ACOS(1-2*BF137/T137))-SIN((2*ACOS(1-2*BF137/T137)))))/((T137/2)*((2*ACOS(1-2*BF137/T137)))))^(2/3))*SQRT(P137))</f>
        <v/>
      </c>
      <c r="BH137" s="14" t="str">
        <f t="shared" si="174"/>
        <v/>
      </c>
      <c r="BI137" s="14" t="str">
        <f t="shared" si="175"/>
        <v/>
      </c>
      <c r="BJ137" s="14" t="str">
        <f t="shared" si="176"/>
        <v/>
      </c>
      <c r="BK137" s="14" t="str">
        <f>IF(OR(T137="",P137="",BJ137="",T137&lt;=0,BJ137&lt;=0),"",(1/Inputs!$B$9)*((T137^2/8)*((2*ACOS(1-2*BJ137/T137))-SIN((2*ACOS(1-2*BJ137/T137)))))*((((T137^2/8)*((2*ACOS(1-2*BJ137/T137))-SIN((2*ACOS(1-2*BJ137/T137)))))/((T137/2)*((2*ACOS(1-2*BJ137/T137)))))^(2/3))*SQRT(P137))</f>
        <v/>
      </c>
      <c r="BL137" s="14" t="str">
        <f t="shared" si="177"/>
        <v/>
      </c>
      <c r="BM137" s="14" t="str">
        <f t="shared" si="178"/>
        <v/>
      </c>
      <c r="BN137" s="14" t="str">
        <f t="shared" si="179"/>
        <v/>
      </c>
      <c r="BO137" s="14" t="str">
        <f>IF(OR(T137="",P137="",BN137="",T137&lt;=0,BN137&lt;=0),"",(1/Inputs!$B$9)*((T137^2/8)*((2*ACOS(1-2*BN137/T137))-SIN((2*ACOS(1-2*BN137/T137)))))*((((T137^2/8)*((2*ACOS(1-2*BN137/T137))-SIN((2*ACOS(1-2*BN137/T137)))))/((T137/2)*((2*ACOS(1-2*BN137/T137)))))^(2/3))*SQRT(P137))</f>
        <v/>
      </c>
      <c r="BP137" s="14" t="str">
        <f t="shared" si="180"/>
        <v/>
      </c>
      <c r="BQ137" s="14" t="str">
        <f t="shared" si="181"/>
        <v/>
      </c>
      <c r="BR137" s="14" t="str">
        <f t="shared" si="182"/>
        <v/>
      </c>
      <c r="BS137" s="14" t="str">
        <f>IF(OR(T137="",P137="",BR137="",T137&lt;=0,BR137&lt;=0),"",(1/Inputs!$B$9)*((T137^2/8)*((2*ACOS(1-2*BR137/T137))-SIN((2*ACOS(1-2*BR137/T137)))))*((((T137^2/8)*((2*ACOS(1-2*BR137/T137))-SIN((2*ACOS(1-2*BR137/T137)))))/((T137/2)*((2*ACOS(1-2*BR137/T137)))))^(2/3))*SQRT(P137))</f>
        <v/>
      </c>
      <c r="BT137" s="14" t="str">
        <f t="shared" si="183"/>
        <v/>
      </c>
      <c r="BU137" s="14" t="str">
        <f t="shared" si="184"/>
        <v/>
      </c>
      <c r="BV137" s="14" t="str">
        <f t="shared" si="185"/>
        <v/>
      </c>
      <c r="BW137" s="14" t="str">
        <f>IF(OR(T137="",P137="",BV137="",T137&lt;=0,BV137&lt;=0),"",(1/Inputs!$B$9)*((T137^2/8)*((2*ACOS(1-2*BV137/T137))-SIN((2*ACOS(1-2*BV137/T137)))))*((((T137^2/8)*((2*ACOS(1-2*BV137/T137))-SIN((2*ACOS(1-2*BV137/T137)))))/((T137/2)*((2*ACOS(1-2*BV137/T137)))))^(2/3))*SQRT(P137))</f>
        <v/>
      </c>
      <c r="BX137" s="14" t="str">
        <f t="shared" si="186"/>
        <v/>
      </c>
      <c r="BY137" s="14" t="str">
        <f t="shared" si="187"/>
        <v/>
      </c>
      <c r="BZ137" s="14" t="str">
        <f t="shared" si="188"/>
        <v/>
      </c>
      <c r="CA137" s="14" t="str">
        <f>IF(OR(T137="",P137="",BZ137="",T137&lt;=0,BZ137&lt;=0),"",(1/Inputs!$B$9)*((T137^2/8)*((2*ACOS(1-2*BZ137/T137))-SIN((2*ACOS(1-2*BZ137/T137)))))*((((T137^2/8)*((2*ACOS(1-2*BZ137/T137))-SIN((2*ACOS(1-2*BZ137/T137)))))/((T137/2)*((2*ACOS(1-2*BZ137/T137)))))^(2/3))*SQRT(P137))</f>
        <v/>
      </c>
      <c r="CB137" s="14" t="str">
        <f t="shared" si="189"/>
        <v/>
      </c>
      <c r="CC137" s="14" t="str">
        <f t="shared" si="190"/>
        <v/>
      </c>
      <c r="CD137" s="14" t="str">
        <f t="shared" si="191"/>
        <v/>
      </c>
      <c r="CE137" s="14" t="str">
        <f>IF(OR(T137="",P137="",CD137="",T137&lt;=0,CD137&lt;=0),"",(1/Inputs!$B$9)*((T137^2/8)*((2*ACOS(1-2*CD137/T137))-SIN((2*ACOS(1-2*CD137/T137)))))*((((T137^2/8)*((2*ACOS(1-2*CD137/T137))-SIN((2*ACOS(1-2*CD137/T137)))))/((T137/2)*((2*ACOS(1-2*CD137/T137)))))^(2/3))*SQRT(P137))</f>
        <v/>
      </c>
      <c r="CF137" s="14" t="str">
        <f t="shared" si="192"/>
        <v/>
      </c>
      <c r="CG137" s="14" t="str">
        <f t="shared" si="193"/>
        <v/>
      </c>
      <c r="CH137" s="14" t="str">
        <f t="shared" si="194"/>
        <v/>
      </c>
    </row>
    <row r="138" spans="1:86" x14ac:dyDescent="0.25">
      <c r="A138" s="14"/>
      <c r="B138" s="14"/>
      <c r="C138" s="14"/>
      <c r="D138" s="14"/>
      <c r="E138" s="44"/>
      <c r="F138" s="44"/>
      <c r="G138" s="44">
        <f>SUMIFS(CB_plan!$G:$G,CB_plan!$F:$F,$A138)</f>
        <v>0</v>
      </c>
      <c r="H138" s="44">
        <f t="shared" si="156"/>
        <v>0</v>
      </c>
      <c r="I138" s="14"/>
      <c r="J138" s="44"/>
      <c r="K138" s="44" t="str">
        <f>IF(A138="","",Inputs!$B$13/((IF(AV138="",Inputs!$B$18,AV138)+Inputs!$B$14)^Inputs!$B$15))</f>
        <v/>
      </c>
      <c r="L138" s="44" t="str">
        <f>IF(A138="","",IF(H138="","",0.000000278*IF(I138&lt;&gt;"",I138,IFERROR(SUMIFS(CB_plan!$H:$H,CB_plan!$F:$F,$A138)/SUMIFS(CB_plan!$G:$G,CB_plan!$F:$F,$A138),Inputs!$B$17))*H138*K138))</f>
        <v/>
      </c>
      <c r="M138" s="44" t="str">
        <f t="shared" si="157"/>
        <v/>
      </c>
      <c r="N138" s="44" t="str">
        <f>IF(A138="","",(L138+M138)*Inputs!$B$16)</f>
        <v/>
      </c>
      <c r="O138" s="44"/>
      <c r="P138" s="44" t="str">
        <f>IF(A138="","",IF(O138="",Inputs!$B$7,O138))</f>
        <v/>
      </c>
      <c r="Q138" s="14" t="str">
        <f>IF(A138="","",IF(N138/Inputs!$B$10&lt;=AG138,Inputs!$F$5,IF(N138/Inputs!$B$10&gt;AP138,"OVERSIZE",INDEX(Inputs!$F$5:$F$14,MATCH(N138/Inputs!$B$10,AG138:AP138,1)+1))))</f>
        <v/>
      </c>
      <c r="R138" s="14"/>
      <c r="S138" s="14" t="str">
        <f t="shared" si="158"/>
        <v/>
      </c>
      <c r="T138" s="44" t="str">
        <f t="shared" si="159"/>
        <v/>
      </c>
      <c r="U138" s="44" t="str">
        <f>IF(T138="","",(1/Inputs!$B$9)*(PI()*T138^2/4)*((T138/4)^(2/3))*SQRT(P138))</f>
        <v/>
      </c>
      <c r="V138" s="44" t="str">
        <f>IF(OR(U138="",N138=""),"",N138/(U138*Inputs!$B$10))</f>
        <v/>
      </c>
      <c r="W138" s="44" t="str">
        <f t="shared" si="160"/>
        <v/>
      </c>
      <c r="X138" s="44"/>
      <c r="Y138" s="44" t="str">
        <f>IF(A138="","",IF(A138=Inputs!$B$6,Inputs!$B$22,IF(D138="","",IFERROR(INDEX($Z$4:$Z$201,MATCH(D138,$A$4:$A$201,0))+IF(X138="",Inputs!$B$20,X138),""))))</f>
        <v/>
      </c>
      <c r="Z138" s="44" t="str">
        <f t="shared" si="161"/>
        <v/>
      </c>
      <c r="AA138" s="44" t="str">
        <f>IF(C138="","",IFERROR(INDEX(Noeuds_plan!$C$4:$C$200,MATCH(C138,Noeuds_plan!$A$4:$A$200,0)),""))</f>
        <v/>
      </c>
      <c r="AB138" s="44" t="str">
        <f>IF(B138="","",IFERROR(INDEX(Noeuds_plan!$C$4:$C$200,MATCH(B138,Noeuds_plan!$A$4:$A$200,0)),""))</f>
        <v/>
      </c>
      <c r="AC138" s="44" t="str">
        <f t="shared" si="162"/>
        <v/>
      </c>
      <c r="AD138" s="44" t="str">
        <f t="shared" si="163"/>
        <v/>
      </c>
      <c r="AE138" s="14" t="str">
        <f>IF(A138="","",IF(OR(V138&gt;1,AND(AY138&lt;&gt;"",AY138&lt;Inputs!$B$11),AND(AY138&lt;&gt;"",AY138&gt;Inputs!$B$12),AC138&lt;Inputs!$B$19,AD138&lt;Inputs!$B$19,P138&lt;Inputs!$B$7,P138&gt;Inputs!$B$8),"CHECK","OK"))</f>
        <v/>
      </c>
      <c r="AF138" s="14"/>
      <c r="AG138" s="14" t="str">
        <f>IF(A138="","",(1/Inputs!$B$9)*(PI()*(Inputs!$F$5/1000)^2/4)*((Inputs!$F$5/1000/4)^(2/3))*SQRT(P138))</f>
        <v/>
      </c>
      <c r="AH138" s="14" t="str">
        <f>IF(A138="","",(1/Inputs!$B$9)*(PI()*(Inputs!$F$6/1000)^2/4)*((Inputs!$F$6/1000/4)^(2/3))*SQRT(P138))</f>
        <v/>
      </c>
      <c r="AI138" s="14" t="str">
        <f>IF(A138="","",(1/Inputs!$B$9)*(PI()*(Inputs!$F$7/1000)^2/4)*((Inputs!$F$7/1000/4)^(2/3))*SQRT(P138))</f>
        <v/>
      </c>
      <c r="AJ138" s="14" t="str">
        <f>IF(A138="","",(1/Inputs!$B$9)*(PI()*(Inputs!$F$8/1000)^2/4)*((Inputs!$F$8/1000/4)^(2/3))*SQRT(P138))</f>
        <v/>
      </c>
      <c r="AK138" s="14" t="str">
        <f>IF(A138="","",(1/Inputs!$B$9)*(PI()*(Inputs!$F$9/1000)^2/4)*((Inputs!$F$9/1000/4)^(2/3))*SQRT(P138))</f>
        <v/>
      </c>
      <c r="AL138" s="14" t="str">
        <f>IF(A138="","",(1/Inputs!$B$9)*(PI()*(Inputs!$F$10/1000)^2/4)*((Inputs!$F$10/1000/4)^(2/3))*SQRT(P138))</f>
        <v/>
      </c>
      <c r="AM138" s="14" t="str">
        <f>IF(A138="","",(1/Inputs!$B$9)*(PI()*(Inputs!$F$11/1000)^2/4)*((Inputs!$F$11/1000/4)^(2/3))*SQRT(P138))</f>
        <v/>
      </c>
      <c r="AN138" s="14" t="str">
        <f>IF(A138="","",(1/Inputs!$B$9)*(PI()*(Inputs!$F$12/1000)^2/4)*((Inputs!$F$12/1000/4)^(2/3))*SQRT(P138))</f>
        <v/>
      </c>
      <c r="AO138" s="14" t="str">
        <f>IF(A138="","",(1/Inputs!$B$9)*(PI()*(Inputs!$F$13/1000)^2/4)*((Inputs!$F$13/1000/4)^(2/3))*SQRT(P138))</f>
        <v/>
      </c>
      <c r="AP138" s="14" t="str">
        <f>IF(A138="","",(1/Inputs!$B$9)*(PI()*(Inputs!$F$14/1000)^2/4)*((Inputs!$F$14/1000/4)^(2/3))*SQRT(P138))</f>
        <v/>
      </c>
      <c r="AQ138" s="14" t="str">
        <f t="shared" si="164"/>
        <v/>
      </c>
      <c r="AR138" s="14" t="str">
        <f t="shared" si="165"/>
        <v/>
      </c>
      <c r="AS138" s="17" t="str">
        <f>IF(A138="","",IF(J138="",Inputs!$B$18,J138))</f>
        <v/>
      </c>
      <c r="AT138" s="17" t="str">
        <f>IF(A138="","",IFERROR(_xludf.maxifs($AV$4:$AV$201,$D$4:$D$201,$A138),""))</f>
        <v/>
      </c>
      <c r="AU138" s="17" t="str">
        <f>IF(A138="","",IF(OR(E138="",Inputs!$B$23=""),"",E138/(Inputs!$B$23*60)))</f>
        <v/>
      </c>
      <c r="AV138" s="17" t="str">
        <f t="shared" si="166"/>
        <v/>
      </c>
      <c r="AW138" s="17" t="str">
        <f t="shared" si="167"/>
        <v/>
      </c>
      <c r="AX138" s="17" t="str">
        <f>IF(OR(T138="",P138=""),"",(1/Inputs!$B$9)*((T138/4)^(2/3))*SQRT(P138))</f>
        <v/>
      </c>
      <c r="AY138" s="17" t="str">
        <f>IF(A138="","",IF(AND(AW138="",AX138="",BA138=""),"",IF(OR(UPPER(TRIM(Inputs!$B$24))="MANNING",UPPER(TRIM(Inputs!$B$24))="M"),AX138,IF(OR(UPPER(TRIM(Inputs!$B$24))="PARTIAL",UPPER(TRIM(Inputs!$B$24))="P"),BA138,IF(OR(UPPER(TRIM(Inputs!$B$24))="MAX",UPPER(TRIM(Inputs!$B$24))="X"),MAX(IF(AW138="",0,AW138),IF(AX138="",0,AX138),IF(BA138="",0,BA138)),AW138)))))</f>
        <v/>
      </c>
      <c r="AZ138" s="17" t="str">
        <f t="shared" si="168"/>
        <v/>
      </c>
      <c r="BA138" s="17" t="str">
        <f t="shared" si="169"/>
        <v/>
      </c>
      <c r="BB138" s="14" t="str">
        <f t="shared" si="170"/>
        <v/>
      </c>
      <c r="BC138" s="14" t="str">
        <f>IF(OR(N138="",T138="",P138=""),"",IF(OR(T138="",P138="",(0.94*T138)="",T138&lt;=0,(0.94*T138)&lt;=0),"",(1/Inputs!$B$9)*((T138^2/8)*((2*ACOS(1-2*(0.94*T138)/T138))-SIN((2*ACOS(1-2*(0.94*T138)/T138)))))*((((T138^2/8)*((2*ACOS(1-2*(0.94*T138)/T138))-SIN((2*ACOS(1-2*(0.94*T138)/T138)))))/((T138/2)*((2*ACOS(1-2*(0.94*T138)/T138)))))^(2/3))*SQRT(P138)))</f>
        <v/>
      </c>
      <c r="BD138" s="14" t="str">
        <f t="shared" si="171"/>
        <v/>
      </c>
      <c r="BE138" s="14" t="str">
        <f t="shared" si="172"/>
        <v/>
      </c>
      <c r="BF138" s="14" t="str">
        <f t="shared" si="173"/>
        <v/>
      </c>
      <c r="BG138" s="14" t="str">
        <f>IF(OR(T138="",P138="",BF138="",T138&lt;=0,BF138&lt;=0),"",(1/Inputs!$B$9)*((T138^2/8)*((2*ACOS(1-2*BF138/T138))-SIN((2*ACOS(1-2*BF138/T138)))))*((((T138^2/8)*((2*ACOS(1-2*BF138/T138))-SIN((2*ACOS(1-2*BF138/T138)))))/((T138/2)*((2*ACOS(1-2*BF138/T138)))))^(2/3))*SQRT(P138))</f>
        <v/>
      </c>
      <c r="BH138" s="14" t="str">
        <f t="shared" si="174"/>
        <v/>
      </c>
      <c r="BI138" s="14" t="str">
        <f t="shared" si="175"/>
        <v/>
      </c>
      <c r="BJ138" s="14" t="str">
        <f t="shared" si="176"/>
        <v/>
      </c>
      <c r="BK138" s="14" t="str">
        <f>IF(OR(T138="",P138="",BJ138="",T138&lt;=0,BJ138&lt;=0),"",(1/Inputs!$B$9)*((T138^2/8)*((2*ACOS(1-2*BJ138/T138))-SIN((2*ACOS(1-2*BJ138/T138)))))*((((T138^2/8)*((2*ACOS(1-2*BJ138/T138))-SIN((2*ACOS(1-2*BJ138/T138)))))/((T138/2)*((2*ACOS(1-2*BJ138/T138)))))^(2/3))*SQRT(P138))</f>
        <v/>
      </c>
      <c r="BL138" s="14" t="str">
        <f t="shared" si="177"/>
        <v/>
      </c>
      <c r="BM138" s="14" t="str">
        <f t="shared" si="178"/>
        <v/>
      </c>
      <c r="BN138" s="14" t="str">
        <f t="shared" si="179"/>
        <v/>
      </c>
      <c r="BO138" s="14" t="str">
        <f>IF(OR(T138="",P138="",BN138="",T138&lt;=0,BN138&lt;=0),"",(1/Inputs!$B$9)*((T138^2/8)*((2*ACOS(1-2*BN138/T138))-SIN((2*ACOS(1-2*BN138/T138)))))*((((T138^2/8)*((2*ACOS(1-2*BN138/T138))-SIN((2*ACOS(1-2*BN138/T138)))))/((T138/2)*((2*ACOS(1-2*BN138/T138)))))^(2/3))*SQRT(P138))</f>
        <v/>
      </c>
      <c r="BP138" s="14" t="str">
        <f t="shared" si="180"/>
        <v/>
      </c>
      <c r="BQ138" s="14" t="str">
        <f t="shared" si="181"/>
        <v/>
      </c>
      <c r="BR138" s="14" t="str">
        <f t="shared" si="182"/>
        <v/>
      </c>
      <c r="BS138" s="14" t="str">
        <f>IF(OR(T138="",P138="",BR138="",T138&lt;=0,BR138&lt;=0),"",(1/Inputs!$B$9)*((T138^2/8)*((2*ACOS(1-2*BR138/T138))-SIN((2*ACOS(1-2*BR138/T138)))))*((((T138^2/8)*((2*ACOS(1-2*BR138/T138))-SIN((2*ACOS(1-2*BR138/T138)))))/((T138/2)*((2*ACOS(1-2*BR138/T138)))))^(2/3))*SQRT(P138))</f>
        <v/>
      </c>
      <c r="BT138" s="14" t="str">
        <f t="shared" si="183"/>
        <v/>
      </c>
      <c r="BU138" s="14" t="str">
        <f t="shared" si="184"/>
        <v/>
      </c>
      <c r="BV138" s="14" t="str">
        <f t="shared" si="185"/>
        <v/>
      </c>
      <c r="BW138" s="14" t="str">
        <f>IF(OR(T138="",P138="",BV138="",T138&lt;=0,BV138&lt;=0),"",(1/Inputs!$B$9)*((T138^2/8)*((2*ACOS(1-2*BV138/T138))-SIN((2*ACOS(1-2*BV138/T138)))))*((((T138^2/8)*((2*ACOS(1-2*BV138/T138))-SIN((2*ACOS(1-2*BV138/T138)))))/((T138/2)*((2*ACOS(1-2*BV138/T138)))))^(2/3))*SQRT(P138))</f>
        <v/>
      </c>
      <c r="BX138" s="14" t="str">
        <f t="shared" si="186"/>
        <v/>
      </c>
      <c r="BY138" s="14" t="str">
        <f t="shared" si="187"/>
        <v/>
      </c>
      <c r="BZ138" s="14" t="str">
        <f t="shared" si="188"/>
        <v/>
      </c>
      <c r="CA138" s="14" t="str">
        <f>IF(OR(T138="",P138="",BZ138="",T138&lt;=0,BZ138&lt;=0),"",(1/Inputs!$B$9)*((T138^2/8)*((2*ACOS(1-2*BZ138/T138))-SIN((2*ACOS(1-2*BZ138/T138)))))*((((T138^2/8)*((2*ACOS(1-2*BZ138/T138))-SIN((2*ACOS(1-2*BZ138/T138)))))/((T138/2)*((2*ACOS(1-2*BZ138/T138)))))^(2/3))*SQRT(P138))</f>
        <v/>
      </c>
      <c r="CB138" s="14" t="str">
        <f t="shared" si="189"/>
        <v/>
      </c>
      <c r="CC138" s="14" t="str">
        <f t="shared" si="190"/>
        <v/>
      </c>
      <c r="CD138" s="14" t="str">
        <f t="shared" si="191"/>
        <v/>
      </c>
      <c r="CE138" s="14" t="str">
        <f>IF(OR(T138="",P138="",CD138="",T138&lt;=0,CD138&lt;=0),"",(1/Inputs!$B$9)*((T138^2/8)*((2*ACOS(1-2*CD138/T138))-SIN((2*ACOS(1-2*CD138/T138)))))*((((T138^2/8)*((2*ACOS(1-2*CD138/T138))-SIN((2*ACOS(1-2*CD138/T138)))))/((T138/2)*((2*ACOS(1-2*CD138/T138)))))^(2/3))*SQRT(P138))</f>
        <v/>
      </c>
      <c r="CF138" s="14" t="str">
        <f t="shared" si="192"/>
        <v/>
      </c>
      <c r="CG138" s="14" t="str">
        <f t="shared" si="193"/>
        <v/>
      </c>
      <c r="CH138" s="14" t="str">
        <f t="shared" si="194"/>
        <v/>
      </c>
    </row>
    <row r="139" spans="1:86" x14ac:dyDescent="0.25">
      <c r="A139" s="14"/>
      <c r="B139" s="14"/>
      <c r="C139" s="14"/>
      <c r="D139" s="14"/>
      <c r="E139" s="44"/>
      <c r="F139" s="44"/>
      <c r="G139" s="44">
        <f>SUMIFS(CB_plan!$G:$G,CB_plan!$F:$F,$A139)</f>
        <v>0</v>
      </c>
      <c r="H139" s="44">
        <f t="shared" si="156"/>
        <v>0</v>
      </c>
      <c r="I139" s="14"/>
      <c r="J139" s="44"/>
      <c r="K139" s="44" t="str">
        <f>IF(A139="","",Inputs!$B$13/((IF(AV139="",Inputs!$B$18,AV139)+Inputs!$B$14)^Inputs!$B$15))</f>
        <v/>
      </c>
      <c r="L139" s="44" t="str">
        <f>IF(A139="","",IF(H139="","",0.000000278*IF(I139&lt;&gt;"",I139,IFERROR(SUMIFS(CB_plan!$H:$H,CB_plan!$F:$F,$A139)/SUMIFS(CB_plan!$G:$G,CB_plan!$F:$F,$A139),Inputs!$B$17))*H139*K139))</f>
        <v/>
      </c>
      <c r="M139" s="44" t="str">
        <f t="shared" si="157"/>
        <v/>
      </c>
      <c r="N139" s="44" t="str">
        <f>IF(A139="","",(L139+M139)*Inputs!$B$16)</f>
        <v/>
      </c>
      <c r="O139" s="44"/>
      <c r="P139" s="44" t="str">
        <f>IF(A139="","",IF(O139="",Inputs!$B$7,O139))</f>
        <v/>
      </c>
      <c r="Q139" s="14" t="str">
        <f>IF(A139="","",IF(N139/Inputs!$B$10&lt;=AG139,Inputs!$F$5,IF(N139/Inputs!$B$10&gt;AP139,"OVERSIZE",INDEX(Inputs!$F$5:$F$14,MATCH(N139/Inputs!$B$10,AG139:AP139,1)+1))))</f>
        <v/>
      </c>
      <c r="R139" s="14"/>
      <c r="S139" s="14" t="str">
        <f t="shared" si="158"/>
        <v/>
      </c>
      <c r="T139" s="44" t="str">
        <f t="shared" si="159"/>
        <v/>
      </c>
      <c r="U139" s="44" t="str">
        <f>IF(T139="","",(1/Inputs!$B$9)*(PI()*T139^2/4)*((T139/4)^(2/3))*SQRT(P139))</f>
        <v/>
      </c>
      <c r="V139" s="44" t="str">
        <f>IF(OR(U139="",N139=""),"",N139/(U139*Inputs!$B$10))</f>
        <v/>
      </c>
      <c r="W139" s="44" t="str">
        <f t="shared" si="160"/>
        <v/>
      </c>
      <c r="X139" s="44"/>
      <c r="Y139" s="44" t="str">
        <f>IF(A139="","",IF(A139=Inputs!$B$6,Inputs!$B$22,IF(D139="","",IFERROR(INDEX($Z$4:$Z$201,MATCH(D139,$A$4:$A$201,0))+IF(X139="",Inputs!$B$20,X139),""))))</f>
        <v/>
      </c>
      <c r="Z139" s="44" t="str">
        <f t="shared" si="161"/>
        <v/>
      </c>
      <c r="AA139" s="44" t="str">
        <f>IF(C139="","",IFERROR(INDEX(Noeuds_plan!$C$4:$C$200,MATCH(C139,Noeuds_plan!$A$4:$A$200,0)),""))</f>
        <v/>
      </c>
      <c r="AB139" s="44" t="str">
        <f>IF(B139="","",IFERROR(INDEX(Noeuds_plan!$C$4:$C$200,MATCH(B139,Noeuds_plan!$A$4:$A$200,0)),""))</f>
        <v/>
      </c>
      <c r="AC139" s="44" t="str">
        <f t="shared" si="162"/>
        <v/>
      </c>
      <c r="AD139" s="44" t="str">
        <f t="shared" si="163"/>
        <v/>
      </c>
      <c r="AE139" s="14" t="str">
        <f>IF(A139="","",IF(OR(V139&gt;1,AND(AY139&lt;&gt;"",AY139&lt;Inputs!$B$11),AND(AY139&lt;&gt;"",AY139&gt;Inputs!$B$12),AC139&lt;Inputs!$B$19,AD139&lt;Inputs!$B$19,P139&lt;Inputs!$B$7,P139&gt;Inputs!$B$8),"CHECK","OK"))</f>
        <v/>
      </c>
      <c r="AF139" s="14"/>
      <c r="AG139" s="14" t="str">
        <f>IF(A139="","",(1/Inputs!$B$9)*(PI()*(Inputs!$F$5/1000)^2/4)*((Inputs!$F$5/1000/4)^(2/3))*SQRT(P139))</f>
        <v/>
      </c>
      <c r="AH139" s="14" t="str">
        <f>IF(A139="","",(1/Inputs!$B$9)*(PI()*(Inputs!$F$6/1000)^2/4)*((Inputs!$F$6/1000/4)^(2/3))*SQRT(P139))</f>
        <v/>
      </c>
      <c r="AI139" s="14" t="str">
        <f>IF(A139="","",(1/Inputs!$B$9)*(PI()*(Inputs!$F$7/1000)^2/4)*((Inputs!$F$7/1000/4)^(2/3))*SQRT(P139))</f>
        <v/>
      </c>
      <c r="AJ139" s="14" t="str">
        <f>IF(A139="","",(1/Inputs!$B$9)*(PI()*(Inputs!$F$8/1000)^2/4)*((Inputs!$F$8/1000/4)^(2/3))*SQRT(P139))</f>
        <v/>
      </c>
      <c r="AK139" s="14" t="str">
        <f>IF(A139="","",(1/Inputs!$B$9)*(PI()*(Inputs!$F$9/1000)^2/4)*((Inputs!$F$9/1000/4)^(2/3))*SQRT(P139))</f>
        <v/>
      </c>
      <c r="AL139" s="14" t="str">
        <f>IF(A139="","",(1/Inputs!$B$9)*(PI()*(Inputs!$F$10/1000)^2/4)*((Inputs!$F$10/1000/4)^(2/3))*SQRT(P139))</f>
        <v/>
      </c>
      <c r="AM139" s="14" t="str">
        <f>IF(A139="","",(1/Inputs!$B$9)*(PI()*(Inputs!$F$11/1000)^2/4)*((Inputs!$F$11/1000/4)^(2/3))*SQRT(P139))</f>
        <v/>
      </c>
      <c r="AN139" s="14" t="str">
        <f>IF(A139="","",(1/Inputs!$B$9)*(PI()*(Inputs!$F$12/1000)^2/4)*((Inputs!$F$12/1000/4)^(2/3))*SQRT(P139))</f>
        <v/>
      </c>
      <c r="AO139" s="14" t="str">
        <f>IF(A139="","",(1/Inputs!$B$9)*(PI()*(Inputs!$F$13/1000)^2/4)*((Inputs!$F$13/1000/4)^(2/3))*SQRT(P139))</f>
        <v/>
      </c>
      <c r="AP139" s="14" t="str">
        <f>IF(A139="","",(1/Inputs!$B$9)*(PI()*(Inputs!$F$14/1000)^2/4)*((Inputs!$F$14/1000/4)^(2/3))*SQRT(P139))</f>
        <v/>
      </c>
      <c r="AQ139" s="14" t="str">
        <f t="shared" si="164"/>
        <v/>
      </c>
      <c r="AR139" s="14" t="str">
        <f t="shared" si="165"/>
        <v/>
      </c>
      <c r="AS139" s="17" t="str">
        <f>IF(A139="","",IF(J139="",Inputs!$B$18,J139))</f>
        <v/>
      </c>
      <c r="AT139" s="17" t="str">
        <f>IF(A139="","",IFERROR(_xludf.maxifs($AV$4:$AV$201,$D$4:$D$201,$A139),""))</f>
        <v/>
      </c>
      <c r="AU139" s="17" t="str">
        <f>IF(A139="","",IF(OR(E139="",Inputs!$B$23=""),"",E139/(Inputs!$B$23*60)))</f>
        <v/>
      </c>
      <c r="AV139" s="17" t="str">
        <f t="shared" si="166"/>
        <v/>
      </c>
      <c r="AW139" s="17" t="str">
        <f t="shared" si="167"/>
        <v/>
      </c>
      <c r="AX139" s="17" t="str">
        <f>IF(OR(T139="",P139=""),"",(1/Inputs!$B$9)*((T139/4)^(2/3))*SQRT(P139))</f>
        <v/>
      </c>
      <c r="AY139" s="17" t="str">
        <f>IF(A139="","",IF(AND(AW139="",AX139="",BA139=""),"",IF(OR(UPPER(TRIM(Inputs!$B$24))="MANNING",UPPER(TRIM(Inputs!$B$24))="M"),AX139,IF(OR(UPPER(TRIM(Inputs!$B$24))="PARTIAL",UPPER(TRIM(Inputs!$B$24))="P"),BA139,IF(OR(UPPER(TRIM(Inputs!$B$24))="MAX",UPPER(TRIM(Inputs!$B$24))="X"),MAX(IF(AW139="",0,AW139),IF(AX139="",0,AX139),IF(BA139="",0,BA139)),AW139)))))</f>
        <v/>
      </c>
      <c r="AZ139" s="17" t="str">
        <f t="shared" si="168"/>
        <v/>
      </c>
      <c r="BA139" s="17" t="str">
        <f t="shared" si="169"/>
        <v/>
      </c>
      <c r="BB139" s="14" t="str">
        <f t="shared" si="170"/>
        <v/>
      </c>
      <c r="BC139" s="14" t="str">
        <f>IF(OR(N139="",T139="",P139=""),"",IF(OR(T139="",P139="",(0.94*T139)="",T139&lt;=0,(0.94*T139)&lt;=0),"",(1/Inputs!$B$9)*((T139^2/8)*((2*ACOS(1-2*(0.94*T139)/T139))-SIN((2*ACOS(1-2*(0.94*T139)/T139)))))*((((T139^2/8)*((2*ACOS(1-2*(0.94*T139)/T139))-SIN((2*ACOS(1-2*(0.94*T139)/T139)))))/((T139/2)*((2*ACOS(1-2*(0.94*T139)/T139)))))^(2/3))*SQRT(P139)))</f>
        <v/>
      </c>
      <c r="BD139" s="14" t="str">
        <f t="shared" si="171"/>
        <v/>
      </c>
      <c r="BE139" s="14" t="str">
        <f t="shared" si="172"/>
        <v/>
      </c>
      <c r="BF139" s="14" t="str">
        <f t="shared" si="173"/>
        <v/>
      </c>
      <c r="BG139" s="14" t="str">
        <f>IF(OR(T139="",P139="",BF139="",T139&lt;=0,BF139&lt;=0),"",(1/Inputs!$B$9)*((T139^2/8)*((2*ACOS(1-2*BF139/T139))-SIN((2*ACOS(1-2*BF139/T139)))))*((((T139^2/8)*((2*ACOS(1-2*BF139/T139))-SIN((2*ACOS(1-2*BF139/T139)))))/((T139/2)*((2*ACOS(1-2*BF139/T139)))))^(2/3))*SQRT(P139))</f>
        <v/>
      </c>
      <c r="BH139" s="14" t="str">
        <f t="shared" si="174"/>
        <v/>
      </c>
      <c r="BI139" s="14" t="str">
        <f t="shared" si="175"/>
        <v/>
      </c>
      <c r="BJ139" s="14" t="str">
        <f t="shared" si="176"/>
        <v/>
      </c>
      <c r="BK139" s="14" t="str">
        <f>IF(OR(T139="",P139="",BJ139="",T139&lt;=0,BJ139&lt;=0),"",(1/Inputs!$B$9)*((T139^2/8)*((2*ACOS(1-2*BJ139/T139))-SIN((2*ACOS(1-2*BJ139/T139)))))*((((T139^2/8)*((2*ACOS(1-2*BJ139/T139))-SIN((2*ACOS(1-2*BJ139/T139)))))/((T139/2)*((2*ACOS(1-2*BJ139/T139)))))^(2/3))*SQRT(P139))</f>
        <v/>
      </c>
      <c r="BL139" s="14" t="str">
        <f t="shared" si="177"/>
        <v/>
      </c>
      <c r="BM139" s="14" t="str">
        <f t="shared" si="178"/>
        <v/>
      </c>
      <c r="BN139" s="14" t="str">
        <f t="shared" si="179"/>
        <v/>
      </c>
      <c r="BO139" s="14" t="str">
        <f>IF(OR(T139="",P139="",BN139="",T139&lt;=0,BN139&lt;=0),"",(1/Inputs!$B$9)*((T139^2/8)*((2*ACOS(1-2*BN139/T139))-SIN((2*ACOS(1-2*BN139/T139)))))*((((T139^2/8)*((2*ACOS(1-2*BN139/T139))-SIN((2*ACOS(1-2*BN139/T139)))))/((T139/2)*((2*ACOS(1-2*BN139/T139)))))^(2/3))*SQRT(P139))</f>
        <v/>
      </c>
      <c r="BP139" s="14" t="str">
        <f t="shared" si="180"/>
        <v/>
      </c>
      <c r="BQ139" s="14" t="str">
        <f t="shared" si="181"/>
        <v/>
      </c>
      <c r="BR139" s="14" t="str">
        <f t="shared" si="182"/>
        <v/>
      </c>
      <c r="BS139" s="14" t="str">
        <f>IF(OR(T139="",P139="",BR139="",T139&lt;=0,BR139&lt;=0),"",(1/Inputs!$B$9)*((T139^2/8)*((2*ACOS(1-2*BR139/T139))-SIN((2*ACOS(1-2*BR139/T139)))))*((((T139^2/8)*((2*ACOS(1-2*BR139/T139))-SIN((2*ACOS(1-2*BR139/T139)))))/((T139/2)*((2*ACOS(1-2*BR139/T139)))))^(2/3))*SQRT(P139))</f>
        <v/>
      </c>
      <c r="BT139" s="14" t="str">
        <f t="shared" si="183"/>
        <v/>
      </c>
      <c r="BU139" s="14" t="str">
        <f t="shared" si="184"/>
        <v/>
      </c>
      <c r="BV139" s="14" t="str">
        <f t="shared" si="185"/>
        <v/>
      </c>
      <c r="BW139" s="14" t="str">
        <f>IF(OR(T139="",P139="",BV139="",T139&lt;=0,BV139&lt;=0),"",(1/Inputs!$B$9)*((T139^2/8)*((2*ACOS(1-2*BV139/T139))-SIN((2*ACOS(1-2*BV139/T139)))))*((((T139^2/8)*((2*ACOS(1-2*BV139/T139))-SIN((2*ACOS(1-2*BV139/T139)))))/((T139/2)*((2*ACOS(1-2*BV139/T139)))))^(2/3))*SQRT(P139))</f>
        <v/>
      </c>
      <c r="BX139" s="14" t="str">
        <f t="shared" si="186"/>
        <v/>
      </c>
      <c r="BY139" s="14" t="str">
        <f t="shared" si="187"/>
        <v/>
      </c>
      <c r="BZ139" s="14" t="str">
        <f t="shared" si="188"/>
        <v/>
      </c>
      <c r="CA139" s="14" t="str">
        <f>IF(OR(T139="",P139="",BZ139="",T139&lt;=0,BZ139&lt;=0),"",(1/Inputs!$B$9)*((T139^2/8)*((2*ACOS(1-2*BZ139/T139))-SIN((2*ACOS(1-2*BZ139/T139)))))*((((T139^2/8)*((2*ACOS(1-2*BZ139/T139))-SIN((2*ACOS(1-2*BZ139/T139)))))/((T139/2)*((2*ACOS(1-2*BZ139/T139)))))^(2/3))*SQRT(P139))</f>
        <v/>
      </c>
      <c r="CB139" s="14" t="str">
        <f t="shared" si="189"/>
        <v/>
      </c>
      <c r="CC139" s="14" t="str">
        <f t="shared" si="190"/>
        <v/>
      </c>
      <c r="CD139" s="14" t="str">
        <f t="shared" si="191"/>
        <v/>
      </c>
      <c r="CE139" s="14" t="str">
        <f>IF(OR(T139="",P139="",CD139="",T139&lt;=0,CD139&lt;=0),"",(1/Inputs!$B$9)*((T139^2/8)*((2*ACOS(1-2*CD139/T139))-SIN((2*ACOS(1-2*CD139/T139)))))*((((T139^2/8)*((2*ACOS(1-2*CD139/T139))-SIN((2*ACOS(1-2*CD139/T139)))))/((T139/2)*((2*ACOS(1-2*CD139/T139)))))^(2/3))*SQRT(P139))</f>
        <v/>
      </c>
      <c r="CF139" s="14" t="str">
        <f t="shared" si="192"/>
        <v/>
      </c>
      <c r="CG139" s="14" t="str">
        <f t="shared" si="193"/>
        <v/>
      </c>
      <c r="CH139" s="14" t="str">
        <f t="shared" si="194"/>
        <v/>
      </c>
    </row>
    <row r="140" spans="1:86" x14ac:dyDescent="0.25">
      <c r="A140" s="14"/>
      <c r="B140" s="14"/>
      <c r="C140" s="14"/>
      <c r="D140" s="14"/>
      <c r="E140" s="44"/>
      <c r="F140" s="44"/>
      <c r="G140" s="44">
        <f>SUMIFS(CB_plan!$G:$G,CB_plan!$F:$F,$A140)</f>
        <v>0</v>
      </c>
      <c r="H140" s="44">
        <f t="shared" si="156"/>
        <v>0</v>
      </c>
      <c r="I140" s="14"/>
      <c r="J140" s="44"/>
      <c r="K140" s="44" t="str">
        <f>IF(A140="","",Inputs!$B$13/((IF(AV140="",Inputs!$B$18,AV140)+Inputs!$B$14)^Inputs!$B$15))</f>
        <v/>
      </c>
      <c r="L140" s="44" t="str">
        <f>IF(A140="","",IF(H140="","",0.000000278*IF(I140&lt;&gt;"",I140,IFERROR(SUMIFS(CB_plan!$H:$H,CB_plan!$F:$F,$A140)/SUMIFS(CB_plan!$G:$G,CB_plan!$F:$F,$A140),Inputs!$B$17))*H140*K140))</f>
        <v/>
      </c>
      <c r="M140" s="44" t="str">
        <f t="shared" si="157"/>
        <v/>
      </c>
      <c r="N140" s="44" t="str">
        <f>IF(A140="","",(L140+M140)*Inputs!$B$16)</f>
        <v/>
      </c>
      <c r="O140" s="44"/>
      <c r="P140" s="44" t="str">
        <f>IF(A140="","",IF(O140="",Inputs!$B$7,O140))</f>
        <v/>
      </c>
      <c r="Q140" s="14" t="str">
        <f>IF(A140="","",IF(N140/Inputs!$B$10&lt;=AG140,Inputs!$F$5,IF(N140/Inputs!$B$10&gt;AP140,"OVERSIZE",INDEX(Inputs!$F$5:$F$14,MATCH(N140/Inputs!$B$10,AG140:AP140,1)+1))))</f>
        <v/>
      </c>
      <c r="R140" s="14"/>
      <c r="S140" s="14" t="str">
        <f t="shared" si="158"/>
        <v/>
      </c>
      <c r="T140" s="44" t="str">
        <f t="shared" si="159"/>
        <v/>
      </c>
      <c r="U140" s="44" t="str">
        <f>IF(T140="","",(1/Inputs!$B$9)*(PI()*T140^2/4)*((T140/4)^(2/3))*SQRT(P140))</f>
        <v/>
      </c>
      <c r="V140" s="44" t="str">
        <f>IF(OR(U140="",N140=""),"",N140/(U140*Inputs!$B$10))</f>
        <v/>
      </c>
      <c r="W140" s="44" t="str">
        <f t="shared" si="160"/>
        <v/>
      </c>
      <c r="X140" s="44"/>
      <c r="Y140" s="44" t="str">
        <f>IF(A140="","",IF(A140=Inputs!$B$6,Inputs!$B$22,IF(D140="","",IFERROR(INDEX($Z$4:$Z$201,MATCH(D140,$A$4:$A$201,0))+IF(X140="",Inputs!$B$20,X140),""))))</f>
        <v/>
      </c>
      <c r="Z140" s="44" t="str">
        <f t="shared" si="161"/>
        <v/>
      </c>
      <c r="AA140" s="44" t="str">
        <f>IF(C140="","",IFERROR(INDEX(Noeuds_plan!$C$4:$C$200,MATCH(C140,Noeuds_plan!$A$4:$A$200,0)),""))</f>
        <v/>
      </c>
      <c r="AB140" s="44" t="str">
        <f>IF(B140="","",IFERROR(INDEX(Noeuds_plan!$C$4:$C$200,MATCH(B140,Noeuds_plan!$A$4:$A$200,0)),""))</f>
        <v/>
      </c>
      <c r="AC140" s="44" t="str">
        <f t="shared" si="162"/>
        <v/>
      </c>
      <c r="AD140" s="44" t="str">
        <f t="shared" si="163"/>
        <v/>
      </c>
      <c r="AE140" s="14" t="str">
        <f>IF(A140="","",IF(OR(V140&gt;1,AND(AY140&lt;&gt;"",AY140&lt;Inputs!$B$11),AND(AY140&lt;&gt;"",AY140&gt;Inputs!$B$12),AC140&lt;Inputs!$B$19,AD140&lt;Inputs!$B$19,P140&lt;Inputs!$B$7,P140&gt;Inputs!$B$8),"CHECK","OK"))</f>
        <v/>
      </c>
      <c r="AF140" s="14"/>
      <c r="AG140" s="14" t="str">
        <f>IF(A140="","",(1/Inputs!$B$9)*(PI()*(Inputs!$F$5/1000)^2/4)*((Inputs!$F$5/1000/4)^(2/3))*SQRT(P140))</f>
        <v/>
      </c>
      <c r="AH140" s="14" t="str">
        <f>IF(A140="","",(1/Inputs!$B$9)*(PI()*(Inputs!$F$6/1000)^2/4)*((Inputs!$F$6/1000/4)^(2/3))*SQRT(P140))</f>
        <v/>
      </c>
      <c r="AI140" s="14" t="str">
        <f>IF(A140="","",(1/Inputs!$B$9)*(PI()*(Inputs!$F$7/1000)^2/4)*((Inputs!$F$7/1000/4)^(2/3))*SQRT(P140))</f>
        <v/>
      </c>
      <c r="AJ140" s="14" t="str">
        <f>IF(A140="","",(1/Inputs!$B$9)*(PI()*(Inputs!$F$8/1000)^2/4)*((Inputs!$F$8/1000/4)^(2/3))*SQRT(P140))</f>
        <v/>
      </c>
      <c r="AK140" s="14" t="str">
        <f>IF(A140="","",(1/Inputs!$B$9)*(PI()*(Inputs!$F$9/1000)^2/4)*((Inputs!$F$9/1000/4)^(2/3))*SQRT(P140))</f>
        <v/>
      </c>
      <c r="AL140" s="14" t="str">
        <f>IF(A140="","",(1/Inputs!$B$9)*(PI()*(Inputs!$F$10/1000)^2/4)*((Inputs!$F$10/1000/4)^(2/3))*SQRT(P140))</f>
        <v/>
      </c>
      <c r="AM140" s="14" t="str">
        <f>IF(A140="","",(1/Inputs!$B$9)*(PI()*(Inputs!$F$11/1000)^2/4)*((Inputs!$F$11/1000/4)^(2/3))*SQRT(P140))</f>
        <v/>
      </c>
      <c r="AN140" s="14" t="str">
        <f>IF(A140="","",(1/Inputs!$B$9)*(PI()*(Inputs!$F$12/1000)^2/4)*((Inputs!$F$12/1000/4)^(2/3))*SQRT(P140))</f>
        <v/>
      </c>
      <c r="AO140" s="14" t="str">
        <f>IF(A140="","",(1/Inputs!$B$9)*(PI()*(Inputs!$F$13/1000)^2/4)*((Inputs!$F$13/1000/4)^(2/3))*SQRT(P140))</f>
        <v/>
      </c>
      <c r="AP140" s="14" t="str">
        <f>IF(A140="","",(1/Inputs!$B$9)*(PI()*(Inputs!$F$14/1000)^2/4)*((Inputs!$F$14/1000/4)^(2/3))*SQRT(P140))</f>
        <v/>
      </c>
      <c r="AQ140" s="14" t="str">
        <f t="shared" si="164"/>
        <v/>
      </c>
      <c r="AR140" s="14" t="str">
        <f t="shared" si="165"/>
        <v/>
      </c>
      <c r="AS140" s="17" t="str">
        <f>IF(A140="","",IF(J140="",Inputs!$B$18,J140))</f>
        <v/>
      </c>
      <c r="AT140" s="17" t="str">
        <f>IF(A140="","",IFERROR(_xludf.maxifs($AV$4:$AV$201,$D$4:$D$201,$A140),""))</f>
        <v/>
      </c>
      <c r="AU140" s="17" t="str">
        <f>IF(A140="","",IF(OR(E140="",Inputs!$B$23=""),"",E140/(Inputs!$B$23*60)))</f>
        <v/>
      </c>
      <c r="AV140" s="17" t="str">
        <f t="shared" si="166"/>
        <v/>
      </c>
      <c r="AW140" s="17" t="str">
        <f t="shared" si="167"/>
        <v/>
      </c>
      <c r="AX140" s="17" t="str">
        <f>IF(OR(T140="",P140=""),"",(1/Inputs!$B$9)*((T140/4)^(2/3))*SQRT(P140))</f>
        <v/>
      </c>
      <c r="AY140" s="17" t="str">
        <f>IF(A140="","",IF(AND(AW140="",AX140="",BA140=""),"",IF(OR(UPPER(TRIM(Inputs!$B$24))="MANNING",UPPER(TRIM(Inputs!$B$24))="M"),AX140,IF(OR(UPPER(TRIM(Inputs!$B$24))="PARTIAL",UPPER(TRIM(Inputs!$B$24))="P"),BA140,IF(OR(UPPER(TRIM(Inputs!$B$24))="MAX",UPPER(TRIM(Inputs!$B$24))="X"),MAX(IF(AW140="",0,AW140),IF(AX140="",0,AX140),IF(BA140="",0,BA140)),AW140)))))</f>
        <v/>
      </c>
      <c r="AZ140" s="17" t="str">
        <f t="shared" si="168"/>
        <v/>
      </c>
      <c r="BA140" s="17" t="str">
        <f t="shared" si="169"/>
        <v/>
      </c>
      <c r="BB140" s="14" t="str">
        <f t="shared" si="170"/>
        <v/>
      </c>
      <c r="BC140" s="14" t="str">
        <f>IF(OR(N140="",T140="",P140=""),"",IF(OR(T140="",P140="",(0.94*T140)="",T140&lt;=0,(0.94*T140)&lt;=0),"",(1/Inputs!$B$9)*((T140^2/8)*((2*ACOS(1-2*(0.94*T140)/T140))-SIN((2*ACOS(1-2*(0.94*T140)/T140)))))*((((T140^2/8)*((2*ACOS(1-2*(0.94*T140)/T140))-SIN((2*ACOS(1-2*(0.94*T140)/T140)))))/((T140/2)*((2*ACOS(1-2*(0.94*T140)/T140)))))^(2/3))*SQRT(P140)))</f>
        <v/>
      </c>
      <c r="BD140" s="14" t="str">
        <f t="shared" si="171"/>
        <v/>
      </c>
      <c r="BE140" s="14" t="str">
        <f t="shared" si="172"/>
        <v/>
      </c>
      <c r="BF140" s="14" t="str">
        <f t="shared" si="173"/>
        <v/>
      </c>
      <c r="BG140" s="14" t="str">
        <f>IF(OR(T140="",P140="",BF140="",T140&lt;=0,BF140&lt;=0),"",(1/Inputs!$B$9)*((T140^2/8)*((2*ACOS(1-2*BF140/T140))-SIN((2*ACOS(1-2*BF140/T140)))))*((((T140^2/8)*((2*ACOS(1-2*BF140/T140))-SIN((2*ACOS(1-2*BF140/T140)))))/((T140/2)*((2*ACOS(1-2*BF140/T140)))))^(2/3))*SQRT(P140))</f>
        <v/>
      </c>
      <c r="BH140" s="14" t="str">
        <f t="shared" si="174"/>
        <v/>
      </c>
      <c r="BI140" s="14" t="str">
        <f t="shared" si="175"/>
        <v/>
      </c>
      <c r="BJ140" s="14" t="str">
        <f t="shared" si="176"/>
        <v/>
      </c>
      <c r="BK140" s="14" t="str">
        <f>IF(OR(T140="",P140="",BJ140="",T140&lt;=0,BJ140&lt;=0),"",(1/Inputs!$B$9)*((T140^2/8)*((2*ACOS(1-2*BJ140/T140))-SIN((2*ACOS(1-2*BJ140/T140)))))*((((T140^2/8)*((2*ACOS(1-2*BJ140/T140))-SIN((2*ACOS(1-2*BJ140/T140)))))/((T140/2)*((2*ACOS(1-2*BJ140/T140)))))^(2/3))*SQRT(P140))</f>
        <v/>
      </c>
      <c r="BL140" s="14" t="str">
        <f t="shared" si="177"/>
        <v/>
      </c>
      <c r="BM140" s="14" t="str">
        <f t="shared" si="178"/>
        <v/>
      </c>
      <c r="BN140" s="14" t="str">
        <f t="shared" si="179"/>
        <v/>
      </c>
      <c r="BO140" s="14" t="str">
        <f>IF(OR(T140="",P140="",BN140="",T140&lt;=0,BN140&lt;=0),"",(1/Inputs!$B$9)*((T140^2/8)*((2*ACOS(1-2*BN140/T140))-SIN((2*ACOS(1-2*BN140/T140)))))*((((T140^2/8)*((2*ACOS(1-2*BN140/T140))-SIN((2*ACOS(1-2*BN140/T140)))))/((T140/2)*((2*ACOS(1-2*BN140/T140)))))^(2/3))*SQRT(P140))</f>
        <v/>
      </c>
      <c r="BP140" s="14" t="str">
        <f t="shared" si="180"/>
        <v/>
      </c>
      <c r="BQ140" s="14" t="str">
        <f t="shared" si="181"/>
        <v/>
      </c>
      <c r="BR140" s="14" t="str">
        <f t="shared" si="182"/>
        <v/>
      </c>
      <c r="BS140" s="14" t="str">
        <f>IF(OR(T140="",P140="",BR140="",T140&lt;=0,BR140&lt;=0),"",(1/Inputs!$B$9)*((T140^2/8)*((2*ACOS(1-2*BR140/T140))-SIN((2*ACOS(1-2*BR140/T140)))))*((((T140^2/8)*((2*ACOS(1-2*BR140/T140))-SIN((2*ACOS(1-2*BR140/T140)))))/((T140/2)*((2*ACOS(1-2*BR140/T140)))))^(2/3))*SQRT(P140))</f>
        <v/>
      </c>
      <c r="BT140" s="14" t="str">
        <f t="shared" si="183"/>
        <v/>
      </c>
      <c r="BU140" s="14" t="str">
        <f t="shared" si="184"/>
        <v/>
      </c>
      <c r="BV140" s="14" t="str">
        <f t="shared" si="185"/>
        <v/>
      </c>
      <c r="BW140" s="14" t="str">
        <f>IF(OR(T140="",P140="",BV140="",T140&lt;=0,BV140&lt;=0),"",(1/Inputs!$B$9)*((T140^2/8)*((2*ACOS(1-2*BV140/T140))-SIN((2*ACOS(1-2*BV140/T140)))))*((((T140^2/8)*((2*ACOS(1-2*BV140/T140))-SIN((2*ACOS(1-2*BV140/T140)))))/((T140/2)*((2*ACOS(1-2*BV140/T140)))))^(2/3))*SQRT(P140))</f>
        <v/>
      </c>
      <c r="BX140" s="14" t="str">
        <f t="shared" si="186"/>
        <v/>
      </c>
      <c r="BY140" s="14" t="str">
        <f t="shared" si="187"/>
        <v/>
      </c>
      <c r="BZ140" s="14" t="str">
        <f t="shared" si="188"/>
        <v/>
      </c>
      <c r="CA140" s="14" t="str">
        <f>IF(OR(T140="",P140="",BZ140="",T140&lt;=0,BZ140&lt;=0),"",(1/Inputs!$B$9)*((T140^2/8)*((2*ACOS(1-2*BZ140/T140))-SIN((2*ACOS(1-2*BZ140/T140)))))*((((T140^2/8)*((2*ACOS(1-2*BZ140/T140))-SIN((2*ACOS(1-2*BZ140/T140)))))/((T140/2)*((2*ACOS(1-2*BZ140/T140)))))^(2/3))*SQRT(P140))</f>
        <v/>
      </c>
      <c r="CB140" s="14" t="str">
        <f t="shared" si="189"/>
        <v/>
      </c>
      <c r="CC140" s="14" t="str">
        <f t="shared" si="190"/>
        <v/>
      </c>
      <c r="CD140" s="14" t="str">
        <f t="shared" si="191"/>
        <v/>
      </c>
      <c r="CE140" s="14" t="str">
        <f>IF(OR(T140="",P140="",CD140="",T140&lt;=0,CD140&lt;=0),"",(1/Inputs!$B$9)*((T140^2/8)*((2*ACOS(1-2*CD140/T140))-SIN((2*ACOS(1-2*CD140/T140)))))*((((T140^2/8)*((2*ACOS(1-2*CD140/T140))-SIN((2*ACOS(1-2*CD140/T140)))))/((T140/2)*((2*ACOS(1-2*CD140/T140)))))^(2/3))*SQRT(P140))</f>
        <v/>
      </c>
      <c r="CF140" s="14" t="str">
        <f t="shared" si="192"/>
        <v/>
      </c>
      <c r="CG140" s="14" t="str">
        <f t="shared" si="193"/>
        <v/>
      </c>
      <c r="CH140" s="14" t="str">
        <f t="shared" si="194"/>
        <v/>
      </c>
    </row>
    <row r="141" spans="1:86" x14ac:dyDescent="0.25">
      <c r="A141" s="14"/>
      <c r="B141" s="14"/>
      <c r="C141" s="14"/>
      <c r="D141" s="14"/>
      <c r="E141" s="44"/>
      <c r="F141" s="44"/>
      <c r="G141" s="44">
        <f>SUMIFS(CB_plan!$G:$G,CB_plan!$F:$F,$A141)</f>
        <v>0</v>
      </c>
      <c r="H141" s="44">
        <f t="shared" si="156"/>
        <v>0</v>
      </c>
      <c r="I141" s="14"/>
      <c r="J141" s="44"/>
      <c r="K141" s="44" t="str">
        <f>IF(A141="","",Inputs!$B$13/((IF(AV141="",Inputs!$B$18,AV141)+Inputs!$B$14)^Inputs!$B$15))</f>
        <v/>
      </c>
      <c r="L141" s="44" t="str">
        <f>IF(A141="","",IF(H141="","",0.000000278*IF(I141&lt;&gt;"",I141,IFERROR(SUMIFS(CB_plan!$H:$H,CB_plan!$F:$F,$A141)/SUMIFS(CB_plan!$G:$G,CB_plan!$F:$F,$A141),Inputs!$B$17))*H141*K141))</f>
        <v/>
      </c>
      <c r="M141" s="44" t="str">
        <f t="shared" si="157"/>
        <v/>
      </c>
      <c r="N141" s="44" t="str">
        <f>IF(A141="","",(L141+M141)*Inputs!$B$16)</f>
        <v/>
      </c>
      <c r="O141" s="44"/>
      <c r="P141" s="44" t="str">
        <f>IF(A141="","",IF(O141="",Inputs!$B$7,O141))</f>
        <v/>
      </c>
      <c r="Q141" s="14" t="str">
        <f>IF(A141="","",IF(N141/Inputs!$B$10&lt;=AG141,Inputs!$F$5,IF(N141/Inputs!$B$10&gt;AP141,"OVERSIZE",INDEX(Inputs!$F$5:$F$14,MATCH(N141/Inputs!$B$10,AG141:AP141,1)+1))))</f>
        <v/>
      </c>
      <c r="R141" s="14"/>
      <c r="S141" s="14" t="str">
        <f t="shared" si="158"/>
        <v/>
      </c>
      <c r="T141" s="44" t="str">
        <f t="shared" si="159"/>
        <v/>
      </c>
      <c r="U141" s="44" t="str">
        <f>IF(T141="","",(1/Inputs!$B$9)*(PI()*T141^2/4)*((T141/4)^(2/3))*SQRT(P141))</f>
        <v/>
      </c>
      <c r="V141" s="44" t="str">
        <f>IF(OR(U141="",N141=""),"",N141/(U141*Inputs!$B$10))</f>
        <v/>
      </c>
      <c r="W141" s="44" t="str">
        <f t="shared" si="160"/>
        <v/>
      </c>
      <c r="X141" s="44"/>
      <c r="Y141" s="44" t="str">
        <f>IF(A141="","",IF(A141=Inputs!$B$6,Inputs!$B$22,IF(D141="","",IFERROR(INDEX($Z$4:$Z$201,MATCH(D141,$A$4:$A$201,0))+IF(X141="",Inputs!$B$20,X141),""))))</f>
        <v/>
      </c>
      <c r="Z141" s="44" t="str">
        <f t="shared" si="161"/>
        <v/>
      </c>
      <c r="AA141" s="44" t="str">
        <f>IF(C141="","",IFERROR(INDEX(Noeuds_plan!$C$4:$C$200,MATCH(C141,Noeuds_plan!$A$4:$A$200,0)),""))</f>
        <v/>
      </c>
      <c r="AB141" s="44" t="str">
        <f>IF(B141="","",IFERROR(INDEX(Noeuds_plan!$C$4:$C$200,MATCH(B141,Noeuds_plan!$A$4:$A$200,0)),""))</f>
        <v/>
      </c>
      <c r="AC141" s="44" t="str">
        <f t="shared" si="162"/>
        <v/>
      </c>
      <c r="AD141" s="44" t="str">
        <f t="shared" si="163"/>
        <v/>
      </c>
      <c r="AE141" s="14" t="str">
        <f>IF(A141="","",IF(OR(V141&gt;1,AND(AY141&lt;&gt;"",AY141&lt;Inputs!$B$11),AND(AY141&lt;&gt;"",AY141&gt;Inputs!$B$12),AC141&lt;Inputs!$B$19,AD141&lt;Inputs!$B$19,P141&lt;Inputs!$B$7,P141&gt;Inputs!$B$8),"CHECK","OK"))</f>
        <v/>
      </c>
      <c r="AF141" s="14"/>
      <c r="AG141" s="14" t="str">
        <f>IF(A141="","",(1/Inputs!$B$9)*(PI()*(Inputs!$F$5/1000)^2/4)*((Inputs!$F$5/1000/4)^(2/3))*SQRT(P141))</f>
        <v/>
      </c>
      <c r="AH141" s="14" t="str">
        <f>IF(A141="","",(1/Inputs!$B$9)*(PI()*(Inputs!$F$6/1000)^2/4)*((Inputs!$F$6/1000/4)^(2/3))*SQRT(P141))</f>
        <v/>
      </c>
      <c r="AI141" s="14" t="str">
        <f>IF(A141="","",(1/Inputs!$B$9)*(PI()*(Inputs!$F$7/1000)^2/4)*((Inputs!$F$7/1000/4)^(2/3))*SQRT(P141))</f>
        <v/>
      </c>
      <c r="AJ141" s="14" t="str">
        <f>IF(A141="","",(1/Inputs!$B$9)*(PI()*(Inputs!$F$8/1000)^2/4)*((Inputs!$F$8/1000/4)^(2/3))*SQRT(P141))</f>
        <v/>
      </c>
      <c r="AK141" s="14" t="str">
        <f>IF(A141="","",(1/Inputs!$B$9)*(PI()*(Inputs!$F$9/1000)^2/4)*((Inputs!$F$9/1000/4)^(2/3))*SQRT(P141))</f>
        <v/>
      </c>
      <c r="AL141" s="14" t="str">
        <f>IF(A141="","",(1/Inputs!$B$9)*(PI()*(Inputs!$F$10/1000)^2/4)*((Inputs!$F$10/1000/4)^(2/3))*SQRT(P141))</f>
        <v/>
      </c>
      <c r="AM141" s="14" t="str">
        <f>IF(A141="","",(1/Inputs!$B$9)*(PI()*(Inputs!$F$11/1000)^2/4)*((Inputs!$F$11/1000/4)^(2/3))*SQRT(P141))</f>
        <v/>
      </c>
      <c r="AN141" s="14" t="str">
        <f>IF(A141="","",(1/Inputs!$B$9)*(PI()*(Inputs!$F$12/1000)^2/4)*((Inputs!$F$12/1000/4)^(2/3))*SQRT(P141))</f>
        <v/>
      </c>
      <c r="AO141" s="14" t="str">
        <f>IF(A141="","",(1/Inputs!$B$9)*(PI()*(Inputs!$F$13/1000)^2/4)*((Inputs!$F$13/1000/4)^(2/3))*SQRT(P141))</f>
        <v/>
      </c>
      <c r="AP141" s="14" t="str">
        <f>IF(A141="","",(1/Inputs!$B$9)*(PI()*(Inputs!$F$14/1000)^2/4)*((Inputs!$F$14/1000/4)^(2/3))*SQRT(P141))</f>
        <v/>
      </c>
      <c r="AQ141" s="14" t="str">
        <f t="shared" si="164"/>
        <v/>
      </c>
      <c r="AR141" s="14" t="str">
        <f t="shared" si="165"/>
        <v/>
      </c>
      <c r="AS141" s="17" t="str">
        <f>IF(A141="","",IF(J141="",Inputs!$B$18,J141))</f>
        <v/>
      </c>
      <c r="AT141" s="17" t="str">
        <f>IF(A141="","",IFERROR(_xludf.maxifs($AV$4:$AV$201,$D$4:$D$201,$A141),""))</f>
        <v/>
      </c>
      <c r="AU141" s="17" t="str">
        <f>IF(A141="","",IF(OR(E141="",Inputs!$B$23=""),"",E141/(Inputs!$B$23*60)))</f>
        <v/>
      </c>
      <c r="AV141" s="17" t="str">
        <f t="shared" si="166"/>
        <v/>
      </c>
      <c r="AW141" s="17" t="str">
        <f t="shared" si="167"/>
        <v/>
      </c>
      <c r="AX141" s="17" t="str">
        <f>IF(OR(T141="",P141=""),"",(1/Inputs!$B$9)*((T141/4)^(2/3))*SQRT(P141))</f>
        <v/>
      </c>
      <c r="AY141" s="17" t="str">
        <f>IF(A141="","",IF(AND(AW141="",AX141="",BA141=""),"",IF(OR(UPPER(TRIM(Inputs!$B$24))="MANNING",UPPER(TRIM(Inputs!$B$24))="M"),AX141,IF(OR(UPPER(TRIM(Inputs!$B$24))="PARTIAL",UPPER(TRIM(Inputs!$B$24))="P"),BA141,IF(OR(UPPER(TRIM(Inputs!$B$24))="MAX",UPPER(TRIM(Inputs!$B$24))="X"),MAX(IF(AW141="",0,AW141),IF(AX141="",0,AX141),IF(BA141="",0,BA141)),AW141)))))</f>
        <v/>
      </c>
      <c r="AZ141" s="17" t="str">
        <f t="shared" si="168"/>
        <v/>
      </c>
      <c r="BA141" s="17" t="str">
        <f t="shared" si="169"/>
        <v/>
      </c>
      <c r="BB141" s="14" t="str">
        <f t="shared" si="170"/>
        <v/>
      </c>
      <c r="BC141" s="14" t="str">
        <f>IF(OR(N141="",T141="",P141=""),"",IF(OR(T141="",P141="",(0.94*T141)="",T141&lt;=0,(0.94*T141)&lt;=0),"",(1/Inputs!$B$9)*((T141^2/8)*((2*ACOS(1-2*(0.94*T141)/T141))-SIN((2*ACOS(1-2*(0.94*T141)/T141)))))*((((T141^2/8)*((2*ACOS(1-2*(0.94*T141)/T141))-SIN((2*ACOS(1-2*(0.94*T141)/T141)))))/((T141/2)*((2*ACOS(1-2*(0.94*T141)/T141)))))^(2/3))*SQRT(P141)))</f>
        <v/>
      </c>
      <c r="BD141" s="14" t="str">
        <f t="shared" si="171"/>
        <v/>
      </c>
      <c r="BE141" s="14" t="str">
        <f t="shared" si="172"/>
        <v/>
      </c>
      <c r="BF141" s="14" t="str">
        <f t="shared" si="173"/>
        <v/>
      </c>
      <c r="BG141" s="14" t="str">
        <f>IF(OR(T141="",P141="",BF141="",T141&lt;=0,BF141&lt;=0),"",(1/Inputs!$B$9)*((T141^2/8)*((2*ACOS(1-2*BF141/T141))-SIN((2*ACOS(1-2*BF141/T141)))))*((((T141^2/8)*((2*ACOS(1-2*BF141/T141))-SIN((2*ACOS(1-2*BF141/T141)))))/((T141/2)*((2*ACOS(1-2*BF141/T141)))))^(2/3))*SQRT(P141))</f>
        <v/>
      </c>
      <c r="BH141" s="14" t="str">
        <f t="shared" si="174"/>
        <v/>
      </c>
      <c r="BI141" s="14" t="str">
        <f t="shared" si="175"/>
        <v/>
      </c>
      <c r="BJ141" s="14" t="str">
        <f t="shared" si="176"/>
        <v/>
      </c>
      <c r="BK141" s="14" t="str">
        <f>IF(OR(T141="",P141="",BJ141="",T141&lt;=0,BJ141&lt;=0),"",(1/Inputs!$B$9)*((T141^2/8)*((2*ACOS(1-2*BJ141/T141))-SIN((2*ACOS(1-2*BJ141/T141)))))*((((T141^2/8)*((2*ACOS(1-2*BJ141/T141))-SIN((2*ACOS(1-2*BJ141/T141)))))/((T141/2)*((2*ACOS(1-2*BJ141/T141)))))^(2/3))*SQRT(P141))</f>
        <v/>
      </c>
      <c r="BL141" s="14" t="str">
        <f t="shared" si="177"/>
        <v/>
      </c>
      <c r="BM141" s="14" t="str">
        <f t="shared" si="178"/>
        <v/>
      </c>
      <c r="BN141" s="14" t="str">
        <f t="shared" si="179"/>
        <v/>
      </c>
      <c r="BO141" s="14" t="str">
        <f>IF(OR(T141="",P141="",BN141="",T141&lt;=0,BN141&lt;=0),"",(1/Inputs!$B$9)*((T141^2/8)*((2*ACOS(1-2*BN141/T141))-SIN((2*ACOS(1-2*BN141/T141)))))*((((T141^2/8)*((2*ACOS(1-2*BN141/T141))-SIN((2*ACOS(1-2*BN141/T141)))))/((T141/2)*((2*ACOS(1-2*BN141/T141)))))^(2/3))*SQRT(P141))</f>
        <v/>
      </c>
      <c r="BP141" s="14" t="str">
        <f t="shared" si="180"/>
        <v/>
      </c>
      <c r="BQ141" s="14" t="str">
        <f t="shared" si="181"/>
        <v/>
      </c>
      <c r="BR141" s="14" t="str">
        <f t="shared" si="182"/>
        <v/>
      </c>
      <c r="BS141" s="14" t="str">
        <f>IF(OR(T141="",P141="",BR141="",T141&lt;=0,BR141&lt;=0),"",(1/Inputs!$B$9)*((T141^2/8)*((2*ACOS(1-2*BR141/T141))-SIN((2*ACOS(1-2*BR141/T141)))))*((((T141^2/8)*((2*ACOS(1-2*BR141/T141))-SIN((2*ACOS(1-2*BR141/T141)))))/((T141/2)*((2*ACOS(1-2*BR141/T141)))))^(2/3))*SQRT(P141))</f>
        <v/>
      </c>
      <c r="BT141" s="14" t="str">
        <f t="shared" si="183"/>
        <v/>
      </c>
      <c r="BU141" s="14" t="str">
        <f t="shared" si="184"/>
        <v/>
      </c>
      <c r="BV141" s="14" t="str">
        <f t="shared" si="185"/>
        <v/>
      </c>
      <c r="BW141" s="14" t="str">
        <f>IF(OR(T141="",P141="",BV141="",T141&lt;=0,BV141&lt;=0),"",(1/Inputs!$B$9)*((T141^2/8)*((2*ACOS(1-2*BV141/T141))-SIN((2*ACOS(1-2*BV141/T141)))))*((((T141^2/8)*((2*ACOS(1-2*BV141/T141))-SIN((2*ACOS(1-2*BV141/T141)))))/((T141/2)*((2*ACOS(1-2*BV141/T141)))))^(2/3))*SQRT(P141))</f>
        <v/>
      </c>
      <c r="BX141" s="14" t="str">
        <f t="shared" si="186"/>
        <v/>
      </c>
      <c r="BY141" s="14" t="str">
        <f t="shared" si="187"/>
        <v/>
      </c>
      <c r="BZ141" s="14" t="str">
        <f t="shared" si="188"/>
        <v/>
      </c>
      <c r="CA141" s="14" t="str">
        <f>IF(OR(T141="",P141="",BZ141="",T141&lt;=0,BZ141&lt;=0),"",(1/Inputs!$B$9)*((T141^2/8)*((2*ACOS(1-2*BZ141/T141))-SIN((2*ACOS(1-2*BZ141/T141)))))*((((T141^2/8)*((2*ACOS(1-2*BZ141/T141))-SIN((2*ACOS(1-2*BZ141/T141)))))/((T141/2)*((2*ACOS(1-2*BZ141/T141)))))^(2/3))*SQRT(P141))</f>
        <v/>
      </c>
      <c r="CB141" s="14" t="str">
        <f t="shared" si="189"/>
        <v/>
      </c>
      <c r="CC141" s="14" t="str">
        <f t="shared" si="190"/>
        <v/>
      </c>
      <c r="CD141" s="14" t="str">
        <f t="shared" si="191"/>
        <v/>
      </c>
      <c r="CE141" s="14" t="str">
        <f>IF(OR(T141="",P141="",CD141="",T141&lt;=0,CD141&lt;=0),"",(1/Inputs!$B$9)*((T141^2/8)*((2*ACOS(1-2*CD141/T141))-SIN((2*ACOS(1-2*CD141/T141)))))*((((T141^2/8)*((2*ACOS(1-2*CD141/T141))-SIN((2*ACOS(1-2*CD141/T141)))))/((T141/2)*((2*ACOS(1-2*CD141/T141)))))^(2/3))*SQRT(P141))</f>
        <v/>
      </c>
      <c r="CF141" s="14" t="str">
        <f t="shared" si="192"/>
        <v/>
      </c>
      <c r="CG141" s="14" t="str">
        <f t="shared" si="193"/>
        <v/>
      </c>
      <c r="CH141" s="14" t="str">
        <f t="shared" si="194"/>
        <v/>
      </c>
    </row>
    <row r="142" spans="1:86" x14ac:dyDescent="0.25">
      <c r="A142" s="14"/>
      <c r="B142" s="14"/>
      <c r="C142" s="14"/>
      <c r="D142" s="14"/>
      <c r="E142" s="44"/>
      <c r="F142" s="44"/>
      <c r="G142" s="44">
        <f>SUMIFS(CB_plan!$G:$G,CB_plan!$F:$F,$A142)</f>
        <v>0</v>
      </c>
      <c r="H142" s="44">
        <f t="shared" si="156"/>
        <v>0</v>
      </c>
      <c r="I142" s="14"/>
      <c r="J142" s="44"/>
      <c r="K142" s="44" t="str">
        <f>IF(A142="","",Inputs!$B$13/((IF(AV142="",Inputs!$B$18,AV142)+Inputs!$B$14)^Inputs!$B$15))</f>
        <v/>
      </c>
      <c r="L142" s="44" t="str">
        <f>IF(A142="","",IF(H142="","",0.000000278*IF(I142&lt;&gt;"",I142,IFERROR(SUMIFS(CB_plan!$H:$H,CB_plan!$F:$F,$A142)/SUMIFS(CB_plan!$G:$G,CB_plan!$F:$F,$A142),Inputs!$B$17))*H142*K142))</f>
        <v/>
      </c>
      <c r="M142" s="44" t="str">
        <f t="shared" si="157"/>
        <v/>
      </c>
      <c r="N142" s="44" t="str">
        <f>IF(A142="","",(L142+M142)*Inputs!$B$16)</f>
        <v/>
      </c>
      <c r="O142" s="44"/>
      <c r="P142" s="44" t="str">
        <f>IF(A142="","",IF(O142="",Inputs!$B$7,O142))</f>
        <v/>
      </c>
      <c r="Q142" s="14" t="str">
        <f>IF(A142="","",IF(N142/Inputs!$B$10&lt;=AG142,Inputs!$F$5,IF(N142/Inputs!$B$10&gt;AP142,"OVERSIZE",INDEX(Inputs!$F$5:$F$14,MATCH(N142/Inputs!$B$10,AG142:AP142,1)+1))))</f>
        <v/>
      </c>
      <c r="R142" s="14"/>
      <c r="S142" s="14" t="str">
        <f t="shared" si="158"/>
        <v/>
      </c>
      <c r="T142" s="44" t="str">
        <f t="shared" si="159"/>
        <v/>
      </c>
      <c r="U142" s="44" t="str">
        <f>IF(T142="","",(1/Inputs!$B$9)*(PI()*T142^2/4)*((T142/4)^(2/3))*SQRT(P142))</f>
        <v/>
      </c>
      <c r="V142" s="44" t="str">
        <f>IF(OR(U142="",N142=""),"",N142/(U142*Inputs!$B$10))</f>
        <v/>
      </c>
      <c r="W142" s="44" t="str">
        <f t="shared" si="160"/>
        <v/>
      </c>
      <c r="X142" s="44"/>
      <c r="Y142" s="44" t="str">
        <f>IF(A142="","",IF(A142=Inputs!$B$6,Inputs!$B$22,IF(D142="","",IFERROR(INDEX($Z$4:$Z$201,MATCH(D142,$A$4:$A$201,0))+IF(X142="",Inputs!$B$20,X142),""))))</f>
        <v/>
      </c>
      <c r="Z142" s="44" t="str">
        <f t="shared" si="161"/>
        <v/>
      </c>
      <c r="AA142" s="44" t="str">
        <f>IF(C142="","",IFERROR(INDEX(Noeuds_plan!$C$4:$C$200,MATCH(C142,Noeuds_plan!$A$4:$A$200,0)),""))</f>
        <v/>
      </c>
      <c r="AB142" s="44" t="str">
        <f>IF(B142="","",IFERROR(INDEX(Noeuds_plan!$C$4:$C$200,MATCH(B142,Noeuds_plan!$A$4:$A$200,0)),""))</f>
        <v/>
      </c>
      <c r="AC142" s="44" t="str">
        <f t="shared" si="162"/>
        <v/>
      </c>
      <c r="AD142" s="44" t="str">
        <f t="shared" si="163"/>
        <v/>
      </c>
      <c r="AE142" s="14" t="str">
        <f>IF(A142="","",IF(OR(V142&gt;1,AND(AY142&lt;&gt;"",AY142&lt;Inputs!$B$11),AND(AY142&lt;&gt;"",AY142&gt;Inputs!$B$12),AC142&lt;Inputs!$B$19,AD142&lt;Inputs!$B$19,P142&lt;Inputs!$B$7,P142&gt;Inputs!$B$8),"CHECK","OK"))</f>
        <v/>
      </c>
      <c r="AF142" s="14"/>
      <c r="AG142" s="14" t="str">
        <f>IF(A142="","",(1/Inputs!$B$9)*(PI()*(Inputs!$F$5/1000)^2/4)*((Inputs!$F$5/1000/4)^(2/3))*SQRT(P142))</f>
        <v/>
      </c>
      <c r="AH142" s="14" t="str">
        <f>IF(A142="","",(1/Inputs!$B$9)*(PI()*(Inputs!$F$6/1000)^2/4)*((Inputs!$F$6/1000/4)^(2/3))*SQRT(P142))</f>
        <v/>
      </c>
      <c r="AI142" s="14" t="str">
        <f>IF(A142="","",(1/Inputs!$B$9)*(PI()*(Inputs!$F$7/1000)^2/4)*((Inputs!$F$7/1000/4)^(2/3))*SQRT(P142))</f>
        <v/>
      </c>
      <c r="AJ142" s="14" t="str">
        <f>IF(A142="","",(1/Inputs!$B$9)*(PI()*(Inputs!$F$8/1000)^2/4)*((Inputs!$F$8/1000/4)^(2/3))*SQRT(P142))</f>
        <v/>
      </c>
      <c r="AK142" s="14" t="str">
        <f>IF(A142="","",(1/Inputs!$B$9)*(PI()*(Inputs!$F$9/1000)^2/4)*((Inputs!$F$9/1000/4)^(2/3))*SQRT(P142))</f>
        <v/>
      </c>
      <c r="AL142" s="14" t="str">
        <f>IF(A142="","",(1/Inputs!$B$9)*(PI()*(Inputs!$F$10/1000)^2/4)*((Inputs!$F$10/1000/4)^(2/3))*SQRT(P142))</f>
        <v/>
      </c>
      <c r="AM142" s="14" t="str">
        <f>IF(A142="","",(1/Inputs!$B$9)*(PI()*(Inputs!$F$11/1000)^2/4)*((Inputs!$F$11/1000/4)^(2/3))*SQRT(P142))</f>
        <v/>
      </c>
      <c r="AN142" s="14" t="str">
        <f>IF(A142="","",(1/Inputs!$B$9)*(PI()*(Inputs!$F$12/1000)^2/4)*((Inputs!$F$12/1000/4)^(2/3))*SQRT(P142))</f>
        <v/>
      </c>
      <c r="AO142" s="14" t="str">
        <f>IF(A142="","",(1/Inputs!$B$9)*(PI()*(Inputs!$F$13/1000)^2/4)*((Inputs!$F$13/1000/4)^(2/3))*SQRT(P142))</f>
        <v/>
      </c>
      <c r="AP142" s="14" t="str">
        <f>IF(A142="","",(1/Inputs!$B$9)*(PI()*(Inputs!$F$14/1000)^2/4)*((Inputs!$F$14/1000/4)^(2/3))*SQRT(P142))</f>
        <v/>
      </c>
      <c r="AQ142" s="14" t="str">
        <f t="shared" si="164"/>
        <v/>
      </c>
      <c r="AR142" s="14" t="str">
        <f t="shared" si="165"/>
        <v/>
      </c>
      <c r="AS142" s="17" t="str">
        <f>IF(A142="","",IF(J142="",Inputs!$B$18,J142))</f>
        <v/>
      </c>
      <c r="AT142" s="17" t="str">
        <f>IF(A142="","",IFERROR(_xludf.maxifs($AV$4:$AV$201,$D$4:$D$201,$A142),""))</f>
        <v/>
      </c>
      <c r="AU142" s="17" t="str">
        <f>IF(A142="","",IF(OR(E142="",Inputs!$B$23=""),"",E142/(Inputs!$B$23*60)))</f>
        <v/>
      </c>
      <c r="AV142" s="17" t="str">
        <f t="shared" si="166"/>
        <v/>
      </c>
      <c r="AW142" s="17" t="str">
        <f t="shared" si="167"/>
        <v/>
      </c>
      <c r="AX142" s="17" t="str">
        <f>IF(OR(T142="",P142=""),"",(1/Inputs!$B$9)*((T142/4)^(2/3))*SQRT(P142))</f>
        <v/>
      </c>
      <c r="AY142" s="17" t="str">
        <f>IF(A142="","",IF(AND(AW142="",AX142="",BA142=""),"",IF(OR(UPPER(TRIM(Inputs!$B$24))="MANNING",UPPER(TRIM(Inputs!$B$24))="M"),AX142,IF(OR(UPPER(TRIM(Inputs!$B$24))="PARTIAL",UPPER(TRIM(Inputs!$B$24))="P"),BA142,IF(OR(UPPER(TRIM(Inputs!$B$24))="MAX",UPPER(TRIM(Inputs!$B$24))="X"),MAX(IF(AW142="",0,AW142),IF(AX142="",0,AX142),IF(BA142="",0,BA142)),AW142)))))</f>
        <v/>
      </c>
      <c r="AZ142" s="17" t="str">
        <f t="shared" si="168"/>
        <v/>
      </c>
      <c r="BA142" s="17" t="str">
        <f t="shared" si="169"/>
        <v/>
      </c>
      <c r="BB142" s="14" t="str">
        <f t="shared" si="170"/>
        <v/>
      </c>
      <c r="BC142" s="14" t="str">
        <f>IF(OR(N142="",T142="",P142=""),"",IF(OR(T142="",P142="",(0.94*T142)="",T142&lt;=0,(0.94*T142)&lt;=0),"",(1/Inputs!$B$9)*((T142^2/8)*((2*ACOS(1-2*(0.94*T142)/T142))-SIN((2*ACOS(1-2*(0.94*T142)/T142)))))*((((T142^2/8)*((2*ACOS(1-2*(0.94*T142)/T142))-SIN((2*ACOS(1-2*(0.94*T142)/T142)))))/((T142/2)*((2*ACOS(1-2*(0.94*T142)/T142)))))^(2/3))*SQRT(P142)))</f>
        <v/>
      </c>
      <c r="BD142" s="14" t="str">
        <f t="shared" si="171"/>
        <v/>
      </c>
      <c r="BE142" s="14" t="str">
        <f t="shared" si="172"/>
        <v/>
      </c>
      <c r="BF142" s="14" t="str">
        <f t="shared" si="173"/>
        <v/>
      </c>
      <c r="BG142" s="14" t="str">
        <f>IF(OR(T142="",P142="",BF142="",T142&lt;=0,BF142&lt;=0),"",(1/Inputs!$B$9)*((T142^2/8)*((2*ACOS(1-2*BF142/T142))-SIN((2*ACOS(1-2*BF142/T142)))))*((((T142^2/8)*((2*ACOS(1-2*BF142/T142))-SIN((2*ACOS(1-2*BF142/T142)))))/((T142/2)*((2*ACOS(1-2*BF142/T142)))))^(2/3))*SQRT(P142))</f>
        <v/>
      </c>
      <c r="BH142" s="14" t="str">
        <f t="shared" si="174"/>
        <v/>
      </c>
      <c r="BI142" s="14" t="str">
        <f t="shared" si="175"/>
        <v/>
      </c>
      <c r="BJ142" s="14" t="str">
        <f t="shared" si="176"/>
        <v/>
      </c>
      <c r="BK142" s="14" t="str">
        <f>IF(OR(T142="",P142="",BJ142="",T142&lt;=0,BJ142&lt;=0),"",(1/Inputs!$B$9)*((T142^2/8)*((2*ACOS(1-2*BJ142/T142))-SIN((2*ACOS(1-2*BJ142/T142)))))*((((T142^2/8)*((2*ACOS(1-2*BJ142/T142))-SIN((2*ACOS(1-2*BJ142/T142)))))/((T142/2)*((2*ACOS(1-2*BJ142/T142)))))^(2/3))*SQRT(P142))</f>
        <v/>
      </c>
      <c r="BL142" s="14" t="str">
        <f t="shared" si="177"/>
        <v/>
      </c>
      <c r="BM142" s="14" t="str">
        <f t="shared" si="178"/>
        <v/>
      </c>
      <c r="BN142" s="14" t="str">
        <f t="shared" si="179"/>
        <v/>
      </c>
      <c r="BO142" s="14" t="str">
        <f>IF(OR(T142="",P142="",BN142="",T142&lt;=0,BN142&lt;=0),"",(1/Inputs!$B$9)*((T142^2/8)*((2*ACOS(1-2*BN142/T142))-SIN((2*ACOS(1-2*BN142/T142)))))*((((T142^2/8)*((2*ACOS(1-2*BN142/T142))-SIN((2*ACOS(1-2*BN142/T142)))))/((T142/2)*((2*ACOS(1-2*BN142/T142)))))^(2/3))*SQRT(P142))</f>
        <v/>
      </c>
      <c r="BP142" s="14" t="str">
        <f t="shared" si="180"/>
        <v/>
      </c>
      <c r="BQ142" s="14" t="str">
        <f t="shared" si="181"/>
        <v/>
      </c>
      <c r="BR142" s="14" t="str">
        <f t="shared" si="182"/>
        <v/>
      </c>
      <c r="BS142" s="14" t="str">
        <f>IF(OR(T142="",P142="",BR142="",T142&lt;=0,BR142&lt;=0),"",(1/Inputs!$B$9)*((T142^2/8)*((2*ACOS(1-2*BR142/T142))-SIN((2*ACOS(1-2*BR142/T142)))))*((((T142^2/8)*((2*ACOS(1-2*BR142/T142))-SIN((2*ACOS(1-2*BR142/T142)))))/((T142/2)*((2*ACOS(1-2*BR142/T142)))))^(2/3))*SQRT(P142))</f>
        <v/>
      </c>
      <c r="BT142" s="14" t="str">
        <f t="shared" si="183"/>
        <v/>
      </c>
      <c r="BU142" s="14" t="str">
        <f t="shared" si="184"/>
        <v/>
      </c>
      <c r="BV142" s="14" t="str">
        <f t="shared" si="185"/>
        <v/>
      </c>
      <c r="BW142" s="14" t="str">
        <f>IF(OR(T142="",P142="",BV142="",T142&lt;=0,BV142&lt;=0),"",(1/Inputs!$B$9)*((T142^2/8)*((2*ACOS(1-2*BV142/T142))-SIN((2*ACOS(1-2*BV142/T142)))))*((((T142^2/8)*((2*ACOS(1-2*BV142/T142))-SIN((2*ACOS(1-2*BV142/T142)))))/((T142/2)*((2*ACOS(1-2*BV142/T142)))))^(2/3))*SQRT(P142))</f>
        <v/>
      </c>
      <c r="BX142" s="14" t="str">
        <f t="shared" si="186"/>
        <v/>
      </c>
      <c r="BY142" s="14" t="str">
        <f t="shared" si="187"/>
        <v/>
      </c>
      <c r="BZ142" s="14" t="str">
        <f t="shared" si="188"/>
        <v/>
      </c>
      <c r="CA142" s="14" t="str">
        <f>IF(OR(T142="",P142="",BZ142="",T142&lt;=0,BZ142&lt;=0),"",(1/Inputs!$B$9)*((T142^2/8)*((2*ACOS(1-2*BZ142/T142))-SIN((2*ACOS(1-2*BZ142/T142)))))*((((T142^2/8)*((2*ACOS(1-2*BZ142/T142))-SIN((2*ACOS(1-2*BZ142/T142)))))/((T142/2)*((2*ACOS(1-2*BZ142/T142)))))^(2/3))*SQRT(P142))</f>
        <v/>
      </c>
      <c r="CB142" s="14" t="str">
        <f t="shared" si="189"/>
        <v/>
      </c>
      <c r="CC142" s="14" t="str">
        <f t="shared" si="190"/>
        <v/>
      </c>
      <c r="CD142" s="14" t="str">
        <f t="shared" si="191"/>
        <v/>
      </c>
      <c r="CE142" s="14" t="str">
        <f>IF(OR(T142="",P142="",CD142="",T142&lt;=0,CD142&lt;=0),"",(1/Inputs!$B$9)*((T142^2/8)*((2*ACOS(1-2*CD142/T142))-SIN((2*ACOS(1-2*CD142/T142)))))*((((T142^2/8)*((2*ACOS(1-2*CD142/T142))-SIN((2*ACOS(1-2*CD142/T142)))))/((T142/2)*((2*ACOS(1-2*CD142/T142)))))^(2/3))*SQRT(P142))</f>
        <v/>
      </c>
      <c r="CF142" s="14" t="str">
        <f t="shared" si="192"/>
        <v/>
      </c>
      <c r="CG142" s="14" t="str">
        <f t="shared" si="193"/>
        <v/>
      </c>
      <c r="CH142" s="14" t="str">
        <f t="shared" si="194"/>
        <v/>
      </c>
    </row>
    <row r="143" spans="1:86" x14ac:dyDescent="0.25">
      <c r="A143" s="14"/>
      <c r="B143" s="14"/>
      <c r="C143" s="14"/>
      <c r="D143" s="14"/>
      <c r="E143" s="44"/>
      <c r="F143" s="44"/>
      <c r="G143" s="44">
        <f>SUMIFS(CB_plan!$G:$G,CB_plan!$F:$F,$A143)</f>
        <v>0</v>
      </c>
      <c r="H143" s="44">
        <f t="shared" si="156"/>
        <v>0</v>
      </c>
      <c r="I143" s="14"/>
      <c r="J143" s="44"/>
      <c r="K143" s="44" t="str">
        <f>IF(A143="","",Inputs!$B$13/((IF(AV143="",Inputs!$B$18,AV143)+Inputs!$B$14)^Inputs!$B$15))</f>
        <v/>
      </c>
      <c r="L143" s="44" t="str">
        <f>IF(A143="","",IF(H143="","",0.000000278*IF(I143&lt;&gt;"",I143,IFERROR(SUMIFS(CB_plan!$H:$H,CB_plan!$F:$F,$A143)/SUMIFS(CB_plan!$G:$G,CB_plan!$F:$F,$A143),Inputs!$B$17))*H143*K143))</f>
        <v/>
      </c>
      <c r="M143" s="44" t="str">
        <f t="shared" si="157"/>
        <v/>
      </c>
      <c r="N143" s="44" t="str">
        <f>IF(A143="","",(L143+M143)*Inputs!$B$16)</f>
        <v/>
      </c>
      <c r="O143" s="44"/>
      <c r="P143" s="44" t="str">
        <f>IF(A143="","",IF(O143="",Inputs!$B$7,O143))</f>
        <v/>
      </c>
      <c r="Q143" s="14" t="str">
        <f>IF(A143="","",IF(N143/Inputs!$B$10&lt;=AG143,Inputs!$F$5,IF(N143/Inputs!$B$10&gt;AP143,"OVERSIZE",INDEX(Inputs!$F$5:$F$14,MATCH(N143/Inputs!$B$10,AG143:AP143,1)+1))))</f>
        <v/>
      </c>
      <c r="R143" s="14"/>
      <c r="S143" s="14" t="str">
        <f t="shared" si="158"/>
        <v/>
      </c>
      <c r="T143" s="44" t="str">
        <f t="shared" si="159"/>
        <v/>
      </c>
      <c r="U143" s="44" t="str">
        <f>IF(T143="","",(1/Inputs!$B$9)*(PI()*T143^2/4)*((T143/4)^(2/3))*SQRT(P143))</f>
        <v/>
      </c>
      <c r="V143" s="44" t="str">
        <f>IF(OR(U143="",N143=""),"",N143/(U143*Inputs!$B$10))</f>
        <v/>
      </c>
      <c r="W143" s="44" t="str">
        <f t="shared" si="160"/>
        <v/>
      </c>
      <c r="X143" s="44"/>
      <c r="Y143" s="44" t="str">
        <f>IF(A143="","",IF(A143=Inputs!$B$6,Inputs!$B$22,IF(D143="","",IFERROR(INDEX($Z$4:$Z$201,MATCH(D143,$A$4:$A$201,0))+IF(X143="",Inputs!$B$20,X143),""))))</f>
        <v/>
      </c>
      <c r="Z143" s="44" t="str">
        <f t="shared" si="161"/>
        <v/>
      </c>
      <c r="AA143" s="44" t="str">
        <f>IF(C143="","",IFERROR(INDEX(Noeuds_plan!$C$4:$C$200,MATCH(C143,Noeuds_plan!$A$4:$A$200,0)),""))</f>
        <v/>
      </c>
      <c r="AB143" s="44" t="str">
        <f>IF(B143="","",IFERROR(INDEX(Noeuds_plan!$C$4:$C$200,MATCH(B143,Noeuds_plan!$A$4:$A$200,0)),""))</f>
        <v/>
      </c>
      <c r="AC143" s="44" t="str">
        <f t="shared" si="162"/>
        <v/>
      </c>
      <c r="AD143" s="44" t="str">
        <f t="shared" si="163"/>
        <v/>
      </c>
      <c r="AE143" s="14" t="str">
        <f>IF(A143="","",IF(OR(V143&gt;1,AND(AY143&lt;&gt;"",AY143&lt;Inputs!$B$11),AND(AY143&lt;&gt;"",AY143&gt;Inputs!$B$12),AC143&lt;Inputs!$B$19,AD143&lt;Inputs!$B$19,P143&lt;Inputs!$B$7,P143&gt;Inputs!$B$8),"CHECK","OK"))</f>
        <v/>
      </c>
      <c r="AF143" s="14"/>
      <c r="AG143" s="14" t="str">
        <f>IF(A143="","",(1/Inputs!$B$9)*(PI()*(Inputs!$F$5/1000)^2/4)*((Inputs!$F$5/1000/4)^(2/3))*SQRT(P143))</f>
        <v/>
      </c>
      <c r="AH143" s="14" t="str">
        <f>IF(A143="","",(1/Inputs!$B$9)*(PI()*(Inputs!$F$6/1000)^2/4)*((Inputs!$F$6/1000/4)^(2/3))*SQRT(P143))</f>
        <v/>
      </c>
      <c r="AI143" s="14" t="str">
        <f>IF(A143="","",(1/Inputs!$B$9)*(PI()*(Inputs!$F$7/1000)^2/4)*((Inputs!$F$7/1000/4)^(2/3))*SQRT(P143))</f>
        <v/>
      </c>
      <c r="AJ143" s="14" t="str">
        <f>IF(A143="","",(1/Inputs!$B$9)*(PI()*(Inputs!$F$8/1000)^2/4)*((Inputs!$F$8/1000/4)^(2/3))*SQRT(P143))</f>
        <v/>
      </c>
      <c r="AK143" s="14" t="str">
        <f>IF(A143="","",(1/Inputs!$B$9)*(PI()*(Inputs!$F$9/1000)^2/4)*((Inputs!$F$9/1000/4)^(2/3))*SQRT(P143))</f>
        <v/>
      </c>
      <c r="AL143" s="14" t="str">
        <f>IF(A143="","",(1/Inputs!$B$9)*(PI()*(Inputs!$F$10/1000)^2/4)*((Inputs!$F$10/1000/4)^(2/3))*SQRT(P143))</f>
        <v/>
      </c>
      <c r="AM143" s="14" t="str">
        <f>IF(A143="","",(1/Inputs!$B$9)*(PI()*(Inputs!$F$11/1000)^2/4)*((Inputs!$F$11/1000/4)^(2/3))*SQRT(P143))</f>
        <v/>
      </c>
      <c r="AN143" s="14" t="str">
        <f>IF(A143="","",(1/Inputs!$B$9)*(PI()*(Inputs!$F$12/1000)^2/4)*((Inputs!$F$12/1000/4)^(2/3))*SQRT(P143))</f>
        <v/>
      </c>
      <c r="AO143" s="14" t="str">
        <f>IF(A143="","",(1/Inputs!$B$9)*(PI()*(Inputs!$F$13/1000)^2/4)*((Inputs!$F$13/1000/4)^(2/3))*SQRT(P143))</f>
        <v/>
      </c>
      <c r="AP143" s="14" t="str">
        <f>IF(A143="","",(1/Inputs!$B$9)*(PI()*(Inputs!$F$14/1000)^2/4)*((Inputs!$F$14/1000/4)^(2/3))*SQRT(P143))</f>
        <v/>
      </c>
      <c r="AQ143" s="14" t="str">
        <f t="shared" si="164"/>
        <v/>
      </c>
      <c r="AR143" s="14" t="str">
        <f t="shared" si="165"/>
        <v/>
      </c>
      <c r="AS143" s="17" t="str">
        <f>IF(A143="","",IF(J143="",Inputs!$B$18,J143))</f>
        <v/>
      </c>
      <c r="AT143" s="17" t="str">
        <f>IF(A143="","",IFERROR(_xludf.maxifs($AV$4:$AV$201,$D$4:$D$201,$A143),""))</f>
        <v/>
      </c>
      <c r="AU143" s="17" t="str">
        <f>IF(A143="","",IF(OR(E143="",Inputs!$B$23=""),"",E143/(Inputs!$B$23*60)))</f>
        <v/>
      </c>
      <c r="AV143" s="17" t="str">
        <f t="shared" si="166"/>
        <v/>
      </c>
      <c r="AW143" s="17" t="str">
        <f t="shared" si="167"/>
        <v/>
      </c>
      <c r="AX143" s="17" t="str">
        <f>IF(OR(T143="",P143=""),"",(1/Inputs!$B$9)*((T143/4)^(2/3))*SQRT(P143))</f>
        <v/>
      </c>
      <c r="AY143" s="17" t="str">
        <f>IF(A143="","",IF(AND(AW143="",AX143="",BA143=""),"",IF(OR(UPPER(TRIM(Inputs!$B$24))="MANNING",UPPER(TRIM(Inputs!$B$24))="M"),AX143,IF(OR(UPPER(TRIM(Inputs!$B$24))="PARTIAL",UPPER(TRIM(Inputs!$B$24))="P"),BA143,IF(OR(UPPER(TRIM(Inputs!$B$24))="MAX",UPPER(TRIM(Inputs!$B$24))="X"),MAX(IF(AW143="",0,AW143),IF(AX143="",0,AX143),IF(BA143="",0,BA143)),AW143)))))</f>
        <v/>
      </c>
      <c r="AZ143" s="17" t="str">
        <f t="shared" si="168"/>
        <v/>
      </c>
      <c r="BA143" s="17" t="str">
        <f t="shared" si="169"/>
        <v/>
      </c>
      <c r="BB143" s="14" t="str">
        <f t="shared" si="170"/>
        <v/>
      </c>
      <c r="BC143" s="14" t="str">
        <f>IF(OR(N143="",T143="",P143=""),"",IF(OR(T143="",P143="",(0.94*T143)="",T143&lt;=0,(0.94*T143)&lt;=0),"",(1/Inputs!$B$9)*((T143^2/8)*((2*ACOS(1-2*(0.94*T143)/T143))-SIN((2*ACOS(1-2*(0.94*T143)/T143)))))*((((T143^2/8)*((2*ACOS(1-2*(0.94*T143)/T143))-SIN((2*ACOS(1-2*(0.94*T143)/T143)))))/((T143/2)*((2*ACOS(1-2*(0.94*T143)/T143)))))^(2/3))*SQRT(P143)))</f>
        <v/>
      </c>
      <c r="BD143" s="14" t="str">
        <f t="shared" si="171"/>
        <v/>
      </c>
      <c r="BE143" s="14" t="str">
        <f t="shared" si="172"/>
        <v/>
      </c>
      <c r="BF143" s="14" t="str">
        <f t="shared" si="173"/>
        <v/>
      </c>
      <c r="BG143" s="14" t="str">
        <f>IF(OR(T143="",P143="",BF143="",T143&lt;=0,BF143&lt;=0),"",(1/Inputs!$B$9)*((T143^2/8)*((2*ACOS(1-2*BF143/T143))-SIN((2*ACOS(1-2*BF143/T143)))))*((((T143^2/8)*((2*ACOS(1-2*BF143/T143))-SIN((2*ACOS(1-2*BF143/T143)))))/((T143/2)*((2*ACOS(1-2*BF143/T143)))))^(2/3))*SQRT(P143))</f>
        <v/>
      </c>
      <c r="BH143" s="14" t="str">
        <f t="shared" si="174"/>
        <v/>
      </c>
      <c r="BI143" s="14" t="str">
        <f t="shared" si="175"/>
        <v/>
      </c>
      <c r="BJ143" s="14" t="str">
        <f t="shared" si="176"/>
        <v/>
      </c>
      <c r="BK143" s="14" t="str">
        <f>IF(OR(T143="",P143="",BJ143="",T143&lt;=0,BJ143&lt;=0),"",(1/Inputs!$B$9)*((T143^2/8)*((2*ACOS(1-2*BJ143/T143))-SIN((2*ACOS(1-2*BJ143/T143)))))*((((T143^2/8)*((2*ACOS(1-2*BJ143/T143))-SIN((2*ACOS(1-2*BJ143/T143)))))/((T143/2)*((2*ACOS(1-2*BJ143/T143)))))^(2/3))*SQRT(P143))</f>
        <v/>
      </c>
      <c r="BL143" s="14" t="str">
        <f t="shared" si="177"/>
        <v/>
      </c>
      <c r="BM143" s="14" t="str">
        <f t="shared" si="178"/>
        <v/>
      </c>
      <c r="BN143" s="14" t="str">
        <f t="shared" si="179"/>
        <v/>
      </c>
      <c r="BO143" s="14" t="str">
        <f>IF(OR(T143="",P143="",BN143="",T143&lt;=0,BN143&lt;=0),"",(1/Inputs!$B$9)*((T143^2/8)*((2*ACOS(1-2*BN143/T143))-SIN((2*ACOS(1-2*BN143/T143)))))*((((T143^2/8)*((2*ACOS(1-2*BN143/T143))-SIN((2*ACOS(1-2*BN143/T143)))))/((T143/2)*((2*ACOS(1-2*BN143/T143)))))^(2/3))*SQRT(P143))</f>
        <v/>
      </c>
      <c r="BP143" s="14" t="str">
        <f t="shared" si="180"/>
        <v/>
      </c>
      <c r="BQ143" s="14" t="str">
        <f t="shared" si="181"/>
        <v/>
      </c>
      <c r="BR143" s="14" t="str">
        <f t="shared" si="182"/>
        <v/>
      </c>
      <c r="BS143" s="14" t="str">
        <f>IF(OR(T143="",P143="",BR143="",T143&lt;=0,BR143&lt;=0),"",(1/Inputs!$B$9)*((T143^2/8)*((2*ACOS(1-2*BR143/T143))-SIN((2*ACOS(1-2*BR143/T143)))))*((((T143^2/8)*((2*ACOS(1-2*BR143/T143))-SIN((2*ACOS(1-2*BR143/T143)))))/((T143/2)*((2*ACOS(1-2*BR143/T143)))))^(2/3))*SQRT(P143))</f>
        <v/>
      </c>
      <c r="BT143" s="14" t="str">
        <f t="shared" si="183"/>
        <v/>
      </c>
      <c r="BU143" s="14" t="str">
        <f t="shared" si="184"/>
        <v/>
      </c>
      <c r="BV143" s="14" t="str">
        <f t="shared" si="185"/>
        <v/>
      </c>
      <c r="BW143" s="14" t="str">
        <f>IF(OR(T143="",P143="",BV143="",T143&lt;=0,BV143&lt;=0),"",(1/Inputs!$B$9)*((T143^2/8)*((2*ACOS(1-2*BV143/T143))-SIN((2*ACOS(1-2*BV143/T143)))))*((((T143^2/8)*((2*ACOS(1-2*BV143/T143))-SIN((2*ACOS(1-2*BV143/T143)))))/((T143/2)*((2*ACOS(1-2*BV143/T143)))))^(2/3))*SQRT(P143))</f>
        <v/>
      </c>
      <c r="BX143" s="14" t="str">
        <f t="shared" si="186"/>
        <v/>
      </c>
      <c r="BY143" s="14" t="str">
        <f t="shared" si="187"/>
        <v/>
      </c>
      <c r="BZ143" s="14" t="str">
        <f t="shared" si="188"/>
        <v/>
      </c>
      <c r="CA143" s="14" t="str">
        <f>IF(OR(T143="",P143="",BZ143="",T143&lt;=0,BZ143&lt;=0),"",(1/Inputs!$B$9)*((T143^2/8)*((2*ACOS(1-2*BZ143/T143))-SIN((2*ACOS(1-2*BZ143/T143)))))*((((T143^2/8)*((2*ACOS(1-2*BZ143/T143))-SIN((2*ACOS(1-2*BZ143/T143)))))/((T143/2)*((2*ACOS(1-2*BZ143/T143)))))^(2/3))*SQRT(P143))</f>
        <v/>
      </c>
      <c r="CB143" s="14" t="str">
        <f t="shared" si="189"/>
        <v/>
      </c>
      <c r="CC143" s="14" t="str">
        <f t="shared" si="190"/>
        <v/>
      </c>
      <c r="CD143" s="14" t="str">
        <f t="shared" si="191"/>
        <v/>
      </c>
      <c r="CE143" s="14" t="str">
        <f>IF(OR(T143="",P143="",CD143="",T143&lt;=0,CD143&lt;=0),"",(1/Inputs!$B$9)*((T143^2/8)*((2*ACOS(1-2*CD143/T143))-SIN((2*ACOS(1-2*CD143/T143)))))*((((T143^2/8)*((2*ACOS(1-2*CD143/T143))-SIN((2*ACOS(1-2*CD143/T143)))))/((T143/2)*((2*ACOS(1-2*CD143/T143)))))^(2/3))*SQRT(P143))</f>
        <v/>
      </c>
      <c r="CF143" s="14" t="str">
        <f t="shared" si="192"/>
        <v/>
      </c>
      <c r="CG143" s="14" t="str">
        <f t="shared" si="193"/>
        <v/>
      </c>
      <c r="CH143" s="14" t="str">
        <f t="shared" si="194"/>
        <v/>
      </c>
    </row>
    <row r="144" spans="1:86" x14ac:dyDescent="0.25">
      <c r="A144" s="14"/>
      <c r="B144" s="14"/>
      <c r="C144" s="14"/>
      <c r="D144" s="14"/>
      <c r="E144" s="44"/>
      <c r="F144" s="44"/>
      <c r="G144" s="44">
        <f>SUMIFS(CB_plan!$G:$G,CB_plan!$F:$F,$A144)</f>
        <v>0</v>
      </c>
      <c r="H144" s="44">
        <f t="shared" si="156"/>
        <v>0</v>
      </c>
      <c r="I144" s="14"/>
      <c r="J144" s="44"/>
      <c r="K144" s="44" t="str">
        <f>IF(A144="","",Inputs!$B$13/((IF(AV144="",Inputs!$B$18,AV144)+Inputs!$B$14)^Inputs!$B$15))</f>
        <v/>
      </c>
      <c r="L144" s="44" t="str">
        <f>IF(A144="","",IF(H144="","",0.000000278*IF(I144&lt;&gt;"",I144,IFERROR(SUMIFS(CB_plan!$H:$H,CB_plan!$F:$F,$A144)/SUMIFS(CB_plan!$G:$G,CB_plan!$F:$F,$A144),Inputs!$B$17))*H144*K144))</f>
        <v/>
      </c>
      <c r="M144" s="44" t="str">
        <f t="shared" si="157"/>
        <v/>
      </c>
      <c r="N144" s="44" t="str">
        <f>IF(A144="","",(L144+M144)*Inputs!$B$16)</f>
        <v/>
      </c>
      <c r="O144" s="44"/>
      <c r="P144" s="44" t="str">
        <f>IF(A144="","",IF(O144="",Inputs!$B$7,O144))</f>
        <v/>
      </c>
      <c r="Q144" s="14" t="str">
        <f>IF(A144="","",IF(N144/Inputs!$B$10&lt;=AG144,Inputs!$F$5,IF(N144/Inputs!$B$10&gt;AP144,"OVERSIZE",INDEX(Inputs!$F$5:$F$14,MATCH(N144/Inputs!$B$10,AG144:AP144,1)+1))))</f>
        <v/>
      </c>
      <c r="R144" s="14"/>
      <c r="S144" s="14" t="str">
        <f t="shared" si="158"/>
        <v/>
      </c>
      <c r="T144" s="44" t="str">
        <f t="shared" si="159"/>
        <v/>
      </c>
      <c r="U144" s="44" t="str">
        <f>IF(T144="","",(1/Inputs!$B$9)*(PI()*T144^2/4)*((T144/4)^(2/3))*SQRT(P144))</f>
        <v/>
      </c>
      <c r="V144" s="44" t="str">
        <f>IF(OR(U144="",N144=""),"",N144/(U144*Inputs!$B$10))</f>
        <v/>
      </c>
      <c r="W144" s="44" t="str">
        <f t="shared" si="160"/>
        <v/>
      </c>
      <c r="X144" s="44"/>
      <c r="Y144" s="44" t="str">
        <f>IF(A144="","",IF(A144=Inputs!$B$6,Inputs!$B$22,IF(D144="","",IFERROR(INDEX($Z$4:$Z$201,MATCH(D144,$A$4:$A$201,0))+IF(X144="",Inputs!$B$20,X144),""))))</f>
        <v/>
      </c>
      <c r="Z144" s="44" t="str">
        <f t="shared" si="161"/>
        <v/>
      </c>
      <c r="AA144" s="44" t="str">
        <f>IF(C144="","",IFERROR(INDEX(Noeuds_plan!$C$4:$C$200,MATCH(C144,Noeuds_plan!$A$4:$A$200,0)),""))</f>
        <v/>
      </c>
      <c r="AB144" s="44" t="str">
        <f>IF(B144="","",IFERROR(INDEX(Noeuds_plan!$C$4:$C$200,MATCH(B144,Noeuds_plan!$A$4:$A$200,0)),""))</f>
        <v/>
      </c>
      <c r="AC144" s="44" t="str">
        <f t="shared" si="162"/>
        <v/>
      </c>
      <c r="AD144" s="44" t="str">
        <f t="shared" si="163"/>
        <v/>
      </c>
      <c r="AE144" s="14" t="str">
        <f>IF(A144="","",IF(OR(V144&gt;1,AND(AY144&lt;&gt;"",AY144&lt;Inputs!$B$11),AND(AY144&lt;&gt;"",AY144&gt;Inputs!$B$12),AC144&lt;Inputs!$B$19,AD144&lt;Inputs!$B$19,P144&lt;Inputs!$B$7,P144&gt;Inputs!$B$8),"CHECK","OK"))</f>
        <v/>
      </c>
      <c r="AF144" s="14"/>
      <c r="AG144" s="14" t="str">
        <f>IF(A144="","",(1/Inputs!$B$9)*(PI()*(Inputs!$F$5/1000)^2/4)*((Inputs!$F$5/1000/4)^(2/3))*SQRT(P144))</f>
        <v/>
      </c>
      <c r="AH144" s="14" t="str">
        <f>IF(A144="","",(1/Inputs!$B$9)*(PI()*(Inputs!$F$6/1000)^2/4)*((Inputs!$F$6/1000/4)^(2/3))*SQRT(P144))</f>
        <v/>
      </c>
      <c r="AI144" s="14" t="str">
        <f>IF(A144="","",(1/Inputs!$B$9)*(PI()*(Inputs!$F$7/1000)^2/4)*((Inputs!$F$7/1000/4)^(2/3))*SQRT(P144))</f>
        <v/>
      </c>
      <c r="AJ144" s="14" t="str">
        <f>IF(A144="","",(1/Inputs!$B$9)*(PI()*(Inputs!$F$8/1000)^2/4)*((Inputs!$F$8/1000/4)^(2/3))*SQRT(P144))</f>
        <v/>
      </c>
      <c r="AK144" s="14" t="str">
        <f>IF(A144="","",(1/Inputs!$B$9)*(PI()*(Inputs!$F$9/1000)^2/4)*((Inputs!$F$9/1000/4)^(2/3))*SQRT(P144))</f>
        <v/>
      </c>
      <c r="AL144" s="14" t="str">
        <f>IF(A144="","",(1/Inputs!$B$9)*(PI()*(Inputs!$F$10/1000)^2/4)*((Inputs!$F$10/1000/4)^(2/3))*SQRT(P144))</f>
        <v/>
      </c>
      <c r="AM144" s="14" t="str">
        <f>IF(A144="","",(1/Inputs!$B$9)*(PI()*(Inputs!$F$11/1000)^2/4)*((Inputs!$F$11/1000/4)^(2/3))*SQRT(P144))</f>
        <v/>
      </c>
      <c r="AN144" s="14" t="str">
        <f>IF(A144="","",(1/Inputs!$B$9)*(PI()*(Inputs!$F$12/1000)^2/4)*((Inputs!$F$12/1000/4)^(2/3))*SQRT(P144))</f>
        <v/>
      </c>
      <c r="AO144" s="14" t="str">
        <f>IF(A144="","",(1/Inputs!$B$9)*(PI()*(Inputs!$F$13/1000)^2/4)*((Inputs!$F$13/1000/4)^(2/3))*SQRT(P144))</f>
        <v/>
      </c>
      <c r="AP144" s="14" t="str">
        <f>IF(A144="","",(1/Inputs!$B$9)*(PI()*(Inputs!$F$14/1000)^2/4)*((Inputs!$F$14/1000/4)^(2/3))*SQRT(P144))</f>
        <v/>
      </c>
      <c r="AQ144" s="14" t="str">
        <f t="shared" si="164"/>
        <v/>
      </c>
      <c r="AR144" s="14" t="str">
        <f t="shared" si="165"/>
        <v/>
      </c>
      <c r="AS144" s="17" t="str">
        <f>IF(A144="","",IF(J144="",Inputs!$B$18,J144))</f>
        <v/>
      </c>
      <c r="AT144" s="17" t="str">
        <f>IF(A144="","",IFERROR(_xludf.maxifs($AV$4:$AV$201,$D$4:$D$201,$A144),""))</f>
        <v/>
      </c>
      <c r="AU144" s="17" t="str">
        <f>IF(A144="","",IF(OR(E144="",Inputs!$B$23=""),"",E144/(Inputs!$B$23*60)))</f>
        <v/>
      </c>
      <c r="AV144" s="17" t="str">
        <f t="shared" si="166"/>
        <v/>
      </c>
      <c r="AW144" s="17" t="str">
        <f t="shared" si="167"/>
        <v/>
      </c>
      <c r="AX144" s="17" t="str">
        <f>IF(OR(T144="",P144=""),"",(1/Inputs!$B$9)*((T144/4)^(2/3))*SQRT(P144))</f>
        <v/>
      </c>
      <c r="AY144" s="17" t="str">
        <f>IF(A144="","",IF(AND(AW144="",AX144="",BA144=""),"",IF(OR(UPPER(TRIM(Inputs!$B$24))="MANNING",UPPER(TRIM(Inputs!$B$24))="M"),AX144,IF(OR(UPPER(TRIM(Inputs!$B$24))="PARTIAL",UPPER(TRIM(Inputs!$B$24))="P"),BA144,IF(OR(UPPER(TRIM(Inputs!$B$24))="MAX",UPPER(TRIM(Inputs!$B$24))="X"),MAX(IF(AW144="",0,AW144),IF(AX144="",0,AX144),IF(BA144="",0,BA144)),AW144)))))</f>
        <v/>
      </c>
      <c r="AZ144" s="17" t="str">
        <f t="shared" si="168"/>
        <v/>
      </c>
      <c r="BA144" s="17" t="str">
        <f t="shared" si="169"/>
        <v/>
      </c>
      <c r="BB144" s="14" t="str">
        <f t="shared" si="170"/>
        <v/>
      </c>
      <c r="BC144" s="14" t="str">
        <f>IF(OR(N144="",T144="",P144=""),"",IF(OR(T144="",P144="",(0.94*T144)="",T144&lt;=0,(0.94*T144)&lt;=0),"",(1/Inputs!$B$9)*((T144^2/8)*((2*ACOS(1-2*(0.94*T144)/T144))-SIN((2*ACOS(1-2*(0.94*T144)/T144)))))*((((T144^2/8)*((2*ACOS(1-2*(0.94*T144)/T144))-SIN((2*ACOS(1-2*(0.94*T144)/T144)))))/((T144/2)*((2*ACOS(1-2*(0.94*T144)/T144)))))^(2/3))*SQRT(P144)))</f>
        <v/>
      </c>
      <c r="BD144" s="14" t="str">
        <f t="shared" si="171"/>
        <v/>
      </c>
      <c r="BE144" s="14" t="str">
        <f t="shared" si="172"/>
        <v/>
      </c>
      <c r="BF144" s="14" t="str">
        <f t="shared" si="173"/>
        <v/>
      </c>
      <c r="BG144" s="14" t="str">
        <f>IF(OR(T144="",P144="",BF144="",T144&lt;=0,BF144&lt;=0),"",(1/Inputs!$B$9)*((T144^2/8)*((2*ACOS(1-2*BF144/T144))-SIN((2*ACOS(1-2*BF144/T144)))))*((((T144^2/8)*((2*ACOS(1-2*BF144/T144))-SIN((2*ACOS(1-2*BF144/T144)))))/((T144/2)*((2*ACOS(1-2*BF144/T144)))))^(2/3))*SQRT(P144))</f>
        <v/>
      </c>
      <c r="BH144" s="14" t="str">
        <f t="shared" si="174"/>
        <v/>
      </c>
      <c r="BI144" s="14" t="str">
        <f t="shared" si="175"/>
        <v/>
      </c>
      <c r="BJ144" s="14" t="str">
        <f t="shared" si="176"/>
        <v/>
      </c>
      <c r="BK144" s="14" t="str">
        <f>IF(OR(T144="",P144="",BJ144="",T144&lt;=0,BJ144&lt;=0),"",(1/Inputs!$B$9)*((T144^2/8)*((2*ACOS(1-2*BJ144/T144))-SIN((2*ACOS(1-2*BJ144/T144)))))*((((T144^2/8)*((2*ACOS(1-2*BJ144/T144))-SIN((2*ACOS(1-2*BJ144/T144)))))/((T144/2)*((2*ACOS(1-2*BJ144/T144)))))^(2/3))*SQRT(P144))</f>
        <v/>
      </c>
      <c r="BL144" s="14" t="str">
        <f t="shared" si="177"/>
        <v/>
      </c>
      <c r="BM144" s="14" t="str">
        <f t="shared" si="178"/>
        <v/>
      </c>
      <c r="BN144" s="14" t="str">
        <f t="shared" si="179"/>
        <v/>
      </c>
      <c r="BO144" s="14" t="str">
        <f>IF(OR(T144="",P144="",BN144="",T144&lt;=0,BN144&lt;=0),"",(1/Inputs!$B$9)*((T144^2/8)*((2*ACOS(1-2*BN144/T144))-SIN((2*ACOS(1-2*BN144/T144)))))*((((T144^2/8)*((2*ACOS(1-2*BN144/T144))-SIN((2*ACOS(1-2*BN144/T144)))))/((T144/2)*((2*ACOS(1-2*BN144/T144)))))^(2/3))*SQRT(P144))</f>
        <v/>
      </c>
      <c r="BP144" s="14" t="str">
        <f t="shared" si="180"/>
        <v/>
      </c>
      <c r="BQ144" s="14" t="str">
        <f t="shared" si="181"/>
        <v/>
      </c>
      <c r="BR144" s="14" t="str">
        <f t="shared" si="182"/>
        <v/>
      </c>
      <c r="BS144" s="14" t="str">
        <f>IF(OR(T144="",P144="",BR144="",T144&lt;=0,BR144&lt;=0),"",(1/Inputs!$B$9)*((T144^2/8)*((2*ACOS(1-2*BR144/T144))-SIN((2*ACOS(1-2*BR144/T144)))))*((((T144^2/8)*((2*ACOS(1-2*BR144/T144))-SIN((2*ACOS(1-2*BR144/T144)))))/((T144/2)*((2*ACOS(1-2*BR144/T144)))))^(2/3))*SQRT(P144))</f>
        <v/>
      </c>
      <c r="BT144" s="14" t="str">
        <f t="shared" si="183"/>
        <v/>
      </c>
      <c r="BU144" s="14" t="str">
        <f t="shared" si="184"/>
        <v/>
      </c>
      <c r="BV144" s="14" t="str">
        <f t="shared" si="185"/>
        <v/>
      </c>
      <c r="BW144" s="14" t="str">
        <f>IF(OR(T144="",P144="",BV144="",T144&lt;=0,BV144&lt;=0),"",(1/Inputs!$B$9)*((T144^2/8)*((2*ACOS(1-2*BV144/T144))-SIN((2*ACOS(1-2*BV144/T144)))))*((((T144^2/8)*((2*ACOS(1-2*BV144/T144))-SIN((2*ACOS(1-2*BV144/T144)))))/((T144/2)*((2*ACOS(1-2*BV144/T144)))))^(2/3))*SQRT(P144))</f>
        <v/>
      </c>
      <c r="BX144" s="14" t="str">
        <f t="shared" si="186"/>
        <v/>
      </c>
      <c r="BY144" s="14" t="str">
        <f t="shared" si="187"/>
        <v/>
      </c>
      <c r="BZ144" s="14" t="str">
        <f t="shared" si="188"/>
        <v/>
      </c>
      <c r="CA144" s="14" t="str">
        <f>IF(OR(T144="",P144="",BZ144="",T144&lt;=0,BZ144&lt;=0),"",(1/Inputs!$B$9)*((T144^2/8)*((2*ACOS(1-2*BZ144/T144))-SIN((2*ACOS(1-2*BZ144/T144)))))*((((T144^2/8)*((2*ACOS(1-2*BZ144/T144))-SIN((2*ACOS(1-2*BZ144/T144)))))/((T144/2)*((2*ACOS(1-2*BZ144/T144)))))^(2/3))*SQRT(P144))</f>
        <v/>
      </c>
      <c r="CB144" s="14" t="str">
        <f t="shared" si="189"/>
        <v/>
      </c>
      <c r="CC144" s="14" t="str">
        <f t="shared" si="190"/>
        <v/>
      </c>
      <c r="CD144" s="14" t="str">
        <f t="shared" si="191"/>
        <v/>
      </c>
      <c r="CE144" s="14" t="str">
        <f>IF(OR(T144="",P144="",CD144="",T144&lt;=0,CD144&lt;=0),"",(1/Inputs!$B$9)*((T144^2/8)*((2*ACOS(1-2*CD144/T144))-SIN((2*ACOS(1-2*CD144/T144)))))*((((T144^2/8)*((2*ACOS(1-2*CD144/T144))-SIN((2*ACOS(1-2*CD144/T144)))))/((T144/2)*((2*ACOS(1-2*CD144/T144)))))^(2/3))*SQRT(P144))</f>
        <v/>
      </c>
      <c r="CF144" s="14" t="str">
        <f t="shared" si="192"/>
        <v/>
      </c>
      <c r="CG144" s="14" t="str">
        <f t="shared" si="193"/>
        <v/>
      </c>
      <c r="CH144" s="14" t="str">
        <f t="shared" si="194"/>
        <v/>
      </c>
    </row>
    <row r="145" spans="1:86" x14ac:dyDescent="0.25">
      <c r="A145" s="14"/>
      <c r="B145" s="14"/>
      <c r="C145" s="14"/>
      <c r="D145" s="14"/>
      <c r="E145" s="44"/>
      <c r="F145" s="44"/>
      <c r="G145" s="44">
        <f>SUMIFS(CB_plan!$G:$G,CB_plan!$F:$F,$A145)</f>
        <v>0</v>
      </c>
      <c r="H145" s="44">
        <f t="shared" si="156"/>
        <v>0</v>
      </c>
      <c r="I145" s="14"/>
      <c r="J145" s="44"/>
      <c r="K145" s="44" t="str">
        <f>IF(A145="","",Inputs!$B$13/((IF(AV145="",Inputs!$B$18,AV145)+Inputs!$B$14)^Inputs!$B$15))</f>
        <v/>
      </c>
      <c r="L145" s="44" t="str">
        <f>IF(A145="","",IF(H145="","",0.000000278*IF(I145&lt;&gt;"",I145,IFERROR(SUMIFS(CB_plan!$H:$H,CB_plan!$F:$F,$A145)/SUMIFS(CB_plan!$G:$G,CB_plan!$F:$F,$A145),Inputs!$B$17))*H145*K145))</f>
        <v/>
      </c>
      <c r="M145" s="44" t="str">
        <f t="shared" si="157"/>
        <v/>
      </c>
      <c r="N145" s="44" t="str">
        <f>IF(A145="","",(L145+M145)*Inputs!$B$16)</f>
        <v/>
      </c>
      <c r="O145" s="44"/>
      <c r="P145" s="44" t="str">
        <f>IF(A145="","",IF(O145="",Inputs!$B$7,O145))</f>
        <v/>
      </c>
      <c r="Q145" s="14" t="str">
        <f>IF(A145="","",IF(N145/Inputs!$B$10&lt;=AG145,Inputs!$F$5,IF(N145/Inputs!$B$10&gt;AP145,"OVERSIZE",INDEX(Inputs!$F$5:$F$14,MATCH(N145/Inputs!$B$10,AG145:AP145,1)+1))))</f>
        <v/>
      </c>
      <c r="R145" s="14"/>
      <c r="S145" s="14" t="str">
        <f t="shared" si="158"/>
        <v/>
      </c>
      <c r="T145" s="44" t="str">
        <f t="shared" si="159"/>
        <v/>
      </c>
      <c r="U145" s="44" t="str">
        <f>IF(T145="","",(1/Inputs!$B$9)*(PI()*T145^2/4)*((T145/4)^(2/3))*SQRT(P145))</f>
        <v/>
      </c>
      <c r="V145" s="44" t="str">
        <f>IF(OR(U145="",N145=""),"",N145/(U145*Inputs!$B$10))</f>
        <v/>
      </c>
      <c r="W145" s="44" t="str">
        <f t="shared" si="160"/>
        <v/>
      </c>
      <c r="X145" s="44"/>
      <c r="Y145" s="44" t="str">
        <f>IF(A145="","",IF(A145=Inputs!$B$6,Inputs!$B$22,IF(D145="","",IFERROR(INDEX($Z$4:$Z$201,MATCH(D145,$A$4:$A$201,0))+IF(X145="",Inputs!$B$20,X145),""))))</f>
        <v/>
      </c>
      <c r="Z145" s="44" t="str">
        <f t="shared" si="161"/>
        <v/>
      </c>
      <c r="AA145" s="44" t="str">
        <f>IF(C145="","",IFERROR(INDEX(Noeuds_plan!$C$4:$C$200,MATCH(C145,Noeuds_plan!$A$4:$A$200,0)),""))</f>
        <v/>
      </c>
      <c r="AB145" s="44" t="str">
        <f>IF(B145="","",IFERROR(INDEX(Noeuds_plan!$C$4:$C$200,MATCH(B145,Noeuds_plan!$A$4:$A$200,0)),""))</f>
        <v/>
      </c>
      <c r="AC145" s="44" t="str">
        <f t="shared" si="162"/>
        <v/>
      </c>
      <c r="AD145" s="44" t="str">
        <f t="shared" si="163"/>
        <v/>
      </c>
      <c r="AE145" s="14" t="str">
        <f>IF(A145="","",IF(OR(V145&gt;1,AND(AY145&lt;&gt;"",AY145&lt;Inputs!$B$11),AND(AY145&lt;&gt;"",AY145&gt;Inputs!$B$12),AC145&lt;Inputs!$B$19,AD145&lt;Inputs!$B$19,P145&lt;Inputs!$B$7,P145&gt;Inputs!$B$8),"CHECK","OK"))</f>
        <v/>
      </c>
      <c r="AF145" s="14"/>
      <c r="AG145" s="14" t="str">
        <f>IF(A145="","",(1/Inputs!$B$9)*(PI()*(Inputs!$F$5/1000)^2/4)*((Inputs!$F$5/1000/4)^(2/3))*SQRT(P145))</f>
        <v/>
      </c>
      <c r="AH145" s="14" t="str">
        <f>IF(A145="","",(1/Inputs!$B$9)*(PI()*(Inputs!$F$6/1000)^2/4)*((Inputs!$F$6/1000/4)^(2/3))*SQRT(P145))</f>
        <v/>
      </c>
      <c r="AI145" s="14" t="str">
        <f>IF(A145="","",(1/Inputs!$B$9)*(PI()*(Inputs!$F$7/1000)^2/4)*((Inputs!$F$7/1000/4)^(2/3))*SQRT(P145))</f>
        <v/>
      </c>
      <c r="AJ145" s="14" t="str">
        <f>IF(A145="","",(1/Inputs!$B$9)*(PI()*(Inputs!$F$8/1000)^2/4)*((Inputs!$F$8/1000/4)^(2/3))*SQRT(P145))</f>
        <v/>
      </c>
      <c r="AK145" s="14" t="str">
        <f>IF(A145="","",(1/Inputs!$B$9)*(PI()*(Inputs!$F$9/1000)^2/4)*((Inputs!$F$9/1000/4)^(2/3))*SQRT(P145))</f>
        <v/>
      </c>
      <c r="AL145" s="14" t="str">
        <f>IF(A145="","",(1/Inputs!$B$9)*(PI()*(Inputs!$F$10/1000)^2/4)*((Inputs!$F$10/1000/4)^(2/3))*SQRT(P145))</f>
        <v/>
      </c>
      <c r="AM145" s="14" t="str">
        <f>IF(A145="","",(1/Inputs!$B$9)*(PI()*(Inputs!$F$11/1000)^2/4)*((Inputs!$F$11/1000/4)^(2/3))*SQRT(P145))</f>
        <v/>
      </c>
      <c r="AN145" s="14" t="str">
        <f>IF(A145="","",(1/Inputs!$B$9)*(PI()*(Inputs!$F$12/1000)^2/4)*((Inputs!$F$12/1000/4)^(2/3))*SQRT(P145))</f>
        <v/>
      </c>
      <c r="AO145" s="14" t="str">
        <f>IF(A145="","",(1/Inputs!$B$9)*(PI()*(Inputs!$F$13/1000)^2/4)*((Inputs!$F$13/1000/4)^(2/3))*SQRT(P145))</f>
        <v/>
      </c>
      <c r="AP145" s="14" t="str">
        <f>IF(A145="","",(1/Inputs!$B$9)*(PI()*(Inputs!$F$14/1000)^2/4)*((Inputs!$F$14/1000/4)^(2/3))*SQRT(P145))</f>
        <v/>
      </c>
      <c r="AQ145" s="14" t="str">
        <f t="shared" si="164"/>
        <v/>
      </c>
      <c r="AR145" s="14" t="str">
        <f t="shared" si="165"/>
        <v/>
      </c>
      <c r="AS145" s="17" t="str">
        <f>IF(A145="","",IF(J145="",Inputs!$B$18,J145))</f>
        <v/>
      </c>
      <c r="AT145" s="17" t="str">
        <f>IF(A145="","",IFERROR(_xludf.maxifs($AV$4:$AV$201,$D$4:$D$201,$A145),""))</f>
        <v/>
      </c>
      <c r="AU145" s="17" t="str">
        <f>IF(A145="","",IF(OR(E145="",Inputs!$B$23=""),"",E145/(Inputs!$B$23*60)))</f>
        <v/>
      </c>
      <c r="AV145" s="17" t="str">
        <f t="shared" si="166"/>
        <v/>
      </c>
      <c r="AW145" s="17" t="str">
        <f t="shared" si="167"/>
        <v/>
      </c>
      <c r="AX145" s="17" t="str">
        <f>IF(OR(T145="",P145=""),"",(1/Inputs!$B$9)*((T145/4)^(2/3))*SQRT(P145))</f>
        <v/>
      </c>
      <c r="AY145" s="17" t="str">
        <f>IF(A145="","",IF(AND(AW145="",AX145="",BA145=""),"",IF(OR(UPPER(TRIM(Inputs!$B$24))="MANNING",UPPER(TRIM(Inputs!$B$24))="M"),AX145,IF(OR(UPPER(TRIM(Inputs!$B$24))="PARTIAL",UPPER(TRIM(Inputs!$B$24))="P"),BA145,IF(OR(UPPER(TRIM(Inputs!$B$24))="MAX",UPPER(TRIM(Inputs!$B$24))="X"),MAX(IF(AW145="",0,AW145),IF(AX145="",0,AX145),IF(BA145="",0,BA145)),AW145)))))</f>
        <v/>
      </c>
      <c r="AZ145" s="17" t="str">
        <f t="shared" si="168"/>
        <v/>
      </c>
      <c r="BA145" s="17" t="str">
        <f t="shared" si="169"/>
        <v/>
      </c>
      <c r="BB145" s="14" t="str">
        <f t="shared" si="170"/>
        <v/>
      </c>
      <c r="BC145" s="14" t="str">
        <f>IF(OR(N145="",T145="",P145=""),"",IF(OR(T145="",P145="",(0.94*T145)="",T145&lt;=0,(0.94*T145)&lt;=0),"",(1/Inputs!$B$9)*((T145^2/8)*((2*ACOS(1-2*(0.94*T145)/T145))-SIN((2*ACOS(1-2*(0.94*T145)/T145)))))*((((T145^2/8)*((2*ACOS(1-2*(0.94*T145)/T145))-SIN((2*ACOS(1-2*(0.94*T145)/T145)))))/((T145/2)*((2*ACOS(1-2*(0.94*T145)/T145)))))^(2/3))*SQRT(P145)))</f>
        <v/>
      </c>
      <c r="BD145" s="14" t="str">
        <f t="shared" si="171"/>
        <v/>
      </c>
      <c r="BE145" s="14" t="str">
        <f t="shared" si="172"/>
        <v/>
      </c>
      <c r="BF145" s="14" t="str">
        <f t="shared" si="173"/>
        <v/>
      </c>
      <c r="BG145" s="14" t="str">
        <f>IF(OR(T145="",P145="",BF145="",T145&lt;=0,BF145&lt;=0),"",(1/Inputs!$B$9)*((T145^2/8)*((2*ACOS(1-2*BF145/T145))-SIN((2*ACOS(1-2*BF145/T145)))))*((((T145^2/8)*((2*ACOS(1-2*BF145/T145))-SIN((2*ACOS(1-2*BF145/T145)))))/((T145/2)*((2*ACOS(1-2*BF145/T145)))))^(2/3))*SQRT(P145))</f>
        <v/>
      </c>
      <c r="BH145" s="14" t="str">
        <f t="shared" si="174"/>
        <v/>
      </c>
      <c r="BI145" s="14" t="str">
        <f t="shared" si="175"/>
        <v/>
      </c>
      <c r="BJ145" s="14" t="str">
        <f t="shared" si="176"/>
        <v/>
      </c>
      <c r="BK145" s="14" t="str">
        <f>IF(OR(T145="",P145="",BJ145="",T145&lt;=0,BJ145&lt;=0),"",(1/Inputs!$B$9)*((T145^2/8)*((2*ACOS(1-2*BJ145/T145))-SIN((2*ACOS(1-2*BJ145/T145)))))*((((T145^2/8)*((2*ACOS(1-2*BJ145/T145))-SIN((2*ACOS(1-2*BJ145/T145)))))/((T145/2)*((2*ACOS(1-2*BJ145/T145)))))^(2/3))*SQRT(P145))</f>
        <v/>
      </c>
      <c r="BL145" s="14" t="str">
        <f t="shared" si="177"/>
        <v/>
      </c>
      <c r="BM145" s="14" t="str">
        <f t="shared" si="178"/>
        <v/>
      </c>
      <c r="BN145" s="14" t="str">
        <f t="shared" si="179"/>
        <v/>
      </c>
      <c r="BO145" s="14" t="str">
        <f>IF(OR(T145="",P145="",BN145="",T145&lt;=0,BN145&lt;=0),"",(1/Inputs!$B$9)*((T145^2/8)*((2*ACOS(1-2*BN145/T145))-SIN((2*ACOS(1-2*BN145/T145)))))*((((T145^2/8)*((2*ACOS(1-2*BN145/T145))-SIN((2*ACOS(1-2*BN145/T145)))))/((T145/2)*((2*ACOS(1-2*BN145/T145)))))^(2/3))*SQRT(P145))</f>
        <v/>
      </c>
      <c r="BP145" s="14" t="str">
        <f t="shared" si="180"/>
        <v/>
      </c>
      <c r="BQ145" s="14" t="str">
        <f t="shared" si="181"/>
        <v/>
      </c>
      <c r="BR145" s="14" t="str">
        <f t="shared" si="182"/>
        <v/>
      </c>
      <c r="BS145" s="14" t="str">
        <f>IF(OR(T145="",P145="",BR145="",T145&lt;=0,BR145&lt;=0),"",(1/Inputs!$B$9)*((T145^2/8)*((2*ACOS(1-2*BR145/T145))-SIN((2*ACOS(1-2*BR145/T145)))))*((((T145^2/8)*((2*ACOS(1-2*BR145/T145))-SIN((2*ACOS(1-2*BR145/T145)))))/((T145/2)*((2*ACOS(1-2*BR145/T145)))))^(2/3))*SQRT(P145))</f>
        <v/>
      </c>
      <c r="BT145" s="14" t="str">
        <f t="shared" si="183"/>
        <v/>
      </c>
      <c r="BU145" s="14" t="str">
        <f t="shared" si="184"/>
        <v/>
      </c>
      <c r="BV145" s="14" t="str">
        <f t="shared" si="185"/>
        <v/>
      </c>
      <c r="BW145" s="14" t="str">
        <f>IF(OR(T145="",P145="",BV145="",T145&lt;=0,BV145&lt;=0),"",(1/Inputs!$B$9)*((T145^2/8)*((2*ACOS(1-2*BV145/T145))-SIN((2*ACOS(1-2*BV145/T145)))))*((((T145^2/8)*((2*ACOS(1-2*BV145/T145))-SIN((2*ACOS(1-2*BV145/T145)))))/((T145/2)*((2*ACOS(1-2*BV145/T145)))))^(2/3))*SQRT(P145))</f>
        <v/>
      </c>
      <c r="BX145" s="14" t="str">
        <f t="shared" si="186"/>
        <v/>
      </c>
      <c r="BY145" s="14" t="str">
        <f t="shared" si="187"/>
        <v/>
      </c>
      <c r="BZ145" s="14" t="str">
        <f t="shared" si="188"/>
        <v/>
      </c>
      <c r="CA145" s="14" t="str">
        <f>IF(OR(T145="",P145="",BZ145="",T145&lt;=0,BZ145&lt;=0),"",(1/Inputs!$B$9)*((T145^2/8)*((2*ACOS(1-2*BZ145/T145))-SIN((2*ACOS(1-2*BZ145/T145)))))*((((T145^2/8)*((2*ACOS(1-2*BZ145/T145))-SIN((2*ACOS(1-2*BZ145/T145)))))/((T145/2)*((2*ACOS(1-2*BZ145/T145)))))^(2/3))*SQRT(P145))</f>
        <v/>
      </c>
      <c r="CB145" s="14" t="str">
        <f t="shared" si="189"/>
        <v/>
      </c>
      <c r="CC145" s="14" t="str">
        <f t="shared" si="190"/>
        <v/>
      </c>
      <c r="CD145" s="14" t="str">
        <f t="shared" si="191"/>
        <v/>
      </c>
      <c r="CE145" s="14" t="str">
        <f>IF(OR(T145="",P145="",CD145="",T145&lt;=0,CD145&lt;=0),"",(1/Inputs!$B$9)*((T145^2/8)*((2*ACOS(1-2*CD145/T145))-SIN((2*ACOS(1-2*CD145/T145)))))*((((T145^2/8)*((2*ACOS(1-2*CD145/T145))-SIN((2*ACOS(1-2*CD145/T145)))))/((T145/2)*((2*ACOS(1-2*CD145/T145)))))^(2/3))*SQRT(P145))</f>
        <v/>
      </c>
      <c r="CF145" s="14" t="str">
        <f t="shared" si="192"/>
        <v/>
      </c>
      <c r="CG145" s="14" t="str">
        <f t="shared" si="193"/>
        <v/>
      </c>
      <c r="CH145" s="14" t="str">
        <f t="shared" si="194"/>
        <v/>
      </c>
    </row>
    <row r="146" spans="1:86" x14ac:dyDescent="0.25">
      <c r="A146" s="14"/>
      <c r="B146" s="14"/>
      <c r="C146" s="14"/>
      <c r="D146" s="14"/>
      <c r="E146" s="44"/>
      <c r="F146" s="44"/>
      <c r="G146" s="44">
        <f>SUMIFS(CB_plan!$G:$G,CB_plan!$F:$F,$A146)</f>
        <v>0</v>
      </c>
      <c r="H146" s="44">
        <f t="shared" si="156"/>
        <v>0</v>
      </c>
      <c r="I146" s="14"/>
      <c r="J146" s="44"/>
      <c r="K146" s="44" t="str">
        <f>IF(A146="","",Inputs!$B$13/((IF(AV146="",Inputs!$B$18,AV146)+Inputs!$B$14)^Inputs!$B$15))</f>
        <v/>
      </c>
      <c r="L146" s="44" t="str">
        <f>IF(A146="","",IF(H146="","",0.000000278*IF(I146&lt;&gt;"",I146,IFERROR(SUMIFS(CB_plan!$H:$H,CB_plan!$F:$F,$A146)/SUMIFS(CB_plan!$G:$G,CB_plan!$F:$F,$A146),Inputs!$B$17))*H146*K146))</f>
        <v/>
      </c>
      <c r="M146" s="44" t="str">
        <f t="shared" si="157"/>
        <v/>
      </c>
      <c r="N146" s="44" t="str">
        <f>IF(A146="","",(L146+M146)*Inputs!$B$16)</f>
        <v/>
      </c>
      <c r="O146" s="44"/>
      <c r="P146" s="44" t="str">
        <f>IF(A146="","",IF(O146="",Inputs!$B$7,O146))</f>
        <v/>
      </c>
      <c r="Q146" s="14" t="str">
        <f>IF(A146="","",IF(N146/Inputs!$B$10&lt;=AG146,Inputs!$F$5,IF(N146/Inputs!$B$10&gt;AP146,"OVERSIZE",INDEX(Inputs!$F$5:$F$14,MATCH(N146/Inputs!$B$10,AG146:AP146,1)+1))))</f>
        <v/>
      </c>
      <c r="R146" s="14"/>
      <c r="S146" s="14" t="str">
        <f t="shared" si="158"/>
        <v/>
      </c>
      <c r="T146" s="44" t="str">
        <f t="shared" si="159"/>
        <v/>
      </c>
      <c r="U146" s="44" t="str">
        <f>IF(T146="","",(1/Inputs!$B$9)*(PI()*T146^2/4)*((T146/4)^(2/3))*SQRT(P146))</f>
        <v/>
      </c>
      <c r="V146" s="44" t="str">
        <f>IF(OR(U146="",N146=""),"",N146/(U146*Inputs!$B$10))</f>
        <v/>
      </c>
      <c r="W146" s="44" t="str">
        <f t="shared" si="160"/>
        <v/>
      </c>
      <c r="X146" s="44"/>
      <c r="Y146" s="44" t="str">
        <f>IF(A146="","",IF(A146=Inputs!$B$6,Inputs!$B$22,IF(D146="","",IFERROR(INDEX($Z$4:$Z$201,MATCH(D146,$A$4:$A$201,0))+IF(X146="",Inputs!$B$20,X146),""))))</f>
        <v/>
      </c>
      <c r="Z146" s="44" t="str">
        <f t="shared" si="161"/>
        <v/>
      </c>
      <c r="AA146" s="44" t="str">
        <f>IF(C146="","",IFERROR(INDEX(Noeuds_plan!$C$4:$C$200,MATCH(C146,Noeuds_plan!$A$4:$A$200,0)),""))</f>
        <v/>
      </c>
      <c r="AB146" s="44" t="str">
        <f>IF(B146="","",IFERROR(INDEX(Noeuds_plan!$C$4:$C$200,MATCH(B146,Noeuds_plan!$A$4:$A$200,0)),""))</f>
        <v/>
      </c>
      <c r="AC146" s="44" t="str">
        <f t="shared" si="162"/>
        <v/>
      </c>
      <c r="AD146" s="44" t="str">
        <f t="shared" si="163"/>
        <v/>
      </c>
      <c r="AE146" s="14" t="str">
        <f>IF(A146="","",IF(OR(V146&gt;1,AND(AY146&lt;&gt;"",AY146&lt;Inputs!$B$11),AND(AY146&lt;&gt;"",AY146&gt;Inputs!$B$12),AC146&lt;Inputs!$B$19,AD146&lt;Inputs!$B$19,P146&lt;Inputs!$B$7,P146&gt;Inputs!$B$8),"CHECK","OK"))</f>
        <v/>
      </c>
      <c r="AF146" s="14"/>
      <c r="AG146" s="14" t="str">
        <f>IF(A146="","",(1/Inputs!$B$9)*(PI()*(Inputs!$F$5/1000)^2/4)*((Inputs!$F$5/1000/4)^(2/3))*SQRT(P146))</f>
        <v/>
      </c>
      <c r="AH146" s="14" t="str">
        <f>IF(A146="","",(1/Inputs!$B$9)*(PI()*(Inputs!$F$6/1000)^2/4)*((Inputs!$F$6/1000/4)^(2/3))*SQRT(P146))</f>
        <v/>
      </c>
      <c r="AI146" s="14" t="str">
        <f>IF(A146="","",(1/Inputs!$B$9)*(PI()*(Inputs!$F$7/1000)^2/4)*((Inputs!$F$7/1000/4)^(2/3))*SQRT(P146))</f>
        <v/>
      </c>
      <c r="AJ146" s="14" t="str">
        <f>IF(A146="","",(1/Inputs!$B$9)*(PI()*(Inputs!$F$8/1000)^2/4)*((Inputs!$F$8/1000/4)^(2/3))*SQRT(P146))</f>
        <v/>
      </c>
      <c r="AK146" s="14" t="str">
        <f>IF(A146="","",(1/Inputs!$B$9)*(PI()*(Inputs!$F$9/1000)^2/4)*((Inputs!$F$9/1000/4)^(2/3))*SQRT(P146))</f>
        <v/>
      </c>
      <c r="AL146" s="14" t="str">
        <f>IF(A146="","",(1/Inputs!$B$9)*(PI()*(Inputs!$F$10/1000)^2/4)*((Inputs!$F$10/1000/4)^(2/3))*SQRT(P146))</f>
        <v/>
      </c>
      <c r="AM146" s="14" t="str">
        <f>IF(A146="","",(1/Inputs!$B$9)*(PI()*(Inputs!$F$11/1000)^2/4)*((Inputs!$F$11/1000/4)^(2/3))*SQRT(P146))</f>
        <v/>
      </c>
      <c r="AN146" s="14" t="str">
        <f>IF(A146="","",(1/Inputs!$B$9)*(PI()*(Inputs!$F$12/1000)^2/4)*((Inputs!$F$12/1000/4)^(2/3))*SQRT(P146))</f>
        <v/>
      </c>
      <c r="AO146" s="14" t="str">
        <f>IF(A146="","",(1/Inputs!$B$9)*(PI()*(Inputs!$F$13/1000)^2/4)*((Inputs!$F$13/1000/4)^(2/3))*SQRT(P146))</f>
        <v/>
      </c>
      <c r="AP146" s="14" t="str">
        <f>IF(A146="","",(1/Inputs!$B$9)*(PI()*(Inputs!$F$14/1000)^2/4)*((Inputs!$F$14/1000/4)^(2/3))*SQRT(P146))</f>
        <v/>
      </c>
      <c r="AQ146" s="14" t="str">
        <f t="shared" si="164"/>
        <v/>
      </c>
      <c r="AR146" s="14" t="str">
        <f t="shared" si="165"/>
        <v/>
      </c>
      <c r="AS146" s="17" t="str">
        <f>IF(A146="","",IF(J146="",Inputs!$B$18,J146))</f>
        <v/>
      </c>
      <c r="AT146" s="17" t="str">
        <f>IF(A146="","",IFERROR(_xludf.maxifs($AV$4:$AV$201,$D$4:$D$201,$A146),""))</f>
        <v/>
      </c>
      <c r="AU146" s="17" t="str">
        <f>IF(A146="","",IF(OR(E146="",Inputs!$B$23=""),"",E146/(Inputs!$B$23*60)))</f>
        <v/>
      </c>
      <c r="AV146" s="17" t="str">
        <f t="shared" si="166"/>
        <v/>
      </c>
      <c r="AW146" s="17" t="str">
        <f t="shared" si="167"/>
        <v/>
      </c>
      <c r="AX146" s="17" t="str">
        <f>IF(OR(T146="",P146=""),"",(1/Inputs!$B$9)*((T146/4)^(2/3))*SQRT(P146))</f>
        <v/>
      </c>
      <c r="AY146" s="17" t="str">
        <f>IF(A146="","",IF(AND(AW146="",AX146="",BA146=""),"",IF(OR(UPPER(TRIM(Inputs!$B$24))="MANNING",UPPER(TRIM(Inputs!$B$24))="M"),AX146,IF(OR(UPPER(TRIM(Inputs!$B$24))="PARTIAL",UPPER(TRIM(Inputs!$B$24))="P"),BA146,IF(OR(UPPER(TRIM(Inputs!$B$24))="MAX",UPPER(TRIM(Inputs!$B$24))="X"),MAX(IF(AW146="",0,AW146),IF(AX146="",0,AX146),IF(BA146="",0,BA146)),AW146)))))</f>
        <v/>
      </c>
      <c r="AZ146" s="17" t="str">
        <f t="shared" si="168"/>
        <v/>
      </c>
      <c r="BA146" s="17" t="str">
        <f t="shared" si="169"/>
        <v/>
      </c>
      <c r="BB146" s="14" t="str">
        <f t="shared" si="170"/>
        <v/>
      </c>
      <c r="BC146" s="14" t="str">
        <f>IF(OR(N146="",T146="",P146=""),"",IF(OR(T146="",P146="",(0.94*T146)="",T146&lt;=0,(0.94*T146)&lt;=0),"",(1/Inputs!$B$9)*((T146^2/8)*((2*ACOS(1-2*(0.94*T146)/T146))-SIN((2*ACOS(1-2*(0.94*T146)/T146)))))*((((T146^2/8)*((2*ACOS(1-2*(0.94*T146)/T146))-SIN((2*ACOS(1-2*(0.94*T146)/T146)))))/((T146/2)*((2*ACOS(1-2*(0.94*T146)/T146)))))^(2/3))*SQRT(P146)))</f>
        <v/>
      </c>
      <c r="BD146" s="14" t="str">
        <f t="shared" si="171"/>
        <v/>
      </c>
      <c r="BE146" s="14" t="str">
        <f t="shared" si="172"/>
        <v/>
      </c>
      <c r="BF146" s="14" t="str">
        <f t="shared" si="173"/>
        <v/>
      </c>
      <c r="BG146" s="14" t="str">
        <f>IF(OR(T146="",P146="",BF146="",T146&lt;=0,BF146&lt;=0),"",(1/Inputs!$B$9)*((T146^2/8)*((2*ACOS(1-2*BF146/T146))-SIN((2*ACOS(1-2*BF146/T146)))))*((((T146^2/8)*((2*ACOS(1-2*BF146/T146))-SIN((2*ACOS(1-2*BF146/T146)))))/((T146/2)*((2*ACOS(1-2*BF146/T146)))))^(2/3))*SQRT(P146))</f>
        <v/>
      </c>
      <c r="BH146" s="14" t="str">
        <f t="shared" si="174"/>
        <v/>
      </c>
      <c r="BI146" s="14" t="str">
        <f t="shared" si="175"/>
        <v/>
      </c>
      <c r="BJ146" s="14" t="str">
        <f t="shared" si="176"/>
        <v/>
      </c>
      <c r="BK146" s="14" t="str">
        <f>IF(OR(T146="",P146="",BJ146="",T146&lt;=0,BJ146&lt;=0),"",(1/Inputs!$B$9)*((T146^2/8)*((2*ACOS(1-2*BJ146/T146))-SIN((2*ACOS(1-2*BJ146/T146)))))*((((T146^2/8)*((2*ACOS(1-2*BJ146/T146))-SIN((2*ACOS(1-2*BJ146/T146)))))/((T146/2)*((2*ACOS(1-2*BJ146/T146)))))^(2/3))*SQRT(P146))</f>
        <v/>
      </c>
      <c r="BL146" s="14" t="str">
        <f t="shared" si="177"/>
        <v/>
      </c>
      <c r="BM146" s="14" t="str">
        <f t="shared" si="178"/>
        <v/>
      </c>
      <c r="BN146" s="14" t="str">
        <f t="shared" si="179"/>
        <v/>
      </c>
      <c r="BO146" s="14" t="str">
        <f>IF(OR(T146="",P146="",BN146="",T146&lt;=0,BN146&lt;=0),"",(1/Inputs!$B$9)*((T146^2/8)*((2*ACOS(1-2*BN146/T146))-SIN((2*ACOS(1-2*BN146/T146)))))*((((T146^2/8)*((2*ACOS(1-2*BN146/T146))-SIN((2*ACOS(1-2*BN146/T146)))))/((T146/2)*((2*ACOS(1-2*BN146/T146)))))^(2/3))*SQRT(P146))</f>
        <v/>
      </c>
      <c r="BP146" s="14" t="str">
        <f t="shared" si="180"/>
        <v/>
      </c>
      <c r="BQ146" s="14" t="str">
        <f t="shared" si="181"/>
        <v/>
      </c>
      <c r="BR146" s="14" t="str">
        <f t="shared" si="182"/>
        <v/>
      </c>
      <c r="BS146" s="14" t="str">
        <f>IF(OR(T146="",P146="",BR146="",T146&lt;=0,BR146&lt;=0),"",(1/Inputs!$B$9)*((T146^2/8)*((2*ACOS(1-2*BR146/T146))-SIN((2*ACOS(1-2*BR146/T146)))))*((((T146^2/8)*((2*ACOS(1-2*BR146/T146))-SIN((2*ACOS(1-2*BR146/T146)))))/((T146/2)*((2*ACOS(1-2*BR146/T146)))))^(2/3))*SQRT(P146))</f>
        <v/>
      </c>
      <c r="BT146" s="14" t="str">
        <f t="shared" si="183"/>
        <v/>
      </c>
      <c r="BU146" s="14" t="str">
        <f t="shared" si="184"/>
        <v/>
      </c>
      <c r="BV146" s="14" t="str">
        <f t="shared" si="185"/>
        <v/>
      </c>
      <c r="BW146" s="14" t="str">
        <f>IF(OR(T146="",P146="",BV146="",T146&lt;=0,BV146&lt;=0),"",(1/Inputs!$B$9)*((T146^2/8)*((2*ACOS(1-2*BV146/T146))-SIN((2*ACOS(1-2*BV146/T146)))))*((((T146^2/8)*((2*ACOS(1-2*BV146/T146))-SIN((2*ACOS(1-2*BV146/T146)))))/((T146/2)*((2*ACOS(1-2*BV146/T146)))))^(2/3))*SQRT(P146))</f>
        <v/>
      </c>
      <c r="BX146" s="14" t="str">
        <f t="shared" si="186"/>
        <v/>
      </c>
      <c r="BY146" s="14" t="str">
        <f t="shared" si="187"/>
        <v/>
      </c>
      <c r="BZ146" s="14" t="str">
        <f t="shared" si="188"/>
        <v/>
      </c>
      <c r="CA146" s="14" t="str">
        <f>IF(OR(T146="",P146="",BZ146="",T146&lt;=0,BZ146&lt;=0),"",(1/Inputs!$B$9)*((T146^2/8)*((2*ACOS(1-2*BZ146/T146))-SIN((2*ACOS(1-2*BZ146/T146)))))*((((T146^2/8)*((2*ACOS(1-2*BZ146/T146))-SIN((2*ACOS(1-2*BZ146/T146)))))/((T146/2)*((2*ACOS(1-2*BZ146/T146)))))^(2/3))*SQRT(P146))</f>
        <v/>
      </c>
      <c r="CB146" s="14" t="str">
        <f t="shared" si="189"/>
        <v/>
      </c>
      <c r="CC146" s="14" t="str">
        <f t="shared" si="190"/>
        <v/>
      </c>
      <c r="CD146" s="14" t="str">
        <f t="shared" si="191"/>
        <v/>
      </c>
      <c r="CE146" s="14" t="str">
        <f>IF(OR(T146="",P146="",CD146="",T146&lt;=0,CD146&lt;=0),"",(1/Inputs!$B$9)*((T146^2/8)*((2*ACOS(1-2*CD146/T146))-SIN((2*ACOS(1-2*CD146/T146)))))*((((T146^2/8)*((2*ACOS(1-2*CD146/T146))-SIN((2*ACOS(1-2*CD146/T146)))))/((T146/2)*((2*ACOS(1-2*CD146/T146)))))^(2/3))*SQRT(P146))</f>
        <v/>
      </c>
      <c r="CF146" s="14" t="str">
        <f t="shared" si="192"/>
        <v/>
      </c>
      <c r="CG146" s="14" t="str">
        <f t="shared" si="193"/>
        <v/>
      </c>
      <c r="CH146" s="14" t="str">
        <f t="shared" si="194"/>
        <v/>
      </c>
    </row>
    <row r="147" spans="1:86" x14ac:dyDescent="0.25">
      <c r="A147" s="14"/>
      <c r="B147" s="14"/>
      <c r="C147" s="14"/>
      <c r="D147" s="14"/>
      <c r="E147" s="44"/>
      <c r="F147" s="44"/>
      <c r="G147" s="44">
        <f>SUMIFS(CB_plan!$G:$G,CB_plan!$F:$F,$A147)</f>
        <v>0</v>
      </c>
      <c r="H147" s="44">
        <f t="shared" si="156"/>
        <v>0</v>
      </c>
      <c r="I147" s="14"/>
      <c r="J147" s="44"/>
      <c r="K147" s="44" t="str">
        <f>IF(A147="","",Inputs!$B$13/((IF(AV147="",Inputs!$B$18,AV147)+Inputs!$B$14)^Inputs!$B$15))</f>
        <v/>
      </c>
      <c r="L147" s="44" t="str">
        <f>IF(A147="","",IF(H147="","",0.000000278*IF(I147&lt;&gt;"",I147,IFERROR(SUMIFS(CB_plan!$H:$H,CB_plan!$F:$F,$A147)/SUMIFS(CB_plan!$G:$G,CB_plan!$F:$F,$A147),Inputs!$B$17))*H147*K147))</f>
        <v/>
      </c>
      <c r="M147" s="44" t="str">
        <f t="shared" si="157"/>
        <v/>
      </c>
      <c r="N147" s="44" t="str">
        <f>IF(A147="","",(L147+M147)*Inputs!$B$16)</f>
        <v/>
      </c>
      <c r="O147" s="44"/>
      <c r="P147" s="44" t="str">
        <f>IF(A147="","",IF(O147="",Inputs!$B$7,O147))</f>
        <v/>
      </c>
      <c r="Q147" s="14" t="str">
        <f>IF(A147="","",IF(N147/Inputs!$B$10&lt;=AG147,Inputs!$F$5,IF(N147/Inputs!$B$10&gt;AP147,"OVERSIZE",INDEX(Inputs!$F$5:$F$14,MATCH(N147/Inputs!$B$10,AG147:AP147,1)+1))))</f>
        <v/>
      </c>
      <c r="R147" s="14"/>
      <c r="S147" s="14" t="str">
        <f t="shared" si="158"/>
        <v/>
      </c>
      <c r="T147" s="44" t="str">
        <f t="shared" si="159"/>
        <v/>
      </c>
      <c r="U147" s="44" t="str">
        <f>IF(T147="","",(1/Inputs!$B$9)*(PI()*T147^2/4)*((T147/4)^(2/3))*SQRT(P147))</f>
        <v/>
      </c>
      <c r="V147" s="44" t="str">
        <f>IF(OR(U147="",N147=""),"",N147/(U147*Inputs!$B$10))</f>
        <v/>
      </c>
      <c r="W147" s="44" t="str">
        <f t="shared" si="160"/>
        <v/>
      </c>
      <c r="X147" s="44"/>
      <c r="Y147" s="44" t="str">
        <f>IF(A147="","",IF(A147=Inputs!$B$6,Inputs!$B$22,IF(D147="","",IFERROR(INDEX($Z$4:$Z$201,MATCH(D147,$A$4:$A$201,0))+IF(X147="",Inputs!$B$20,X147),""))))</f>
        <v/>
      </c>
      <c r="Z147" s="44" t="str">
        <f t="shared" si="161"/>
        <v/>
      </c>
      <c r="AA147" s="44" t="str">
        <f>IF(C147="","",IFERROR(INDEX(Noeuds_plan!$C$4:$C$200,MATCH(C147,Noeuds_plan!$A$4:$A$200,0)),""))</f>
        <v/>
      </c>
      <c r="AB147" s="44" t="str">
        <f>IF(B147="","",IFERROR(INDEX(Noeuds_plan!$C$4:$C$200,MATCH(B147,Noeuds_plan!$A$4:$A$200,0)),""))</f>
        <v/>
      </c>
      <c r="AC147" s="44" t="str">
        <f t="shared" si="162"/>
        <v/>
      </c>
      <c r="AD147" s="44" t="str">
        <f t="shared" si="163"/>
        <v/>
      </c>
      <c r="AE147" s="14" t="str">
        <f>IF(A147="","",IF(OR(V147&gt;1,AND(AY147&lt;&gt;"",AY147&lt;Inputs!$B$11),AND(AY147&lt;&gt;"",AY147&gt;Inputs!$B$12),AC147&lt;Inputs!$B$19,AD147&lt;Inputs!$B$19,P147&lt;Inputs!$B$7,P147&gt;Inputs!$B$8),"CHECK","OK"))</f>
        <v/>
      </c>
      <c r="AF147" s="14"/>
      <c r="AG147" s="14" t="str">
        <f>IF(A147="","",(1/Inputs!$B$9)*(PI()*(Inputs!$F$5/1000)^2/4)*((Inputs!$F$5/1000/4)^(2/3))*SQRT(P147))</f>
        <v/>
      </c>
      <c r="AH147" s="14" t="str">
        <f>IF(A147="","",(1/Inputs!$B$9)*(PI()*(Inputs!$F$6/1000)^2/4)*((Inputs!$F$6/1000/4)^(2/3))*SQRT(P147))</f>
        <v/>
      </c>
      <c r="AI147" s="14" t="str">
        <f>IF(A147="","",(1/Inputs!$B$9)*(PI()*(Inputs!$F$7/1000)^2/4)*((Inputs!$F$7/1000/4)^(2/3))*SQRT(P147))</f>
        <v/>
      </c>
      <c r="AJ147" s="14" t="str">
        <f>IF(A147="","",(1/Inputs!$B$9)*(PI()*(Inputs!$F$8/1000)^2/4)*((Inputs!$F$8/1000/4)^(2/3))*SQRT(P147))</f>
        <v/>
      </c>
      <c r="AK147" s="14" t="str">
        <f>IF(A147="","",(1/Inputs!$B$9)*(PI()*(Inputs!$F$9/1000)^2/4)*((Inputs!$F$9/1000/4)^(2/3))*SQRT(P147))</f>
        <v/>
      </c>
      <c r="AL147" s="14" t="str">
        <f>IF(A147="","",(1/Inputs!$B$9)*(PI()*(Inputs!$F$10/1000)^2/4)*((Inputs!$F$10/1000/4)^(2/3))*SQRT(P147))</f>
        <v/>
      </c>
      <c r="AM147" s="14" t="str">
        <f>IF(A147="","",(1/Inputs!$B$9)*(PI()*(Inputs!$F$11/1000)^2/4)*((Inputs!$F$11/1000/4)^(2/3))*SQRT(P147))</f>
        <v/>
      </c>
      <c r="AN147" s="14" t="str">
        <f>IF(A147="","",(1/Inputs!$B$9)*(PI()*(Inputs!$F$12/1000)^2/4)*((Inputs!$F$12/1000/4)^(2/3))*SQRT(P147))</f>
        <v/>
      </c>
      <c r="AO147" s="14" t="str">
        <f>IF(A147="","",(1/Inputs!$B$9)*(PI()*(Inputs!$F$13/1000)^2/4)*((Inputs!$F$13/1000/4)^(2/3))*SQRT(P147))</f>
        <v/>
      </c>
      <c r="AP147" s="14" t="str">
        <f>IF(A147="","",(1/Inputs!$B$9)*(PI()*(Inputs!$F$14/1000)^2/4)*((Inputs!$F$14/1000/4)^(2/3))*SQRT(P147))</f>
        <v/>
      </c>
      <c r="AQ147" s="14" t="str">
        <f t="shared" si="164"/>
        <v/>
      </c>
      <c r="AR147" s="14" t="str">
        <f t="shared" si="165"/>
        <v/>
      </c>
      <c r="AS147" s="17" t="str">
        <f>IF(A147="","",IF(J147="",Inputs!$B$18,J147))</f>
        <v/>
      </c>
      <c r="AT147" s="17" t="str">
        <f>IF(A147="","",IFERROR(_xludf.maxifs($AV$4:$AV$201,$D$4:$D$201,$A147),""))</f>
        <v/>
      </c>
      <c r="AU147" s="17" t="str">
        <f>IF(A147="","",IF(OR(E147="",Inputs!$B$23=""),"",E147/(Inputs!$B$23*60)))</f>
        <v/>
      </c>
      <c r="AV147" s="17" t="str">
        <f t="shared" si="166"/>
        <v/>
      </c>
      <c r="AW147" s="17" t="str">
        <f t="shared" si="167"/>
        <v/>
      </c>
      <c r="AX147" s="17" t="str">
        <f>IF(OR(T147="",P147=""),"",(1/Inputs!$B$9)*((T147/4)^(2/3))*SQRT(P147))</f>
        <v/>
      </c>
      <c r="AY147" s="17" t="str">
        <f>IF(A147="","",IF(AND(AW147="",AX147="",BA147=""),"",IF(OR(UPPER(TRIM(Inputs!$B$24))="MANNING",UPPER(TRIM(Inputs!$B$24))="M"),AX147,IF(OR(UPPER(TRIM(Inputs!$B$24))="PARTIAL",UPPER(TRIM(Inputs!$B$24))="P"),BA147,IF(OR(UPPER(TRIM(Inputs!$B$24))="MAX",UPPER(TRIM(Inputs!$B$24))="X"),MAX(IF(AW147="",0,AW147),IF(AX147="",0,AX147),IF(BA147="",0,BA147)),AW147)))))</f>
        <v/>
      </c>
      <c r="AZ147" s="17" t="str">
        <f t="shared" si="168"/>
        <v/>
      </c>
      <c r="BA147" s="17" t="str">
        <f t="shared" si="169"/>
        <v/>
      </c>
      <c r="BB147" s="14" t="str">
        <f t="shared" si="170"/>
        <v/>
      </c>
      <c r="BC147" s="14" t="str">
        <f>IF(OR(N147="",T147="",P147=""),"",IF(OR(T147="",P147="",(0.94*T147)="",T147&lt;=0,(0.94*T147)&lt;=0),"",(1/Inputs!$B$9)*((T147^2/8)*((2*ACOS(1-2*(0.94*T147)/T147))-SIN((2*ACOS(1-2*(0.94*T147)/T147)))))*((((T147^2/8)*((2*ACOS(1-2*(0.94*T147)/T147))-SIN((2*ACOS(1-2*(0.94*T147)/T147)))))/((T147/2)*((2*ACOS(1-2*(0.94*T147)/T147)))))^(2/3))*SQRT(P147)))</f>
        <v/>
      </c>
      <c r="BD147" s="14" t="str">
        <f t="shared" si="171"/>
        <v/>
      </c>
      <c r="BE147" s="14" t="str">
        <f t="shared" si="172"/>
        <v/>
      </c>
      <c r="BF147" s="14" t="str">
        <f t="shared" si="173"/>
        <v/>
      </c>
      <c r="BG147" s="14" t="str">
        <f>IF(OR(T147="",P147="",BF147="",T147&lt;=0,BF147&lt;=0),"",(1/Inputs!$B$9)*((T147^2/8)*((2*ACOS(1-2*BF147/T147))-SIN((2*ACOS(1-2*BF147/T147)))))*((((T147^2/8)*((2*ACOS(1-2*BF147/T147))-SIN((2*ACOS(1-2*BF147/T147)))))/((T147/2)*((2*ACOS(1-2*BF147/T147)))))^(2/3))*SQRT(P147))</f>
        <v/>
      </c>
      <c r="BH147" s="14" t="str">
        <f t="shared" si="174"/>
        <v/>
      </c>
      <c r="BI147" s="14" t="str">
        <f t="shared" si="175"/>
        <v/>
      </c>
      <c r="BJ147" s="14" t="str">
        <f t="shared" si="176"/>
        <v/>
      </c>
      <c r="BK147" s="14" t="str">
        <f>IF(OR(T147="",P147="",BJ147="",T147&lt;=0,BJ147&lt;=0),"",(1/Inputs!$B$9)*((T147^2/8)*((2*ACOS(1-2*BJ147/T147))-SIN((2*ACOS(1-2*BJ147/T147)))))*((((T147^2/8)*((2*ACOS(1-2*BJ147/T147))-SIN((2*ACOS(1-2*BJ147/T147)))))/((T147/2)*((2*ACOS(1-2*BJ147/T147)))))^(2/3))*SQRT(P147))</f>
        <v/>
      </c>
      <c r="BL147" s="14" t="str">
        <f t="shared" si="177"/>
        <v/>
      </c>
      <c r="BM147" s="14" t="str">
        <f t="shared" si="178"/>
        <v/>
      </c>
      <c r="BN147" s="14" t="str">
        <f t="shared" si="179"/>
        <v/>
      </c>
      <c r="BO147" s="14" t="str">
        <f>IF(OR(T147="",P147="",BN147="",T147&lt;=0,BN147&lt;=0),"",(1/Inputs!$B$9)*((T147^2/8)*((2*ACOS(1-2*BN147/T147))-SIN((2*ACOS(1-2*BN147/T147)))))*((((T147^2/8)*((2*ACOS(1-2*BN147/T147))-SIN((2*ACOS(1-2*BN147/T147)))))/((T147/2)*((2*ACOS(1-2*BN147/T147)))))^(2/3))*SQRT(P147))</f>
        <v/>
      </c>
      <c r="BP147" s="14" t="str">
        <f t="shared" si="180"/>
        <v/>
      </c>
      <c r="BQ147" s="14" t="str">
        <f t="shared" si="181"/>
        <v/>
      </c>
      <c r="BR147" s="14" t="str">
        <f t="shared" si="182"/>
        <v/>
      </c>
      <c r="BS147" s="14" t="str">
        <f>IF(OR(T147="",P147="",BR147="",T147&lt;=0,BR147&lt;=0),"",(1/Inputs!$B$9)*((T147^2/8)*((2*ACOS(1-2*BR147/T147))-SIN((2*ACOS(1-2*BR147/T147)))))*((((T147^2/8)*((2*ACOS(1-2*BR147/T147))-SIN((2*ACOS(1-2*BR147/T147)))))/((T147/2)*((2*ACOS(1-2*BR147/T147)))))^(2/3))*SQRT(P147))</f>
        <v/>
      </c>
      <c r="BT147" s="14" t="str">
        <f t="shared" si="183"/>
        <v/>
      </c>
      <c r="BU147" s="14" t="str">
        <f t="shared" si="184"/>
        <v/>
      </c>
      <c r="BV147" s="14" t="str">
        <f t="shared" si="185"/>
        <v/>
      </c>
      <c r="BW147" s="14" t="str">
        <f>IF(OR(T147="",P147="",BV147="",T147&lt;=0,BV147&lt;=0),"",(1/Inputs!$B$9)*((T147^2/8)*((2*ACOS(1-2*BV147/T147))-SIN((2*ACOS(1-2*BV147/T147)))))*((((T147^2/8)*((2*ACOS(1-2*BV147/T147))-SIN((2*ACOS(1-2*BV147/T147)))))/((T147/2)*((2*ACOS(1-2*BV147/T147)))))^(2/3))*SQRT(P147))</f>
        <v/>
      </c>
      <c r="BX147" s="14" t="str">
        <f t="shared" si="186"/>
        <v/>
      </c>
      <c r="BY147" s="14" t="str">
        <f t="shared" si="187"/>
        <v/>
      </c>
      <c r="BZ147" s="14" t="str">
        <f t="shared" si="188"/>
        <v/>
      </c>
      <c r="CA147" s="14" t="str">
        <f>IF(OR(T147="",P147="",BZ147="",T147&lt;=0,BZ147&lt;=0),"",(1/Inputs!$B$9)*((T147^2/8)*((2*ACOS(1-2*BZ147/T147))-SIN((2*ACOS(1-2*BZ147/T147)))))*((((T147^2/8)*((2*ACOS(1-2*BZ147/T147))-SIN((2*ACOS(1-2*BZ147/T147)))))/((T147/2)*((2*ACOS(1-2*BZ147/T147)))))^(2/3))*SQRT(P147))</f>
        <v/>
      </c>
      <c r="CB147" s="14" t="str">
        <f t="shared" si="189"/>
        <v/>
      </c>
      <c r="CC147" s="14" t="str">
        <f t="shared" si="190"/>
        <v/>
      </c>
      <c r="CD147" s="14" t="str">
        <f t="shared" si="191"/>
        <v/>
      </c>
      <c r="CE147" s="14" t="str">
        <f>IF(OR(T147="",P147="",CD147="",T147&lt;=0,CD147&lt;=0),"",(1/Inputs!$B$9)*((T147^2/8)*((2*ACOS(1-2*CD147/T147))-SIN((2*ACOS(1-2*CD147/T147)))))*((((T147^2/8)*((2*ACOS(1-2*CD147/T147))-SIN((2*ACOS(1-2*CD147/T147)))))/((T147/2)*((2*ACOS(1-2*CD147/T147)))))^(2/3))*SQRT(P147))</f>
        <v/>
      </c>
      <c r="CF147" s="14" t="str">
        <f t="shared" si="192"/>
        <v/>
      </c>
      <c r="CG147" s="14" t="str">
        <f t="shared" si="193"/>
        <v/>
      </c>
      <c r="CH147" s="14" t="str">
        <f t="shared" si="194"/>
        <v/>
      </c>
    </row>
    <row r="148" spans="1:86" x14ac:dyDescent="0.25">
      <c r="A148" s="14"/>
      <c r="B148" s="14"/>
      <c r="C148" s="14"/>
      <c r="D148" s="14"/>
      <c r="E148" s="44"/>
      <c r="F148" s="44"/>
      <c r="G148" s="44">
        <f>SUMIFS(CB_plan!$G:$G,CB_plan!$F:$F,$A148)</f>
        <v>0</v>
      </c>
      <c r="H148" s="44">
        <f t="shared" si="156"/>
        <v>0</v>
      </c>
      <c r="I148" s="14"/>
      <c r="J148" s="44"/>
      <c r="K148" s="44" t="str">
        <f>IF(A148="","",Inputs!$B$13/((IF(AV148="",Inputs!$B$18,AV148)+Inputs!$B$14)^Inputs!$B$15))</f>
        <v/>
      </c>
      <c r="L148" s="44" t="str">
        <f>IF(A148="","",IF(H148="","",0.000000278*IF(I148&lt;&gt;"",I148,IFERROR(SUMIFS(CB_plan!$H:$H,CB_plan!$F:$F,$A148)/SUMIFS(CB_plan!$G:$G,CB_plan!$F:$F,$A148),Inputs!$B$17))*H148*K148))</f>
        <v/>
      </c>
      <c r="M148" s="44" t="str">
        <f t="shared" si="157"/>
        <v/>
      </c>
      <c r="N148" s="44" t="str">
        <f>IF(A148="","",(L148+M148)*Inputs!$B$16)</f>
        <v/>
      </c>
      <c r="O148" s="44"/>
      <c r="P148" s="44" t="str">
        <f>IF(A148="","",IF(O148="",Inputs!$B$7,O148))</f>
        <v/>
      </c>
      <c r="Q148" s="14" t="str">
        <f>IF(A148="","",IF(N148/Inputs!$B$10&lt;=AG148,Inputs!$F$5,IF(N148/Inputs!$B$10&gt;AP148,"OVERSIZE",INDEX(Inputs!$F$5:$F$14,MATCH(N148/Inputs!$B$10,AG148:AP148,1)+1))))</f>
        <v/>
      </c>
      <c r="R148" s="14"/>
      <c r="S148" s="14" t="str">
        <f t="shared" si="158"/>
        <v/>
      </c>
      <c r="T148" s="44" t="str">
        <f t="shared" si="159"/>
        <v/>
      </c>
      <c r="U148" s="44" t="str">
        <f>IF(T148="","",(1/Inputs!$B$9)*(PI()*T148^2/4)*((T148/4)^(2/3))*SQRT(P148))</f>
        <v/>
      </c>
      <c r="V148" s="44" t="str">
        <f>IF(OR(U148="",N148=""),"",N148/(U148*Inputs!$B$10))</f>
        <v/>
      </c>
      <c r="W148" s="44" t="str">
        <f t="shared" si="160"/>
        <v/>
      </c>
      <c r="X148" s="44"/>
      <c r="Y148" s="44" t="str">
        <f>IF(A148="","",IF(A148=Inputs!$B$6,Inputs!$B$22,IF(D148="","",IFERROR(INDEX($Z$4:$Z$201,MATCH(D148,$A$4:$A$201,0))+IF(X148="",Inputs!$B$20,X148),""))))</f>
        <v/>
      </c>
      <c r="Z148" s="44" t="str">
        <f t="shared" si="161"/>
        <v/>
      </c>
      <c r="AA148" s="44" t="str">
        <f>IF(C148="","",IFERROR(INDEX(Noeuds_plan!$C$4:$C$200,MATCH(C148,Noeuds_plan!$A$4:$A$200,0)),""))</f>
        <v/>
      </c>
      <c r="AB148" s="44" t="str">
        <f>IF(B148="","",IFERROR(INDEX(Noeuds_plan!$C$4:$C$200,MATCH(B148,Noeuds_plan!$A$4:$A$200,0)),""))</f>
        <v/>
      </c>
      <c r="AC148" s="44" t="str">
        <f t="shared" si="162"/>
        <v/>
      </c>
      <c r="AD148" s="44" t="str">
        <f t="shared" si="163"/>
        <v/>
      </c>
      <c r="AE148" s="14" t="str">
        <f>IF(A148="","",IF(OR(V148&gt;1,AND(AY148&lt;&gt;"",AY148&lt;Inputs!$B$11),AND(AY148&lt;&gt;"",AY148&gt;Inputs!$B$12),AC148&lt;Inputs!$B$19,AD148&lt;Inputs!$B$19,P148&lt;Inputs!$B$7,P148&gt;Inputs!$B$8),"CHECK","OK"))</f>
        <v/>
      </c>
      <c r="AF148" s="14"/>
      <c r="AG148" s="14" t="str">
        <f>IF(A148="","",(1/Inputs!$B$9)*(PI()*(Inputs!$F$5/1000)^2/4)*((Inputs!$F$5/1000/4)^(2/3))*SQRT(P148))</f>
        <v/>
      </c>
      <c r="AH148" s="14" t="str">
        <f>IF(A148="","",(1/Inputs!$B$9)*(PI()*(Inputs!$F$6/1000)^2/4)*((Inputs!$F$6/1000/4)^(2/3))*SQRT(P148))</f>
        <v/>
      </c>
      <c r="AI148" s="14" t="str">
        <f>IF(A148="","",(1/Inputs!$B$9)*(PI()*(Inputs!$F$7/1000)^2/4)*((Inputs!$F$7/1000/4)^(2/3))*SQRT(P148))</f>
        <v/>
      </c>
      <c r="AJ148" s="14" t="str">
        <f>IF(A148="","",(1/Inputs!$B$9)*(PI()*(Inputs!$F$8/1000)^2/4)*((Inputs!$F$8/1000/4)^(2/3))*SQRT(P148))</f>
        <v/>
      </c>
      <c r="AK148" s="14" t="str">
        <f>IF(A148="","",(1/Inputs!$B$9)*(PI()*(Inputs!$F$9/1000)^2/4)*((Inputs!$F$9/1000/4)^(2/3))*SQRT(P148))</f>
        <v/>
      </c>
      <c r="AL148" s="14" t="str">
        <f>IF(A148="","",(1/Inputs!$B$9)*(PI()*(Inputs!$F$10/1000)^2/4)*((Inputs!$F$10/1000/4)^(2/3))*SQRT(P148))</f>
        <v/>
      </c>
      <c r="AM148" s="14" t="str">
        <f>IF(A148="","",(1/Inputs!$B$9)*(PI()*(Inputs!$F$11/1000)^2/4)*((Inputs!$F$11/1000/4)^(2/3))*SQRT(P148))</f>
        <v/>
      </c>
      <c r="AN148" s="14" t="str">
        <f>IF(A148="","",(1/Inputs!$B$9)*(PI()*(Inputs!$F$12/1000)^2/4)*((Inputs!$F$12/1000/4)^(2/3))*SQRT(P148))</f>
        <v/>
      </c>
      <c r="AO148" s="14" t="str">
        <f>IF(A148="","",(1/Inputs!$B$9)*(PI()*(Inputs!$F$13/1000)^2/4)*((Inputs!$F$13/1000/4)^(2/3))*SQRT(P148))</f>
        <v/>
      </c>
      <c r="AP148" s="14" t="str">
        <f>IF(A148="","",(1/Inputs!$B$9)*(PI()*(Inputs!$F$14/1000)^2/4)*((Inputs!$F$14/1000/4)^(2/3))*SQRT(P148))</f>
        <v/>
      </c>
      <c r="AQ148" s="14" t="str">
        <f t="shared" si="164"/>
        <v/>
      </c>
      <c r="AR148" s="14" t="str">
        <f t="shared" si="165"/>
        <v/>
      </c>
      <c r="AS148" s="17" t="str">
        <f>IF(A148="","",IF(J148="",Inputs!$B$18,J148))</f>
        <v/>
      </c>
      <c r="AT148" s="17" t="str">
        <f>IF(A148="","",IFERROR(_xludf.maxifs($AV$4:$AV$201,$D$4:$D$201,$A148),""))</f>
        <v/>
      </c>
      <c r="AU148" s="17" t="str">
        <f>IF(A148="","",IF(OR(E148="",Inputs!$B$23=""),"",E148/(Inputs!$B$23*60)))</f>
        <v/>
      </c>
      <c r="AV148" s="17" t="str">
        <f t="shared" si="166"/>
        <v/>
      </c>
      <c r="AW148" s="17" t="str">
        <f t="shared" si="167"/>
        <v/>
      </c>
      <c r="AX148" s="17" t="str">
        <f>IF(OR(T148="",P148=""),"",(1/Inputs!$B$9)*((T148/4)^(2/3))*SQRT(P148))</f>
        <v/>
      </c>
      <c r="AY148" s="17" t="str">
        <f>IF(A148="","",IF(AND(AW148="",AX148="",BA148=""),"",IF(OR(UPPER(TRIM(Inputs!$B$24))="MANNING",UPPER(TRIM(Inputs!$B$24))="M"),AX148,IF(OR(UPPER(TRIM(Inputs!$B$24))="PARTIAL",UPPER(TRIM(Inputs!$B$24))="P"),BA148,IF(OR(UPPER(TRIM(Inputs!$B$24))="MAX",UPPER(TRIM(Inputs!$B$24))="X"),MAX(IF(AW148="",0,AW148),IF(AX148="",0,AX148),IF(BA148="",0,BA148)),AW148)))))</f>
        <v/>
      </c>
      <c r="AZ148" s="17" t="str">
        <f t="shared" si="168"/>
        <v/>
      </c>
      <c r="BA148" s="17" t="str">
        <f t="shared" si="169"/>
        <v/>
      </c>
      <c r="BB148" s="14" t="str">
        <f t="shared" si="170"/>
        <v/>
      </c>
      <c r="BC148" s="14" t="str">
        <f>IF(OR(N148="",T148="",P148=""),"",IF(OR(T148="",P148="",(0.94*T148)="",T148&lt;=0,(0.94*T148)&lt;=0),"",(1/Inputs!$B$9)*((T148^2/8)*((2*ACOS(1-2*(0.94*T148)/T148))-SIN((2*ACOS(1-2*(0.94*T148)/T148)))))*((((T148^2/8)*((2*ACOS(1-2*(0.94*T148)/T148))-SIN((2*ACOS(1-2*(0.94*T148)/T148)))))/((T148/2)*((2*ACOS(1-2*(0.94*T148)/T148)))))^(2/3))*SQRT(P148)))</f>
        <v/>
      </c>
      <c r="BD148" s="14" t="str">
        <f t="shared" si="171"/>
        <v/>
      </c>
      <c r="BE148" s="14" t="str">
        <f t="shared" si="172"/>
        <v/>
      </c>
      <c r="BF148" s="14" t="str">
        <f t="shared" si="173"/>
        <v/>
      </c>
      <c r="BG148" s="14" t="str">
        <f>IF(OR(T148="",P148="",BF148="",T148&lt;=0,BF148&lt;=0),"",(1/Inputs!$B$9)*((T148^2/8)*((2*ACOS(1-2*BF148/T148))-SIN((2*ACOS(1-2*BF148/T148)))))*((((T148^2/8)*((2*ACOS(1-2*BF148/T148))-SIN((2*ACOS(1-2*BF148/T148)))))/((T148/2)*((2*ACOS(1-2*BF148/T148)))))^(2/3))*SQRT(P148))</f>
        <v/>
      </c>
      <c r="BH148" s="14" t="str">
        <f t="shared" si="174"/>
        <v/>
      </c>
      <c r="BI148" s="14" t="str">
        <f t="shared" si="175"/>
        <v/>
      </c>
      <c r="BJ148" s="14" t="str">
        <f t="shared" si="176"/>
        <v/>
      </c>
      <c r="BK148" s="14" t="str">
        <f>IF(OR(T148="",P148="",BJ148="",T148&lt;=0,BJ148&lt;=0),"",(1/Inputs!$B$9)*((T148^2/8)*((2*ACOS(1-2*BJ148/T148))-SIN((2*ACOS(1-2*BJ148/T148)))))*((((T148^2/8)*((2*ACOS(1-2*BJ148/T148))-SIN((2*ACOS(1-2*BJ148/T148)))))/((T148/2)*((2*ACOS(1-2*BJ148/T148)))))^(2/3))*SQRT(P148))</f>
        <v/>
      </c>
      <c r="BL148" s="14" t="str">
        <f t="shared" si="177"/>
        <v/>
      </c>
      <c r="BM148" s="14" t="str">
        <f t="shared" si="178"/>
        <v/>
      </c>
      <c r="BN148" s="14" t="str">
        <f t="shared" si="179"/>
        <v/>
      </c>
      <c r="BO148" s="14" t="str">
        <f>IF(OR(T148="",P148="",BN148="",T148&lt;=0,BN148&lt;=0),"",(1/Inputs!$B$9)*((T148^2/8)*((2*ACOS(1-2*BN148/T148))-SIN((2*ACOS(1-2*BN148/T148)))))*((((T148^2/8)*((2*ACOS(1-2*BN148/T148))-SIN((2*ACOS(1-2*BN148/T148)))))/((T148/2)*((2*ACOS(1-2*BN148/T148)))))^(2/3))*SQRT(P148))</f>
        <v/>
      </c>
      <c r="BP148" s="14" t="str">
        <f t="shared" si="180"/>
        <v/>
      </c>
      <c r="BQ148" s="14" t="str">
        <f t="shared" si="181"/>
        <v/>
      </c>
      <c r="BR148" s="14" t="str">
        <f t="shared" si="182"/>
        <v/>
      </c>
      <c r="BS148" s="14" t="str">
        <f>IF(OR(T148="",P148="",BR148="",T148&lt;=0,BR148&lt;=0),"",(1/Inputs!$B$9)*((T148^2/8)*((2*ACOS(1-2*BR148/T148))-SIN((2*ACOS(1-2*BR148/T148)))))*((((T148^2/8)*((2*ACOS(1-2*BR148/T148))-SIN((2*ACOS(1-2*BR148/T148)))))/((T148/2)*((2*ACOS(1-2*BR148/T148)))))^(2/3))*SQRT(P148))</f>
        <v/>
      </c>
      <c r="BT148" s="14" t="str">
        <f t="shared" si="183"/>
        <v/>
      </c>
      <c r="BU148" s="14" t="str">
        <f t="shared" si="184"/>
        <v/>
      </c>
      <c r="BV148" s="14" t="str">
        <f t="shared" si="185"/>
        <v/>
      </c>
      <c r="BW148" s="14" t="str">
        <f>IF(OR(T148="",P148="",BV148="",T148&lt;=0,BV148&lt;=0),"",(1/Inputs!$B$9)*((T148^2/8)*((2*ACOS(1-2*BV148/T148))-SIN((2*ACOS(1-2*BV148/T148)))))*((((T148^2/8)*((2*ACOS(1-2*BV148/T148))-SIN((2*ACOS(1-2*BV148/T148)))))/((T148/2)*((2*ACOS(1-2*BV148/T148)))))^(2/3))*SQRT(P148))</f>
        <v/>
      </c>
      <c r="BX148" s="14" t="str">
        <f t="shared" si="186"/>
        <v/>
      </c>
      <c r="BY148" s="14" t="str">
        <f t="shared" si="187"/>
        <v/>
      </c>
      <c r="BZ148" s="14" t="str">
        <f t="shared" si="188"/>
        <v/>
      </c>
      <c r="CA148" s="14" t="str">
        <f>IF(OR(T148="",P148="",BZ148="",T148&lt;=0,BZ148&lt;=0),"",(1/Inputs!$B$9)*((T148^2/8)*((2*ACOS(1-2*BZ148/T148))-SIN((2*ACOS(1-2*BZ148/T148)))))*((((T148^2/8)*((2*ACOS(1-2*BZ148/T148))-SIN((2*ACOS(1-2*BZ148/T148)))))/((T148/2)*((2*ACOS(1-2*BZ148/T148)))))^(2/3))*SQRT(P148))</f>
        <v/>
      </c>
      <c r="CB148" s="14" t="str">
        <f t="shared" si="189"/>
        <v/>
      </c>
      <c r="CC148" s="14" t="str">
        <f t="shared" si="190"/>
        <v/>
      </c>
      <c r="CD148" s="14" t="str">
        <f t="shared" si="191"/>
        <v/>
      </c>
      <c r="CE148" s="14" t="str">
        <f>IF(OR(T148="",P148="",CD148="",T148&lt;=0,CD148&lt;=0),"",(1/Inputs!$B$9)*((T148^2/8)*((2*ACOS(1-2*CD148/T148))-SIN((2*ACOS(1-2*CD148/T148)))))*((((T148^2/8)*((2*ACOS(1-2*CD148/T148))-SIN((2*ACOS(1-2*CD148/T148)))))/((T148/2)*((2*ACOS(1-2*CD148/T148)))))^(2/3))*SQRT(P148))</f>
        <v/>
      </c>
      <c r="CF148" s="14" t="str">
        <f t="shared" si="192"/>
        <v/>
      </c>
      <c r="CG148" s="14" t="str">
        <f t="shared" si="193"/>
        <v/>
      </c>
      <c r="CH148" s="14" t="str">
        <f t="shared" si="194"/>
        <v/>
      </c>
    </row>
    <row r="149" spans="1:86" x14ac:dyDescent="0.25">
      <c r="A149" s="14"/>
      <c r="B149" s="14"/>
      <c r="C149" s="14"/>
      <c r="D149" s="14"/>
      <c r="E149" s="44"/>
      <c r="F149" s="44"/>
      <c r="G149" s="44">
        <f>SUMIFS(CB_plan!$G:$G,CB_plan!$F:$F,$A149)</f>
        <v>0</v>
      </c>
      <c r="H149" s="44">
        <f t="shared" si="156"/>
        <v>0</v>
      </c>
      <c r="I149" s="14"/>
      <c r="J149" s="44"/>
      <c r="K149" s="44" t="str">
        <f>IF(A149="","",Inputs!$B$13/((IF(AV149="",Inputs!$B$18,AV149)+Inputs!$B$14)^Inputs!$B$15))</f>
        <v/>
      </c>
      <c r="L149" s="44" t="str">
        <f>IF(A149="","",IF(H149="","",0.000000278*IF(I149&lt;&gt;"",I149,IFERROR(SUMIFS(CB_plan!$H:$H,CB_plan!$F:$F,$A149)/SUMIFS(CB_plan!$G:$G,CB_plan!$F:$F,$A149),Inputs!$B$17))*H149*K149))</f>
        <v/>
      </c>
      <c r="M149" s="44" t="str">
        <f t="shared" si="157"/>
        <v/>
      </c>
      <c r="N149" s="44" t="str">
        <f>IF(A149="","",(L149+M149)*Inputs!$B$16)</f>
        <v/>
      </c>
      <c r="O149" s="44"/>
      <c r="P149" s="44" t="str">
        <f>IF(A149="","",IF(O149="",Inputs!$B$7,O149))</f>
        <v/>
      </c>
      <c r="Q149" s="14" t="str">
        <f>IF(A149="","",IF(N149/Inputs!$B$10&lt;=AG149,Inputs!$F$5,IF(N149/Inputs!$B$10&gt;AP149,"OVERSIZE",INDEX(Inputs!$F$5:$F$14,MATCH(N149/Inputs!$B$10,AG149:AP149,1)+1))))</f>
        <v/>
      </c>
      <c r="R149" s="14"/>
      <c r="S149" s="14" t="str">
        <f t="shared" si="158"/>
        <v/>
      </c>
      <c r="T149" s="44" t="str">
        <f t="shared" si="159"/>
        <v/>
      </c>
      <c r="U149" s="44" t="str">
        <f>IF(T149="","",(1/Inputs!$B$9)*(PI()*T149^2/4)*((T149/4)^(2/3))*SQRT(P149))</f>
        <v/>
      </c>
      <c r="V149" s="44" t="str">
        <f>IF(OR(U149="",N149=""),"",N149/(U149*Inputs!$B$10))</f>
        <v/>
      </c>
      <c r="W149" s="44" t="str">
        <f t="shared" si="160"/>
        <v/>
      </c>
      <c r="X149" s="44"/>
      <c r="Y149" s="44" t="str">
        <f>IF(A149="","",IF(A149=Inputs!$B$6,Inputs!$B$22,IF(D149="","",IFERROR(INDEX($Z$4:$Z$201,MATCH(D149,$A$4:$A$201,0))+IF(X149="",Inputs!$B$20,X149),""))))</f>
        <v/>
      </c>
      <c r="Z149" s="44" t="str">
        <f t="shared" si="161"/>
        <v/>
      </c>
      <c r="AA149" s="44" t="str">
        <f>IF(C149="","",IFERROR(INDEX(Noeuds_plan!$C$4:$C$200,MATCH(C149,Noeuds_plan!$A$4:$A$200,0)),""))</f>
        <v/>
      </c>
      <c r="AB149" s="44" t="str">
        <f>IF(B149="","",IFERROR(INDEX(Noeuds_plan!$C$4:$C$200,MATCH(B149,Noeuds_plan!$A$4:$A$200,0)),""))</f>
        <v/>
      </c>
      <c r="AC149" s="44" t="str">
        <f t="shared" si="162"/>
        <v/>
      </c>
      <c r="AD149" s="44" t="str">
        <f t="shared" si="163"/>
        <v/>
      </c>
      <c r="AE149" s="14" t="str">
        <f>IF(A149="","",IF(OR(V149&gt;1,AND(AY149&lt;&gt;"",AY149&lt;Inputs!$B$11),AND(AY149&lt;&gt;"",AY149&gt;Inputs!$B$12),AC149&lt;Inputs!$B$19,AD149&lt;Inputs!$B$19,P149&lt;Inputs!$B$7,P149&gt;Inputs!$B$8),"CHECK","OK"))</f>
        <v/>
      </c>
      <c r="AF149" s="14"/>
      <c r="AG149" s="14" t="str">
        <f>IF(A149="","",(1/Inputs!$B$9)*(PI()*(Inputs!$F$5/1000)^2/4)*((Inputs!$F$5/1000/4)^(2/3))*SQRT(P149))</f>
        <v/>
      </c>
      <c r="AH149" s="14" t="str">
        <f>IF(A149="","",(1/Inputs!$B$9)*(PI()*(Inputs!$F$6/1000)^2/4)*((Inputs!$F$6/1000/4)^(2/3))*SQRT(P149))</f>
        <v/>
      </c>
      <c r="AI149" s="14" t="str">
        <f>IF(A149="","",(1/Inputs!$B$9)*(PI()*(Inputs!$F$7/1000)^2/4)*((Inputs!$F$7/1000/4)^(2/3))*SQRT(P149))</f>
        <v/>
      </c>
      <c r="AJ149" s="14" t="str">
        <f>IF(A149="","",(1/Inputs!$B$9)*(PI()*(Inputs!$F$8/1000)^2/4)*((Inputs!$F$8/1000/4)^(2/3))*SQRT(P149))</f>
        <v/>
      </c>
      <c r="AK149" s="14" t="str">
        <f>IF(A149="","",(1/Inputs!$B$9)*(PI()*(Inputs!$F$9/1000)^2/4)*((Inputs!$F$9/1000/4)^(2/3))*SQRT(P149))</f>
        <v/>
      </c>
      <c r="AL149" s="14" t="str">
        <f>IF(A149="","",(1/Inputs!$B$9)*(PI()*(Inputs!$F$10/1000)^2/4)*((Inputs!$F$10/1000/4)^(2/3))*SQRT(P149))</f>
        <v/>
      </c>
      <c r="AM149" s="14" t="str">
        <f>IF(A149="","",(1/Inputs!$B$9)*(PI()*(Inputs!$F$11/1000)^2/4)*((Inputs!$F$11/1000/4)^(2/3))*SQRT(P149))</f>
        <v/>
      </c>
      <c r="AN149" s="14" t="str">
        <f>IF(A149="","",(1/Inputs!$B$9)*(PI()*(Inputs!$F$12/1000)^2/4)*((Inputs!$F$12/1000/4)^(2/3))*SQRT(P149))</f>
        <v/>
      </c>
      <c r="AO149" s="14" t="str">
        <f>IF(A149="","",(1/Inputs!$B$9)*(PI()*(Inputs!$F$13/1000)^2/4)*((Inputs!$F$13/1000/4)^(2/3))*SQRT(P149))</f>
        <v/>
      </c>
      <c r="AP149" s="14" t="str">
        <f>IF(A149="","",(1/Inputs!$B$9)*(PI()*(Inputs!$F$14/1000)^2/4)*((Inputs!$F$14/1000/4)^(2/3))*SQRT(P149))</f>
        <v/>
      </c>
      <c r="AQ149" s="14" t="str">
        <f t="shared" si="164"/>
        <v/>
      </c>
      <c r="AR149" s="14" t="str">
        <f t="shared" si="165"/>
        <v/>
      </c>
      <c r="AS149" s="17" t="str">
        <f>IF(A149="","",IF(J149="",Inputs!$B$18,J149))</f>
        <v/>
      </c>
      <c r="AT149" s="17" t="str">
        <f>IF(A149="","",IFERROR(_xludf.maxifs($AV$4:$AV$201,$D$4:$D$201,$A149),""))</f>
        <v/>
      </c>
      <c r="AU149" s="17" t="str">
        <f>IF(A149="","",IF(OR(E149="",Inputs!$B$23=""),"",E149/(Inputs!$B$23*60)))</f>
        <v/>
      </c>
      <c r="AV149" s="17" t="str">
        <f t="shared" si="166"/>
        <v/>
      </c>
      <c r="AW149" s="17" t="str">
        <f t="shared" si="167"/>
        <v/>
      </c>
      <c r="AX149" s="17" t="str">
        <f>IF(OR(T149="",P149=""),"",(1/Inputs!$B$9)*((T149/4)^(2/3))*SQRT(P149))</f>
        <v/>
      </c>
      <c r="AY149" s="17" t="str">
        <f>IF(A149="","",IF(AND(AW149="",AX149="",BA149=""),"",IF(OR(UPPER(TRIM(Inputs!$B$24))="MANNING",UPPER(TRIM(Inputs!$B$24))="M"),AX149,IF(OR(UPPER(TRIM(Inputs!$B$24))="PARTIAL",UPPER(TRIM(Inputs!$B$24))="P"),BA149,IF(OR(UPPER(TRIM(Inputs!$B$24))="MAX",UPPER(TRIM(Inputs!$B$24))="X"),MAX(IF(AW149="",0,AW149),IF(AX149="",0,AX149),IF(BA149="",0,BA149)),AW149)))))</f>
        <v/>
      </c>
      <c r="AZ149" s="17" t="str">
        <f t="shared" si="168"/>
        <v/>
      </c>
      <c r="BA149" s="17" t="str">
        <f t="shared" si="169"/>
        <v/>
      </c>
      <c r="BB149" s="14" t="str">
        <f t="shared" si="170"/>
        <v/>
      </c>
      <c r="BC149" s="14" t="str">
        <f>IF(OR(N149="",T149="",P149=""),"",IF(OR(T149="",P149="",(0.94*T149)="",T149&lt;=0,(0.94*T149)&lt;=0),"",(1/Inputs!$B$9)*((T149^2/8)*((2*ACOS(1-2*(0.94*T149)/T149))-SIN((2*ACOS(1-2*(0.94*T149)/T149)))))*((((T149^2/8)*((2*ACOS(1-2*(0.94*T149)/T149))-SIN((2*ACOS(1-2*(0.94*T149)/T149)))))/((T149/2)*((2*ACOS(1-2*(0.94*T149)/T149)))))^(2/3))*SQRT(P149)))</f>
        <v/>
      </c>
      <c r="BD149" s="14" t="str">
        <f t="shared" si="171"/>
        <v/>
      </c>
      <c r="BE149" s="14" t="str">
        <f t="shared" si="172"/>
        <v/>
      </c>
      <c r="BF149" s="14" t="str">
        <f t="shared" si="173"/>
        <v/>
      </c>
      <c r="BG149" s="14" t="str">
        <f>IF(OR(T149="",P149="",BF149="",T149&lt;=0,BF149&lt;=0),"",(1/Inputs!$B$9)*((T149^2/8)*((2*ACOS(1-2*BF149/T149))-SIN((2*ACOS(1-2*BF149/T149)))))*((((T149^2/8)*((2*ACOS(1-2*BF149/T149))-SIN((2*ACOS(1-2*BF149/T149)))))/((T149/2)*((2*ACOS(1-2*BF149/T149)))))^(2/3))*SQRT(P149))</f>
        <v/>
      </c>
      <c r="BH149" s="14" t="str">
        <f t="shared" si="174"/>
        <v/>
      </c>
      <c r="BI149" s="14" t="str">
        <f t="shared" si="175"/>
        <v/>
      </c>
      <c r="BJ149" s="14" t="str">
        <f t="shared" si="176"/>
        <v/>
      </c>
      <c r="BK149" s="14" t="str">
        <f>IF(OR(T149="",P149="",BJ149="",T149&lt;=0,BJ149&lt;=0),"",(1/Inputs!$B$9)*((T149^2/8)*((2*ACOS(1-2*BJ149/T149))-SIN((2*ACOS(1-2*BJ149/T149)))))*((((T149^2/8)*((2*ACOS(1-2*BJ149/T149))-SIN((2*ACOS(1-2*BJ149/T149)))))/((T149/2)*((2*ACOS(1-2*BJ149/T149)))))^(2/3))*SQRT(P149))</f>
        <v/>
      </c>
      <c r="BL149" s="14" t="str">
        <f t="shared" si="177"/>
        <v/>
      </c>
      <c r="BM149" s="14" t="str">
        <f t="shared" si="178"/>
        <v/>
      </c>
      <c r="BN149" s="14" t="str">
        <f t="shared" si="179"/>
        <v/>
      </c>
      <c r="BO149" s="14" t="str">
        <f>IF(OR(T149="",P149="",BN149="",T149&lt;=0,BN149&lt;=0),"",(1/Inputs!$B$9)*((T149^2/8)*((2*ACOS(1-2*BN149/T149))-SIN((2*ACOS(1-2*BN149/T149)))))*((((T149^2/8)*((2*ACOS(1-2*BN149/T149))-SIN((2*ACOS(1-2*BN149/T149)))))/((T149/2)*((2*ACOS(1-2*BN149/T149)))))^(2/3))*SQRT(P149))</f>
        <v/>
      </c>
      <c r="BP149" s="14" t="str">
        <f t="shared" si="180"/>
        <v/>
      </c>
      <c r="BQ149" s="14" t="str">
        <f t="shared" si="181"/>
        <v/>
      </c>
      <c r="BR149" s="14" t="str">
        <f t="shared" si="182"/>
        <v/>
      </c>
      <c r="BS149" s="14" t="str">
        <f>IF(OR(T149="",P149="",BR149="",T149&lt;=0,BR149&lt;=0),"",(1/Inputs!$B$9)*((T149^2/8)*((2*ACOS(1-2*BR149/T149))-SIN((2*ACOS(1-2*BR149/T149)))))*((((T149^2/8)*((2*ACOS(1-2*BR149/T149))-SIN((2*ACOS(1-2*BR149/T149)))))/((T149/2)*((2*ACOS(1-2*BR149/T149)))))^(2/3))*SQRT(P149))</f>
        <v/>
      </c>
      <c r="BT149" s="14" t="str">
        <f t="shared" si="183"/>
        <v/>
      </c>
      <c r="BU149" s="14" t="str">
        <f t="shared" si="184"/>
        <v/>
      </c>
      <c r="BV149" s="14" t="str">
        <f t="shared" si="185"/>
        <v/>
      </c>
      <c r="BW149" s="14" t="str">
        <f>IF(OR(T149="",P149="",BV149="",T149&lt;=0,BV149&lt;=0),"",(1/Inputs!$B$9)*((T149^2/8)*((2*ACOS(1-2*BV149/T149))-SIN((2*ACOS(1-2*BV149/T149)))))*((((T149^2/8)*((2*ACOS(1-2*BV149/T149))-SIN((2*ACOS(1-2*BV149/T149)))))/((T149/2)*((2*ACOS(1-2*BV149/T149)))))^(2/3))*SQRT(P149))</f>
        <v/>
      </c>
      <c r="BX149" s="14" t="str">
        <f t="shared" si="186"/>
        <v/>
      </c>
      <c r="BY149" s="14" t="str">
        <f t="shared" si="187"/>
        <v/>
      </c>
      <c r="BZ149" s="14" t="str">
        <f t="shared" si="188"/>
        <v/>
      </c>
      <c r="CA149" s="14" t="str">
        <f>IF(OR(T149="",P149="",BZ149="",T149&lt;=0,BZ149&lt;=0),"",(1/Inputs!$B$9)*((T149^2/8)*((2*ACOS(1-2*BZ149/T149))-SIN((2*ACOS(1-2*BZ149/T149)))))*((((T149^2/8)*((2*ACOS(1-2*BZ149/T149))-SIN((2*ACOS(1-2*BZ149/T149)))))/((T149/2)*((2*ACOS(1-2*BZ149/T149)))))^(2/3))*SQRT(P149))</f>
        <v/>
      </c>
      <c r="CB149" s="14" t="str">
        <f t="shared" si="189"/>
        <v/>
      </c>
      <c r="CC149" s="14" t="str">
        <f t="shared" si="190"/>
        <v/>
      </c>
      <c r="CD149" s="14" t="str">
        <f t="shared" si="191"/>
        <v/>
      </c>
      <c r="CE149" s="14" t="str">
        <f>IF(OR(T149="",P149="",CD149="",T149&lt;=0,CD149&lt;=0),"",(1/Inputs!$B$9)*((T149^2/8)*((2*ACOS(1-2*CD149/T149))-SIN((2*ACOS(1-2*CD149/T149)))))*((((T149^2/8)*((2*ACOS(1-2*CD149/T149))-SIN((2*ACOS(1-2*CD149/T149)))))/((T149/2)*((2*ACOS(1-2*CD149/T149)))))^(2/3))*SQRT(P149))</f>
        <v/>
      </c>
      <c r="CF149" s="14" t="str">
        <f t="shared" si="192"/>
        <v/>
      </c>
      <c r="CG149" s="14" t="str">
        <f t="shared" si="193"/>
        <v/>
      </c>
      <c r="CH149" s="14" t="str">
        <f t="shared" si="194"/>
        <v/>
      </c>
    </row>
    <row r="150" spans="1:86" x14ac:dyDescent="0.25">
      <c r="A150" s="14"/>
      <c r="B150" s="14"/>
      <c r="C150" s="14"/>
      <c r="D150" s="14"/>
      <c r="E150" s="44"/>
      <c r="F150" s="44"/>
      <c r="G150" s="44">
        <f>SUMIFS(CB_plan!$G:$G,CB_plan!$F:$F,$A150)</f>
        <v>0</v>
      </c>
      <c r="H150" s="44">
        <f t="shared" si="156"/>
        <v>0</v>
      </c>
      <c r="I150" s="14"/>
      <c r="J150" s="44"/>
      <c r="K150" s="44" t="str">
        <f>IF(A150="","",Inputs!$B$13/((IF(AV150="",Inputs!$B$18,AV150)+Inputs!$B$14)^Inputs!$B$15))</f>
        <v/>
      </c>
      <c r="L150" s="44" t="str">
        <f>IF(A150="","",IF(H150="","",0.000000278*IF(I150&lt;&gt;"",I150,IFERROR(SUMIFS(CB_plan!$H:$H,CB_plan!$F:$F,$A150)/SUMIFS(CB_plan!$G:$G,CB_plan!$F:$F,$A150),Inputs!$B$17))*H150*K150))</f>
        <v/>
      </c>
      <c r="M150" s="44" t="str">
        <f t="shared" si="157"/>
        <v/>
      </c>
      <c r="N150" s="44" t="str">
        <f>IF(A150="","",(L150+M150)*Inputs!$B$16)</f>
        <v/>
      </c>
      <c r="O150" s="44"/>
      <c r="P150" s="44" t="str">
        <f>IF(A150="","",IF(O150="",Inputs!$B$7,O150))</f>
        <v/>
      </c>
      <c r="Q150" s="14" t="str">
        <f>IF(A150="","",IF(N150/Inputs!$B$10&lt;=AG150,Inputs!$F$5,IF(N150/Inputs!$B$10&gt;AP150,"OVERSIZE",INDEX(Inputs!$F$5:$F$14,MATCH(N150/Inputs!$B$10,AG150:AP150,1)+1))))</f>
        <v/>
      </c>
      <c r="R150" s="14"/>
      <c r="S150" s="14" t="str">
        <f t="shared" si="158"/>
        <v/>
      </c>
      <c r="T150" s="44" t="str">
        <f t="shared" si="159"/>
        <v/>
      </c>
      <c r="U150" s="44" t="str">
        <f>IF(T150="","",(1/Inputs!$B$9)*(PI()*T150^2/4)*((T150/4)^(2/3))*SQRT(P150))</f>
        <v/>
      </c>
      <c r="V150" s="44" t="str">
        <f>IF(OR(U150="",N150=""),"",N150/(U150*Inputs!$B$10))</f>
        <v/>
      </c>
      <c r="W150" s="44" t="str">
        <f t="shared" si="160"/>
        <v/>
      </c>
      <c r="X150" s="44"/>
      <c r="Y150" s="44" t="str">
        <f>IF(A150="","",IF(A150=Inputs!$B$6,Inputs!$B$22,IF(D150="","",IFERROR(INDEX($Z$4:$Z$201,MATCH(D150,$A$4:$A$201,0))+IF(X150="",Inputs!$B$20,X150),""))))</f>
        <v/>
      </c>
      <c r="Z150" s="44" t="str">
        <f t="shared" si="161"/>
        <v/>
      </c>
      <c r="AA150" s="44" t="str">
        <f>IF(C150="","",IFERROR(INDEX(Noeuds_plan!$C$4:$C$200,MATCH(C150,Noeuds_plan!$A$4:$A$200,0)),""))</f>
        <v/>
      </c>
      <c r="AB150" s="44" t="str">
        <f>IF(B150="","",IFERROR(INDEX(Noeuds_plan!$C$4:$C$200,MATCH(B150,Noeuds_plan!$A$4:$A$200,0)),""))</f>
        <v/>
      </c>
      <c r="AC150" s="44" t="str">
        <f t="shared" si="162"/>
        <v/>
      </c>
      <c r="AD150" s="44" t="str">
        <f t="shared" si="163"/>
        <v/>
      </c>
      <c r="AE150" s="14" t="str">
        <f>IF(A150="","",IF(OR(V150&gt;1,AND(AY150&lt;&gt;"",AY150&lt;Inputs!$B$11),AND(AY150&lt;&gt;"",AY150&gt;Inputs!$B$12),AC150&lt;Inputs!$B$19,AD150&lt;Inputs!$B$19,P150&lt;Inputs!$B$7,P150&gt;Inputs!$B$8),"CHECK","OK"))</f>
        <v/>
      </c>
      <c r="AF150" s="14"/>
      <c r="AG150" s="14" t="str">
        <f>IF(A150="","",(1/Inputs!$B$9)*(PI()*(Inputs!$F$5/1000)^2/4)*((Inputs!$F$5/1000/4)^(2/3))*SQRT(P150))</f>
        <v/>
      </c>
      <c r="AH150" s="14" t="str">
        <f>IF(A150="","",(1/Inputs!$B$9)*(PI()*(Inputs!$F$6/1000)^2/4)*((Inputs!$F$6/1000/4)^(2/3))*SQRT(P150))</f>
        <v/>
      </c>
      <c r="AI150" s="14" t="str">
        <f>IF(A150="","",(1/Inputs!$B$9)*(PI()*(Inputs!$F$7/1000)^2/4)*((Inputs!$F$7/1000/4)^(2/3))*SQRT(P150))</f>
        <v/>
      </c>
      <c r="AJ150" s="14" t="str">
        <f>IF(A150="","",(1/Inputs!$B$9)*(PI()*(Inputs!$F$8/1000)^2/4)*((Inputs!$F$8/1000/4)^(2/3))*SQRT(P150))</f>
        <v/>
      </c>
      <c r="AK150" s="14" t="str">
        <f>IF(A150="","",(1/Inputs!$B$9)*(PI()*(Inputs!$F$9/1000)^2/4)*((Inputs!$F$9/1000/4)^(2/3))*SQRT(P150))</f>
        <v/>
      </c>
      <c r="AL150" s="14" t="str">
        <f>IF(A150="","",(1/Inputs!$B$9)*(PI()*(Inputs!$F$10/1000)^2/4)*((Inputs!$F$10/1000/4)^(2/3))*SQRT(P150))</f>
        <v/>
      </c>
      <c r="AM150" s="14" t="str">
        <f>IF(A150="","",(1/Inputs!$B$9)*(PI()*(Inputs!$F$11/1000)^2/4)*((Inputs!$F$11/1000/4)^(2/3))*SQRT(P150))</f>
        <v/>
      </c>
      <c r="AN150" s="14" t="str">
        <f>IF(A150="","",(1/Inputs!$B$9)*(PI()*(Inputs!$F$12/1000)^2/4)*((Inputs!$F$12/1000/4)^(2/3))*SQRT(P150))</f>
        <v/>
      </c>
      <c r="AO150" s="14" t="str">
        <f>IF(A150="","",(1/Inputs!$B$9)*(PI()*(Inputs!$F$13/1000)^2/4)*((Inputs!$F$13/1000/4)^(2/3))*SQRT(P150))</f>
        <v/>
      </c>
      <c r="AP150" s="14" t="str">
        <f>IF(A150="","",(1/Inputs!$B$9)*(PI()*(Inputs!$F$14/1000)^2/4)*((Inputs!$F$14/1000/4)^(2/3))*SQRT(P150))</f>
        <v/>
      </c>
      <c r="AQ150" s="14" t="str">
        <f t="shared" si="164"/>
        <v/>
      </c>
      <c r="AR150" s="14" t="str">
        <f t="shared" si="165"/>
        <v/>
      </c>
      <c r="AS150" s="17" t="str">
        <f>IF(A150="","",IF(J150="",Inputs!$B$18,J150))</f>
        <v/>
      </c>
      <c r="AT150" s="17" t="str">
        <f>IF(A150="","",IFERROR(_xludf.maxifs($AV$4:$AV$201,$D$4:$D$201,$A150),""))</f>
        <v/>
      </c>
      <c r="AU150" s="17" t="str">
        <f>IF(A150="","",IF(OR(E150="",Inputs!$B$23=""),"",E150/(Inputs!$B$23*60)))</f>
        <v/>
      </c>
      <c r="AV150" s="17" t="str">
        <f t="shared" si="166"/>
        <v/>
      </c>
      <c r="AW150" s="17" t="str">
        <f t="shared" si="167"/>
        <v/>
      </c>
      <c r="AX150" s="17" t="str">
        <f>IF(OR(T150="",P150=""),"",(1/Inputs!$B$9)*((T150/4)^(2/3))*SQRT(P150))</f>
        <v/>
      </c>
      <c r="AY150" s="17" t="str">
        <f>IF(A150="","",IF(AND(AW150="",AX150="",BA150=""),"",IF(OR(UPPER(TRIM(Inputs!$B$24))="MANNING",UPPER(TRIM(Inputs!$B$24))="M"),AX150,IF(OR(UPPER(TRIM(Inputs!$B$24))="PARTIAL",UPPER(TRIM(Inputs!$B$24))="P"),BA150,IF(OR(UPPER(TRIM(Inputs!$B$24))="MAX",UPPER(TRIM(Inputs!$B$24))="X"),MAX(IF(AW150="",0,AW150),IF(AX150="",0,AX150),IF(BA150="",0,BA150)),AW150)))))</f>
        <v/>
      </c>
      <c r="AZ150" s="17" t="str">
        <f t="shared" si="168"/>
        <v/>
      </c>
      <c r="BA150" s="17" t="str">
        <f t="shared" si="169"/>
        <v/>
      </c>
      <c r="BB150" s="14" t="str">
        <f t="shared" si="170"/>
        <v/>
      </c>
      <c r="BC150" s="14" t="str">
        <f>IF(OR(N150="",T150="",P150=""),"",IF(OR(T150="",P150="",(0.94*T150)="",T150&lt;=0,(0.94*T150)&lt;=0),"",(1/Inputs!$B$9)*((T150^2/8)*((2*ACOS(1-2*(0.94*T150)/T150))-SIN((2*ACOS(1-2*(0.94*T150)/T150)))))*((((T150^2/8)*((2*ACOS(1-2*(0.94*T150)/T150))-SIN((2*ACOS(1-2*(0.94*T150)/T150)))))/((T150/2)*((2*ACOS(1-2*(0.94*T150)/T150)))))^(2/3))*SQRT(P150)))</f>
        <v/>
      </c>
      <c r="BD150" s="14" t="str">
        <f t="shared" si="171"/>
        <v/>
      </c>
      <c r="BE150" s="14" t="str">
        <f t="shared" si="172"/>
        <v/>
      </c>
      <c r="BF150" s="14" t="str">
        <f t="shared" si="173"/>
        <v/>
      </c>
      <c r="BG150" s="14" t="str">
        <f>IF(OR(T150="",P150="",BF150="",T150&lt;=0,BF150&lt;=0),"",(1/Inputs!$B$9)*((T150^2/8)*((2*ACOS(1-2*BF150/T150))-SIN((2*ACOS(1-2*BF150/T150)))))*((((T150^2/8)*((2*ACOS(1-2*BF150/T150))-SIN((2*ACOS(1-2*BF150/T150)))))/((T150/2)*((2*ACOS(1-2*BF150/T150)))))^(2/3))*SQRT(P150))</f>
        <v/>
      </c>
      <c r="BH150" s="14" t="str">
        <f t="shared" si="174"/>
        <v/>
      </c>
      <c r="BI150" s="14" t="str">
        <f t="shared" si="175"/>
        <v/>
      </c>
      <c r="BJ150" s="14" t="str">
        <f t="shared" si="176"/>
        <v/>
      </c>
      <c r="BK150" s="14" t="str">
        <f>IF(OR(T150="",P150="",BJ150="",T150&lt;=0,BJ150&lt;=0),"",(1/Inputs!$B$9)*((T150^2/8)*((2*ACOS(1-2*BJ150/T150))-SIN((2*ACOS(1-2*BJ150/T150)))))*((((T150^2/8)*((2*ACOS(1-2*BJ150/T150))-SIN((2*ACOS(1-2*BJ150/T150)))))/((T150/2)*((2*ACOS(1-2*BJ150/T150)))))^(2/3))*SQRT(P150))</f>
        <v/>
      </c>
      <c r="BL150" s="14" t="str">
        <f t="shared" si="177"/>
        <v/>
      </c>
      <c r="BM150" s="14" t="str">
        <f t="shared" si="178"/>
        <v/>
      </c>
      <c r="BN150" s="14" t="str">
        <f t="shared" si="179"/>
        <v/>
      </c>
      <c r="BO150" s="14" t="str">
        <f>IF(OR(T150="",P150="",BN150="",T150&lt;=0,BN150&lt;=0),"",(1/Inputs!$B$9)*((T150^2/8)*((2*ACOS(1-2*BN150/T150))-SIN((2*ACOS(1-2*BN150/T150)))))*((((T150^2/8)*((2*ACOS(1-2*BN150/T150))-SIN((2*ACOS(1-2*BN150/T150)))))/((T150/2)*((2*ACOS(1-2*BN150/T150)))))^(2/3))*SQRT(P150))</f>
        <v/>
      </c>
      <c r="BP150" s="14" t="str">
        <f t="shared" si="180"/>
        <v/>
      </c>
      <c r="BQ150" s="14" t="str">
        <f t="shared" si="181"/>
        <v/>
      </c>
      <c r="BR150" s="14" t="str">
        <f t="shared" si="182"/>
        <v/>
      </c>
      <c r="BS150" s="14" t="str">
        <f>IF(OR(T150="",P150="",BR150="",T150&lt;=0,BR150&lt;=0),"",(1/Inputs!$B$9)*((T150^2/8)*((2*ACOS(1-2*BR150/T150))-SIN((2*ACOS(1-2*BR150/T150)))))*((((T150^2/8)*((2*ACOS(1-2*BR150/T150))-SIN((2*ACOS(1-2*BR150/T150)))))/((T150/2)*((2*ACOS(1-2*BR150/T150)))))^(2/3))*SQRT(P150))</f>
        <v/>
      </c>
      <c r="BT150" s="14" t="str">
        <f t="shared" si="183"/>
        <v/>
      </c>
      <c r="BU150" s="14" t="str">
        <f t="shared" si="184"/>
        <v/>
      </c>
      <c r="BV150" s="14" t="str">
        <f t="shared" si="185"/>
        <v/>
      </c>
      <c r="BW150" s="14" t="str">
        <f>IF(OR(T150="",P150="",BV150="",T150&lt;=0,BV150&lt;=0),"",(1/Inputs!$B$9)*((T150^2/8)*((2*ACOS(1-2*BV150/T150))-SIN((2*ACOS(1-2*BV150/T150)))))*((((T150^2/8)*((2*ACOS(1-2*BV150/T150))-SIN((2*ACOS(1-2*BV150/T150)))))/((T150/2)*((2*ACOS(1-2*BV150/T150)))))^(2/3))*SQRT(P150))</f>
        <v/>
      </c>
      <c r="BX150" s="14" t="str">
        <f t="shared" si="186"/>
        <v/>
      </c>
      <c r="BY150" s="14" t="str">
        <f t="shared" si="187"/>
        <v/>
      </c>
      <c r="BZ150" s="14" t="str">
        <f t="shared" si="188"/>
        <v/>
      </c>
      <c r="CA150" s="14" t="str">
        <f>IF(OR(T150="",P150="",BZ150="",T150&lt;=0,BZ150&lt;=0),"",(1/Inputs!$B$9)*((T150^2/8)*((2*ACOS(1-2*BZ150/T150))-SIN((2*ACOS(1-2*BZ150/T150)))))*((((T150^2/8)*((2*ACOS(1-2*BZ150/T150))-SIN((2*ACOS(1-2*BZ150/T150)))))/((T150/2)*((2*ACOS(1-2*BZ150/T150)))))^(2/3))*SQRT(P150))</f>
        <v/>
      </c>
      <c r="CB150" s="14" t="str">
        <f t="shared" si="189"/>
        <v/>
      </c>
      <c r="CC150" s="14" t="str">
        <f t="shared" si="190"/>
        <v/>
      </c>
      <c r="CD150" s="14" t="str">
        <f t="shared" si="191"/>
        <v/>
      </c>
      <c r="CE150" s="14" t="str">
        <f>IF(OR(T150="",P150="",CD150="",T150&lt;=0,CD150&lt;=0),"",(1/Inputs!$B$9)*((T150^2/8)*((2*ACOS(1-2*CD150/T150))-SIN((2*ACOS(1-2*CD150/T150)))))*((((T150^2/8)*((2*ACOS(1-2*CD150/T150))-SIN((2*ACOS(1-2*CD150/T150)))))/((T150/2)*((2*ACOS(1-2*CD150/T150)))))^(2/3))*SQRT(P150))</f>
        <v/>
      </c>
      <c r="CF150" s="14" t="str">
        <f t="shared" si="192"/>
        <v/>
      </c>
      <c r="CG150" s="14" t="str">
        <f t="shared" si="193"/>
        <v/>
      </c>
      <c r="CH150" s="14" t="str">
        <f t="shared" si="194"/>
        <v/>
      </c>
    </row>
    <row r="151" spans="1:86" x14ac:dyDescent="0.25">
      <c r="A151" s="14"/>
      <c r="B151" s="14"/>
      <c r="C151" s="14"/>
      <c r="D151" s="14"/>
      <c r="E151" s="44"/>
      <c r="F151" s="44"/>
      <c r="G151" s="44">
        <f>SUMIFS(CB_plan!$G:$G,CB_plan!$F:$F,$A151)</f>
        <v>0</v>
      </c>
      <c r="H151" s="44">
        <f t="shared" si="156"/>
        <v>0</v>
      </c>
      <c r="I151" s="14"/>
      <c r="J151" s="44"/>
      <c r="K151" s="44" t="str">
        <f>IF(A151="","",Inputs!$B$13/((IF(AV151="",Inputs!$B$18,AV151)+Inputs!$B$14)^Inputs!$B$15))</f>
        <v/>
      </c>
      <c r="L151" s="44" t="str">
        <f>IF(A151="","",IF(H151="","",0.000000278*IF(I151&lt;&gt;"",I151,IFERROR(SUMIFS(CB_plan!$H:$H,CB_plan!$F:$F,$A151)/SUMIFS(CB_plan!$G:$G,CB_plan!$F:$F,$A151),Inputs!$B$17))*H151*K151))</f>
        <v/>
      </c>
      <c r="M151" s="44" t="str">
        <f t="shared" si="157"/>
        <v/>
      </c>
      <c r="N151" s="44" t="str">
        <f>IF(A151="","",(L151+M151)*Inputs!$B$16)</f>
        <v/>
      </c>
      <c r="O151" s="44"/>
      <c r="P151" s="44" t="str">
        <f>IF(A151="","",IF(O151="",Inputs!$B$7,O151))</f>
        <v/>
      </c>
      <c r="Q151" s="14" t="str">
        <f>IF(A151="","",IF(N151/Inputs!$B$10&lt;=AG151,Inputs!$F$5,IF(N151/Inputs!$B$10&gt;AP151,"OVERSIZE",INDEX(Inputs!$F$5:$F$14,MATCH(N151/Inputs!$B$10,AG151:AP151,1)+1))))</f>
        <v/>
      </c>
      <c r="R151" s="14"/>
      <c r="S151" s="14" t="str">
        <f t="shared" si="158"/>
        <v/>
      </c>
      <c r="T151" s="44" t="str">
        <f t="shared" si="159"/>
        <v/>
      </c>
      <c r="U151" s="44" t="str">
        <f>IF(T151="","",(1/Inputs!$B$9)*(PI()*T151^2/4)*((T151/4)^(2/3))*SQRT(P151))</f>
        <v/>
      </c>
      <c r="V151" s="44" t="str">
        <f>IF(OR(U151="",N151=""),"",N151/(U151*Inputs!$B$10))</f>
        <v/>
      </c>
      <c r="W151" s="44" t="str">
        <f t="shared" si="160"/>
        <v/>
      </c>
      <c r="X151" s="44"/>
      <c r="Y151" s="44" t="str">
        <f>IF(A151="","",IF(A151=Inputs!$B$6,Inputs!$B$22,IF(D151="","",IFERROR(INDEX($Z$4:$Z$201,MATCH(D151,$A$4:$A$201,0))+IF(X151="",Inputs!$B$20,X151),""))))</f>
        <v/>
      </c>
      <c r="Z151" s="44" t="str">
        <f t="shared" si="161"/>
        <v/>
      </c>
      <c r="AA151" s="44" t="str">
        <f>IF(C151="","",IFERROR(INDEX(Noeuds_plan!$C$4:$C$200,MATCH(C151,Noeuds_plan!$A$4:$A$200,0)),""))</f>
        <v/>
      </c>
      <c r="AB151" s="44" t="str">
        <f>IF(B151="","",IFERROR(INDEX(Noeuds_plan!$C$4:$C$200,MATCH(B151,Noeuds_plan!$A$4:$A$200,0)),""))</f>
        <v/>
      </c>
      <c r="AC151" s="44" t="str">
        <f t="shared" si="162"/>
        <v/>
      </c>
      <c r="AD151" s="44" t="str">
        <f t="shared" si="163"/>
        <v/>
      </c>
      <c r="AE151" s="14" t="str">
        <f>IF(A151="","",IF(OR(V151&gt;1,AND(AY151&lt;&gt;"",AY151&lt;Inputs!$B$11),AND(AY151&lt;&gt;"",AY151&gt;Inputs!$B$12),AC151&lt;Inputs!$B$19,AD151&lt;Inputs!$B$19,P151&lt;Inputs!$B$7,P151&gt;Inputs!$B$8),"CHECK","OK"))</f>
        <v/>
      </c>
      <c r="AF151" s="14"/>
      <c r="AG151" s="14" t="str">
        <f>IF(A151="","",(1/Inputs!$B$9)*(PI()*(Inputs!$F$5/1000)^2/4)*((Inputs!$F$5/1000/4)^(2/3))*SQRT(P151))</f>
        <v/>
      </c>
      <c r="AH151" s="14" t="str">
        <f>IF(A151="","",(1/Inputs!$B$9)*(PI()*(Inputs!$F$6/1000)^2/4)*((Inputs!$F$6/1000/4)^(2/3))*SQRT(P151))</f>
        <v/>
      </c>
      <c r="AI151" s="14" t="str">
        <f>IF(A151="","",(1/Inputs!$B$9)*(PI()*(Inputs!$F$7/1000)^2/4)*((Inputs!$F$7/1000/4)^(2/3))*SQRT(P151))</f>
        <v/>
      </c>
      <c r="AJ151" s="14" t="str">
        <f>IF(A151="","",(1/Inputs!$B$9)*(PI()*(Inputs!$F$8/1000)^2/4)*((Inputs!$F$8/1000/4)^(2/3))*SQRT(P151))</f>
        <v/>
      </c>
      <c r="AK151" s="14" t="str">
        <f>IF(A151="","",(1/Inputs!$B$9)*(PI()*(Inputs!$F$9/1000)^2/4)*((Inputs!$F$9/1000/4)^(2/3))*SQRT(P151))</f>
        <v/>
      </c>
      <c r="AL151" s="14" t="str">
        <f>IF(A151="","",(1/Inputs!$B$9)*(PI()*(Inputs!$F$10/1000)^2/4)*((Inputs!$F$10/1000/4)^(2/3))*SQRT(P151))</f>
        <v/>
      </c>
      <c r="AM151" s="14" t="str">
        <f>IF(A151="","",(1/Inputs!$B$9)*(PI()*(Inputs!$F$11/1000)^2/4)*((Inputs!$F$11/1000/4)^(2/3))*SQRT(P151))</f>
        <v/>
      </c>
      <c r="AN151" s="14" t="str">
        <f>IF(A151="","",(1/Inputs!$B$9)*(PI()*(Inputs!$F$12/1000)^2/4)*((Inputs!$F$12/1000/4)^(2/3))*SQRT(P151))</f>
        <v/>
      </c>
      <c r="AO151" s="14" t="str">
        <f>IF(A151="","",(1/Inputs!$B$9)*(PI()*(Inputs!$F$13/1000)^2/4)*((Inputs!$F$13/1000/4)^(2/3))*SQRT(P151))</f>
        <v/>
      </c>
      <c r="AP151" s="14" t="str">
        <f>IF(A151="","",(1/Inputs!$B$9)*(PI()*(Inputs!$F$14/1000)^2/4)*((Inputs!$F$14/1000/4)^(2/3))*SQRT(P151))</f>
        <v/>
      </c>
      <c r="AQ151" s="14" t="str">
        <f t="shared" si="164"/>
        <v/>
      </c>
      <c r="AR151" s="14" t="str">
        <f t="shared" si="165"/>
        <v/>
      </c>
      <c r="AS151" s="17" t="str">
        <f>IF(A151="","",IF(J151="",Inputs!$B$18,J151))</f>
        <v/>
      </c>
      <c r="AT151" s="17" t="str">
        <f>IF(A151="","",IFERROR(_xludf.maxifs($AV$4:$AV$201,$D$4:$D$201,$A151),""))</f>
        <v/>
      </c>
      <c r="AU151" s="17" t="str">
        <f>IF(A151="","",IF(OR(E151="",Inputs!$B$23=""),"",E151/(Inputs!$B$23*60)))</f>
        <v/>
      </c>
      <c r="AV151" s="17" t="str">
        <f t="shared" si="166"/>
        <v/>
      </c>
      <c r="AW151" s="17" t="str">
        <f t="shared" si="167"/>
        <v/>
      </c>
      <c r="AX151" s="17" t="str">
        <f>IF(OR(T151="",P151=""),"",(1/Inputs!$B$9)*((T151/4)^(2/3))*SQRT(P151))</f>
        <v/>
      </c>
      <c r="AY151" s="17" t="str">
        <f>IF(A151="","",IF(AND(AW151="",AX151="",BA151=""),"",IF(OR(UPPER(TRIM(Inputs!$B$24))="MANNING",UPPER(TRIM(Inputs!$B$24))="M"),AX151,IF(OR(UPPER(TRIM(Inputs!$B$24))="PARTIAL",UPPER(TRIM(Inputs!$B$24))="P"),BA151,IF(OR(UPPER(TRIM(Inputs!$B$24))="MAX",UPPER(TRIM(Inputs!$B$24))="X"),MAX(IF(AW151="",0,AW151),IF(AX151="",0,AX151),IF(BA151="",0,BA151)),AW151)))))</f>
        <v/>
      </c>
      <c r="AZ151" s="17" t="str">
        <f t="shared" si="168"/>
        <v/>
      </c>
      <c r="BA151" s="17" t="str">
        <f t="shared" si="169"/>
        <v/>
      </c>
      <c r="BB151" s="14" t="str">
        <f t="shared" si="170"/>
        <v/>
      </c>
      <c r="BC151" s="14" t="str">
        <f>IF(OR(N151="",T151="",P151=""),"",IF(OR(T151="",P151="",(0.94*T151)="",T151&lt;=0,(0.94*T151)&lt;=0),"",(1/Inputs!$B$9)*((T151^2/8)*((2*ACOS(1-2*(0.94*T151)/T151))-SIN((2*ACOS(1-2*(0.94*T151)/T151)))))*((((T151^2/8)*((2*ACOS(1-2*(0.94*T151)/T151))-SIN((2*ACOS(1-2*(0.94*T151)/T151)))))/((T151/2)*((2*ACOS(1-2*(0.94*T151)/T151)))))^(2/3))*SQRT(P151)))</f>
        <v/>
      </c>
      <c r="BD151" s="14" t="str">
        <f t="shared" si="171"/>
        <v/>
      </c>
      <c r="BE151" s="14" t="str">
        <f t="shared" si="172"/>
        <v/>
      </c>
      <c r="BF151" s="14" t="str">
        <f t="shared" si="173"/>
        <v/>
      </c>
      <c r="BG151" s="14" t="str">
        <f>IF(OR(T151="",P151="",BF151="",T151&lt;=0,BF151&lt;=0),"",(1/Inputs!$B$9)*((T151^2/8)*((2*ACOS(1-2*BF151/T151))-SIN((2*ACOS(1-2*BF151/T151)))))*((((T151^2/8)*((2*ACOS(1-2*BF151/T151))-SIN((2*ACOS(1-2*BF151/T151)))))/((T151/2)*((2*ACOS(1-2*BF151/T151)))))^(2/3))*SQRT(P151))</f>
        <v/>
      </c>
      <c r="BH151" s="14" t="str">
        <f t="shared" si="174"/>
        <v/>
      </c>
      <c r="BI151" s="14" t="str">
        <f t="shared" si="175"/>
        <v/>
      </c>
      <c r="BJ151" s="14" t="str">
        <f t="shared" si="176"/>
        <v/>
      </c>
      <c r="BK151" s="14" t="str">
        <f>IF(OR(T151="",P151="",BJ151="",T151&lt;=0,BJ151&lt;=0),"",(1/Inputs!$B$9)*((T151^2/8)*((2*ACOS(1-2*BJ151/T151))-SIN((2*ACOS(1-2*BJ151/T151)))))*((((T151^2/8)*((2*ACOS(1-2*BJ151/T151))-SIN((2*ACOS(1-2*BJ151/T151)))))/((T151/2)*((2*ACOS(1-2*BJ151/T151)))))^(2/3))*SQRT(P151))</f>
        <v/>
      </c>
      <c r="BL151" s="14" t="str">
        <f t="shared" si="177"/>
        <v/>
      </c>
      <c r="BM151" s="14" t="str">
        <f t="shared" si="178"/>
        <v/>
      </c>
      <c r="BN151" s="14" t="str">
        <f t="shared" si="179"/>
        <v/>
      </c>
      <c r="BO151" s="14" t="str">
        <f>IF(OR(T151="",P151="",BN151="",T151&lt;=0,BN151&lt;=0),"",(1/Inputs!$B$9)*((T151^2/8)*((2*ACOS(1-2*BN151/T151))-SIN((2*ACOS(1-2*BN151/T151)))))*((((T151^2/8)*((2*ACOS(1-2*BN151/T151))-SIN((2*ACOS(1-2*BN151/T151)))))/((T151/2)*((2*ACOS(1-2*BN151/T151)))))^(2/3))*SQRT(P151))</f>
        <v/>
      </c>
      <c r="BP151" s="14" t="str">
        <f t="shared" si="180"/>
        <v/>
      </c>
      <c r="BQ151" s="14" t="str">
        <f t="shared" si="181"/>
        <v/>
      </c>
      <c r="BR151" s="14" t="str">
        <f t="shared" si="182"/>
        <v/>
      </c>
      <c r="BS151" s="14" t="str">
        <f>IF(OR(T151="",P151="",BR151="",T151&lt;=0,BR151&lt;=0),"",(1/Inputs!$B$9)*((T151^2/8)*((2*ACOS(1-2*BR151/T151))-SIN((2*ACOS(1-2*BR151/T151)))))*((((T151^2/8)*((2*ACOS(1-2*BR151/T151))-SIN((2*ACOS(1-2*BR151/T151)))))/((T151/2)*((2*ACOS(1-2*BR151/T151)))))^(2/3))*SQRT(P151))</f>
        <v/>
      </c>
      <c r="BT151" s="14" t="str">
        <f t="shared" si="183"/>
        <v/>
      </c>
      <c r="BU151" s="14" t="str">
        <f t="shared" si="184"/>
        <v/>
      </c>
      <c r="BV151" s="14" t="str">
        <f t="shared" si="185"/>
        <v/>
      </c>
      <c r="BW151" s="14" t="str">
        <f>IF(OR(T151="",P151="",BV151="",T151&lt;=0,BV151&lt;=0),"",(1/Inputs!$B$9)*((T151^2/8)*((2*ACOS(1-2*BV151/T151))-SIN((2*ACOS(1-2*BV151/T151)))))*((((T151^2/8)*((2*ACOS(1-2*BV151/T151))-SIN((2*ACOS(1-2*BV151/T151)))))/((T151/2)*((2*ACOS(1-2*BV151/T151)))))^(2/3))*SQRT(P151))</f>
        <v/>
      </c>
      <c r="BX151" s="14" t="str">
        <f t="shared" si="186"/>
        <v/>
      </c>
      <c r="BY151" s="14" t="str">
        <f t="shared" si="187"/>
        <v/>
      </c>
      <c r="BZ151" s="14" t="str">
        <f t="shared" si="188"/>
        <v/>
      </c>
      <c r="CA151" s="14" t="str">
        <f>IF(OR(T151="",P151="",BZ151="",T151&lt;=0,BZ151&lt;=0),"",(1/Inputs!$B$9)*((T151^2/8)*((2*ACOS(1-2*BZ151/T151))-SIN((2*ACOS(1-2*BZ151/T151)))))*((((T151^2/8)*((2*ACOS(1-2*BZ151/T151))-SIN((2*ACOS(1-2*BZ151/T151)))))/((T151/2)*((2*ACOS(1-2*BZ151/T151)))))^(2/3))*SQRT(P151))</f>
        <v/>
      </c>
      <c r="CB151" s="14" t="str">
        <f t="shared" si="189"/>
        <v/>
      </c>
      <c r="CC151" s="14" t="str">
        <f t="shared" si="190"/>
        <v/>
      </c>
      <c r="CD151" s="14" t="str">
        <f t="shared" si="191"/>
        <v/>
      </c>
      <c r="CE151" s="14" t="str">
        <f>IF(OR(T151="",P151="",CD151="",T151&lt;=0,CD151&lt;=0),"",(1/Inputs!$B$9)*((T151^2/8)*((2*ACOS(1-2*CD151/T151))-SIN((2*ACOS(1-2*CD151/T151)))))*((((T151^2/8)*((2*ACOS(1-2*CD151/T151))-SIN((2*ACOS(1-2*CD151/T151)))))/((T151/2)*((2*ACOS(1-2*CD151/T151)))))^(2/3))*SQRT(P151))</f>
        <v/>
      </c>
      <c r="CF151" s="14" t="str">
        <f t="shared" si="192"/>
        <v/>
      </c>
      <c r="CG151" s="14" t="str">
        <f t="shared" si="193"/>
        <v/>
      </c>
      <c r="CH151" s="14" t="str">
        <f t="shared" si="194"/>
        <v/>
      </c>
    </row>
    <row r="152" spans="1:86" x14ac:dyDescent="0.25">
      <c r="A152" s="14"/>
      <c r="B152" s="14"/>
      <c r="C152" s="14"/>
      <c r="D152" s="14"/>
      <c r="E152" s="44"/>
      <c r="F152" s="44"/>
      <c r="G152" s="44">
        <f>SUMIFS(CB_plan!$G:$G,CB_plan!$F:$F,$A152)</f>
        <v>0</v>
      </c>
      <c r="H152" s="44">
        <f t="shared" si="156"/>
        <v>0</v>
      </c>
      <c r="I152" s="14"/>
      <c r="J152" s="44"/>
      <c r="K152" s="44" t="str">
        <f>IF(A152="","",Inputs!$B$13/((IF(AV152="",Inputs!$B$18,AV152)+Inputs!$B$14)^Inputs!$B$15))</f>
        <v/>
      </c>
      <c r="L152" s="44" t="str">
        <f>IF(A152="","",IF(H152="","",0.000000278*IF(I152&lt;&gt;"",I152,IFERROR(SUMIFS(CB_plan!$H:$H,CB_plan!$F:$F,$A152)/SUMIFS(CB_plan!$G:$G,CB_plan!$F:$F,$A152),Inputs!$B$17))*H152*K152))</f>
        <v/>
      </c>
      <c r="M152" s="44" t="str">
        <f t="shared" si="157"/>
        <v/>
      </c>
      <c r="N152" s="44" t="str">
        <f>IF(A152="","",(L152+M152)*Inputs!$B$16)</f>
        <v/>
      </c>
      <c r="O152" s="44"/>
      <c r="P152" s="44" t="str">
        <f>IF(A152="","",IF(O152="",Inputs!$B$7,O152))</f>
        <v/>
      </c>
      <c r="Q152" s="14" t="str">
        <f>IF(A152="","",IF(N152/Inputs!$B$10&lt;=AG152,Inputs!$F$5,IF(N152/Inputs!$B$10&gt;AP152,"OVERSIZE",INDEX(Inputs!$F$5:$F$14,MATCH(N152/Inputs!$B$10,AG152:AP152,1)+1))))</f>
        <v/>
      </c>
      <c r="R152" s="14"/>
      <c r="S152" s="14" t="str">
        <f t="shared" si="158"/>
        <v/>
      </c>
      <c r="T152" s="44" t="str">
        <f t="shared" si="159"/>
        <v/>
      </c>
      <c r="U152" s="44" t="str">
        <f>IF(T152="","",(1/Inputs!$B$9)*(PI()*T152^2/4)*((T152/4)^(2/3))*SQRT(P152))</f>
        <v/>
      </c>
      <c r="V152" s="44" t="str">
        <f>IF(OR(U152="",N152=""),"",N152/(U152*Inputs!$B$10))</f>
        <v/>
      </c>
      <c r="W152" s="44" t="str">
        <f t="shared" si="160"/>
        <v/>
      </c>
      <c r="X152" s="44"/>
      <c r="Y152" s="44" t="str">
        <f>IF(A152="","",IF(A152=Inputs!$B$6,Inputs!$B$22,IF(D152="","",IFERROR(INDEX($Z$4:$Z$201,MATCH(D152,$A$4:$A$201,0))+IF(X152="",Inputs!$B$20,X152),""))))</f>
        <v/>
      </c>
      <c r="Z152" s="44" t="str">
        <f t="shared" si="161"/>
        <v/>
      </c>
      <c r="AA152" s="44" t="str">
        <f>IF(C152="","",IFERROR(INDEX(Noeuds_plan!$C$4:$C$200,MATCH(C152,Noeuds_plan!$A$4:$A$200,0)),""))</f>
        <v/>
      </c>
      <c r="AB152" s="44" t="str">
        <f>IF(B152="","",IFERROR(INDEX(Noeuds_plan!$C$4:$C$200,MATCH(B152,Noeuds_plan!$A$4:$A$200,0)),""))</f>
        <v/>
      </c>
      <c r="AC152" s="44" t="str">
        <f t="shared" si="162"/>
        <v/>
      </c>
      <c r="AD152" s="44" t="str">
        <f t="shared" si="163"/>
        <v/>
      </c>
      <c r="AE152" s="14" t="str">
        <f>IF(A152="","",IF(OR(V152&gt;1,AND(AY152&lt;&gt;"",AY152&lt;Inputs!$B$11),AND(AY152&lt;&gt;"",AY152&gt;Inputs!$B$12),AC152&lt;Inputs!$B$19,AD152&lt;Inputs!$B$19,P152&lt;Inputs!$B$7,P152&gt;Inputs!$B$8),"CHECK","OK"))</f>
        <v/>
      </c>
      <c r="AF152" s="14"/>
      <c r="AG152" s="14" t="str">
        <f>IF(A152="","",(1/Inputs!$B$9)*(PI()*(Inputs!$F$5/1000)^2/4)*((Inputs!$F$5/1000/4)^(2/3))*SQRT(P152))</f>
        <v/>
      </c>
      <c r="AH152" s="14" t="str">
        <f>IF(A152="","",(1/Inputs!$B$9)*(PI()*(Inputs!$F$6/1000)^2/4)*((Inputs!$F$6/1000/4)^(2/3))*SQRT(P152))</f>
        <v/>
      </c>
      <c r="AI152" s="14" t="str">
        <f>IF(A152="","",(1/Inputs!$B$9)*(PI()*(Inputs!$F$7/1000)^2/4)*((Inputs!$F$7/1000/4)^(2/3))*SQRT(P152))</f>
        <v/>
      </c>
      <c r="AJ152" s="14" t="str">
        <f>IF(A152="","",(1/Inputs!$B$9)*(PI()*(Inputs!$F$8/1000)^2/4)*((Inputs!$F$8/1000/4)^(2/3))*SQRT(P152))</f>
        <v/>
      </c>
      <c r="AK152" s="14" t="str">
        <f>IF(A152="","",(1/Inputs!$B$9)*(PI()*(Inputs!$F$9/1000)^2/4)*((Inputs!$F$9/1000/4)^(2/3))*SQRT(P152))</f>
        <v/>
      </c>
      <c r="AL152" s="14" t="str">
        <f>IF(A152="","",(1/Inputs!$B$9)*(PI()*(Inputs!$F$10/1000)^2/4)*((Inputs!$F$10/1000/4)^(2/3))*SQRT(P152))</f>
        <v/>
      </c>
      <c r="AM152" s="14" t="str">
        <f>IF(A152="","",(1/Inputs!$B$9)*(PI()*(Inputs!$F$11/1000)^2/4)*((Inputs!$F$11/1000/4)^(2/3))*SQRT(P152))</f>
        <v/>
      </c>
      <c r="AN152" s="14" t="str">
        <f>IF(A152="","",(1/Inputs!$B$9)*(PI()*(Inputs!$F$12/1000)^2/4)*((Inputs!$F$12/1000/4)^(2/3))*SQRT(P152))</f>
        <v/>
      </c>
      <c r="AO152" s="14" t="str">
        <f>IF(A152="","",(1/Inputs!$B$9)*(PI()*(Inputs!$F$13/1000)^2/4)*((Inputs!$F$13/1000/4)^(2/3))*SQRT(P152))</f>
        <v/>
      </c>
      <c r="AP152" s="14" t="str">
        <f>IF(A152="","",(1/Inputs!$B$9)*(PI()*(Inputs!$F$14/1000)^2/4)*((Inputs!$F$14/1000/4)^(2/3))*SQRT(P152))</f>
        <v/>
      </c>
      <c r="AQ152" s="14" t="str">
        <f t="shared" si="164"/>
        <v/>
      </c>
      <c r="AR152" s="14" t="str">
        <f t="shared" si="165"/>
        <v/>
      </c>
      <c r="AS152" s="17" t="str">
        <f>IF(A152="","",IF(J152="",Inputs!$B$18,J152))</f>
        <v/>
      </c>
      <c r="AT152" s="17" t="str">
        <f>IF(A152="","",IFERROR(_xludf.maxifs($AV$4:$AV$201,$D$4:$D$201,$A152),""))</f>
        <v/>
      </c>
      <c r="AU152" s="17" t="str">
        <f>IF(A152="","",IF(OR(E152="",Inputs!$B$23=""),"",E152/(Inputs!$B$23*60)))</f>
        <v/>
      </c>
      <c r="AV152" s="17" t="str">
        <f t="shared" si="166"/>
        <v/>
      </c>
      <c r="AW152" s="17" t="str">
        <f t="shared" si="167"/>
        <v/>
      </c>
      <c r="AX152" s="17" t="str">
        <f>IF(OR(T152="",P152=""),"",(1/Inputs!$B$9)*((T152/4)^(2/3))*SQRT(P152))</f>
        <v/>
      </c>
      <c r="AY152" s="17" t="str">
        <f>IF(A152="","",IF(AND(AW152="",AX152="",BA152=""),"",IF(OR(UPPER(TRIM(Inputs!$B$24))="MANNING",UPPER(TRIM(Inputs!$B$24))="M"),AX152,IF(OR(UPPER(TRIM(Inputs!$B$24))="PARTIAL",UPPER(TRIM(Inputs!$B$24))="P"),BA152,IF(OR(UPPER(TRIM(Inputs!$B$24))="MAX",UPPER(TRIM(Inputs!$B$24))="X"),MAX(IF(AW152="",0,AW152),IF(AX152="",0,AX152),IF(BA152="",0,BA152)),AW152)))))</f>
        <v/>
      </c>
      <c r="AZ152" s="17" t="str">
        <f t="shared" si="168"/>
        <v/>
      </c>
      <c r="BA152" s="17" t="str">
        <f t="shared" si="169"/>
        <v/>
      </c>
      <c r="BB152" s="14" t="str">
        <f t="shared" si="170"/>
        <v/>
      </c>
      <c r="BC152" s="14" t="str">
        <f>IF(OR(N152="",T152="",P152=""),"",IF(OR(T152="",P152="",(0.94*T152)="",T152&lt;=0,(0.94*T152)&lt;=0),"",(1/Inputs!$B$9)*((T152^2/8)*((2*ACOS(1-2*(0.94*T152)/T152))-SIN((2*ACOS(1-2*(0.94*T152)/T152)))))*((((T152^2/8)*((2*ACOS(1-2*(0.94*T152)/T152))-SIN((2*ACOS(1-2*(0.94*T152)/T152)))))/((T152/2)*((2*ACOS(1-2*(0.94*T152)/T152)))))^(2/3))*SQRT(P152)))</f>
        <v/>
      </c>
      <c r="BD152" s="14" t="str">
        <f t="shared" si="171"/>
        <v/>
      </c>
      <c r="BE152" s="14" t="str">
        <f t="shared" si="172"/>
        <v/>
      </c>
      <c r="BF152" s="14" t="str">
        <f t="shared" si="173"/>
        <v/>
      </c>
      <c r="BG152" s="14" t="str">
        <f>IF(OR(T152="",P152="",BF152="",T152&lt;=0,BF152&lt;=0),"",(1/Inputs!$B$9)*((T152^2/8)*((2*ACOS(1-2*BF152/T152))-SIN((2*ACOS(1-2*BF152/T152)))))*((((T152^2/8)*((2*ACOS(1-2*BF152/T152))-SIN((2*ACOS(1-2*BF152/T152)))))/((T152/2)*((2*ACOS(1-2*BF152/T152)))))^(2/3))*SQRT(P152))</f>
        <v/>
      </c>
      <c r="BH152" s="14" t="str">
        <f t="shared" si="174"/>
        <v/>
      </c>
      <c r="BI152" s="14" t="str">
        <f t="shared" si="175"/>
        <v/>
      </c>
      <c r="BJ152" s="14" t="str">
        <f t="shared" si="176"/>
        <v/>
      </c>
      <c r="BK152" s="14" t="str">
        <f>IF(OR(T152="",P152="",BJ152="",T152&lt;=0,BJ152&lt;=0),"",(1/Inputs!$B$9)*((T152^2/8)*((2*ACOS(1-2*BJ152/T152))-SIN((2*ACOS(1-2*BJ152/T152)))))*((((T152^2/8)*((2*ACOS(1-2*BJ152/T152))-SIN((2*ACOS(1-2*BJ152/T152)))))/((T152/2)*((2*ACOS(1-2*BJ152/T152)))))^(2/3))*SQRT(P152))</f>
        <v/>
      </c>
      <c r="BL152" s="14" t="str">
        <f t="shared" si="177"/>
        <v/>
      </c>
      <c r="BM152" s="14" t="str">
        <f t="shared" si="178"/>
        <v/>
      </c>
      <c r="BN152" s="14" t="str">
        <f t="shared" si="179"/>
        <v/>
      </c>
      <c r="BO152" s="14" t="str">
        <f>IF(OR(T152="",P152="",BN152="",T152&lt;=0,BN152&lt;=0),"",(1/Inputs!$B$9)*((T152^2/8)*((2*ACOS(1-2*BN152/T152))-SIN((2*ACOS(1-2*BN152/T152)))))*((((T152^2/8)*((2*ACOS(1-2*BN152/T152))-SIN((2*ACOS(1-2*BN152/T152)))))/((T152/2)*((2*ACOS(1-2*BN152/T152)))))^(2/3))*SQRT(P152))</f>
        <v/>
      </c>
      <c r="BP152" s="14" t="str">
        <f t="shared" si="180"/>
        <v/>
      </c>
      <c r="BQ152" s="14" t="str">
        <f t="shared" si="181"/>
        <v/>
      </c>
      <c r="BR152" s="14" t="str">
        <f t="shared" si="182"/>
        <v/>
      </c>
      <c r="BS152" s="14" t="str">
        <f>IF(OR(T152="",P152="",BR152="",T152&lt;=0,BR152&lt;=0),"",(1/Inputs!$B$9)*((T152^2/8)*((2*ACOS(1-2*BR152/T152))-SIN((2*ACOS(1-2*BR152/T152)))))*((((T152^2/8)*((2*ACOS(1-2*BR152/T152))-SIN((2*ACOS(1-2*BR152/T152)))))/((T152/2)*((2*ACOS(1-2*BR152/T152)))))^(2/3))*SQRT(P152))</f>
        <v/>
      </c>
      <c r="BT152" s="14" t="str">
        <f t="shared" si="183"/>
        <v/>
      </c>
      <c r="BU152" s="14" t="str">
        <f t="shared" si="184"/>
        <v/>
      </c>
      <c r="BV152" s="14" t="str">
        <f t="shared" si="185"/>
        <v/>
      </c>
      <c r="BW152" s="14" t="str">
        <f>IF(OR(T152="",P152="",BV152="",T152&lt;=0,BV152&lt;=0),"",(1/Inputs!$B$9)*((T152^2/8)*((2*ACOS(1-2*BV152/T152))-SIN((2*ACOS(1-2*BV152/T152)))))*((((T152^2/8)*((2*ACOS(1-2*BV152/T152))-SIN((2*ACOS(1-2*BV152/T152)))))/((T152/2)*((2*ACOS(1-2*BV152/T152)))))^(2/3))*SQRT(P152))</f>
        <v/>
      </c>
      <c r="BX152" s="14" t="str">
        <f t="shared" si="186"/>
        <v/>
      </c>
      <c r="BY152" s="14" t="str">
        <f t="shared" si="187"/>
        <v/>
      </c>
      <c r="BZ152" s="14" t="str">
        <f t="shared" si="188"/>
        <v/>
      </c>
      <c r="CA152" s="14" t="str">
        <f>IF(OR(T152="",P152="",BZ152="",T152&lt;=0,BZ152&lt;=0),"",(1/Inputs!$B$9)*((T152^2/8)*((2*ACOS(1-2*BZ152/T152))-SIN((2*ACOS(1-2*BZ152/T152)))))*((((T152^2/8)*((2*ACOS(1-2*BZ152/T152))-SIN((2*ACOS(1-2*BZ152/T152)))))/((T152/2)*((2*ACOS(1-2*BZ152/T152)))))^(2/3))*SQRT(P152))</f>
        <v/>
      </c>
      <c r="CB152" s="14" t="str">
        <f t="shared" si="189"/>
        <v/>
      </c>
      <c r="CC152" s="14" t="str">
        <f t="shared" si="190"/>
        <v/>
      </c>
      <c r="CD152" s="14" t="str">
        <f t="shared" si="191"/>
        <v/>
      </c>
      <c r="CE152" s="14" t="str">
        <f>IF(OR(T152="",P152="",CD152="",T152&lt;=0,CD152&lt;=0),"",(1/Inputs!$B$9)*((T152^2/8)*((2*ACOS(1-2*CD152/T152))-SIN((2*ACOS(1-2*CD152/T152)))))*((((T152^2/8)*((2*ACOS(1-2*CD152/T152))-SIN((2*ACOS(1-2*CD152/T152)))))/((T152/2)*((2*ACOS(1-2*CD152/T152)))))^(2/3))*SQRT(P152))</f>
        <v/>
      </c>
      <c r="CF152" s="14" t="str">
        <f t="shared" si="192"/>
        <v/>
      </c>
      <c r="CG152" s="14" t="str">
        <f t="shared" si="193"/>
        <v/>
      </c>
      <c r="CH152" s="14" t="str">
        <f t="shared" si="194"/>
        <v/>
      </c>
    </row>
    <row r="153" spans="1:86" x14ac:dyDescent="0.25">
      <c r="A153" s="14"/>
      <c r="B153" s="14"/>
      <c r="C153" s="14"/>
      <c r="D153" s="14"/>
      <c r="E153" s="44"/>
      <c r="F153" s="44"/>
      <c r="G153" s="44">
        <f>SUMIFS(CB_plan!$G:$G,CB_plan!$F:$F,$A153)</f>
        <v>0</v>
      </c>
      <c r="H153" s="44">
        <f t="shared" si="156"/>
        <v>0</v>
      </c>
      <c r="I153" s="14"/>
      <c r="J153" s="44"/>
      <c r="K153" s="44" t="str">
        <f>IF(A153="","",Inputs!$B$13/((IF(AV153="",Inputs!$B$18,AV153)+Inputs!$B$14)^Inputs!$B$15))</f>
        <v/>
      </c>
      <c r="L153" s="44" t="str">
        <f>IF(A153="","",IF(H153="","",0.000000278*IF(I153&lt;&gt;"",I153,IFERROR(SUMIFS(CB_plan!$H:$H,CB_plan!$F:$F,$A153)/SUMIFS(CB_plan!$G:$G,CB_plan!$F:$F,$A153),Inputs!$B$17))*H153*K153))</f>
        <v/>
      </c>
      <c r="M153" s="44" t="str">
        <f t="shared" si="157"/>
        <v/>
      </c>
      <c r="N153" s="44" t="str">
        <f>IF(A153="","",(L153+M153)*Inputs!$B$16)</f>
        <v/>
      </c>
      <c r="O153" s="44"/>
      <c r="P153" s="44" t="str">
        <f>IF(A153="","",IF(O153="",Inputs!$B$7,O153))</f>
        <v/>
      </c>
      <c r="Q153" s="14" t="str">
        <f>IF(A153="","",IF(N153/Inputs!$B$10&lt;=AG153,Inputs!$F$5,IF(N153/Inputs!$B$10&gt;AP153,"OVERSIZE",INDEX(Inputs!$F$5:$F$14,MATCH(N153/Inputs!$B$10,AG153:AP153,1)+1))))</f>
        <v/>
      </c>
      <c r="R153" s="14"/>
      <c r="S153" s="14" t="str">
        <f t="shared" si="158"/>
        <v/>
      </c>
      <c r="T153" s="44" t="str">
        <f t="shared" si="159"/>
        <v/>
      </c>
      <c r="U153" s="44" t="str">
        <f>IF(T153="","",(1/Inputs!$B$9)*(PI()*T153^2/4)*((T153/4)^(2/3))*SQRT(P153))</f>
        <v/>
      </c>
      <c r="V153" s="44" t="str">
        <f>IF(OR(U153="",N153=""),"",N153/(U153*Inputs!$B$10))</f>
        <v/>
      </c>
      <c r="W153" s="44" t="str">
        <f t="shared" si="160"/>
        <v/>
      </c>
      <c r="X153" s="44"/>
      <c r="Y153" s="44" t="str">
        <f>IF(A153="","",IF(A153=Inputs!$B$6,Inputs!$B$22,IF(D153="","",IFERROR(INDEX($Z$4:$Z$201,MATCH(D153,$A$4:$A$201,0))+IF(X153="",Inputs!$B$20,X153),""))))</f>
        <v/>
      </c>
      <c r="Z153" s="44" t="str">
        <f t="shared" si="161"/>
        <v/>
      </c>
      <c r="AA153" s="44" t="str">
        <f>IF(C153="","",IFERROR(INDEX(Noeuds_plan!$C$4:$C$200,MATCH(C153,Noeuds_plan!$A$4:$A$200,0)),""))</f>
        <v/>
      </c>
      <c r="AB153" s="44" t="str">
        <f>IF(B153="","",IFERROR(INDEX(Noeuds_plan!$C$4:$C$200,MATCH(B153,Noeuds_plan!$A$4:$A$200,0)),""))</f>
        <v/>
      </c>
      <c r="AC153" s="44" t="str">
        <f t="shared" si="162"/>
        <v/>
      </c>
      <c r="AD153" s="44" t="str">
        <f t="shared" si="163"/>
        <v/>
      </c>
      <c r="AE153" s="14" t="str">
        <f>IF(A153="","",IF(OR(V153&gt;1,AND(AY153&lt;&gt;"",AY153&lt;Inputs!$B$11),AND(AY153&lt;&gt;"",AY153&gt;Inputs!$B$12),AC153&lt;Inputs!$B$19,AD153&lt;Inputs!$B$19,P153&lt;Inputs!$B$7,P153&gt;Inputs!$B$8),"CHECK","OK"))</f>
        <v/>
      </c>
      <c r="AF153" s="14"/>
      <c r="AG153" s="14" t="str">
        <f>IF(A153="","",(1/Inputs!$B$9)*(PI()*(Inputs!$F$5/1000)^2/4)*((Inputs!$F$5/1000/4)^(2/3))*SQRT(P153))</f>
        <v/>
      </c>
      <c r="AH153" s="14" t="str">
        <f>IF(A153="","",(1/Inputs!$B$9)*(PI()*(Inputs!$F$6/1000)^2/4)*((Inputs!$F$6/1000/4)^(2/3))*SQRT(P153))</f>
        <v/>
      </c>
      <c r="AI153" s="14" t="str">
        <f>IF(A153="","",(1/Inputs!$B$9)*(PI()*(Inputs!$F$7/1000)^2/4)*((Inputs!$F$7/1000/4)^(2/3))*SQRT(P153))</f>
        <v/>
      </c>
      <c r="AJ153" s="14" t="str">
        <f>IF(A153="","",(1/Inputs!$B$9)*(PI()*(Inputs!$F$8/1000)^2/4)*((Inputs!$F$8/1000/4)^(2/3))*SQRT(P153))</f>
        <v/>
      </c>
      <c r="AK153" s="14" t="str">
        <f>IF(A153="","",(1/Inputs!$B$9)*(PI()*(Inputs!$F$9/1000)^2/4)*((Inputs!$F$9/1000/4)^(2/3))*SQRT(P153))</f>
        <v/>
      </c>
      <c r="AL153" s="14" t="str">
        <f>IF(A153="","",(1/Inputs!$B$9)*(PI()*(Inputs!$F$10/1000)^2/4)*((Inputs!$F$10/1000/4)^(2/3))*SQRT(P153))</f>
        <v/>
      </c>
      <c r="AM153" s="14" t="str">
        <f>IF(A153="","",(1/Inputs!$B$9)*(PI()*(Inputs!$F$11/1000)^2/4)*((Inputs!$F$11/1000/4)^(2/3))*SQRT(P153))</f>
        <v/>
      </c>
      <c r="AN153" s="14" t="str">
        <f>IF(A153="","",(1/Inputs!$B$9)*(PI()*(Inputs!$F$12/1000)^2/4)*((Inputs!$F$12/1000/4)^(2/3))*SQRT(P153))</f>
        <v/>
      </c>
      <c r="AO153" s="14" t="str">
        <f>IF(A153="","",(1/Inputs!$B$9)*(PI()*(Inputs!$F$13/1000)^2/4)*((Inputs!$F$13/1000/4)^(2/3))*SQRT(P153))</f>
        <v/>
      </c>
      <c r="AP153" s="14" t="str">
        <f>IF(A153="","",(1/Inputs!$B$9)*(PI()*(Inputs!$F$14/1000)^2/4)*((Inputs!$F$14/1000/4)^(2/3))*SQRT(P153))</f>
        <v/>
      </c>
      <c r="AQ153" s="14" t="str">
        <f t="shared" si="164"/>
        <v/>
      </c>
      <c r="AR153" s="14" t="str">
        <f t="shared" si="165"/>
        <v/>
      </c>
      <c r="AS153" s="17" t="str">
        <f>IF(A153="","",IF(J153="",Inputs!$B$18,J153))</f>
        <v/>
      </c>
      <c r="AT153" s="17" t="str">
        <f>IF(A153="","",IFERROR(_xludf.maxifs($AV$4:$AV$201,$D$4:$D$201,$A153),""))</f>
        <v/>
      </c>
      <c r="AU153" s="17" t="str">
        <f>IF(A153="","",IF(OR(E153="",Inputs!$B$23=""),"",E153/(Inputs!$B$23*60)))</f>
        <v/>
      </c>
      <c r="AV153" s="17" t="str">
        <f t="shared" si="166"/>
        <v/>
      </c>
      <c r="AW153" s="17" t="str">
        <f t="shared" si="167"/>
        <v/>
      </c>
      <c r="AX153" s="17" t="str">
        <f>IF(OR(T153="",P153=""),"",(1/Inputs!$B$9)*((T153/4)^(2/3))*SQRT(P153))</f>
        <v/>
      </c>
      <c r="AY153" s="17" t="str">
        <f>IF(A153="","",IF(AND(AW153="",AX153="",BA153=""),"",IF(OR(UPPER(TRIM(Inputs!$B$24))="MANNING",UPPER(TRIM(Inputs!$B$24))="M"),AX153,IF(OR(UPPER(TRIM(Inputs!$B$24))="PARTIAL",UPPER(TRIM(Inputs!$B$24))="P"),BA153,IF(OR(UPPER(TRIM(Inputs!$B$24))="MAX",UPPER(TRIM(Inputs!$B$24))="X"),MAX(IF(AW153="",0,AW153),IF(AX153="",0,AX153),IF(BA153="",0,BA153)),AW153)))))</f>
        <v/>
      </c>
      <c r="AZ153" s="17" t="str">
        <f t="shared" si="168"/>
        <v/>
      </c>
      <c r="BA153" s="17" t="str">
        <f t="shared" si="169"/>
        <v/>
      </c>
      <c r="BB153" s="14" t="str">
        <f t="shared" si="170"/>
        <v/>
      </c>
      <c r="BC153" s="14" t="str">
        <f>IF(OR(N153="",T153="",P153=""),"",IF(OR(T153="",P153="",(0.94*T153)="",T153&lt;=0,(0.94*T153)&lt;=0),"",(1/Inputs!$B$9)*((T153^2/8)*((2*ACOS(1-2*(0.94*T153)/T153))-SIN((2*ACOS(1-2*(0.94*T153)/T153)))))*((((T153^2/8)*((2*ACOS(1-2*(0.94*T153)/T153))-SIN((2*ACOS(1-2*(0.94*T153)/T153)))))/((T153/2)*((2*ACOS(1-2*(0.94*T153)/T153)))))^(2/3))*SQRT(P153)))</f>
        <v/>
      </c>
      <c r="BD153" s="14" t="str">
        <f t="shared" si="171"/>
        <v/>
      </c>
      <c r="BE153" s="14" t="str">
        <f t="shared" si="172"/>
        <v/>
      </c>
      <c r="BF153" s="14" t="str">
        <f t="shared" si="173"/>
        <v/>
      </c>
      <c r="BG153" s="14" t="str">
        <f>IF(OR(T153="",P153="",BF153="",T153&lt;=0,BF153&lt;=0),"",(1/Inputs!$B$9)*((T153^2/8)*((2*ACOS(1-2*BF153/T153))-SIN((2*ACOS(1-2*BF153/T153)))))*((((T153^2/8)*((2*ACOS(1-2*BF153/T153))-SIN((2*ACOS(1-2*BF153/T153)))))/((T153/2)*((2*ACOS(1-2*BF153/T153)))))^(2/3))*SQRT(P153))</f>
        <v/>
      </c>
      <c r="BH153" s="14" t="str">
        <f t="shared" si="174"/>
        <v/>
      </c>
      <c r="BI153" s="14" t="str">
        <f t="shared" si="175"/>
        <v/>
      </c>
      <c r="BJ153" s="14" t="str">
        <f t="shared" si="176"/>
        <v/>
      </c>
      <c r="BK153" s="14" t="str">
        <f>IF(OR(T153="",P153="",BJ153="",T153&lt;=0,BJ153&lt;=0),"",(1/Inputs!$B$9)*((T153^2/8)*((2*ACOS(1-2*BJ153/T153))-SIN((2*ACOS(1-2*BJ153/T153)))))*((((T153^2/8)*((2*ACOS(1-2*BJ153/T153))-SIN((2*ACOS(1-2*BJ153/T153)))))/((T153/2)*((2*ACOS(1-2*BJ153/T153)))))^(2/3))*SQRT(P153))</f>
        <v/>
      </c>
      <c r="BL153" s="14" t="str">
        <f t="shared" si="177"/>
        <v/>
      </c>
      <c r="BM153" s="14" t="str">
        <f t="shared" si="178"/>
        <v/>
      </c>
      <c r="BN153" s="14" t="str">
        <f t="shared" si="179"/>
        <v/>
      </c>
      <c r="BO153" s="14" t="str">
        <f>IF(OR(T153="",P153="",BN153="",T153&lt;=0,BN153&lt;=0),"",(1/Inputs!$B$9)*((T153^2/8)*((2*ACOS(1-2*BN153/T153))-SIN((2*ACOS(1-2*BN153/T153)))))*((((T153^2/8)*((2*ACOS(1-2*BN153/T153))-SIN((2*ACOS(1-2*BN153/T153)))))/((T153/2)*((2*ACOS(1-2*BN153/T153)))))^(2/3))*SQRT(P153))</f>
        <v/>
      </c>
      <c r="BP153" s="14" t="str">
        <f t="shared" si="180"/>
        <v/>
      </c>
      <c r="BQ153" s="14" t="str">
        <f t="shared" si="181"/>
        <v/>
      </c>
      <c r="BR153" s="14" t="str">
        <f t="shared" si="182"/>
        <v/>
      </c>
      <c r="BS153" s="14" t="str">
        <f>IF(OR(T153="",P153="",BR153="",T153&lt;=0,BR153&lt;=0),"",(1/Inputs!$B$9)*((T153^2/8)*((2*ACOS(1-2*BR153/T153))-SIN((2*ACOS(1-2*BR153/T153)))))*((((T153^2/8)*((2*ACOS(1-2*BR153/T153))-SIN((2*ACOS(1-2*BR153/T153)))))/((T153/2)*((2*ACOS(1-2*BR153/T153)))))^(2/3))*SQRT(P153))</f>
        <v/>
      </c>
      <c r="BT153" s="14" t="str">
        <f t="shared" si="183"/>
        <v/>
      </c>
      <c r="BU153" s="14" t="str">
        <f t="shared" si="184"/>
        <v/>
      </c>
      <c r="BV153" s="14" t="str">
        <f t="shared" si="185"/>
        <v/>
      </c>
      <c r="BW153" s="14" t="str">
        <f>IF(OR(T153="",P153="",BV153="",T153&lt;=0,BV153&lt;=0),"",(1/Inputs!$B$9)*((T153^2/8)*((2*ACOS(1-2*BV153/T153))-SIN((2*ACOS(1-2*BV153/T153)))))*((((T153^2/8)*((2*ACOS(1-2*BV153/T153))-SIN((2*ACOS(1-2*BV153/T153)))))/((T153/2)*((2*ACOS(1-2*BV153/T153)))))^(2/3))*SQRT(P153))</f>
        <v/>
      </c>
      <c r="BX153" s="14" t="str">
        <f t="shared" si="186"/>
        <v/>
      </c>
      <c r="BY153" s="14" t="str">
        <f t="shared" si="187"/>
        <v/>
      </c>
      <c r="BZ153" s="14" t="str">
        <f t="shared" si="188"/>
        <v/>
      </c>
      <c r="CA153" s="14" t="str">
        <f>IF(OR(T153="",P153="",BZ153="",T153&lt;=0,BZ153&lt;=0),"",(1/Inputs!$B$9)*((T153^2/8)*((2*ACOS(1-2*BZ153/T153))-SIN((2*ACOS(1-2*BZ153/T153)))))*((((T153^2/8)*((2*ACOS(1-2*BZ153/T153))-SIN((2*ACOS(1-2*BZ153/T153)))))/((T153/2)*((2*ACOS(1-2*BZ153/T153)))))^(2/3))*SQRT(P153))</f>
        <v/>
      </c>
      <c r="CB153" s="14" t="str">
        <f t="shared" si="189"/>
        <v/>
      </c>
      <c r="CC153" s="14" t="str">
        <f t="shared" si="190"/>
        <v/>
      </c>
      <c r="CD153" s="14" t="str">
        <f t="shared" si="191"/>
        <v/>
      </c>
      <c r="CE153" s="14" t="str">
        <f>IF(OR(T153="",P153="",CD153="",T153&lt;=0,CD153&lt;=0),"",(1/Inputs!$B$9)*((T153^2/8)*((2*ACOS(1-2*CD153/T153))-SIN((2*ACOS(1-2*CD153/T153)))))*((((T153^2/8)*((2*ACOS(1-2*CD153/T153))-SIN((2*ACOS(1-2*CD153/T153)))))/((T153/2)*((2*ACOS(1-2*CD153/T153)))))^(2/3))*SQRT(P153))</f>
        <v/>
      </c>
      <c r="CF153" s="14" t="str">
        <f t="shared" si="192"/>
        <v/>
      </c>
      <c r="CG153" s="14" t="str">
        <f t="shared" si="193"/>
        <v/>
      </c>
      <c r="CH153" s="14" t="str">
        <f t="shared" si="194"/>
        <v/>
      </c>
    </row>
    <row r="154" spans="1:86" x14ac:dyDescent="0.25">
      <c r="A154" s="14"/>
      <c r="B154" s="14"/>
      <c r="C154" s="14"/>
      <c r="D154" s="14"/>
      <c r="E154" s="44"/>
      <c r="F154" s="44"/>
      <c r="G154" s="44">
        <f>SUMIFS(CB_plan!$G:$G,CB_plan!$F:$F,$A154)</f>
        <v>0</v>
      </c>
      <c r="H154" s="44">
        <f t="shared" si="156"/>
        <v>0</v>
      </c>
      <c r="I154" s="14"/>
      <c r="J154" s="44"/>
      <c r="K154" s="44" t="str">
        <f>IF(A154="","",Inputs!$B$13/((IF(AV154="",Inputs!$B$18,AV154)+Inputs!$B$14)^Inputs!$B$15))</f>
        <v/>
      </c>
      <c r="L154" s="44" t="str">
        <f>IF(A154="","",IF(H154="","",0.000000278*IF(I154&lt;&gt;"",I154,IFERROR(SUMIFS(CB_plan!$H:$H,CB_plan!$F:$F,$A154)/SUMIFS(CB_plan!$G:$G,CB_plan!$F:$F,$A154),Inputs!$B$17))*H154*K154))</f>
        <v/>
      </c>
      <c r="M154" s="44" t="str">
        <f t="shared" si="157"/>
        <v/>
      </c>
      <c r="N154" s="44" t="str">
        <f>IF(A154="","",(L154+M154)*Inputs!$B$16)</f>
        <v/>
      </c>
      <c r="O154" s="44"/>
      <c r="P154" s="44" t="str">
        <f>IF(A154="","",IF(O154="",Inputs!$B$7,O154))</f>
        <v/>
      </c>
      <c r="Q154" s="14" t="str">
        <f>IF(A154="","",IF(N154/Inputs!$B$10&lt;=AG154,Inputs!$F$5,IF(N154/Inputs!$B$10&gt;AP154,"OVERSIZE",INDEX(Inputs!$F$5:$F$14,MATCH(N154/Inputs!$B$10,AG154:AP154,1)+1))))</f>
        <v/>
      </c>
      <c r="R154" s="14"/>
      <c r="S154" s="14" t="str">
        <f t="shared" si="158"/>
        <v/>
      </c>
      <c r="T154" s="44" t="str">
        <f t="shared" si="159"/>
        <v/>
      </c>
      <c r="U154" s="44" t="str">
        <f>IF(T154="","",(1/Inputs!$B$9)*(PI()*T154^2/4)*((T154/4)^(2/3))*SQRT(P154))</f>
        <v/>
      </c>
      <c r="V154" s="44" t="str">
        <f>IF(OR(U154="",N154=""),"",N154/(U154*Inputs!$B$10))</f>
        <v/>
      </c>
      <c r="W154" s="44" t="str">
        <f t="shared" si="160"/>
        <v/>
      </c>
      <c r="X154" s="44"/>
      <c r="Y154" s="44" t="str">
        <f>IF(A154="","",IF(A154=Inputs!$B$6,Inputs!$B$22,IF(D154="","",IFERROR(INDEX($Z$4:$Z$201,MATCH(D154,$A$4:$A$201,0))+IF(X154="",Inputs!$B$20,X154),""))))</f>
        <v/>
      </c>
      <c r="Z154" s="44" t="str">
        <f t="shared" si="161"/>
        <v/>
      </c>
      <c r="AA154" s="44" t="str">
        <f>IF(C154="","",IFERROR(INDEX(Noeuds_plan!$C$4:$C$200,MATCH(C154,Noeuds_plan!$A$4:$A$200,0)),""))</f>
        <v/>
      </c>
      <c r="AB154" s="44" t="str">
        <f>IF(B154="","",IFERROR(INDEX(Noeuds_plan!$C$4:$C$200,MATCH(B154,Noeuds_plan!$A$4:$A$200,0)),""))</f>
        <v/>
      </c>
      <c r="AC154" s="44" t="str">
        <f t="shared" si="162"/>
        <v/>
      </c>
      <c r="AD154" s="44" t="str">
        <f t="shared" si="163"/>
        <v/>
      </c>
      <c r="AE154" s="14" t="str">
        <f>IF(A154="","",IF(OR(V154&gt;1,AND(AY154&lt;&gt;"",AY154&lt;Inputs!$B$11),AND(AY154&lt;&gt;"",AY154&gt;Inputs!$B$12),AC154&lt;Inputs!$B$19,AD154&lt;Inputs!$B$19,P154&lt;Inputs!$B$7,P154&gt;Inputs!$B$8),"CHECK","OK"))</f>
        <v/>
      </c>
      <c r="AF154" s="14"/>
      <c r="AG154" s="14" t="str">
        <f>IF(A154="","",(1/Inputs!$B$9)*(PI()*(Inputs!$F$5/1000)^2/4)*((Inputs!$F$5/1000/4)^(2/3))*SQRT(P154))</f>
        <v/>
      </c>
      <c r="AH154" s="14" t="str">
        <f>IF(A154="","",(1/Inputs!$B$9)*(PI()*(Inputs!$F$6/1000)^2/4)*((Inputs!$F$6/1000/4)^(2/3))*SQRT(P154))</f>
        <v/>
      </c>
      <c r="AI154" s="14" t="str">
        <f>IF(A154="","",(1/Inputs!$B$9)*(PI()*(Inputs!$F$7/1000)^2/4)*((Inputs!$F$7/1000/4)^(2/3))*SQRT(P154))</f>
        <v/>
      </c>
      <c r="AJ154" s="14" t="str">
        <f>IF(A154="","",(1/Inputs!$B$9)*(PI()*(Inputs!$F$8/1000)^2/4)*((Inputs!$F$8/1000/4)^(2/3))*SQRT(P154))</f>
        <v/>
      </c>
      <c r="AK154" s="14" t="str">
        <f>IF(A154="","",(1/Inputs!$B$9)*(PI()*(Inputs!$F$9/1000)^2/4)*((Inputs!$F$9/1000/4)^(2/3))*SQRT(P154))</f>
        <v/>
      </c>
      <c r="AL154" s="14" t="str">
        <f>IF(A154="","",(1/Inputs!$B$9)*(PI()*(Inputs!$F$10/1000)^2/4)*((Inputs!$F$10/1000/4)^(2/3))*SQRT(P154))</f>
        <v/>
      </c>
      <c r="AM154" s="14" t="str">
        <f>IF(A154="","",(1/Inputs!$B$9)*(PI()*(Inputs!$F$11/1000)^2/4)*((Inputs!$F$11/1000/4)^(2/3))*SQRT(P154))</f>
        <v/>
      </c>
      <c r="AN154" s="14" t="str">
        <f>IF(A154="","",(1/Inputs!$B$9)*(PI()*(Inputs!$F$12/1000)^2/4)*((Inputs!$F$12/1000/4)^(2/3))*SQRT(P154))</f>
        <v/>
      </c>
      <c r="AO154" s="14" t="str">
        <f>IF(A154="","",(1/Inputs!$B$9)*(PI()*(Inputs!$F$13/1000)^2/4)*((Inputs!$F$13/1000/4)^(2/3))*SQRT(P154))</f>
        <v/>
      </c>
      <c r="AP154" s="14" t="str">
        <f>IF(A154="","",(1/Inputs!$B$9)*(PI()*(Inputs!$F$14/1000)^2/4)*((Inputs!$F$14/1000/4)^(2/3))*SQRT(P154))</f>
        <v/>
      </c>
      <c r="AQ154" s="14" t="str">
        <f t="shared" si="164"/>
        <v/>
      </c>
      <c r="AR154" s="14" t="str">
        <f t="shared" si="165"/>
        <v/>
      </c>
      <c r="AS154" s="17" t="str">
        <f>IF(A154="","",IF(J154="",Inputs!$B$18,J154))</f>
        <v/>
      </c>
      <c r="AT154" s="17" t="str">
        <f>IF(A154="","",IFERROR(_xludf.maxifs($AV$4:$AV$201,$D$4:$D$201,$A154),""))</f>
        <v/>
      </c>
      <c r="AU154" s="17" t="str">
        <f>IF(A154="","",IF(OR(E154="",Inputs!$B$23=""),"",E154/(Inputs!$B$23*60)))</f>
        <v/>
      </c>
      <c r="AV154" s="17" t="str">
        <f t="shared" si="166"/>
        <v/>
      </c>
      <c r="AW154" s="17" t="str">
        <f t="shared" si="167"/>
        <v/>
      </c>
      <c r="AX154" s="17" t="str">
        <f>IF(OR(T154="",P154=""),"",(1/Inputs!$B$9)*((T154/4)^(2/3))*SQRT(P154))</f>
        <v/>
      </c>
      <c r="AY154" s="17" t="str">
        <f>IF(A154="","",IF(AND(AW154="",AX154="",BA154=""),"",IF(OR(UPPER(TRIM(Inputs!$B$24))="MANNING",UPPER(TRIM(Inputs!$B$24))="M"),AX154,IF(OR(UPPER(TRIM(Inputs!$B$24))="PARTIAL",UPPER(TRIM(Inputs!$B$24))="P"),BA154,IF(OR(UPPER(TRIM(Inputs!$B$24))="MAX",UPPER(TRIM(Inputs!$B$24))="X"),MAX(IF(AW154="",0,AW154),IF(AX154="",0,AX154),IF(BA154="",0,BA154)),AW154)))))</f>
        <v/>
      </c>
      <c r="AZ154" s="17" t="str">
        <f t="shared" si="168"/>
        <v/>
      </c>
      <c r="BA154" s="17" t="str">
        <f t="shared" si="169"/>
        <v/>
      </c>
      <c r="BB154" s="14" t="str">
        <f t="shared" si="170"/>
        <v/>
      </c>
      <c r="BC154" s="14" t="str">
        <f>IF(OR(N154="",T154="",P154=""),"",IF(OR(T154="",P154="",(0.94*T154)="",T154&lt;=0,(0.94*T154)&lt;=0),"",(1/Inputs!$B$9)*((T154^2/8)*((2*ACOS(1-2*(0.94*T154)/T154))-SIN((2*ACOS(1-2*(0.94*T154)/T154)))))*((((T154^2/8)*((2*ACOS(1-2*(0.94*T154)/T154))-SIN((2*ACOS(1-2*(0.94*T154)/T154)))))/((T154/2)*((2*ACOS(1-2*(0.94*T154)/T154)))))^(2/3))*SQRT(P154)))</f>
        <v/>
      </c>
      <c r="BD154" s="14" t="str">
        <f t="shared" si="171"/>
        <v/>
      </c>
      <c r="BE154" s="14" t="str">
        <f t="shared" si="172"/>
        <v/>
      </c>
      <c r="BF154" s="14" t="str">
        <f t="shared" si="173"/>
        <v/>
      </c>
      <c r="BG154" s="14" t="str">
        <f>IF(OR(T154="",P154="",BF154="",T154&lt;=0,BF154&lt;=0),"",(1/Inputs!$B$9)*((T154^2/8)*((2*ACOS(1-2*BF154/T154))-SIN((2*ACOS(1-2*BF154/T154)))))*((((T154^2/8)*((2*ACOS(1-2*BF154/T154))-SIN((2*ACOS(1-2*BF154/T154)))))/((T154/2)*((2*ACOS(1-2*BF154/T154)))))^(2/3))*SQRT(P154))</f>
        <v/>
      </c>
      <c r="BH154" s="14" t="str">
        <f t="shared" si="174"/>
        <v/>
      </c>
      <c r="BI154" s="14" t="str">
        <f t="shared" si="175"/>
        <v/>
      </c>
      <c r="BJ154" s="14" t="str">
        <f t="shared" si="176"/>
        <v/>
      </c>
      <c r="BK154" s="14" t="str">
        <f>IF(OR(T154="",P154="",BJ154="",T154&lt;=0,BJ154&lt;=0),"",(1/Inputs!$B$9)*((T154^2/8)*((2*ACOS(1-2*BJ154/T154))-SIN((2*ACOS(1-2*BJ154/T154)))))*((((T154^2/8)*((2*ACOS(1-2*BJ154/T154))-SIN((2*ACOS(1-2*BJ154/T154)))))/((T154/2)*((2*ACOS(1-2*BJ154/T154)))))^(2/3))*SQRT(P154))</f>
        <v/>
      </c>
      <c r="BL154" s="14" t="str">
        <f t="shared" si="177"/>
        <v/>
      </c>
      <c r="BM154" s="14" t="str">
        <f t="shared" si="178"/>
        <v/>
      </c>
      <c r="BN154" s="14" t="str">
        <f t="shared" si="179"/>
        <v/>
      </c>
      <c r="BO154" s="14" t="str">
        <f>IF(OR(T154="",P154="",BN154="",T154&lt;=0,BN154&lt;=0),"",(1/Inputs!$B$9)*((T154^2/8)*((2*ACOS(1-2*BN154/T154))-SIN((2*ACOS(1-2*BN154/T154)))))*((((T154^2/8)*((2*ACOS(1-2*BN154/T154))-SIN((2*ACOS(1-2*BN154/T154)))))/((T154/2)*((2*ACOS(1-2*BN154/T154)))))^(2/3))*SQRT(P154))</f>
        <v/>
      </c>
      <c r="BP154" s="14" t="str">
        <f t="shared" si="180"/>
        <v/>
      </c>
      <c r="BQ154" s="14" t="str">
        <f t="shared" si="181"/>
        <v/>
      </c>
      <c r="BR154" s="14" t="str">
        <f t="shared" si="182"/>
        <v/>
      </c>
      <c r="BS154" s="14" t="str">
        <f>IF(OR(T154="",P154="",BR154="",T154&lt;=0,BR154&lt;=0),"",(1/Inputs!$B$9)*((T154^2/8)*((2*ACOS(1-2*BR154/T154))-SIN((2*ACOS(1-2*BR154/T154)))))*((((T154^2/8)*((2*ACOS(1-2*BR154/T154))-SIN((2*ACOS(1-2*BR154/T154)))))/((T154/2)*((2*ACOS(1-2*BR154/T154)))))^(2/3))*SQRT(P154))</f>
        <v/>
      </c>
      <c r="BT154" s="14" t="str">
        <f t="shared" si="183"/>
        <v/>
      </c>
      <c r="BU154" s="14" t="str">
        <f t="shared" si="184"/>
        <v/>
      </c>
      <c r="BV154" s="14" t="str">
        <f t="shared" si="185"/>
        <v/>
      </c>
      <c r="BW154" s="14" t="str">
        <f>IF(OR(T154="",P154="",BV154="",T154&lt;=0,BV154&lt;=0),"",(1/Inputs!$B$9)*((T154^2/8)*((2*ACOS(1-2*BV154/T154))-SIN((2*ACOS(1-2*BV154/T154)))))*((((T154^2/8)*((2*ACOS(1-2*BV154/T154))-SIN((2*ACOS(1-2*BV154/T154)))))/((T154/2)*((2*ACOS(1-2*BV154/T154)))))^(2/3))*SQRT(P154))</f>
        <v/>
      </c>
      <c r="BX154" s="14" t="str">
        <f t="shared" si="186"/>
        <v/>
      </c>
      <c r="BY154" s="14" t="str">
        <f t="shared" si="187"/>
        <v/>
      </c>
      <c r="BZ154" s="14" t="str">
        <f t="shared" si="188"/>
        <v/>
      </c>
      <c r="CA154" s="14" t="str">
        <f>IF(OR(T154="",P154="",BZ154="",T154&lt;=0,BZ154&lt;=0),"",(1/Inputs!$B$9)*((T154^2/8)*((2*ACOS(1-2*BZ154/T154))-SIN((2*ACOS(1-2*BZ154/T154)))))*((((T154^2/8)*((2*ACOS(1-2*BZ154/T154))-SIN((2*ACOS(1-2*BZ154/T154)))))/((T154/2)*((2*ACOS(1-2*BZ154/T154)))))^(2/3))*SQRT(P154))</f>
        <v/>
      </c>
      <c r="CB154" s="14" t="str">
        <f t="shared" si="189"/>
        <v/>
      </c>
      <c r="CC154" s="14" t="str">
        <f t="shared" si="190"/>
        <v/>
      </c>
      <c r="CD154" s="14" t="str">
        <f t="shared" si="191"/>
        <v/>
      </c>
      <c r="CE154" s="14" t="str">
        <f>IF(OR(T154="",P154="",CD154="",T154&lt;=0,CD154&lt;=0),"",(1/Inputs!$B$9)*((T154^2/8)*((2*ACOS(1-2*CD154/T154))-SIN((2*ACOS(1-2*CD154/T154)))))*((((T154^2/8)*((2*ACOS(1-2*CD154/T154))-SIN((2*ACOS(1-2*CD154/T154)))))/((T154/2)*((2*ACOS(1-2*CD154/T154)))))^(2/3))*SQRT(P154))</f>
        <v/>
      </c>
      <c r="CF154" s="14" t="str">
        <f t="shared" si="192"/>
        <v/>
      </c>
      <c r="CG154" s="14" t="str">
        <f t="shared" si="193"/>
        <v/>
      </c>
      <c r="CH154" s="14" t="str">
        <f t="shared" si="194"/>
        <v/>
      </c>
    </row>
    <row r="155" spans="1:86" x14ac:dyDescent="0.25">
      <c r="A155" s="14"/>
      <c r="B155" s="14"/>
      <c r="C155" s="14"/>
      <c r="D155" s="14"/>
      <c r="E155" s="44"/>
      <c r="F155" s="44"/>
      <c r="G155" s="44">
        <f>SUMIFS(CB_plan!$G:$G,CB_plan!$F:$F,$A155)</f>
        <v>0</v>
      </c>
      <c r="H155" s="44">
        <f t="shared" si="156"/>
        <v>0</v>
      </c>
      <c r="I155" s="14"/>
      <c r="J155" s="44"/>
      <c r="K155" s="44" t="str">
        <f>IF(A155="","",Inputs!$B$13/((IF(AV155="",Inputs!$B$18,AV155)+Inputs!$B$14)^Inputs!$B$15))</f>
        <v/>
      </c>
      <c r="L155" s="44" t="str">
        <f>IF(A155="","",IF(H155="","",0.000000278*IF(I155&lt;&gt;"",I155,IFERROR(SUMIFS(CB_plan!$H:$H,CB_plan!$F:$F,$A155)/SUMIFS(CB_plan!$G:$G,CB_plan!$F:$F,$A155),Inputs!$B$17))*H155*K155))</f>
        <v/>
      </c>
      <c r="M155" s="44" t="str">
        <f t="shared" si="157"/>
        <v/>
      </c>
      <c r="N155" s="44" t="str">
        <f>IF(A155="","",(L155+M155)*Inputs!$B$16)</f>
        <v/>
      </c>
      <c r="O155" s="44"/>
      <c r="P155" s="44" t="str">
        <f>IF(A155="","",IF(O155="",Inputs!$B$7,O155))</f>
        <v/>
      </c>
      <c r="Q155" s="14" t="str">
        <f>IF(A155="","",IF(N155/Inputs!$B$10&lt;=AG155,Inputs!$F$5,IF(N155/Inputs!$B$10&gt;AP155,"OVERSIZE",INDEX(Inputs!$F$5:$F$14,MATCH(N155/Inputs!$B$10,AG155:AP155,1)+1))))</f>
        <v/>
      </c>
      <c r="R155" s="14"/>
      <c r="S155" s="14" t="str">
        <f t="shared" si="158"/>
        <v/>
      </c>
      <c r="T155" s="44" t="str">
        <f t="shared" si="159"/>
        <v/>
      </c>
      <c r="U155" s="44" t="str">
        <f>IF(T155="","",(1/Inputs!$B$9)*(PI()*T155^2/4)*((T155/4)^(2/3))*SQRT(P155))</f>
        <v/>
      </c>
      <c r="V155" s="44" t="str">
        <f>IF(OR(U155="",N155=""),"",N155/(U155*Inputs!$B$10))</f>
        <v/>
      </c>
      <c r="W155" s="44" t="str">
        <f t="shared" si="160"/>
        <v/>
      </c>
      <c r="X155" s="44"/>
      <c r="Y155" s="44" t="str">
        <f>IF(A155="","",IF(A155=Inputs!$B$6,Inputs!$B$22,IF(D155="","",IFERROR(INDEX($Z$4:$Z$201,MATCH(D155,$A$4:$A$201,0))+IF(X155="",Inputs!$B$20,X155),""))))</f>
        <v/>
      </c>
      <c r="Z155" s="44" t="str">
        <f t="shared" si="161"/>
        <v/>
      </c>
      <c r="AA155" s="44" t="str">
        <f>IF(C155="","",IFERROR(INDEX(Noeuds_plan!$C$4:$C$200,MATCH(C155,Noeuds_plan!$A$4:$A$200,0)),""))</f>
        <v/>
      </c>
      <c r="AB155" s="44" t="str">
        <f>IF(B155="","",IFERROR(INDEX(Noeuds_plan!$C$4:$C$200,MATCH(B155,Noeuds_plan!$A$4:$A$200,0)),""))</f>
        <v/>
      </c>
      <c r="AC155" s="44" t="str">
        <f t="shared" si="162"/>
        <v/>
      </c>
      <c r="AD155" s="44" t="str">
        <f t="shared" si="163"/>
        <v/>
      </c>
      <c r="AE155" s="14" t="str">
        <f>IF(A155="","",IF(OR(V155&gt;1,AND(AY155&lt;&gt;"",AY155&lt;Inputs!$B$11),AND(AY155&lt;&gt;"",AY155&gt;Inputs!$B$12),AC155&lt;Inputs!$B$19,AD155&lt;Inputs!$B$19,P155&lt;Inputs!$B$7,P155&gt;Inputs!$B$8),"CHECK","OK"))</f>
        <v/>
      </c>
      <c r="AF155" s="14"/>
      <c r="AG155" s="14" t="str">
        <f>IF(A155="","",(1/Inputs!$B$9)*(PI()*(Inputs!$F$5/1000)^2/4)*((Inputs!$F$5/1000/4)^(2/3))*SQRT(P155))</f>
        <v/>
      </c>
      <c r="AH155" s="14" t="str">
        <f>IF(A155="","",(1/Inputs!$B$9)*(PI()*(Inputs!$F$6/1000)^2/4)*((Inputs!$F$6/1000/4)^(2/3))*SQRT(P155))</f>
        <v/>
      </c>
      <c r="AI155" s="14" t="str">
        <f>IF(A155="","",(1/Inputs!$B$9)*(PI()*(Inputs!$F$7/1000)^2/4)*((Inputs!$F$7/1000/4)^(2/3))*SQRT(P155))</f>
        <v/>
      </c>
      <c r="AJ155" s="14" t="str">
        <f>IF(A155="","",(1/Inputs!$B$9)*(PI()*(Inputs!$F$8/1000)^2/4)*((Inputs!$F$8/1000/4)^(2/3))*SQRT(P155))</f>
        <v/>
      </c>
      <c r="AK155" s="14" t="str">
        <f>IF(A155="","",(1/Inputs!$B$9)*(PI()*(Inputs!$F$9/1000)^2/4)*((Inputs!$F$9/1000/4)^(2/3))*SQRT(P155))</f>
        <v/>
      </c>
      <c r="AL155" s="14" t="str">
        <f>IF(A155="","",(1/Inputs!$B$9)*(PI()*(Inputs!$F$10/1000)^2/4)*((Inputs!$F$10/1000/4)^(2/3))*SQRT(P155))</f>
        <v/>
      </c>
      <c r="AM155" s="14" t="str">
        <f>IF(A155="","",(1/Inputs!$B$9)*(PI()*(Inputs!$F$11/1000)^2/4)*((Inputs!$F$11/1000/4)^(2/3))*SQRT(P155))</f>
        <v/>
      </c>
      <c r="AN155" s="14" t="str">
        <f>IF(A155="","",(1/Inputs!$B$9)*(PI()*(Inputs!$F$12/1000)^2/4)*((Inputs!$F$12/1000/4)^(2/3))*SQRT(P155))</f>
        <v/>
      </c>
      <c r="AO155" s="14" t="str">
        <f>IF(A155="","",(1/Inputs!$B$9)*(PI()*(Inputs!$F$13/1000)^2/4)*((Inputs!$F$13/1000/4)^(2/3))*SQRT(P155))</f>
        <v/>
      </c>
      <c r="AP155" s="14" t="str">
        <f>IF(A155="","",(1/Inputs!$B$9)*(PI()*(Inputs!$F$14/1000)^2/4)*((Inputs!$F$14/1000/4)^(2/3))*SQRT(P155))</f>
        <v/>
      </c>
      <c r="AQ155" s="14" t="str">
        <f t="shared" si="164"/>
        <v/>
      </c>
      <c r="AR155" s="14" t="str">
        <f t="shared" si="165"/>
        <v/>
      </c>
      <c r="AS155" s="17" t="str">
        <f>IF(A155="","",IF(J155="",Inputs!$B$18,J155))</f>
        <v/>
      </c>
      <c r="AT155" s="17" t="str">
        <f>IF(A155="","",IFERROR(_xludf.maxifs($AV$4:$AV$201,$D$4:$D$201,$A155),""))</f>
        <v/>
      </c>
      <c r="AU155" s="17" t="str">
        <f>IF(A155="","",IF(OR(E155="",Inputs!$B$23=""),"",E155/(Inputs!$B$23*60)))</f>
        <v/>
      </c>
      <c r="AV155" s="17" t="str">
        <f t="shared" si="166"/>
        <v/>
      </c>
      <c r="AW155" s="17" t="str">
        <f t="shared" si="167"/>
        <v/>
      </c>
      <c r="AX155" s="17" t="str">
        <f>IF(OR(T155="",P155=""),"",(1/Inputs!$B$9)*((T155/4)^(2/3))*SQRT(P155))</f>
        <v/>
      </c>
      <c r="AY155" s="17" t="str">
        <f>IF(A155="","",IF(AND(AW155="",AX155="",BA155=""),"",IF(OR(UPPER(TRIM(Inputs!$B$24))="MANNING",UPPER(TRIM(Inputs!$B$24))="M"),AX155,IF(OR(UPPER(TRIM(Inputs!$B$24))="PARTIAL",UPPER(TRIM(Inputs!$B$24))="P"),BA155,IF(OR(UPPER(TRIM(Inputs!$B$24))="MAX",UPPER(TRIM(Inputs!$B$24))="X"),MAX(IF(AW155="",0,AW155),IF(AX155="",0,AX155),IF(BA155="",0,BA155)),AW155)))))</f>
        <v/>
      </c>
      <c r="AZ155" s="17" t="str">
        <f t="shared" si="168"/>
        <v/>
      </c>
      <c r="BA155" s="17" t="str">
        <f t="shared" si="169"/>
        <v/>
      </c>
      <c r="BB155" s="14" t="str">
        <f t="shared" si="170"/>
        <v/>
      </c>
      <c r="BC155" s="14" t="str">
        <f>IF(OR(N155="",T155="",P155=""),"",IF(OR(T155="",P155="",(0.94*T155)="",T155&lt;=0,(0.94*T155)&lt;=0),"",(1/Inputs!$B$9)*((T155^2/8)*((2*ACOS(1-2*(0.94*T155)/T155))-SIN((2*ACOS(1-2*(0.94*T155)/T155)))))*((((T155^2/8)*((2*ACOS(1-2*(0.94*T155)/T155))-SIN((2*ACOS(1-2*(0.94*T155)/T155)))))/((T155/2)*((2*ACOS(1-2*(0.94*T155)/T155)))))^(2/3))*SQRT(P155)))</f>
        <v/>
      </c>
      <c r="BD155" s="14" t="str">
        <f t="shared" si="171"/>
        <v/>
      </c>
      <c r="BE155" s="14" t="str">
        <f t="shared" si="172"/>
        <v/>
      </c>
      <c r="BF155" s="14" t="str">
        <f t="shared" si="173"/>
        <v/>
      </c>
      <c r="BG155" s="14" t="str">
        <f>IF(OR(T155="",P155="",BF155="",T155&lt;=0,BF155&lt;=0),"",(1/Inputs!$B$9)*((T155^2/8)*((2*ACOS(1-2*BF155/T155))-SIN((2*ACOS(1-2*BF155/T155)))))*((((T155^2/8)*((2*ACOS(1-2*BF155/T155))-SIN((2*ACOS(1-2*BF155/T155)))))/((T155/2)*((2*ACOS(1-2*BF155/T155)))))^(2/3))*SQRT(P155))</f>
        <v/>
      </c>
      <c r="BH155" s="14" t="str">
        <f t="shared" si="174"/>
        <v/>
      </c>
      <c r="BI155" s="14" t="str">
        <f t="shared" si="175"/>
        <v/>
      </c>
      <c r="BJ155" s="14" t="str">
        <f t="shared" si="176"/>
        <v/>
      </c>
      <c r="BK155" s="14" t="str">
        <f>IF(OR(T155="",P155="",BJ155="",T155&lt;=0,BJ155&lt;=0),"",(1/Inputs!$B$9)*((T155^2/8)*((2*ACOS(1-2*BJ155/T155))-SIN((2*ACOS(1-2*BJ155/T155)))))*((((T155^2/8)*((2*ACOS(1-2*BJ155/T155))-SIN((2*ACOS(1-2*BJ155/T155)))))/((T155/2)*((2*ACOS(1-2*BJ155/T155)))))^(2/3))*SQRT(P155))</f>
        <v/>
      </c>
      <c r="BL155" s="14" t="str">
        <f t="shared" si="177"/>
        <v/>
      </c>
      <c r="BM155" s="14" t="str">
        <f t="shared" si="178"/>
        <v/>
      </c>
      <c r="BN155" s="14" t="str">
        <f t="shared" si="179"/>
        <v/>
      </c>
      <c r="BO155" s="14" t="str">
        <f>IF(OR(T155="",P155="",BN155="",T155&lt;=0,BN155&lt;=0),"",(1/Inputs!$B$9)*((T155^2/8)*((2*ACOS(1-2*BN155/T155))-SIN((2*ACOS(1-2*BN155/T155)))))*((((T155^2/8)*((2*ACOS(1-2*BN155/T155))-SIN((2*ACOS(1-2*BN155/T155)))))/((T155/2)*((2*ACOS(1-2*BN155/T155)))))^(2/3))*SQRT(P155))</f>
        <v/>
      </c>
      <c r="BP155" s="14" t="str">
        <f t="shared" si="180"/>
        <v/>
      </c>
      <c r="BQ155" s="14" t="str">
        <f t="shared" si="181"/>
        <v/>
      </c>
      <c r="BR155" s="14" t="str">
        <f t="shared" si="182"/>
        <v/>
      </c>
      <c r="BS155" s="14" t="str">
        <f>IF(OR(T155="",P155="",BR155="",T155&lt;=0,BR155&lt;=0),"",(1/Inputs!$B$9)*((T155^2/8)*((2*ACOS(1-2*BR155/T155))-SIN((2*ACOS(1-2*BR155/T155)))))*((((T155^2/8)*((2*ACOS(1-2*BR155/T155))-SIN((2*ACOS(1-2*BR155/T155)))))/((T155/2)*((2*ACOS(1-2*BR155/T155)))))^(2/3))*SQRT(P155))</f>
        <v/>
      </c>
      <c r="BT155" s="14" t="str">
        <f t="shared" si="183"/>
        <v/>
      </c>
      <c r="BU155" s="14" t="str">
        <f t="shared" si="184"/>
        <v/>
      </c>
      <c r="BV155" s="14" t="str">
        <f t="shared" si="185"/>
        <v/>
      </c>
      <c r="BW155" s="14" t="str">
        <f>IF(OR(T155="",P155="",BV155="",T155&lt;=0,BV155&lt;=0),"",(1/Inputs!$B$9)*((T155^2/8)*((2*ACOS(1-2*BV155/T155))-SIN((2*ACOS(1-2*BV155/T155)))))*((((T155^2/8)*((2*ACOS(1-2*BV155/T155))-SIN((2*ACOS(1-2*BV155/T155)))))/((T155/2)*((2*ACOS(1-2*BV155/T155)))))^(2/3))*SQRT(P155))</f>
        <v/>
      </c>
      <c r="BX155" s="14" t="str">
        <f t="shared" si="186"/>
        <v/>
      </c>
      <c r="BY155" s="14" t="str">
        <f t="shared" si="187"/>
        <v/>
      </c>
      <c r="BZ155" s="14" t="str">
        <f t="shared" si="188"/>
        <v/>
      </c>
      <c r="CA155" s="14" t="str">
        <f>IF(OR(T155="",P155="",BZ155="",T155&lt;=0,BZ155&lt;=0),"",(1/Inputs!$B$9)*((T155^2/8)*((2*ACOS(1-2*BZ155/T155))-SIN((2*ACOS(1-2*BZ155/T155)))))*((((T155^2/8)*((2*ACOS(1-2*BZ155/T155))-SIN((2*ACOS(1-2*BZ155/T155)))))/((T155/2)*((2*ACOS(1-2*BZ155/T155)))))^(2/3))*SQRT(P155))</f>
        <v/>
      </c>
      <c r="CB155" s="14" t="str">
        <f t="shared" si="189"/>
        <v/>
      </c>
      <c r="CC155" s="14" t="str">
        <f t="shared" si="190"/>
        <v/>
      </c>
      <c r="CD155" s="14" t="str">
        <f t="shared" si="191"/>
        <v/>
      </c>
      <c r="CE155" s="14" t="str">
        <f>IF(OR(T155="",P155="",CD155="",T155&lt;=0,CD155&lt;=0),"",(1/Inputs!$B$9)*((T155^2/8)*((2*ACOS(1-2*CD155/T155))-SIN((2*ACOS(1-2*CD155/T155)))))*((((T155^2/8)*((2*ACOS(1-2*CD155/T155))-SIN((2*ACOS(1-2*CD155/T155)))))/((T155/2)*((2*ACOS(1-2*CD155/T155)))))^(2/3))*SQRT(P155))</f>
        <v/>
      </c>
      <c r="CF155" s="14" t="str">
        <f t="shared" si="192"/>
        <v/>
      </c>
      <c r="CG155" s="14" t="str">
        <f t="shared" si="193"/>
        <v/>
      </c>
      <c r="CH155" s="14" t="str">
        <f t="shared" si="194"/>
        <v/>
      </c>
    </row>
    <row r="156" spans="1:86" x14ac:dyDescent="0.25">
      <c r="A156" s="14"/>
      <c r="B156" s="14"/>
      <c r="C156" s="14"/>
      <c r="D156" s="14"/>
      <c r="E156" s="44"/>
      <c r="F156" s="44"/>
      <c r="G156" s="44">
        <f>SUMIFS(CB_plan!$G:$G,CB_plan!$F:$F,$A156)</f>
        <v>0</v>
      </c>
      <c r="H156" s="44">
        <f t="shared" si="156"/>
        <v>0</v>
      </c>
      <c r="I156" s="14"/>
      <c r="J156" s="44"/>
      <c r="K156" s="44" t="str">
        <f>IF(A156="","",Inputs!$B$13/((IF(AV156="",Inputs!$B$18,AV156)+Inputs!$B$14)^Inputs!$B$15))</f>
        <v/>
      </c>
      <c r="L156" s="44" t="str">
        <f>IF(A156="","",IF(H156="","",0.000000278*IF(I156&lt;&gt;"",I156,IFERROR(SUMIFS(CB_plan!$H:$H,CB_plan!$F:$F,$A156)/SUMIFS(CB_plan!$G:$G,CB_plan!$F:$F,$A156),Inputs!$B$17))*H156*K156))</f>
        <v/>
      </c>
      <c r="M156" s="44" t="str">
        <f t="shared" si="157"/>
        <v/>
      </c>
      <c r="N156" s="44" t="str">
        <f>IF(A156="","",(L156+M156)*Inputs!$B$16)</f>
        <v/>
      </c>
      <c r="O156" s="44"/>
      <c r="P156" s="44" t="str">
        <f>IF(A156="","",IF(O156="",Inputs!$B$7,O156))</f>
        <v/>
      </c>
      <c r="Q156" s="14" t="str">
        <f>IF(A156="","",IF(N156/Inputs!$B$10&lt;=AG156,Inputs!$F$5,IF(N156/Inputs!$B$10&gt;AP156,"OVERSIZE",INDEX(Inputs!$F$5:$F$14,MATCH(N156/Inputs!$B$10,AG156:AP156,1)+1))))</f>
        <v/>
      </c>
      <c r="R156" s="14"/>
      <c r="S156" s="14" t="str">
        <f t="shared" si="158"/>
        <v/>
      </c>
      <c r="T156" s="44" t="str">
        <f t="shared" si="159"/>
        <v/>
      </c>
      <c r="U156" s="44" t="str">
        <f>IF(T156="","",(1/Inputs!$B$9)*(PI()*T156^2/4)*((T156/4)^(2/3))*SQRT(P156))</f>
        <v/>
      </c>
      <c r="V156" s="44" t="str">
        <f>IF(OR(U156="",N156=""),"",N156/(U156*Inputs!$B$10))</f>
        <v/>
      </c>
      <c r="W156" s="44" t="str">
        <f t="shared" si="160"/>
        <v/>
      </c>
      <c r="X156" s="44"/>
      <c r="Y156" s="44" t="str">
        <f>IF(A156="","",IF(A156=Inputs!$B$6,Inputs!$B$22,IF(D156="","",IFERROR(INDEX($Z$4:$Z$201,MATCH(D156,$A$4:$A$201,0))+IF(X156="",Inputs!$B$20,X156),""))))</f>
        <v/>
      </c>
      <c r="Z156" s="44" t="str">
        <f t="shared" si="161"/>
        <v/>
      </c>
      <c r="AA156" s="44" t="str">
        <f>IF(C156="","",IFERROR(INDEX(Noeuds_plan!$C$4:$C$200,MATCH(C156,Noeuds_plan!$A$4:$A$200,0)),""))</f>
        <v/>
      </c>
      <c r="AB156" s="44" t="str">
        <f>IF(B156="","",IFERROR(INDEX(Noeuds_plan!$C$4:$C$200,MATCH(B156,Noeuds_plan!$A$4:$A$200,0)),""))</f>
        <v/>
      </c>
      <c r="AC156" s="44" t="str">
        <f t="shared" si="162"/>
        <v/>
      </c>
      <c r="AD156" s="44" t="str">
        <f t="shared" si="163"/>
        <v/>
      </c>
      <c r="AE156" s="14" t="str">
        <f>IF(A156="","",IF(OR(V156&gt;1,AND(AY156&lt;&gt;"",AY156&lt;Inputs!$B$11),AND(AY156&lt;&gt;"",AY156&gt;Inputs!$B$12),AC156&lt;Inputs!$B$19,AD156&lt;Inputs!$B$19,P156&lt;Inputs!$B$7,P156&gt;Inputs!$B$8),"CHECK","OK"))</f>
        <v/>
      </c>
      <c r="AF156" s="14"/>
      <c r="AG156" s="14" t="str">
        <f>IF(A156="","",(1/Inputs!$B$9)*(PI()*(Inputs!$F$5/1000)^2/4)*((Inputs!$F$5/1000/4)^(2/3))*SQRT(P156))</f>
        <v/>
      </c>
      <c r="AH156" s="14" t="str">
        <f>IF(A156="","",(1/Inputs!$B$9)*(PI()*(Inputs!$F$6/1000)^2/4)*((Inputs!$F$6/1000/4)^(2/3))*SQRT(P156))</f>
        <v/>
      </c>
      <c r="AI156" s="14" t="str">
        <f>IF(A156="","",(1/Inputs!$B$9)*(PI()*(Inputs!$F$7/1000)^2/4)*((Inputs!$F$7/1000/4)^(2/3))*SQRT(P156))</f>
        <v/>
      </c>
      <c r="AJ156" s="14" t="str">
        <f>IF(A156="","",(1/Inputs!$B$9)*(PI()*(Inputs!$F$8/1000)^2/4)*((Inputs!$F$8/1000/4)^(2/3))*SQRT(P156))</f>
        <v/>
      </c>
      <c r="AK156" s="14" t="str">
        <f>IF(A156="","",(1/Inputs!$B$9)*(PI()*(Inputs!$F$9/1000)^2/4)*((Inputs!$F$9/1000/4)^(2/3))*SQRT(P156))</f>
        <v/>
      </c>
      <c r="AL156" s="14" t="str">
        <f>IF(A156="","",(1/Inputs!$B$9)*(PI()*(Inputs!$F$10/1000)^2/4)*((Inputs!$F$10/1000/4)^(2/3))*SQRT(P156))</f>
        <v/>
      </c>
      <c r="AM156" s="14" t="str">
        <f>IF(A156="","",(1/Inputs!$B$9)*(PI()*(Inputs!$F$11/1000)^2/4)*((Inputs!$F$11/1000/4)^(2/3))*SQRT(P156))</f>
        <v/>
      </c>
      <c r="AN156" s="14" t="str">
        <f>IF(A156="","",(1/Inputs!$B$9)*(PI()*(Inputs!$F$12/1000)^2/4)*((Inputs!$F$12/1000/4)^(2/3))*SQRT(P156))</f>
        <v/>
      </c>
      <c r="AO156" s="14" t="str">
        <f>IF(A156="","",(1/Inputs!$B$9)*(PI()*(Inputs!$F$13/1000)^2/4)*((Inputs!$F$13/1000/4)^(2/3))*SQRT(P156))</f>
        <v/>
      </c>
      <c r="AP156" s="14" t="str">
        <f>IF(A156="","",(1/Inputs!$B$9)*(PI()*(Inputs!$F$14/1000)^2/4)*((Inputs!$F$14/1000/4)^(2/3))*SQRT(P156))</f>
        <v/>
      </c>
      <c r="AQ156" s="14" t="str">
        <f t="shared" si="164"/>
        <v/>
      </c>
      <c r="AR156" s="14" t="str">
        <f t="shared" si="165"/>
        <v/>
      </c>
      <c r="AS156" s="17" t="str">
        <f>IF(A156="","",IF(J156="",Inputs!$B$18,J156))</f>
        <v/>
      </c>
      <c r="AT156" s="17" t="str">
        <f>IF(A156="","",IFERROR(_xludf.maxifs($AV$4:$AV$201,$D$4:$D$201,$A156),""))</f>
        <v/>
      </c>
      <c r="AU156" s="17" t="str">
        <f>IF(A156="","",IF(OR(E156="",Inputs!$B$23=""),"",E156/(Inputs!$B$23*60)))</f>
        <v/>
      </c>
      <c r="AV156" s="17" t="str">
        <f t="shared" si="166"/>
        <v/>
      </c>
      <c r="AW156" s="17" t="str">
        <f t="shared" si="167"/>
        <v/>
      </c>
      <c r="AX156" s="17" t="str">
        <f>IF(OR(T156="",P156=""),"",(1/Inputs!$B$9)*((T156/4)^(2/3))*SQRT(P156))</f>
        <v/>
      </c>
      <c r="AY156" s="17" t="str">
        <f>IF(A156="","",IF(AND(AW156="",AX156="",BA156=""),"",IF(OR(UPPER(TRIM(Inputs!$B$24))="MANNING",UPPER(TRIM(Inputs!$B$24))="M"),AX156,IF(OR(UPPER(TRIM(Inputs!$B$24))="PARTIAL",UPPER(TRIM(Inputs!$B$24))="P"),BA156,IF(OR(UPPER(TRIM(Inputs!$B$24))="MAX",UPPER(TRIM(Inputs!$B$24))="X"),MAX(IF(AW156="",0,AW156),IF(AX156="",0,AX156),IF(BA156="",0,BA156)),AW156)))))</f>
        <v/>
      </c>
      <c r="AZ156" s="17" t="str">
        <f t="shared" si="168"/>
        <v/>
      </c>
      <c r="BA156" s="17" t="str">
        <f t="shared" si="169"/>
        <v/>
      </c>
      <c r="BB156" s="14" t="str">
        <f t="shared" si="170"/>
        <v/>
      </c>
      <c r="BC156" s="14" t="str">
        <f>IF(OR(N156="",T156="",P156=""),"",IF(OR(T156="",P156="",(0.94*T156)="",T156&lt;=0,(0.94*T156)&lt;=0),"",(1/Inputs!$B$9)*((T156^2/8)*((2*ACOS(1-2*(0.94*T156)/T156))-SIN((2*ACOS(1-2*(0.94*T156)/T156)))))*((((T156^2/8)*((2*ACOS(1-2*(0.94*T156)/T156))-SIN((2*ACOS(1-2*(0.94*T156)/T156)))))/((T156/2)*((2*ACOS(1-2*(0.94*T156)/T156)))))^(2/3))*SQRT(P156)))</f>
        <v/>
      </c>
      <c r="BD156" s="14" t="str">
        <f t="shared" si="171"/>
        <v/>
      </c>
      <c r="BE156" s="14" t="str">
        <f t="shared" si="172"/>
        <v/>
      </c>
      <c r="BF156" s="14" t="str">
        <f t="shared" si="173"/>
        <v/>
      </c>
      <c r="BG156" s="14" t="str">
        <f>IF(OR(T156="",P156="",BF156="",T156&lt;=0,BF156&lt;=0),"",(1/Inputs!$B$9)*((T156^2/8)*((2*ACOS(1-2*BF156/T156))-SIN((2*ACOS(1-2*BF156/T156)))))*((((T156^2/8)*((2*ACOS(1-2*BF156/T156))-SIN((2*ACOS(1-2*BF156/T156)))))/((T156/2)*((2*ACOS(1-2*BF156/T156)))))^(2/3))*SQRT(P156))</f>
        <v/>
      </c>
      <c r="BH156" s="14" t="str">
        <f t="shared" si="174"/>
        <v/>
      </c>
      <c r="BI156" s="14" t="str">
        <f t="shared" si="175"/>
        <v/>
      </c>
      <c r="BJ156" s="14" t="str">
        <f t="shared" si="176"/>
        <v/>
      </c>
      <c r="BK156" s="14" t="str">
        <f>IF(OR(T156="",P156="",BJ156="",T156&lt;=0,BJ156&lt;=0),"",(1/Inputs!$B$9)*((T156^2/8)*((2*ACOS(1-2*BJ156/T156))-SIN((2*ACOS(1-2*BJ156/T156)))))*((((T156^2/8)*((2*ACOS(1-2*BJ156/T156))-SIN((2*ACOS(1-2*BJ156/T156)))))/((T156/2)*((2*ACOS(1-2*BJ156/T156)))))^(2/3))*SQRT(P156))</f>
        <v/>
      </c>
      <c r="BL156" s="14" t="str">
        <f t="shared" si="177"/>
        <v/>
      </c>
      <c r="BM156" s="14" t="str">
        <f t="shared" si="178"/>
        <v/>
      </c>
      <c r="BN156" s="14" t="str">
        <f t="shared" si="179"/>
        <v/>
      </c>
      <c r="BO156" s="14" t="str">
        <f>IF(OR(T156="",P156="",BN156="",T156&lt;=0,BN156&lt;=0),"",(1/Inputs!$B$9)*((T156^2/8)*((2*ACOS(1-2*BN156/T156))-SIN((2*ACOS(1-2*BN156/T156)))))*((((T156^2/8)*((2*ACOS(1-2*BN156/T156))-SIN((2*ACOS(1-2*BN156/T156)))))/((T156/2)*((2*ACOS(1-2*BN156/T156)))))^(2/3))*SQRT(P156))</f>
        <v/>
      </c>
      <c r="BP156" s="14" t="str">
        <f t="shared" si="180"/>
        <v/>
      </c>
      <c r="BQ156" s="14" t="str">
        <f t="shared" si="181"/>
        <v/>
      </c>
      <c r="BR156" s="14" t="str">
        <f t="shared" si="182"/>
        <v/>
      </c>
      <c r="BS156" s="14" t="str">
        <f>IF(OR(T156="",P156="",BR156="",T156&lt;=0,BR156&lt;=0),"",(1/Inputs!$B$9)*((T156^2/8)*((2*ACOS(1-2*BR156/T156))-SIN((2*ACOS(1-2*BR156/T156)))))*((((T156^2/8)*((2*ACOS(1-2*BR156/T156))-SIN((2*ACOS(1-2*BR156/T156)))))/((T156/2)*((2*ACOS(1-2*BR156/T156)))))^(2/3))*SQRT(P156))</f>
        <v/>
      </c>
      <c r="BT156" s="14" t="str">
        <f t="shared" si="183"/>
        <v/>
      </c>
      <c r="BU156" s="14" t="str">
        <f t="shared" si="184"/>
        <v/>
      </c>
      <c r="BV156" s="14" t="str">
        <f t="shared" si="185"/>
        <v/>
      </c>
      <c r="BW156" s="14" t="str">
        <f>IF(OR(T156="",P156="",BV156="",T156&lt;=0,BV156&lt;=0),"",(1/Inputs!$B$9)*((T156^2/8)*((2*ACOS(1-2*BV156/T156))-SIN((2*ACOS(1-2*BV156/T156)))))*((((T156^2/8)*((2*ACOS(1-2*BV156/T156))-SIN((2*ACOS(1-2*BV156/T156)))))/((T156/2)*((2*ACOS(1-2*BV156/T156)))))^(2/3))*SQRT(P156))</f>
        <v/>
      </c>
      <c r="BX156" s="14" t="str">
        <f t="shared" si="186"/>
        <v/>
      </c>
      <c r="BY156" s="14" t="str">
        <f t="shared" si="187"/>
        <v/>
      </c>
      <c r="BZ156" s="14" t="str">
        <f t="shared" si="188"/>
        <v/>
      </c>
      <c r="CA156" s="14" t="str">
        <f>IF(OR(T156="",P156="",BZ156="",T156&lt;=0,BZ156&lt;=0),"",(1/Inputs!$B$9)*((T156^2/8)*((2*ACOS(1-2*BZ156/T156))-SIN((2*ACOS(1-2*BZ156/T156)))))*((((T156^2/8)*((2*ACOS(1-2*BZ156/T156))-SIN((2*ACOS(1-2*BZ156/T156)))))/((T156/2)*((2*ACOS(1-2*BZ156/T156)))))^(2/3))*SQRT(P156))</f>
        <v/>
      </c>
      <c r="CB156" s="14" t="str">
        <f t="shared" si="189"/>
        <v/>
      </c>
      <c r="CC156" s="14" t="str">
        <f t="shared" si="190"/>
        <v/>
      </c>
      <c r="CD156" s="14" t="str">
        <f t="shared" si="191"/>
        <v/>
      </c>
      <c r="CE156" s="14" t="str">
        <f>IF(OR(T156="",P156="",CD156="",T156&lt;=0,CD156&lt;=0),"",(1/Inputs!$B$9)*((T156^2/8)*((2*ACOS(1-2*CD156/T156))-SIN((2*ACOS(1-2*CD156/T156)))))*((((T156^2/8)*((2*ACOS(1-2*CD156/T156))-SIN((2*ACOS(1-2*CD156/T156)))))/((T156/2)*((2*ACOS(1-2*CD156/T156)))))^(2/3))*SQRT(P156))</f>
        <v/>
      </c>
      <c r="CF156" s="14" t="str">
        <f t="shared" si="192"/>
        <v/>
      </c>
      <c r="CG156" s="14" t="str">
        <f t="shared" si="193"/>
        <v/>
      </c>
      <c r="CH156" s="14" t="str">
        <f t="shared" si="194"/>
        <v/>
      </c>
    </row>
    <row r="157" spans="1:86" x14ac:dyDescent="0.25">
      <c r="A157" s="14"/>
      <c r="B157" s="14"/>
      <c r="C157" s="14"/>
      <c r="D157" s="14"/>
      <c r="E157" s="44"/>
      <c r="F157" s="44"/>
      <c r="G157" s="44">
        <f>SUMIFS(CB_plan!$G:$G,CB_plan!$F:$F,$A157)</f>
        <v>0</v>
      </c>
      <c r="H157" s="44">
        <f t="shared" si="156"/>
        <v>0</v>
      </c>
      <c r="I157" s="14"/>
      <c r="J157" s="44"/>
      <c r="K157" s="44" t="str">
        <f>IF(A157="","",Inputs!$B$13/((IF(AV157="",Inputs!$B$18,AV157)+Inputs!$B$14)^Inputs!$B$15))</f>
        <v/>
      </c>
      <c r="L157" s="44" t="str">
        <f>IF(A157="","",IF(H157="","",0.000000278*IF(I157&lt;&gt;"",I157,IFERROR(SUMIFS(CB_plan!$H:$H,CB_plan!$F:$F,$A157)/SUMIFS(CB_plan!$G:$G,CB_plan!$F:$F,$A157),Inputs!$B$17))*H157*K157))</f>
        <v/>
      </c>
      <c r="M157" s="44" t="str">
        <f t="shared" si="157"/>
        <v/>
      </c>
      <c r="N157" s="44" t="str">
        <f>IF(A157="","",(L157+M157)*Inputs!$B$16)</f>
        <v/>
      </c>
      <c r="O157" s="44"/>
      <c r="P157" s="44" t="str">
        <f>IF(A157="","",IF(O157="",Inputs!$B$7,O157))</f>
        <v/>
      </c>
      <c r="Q157" s="14" t="str">
        <f>IF(A157="","",IF(N157/Inputs!$B$10&lt;=AG157,Inputs!$F$5,IF(N157/Inputs!$B$10&gt;AP157,"OVERSIZE",INDEX(Inputs!$F$5:$F$14,MATCH(N157/Inputs!$B$10,AG157:AP157,1)+1))))</f>
        <v/>
      </c>
      <c r="R157" s="14"/>
      <c r="S157" s="14" t="str">
        <f t="shared" si="158"/>
        <v/>
      </c>
      <c r="T157" s="44" t="str">
        <f t="shared" si="159"/>
        <v/>
      </c>
      <c r="U157" s="44" t="str">
        <f>IF(T157="","",(1/Inputs!$B$9)*(PI()*T157^2/4)*((T157/4)^(2/3))*SQRT(P157))</f>
        <v/>
      </c>
      <c r="V157" s="44" t="str">
        <f>IF(OR(U157="",N157=""),"",N157/(U157*Inputs!$B$10))</f>
        <v/>
      </c>
      <c r="W157" s="44" t="str">
        <f t="shared" si="160"/>
        <v/>
      </c>
      <c r="X157" s="44"/>
      <c r="Y157" s="44" t="str">
        <f>IF(A157="","",IF(A157=Inputs!$B$6,Inputs!$B$22,IF(D157="","",IFERROR(INDEX($Z$4:$Z$201,MATCH(D157,$A$4:$A$201,0))+IF(X157="",Inputs!$B$20,X157),""))))</f>
        <v/>
      </c>
      <c r="Z157" s="44" t="str">
        <f t="shared" si="161"/>
        <v/>
      </c>
      <c r="AA157" s="44" t="str">
        <f>IF(C157="","",IFERROR(INDEX(Noeuds_plan!$C$4:$C$200,MATCH(C157,Noeuds_plan!$A$4:$A$200,0)),""))</f>
        <v/>
      </c>
      <c r="AB157" s="44" t="str">
        <f>IF(B157="","",IFERROR(INDEX(Noeuds_plan!$C$4:$C$200,MATCH(B157,Noeuds_plan!$A$4:$A$200,0)),""))</f>
        <v/>
      </c>
      <c r="AC157" s="44" t="str">
        <f t="shared" si="162"/>
        <v/>
      </c>
      <c r="AD157" s="44" t="str">
        <f t="shared" si="163"/>
        <v/>
      </c>
      <c r="AE157" s="14" t="str">
        <f>IF(A157="","",IF(OR(V157&gt;1,AND(AY157&lt;&gt;"",AY157&lt;Inputs!$B$11),AND(AY157&lt;&gt;"",AY157&gt;Inputs!$B$12),AC157&lt;Inputs!$B$19,AD157&lt;Inputs!$B$19,P157&lt;Inputs!$B$7,P157&gt;Inputs!$B$8),"CHECK","OK"))</f>
        <v/>
      </c>
      <c r="AF157" s="14"/>
      <c r="AG157" s="14" t="str">
        <f>IF(A157="","",(1/Inputs!$B$9)*(PI()*(Inputs!$F$5/1000)^2/4)*((Inputs!$F$5/1000/4)^(2/3))*SQRT(P157))</f>
        <v/>
      </c>
      <c r="AH157" s="14" t="str">
        <f>IF(A157="","",(1/Inputs!$B$9)*(PI()*(Inputs!$F$6/1000)^2/4)*((Inputs!$F$6/1000/4)^(2/3))*SQRT(P157))</f>
        <v/>
      </c>
      <c r="AI157" s="14" t="str">
        <f>IF(A157="","",(1/Inputs!$B$9)*(PI()*(Inputs!$F$7/1000)^2/4)*((Inputs!$F$7/1000/4)^(2/3))*SQRT(P157))</f>
        <v/>
      </c>
      <c r="AJ157" s="14" t="str">
        <f>IF(A157="","",(1/Inputs!$B$9)*(PI()*(Inputs!$F$8/1000)^2/4)*((Inputs!$F$8/1000/4)^(2/3))*SQRT(P157))</f>
        <v/>
      </c>
      <c r="AK157" s="14" t="str">
        <f>IF(A157="","",(1/Inputs!$B$9)*(PI()*(Inputs!$F$9/1000)^2/4)*((Inputs!$F$9/1000/4)^(2/3))*SQRT(P157))</f>
        <v/>
      </c>
      <c r="AL157" s="14" t="str">
        <f>IF(A157="","",(1/Inputs!$B$9)*(PI()*(Inputs!$F$10/1000)^2/4)*((Inputs!$F$10/1000/4)^(2/3))*SQRT(P157))</f>
        <v/>
      </c>
      <c r="AM157" s="14" t="str">
        <f>IF(A157="","",(1/Inputs!$B$9)*(PI()*(Inputs!$F$11/1000)^2/4)*((Inputs!$F$11/1000/4)^(2/3))*SQRT(P157))</f>
        <v/>
      </c>
      <c r="AN157" s="14" t="str">
        <f>IF(A157="","",(1/Inputs!$B$9)*(PI()*(Inputs!$F$12/1000)^2/4)*((Inputs!$F$12/1000/4)^(2/3))*SQRT(P157))</f>
        <v/>
      </c>
      <c r="AO157" s="14" t="str">
        <f>IF(A157="","",(1/Inputs!$B$9)*(PI()*(Inputs!$F$13/1000)^2/4)*((Inputs!$F$13/1000/4)^(2/3))*SQRT(P157))</f>
        <v/>
      </c>
      <c r="AP157" s="14" t="str">
        <f>IF(A157="","",(1/Inputs!$B$9)*(PI()*(Inputs!$F$14/1000)^2/4)*((Inputs!$F$14/1000/4)^(2/3))*SQRT(P157))</f>
        <v/>
      </c>
      <c r="AQ157" s="14" t="str">
        <f t="shared" si="164"/>
        <v/>
      </c>
      <c r="AR157" s="14" t="str">
        <f t="shared" si="165"/>
        <v/>
      </c>
      <c r="AS157" s="17" t="str">
        <f>IF(A157="","",IF(J157="",Inputs!$B$18,J157))</f>
        <v/>
      </c>
      <c r="AT157" s="17" t="str">
        <f>IF(A157="","",IFERROR(_xludf.maxifs($AV$4:$AV$201,$D$4:$D$201,$A157),""))</f>
        <v/>
      </c>
      <c r="AU157" s="17" t="str">
        <f>IF(A157="","",IF(OR(E157="",Inputs!$B$23=""),"",E157/(Inputs!$B$23*60)))</f>
        <v/>
      </c>
      <c r="AV157" s="17" t="str">
        <f t="shared" si="166"/>
        <v/>
      </c>
      <c r="AW157" s="17" t="str">
        <f t="shared" si="167"/>
        <v/>
      </c>
      <c r="AX157" s="17" t="str">
        <f>IF(OR(T157="",P157=""),"",(1/Inputs!$B$9)*((T157/4)^(2/3))*SQRT(P157))</f>
        <v/>
      </c>
      <c r="AY157" s="17" t="str">
        <f>IF(A157="","",IF(AND(AW157="",AX157="",BA157=""),"",IF(OR(UPPER(TRIM(Inputs!$B$24))="MANNING",UPPER(TRIM(Inputs!$B$24))="M"),AX157,IF(OR(UPPER(TRIM(Inputs!$B$24))="PARTIAL",UPPER(TRIM(Inputs!$B$24))="P"),BA157,IF(OR(UPPER(TRIM(Inputs!$B$24))="MAX",UPPER(TRIM(Inputs!$B$24))="X"),MAX(IF(AW157="",0,AW157),IF(AX157="",0,AX157),IF(BA157="",0,BA157)),AW157)))))</f>
        <v/>
      </c>
      <c r="AZ157" s="17" t="str">
        <f t="shared" si="168"/>
        <v/>
      </c>
      <c r="BA157" s="17" t="str">
        <f t="shared" si="169"/>
        <v/>
      </c>
      <c r="BB157" s="14" t="str">
        <f t="shared" si="170"/>
        <v/>
      </c>
      <c r="BC157" s="14" t="str">
        <f>IF(OR(N157="",T157="",P157=""),"",IF(OR(T157="",P157="",(0.94*T157)="",T157&lt;=0,(0.94*T157)&lt;=0),"",(1/Inputs!$B$9)*((T157^2/8)*((2*ACOS(1-2*(0.94*T157)/T157))-SIN((2*ACOS(1-2*(0.94*T157)/T157)))))*((((T157^2/8)*((2*ACOS(1-2*(0.94*T157)/T157))-SIN((2*ACOS(1-2*(0.94*T157)/T157)))))/((T157/2)*((2*ACOS(1-2*(0.94*T157)/T157)))))^(2/3))*SQRT(P157)))</f>
        <v/>
      </c>
      <c r="BD157" s="14" t="str">
        <f t="shared" si="171"/>
        <v/>
      </c>
      <c r="BE157" s="14" t="str">
        <f t="shared" si="172"/>
        <v/>
      </c>
      <c r="BF157" s="14" t="str">
        <f t="shared" si="173"/>
        <v/>
      </c>
      <c r="BG157" s="14" t="str">
        <f>IF(OR(T157="",P157="",BF157="",T157&lt;=0,BF157&lt;=0),"",(1/Inputs!$B$9)*((T157^2/8)*((2*ACOS(1-2*BF157/T157))-SIN((2*ACOS(1-2*BF157/T157)))))*((((T157^2/8)*((2*ACOS(1-2*BF157/T157))-SIN((2*ACOS(1-2*BF157/T157)))))/((T157/2)*((2*ACOS(1-2*BF157/T157)))))^(2/3))*SQRT(P157))</f>
        <v/>
      </c>
      <c r="BH157" s="14" t="str">
        <f t="shared" si="174"/>
        <v/>
      </c>
      <c r="BI157" s="14" t="str">
        <f t="shared" si="175"/>
        <v/>
      </c>
      <c r="BJ157" s="14" t="str">
        <f t="shared" si="176"/>
        <v/>
      </c>
      <c r="BK157" s="14" t="str">
        <f>IF(OR(T157="",P157="",BJ157="",T157&lt;=0,BJ157&lt;=0),"",(1/Inputs!$B$9)*((T157^2/8)*((2*ACOS(1-2*BJ157/T157))-SIN((2*ACOS(1-2*BJ157/T157)))))*((((T157^2/8)*((2*ACOS(1-2*BJ157/T157))-SIN((2*ACOS(1-2*BJ157/T157)))))/((T157/2)*((2*ACOS(1-2*BJ157/T157)))))^(2/3))*SQRT(P157))</f>
        <v/>
      </c>
      <c r="BL157" s="14" t="str">
        <f t="shared" si="177"/>
        <v/>
      </c>
      <c r="BM157" s="14" t="str">
        <f t="shared" si="178"/>
        <v/>
      </c>
      <c r="BN157" s="14" t="str">
        <f t="shared" si="179"/>
        <v/>
      </c>
      <c r="BO157" s="14" t="str">
        <f>IF(OR(T157="",P157="",BN157="",T157&lt;=0,BN157&lt;=0),"",(1/Inputs!$B$9)*((T157^2/8)*((2*ACOS(1-2*BN157/T157))-SIN((2*ACOS(1-2*BN157/T157)))))*((((T157^2/8)*((2*ACOS(1-2*BN157/T157))-SIN((2*ACOS(1-2*BN157/T157)))))/((T157/2)*((2*ACOS(1-2*BN157/T157)))))^(2/3))*SQRT(P157))</f>
        <v/>
      </c>
      <c r="BP157" s="14" t="str">
        <f t="shared" si="180"/>
        <v/>
      </c>
      <c r="BQ157" s="14" t="str">
        <f t="shared" si="181"/>
        <v/>
      </c>
      <c r="BR157" s="14" t="str">
        <f t="shared" si="182"/>
        <v/>
      </c>
      <c r="BS157" s="14" t="str">
        <f>IF(OR(T157="",P157="",BR157="",T157&lt;=0,BR157&lt;=0),"",(1/Inputs!$B$9)*((T157^2/8)*((2*ACOS(1-2*BR157/T157))-SIN((2*ACOS(1-2*BR157/T157)))))*((((T157^2/8)*((2*ACOS(1-2*BR157/T157))-SIN((2*ACOS(1-2*BR157/T157)))))/((T157/2)*((2*ACOS(1-2*BR157/T157)))))^(2/3))*SQRT(P157))</f>
        <v/>
      </c>
      <c r="BT157" s="14" t="str">
        <f t="shared" si="183"/>
        <v/>
      </c>
      <c r="BU157" s="14" t="str">
        <f t="shared" si="184"/>
        <v/>
      </c>
      <c r="BV157" s="14" t="str">
        <f t="shared" si="185"/>
        <v/>
      </c>
      <c r="BW157" s="14" t="str">
        <f>IF(OR(T157="",P157="",BV157="",T157&lt;=0,BV157&lt;=0),"",(1/Inputs!$B$9)*((T157^2/8)*((2*ACOS(1-2*BV157/T157))-SIN((2*ACOS(1-2*BV157/T157)))))*((((T157^2/8)*((2*ACOS(1-2*BV157/T157))-SIN((2*ACOS(1-2*BV157/T157)))))/((T157/2)*((2*ACOS(1-2*BV157/T157)))))^(2/3))*SQRT(P157))</f>
        <v/>
      </c>
      <c r="BX157" s="14" t="str">
        <f t="shared" si="186"/>
        <v/>
      </c>
      <c r="BY157" s="14" t="str">
        <f t="shared" si="187"/>
        <v/>
      </c>
      <c r="BZ157" s="14" t="str">
        <f t="shared" si="188"/>
        <v/>
      </c>
      <c r="CA157" s="14" t="str">
        <f>IF(OR(T157="",P157="",BZ157="",T157&lt;=0,BZ157&lt;=0),"",(1/Inputs!$B$9)*((T157^2/8)*((2*ACOS(1-2*BZ157/T157))-SIN((2*ACOS(1-2*BZ157/T157)))))*((((T157^2/8)*((2*ACOS(1-2*BZ157/T157))-SIN((2*ACOS(1-2*BZ157/T157)))))/((T157/2)*((2*ACOS(1-2*BZ157/T157)))))^(2/3))*SQRT(P157))</f>
        <v/>
      </c>
      <c r="CB157" s="14" t="str">
        <f t="shared" si="189"/>
        <v/>
      </c>
      <c r="CC157" s="14" t="str">
        <f t="shared" si="190"/>
        <v/>
      </c>
      <c r="CD157" s="14" t="str">
        <f t="shared" si="191"/>
        <v/>
      </c>
      <c r="CE157" s="14" t="str">
        <f>IF(OR(T157="",P157="",CD157="",T157&lt;=0,CD157&lt;=0),"",(1/Inputs!$B$9)*((T157^2/8)*((2*ACOS(1-2*CD157/T157))-SIN((2*ACOS(1-2*CD157/T157)))))*((((T157^2/8)*((2*ACOS(1-2*CD157/T157))-SIN((2*ACOS(1-2*CD157/T157)))))/((T157/2)*((2*ACOS(1-2*CD157/T157)))))^(2/3))*SQRT(P157))</f>
        <v/>
      </c>
      <c r="CF157" s="14" t="str">
        <f t="shared" si="192"/>
        <v/>
      </c>
      <c r="CG157" s="14" t="str">
        <f t="shared" si="193"/>
        <v/>
      </c>
      <c r="CH157" s="14" t="str">
        <f t="shared" si="194"/>
        <v/>
      </c>
    </row>
    <row r="158" spans="1:86" x14ac:dyDescent="0.25">
      <c r="A158" s="14"/>
      <c r="B158" s="14"/>
      <c r="C158" s="14"/>
      <c r="D158" s="14"/>
      <c r="E158" s="44"/>
      <c r="F158" s="44"/>
      <c r="G158" s="44">
        <f>SUMIFS(CB_plan!$G:$G,CB_plan!$F:$F,$A158)</f>
        <v>0</v>
      </c>
      <c r="H158" s="44">
        <f t="shared" si="156"/>
        <v>0</v>
      </c>
      <c r="I158" s="14"/>
      <c r="J158" s="44"/>
      <c r="K158" s="44" t="str">
        <f>IF(A158="","",Inputs!$B$13/((IF(AV158="",Inputs!$B$18,AV158)+Inputs!$B$14)^Inputs!$B$15))</f>
        <v/>
      </c>
      <c r="L158" s="44" t="str">
        <f>IF(A158="","",IF(H158="","",0.000000278*IF(I158&lt;&gt;"",I158,IFERROR(SUMIFS(CB_plan!$H:$H,CB_plan!$F:$F,$A158)/SUMIFS(CB_plan!$G:$G,CB_plan!$F:$F,$A158),Inputs!$B$17))*H158*K158))</f>
        <v/>
      </c>
      <c r="M158" s="44" t="str">
        <f t="shared" si="157"/>
        <v/>
      </c>
      <c r="N158" s="44" t="str">
        <f>IF(A158="","",(L158+M158)*Inputs!$B$16)</f>
        <v/>
      </c>
      <c r="O158" s="44"/>
      <c r="P158" s="44" t="str">
        <f>IF(A158="","",IF(O158="",Inputs!$B$7,O158))</f>
        <v/>
      </c>
      <c r="Q158" s="14" t="str">
        <f>IF(A158="","",IF(N158/Inputs!$B$10&lt;=AG158,Inputs!$F$5,IF(N158/Inputs!$B$10&gt;AP158,"OVERSIZE",INDEX(Inputs!$F$5:$F$14,MATCH(N158/Inputs!$B$10,AG158:AP158,1)+1))))</f>
        <v/>
      </c>
      <c r="R158" s="14"/>
      <c r="S158" s="14" t="str">
        <f t="shared" si="158"/>
        <v/>
      </c>
      <c r="T158" s="44" t="str">
        <f t="shared" si="159"/>
        <v/>
      </c>
      <c r="U158" s="44" t="str">
        <f>IF(T158="","",(1/Inputs!$B$9)*(PI()*T158^2/4)*((T158/4)^(2/3))*SQRT(P158))</f>
        <v/>
      </c>
      <c r="V158" s="44" t="str">
        <f>IF(OR(U158="",N158=""),"",N158/(U158*Inputs!$B$10))</f>
        <v/>
      </c>
      <c r="W158" s="44" t="str">
        <f t="shared" si="160"/>
        <v/>
      </c>
      <c r="X158" s="44"/>
      <c r="Y158" s="44" t="str">
        <f>IF(A158="","",IF(A158=Inputs!$B$6,Inputs!$B$22,IF(D158="","",IFERROR(INDEX($Z$4:$Z$201,MATCH(D158,$A$4:$A$201,0))+IF(X158="",Inputs!$B$20,X158),""))))</f>
        <v/>
      </c>
      <c r="Z158" s="44" t="str">
        <f t="shared" si="161"/>
        <v/>
      </c>
      <c r="AA158" s="44" t="str">
        <f>IF(C158="","",IFERROR(INDEX(Noeuds_plan!$C$4:$C$200,MATCH(C158,Noeuds_plan!$A$4:$A$200,0)),""))</f>
        <v/>
      </c>
      <c r="AB158" s="44" t="str">
        <f>IF(B158="","",IFERROR(INDEX(Noeuds_plan!$C$4:$C$200,MATCH(B158,Noeuds_plan!$A$4:$A$200,0)),""))</f>
        <v/>
      </c>
      <c r="AC158" s="44" t="str">
        <f t="shared" si="162"/>
        <v/>
      </c>
      <c r="AD158" s="44" t="str">
        <f t="shared" si="163"/>
        <v/>
      </c>
      <c r="AE158" s="14" t="str">
        <f>IF(A158="","",IF(OR(V158&gt;1,AND(AY158&lt;&gt;"",AY158&lt;Inputs!$B$11),AND(AY158&lt;&gt;"",AY158&gt;Inputs!$B$12),AC158&lt;Inputs!$B$19,AD158&lt;Inputs!$B$19,P158&lt;Inputs!$B$7,P158&gt;Inputs!$B$8),"CHECK","OK"))</f>
        <v/>
      </c>
      <c r="AF158" s="14"/>
      <c r="AG158" s="14" t="str">
        <f>IF(A158="","",(1/Inputs!$B$9)*(PI()*(Inputs!$F$5/1000)^2/4)*((Inputs!$F$5/1000/4)^(2/3))*SQRT(P158))</f>
        <v/>
      </c>
      <c r="AH158" s="14" t="str">
        <f>IF(A158="","",(1/Inputs!$B$9)*(PI()*(Inputs!$F$6/1000)^2/4)*((Inputs!$F$6/1000/4)^(2/3))*SQRT(P158))</f>
        <v/>
      </c>
      <c r="AI158" s="14" t="str">
        <f>IF(A158="","",(1/Inputs!$B$9)*(PI()*(Inputs!$F$7/1000)^2/4)*((Inputs!$F$7/1000/4)^(2/3))*SQRT(P158))</f>
        <v/>
      </c>
      <c r="AJ158" s="14" t="str">
        <f>IF(A158="","",(1/Inputs!$B$9)*(PI()*(Inputs!$F$8/1000)^2/4)*((Inputs!$F$8/1000/4)^(2/3))*SQRT(P158))</f>
        <v/>
      </c>
      <c r="AK158" s="14" t="str">
        <f>IF(A158="","",(1/Inputs!$B$9)*(PI()*(Inputs!$F$9/1000)^2/4)*((Inputs!$F$9/1000/4)^(2/3))*SQRT(P158))</f>
        <v/>
      </c>
      <c r="AL158" s="14" t="str">
        <f>IF(A158="","",(1/Inputs!$B$9)*(PI()*(Inputs!$F$10/1000)^2/4)*((Inputs!$F$10/1000/4)^(2/3))*SQRT(P158))</f>
        <v/>
      </c>
      <c r="AM158" s="14" t="str">
        <f>IF(A158="","",(1/Inputs!$B$9)*(PI()*(Inputs!$F$11/1000)^2/4)*((Inputs!$F$11/1000/4)^(2/3))*SQRT(P158))</f>
        <v/>
      </c>
      <c r="AN158" s="14" t="str">
        <f>IF(A158="","",(1/Inputs!$B$9)*(PI()*(Inputs!$F$12/1000)^2/4)*((Inputs!$F$12/1000/4)^(2/3))*SQRT(P158))</f>
        <v/>
      </c>
      <c r="AO158" s="14" t="str">
        <f>IF(A158="","",(1/Inputs!$B$9)*(PI()*(Inputs!$F$13/1000)^2/4)*((Inputs!$F$13/1000/4)^(2/3))*SQRT(P158))</f>
        <v/>
      </c>
      <c r="AP158" s="14" t="str">
        <f>IF(A158="","",(1/Inputs!$B$9)*(PI()*(Inputs!$F$14/1000)^2/4)*((Inputs!$F$14/1000/4)^(2/3))*SQRT(P158))</f>
        <v/>
      </c>
      <c r="AQ158" s="14" t="str">
        <f t="shared" si="164"/>
        <v/>
      </c>
      <c r="AR158" s="14" t="str">
        <f t="shared" si="165"/>
        <v/>
      </c>
      <c r="AS158" s="17" t="str">
        <f>IF(A158="","",IF(J158="",Inputs!$B$18,J158))</f>
        <v/>
      </c>
      <c r="AT158" s="17" t="str">
        <f>IF(A158="","",IFERROR(_xludf.maxifs($AV$4:$AV$201,$D$4:$D$201,$A158),""))</f>
        <v/>
      </c>
      <c r="AU158" s="17" t="str">
        <f>IF(A158="","",IF(OR(E158="",Inputs!$B$23=""),"",E158/(Inputs!$B$23*60)))</f>
        <v/>
      </c>
      <c r="AV158" s="17" t="str">
        <f t="shared" si="166"/>
        <v/>
      </c>
      <c r="AW158" s="17" t="str">
        <f t="shared" si="167"/>
        <v/>
      </c>
      <c r="AX158" s="17" t="str">
        <f>IF(OR(T158="",P158=""),"",(1/Inputs!$B$9)*((T158/4)^(2/3))*SQRT(P158))</f>
        <v/>
      </c>
      <c r="AY158" s="17" t="str">
        <f>IF(A158="","",IF(AND(AW158="",AX158="",BA158=""),"",IF(OR(UPPER(TRIM(Inputs!$B$24))="MANNING",UPPER(TRIM(Inputs!$B$24))="M"),AX158,IF(OR(UPPER(TRIM(Inputs!$B$24))="PARTIAL",UPPER(TRIM(Inputs!$B$24))="P"),BA158,IF(OR(UPPER(TRIM(Inputs!$B$24))="MAX",UPPER(TRIM(Inputs!$B$24))="X"),MAX(IF(AW158="",0,AW158),IF(AX158="",0,AX158),IF(BA158="",0,BA158)),AW158)))))</f>
        <v/>
      </c>
      <c r="AZ158" s="17" t="str">
        <f t="shared" si="168"/>
        <v/>
      </c>
      <c r="BA158" s="17" t="str">
        <f t="shared" si="169"/>
        <v/>
      </c>
      <c r="BB158" s="14" t="str">
        <f t="shared" si="170"/>
        <v/>
      </c>
      <c r="BC158" s="14" t="str">
        <f>IF(OR(N158="",T158="",P158=""),"",IF(OR(T158="",P158="",(0.94*T158)="",T158&lt;=0,(0.94*T158)&lt;=0),"",(1/Inputs!$B$9)*((T158^2/8)*((2*ACOS(1-2*(0.94*T158)/T158))-SIN((2*ACOS(1-2*(0.94*T158)/T158)))))*((((T158^2/8)*((2*ACOS(1-2*(0.94*T158)/T158))-SIN((2*ACOS(1-2*(0.94*T158)/T158)))))/((T158/2)*((2*ACOS(1-2*(0.94*T158)/T158)))))^(2/3))*SQRT(P158)))</f>
        <v/>
      </c>
      <c r="BD158" s="14" t="str">
        <f t="shared" si="171"/>
        <v/>
      </c>
      <c r="BE158" s="14" t="str">
        <f t="shared" si="172"/>
        <v/>
      </c>
      <c r="BF158" s="14" t="str">
        <f t="shared" si="173"/>
        <v/>
      </c>
      <c r="BG158" s="14" t="str">
        <f>IF(OR(T158="",P158="",BF158="",T158&lt;=0,BF158&lt;=0),"",(1/Inputs!$B$9)*((T158^2/8)*((2*ACOS(1-2*BF158/T158))-SIN((2*ACOS(1-2*BF158/T158)))))*((((T158^2/8)*((2*ACOS(1-2*BF158/T158))-SIN((2*ACOS(1-2*BF158/T158)))))/((T158/2)*((2*ACOS(1-2*BF158/T158)))))^(2/3))*SQRT(P158))</f>
        <v/>
      </c>
      <c r="BH158" s="14" t="str">
        <f t="shared" si="174"/>
        <v/>
      </c>
      <c r="BI158" s="14" t="str">
        <f t="shared" si="175"/>
        <v/>
      </c>
      <c r="BJ158" s="14" t="str">
        <f t="shared" si="176"/>
        <v/>
      </c>
      <c r="BK158" s="14" t="str">
        <f>IF(OR(T158="",P158="",BJ158="",T158&lt;=0,BJ158&lt;=0),"",(1/Inputs!$B$9)*((T158^2/8)*((2*ACOS(1-2*BJ158/T158))-SIN((2*ACOS(1-2*BJ158/T158)))))*((((T158^2/8)*((2*ACOS(1-2*BJ158/T158))-SIN((2*ACOS(1-2*BJ158/T158)))))/((T158/2)*((2*ACOS(1-2*BJ158/T158)))))^(2/3))*SQRT(P158))</f>
        <v/>
      </c>
      <c r="BL158" s="14" t="str">
        <f t="shared" si="177"/>
        <v/>
      </c>
      <c r="BM158" s="14" t="str">
        <f t="shared" si="178"/>
        <v/>
      </c>
      <c r="BN158" s="14" t="str">
        <f t="shared" si="179"/>
        <v/>
      </c>
      <c r="BO158" s="14" t="str">
        <f>IF(OR(T158="",P158="",BN158="",T158&lt;=0,BN158&lt;=0),"",(1/Inputs!$B$9)*((T158^2/8)*((2*ACOS(1-2*BN158/T158))-SIN((2*ACOS(1-2*BN158/T158)))))*((((T158^2/8)*((2*ACOS(1-2*BN158/T158))-SIN((2*ACOS(1-2*BN158/T158)))))/((T158/2)*((2*ACOS(1-2*BN158/T158)))))^(2/3))*SQRT(P158))</f>
        <v/>
      </c>
      <c r="BP158" s="14" t="str">
        <f t="shared" si="180"/>
        <v/>
      </c>
      <c r="BQ158" s="14" t="str">
        <f t="shared" si="181"/>
        <v/>
      </c>
      <c r="BR158" s="14" t="str">
        <f t="shared" si="182"/>
        <v/>
      </c>
      <c r="BS158" s="14" t="str">
        <f>IF(OR(T158="",P158="",BR158="",T158&lt;=0,BR158&lt;=0),"",(1/Inputs!$B$9)*((T158^2/8)*((2*ACOS(1-2*BR158/T158))-SIN((2*ACOS(1-2*BR158/T158)))))*((((T158^2/8)*((2*ACOS(1-2*BR158/T158))-SIN((2*ACOS(1-2*BR158/T158)))))/((T158/2)*((2*ACOS(1-2*BR158/T158)))))^(2/3))*SQRT(P158))</f>
        <v/>
      </c>
      <c r="BT158" s="14" t="str">
        <f t="shared" si="183"/>
        <v/>
      </c>
      <c r="BU158" s="14" t="str">
        <f t="shared" si="184"/>
        <v/>
      </c>
      <c r="BV158" s="14" t="str">
        <f t="shared" si="185"/>
        <v/>
      </c>
      <c r="BW158" s="14" t="str">
        <f>IF(OR(T158="",P158="",BV158="",T158&lt;=0,BV158&lt;=0),"",(1/Inputs!$B$9)*((T158^2/8)*((2*ACOS(1-2*BV158/T158))-SIN((2*ACOS(1-2*BV158/T158)))))*((((T158^2/8)*((2*ACOS(1-2*BV158/T158))-SIN((2*ACOS(1-2*BV158/T158)))))/((T158/2)*((2*ACOS(1-2*BV158/T158)))))^(2/3))*SQRT(P158))</f>
        <v/>
      </c>
      <c r="BX158" s="14" t="str">
        <f t="shared" si="186"/>
        <v/>
      </c>
      <c r="BY158" s="14" t="str">
        <f t="shared" si="187"/>
        <v/>
      </c>
      <c r="BZ158" s="14" t="str">
        <f t="shared" si="188"/>
        <v/>
      </c>
      <c r="CA158" s="14" t="str">
        <f>IF(OR(T158="",P158="",BZ158="",T158&lt;=0,BZ158&lt;=0),"",(1/Inputs!$B$9)*((T158^2/8)*((2*ACOS(1-2*BZ158/T158))-SIN((2*ACOS(1-2*BZ158/T158)))))*((((T158^2/8)*((2*ACOS(1-2*BZ158/T158))-SIN((2*ACOS(1-2*BZ158/T158)))))/((T158/2)*((2*ACOS(1-2*BZ158/T158)))))^(2/3))*SQRT(P158))</f>
        <v/>
      </c>
      <c r="CB158" s="14" t="str">
        <f t="shared" si="189"/>
        <v/>
      </c>
      <c r="CC158" s="14" t="str">
        <f t="shared" si="190"/>
        <v/>
      </c>
      <c r="CD158" s="14" t="str">
        <f t="shared" si="191"/>
        <v/>
      </c>
      <c r="CE158" s="14" t="str">
        <f>IF(OR(T158="",P158="",CD158="",T158&lt;=0,CD158&lt;=0),"",(1/Inputs!$B$9)*((T158^2/8)*((2*ACOS(1-2*CD158/T158))-SIN((2*ACOS(1-2*CD158/T158)))))*((((T158^2/8)*((2*ACOS(1-2*CD158/T158))-SIN((2*ACOS(1-2*CD158/T158)))))/((T158/2)*((2*ACOS(1-2*CD158/T158)))))^(2/3))*SQRT(P158))</f>
        <v/>
      </c>
      <c r="CF158" s="14" t="str">
        <f t="shared" si="192"/>
        <v/>
      </c>
      <c r="CG158" s="14" t="str">
        <f t="shared" si="193"/>
        <v/>
      </c>
      <c r="CH158" s="14" t="str">
        <f t="shared" si="194"/>
        <v/>
      </c>
    </row>
    <row r="159" spans="1:86" x14ac:dyDescent="0.25">
      <c r="A159" s="14"/>
      <c r="B159" s="14"/>
      <c r="C159" s="14"/>
      <c r="D159" s="14"/>
      <c r="E159" s="44"/>
      <c r="F159" s="44"/>
      <c r="G159" s="44">
        <f>SUMIFS(CB_plan!$G:$G,CB_plan!$F:$F,$A159)</f>
        <v>0</v>
      </c>
      <c r="H159" s="44">
        <f t="shared" si="156"/>
        <v>0</v>
      </c>
      <c r="I159" s="14"/>
      <c r="J159" s="44"/>
      <c r="K159" s="44" t="str">
        <f>IF(A159="","",Inputs!$B$13/((IF(AV159="",Inputs!$B$18,AV159)+Inputs!$B$14)^Inputs!$B$15))</f>
        <v/>
      </c>
      <c r="L159" s="44" t="str">
        <f>IF(A159="","",IF(H159="","",0.000000278*IF(I159&lt;&gt;"",I159,IFERROR(SUMIFS(CB_plan!$H:$H,CB_plan!$F:$F,$A159)/SUMIFS(CB_plan!$G:$G,CB_plan!$F:$F,$A159),Inputs!$B$17))*H159*K159))</f>
        <v/>
      </c>
      <c r="M159" s="44" t="str">
        <f t="shared" si="157"/>
        <v/>
      </c>
      <c r="N159" s="44" t="str">
        <f>IF(A159="","",(L159+M159)*Inputs!$B$16)</f>
        <v/>
      </c>
      <c r="O159" s="44"/>
      <c r="P159" s="44" t="str">
        <f>IF(A159="","",IF(O159="",Inputs!$B$7,O159))</f>
        <v/>
      </c>
      <c r="Q159" s="14" t="str">
        <f>IF(A159="","",IF(N159/Inputs!$B$10&lt;=AG159,Inputs!$F$5,IF(N159/Inputs!$B$10&gt;AP159,"OVERSIZE",INDEX(Inputs!$F$5:$F$14,MATCH(N159/Inputs!$B$10,AG159:AP159,1)+1))))</f>
        <v/>
      </c>
      <c r="R159" s="14"/>
      <c r="S159" s="14" t="str">
        <f t="shared" si="158"/>
        <v/>
      </c>
      <c r="T159" s="44" t="str">
        <f t="shared" si="159"/>
        <v/>
      </c>
      <c r="U159" s="44" t="str">
        <f>IF(T159="","",(1/Inputs!$B$9)*(PI()*T159^2/4)*((T159/4)^(2/3))*SQRT(P159))</f>
        <v/>
      </c>
      <c r="V159" s="44" t="str">
        <f>IF(OR(U159="",N159=""),"",N159/(U159*Inputs!$B$10))</f>
        <v/>
      </c>
      <c r="W159" s="44" t="str">
        <f t="shared" si="160"/>
        <v/>
      </c>
      <c r="X159" s="44"/>
      <c r="Y159" s="44" t="str">
        <f>IF(A159="","",IF(A159=Inputs!$B$6,Inputs!$B$22,IF(D159="","",IFERROR(INDEX($Z$4:$Z$201,MATCH(D159,$A$4:$A$201,0))+IF(X159="",Inputs!$B$20,X159),""))))</f>
        <v/>
      </c>
      <c r="Z159" s="44" t="str">
        <f t="shared" si="161"/>
        <v/>
      </c>
      <c r="AA159" s="44" t="str">
        <f>IF(C159="","",IFERROR(INDEX(Noeuds_plan!$C$4:$C$200,MATCH(C159,Noeuds_plan!$A$4:$A$200,0)),""))</f>
        <v/>
      </c>
      <c r="AB159" s="44" t="str">
        <f>IF(B159="","",IFERROR(INDEX(Noeuds_plan!$C$4:$C$200,MATCH(B159,Noeuds_plan!$A$4:$A$200,0)),""))</f>
        <v/>
      </c>
      <c r="AC159" s="44" t="str">
        <f t="shared" si="162"/>
        <v/>
      </c>
      <c r="AD159" s="44" t="str">
        <f t="shared" si="163"/>
        <v/>
      </c>
      <c r="AE159" s="14" t="str">
        <f>IF(A159="","",IF(OR(V159&gt;1,AND(AY159&lt;&gt;"",AY159&lt;Inputs!$B$11),AND(AY159&lt;&gt;"",AY159&gt;Inputs!$B$12),AC159&lt;Inputs!$B$19,AD159&lt;Inputs!$B$19,P159&lt;Inputs!$B$7,P159&gt;Inputs!$B$8),"CHECK","OK"))</f>
        <v/>
      </c>
      <c r="AF159" s="14"/>
      <c r="AG159" s="14" t="str">
        <f>IF(A159="","",(1/Inputs!$B$9)*(PI()*(Inputs!$F$5/1000)^2/4)*((Inputs!$F$5/1000/4)^(2/3))*SQRT(P159))</f>
        <v/>
      </c>
      <c r="AH159" s="14" t="str">
        <f>IF(A159="","",(1/Inputs!$B$9)*(PI()*(Inputs!$F$6/1000)^2/4)*((Inputs!$F$6/1000/4)^(2/3))*SQRT(P159))</f>
        <v/>
      </c>
      <c r="AI159" s="14" t="str">
        <f>IF(A159="","",(1/Inputs!$B$9)*(PI()*(Inputs!$F$7/1000)^2/4)*((Inputs!$F$7/1000/4)^(2/3))*SQRT(P159))</f>
        <v/>
      </c>
      <c r="AJ159" s="14" t="str">
        <f>IF(A159="","",(1/Inputs!$B$9)*(PI()*(Inputs!$F$8/1000)^2/4)*((Inputs!$F$8/1000/4)^(2/3))*SQRT(P159))</f>
        <v/>
      </c>
      <c r="AK159" s="14" t="str">
        <f>IF(A159="","",(1/Inputs!$B$9)*(PI()*(Inputs!$F$9/1000)^2/4)*((Inputs!$F$9/1000/4)^(2/3))*SQRT(P159))</f>
        <v/>
      </c>
      <c r="AL159" s="14" t="str">
        <f>IF(A159="","",(1/Inputs!$B$9)*(PI()*(Inputs!$F$10/1000)^2/4)*((Inputs!$F$10/1000/4)^(2/3))*SQRT(P159))</f>
        <v/>
      </c>
      <c r="AM159" s="14" t="str">
        <f>IF(A159="","",(1/Inputs!$B$9)*(PI()*(Inputs!$F$11/1000)^2/4)*((Inputs!$F$11/1000/4)^(2/3))*SQRT(P159))</f>
        <v/>
      </c>
      <c r="AN159" s="14" t="str">
        <f>IF(A159="","",(1/Inputs!$B$9)*(PI()*(Inputs!$F$12/1000)^2/4)*((Inputs!$F$12/1000/4)^(2/3))*SQRT(P159))</f>
        <v/>
      </c>
      <c r="AO159" s="14" t="str">
        <f>IF(A159="","",(1/Inputs!$B$9)*(PI()*(Inputs!$F$13/1000)^2/4)*((Inputs!$F$13/1000/4)^(2/3))*SQRT(P159))</f>
        <v/>
      </c>
      <c r="AP159" s="14" t="str">
        <f>IF(A159="","",(1/Inputs!$B$9)*(PI()*(Inputs!$F$14/1000)^2/4)*((Inputs!$F$14/1000/4)^(2/3))*SQRT(P159))</f>
        <v/>
      </c>
      <c r="AQ159" s="14" t="str">
        <f t="shared" si="164"/>
        <v/>
      </c>
      <c r="AR159" s="14" t="str">
        <f t="shared" si="165"/>
        <v/>
      </c>
      <c r="AS159" s="17" t="str">
        <f>IF(A159="","",IF(J159="",Inputs!$B$18,J159))</f>
        <v/>
      </c>
      <c r="AT159" s="17" t="str">
        <f>IF(A159="","",IFERROR(_xludf.maxifs($AV$4:$AV$201,$D$4:$D$201,$A159),""))</f>
        <v/>
      </c>
      <c r="AU159" s="17" t="str">
        <f>IF(A159="","",IF(OR(E159="",Inputs!$B$23=""),"",E159/(Inputs!$B$23*60)))</f>
        <v/>
      </c>
      <c r="AV159" s="17" t="str">
        <f t="shared" si="166"/>
        <v/>
      </c>
      <c r="AW159" s="17" t="str">
        <f t="shared" si="167"/>
        <v/>
      </c>
      <c r="AX159" s="17" t="str">
        <f>IF(OR(T159="",P159=""),"",(1/Inputs!$B$9)*((T159/4)^(2/3))*SQRT(P159))</f>
        <v/>
      </c>
      <c r="AY159" s="17" t="str">
        <f>IF(A159="","",IF(AND(AW159="",AX159="",BA159=""),"",IF(OR(UPPER(TRIM(Inputs!$B$24))="MANNING",UPPER(TRIM(Inputs!$B$24))="M"),AX159,IF(OR(UPPER(TRIM(Inputs!$B$24))="PARTIAL",UPPER(TRIM(Inputs!$B$24))="P"),BA159,IF(OR(UPPER(TRIM(Inputs!$B$24))="MAX",UPPER(TRIM(Inputs!$B$24))="X"),MAX(IF(AW159="",0,AW159),IF(AX159="",0,AX159),IF(BA159="",0,BA159)),AW159)))))</f>
        <v/>
      </c>
      <c r="AZ159" s="17" t="str">
        <f t="shared" si="168"/>
        <v/>
      </c>
      <c r="BA159" s="17" t="str">
        <f t="shared" si="169"/>
        <v/>
      </c>
      <c r="BB159" s="14" t="str">
        <f t="shared" si="170"/>
        <v/>
      </c>
      <c r="BC159" s="14" t="str">
        <f>IF(OR(N159="",T159="",P159=""),"",IF(OR(T159="",P159="",(0.94*T159)="",T159&lt;=0,(0.94*T159)&lt;=0),"",(1/Inputs!$B$9)*((T159^2/8)*((2*ACOS(1-2*(0.94*T159)/T159))-SIN((2*ACOS(1-2*(0.94*T159)/T159)))))*((((T159^2/8)*((2*ACOS(1-2*(0.94*T159)/T159))-SIN((2*ACOS(1-2*(0.94*T159)/T159)))))/((T159/2)*((2*ACOS(1-2*(0.94*T159)/T159)))))^(2/3))*SQRT(P159)))</f>
        <v/>
      </c>
      <c r="BD159" s="14" t="str">
        <f t="shared" si="171"/>
        <v/>
      </c>
      <c r="BE159" s="14" t="str">
        <f t="shared" si="172"/>
        <v/>
      </c>
      <c r="BF159" s="14" t="str">
        <f t="shared" si="173"/>
        <v/>
      </c>
      <c r="BG159" s="14" t="str">
        <f>IF(OR(T159="",P159="",BF159="",T159&lt;=0,BF159&lt;=0),"",(1/Inputs!$B$9)*((T159^2/8)*((2*ACOS(1-2*BF159/T159))-SIN((2*ACOS(1-2*BF159/T159)))))*((((T159^2/8)*((2*ACOS(1-2*BF159/T159))-SIN((2*ACOS(1-2*BF159/T159)))))/((T159/2)*((2*ACOS(1-2*BF159/T159)))))^(2/3))*SQRT(P159))</f>
        <v/>
      </c>
      <c r="BH159" s="14" t="str">
        <f t="shared" si="174"/>
        <v/>
      </c>
      <c r="BI159" s="14" t="str">
        <f t="shared" si="175"/>
        <v/>
      </c>
      <c r="BJ159" s="14" t="str">
        <f t="shared" si="176"/>
        <v/>
      </c>
      <c r="BK159" s="14" t="str">
        <f>IF(OR(T159="",P159="",BJ159="",T159&lt;=0,BJ159&lt;=0),"",(1/Inputs!$B$9)*((T159^2/8)*((2*ACOS(1-2*BJ159/T159))-SIN((2*ACOS(1-2*BJ159/T159)))))*((((T159^2/8)*((2*ACOS(1-2*BJ159/T159))-SIN((2*ACOS(1-2*BJ159/T159)))))/((T159/2)*((2*ACOS(1-2*BJ159/T159)))))^(2/3))*SQRT(P159))</f>
        <v/>
      </c>
      <c r="BL159" s="14" t="str">
        <f t="shared" si="177"/>
        <v/>
      </c>
      <c r="BM159" s="14" t="str">
        <f t="shared" si="178"/>
        <v/>
      </c>
      <c r="BN159" s="14" t="str">
        <f t="shared" si="179"/>
        <v/>
      </c>
      <c r="BO159" s="14" t="str">
        <f>IF(OR(T159="",P159="",BN159="",T159&lt;=0,BN159&lt;=0),"",(1/Inputs!$B$9)*((T159^2/8)*((2*ACOS(1-2*BN159/T159))-SIN((2*ACOS(1-2*BN159/T159)))))*((((T159^2/8)*((2*ACOS(1-2*BN159/T159))-SIN((2*ACOS(1-2*BN159/T159)))))/((T159/2)*((2*ACOS(1-2*BN159/T159)))))^(2/3))*SQRT(P159))</f>
        <v/>
      </c>
      <c r="BP159" s="14" t="str">
        <f t="shared" si="180"/>
        <v/>
      </c>
      <c r="BQ159" s="14" t="str">
        <f t="shared" si="181"/>
        <v/>
      </c>
      <c r="BR159" s="14" t="str">
        <f t="shared" si="182"/>
        <v/>
      </c>
      <c r="BS159" s="14" t="str">
        <f>IF(OR(T159="",P159="",BR159="",T159&lt;=0,BR159&lt;=0),"",(1/Inputs!$B$9)*((T159^2/8)*((2*ACOS(1-2*BR159/T159))-SIN((2*ACOS(1-2*BR159/T159)))))*((((T159^2/8)*((2*ACOS(1-2*BR159/T159))-SIN((2*ACOS(1-2*BR159/T159)))))/((T159/2)*((2*ACOS(1-2*BR159/T159)))))^(2/3))*SQRT(P159))</f>
        <v/>
      </c>
      <c r="BT159" s="14" t="str">
        <f t="shared" si="183"/>
        <v/>
      </c>
      <c r="BU159" s="14" t="str">
        <f t="shared" si="184"/>
        <v/>
      </c>
      <c r="BV159" s="14" t="str">
        <f t="shared" si="185"/>
        <v/>
      </c>
      <c r="BW159" s="14" t="str">
        <f>IF(OR(T159="",P159="",BV159="",T159&lt;=0,BV159&lt;=0),"",(1/Inputs!$B$9)*((T159^2/8)*((2*ACOS(1-2*BV159/T159))-SIN((2*ACOS(1-2*BV159/T159)))))*((((T159^2/8)*((2*ACOS(1-2*BV159/T159))-SIN((2*ACOS(1-2*BV159/T159)))))/((T159/2)*((2*ACOS(1-2*BV159/T159)))))^(2/3))*SQRT(P159))</f>
        <v/>
      </c>
      <c r="BX159" s="14" t="str">
        <f t="shared" si="186"/>
        <v/>
      </c>
      <c r="BY159" s="14" t="str">
        <f t="shared" si="187"/>
        <v/>
      </c>
      <c r="BZ159" s="14" t="str">
        <f t="shared" si="188"/>
        <v/>
      </c>
      <c r="CA159" s="14" t="str">
        <f>IF(OR(T159="",P159="",BZ159="",T159&lt;=0,BZ159&lt;=0),"",(1/Inputs!$B$9)*((T159^2/8)*((2*ACOS(1-2*BZ159/T159))-SIN((2*ACOS(1-2*BZ159/T159)))))*((((T159^2/8)*((2*ACOS(1-2*BZ159/T159))-SIN((2*ACOS(1-2*BZ159/T159)))))/((T159/2)*((2*ACOS(1-2*BZ159/T159)))))^(2/3))*SQRT(P159))</f>
        <v/>
      </c>
      <c r="CB159" s="14" t="str">
        <f t="shared" si="189"/>
        <v/>
      </c>
      <c r="CC159" s="14" t="str">
        <f t="shared" si="190"/>
        <v/>
      </c>
      <c r="CD159" s="14" t="str">
        <f t="shared" si="191"/>
        <v/>
      </c>
      <c r="CE159" s="14" t="str">
        <f>IF(OR(T159="",P159="",CD159="",T159&lt;=0,CD159&lt;=0),"",(1/Inputs!$B$9)*((T159^2/8)*((2*ACOS(1-2*CD159/T159))-SIN((2*ACOS(1-2*CD159/T159)))))*((((T159^2/8)*((2*ACOS(1-2*CD159/T159))-SIN((2*ACOS(1-2*CD159/T159)))))/((T159/2)*((2*ACOS(1-2*CD159/T159)))))^(2/3))*SQRT(P159))</f>
        <v/>
      </c>
      <c r="CF159" s="14" t="str">
        <f t="shared" si="192"/>
        <v/>
      </c>
      <c r="CG159" s="14" t="str">
        <f t="shared" si="193"/>
        <v/>
      </c>
      <c r="CH159" s="14" t="str">
        <f t="shared" si="194"/>
        <v/>
      </c>
    </row>
    <row r="160" spans="1:86" x14ac:dyDescent="0.25">
      <c r="A160" s="14"/>
      <c r="B160" s="14"/>
      <c r="C160" s="14"/>
      <c r="D160" s="14"/>
      <c r="E160" s="44"/>
      <c r="F160" s="44"/>
      <c r="G160" s="44">
        <f>SUMIFS(CB_plan!$G:$G,CB_plan!$F:$F,$A160)</f>
        <v>0</v>
      </c>
      <c r="H160" s="44">
        <f t="shared" si="156"/>
        <v>0</v>
      </c>
      <c r="I160" s="14"/>
      <c r="J160" s="44"/>
      <c r="K160" s="44" t="str">
        <f>IF(A160="","",Inputs!$B$13/((IF(AV160="",Inputs!$B$18,AV160)+Inputs!$B$14)^Inputs!$B$15))</f>
        <v/>
      </c>
      <c r="L160" s="44" t="str">
        <f>IF(A160="","",IF(H160="","",0.000000278*IF(I160&lt;&gt;"",I160,IFERROR(SUMIFS(CB_plan!$H:$H,CB_plan!$F:$F,$A160)/SUMIFS(CB_plan!$G:$G,CB_plan!$F:$F,$A160),Inputs!$B$17))*H160*K160))</f>
        <v/>
      </c>
      <c r="M160" s="44" t="str">
        <f t="shared" si="157"/>
        <v/>
      </c>
      <c r="N160" s="44" t="str">
        <f>IF(A160="","",(L160+M160)*Inputs!$B$16)</f>
        <v/>
      </c>
      <c r="O160" s="44"/>
      <c r="P160" s="44" t="str">
        <f>IF(A160="","",IF(O160="",Inputs!$B$7,O160))</f>
        <v/>
      </c>
      <c r="Q160" s="14" t="str">
        <f>IF(A160="","",IF(N160/Inputs!$B$10&lt;=AG160,Inputs!$F$5,IF(N160/Inputs!$B$10&gt;AP160,"OVERSIZE",INDEX(Inputs!$F$5:$F$14,MATCH(N160/Inputs!$B$10,AG160:AP160,1)+1))))</f>
        <v/>
      </c>
      <c r="R160" s="14"/>
      <c r="S160" s="14" t="str">
        <f t="shared" si="158"/>
        <v/>
      </c>
      <c r="T160" s="44" t="str">
        <f t="shared" si="159"/>
        <v/>
      </c>
      <c r="U160" s="44" t="str">
        <f>IF(T160="","",(1/Inputs!$B$9)*(PI()*T160^2/4)*((T160/4)^(2/3))*SQRT(P160))</f>
        <v/>
      </c>
      <c r="V160" s="44" t="str">
        <f>IF(OR(U160="",N160=""),"",N160/(U160*Inputs!$B$10))</f>
        <v/>
      </c>
      <c r="W160" s="44" t="str">
        <f t="shared" si="160"/>
        <v/>
      </c>
      <c r="X160" s="44"/>
      <c r="Y160" s="44" t="str">
        <f>IF(A160="","",IF(A160=Inputs!$B$6,Inputs!$B$22,IF(D160="","",IFERROR(INDEX($Z$4:$Z$201,MATCH(D160,$A$4:$A$201,0))+IF(X160="",Inputs!$B$20,X160),""))))</f>
        <v/>
      </c>
      <c r="Z160" s="44" t="str">
        <f t="shared" si="161"/>
        <v/>
      </c>
      <c r="AA160" s="44" t="str">
        <f>IF(C160="","",IFERROR(INDEX(Noeuds_plan!$C$4:$C$200,MATCH(C160,Noeuds_plan!$A$4:$A$200,0)),""))</f>
        <v/>
      </c>
      <c r="AB160" s="44" t="str">
        <f>IF(B160="","",IFERROR(INDEX(Noeuds_plan!$C$4:$C$200,MATCH(B160,Noeuds_plan!$A$4:$A$200,0)),""))</f>
        <v/>
      </c>
      <c r="AC160" s="44" t="str">
        <f t="shared" si="162"/>
        <v/>
      </c>
      <c r="AD160" s="44" t="str">
        <f t="shared" si="163"/>
        <v/>
      </c>
      <c r="AE160" s="14" t="str">
        <f>IF(A160="","",IF(OR(V160&gt;1,AND(AY160&lt;&gt;"",AY160&lt;Inputs!$B$11),AND(AY160&lt;&gt;"",AY160&gt;Inputs!$B$12),AC160&lt;Inputs!$B$19,AD160&lt;Inputs!$B$19,P160&lt;Inputs!$B$7,P160&gt;Inputs!$B$8),"CHECK","OK"))</f>
        <v/>
      </c>
      <c r="AF160" s="14"/>
      <c r="AG160" s="14" t="str">
        <f>IF(A160="","",(1/Inputs!$B$9)*(PI()*(Inputs!$F$5/1000)^2/4)*((Inputs!$F$5/1000/4)^(2/3))*SQRT(P160))</f>
        <v/>
      </c>
      <c r="AH160" s="14" t="str">
        <f>IF(A160="","",(1/Inputs!$B$9)*(PI()*(Inputs!$F$6/1000)^2/4)*((Inputs!$F$6/1000/4)^(2/3))*SQRT(P160))</f>
        <v/>
      </c>
      <c r="AI160" s="14" t="str">
        <f>IF(A160="","",(1/Inputs!$B$9)*(PI()*(Inputs!$F$7/1000)^2/4)*((Inputs!$F$7/1000/4)^(2/3))*SQRT(P160))</f>
        <v/>
      </c>
      <c r="AJ160" s="14" t="str">
        <f>IF(A160="","",(1/Inputs!$B$9)*(PI()*(Inputs!$F$8/1000)^2/4)*((Inputs!$F$8/1000/4)^(2/3))*SQRT(P160))</f>
        <v/>
      </c>
      <c r="AK160" s="14" t="str">
        <f>IF(A160="","",(1/Inputs!$B$9)*(PI()*(Inputs!$F$9/1000)^2/4)*((Inputs!$F$9/1000/4)^(2/3))*SQRT(P160))</f>
        <v/>
      </c>
      <c r="AL160" s="14" t="str">
        <f>IF(A160="","",(1/Inputs!$B$9)*(PI()*(Inputs!$F$10/1000)^2/4)*((Inputs!$F$10/1000/4)^(2/3))*SQRT(P160))</f>
        <v/>
      </c>
      <c r="AM160" s="14" t="str">
        <f>IF(A160="","",(1/Inputs!$B$9)*(PI()*(Inputs!$F$11/1000)^2/4)*((Inputs!$F$11/1000/4)^(2/3))*SQRT(P160))</f>
        <v/>
      </c>
      <c r="AN160" s="14" t="str">
        <f>IF(A160="","",(1/Inputs!$B$9)*(PI()*(Inputs!$F$12/1000)^2/4)*((Inputs!$F$12/1000/4)^(2/3))*SQRT(P160))</f>
        <v/>
      </c>
      <c r="AO160" s="14" t="str">
        <f>IF(A160="","",(1/Inputs!$B$9)*(PI()*(Inputs!$F$13/1000)^2/4)*((Inputs!$F$13/1000/4)^(2/3))*SQRT(P160))</f>
        <v/>
      </c>
      <c r="AP160" s="14" t="str">
        <f>IF(A160="","",(1/Inputs!$B$9)*(PI()*(Inputs!$F$14/1000)^2/4)*((Inputs!$F$14/1000/4)^(2/3))*SQRT(P160))</f>
        <v/>
      </c>
      <c r="AQ160" s="14" t="str">
        <f t="shared" si="164"/>
        <v/>
      </c>
      <c r="AR160" s="14" t="str">
        <f t="shared" si="165"/>
        <v/>
      </c>
      <c r="AS160" s="17" t="str">
        <f>IF(A160="","",IF(J160="",Inputs!$B$18,J160))</f>
        <v/>
      </c>
      <c r="AT160" s="17" t="str">
        <f>IF(A160="","",IFERROR(_xludf.maxifs($AV$4:$AV$201,$D$4:$D$201,$A160),""))</f>
        <v/>
      </c>
      <c r="AU160" s="17" t="str">
        <f>IF(A160="","",IF(OR(E160="",Inputs!$B$23=""),"",E160/(Inputs!$B$23*60)))</f>
        <v/>
      </c>
      <c r="AV160" s="17" t="str">
        <f t="shared" si="166"/>
        <v/>
      </c>
      <c r="AW160" s="17" t="str">
        <f t="shared" si="167"/>
        <v/>
      </c>
      <c r="AX160" s="17" t="str">
        <f>IF(OR(T160="",P160=""),"",(1/Inputs!$B$9)*((T160/4)^(2/3))*SQRT(P160))</f>
        <v/>
      </c>
      <c r="AY160" s="17" t="str">
        <f>IF(A160="","",IF(AND(AW160="",AX160="",BA160=""),"",IF(OR(UPPER(TRIM(Inputs!$B$24))="MANNING",UPPER(TRIM(Inputs!$B$24))="M"),AX160,IF(OR(UPPER(TRIM(Inputs!$B$24))="PARTIAL",UPPER(TRIM(Inputs!$B$24))="P"),BA160,IF(OR(UPPER(TRIM(Inputs!$B$24))="MAX",UPPER(TRIM(Inputs!$B$24))="X"),MAX(IF(AW160="",0,AW160),IF(AX160="",0,AX160),IF(BA160="",0,BA160)),AW160)))))</f>
        <v/>
      </c>
      <c r="AZ160" s="17" t="str">
        <f t="shared" si="168"/>
        <v/>
      </c>
      <c r="BA160" s="17" t="str">
        <f t="shared" si="169"/>
        <v/>
      </c>
      <c r="BB160" s="14" t="str">
        <f t="shared" si="170"/>
        <v/>
      </c>
      <c r="BC160" s="14" t="str">
        <f>IF(OR(N160="",T160="",P160=""),"",IF(OR(T160="",P160="",(0.94*T160)="",T160&lt;=0,(0.94*T160)&lt;=0),"",(1/Inputs!$B$9)*((T160^2/8)*((2*ACOS(1-2*(0.94*T160)/T160))-SIN((2*ACOS(1-2*(0.94*T160)/T160)))))*((((T160^2/8)*((2*ACOS(1-2*(0.94*T160)/T160))-SIN((2*ACOS(1-2*(0.94*T160)/T160)))))/((T160/2)*((2*ACOS(1-2*(0.94*T160)/T160)))))^(2/3))*SQRT(P160)))</f>
        <v/>
      </c>
      <c r="BD160" s="14" t="str">
        <f t="shared" si="171"/>
        <v/>
      </c>
      <c r="BE160" s="14" t="str">
        <f t="shared" si="172"/>
        <v/>
      </c>
      <c r="BF160" s="14" t="str">
        <f t="shared" si="173"/>
        <v/>
      </c>
      <c r="BG160" s="14" t="str">
        <f>IF(OR(T160="",P160="",BF160="",T160&lt;=0,BF160&lt;=0),"",(1/Inputs!$B$9)*((T160^2/8)*((2*ACOS(1-2*BF160/T160))-SIN((2*ACOS(1-2*BF160/T160)))))*((((T160^2/8)*((2*ACOS(1-2*BF160/T160))-SIN((2*ACOS(1-2*BF160/T160)))))/((T160/2)*((2*ACOS(1-2*BF160/T160)))))^(2/3))*SQRT(P160))</f>
        <v/>
      </c>
      <c r="BH160" s="14" t="str">
        <f t="shared" si="174"/>
        <v/>
      </c>
      <c r="BI160" s="14" t="str">
        <f t="shared" si="175"/>
        <v/>
      </c>
      <c r="BJ160" s="14" t="str">
        <f t="shared" si="176"/>
        <v/>
      </c>
      <c r="BK160" s="14" t="str">
        <f>IF(OR(T160="",P160="",BJ160="",T160&lt;=0,BJ160&lt;=0),"",(1/Inputs!$B$9)*((T160^2/8)*((2*ACOS(1-2*BJ160/T160))-SIN((2*ACOS(1-2*BJ160/T160)))))*((((T160^2/8)*((2*ACOS(1-2*BJ160/T160))-SIN((2*ACOS(1-2*BJ160/T160)))))/((T160/2)*((2*ACOS(1-2*BJ160/T160)))))^(2/3))*SQRT(P160))</f>
        <v/>
      </c>
      <c r="BL160" s="14" t="str">
        <f t="shared" si="177"/>
        <v/>
      </c>
      <c r="BM160" s="14" t="str">
        <f t="shared" si="178"/>
        <v/>
      </c>
      <c r="BN160" s="14" t="str">
        <f t="shared" si="179"/>
        <v/>
      </c>
      <c r="BO160" s="14" t="str">
        <f>IF(OR(T160="",P160="",BN160="",T160&lt;=0,BN160&lt;=0),"",(1/Inputs!$B$9)*((T160^2/8)*((2*ACOS(1-2*BN160/T160))-SIN((2*ACOS(1-2*BN160/T160)))))*((((T160^2/8)*((2*ACOS(1-2*BN160/T160))-SIN((2*ACOS(1-2*BN160/T160)))))/((T160/2)*((2*ACOS(1-2*BN160/T160)))))^(2/3))*SQRT(P160))</f>
        <v/>
      </c>
      <c r="BP160" s="14" t="str">
        <f t="shared" si="180"/>
        <v/>
      </c>
      <c r="BQ160" s="14" t="str">
        <f t="shared" si="181"/>
        <v/>
      </c>
      <c r="BR160" s="14" t="str">
        <f t="shared" si="182"/>
        <v/>
      </c>
      <c r="BS160" s="14" t="str">
        <f>IF(OR(T160="",P160="",BR160="",T160&lt;=0,BR160&lt;=0),"",(1/Inputs!$B$9)*((T160^2/8)*((2*ACOS(1-2*BR160/T160))-SIN((2*ACOS(1-2*BR160/T160)))))*((((T160^2/8)*((2*ACOS(1-2*BR160/T160))-SIN((2*ACOS(1-2*BR160/T160)))))/((T160/2)*((2*ACOS(1-2*BR160/T160)))))^(2/3))*SQRT(P160))</f>
        <v/>
      </c>
      <c r="BT160" s="14" t="str">
        <f t="shared" si="183"/>
        <v/>
      </c>
      <c r="BU160" s="14" t="str">
        <f t="shared" si="184"/>
        <v/>
      </c>
      <c r="BV160" s="14" t="str">
        <f t="shared" si="185"/>
        <v/>
      </c>
      <c r="BW160" s="14" t="str">
        <f>IF(OR(T160="",P160="",BV160="",T160&lt;=0,BV160&lt;=0),"",(1/Inputs!$B$9)*((T160^2/8)*((2*ACOS(1-2*BV160/T160))-SIN((2*ACOS(1-2*BV160/T160)))))*((((T160^2/8)*((2*ACOS(1-2*BV160/T160))-SIN((2*ACOS(1-2*BV160/T160)))))/((T160/2)*((2*ACOS(1-2*BV160/T160)))))^(2/3))*SQRT(P160))</f>
        <v/>
      </c>
      <c r="BX160" s="14" t="str">
        <f t="shared" si="186"/>
        <v/>
      </c>
      <c r="BY160" s="14" t="str">
        <f t="shared" si="187"/>
        <v/>
      </c>
      <c r="BZ160" s="14" t="str">
        <f t="shared" si="188"/>
        <v/>
      </c>
      <c r="CA160" s="14" t="str">
        <f>IF(OR(T160="",P160="",BZ160="",T160&lt;=0,BZ160&lt;=0),"",(1/Inputs!$B$9)*((T160^2/8)*((2*ACOS(1-2*BZ160/T160))-SIN((2*ACOS(1-2*BZ160/T160)))))*((((T160^2/8)*((2*ACOS(1-2*BZ160/T160))-SIN((2*ACOS(1-2*BZ160/T160)))))/((T160/2)*((2*ACOS(1-2*BZ160/T160)))))^(2/3))*SQRT(P160))</f>
        <v/>
      </c>
      <c r="CB160" s="14" t="str">
        <f t="shared" si="189"/>
        <v/>
      </c>
      <c r="CC160" s="14" t="str">
        <f t="shared" si="190"/>
        <v/>
      </c>
      <c r="CD160" s="14" t="str">
        <f t="shared" si="191"/>
        <v/>
      </c>
      <c r="CE160" s="14" t="str">
        <f>IF(OR(T160="",P160="",CD160="",T160&lt;=0,CD160&lt;=0),"",(1/Inputs!$B$9)*((T160^2/8)*((2*ACOS(1-2*CD160/T160))-SIN((2*ACOS(1-2*CD160/T160)))))*((((T160^2/8)*((2*ACOS(1-2*CD160/T160))-SIN((2*ACOS(1-2*CD160/T160)))))/((T160/2)*((2*ACOS(1-2*CD160/T160)))))^(2/3))*SQRT(P160))</f>
        <v/>
      </c>
      <c r="CF160" s="14" t="str">
        <f t="shared" si="192"/>
        <v/>
      </c>
      <c r="CG160" s="14" t="str">
        <f t="shared" si="193"/>
        <v/>
      </c>
      <c r="CH160" s="14" t="str">
        <f t="shared" si="194"/>
        <v/>
      </c>
    </row>
    <row r="161" spans="1:86" x14ac:dyDescent="0.25">
      <c r="A161" s="14"/>
      <c r="B161" s="14"/>
      <c r="C161" s="14"/>
      <c r="D161" s="14"/>
      <c r="E161" s="44"/>
      <c r="F161" s="44"/>
      <c r="G161" s="44">
        <f>SUMIFS(CB_plan!$G:$G,CB_plan!$F:$F,$A161)</f>
        <v>0</v>
      </c>
      <c r="H161" s="44">
        <f t="shared" si="156"/>
        <v>0</v>
      </c>
      <c r="I161" s="14"/>
      <c r="J161" s="44"/>
      <c r="K161" s="44" t="str">
        <f>IF(A161="","",Inputs!$B$13/((IF(AV161="",Inputs!$B$18,AV161)+Inputs!$B$14)^Inputs!$B$15))</f>
        <v/>
      </c>
      <c r="L161" s="44" t="str">
        <f>IF(A161="","",IF(H161="","",0.000000278*IF(I161&lt;&gt;"",I161,IFERROR(SUMIFS(CB_plan!$H:$H,CB_plan!$F:$F,$A161)/SUMIFS(CB_plan!$G:$G,CB_plan!$F:$F,$A161),Inputs!$B$17))*H161*K161))</f>
        <v/>
      </c>
      <c r="M161" s="44" t="str">
        <f t="shared" si="157"/>
        <v/>
      </c>
      <c r="N161" s="44" t="str">
        <f>IF(A161="","",(L161+M161)*Inputs!$B$16)</f>
        <v/>
      </c>
      <c r="O161" s="44"/>
      <c r="P161" s="44" t="str">
        <f>IF(A161="","",IF(O161="",Inputs!$B$7,O161))</f>
        <v/>
      </c>
      <c r="Q161" s="14" t="str">
        <f>IF(A161="","",IF(N161/Inputs!$B$10&lt;=AG161,Inputs!$F$5,IF(N161/Inputs!$B$10&gt;AP161,"OVERSIZE",INDEX(Inputs!$F$5:$F$14,MATCH(N161/Inputs!$B$10,AG161:AP161,1)+1))))</f>
        <v/>
      </c>
      <c r="R161" s="14"/>
      <c r="S161" s="14" t="str">
        <f t="shared" si="158"/>
        <v/>
      </c>
      <c r="T161" s="44" t="str">
        <f t="shared" si="159"/>
        <v/>
      </c>
      <c r="U161" s="44" t="str">
        <f>IF(T161="","",(1/Inputs!$B$9)*(PI()*T161^2/4)*((T161/4)^(2/3))*SQRT(P161))</f>
        <v/>
      </c>
      <c r="V161" s="44" t="str">
        <f>IF(OR(U161="",N161=""),"",N161/(U161*Inputs!$B$10))</f>
        <v/>
      </c>
      <c r="W161" s="44" t="str">
        <f t="shared" si="160"/>
        <v/>
      </c>
      <c r="X161" s="44"/>
      <c r="Y161" s="44" t="str">
        <f>IF(A161="","",IF(A161=Inputs!$B$6,Inputs!$B$22,IF(D161="","",IFERROR(INDEX($Z$4:$Z$201,MATCH(D161,$A$4:$A$201,0))+IF(X161="",Inputs!$B$20,X161),""))))</f>
        <v/>
      </c>
      <c r="Z161" s="44" t="str">
        <f t="shared" si="161"/>
        <v/>
      </c>
      <c r="AA161" s="44" t="str">
        <f>IF(C161="","",IFERROR(INDEX(Noeuds_plan!$C$4:$C$200,MATCH(C161,Noeuds_plan!$A$4:$A$200,0)),""))</f>
        <v/>
      </c>
      <c r="AB161" s="44" t="str">
        <f>IF(B161="","",IFERROR(INDEX(Noeuds_plan!$C$4:$C$200,MATCH(B161,Noeuds_plan!$A$4:$A$200,0)),""))</f>
        <v/>
      </c>
      <c r="AC161" s="44" t="str">
        <f t="shared" si="162"/>
        <v/>
      </c>
      <c r="AD161" s="44" t="str">
        <f t="shared" si="163"/>
        <v/>
      </c>
      <c r="AE161" s="14" t="str">
        <f>IF(A161="","",IF(OR(V161&gt;1,AND(AY161&lt;&gt;"",AY161&lt;Inputs!$B$11),AND(AY161&lt;&gt;"",AY161&gt;Inputs!$B$12),AC161&lt;Inputs!$B$19,AD161&lt;Inputs!$B$19,P161&lt;Inputs!$B$7,P161&gt;Inputs!$B$8),"CHECK","OK"))</f>
        <v/>
      </c>
      <c r="AF161" s="14"/>
      <c r="AG161" s="14" t="str">
        <f>IF(A161="","",(1/Inputs!$B$9)*(PI()*(Inputs!$F$5/1000)^2/4)*((Inputs!$F$5/1000/4)^(2/3))*SQRT(P161))</f>
        <v/>
      </c>
      <c r="AH161" s="14" t="str">
        <f>IF(A161="","",(1/Inputs!$B$9)*(PI()*(Inputs!$F$6/1000)^2/4)*((Inputs!$F$6/1000/4)^(2/3))*SQRT(P161))</f>
        <v/>
      </c>
      <c r="AI161" s="14" t="str">
        <f>IF(A161="","",(1/Inputs!$B$9)*(PI()*(Inputs!$F$7/1000)^2/4)*((Inputs!$F$7/1000/4)^(2/3))*SQRT(P161))</f>
        <v/>
      </c>
      <c r="AJ161" s="14" t="str">
        <f>IF(A161="","",(1/Inputs!$B$9)*(PI()*(Inputs!$F$8/1000)^2/4)*((Inputs!$F$8/1000/4)^(2/3))*SQRT(P161))</f>
        <v/>
      </c>
      <c r="AK161" s="14" t="str">
        <f>IF(A161="","",(1/Inputs!$B$9)*(PI()*(Inputs!$F$9/1000)^2/4)*((Inputs!$F$9/1000/4)^(2/3))*SQRT(P161))</f>
        <v/>
      </c>
      <c r="AL161" s="14" t="str">
        <f>IF(A161="","",(1/Inputs!$B$9)*(PI()*(Inputs!$F$10/1000)^2/4)*((Inputs!$F$10/1000/4)^(2/3))*SQRT(P161))</f>
        <v/>
      </c>
      <c r="AM161" s="14" t="str">
        <f>IF(A161="","",(1/Inputs!$B$9)*(PI()*(Inputs!$F$11/1000)^2/4)*((Inputs!$F$11/1000/4)^(2/3))*SQRT(P161))</f>
        <v/>
      </c>
      <c r="AN161" s="14" t="str">
        <f>IF(A161="","",(1/Inputs!$B$9)*(PI()*(Inputs!$F$12/1000)^2/4)*((Inputs!$F$12/1000/4)^(2/3))*SQRT(P161))</f>
        <v/>
      </c>
      <c r="AO161" s="14" t="str">
        <f>IF(A161="","",(1/Inputs!$B$9)*(PI()*(Inputs!$F$13/1000)^2/4)*((Inputs!$F$13/1000/4)^(2/3))*SQRT(P161))</f>
        <v/>
      </c>
      <c r="AP161" s="14" t="str">
        <f>IF(A161="","",(1/Inputs!$B$9)*(PI()*(Inputs!$F$14/1000)^2/4)*((Inputs!$F$14/1000/4)^(2/3))*SQRT(P161))</f>
        <v/>
      </c>
      <c r="AQ161" s="14" t="str">
        <f t="shared" si="164"/>
        <v/>
      </c>
      <c r="AR161" s="14" t="str">
        <f t="shared" si="165"/>
        <v/>
      </c>
      <c r="AS161" s="17" t="str">
        <f>IF(A161="","",IF(J161="",Inputs!$B$18,J161))</f>
        <v/>
      </c>
      <c r="AT161" s="17" t="str">
        <f>IF(A161="","",IFERROR(_xludf.maxifs($AV$4:$AV$201,$D$4:$D$201,$A161),""))</f>
        <v/>
      </c>
      <c r="AU161" s="17" t="str">
        <f>IF(A161="","",IF(OR(E161="",Inputs!$B$23=""),"",E161/(Inputs!$B$23*60)))</f>
        <v/>
      </c>
      <c r="AV161" s="17" t="str">
        <f t="shared" si="166"/>
        <v/>
      </c>
      <c r="AW161" s="17" t="str">
        <f t="shared" si="167"/>
        <v/>
      </c>
      <c r="AX161" s="17" t="str">
        <f>IF(OR(T161="",P161=""),"",(1/Inputs!$B$9)*((T161/4)^(2/3))*SQRT(P161))</f>
        <v/>
      </c>
      <c r="AY161" s="17" t="str">
        <f>IF(A161="","",IF(AND(AW161="",AX161="",BA161=""),"",IF(OR(UPPER(TRIM(Inputs!$B$24))="MANNING",UPPER(TRIM(Inputs!$B$24))="M"),AX161,IF(OR(UPPER(TRIM(Inputs!$B$24))="PARTIAL",UPPER(TRIM(Inputs!$B$24))="P"),BA161,IF(OR(UPPER(TRIM(Inputs!$B$24))="MAX",UPPER(TRIM(Inputs!$B$24))="X"),MAX(IF(AW161="",0,AW161),IF(AX161="",0,AX161),IF(BA161="",0,BA161)),AW161)))))</f>
        <v/>
      </c>
      <c r="AZ161" s="17" t="str">
        <f t="shared" si="168"/>
        <v/>
      </c>
      <c r="BA161" s="17" t="str">
        <f t="shared" si="169"/>
        <v/>
      </c>
      <c r="BB161" s="14" t="str">
        <f t="shared" si="170"/>
        <v/>
      </c>
      <c r="BC161" s="14" t="str">
        <f>IF(OR(N161="",T161="",P161=""),"",IF(OR(T161="",P161="",(0.94*T161)="",T161&lt;=0,(0.94*T161)&lt;=0),"",(1/Inputs!$B$9)*((T161^2/8)*((2*ACOS(1-2*(0.94*T161)/T161))-SIN((2*ACOS(1-2*(0.94*T161)/T161)))))*((((T161^2/8)*((2*ACOS(1-2*(0.94*T161)/T161))-SIN((2*ACOS(1-2*(0.94*T161)/T161)))))/((T161/2)*((2*ACOS(1-2*(0.94*T161)/T161)))))^(2/3))*SQRT(P161)))</f>
        <v/>
      </c>
      <c r="BD161" s="14" t="str">
        <f t="shared" si="171"/>
        <v/>
      </c>
      <c r="BE161" s="14" t="str">
        <f t="shared" si="172"/>
        <v/>
      </c>
      <c r="BF161" s="14" t="str">
        <f t="shared" si="173"/>
        <v/>
      </c>
      <c r="BG161" s="14" t="str">
        <f>IF(OR(T161="",P161="",BF161="",T161&lt;=0,BF161&lt;=0),"",(1/Inputs!$B$9)*((T161^2/8)*((2*ACOS(1-2*BF161/T161))-SIN((2*ACOS(1-2*BF161/T161)))))*((((T161^2/8)*((2*ACOS(1-2*BF161/T161))-SIN((2*ACOS(1-2*BF161/T161)))))/((T161/2)*((2*ACOS(1-2*BF161/T161)))))^(2/3))*SQRT(P161))</f>
        <v/>
      </c>
      <c r="BH161" s="14" t="str">
        <f t="shared" si="174"/>
        <v/>
      </c>
      <c r="BI161" s="14" t="str">
        <f t="shared" si="175"/>
        <v/>
      </c>
      <c r="BJ161" s="14" t="str">
        <f t="shared" si="176"/>
        <v/>
      </c>
      <c r="BK161" s="14" t="str">
        <f>IF(OR(T161="",P161="",BJ161="",T161&lt;=0,BJ161&lt;=0),"",(1/Inputs!$B$9)*((T161^2/8)*((2*ACOS(1-2*BJ161/T161))-SIN((2*ACOS(1-2*BJ161/T161)))))*((((T161^2/8)*((2*ACOS(1-2*BJ161/T161))-SIN((2*ACOS(1-2*BJ161/T161)))))/((T161/2)*((2*ACOS(1-2*BJ161/T161)))))^(2/3))*SQRT(P161))</f>
        <v/>
      </c>
      <c r="BL161" s="14" t="str">
        <f t="shared" si="177"/>
        <v/>
      </c>
      <c r="BM161" s="14" t="str">
        <f t="shared" si="178"/>
        <v/>
      </c>
      <c r="BN161" s="14" t="str">
        <f t="shared" si="179"/>
        <v/>
      </c>
      <c r="BO161" s="14" t="str">
        <f>IF(OR(T161="",P161="",BN161="",T161&lt;=0,BN161&lt;=0),"",(1/Inputs!$B$9)*((T161^2/8)*((2*ACOS(1-2*BN161/T161))-SIN((2*ACOS(1-2*BN161/T161)))))*((((T161^2/8)*((2*ACOS(1-2*BN161/T161))-SIN((2*ACOS(1-2*BN161/T161)))))/((T161/2)*((2*ACOS(1-2*BN161/T161)))))^(2/3))*SQRT(P161))</f>
        <v/>
      </c>
      <c r="BP161" s="14" t="str">
        <f t="shared" si="180"/>
        <v/>
      </c>
      <c r="BQ161" s="14" t="str">
        <f t="shared" si="181"/>
        <v/>
      </c>
      <c r="BR161" s="14" t="str">
        <f t="shared" si="182"/>
        <v/>
      </c>
      <c r="BS161" s="14" t="str">
        <f>IF(OR(T161="",P161="",BR161="",T161&lt;=0,BR161&lt;=0),"",(1/Inputs!$B$9)*((T161^2/8)*((2*ACOS(1-2*BR161/T161))-SIN((2*ACOS(1-2*BR161/T161)))))*((((T161^2/8)*((2*ACOS(1-2*BR161/T161))-SIN((2*ACOS(1-2*BR161/T161)))))/((T161/2)*((2*ACOS(1-2*BR161/T161)))))^(2/3))*SQRT(P161))</f>
        <v/>
      </c>
      <c r="BT161" s="14" t="str">
        <f t="shared" si="183"/>
        <v/>
      </c>
      <c r="BU161" s="14" t="str">
        <f t="shared" si="184"/>
        <v/>
      </c>
      <c r="BV161" s="14" t="str">
        <f t="shared" si="185"/>
        <v/>
      </c>
      <c r="BW161" s="14" t="str">
        <f>IF(OR(T161="",P161="",BV161="",T161&lt;=0,BV161&lt;=0),"",(1/Inputs!$B$9)*((T161^2/8)*((2*ACOS(1-2*BV161/T161))-SIN((2*ACOS(1-2*BV161/T161)))))*((((T161^2/8)*((2*ACOS(1-2*BV161/T161))-SIN((2*ACOS(1-2*BV161/T161)))))/((T161/2)*((2*ACOS(1-2*BV161/T161)))))^(2/3))*SQRT(P161))</f>
        <v/>
      </c>
      <c r="BX161" s="14" t="str">
        <f t="shared" si="186"/>
        <v/>
      </c>
      <c r="BY161" s="14" t="str">
        <f t="shared" si="187"/>
        <v/>
      </c>
      <c r="BZ161" s="14" t="str">
        <f t="shared" si="188"/>
        <v/>
      </c>
      <c r="CA161" s="14" t="str">
        <f>IF(OR(T161="",P161="",BZ161="",T161&lt;=0,BZ161&lt;=0),"",(1/Inputs!$B$9)*((T161^2/8)*((2*ACOS(1-2*BZ161/T161))-SIN((2*ACOS(1-2*BZ161/T161)))))*((((T161^2/8)*((2*ACOS(1-2*BZ161/T161))-SIN((2*ACOS(1-2*BZ161/T161)))))/((T161/2)*((2*ACOS(1-2*BZ161/T161)))))^(2/3))*SQRT(P161))</f>
        <v/>
      </c>
      <c r="CB161" s="14" t="str">
        <f t="shared" si="189"/>
        <v/>
      </c>
      <c r="CC161" s="14" t="str">
        <f t="shared" si="190"/>
        <v/>
      </c>
      <c r="CD161" s="14" t="str">
        <f t="shared" si="191"/>
        <v/>
      </c>
      <c r="CE161" s="14" t="str">
        <f>IF(OR(T161="",P161="",CD161="",T161&lt;=0,CD161&lt;=0),"",(1/Inputs!$B$9)*((T161^2/8)*((2*ACOS(1-2*CD161/T161))-SIN((2*ACOS(1-2*CD161/T161)))))*((((T161^2/8)*((2*ACOS(1-2*CD161/T161))-SIN((2*ACOS(1-2*CD161/T161)))))/((T161/2)*((2*ACOS(1-2*CD161/T161)))))^(2/3))*SQRT(P161))</f>
        <v/>
      </c>
      <c r="CF161" s="14" t="str">
        <f t="shared" si="192"/>
        <v/>
      </c>
      <c r="CG161" s="14" t="str">
        <f t="shared" si="193"/>
        <v/>
      </c>
      <c r="CH161" s="14" t="str">
        <f t="shared" si="194"/>
        <v/>
      </c>
    </row>
    <row r="162" spans="1:86" x14ac:dyDescent="0.25">
      <c r="A162" s="14"/>
      <c r="B162" s="14"/>
      <c r="C162" s="14"/>
      <c r="D162" s="14"/>
      <c r="E162" s="44"/>
      <c r="F162" s="44"/>
      <c r="G162" s="44">
        <f>SUMIFS(CB_plan!$G:$G,CB_plan!$F:$F,$A162)</f>
        <v>0</v>
      </c>
      <c r="H162" s="44">
        <f t="shared" si="156"/>
        <v>0</v>
      </c>
      <c r="I162" s="14"/>
      <c r="J162" s="44"/>
      <c r="K162" s="44" t="str">
        <f>IF(A162="","",Inputs!$B$13/((IF(AV162="",Inputs!$B$18,AV162)+Inputs!$B$14)^Inputs!$B$15))</f>
        <v/>
      </c>
      <c r="L162" s="44" t="str">
        <f>IF(A162="","",IF(H162="","",0.000000278*IF(I162&lt;&gt;"",I162,IFERROR(SUMIFS(CB_plan!$H:$H,CB_plan!$F:$F,$A162)/SUMIFS(CB_plan!$G:$G,CB_plan!$F:$F,$A162),Inputs!$B$17))*H162*K162))</f>
        <v/>
      </c>
      <c r="M162" s="44" t="str">
        <f t="shared" si="157"/>
        <v/>
      </c>
      <c r="N162" s="44" t="str">
        <f>IF(A162="","",(L162+M162)*Inputs!$B$16)</f>
        <v/>
      </c>
      <c r="O162" s="44"/>
      <c r="P162" s="44" t="str">
        <f>IF(A162="","",IF(O162="",Inputs!$B$7,O162))</f>
        <v/>
      </c>
      <c r="Q162" s="14" t="str">
        <f>IF(A162="","",IF(N162/Inputs!$B$10&lt;=AG162,Inputs!$F$5,IF(N162/Inputs!$B$10&gt;AP162,"OVERSIZE",INDEX(Inputs!$F$5:$F$14,MATCH(N162/Inputs!$B$10,AG162:AP162,1)+1))))</f>
        <v/>
      </c>
      <c r="R162" s="14"/>
      <c r="S162" s="14" t="str">
        <f t="shared" si="158"/>
        <v/>
      </c>
      <c r="T162" s="44" t="str">
        <f t="shared" si="159"/>
        <v/>
      </c>
      <c r="U162" s="44" t="str">
        <f>IF(T162="","",(1/Inputs!$B$9)*(PI()*T162^2/4)*((T162/4)^(2/3))*SQRT(P162))</f>
        <v/>
      </c>
      <c r="V162" s="44" t="str">
        <f>IF(OR(U162="",N162=""),"",N162/(U162*Inputs!$B$10))</f>
        <v/>
      </c>
      <c r="W162" s="44" t="str">
        <f t="shared" si="160"/>
        <v/>
      </c>
      <c r="X162" s="44"/>
      <c r="Y162" s="44" t="str">
        <f>IF(A162="","",IF(A162=Inputs!$B$6,Inputs!$B$22,IF(D162="","",IFERROR(INDEX($Z$4:$Z$201,MATCH(D162,$A$4:$A$201,0))+IF(X162="",Inputs!$B$20,X162),""))))</f>
        <v/>
      </c>
      <c r="Z162" s="44" t="str">
        <f t="shared" si="161"/>
        <v/>
      </c>
      <c r="AA162" s="44" t="str">
        <f>IF(C162="","",IFERROR(INDEX(Noeuds_plan!$C$4:$C$200,MATCH(C162,Noeuds_plan!$A$4:$A$200,0)),""))</f>
        <v/>
      </c>
      <c r="AB162" s="44" t="str">
        <f>IF(B162="","",IFERROR(INDEX(Noeuds_plan!$C$4:$C$200,MATCH(B162,Noeuds_plan!$A$4:$A$200,0)),""))</f>
        <v/>
      </c>
      <c r="AC162" s="44" t="str">
        <f t="shared" si="162"/>
        <v/>
      </c>
      <c r="AD162" s="44" t="str">
        <f t="shared" si="163"/>
        <v/>
      </c>
      <c r="AE162" s="14" t="str">
        <f>IF(A162="","",IF(OR(V162&gt;1,AND(AY162&lt;&gt;"",AY162&lt;Inputs!$B$11),AND(AY162&lt;&gt;"",AY162&gt;Inputs!$B$12),AC162&lt;Inputs!$B$19,AD162&lt;Inputs!$B$19,P162&lt;Inputs!$B$7,P162&gt;Inputs!$B$8),"CHECK","OK"))</f>
        <v/>
      </c>
      <c r="AF162" s="14"/>
      <c r="AG162" s="14" t="str">
        <f>IF(A162="","",(1/Inputs!$B$9)*(PI()*(Inputs!$F$5/1000)^2/4)*((Inputs!$F$5/1000/4)^(2/3))*SQRT(P162))</f>
        <v/>
      </c>
      <c r="AH162" s="14" t="str">
        <f>IF(A162="","",(1/Inputs!$B$9)*(PI()*(Inputs!$F$6/1000)^2/4)*((Inputs!$F$6/1000/4)^(2/3))*SQRT(P162))</f>
        <v/>
      </c>
      <c r="AI162" s="14" t="str">
        <f>IF(A162="","",(1/Inputs!$B$9)*(PI()*(Inputs!$F$7/1000)^2/4)*((Inputs!$F$7/1000/4)^(2/3))*SQRT(P162))</f>
        <v/>
      </c>
      <c r="AJ162" s="14" t="str">
        <f>IF(A162="","",(1/Inputs!$B$9)*(PI()*(Inputs!$F$8/1000)^2/4)*((Inputs!$F$8/1000/4)^(2/3))*SQRT(P162))</f>
        <v/>
      </c>
      <c r="AK162" s="14" t="str">
        <f>IF(A162="","",(1/Inputs!$B$9)*(PI()*(Inputs!$F$9/1000)^2/4)*((Inputs!$F$9/1000/4)^(2/3))*SQRT(P162))</f>
        <v/>
      </c>
      <c r="AL162" s="14" t="str">
        <f>IF(A162="","",(1/Inputs!$B$9)*(PI()*(Inputs!$F$10/1000)^2/4)*((Inputs!$F$10/1000/4)^(2/3))*SQRT(P162))</f>
        <v/>
      </c>
      <c r="AM162" s="14" t="str">
        <f>IF(A162="","",(1/Inputs!$B$9)*(PI()*(Inputs!$F$11/1000)^2/4)*((Inputs!$F$11/1000/4)^(2/3))*SQRT(P162))</f>
        <v/>
      </c>
      <c r="AN162" s="14" t="str">
        <f>IF(A162="","",(1/Inputs!$B$9)*(PI()*(Inputs!$F$12/1000)^2/4)*((Inputs!$F$12/1000/4)^(2/3))*SQRT(P162))</f>
        <v/>
      </c>
      <c r="AO162" s="14" t="str">
        <f>IF(A162="","",(1/Inputs!$B$9)*(PI()*(Inputs!$F$13/1000)^2/4)*((Inputs!$F$13/1000/4)^(2/3))*SQRT(P162))</f>
        <v/>
      </c>
      <c r="AP162" s="14" t="str">
        <f>IF(A162="","",(1/Inputs!$B$9)*(PI()*(Inputs!$F$14/1000)^2/4)*((Inputs!$F$14/1000/4)^(2/3))*SQRT(P162))</f>
        <v/>
      </c>
      <c r="AQ162" s="14" t="str">
        <f t="shared" si="164"/>
        <v/>
      </c>
      <c r="AR162" s="14" t="str">
        <f t="shared" si="165"/>
        <v/>
      </c>
      <c r="AS162" s="17" t="str">
        <f>IF(A162="","",IF(J162="",Inputs!$B$18,J162))</f>
        <v/>
      </c>
      <c r="AT162" s="17" t="str">
        <f>IF(A162="","",IFERROR(_xludf.maxifs($AV$4:$AV$201,$D$4:$D$201,$A162),""))</f>
        <v/>
      </c>
      <c r="AU162" s="17" t="str">
        <f>IF(A162="","",IF(OR(E162="",Inputs!$B$23=""),"",E162/(Inputs!$B$23*60)))</f>
        <v/>
      </c>
      <c r="AV162" s="17" t="str">
        <f t="shared" si="166"/>
        <v/>
      </c>
      <c r="AW162" s="17" t="str">
        <f t="shared" si="167"/>
        <v/>
      </c>
      <c r="AX162" s="17" t="str">
        <f>IF(OR(T162="",P162=""),"",(1/Inputs!$B$9)*((T162/4)^(2/3))*SQRT(P162))</f>
        <v/>
      </c>
      <c r="AY162" s="17" t="str">
        <f>IF(A162="","",IF(AND(AW162="",AX162="",BA162=""),"",IF(OR(UPPER(TRIM(Inputs!$B$24))="MANNING",UPPER(TRIM(Inputs!$B$24))="M"),AX162,IF(OR(UPPER(TRIM(Inputs!$B$24))="PARTIAL",UPPER(TRIM(Inputs!$B$24))="P"),BA162,IF(OR(UPPER(TRIM(Inputs!$B$24))="MAX",UPPER(TRIM(Inputs!$B$24))="X"),MAX(IF(AW162="",0,AW162),IF(AX162="",0,AX162),IF(BA162="",0,BA162)),AW162)))))</f>
        <v/>
      </c>
      <c r="AZ162" s="17" t="str">
        <f t="shared" si="168"/>
        <v/>
      </c>
      <c r="BA162" s="17" t="str">
        <f t="shared" si="169"/>
        <v/>
      </c>
      <c r="BB162" s="14" t="str">
        <f t="shared" si="170"/>
        <v/>
      </c>
      <c r="BC162" s="14" t="str">
        <f>IF(OR(N162="",T162="",P162=""),"",IF(OR(T162="",P162="",(0.94*T162)="",T162&lt;=0,(0.94*T162)&lt;=0),"",(1/Inputs!$B$9)*((T162^2/8)*((2*ACOS(1-2*(0.94*T162)/T162))-SIN((2*ACOS(1-2*(0.94*T162)/T162)))))*((((T162^2/8)*((2*ACOS(1-2*(0.94*T162)/T162))-SIN((2*ACOS(1-2*(0.94*T162)/T162)))))/((T162/2)*((2*ACOS(1-2*(0.94*T162)/T162)))))^(2/3))*SQRT(P162)))</f>
        <v/>
      </c>
      <c r="BD162" s="14" t="str">
        <f t="shared" si="171"/>
        <v/>
      </c>
      <c r="BE162" s="14" t="str">
        <f t="shared" si="172"/>
        <v/>
      </c>
      <c r="BF162" s="14" t="str">
        <f t="shared" si="173"/>
        <v/>
      </c>
      <c r="BG162" s="14" t="str">
        <f>IF(OR(T162="",P162="",BF162="",T162&lt;=0,BF162&lt;=0),"",(1/Inputs!$B$9)*((T162^2/8)*((2*ACOS(1-2*BF162/T162))-SIN((2*ACOS(1-2*BF162/T162)))))*((((T162^2/8)*((2*ACOS(1-2*BF162/T162))-SIN((2*ACOS(1-2*BF162/T162)))))/((T162/2)*((2*ACOS(1-2*BF162/T162)))))^(2/3))*SQRT(P162))</f>
        <v/>
      </c>
      <c r="BH162" s="14" t="str">
        <f t="shared" si="174"/>
        <v/>
      </c>
      <c r="BI162" s="14" t="str">
        <f t="shared" si="175"/>
        <v/>
      </c>
      <c r="BJ162" s="14" t="str">
        <f t="shared" si="176"/>
        <v/>
      </c>
      <c r="BK162" s="14" t="str">
        <f>IF(OR(T162="",P162="",BJ162="",T162&lt;=0,BJ162&lt;=0),"",(1/Inputs!$B$9)*((T162^2/8)*((2*ACOS(1-2*BJ162/T162))-SIN((2*ACOS(1-2*BJ162/T162)))))*((((T162^2/8)*((2*ACOS(1-2*BJ162/T162))-SIN((2*ACOS(1-2*BJ162/T162)))))/((T162/2)*((2*ACOS(1-2*BJ162/T162)))))^(2/3))*SQRT(P162))</f>
        <v/>
      </c>
      <c r="BL162" s="14" t="str">
        <f t="shared" si="177"/>
        <v/>
      </c>
      <c r="BM162" s="14" t="str">
        <f t="shared" si="178"/>
        <v/>
      </c>
      <c r="BN162" s="14" t="str">
        <f t="shared" si="179"/>
        <v/>
      </c>
      <c r="BO162" s="14" t="str">
        <f>IF(OR(T162="",P162="",BN162="",T162&lt;=0,BN162&lt;=0),"",(1/Inputs!$B$9)*((T162^2/8)*((2*ACOS(1-2*BN162/T162))-SIN((2*ACOS(1-2*BN162/T162)))))*((((T162^2/8)*((2*ACOS(1-2*BN162/T162))-SIN((2*ACOS(1-2*BN162/T162)))))/((T162/2)*((2*ACOS(1-2*BN162/T162)))))^(2/3))*SQRT(P162))</f>
        <v/>
      </c>
      <c r="BP162" s="14" t="str">
        <f t="shared" si="180"/>
        <v/>
      </c>
      <c r="BQ162" s="14" t="str">
        <f t="shared" si="181"/>
        <v/>
      </c>
      <c r="BR162" s="14" t="str">
        <f t="shared" si="182"/>
        <v/>
      </c>
      <c r="BS162" s="14" t="str">
        <f>IF(OR(T162="",P162="",BR162="",T162&lt;=0,BR162&lt;=0),"",(1/Inputs!$B$9)*((T162^2/8)*((2*ACOS(1-2*BR162/T162))-SIN((2*ACOS(1-2*BR162/T162)))))*((((T162^2/8)*((2*ACOS(1-2*BR162/T162))-SIN((2*ACOS(1-2*BR162/T162)))))/((T162/2)*((2*ACOS(1-2*BR162/T162)))))^(2/3))*SQRT(P162))</f>
        <v/>
      </c>
      <c r="BT162" s="14" t="str">
        <f t="shared" si="183"/>
        <v/>
      </c>
      <c r="BU162" s="14" t="str">
        <f t="shared" si="184"/>
        <v/>
      </c>
      <c r="BV162" s="14" t="str">
        <f t="shared" si="185"/>
        <v/>
      </c>
      <c r="BW162" s="14" t="str">
        <f>IF(OR(T162="",P162="",BV162="",T162&lt;=0,BV162&lt;=0),"",(1/Inputs!$B$9)*((T162^2/8)*((2*ACOS(1-2*BV162/T162))-SIN((2*ACOS(1-2*BV162/T162)))))*((((T162^2/8)*((2*ACOS(1-2*BV162/T162))-SIN((2*ACOS(1-2*BV162/T162)))))/((T162/2)*((2*ACOS(1-2*BV162/T162)))))^(2/3))*SQRT(P162))</f>
        <v/>
      </c>
      <c r="BX162" s="14" t="str">
        <f t="shared" si="186"/>
        <v/>
      </c>
      <c r="BY162" s="14" t="str">
        <f t="shared" si="187"/>
        <v/>
      </c>
      <c r="BZ162" s="14" t="str">
        <f t="shared" si="188"/>
        <v/>
      </c>
      <c r="CA162" s="14" t="str">
        <f>IF(OR(T162="",P162="",BZ162="",T162&lt;=0,BZ162&lt;=0),"",(1/Inputs!$B$9)*((T162^2/8)*((2*ACOS(1-2*BZ162/T162))-SIN((2*ACOS(1-2*BZ162/T162)))))*((((T162^2/8)*((2*ACOS(1-2*BZ162/T162))-SIN((2*ACOS(1-2*BZ162/T162)))))/((T162/2)*((2*ACOS(1-2*BZ162/T162)))))^(2/3))*SQRT(P162))</f>
        <v/>
      </c>
      <c r="CB162" s="14" t="str">
        <f t="shared" si="189"/>
        <v/>
      </c>
      <c r="CC162" s="14" t="str">
        <f t="shared" si="190"/>
        <v/>
      </c>
      <c r="CD162" s="14" t="str">
        <f t="shared" si="191"/>
        <v/>
      </c>
      <c r="CE162" s="14" t="str">
        <f>IF(OR(T162="",P162="",CD162="",T162&lt;=0,CD162&lt;=0),"",(1/Inputs!$B$9)*((T162^2/8)*((2*ACOS(1-2*CD162/T162))-SIN((2*ACOS(1-2*CD162/T162)))))*((((T162^2/8)*((2*ACOS(1-2*CD162/T162))-SIN((2*ACOS(1-2*CD162/T162)))))/((T162/2)*((2*ACOS(1-2*CD162/T162)))))^(2/3))*SQRT(P162))</f>
        <v/>
      </c>
      <c r="CF162" s="14" t="str">
        <f t="shared" si="192"/>
        <v/>
      </c>
      <c r="CG162" s="14" t="str">
        <f t="shared" si="193"/>
        <v/>
      </c>
      <c r="CH162" s="14" t="str">
        <f t="shared" si="194"/>
        <v/>
      </c>
    </row>
    <row r="163" spans="1:86" x14ac:dyDescent="0.25">
      <c r="A163" s="14"/>
      <c r="B163" s="14"/>
      <c r="C163" s="14"/>
      <c r="D163" s="14"/>
      <c r="E163" s="44"/>
      <c r="F163" s="44"/>
      <c r="G163" s="44">
        <f>SUMIFS(CB_plan!$G:$G,CB_plan!$F:$F,$A163)</f>
        <v>0</v>
      </c>
      <c r="H163" s="44">
        <f t="shared" si="156"/>
        <v>0</v>
      </c>
      <c r="I163" s="14"/>
      <c r="J163" s="44"/>
      <c r="K163" s="44" t="str">
        <f>IF(A163="","",Inputs!$B$13/((IF(AV163="",Inputs!$B$18,AV163)+Inputs!$B$14)^Inputs!$B$15))</f>
        <v/>
      </c>
      <c r="L163" s="44" t="str">
        <f>IF(A163="","",IF(H163="","",0.000000278*IF(I163&lt;&gt;"",I163,IFERROR(SUMIFS(CB_plan!$H:$H,CB_plan!$F:$F,$A163)/SUMIFS(CB_plan!$G:$G,CB_plan!$F:$F,$A163),Inputs!$B$17))*H163*K163))</f>
        <v/>
      </c>
      <c r="M163" s="44" t="str">
        <f t="shared" si="157"/>
        <v/>
      </c>
      <c r="N163" s="44" t="str">
        <f>IF(A163="","",(L163+M163)*Inputs!$B$16)</f>
        <v/>
      </c>
      <c r="O163" s="44"/>
      <c r="P163" s="44" t="str">
        <f>IF(A163="","",IF(O163="",Inputs!$B$7,O163))</f>
        <v/>
      </c>
      <c r="Q163" s="14" t="str">
        <f>IF(A163="","",IF(N163/Inputs!$B$10&lt;=AG163,Inputs!$F$5,IF(N163/Inputs!$B$10&gt;AP163,"OVERSIZE",INDEX(Inputs!$F$5:$F$14,MATCH(N163/Inputs!$B$10,AG163:AP163,1)+1))))</f>
        <v/>
      </c>
      <c r="R163" s="14"/>
      <c r="S163" s="14" t="str">
        <f t="shared" si="158"/>
        <v/>
      </c>
      <c r="T163" s="44" t="str">
        <f t="shared" si="159"/>
        <v/>
      </c>
      <c r="U163" s="44" t="str">
        <f>IF(T163="","",(1/Inputs!$B$9)*(PI()*T163^2/4)*((T163/4)^(2/3))*SQRT(P163))</f>
        <v/>
      </c>
      <c r="V163" s="44" t="str">
        <f>IF(OR(U163="",N163=""),"",N163/(U163*Inputs!$B$10))</f>
        <v/>
      </c>
      <c r="W163" s="44" t="str">
        <f t="shared" si="160"/>
        <v/>
      </c>
      <c r="X163" s="44"/>
      <c r="Y163" s="44" t="str">
        <f>IF(A163="","",IF(A163=Inputs!$B$6,Inputs!$B$22,IF(D163="","",IFERROR(INDEX($Z$4:$Z$201,MATCH(D163,$A$4:$A$201,0))+IF(X163="",Inputs!$B$20,X163),""))))</f>
        <v/>
      </c>
      <c r="Z163" s="44" t="str">
        <f t="shared" si="161"/>
        <v/>
      </c>
      <c r="AA163" s="44" t="str">
        <f>IF(C163="","",IFERROR(INDEX(Noeuds_plan!$C$4:$C$200,MATCH(C163,Noeuds_plan!$A$4:$A$200,0)),""))</f>
        <v/>
      </c>
      <c r="AB163" s="44" t="str">
        <f>IF(B163="","",IFERROR(INDEX(Noeuds_plan!$C$4:$C$200,MATCH(B163,Noeuds_plan!$A$4:$A$200,0)),""))</f>
        <v/>
      </c>
      <c r="AC163" s="44" t="str">
        <f t="shared" si="162"/>
        <v/>
      </c>
      <c r="AD163" s="44" t="str">
        <f t="shared" si="163"/>
        <v/>
      </c>
      <c r="AE163" s="14" t="str">
        <f>IF(A163="","",IF(OR(V163&gt;1,AND(AY163&lt;&gt;"",AY163&lt;Inputs!$B$11),AND(AY163&lt;&gt;"",AY163&gt;Inputs!$B$12),AC163&lt;Inputs!$B$19,AD163&lt;Inputs!$B$19,P163&lt;Inputs!$B$7,P163&gt;Inputs!$B$8),"CHECK","OK"))</f>
        <v/>
      </c>
      <c r="AF163" s="14"/>
      <c r="AG163" s="14" t="str">
        <f>IF(A163="","",(1/Inputs!$B$9)*(PI()*(Inputs!$F$5/1000)^2/4)*((Inputs!$F$5/1000/4)^(2/3))*SQRT(P163))</f>
        <v/>
      </c>
      <c r="AH163" s="14" t="str">
        <f>IF(A163="","",(1/Inputs!$B$9)*(PI()*(Inputs!$F$6/1000)^2/4)*((Inputs!$F$6/1000/4)^(2/3))*SQRT(P163))</f>
        <v/>
      </c>
      <c r="AI163" s="14" t="str">
        <f>IF(A163="","",(1/Inputs!$B$9)*(PI()*(Inputs!$F$7/1000)^2/4)*((Inputs!$F$7/1000/4)^(2/3))*SQRT(P163))</f>
        <v/>
      </c>
      <c r="AJ163" s="14" t="str">
        <f>IF(A163="","",(1/Inputs!$B$9)*(PI()*(Inputs!$F$8/1000)^2/4)*((Inputs!$F$8/1000/4)^(2/3))*SQRT(P163))</f>
        <v/>
      </c>
      <c r="AK163" s="14" t="str">
        <f>IF(A163="","",(1/Inputs!$B$9)*(PI()*(Inputs!$F$9/1000)^2/4)*((Inputs!$F$9/1000/4)^(2/3))*SQRT(P163))</f>
        <v/>
      </c>
      <c r="AL163" s="14" t="str">
        <f>IF(A163="","",(1/Inputs!$B$9)*(PI()*(Inputs!$F$10/1000)^2/4)*((Inputs!$F$10/1000/4)^(2/3))*SQRT(P163))</f>
        <v/>
      </c>
      <c r="AM163" s="14" t="str">
        <f>IF(A163="","",(1/Inputs!$B$9)*(PI()*(Inputs!$F$11/1000)^2/4)*((Inputs!$F$11/1000/4)^(2/3))*SQRT(P163))</f>
        <v/>
      </c>
      <c r="AN163" s="14" t="str">
        <f>IF(A163="","",(1/Inputs!$B$9)*(PI()*(Inputs!$F$12/1000)^2/4)*((Inputs!$F$12/1000/4)^(2/3))*SQRT(P163))</f>
        <v/>
      </c>
      <c r="AO163" s="14" t="str">
        <f>IF(A163="","",(1/Inputs!$B$9)*(PI()*(Inputs!$F$13/1000)^2/4)*((Inputs!$F$13/1000/4)^(2/3))*SQRT(P163))</f>
        <v/>
      </c>
      <c r="AP163" s="14" t="str">
        <f>IF(A163="","",(1/Inputs!$B$9)*(PI()*(Inputs!$F$14/1000)^2/4)*((Inputs!$F$14/1000/4)^(2/3))*SQRT(P163))</f>
        <v/>
      </c>
      <c r="AQ163" s="14" t="str">
        <f t="shared" si="164"/>
        <v/>
      </c>
      <c r="AR163" s="14" t="str">
        <f t="shared" si="165"/>
        <v/>
      </c>
      <c r="AS163" s="17" t="str">
        <f>IF(A163="","",IF(J163="",Inputs!$B$18,J163))</f>
        <v/>
      </c>
      <c r="AT163" s="17" t="str">
        <f>IF(A163="","",IFERROR(_xludf.maxifs($AV$4:$AV$201,$D$4:$D$201,$A163),""))</f>
        <v/>
      </c>
      <c r="AU163" s="17" t="str">
        <f>IF(A163="","",IF(OR(E163="",Inputs!$B$23=""),"",E163/(Inputs!$B$23*60)))</f>
        <v/>
      </c>
      <c r="AV163" s="17" t="str">
        <f t="shared" si="166"/>
        <v/>
      </c>
      <c r="AW163" s="17" t="str">
        <f t="shared" si="167"/>
        <v/>
      </c>
      <c r="AX163" s="17" t="str">
        <f>IF(OR(T163="",P163=""),"",(1/Inputs!$B$9)*((T163/4)^(2/3))*SQRT(P163))</f>
        <v/>
      </c>
      <c r="AY163" s="17" t="str">
        <f>IF(A163="","",IF(AND(AW163="",AX163="",BA163=""),"",IF(OR(UPPER(TRIM(Inputs!$B$24))="MANNING",UPPER(TRIM(Inputs!$B$24))="M"),AX163,IF(OR(UPPER(TRIM(Inputs!$B$24))="PARTIAL",UPPER(TRIM(Inputs!$B$24))="P"),BA163,IF(OR(UPPER(TRIM(Inputs!$B$24))="MAX",UPPER(TRIM(Inputs!$B$24))="X"),MAX(IF(AW163="",0,AW163),IF(AX163="",0,AX163),IF(BA163="",0,BA163)),AW163)))))</f>
        <v/>
      </c>
      <c r="AZ163" s="17" t="str">
        <f t="shared" si="168"/>
        <v/>
      </c>
      <c r="BA163" s="17" t="str">
        <f t="shared" si="169"/>
        <v/>
      </c>
      <c r="BB163" s="14" t="str">
        <f t="shared" si="170"/>
        <v/>
      </c>
      <c r="BC163" s="14" t="str">
        <f>IF(OR(N163="",T163="",P163=""),"",IF(OR(T163="",P163="",(0.94*T163)="",T163&lt;=0,(0.94*T163)&lt;=0),"",(1/Inputs!$B$9)*((T163^2/8)*((2*ACOS(1-2*(0.94*T163)/T163))-SIN((2*ACOS(1-2*(0.94*T163)/T163)))))*((((T163^2/8)*((2*ACOS(1-2*(0.94*T163)/T163))-SIN((2*ACOS(1-2*(0.94*T163)/T163)))))/((T163/2)*((2*ACOS(1-2*(0.94*T163)/T163)))))^(2/3))*SQRT(P163)))</f>
        <v/>
      </c>
      <c r="BD163" s="14" t="str">
        <f t="shared" si="171"/>
        <v/>
      </c>
      <c r="BE163" s="14" t="str">
        <f t="shared" si="172"/>
        <v/>
      </c>
      <c r="BF163" s="14" t="str">
        <f t="shared" si="173"/>
        <v/>
      </c>
      <c r="BG163" s="14" t="str">
        <f>IF(OR(T163="",P163="",BF163="",T163&lt;=0,BF163&lt;=0),"",(1/Inputs!$B$9)*((T163^2/8)*((2*ACOS(1-2*BF163/T163))-SIN((2*ACOS(1-2*BF163/T163)))))*((((T163^2/8)*((2*ACOS(1-2*BF163/T163))-SIN((2*ACOS(1-2*BF163/T163)))))/((T163/2)*((2*ACOS(1-2*BF163/T163)))))^(2/3))*SQRT(P163))</f>
        <v/>
      </c>
      <c r="BH163" s="14" t="str">
        <f t="shared" si="174"/>
        <v/>
      </c>
      <c r="BI163" s="14" t="str">
        <f t="shared" si="175"/>
        <v/>
      </c>
      <c r="BJ163" s="14" t="str">
        <f t="shared" si="176"/>
        <v/>
      </c>
      <c r="BK163" s="14" t="str">
        <f>IF(OR(T163="",P163="",BJ163="",T163&lt;=0,BJ163&lt;=0),"",(1/Inputs!$B$9)*((T163^2/8)*((2*ACOS(1-2*BJ163/T163))-SIN((2*ACOS(1-2*BJ163/T163)))))*((((T163^2/8)*((2*ACOS(1-2*BJ163/T163))-SIN((2*ACOS(1-2*BJ163/T163)))))/((T163/2)*((2*ACOS(1-2*BJ163/T163)))))^(2/3))*SQRT(P163))</f>
        <v/>
      </c>
      <c r="BL163" s="14" t="str">
        <f t="shared" si="177"/>
        <v/>
      </c>
      <c r="BM163" s="14" t="str">
        <f t="shared" si="178"/>
        <v/>
      </c>
      <c r="BN163" s="14" t="str">
        <f t="shared" si="179"/>
        <v/>
      </c>
      <c r="BO163" s="14" t="str">
        <f>IF(OR(T163="",P163="",BN163="",T163&lt;=0,BN163&lt;=0),"",(1/Inputs!$B$9)*((T163^2/8)*((2*ACOS(1-2*BN163/T163))-SIN((2*ACOS(1-2*BN163/T163)))))*((((T163^2/8)*((2*ACOS(1-2*BN163/T163))-SIN((2*ACOS(1-2*BN163/T163)))))/((T163/2)*((2*ACOS(1-2*BN163/T163)))))^(2/3))*SQRT(P163))</f>
        <v/>
      </c>
      <c r="BP163" s="14" t="str">
        <f t="shared" si="180"/>
        <v/>
      </c>
      <c r="BQ163" s="14" t="str">
        <f t="shared" si="181"/>
        <v/>
      </c>
      <c r="BR163" s="14" t="str">
        <f t="shared" si="182"/>
        <v/>
      </c>
      <c r="BS163" s="14" t="str">
        <f>IF(OR(T163="",P163="",BR163="",T163&lt;=0,BR163&lt;=0),"",(1/Inputs!$B$9)*((T163^2/8)*((2*ACOS(1-2*BR163/T163))-SIN((2*ACOS(1-2*BR163/T163)))))*((((T163^2/8)*((2*ACOS(1-2*BR163/T163))-SIN((2*ACOS(1-2*BR163/T163)))))/((T163/2)*((2*ACOS(1-2*BR163/T163)))))^(2/3))*SQRT(P163))</f>
        <v/>
      </c>
      <c r="BT163" s="14" t="str">
        <f t="shared" si="183"/>
        <v/>
      </c>
      <c r="BU163" s="14" t="str">
        <f t="shared" si="184"/>
        <v/>
      </c>
      <c r="BV163" s="14" t="str">
        <f t="shared" si="185"/>
        <v/>
      </c>
      <c r="BW163" s="14" t="str">
        <f>IF(OR(T163="",P163="",BV163="",T163&lt;=0,BV163&lt;=0),"",(1/Inputs!$B$9)*((T163^2/8)*((2*ACOS(1-2*BV163/T163))-SIN((2*ACOS(1-2*BV163/T163)))))*((((T163^2/8)*((2*ACOS(1-2*BV163/T163))-SIN((2*ACOS(1-2*BV163/T163)))))/((T163/2)*((2*ACOS(1-2*BV163/T163)))))^(2/3))*SQRT(P163))</f>
        <v/>
      </c>
      <c r="BX163" s="14" t="str">
        <f t="shared" si="186"/>
        <v/>
      </c>
      <c r="BY163" s="14" t="str">
        <f t="shared" si="187"/>
        <v/>
      </c>
      <c r="BZ163" s="14" t="str">
        <f t="shared" si="188"/>
        <v/>
      </c>
      <c r="CA163" s="14" t="str">
        <f>IF(OR(T163="",P163="",BZ163="",T163&lt;=0,BZ163&lt;=0),"",(1/Inputs!$B$9)*((T163^2/8)*((2*ACOS(1-2*BZ163/T163))-SIN((2*ACOS(1-2*BZ163/T163)))))*((((T163^2/8)*((2*ACOS(1-2*BZ163/T163))-SIN((2*ACOS(1-2*BZ163/T163)))))/((T163/2)*((2*ACOS(1-2*BZ163/T163)))))^(2/3))*SQRT(P163))</f>
        <v/>
      </c>
      <c r="CB163" s="14" t="str">
        <f t="shared" si="189"/>
        <v/>
      </c>
      <c r="CC163" s="14" t="str">
        <f t="shared" si="190"/>
        <v/>
      </c>
      <c r="CD163" s="14" t="str">
        <f t="shared" si="191"/>
        <v/>
      </c>
      <c r="CE163" s="14" t="str">
        <f>IF(OR(T163="",P163="",CD163="",T163&lt;=0,CD163&lt;=0),"",(1/Inputs!$B$9)*((T163^2/8)*((2*ACOS(1-2*CD163/T163))-SIN((2*ACOS(1-2*CD163/T163)))))*((((T163^2/8)*((2*ACOS(1-2*CD163/T163))-SIN((2*ACOS(1-2*CD163/T163)))))/((T163/2)*((2*ACOS(1-2*CD163/T163)))))^(2/3))*SQRT(P163))</f>
        <v/>
      </c>
      <c r="CF163" s="14" t="str">
        <f t="shared" si="192"/>
        <v/>
      </c>
      <c r="CG163" s="14" t="str">
        <f t="shared" si="193"/>
        <v/>
      </c>
      <c r="CH163" s="14" t="str">
        <f t="shared" si="194"/>
        <v/>
      </c>
    </row>
    <row r="164" spans="1:86" x14ac:dyDescent="0.25">
      <c r="A164" s="14"/>
      <c r="B164" s="14"/>
      <c r="C164" s="14"/>
      <c r="D164" s="14"/>
      <c r="E164" s="44"/>
      <c r="F164" s="44"/>
      <c r="G164" s="44">
        <f>SUMIFS(CB_plan!$G:$G,CB_plan!$F:$F,$A164)</f>
        <v>0</v>
      </c>
      <c r="H164" s="44">
        <f t="shared" ref="H164:H195" si="195">IF(F164="",G164,F164)</f>
        <v>0</v>
      </c>
      <c r="I164" s="14"/>
      <c r="J164" s="44"/>
      <c r="K164" s="44" t="str">
        <f>IF(A164="","",Inputs!$B$13/((IF(AV164="",Inputs!$B$18,AV164)+Inputs!$B$14)^Inputs!$B$15))</f>
        <v/>
      </c>
      <c r="L164" s="44" t="str">
        <f>IF(A164="","",IF(H164="","",0.000000278*IF(I164&lt;&gt;"",I164,IFERROR(SUMIFS(CB_plan!$H:$H,CB_plan!$F:$F,$A164)/SUMIFS(CB_plan!$G:$G,CB_plan!$F:$F,$A164),Inputs!$B$17))*H164*K164))</f>
        <v/>
      </c>
      <c r="M164" s="44" t="str">
        <f t="shared" ref="M164:M195" si="196">IF(A164="","",SUMIFS($N$4:$N$201,$D$4:$D$201,$A164))</f>
        <v/>
      </c>
      <c r="N164" s="44" t="str">
        <f>IF(A164="","",(L164+M164)*Inputs!$B$16)</f>
        <v/>
      </c>
      <c r="O164" s="44"/>
      <c r="P164" s="44" t="str">
        <f>IF(A164="","",IF(O164="",Inputs!$B$7,O164))</f>
        <v/>
      </c>
      <c r="Q164" s="14" t="str">
        <f>IF(A164="","",IF(N164/Inputs!$B$10&lt;=AG164,Inputs!$F$5,IF(N164/Inputs!$B$10&gt;AP164,"OVERSIZE",INDEX(Inputs!$F$5:$F$14,MATCH(N164/Inputs!$B$10,AG164:AP164,1)+1))))</f>
        <v/>
      </c>
      <c r="R164" s="14"/>
      <c r="S164" s="14" t="str">
        <f t="shared" ref="S164:S195" si="197">IF(A164="","",IF(R164="",Q164,R164))</f>
        <v/>
      </c>
      <c r="T164" s="44" t="str">
        <f t="shared" ref="T164:T195" si="198">IF(OR(S164="",S164="OVERSIZE"),"",S164/1000)</f>
        <v/>
      </c>
      <c r="U164" s="44" t="str">
        <f>IF(T164="","",(1/Inputs!$B$9)*(PI()*T164^2/4)*((T164/4)^(2/3))*SQRT(P164))</f>
        <v/>
      </c>
      <c r="V164" s="44" t="str">
        <f>IF(OR(U164="",N164=""),"",N164/(U164*Inputs!$B$10))</f>
        <v/>
      </c>
      <c r="W164" s="44" t="str">
        <f t="shared" ref="W164:W195" si="199">IF(OR(T164="",N164=""),"",4*N164/(PI()*T164^2))</f>
        <v/>
      </c>
      <c r="X164" s="44"/>
      <c r="Y164" s="44" t="str">
        <f>IF(A164="","",IF(A164=Inputs!$B$6,Inputs!$B$22,IF(D164="","",IFERROR(INDEX($Z$4:$Z$201,MATCH(D164,$A$4:$A$201,0))+IF(X164="",Inputs!$B$20,X164),""))))</f>
        <v/>
      </c>
      <c r="Z164" s="44" t="str">
        <f t="shared" ref="Z164:Z195" si="200">IF(OR(Y164="",P164="",E164=""),"",Y164+P164*E164)</f>
        <v/>
      </c>
      <c r="AA164" s="44" t="str">
        <f>IF(C164="","",IFERROR(INDEX(Noeuds_plan!$C$4:$C$200,MATCH(C164,Noeuds_plan!$A$4:$A$200,0)),""))</f>
        <v/>
      </c>
      <c r="AB164" s="44" t="str">
        <f>IF(B164="","",IFERROR(INDEX(Noeuds_plan!$C$4:$C$200,MATCH(B164,Noeuds_plan!$A$4:$A$200,0)),""))</f>
        <v/>
      </c>
      <c r="AC164" s="44" t="str">
        <f t="shared" ref="AC164:AC195" si="201">IF(OR(AA164="",Y164=""),"",AA164-Y164)</f>
        <v/>
      </c>
      <c r="AD164" s="44" t="str">
        <f t="shared" ref="AD164:AD195" si="202">IF(OR(AB164="",Z164=""),"",AB164-Z164)</f>
        <v/>
      </c>
      <c r="AE164" s="14" t="str">
        <f>IF(A164="","",IF(OR(V164&gt;1,AND(AY164&lt;&gt;"",AY164&lt;Inputs!$B$11),AND(AY164&lt;&gt;"",AY164&gt;Inputs!$B$12),AC164&lt;Inputs!$B$19,AD164&lt;Inputs!$B$19,P164&lt;Inputs!$B$7,P164&gt;Inputs!$B$8),"CHECK","OK"))</f>
        <v/>
      </c>
      <c r="AF164" s="14"/>
      <c r="AG164" s="14" t="str">
        <f>IF(A164="","",(1/Inputs!$B$9)*(PI()*(Inputs!$F$5/1000)^2/4)*((Inputs!$F$5/1000/4)^(2/3))*SQRT(P164))</f>
        <v/>
      </c>
      <c r="AH164" s="14" t="str">
        <f>IF(A164="","",(1/Inputs!$B$9)*(PI()*(Inputs!$F$6/1000)^2/4)*((Inputs!$F$6/1000/4)^(2/3))*SQRT(P164))</f>
        <v/>
      </c>
      <c r="AI164" s="14" t="str">
        <f>IF(A164="","",(1/Inputs!$B$9)*(PI()*(Inputs!$F$7/1000)^2/4)*((Inputs!$F$7/1000/4)^(2/3))*SQRT(P164))</f>
        <v/>
      </c>
      <c r="AJ164" s="14" t="str">
        <f>IF(A164="","",(1/Inputs!$B$9)*(PI()*(Inputs!$F$8/1000)^2/4)*((Inputs!$F$8/1000/4)^(2/3))*SQRT(P164))</f>
        <v/>
      </c>
      <c r="AK164" s="14" t="str">
        <f>IF(A164="","",(1/Inputs!$B$9)*(PI()*(Inputs!$F$9/1000)^2/4)*((Inputs!$F$9/1000/4)^(2/3))*SQRT(P164))</f>
        <v/>
      </c>
      <c r="AL164" s="14" t="str">
        <f>IF(A164="","",(1/Inputs!$B$9)*(PI()*(Inputs!$F$10/1000)^2/4)*((Inputs!$F$10/1000/4)^(2/3))*SQRT(P164))</f>
        <v/>
      </c>
      <c r="AM164" s="14" t="str">
        <f>IF(A164="","",(1/Inputs!$B$9)*(PI()*(Inputs!$F$11/1000)^2/4)*((Inputs!$F$11/1000/4)^(2/3))*SQRT(P164))</f>
        <v/>
      </c>
      <c r="AN164" s="14" t="str">
        <f>IF(A164="","",(1/Inputs!$B$9)*(PI()*(Inputs!$F$12/1000)^2/4)*((Inputs!$F$12/1000/4)^(2/3))*SQRT(P164))</f>
        <v/>
      </c>
      <c r="AO164" s="14" t="str">
        <f>IF(A164="","",(1/Inputs!$B$9)*(PI()*(Inputs!$F$13/1000)^2/4)*((Inputs!$F$13/1000/4)^(2/3))*SQRT(P164))</f>
        <v/>
      </c>
      <c r="AP164" s="14" t="str">
        <f>IF(A164="","",(1/Inputs!$B$9)*(PI()*(Inputs!$F$14/1000)^2/4)*((Inputs!$F$14/1000/4)^(2/3))*SQRT(P164))</f>
        <v/>
      </c>
      <c r="AQ164" s="14" t="str">
        <f t="shared" ref="AQ164:AQ195" si="203">IF(A164="","",COUNTIF($D$4:$D$201,$A164))</f>
        <v/>
      </c>
      <c r="AR164" s="14" t="str">
        <f t="shared" ref="AR164:AR195" si="204">IF(A164="","",IF(AQ164=0,"START","CONTINUOUS"))</f>
        <v/>
      </c>
      <c r="AS164" s="17" t="str">
        <f>IF(A164="","",IF(J164="",Inputs!$B$18,J164))</f>
        <v/>
      </c>
      <c r="AT164" s="17" t="str">
        <f>IF(A164="","",IFERROR(_xludf.maxifs($AV$4:$AV$201,$D$4:$D$201,$A164),""))</f>
        <v/>
      </c>
      <c r="AU164" s="17" t="str">
        <f>IF(A164="","",IF(OR(E164="",Inputs!$B$23=""),"",E164/(Inputs!$B$23*60)))</f>
        <v/>
      </c>
      <c r="AV164" s="17" t="str">
        <f t="shared" ref="AV164:AV195" si="205">IF(A164="","",IF(AQ164=0,AS164+AU164,IF(AT164="",AS164+AU164,AT164+AU164)))</f>
        <v/>
      </c>
      <c r="AW164" s="17" t="str">
        <f t="shared" ref="AW164:AW195" si="206">IF(A164="","",W164)</f>
        <v/>
      </c>
      <c r="AX164" s="17" t="str">
        <f>IF(OR(T164="",P164=""),"",(1/Inputs!$B$9)*((T164/4)^(2/3))*SQRT(P164))</f>
        <v/>
      </c>
      <c r="AY164" s="17" t="str">
        <f>IF(A164="","",IF(AND(AW164="",AX164="",BA164=""),"",IF(OR(UPPER(TRIM(Inputs!$B$24))="MANNING",UPPER(TRIM(Inputs!$B$24))="M"),AX164,IF(OR(UPPER(TRIM(Inputs!$B$24))="PARTIAL",UPPER(TRIM(Inputs!$B$24))="P"),BA164,IF(OR(UPPER(TRIM(Inputs!$B$24))="MAX",UPPER(TRIM(Inputs!$B$24))="X"),MAX(IF(AW164="",0,AW164),IF(AX164="",0,AX164),IF(BA164="",0,BA164)),AW164)))))</f>
        <v/>
      </c>
      <c r="AZ164" s="17" t="str">
        <f t="shared" ref="AZ164:AZ195" si="207">IF(BB164="","",CH164)</f>
        <v/>
      </c>
      <c r="BA164" s="17" t="str">
        <f t="shared" ref="BA164:BA195" si="208">IF(OR(BB164="",AZ164="",T164="",T164&lt;=0,AZ164&lt;=0),"",BB164/((T164^2/8)*(2*ACOS(1-2*AZ164/T164)-SIN(2*ACOS(1-2*AZ164/T164)))))</f>
        <v/>
      </c>
      <c r="BB164" s="14" t="str">
        <f t="shared" ref="BB164:BB195" si="209">IF(OR(N164="",BC164=""),"",MIN(N164,BC164))</f>
        <v/>
      </c>
      <c r="BC164" s="14" t="str">
        <f>IF(OR(N164="",T164="",P164=""),"",IF(OR(T164="",P164="",(0.94*T164)="",T164&lt;=0,(0.94*T164)&lt;=0),"",(1/Inputs!$B$9)*((T164^2/8)*((2*ACOS(1-2*(0.94*T164)/T164))-SIN((2*ACOS(1-2*(0.94*T164)/T164)))))*((((T164^2/8)*((2*ACOS(1-2*(0.94*T164)/T164))-SIN((2*ACOS(1-2*(0.94*T164)/T164)))))/((T164/2)*((2*ACOS(1-2*(0.94*T164)/T164)))))^(2/3))*SQRT(P164)))</f>
        <v/>
      </c>
      <c r="BD164" s="14" t="str">
        <f t="shared" ref="BD164:BD195" si="210">IF(BB164="","",0.001*T164)</f>
        <v/>
      </c>
      <c r="BE164" s="14" t="str">
        <f t="shared" ref="BE164:BE195" si="211">IF(BB164="","",0.94*T164)</f>
        <v/>
      </c>
      <c r="BF164" s="14" t="str">
        <f t="shared" ref="BF164:BF195" si="212">IF(BB164="","",(BD164+BE164)/2)</f>
        <v/>
      </c>
      <c r="BG164" s="14" t="str">
        <f>IF(OR(T164="",P164="",BF164="",T164&lt;=0,BF164&lt;=0),"",(1/Inputs!$B$9)*((T164^2/8)*((2*ACOS(1-2*BF164/T164))-SIN((2*ACOS(1-2*BF164/T164)))))*((((T164^2/8)*((2*ACOS(1-2*BF164/T164))-SIN((2*ACOS(1-2*BF164/T164)))))/((T164/2)*((2*ACOS(1-2*BF164/T164)))))^(2/3))*SQRT(P164))</f>
        <v/>
      </c>
      <c r="BH164" s="14" t="str">
        <f t="shared" ref="BH164:BH195" si="213">IF(BB164="","",IF(BG164&lt;BB164,BF164,BD164))</f>
        <v/>
      </c>
      <c r="BI164" s="14" t="str">
        <f t="shared" ref="BI164:BI195" si="214">IF(BB164="","",IF(BG164&lt;BB164,BE164,BF164))</f>
        <v/>
      </c>
      <c r="BJ164" s="14" t="str">
        <f t="shared" ref="BJ164:BJ195" si="215">IF(BB164="","",(BH164+BI164)/2)</f>
        <v/>
      </c>
      <c r="BK164" s="14" t="str">
        <f>IF(OR(T164="",P164="",BJ164="",T164&lt;=0,BJ164&lt;=0),"",(1/Inputs!$B$9)*((T164^2/8)*((2*ACOS(1-2*BJ164/T164))-SIN((2*ACOS(1-2*BJ164/T164)))))*((((T164^2/8)*((2*ACOS(1-2*BJ164/T164))-SIN((2*ACOS(1-2*BJ164/T164)))))/((T164/2)*((2*ACOS(1-2*BJ164/T164)))))^(2/3))*SQRT(P164))</f>
        <v/>
      </c>
      <c r="BL164" s="14" t="str">
        <f t="shared" ref="BL164:BL195" si="216">IF(BB164="","",IF(BK164&lt;BB164,BJ164,BH164))</f>
        <v/>
      </c>
      <c r="BM164" s="14" t="str">
        <f t="shared" ref="BM164:BM195" si="217">IF(BB164="","",IF(BK164&lt;BB164,BI164,BJ164))</f>
        <v/>
      </c>
      <c r="BN164" s="14" t="str">
        <f t="shared" ref="BN164:BN195" si="218">IF(BB164="","",(BL164+BM164)/2)</f>
        <v/>
      </c>
      <c r="BO164" s="14" t="str">
        <f>IF(OR(T164="",P164="",BN164="",T164&lt;=0,BN164&lt;=0),"",(1/Inputs!$B$9)*((T164^2/8)*((2*ACOS(1-2*BN164/T164))-SIN((2*ACOS(1-2*BN164/T164)))))*((((T164^2/8)*((2*ACOS(1-2*BN164/T164))-SIN((2*ACOS(1-2*BN164/T164)))))/((T164/2)*((2*ACOS(1-2*BN164/T164)))))^(2/3))*SQRT(P164))</f>
        <v/>
      </c>
      <c r="BP164" s="14" t="str">
        <f t="shared" ref="BP164:BP195" si="219">IF(BB164="","",IF(BO164&lt;BB164,BN164,BL164))</f>
        <v/>
      </c>
      <c r="BQ164" s="14" t="str">
        <f t="shared" ref="BQ164:BQ195" si="220">IF(BB164="","",IF(BO164&lt;BB164,BM164,BN164))</f>
        <v/>
      </c>
      <c r="BR164" s="14" t="str">
        <f t="shared" ref="BR164:BR195" si="221">IF(BB164="","",(BP164+BQ164)/2)</f>
        <v/>
      </c>
      <c r="BS164" s="14" t="str">
        <f>IF(OR(T164="",P164="",BR164="",T164&lt;=0,BR164&lt;=0),"",(1/Inputs!$B$9)*((T164^2/8)*((2*ACOS(1-2*BR164/T164))-SIN((2*ACOS(1-2*BR164/T164)))))*((((T164^2/8)*((2*ACOS(1-2*BR164/T164))-SIN((2*ACOS(1-2*BR164/T164)))))/((T164/2)*((2*ACOS(1-2*BR164/T164)))))^(2/3))*SQRT(P164))</f>
        <v/>
      </c>
      <c r="BT164" s="14" t="str">
        <f t="shared" ref="BT164:BT195" si="222">IF(BB164="","",IF(BS164&lt;BB164,BR164,BP164))</f>
        <v/>
      </c>
      <c r="BU164" s="14" t="str">
        <f t="shared" ref="BU164:BU195" si="223">IF(BB164="","",IF(BS164&lt;BB164,BQ164,BR164))</f>
        <v/>
      </c>
      <c r="BV164" s="14" t="str">
        <f t="shared" ref="BV164:BV195" si="224">IF(BB164="","",(BT164+BU164)/2)</f>
        <v/>
      </c>
      <c r="BW164" s="14" t="str">
        <f>IF(OR(T164="",P164="",BV164="",T164&lt;=0,BV164&lt;=0),"",(1/Inputs!$B$9)*((T164^2/8)*((2*ACOS(1-2*BV164/T164))-SIN((2*ACOS(1-2*BV164/T164)))))*((((T164^2/8)*((2*ACOS(1-2*BV164/T164))-SIN((2*ACOS(1-2*BV164/T164)))))/((T164/2)*((2*ACOS(1-2*BV164/T164)))))^(2/3))*SQRT(P164))</f>
        <v/>
      </c>
      <c r="BX164" s="14" t="str">
        <f t="shared" ref="BX164:BX195" si="225">IF(BB164="","",IF(BW164&lt;BB164,BV164,BT164))</f>
        <v/>
      </c>
      <c r="BY164" s="14" t="str">
        <f t="shared" ref="BY164:BY195" si="226">IF(BB164="","",IF(BW164&lt;BB164,BU164,BV164))</f>
        <v/>
      </c>
      <c r="BZ164" s="14" t="str">
        <f t="shared" ref="BZ164:BZ195" si="227">IF(BB164="","",(BX164+BY164)/2)</f>
        <v/>
      </c>
      <c r="CA164" s="14" t="str">
        <f>IF(OR(T164="",P164="",BZ164="",T164&lt;=0,BZ164&lt;=0),"",(1/Inputs!$B$9)*((T164^2/8)*((2*ACOS(1-2*BZ164/T164))-SIN((2*ACOS(1-2*BZ164/T164)))))*((((T164^2/8)*((2*ACOS(1-2*BZ164/T164))-SIN((2*ACOS(1-2*BZ164/T164)))))/((T164/2)*((2*ACOS(1-2*BZ164/T164)))))^(2/3))*SQRT(P164))</f>
        <v/>
      </c>
      <c r="CB164" s="14" t="str">
        <f t="shared" ref="CB164:CB195" si="228">IF(BB164="","",IF(CA164&lt;BB164,BZ164,BX164))</f>
        <v/>
      </c>
      <c r="CC164" s="14" t="str">
        <f t="shared" ref="CC164:CC195" si="229">IF(BB164="","",IF(CA164&lt;BB164,BY164,BZ164))</f>
        <v/>
      </c>
      <c r="CD164" s="14" t="str">
        <f t="shared" ref="CD164:CD195" si="230">IF(BB164="","",(CB164+CC164)/2)</f>
        <v/>
      </c>
      <c r="CE164" s="14" t="str">
        <f>IF(OR(T164="",P164="",CD164="",T164&lt;=0,CD164&lt;=0),"",(1/Inputs!$B$9)*((T164^2/8)*((2*ACOS(1-2*CD164/T164))-SIN((2*ACOS(1-2*CD164/T164)))))*((((T164^2/8)*((2*ACOS(1-2*CD164/T164))-SIN((2*ACOS(1-2*CD164/T164)))))/((T164/2)*((2*ACOS(1-2*CD164/T164)))))^(2/3))*SQRT(P164))</f>
        <v/>
      </c>
      <c r="CF164" s="14" t="str">
        <f t="shared" ref="CF164:CF195" si="231">IF(BB164="","",IF(CE164&lt;BB164,CD164,CB164))</f>
        <v/>
      </c>
      <c r="CG164" s="14" t="str">
        <f t="shared" ref="CG164:CG195" si="232">IF(BB164="","",IF(CE164&lt;BB164,CC164,CD164))</f>
        <v/>
      </c>
      <c r="CH164" s="14" t="str">
        <f t="shared" ref="CH164:CH195" si="233">IF(BB164="","",(CF164+CG164)/2)</f>
        <v/>
      </c>
    </row>
    <row r="165" spans="1:86" x14ac:dyDescent="0.25">
      <c r="A165" s="14"/>
      <c r="B165" s="14"/>
      <c r="C165" s="14"/>
      <c r="D165" s="14"/>
      <c r="E165" s="44"/>
      <c r="F165" s="44"/>
      <c r="G165" s="44">
        <f>SUMIFS(CB_plan!$G:$G,CB_plan!$F:$F,$A165)</f>
        <v>0</v>
      </c>
      <c r="H165" s="44">
        <f t="shared" si="195"/>
        <v>0</v>
      </c>
      <c r="I165" s="14"/>
      <c r="J165" s="44"/>
      <c r="K165" s="44" t="str">
        <f>IF(A165="","",Inputs!$B$13/((IF(AV165="",Inputs!$B$18,AV165)+Inputs!$B$14)^Inputs!$B$15))</f>
        <v/>
      </c>
      <c r="L165" s="44" t="str">
        <f>IF(A165="","",IF(H165="","",0.000000278*IF(I165&lt;&gt;"",I165,IFERROR(SUMIFS(CB_plan!$H:$H,CB_plan!$F:$F,$A165)/SUMIFS(CB_plan!$G:$G,CB_plan!$F:$F,$A165),Inputs!$B$17))*H165*K165))</f>
        <v/>
      </c>
      <c r="M165" s="44" t="str">
        <f t="shared" si="196"/>
        <v/>
      </c>
      <c r="N165" s="44" t="str">
        <f>IF(A165="","",(L165+M165)*Inputs!$B$16)</f>
        <v/>
      </c>
      <c r="O165" s="44"/>
      <c r="P165" s="44" t="str">
        <f>IF(A165="","",IF(O165="",Inputs!$B$7,O165))</f>
        <v/>
      </c>
      <c r="Q165" s="14" t="str">
        <f>IF(A165="","",IF(N165/Inputs!$B$10&lt;=AG165,Inputs!$F$5,IF(N165/Inputs!$B$10&gt;AP165,"OVERSIZE",INDEX(Inputs!$F$5:$F$14,MATCH(N165/Inputs!$B$10,AG165:AP165,1)+1))))</f>
        <v/>
      </c>
      <c r="R165" s="14"/>
      <c r="S165" s="14" t="str">
        <f t="shared" si="197"/>
        <v/>
      </c>
      <c r="T165" s="44" t="str">
        <f t="shared" si="198"/>
        <v/>
      </c>
      <c r="U165" s="44" t="str">
        <f>IF(T165="","",(1/Inputs!$B$9)*(PI()*T165^2/4)*((T165/4)^(2/3))*SQRT(P165))</f>
        <v/>
      </c>
      <c r="V165" s="44" t="str">
        <f>IF(OR(U165="",N165=""),"",N165/(U165*Inputs!$B$10))</f>
        <v/>
      </c>
      <c r="W165" s="44" t="str">
        <f t="shared" si="199"/>
        <v/>
      </c>
      <c r="X165" s="44"/>
      <c r="Y165" s="44" t="str">
        <f>IF(A165="","",IF(A165=Inputs!$B$6,Inputs!$B$22,IF(D165="","",IFERROR(INDEX($Z$4:$Z$201,MATCH(D165,$A$4:$A$201,0))+IF(X165="",Inputs!$B$20,X165),""))))</f>
        <v/>
      </c>
      <c r="Z165" s="44" t="str">
        <f t="shared" si="200"/>
        <v/>
      </c>
      <c r="AA165" s="44" t="str">
        <f>IF(C165="","",IFERROR(INDEX(Noeuds_plan!$C$4:$C$200,MATCH(C165,Noeuds_plan!$A$4:$A$200,0)),""))</f>
        <v/>
      </c>
      <c r="AB165" s="44" t="str">
        <f>IF(B165="","",IFERROR(INDEX(Noeuds_plan!$C$4:$C$200,MATCH(B165,Noeuds_plan!$A$4:$A$200,0)),""))</f>
        <v/>
      </c>
      <c r="AC165" s="44" t="str">
        <f t="shared" si="201"/>
        <v/>
      </c>
      <c r="AD165" s="44" t="str">
        <f t="shared" si="202"/>
        <v/>
      </c>
      <c r="AE165" s="14" t="str">
        <f>IF(A165="","",IF(OR(V165&gt;1,AND(AY165&lt;&gt;"",AY165&lt;Inputs!$B$11),AND(AY165&lt;&gt;"",AY165&gt;Inputs!$B$12),AC165&lt;Inputs!$B$19,AD165&lt;Inputs!$B$19,P165&lt;Inputs!$B$7,P165&gt;Inputs!$B$8),"CHECK","OK"))</f>
        <v/>
      </c>
      <c r="AF165" s="14"/>
      <c r="AG165" s="14" t="str">
        <f>IF(A165="","",(1/Inputs!$B$9)*(PI()*(Inputs!$F$5/1000)^2/4)*((Inputs!$F$5/1000/4)^(2/3))*SQRT(P165))</f>
        <v/>
      </c>
      <c r="AH165" s="14" t="str">
        <f>IF(A165="","",(1/Inputs!$B$9)*(PI()*(Inputs!$F$6/1000)^2/4)*((Inputs!$F$6/1000/4)^(2/3))*SQRT(P165))</f>
        <v/>
      </c>
      <c r="AI165" s="14" t="str">
        <f>IF(A165="","",(1/Inputs!$B$9)*(PI()*(Inputs!$F$7/1000)^2/4)*((Inputs!$F$7/1000/4)^(2/3))*SQRT(P165))</f>
        <v/>
      </c>
      <c r="AJ165" s="14" t="str">
        <f>IF(A165="","",(1/Inputs!$B$9)*(PI()*(Inputs!$F$8/1000)^2/4)*((Inputs!$F$8/1000/4)^(2/3))*SQRT(P165))</f>
        <v/>
      </c>
      <c r="AK165" s="14" t="str">
        <f>IF(A165="","",(1/Inputs!$B$9)*(PI()*(Inputs!$F$9/1000)^2/4)*((Inputs!$F$9/1000/4)^(2/3))*SQRT(P165))</f>
        <v/>
      </c>
      <c r="AL165" s="14" t="str">
        <f>IF(A165="","",(1/Inputs!$B$9)*(PI()*(Inputs!$F$10/1000)^2/4)*((Inputs!$F$10/1000/4)^(2/3))*SQRT(P165))</f>
        <v/>
      </c>
      <c r="AM165" s="14" t="str">
        <f>IF(A165="","",(1/Inputs!$B$9)*(PI()*(Inputs!$F$11/1000)^2/4)*((Inputs!$F$11/1000/4)^(2/3))*SQRT(P165))</f>
        <v/>
      </c>
      <c r="AN165" s="14" t="str">
        <f>IF(A165="","",(1/Inputs!$B$9)*(PI()*(Inputs!$F$12/1000)^2/4)*((Inputs!$F$12/1000/4)^(2/3))*SQRT(P165))</f>
        <v/>
      </c>
      <c r="AO165" s="14" t="str">
        <f>IF(A165="","",(1/Inputs!$B$9)*(PI()*(Inputs!$F$13/1000)^2/4)*((Inputs!$F$13/1000/4)^(2/3))*SQRT(P165))</f>
        <v/>
      </c>
      <c r="AP165" s="14" t="str">
        <f>IF(A165="","",(1/Inputs!$B$9)*(PI()*(Inputs!$F$14/1000)^2/4)*((Inputs!$F$14/1000/4)^(2/3))*SQRT(P165))</f>
        <v/>
      </c>
      <c r="AQ165" s="14" t="str">
        <f t="shared" si="203"/>
        <v/>
      </c>
      <c r="AR165" s="14" t="str">
        <f t="shared" si="204"/>
        <v/>
      </c>
      <c r="AS165" s="17" t="str">
        <f>IF(A165="","",IF(J165="",Inputs!$B$18,J165))</f>
        <v/>
      </c>
      <c r="AT165" s="17" t="str">
        <f>IF(A165="","",IFERROR(_xludf.maxifs($AV$4:$AV$201,$D$4:$D$201,$A165),""))</f>
        <v/>
      </c>
      <c r="AU165" s="17" t="str">
        <f>IF(A165="","",IF(OR(E165="",Inputs!$B$23=""),"",E165/(Inputs!$B$23*60)))</f>
        <v/>
      </c>
      <c r="AV165" s="17" t="str">
        <f t="shared" si="205"/>
        <v/>
      </c>
      <c r="AW165" s="17" t="str">
        <f t="shared" si="206"/>
        <v/>
      </c>
      <c r="AX165" s="17" t="str">
        <f>IF(OR(T165="",P165=""),"",(1/Inputs!$B$9)*((T165/4)^(2/3))*SQRT(P165))</f>
        <v/>
      </c>
      <c r="AY165" s="17" t="str">
        <f>IF(A165="","",IF(AND(AW165="",AX165="",BA165=""),"",IF(OR(UPPER(TRIM(Inputs!$B$24))="MANNING",UPPER(TRIM(Inputs!$B$24))="M"),AX165,IF(OR(UPPER(TRIM(Inputs!$B$24))="PARTIAL",UPPER(TRIM(Inputs!$B$24))="P"),BA165,IF(OR(UPPER(TRIM(Inputs!$B$24))="MAX",UPPER(TRIM(Inputs!$B$24))="X"),MAX(IF(AW165="",0,AW165),IF(AX165="",0,AX165),IF(BA165="",0,BA165)),AW165)))))</f>
        <v/>
      </c>
      <c r="AZ165" s="17" t="str">
        <f t="shared" si="207"/>
        <v/>
      </c>
      <c r="BA165" s="17" t="str">
        <f t="shared" si="208"/>
        <v/>
      </c>
      <c r="BB165" s="14" t="str">
        <f t="shared" si="209"/>
        <v/>
      </c>
      <c r="BC165" s="14" t="str">
        <f>IF(OR(N165="",T165="",P165=""),"",IF(OR(T165="",P165="",(0.94*T165)="",T165&lt;=0,(0.94*T165)&lt;=0),"",(1/Inputs!$B$9)*((T165^2/8)*((2*ACOS(1-2*(0.94*T165)/T165))-SIN((2*ACOS(1-2*(0.94*T165)/T165)))))*((((T165^2/8)*((2*ACOS(1-2*(0.94*T165)/T165))-SIN((2*ACOS(1-2*(0.94*T165)/T165)))))/((T165/2)*((2*ACOS(1-2*(0.94*T165)/T165)))))^(2/3))*SQRT(P165)))</f>
        <v/>
      </c>
      <c r="BD165" s="14" t="str">
        <f t="shared" si="210"/>
        <v/>
      </c>
      <c r="BE165" s="14" t="str">
        <f t="shared" si="211"/>
        <v/>
      </c>
      <c r="BF165" s="14" t="str">
        <f t="shared" si="212"/>
        <v/>
      </c>
      <c r="BG165" s="14" t="str">
        <f>IF(OR(T165="",P165="",BF165="",T165&lt;=0,BF165&lt;=0),"",(1/Inputs!$B$9)*((T165^2/8)*((2*ACOS(1-2*BF165/T165))-SIN((2*ACOS(1-2*BF165/T165)))))*((((T165^2/8)*((2*ACOS(1-2*BF165/T165))-SIN((2*ACOS(1-2*BF165/T165)))))/((T165/2)*((2*ACOS(1-2*BF165/T165)))))^(2/3))*SQRT(P165))</f>
        <v/>
      </c>
      <c r="BH165" s="14" t="str">
        <f t="shared" si="213"/>
        <v/>
      </c>
      <c r="BI165" s="14" t="str">
        <f t="shared" si="214"/>
        <v/>
      </c>
      <c r="BJ165" s="14" t="str">
        <f t="shared" si="215"/>
        <v/>
      </c>
      <c r="BK165" s="14" t="str">
        <f>IF(OR(T165="",P165="",BJ165="",T165&lt;=0,BJ165&lt;=0),"",(1/Inputs!$B$9)*((T165^2/8)*((2*ACOS(1-2*BJ165/T165))-SIN((2*ACOS(1-2*BJ165/T165)))))*((((T165^2/8)*((2*ACOS(1-2*BJ165/T165))-SIN((2*ACOS(1-2*BJ165/T165)))))/((T165/2)*((2*ACOS(1-2*BJ165/T165)))))^(2/3))*SQRT(P165))</f>
        <v/>
      </c>
      <c r="BL165" s="14" t="str">
        <f t="shared" si="216"/>
        <v/>
      </c>
      <c r="BM165" s="14" t="str">
        <f t="shared" si="217"/>
        <v/>
      </c>
      <c r="BN165" s="14" t="str">
        <f t="shared" si="218"/>
        <v/>
      </c>
      <c r="BO165" s="14" t="str">
        <f>IF(OR(T165="",P165="",BN165="",T165&lt;=0,BN165&lt;=0),"",(1/Inputs!$B$9)*((T165^2/8)*((2*ACOS(1-2*BN165/T165))-SIN((2*ACOS(1-2*BN165/T165)))))*((((T165^2/8)*((2*ACOS(1-2*BN165/T165))-SIN((2*ACOS(1-2*BN165/T165)))))/((T165/2)*((2*ACOS(1-2*BN165/T165)))))^(2/3))*SQRT(P165))</f>
        <v/>
      </c>
      <c r="BP165" s="14" t="str">
        <f t="shared" si="219"/>
        <v/>
      </c>
      <c r="BQ165" s="14" t="str">
        <f t="shared" si="220"/>
        <v/>
      </c>
      <c r="BR165" s="14" t="str">
        <f t="shared" si="221"/>
        <v/>
      </c>
      <c r="BS165" s="14" t="str">
        <f>IF(OR(T165="",P165="",BR165="",T165&lt;=0,BR165&lt;=0),"",(1/Inputs!$B$9)*((T165^2/8)*((2*ACOS(1-2*BR165/T165))-SIN((2*ACOS(1-2*BR165/T165)))))*((((T165^2/8)*((2*ACOS(1-2*BR165/T165))-SIN((2*ACOS(1-2*BR165/T165)))))/((T165/2)*((2*ACOS(1-2*BR165/T165)))))^(2/3))*SQRT(P165))</f>
        <v/>
      </c>
      <c r="BT165" s="14" t="str">
        <f t="shared" si="222"/>
        <v/>
      </c>
      <c r="BU165" s="14" t="str">
        <f t="shared" si="223"/>
        <v/>
      </c>
      <c r="BV165" s="14" t="str">
        <f t="shared" si="224"/>
        <v/>
      </c>
      <c r="BW165" s="14" t="str">
        <f>IF(OR(T165="",P165="",BV165="",T165&lt;=0,BV165&lt;=0),"",(1/Inputs!$B$9)*((T165^2/8)*((2*ACOS(1-2*BV165/T165))-SIN((2*ACOS(1-2*BV165/T165)))))*((((T165^2/8)*((2*ACOS(1-2*BV165/T165))-SIN((2*ACOS(1-2*BV165/T165)))))/((T165/2)*((2*ACOS(1-2*BV165/T165)))))^(2/3))*SQRT(P165))</f>
        <v/>
      </c>
      <c r="BX165" s="14" t="str">
        <f t="shared" si="225"/>
        <v/>
      </c>
      <c r="BY165" s="14" t="str">
        <f t="shared" si="226"/>
        <v/>
      </c>
      <c r="BZ165" s="14" t="str">
        <f t="shared" si="227"/>
        <v/>
      </c>
      <c r="CA165" s="14" t="str">
        <f>IF(OR(T165="",P165="",BZ165="",T165&lt;=0,BZ165&lt;=0),"",(1/Inputs!$B$9)*((T165^2/8)*((2*ACOS(1-2*BZ165/T165))-SIN((2*ACOS(1-2*BZ165/T165)))))*((((T165^2/8)*((2*ACOS(1-2*BZ165/T165))-SIN((2*ACOS(1-2*BZ165/T165)))))/((T165/2)*((2*ACOS(1-2*BZ165/T165)))))^(2/3))*SQRT(P165))</f>
        <v/>
      </c>
      <c r="CB165" s="14" t="str">
        <f t="shared" si="228"/>
        <v/>
      </c>
      <c r="CC165" s="14" t="str">
        <f t="shared" si="229"/>
        <v/>
      </c>
      <c r="CD165" s="14" t="str">
        <f t="shared" si="230"/>
        <v/>
      </c>
      <c r="CE165" s="14" t="str">
        <f>IF(OR(T165="",P165="",CD165="",T165&lt;=0,CD165&lt;=0),"",(1/Inputs!$B$9)*((T165^2/8)*((2*ACOS(1-2*CD165/T165))-SIN((2*ACOS(1-2*CD165/T165)))))*((((T165^2/8)*((2*ACOS(1-2*CD165/T165))-SIN((2*ACOS(1-2*CD165/T165)))))/((T165/2)*((2*ACOS(1-2*CD165/T165)))))^(2/3))*SQRT(P165))</f>
        <v/>
      </c>
      <c r="CF165" s="14" t="str">
        <f t="shared" si="231"/>
        <v/>
      </c>
      <c r="CG165" s="14" t="str">
        <f t="shared" si="232"/>
        <v/>
      </c>
      <c r="CH165" s="14" t="str">
        <f t="shared" si="233"/>
        <v/>
      </c>
    </row>
    <row r="166" spans="1:86" x14ac:dyDescent="0.25">
      <c r="A166" s="14"/>
      <c r="B166" s="14"/>
      <c r="C166" s="14"/>
      <c r="D166" s="14"/>
      <c r="E166" s="44"/>
      <c r="F166" s="44"/>
      <c r="G166" s="44">
        <f>SUMIFS(CB_plan!$G:$G,CB_plan!$F:$F,$A166)</f>
        <v>0</v>
      </c>
      <c r="H166" s="44">
        <f t="shared" si="195"/>
        <v>0</v>
      </c>
      <c r="I166" s="14"/>
      <c r="J166" s="44"/>
      <c r="K166" s="44" t="str">
        <f>IF(A166="","",Inputs!$B$13/((IF(AV166="",Inputs!$B$18,AV166)+Inputs!$B$14)^Inputs!$B$15))</f>
        <v/>
      </c>
      <c r="L166" s="44" t="str">
        <f>IF(A166="","",IF(H166="","",0.000000278*IF(I166&lt;&gt;"",I166,IFERROR(SUMIFS(CB_plan!$H:$H,CB_plan!$F:$F,$A166)/SUMIFS(CB_plan!$G:$G,CB_plan!$F:$F,$A166),Inputs!$B$17))*H166*K166))</f>
        <v/>
      </c>
      <c r="M166" s="44" t="str">
        <f t="shared" si="196"/>
        <v/>
      </c>
      <c r="N166" s="44" t="str">
        <f>IF(A166="","",(L166+M166)*Inputs!$B$16)</f>
        <v/>
      </c>
      <c r="O166" s="44"/>
      <c r="P166" s="44" t="str">
        <f>IF(A166="","",IF(O166="",Inputs!$B$7,O166))</f>
        <v/>
      </c>
      <c r="Q166" s="14" t="str">
        <f>IF(A166="","",IF(N166/Inputs!$B$10&lt;=AG166,Inputs!$F$5,IF(N166/Inputs!$B$10&gt;AP166,"OVERSIZE",INDEX(Inputs!$F$5:$F$14,MATCH(N166/Inputs!$B$10,AG166:AP166,1)+1))))</f>
        <v/>
      </c>
      <c r="R166" s="14"/>
      <c r="S166" s="14" t="str">
        <f t="shared" si="197"/>
        <v/>
      </c>
      <c r="T166" s="44" t="str">
        <f t="shared" si="198"/>
        <v/>
      </c>
      <c r="U166" s="44" t="str">
        <f>IF(T166="","",(1/Inputs!$B$9)*(PI()*T166^2/4)*((T166/4)^(2/3))*SQRT(P166))</f>
        <v/>
      </c>
      <c r="V166" s="44" t="str">
        <f>IF(OR(U166="",N166=""),"",N166/(U166*Inputs!$B$10))</f>
        <v/>
      </c>
      <c r="W166" s="44" t="str">
        <f t="shared" si="199"/>
        <v/>
      </c>
      <c r="X166" s="44"/>
      <c r="Y166" s="44" t="str">
        <f>IF(A166="","",IF(A166=Inputs!$B$6,Inputs!$B$22,IF(D166="","",IFERROR(INDEX($Z$4:$Z$201,MATCH(D166,$A$4:$A$201,0))+IF(X166="",Inputs!$B$20,X166),""))))</f>
        <v/>
      </c>
      <c r="Z166" s="44" t="str">
        <f t="shared" si="200"/>
        <v/>
      </c>
      <c r="AA166" s="44" t="str">
        <f>IF(C166="","",IFERROR(INDEX(Noeuds_plan!$C$4:$C$200,MATCH(C166,Noeuds_plan!$A$4:$A$200,0)),""))</f>
        <v/>
      </c>
      <c r="AB166" s="44" t="str">
        <f>IF(B166="","",IFERROR(INDEX(Noeuds_plan!$C$4:$C$200,MATCH(B166,Noeuds_plan!$A$4:$A$200,0)),""))</f>
        <v/>
      </c>
      <c r="AC166" s="44" t="str">
        <f t="shared" si="201"/>
        <v/>
      </c>
      <c r="AD166" s="44" t="str">
        <f t="shared" si="202"/>
        <v/>
      </c>
      <c r="AE166" s="14" t="str">
        <f>IF(A166="","",IF(OR(V166&gt;1,AND(AY166&lt;&gt;"",AY166&lt;Inputs!$B$11),AND(AY166&lt;&gt;"",AY166&gt;Inputs!$B$12),AC166&lt;Inputs!$B$19,AD166&lt;Inputs!$B$19,P166&lt;Inputs!$B$7,P166&gt;Inputs!$B$8),"CHECK","OK"))</f>
        <v/>
      </c>
      <c r="AF166" s="14"/>
      <c r="AG166" s="14" t="str">
        <f>IF(A166="","",(1/Inputs!$B$9)*(PI()*(Inputs!$F$5/1000)^2/4)*((Inputs!$F$5/1000/4)^(2/3))*SQRT(P166))</f>
        <v/>
      </c>
      <c r="AH166" s="14" t="str">
        <f>IF(A166="","",(1/Inputs!$B$9)*(PI()*(Inputs!$F$6/1000)^2/4)*((Inputs!$F$6/1000/4)^(2/3))*SQRT(P166))</f>
        <v/>
      </c>
      <c r="AI166" s="14" t="str">
        <f>IF(A166="","",(1/Inputs!$B$9)*(PI()*(Inputs!$F$7/1000)^2/4)*((Inputs!$F$7/1000/4)^(2/3))*SQRT(P166))</f>
        <v/>
      </c>
      <c r="AJ166" s="14" t="str">
        <f>IF(A166="","",(1/Inputs!$B$9)*(PI()*(Inputs!$F$8/1000)^2/4)*((Inputs!$F$8/1000/4)^(2/3))*SQRT(P166))</f>
        <v/>
      </c>
      <c r="AK166" s="14" t="str">
        <f>IF(A166="","",(1/Inputs!$B$9)*(PI()*(Inputs!$F$9/1000)^2/4)*((Inputs!$F$9/1000/4)^(2/3))*SQRT(P166))</f>
        <v/>
      </c>
      <c r="AL166" s="14" t="str">
        <f>IF(A166="","",(1/Inputs!$B$9)*(PI()*(Inputs!$F$10/1000)^2/4)*((Inputs!$F$10/1000/4)^(2/3))*SQRT(P166))</f>
        <v/>
      </c>
      <c r="AM166" s="14" t="str">
        <f>IF(A166="","",(1/Inputs!$B$9)*(PI()*(Inputs!$F$11/1000)^2/4)*((Inputs!$F$11/1000/4)^(2/3))*SQRT(P166))</f>
        <v/>
      </c>
      <c r="AN166" s="14" t="str">
        <f>IF(A166="","",(1/Inputs!$B$9)*(PI()*(Inputs!$F$12/1000)^2/4)*((Inputs!$F$12/1000/4)^(2/3))*SQRT(P166))</f>
        <v/>
      </c>
      <c r="AO166" s="14" t="str">
        <f>IF(A166="","",(1/Inputs!$B$9)*(PI()*(Inputs!$F$13/1000)^2/4)*((Inputs!$F$13/1000/4)^(2/3))*SQRT(P166))</f>
        <v/>
      </c>
      <c r="AP166" s="14" t="str">
        <f>IF(A166="","",(1/Inputs!$B$9)*(PI()*(Inputs!$F$14/1000)^2/4)*((Inputs!$F$14/1000/4)^(2/3))*SQRT(P166))</f>
        <v/>
      </c>
      <c r="AQ166" s="14" t="str">
        <f t="shared" si="203"/>
        <v/>
      </c>
      <c r="AR166" s="14" t="str">
        <f t="shared" si="204"/>
        <v/>
      </c>
      <c r="AS166" s="17" t="str">
        <f>IF(A166="","",IF(J166="",Inputs!$B$18,J166))</f>
        <v/>
      </c>
      <c r="AT166" s="17" t="str">
        <f>IF(A166="","",IFERROR(_xludf.maxifs($AV$4:$AV$201,$D$4:$D$201,$A166),""))</f>
        <v/>
      </c>
      <c r="AU166" s="17" t="str">
        <f>IF(A166="","",IF(OR(E166="",Inputs!$B$23=""),"",E166/(Inputs!$B$23*60)))</f>
        <v/>
      </c>
      <c r="AV166" s="17" t="str">
        <f t="shared" si="205"/>
        <v/>
      </c>
      <c r="AW166" s="17" t="str">
        <f t="shared" si="206"/>
        <v/>
      </c>
      <c r="AX166" s="17" t="str">
        <f>IF(OR(T166="",P166=""),"",(1/Inputs!$B$9)*((T166/4)^(2/3))*SQRT(P166))</f>
        <v/>
      </c>
      <c r="AY166" s="17" t="str">
        <f>IF(A166="","",IF(AND(AW166="",AX166="",BA166=""),"",IF(OR(UPPER(TRIM(Inputs!$B$24))="MANNING",UPPER(TRIM(Inputs!$B$24))="M"),AX166,IF(OR(UPPER(TRIM(Inputs!$B$24))="PARTIAL",UPPER(TRIM(Inputs!$B$24))="P"),BA166,IF(OR(UPPER(TRIM(Inputs!$B$24))="MAX",UPPER(TRIM(Inputs!$B$24))="X"),MAX(IF(AW166="",0,AW166),IF(AX166="",0,AX166),IF(BA166="",0,BA166)),AW166)))))</f>
        <v/>
      </c>
      <c r="AZ166" s="17" t="str">
        <f t="shared" si="207"/>
        <v/>
      </c>
      <c r="BA166" s="17" t="str">
        <f t="shared" si="208"/>
        <v/>
      </c>
      <c r="BB166" s="14" t="str">
        <f t="shared" si="209"/>
        <v/>
      </c>
      <c r="BC166" s="14" t="str">
        <f>IF(OR(N166="",T166="",P166=""),"",IF(OR(T166="",P166="",(0.94*T166)="",T166&lt;=0,(0.94*T166)&lt;=0),"",(1/Inputs!$B$9)*((T166^2/8)*((2*ACOS(1-2*(0.94*T166)/T166))-SIN((2*ACOS(1-2*(0.94*T166)/T166)))))*((((T166^2/8)*((2*ACOS(1-2*(0.94*T166)/T166))-SIN((2*ACOS(1-2*(0.94*T166)/T166)))))/((T166/2)*((2*ACOS(1-2*(0.94*T166)/T166)))))^(2/3))*SQRT(P166)))</f>
        <v/>
      </c>
      <c r="BD166" s="14" t="str">
        <f t="shared" si="210"/>
        <v/>
      </c>
      <c r="BE166" s="14" t="str">
        <f t="shared" si="211"/>
        <v/>
      </c>
      <c r="BF166" s="14" t="str">
        <f t="shared" si="212"/>
        <v/>
      </c>
      <c r="BG166" s="14" t="str">
        <f>IF(OR(T166="",P166="",BF166="",T166&lt;=0,BF166&lt;=0),"",(1/Inputs!$B$9)*((T166^2/8)*((2*ACOS(1-2*BF166/T166))-SIN((2*ACOS(1-2*BF166/T166)))))*((((T166^2/8)*((2*ACOS(1-2*BF166/T166))-SIN((2*ACOS(1-2*BF166/T166)))))/((T166/2)*((2*ACOS(1-2*BF166/T166)))))^(2/3))*SQRT(P166))</f>
        <v/>
      </c>
      <c r="BH166" s="14" t="str">
        <f t="shared" si="213"/>
        <v/>
      </c>
      <c r="BI166" s="14" t="str">
        <f t="shared" si="214"/>
        <v/>
      </c>
      <c r="BJ166" s="14" t="str">
        <f t="shared" si="215"/>
        <v/>
      </c>
      <c r="BK166" s="14" t="str">
        <f>IF(OR(T166="",P166="",BJ166="",T166&lt;=0,BJ166&lt;=0),"",(1/Inputs!$B$9)*((T166^2/8)*((2*ACOS(1-2*BJ166/T166))-SIN((2*ACOS(1-2*BJ166/T166)))))*((((T166^2/8)*((2*ACOS(1-2*BJ166/T166))-SIN((2*ACOS(1-2*BJ166/T166)))))/((T166/2)*((2*ACOS(1-2*BJ166/T166)))))^(2/3))*SQRT(P166))</f>
        <v/>
      </c>
      <c r="BL166" s="14" t="str">
        <f t="shared" si="216"/>
        <v/>
      </c>
      <c r="BM166" s="14" t="str">
        <f t="shared" si="217"/>
        <v/>
      </c>
      <c r="BN166" s="14" t="str">
        <f t="shared" si="218"/>
        <v/>
      </c>
      <c r="BO166" s="14" t="str">
        <f>IF(OR(T166="",P166="",BN166="",T166&lt;=0,BN166&lt;=0),"",(1/Inputs!$B$9)*((T166^2/8)*((2*ACOS(1-2*BN166/T166))-SIN((2*ACOS(1-2*BN166/T166)))))*((((T166^2/8)*((2*ACOS(1-2*BN166/T166))-SIN((2*ACOS(1-2*BN166/T166)))))/((T166/2)*((2*ACOS(1-2*BN166/T166)))))^(2/3))*SQRT(P166))</f>
        <v/>
      </c>
      <c r="BP166" s="14" t="str">
        <f t="shared" si="219"/>
        <v/>
      </c>
      <c r="BQ166" s="14" t="str">
        <f t="shared" si="220"/>
        <v/>
      </c>
      <c r="BR166" s="14" t="str">
        <f t="shared" si="221"/>
        <v/>
      </c>
      <c r="BS166" s="14" t="str">
        <f>IF(OR(T166="",P166="",BR166="",T166&lt;=0,BR166&lt;=0),"",(1/Inputs!$B$9)*((T166^2/8)*((2*ACOS(1-2*BR166/T166))-SIN((2*ACOS(1-2*BR166/T166)))))*((((T166^2/8)*((2*ACOS(1-2*BR166/T166))-SIN((2*ACOS(1-2*BR166/T166)))))/((T166/2)*((2*ACOS(1-2*BR166/T166)))))^(2/3))*SQRT(P166))</f>
        <v/>
      </c>
      <c r="BT166" s="14" t="str">
        <f t="shared" si="222"/>
        <v/>
      </c>
      <c r="BU166" s="14" t="str">
        <f t="shared" si="223"/>
        <v/>
      </c>
      <c r="BV166" s="14" t="str">
        <f t="shared" si="224"/>
        <v/>
      </c>
      <c r="BW166" s="14" t="str">
        <f>IF(OR(T166="",P166="",BV166="",T166&lt;=0,BV166&lt;=0),"",(1/Inputs!$B$9)*((T166^2/8)*((2*ACOS(1-2*BV166/T166))-SIN((2*ACOS(1-2*BV166/T166)))))*((((T166^2/8)*((2*ACOS(1-2*BV166/T166))-SIN((2*ACOS(1-2*BV166/T166)))))/((T166/2)*((2*ACOS(1-2*BV166/T166)))))^(2/3))*SQRT(P166))</f>
        <v/>
      </c>
      <c r="BX166" s="14" t="str">
        <f t="shared" si="225"/>
        <v/>
      </c>
      <c r="BY166" s="14" t="str">
        <f t="shared" si="226"/>
        <v/>
      </c>
      <c r="BZ166" s="14" t="str">
        <f t="shared" si="227"/>
        <v/>
      </c>
      <c r="CA166" s="14" t="str">
        <f>IF(OR(T166="",P166="",BZ166="",T166&lt;=0,BZ166&lt;=0),"",(1/Inputs!$B$9)*((T166^2/8)*((2*ACOS(1-2*BZ166/T166))-SIN((2*ACOS(1-2*BZ166/T166)))))*((((T166^2/8)*((2*ACOS(1-2*BZ166/T166))-SIN((2*ACOS(1-2*BZ166/T166)))))/((T166/2)*((2*ACOS(1-2*BZ166/T166)))))^(2/3))*SQRT(P166))</f>
        <v/>
      </c>
      <c r="CB166" s="14" t="str">
        <f t="shared" si="228"/>
        <v/>
      </c>
      <c r="CC166" s="14" t="str">
        <f t="shared" si="229"/>
        <v/>
      </c>
      <c r="CD166" s="14" t="str">
        <f t="shared" si="230"/>
        <v/>
      </c>
      <c r="CE166" s="14" t="str">
        <f>IF(OR(T166="",P166="",CD166="",T166&lt;=0,CD166&lt;=0),"",(1/Inputs!$B$9)*((T166^2/8)*((2*ACOS(1-2*CD166/T166))-SIN((2*ACOS(1-2*CD166/T166)))))*((((T166^2/8)*((2*ACOS(1-2*CD166/T166))-SIN((2*ACOS(1-2*CD166/T166)))))/((T166/2)*((2*ACOS(1-2*CD166/T166)))))^(2/3))*SQRT(P166))</f>
        <v/>
      </c>
      <c r="CF166" s="14" t="str">
        <f t="shared" si="231"/>
        <v/>
      </c>
      <c r="CG166" s="14" t="str">
        <f t="shared" si="232"/>
        <v/>
      </c>
      <c r="CH166" s="14" t="str">
        <f t="shared" si="233"/>
        <v/>
      </c>
    </row>
    <row r="167" spans="1:86" x14ac:dyDescent="0.25">
      <c r="A167" s="14"/>
      <c r="B167" s="14"/>
      <c r="C167" s="14"/>
      <c r="D167" s="14"/>
      <c r="E167" s="44"/>
      <c r="F167" s="44"/>
      <c r="G167" s="44">
        <f>SUMIFS(CB_plan!$G:$G,CB_plan!$F:$F,$A167)</f>
        <v>0</v>
      </c>
      <c r="H167" s="44">
        <f t="shared" si="195"/>
        <v>0</v>
      </c>
      <c r="I167" s="14"/>
      <c r="J167" s="44"/>
      <c r="K167" s="44" t="str">
        <f>IF(A167="","",Inputs!$B$13/((IF(AV167="",Inputs!$B$18,AV167)+Inputs!$B$14)^Inputs!$B$15))</f>
        <v/>
      </c>
      <c r="L167" s="44" t="str">
        <f>IF(A167="","",IF(H167="","",0.000000278*IF(I167&lt;&gt;"",I167,IFERROR(SUMIFS(CB_plan!$H:$H,CB_plan!$F:$F,$A167)/SUMIFS(CB_plan!$G:$G,CB_plan!$F:$F,$A167),Inputs!$B$17))*H167*K167))</f>
        <v/>
      </c>
      <c r="M167" s="44" t="str">
        <f t="shared" si="196"/>
        <v/>
      </c>
      <c r="N167" s="44" t="str">
        <f>IF(A167="","",(L167+M167)*Inputs!$B$16)</f>
        <v/>
      </c>
      <c r="O167" s="44"/>
      <c r="P167" s="44" t="str">
        <f>IF(A167="","",IF(O167="",Inputs!$B$7,O167))</f>
        <v/>
      </c>
      <c r="Q167" s="14" t="str">
        <f>IF(A167="","",IF(N167/Inputs!$B$10&lt;=AG167,Inputs!$F$5,IF(N167/Inputs!$B$10&gt;AP167,"OVERSIZE",INDEX(Inputs!$F$5:$F$14,MATCH(N167/Inputs!$B$10,AG167:AP167,1)+1))))</f>
        <v/>
      </c>
      <c r="R167" s="14"/>
      <c r="S167" s="14" t="str">
        <f t="shared" si="197"/>
        <v/>
      </c>
      <c r="T167" s="44" t="str">
        <f t="shared" si="198"/>
        <v/>
      </c>
      <c r="U167" s="44" t="str">
        <f>IF(T167="","",(1/Inputs!$B$9)*(PI()*T167^2/4)*((T167/4)^(2/3))*SQRT(P167))</f>
        <v/>
      </c>
      <c r="V167" s="44" t="str">
        <f>IF(OR(U167="",N167=""),"",N167/(U167*Inputs!$B$10))</f>
        <v/>
      </c>
      <c r="W167" s="44" t="str">
        <f t="shared" si="199"/>
        <v/>
      </c>
      <c r="X167" s="44"/>
      <c r="Y167" s="44" t="str">
        <f>IF(A167="","",IF(A167=Inputs!$B$6,Inputs!$B$22,IF(D167="","",IFERROR(INDEX($Z$4:$Z$201,MATCH(D167,$A$4:$A$201,0))+IF(X167="",Inputs!$B$20,X167),""))))</f>
        <v/>
      </c>
      <c r="Z167" s="44" t="str">
        <f t="shared" si="200"/>
        <v/>
      </c>
      <c r="AA167" s="44" t="str">
        <f>IF(C167="","",IFERROR(INDEX(Noeuds_plan!$C$4:$C$200,MATCH(C167,Noeuds_plan!$A$4:$A$200,0)),""))</f>
        <v/>
      </c>
      <c r="AB167" s="44" t="str">
        <f>IF(B167="","",IFERROR(INDEX(Noeuds_plan!$C$4:$C$200,MATCH(B167,Noeuds_plan!$A$4:$A$200,0)),""))</f>
        <v/>
      </c>
      <c r="AC167" s="44" t="str">
        <f t="shared" si="201"/>
        <v/>
      </c>
      <c r="AD167" s="44" t="str">
        <f t="shared" si="202"/>
        <v/>
      </c>
      <c r="AE167" s="14" t="str">
        <f>IF(A167="","",IF(OR(V167&gt;1,AND(AY167&lt;&gt;"",AY167&lt;Inputs!$B$11),AND(AY167&lt;&gt;"",AY167&gt;Inputs!$B$12),AC167&lt;Inputs!$B$19,AD167&lt;Inputs!$B$19,P167&lt;Inputs!$B$7,P167&gt;Inputs!$B$8),"CHECK","OK"))</f>
        <v/>
      </c>
      <c r="AF167" s="14"/>
      <c r="AG167" s="14" t="str">
        <f>IF(A167="","",(1/Inputs!$B$9)*(PI()*(Inputs!$F$5/1000)^2/4)*((Inputs!$F$5/1000/4)^(2/3))*SQRT(P167))</f>
        <v/>
      </c>
      <c r="AH167" s="14" t="str">
        <f>IF(A167="","",(1/Inputs!$B$9)*(PI()*(Inputs!$F$6/1000)^2/4)*((Inputs!$F$6/1000/4)^(2/3))*SQRT(P167))</f>
        <v/>
      </c>
      <c r="AI167" s="14" t="str">
        <f>IF(A167="","",(1/Inputs!$B$9)*(PI()*(Inputs!$F$7/1000)^2/4)*((Inputs!$F$7/1000/4)^(2/3))*SQRT(P167))</f>
        <v/>
      </c>
      <c r="AJ167" s="14" t="str">
        <f>IF(A167="","",(1/Inputs!$B$9)*(PI()*(Inputs!$F$8/1000)^2/4)*((Inputs!$F$8/1000/4)^(2/3))*SQRT(P167))</f>
        <v/>
      </c>
      <c r="AK167" s="14" t="str">
        <f>IF(A167="","",(1/Inputs!$B$9)*(PI()*(Inputs!$F$9/1000)^2/4)*((Inputs!$F$9/1000/4)^(2/3))*SQRT(P167))</f>
        <v/>
      </c>
      <c r="AL167" s="14" t="str">
        <f>IF(A167="","",(1/Inputs!$B$9)*(PI()*(Inputs!$F$10/1000)^2/4)*((Inputs!$F$10/1000/4)^(2/3))*SQRT(P167))</f>
        <v/>
      </c>
      <c r="AM167" s="14" t="str">
        <f>IF(A167="","",(1/Inputs!$B$9)*(PI()*(Inputs!$F$11/1000)^2/4)*((Inputs!$F$11/1000/4)^(2/3))*SQRT(P167))</f>
        <v/>
      </c>
      <c r="AN167" s="14" t="str">
        <f>IF(A167="","",(1/Inputs!$B$9)*(PI()*(Inputs!$F$12/1000)^2/4)*((Inputs!$F$12/1000/4)^(2/3))*SQRT(P167))</f>
        <v/>
      </c>
      <c r="AO167" s="14" t="str">
        <f>IF(A167="","",(1/Inputs!$B$9)*(PI()*(Inputs!$F$13/1000)^2/4)*((Inputs!$F$13/1000/4)^(2/3))*SQRT(P167))</f>
        <v/>
      </c>
      <c r="AP167" s="14" t="str">
        <f>IF(A167="","",(1/Inputs!$B$9)*(PI()*(Inputs!$F$14/1000)^2/4)*((Inputs!$F$14/1000/4)^(2/3))*SQRT(P167))</f>
        <v/>
      </c>
      <c r="AQ167" s="14" t="str">
        <f t="shared" si="203"/>
        <v/>
      </c>
      <c r="AR167" s="14" t="str">
        <f t="shared" si="204"/>
        <v/>
      </c>
      <c r="AS167" s="17" t="str">
        <f>IF(A167="","",IF(J167="",Inputs!$B$18,J167))</f>
        <v/>
      </c>
      <c r="AT167" s="17" t="str">
        <f>IF(A167="","",IFERROR(_xludf.maxifs($AV$4:$AV$201,$D$4:$D$201,$A167),""))</f>
        <v/>
      </c>
      <c r="AU167" s="17" t="str">
        <f>IF(A167="","",IF(OR(E167="",Inputs!$B$23=""),"",E167/(Inputs!$B$23*60)))</f>
        <v/>
      </c>
      <c r="AV167" s="17" t="str">
        <f t="shared" si="205"/>
        <v/>
      </c>
      <c r="AW167" s="17" t="str">
        <f t="shared" si="206"/>
        <v/>
      </c>
      <c r="AX167" s="17" t="str">
        <f>IF(OR(T167="",P167=""),"",(1/Inputs!$B$9)*((T167/4)^(2/3))*SQRT(P167))</f>
        <v/>
      </c>
      <c r="AY167" s="17" t="str">
        <f>IF(A167="","",IF(AND(AW167="",AX167="",BA167=""),"",IF(OR(UPPER(TRIM(Inputs!$B$24))="MANNING",UPPER(TRIM(Inputs!$B$24))="M"),AX167,IF(OR(UPPER(TRIM(Inputs!$B$24))="PARTIAL",UPPER(TRIM(Inputs!$B$24))="P"),BA167,IF(OR(UPPER(TRIM(Inputs!$B$24))="MAX",UPPER(TRIM(Inputs!$B$24))="X"),MAX(IF(AW167="",0,AW167),IF(AX167="",0,AX167),IF(BA167="",0,BA167)),AW167)))))</f>
        <v/>
      </c>
      <c r="AZ167" s="17" t="str">
        <f t="shared" si="207"/>
        <v/>
      </c>
      <c r="BA167" s="17" t="str">
        <f t="shared" si="208"/>
        <v/>
      </c>
      <c r="BB167" s="14" t="str">
        <f t="shared" si="209"/>
        <v/>
      </c>
      <c r="BC167" s="14" t="str">
        <f>IF(OR(N167="",T167="",P167=""),"",IF(OR(T167="",P167="",(0.94*T167)="",T167&lt;=0,(0.94*T167)&lt;=0),"",(1/Inputs!$B$9)*((T167^2/8)*((2*ACOS(1-2*(0.94*T167)/T167))-SIN((2*ACOS(1-2*(0.94*T167)/T167)))))*((((T167^2/8)*((2*ACOS(1-2*(0.94*T167)/T167))-SIN((2*ACOS(1-2*(0.94*T167)/T167)))))/((T167/2)*((2*ACOS(1-2*(0.94*T167)/T167)))))^(2/3))*SQRT(P167)))</f>
        <v/>
      </c>
      <c r="BD167" s="14" t="str">
        <f t="shared" si="210"/>
        <v/>
      </c>
      <c r="BE167" s="14" t="str">
        <f t="shared" si="211"/>
        <v/>
      </c>
      <c r="BF167" s="14" t="str">
        <f t="shared" si="212"/>
        <v/>
      </c>
      <c r="BG167" s="14" t="str">
        <f>IF(OR(T167="",P167="",BF167="",T167&lt;=0,BF167&lt;=0),"",(1/Inputs!$B$9)*((T167^2/8)*((2*ACOS(1-2*BF167/T167))-SIN((2*ACOS(1-2*BF167/T167)))))*((((T167^2/8)*((2*ACOS(1-2*BF167/T167))-SIN((2*ACOS(1-2*BF167/T167)))))/((T167/2)*((2*ACOS(1-2*BF167/T167)))))^(2/3))*SQRT(P167))</f>
        <v/>
      </c>
      <c r="BH167" s="14" t="str">
        <f t="shared" si="213"/>
        <v/>
      </c>
      <c r="BI167" s="14" t="str">
        <f t="shared" si="214"/>
        <v/>
      </c>
      <c r="BJ167" s="14" t="str">
        <f t="shared" si="215"/>
        <v/>
      </c>
      <c r="BK167" s="14" t="str">
        <f>IF(OR(T167="",P167="",BJ167="",T167&lt;=0,BJ167&lt;=0),"",(1/Inputs!$B$9)*((T167^2/8)*((2*ACOS(1-2*BJ167/T167))-SIN((2*ACOS(1-2*BJ167/T167)))))*((((T167^2/8)*((2*ACOS(1-2*BJ167/T167))-SIN((2*ACOS(1-2*BJ167/T167)))))/((T167/2)*((2*ACOS(1-2*BJ167/T167)))))^(2/3))*SQRT(P167))</f>
        <v/>
      </c>
      <c r="BL167" s="14" t="str">
        <f t="shared" si="216"/>
        <v/>
      </c>
      <c r="BM167" s="14" t="str">
        <f t="shared" si="217"/>
        <v/>
      </c>
      <c r="BN167" s="14" t="str">
        <f t="shared" si="218"/>
        <v/>
      </c>
      <c r="BO167" s="14" t="str">
        <f>IF(OR(T167="",P167="",BN167="",T167&lt;=0,BN167&lt;=0),"",(1/Inputs!$B$9)*((T167^2/8)*((2*ACOS(1-2*BN167/T167))-SIN((2*ACOS(1-2*BN167/T167)))))*((((T167^2/8)*((2*ACOS(1-2*BN167/T167))-SIN((2*ACOS(1-2*BN167/T167)))))/((T167/2)*((2*ACOS(1-2*BN167/T167)))))^(2/3))*SQRT(P167))</f>
        <v/>
      </c>
      <c r="BP167" s="14" t="str">
        <f t="shared" si="219"/>
        <v/>
      </c>
      <c r="BQ167" s="14" t="str">
        <f t="shared" si="220"/>
        <v/>
      </c>
      <c r="BR167" s="14" t="str">
        <f t="shared" si="221"/>
        <v/>
      </c>
      <c r="BS167" s="14" t="str">
        <f>IF(OR(T167="",P167="",BR167="",T167&lt;=0,BR167&lt;=0),"",(1/Inputs!$B$9)*((T167^2/8)*((2*ACOS(1-2*BR167/T167))-SIN((2*ACOS(1-2*BR167/T167)))))*((((T167^2/8)*((2*ACOS(1-2*BR167/T167))-SIN((2*ACOS(1-2*BR167/T167)))))/((T167/2)*((2*ACOS(1-2*BR167/T167)))))^(2/3))*SQRT(P167))</f>
        <v/>
      </c>
      <c r="BT167" s="14" t="str">
        <f t="shared" si="222"/>
        <v/>
      </c>
      <c r="BU167" s="14" t="str">
        <f t="shared" si="223"/>
        <v/>
      </c>
      <c r="BV167" s="14" t="str">
        <f t="shared" si="224"/>
        <v/>
      </c>
      <c r="BW167" s="14" t="str">
        <f>IF(OR(T167="",P167="",BV167="",T167&lt;=0,BV167&lt;=0),"",(1/Inputs!$B$9)*((T167^2/8)*((2*ACOS(1-2*BV167/T167))-SIN((2*ACOS(1-2*BV167/T167)))))*((((T167^2/8)*((2*ACOS(1-2*BV167/T167))-SIN((2*ACOS(1-2*BV167/T167)))))/((T167/2)*((2*ACOS(1-2*BV167/T167)))))^(2/3))*SQRT(P167))</f>
        <v/>
      </c>
      <c r="BX167" s="14" t="str">
        <f t="shared" si="225"/>
        <v/>
      </c>
      <c r="BY167" s="14" t="str">
        <f t="shared" si="226"/>
        <v/>
      </c>
      <c r="BZ167" s="14" t="str">
        <f t="shared" si="227"/>
        <v/>
      </c>
      <c r="CA167" s="14" t="str">
        <f>IF(OR(T167="",P167="",BZ167="",T167&lt;=0,BZ167&lt;=0),"",(1/Inputs!$B$9)*((T167^2/8)*((2*ACOS(1-2*BZ167/T167))-SIN((2*ACOS(1-2*BZ167/T167)))))*((((T167^2/8)*((2*ACOS(1-2*BZ167/T167))-SIN((2*ACOS(1-2*BZ167/T167)))))/((T167/2)*((2*ACOS(1-2*BZ167/T167)))))^(2/3))*SQRT(P167))</f>
        <v/>
      </c>
      <c r="CB167" s="14" t="str">
        <f t="shared" si="228"/>
        <v/>
      </c>
      <c r="CC167" s="14" t="str">
        <f t="shared" si="229"/>
        <v/>
      </c>
      <c r="CD167" s="14" t="str">
        <f t="shared" si="230"/>
        <v/>
      </c>
      <c r="CE167" s="14" t="str">
        <f>IF(OR(T167="",P167="",CD167="",T167&lt;=0,CD167&lt;=0),"",(1/Inputs!$B$9)*((T167^2/8)*((2*ACOS(1-2*CD167/T167))-SIN((2*ACOS(1-2*CD167/T167)))))*((((T167^2/8)*((2*ACOS(1-2*CD167/T167))-SIN((2*ACOS(1-2*CD167/T167)))))/((T167/2)*((2*ACOS(1-2*CD167/T167)))))^(2/3))*SQRT(P167))</f>
        <v/>
      </c>
      <c r="CF167" s="14" t="str">
        <f t="shared" si="231"/>
        <v/>
      </c>
      <c r="CG167" s="14" t="str">
        <f t="shared" si="232"/>
        <v/>
      </c>
      <c r="CH167" s="14" t="str">
        <f t="shared" si="233"/>
        <v/>
      </c>
    </row>
    <row r="168" spans="1:86" x14ac:dyDescent="0.25">
      <c r="A168" s="14"/>
      <c r="B168" s="14"/>
      <c r="C168" s="14"/>
      <c r="D168" s="14"/>
      <c r="E168" s="44"/>
      <c r="F168" s="44"/>
      <c r="G168" s="44">
        <f>SUMIFS(CB_plan!$G:$G,CB_plan!$F:$F,$A168)</f>
        <v>0</v>
      </c>
      <c r="H168" s="44">
        <f t="shared" si="195"/>
        <v>0</v>
      </c>
      <c r="I168" s="14"/>
      <c r="J168" s="44"/>
      <c r="K168" s="44" t="str">
        <f>IF(A168="","",Inputs!$B$13/((IF(AV168="",Inputs!$B$18,AV168)+Inputs!$B$14)^Inputs!$B$15))</f>
        <v/>
      </c>
      <c r="L168" s="44" t="str">
        <f>IF(A168="","",IF(H168="","",0.000000278*IF(I168&lt;&gt;"",I168,IFERROR(SUMIFS(CB_plan!$H:$H,CB_plan!$F:$F,$A168)/SUMIFS(CB_plan!$G:$G,CB_plan!$F:$F,$A168),Inputs!$B$17))*H168*K168))</f>
        <v/>
      </c>
      <c r="M168" s="44" t="str">
        <f t="shared" si="196"/>
        <v/>
      </c>
      <c r="N168" s="44" t="str">
        <f>IF(A168="","",(L168+M168)*Inputs!$B$16)</f>
        <v/>
      </c>
      <c r="O168" s="44"/>
      <c r="P168" s="44" t="str">
        <f>IF(A168="","",IF(O168="",Inputs!$B$7,O168))</f>
        <v/>
      </c>
      <c r="Q168" s="14" t="str">
        <f>IF(A168="","",IF(N168/Inputs!$B$10&lt;=AG168,Inputs!$F$5,IF(N168/Inputs!$B$10&gt;AP168,"OVERSIZE",INDEX(Inputs!$F$5:$F$14,MATCH(N168/Inputs!$B$10,AG168:AP168,1)+1))))</f>
        <v/>
      </c>
      <c r="R168" s="14"/>
      <c r="S168" s="14" t="str">
        <f t="shared" si="197"/>
        <v/>
      </c>
      <c r="T168" s="44" t="str">
        <f t="shared" si="198"/>
        <v/>
      </c>
      <c r="U168" s="44" t="str">
        <f>IF(T168="","",(1/Inputs!$B$9)*(PI()*T168^2/4)*((T168/4)^(2/3))*SQRT(P168))</f>
        <v/>
      </c>
      <c r="V168" s="44" t="str">
        <f>IF(OR(U168="",N168=""),"",N168/(U168*Inputs!$B$10))</f>
        <v/>
      </c>
      <c r="W168" s="44" t="str">
        <f t="shared" si="199"/>
        <v/>
      </c>
      <c r="X168" s="44"/>
      <c r="Y168" s="44" t="str">
        <f>IF(A168="","",IF(A168=Inputs!$B$6,Inputs!$B$22,IF(D168="","",IFERROR(INDEX($Z$4:$Z$201,MATCH(D168,$A$4:$A$201,0))+IF(X168="",Inputs!$B$20,X168),""))))</f>
        <v/>
      </c>
      <c r="Z168" s="44" t="str">
        <f t="shared" si="200"/>
        <v/>
      </c>
      <c r="AA168" s="44" t="str">
        <f>IF(C168="","",IFERROR(INDEX(Noeuds_plan!$C$4:$C$200,MATCH(C168,Noeuds_plan!$A$4:$A$200,0)),""))</f>
        <v/>
      </c>
      <c r="AB168" s="44" t="str">
        <f>IF(B168="","",IFERROR(INDEX(Noeuds_plan!$C$4:$C$200,MATCH(B168,Noeuds_plan!$A$4:$A$200,0)),""))</f>
        <v/>
      </c>
      <c r="AC168" s="44" t="str">
        <f t="shared" si="201"/>
        <v/>
      </c>
      <c r="AD168" s="44" t="str">
        <f t="shared" si="202"/>
        <v/>
      </c>
      <c r="AE168" s="14" t="str">
        <f>IF(A168="","",IF(OR(V168&gt;1,AND(AY168&lt;&gt;"",AY168&lt;Inputs!$B$11),AND(AY168&lt;&gt;"",AY168&gt;Inputs!$B$12),AC168&lt;Inputs!$B$19,AD168&lt;Inputs!$B$19,P168&lt;Inputs!$B$7,P168&gt;Inputs!$B$8),"CHECK","OK"))</f>
        <v/>
      </c>
      <c r="AF168" s="14"/>
      <c r="AG168" s="14" t="str">
        <f>IF(A168="","",(1/Inputs!$B$9)*(PI()*(Inputs!$F$5/1000)^2/4)*((Inputs!$F$5/1000/4)^(2/3))*SQRT(P168))</f>
        <v/>
      </c>
      <c r="AH168" s="14" t="str">
        <f>IF(A168="","",(1/Inputs!$B$9)*(PI()*(Inputs!$F$6/1000)^2/4)*((Inputs!$F$6/1000/4)^(2/3))*SQRT(P168))</f>
        <v/>
      </c>
      <c r="AI168" s="14" t="str">
        <f>IF(A168="","",(1/Inputs!$B$9)*(PI()*(Inputs!$F$7/1000)^2/4)*((Inputs!$F$7/1000/4)^(2/3))*SQRT(P168))</f>
        <v/>
      </c>
      <c r="AJ168" s="14" t="str">
        <f>IF(A168="","",(1/Inputs!$B$9)*(PI()*(Inputs!$F$8/1000)^2/4)*((Inputs!$F$8/1000/4)^(2/3))*SQRT(P168))</f>
        <v/>
      </c>
      <c r="AK168" s="14" t="str">
        <f>IF(A168="","",(1/Inputs!$B$9)*(PI()*(Inputs!$F$9/1000)^2/4)*((Inputs!$F$9/1000/4)^(2/3))*SQRT(P168))</f>
        <v/>
      </c>
      <c r="AL168" s="14" t="str">
        <f>IF(A168="","",(1/Inputs!$B$9)*(PI()*(Inputs!$F$10/1000)^2/4)*((Inputs!$F$10/1000/4)^(2/3))*SQRT(P168))</f>
        <v/>
      </c>
      <c r="AM168" s="14" t="str">
        <f>IF(A168="","",(1/Inputs!$B$9)*(PI()*(Inputs!$F$11/1000)^2/4)*((Inputs!$F$11/1000/4)^(2/3))*SQRT(P168))</f>
        <v/>
      </c>
      <c r="AN168" s="14" t="str">
        <f>IF(A168="","",(1/Inputs!$B$9)*(PI()*(Inputs!$F$12/1000)^2/4)*((Inputs!$F$12/1000/4)^(2/3))*SQRT(P168))</f>
        <v/>
      </c>
      <c r="AO168" s="14" t="str">
        <f>IF(A168="","",(1/Inputs!$B$9)*(PI()*(Inputs!$F$13/1000)^2/4)*((Inputs!$F$13/1000/4)^(2/3))*SQRT(P168))</f>
        <v/>
      </c>
      <c r="AP168" s="14" t="str">
        <f>IF(A168="","",(1/Inputs!$B$9)*(PI()*(Inputs!$F$14/1000)^2/4)*((Inputs!$F$14/1000/4)^(2/3))*SQRT(P168))</f>
        <v/>
      </c>
      <c r="AQ168" s="14" t="str">
        <f t="shared" si="203"/>
        <v/>
      </c>
      <c r="AR168" s="14" t="str">
        <f t="shared" si="204"/>
        <v/>
      </c>
      <c r="AS168" s="17" t="str">
        <f>IF(A168="","",IF(J168="",Inputs!$B$18,J168))</f>
        <v/>
      </c>
      <c r="AT168" s="17" t="str">
        <f>IF(A168="","",IFERROR(_xludf.maxifs($AV$4:$AV$201,$D$4:$D$201,$A168),""))</f>
        <v/>
      </c>
      <c r="AU168" s="17" t="str">
        <f>IF(A168="","",IF(OR(E168="",Inputs!$B$23=""),"",E168/(Inputs!$B$23*60)))</f>
        <v/>
      </c>
      <c r="AV168" s="17" t="str">
        <f t="shared" si="205"/>
        <v/>
      </c>
      <c r="AW168" s="17" t="str">
        <f t="shared" si="206"/>
        <v/>
      </c>
      <c r="AX168" s="17" t="str">
        <f>IF(OR(T168="",P168=""),"",(1/Inputs!$B$9)*((T168/4)^(2/3))*SQRT(P168))</f>
        <v/>
      </c>
      <c r="AY168" s="17" t="str">
        <f>IF(A168="","",IF(AND(AW168="",AX168="",BA168=""),"",IF(OR(UPPER(TRIM(Inputs!$B$24))="MANNING",UPPER(TRIM(Inputs!$B$24))="M"),AX168,IF(OR(UPPER(TRIM(Inputs!$B$24))="PARTIAL",UPPER(TRIM(Inputs!$B$24))="P"),BA168,IF(OR(UPPER(TRIM(Inputs!$B$24))="MAX",UPPER(TRIM(Inputs!$B$24))="X"),MAX(IF(AW168="",0,AW168),IF(AX168="",0,AX168),IF(BA168="",0,BA168)),AW168)))))</f>
        <v/>
      </c>
      <c r="AZ168" s="17" t="str">
        <f t="shared" si="207"/>
        <v/>
      </c>
      <c r="BA168" s="17" t="str">
        <f t="shared" si="208"/>
        <v/>
      </c>
      <c r="BB168" s="14" t="str">
        <f t="shared" si="209"/>
        <v/>
      </c>
      <c r="BC168" s="14" t="str">
        <f>IF(OR(N168="",T168="",P168=""),"",IF(OR(T168="",P168="",(0.94*T168)="",T168&lt;=0,(0.94*T168)&lt;=0),"",(1/Inputs!$B$9)*((T168^2/8)*((2*ACOS(1-2*(0.94*T168)/T168))-SIN((2*ACOS(1-2*(0.94*T168)/T168)))))*((((T168^2/8)*((2*ACOS(1-2*(0.94*T168)/T168))-SIN((2*ACOS(1-2*(0.94*T168)/T168)))))/((T168/2)*((2*ACOS(1-2*(0.94*T168)/T168)))))^(2/3))*SQRT(P168)))</f>
        <v/>
      </c>
      <c r="BD168" s="14" t="str">
        <f t="shared" si="210"/>
        <v/>
      </c>
      <c r="BE168" s="14" t="str">
        <f t="shared" si="211"/>
        <v/>
      </c>
      <c r="BF168" s="14" t="str">
        <f t="shared" si="212"/>
        <v/>
      </c>
      <c r="BG168" s="14" t="str">
        <f>IF(OR(T168="",P168="",BF168="",T168&lt;=0,BF168&lt;=0),"",(1/Inputs!$B$9)*((T168^2/8)*((2*ACOS(1-2*BF168/T168))-SIN((2*ACOS(1-2*BF168/T168)))))*((((T168^2/8)*((2*ACOS(1-2*BF168/T168))-SIN((2*ACOS(1-2*BF168/T168)))))/((T168/2)*((2*ACOS(1-2*BF168/T168)))))^(2/3))*SQRT(P168))</f>
        <v/>
      </c>
      <c r="BH168" s="14" t="str">
        <f t="shared" si="213"/>
        <v/>
      </c>
      <c r="BI168" s="14" t="str">
        <f t="shared" si="214"/>
        <v/>
      </c>
      <c r="BJ168" s="14" t="str">
        <f t="shared" si="215"/>
        <v/>
      </c>
      <c r="BK168" s="14" t="str">
        <f>IF(OR(T168="",P168="",BJ168="",T168&lt;=0,BJ168&lt;=0),"",(1/Inputs!$B$9)*((T168^2/8)*((2*ACOS(1-2*BJ168/T168))-SIN((2*ACOS(1-2*BJ168/T168)))))*((((T168^2/8)*((2*ACOS(1-2*BJ168/T168))-SIN((2*ACOS(1-2*BJ168/T168)))))/((T168/2)*((2*ACOS(1-2*BJ168/T168)))))^(2/3))*SQRT(P168))</f>
        <v/>
      </c>
      <c r="BL168" s="14" t="str">
        <f t="shared" si="216"/>
        <v/>
      </c>
      <c r="BM168" s="14" t="str">
        <f t="shared" si="217"/>
        <v/>
      </c>
      <c r="BN168" s="14" t="str">
        <f t="shared" si="218"/>
        <v/>
      </c>
      <c r="BO168" s="14" t="str">
        <f>IF(OR(T168="",P168="",BN168="",T168&lt;=0,BN168&lt;=0),"",(1/Inputs!$B$9)*((T168^2/8)*((2*ACOS(1-2*BN168/T168))-SIN((2*ACOS(1-2*BN168/T168)))))*((((T168^2/8)*((2*ACOS(1-2*BN168/T168))-SIN((2*ACOS(1-2*BN168/T168)))))/((T168/2)*((2*ACOS(1-2*BN168/T168)))))^(2/3))*SQRT(P168))</f>
        <v/>
      </c>
      <c r="BP168" s="14" t="str">
        <f t="shared" si="219"/>
        <v/>
      </c>
      <c r="BQ168" s="14" t="str">
        <f t="shared" si="220"/>
        <v/>
      </c>
      <c r="BR168" s="14" t="str">
        <f t="shared" si="221"/>
        <v/>
      </c>
      <c r="BS168" s="14" t="str">
        <f>IF(OR(T168="",P168="",BR168="",T168&lt;=0,BR168&lt;=0),"",(1/Inputs!$B$9)*((T168^2/8)*((2*ACOS(1-2*BR168/T168))-SIN((2*ACOS(1-2*BR168/T168)))))*((((T168^2/8)*((2*ACOS(1-2*BR168/T168))-SIN((2*ACOS(1-2*BR168/T168)))))/((T168/2)*((2*ACOS(1-2*BR168/T168)))))^(2/3))*SQRT(P168))</f>
        <v/>
      </c>
      <c r="BT168" s="14" t="str">
        <f t="shared" si="222"/>
        <v/>
      </c>
      <c r="BU168" s="14" t="str">
        <f t="shared" si="223"/>
        <v/>
      </c>
      <c r="BV168" s="14" t="str">
        <f t="shared" si="224"/>
        <v/>
      </c>
      <c r="BW168" s="14" t="str">
        <f>IF(OR(T168="",P168="",BV168="",T168&lt;=0,BV168&lt;=0),"",(1/Inputs!$B$9)*((T168^2/8)*((2*ACOS(1-2*BV168/T168))-SIN((2*ACOS(1-2*BV168/T168)))))*((((T168^2/8)*((2*ACOS(1-2*BV168/T168))-SIN((2*ACOS(1-2*BV168/T168)))))/((T168/2)*((2*ACOS(1-2*BV168/T168)))))^(2/3))*SQRT(P168))</f>
        <v/>
      </c>
      <c r="BX168" s="14" t="str">
        <f t="shared" si="225"/>
        <v/>
      </c>
      <c r="BY168" s="14" t="str">
        <f t="shared" si="226"/>
        <v/>
      </c>
      <c r="BZ168" s="14" t="str">
        <f t="shared" si="227"/>
        <v/>
      </c>
      <c r="CA168" s="14" t="str">
        <f>IF(OR(T168="",P168="",BZ168="",T168&lt;=0,BZ168&lt;=0),"",(1/Inputs!$B$9)*((T168^2/8)*((2*ACOS(1-2*BZ168/T168))-SIN((2*ACOS(1-2*BZ168/T168)))))*((((T168^2/8)*((2*ACOS(1-2*BZ168/T168))-SIN((2*ACOS(1-2*BZ168/T168)))))/((T168/2)*((2*ACOS(1-2*BZ168/T168)))))^(2/3))*SQRT(P168))</f>
        <v/>
      </c>
      <c r="CB168" s="14" t="str">
        <f t="shared" si="228"/>
        <v/>
      </c>
      <c r="CC168" s="14" t="str">
        <f t="shared" si="229"/>
        <v/>
      </c>
      <c r="CD168" s="14" t="str">
        <f t="shared" si="230"/>
        <v/>
      </c>
      <c r="CE168" s="14" t="str">
        <f>IF(OR(T168="",P168="",CD168="",T168&lt;=0,CD168&lt;=0),"",(1/Inputs!$B$9)*((T168^2/8)*((2*ACOS(1-2*CD168/T168))-SIN((2*ACOS(1-2*CD168/T168)))))*((((T168^2/8)*((2*ACOS(1-2*CD168/T168))-SIN((2*ACOS(1-2*CD168/T168)))))/((T168/2)*((2*ACOS(1-2*CD168/T168)))))^(2/3))*SQRT(P168))</f>
        <v/>
      </c>
      <c r="CF168" s="14" t="str">
        <f t="shared" si="231"/>
        <v/>
      </c>
      <c r="CG168" s="14" t="str">
        <f t="shared" si="232"/>
        <v/>
      </c>
      <c r="CH168" s="14" t="str">
        <f t="shared" si="233"/>
        <v/>
      </c>
    </row>
    <row r="169" spans="1:86" x14ac:dyDescent="0.25">
      <c r="A169" s="14"/>
      <c r="B169" s="14"/>
      <c r="C169" s="14"/>
      <c r="D169" s="14"/>
      <c r="E169" s="44"/>
      <c r="F169" s="44"/>
      <c r="G169" s="44">
        <f>SUMIFS(CB_plan!$G:$G,CB_plan!$F:$F,$A169)</f>
        <v>0</v>
      </c>
      <c r="H169" s="44">
        <f t="shared" si="195"/>
        <v>0</v>
      </c>
      <c r="I169" s="14"/>
      <c r="J169" s="44"/>
      <c r="K169" s="44" t="str">
        <f>IF(A169="","",Inputs!$B$13/((IF(AV169="",Inputs!$B$18,AV169)+Inputs!$B$14)^Inputs!$B$15))</f>
        <v/>
      </c>
      <c r="L169" s="44" t="str">
        <f>IF(A169="","",IF(H169="","",0.000000278*IF(I169&lt;&gt;"",I169,IFERROR(SUMIFS(CB_plan!$H:$H,CB_plan!$F:$F,$A169)/SUMIFS(CB_plan!$G:$G,CB_plan!$F:$F,$A169),Inputs!$B$17))*H169*K169))</f>
        <v/>
      </c>
      <c r="M169" s="44" t="str">
        <f t="shared" si="196"/>
        <v/>
      </c>
      <c r="N169" s="44" t="str">
        <f>IF(A169="","",(L169+M169)*Inputs!$B$16)</f>
        <v/>
      </c>
      <c r="O169" s="44"/>
      <c r="P169" s="44" t="str">
        <f>IF(A169="","",IF(O169="",Inputs!$B$7,O169))</f>
        <v/>
      </c>
      <c r="Q169" s="14" t="str">
        <f>IF(A169="","",IF(N169/Inputs!$B$10&lt;=AG169,Inputs!$F$5,IF(N169/Inputs!$B$10&gt;AP169,"OVERSIZE",INDEX(Inputs!$F$5:$F$14,MATCH(N169/Inputs!$B$10,AG169:AP169,1)+1))))</f>
        <v/>
      </c>
      <c r="R169" s="14"/>
      <c r="S169" s="14" t="str">
        <f t="shared" si="197"/>
        <v/>
      </c>
      <c r="T169" s="44" t="str">
        <f t="shared" si="198"/>
        <v/>
      </c>
      <c r="U169" s="44" t="str">
        <f>IF(T169="","",(1/Inputs!$B$9)*(PI()*T169^2/4)*((T169/4)^(2/3))*SQRT(P169))</f>
        <v/>
      </c>
      <c r="V169" s="44" t="str">
        <f>IF(OR(U169="",N169=""),"",N169/(U169*Inputs!$B$10))</f>
        <v/>
      </c>
      <c r="W169" s="44" t="str">
        <f t="shared" si="199"/>
        <v/>
      </c>
      <c r="X169" s="44"/>
      <c r="Y169" s="44" t="str">
        <f>IF(A169="","",IF(A169=Inputs!$B$6,Inputs!$B$22,IF(D169="","",IFERROR(INDEX($Z$4:$Z$201,MATCH(D169,$A$4:$A$201,0))+IF(X169="",Inputs!$B$20,X169),""))))</f>
        <v/>
      </c>
      <c r="Z169" s="44" t="str">
        <f t="shared" si="200"/>
        <v/>
      </c>
      <c r="AA169" s="44" t="str">
        <f>IF(C169="","",IFERROR(INDEX(Noeuds_plan!$C$4:$C$200,MATCH(C169,Noeuds_plan!$A$4:$A$200,0)),""))</f>
        <v/>
      </c>
      <c r="AB169" s="44" t="str">
        <f>IF(B169="","",IFERROR(INDEX(Noeuds_plan!$C$4:$C$200,MATCH(B169,Noeuds_plan!$A$4:$A$200,0)),""))</f>
        <v/>
      </c>
      <c r="AC169" s="44" t="str">
        <f t="shared" si="201"/>
        <v/>
      </c>
      <c r="AD169" s="44" t="str">
        <f t="shared" si="202"/>
        <v/>
      </c>
      <c r="AE169" s="14" t="str">
        <f>IF(A169="","",IF(OR(V169&gt;1,AND(AY169&lt;&gt;"",AY169&lt;Inputs!$B$11),AND(AY169&lt;&gt;"",AY169&gt;Inputs!$B$12),AC169&lt;Inputs!$B$19,AD169&lt;Inputs!$B$19,P169&lt;Inputs!$B$7,P169&gt;Inputs!$B$8),"CHECK","OK"))</f>
        <v/>
      </c>
      <c r="AF169" s="14"/>
      <c r="AG169" s="14" t="str">
        <f>IF(A169="","",(1/Inputs!$B$9)*(PI()*(Inputs!$F$5/1000)^2/4)*((Inputs!$F$5/1000/4)^(2/3))*SQRT(P169))</f>
        <v/>
      </c>
      <c r="AH169" s="14" t="str">
        <f>IF(A169="","",(1/Inputs!$B$9)*(PI()*(Inputs!$F$6/1000)^2/4)*((Inputs!$F$6/1000/4)^(2/3))*SQRT(P169))</f>
        <v/>
      </c>
      <c r="AI169" s="14" t="str">
        <f>IF(A169="","",(1/Inputs!$B$9)*(PI()*(Inputs!$F$7/1000)^2/4)*((Inputs!$F$7/1000/4)^(2/3))*SQRT(P169))</f>
        <v/>
      </c>
      <c r="AJ169" s="14" t="str">
        <f>IF(A169="","",(1/Inputs!$B$9)*(PI()*(Inputs!$F$8/1000)^2/4)*((Inputs!$F$8/1000/4)^(2/3))*SQRT(P169))</f>
        <v/>
      </c>
      <c r="AK169" s="14" t="str">
        <f>IF(A169="","",(1/Inputs!$B$9)*(PI()*(Inputs!$F$9/1000)^2/4)*((Inputs!$F$9/1000/4)^(2/3))*SQRT(P169))</f>
        <v/>
      </c>
      <c r="AL169" s="14" t="str">
        <f>IF(A169="","",(1/Inputs!$B$9)*(PI()*(Inputs!$F$10/1000)^2/4)*((Inputs!$F$10/1000/4)^(2/3))*SQRT(P169))</f>
        <v/>
      </c>
      <c r="AM169" s="14" t="str">
        <f>IF(A169="","",(1/Inputs!$B$9)*(PI()*(Inputs!$F$11/1000)^2/4)*((Inputs!$F$11/1000/4)^(2/3))*SQRT(P169))</f>
        <v/>
      </c>
      <c r="AN169" s="14" t="str">
        <f>IF(A169="","",(1/Inputs!$B$9)*(PI()*(Inputs!$F$12/1000)^2/4)*((Inputs!$F$12/1000/4)^(2/3))*SQRT(P169))</f>
        <v/>
      </c>
      <c r="AO169" s="14" t="str">
        <f>IF(A169="","",(1/Inputs!$B$9)*(PI()*(Inputs!$F$13/1000)^2/4)*((Inputs!$F$13/1000/4)^(2/3))*SQRT(P169))</f>
        <v/>
      </c>
      <c r="AP169" s="14" t="str">
        <f>IF(A169="","",(1/Inputs!$B$9)*(PI()*(Inputs!$F$14/1000)^2/4)*((Inputs!$F$14/1000/4)^(2/3))*SQRT(P169))</f>
        <v/>
      </c>
      <c r="AQ169" s="14" t="str">
        <f t="shared" si="203"/>
        <v/>
      </c>
      <c r="AR169" s="14" t="str">
        <f t="shared" si="204"/>
        <v/>
      </c>
      <c r="AS169" s="17" t="str">
        <f>IF(A169="","",IF(J169="",Inputs!$B$18,J169))</f>
        <v/>
      </c>
      <c r="AT169" s="17" t="str">
        <f>IF(A169="","",IFERROR(_xludf.maxifs($AV$4:$AV$201,$D$4:$D$201,$A169),""))</f>
        <v/>
      </c>
      <c r="AU169" s="17" t="str">
        <f>IF(A169="","",IF(OR(E169="",Inputs!$B$23=""),"",E169/(Inputs!$B$23*60)))</f>
        <v/>
      </c>
      <c r="AV169" s="17" t="str">
        <f t="shared" si="205"/>
        <v/>
      </c>
      <c r="AW169" s="17" t="str">
        <f t="shared" si="206"/>
        <v/>
      </c>
      <c r="AX169" s="17" t="str">
        <f>IF(OR(T169="",P169=""),"",(1/Inputs!$B$9)*((T169/4)^(2/3))*SQRT(P169))</f>
        <v/>
      </c>
      <c r="AY169" s="17" t="str">
        <f>IF(A169="","",IF(AND(AW169="",AX169="",BA169=""),"",IF(OR(UPPER(TRIM(Inputs!$B$24))="MANNING",UPPER(TRIM(Inputs!$B$24))="M"),AX169,IF(OR(UPPER(TRIM(Inputs!$B$24))="PARTIAL",UPPER(TRIM(Inputs!$B$24))="P"),BA169,IF(OR(UPPER(TRIM(Inputs!$B$24))="MAX",UPPER(TRIM(Inputs!$B$24))="X"),MAX(IF(AW169="",0,AW169),IF(AX169="",0,AX169),IF(BA169="",0,BA169)),AW169)))))</f>
        <v/>
      </c>
      <c r="AZ169" s="17" t="str">
        <f t="shared" si="207"/>
        <v/>
      </c>
      <c r="BA169" s="17" t="str">
        <f t="shared" si="208"/>
        <v/>
      </c>
      <c r="BB169" s="14" t="str">
        <f t="shared" si="209"/>
        <v/>
      </c>
      <c r="BC169" s="14" t="str">
        <f>IF(OR(N169="",T169="",P169=""),"",IF(OR(T169="",P169="",(0.94*T169)="",T169&lt;=0,(0.94*T169)&lt;=0),"",(1/Inputs!$B$9)*((T169^2/8)*((2*ACOS(1-2*(0.94*T169)/T169))-SIN((2*ACOS(1-2*(0.94*T169)/T169)))))*((((T169^2/8)*((2*ACOS(1-2*(0.94*T169)/T169))-SIN((2*ACOS(1-2*(0.94*T169)/T169)))))/((T169/2)*((2*ACOS(1-2*(0.94*T169)/T169)))))^(2/3))*SQRT(P169)))</f>
        <v/>
      </c>
      <c r="BD169" s="14" t="str">
        <f t="shared" si="210"/>
        <v/>
      </c>
      <c r="BE169" s="14" t="str">
        <f t="shared" si="211"/>
        <v/>
      </c>
      <c r="BF169" s="14" t="str">
        <f t="shared" si="212"/>
        <v/>
      </c>
      <c r="BG169" s="14" t="str">
        <f>IF(OR(T169="",P169="",BF169="",T169&lt;=0,BF169&lt;=0),"",(1/Inputs!$B$9)*((T169^2/8)*((2*ACOS(1-2*BF169/T169))-SIN((2*ACOS(1-2*BF169/T169)))))*((((T169^2/8)*((2*ACOS(1-2*BF169/T169))-SIN((2*ACOS(1-2*BF169/T169)))))/((T169/2)*((2*ACOS(1-2*BF169/T169)))))^(2/3))*SQRT(P169))</f>
        <v/>
      </c>
      <c r="BH169" s="14" t="str">
        <f t="shared" si="213"/>
        <v/>
      </c>
      <c r="BI169" s="14" t="str">
        <f t="shared" si="214"/>
        <v/>
      </c>
      <c r="BJ169" s="14" t="str">
        <f t="shared" si="215"/>
        <v/>
      </c>
      <c r="BK169" s="14" t="str">
        <f>IF(OR(T169="",P169="",BJ169="",T169&lt;=0,BJ169&lt;=0),"",(1/Inputs!$B$9)*((T169^2/8)*((2*ACOS(1-2*BJ169/T169))-SIN((2*ACOS(1-2*BJ169/T169)))))*((((T169^2/8)*((2*ACOS(1-2*BJ169/T169))-SIN((2*ACOS(1-2*BJ169/T169)))))/((T169/2)*((2*ACOS(1-2*BJ169/T169)))))^(2/3))*SQRT(P169))</f>
        <v/>
      </c>
      <c r="BL169" s="14" t="str">
        <f t="shared" si="216"/>
        <v/>
      </c>
      <c r="BM169" s="14" t="str">
        <f t="shared" si="217"/>
        <v/>
      </c>
      <c r="BN169" s="14" t="str">
        <f t="shared" si="218"/>
        <v/>
      </c>
      <c r="BO169" s="14" t="str">
        <f>IF(OR(T169="",P169="",BN169="",T169&lt;=0,BN169&lt;=0),"",(1/Inputs!$B$9)*((T169^2/8)*((2*ACOS(1-2*BN169/T169))-SIN((2*ACOS(1-2*BN169/T169)))))*((((T169^2/8)*((2*ACOS(1-2*BN169/T169))-SIN((2*ACOS(1-2*BN169/T169)))))/((T169/2)*((2*ACOS(1-2*BN169/T169)))))^(2/3))*SQRT(P169))</f>
        <v/>
      </c>
      <c r="BP169" s="14" t="str">
        <f t="shared" si="219"/>
        <v/>
      </c>
      <c r="BQ169" s="14" t="str">
        <f t="shared" si="220"/>
        <v/>
      </c>
      <c r="BR169" s="14" t="str">
        <f t="shared" si="221"/>
        <v/>
      </c>
      <c r="BS169" s="14" t="str">
        <f>IF(OR(T169="",P169="",BR169="",T169&lt;=0,BR169&lt;=0),"",(1/Inputs!$B$9)*((T169^2/8)*((2*ACOS(1-2*BR169/T169))-SIN((2*ACOS(1-2*BR169/T169)))))*((((T169^2/8)*((2*ACOS(1-2*BR169/T169))-SIN((2*ACOS(1-2*BR169/T169)))))/((T169/2)*((2*ACOS(1-2*BR169/T169)))))^(2/3))*SQRT(P169))</f>
        <v/>
      </c>
      <c r="BT169" s="14" t="str">
        <f t="shared" si="222"/>
        <v/>
      </c>
      <c r="BU169" s="14" t="str">
        <f t="shared" si="223"/>
        <v/>
      </c>
      <c r="BV169" s="14" t="str">
        <f t="shared" si="224"/>
        <v/>
      </c>
      <c r="BW169" s="14" t="str">
        <f>IF(OR(T169="",P169="",BV169="",T169&lt;=0,BV169&lt;=0),"",(1/Inputs!$B$9)*((T169^2/8)*((2*ACOS(1-2*BV169/T169))-SIN((2*ACOS(1-2*BV169/T169)))))*((((T169^2/8)*((2*ACOS(1-2*BV169/T169))-SIN((2*ACOS(1-2*BV169/T169)))))/((T169/2)*((2*ACOS(1-2*BV169/T169)))))^(2/3))*SQRT(P169))</f>
        <v/>
      </c>
      <c r="BX169" s="14" t="str">
        <f t="shared" si="225"/>
        <v/>
      </c>
      <c r="BY169" s="14" t="str">
        <f t="shared" si="226"/>
        <v/>
      </c>
      <c r="BZ169" s="14" t="str">
        <f t="shared" si="227"/>
        <v/>
      </c>
      <c r="CA169" s="14" t="str">
        <f>IF(OR(T169="",P169="",BZ169="",T169&lt;=0,BZ169&lt;=0),"",(1/Inputs!$B$9)*((T169^2/8)*((2*ACOS(1-2*BZ169/T169))-SIN((2*ACOS(1-2*BZ169/T169)))))*((((T169^2/8)*((2*ACOS(1-2*BZ169/T169))-SIN((2*ACOS(1-2*BZ169/T169)))))/((T169/2)*((2*ACOS(1-2*BZ169/T169)))))^(2/3))*SQRT(P169))</f>
        <v/>
      </c>
      <c r="CB169" s="14" t="str">
        <f t="shared" si="228"/>
        <v/>
      </c>
      <c r="CC169" s="14" t="str">
        <f t="shared" si="229"/>
        <v/>
      </c>
      <c r="CD169" s="14" t="str">
        <f t="shared" si="230"/>
        <v/>
      </c>
      <c r="CE169" s="14" t="str">
        <f>IF(OR(T169="",P169="",CD169="",T169&lt;=0,CD169&lt;=0),"",(1/Inputs!$B$9)*((T169^2/8)*((2*ACOS(1-2*CD169/T169))-SIN((2*ACOS(1-2*CD169/T169)))))*((((T169^2/8)*((2*ACOS(1-2*CD169/T169))-SIN((2*ACOS(1-2*CD169/T169)))))/((T169/2)*((2*ACOS(1-2*CD169/T169)))))^(2/3))*SQRT(P169))</f>
        <v/>
      </c>
      <c r="CF169" s="14" t="str">
        <f t="shared" si="231"/>
        <v/>
      </c>
      <c r="CG169" s="14" t="str">
        <f t="shared" si="232"/>
        <v/>
      </c>
      <c r="CH169" s="14" t="str">
        <f t="shared" si="233"/>
        <v/>
      </c>
    </row>
    <row r="170" spans="1:86" x14ac:dyDescent="0.25">
      <c r="A170" s="14"/>
      <c r="B170" s="14"/>
      <c r="C170" s="14"/>
      <c r="D170" s="14"/>
      <c r="E170" s="44"/>
      <c r="F170" s="44"/>
      <c r="G170" s="44">
        <f>SUMIFS(CB_plan!$G:$G,CB_plan!$F:$F,$A170)</f>
        <v>0</v>
      </c>
      <c r="H170" s="44">
        <f t="shared" si="195"/>
        <v>0</v>
      </c>
      <c r="I170" s="14"/>
      <c r="J170" s="44"/>
      <c r="K170" s="44" t="str">
        <f>IF(A170="","",Inputs!$B$13/((IF(AV170="",Inputs!$B$18,AV170)+Inputs!$B$14)^Inputs!$B$15))</f>
        <v/>
      </c>
      <c r="L170" s="44" t="str">
        <f>IF(A170="","",IF(H170="","",0.000000278*IF(I170&lt;&gt;"",I170,IFERROR(SUMIFS(CB_plan!$H:$H,CB_plan!$F:$F,$A170)/SUMIFS(CB_plan!$G:$G,CB_plan!$F:$F,$A170),Inputs!$B$17))*H170*K170))</f>
        <v/>
      </c>
      <c r="M170" s="44" t="str">
        <f t="shared" si="196"/>
        <v/>
      </c>
      <c r="N170" s="44" t="str">
        <f>IF(A170="","",(L170+M170)*Inputs!$B$16)</f>
        <v/>
      </c>
      <c r="O170" s="44"/>
      <c r="P170" s="44" t="str">
        <f>IF(A170="","",IF(O170="",Inputs!$B$7,O170))</f>
        <v/>
      </c>
      <c r="Q170" s="14" t="str">
        <f>IF(A170="","",IF(N170/Inputs!$B$10&lt;=AG170,Inputs!$F$5,IF(N170/Inputs!$B$10&gt;AP170,"OVERSIZE",INDEX(Inputs!$F$5:$F$14,MATCH(N170/Inputs!$B$10,AG170:AP170,1)+1))))</f>
        <v/>
      </c>
      <c r="R170" s="14"/>
      <c r="S170" s="14" t="str">
        <f t="shared" si="197"/>
        <v/>
      </c>
      <c r="T170" s="44" t="str">
        <f t="shared" si="198"/>
        <v/>
      </c>
      <c r="U170" s="44" t="str">
        <f>IF(T170="","",(1/Inputs!$B$9)*(PI()*T170^2/4)*((T170/4)^(2/3))*SQRT(P170))</f>
        <v/>
      </c>
      <c r="V170" s="44" t="str">
        <f>IF(OR(U170="",N170=""),"",N170/(U170*Inputs!$B$10))</f>
        <v/>
      </c>
      <c r="W170" s="44" t="str">
        <f t="shared" si="199"/>
        <v/>
      </c>
      <c r="X170" s="44"/>
      <c r="Y170" s="44" t="str">
        <f>IF(A170="","",IF(A170=Inputs!$B$6,Inputs!$B$22,IF(D170="","",IFERROR(INDEX($Z$4:$Z$201,MATCH(D170,$A$4:$A$201,0))+IF(X170="",Inputs!$B$20,X170),""))))</f>
        <v/>
      </c>
      <c r="Z170" s="44" t="str">
        <f t="shared" si="200"/>
        <v/>
      </c>
      <c r="AA170" s="44" t="str">
        <f>IF(C170="","",IFERROR(INDEX(Noeuds_plan!$C$4:$C$200,MATCH(C170,Noeuds_plan!$A$4:$A$200,0)),""))</f>
        <v/>
      </c>
      <c r="AB170" s="44" t="str">
        <f>IF(B170="","",IFERROR(INDEX(Noeuds_plan!$C$4:$C$200,MATCH(B170,Noeuds_plan!$A$4:$A$200,0)),""))</f>
        <v/>
      </c>
      <c r="AC170" s="44" t="str">
        <f t="shared" si="201"/>
        <v/>
      </c>
      <c r="AD170" s="44" t="str">
        <f t="shared" si="202"/>
        <v/>
      </c>
      <c r="AE170" s="14" t="str">
        <f>IF(A170="","",IF(OR(V170&gt;1,AND(AY170&lt;&gt;"",AY170&lt;Inputs!$B$11),AND(AY170&lt;&gt;"",AY170&gt;Inputs!$B$12),AC170&lt;Inputs!$B$19,AD170&lt;Inputs!$B$19,P170&lt;Inputs!$B$7,P170&gt;Inputs!$B$8),"CHECK","OK"))</f>
        <v/>
      </c>
      <c r="AF170" s="14"/>
      <c r="AG170" s="14" t="str">
        <f>IF(A170="","",(1/Inputs!$B$9)*(PI()*(Inputs!$F$5/1000)^2/4)*((Inputs!$F$5/1000/4)^(2/3))*SQRT(P170))</f>
        <v/>
      </c>
      <c r="AH170" s="14" t="str">
        <f>IF(A170="","",(1/Inputs!$B$9)*(PI()*(Inputs!$F$6/1000)^2/4)*((Inputs!$F$6/1000/4)^(2/3))*SQRT(P170))</f>
        <v/>
      </c>
      <c r="AI170" s="14" t="str">
        <f>IF(A170="","",(1/Inputs!$B$9)*(PI()*(Inputs!$F$7/1000)^2/4)*((Inputs!$F$7/1000/4)^(2/3))*SQRT(P170))</f>
        <v/>
      </c>
      <c r="AJ170" s="14" t="str">
        <f>IF(A170="","",(1/Inputs!$B$9)*(PI()*(Inputs!$F$8/1000)^2/4)*((Inputs!$F$8/1000/4)^(2/3))*SQRT(P170))</f>
        <v/>
      </c>
      <c r="AK170" s="14" t="str">
        <f>IF(A170="","",(1/Inputs!$B$9)*(PI()*(Inputs!$F$9/1000)^2/4)*((Inputs!$F$9/1000/4)^(2/3))*SQRT(P170))</f>
        <v/>
      </c>
      <c r="AL170" s="14" t="str">
        <f>IF(A170="","",(1/Inputs!$B$9)*(PI()*(Inputs!$F$10/1000)^2/4)*((Inputs!$F$10/1000/4)^(2/3))*SQRT(P170))</f>
        <v/>
      </c>
      <c r="AM170" s="14" t="str">
        <f>IF(A170="","",(1/Inputs!$B$9)*(PI()*(Inputs!$F$11/1000)^2/4)*((Inputs!$F$11/1000/4)^(2/3))*SQRT(P170))</f>
        <v/>
      </c>
      <c r="AN170" s="14" t="str">
        <f>IF(A170="","",(1/Inputs!$B$9)*(PI()*(Inputs!$F$12/1000)^2/4)*((Inputs!$F$12/1000/4)^(2/3))*SQRT(P170))</f>
        <v/>
      </c>
      <c r="AO170" s="14" t="str">
        <f>IF(A170="","",(1/Inputs!$B$9)*(PI()*(Inputs!$F$13/1000)^2/4)*((Inputs!$F$13/1000/4)^(2/3))*SQRT(P170))</f>
        <v/>
      </c>
      <c r="AP170" s="14" t="str">
        <f>IF(A170="","",(1/Inputs!$B$9)*(PI()*(Inputs!$F$14/1000)^2/4)*((Inputs!$F$14/1000/4)^(2/3))*SQRT(P170))</f>
        <v/>
      </c>
      <c r="AQ170" s="14" t="str">
        <f t="shared" si="203"/>
        <v/>
      </c>
      <c r="AR170" s="14" t="str">
        <f t="shared" si="204"/>
        <v/>
      </c>
      <c r="AS170" s="17" t="str">
        <f>IF(A170="","",IF(J170="",Inputs!$B$18,J170))</f>
        <v/>
      </c>
      <c r="AT170" s="17" t="str">
        <f>IF(A170="","",IFERROR(_xludf.maxifs($AV$4:$AV$201,$D$4:$D$201,$A170),""))</f>
        <v/>
      </c>
      <c r="AU170" s="17" t="str">
        <f>IF(A170="","",IF(OR(E170="",Inputs!$B$23=""),"",E170/(Inputs!$B$23*60)))</f>
        <v/>
      </c>
      <c r="AV170" s="17" t="str">
        <f t="shared" si="205"/>
        <v/>
      </c>
      <c r="AW170" s="17" t="str">
        <f t="shared" si="206"/>
        <v/>
      </c>
      <c r="AX170" s="17" t="str">
        <f>IF(OR(T170="",P170=""),"",(1/Inputs!$B$9)*((T170/4)^(2/3))*SQRT(P170))</f>
        <v/>
      </c>
      <c r="AY170" s="17" t="str">
        <f>IF(A170="","",IF(AND(AW170="",AX170="",BA170=""),"",IF(OR(UPPER(TRIM(Inputs!$B$24))="MANNING",UPPER(TRIM(Inputs!$B$24))="M"),AX170,IF(OR(UPPER(TRIM(Inputs!$B$24))="PARTIAL",UPPER(TRIM(Inputs!$B$24))="P"),BA170,IF(OR(UPPER(TRIM(Inputs!$B$24))="MAX",UPPER(TRIM(Inputs!$B$24))="X"),MAX(IF(AW170="",0,AW170),IF(AX170="",0,AX170),IF(BA170="",0,BA170)),AW170)))))</f>
        <v/>
      </c>
      <c r="AZ170" s="17" t="str">
        <f t="shared" si="207"/>
        <v/>
      </c>
      <c r="BA170" s="17" t="str">
        <f t="shared" si="208"/>
        <v/>
      </c>
      <c r="BB170" s="14" t="str">
        <f t="shared" si="209"/>
        <v/>
      </c>
      <c r="BC170" s="14" t="str">
        <f>IF(OR(N170="",T170="",P170=""),"",IF(OR(T170="",P170="",(0.94*T170)="",T170&lt;=0,(0.94*T170)&lt;=0),"",(1/Inputs!$B$9)*((T170^2/8)*((2*ACOS(1-2*(0.94*T170)/T170))-SIN((2*ACOS(1-2*(0.94*T170)/T170)))))*((((T170^2/8)*((2*ACOS(1-2*(0.94*T170)/T170))-SIN((2*ACOS(1-2*(0.94*T170)/T170)))))/((T170/2)*((2*ACOS(1-2*(0.94*T170)/T170)))))^(2/3))*SQRT(P170)))</f>
        <v/>
      </c>
      <c r="BD170" s="14" t="str">
        <f t="shared" si="210"/>
        <v/>
      </c>
      <c r="BE170" s="14" t="str">
        <f t="shared" si="211"/>
        <v/>
      </c>
      <c r="BF170" s="14" t="str">
        <f t="shared" si="212"/>
        <v/>
      </c>
      <c r="BG170" s="14" t="str">
        <f>IF(OR(T170="",P170="",BF170="",T170&lt;=0,BF170&lt;=0),"",(1/Inputs!$B$9)*((T170^2/8)*((2*ACOS(1-2*BF170/T170))-SIN((2*ACOS(1-2*BF170/T170)))))*((((T170^2/8)*((2*ACOS(1-2*BF170/T170))-SIN((2*ACOS(1-2*BF170/T170)))))/((T170/2)*((2*ACOS(1-2*BF170/T170)))))^(2/3))*SQRT(P170))</f>
        <v/>
      </c>
      <c r="BH170" s="14" t="str">
        <f t="shared" si="213"/>
        <v/>
      </c>
      <c r="BI170" s="14" t="str">
        <f t="shared" si="214"/>
        <v/>
      </c>
      <c r="BJ170" s="14" t="str">
        <f t="shared" si="215"/>
        <v/>
      </c>
      <c r="BK170" s="14" t="str">
        <f>IF(OR(T170="",P170="",BJ170="",T170&lt;=0,BJ170&lt;=0),"",(1/Inputs!$B$9)*((T170^2/8)*((2*ACOS(1-2*BJ170/T170))-SIN((2*ACOS(1-2*BJ170/T170)))))*((((T170^2/8)*((2*ACOS(1-2*BJ170/T170))-SIN((2*ACOS(1-2*BJ170/T170)))))/((T170/2)*((2*ACOS(1-2*BJ170/T170)))))^(2/3))*SQRT(P170))</f>
        <v/>
      </c>
      <c r="BL170" s="14" t="str">
        <f t="shared" si="216"/>
        <v/>
      </c>
      <c r="BM170" s="14" t="str">
        <f t="shared" si="217"/>
        <v/>
      </c>
      <c r="BN170" s="14" t="str">
        <f t="shared" si="218"/>
        <v/>
      </c>
      <c r="BO170" s="14" t="str">
        <f>IF(OR(T170="",P170="",BN170="",T170&lt;=0,BN170&lt;=0),"",(1/Inputs!$B$9)*((T170^2/8)*((2*ACOS(1-2*BN170/T170))-SIN((2*ACOS(1-2*BN170/T170)))))*((((T170^2/8)*((2*ACOS(1-2*BN170/T170))-SIN((2*ACOS(1-2*BN170/T170)))))/((T170/2)*((2*ACOS(1-2*BN170/T170)))))^(2/3))*SQRT(P170))</f>
        <v/>
      </c>
      <c r="BP170" s="14" t="str">
        <f t="shared" si="219"/>
        <v/>
      </c>
      <c r="BQ170" s="14" t="str">
        <f t="shared" si="220"/>
        <v/>
      </c>
      <c r="BR170" s="14" t="str">
        <f t="shared" si="221"/>
        <v/>
      </c>
      <c r="BS170" s="14" t="str">
        <f>IF(OR(T170="",P170="",BR170="",T170&lt;=0,BR170&lt;=0),"",(1/Inputs!$B$9)*((T170^2/8)*((2*ACOS(1-2*BR170/T170))-SIN((2*ACOS(1-2*BR170/T170)))))*((((T170^2/8)*((2*ACOS(1-2*BR170/T170))-SIN((2*ACOS(1-2*BR170/T170)))))/((T170/2)*((2*ACOS(1-2*BR170/T170)))))^(2/3))*SQRT(P170))</f>
        <v/>
      </c>
      <c r="BT170" s="14" t="str">
        <f t="shared" si="222"/>
        <v/>
      </c>
      <c r="BU170" s="14" t="str">
        <f t="shared" si="223"/>
        <v/>
      </c>
      <c r="BV170" s="14" t="str">
        <f t="shared" si="224"/>
        <v/>
      </c>
      <c r="BW170" s="14" t="str">
        <f>IF(OR(T170="",P170="",BV170="",T170&lt;=0,BV170&lt;=0),"",(1/Inputs!$B$9)*((T170^2/8)*((2*ACOS(1-2*BV170/T170))-SIN((2*ACOS(1-2*BV170/T170)))))*((((T170^2/8)*((2*ACOS(1-2*BV170/T170))-SIN((2*ACOS(1-2*BV170/T170)))))/((T170/2)*((2*ACOS(1-2*BV170/T170)))))^(2/3))*SQRT(P170))</f>
        <v/>
      </c>
      <c r="BX170" s="14" t="str">
        <f t="shared" si="225"/>
        <v/>
      </c>
      <c r="BY170" s="14" t="str">
        <f t="shared" si="226"/>
        <v/>
      </c>
      <c r="BZ170" s="14" t="str">
        <f t="shared" si="227"/>
        <v/>
      </c>
      <c r="CA170" s="14" t="str">
        <f>IF(OR(T170="",P170="",BZ170="",T170&lt;=0,BZ170&lt;=0),"",(1/Inputs!$B$9)*((T170^2/8)*((2*ACOS(1-2*BZ170/T170))-SIN((2*ACOS(1-2*BZ170/T170)))))*((((T170^2/8)*((2*ACOS(1-2*BZ170/T170))-SIN((2*ACOS(1-2*BZ170/T170)))))/((T170/2)*((2*ACOS(1-2*BZ170/T170)))))^(2/3))*SQRT(P170))</f>
        <v/>
      </c>
      <c r="CB170" s="14" t="str">
        <f t="shared" si="228"/>
        <v/>
      </c>
      <c r="CC170" s="14" t="str">
        <f t="shared" si="229"/>
        <v/>
      </c>
      <c r="CD170" s="14" t="str">
        <f t="shared" si="230"/>
        <v/>
      </c>
      <c r="CE170" s="14" t="str">
        <f>IF(OR(T170="",P170="",CD170="",T170&lt;=0,CD170&lt;=0),"",(1/Inputs!$B$9)*((T170^2/8)*((2*ACOS(1-2*CD170/T170))-SIN((2*ACOS(1-2*CD170/T170)))))*((((T170^2/8)*((2*ACOS(1-2*CD170/T170))-SIN((2*ACOS(1-2*CD170/T170)))))/((T170/2)*((2*ACOS(1-2*CD170/T170)))))^(2/3))*SQRT(P170))</f>
        <v/>
      </c>
      <c r="CF170" s="14" t="str">
        <f t="shared" si="231"/>
        <v/>
      </c>
      <c r="CG170" s="14" t="str">
        <f t="shared" si="232"/>
        <v/>
      </c>
      <c r="CH170" s="14" t="str">
        <f t="shared" si="233"/>
        <v/>
      </c>
    </row>
    <row r="171" spans="1:86" x14ac:dyDescent="0.25">
      <c r="A171" s="14"/>
      <c r="B171" s="14"/>
      <c r="C171" s="14"/>
      <c r="D171" s="14"/>
      <c r="E171" s="44"/>
      <c r="F171" s="44"/>
      <c r="G171" s="44">
        <f>SUMIFS(CB_plan!$G:$G,CB_plan!$F:$F,$A171)</f>
        <v>0</v>
      </c>
      <c r="H171" s="44">
        <f t="shared" si="195"/>
        <v>0</v>
      </c>
      <c r="I171" s="14"/>
      <c r="J171" s="44"/>
      <c r="K171" s="44" t="str">
        <f>IF(A171="","",Inputs!$B$13/((IF(AV171="",Inputs!$B$18,AV171)+Inputs!$B$14)^Inputs!$B$15))</f>
        <v/>
      </c>
      <c r="L171" s="44" t="str">
        <f>IF(A171="","",IF(H171="","",0.000000278*IF(I171&lt;&gt;"",I171,IFERROR(SUMIFS(CB_plan!$H:$H,CB_plan!$F:$F,$A171)/SUMIFS(CB_plan!$G:$G,CB_plan!$F:$F,$A171),Inputs!$B$17))*H171*K171))</f>
        <v/>
      </c>
      <c r="M171" s="44" t="str">
        <f t="shared" si="196"/>
        <v/>
      </c>
      <c r="N171" s="44" t="str">
        <f>IF(A171="","",(L171+M171)*Inputs!$B$16)</f>
        <v/>
      </c>
      <c r="O171" s="44"/>
      <c r="P171" s="44" t="str">
        <f>IF(A171="","",IF(O171="",Inputs!$B$7,O171))</f>
        <v/>
      </c>
      <c r="Q171" s="14" t="str">
        <f>IF(A171="","",IF(N171/Inputs!$B$10&lt;=AG171,Inputs!$F$5,IF(N171/Inputs!$B$10&gt;AP171,"OVERSIZE",INDEX(Inputs!$F$5:$F$14,MATCH(N171/Inputs!$B$10,AG171:AP171,1)+1))))</f>
        <v/>
      </c>
      <c r="R171" s="14"/>
      <c r="S171" s="14" t="str">
        <f t="shared" si="197"/>
        <v/>
      </c>
      <c r="T171" s="44" t="str">
        <f t="shared" si="198"/>
        <v/>
      </c>
      <c r="U171" s="44" t="str">
        <f>IF(T171="","",(1/Inputs!$B$9)*(PI()*T171^2/4)*((T171/4)^(2/3))*SQRT(P171))</f>
        <v/>
      </c>
      <c r="V171" s="44" t="str">
        <f>IF(OR(U171="",N171=""),"",N171/(U171*Inputs!$B$10))</f>
        <v/>
      </c>
      <c r="W171" s="44" t="str">
        <f t="shared" si="199"/>
        <v/>
      </c>
      <c r="X171" s="44"/>
      <c r="Y171" s="44" t="str">
        <f>IF(A171="","",IF(A171=Inputs!$B$6,Inputs!$B$22,IF(D171="","",IFERROR(INDEX($Z$4:$Z$201,MATCH(D171,$A$4:$A$201,0))+IF(X171="",Inputs!$B$20,X171),""))))</f>
        <v/>
      </c>
      <c r="Z171" s="44" t="str">
        <f t="shared" si="200"/>
        <v/>
      </c>
      <c r="AA171" s="44" t="str">
        <f>IF(C171="","",IFERROR(INDEX(Noeuds_plan!$C$4:$C$200,MATCH(C171,Noeuds_plan!$A$4:$A$200,0)),""))</f>
        <v/>
      </c>
      <c r="AB171" s="44" t="str">
        <f>IF(B171="","",IFERROR(INDEX(Noeuds_plan!$C$4:$C$200,MATCH(B171,Noeuds_plan!$A$4:$A$200,0)),""))</f>
        <v/>
      </c>
      <c r="AC171" s="44" t="str">
        <f t="shared" si="201"/>
        <v/>
      </c>
      <c r="AD171" s="44" t="str">
        <f t="shared" si="202"/>
        <v/>
      </c>
      <c r="AE171" s="14" t="str">
        <f>IF(A171="","",IF(OR(V171&gt;1,AND(AY171&lt;&gt;"",AY171&lt;Inputs!$B$11),AND(AY171&lt;&gt;"",AY171&gt;Inputs!$B$12),AC171&lt;Inputs!$B$19,AD171&lt;Inputs!$B$19,P171&lt;Inputs!$B$7,P171&gt;Inputs!$B$8),"CHECK","OK"))</f>
        <v/>
      </c>
      <c r="AF171" s="14"/>
      <c r="AG171" s="14" t="str">
        <f>IF(A171="","",(1/Inputs!$B$9)*(PI()*(Inputs!$F$5/1000)^2/4)*((Inputs!$F$5/1000/4)^(2/3))*SQRT(P171))</f>
        <v/>
      </c>
      <c r="AH171" s="14" t="str">
        <f>IF(A171="","",(1/Inputs!$B$9)*(PI()*(Inputs!$F$6/1000)^2/4)*((Inputs!$F$6/1000/4)^(2/3))*SQRT(P171))</f>
        <v/>
      </c>
      <c r="AI171" s="14" t="str">
        <f>IF(A171="","",(1/Inputs!$B$9)*(PI()*(Inputs!$F$7/1000)^2/4)*((Inputs!$F$7/1000/4)^(2/3))*SQRT(P171))</f>
        <v/>
      </c>
      <c r="AJ171" s="14" t="str">
        <f>IF(A171="","",(1/Inputs!$B$9)*(PI()*(Inputs!$F$8/1000)^2/4)*((Inputs!$F$8/1000/4)^(2/3))*SQRT(P171))</f>
        <v/>
      </c>
      <c r="AK171" s="14" t="str">
        <f>IF(A171="","",(1/Inputs!$B$9)*(PI()*(Inputs!$F$9/1000)^2/4)*((Inputs!$F$9/1000/4)^(2/3))*SQRT(P171))</f>
        <v/>
      </c>
      <c r="AL171" s="14" t="str">
        <f>IF(A171="","",(1/Inputs!$B$9)*(PI()*(Inputs!$F$10/1000)^2/4)*((Inputs!$F$10/1000/4)^(2/3))*SQRT(P171))</f>
        <v/>
      </c>
      <c r="AM171" s="14" t="str">
        <f>IF(A171="","",(1/Inputs!$B$9)*(PI()*(Inputs!$F$11/1000)^2/4)*((Inputs!$F$11/1000/4)^(2/3))*SQRT(P171))</f>
        <v/>
      </c>
      <c r="AN171" s="14" t="str">
        <f>IF(A171="","",(1/Inputs!$B$9)*(PI()*(Inputs!$F$12/1000)^2/4)*((Inputs!$F$12/1000/4)^(2/3))*SQRT(P171))</f>
        <v/>
      </c>
      <c r="AO171" s="14" t="str">
        <f>IF(A171="","",(1/Inputs!$B$9)*(PI()*(Inputs!$F$13/1000)^2/4)*((Inputs!$F$13/1000/4)^(2/3))*SQRT(P171))</f>
        <v/>
      </c>
      <c r="AP171" s="14" t="str">
        <f>IF(A171="","",(1/Inputs!$B$9)*(PI()*(Inputs!$F$14/1000)^2/4)*((Inputs!$F$14/1000/4)^(2/3))*SQRT(P171))</f>
        <v/>
      </c>
      <c r="AQ171" s="14" t="str">
        <f t="shared" si="203"/>
        <v/>
      </c>
      <c r="AR171" s="14" t="str">
        <f t="shared" si="204"/>
        <v/>
      </c>
      <c r="AS171" s="17" t="str">
        <f>IF(A171="","",IF(J171="",Inputs!$B$18,J171))</f>
        <v/>
      </c>
      <c r="AT171" s="17" t="str">
        <f>IF(A171="","",IFERROR(_xludf.maxifs($AV$4:$AV$201,$D$4:$D$201,$A171),""))</f>
        <v/>
      </c>
      <c r="AU171" s="17" t="str">
        <f>IF(A171="","",IF(OR(E171="",Inputs!$B$23=""),"",E171/(Inputs!$B$23*60)))</f>
        <v/>
      </c>
      <c r="AV171" s="17" t="str">
        <f t="shared" si="205"/>
        <v/>
      </c>
      <c r="AW171" s="17" t="str">
        <f t="shared" si="206"/>
        <v/>
      </c>
      <c r="AX171" s="17" t="str">
        <f>IF(OR(T171="",P171=""),"",(1/Inputs!$B$9)*((T171/4)^(2/3))*SQRT(P171))</f>
        <v/>
      </c>
      <c r="AY171" s="17" t="str">
        <f>IF(A171="","",IF(AND(AW171="",AX171="",BA171=""),"",IF(OR(UPPER(TRIM(Inputs!$B$24))="MANNING",UPPER(TRIM(Inputs!$B$24))="M"),AX171,IF(OR(UPPER(TRIM(Inputs!$B$24))="PARTIAL",UPPER(TRIM(Inputs!$B$24))="P"),BA171,IF(OR(UPPER(TRIM(Inputs!$B$24))="MAX",UPPER(TRIM(Inputs!$B$24))="X"),MAX(IF(AW171="",0,AW171),IF(AX171="",0,AX171),IF(BA171="",0,BA171)),AW171)))))</f>
        <v/>
      </c>
      <c r="AZ171" s="17" t="str">
        <f t="shared" si="207"/>
        <v/>
      </c>
      <c r="BA171" s="17" t="str">
        <f t="shared" si="208"/>
        <v/>
      </c>
      <c r="BB171" s="14" t="str">
        <f t="shared" si="209"/>
        <v/>
      </c>
      <c r="BC171" s="14" t="str">
        <f>IF(OR(N171="",T171="",P171=""),"",IF(OR(T171="",P171="",(0.94*T171)="",T171&lt;=0,(0.94*T171)&lt;=0),"",(1/Inputs!$B$9)*((T171^2/8)*((2*ACOS(1-2*(0.94*T171)/T171))-SIN((2*ACOS(1-2*(0.94*T171)/T171)))))*((((T171^2/8)*((2*ACOS(1-2*(0.94*T171)/T171))-SIN((2*ACOS(1-2*(0.94*T171)/T171)))))/((T171/2)*((2*ACOS(1-2*(0.94*T171)/T171)))))^(2/3))*SQRT(P171)))</f>
        <v/>
      </c>
      <c r="BD171" s="14" t="str">
        <f t="shared" si="210"/>
        <v/>
      </c>
      <c r="BE171" s="14" t="str">
        <f t="shared" si="211"/>
        <v/>
      </c>
      <c r="BF171" s="14" t="str">
        <f t="shared" si="212"/>
        <v/>
      </c>
      <c r="BG171" s="14" t="str">
        <f>IF(OR(T171="",P171="",BF171="",T171&lt;=0,BF171&lt;=0),"",(1/Inputs!$B$9)*((T171^2/8)*((2*ACOS(1-2*BF171/T171))-SIN((2*ACOS(1-2*BF171/T171)))))*((((T171^2/8)*((2*ACOS(1-2*BF171/T171))-SIN((2*ACOS(1-2*BF171/T171)))))/((T171/2)*((2*ACOS(1-2*BF171/T171)))))^(2/3))*SQRT(P171))</f>
        <v/>
      </c>
      <c r="BH171" s="14" t="str">
        <f t="shared" si="213"/>
        <v/>
      </c>
      <c r="BI171" s="14" t="str">
        <f t="shared" si="214"/>
        <v/>
      </c>
      <c r="BJ171" s="14" t="str">
        <f t="shared" si="215"/>
        <v/>
      </c>
      <c r="BK171" s="14" t="str">
        <f>IF(OR(T171="",P171="",BJ171="",T171&lt;=0,BJ171&lt;=0),"",(1/Inputs!$B$9)*((T171^2/8)*((2*ACOS(1-2*BJ171/T171))-SIN((2*ACOS(1-2*BJ171/T171)))))*((((T171^2/8)*((2*ACOS(1-2*BJ171/T171))-SIN((2*ACOS(1-2*BJ171/T171)))))/((T171/2)*((2*ACOS(1-2*BJ171/T171)))))^(2/3))*SQRT(P171))</f>
        <v/>
      </c>
      <c r="BL171" s="14" t="str">
        <f t="shared" si="216"/>
        <v/>
      </c>
      <c r="BM171" s="14" t="str">
        <f t="shared" si="217"/>
        <v/>
      </c>
      <c r="BN171" s="14" t="str">
        <f t="shared" si="218"/>
        <v/>
      </c>
      <c r="BO171" s="14" t="str">
        <f>IF(OR(T171="",P171="",BN171="",T171&lt;=0,BN171&lt;=0),"",(1/Inputs!$B$9)*((T171^2/8)*((2*ACOS(1-2*BN171/T171))-SIN((2*ACOS(1-2*BN171/T171)))))*((((T171^2/8)*((2*ACOS(1-2*BN171/T171))-SIN((2*ACOS(1-2*BN171/T171)))))/((T171/2)*((2*ACOS(1-2*BN171/T171)))))^(2/3))*SQRT(P171))</f>
        <v/>
      </c>
      <c r="BP171" s="14" t="str">
        <f t="shared" si="219"/>
        <v/>
      </c>
      <c r="BQ171" s="14" t="str">
        <f t="shared" si="220"/>
        <v/>
      </c>
      <c r="BR171" s="14" t="str">
        <f t="shared" si="221"/>
        <v/>
      </c>
      <c r="BS171" s="14" t="str">
        <f>IF(OR(T171="",P171="",BR171="",T171&lt;=0,BR171&lt;=0),"",(1/Inputs!$B$9)*((T171^2/8)*((2*ACOS(1-2*BR171/T171))-SIN((2*ACOS(1-2*BR171/T171)))))*((((T171^2/8)*((2*ACOS(1-2*BR171/T171))-SIN((2*ACOS(1-2*BR171/T171)))))/((T171/2)*((2*ACOS(1-2*BR171/T171)))))^(2/3))*SQRT(P171))</f>
        <v/>
      </c>
      <c r="BT171" s="14" t="str">
        <f t="shared" si="222"/>
        <v/>
      </c>
      <c r="BU171" s="14" t="str">
        <f t="shared" si="223"/>
        <v/>
      </c>
      <c r="BV171" s="14" t="str">
        <f t="shared" si="224"/>
        <v/>
      </c>
      <c r="BW171" s="14" t="str">
        <f>IF(OR(T171="",P171="",BV171="",T171&lt;=0,BV171&lt;=0),"",(1/Inputs!$B$9)*((T171^2/8)*((2*ACOS(1-2*BV171/T171))-SIN((2*ACOS(1-2*BV171/T171)))))*((((T171^2/8)*((2*ACOS(1-2*BV171/T171))-SIN((2*ACOS(1-2*BV171/T171)))))/((T171/2)*((2*ACOS(1-2*BV171/T171)))))^(2/3))*SQRT(P171))</f>
        <v/>
      </c>
      <c r="BX171" s="14" t="str">
        <f t="shared" si="225"/>
        <v/>
      </c>
      <c r="BY171" s="14" t="str">
        <f t="shared" si="226"/>
        <v/>
      </c>
      <c r="BZ171" s="14" t="str">
        <f t="shared" si="227"/>
        <v/>
      </c>
      <c r="CA171" s="14" t="str">
        <f>IF(OR(T171="",P171="",BZ171="",T171&lt;=0,BZ171&lt;=0),"",(1/Inputs!$B$9)*((T171^2/8)*((2*ACOS(1-2*BZ171/T171))-SIN((2*ACOS(1-2*BZ171/T171)))))*((((T171^2/8)*((2*ACOS(1-2*BZ171/T171))-SIN((2*ACOS(1-2*BZ171/T171)))))/((T171/2)*((2*ACOS(1-2*BZ171/T171)))))^(2/3))*SQRT(P171))</f>
        <v/>
      </c>
      <c r="CB171" s="14" t="str">
        <f t="shared" si="228"/>
        <v/>
      </c>
      <c r="CC171" s="14" t="str">
        <f t="shared" si="229"/>
        <v/>
      </c>
      <c r="CD171" s="14" t="str">
        <f t="shared" si="230"/>
        <v/>
      </c>
      <c r="CE171" s="14" t="str">
        <f>IF(OR(T171="",P171="",CD171="",T171&lt;=0,CD171&lt;=0),"",(1/Inputs!$B$9)*((T171^2/8)*((2*ACOS(1-2*CD171/T171))-SIN((2*ACOS(1-2*CD171/T171)))))*((((T171^2/8)*((2*ACOS(1-2*CD171/T171))-SIN((2*ACOS(1-2*CD171/T171)))))/((T171/2)*((2*ACOS(1-2*CD171/T171)))))^(2/3))*SQRT(P171))</f>
        <v/>
      </c>
      <c r="CF171" s="14" t="str">
        <f t="shared" si="231"/>
        <v/>
      </c>
      <c r="CG171" s="14" t="str">
        <f t="shared" si="232"/>
        <v/>
      </c>
      <c r="CH171" s="14" t="str">
        <f t="shared" si="233"/>
        <v/>
      </c>
    </row>
    <row r="172" spans="1:86" x14ac:dyDescent="0.25">
      <c r="A172" s="14"/>
      <c r="B172" s="14"/>
      <c r="C172" s="14"/>
      <c r="D172" s="14"/>
      <c r="E172" s="44"/>
      <c r="F172" s="44"/>
      <c r="G172" s="44">
        <f>SUMIFS(CB_plan!$G:$G,CB_plan!$F:$F,$A172)</f>
        <v>0</v>
      </c>
      <c r="H172" s="44">
        <f t="shared" si="195"/>
        <v>0</v>
      </c>
      <c r="I172" s="14"/>
      <c r="J172" s="44"/>
      <c r="K172" s="44" t="str">
        <f>IF(A172="","",Inputs!$B$13/((IF(AV172="",Inputs!$B$18,AV172)+Inputs!$B$14)^Inputs!$B$15))</f>
        <v/>
      </c>
      <c r="L172" s="44" t="str">
        <f>IF(A172="","",IF(H172="","",0.000000278*IF(I172&lt;&gt;"",I172,IFERROR(SUMIFS(CB_plan!$H:$H,CB_plan!$F:$F,$A172)/SUMIFS(CB_plan!$G:$G,CB_plan!$F:$F,$A172),Inputs!$B$17))*H172*K172))</f>
        <v/>
      </c>
      <c r="M172" s="44" t="str">
        <f t="shared" si="196"/>
        <v/>
      </c>
      <c r="N172" s="44" t="str">
        <f>IF(A172="","",(L172+M172)*Inputs!$B$16)</f>
        <v/>
      </c>
      <c r="O172" s="44"/>
      <c r="P172" s="44" t="str">
        <f>IF(A172="","",IF(O172="",Inputs!$B$7,O172))</f>
        <v/>
      </c>
      <c r="Q172" s="14" t="str">
        <f>IF(A172="","",IF(N172/Inputs!$B$10&lt;=AG172,Inputs!$F$5,IF(N172/Inputs!$B$10&gt;AP172,"OVERSIZE",INDEX(Inputs!$F$5:$F$14,MATCH(N172/Inputs!$B$10,AG172:AP172,1)+1))))</f>
        <v/>
      </c>
      <c r="R172" s="14"/>
      <c r="S172" s="14" t="str">
        <f t="shared" si="197"/>
        <v/>
      </c>
      <c r="T172" s="44" t="str">
        <f t="shared" si="198"/>
        <v/>
      </c>
      <c r="U172" s="44" t="str">
        <f>IF(T172="","",(1/Inputs!$B$9)*(PI()*T172^2/4)*((T172/4)^(2/3))*SQRT(P172))</f>
        <v/>
      </c>
      <c r="V172" s="44" t="str">
        <f>IF(OR(U172="",N172=""),"",N172/(U172*Inputs!$B$10))</f>
        <v/>
      </c>
      <c r="W172" s="44" t="str">
        <f t="shared" si="199"/>
        <v/>
      </c>
      <c r="X172" s="44"/>
      <c r="Y172" s="44" t="str">
        <f>IF(A172="","",IF(A172=Inputs!$B$6,Inputs!$B$22,IF(D172="","",IFERROR(INDEX($Z$4:$Z$201,MATCH(D172,$A$4:$A$201,0))+IF(X172="",Inputs!$B$20,X172),""))))</f>
        <v/>
      </c>
      <c r="Z172" s="44" t="str">
        <f t="shared" si="200"/>
        <v/>
      </c>
      <c r="AA172" s="44" t="str">
        <f>IF(C172="","",IFERROR(INDEX(Noeuds_plan!$C$4:$C$200,MATCH(C172,Noeuds_plan!$A$4:$A$200,0)),""))</f>
        <v/>
      </c>
      <c r="AB172" s="44" t="str">
        <f>IF(B172="","",IFERROR(INDEX(Noeuds_plan!$C$4:$C$200,MATCH(B172,Noeuds_plan!$A$4:$A$200,0)),""))</f>
        <v/>
      </c>
      <c r="AC172" s="44" t="str">
        <f t="shared" si="201"/>
        <v/>
      </c>
      <c r="AD172" s="44" t="str">
        <f t="shared" si="202"/>
        <v/>
      </c>
      <c r="AE172" s="14" t="str">
        <f>IF(A172="","",IF(OR(V172&gt;1,AND(AY172&lt;&gt;"",AY172&lt;Inputs!$B$11),AND(AY172&lt;&gt;"",AY172&gt;Inputs!$B$12),AC172&lt;Inputs!$B$19,AD172&lt;Inputs!$B$19,P172&lt;Inputs!$B$7,P172&gt;Inputs!$B$8),"CHECK","OK"))</f>
        <v/>
      </c>
      <c r="AF172" s="14"/>
      <c r="AG172" s="14" t="str">
        <f>IF(A172="","",(1/Inputs!$B$9)*(PI()*(Inputs!$F$5/1000)^2/4)*((Inputs!$F$5/1000/4)^(2/3))*SQRT(P172))</f>
        <v/>
      </c>
      <c r="AH172" s="14" t="str">
        <f>IF(A172="","",(1/Inputs!$B$9)*(PI()*(Inputs!$F$6/1000)^2/4)*((Inputs!$F$6/1000/4)^(2/3))*SQRT(P172))</f>
        <v/>
      </c>
      <c r="AI172" s="14" t="str">
        <f>IF(A172="","",(1/Inputs!$B$9)*(PI()*(Inputs!$F$7/1000)^2/4)*((Inputs!$F$7/1000/4)^(2/3))*SQRT(P172))</f>
        <v/>
      </c>
      <c r="AJ172" s="14" t="str">
        <f>IF(A172="","",(1/Inputs!$B$9)*(PI()*(Inputs!$F$8/1000)^2/4)*((Inputs!$F$8/1000/4)^(2/3))*SQRT(P172))</f>
        <v/>
      </c>
      <c r="AK172" s="14" t="str">
        <f>IF(A172="","",(1/Inputs!$B$9)*(PI()*(Inputs!$F$9/1000)^2/4)*((Inputs!$F$9/1000/4)^(2/3))*SQRT(P172))</f>
        <v/>
      </c>
      <c r="AL172" s="14" t="str">
        <f>IF(A172="","",(1/Inputs!$B$9)*(PI()*(Inputs!$F$10/1000)^2/4)*((Inputs!$F$10/1000/4)^(2/3))*SQRT(P172))</f>
        <v/>
      </c>
      <c r="AM172" s="14" t="str">
        <f>IF(A172="","",(1/Inputs!$B$9)*(PI()*(Inputs!$F$11/1000)^2/4)*((Inputs!$F$11/1000/4)^(2/3))*SQRT(P172))</f>
        <v/>
      </c>
      <c r="AN172" s="14" t="str">
        <f>IF(A172="","",(1/Inputs!$B$9)*(PI()*(Inputs!$F$12/1000)^2/4)*((Inputs!$F$12/1000/4)^(2/3))*SQRT(P172))</f>
        <v/>
      </c>
      <c r="AO172" s="14" t="str">
        <f>IF(A172="","",(1/Inputs!$B$9)*(PI()*(Inputs!$F$13/1000)^2/4)*((Inputs!$F$13/1000/4)^(2/3))*SQRT(P172))</f>
        <v/>
      </c>
      <c r="AP172" s="14" t="str">
        <f>IF(A172="","",(1/Inputs!$B$9)*(PI()*(Inputs!$F$14/1000)^2/4)*((Inputs!$F$14/1000/4)^(2/3))*SQRT(P172))</f>
        <v/>
      </c>
      <c r="AQ172" s="14" t="str">
        <f t="shared" si="203"/>
        <v/>
      </c>
      <c r="AR172" s="14" t="str">
        <f t="shared" si="204"/>
        <v/>
      </c>
      <c r="AS172" s="17" t="str">
        <f>IF(A172="","",IF(J172="",Inputs!$B$18,J172))</f>
        <v/>
      </c>
      <c r="AT172" s="17" t="str">
        <f>IF(A172="","",IFERROR(_xludf.maxifs($AV$4:$AV$201,$D$4:$D$201,$A172),""))</f>
        <v/>
      </c>
      <c r="AU172" s="17" t="str">
        <f>IF(A172="","",IF(OR(E172="",Inputs!$B$23=""),"",E172/(Inputs!$B$23*60)))</f>
        <v/>
      </c>
      <c r="AV172" s="17" t="str">
        <f t="shared" si="205"/>
        <v/>
      </c>
      <c r="AW172" s="17" t="str">
        <f t="shared" si="206"/>
        <v/>
      </c>
      <c r="AX172" s="17" t="str">
        <f>IF(OR(T172="",P172=""),"",(1/Inputs!$B$9)*((T172/4)^(2/3))*SQRT(P172))</f>
        <v/>
      </c>
      <c r="AY172" s="17" t="str">
        <f>IF(A172="","",IF(AND(AW172="",AX172="",BA172=""),"",IF(OR(UPPER(TRIM(Inputs!$B$24))="MANNING",UPPER(TRIM(Inputs!$B$24))="M"),AX172,IF(OR(UPPER(TRIM(Inputs!$B$24))="PARTIAL",UPPER(TRIM(Inputs!$B$24))="P"),BA172,IF(OR(UPPER(TRIM(Inputs!$B$24))="MAX",UPPER(TRIM(Inputs!$B$24))="X"),MAX(IF(AW172="",0,AW172),IF(AX172="",0,AX172),IF(BA172="",0,BA172)),AW172)))))</f>
        <v/>
      </c>
      <c r="AZ172" s="17" t="str">
        <f t="shared" si="207"/>
        <v/>
      </c>
      <c r="BA172" s="17" t="str">
        <f t="shared" si="208"/>
        <v/>
      </c>
      <c r="BB172" s="14" t="str">
        <f t="shared" si="209"/>
        <v/>
      </c>
      <c r="BC172" s="14" t="str">
        <f>IF(OR(N172="",T172="",P172=""),"",IF(OR(T172="",P172="",(0.94*T172)="",T172&lt;=0,(0.94*T172)&lt;=0),"",(1/Inputs!$B$9)*((T172^2/8)*((2*ACOS(1-2*(0.94*T172)/T172))-SIN((2*ACOS(1-2*(0.94*T172)/T172)))))*((((T172^2/8)*((2*ACOS(1-2*(0.94*T172)/T172))-SIN((2*ACOS(1-2*(0.94*T172)/T172)))))/((T172/2)*((2*ACOS(1-2*(0.94*T172)/T172)))))^(2/3))*SQRT(P172)))</f>
        <v/>
      </c>
      <c r="BD172" s="14" t="str">
        <f t="shared" si="210"/>
        <v/>
      </c>
      <c r="BE172" s="14" t="str">
        <f t="shared" si="211"/>
        <v/>
      </c>
      <c r="BF172" s="14" t="str">
        <f t="shared" si="212"/>
        <v/>
      </c>
      <c r="BG172" s="14" t="str">
        <f>IF(OR(T172="",P172="",BF172="",T172&lt;=0,BF172&lt;=0),"",(1/Inputs!$B$9)*((T172^2/8)*((2*ACOS(1-2*BF172/T172))-SIN((2*ACOS(1-2*BF172/T172)))))*((((T172^2/8)*((2*ACOS(1-2*BF172/T172))-SIN((2*ACOS(1-2*BF172/T172)))))/((T172/2)*((2*ACOS(1-2*BF172/T172)))))^(2/3))*SQRT(P172))</f>
        <v/>
      </c>
      <c r="BH172" s="14" t="str">
        <f t="shared" si="213"/>
        <v/>
      </c>
      <c r="BI172" s="14" t="str">
        <f t="shared" si="214"/>
        <v/>
      </c>
      <c r="BJ172" s="14" t="str">
        <f t="shared" si="215"/>
        <v/>
      </c>
      <c r="BK172" s="14" t="str">
        <f>IF(OR(T172="",P172="",BJ172="",T172&lt;=0,BJ172&lt;=0),"",(1/Inputs!$B$9)*((T172^2/8)*((2*ACOS(1-2*BJ172/T172))-SIN((2*ACOS(1-2*BJ172/T172)))))*((((T172^2/8)*((2*ACOS(1-2*BJ172/T172))-SIN((2*ACOS(1-2*BJ172/T172)))))/((T172/2)*((2*ACOS(1-2*BJ172/T172)))))^(2/3))*SQRT(P172))</f>
        <v/>
      </c>
      <c r="BL172" s="14" t="str">
        <f t="shared" si="216"/>
        <v/>
      </c>
      <c r="BM172" s="14" t="str">
        <f t="shared" si="217"/>
        <v/>
      </c>
      <c r="BN172" s="14" t="str">
        <f t="shared" si="218"/>
        <v/>
      </c>
      <c r="BO172" s="14" t="str">
        <f>IF(OR(T172="",P172="",BN172="",T172&lt;=0,BN172&lt;=0),"",(1/Inputs!$B$9)*((T172^2/8)*((2*ACOS(1-2*BN172/T172))-SIN((2*ACOS(1-2*BN172/T172)))))*((((T172^2/8)*((2*ACOS(1-2*BN172/T172))-SIN((2*ACOS(1-2*BN172/T172)))))/((T172/2)*((2*ACOS(1-2*BN172/T172)))))^(2/3))*SQRT(P172))</f>
        <v/>
      </c>
      <c r="BP172" s="14" t="str">
        <f t="shared" si="219"/>
        <v/>
      </c>
      <c r="BQ172" s="14" t="str">
        <f t="shared" si="220"/>
        <v/>
      </c>
      <c r="BR172" s="14" t="str">
        <f t="shared" si="221"/>
        <v/>
      </c>
      <c r="BS172" s="14" t="str">
        <f>IF(OR(T172="",P172="",BR172="",T172&lt;=0,BR172&lt;=0),"",(1/Inputs!$B$9)*((T172^2/8)*((2*ACOS(1-2*BR172/T172))-SIN((2*ACOS(1-2*BR172/T172)))))*((((T172^2/8)*((2*ACOS(1-2*BR172/T172))-SIN((2*ACOS(1-2*BR172/T172)))))/((T172/2)*((2*ACOS(1-2*BR172/T172)))))^(2/3))*SQRT(P172))</f>
        <v/>
      </c>
      <c r="BT172" s="14" t="str">
        <f t="shared" si="222"/>
        <v/>
      </c>
      <c r="BU172" s="14" t="str">
        <f t="shared" si="223"/>
        <v/>
      </c>
      <c r="BV172" s="14" t="str">
        <f t="shared" si="224"/>
        <v/>
      </c>
      <c r="BW172" s="14" t="str">
        <f>IF(OR(T172="",P172="",BV172="",T172&lt;=0,BV172&lt;=0),"",(1/Inputs!$B$9)*((T172^2/8)*((2*ACOS(1-2*BV172/T172))-SIN((2*ACOS(1-2*BV172/T172)))))*((((T172^2/8)*((2*ACOS(1-2*BV172/T172))-SIN((2*ACOS(1-2*BV172/T172)))))/((T172/2)*((2*ACOS(1-2*BV172/T172)))))^(2/3))*SQRT(P172))</f>
        <v/>
      </c>
      <c r="BX172" s="14" t="str">
        <f t="shared" si="225"/>
        <v/>
      </c>
      <c r="BY172" s="14" t="str">
        <f t="shared" si="226"/>
        <v/>
      </c>
      <c r="BZ172" s="14" t="str">
        <f t="shared" si="227"/>
        <v/>
      </c>
      <c r="CA172" s="14" t="str">
        <f>IF(OR(T172="",P172="",BZ172="",T172&lt;=0,BZ172&lt;=0),"",(1/Inputs!$B$9)*((T172^2/8)*((2*ACOS(1-2*BZ172/T172))-SIN((2*ACOS(1-2*BZ172/T172)))))*((((T172^2/8)*((2*ACOS(1-2*BZ172/T172))-SIN((2*ACOS(1-2*BZ172/T172)))))/((T172/2)*((2*ACOS(1-2*BZ172/T172)))))^(2/3))*SQRT(P172))</f>
        <v/>
      </c>
      <c r="CB172" s="14" t="str">
        <f t="shared" si="228"/>
        <v/>
      </c>
      <c r="CC172" s="14" t="str">
        <f t="shared" si="229"/>
        <v/>
      </c>
      <c r="CD172" s="14" t="str">
        <f t="shared" si="230"/>
        <v/>
      </c>
      <c r="CE172" s="14" t="str">
        <f>IF(OR(T172="",P172="",CD172="",T172&lt;=0,CD172&lt;=0),"",(1/Inputs!$B$9)*((T172^2/8)*((2*ACOS(1-2*CD172/T172))-SIN((2*ACOS(1-2*CD172/T172)))))*((((T172^2/8)*((2*ACOS(1-2*CD172/T172))-SIN((2*ACOS(1-2*CD172/T172)))))/((T172/2)*((2*ACOS(1-2*CD172/T172)))))^(2/3))*SQRT(P172))</f>
        <v/>
      </c>
      <c r="CF172" s="14" t="str">
        <f t="shared" si="231"/>
        <v/>
      </c>
      <c r="CG172" s="14" t="str">
        <f t="shared" si="232"/>
        <v/>
      </c>
      <c r="CH172" s="14" t="str">
        <f t="shared" si="233"/>
        <v/>
      </c>
    </row>
    <row r="173" spans="1:86" x14ac:dyDescent="0.25">
      <c r="A173" s="14"/>
      <c r="B173" s="14"/>
      <c r="C173" s="14"/>
      <c r="D173" s="14"/>
      <c r="E173" s="44"/>
      <c r="F173" s="44"/>
      <c r="G173" s="44">
        <f>SUMIFS(CB_plan!$G:$G,CB_plan!$F:$F,$A173)</f>
        <v>0</v>
      </c>
      <c r="H173" s="44">
        <f t="shared" si="195"/>
        <v>0</v>
      </c>
      <c r="I173" s="14"/>
      <c r="J173" s="44"/>
      <c r="K173" s="44" t="str">
        <f>IF(A173="","",Inputs!$B$13/((IF(AV173="",Inputs!$B$18,AV173)+Inputs!$B$14)^Inputs!$B$15))</f>
        <v/>
      </c>
      <c r="L173" s="44" t="str">
        <f>IF(A173="","",IF(H173="","",0.000000278*IF(I173&lt;&gt;"",I173,IFERROR(SUMIFS(CB_plan!$H:$H,CB_plan!$F:$F,$A173)/SUMIFS(CB_plan!$G:$G,CB_plan!$F:$F,$A173),Inputs!$B$17))*H173*K173))</f>
        <v/>
      </c>
      <c r="M173" s="44" t="str">
        <f t="shared" si="196"/>
        <v/>
      </c>
      <c r="N173" s="44" t="str">
        <f>IF(A173="","",(L173+M173)*Inputs!$B$16)</f>
        <v/>
      </c>
      <c r="O173" s="44"/>
      <c r="P173" s="44" t="str">
        <f>IF(A173="","",IF(O173="",Inputs!$B$7,O173))</f>
        <v/>
      </c>
      <c r="Q173" s="14" t="str">
        <f>IF(A173="","",IF(N173/Inputs!$B$10&lt;=AG173,Inputs!$F$5,IF(N173/Inputs!$B$10&gt;AP173,"OVERSIZE",INDEX(Inputs!$F$5:$F$14,MATCH(N173/Inputs!$B$10,AG173:AP173,1)+1))))</f>
        <v/>
      </c>
      <c r="R173" s="14"/>
      <c r="S173" s="14" t="str">
        <f t="shared" si="197"/>
        <v/>
      </c>
      <c r="T173" s="44" t="str">
        <f t="shared" si="198"/>
        <v/>
      </c>
      <c r="U173" s="44" t="str">
        <f>IF(T173="","",(1/Inputs!$B$9)*(PI()*T173^2/4)*((T173/4)^(2/3))*SQRT(P173))</f>
        <v/>
      </c>
      <c r="V173" s="44" t="str">
        <f>IF(OR(U173="",N173=""),"",N173/(U173*Inputs!$B$10))</f>
        <v/>
      </c>
      <c r="W173" s="44" t="str">
        <f t="shared" si="199"/>
        <v/>
      </c>
      <c r="X173" s="44"/>
      <c r="Y173" s="44" t="str">
        <f>IF(A173="","",IF(A173=Inputs!$B$6,Inputs!$B$22,IF(D173="","",IFERROR(INDEX($Z$4:$Z$201,MATCH(D173,$A$4:$A$201,0))+IF(X173="",Inputs!$B$20,X173),""))))</f>
        <v/>
      </c>
      <c r="Z173" s="44" t="str">
        <f t="shared" si="200"/>
        <v/>
      </c>
      <c r="AA173" s="44" t="str">
        <f>IF(C173="","",IFERROR(INDEX(Noeuds_plan!$C$4:$C$200,MATCH(C173,Noeuds_plan!$A$4:$A$200,0)),""))</f>
        <v/>
      </c>
      <c r="AB173" s="44" t="str">
        <f>IF(B173="","",IFERROR(INDEX(Noeuds_plan!$C$4:$C$200,MATCH(B173,Noeuds_plan!$A$4:$A$200,0)),""))</f>
        <v/>
      </c>
      <c r="AC173" s="44" t="str">
        <f t="shared" si="201"/>
        <v/>
      </c>
      <c r="AD173" s="44" t="str">
        <f t="shared" si="202"/>
        <v/>
      </c>
      <c r="AE173" s="14" t="str">
        <f>IF(A173="","",IF(OR(V173&gt;1,AND(AY173&lt;&gt;"",AY173&lt;Inputs!$B$11),AND(AY173&lt;&gt;"",AY173&gt;Inputs!$B$12),AC173&lt;Inputs!$B$19,AD173&lt;Inputs!$B$19,P173&lt;Inputs!$B$7,P173&gt;Inputs!$B$8),"CHECK","OK"))</f>
        <v/>
      </c>
      <c r="AF173" s="14"/>
      <c r="AG173" s="14" t="str">
        <f>IF(A173="","",(1/Inputs!$B$9)*(PI()*(Inputs!$F$5/1000)^2/4)*((Inputs!$F$5/1000/4)^(2/3))*SQRT(P173))</f>
        <v/>
      </c>
      <c r="AH173" s="14" t="str">
        <f>IF(A173="","",(1/Inputs!$B$9)*(PI()*(Inputs!$F$6/1000)^2/4)*((Inputs!$F$6/1000/4)^(2/3))*SQRT(P173))</f>
        <v/>
      </c>
      <c r="AI173" s="14" t="str">
        <f>IF(A173="","",(1/Inputs!$B$9)*(PI()*(Inputs!$F$7/1000)^2/4)*((Inputs!$F$7/1000/4)^(2/3))*SQRT(P173))</f>
        <v/>
      </c>
      <c r="AJ173" s="14" t="str">
        <f>IF(A173="","",(1/Inputs!$B$9)*(PI()*(Inputs!$F$8/1000)^2/4)*((Inputs!$F$8/1000/4)^(2/3))*SQRT(P173))</f>
        <v/>
      </c>
      <c r="AK173" s="14" t="str">
        <f>IF(A173="","",(1/Inputs!$B$9)*(PI()*(Inputs!$F$9/1000)^2/4)*((Inputs!$F$9/1000/4)^(2/3))*SQRT(P173))</f>
        <v/>
      </c>
      <c r="AL173" s="14" t="str">
        <f>IF(A173="","",(1/Inputs!$B$9)*(PI()*(Inputs!$F$10/1000)^2/4)*((Inputs!$F$10/1000/4)^(2/3))*SQRT(P173))</f>
        <v/>
      </c>
      <c r="AM173" s="14" t="str">
        <f>IF(A173="","",(1/Inputs!$B$9)*(PI()*(Inputs!$F$11/1000)^2/4)*((Inputs!$F$11/1000/4)^(2/3))*SQRT(P173))</f>
        <v/>
      </c>
      <c r="AN173" s="14" t="str">
        <f>IF(A173="","",(1/Inputs!$B$9)*(PI()*(Inputs!$F$12/1000)^2/4)*((Inputs!$F$12/1000/4)^(2/3))*SQRT(P173))</f>
        <v/>
      </c>
      <c r="AO173" s="14" t="str">
        <f>IF(A173="","",(1/Inputs!$B$9)*(PI()*(Inputs!$F$13/1000)^2/4)*((Inputs!$F$13/1000/4)^(2/3))*SQRT(P173))</f>
        <v/>
      </c>
      <c r="AP173" s="14" t="str">
        <f>IF(A173="","",(1/Inputs!$B$9)*(PI()*(Inputs!$F$14/1000)^2/4)*((Inputs!$F$14/1000/4)^(2/3))*SQRT(P173))</f>
        <v/>
      </c>
      <c r="AQ173" s="14" t="str">
        <f t="shared" si="203"/>
        <v/>
      </c>
      <c r="AR173" s="14" t="str">
        <f t="shared" si="204"/>
        <v/>
      </c>
      <c r="AS173" s="17" t="str">
        <f>IF(A173="","",IF(J173="",Inputs!$B$18,J173))</f>
        <v/>
      </c>
      <c r="AT173" s="17" t="str">
        <f>IF(A173="","",IFERROR(_xludf.maxifs($AV$4:$AV$201,$D$4:$D$201,$A173),""))</f>
        <v/>
      </c>
      <c r="AU173" s="17" t="str">
        <f>IF(A173="","",IF(OR(E173="",Inputs!$B$23=""),"",E173/(Inputs!$B$23*60)))</f>
        <v/>
      </c>
      <c r="AV173" s="17" t="str">
        <f t="shared" si="205"/>
        <v/>
      </c>
      <c r="AW173" s="17" t="str">
        <f t="shared" si="206"/>
        <v/>
      </c>
      <c r="AX173" s="17" t="str">
        <f>IF(OR(T173="",P173=""),"",(1/Inputs!$B$9)*((T173/4)^(2/3))*SQRT(P173))</f>
        <v/>
      </c>
      <c r="AY173" s="17" t="str">
        <f>IF(A173="","",IF(AND(AW173="",AX173="",BA173=""),"",IF(OR(UPPER(TRIM(Inputs!$B$24))="MANNING",UPPER(TRIM(Inputs!$B$24))="M"),AX173,IF(OR(UPPER(TRIM(Inputs!$B$24))="PARTIAL",UPPER(TRIM(Inputs!$B$24))="P"),BA173,IF(OR(UPPER(TRIM(Inputs!$B$24))="MAX",UPPER(TRIM(Inputs!$B$24))="X"),MAX(IF(AW173="",0,AW173),IF(AX173="",0,AX173),IF(BA173="",0,BA173)),AW173)))))</f>
        <v/>
      </c>
      <c r="AZ173" s="17" t="str">
        <f t="shared" si="207"/>
        <v/>
      </c>
      <c r="BA173" s="17" t="str">
        <f t="shared" si="208"/>
        <v/>
      </c>
      <c r="BB173" s="14" t="str">
        <f t="shared" si="209"/>
        <v/>
      </c>
      <c r="BC173" s="14" t="str">
        <f>IF(OR(N173="",T173="",P173=""),"",IF(OR(T173="",P173="",(0.94*T173)="",T173&lt;=0,(0.94*T173)&lt;=0),"",(1/Inputs!$B$9)*((T173^2/8)*((2*ACOS(1-2*(0.94*T173)/T173))-SIN((2*ACOS(1-2*(0.94*T173)/T173)))))*((((T173^2/8)*((2*ACOS(1-2*(0.94*T173)/T173))-SIN((2*ACOS(1-2*(0.94*T173)/T173)))))/((T173/2)*((2*ACOS(1-2*(0.94*T173)/T173)))))^(2/3))*SQRT(P173)))</f>
        <v/>
      </c>
      <c r="BD173" s="14" t="str">
        <f t="shared" si="210"/>
        <v/>
      </c>
      <c r="BE173" s="14" t="str">
        <f t="shared" si="211"/>
        <v/>
      </c>
      <c r="BF173" s="14" t="str">
        <f t="shared" si="212"/>
        <v/>
      </c>
      <c r="BG173" s="14" t="str">
        <f>IF(OR(T173="",P173="",BF173="",T173&lt;=0,BF173&lt;=0),"",(1/Inputs!$B$9)*((T173^2/8)*((2*ACOS(1-2*BF173/T173))-SIN((2*ACOS(1-2*BF173/T173)))))*((((T173^2/8)*((2*ACOS(1-2*BF173/T173))-SIN((2*ACOS(1-2*BF173/T173)))))/((T173/2)*((2*ACOS(1-2*BF173/T173)))))^(2/3))*SQRT(P173))</f>
        <v/>
      </c>
      <c r="BH173" s="14" t="str">
        <f t="shared" si="213"/>
        <v/>
      </c>
      <c r="BI173" s="14" t="str">
        <f t="shared" si="214"/>
        <v/>
      </c>
      <c r="BJ173" s="14" t="str">
        <f t="shared" si="215"/>
        <v/>
      </c>
      <c r="BK173" s="14" t="str">
        <f>IF(OR(T173="",P173="",BJ173="",T173&lt;=0,BJ173&lt;=0),"",(1/Inputs!$B$9)*((T173^2/8)*((2*ACOS(1-2*BJ173/T173))-SIN((2*ACOS(1-2*BJ173/T173)))))*((((T173^2/8)*((2*ACOS(1-2*BJ173/T173))-SIN((2*ACOS(1-2*BJ173/T173)))))/((T173/2)*((2*ACOS(1-2*BJ173/T173)))))^(2/3))*SQRT(P173))</f>
        <v/>
      </c>
      <c r="BL173" s="14" t="str">
        <f t="shared" si="216"/>
        <v/>
      </c>
      <c r="BM173" s="14" t="str">
        <f t="shared" si="217"/>
        <v/>
      </c>
      <c r="BN173" s="14" t="str">
        <f t="shared" si="218"/>
        <v/>
      </c>
      <c r="BO173" s="14" t="str">
        <f>IF(OR(T173="",P173="",BN173="",T173&lt;=0,BN173&lt;=0),"",(1/Inputs!$B$9)*((T173^2/8)*((2*ACOS(1-2*BN173/T173))-SIN((2*ACOS(1-2*BN173/T173)))))*((((T173^2/8)*((2*ACOS(1-2*BN173/T173))-SIN((2*ACOS(1-2*BN173/T173)))))/((T173/2)*((2*ACOS(1-2*BN173/T173)))))^(2/3))*SQRT(P173))</f>
        <v/>
      </c>
      <c r="BP173" s="14" t="str">
        <f t="shared" si="219"/>
        <v/>
      </c>
      <c r="BQ173" s="14" t="str">
        <f t="shared" si="220"/>
        <v/>
      </c>
      <c r="BR173" s="14" t="str">
        <f t="shared" si="221"/>
        <v/>
      </c>
      <c r="BS173" s="14" t="str">
        <f>IF(OR(T173="",P173="",BR173="",T173&lt;=0,BR173&lt;=0),"",(1/Inputs!$B$9)*((T173^2/8)*((2*ACOS(1-2*BR173/T173))-SIN((2*ACOS(1-2*BR173/T173)))))*((((T173^2/8)*((2*ACOS(1-2*BR173/T173))-SIN((2*ACOS(1-2*BR173/T173)))))/((T173/2)*((2*ACOS(1-2*BR173/T173)))))^(2/3))*SQRT(P173))</f>
        <v/>
      </c>
      <c r="BT173" s="14" t="str">
        <f t="shared" si="222"/>
        <v/>
      </c>
      <c r="BU173" s="14" t="str">
        <f t="shared" si="223"/>
        <v/>
      </c>
      <c r="BV173" s="14" t="str">
        <f t="shared" si="224"/>
        <v/>
      </c>
      <c r="BW173" s="14" t="str">
        <f>IF(OR(T173="",P173="",BV173="",T173&lt;=0,BV173&lt;=0),"",(1/Inputs!$B$9)*((T173^2/8)*((2*ACOS(1-2*BV173/T173))-SIN((2*ACOS(1-2*BV173/T173)))))*((((T173^2/8)*((2*ACOS(1-2*BV173/T173))-SIN((2*ACOS(1-2*BV173/T173)))))/((T173/2)*((2*ACOS(1-2*BV173/T173)))))^(2/3))*SQRT(P173))</f>
        <v/>
      </c>
      <c r="BX173" s="14" t="str">
        <f t="shared" si="225"/>
        <v/>
      </c>
      <c r="BY173" s="14" t="str">
        <f t="shared" si="226"/>
        <v/>
      </c>
      <c r="BZ173" s="14" t="str">
        <f t="shared" si="227"/>
        <v/>
      </c>
      <c r="CA173" s="14" t="str">
        <f>IF(OR(T173="",P173="",BZ173="",T173&lt;=0,BZ173&lt;=0),"",(1/Inputs!$B$9)*((T173^2/8)*((2*ACOS(1-2*BZ173/T173))-SIN((2*ACOS(1-2*BZ173/T173)))))*((((T173^2/8)*((2*ACOS(1-2*BZ173/T173))-SIN((2*ACOS(1-2*BZ173/T173)))))/((T173/2)*((2*ACOS(1-2*BZ173/T173)))))^(2/3))*SQRT(P173))</f>
        <v/>
      </c>
      <c r="CB173" s="14" t="str">
        <f t="shared" si="228"/>
        <v/>
      </c>
      <c r="CC173" s="14" t="str">
        <f t="shared" si="229"/>
        <v/>
      </c>
      <c r="CD173" s="14" t="str">
        <f t="shared" si="230"/>
        <v/>
      </c>
      <c r="CE173" s="14" t="str">
        <f>IF(OR(T173="",P173="",CD173="",T173&lt;=0,CD173&lt;=0),"",(1/Inputs!$B$9)*((T173^2/8)*((2*ACOS(1-2*CD173/T173))-SIN((2*ACOS(1-2*CD173/T173)))))*((((T173^2/8)*((2*ACOS(1-2*CD173/T173))-SIN((2*ACOS(1-2*CD173/T173)))))/((T173/2)*((2*ACOS(1-2*CD173/T173)))))^(2/3))*SQRT(P173))</f>
        <v/>
      </c>
      <c r="CF173" s="14" t="str">
        <f t="shared" si="231"/>
        <v/>
      </c>
      <c r="CG173" s="14" t="str">
        <f t="shared" si="232"/>
        <v/>
      </c>
      <c r="CH173" s="14" t="str">
        <f t="shared" si="233"/>
        <v/>
      </c>
    </row>
    <row r="174" spans="1:86" x14ac:dyDescent="0.25">
      <c r="A174" s="14"/>
      <c r="B174" s="14"/>
      <c r="C174" s="14"/>
      <c r="D174" s="14"/>
      <c r="E174" s="44"/>
      <c r="F174" s="44"/>
      <c r="G174" s="44">
        <f>SUMIFS(CB_plan!$G:$G,CB_plan!$F:$F,$A174)</f>
        <v>0</v>
      </c>
      <c r="H174" s="44">
        <f t="shared" si="195"/>
        <v>0</v>
      </c>
      <c r="I174" s="14"/>
      <c r="J174" s="44"/>
      <c r="K174" s="44" t="str">
        <f>IF(A174="","",Inputs!$B$13/((IF(AV174="",Inputs!$B$18,AV174)+Inputs!$B$14)^Inputs!$B$15))</f>
        <v/>
      </c>
      <c r="L174" s="44" t="str">
        <f>IF(A174="","",IF(H174="","",0.000000278*IF(I174&lt;&gt;"",I174,IFERROR(SUMIFS(CB_plan!$H:$H,CB_plan!$F:$F,$A174)/SUMIFS(CB_plan!$G:$G,CB_plan!$F:$F,$A174),Inputs!$B$17))*H174*K174))</f>
        <v/>
      </c>
      <c r="M174" s="44" t="str">
        <f t="shared" si="196"/>
        <v/>
      </c>
      <c r="N174" s="44" t="str">
        <f>IF(A174="","",(L174+M174)*Inputs!$B$16)</f>
        <v/>
      </c>
      <c r="O174" s="44"/>
      <c r="P174" s="44" t="str">
        <f>IF(A174="","",IF(O174="",Inputs!$B$7,O174))</f>
        <v/>
      </c>
      <c r="Q174" s="14" t="str">
        <f>IF(A174="","",IF(N174/Inputs!$B$10&lt;=AG174,Inputs!$F$5,IF(N174/Inputs!$B$10&gt;AP174,"OVERSIZE",INDEX(Inputs!$F$5:$F$14,MATCH(N174/Inputs!$B$10,AG174:AP174,1)+1))))</f>
        <v/>
      </c>
      <c r="R174" s="14"/>
      <c r="S174" s="14" t="str">
        <f t="shared" si="197"/>
        <v/>
      </c>
      <c r="T174" s="44" t="str">
        <f t="shared" si="198"/>
        <v/>
      </c>
      <c r="U174" s="44" t="str">
        <f>IF(T174="","",(1/Inputs!$B$9)*(PI()*T174^2/4)*((T174/4)^(2/3))*SQRT(P174))</f>
        <v/>
      </c>
      <c r="V174" s="44" t="str">
        <f>IF(OR(U174="",N174=""),"",N174/(U174*Inputs!$B$10))</f>
        <v/>
      </c>
      <c r="W174" s="44" t="str">
        <f t="shared" si="199"/>
        <v/>
      </c>
      <c r="X174" s="44"/>
      <c r="Y174" s="44" t="str">
        <f>IF(A174="","",IF(A174=Inputs!$B$6,Inputs!$B$22,IF(D174="","",IFERROR(INDEX($Z$4:$Z$201,MATCH(D174,$A$4:$A$201,0))+IF(X174="",Inputs!$B$20,X174),""))))</f>
        <v/>
      </c>
      <c r="Z174" s="44" t="str">
        <f t="shared" si="200"/>
        <v/>
      </c>
      <c r="AA174" s="44" t="str">
        <f>IF(C174="","",IFERROR(INDEX(Noeuds_plan!$C$4:$C$200,MATCH(C174,Noeuds_plan!$A$4:$A$200,0)),""))</f>
        <v/>
      </c>
      <c r="AB174" s="44" t="str">
        <f>IF(B174="","",IFERROR(INDEX(Noeuds_plan!$C$4:$C$200,MATCH(B174,Noeuds_plan!$A$4:$A$200,0)),""))</f>
        <v/>
      </c>
      <c r="AC174" s="44" t="str">
        <f t="shared" si="201"/>
        <v/>
      </c>
      <c r="AD174" s="44" t="str">
        <f t="shared" si="202"/>
        <v/>
      </c>
      <c r="AE174" s="14" t="str">
        <f>IF(A174="","",IF(OR(V174&gt;1,AND(AY174&lt;&gt;"",AY174&lt;Inputs!$B$11),AND(AY174&lt;&gt;"",AY174&gt;Inputs!$B$12),AC174&lt;Inputs!$B$19,AD174&lt;Inputs!$B$19,P174&lt;Inputs!$B$7,P174&gt;Inputs!$B$8),"CHECK","OK"))</f>
        <v/>
      </c>
      <c r="AF174" s="14"/>
      <c r="AG174" s="14" t="str">
        <f>IF(A174="","",(1/Inputs!$B$9)*(PI()*(Inputs!$F$5/1000)^2/4)*((Inputs!$F$5/1000/4)^(2/3))*SQRT(P174))</f>
        <v/>
      </c>
      <c r="AH174" s="14" t="str">
        <f>IF(A174="","",(1/Inputs!$B$9)*(PI()*(Inputs!$F$6/1000)^2/4)*((Inputs!$F$6/1000/4)^(2/3))*SQRT(P174))</f>
        <v/>
      </c>
      <c r="AI174" s="14" t="str">
        <f>IF(A174="","",(1/Inputs!$B$9)*(PI()*(Inputs!$F$7/1000)^2/4)*((Inputs!$F$7/1000/4)^(2/3))*SQRT(P174))</f>
        <v/>
      </c>
      <c r="AJ174" s="14" t="str">
        <f>IF(A174="","",(1/Inputs!$B$9)*(PI()*(Inputs!$F$8/1000)^2/4)*((Inputs!$F$8/1000/4)^(2/3))*SQRT(P174))</f>
        <v/>
      </c>
      <c r="AK174" s="14" t="str">
        <f>IF(A174="","",(1/Inputs!$B$9)*(PI()*(Inputs!$F$9/1000)^2/4)*((Inputs!$F$9/1000/4)^(2/3))*SQRT(P174))</f>
        <v/>
      </c>
      <c r="AL174" s="14" t="str">
        <f>IF(A174="","",(1/Inputs!$B$9)*(PI()*(Inputs!$F$10/1000)^2/4)*((Inputs!$F$10/1000/4)^(2/3))*SQRT(P174))</f>
        <v/>
      </c>
      <c r="AM174" s="14" t="str">
        <f>IF(A174="","",(1/Inputs!$B$9)*(PI()*(Inputs!$F$11/1000)^2/4)*((Inputs!$F$11/1000/4)^(2/3))*SQRT(P174))</f>
        <v/>
      </c>
      <c r="AN174" s="14" t="str">
        <f>IF(A174="","",(1/Inputs!$B$9)*(PI()*(Inputs!$F$12/1000)^2/4)*((Inputs!$F$12/1000/4)^(2/3))*SQRT(P174))</f>
        <v/>
      </c>
      <c r="AO174" s="14" t="str">
        <f>IF(A174="","",(1/Inputs!$B$9)*(PI()*(Inputs!$F$13/1000)^2/4)*((Inputs!$F$13/1000/4)^(2/3))*SQRT(P174))</f>
        <v/>
      </c>
      <c r="AP174" s="14" t="str">
        <f>IF(A174="","",(1/Inputs!$B$9)*(PI()*(Inputs!$F$14/1000)^2/4)*((Inputs!$F$14/1000/4)^(2/3))*SQRT(P174))</f>
        <v/>
      </c>
      <c r="AQ174" s="14" t="str">
        <f t="shared" si="203"/>
        <v/>
      </c>
      <c r="AR174" s="14" t="str">
        <f t="shared" si="204"/>
        <v/>
      </c>
      <c r="AS174" s="17" t="str">
        <f>IF(A174="","",IF(J174="",Inputs!$B$18,J174))</f>
        <v/>
      </c>
      <c r="AT174" s="17" t="str">
        <f>IF(A174="","",IFERROR(_xludf.maxifs($AV$4:$AV$201,$D$4:$D$201,$A174),""))</f>
        <v/>
      </c>
      <c r="AU174" s="17" t="str">
        <f>IF(A174="","",IF(OR(E174="",Inputs!$B$23=""),"",E174/(Inputs!$B$23*60)))</f>
        <v/>
      </c>
      <c r="AV174" s="17" t="str">
        <f t="shared" si="205"/>
        <v/>
      </c>
      <c r="AW174" s="17" t="str">
        <f t="shared" si="206"/>
        <v/>
      </c>
      <c r="AX174" s="17" t="str">
        <f>IF(OR(T174="",P174=""),"",(1/Inputs!$B$9)*((T174/4)^(2/3))*SQRT(P174))</f>
        <v/>
      </c>
      <c r="AY174" s="17" t="str">
        <f>IF(A174="","",IF(AND(AW174="",AX174="",BA174=""),"",IF(OR(UPPER(TRIM(Inputs!$B$24))="MANNING",UPPER(TRIM(Inputs!$B$24))="M"),AX174,IF(OR(UPPER(TRIM(Inputs!$B$24))="PARTIAL",UPPER(TRIM(Inputs!$B$24))="P"),BA174,IF(OR(UPPER(TRIM(Inputs!$B$24))="MAX",UPPER(TRIM(Inputs!$B$24))="X"),MAX(IF(AW174="",0,AW174),IF(AX174="",0,AX174),IF(BA174="",0,BA174)),AW174)))))</f>
        <v/>
      </c>
      <c r="AZ174" s="17" t="str">
        <f t="shared" si="207"/>
        <v/>
      </c>
      <c r="BA174" s="17" t="str">
        <f t="shared" si="208"/>
        <v/>
      </c>
      <c r="BB174" s="14" t="str">
        <f t="shared" si="209"/>
        <v/>
      </c>
      <c r="BC174" s="14" t="str">
        <f>IF(OR(N174="",T174="",P174=""),"",IF(OR(T174="",P174="",(0.94*T174)="",T174&lt;=0,(0.94*T174)&lt;=0),"",(1/Inputs!$B$9)*((T174^2/8)*((2*ACOS(1-2*(0.94*T174)/T174))-SIN((2*ACOS(1-2*(0.94*T174)/T174)))))*((((T174^2/8)*((2*ACOS(1-2*(0.94*T174)/T174))-SIN((2*ACOS(1-2*(0.94*T174)/T174)))))/((T174/2)*((2*ACOS(1-2*(0.94*T174)/T174)))))^(2/3))*SQRT(P174)))</f>
        <v/>
      </c>
      <c r="BD174" s="14" t="str">
        <f t="shared" si="210"/>
        <v/>
      </c>
      <c r="BE174" s="14" t="str">
        <f t="shared" si="211"/>
        <v/>
      </c>
      <c r="BF174" s="14" t="str">
        <f t="shared" si="212"/>
        <v/>
      </c>
      <c r="BG174" s="14" t="str">
        <f>IF(OR(T174="",P174="",BF174="",T174&lt;=0,BF174&lt;=0),"",(1/Inputs!$B$9)*((T174^2/8)*((2*ACOS(1-2*BF174/T174))-SIN((2*ACOS(1-2*BF174/T174)))))*((((T174^2/8)*((2*ACOS(1-2*BF174/T174))-SIN((2*ACOS(1-2*BF174/T174)))))/((T174/2)*((2*ACOS(1-2*BF174/T174)))))^(2/3))*SQRT(P174))</f>
        <v/>
      </c>
      <c r="BH174" s="14" t="str">
        <f t="shared" si="213"/>
        <v/>
      </c>
      <c r="BI174" s="14" t="str">
        <f t="shared" si="214"/>
        <v/>
      </c>
      <c r="BJ174" s="14" t="str">
        <f t="shared" si="215"/>
        <v/>
      </c>
      <c r="BK174" s="14" t="str">
        <f>IF(OR(T174="",P174="",BJ174="",T174&lt;=0,BJ174&lt;=0),"",(1/Inputs!$B$9)*((T174^2/8)*((2*ACOS(1-2*BJ174/T174))-SIN((2*ACOS(1-2*BJ174/T174)))))*((((T174^2/8)*((2*ACOS(1-2*BJ174/T174))-SIN((2*ACOS(1-2*BJ174/T174)))))/((T174/2)*((2*ACOS(1-2*BJ174/T174)))))^(2/3))*SQRT(P174))</f>
        <v/>
      </c>
      <c r="BL174" s="14" t="str">
        <f t="shared" si="216"/>
        <v/>
      </c>
      <c r="BM174" s="14" t="str">
        <f t="shared" si="217"/>
        <v/>
      </c>
      <c r="BN174" s="14" t="str">
        <f t="shared" si="218"/>
        <v/>
      </c>
      <c r="BO174" s="14" t="str">
        <f>IF(OR(T174="",P174="",BN174="",T174&lt;=0,BN174&lt;=0),"",(1/Inputs!$B$9)*((T174^2/8)*((2*ACOS(1-2*BN174/T174))-SIN((2*ACOS(1-2*BN174/T174)))))*((((T174^2/8)*((2*ACOS(1-2*BN174/T174))-SIN((2*ACOS(1-2*BN174/T174)))))/((T174/2)*((2*ACOS(1-2*BN174/T174)))))^(2/3))*SQRT(P174))</f>
        <v/>
      </c>
      <c r="BP174" s="14" t="str">
        <f t="shared" si="219"/>
        <v/>
      </c>
      <c r="BQ174" s="14" t="str">
        <f t="shared" si="220"/>
        <v/>
      </c>
      <c r="BR174" s="14" t="str">
        <f t="shared" si="221"/>
        <v/>
      </c>
      <c r="BS174" s="14" t="str">
        <f>IF(OR(T174="",P174="",BR174="",T174&lt;=0,BR174&lt;=0),"",(1/Inputs!$B$9)*((T174^2/8)*((2*ACOS(1-2*BR174/T174))-SIN((2*ACOS(1-2*BR174/T174)))))*((((T174^2/8)*((2*ACOS(1-2*BR174/T174))-SIN((2*ACOS(1-2*BR174/T174)))))/((T174/2)*((2*ACOS(1-2*BR174/T174)))))^(2/3))*SQRT(P174))</f>
        <v/>
      </c>
      <c r="BT174" s="14" t="str">
        <f t="shared" si="222"/>
        <v/>
      </c>
      <c r="BU174" s="14" t="str">
        <f t="shared" si="223"/>
        <v/>
      </c>
      <c r="BV174" s="14" t="str">
        <f t="shared" si="224"/>
        <v/>
      </c>
      <c r="BW174" s="14" t="str">
        <f>IF(OR(T174="",P174="",BV174="",T174&lt;=0,BV174&lt;=0),"",(1/Inputs!$B$9)*((T174^2/8)*((2*ACOS(1-2*BV174/T174))-SIN((2*ACOS(1-2*BV174/T174)))))*((((T174^2/8)*((2*ACOS(1-2*BV174/T174))-SIN((2*ACOS(1-2*BV174/T174)))))/((T174/2)*((2*ACOS(1-2*BV174/T174)))))^(2/3))*SQRT(P174))</f>
        <v/>
      </c>
      <c r="BX174" s="14" t="str">
        <f t="shared" si="225"/>
        <v/>
      </c>
      <c r="BY174" s="14" t="str">
        <f t="shared" si="226"/>
        <v/>
      </c>
      <c r="BZ174" s="14" t="str">
        <f t="shared" si="227"/>
        <v/>
      </c>
      <c r="CA174" s="14" t="str">
        <f>IF(OR(T174="",P174="",BZ174="",T174&lt;=0,BZ174&lt;=0),"",(1/Inputs!$B$9)*((T174^2/8)*((2*ACOS(1-2*BZ174/T174))-SIN((2*ACOS(1-2*BZ174/T174)))))*((((T174^2/8)*((2*ACOS(1-2*BZ174/T174))-SIN((2*ACOS(1-2*BZ174/T174)))))/((T174/2)*((2*ACOS(1-2*BZ174/T174)))))^(2/3))*SQRT(P174))</f>
        <v/>
      </c>
      <c r="CB174" s="14" t="str">
        <f t="shared" si="228"/>
        <v/>
      </c>
      <c r="CC174" s="14" t="str">
        <f t="shared" si="229"/>
        <v/>
      </c>
      <c r="CD174" s="14" t="str">
        <f t="shared" si="230"/>
        <v/>
      </c>
      <c r="CE174" s="14" t="str">
        <f>IF(OR(T174="",P174="",CD174="",T174&lt;=0,CD174&lt;=0),"",(1/Inputs!$B$9)*((T174^2/8)*((2*ACOS(1-2*CD174/T174))-SIN((2*ACOS(1-2*CD174/T174)))))*((((T174^2/8)*((2*ACOS(1-2*CD174/T174))-SIN((2*ACOS(1-2*CD174/T174)))))/((T174/2)*((2*ACOS(1-2*CD174/T174)))))^(2/3))*SQRT(P174))</f>
        <v/>
      </c>
      <c r="CF174" s="14" t="str">
        <f t="shared" si="231"/>
        <v/>
      </c>
      <c r="CG174" s="14" t="str">
        <f t="shared" si="232"/>
        <v/>
      </c>
      <c r="CH174" s="14" t="str">
        <f t="shared" si="233"/>
        <v/>
      </c>
    </row>
    <row r="175" spans="1:86" x14ac:dyDescent="0.25">
      <c r="A175" s="14"/>
      <c r="B175" s="14"/>
      <c r="C175" s="14"/>
      <c r="D175" s="14"/>
      <c r="E175" s="44"/>
      <c r="F175" s="44"/>
      <c r="G175" s="44">
        <f>SUMIFS(CB_plan!$G:$G,CB_plan!$F:$F,$A175)</f>
        <v>0</v>
      </c>
      <c r="H175" s="44">
        <f t="shared" si="195"/>
        <v>0</v>
      </c>
      <c r="I175" s="14"/>
      <c r="J175" s="44"/>
      <c r="K175" s="44" t="str">
        <f>IF(A175="","",Inputs!$B$13/((IF(AV175="",Inputs!$B$18,AV175)+Inputs!$B$14)^Inputs!$B$15))</f>
        <v/>
      </c>
      <c r="L175" s="44" t="str">
        <f>IF(A175="","",IF(H175="","",0.000000278*IF(I175&lt;&gt;"",I175,IFERROR(SUMIFS(CB_plan!$H:$H,CB_plan!$F:$F,$A175)/SUMIFS(CB_plan!$G:$G,CB_plan!$F:$F,$A175),Inputs!$B$17))*H175*K175))</f>
        <v/>
      </c>
      <c r="M175" s="44" t="str">
        <f t="shared" si="196"/>
        <v/>
      </c>
      <c r="N175" s="44" t="str">
        <f>IF(A175="","",(L175+M175)*Inputs!$B$16)</f>
        <v/>
      </c>
      <c r="O175" s="44"/>
      <c r="P175" s="44" t="str">
        <f>IF(A175="","",IF(O175="",Inputs!$B$7,O175))</f>
        <v/>
      </c>
      <c r="Q175" s="14" t="str">
        <f>IF(A175="","",IF(N175/Inputs!$B$10&lt;=AG175,Inputs!$F$5,IF(N175/Inputs!$B$10&gt;AP175,"OVERSIZE",INDEX(Inputs!$F$5:$F$14,MATCH(N175/Inputs!$B$10,AG175:AP175,1)+1))))</f>
        <v/>
      </c>
      <c r="R175" s="14"/>
      <c r="S175" s="14" t="str">
        <f t="shared" si="197"/>
        <v/>
      </c>
      <c r="T175" s="44" t="str">
        <f t="shared" si="198"/>
        <v/>
      </c>
      <c r="U175" s="44" t="str">
        <f>IF(T175="","",(1/Inputs!$B$9)*(PI()*T175^2/4)*((T175/4)^(2/3))*SQRT(P175))</f>
        <v/>
      </c>
      <c r="V175" s="44" t="str">
        <f>IF(OR(U175="",N175=""),"",N175/(U175*Inputs!$B$10))</f>
        <v/>
      </c>
      <c r="W175" s="44" t="str">
        <f t="shared" si="199"/>
        <v/>
      </c>
      <c r="X175" s="44"/>
      <c r="Y175" s="44" t="str">
        <f>IF(A175="","",IF(A175=Inputs!$B$6,Inputs!$B$22,IF(D175="","",IFERROR(INDEX($Z$4:$Z$201,MATCH(D175,$A$4:$A$201,0))+IF(X175="",Inputs!$B$20,X175),""))))</f>
        <v/>
      </c>
      <c r="Z175" s="44" t="str">
        <f t="shared" si="200"/>
        <v/>
      </c>
      <c r="AA175" s="44" t="str">
        <f>IF(C175="","",IFERROR(INDEX(Noeuds_plan!$C$4:$C$200,MATCH(C175,Noeuds_plan!$A$4:$A$200,0)),""))</f>
        <v/>
      </c>
      <c r="AB175" s="44" t="str">
        <f>IF(B175="","",IFERROR(INDEX(Noeuds_plan!$C$4:$C$200,MATCH(B175,Noeuds_plan!$A$4:$A$200,0)),""))</f>
        <v/>
      </c>
      <c r="AC175" s="44" t="str">
        <f t="shared" si="201"/>
        <v/>
      </c>
      <c r="AD175" s="44" t="str">
        <f t="shared" si="202"/>
        <v/>
      </c>
      <c r="AE175" s="14" t="str">
        <f>IF(A175="","",IF(OR(V175&gt;1,AND(AY175&lt;&gt;"",AY175&lt;Inputs!$B$11),AND(AY175&lt;&gt;"",AY175&gt;Inputs!$B$12),AC175&lt;Inputs!$B$19,AD175&lt;Inputs!$B$19,P175&lt;Inputs!$B$7,P175&gt;Inputs!$B$8),"CHECK","OK"))</f>
        <v/>
      </c>
      <c r="AF175" s="14"/>
      <c r="AG175" s="14" t="str">
        <f>IF(A175="","",(1/Inputs!$B$9)*(PI()*(Inputs!$F$5/1000)^2/4)*((Inputs!$F$5/1000/4)^(2/3))*SQRT(P175))</f>
        <v/>
      </c>
      <c r="AH175" s="14" t="str">
        <f>IF(A175="","",(1/Inputs!$B$9)*(PI()*(Inputs!$F$6/1000)^2/4)*((Inputs!$F$6/1000/4)^(2/3))*SQRT(P175))</f>
        <v/>
      </c>
      <c r="AI175" s="14" t="str">
        <f>IF(A175="","",(1/Inputs!$B$9)*(PI()*(Inputs!$F$7/1000)^2/4)*((Inputs!$F$7/1000/4)^(2/3))*SQRT(P175))</f>
        <v/>
      </c>
      <c r="AJ175" s="14" t="str">
        <f>IF(A175="","",(1/Inputs!$B$9)*(PI()*(Inputs!$F$8/1000)^2/4)*((Inputs!$F$8/1000/4)^(2/3))*SQRT(P175))</f>
        <v/>
      </c>
      <c r="AK175" s="14" t="str">
        <f>IF(A175="","",(1/Inputs!$B$9)*(PI()*(Inputs!$F$9/1000)^2/4)*((Inputs!$F$9/1000/4)^(2/3))*SQRT(P175))</f>
        <v/>
      </c>
      <c r="AL175" s="14" t="str">
        <f>IF(A175="","",(1/Inputs!$B$9)*(PI()*(Inputs!$F$10/1000)^2/4)*((Inputs!$F$10/1000/4)^(2/3))*SQRT(P175))</f>
        <v/>
      </c>
      <c r="AM175" s="14" t="str">
        <f>IF(A175="","",(1/Inputs!$B$9)*(PI()*(Inputs!$F$11/1000)^2/4)*((Inputs!$F$11/1000/4)^(2/3))*SQRT(P175))</f>
        <v/>
      </c>
      <c r="AN175" s="14" t="str">
        <f>IF(A175="","",(1/Inputs!$B$9)*(PI()*(Inputs!$F$12/1000)^2/4)*((Inputs!$F$12/1000/4)^(2/3))*SQRT(P175))</f>
        <v/>
      </c>
      <c r="AO175" s="14" t="str">
        <f>IF(A175="","",(1/Inputs!$B$9)*(PI()*(Inputs!$F$13/1000)^2/4)*((Inputs!$F$13/1000/4)^(2/3))*SQRT(P175))</f>
        <v/>
      </c>
      <c r="AP175" s="14" t="str">
        <f>IF(A175="","",(1/Inputs!$B$9)*(PI()*(Inputs!$F$14/1000)^2/4)*((Inputs!$F$14/1000/4)^(2/3))*SQRT(P175))</f>
        <v/>
      </c>
      <c r="AQ175" s="14" t="str">
        <f t="shared" si="203"/>
        <v/>
      </c>
      <c r="AR175" s="14" t="str">
        <f t="shared" si="204"/>
        <v/>
      </c>
      <c r="AS175" s="17" t="str">
        <f>IF(A175="","",IF(J175="",Inputs!$B$18,J175))</f>
        <v/>
      </c>
      <c r="AT175" s="17" t="str">
        <f>IF(A175="","",IFERROR(_xludf.maxifs($AV$4:$AV$201,$D$4:$D$201,$A175),""))</f>
        <v/>
      </c>
      <c r="AU175" s="17" t="str">
        <f>IF(A175="","",IF(OR(E175="",Inputs!$B$23=""),"",E175/(Inputs!$B$23*60)))</f>
        <v/>
      </c>
      <c r="AV175" s="17" t="str">
        <f t="shared" si="205"/>
        <v/>
      </c>
      <c r="AW175" s="17" t="str">
        <f t="shared" si="206"/>
        <v/>
      </c>
      <c r="AX175" s="17" t="str">
        <f>IF(OR(T175="",P175=""),"",(1/Inputs!$B$9)*((T175/4)^(2/3))*SQRT(P175))</f>
        <v/>
      </c>
      <c r="AY175" s="17" t="str">
        <f>IF(A175="","",IF(AND(AW175="",AX175="",BA175=""),"",IF(OR(UPPER(TRIM(Inputs!$B$24))="MANNING",UPPER(TRIM(Inputs!$B$24))="M"),AX175,IF(OR(UPPER(TRIM(Inputs!$B$24))="PARTIAL",UPPER(TRIM(Inputs!$B$24))="P"),BA175,IF(OR(UPPER(TRIM(Inputs!$B$24))="MAX",UPPER(TRIM(Inputs!$B$24))="X"),MAX(IF(AW175="",0,AW175),IF(AX175="",0,AX175),IF(BA175="",0,BA175)),AW175)))))</f>
        <v/>
      </c>
      <c r="AZ175" s="17" t="str">
        <f t="shared" si="207"/>
        <v/>
      </c>
      <c r="BA175" s="17" t="str">
        <f t="shared" si="208"/>
        <v/>
      </c>
      <c r="BB175" s="14" t="str">
        <f t="shared" si="209"/>
        <v/>
      </c>
      <c r="BC175" s="14" t="str">
        <f>IF(OR(N175="",T175="",P175=""),"",IF(OR(T175="",P175="",(0.94*T175)="",T175&lt;=0,(0.94*T175)&lt;=0),"",(1/Inputs!$B$9)*((T175^2/8)*((2*ACOS(1-2*(0.94*T175)/T175))-SIN((2*ACOS(1-2*(0.94*T175)/T175)))))*((((T175^2/8)*((2*ACOS(1-2*(0.94*T175)/T175))-SIN((2*ACOS(1-2*(0.94*T175)/T175)))))/((T175/2)*((2*ACOS(1-2*(0.94*T175)/T175)))))^(2/3))*SQRT(P175)))</f>
        <v/>
      </c>
      <c r="BD175" s="14" t="str">
        <f t="shared" si="210"/>
        <v/>
      </c>
      <c r="BE175" s="14" t="str">
        <f t="shared" si="211"/>
        <v/>
      </c>
      <c r="BF175" s="14" t="str">
        <f t="shared" si="212"/>
        <v/>
      </c>
      <c r="BG175" s="14" t="str">
        <f>IF(OR(T175="",P175="",BF175="",T175&lt;=0,BF175&lt;=0),"",(1/Inputs!$B$9)*((T175^2/8)*((2*ACOS(1-2*BF175/T175))-SIN((2*ACOS(1-2*BF175/T175)))))*((((T175^2/8)*((2*ACOS(1-2*BF175/T175))-SIN((2*ACOS(1-2*BF175/T175)))))/((T175/2)*((2*ACOS(1-2*BF175/T175)))))^(2/3))*SQRT(P175))</f>
        <v/>
      </c>
      <c r="BH175" s="14" t="str">
        <f t="shared" si="213"/>
        <v/>
      </c>
      <c r="BI175" s="14" t="str">
        <f t="shared" si="214"/>
        <v/>
      </c>
      <c r="BJ175" s="14" t="str">
        <f t="shared" si="215"/>
        <v/>
      </c>
      <c r="BK175" s="14" t="str">
        <f>IF(OR(T175="",P175="",BJ175="",T175&lt;=0,BJ175&lt;=0),"",(1/Inputs!$B$9)*((T175^2/8)*((2*ACOS(1-2*BJ175/T175))-SIN((2*ACOS(1-2*BJ175/T175)))))*((((T175^2/8)*((2*ACOS(1-2*BJ175/T175))-SIN((2*ACOS(1-2*BJ175/T175)))))/((T175/2)*((2*ACOS(1-2*BJ175/T175)))))^(2/3))*SQRT(P175))</f>
        <v/>
      </c>
      <c r="BL175" s="14" t="str">
        <f t="shared" si="216"/>
        <v/>
      </c>
      <c r="BM175" s="14" t="str">
        <f t="shared" si="217"/>
        <v/>
      </c>
      <c r="BN175" s="14" t="str">
        <f t="shared" si="218"/>
        <v/>
      </c>
      <c r="BO175" s="14" t="str">
        <f>IF(OR(T175="",P175="",BN175="",T175&lt;=0,BN175&lt;=0),"",(1/Inputs!$B$9)*((T175^2/8)*((2*ACOS(1-2*BN175/T175))-SIN((2*ACOS(1-2*BN175/T175)))))*((((T175^2/8)*((2*ACOS(1-2*BN175/T175))-SIN((2*ACOS(1-2*BN175/T175)))))/((T175/2)*((2*ACOS(1-2*BN175/T175)))))^(2/3))*SQRT(P175))</f>
        <v/>
      </c>
      <c r="BP175" s="14" t="str">
        <f t="shared" si="219"/>
        <v/>
      </c>
      <c r="BQ175" s="14" t="str">
        <f t="shared" si="220"/>
        <v/>
      </c>
      <c r="BR175" s="14" t="str">
        <f t="shared" si="221"/>
        <v/>
      </c>
      <c r="BS175" s="14" t="str">
        <f>IF(OR(T175="",P175="",BR175="",T175&lt;=0,BR175&lt;=0),"",(1/Inputs!$B$9)*((T175^2/8)*((2*ACOS(1-2*BR175/T175))-SIN((2*ACOS(1-2*BR175/T175)))))*((((T175^2/8)*((2*ACOS(1-2*BR175/T175))-SIN((2*ACOS(1-2*BR175/T175)))))/((T175/2)*((2*ACOS(1-2*BR175/T175)))))^(2/3))*SQRT(P175))</f>
        <v/>
      </c>
      <c r="BT175" s="14" t="str">
        <f t="shared" si="222"/>
        <v/>
      </c>
      <c r="BU175" s="14" t="str">
        <f t="shared" si="223"/>
        <v/>
      </c>
      <c r="BV175" s="14" t="str">
        <f t="shared" si="224"/>
        <v/>
      </c>
      <c r="BW175" s="14" t="str">
        <f>IF(OR(T175="",P175="",BV175="",T175&lt;=0,BV175&lt;=0),"",(1/Inputs!$B$9)*((T175^2/8)*((2*ACOS(1-2*BV175/T175))-SIN((2*ACOS(1-2*BV175/T175)))))*((((T175^2/8)*((2*ACOS(1-2*BV175/T175))-SIN((2*ACOS(1-2*BV175/T175)))))/((T175/2)*((2*ACOS(1-2*BV175/T175)))))^(2/3))*SQRT(P175))</f>
        <v/>
      </c>
      <c r="BX175" s="14" t="str">
        <f t="shared" si="225"/>
        <v/>
      </c>
      <c r="BY175" s="14" t="str">
        <f t="shared" si="226"/>
        <v/>
      </c>
      <c r="BZ175" s="14" t="str">
        <f t="shared" si="227"/>
        <v/>
      </c>
      <c r="CA175" s="14" t="str">
        <f>IF(OR(T175="",P175="",BZ175="",T175&lt;=0,BZ175&lt;=0),"",(1/Inputs!$B$9)*((T175^2/8)*((2*ACOS(1-2*BZ175/T175))-SIN((2*ACOS(1-2*BZ175/T175)))))*((((T175^2/8)*((2*ACOS(1-2*BZ175/T175))-SIN((2*ACOS(1-2*BZ175/T175)))))/((T175/2)*((2*ACOS(1-2*BZ175/T175)))))^(2/3))*SQRT(P175))</f>
        <v/>
      </c>
      <c r="CB175" s="14" t="str">
        <f t="shared" si="228"/>
        <v/>
      </c>
      <c r="CC175" s="14" t="str">
        <f t="shared" si="229"/>
        <v/>
      </c>
      <c r="CD175" s="14" t="str">
        <f t="shared" si="230"/>
        <v/>
      </c>
      <c r="CE175" s="14" t="str">
        <f>IF(OR(T175="",P175="",CD175="",T175&lt;=0,CD175&lt;=0),"",(1/Inputs!$B$9)*((T175^2/8)*((2*ACOS(1-2*CD175/T175))-SIN((2*ACOS(1-2*CD175/T175)))))*((((T175^2/8)*((2*ACOS(1-2*CD175/T175))-SIN((2*ACOS(1-2*CD175/T175)))))/((T175/2)*((2*ACOS(1-2*CD175/T175)))))^(2/3))*SQRT(P175))</f>
        <v/>
      </c>
      <c r="CF175" s="14" t="str">
        <f t="shared" si="231"/>
        <v/>
      </c>
      <c r="CG175" s="14" t="str">
        <f t="shared" si="232"/>
        <v/>
      </c>
      <c r="CH175" s="14" t="str">
        <f t="shared" si="233"/>
        <v/>
      </c>
    </row>
    <row r="176" spans="1:86" x14ac:dyDescent="0.25">
      <c r="A176" s="14"/>
      <c r="B176" s="14"/>
      <c r="C176" s="14"/>
      <c r="D176" s="14"/>
      <c r="E176" s="44"/>
      <c r="F176" s="44"/>
      <c r="G176" s="44">
        <f>SUMIFS(CB_plan!$G:$G,CB_plan!$F:$F,$A176)</f>
        <v>0</v>
      </c>
      <c r="H176" s="44">
        <f t="shared" si="195"/>
        <v>0</v>
      </c>
      <c r="I176" s="14"/>
      <c r="J176" s="44"/>
      <c r="K176" s="44" t="str">
        <f>IF(A176="","",Inputs!$B$13/((IF(AV176="",Inputs!$B$18,AV176)+Inputs!$B$14)^Inputs!$B$15))</f>
        <v/>
      </c>
      <c r="L176" s="44" t="str">
        <f>IF(A176="","",IF(H176="","",0.000000278*IF(I176&lt;&gt;"",I176,IFERROR(SUMIFS(CB_plan!$H:$H,CB_plan!$F:$F,$A176)/SUMIFS(CB_plan!$G:$G,CB_plan!$F:$F,$A176),Inputs!$B$17))*H176*K176))</f>
        <v/>
      </c>
      <c r="M176" s="44" t="str">
        <f t="shared" si="196"/>
        <v/>
      </c>
      <c r="N176" s="44" t="str">
        <f>IF(A176="","",(L176+M176)*Inputs!$B$16)</f>
        <v/>
      </c>
      <c r="O176" s="44"/>
      <c r="P176" s="44" t="str">
        <f>IF(A176="","",IF(O176="",Inputs!$B$7,O176))</f>
        <v/>
      </c>
      <c r="Q176" s="14" t="str">
        <f>IF(A176="","",IF(N176/Inputs!$B$10&lt;=AG176,Inputs!$F$5,IF(N176/Inputs!$B$10&gt;AP176,"OVERSIZE",INDEX(Inputs!$F$5:$F$14,MATCH(N176/Inputs!$B$10,AG176:AP176,1)+1))))</f>
        <v/>
      </c>
      <c r="R176" s="14"/>
      <c r="S176" s="14" t="str">
        <f t="shared" si="197"/>
        <v/>
      </c>
      <c r="T176" s="44" t="str">
        <f t="shared" si="198"/>
        <v/>
      </c>
      <c r="U176" s="44" t="str">
        <f>IF(T176="","",(1/Inputs!$B$9)*(PI()*T176^2/4)*((T176/4)^(2/3))*SQRT(P176))</f>
        <v/>
      </c>
      <c r="V176" s="44" t="str">
        <f>IF(OR(U176="",N176=""),"",N176/(U176*Inputs!$B$10))</f>
        <v/>
      </c>
      <c r="W176" s="44" t="str">
        <f t="shared" si="199"/>
        <v/>
      </c>
      <c r="X176" s="44"/>
      <c r="Y176" s="44" t="str">
        <f>IF(A176="","",IF(A176=Inputs!$B$6,Inputs!$B$22,IF(D176="","",IFERROR(INDEX($Z$4:$Z$201,MATCH(D176,$A$4:$A$201,0))+IF(X176="",Inputs!$B$20,X176),""))))</f>
        <v/>
      </c>
      <c r="Z176" s="44" t="str">
        <f t="shared" si="200"/>
        <v/>
      </c>
      <c r="AA176" s="44" t="str">
        <f>IF(C176="","",IFERROR(INDEX(Noeuds_plan!$C$4:$C$200,MATCH(C176,Noeuds_plan!$A$4:$A$200,0)),""))</f>
        <v/>
      </c>
      <c r="AB176" s="44" t="str">
        <f>IF(B176="","",IFERROR(INDEX(Noeuds_plan!$C$4:$C$200,MATCH(B176,Noeuds_plan!$A$4:$A$200,0)),""))</f>
        <v/>
      </c>
      <c r="AC176" s="44" t="str">
        <f t="shared" si="201"/>
        <v/>
      </c>
      <c r="AD176" s="44" t="str">
        <f t="shared" si="202"/>
        <v/>
      </c>
      <c r="AE176" s="14" t="str">
        <f>IF(A176="","",IF(OR(V176&gt;1,AND(AY176&lt;&gt;"",AY176&lt;Inputs!$B$11),AND(AY176&lt;&gt;"",AY176&gt;Inputs!$B$12),AC176&lt;Inputs!$B$19,AD176&lt;Inputs!$B$19,P176&lt;Inputs!$B$7,P176&gt;Inputs!$B$8),"CHECK","OK"))</f>
        <v/>
      </c>
      <c r="AF176" s="14"/>
      <c r="AG176" s="14" t="str">
        <f>IF(A176="","",(1/Inputs!$B$9)*(PI()*(Inputs!$F$5/1000)^2/4)*((Inputs!$F$5/1000/4)^(2/3))*SQRT(P176))</f>
        <v/>
      </c>
      <c r="AH176" s="14" t="str">
        <f>IF(A176="","",(1/Inputs!$B$9)*(PI()*(Inputs!$F$6/1000)^2/4)*((Inputs!$F$6/1000/4)^(2/3))*SQRT(P176))</f>
        <v/>
      </c>
      <c r="AI176" s="14" t="str">
        <f>IF(A176="","",(1/Inputs!$B$9)*(PI()*(Inputs!$F$7/1000)^2/4)*((Inputs!$F$7/1000/4)^(2/3))*SQRT(P176))</f>
        <v/>
      </c>
      <c r="AJ176" s="14" t="str">
        <f>IF(A176="","",(1/Inputs!$B$9)*(PI()*(Inputs!$F$8/1000)^2/4)*((Inputs!$F$8/1000/4)^(2/3))*SQRT(P176))</f>
        <v/>
      </c>
      <c r="AK176" s="14" t="str">
        <f>IF(A176="","",(1/Inputs!$B$9)*(PI()*(Inputs!$F$9/1000)^2/4)*((Inputs!$F$9/1000/4)^(2/3))*SQRT(P176))</f>
        <v/>
      </c>
      <c r="AL176" s="14" t="str">
        <f>IF(A176="","",(1/Inputs!$B$9)*(PI()*(Inputs!$F$10/1000)^2/4)*((Inputs!$F$10/1000/4)^(2/3))*SQRT(P176))</f>
        <v/>
      </c>
      <c r="AM176" s="14" t="str">
        <f>IF(A176="","",(1/Inputs!$B$9)*(PI()*(Inputs!$F$11/1000)^2/4)*((Inputs!$F$11/1000/4)^(2/3))*SQRT(P176))</f>
        <v/>
      </c>
      <c r="AN176" s="14" t="str">
        <f>IF(A176="","",(1/Inputs!$B$9)*(PI()*(Inputs!$F$12/1000)^2/4)*((Inputs!$F$12/1000/4)^(2/3))*SQRT(P176))</f>
        <v/>
      </c>
      <c r="AO176" s="14" t="str">
        <f>IF(A176="","",(1/Inputs!$B$9)*(PI()*(Inputs!$F$13/1000)^2/4)*((Inputs!$F$13/1000/4)^(2/3))*SQRT(P176))</f>
        <v/>
      </c>
      <c r="AP176" s="14" t="str">
        <f>IF(A176="","",(1/Inputs!$B$9)*(PI()*(Inputs!$F$14/1000)^2/4)*((Inputs!$F$14/1000/4)^(2/3))*SQRT(P176))</f>
        <v/>
      </c>
      <c r="AQ176" s="14" t="str">
        <f t="shared" si="203"/>
        <v/>
      </c>
      <c r="AR176" s="14" t="str">
        <f t="shared" si="204"/>
        <v/>
      </c>
      <c r="AS176" s="17" t="str">
        <f>IF(A176="","",IF(J176="",Inputs!$B$18,J176))</f>
        <v/>
      </c>
      <c r="AT176" s="17" t="str">
        <f>IF(A176="","",IFERROR(_xludf.maxifs($AV$4:$AV$201,$D$4:$D$201,$A176),""))</f>
        <v/>
      </c>
      <c r="AU176" s="17" t="str">
        <f>IF(A176="","",IF(OR(E176="",Inputs!$B$23=""),"",E176/(Inputs!$B$23*60)))</f>
        <v/>
      </c>
      <c r="AV176" s="17" t="str">
        <f t="shared" si="205"/>
        <v/>
      </c>
      <c r="AW176" s="17" t="str">
        <f t="shared" si="206"/>
        <v/>
      </c>
      <c r="AX176" s="17" t="str">
        <f>IF(OR(T176="",P176=""),"",(1/Inputs!$B$9)*((T176/4)^(2/3))*SQRT(P176))</f>
        <v/>
      </c>
      <c r="AY176" s="17" t="str">
        <f>IF(A176="","",IF(AND(AW176="",AX176="",BA176=""),"",IF(OR(UPPER(TRIM(Inputs!$B$24))="MANNING",UPPER(TRIM(Inputs!$B$24))="M"),AX176,IF(OR(UPPER(TRIM(Inputs!$B$24))="PARTIAL",UPPER(TRIM(Inputs!$B$24))="P"),BA176,IF(OR(UPPER(TRIM(Inputs!$B$24))="MAX",UPPER(TRIM(Inputs!$B$24))="X"),MAX(IF(AW176="",0,AW176),IF(AX176="",0,AX176),IF(BA176="",0,BA176)),AW176)))))</f>
        <v/>
      </c>
      <c r="AZ176" s="17" t="str">
        <f t="shared" si="207"/>
        <v/>
      </c>
      <c r="BA176" s="17" t="str">
        <f t="shared" si="208"/>
        <v/>
      </c>
      <c r="BB176" s="14" t="str">
        <f t="shared" si="209"/>
        <v/>
      </c>
      <c r="BC176" s="14" t="str">
        <f>IF(OR(N176="",T176="",P176=""),"",IF(OR(T176="",P176="",(0.94*T176)="",T176&lt;=0,(0.94*T176)&lt;=0),"",(1/Inputs!$B$9)*((T176^2/8)*((2*ACOS(1-2*(0.94*T176)/T176))-SIN((2*ACOS(1-2*(0.94*T176)/T176)))))*((((T176^2/8)*((2*ACOS(1-2*(0.94*T176)/T176))-SIN((2*ACOS(1-2*(0.94*T176)/T176)))))/((T176/2)*((2*ACOS(1-2*(0.94*T176)/T176)))))^(2/3))*SQRT(P176)))</f>
        <v/>
      </c>
      <c r="BD176" s="14" t="str">
        <f t="shared" si="210"/>
        <v/>
      </c>
      <c r="BE176" s="14" t="str">
        <f t="shared" si="211"/>
        <v/>
      </c>
      <c r="BF176" s="14" t="str">
        <f t="shared" si="212"/>
        <v/>
      </c>
      <c r="BG176" s="14" t="str">
        <f>IF(OR(T176="",P176="",BF176="",T176&lt;=0,BF176&lt;=0),"",(1/Inputs!$B$9)*((T176^2/8)*((2*ACOS(1-2*BF176/T176))-SIN((2*ACOS(1-2*BF176/T176)))))*((((T176^2/8)*((2*ACOS(1-2*BF176/T176))-SIN((2*ACOS(1-2*BF176/T176)))))/((T176/2)*((2*ACOS(1-2*BF176/T176)))))^(2/3))*SQRT(P176))</f>
        <v/>
      </c>
      <c r="BH176" s="14" t="str">
        <f t="shared" si="213"/>
        <v/>
      </c>
      <c r="BI176" s="14" t="str">
        <f t="shared" si="214"/>
        <v/>
      </c>
      <c r="BJ176" s="14" t="str">
        <f t="shared" si="215"/>
        <v/>
      </c>
      <c r="BK176" s="14" t="str">
        <f>IF(OR(T176="",P176="",BJ176="",T176&lt;=0,BJ176&lt;=0),"",(1/Inputs!$B$9)*((T176^2/8)*((2*ACOS(1-2*BJ176/T176))-SIN((2*ACOS(1-2*BJ176/T176)))))*((((T176^2/8)*((2*ACOS(1-2*BJ176/T176))-SIN((2*ACOS(1-2*BJ176/T176)))))/((T176/2)*((2*ACOS(1-2*BJ176/T176)))))^(2/3))*SQRT(P176))</f>
        <v/>
      </c>
      <c r="BL176" s="14" t="str">
        <f t="shared" si="216"/>
        <v/>
      </c>
      <c r="BM176" s="14" t="str">
        <f t="shared" si="217"/>
        <v/>
      </c>
      <c r="BN176" s="14" t="str">
        <f t="shared" si="218"/>
        <v/>
      </c>
      <c r="BO176" s="14" t="str">
        <f>IF(OR(T176="",P176="",BN176="",T176&lt;=0,BN176&lt;=0),"",(1/Inputs!$B$9)*((T176^2/8)*((2*ACOS(1-2*BN176/T176))-SIN((2*ACOS(1-2*BN176/T176)))))*((((T176^2/8)*((2*ACOS(1-2*BN176/T176))-SIN((2*ACOS(1-2*BN176/T176)))))/((T176/2)*((2*ACOS(1-2*BN176/T176)))))^(2/3))*SQRT(P176))</f>
        <v/>
      </c>
      <c r="BP176" s="14" t="str">
        <f t="shared" si="219"/>
        <v/>
      </c>
      <c r="BQ176" s="14" t="str">
        <f t="shared" si="220"/>
        <v/>
      </c>
      <c r="BR176" s="14" t="str">
        <f t="shared" si="221"/>
        <v/>
      </c>
      <c r="BS176" s="14" t="str">
        <f>IF(OR(T176="",P176="",BR176="",T176&lt;=0,BR176&lt;=0),"",(1/Inputs!$B$9)*((T176^2/8)*((2*ACOS(1-2*BR176/T176))-SIN((2*ACOS(1-2*BR176/T176)))))*((((T176^2/8)*((2*ACOS(1-2*BR176/T176))-SIN((2*ACOS(1-2*BR176/T176)))))/((T176/2)*((2*ACOS(1-2*BR176/T176)))))^(2/3))*SQRT(P176))</f>
        <v/>
      </c>
      <c r="BT176" s="14" t="str">
        <f t="shared" si="222"/>
        <v/>
      </c>
      <c r="BU176" s="14" t="str">
        <f t="shared" si="223"/>
        <v/>
      </c>
      <c r="BV176" s="14" t="str">
        <f t="shared" si="224"/>
        <v/>
      </c>
      <c r="BW176" s="14" t="str">
        <f>IF(OR(T176="",P176="",BV176="",T176&lt;=0,BV176&lt;=0),"",(1/Inputs!$B$9)*((T176^2/8)*((2*ACOS(1-2*BV176/T176))-SIN((2*ACOS(1-2*BV176/T176)))))*((((T176^2/8)*((2*ACOS(1-2*BV176/T176))-SIN((2*ACOS(1-2*BV176/T176)))))/((T176/2)*((2*ACOS(1-2*BV176/T176)))))^(2/3))*SQRT(P176))</f>
        <v/>
      </c>
      <c r="BX176" s="14" t="str">
        <f t="shared" si="225"/>
        <v/>
      </c>
      <c r="BY176" s="14" t="str">
        <f t="shared" si="226"/>
        <v/>
      </c>
      <c r="BZ176" s="14" t="str">
        <f t="shared" si="227"/>
        <v/>
      </c>
      <c r="CA176" s="14" t="str">
        <f>IF(OR(T176="",P176="",BZ176="",T176&lt;=0,BZ176&lt;=0),"",(1/Inputs!$B$9)*((T176^2/8)*((2*ACOS(1-2*BZ176/T176))-SIN((2*ACOS(1-2*BZ176/T176)))))*((((T176^2/8)*((2*ACOS(1-2*BZ176/T176))-SIN((2*ACOS(1-2*BZ176/T176)))))/((T176/2)*((2*ACOS(1-2*BZ176/T176)))))^(2/3))*SQRT(P176))</f>
        <v/>
      </c>
      <c r="CB176" s="14" t="str">
        <f t="shared" si="228"/>
        <v/>
      </c>
      <c r="CC176" s="14" t="str">
        <f t="shared" si="229"/>
        <v/>
      </c>
      <c r="CD176" s="14" t="str">
        <f t="shared" si="230"/>
        <v/>
      </c>
      <c r="CE176" s="14" t="str">
        <f>IF(OR(T176="",P176="",CD176="",T176&lt;=0,CD176&lt;=0),"",(1/Inputs!$B$9)*((T176^2/8)*((2*ACOS(1-2*CD176/T176))-SIN((2*ACOS(1-2*CD176/T176)))))*((((T176^2/8)*((2*ACOS(1-2*CD176/T176))-SIN((2*ACOS(1-2*CD176/T176)))))/((T176/2)*((2*ACOS(1-2*CD176/T176)))))^(2/3))*SQRT(P176))</f>
        <v/>
      </c>
      <c r="CF176" s="14" t="str">
        <f t="shared" si="231"/>
        <v/>
      </c>
      <c r="CG176" s="14" t="str">
        <f t="shared" si="232"/>
        <v/>
      </c>
      <c r="CH176" s="14" t="str">
        <f t="shared" si="233"/>
        <v/>
      </c>
    </row>
    <row r="177" spans="1:86" x14ac:dyDescent="0.25">
      <c r="A177" s="14"/>
      <c r="B177" s="14"/>
      <c r="C177" s="14"/>
      <c r="D177" s="14"/>
      <c r="E177" s="44"/>
      <c r="F177" s="44"/>
      <c r="G177" s="44">
        <f>SUMIFS(CB_plan!$G:$G,CB_plan!$F:$F,$A177)</f>
        <v>0</v>
      </c>
      <c r="H177" s="44">
        <f t="shared" si="195"/>
        <v>0</v>
      </c>
      <c r="I177" s="14"/>
      <c r="J177" s="44"/>
      <c r="K177" s="44" t="str">
        <f>IF(A177="","",Inputs!$B$13/((IF(AV177="",Inputs!$B$18,AV177)+Inputs!$B$14)^Inputs!$B$15))</f>
        <v/>
      </c>
      <c r="L177" s="44" t="str">
        <f>IF(A177="","",IF(H177="","",0.000000278*IF(I177&lt;&gt;"",I177,IFERROR(SUMIFS(CB_plan!$H:$H,CB_plan!$F:$F,$A177)/SUMIFS(CB_plan!$G:$G,CB_plan!$F:$F,$A177),Inputs!$B$17))*H177*K177))</f>
        <v/>
      </c>
      <c r="M177" s="44" t="str">
        <f t="shared" si="196"/>
        <v/>
      </c>
      <c r="N177" s="44" t="str">
        <f>IF(A177="","",(L177+M177)*Inputs!$B$16)</f>
        <v/>
      </c>
      <c r="O177" s="44"/>
      <c r="P177" s="44" t="str">
        <f>IF(A177="","",IF(O177="",Inputs!$B$7,O177))</f>
        <v/>
      </c>
      <c r="Q177" s="14" t="str">
        <f>IF(A177="","",IF(N177/Inputs!$B$10&lt;=AG177,Inputs!$F$5,IF(N177/Inputs!$B$10&gt;AP177,"OVERSIZE",INDEX(Inputs!$F$5:$F$14,MATCH(N177/Inputs!$B$10,AG177:AP177,1)+1))))</f>
        <v/>
      </c>
      <c r="R177" s="14"/>
      <c r="S177" s="14" t="str">
        <f t="shared" si="197"/>
        <v/>
      </c>
      <c r="T177" s="44" t="str">
        <f t="shared" si="198"/>
        <v/>
      </c>
      <c r="U177" s="44" t="str">
        <f>IF(T177="","",(1/Inputs!$B$9)*(PI()*T177^2/4)*((T177/4)^(2/3))*SQRT(P177))</f>
        <v/>
      </c>
      <c r="V177" s="44" t="str">
        <f>IF(OR(U177="",N177=""),"",N177/(U177*Inputs!$B$10))</f>
        <v/>
      </c>
      <c r="W177" s="44" t="str">
        <f t="shared" si="199"/>
        <v/>
      </c>
      <c r="X177" s="44"/>
      <c r="Y177" s="44" t="str">
        <f>IF(A177="","",IF(A177=Inputs!$B$6,Inputs!$B$22,IF(D177="","",IFERROR(INDEX($Z$4:$Z$201,MATCH(D177,$A$4:$A$201,0))+IF(X177="",Inputs!$B$20,X177),""))))</f>
        <v/>
      </c>
      <c r="Z177" s="44" t="str">
        <f t="shared" si="200"/>
        <v/>
      </c>
      <c r="AA177" s="44" t="str">
        <f>IF(C177="","",IFERROR(INDEX(Noeuds_plan!$C$4:$C$200,MATCH(C177,Noeuds_plan!$A$4:$A$200,0)),""))</f>
        <v/>
      </c>
      <c r="AB177" s="44" t="str">
        <f>IF(B177="","",IFERROR(INDEX(Noeuds_plan!$C$4:$C$200,MATCH(B177,Noeuds_plan!$A$4:$A$200,0)),""))</f>
        <v/>
      </c>
      <c r="AC177" s="44" t="str">
        <f t="shared" si="201"/>
        <v/>
      </c>
      <c r="AD177" s="44" t="str">
        <f t="shared" si="202"/>
        <v/>
      </c>
      <c r="AE177" s="14" t="str">
        <f>IF(A177="","",IF(OR(V177&gt;1,AND(AY177&lt;&gt;"",AY177&lt;Inputs!$B$11),AND(AY177&lt;&gt;"",AY177&gt;Inputs!$B$12),AC177&lt;Inputs!$B$19,AD177&lt;Inputs!$B$19,P177&lt;Inputs!$B$7,P177&gt;Inputs!$B$8),"CHECK","OK"))</f>
        <v/>
      </c>
      <c r="AF177" s="14"/>
      <c r="AG177" s="14" t="str">
        <f>IF(A177="","",(1/Inputs!$B$9)*(PI()*(Inputs!$F$5/1000)^2/4)*((Inputs!$F$5/1000/4)^(2/3))*SQRT(P177))</f>
        <v/>
      </c>
      <c r="AH177" s="14" t="str">
        <f>IF(A177="","",(1/Inputs!$B$9)*(PI()*(Inputs!$F$6/1000)^2/4)*((Inputs!$F$6/1000/4)^(2/3))*SQRT(P177))</f>
        <v/>
      </c>
      <c r="AI177" s="14" t="str">
        <f>IF(A177="","",(1/Inputs!$B$9)*(PI()*(Inputs!$F$7/1000)^2/4)*((Inputs!$F$7/1000/4)^(2/3))*SQRT(P177))</f>
        <v/>
      </c>
      <c r="AJ177" s="14" t="str">
        <f>IF(A177="","",(1/Inputs!$B$9)*(PI()*(Inputs!$F$8/1000)^2/4)*((Inputs!$F$8/1000/4)^(2/3))*SQRT(P177))</f>
        <v/>
      </c>
      <c r="AK177" s="14" t="str">
        <f>IF(A177="","",(1/Inputs!$B$9)*(PI()*(Inputs!$F$9/1000)^2/4)*((Inputs!$F$9/1000/4)^(2/3))*SQRT(P177))</f>
        <v/>
      </c>
      <c r="AL177" s="14" t="str">
        <f>IF(A177="","",(1/Inputs!$B$9)*(PI()*(Inputs!$F$10/1000)^2/4)*((Inputs!$F$10/1000/4)^(2/3))*SQRT(P177))</f>
        <v/>
      </c>
      <c r="AM177" s="14" t="str">
        <f>IF(A177="","",(1/Inputs!$B$9)*(PI()*(Inputs!$F$11/1000)^2/4)*((Inputs!$F$11/1000/4)^(2/3))*SQRT(P177))</f>
        <v/>
      </c>
      <c r="AN177" s="14" t="str">
        <f>IF(A177="","",(1/Inputs!$B$9)*(PI()*(Inputs!$F$12/1000)^2/4)*((Inputs!$F$12/1000/4)^(2/3))*SQRT(P177))</f>
        <v/>
      </c>
      <c r="AO177" s="14" t="str">
        <f>IF(A177="","",(1/Inputs!$B$9)*(PI()*(Inputs!$F$13/1000)^2/4)*((Inputs!$F$13/1000/4)^(2/3))*SQRT(P177))</f>
        <v/>
      </c>
      <c r="AP177" s="14" t="str">
        <f>IF(A177="","",(1/Inputs!$B$9)*(PI()*(Inputs!$F$14/1000)^2/4)*((Inputs!$F$14/1000/4)^(2/3))*SQRT(P177))</f>
        <v/>
      </c>
      <c r="AQ177" s="14" t="str">
        <f t="shared" si="203"/>
        <v/>
      </c>
      <c r="AR177" s="14" t="str">
        <f t="shared" si="204"/>
        <v/>
      </c>
      <c r="AS177" s="17" t="str">
        <f>IF(A177="","",IF(J177="",Inputs!$B$18,J177))</f>
        <v/>
      </c>
      <c r="AT177" s="17" t="str">
        <f>IF(A177="","",IFERROR(_xludf.maxifs($AV$4:$AV$201,$D$4:$D$201,$A177),""))</f>
        <v/>
      </c>
      <c r="AU177" s="17" t="str">
        <f>IF(A177="","",IF(OR(E177="",Inputs!$B$23=""),"",E177/(Inputs!$B$23*60)))</f>
        <v/>
      </c>
      <c r="AV177" s="17" t="str">
        <f t="shared" si="205"/>
        <v/>
      </c>
      <c r="AW177" s="17" t="str">
        <f t="shared" si="206"/>
        <v/>
      </c>
      <c r="AX177" s="17" t="str">
        <f>IF(OR(T177="",P177=""),"",(1/Inputs!$B$9)*((T177/4)^(2/3))*SQRT(P177))</f>
        <v/>
      </c>
      <c r="AY177" s="17" t="str">
        <f>IF(A177="","",IF(AND(AW177="",AX177="",BA177=""),"",IF(OR(UPPER(TRIM(Inputs!$B$24))="MANNING",UPPER(TRIM(Inputs!$B$24))="M"),AX177,IF(OR(UPPER(TRIM(Inputs!$B$24))="PARTIAL",UPPER(TRIM(Inputs!$B$24))="P"),BA177,IF(OR(UPPER(TRIM(Inputs!$B$24))="MAX",UPPER(TRIM(Inputs!$B$24))="X"),MAX(IF(AW177="",0,AW177),IF(AX177="",0,AX177),IF(BA177="",0,BA177)),AW177)))))</f>
        <v/>
      </c>
      <c r="AZ177" s="17" t="str">
        <f t="shared" si="207"/>
        <v/>
      </c>
      <c r="BA177" s="17" t="str">
        <f t="shared" si="208"/>
        <v/>
      </c>
      <c r="BB177" s="14" t="str">
        <f t="shared" si="209"/>
        <v/>
      </c>
      <c r="BC177" s="14" t="str">
        <f>IF(OR(N177="",T177="",P177=""),"",IF(OR(T177="",P177="",(0.94*T177)="",T177&lt;=0,(0.94*T177)&lt;=0),"",(1/Inputs!$B$9)*((T177^2/8)*((2*ACOS(1-2*(0.94*T177)/T177))-SIN((2*ACOS(1-2*(0.94*T177)/T177)))))*((((T177^2/8)*((2*ACOS(1-2*(0.94*T177)/T177))-SIN((2*ACOS(1-2*(0.94*T177)/T177)))))/((T177/2)*((2*ACOS(1-2*(0.94*T177)/T177)))))^(2/3))*SQRT(P177)))</f>
        <v/>
      </c>
      <c r="BD177" s="14" t="str">
        <f t="shared" si="210"/>
        <v/>
      </c>
      <c r="BE177" s="14" t="str">
        <f t="shared" si="211"/>
        <v/>
      </c>
      <c r="BF177" s="14" t="str">
        <f t="shared" si="212"/>
        <v/>
      </c>
      <c r="BG177" s="14" t="str">
        <f>IF(OR(T177="",P177="",BF177="",T177&lt;=0,BF177&lt;=0),"",(1/Inputs!$B$9)*((T177^2/8)*((2*ACOS(1-2*BF177/T177))-SIN((2*ACOS(1-2*BF177/T177)))))*((((T177^2/8)*((2*ACOS(1-2*BF177/T177))-SIN((2*ACOS(1-2*BF177/T177)))))/((T177/2)*((2*ACOS(1-2*BF177/T177)))))^(2/3))*SQRT(P177))</f>
        <v/>
      </c>
      <c r="BH177" s="14" t="str">
        <f t="shared" si="213"/>
        <v/>
      </c>
      <c r="BI177" s="14" t="str">
        <f t="shared" si="214"/>
        <v/>
      </c>
      <c r="BJ177" s="14" t="str">
        <f t="shared" si="215"/>
        <v/>
      </c>
      <c r="BK177" s="14" t="str">
        <f>IF(OR(T177="",P177="",BJ177="",T177&lt;=0,BJ177&lt;=0),"",(1/Inputs!$B$9)*((T177^2/8)*((2*ACOS(1-2*BJ177/T177))-SIN((2*ACOS(1-2*BJ177/T177)))))*((((T177^2/8)*((2*ACOS(1-2*BJ177/T177))-SIN((2*ACOS(1-2*BJ177/T177)))))/((T177/2)*((2*ACOS(1-2*BJ177/T177)))))^(2/3))*SQRT(P177))</f>
        <v/>
      </c>
      <c r="BL177" s="14" t="str">
        <f t="shared" si="216"/>
        <v/>
      </c>
      <c r="BM177" s="14" t="str">
        <f t="shared" si="217"/>
        <v/>
      </c>
      <c r="BN177" s="14" t="str">
        <f t="shared" si="218"/>
        <v/>
      </c>
      <c r="BO177" s="14" t="str">
        <f>IF(OR(T177="",P177="",BN177="",T177&lt;=0,BN177&lt;=0),"",(1/Inputs!$B$9)*((T177^2/8)*((2*ACOS(1-2*BN177/T177))-SIN((2*ACOS(1-2*BN177/T177)))))*((((T177^2/8)*((2*ACOS(1-2*BN177/T177))-SIN((2*ACOS(1-2*BN177/T177)))))/((T177/2)*((2*ACOS(1-2*BN177/T177)))))^(2/3))*SQRT(P177))</f>
        <v/>
      </c>
      <c r="BP177" s="14" t="str">
        <f t="shared" si="219"/>
        <v/>
      </c>
      <c r="BQ177" s="14" t="str">
        <f t="shared" si="220"/>
        <v/>
      </c>
      <c r="BR177" s="14" t="str">
        <f t="shared" si="221"/>
        <v/>
      </c>
      <c r="BS177" s="14" t="str">
        <f>IF(OR(T177="",P177="",BR177="",T177&lt;=0,BR177&lt;=0),"",(1/Inputs!$B$9)*((T177^2/8)*((2*ACOS(1-2*BR177/T177))-SIN((2*ACOS(1-2*BR177/T177)))))*((((T177^2/8)*((2*ACOS(1-2*BR177/T177))-SIN((2*ACOS(1-2*BR177/T177)))))/((T177/2)*((2*ACOS(1-2*BR177/T177)))))^(2/3))*SQRT(P177))</f>
        <v/>
      </c>
      <c r="BT177" s="14" t="str">
        <f t="shared" si="222"/>
        <v/>
      </c>
      <c r="BU177" s="14" t="str">
        <f t="shared" si="223"/>
        <v/>
      </c>
      <c r="BV177" s="14" t="str">
        <f t="shared" si="224"/>
        <v/>
      </c>
      <c r="BW177" s="14" t="str">
        <f>IF(OR(T177="",P177="",BV177="",T177&lt;=0,BV177&lt;=0),"",(1/Inputs!$B$9)*((T177^2/8)*((2*ACOS(1-2*BV177/T177))-SIN((2*ACOS(1-2*BV177/T177)))))*((((T177^2/8)*((2*ACOS(1-2*BV177/T177))-SIN((2*ACOS(1-2*BV177/T177)))))/((T177/2)*((2*ACOS(1-2*BV177/T177)))))^(2/3))*SQRT(P177))</f>
        <v/>
      </c>
      <c r="BX177" s="14" t="str">
        <f t="shared" si="225"/>
        <v/>
      </c>
      <c r="BY177" s="14" t="str">
        <f t="shared" si="226"/>
        <v/>
      </c>
      <c r="BZ177" s="14" t="str">
        <f t="shared" si="227"/>
        <v/>
      </c>
      <c r="CA177" s="14" t="str">
        <f>IF(OR(T177="",P177="",BZ177="",T177&lt;=0,BZ177&lt;=0),"",(1/Inputs!$B$9)*((T177^2/8)*((2*ACOS(1-2*BZ177/T177))-SIN((2*ACOS(1-2*BZ177/T177)))))*((((T177^2/8)*((2*ACOS(1-2*BZ177/T177))-SIN((2*ACOS(1-2*BZ177/T177)))))/((T177/2)*((2*ACOS(1-2*BZ177/T177)))))^(2/3))*SQRT(P177))</f>
        <v/>
      </c>
      <c r="CB177" s="14" t="str">
        <f t="shared" si="228"/>
        <v/>
      </c>
      <c r="CC177" s="14" t="str">
        <f t="shared" si="229"/>
        <v/>
      </c>
      <c r="CD177" s="14" t="str">
        <f t="shared" si="230"/>
        <v/>
      </c>
      <c r="CE177" s="14" t="str">
        <f>IF(OR(T177="",P177="",CD177="",T177&lt;=0,CD177&lt;=0),"",(1/Inputs!$B$9)*((T177^2/8)*((2*ACOS(1-2*CD177/T177))-SIN((2*ACOS(1-2*CD177/T177)))))*((((T177^2/8)*((2*ACOS(1-2*CD177/T177))-SIN((2*ACOS(1-2*CD177/T177)))))/((T177/2)*((2*ACOS(1-2*CD177/T177)))))^(2/3))*SQRT(P177))</f>
        <v/>
      </c>
      <c r="CF177" s="14" t="str">
        <f t="shared" si="231"/>
        <v/>
      </c>
      <c r="CG177" s="14" t="str">
        <f t="shared" si="232"/>
        <v/>
      </c>
      <c r="CH177" s="14" t="str">
        <f t="shared" si="233"/>
        <v/>
      </c>
    </row>
    <row r="178" spans="1:86" x14ac:dyDescent="0.25">
      <c r="A178" s="14"/>
      <c r="B178" s="14"/>
      <c r="C178" s="14"/>
      <c r="D178" s="14"/>
      <c r="E178" s="44"/>
      <c r="F178" s="44"/>
      <c r="G178" s="44">
        <f>SUMIFS(CB_plan!$G:$G,CB_plan!$F:$F,$A178)</f>
        <v>0</v>
      </c>
      <c r="H178" s="44">
        <f t="shared" si="195"/>
        <v>0</v>
      </c>
      <c r="I178" s="14"/>
      <c r="J178" s="44"/>
      <c r="K178" s="44" t="str">
        <f>IF(A178="","",Inputs!$B$13/((IF(AV178="",Inputs!$B$18,AV178)+Inputs!$B$14)^Inputs!$B$15))</f>
        <v/>
      </c>
      <c r="L178" s="44" t="str">
        <f>IF(A178="","",IF(H178="","",0.000000278*IF(I178&lt;&gt;"",I178,IFERROR(SUMIFS(CB_plan!$H:$H,CB_plan!$F:$F,$A178)/SUMIFS(CB_plan!$G:$G,CB_plan!$F:$F,$A178),Inputs!$B$17))*H178*K178))</f>
        <v/>
      </c>
      <c r="M178" s="44" t="str">
        <f t="shared" si="196"/>
        <v/>
      </c>
      <c r="N178" s="44" t="str">
        <f>IF(A178="","",(L178+M178)*Inputs!$B$16)</f>
        <v/>
      </c>
      <c r="O178" s="44"/>
      <c r="P178" s="44" t="str">
        <f>IF(A178="","",IF(O178="",Inputs!$B$7,O178))</f>
        <v/>
      </c>
      <c r="Q178" s="14" t="str">
        <f>IF(A178="","",IF(N178/Inputs!$B$10&lt;=AG178,Inputs!$F$5,IF(N178/Inputs!$B$10&gt;AP178,"OVERSIZE",INDEX(Inputs!$F$5:$F$14,MATCH(N178/Inputs!$B$10,AG178:AP178,1)+1))))</f>
        <v/>
      </c>
      <c r="R178" s="14"/>
      <c r="S178" s="14" t="str">
        <f t="shared" si="197"/>
        <v/>
      </c>
      <c r="T178" s="44" t="str">
        <f t="shared" si="198"/>
        <v/>
      </c>
      <c r="U178" s="44" t="str">
        <f>IF(T178="","",(1/Inputs!$B$9)*(PI()*T178^2/4)*((T178/4)^(2/3))*SQRT(P178))</f>
        <v/>
      </c>
      <c r="V178" s="44" t="str">
        <f>IF(OR(U178="",N178=""),"",N178/(U178*Inputs!$B$10))</f>
        <v/>
      </c>
      <c r="W178" s="44" t="str">
        <f t="shared" si="199"/>
        <v/>
      </c>
      <c r="X178" s="44"/>
      <c r="Y178" s="44" t="str">
        <f>IF(A178="","",IF(A178=Inputs!$B$6,Inputs!$B$22,IF(D178="","",IFERROR(INDEX($Z$4:$Z$201,MATCH(D178,$A$4:$A$201,0))+IF(X178="",Inputs!$B$20,X178),""))))</f>
        <v/>
      </c>
      <c r="Z178" s="44" t="str">
        <f t="shared" si="200"/>
        <v/>
      </c>
      <c r="AA178" s="44" t="str">
        <f>IF(C178="","",IFERROR(INDEX(Noeuds_plan!$C$4:$C$200,MATCH(C178,Noeuds_plan!$A$4:$A$200,0)),""))</f>
        <v/>
      </c>
      <c r="AB178" s="44" t="str">
        <f>IF(B178="","",IFERROR(INDEX(Noeuds_plan!$C$4:$C$200,MATCH(B178,Noeuds_plan!$A$4:$A$200,0)),""))</f>
        <v/>
      </c>
      <c r="AC178" s="44" t="str">
        <f t="shared" si="201"/>
        <v/>
      </c>
      <c r="AD178" s="44" t="str">
        <f t="shared" si="202"/>
        <v/>
      </c>
      <c r="AE178" s="14" t="str">
        <f>IF(A178="","",IF(OR(V178&gt;1,AND(AY178&lt;&gt;"",AY178&lt;Inputs!$B$11),AND(AY178&lt;&gt;"",AY178&gt;Inputs!$B$12),AC178&lt;Inputs!$B$19,AD178&lt;Inputs!$B$19,P178&lt;Inputs!$B$7,P178&gt;Inputs!$B$8),"CHECK","OK"))</f>
        <v/>
      </c>
      <c r="AF178" s="14"/>
      <c r="AG178" s="14" t="str">
        <f>IF(A178="","",(1/Inputs!$B$9)*(PI()*(Inputs!$F$5/1000)^2/4)*((Inputs!$F$5/1000/4)^(2/3))*SQRT(P178))</f>
        <v/>
      </c>
      <c r="AH178" s="14" t="str">
        <f>IF(A178="","",(1/Inputs!$B$9)*(PI()*(Inputs!$F$6/1000)^2/4)*((Inputs!$F$6/1000/4)^(2/3))*SQRT(P178))</f>
        <v/>
      </c>
      <c r="AI178" s="14" t="str">
        <f>IF(A178="","",(1/Inputs!$B$9)*(PI()*(Inputs!$F$7/1000)^2/4)*((Inputs!$F$7/1000/4)^(2/3))*SQRT(P178))</f>
        <v/>
      </c>
      <c r="AJ178" s="14" t="str">
        <f>IF(A178="","",(1/Inputs!$B$9)*(PI()*(Inputs!$F$8/1000)^2/4)*((Inputs!$F$8/1000/4)^(2/3))*SQRT(P178))</f>
        <v/>
      </c>
      <c r="AK178" s="14" t="str">
        <f>IF(A178="","",(1/Inputs!$B$9)*(PI()*(Inputs!$F$9/1000)^2/4)*((Inputs!$F$9/1000/4)^(2/3))*SQRT(P178))</f>
        <v/>
      </c>
      <c r="AL178" s="14" t="str">
        <f>IF(A178="","",(1/Inputs!$B$9)*(PI()*(Inputs!$F$10/1000)^2/4)*((Inputs!$F$10/1000/4)^(2/3))*SQRT(P178))</f>
        <v/>
      </c>
      <c r="AM178" s="14" t="str">
        <f>IF(A178="","",(1/Inputs!$B$9)*(PI()*(Inputs!$F$11/1000)^2/4)*((Inputs!$F$11/1000/4)^(2/3))*SQRT(P178))</f>
        <v/>
      </c>
      <c r="AN178" s="14" t="str">
        <f>IF(A178="","",(1/Inputs!$B$9)*(PI()*(Inputs!$F$12/1000)^2/4)*((Inputs!$F$12/1000/4)^(2/3))*SQRT(P178))</f>
        <v/>
      </c>
      <c r="AO178" s="14" t="str">
        <f>IF(A178="","",(1/Inputs!$B$9)*(PI()*(Inputs!$F$13/1000)^2/4)*((Inputs!$F$13/1000/4)^(2/3))*SQRT(P178))</f>
        <v/>
      </c>
      <c r="AP178" s="14" t="str">
        <f>IF(A178="","",(1/Inputs!$B$9)*(PI()*(Inputs!$F$14/1000)^2/4)*((Inputs!$F$14/1000/4)^(2/3))*SQRT(P178))</f>
        <v/>
      </c>
      <c r="AQ178" s="14" t="str">
        <f t="shared" si="203"/>
        <v/>
      </c>
      <c r="AR178" s="14" t="str">
        <f t="shared" si="204"/>
        <v/>
      </c>
      <c r="AS178" s="17" t="str">
        <f>IF(A178="","",IF(J178="",Inputs!$B$18,J178))</f>
        <v/>
      </c>
      <c r="AT178" s="17" t="str">
        <f>IF(A178="","",IFERROR(_xludf.maxifs($AV$4:$AV$201,$D$4:$D$201,$A178),""))</f>
        <v/>
      </c>
      <c r="AU178" s="17" t="str">
        <f>IF(A178="","",IF(OR(E178="",Inputs!$B$23=""),"",E178/(Inputs!$B$23*60)))</f>
        <v/>
      </c>
      <c r="AV178" s="17" t="str">
        <f t="shared" si="205"/>
        <v/>
      </c>
      <c r="AW178" s="17" t="str">
        <f t="shared" si="206"/>
        <v/>
      </c>
      <c r="AX178" s="17" t="str">
        <f>IF(OR(T178="",P178=""),"",(1/Inputs!$B$9)*((T178/4)^(2/3))*SQRT(P178))</f>
        <v/>
      </c>
      <c r="AY178" s="17" t="str">
        <f>IF(A178="","",IF(AND(AW178="",AX178="",BA178=""),"",IF(OR(UPPER(TRIM(Inputs!$B$24))="MANNING",UPPER(TRIM(Inputs!$B$24))="M"),AX178,IF(OR(UPPER(TRIM(Inputs!$B$24))="PARTIAL",UPPER(TRIM(Inputs!$B$24))="P"),BA178,IF(OR(UPPER(TRIM(Inputs!$B$24))="MAX",UPPER(TRIM(Inputs!$B$24))="X"),MAX(IF(AW178="",0,AW178),IF(AX178="",0,AX178),IF(BA178="",0,BA178)),AW178)))))</f>
        <v/>
      </c>
      <c r="AZ178" s="17" t="str">
        <f t="shared" si="207"/>
        <v/>
      </c>
      <c r="BA178" s="17" t="str">
        <f t="shared" si="208"/>
        <v/>
      </c>
      <c r="BB178" s="14" t="str">
        <f t="shared" si="209"/>
        <v/>
      </c>
      <c r="BC178" s="14" t="str">
        <f>IF(OR(N178="",T178="",P178=""),"",IF(OR(T178="",P178="",(0.94*T178)="",T178&lt;=0,(0.94*T178)&lt;=0),"",(1/Inputs!$B$9)*((T178^2/8)*((2*ACOS(1-2*(0.94*T178)/T178))-SIN((2*ACOS(1-2*(0.94*T178)/T178)))))*((((T178^2/8)*((2*ACOS(1-2*(0.94*T178)/T178))-SIN((2*ACOS(1-2*(0.94*T178)/T178)))))/((T178/2)*((2*ACOS(1-2*(0.94*T178)/T178)))))^(2/3))*SQRT(P178)))</f>
        <v/>
      </c>
      <c r="BD178" s="14" t="str">
        <f t="shared" si="210"/>
        <v/>
      </c>
      <c r="BE178" s="14" t="str">
        <f t="shared" si="211"/>
        <v/>
      </c>
      <c r="BF178" s="14" t="str">
        <f t="shared" si="212"/>
        <v/>
      </c>
      <c r="BG178" s="14" t="str">
        <f>IF(OR(T178="",P178="",BF178="",T178&lt;=0,BF178&lt;=0),"",(1/Inputs!$B$9)*((T178^2/8)*((2*ACOS(1-2*BF178/T178))-SIN((2*ACOS(1-2*BF178/T178)))))*((((T178^2/8)*((2*ACOS(1-2*BF178/T178))-SIN((2*ACOS(1-2*BF178/T178)))))/((T178/2)*((2*ACOS(1-2*BF178/T178)))))^(2/3))*SQRT(P178))</f>
        <v/>
      </c>
      <c r="BH178" s="14" t="str">
        <f t="shared" si="213"/>
        <v/>
      </c>
      <c r="BI178" s="14" t="str">
        <f t="shared" si="214"/>
        <v/>
      </c>
      <c r="BJ178" s="14" t="str">
        <f t="shared" si="215"/>
        <v/>
      </c>
      <c r="BK178" s="14" t="str">
        <f>IF(OR(T178="",P178="",BJ178="",T178&lt;=0,BJ178&lt;=0),"",(1/Inputs!$B$9)*((T178^2/8)*((2*ACOS(1-2*BJ178/T178))-SIN((2*ACOS(1-2*BJ178/T178)))))*((((T178^2/8)*((2*ACOS(1-2*BJ178/T178))-SIN((2*ACOS(1-2*BJ178/T178)))))/((T178/2)*((2*ACOS(1-2*BJ178/T178)))))^(2/3))*SQRT(P178))</f>
        <v/>
      </c>
      <c r="BL178" s="14" t="str">
        <f t="shared" si="216"/>
        <v/>
      </c>
      <c r="BM178" s="14" t="str">
        <f t="shared" si="217"/>
        <v/>
      </c>
      <c r="BN178" s="14" t="str">
        <f t="shared" si="218"/>
        <v/>
      </c>
      <c r="BO178" s="14" t="str">
        <f>IF(OR(T178="",P178="",BN178="",T178&lt;=0,BN178&lt;=0),"",(1/Inputs!$B$9)*((T178^2/8)*((2*ACOS(1-2*BN178/T178))-SIN((2*ACOS(1-2*BN178/T178)))))*((((T178^2/8)*((2*ACOS(1-2*BN178/T178))-SIN((2*ACOS(1-2*BN178/T178)))))/((T178/2)*((2*ACOS(1-2*BN178/T178)))))^(2/3))*SQRT(P178))</f>
        <v/>
      </c>
      <c r="BP178" s="14" t="str">
        <f t="shared" si="219"/>
        <v/>
      </c>
      <c r="BQ178" s="14" t="str">
        <f t="shared" si="220"/>
        <v/>
      </c>
      <c r="BR178" s="14" t="str">
        <f t="shared" si="221"/>
        <v/>
      </c>
      <c r="BS178" s="14" t="str">
        <f>IF(OR(T178="",P178="",BR178="",T178&lt;=0,BR178&lt;=0),"",(1/Inputs!$B$9)*((T178^2/8)*((2*ACOS(1-2*BR178/T178))-SIN((2*ACOS(1-2*BR178/T178)))))*((((T178^2/8)*((2*ACOS(1-2*BR178/T178))-SIN((2*ACOS(1-2*BR178/T178)))))/((T178/2)*((2*ACOS(1-2*BR178/T178)))))^(2/3))*SQRT(P178))</f>
        <v/>
      </c>
      <c r="BT178" s="14" t="str">
        <f t="shared" si="222"/>
        <v/>
      </c>
      <c r="BU178" s="14" t="str">
        <f t="shared" si="223"/>
        <v/>
      </c>
      <c r="BV178" s="14" t="str">
        <f t="shared" si="224"/>
        <v/>
      </c>
      <c r="BW178" s="14" t="str">
        <f>IF(OR(T178="",P178="",BV178="",T178&lt;=0,BV178&lt;=0),"",(1/Inputs!$B$9)*((T178^2/8)*((2*ACOS(1-2*BV178/T178))-SIN((2*ACOS(1-2*BV178/T178)))))*((((T178^2/8)*((2*ACOS(1-2*BV178/T178))-SIN((2*ACOS(1-2*BV178/T178)))))/((T178/2)*((2*ACOS(1-2*BV178/T178)))))^(2/3))*SQRT(P178))</f>
        <v/>
      </c>
      <c r="BX178" s="14" t="str">
        <f t="shared" si="225"/>
        <v/>
      </c>
      <c r="BY178" s="14" t="str">
        <f t="shared" si="226"/>
        <v/>
      </c>
      <c r="BZ178" s="14" t="str">
        <f t="shared" si="227"/>
        <v/>
      </c>
      <c r="CA178" s="14" t="str">
        <f>IF(OR(T178="",P178="",BZ178="",T178&lt;=0,BZ178&lt;=0),"",(1/Inputs!$B$9)*((T178^2/8)*((2*ACOS(1-2*BZ178/T178))-SIN((2*ACOS(1-2*BZ178/T178)))))*((((T178^2/8)*((2*ACOS(1-2*BZ178/T178))-SIN((2*ACOS(1-2*BZ178/T178)))))/((T178/2)*((2*ACOS(1-2*BZ178/T178)))))^(2/3))*SQRT(P178))</f>
        <v/>
      </c>
      <c r="CB178" s="14" t="str">
        <f t="shared" si="228"/>
        <v/>
      </c>
      <c r="CC178" s="14" t="str">
        <f t="shared" si="229"/>
        <v/>
      </c>
      <c r="CD178" s="14" t="str">
        <f t="shared" si="230"/>
        <v/>
      </c>
      <c r="CE178" s="14" t="str">
        <f>IF(OR(T178="",P178="",CD178="",T178&lt;=0,CD178&lt;=0),"",(1/Inputs!$B$9)*((T178^2/8)*((2*ACOS(1-2*CD178/T178))-SIN((2*ACOS(1-2*CD178/T178)))))*((((T178^2/8)*((2*ACOS(1-2*CD178/T178))-SIN((2*ACOS(1-2*CD178/T178)))))/((T178/2)*((2*ACOS(1-2*CD178/T178)))))^(2/3))*SQRT(P178))</f>
        <v/>
      </c>
      <c r="CF178" s="14" t="str">
        <f t="shared" si="231"/>
        <v/>
      </c>
      <c r="CG178" s="14" t="str">
        <f t="shared" si="232"/>
        <v/>
      </c>
      <c r="CH178" s="14" t="str">
        <f t="shared" si="233"/>
        <v/>
      </c>
    </row>
    <row r="179" spans="1:86" x14ac:dyDescent="0.25">
      <c r="A179" s="14"/>
      <c r="B179" s="14"/>
      <c r="C179" s="14"/>
      <c r="D179" s="14"/>
      <c r="E179" s="44"/>
      <c r="F179" s="44"/>
      <c r="G179" s="44">
        <f>SUMIFS(CB_plan!$G:$G,CB_plan!$F:$F,$A179)</f>
        <v>0</v>
      </c>
      <c r="H179" s="44">
        <f t="shared" si="195"/>
        <v>0</v>
      </c>
      <c r="I179" s="14"/>
      <c r="J179" s="44"/>
      <c r="K179" s="44" t="str">
        <f>IF(A179="","",Inputs!$B$13/((IF(AV179="",Inputs!$B$18,AV179)+Inputs!$B$14)^Inputs!$B$15))</f>
        <v/>
      </c>
      <c r="L179" s="44" t="str">
        <f>IF(A179="","",IF(H179="","",0.000000278*IF(I179&lt;&gt;"",I179,IFERROR(SUMIFS(CB_plan!$H:$H,CB_plan!$F:$F,$A179)/SUMIFS(CB_plan!$G:$G,CB_plan!$F:$F,$A179),Inputs!$B$17))*H179*K179))</f>
        <v/>
      </c>
      <c r="M179" s="44" t="str">
        <f t="shared" si="196"/>
        <v/>
      </c>
      <c r="N179" s="44" t="str">
        <f>IF(A179="","",(L179+M179)*Inputs!$B$16)</f>
        <v/>
      </c>
      <c r="O179" s="44"/>
      <c r="P179" s="44" t="str">
        <f>IF(A179="","",IF(O179="",Inputs!$B$7,O179))</f>
        <v/>
      </c>
      <c r="Q179" s="14" t="str">
        <f>IF(A179="","",IF(N179/Inputs!$B$10&lt;=AG179,Inputs!$F$5,IF(N179/Inputs!$B$10&gt;AP179,"OVERSIZE",INDEX(Inputs!$F$5:$F$14,MATCH(N179/Inputs!$B$10,AG179:AP179,1)+1))))</f>
        <v/>
      </c>
      <c r="R179" s="14"/>
      <c r="S179" s="14" t="str">
        <f t="shared" si="197"/>
        <v/>
      </c>
      <c r="T179" s="44" t="str">
        <f t="shared" si="198"/>
        <v/>
      </c>
      <c r="U179" s="44" t="str">
        <f>IF(T179="","",(1/Inputs!$B$9)*(PI()*T179^2/4)*((T179/4)^(2/3))*SQRT(P179))</f>
        <v/>
      </c>
      <c r="V179" s="44" t="str">
        <f>IF(OR(U179="",N179=""),"",N179/(U179*Inputs!$B$10))</f>
        <v/>
      </c>
      <c r="W179" s="44" t="str">
        <f t="shared" si="199"/>
        <v/>
      </c>
      <c r="X179" s="44"/>
      <c r="Y179" s="44" t="str">
        <f>IF(A179="","",IF(A179=Inputs!$B$6,Inputs!$B$22,IF(D179="","",IFERROR(INDEX($Z$4:$Z$201,MATCH(D179,$A$4:$A$201,0))+IF(X179="",Inputs!$B$20,X179),""))))</f>
        <v/>
      </c>
      <c r="Z179" s="44" t="str">
        <f t="shared" si="200"/>
        <v/>
      </c>
      <c r="AA179" s="44" t="str">
        <f>IF(C179="","",IFERROR(INDEX(Noeuds_plan!$C$4:$C$200,MATCH(C179,Noeuds_plan!$A$4:$A$200,0)),""))</f>
        <v/>
      </c>
      <c r="AB179" s="44" t="str">
        <f>IF(B179="","",IFERROR(INDEX(Noeuds_plan!$C$4:$C$200,MATCH(B179,Noeuds_plan!$A$4:$A$200,0)),""))</f>
        <v/>
      </c>
      <c r="AC179" s="44" t="str">
        <f t="shared" si="201"/>
        <v/>
      </c>
      <c r="AD179" s="44" t="str">
        <f t="shared" si="202"/>
        <v/>
      </c>
      <c r="AE179" s="14" t="str">
        <f>IF(A179="","",IF(OR(V179&gt;1,AND(AY179&lt;&gt;"",AY179&lt;Inputs!$B$11),AND(AY179&lt;&gt;"",AY179&gt;Inputs!$B$12),AC179&lt;Inputs!$B$19,AD179&lt;Inputs!$B$19,P179&lt;Inputs!$B$7,P179&gt;Inputs!$B$8),"CHECK","OK"))</f>
        <v/>
      </c>
      <c r="AF179" s="14"/>
      <c r="AG179" s="14" t="str">
        <f>IF(A179="","",(1/Inputs!$B$9)*(PI()*(Inputs!$F$5/1000)^2/4)*((Inputs!$F$5/1000/4)^(2/3))*SQRT(P179))</f>
        <v/>
      </c>
      <c r="AH179" s="14" t="str">
        <f>IF(A179="","",(1/Inputs!$B$9)*(PI()*(Inputs!$F$6/1000)^2/4)*((Inputs!$F$6/1000/4)^(2/3))*SQRT(P179))</f>
        <v/>
      </c>
      <c r="AI179" s="14" t="str">
        <f>IF(A179="","",(1/Inputs!$B$9)*(PI()*(Inputs!$F$7/1000)^2/4)*((Inputs!$F$7/1000/4)^(2/3))*SQRT(P179))</f>
        <v/>
      </c>
      <c r="AJ179" s="14" t="str">
        <f>IF(A179="","",(1/Inputs!$B$9)*(PI()*(Inputs!$F$8/1000)^2/4)*((Inputs!$F$8/1000/4)^(2/3))*SQRT(P179))</f>
        <v/>
      </c>
      <c r="AK179" s="14" t="str">
        <f>IF(A179="","",(1/Inputs!$B$9)*(PI()*(Inputs!$F$9/1000)^2/4)*((Inputs!$F$9/1000/4)^(2/3))*SQRT(P179))</f>
        <v/>
      </c>
      <c r="AL179" s="14" t="str">
        <f>IF(A179="","",(1/Inputs!$B$9)*(PI()*(Inputs!$F$10/1000)^2/4)*((Inputs!$F$10/1000/4)^(2/3))*SQRT(P179))</f>
        <v/>
      </c>
      <c r="AM179" s="14" t="str">
        <f>IF(A179="","",(1/Inputs!$B$9)*(PI()*(Inputs!$F$11/1000)^2/4)*((Inputs!$F$11/1000/4)^(2/3))*SQRT(P179))</f>
        <v/>
      </c>
      <c r="AN179" s="14" t="str">
        <f>IF(A179="","",(1/Inputs!$B$9)*(PI()*(Inputs!$F$12/1000)^2/4)*((Inputs!$F$12/1000/4)^(2/3))*SQRT(P179))</f>
        <v/>
      </c>
      <c r="AO179" s="14" t="str">
        <f>IF(A179="","",(1/Inputs!$B$9)*(PI()*(Inputs!$F$13/1000)^2/4)*((Inputs!$F$13/1000/4)^(2/3))*SQRT(P179))</f>
        <v/>
      </c>
      <c r="AP179" s="14" t="str">
        <f>IF(A179="","",(1/Inputs!$B$9)*(PI()*(Inputs!$F$14/1000)^2/4)*((Inputs!$F$14/1000/4)^(2/3))*SQRT(P179))</f>
        <v/>
      </c>
      <c r="AQ179" s="14" t="str">
        <f t="shared" si="203"/>
        <v/>
      </c>
      <c r="AR179" s="14" t="str">
        <f t="shared" si="204"/>
        <v/>
      </c>
      <c r="AS179" s="17" t="str">
        <f>IF(A179="","",IF(J179="",Inputs!$B$18,J179))</f>
        <v/>
      </c>
      <c r="AT179" s="17" t="str">
        <f>IF(A179="","",IFERROR(_xludf.maxifs($AV$4:$AV$201,$D$4:$D$201,$A179),""))</f>
        <v/>
      </c>
      <c r="AU179" s="17" t="str">
        <f>IF(A179="","",IF(OR(E179="",Inputs!$B$23=""),"",E179/(Inputs!$B$23*60)))</f>
        <v/>
      </c>
      <c r="AV179" s="17" t="str">
        <f t="shared" si="205"/>
        <v/>
      </c>
      <c r="AW179" s="17" t="str">
        <f t="shared" si="206"/>
        <v/>
      </c>
      <c r="AX179" s="17" t="str">
        <f>IF(OR(T179="",P179=""),"",(1/Inputs!$B$9)*((T179/4)^(2/3))*SQRT(P179))</f>
        <v/>
      </c>
      <c r="AY179" s="17" t="str">
        <f>IF(A179="","",IF(AND(AW179="",AX179="",BA179=""),"",IF(OR(UPPER(TRIM(Inputs!$B$24))="MANNING",UPPER(TRIM(Inputs!$B$24))="M"),AX179,IF(OR(UPPER(TRIM(Inputs!$B$24))="PARTIAL",UPPER(TRIM(Inputs!$B$24))="P"),BA179,IF(OR(UPPER(TRIM(Inputs!$B$24))="MAX",UPPER(TRIM(Inputs!$B$24))="X"),MAX(IF(AW179="",0,AW179),IF(AX179="",0,AX179),IF(BA179="",0,BA179)),AW179)))))</f>
        <v/>
      </c>
      <c r="AZ179" s="17" t="str">
        <f t="shared" si="207"/>
        <v/>
      </c>
      <c r="BA179" s="17" t="str">
        <f t="shared" si="208"/>
        <v/>
      </c>
      <c r="BB179" s="14" t="str">
        <f t="shared" si="209"/>
        <v/>
      </c>
      <c r="BC179" s="14" t="str">
        <f>IF(OR(N179="",T179="",P179=""),"",IF(OR(T179="",P179="",(0.94*T179)="",T179&lt;=0,(0.94*T179)&lt;=0),"",(1/Inputs!$B$9)*((T179^2/8)*((2*ACOS(1-2*(0.94*T179)/T179))-SIN((2*ACOS(1-2*(0.94*T179)/T179)))))*((((T179^2/8)*((2*ACOS(1-2*(0.94*T179)/T179))-SIN((2*ACOS(1-2*(0.94*T179)/T179)))))/((T179/2)*((2*ACOS(1-2*(0.94*T179)/T179)))))^(2/3))*SQRT(P179)))</f>
        <v/>
      </c>
      <c r="BD179" s="14" t="str">
        <f t="shared" si="210"/>
        <v/>
      </c>
      <c r="BE179" s="14" t="str">
        <f t="shared" si="211"/>
        <v/>
      </c>
      <c r="BF179" s="14" t="str">
        <f t="shared" si="212"/>
        <v/>
      </c>
      <c r="BG179" s="14" t="str">
        <f>IF(OR(T179="",P179="",BF179="",T179&lt;=0,BF179&lt;=0),"",(1/Inputs!$B$9)*((T179^2/8)*((2*ACOS(1-2*BF179/T179))-SIN((2*ACOS(1-2*BF179/T179)))))*((((T179^2/8)*((2*ACOS(1-2*BF179/T179))-SIN((2*ACOS(1-2*BF179/T179)))))/((T179/2)*((2*ACOS(1-2*BF179/T179)))))^(2/3))*SQRT(P179))</f>
        <v/>
      </c>
      <c r="BH179" s="14" t="str">
        <f t="shared" si="213"/>
        <v/>
      </c>
      <c r="BI179" s="14" t="str">
        <f t="shared" si="214"/>
        <v/>
      </c>
      <c r="BJ179" s="14" t="str">
        <f t="shared" si="215"/>
        <v/>
      </c>
      <c r="BK179" s="14" t="str">
        <f>IF(OR(T179="",P179="",BJ179="",T179&lt;=0,BJ179&lt;=0),"",(1/Inputs!$B$9)*((T179^2/8)*((2*ACOS(1-2*BJ179/T179))-SIN((2*ACOS(1-2*BJ179/T179)))))*((((T179^2/8)*((2*ACOS(1-2*BJ179/T179))-SIN((2*ACOS(1-2*BJ179/T179)))))/((T179/2)*((2*ACOS(1-2*BJ179/T179)))))^(2/3))*SQRT(P179))</f>
        <v/>
      </c>
      <c r="BL179" s="14" t="str">
        <f t="shared" si="216"/>
        <v/>
      </c>
      <c r="BM179" s="14" t="str">
        <f t="shared" si="217"/>
        <v/>
      </c>
      <c r="BN179" s="14" t="str">
        <f t="shared" si="218"/>
        <v/>
      </c>
      <c r="BO179" s="14" t="str">
        <f>IF(OR(T179="",P179="",BN179="",T179&lt;=0,BN179&lt;=0),"",(1/Inputs!$B$9)*((T179^2/8)*((2*ACOS(1-2*BN179/T179))-SIN((2*ACOS(1-2*BN179/T179)))))*((((T179^2/8)*((2*ACOS(1-2*BN179/T179))-SIN((2*ACOS(1-2*BN179/T179)))))/((T179/2)*((2*ACOS(1-2*BN179/T179)))))^(2/3))*SQRT(P179))</f>
        <v/>
      </c>
      <c r="BP179" s="14" t="str">
        <f t="shared" si="219"/>
        <v/>
      </c>
      <c r="BQ179" s="14" t="str">
        <f t="shared" si="220"/>
        <v/>
      </c>
      <c r="BR179" s="14" t="str">
        <f t="shared" si="221"/>
        <v/>
      </c>
      <c r="BS179" s="14" t="str">
        <f>IF(OR(T179="",P179="",BR179="",T179&lt;=0,BR179&lt;=0),"",(1/Inputs!$B$9)*((T179^2/8)*((2*ACOS(1-2*BR179/T179))-SIN((2*ACOS(1-2*BR179/T179)))))*((((T179^2/8)*((2*ACOS(1-2*BR179/T179))-SIN((2*ACOS(1-2*BR179/T179)))))/((T179/2)*((2*ACOS(1-2*BR179/T179)))))^(2/3))*SQRT(P179))</f>
        <v/>
      </c>
      <c r="BT179" s="14" t="str">
        <f t="shared" si="222"/>
        <v/>
      </c>
      <c r="BU179" s="14" t="str">
        <f t="shared" si="223"/>
        <v/>
      </c>
      <c r="BV179" s="14" t="str">
        <f t="shared" si="224"/>
        <v/>
      </c>
      <c r="BW179" s="14" t="str">
        <f>IF(OR(T179="",P179="",BV179="",T179&lt;=0,BV179&lt;=0),"",(1/Inputs!$B$9)*((T179^2/8)*((2*ACOS(1-2*BV179/T179))-SIN((2*ACOS(1-2*BV179/T179)))))*((((T179^2/8)*((2*ACOS(1-2*BV179/T179))-SIN((2*ACOS(1-2*BV179/T179)))))/((T179/2)*((2*ACOS(1-2*BV179/T179)))))^(2/3))*SQRT(P179))</f>
        <v/>
      </c>
      <c r="BX179" s="14" t="str">
        <f t="shared" si="225"/>
        <v/>
      </c>
      <c r="BY179" s="14" t="str">
        <f t="shared" si="226"/>
        <v/>
      </c>
      <c r="BZ179" s="14" t="str">
        <f t="shared" si="227"/>
        <v/>
      </c>
      <c r="CA179" s="14" t="str">
        <f>IF(OR(T179="",P179="",BZ179="",T179&lt;=0,BZ179&lt;=0),"",(1/Inputs!$B$9)*((T179^2/8)*((2*ACOS(1-2*BZ179/T179))-SIN((2*ACOS(1-2*BZ179/T179)))))*((((T179^2/8)*((2*ACOS(1-2*BZ179/T179))-SIN((2*ACOS(1-2*BZ179/T179)))))/((T179/2)*((2*ACOS(1-2*BZ179/T179)))))^(2/3))*SQRT(P179))</f>
        <v/>
      </c>
      <c r="CB179" s="14" t="str">
        <f t="shared" si="228"/>
        <v/>
      </c>
      <c r="CC179" s="14" t="str">
        <f t="shared" si="229"/>
        <v/>
      </c>
      <c r="CD179" s="14" t="str">
        <f t="shared" si="230"/>
        <v/>
      </c>
      <c r="CE179" s="14" t="str">
        <f>IF(OR(T179="",P179="",CD179="",T179&lt;=0,CD179&lt;=0),"",(1/Inputs!$B$9)*((T179^2/8)*((2*ACOS(1-2*CD179/T179))-SIN((2*ACOS(1-2*CD179/T179)))))*((((T179^2/8)*((2*ACOS(1-2*CD179/T179))-SIN((2*ACOS(1-2*CD179/T179)))))/((T179/2)*((2*ACOS(1-2*CD179/T179)))))^(2/3))*SQRT(P179))</f>
        <v/>
      </c>
      <c r="CF179" s="14" t="str">
        <f t="shared" si="231"/>
        <v/>
      </c>
      <c r="CG179" s="14" t="str">
        <f t="shared" si="232"/>
        <v/>
      </c>
      <c r="CH179" s="14" t="str">
        <f t="shared" si="233"/>
        <v/>
      </c>
    </row>
    <row r="180" spans="1:86" x14ac:dyDescent="0.25">
      <c r="A180" s="14"/>
      <c r="B180" s="14"/>
      <c r="C180" s="14"/>
      <c r="D180" s="14"/>
      <c r="E180" s="44"/>
      <c r="F180" s="44"/>
      <c r="G180" s="44">
        <f>SUMIFS(CB_plan!$G:$G,CB_plan!$F:$F,$A180)</f>
        <v>0</v>
      </c>
      <c r="H180" s="44">
        <f t="shared" si="195"/>
        <v>0</v>
      </c>
      <c r="I180" s="14"/>
      <c r="J180" s="44"/>
      <c r="K180" s="44" t="str">
        <f>IF(A180="","",Inputs!$B$13/((IF(AV180="",Inputs!$B$18,AV180)+Inputs!$B$14)^Inputs!$B$15))</f>
        <v/>
      </c>
      <c r="L180" s="44" t="str">
        <f>IF(A180="","",IF(H180="","",0.000000278*IF(I180&lt;&gt;"",I180,IFERROR(SUMIFS(CB_plan!$H:$H,CB_plan!$F:$F,$A180)/SUMIFS(CB_plan!$G:$G,CB_plan!$F:$F,$A180),Inputs!$B$17))*H180*K180))</f>
        <v/>
      </c>
      <c r="M180" s="44" t="str">
        <f t="shared" si="196"/>
        <v/>
      </c>
      <c r="N180" s="44" t="str">
        <f>IF(A180="","",(L180+M180)*Inputs!$B$16)</f>
        <v/>
      </c>
      <c r="O180" s="44"/>
      <c r="P180" s="44" t="str">
        <f>IF(A180="","",IF(O180="",Inputs!$B$7,O180))</f>
        <v/>
      </c>
      <c r="Q180" s="14" t="str">
        <f>IF(A180="","",IF(N180/Inputs!$B$10&lt;=AG180,Inputs!$F$5,IF(N180/Inputs!$B$10&gt;AP180,"OVERSIZE",INDEX(Inputs!$F$5:$F$14,MATCH(N180/Inputs!$B$10,AG180:AP180,1)+1))))</f>
        <v/>
      </c>
      <c r="R180" s="14"/>
      <c r="S180" s="14" t="str">
        <f t="shared" si="197"/>
        <v/>
      </c>
      <c r="T180" s="44" t="str">
        <f t="shared" si="198"/>
        <v/>
      </c>
      <c r="U180" s="44" t="str">
        <f>IF(T180="","",(1/Inputs!$B$9)*(PI()*T180^2/4)*((T180/4)^(2/3))*SQRT(P180))</f>
        <v/>
      </c>
      <c r="V180" s="44" t="str">
        <f>IF(OR(U180="",N180=""),"",N180/(U180*Inputs!$B$10))</f>
        <v/>
      </c>
      <c r="W180" s="44" t="str">
        <f t="shared" si="199"/>
        <v/>
      </c>
      <c r="X180" s="44"/>
      <c r="Y180" s="44" t="str">
        <f>IF(A180="","",IF(A180=Inputs!$B$6,Inputs!$B$22,IF(D180="","",IFERROR(INDEX($Z$4:$Z$201,MATCH(D180,$A$4:$A$201,0))+IF(X180="",Inputs!$B$20,X180),""))))</f>
        <v/>
      </c>
      <c r="Z180" s="44" t="str">
        <f t="shared" si="200"/>
        <v/>
      </c>
      <c r="AA180" s="44" t="str">
        <f>IF(C180="","",IFERROR(INDEX(Noeuds_plan!$C$4:$C$200,MATCH(C180,Noeuds_plan!$A$4:$A$200,0)),""))</f>
        <v/>
      </c>
      <c r="AB180" s="44" t="str">
        <f>IF(B180="","",IFERROR(INDEX(Noeuds_plan!$C$4:$C$200,MATCH(B180,Noeuds_plan!$A$4:$A$200,0)),""))</f>
        <v/>
      </c>
      <c r="AC180" s="44" t="str">
        <f t="shared" si="201"/>
        <v/>
      </c>
      <c r="AD180" s="44" t="str">
        <f t="shared" si="202"/>
        <v/>
      </c>
      <c r="AE180" s="14" t="str">
        <f>IF(A180="","",IF(OR(V180&gt;1,AND(AY180&lt;&gt;"",AY180&lt;Inputs!$B$11),AND(AY180&lt;&gt;"",AY180&gt;Inputs!$B$12),AC180&lt;Inputs!$B$19,AD180&lt;Inputs!$B$19,P180&lt;Inputs!$B$7,P180&gt;Inputs!$B$8),"CHECK","OK"))</f>
        <v/>
      </c>
      <c r="AF180" s="14"/>
      <c r="AG180" s="14" t="str">
        <f>IF(A180="","",(1/Inputs!$B$9)*(PI()*(Inputs!$F$5/1000)^2/4)*((Inputs!$F$5/1000/4)^(2/3))*SQRT(P180))</f>
        <v/>
      </c>
      <c r="AH180" s="14" t="str">
        <f>IF(A180="","",(1/Inputs!$B$9)*(PI()*(Inputs!$F$6/1000)^2/4)*((Inputs!$F$6/1000/4)^(2/3))*SQRT(P180))</f>
        <v/>
      </c>
      <c r="AI180" s="14" t="str">
        <f>IF(A180="","",(1/Inputs!$B$9)*(PI()*(Inputs!$F$7/1000)^2/4)*((Inputs!$F$7/1000/4)^(2/3))*SQRT(P180))</f>
        <v/>
      </c>
      <c r="AJ180" s="14" t="str">
        <f>IF(A180="","",(1/Inputs!$B$9)*(PI()*(Inputs!$F$8/1000)^2/4)*((Inputs!$F$8/1000/4)^(2/3))*SQRT(P180))</f>
        <v/>
      </c>
      <c r="AK180" s="14" t="str">
        <f>IF(A180="","",(1/Inputs!$B$9)*(PI()*(Inputs!$F$9/1000)^2/4)*((Inputs!$F$9/1000/4)^(2/3))*SQRT(P180))</f>
        <v/>
      </c>
      <c r="AL180" s="14" t="str">
        <f>IF(A180="","",(1/Inputs!$B$9)*(PI()*(Inputs!$F$10/1000)^2/4)*((Inputs!$F$10/1000/4)^(2/3))*SQRT(P180))</f>
        <v/>
      </c>
      <c r="AM180" s="14" t="str">
        <f>IF(A180="","",(1/Inputs!$B$9)*(PI()*(Inputs!$F$11/1000)^2/4)*((Inputs!$F$11/1000/4)^(2/3))*SQRT(P180))</f>
        <v/>
      </c>
      <c r="AN180" s="14" t="str">
        <f>IF(A180="","",(1/Inputs!$B$9)*(PI()*(Inputs!$F$12/1000)^2/4)*((Inputs!$F$12/1000/4)^(2/3))*SQRT(P180))</f>
        <v/>
      </c>
      <c r="AO180" s="14" t="str">
        <f>IF(A180="","",(1/Inputs!$B$9)*(PI()*(Inputs!$F$13/1000)^2/4)*((Inputs!$F$13/1000/4)^(2/3))*SQRT(P180))</f>
        <v/>
      </c>
      <c r="AP180" s="14" t="str">
        <f>IF(A180="","",(1/Inputs!$B$9)*(PI()*(Inputs!$F$14/1000)^2/4)*((Inputs!$F$14/1000/4)^(2/3))*SQRT(P180))</f>
        <v/>
      </c>
      <c r="AQ180" s="14" t="str">
        <f t="shared" si="203"/>
        <v/>
      </c>
      <c r="AR180" s="14" t="str">
        <f t="shared" si="204"/>
        <v/>
      </c>
      <c r="AS180" s="17" t="str">
        <f>IF(A180="","",IF(J180="",Inputs!$B$18,J180))</f>
        <v/>
      </c>
      <c r="AT180" s="17" t="str">
        <f>IF(A180="","",IFERROR(_xludf.maxifs($AV$4:$AV$201,$D$4:$D$201,$A180),""))</f>
        <v/>
      </c>
      <c r="AU180" s="17" t="str">
        <f>IF(A180="","",IF(OR(E180="",Inputs!$B$23=""),"",E180/(Inputs!$B$23*60)))</f>
        <v/>
      </c>
      <c r="AV180" s="17" t="str">
        <f t="shared" si="205"/>
        <v/>
      </c>
      <c r="AW180" s="17" t="str">
        <f t="shared" si="206"/>
        <v/>
      </c>
      <c r="AX180" s="17" t="str">
        <f>IF(OR(T180="",P180=""),"",(1/Inputs!$B$9)*((T180/4)^(2/3))*SQRT(P180))</f>
        <v/>
      </c>
      <c r="AY180" s="17" t="str">
        <f>IF(A180="","",IF(AND(AW180="",AX180="",BA180=""),"",IF(OR(UPPER(TRIM(Inputs!$B$24))="MANNING",UPPER(TRIM(Inputs!$B$24))="M"),AX180,IF(OR(UPPER(TRIM(Inputs!$B$24))="PARTIAL",UPPER(TRIM(Inputs!$B$24))="P"),BA180,IF(OR(UPPER(TRIM(Inputs!$B$24))="MAX",UPPER(TRIM(Inputs!$B$24))="X"),MAX(IF(AW180="",0,AW180),IF(AX180="",0,AX180),IF(BA180="",0,BA180)),AW180)))))</f>
        <v/>
      </c>
      <c r="AZ180" s="17" t="str">
        <f t="shared" si="207"/>
        <v/>
      </c>
      <c r="BA180" s="17" t="str">
        <f t="shared" si="208"/>
        <v/>
      </c>
      <c r="BB180" s="14" t="str">
        <f t="shared" si="209"/>
        <v/>
      </c>
      <c r="BC180" s="14" t="str">
        <f>IF(OR(N180="",T180="",P180=""),"",IF(OR(T180="",P180="",(0.94*T180)="",T180&lt;=0,(0.94*T180)&lt;=0),"",(1/Inputs!$B$9)*((T180^2/8)*((2*ACOS(1-2*(0.94*T180)/T180))-SIN((2*ACOS(1-2*(0.94*T180)/T180)))))*((((T180^2/8)*((2*ACOS(1-2*(0.94*T180)/T180))-SIN((2*ACOS(1-2*(0.94*T180)/T180)))))/((T180/2)*((2*ACOS(1-2*(0.94*T180)/T180)))))^(2/3))*SQRT(P180)))</f>
        <v/>
      </c>
      <c r="BD180" s="14" t="str">
        <f t="shared" si="210"/>
        <v/>
      </c>
      <c r="BE180" s="14" t="str">
        <f t="shared" si="211"/>
        <v/>
      </c>
      <c r="BF180" s="14" t="str">
        <f t="shared" si="212"/>
        <v/>
      </c>
      <c r="BG180" s="14" t="str">
        <f>IF(OR(T180="",P180="",BF180="",T180&lt;=0,BF180&lt;=0),"",(1/Inputs!$B$9)*((T180^2/8)*((2*ACOS(1-2*BF180/T180))-SIN((2*ACOS(1-2*BF180/T180)))))*((((T180^2/8)*((2*ACOS(1-2*BF180/T180))-SIN((2*ACOS(1-2*BF180/T180)))))/((T180/2)*((2*ACOS(1-2*BF180/T180)))))^(2/3))*SQRT(P180))</f>
        <v/>
      </c>
      <c r="BH180" s="14" t="str">
        <f t="shared" si="213"/>
        <v/>
      </c>
      <c r="BI180" s="14" t="str">
        <f t="shared" si="214"/>
        <v/>
      </c>
      <c r="BJ180" s="14" t="str">
        <f t="shared" si="215"/>
        <v/>
      </c>
      <c r="BK180" s="14" t="str">
        <f>IF(OR(T180="",P180="",BJ180="",T180&lt;=0,BJ180&lt;=0),"",(1/Inputs!$B$9)*((T180^2/8)*((2*ACOS(1-2*BJ180/T180))-SIN((2*ACOS(1-2*BJ180/T180)))))*((((T180^2/8)*((2*ACOS(1-2*BJ180/T180))-SIN((2*ACOS(1-2*BJ180/T180)))))/((T180/2)*((2*ACOS(1-2*BJ180/T180)))))^(2/3))*SQRT(P180))</f>
        <v/>
      </c>
      <c r="BL180" s="14" t="str">
        <f t="shared" si="216"/>
        <v/>
      </c>
      <c r="BM180" s="14" t="str">
        <f t="shared" si="217"/>
        <v/>
      </c>
      <c r="BN180" s="14" t="str">
        <f t="shared" si="218"/>
        <v/>
      </c>
      <c r="BO180" s="14" t="str">
        <f>IF(OR(T180="",P180="",BN180="",T180&lt;=0,BN180&lt;=0),"",(1/Inputs!$B$9)*((T180^2/8)*((2*ACOS(1-2*BN180/T180))-SIN((2*ACOS(1-2*BN180/T180)))))*((((T180^2/8)*((2*ACOS(1-2*BN180/T180))-SIN((2*ACOS(1-2*BN180/T180)))))/((T180/2)*((2*ACOS(1-2*BN180/T180)))))^(2/3))*SQRT(P180))</f>
        <v/>
      </c>
      <c r="BP180" s="14" t="str">
        <f t="shared" si="219"/>
        <v/>
      </c>
      <c r="BQ180" s="14" t="str">
        <f t="shared" si="220"/>
        <v/>
      </c>
      <c r="BR180" s="14" t="str">
        <f t="shared" si="221"/>
        <v/>
      </c>
      <c r="BS180" s="14" t="str">
        <f>IF(OR(T180="",P180="",BR180="",T180&lt;=0,BR180&lt;=0),"",(1/Inputs!$B$9)*((T180^2/8)*((2*ACOS(1-2*BR180/T180))-SIN((2*ACOS(1-2*BR180/T180)))))*((((T180^2/8)*((2*ACOS(1-2*BR180/T180))-SIN((2*ACOS(1-2*BR180/T180)))))/((T180/2)*((2*ACOS(1-2*BR180/T180)))))^(2/3))*SQRT(P180))</f>
        <v/>
      </c>
      <c r="BT180" s="14" t="str">
        <f t="shared" si="222"/>
        <v/>
      </c>
      <c r="BU180" s="14" t="str">
        <f t="shared" si="223"/>
        <v/>
      </c>
      <c r="BV180" s="14" t="str">
        <f t="shared" si="224"/>
        <v/>
      </c>
      <c r="BW180" s="14" t="str">
        <f>IF(OR(T180="",P180="",BV180="",T180&lt;=0,BV180&lt;=0),"",(1/Inputs!$B$9)*((T180^2/8)*((2*ACOS(1-2*BV180/T180))-SIN((2*ACOS(1-2*BV180/T180)))))*((((T180^2/8)*((2*ACOS(1-2*BV180/T180))-SIN((2*ACOS(1-2*BV180/T180)))))/((T180/2)*((2*ACOS(1-2*BV180/T180)))))^(2/3))*SQRT(P180))</f>
        <v/>
      </c>
      <c r="BX180" s="14" t="str">
        <f t="shared" si="225"/>
        <v/>
      </c>
      <c r="BY180" s="14" t="str">
        <f t="shared" si="226"/>
        <v/>
      </c>
      <c r="BZ180" s="14" t="str">
        <f t="shared" si="227"/>
        <v/>
      </c>
      <c r="CA180" s="14" t="str">
        <f>IF(OR(T180="",P180="",BZ180="",T180&lt;=0,BZ180&lt;=0),"",(1/Inputs!$B$9)*((T180^2/8)*((2*ACOS(1-2*BZ180/T180))-SIN((2*ACOS(1-2*BZ180/T180)))))*((((T180^2/8)*((2*ACOS(1-2*BZ180/T180))-SIN((2*ACOS(1-2*BZ180/T180)))))/((T180/2)*((2*ACOS(1-2*BZ180/T180)))))^(2/3))*SQRT(P180))</f>
        <v/>
      </c>
      <c r="CB180" s="14" t="str">
        <f t="shared" si="228"/>
        <v/>
      </c>
      <c r="CC180" s="14" t="str">
        <f t="shared" si="229"/>
        <v/>
      </c>
      <c r="CD180" s="14" t="str">
        <f t="shared" si="230"/>
        <v/>
      </c>
      <c r="CE180" s="14" t="str">
        <f>IF(OR(T180="",P180="",CD180="",T180&lt;=0,CD180&lt;=0),"",(1/Inputs!$B$9)*((T180^2/8)*((2*ACOS(1-2*CD180/T180))-SIN((2*ACOS(1-2*CD180/T180)))))*((((T180^2/8)*((2*ACOS(1-2*CD180/T180))-SIN((2*ACOS(1-2*CD180/T180)))))/((T180/2)*((2*ACOS(1-2*CD180/T180)))))^(2/3))*SQRT(P180))</f>
        <v/>
      </c>
      <c r="CF180" s="14" t="str">
        <f t="shared" si="231"/>
        <v/>
      </c>
      <c r="CG180" s="14" t="str">
        <f t="shared" si="232"/>
        <v/>
      </c>
      <c r="CH180" s="14" t="str">
        <f t="shared" si="233"/>
        <v/>
      </c>
    </row>
    <row r="181" spans="1:86" x14ac:dyDescent="0.25">
      <c r="A181" s="14"/>
      <c r="B181" s="14"/>
      <c r="C181" s="14"/>
      <c r="D181" s="14"/>
      <c r="E181" s="44"/>
      <c r="F181" s="44"/>
      <c r="G181" s="44">
        <f>SUMIFS(CB_plan!$G:$G,CB_plan!$F:$F,$A181)</f>
        <v>0</v>
      </c>
      <c r="H181" s="44">
        <f t="shared" si="195"/>
        <v>0</v>
      </c>
      <c r="I181" s="14"/>
      <c r="J181" s="44"/>
      <c r="K181" s="44" t="str">
        <f>IF(A181="","",Inputs!$B$13/((IF(AV181="",Inputs!$B$18,AV181)+Inputs!$B$14)^Inputs!$B$15))</f>
        <v/>
      </c>
      <c r="L181" s="44" t="str">
        <f>IF(A181="","",IF(H181="","",0.000000278*IF(I181&lt;&gt;"",I181,IFERROR(SUMIFS(CB_plan!$H:$H,CB_plan!$F:$F,$A181)/SUMIFS(CB_plan!$G:$G,CB_plan!$F:$F,$A181),Inputs!$B$17))*H181*K181))</f>
        <v/>
      </c>
      <c r="M181" s="44" t="str">
        <f t="shared" si="196"/>
        <v/>
      </c>
      <c r="N181" s="44" t="str">
        <f>IF(A181="","",(L181+M181)*Inputs!$B$16)</f>
        <v/>
      </c>
      <c r="O181" s="44"/>
      <c r="P181" s="44" t="str">
        <f>IF(A181="","",IF(O181="",Inputs!$B$7,O181))</f>
        <v/>
      </c>
      <c r="Q181" s="14" t="str">
        <f>IF(A181="","",IF(N181/Inputs!$B$10&lt;=AG181,Inputs!$F$5,IF(N181/Inputs!$B$10&gt;AP181,"OVERSIZE",INDEX(Inputs!$F$5:$F$14,MATCH(N181/Inputs!$B$10,AG181:AP181,1)+1))))</f>
        <v/>
      </c>
      <c r="R181" s="14"/>
      <c r="S181" s="14" t="str">
        <f t="shared" si="197"/>
        <v/>
      </c>
      <c r="T181" s="44" t="str">
        <f t="shared" si="198"/>
        <v/>
      </c>
      <c r="U181" s="44" t="str">
        <f>IF(T181="","",(1/Inputs!$B$9)*(PI()*T181^2/4)*((T181/4)^(2/3))*SQRT(P181))</f>
        <v/>
      </c>
      <c r="V181" s="44" t="str">
        <f>IF(OR(U181="",N181=""),"",N181/(U181*Inputs!$B$10))</f>
        <v/>
      </c>
      <c r="W181" s="44" t="str">
        <f t="shared" si="199"/>
        <v/>
      </c>
      <c r="X181" s="44"/>
      <c r="Y181" s="44" t="str">
        <f>IF(A181="","",IF(A181=Inputs!$B$6,Inputs!$B$22,IF(D181="","",IFERROR(INDEX($Z$4:$Z$201,MATCH(D181,$A$4:$A$201,0))+IF(X181="",Inputs!$B$20,X181),""))))</f>
        <v/>
      </c>
      <c r="Z181" s="44" t="str">
        <f t="shared" si="200"/>
        <v/>
      </c>
      <c r="AA181" s="44" t="str">
        <f>IF(C181="","",IFERROR(INDEX(Noeuds_plan!$C$4:$C$200,MATCH(C181,Noeuds_plan!$A$4:$A$200,0)),""))</f>
        <v/>
      </c>
      <c r="AB181" s="44" t="str">
        <f>IF(B181="","",IFERROR(INDEX(Noeuds_plan!$C$4:$C$200,MATCH(B181,Noeuds_plan!$A$4:$A$200,0)),""))</f>
        <v/>
      </c>
      <c r="AC181" s="44" t="str">
        <f t="shared" si="201"/>
        <v/>
      </c>
      <c r="AD181" s="44" t="str">
        <f t="shared" si="202"/>
        <v/>
      </c>
      <c r="AE181" s="14" t="str">
        <f>IF(A181="","",IF(OR(V181&gt;1,AND(AY181&lt;&gt;"",AY181&lt;Inputs!$B$11),AND(AY181&lt;&gt;"",AY181&gt;Inputs!$B$12),AC181&lt;Inputs!$B$19,AD181&lt;Inputs!$B$19,P181&lt;Inputs!$B$7,P181&gt;Inputs!$B$8),"CHECK","OK"))</f>
        <v/>
      </c>
      <c r="AF181" s="14"/>
      <c r="AG181" s="14" t="str">
        <f>IF(A181="","",(1/Inputs!$B$9)*(PI()*(Inputs!$F$5/1000)^2/4)*((Inputs!$F$5/1000/4)^(2/3))*SQRT(P181))</f>
        <v/>
      </c>
      <c r="AH181" s="14" t="str">
        <f>IF(A181="","",(1/Inputs!$B$9)*(PI()*(Inputs!$F$6/1000)^2/4)*((Inputs!$F$6/1000/4)^(2/3))*SQRT(P181))</f>
        <v/>
      </c>
      <c r="AI181" s="14" t="str">
        <f>IF(A181="","",(1/Inputs!$B$9)*(PI()*(Inputs!$F$7/1000)^2/4)*((Inputs!$F$7/1000/4)^(2/3))*SQRT(P181))</f>
        <v/>
      </c>
      <c r="AJ181" s="14" t="str">
        <f>IF(A181="","",(1/Inputs!$B$9)*(PI()*(Inputs!$F$8/1000)^2/4)*((Inputs!$F$8/1000/4)^(2/3))*SQRT(P181))</f>
        <v/>
      </c>
      <c r="AK181" s="14" t="str">
        <f>IF(A181="","",(1/Inputs!$B$9)*(PI()*(Inputs!$F$9/1000)^2/4)*((Inputs!$F$9/1000/4)^(2/3))*SQRT(P181))</f>
        <v/>
      </c>
      <c r="AL181" s="14" t="str">
        <f>IF(A181="","",(1/Inputs!$B$9)*(PI()*(Inputs!$F$10/1000)^2/4)*((Inputs!$F$10/1000/4)^(2/3))*SQRT(P181))</f>
        <v/>
      </c>
      <c r="AM181" s="14" t="str">
        <f>IF(A181="","",(1/Inputs!$B$9)*(PI()*(Inputs!$F$11/1000)^2/4)*((Inputs!$F$11/1000/4)^(2/3))*SQRT(P181))</f>
        <v/>
      </c>
      <c r="AN181" s="14" t="str">
        <f>IF(A181="","",(1/Inputs!$B$9)*(PI()*(Inputs!$F$12/1000)^2/4)*((Inputs!$F$12/1000/4)^(2/3))*SQRT(P181))</f>
        <v/>
      </c>
      <c r="AO181" s="14" t="str">
        <f>IF(A181="","",(1/Inputs!$B$9)*(PI()*(Inputs!$F$13/1000)^2/4)*((Inputs!$F$13/1000/4)^(2/3))*SQRT(P181))</f>
        <v/>
      </c>
      <c r="AP181" s="14" t="str">
        <f>IF(A181="","",(1/Inputs!$B$9)*(PI()*(Inputs!$F$14/1000)^2/4)*((Inputs!$F$14/1000/4)^(2/3))*SQRT(P181))</f>
        <v/>
      </c>
      <c r="AQ181" s="14" t="str">
        <f t="shared" si="203"/>
        <v/>
      </c>
      <c r="AR181" s="14" t="str">
        <f t="shared" si="204"/>
        <v/>
      </c>
      <c r="AS181" s="17" t="str">
        <f>IF(A181="","",IF(J181="",Inputs!$B$18,J181))</f>
        <v/>
      </c>
      <c r="AT181" s="17" t="str">
        <f>IF(A181="","",IFERROR(_xludf.maxifs($AV$4:$AV$201,$D$4:$D$201,$A181),""))</f>
        <v/>
      </c>
      <c r="AU181" s="17" t="str">
        <f>IF(A181="","",IF(OR(E181="",Inputs!$B$23=""),"",E181/(Inputs!$B$23*60)))</f>
        <v/>
      </c>
      <c r="AV181" s="17" t="str">
        <f t="shared" si="205"/>
        <v/>
      </c>
      <c r="AW181" s="17" t="str">
        <f t="shared" si="206"/>
        <v/>
      </c>
      <c r="AX181" s="17" t="str">
        <f>IF(OR(T181="",P181=""),"",(1/Inputs!$B$9)*((T181/4)^(2/3))*SQRT(P181))</f>
        <v/>
      </c>
      <c r="AY181" s="17" t="str">
        <f>IF(A181="","",IF(AND(AW181="",AX181="",BA181=""),"",IF(OR(UPPER(TRIM(Inputs!$B$24))="MANNING",UPPER(TRIM(Inputs!$B$24))="M"),AX181,IF(OR(UPPER(TRIM(Inputs!$B$24))="PARTIAL",UPPER(TRIM(Inputs!$B$24))="P"),BA181,IF(OR(UPPER(TRIM(Inputs!$B$24))="MAX",UPPER(TRIM(Inputs!$B$24))="X"),MAX(IF(AW181="",0,AW181),IF(AX181="",0,AX181),IF(BA181="",0,BA181)),AW181)))))</f>
        <v/>
      </c>
      <c r="AZ181" s="17" t="str">
        <f t="shared" si="207"/>
        <v/>
      </c>
      <c r="BA181" s="17" t="str">
        <f t="shared" si="208"/>
        <v/>
      </c>
      <c r="BB181" s="14" t="str">
        <f t="shared" si="209"/>
        <v/>
      </c>
      <c r="BC181" s="14" t="str">
        <f>IF(OR(N181="",T181="",P181=""),"",IF(OR(T181="",P181="",(0.94*T181)="",T181&lt;=0,(0.94*T181)&lt;=0),"",(1/Inputs!$B$9)*((T181^2/8)*((2*ACOS(1-2*(0.94*T181)/T181))-SIN((2*ACOS(1-2*(0.94*T181)/T181)))))*((((T181^2/8)*((2*ACOS(1-2*(0.94*T181)/T181))-SIN((2*ACOS(1-2*(0.94*T181)/T181)))))/((T181/2)*((2*ACOS(1-2*(0.94*T181)/T181)))))^(2/3))*SQRT(P181)))</f>
        <v/>
      </c>
      <c r="BD181" s="14" t="str">
        <f t="shared" si="210"/>
        <v/>
      </c>
      <c r="BE181" s="14" t="str">
        <f t="shared" si="211"/>
        <v/>
      </c>
      <c r="BF181" s="14" t="str">
        <f t="shared" si="212"/>
        <v/>
      </c>
      <c r="BG181" s="14" t="str">
        <f>IF(OR(T181="",P181="",BF181="",T181&lt;=0,BF181&lt;=0),"",(1/Inputs!$B$9)*((T181^2/8)*((2*ACOS(1-2*BF181/T181))-SIN((2*ACOS(1-2*BF181/T181)))))*((((T181^2/8)*((2*ACOS(1-2*BF181/T181))-SIN((2*ACOS(1-2*BF181/T181)))))/((T181/2)*((2*ACOS(1-2*BF181/T181)))))^(2/3))*SQRT(P181))</f>
        <v/>
      </c>
      <c r="BH181" s="14" t="str">
        <f t="shared" si="213"/>
        <v/>
      </c>
      <c r="BI181" s="14" t="str">
        <f t="shared" si="214"/>
        <v/>
      </c>
      <c r="BJ181" s="14" t="str">
        <f t="shared" si="215"/>
        <v/>
      </c>
      <c r="BK181" s="14" t="str">
        <f>IF(OR(T181="",P181="",BJ181="",T181&lt;=0,BJ181&lt;=0),"",(1/Inputs!$B$9)*((T181^2/8)*((2*ACOS(1-2*BJ181/T181))-SIN((2*ACOS(1-2*BJ181/T181)))))*((((T181^2/8)*((2*ACOS(1-2*BJ181/T181))-SIN((2*ACOS(1-2*BJ181/T181)))))/((T181/2)*((2*ACOS(1-2*BJ181/T181)))))^(2/3))*SQRT(P181))</f>
        <v/>
      </c>
      <c r="BL181" s="14" t="str">
        <f t="shared" si="216"/>
        <v/>
      </c>
      <c r="BM181" s="14" t="str">
        <f t="shared" si="217"/>
        <v/>
      </c>
      <c r="BN181" s="14" t="str">
        <f t="shared" si="218"/>
        <v/>
      </c>
      <c r="BO181" s="14" t="str">
        <f>IF(OR(T181="",P181="",BN181="",T181&lt;=0,BN181&lt;=0),"",(1/Inputs!$B$9)*((T181^2/8)*((2*ACOS(1-2*BN181/T181))-SIN((2*ACOS(1-2*BN181/T181)))))*((((T181^2/8)*((2*ACOS(1-2*BN181/T181))-SIN((2*ACOS(1-2*BN181/T181)))))/((T181/2)*((2*ACOS(1-2*BN181/T181)))))^(2/3))*SQRT(P181))</f>
        <v/>
      </c>
      <c r="BP181" s="14" t="str">
        <f t="shared" si="219"/>
        <v/>
      </c>
      <c r="BQ181" s="14" t="str">
        <f t="shared" si="220"/>
        <v/>
      </c>
      <c r="BR181" s="14" t="str">
        <f t="shared" si="221"/>
        <v/>
      </c>
      <c r="BS181" s="14" t="str">
        <f>IF(OR(T181="",P181="",BR181="",T181&lt;=0,BR181&lt;=0),"",(1/Inputs!$B$9)*((T181^2/8)*((2*ACOS(1-2*BR181/T181))-SIN((2*ACOS(1-2*BR181/T181)))))*((((T181^2/8)*((2*ACOS(1-2*BR181/T181))-SIN((2*ACOS(1-2*BR181/T181)))))/((T181/2)*((2*ACOS(1-2*BR181/T181)))))^(2/3))*SQRT(P181))</f>
        <v/>
      </c>
      <c r="BT181" s="14" t="str">
        <f t="shared" si="222"/>
        <v/>
      </c>
      <c r="BU181" s="14" t="str">
        <f t="shared" si="223"/>
        <v/>
      </c>
      <c r="BV181" s="14" t="str">
        <f t="shared" si="224"/>
        <v/>
      </c>
      <c r="BW181" s="14" t="str">
        <f>IF(OR(T181="",P181="",BV181="",T181&lt;=0,BV181&lt;=0),"",(1/Inputs!$B$9)*((T181^2/8)*((2*ACOS(1-2*BV181/T181))-SIN((2*ACOS(1-2*BV181/T181)))))*((((T181^2/8)*((2*ACOS(1-2*BV181/T181))-SIN((2*ACOS(1-2*BV181/T181)))))/((T181/2)*((2*ACOS(1-2*BV181/T181)))))^(2/3))*SQRT(P181))</f>
        <v/>
      </c>
      <c r="BX181" s="14" t="str">
        <f t="shared" si="225"/>
        <v/>
      </c>
      <c r="BY181" s="14" t="str">
        <f t="shared" si="226"/>
        <v/>
      </c>
      <c r="BZ181" s="14" t="str">
        <f t="shared" si="227"/>
        <v/>
      </c>
      <c r="CA181" s="14" t="str">
        <f>IF(OR(T181="",P181="",BZ181="",T181&lt;=0,BZ181&lt;=0),"",(1/Inputs!$B$9)*((T181^2/8)*((2*ACOS(1-2*BZ181/T181))-SIN((2*ACOS(1-2*BZ181/T181)))))*((((T181^2/8)*((2*ACOS(1-2*BZ181/T181))-SIN((2*ACOS(1-2*BZ181/T181)))))/((T181/2)*((2*ACOS(1-2*BZ181/T181)))))^(2/3))*SQRT(P181))</f>
        <v/>
      </c>
      <c r="CB181" s="14" t="str">
        <f t="shared" si="228"/>
        <v/>
      </c>
      <c r="CC181" s="14" t="str">
        <f t="shared" si="229"/>
        <v/>
      </c>
      <c r="CD181" s="14" t="str">
        <f t="shared" si="230"/>
        <v/>
      </c>
      <c r="CE181" s="14" t="str">
        <f>IF(OR(T181="",P181="",CD181="",T181&lt;=0,CD181&lt;=0),"",(1/Inputs!$B$9)*((T181^2/8)*((2*ACOS(1-2*CD181/T181))-SIN((2*ACOS(1-2*CD181/T181)))))*((((T181^2/8)*((2*ACOS(1-2*CD181/T181))-SIN((2*ACOS(1-2*CD181/T181)))))/((T181/2)*((2*ACOS(1-2*CD181/T181)))))^(2/3))*SQRT(P181))</f>
        <v/>
      </c>
      <c r="CF181" s="14" t="str">
        <f t="shared" si="231"/>
        <v/>
      </c>
      <c r="CG181" s="14" t="str">
        <f t="shared" si="232"/>
        <v/>
      </c>
      <c r="CH181" s="14" t="str">
        <f t="shared" si="233"/>
        <v/>
      </c>
    </row>
    <row r="182" spans="1:86" x14ac:dyDescent="0.25">
      <c r="A182" s="14"/>
      <c r="B182" s="14"/>
      <c r="C182" s="14"/>
      <c r="D182" s="14"/>
      <c r="E182" s="44"/>
      <c r="F182" s="44"/>
      <c r="G182" s="44">
        <f>SUMIFS(CB_plan!$G:$G,CB_plan!$F:$F,$A182)</f>
        <v>0</v>
      </c>
      <c r="H182" s="44">
        <f t="shared" si="195"/>
        <v>0</v>
      </c>
      <c r="I182" s="14"/>
      <c r="J182" s="44"/>
      <c r="K182" s="44" t="str">
        <f>IF(A182="","",Inputs!$B$13/((IF(AV182="",Inputs!$B$18,AV182)+Inputs!$B$14)^Inputs!$B$15))</f>
        <v/>
      </c>
      <c r="L182" s="44" t="str">
        <f>IF(A182="","",IF(H182="","",0.000000278*IF(I182&lt;&gt;"",I182,IFERROR(SUMIFS(CB_plan!$H:$H,CB_plan!$F:$F,$A182)/SUMIFS(CB_plan!$G:$G,CB_plan!$F:$F,$A182),Inputs!$B$17))*H182*K182))</f>
        <v/>
      </c>
      <c r="M182" s="44" t="str">
        <f t="shared" si="196"/>
        <v/>
      </c>
      <c r="N182" s="44" t="str">
        <f>IF(A182="","",(L182+M182)*Inputs!$B$16)</f>
        <v/>
      </c>
      <c r="O182" s="44"/>
      <c r="P182" s="44" t="str">
        <f>IF(A182="","",IF(O182="",Inputs!$B$7,O182))</f>
        <v/>
      </c>
      <c r="Q182" s="14" t="str">
        <f>IF(A182="","",IF(N182/Inputs!$B$10&lt;=AG182,Inputs!$F$5,IF(N182/Inputs!$B$10&gt;AP182,"OVERSIZE",INDEX(Inputs!$F$5:$F$14,MATCH(N182/Inputs!$B$10,AG182:AP182,1)+1))))</f>
        <v/>
      </c>
      <c r="R182" s="14"/>
      <c r="S182" s="14" t="str">
        <f t="shared" si="197"/>
        <v/>
      </c>
      <c r="T182" s="44" t="str">
        <f t="shared" si="198"/>
        <v/>
      </c>
      <c r="U182" s="44" t="str">
        <f>IF(T182="","",(1/Inputs!$B$9)*(PI()*T182^2/4)*((T182/4)^(2/3))*SQRT(P182))</f>
        <v/>
      </c>
      <c r="V182" s="44" t="str">
        <f>IF(OR(U182="",N182=""),"",N182/(U182*Inputs!$B$10))</f>
        <v/>
      </c>
      <c r="W182" s="44" t="str">
        <f t="shared" si="199"/>
        <v/>
      </c>
      <c r="X182" s="44"/>
      <c r="Y182" s="44" t="str">
        <f>IF(A182="","",IF(A182=Inputs!$B$6,Inputs!$B$22,IF(D182="","",IFERROR(INDEX($Z$4:$Z$201,MATCH(D182,$A$4:$A$201,0))+IF(X182="",Inputs!$B$20,X182),""))))</f>
        <v/>
      </c>
      <c r="Z182" s="44" t="str">
        <f t="shared" si="200"/>
        <v/>
      </c>
      <c r="AA182" s="44" t="str">
        <f>IF(C182="","",IFERROR(INDEX(Noeuds_plan!$C$4:$C$200,MATCH(C182,Noeuds_plan!$A$4:$A$200,0)),""))</f>
        <v/>
      </c>
      <c r="AB182" s="44" t="str">
        <f>IF(B182="","",IFERROR(INDEX(Noeuds_plan!$C$4:$C$200,MATCH(B182,Noeuds_plan!$A$4:$A$200,0)),""))</f>
        <v/>
      </c>
      <c r="AC182" s="44" t="str">
        <f t="shared" si="201"/>
        <v/>
      </c>
      <c r="AD182" s="44" t="str">
        <f t="shared" si="202"/>
        <v/>
      </c>
      <c r="AE182" s="14" t="str">
        <f>IF(A182="","",IF(OR(V182&gt;1,AND(AY182&lt;&gt;"",AY182&lt;Inputs!$B$11),AND(AY182&lt;&gt;"",AY182&gt;Inputs!$B$12),AC182&lt;Inputs!$B$19,AD182&lt;Inputs!$B$19,P182&lt;Inputs!$B$7,P182&gt;Inputs!$B$8),"CHECK","OK"))</f>
        <v/>
      </c>
      <c r="AF182" s="14"/>
      <c r="AG182" s="14" t="str">
        <f>IF(A182="","",(1/Inputs!$B$9)*(PI()*(Inputs!$F$5/1000)^2/4)*((Inputs!$F$5/1000/4)^(2/3))*SQRT(P182))</f>
        <v/>
      </c>
      <c r="AH182" s="14" t="str">
        <f>IF(A182="","",(1/Inputs!$B$9)*(PI()*(Inputs!$F$6/1000)^2/4)*((Inputs!$F$6/1000/4)^(2/3))*SQRT(P182))</f>
        <v/>
      </c>
      <c r="AI182" s="14" t="str">
        <f>IF(A182="","",(1/Inputs!$B$9)*(PI()*(Inputs!$F$7/1000)^2/4)*((Inputs!$F$7/1000/4)^(2/3))*SQRT(P182))</f>
        <v/>
      </c>
      <c r="AJ182" s="14" t="str">
        <f>IF(A182="","",(1/Inputs!$B$9)*(PI()*(Inputs!$F$8/1000)^2/4)*((Inputs!$F$8/1000/4)^(2/3))*SQRT(P182))</f>
        <v/>
      </c>
      <c r="AK182" s="14" t="str">
        <f>IF(A182="","",(1/Inputs!$B$9)*(PI()*(Inputs!$F$9/1000)^2/4)*((Inputs!$F$9/1000/4)^(2/3))*SQRT(P182))</f>
        <v/>
      </c>
      <c r="AL182" s="14" t="str">
        <f>IF(A182="","",(1/Inputs!$B$9)*(PI()*(Inputs!$F$10/1000)^2/4)*((Inputs!$F$10/1000/4)^(2/3))*SQRT(P182))</f>
        <v/>
      </c>
      <c r="AM182" s="14" t="str">
        <f>IF(A182="","",(1/Inputs!$B$9)*(PI()*(Inputs!$F$11/1000)^2/4)*((Inputs!$F$11/1000/4)^(2/3))*SQRT(P182))</f>
        <v/>
      </c>
      <c r="AN182" s="14" t="str">
        <f>IF(A182="","",(1/Inputs!$B$9)*(PI()*(Inputs!$F$12/1000)^2/4)*((Inputs!$F$12/1000/4)^(2/3))*SQRT(P182))</f>
        <v/>
      </c>
      <c r="AO182" s="14" t="str">
        <f>IF(A182="","",(1/Inputs!$B$9)*(PI()*(Inputs!$F$13/1000)^2/4)*((Inputs!$F$13/1000/4)^(2/3))*SQRT(P182))</f>
        <v/>
      </c>
      <c r="AP182" s="14" t="str">
        <f>IF(A182="","",(1/Inputs!$B$9)*(PI()*(Inputs!$F$14/1000)^2/4)*((Inputs!$F$14/1000/4)^(2/3))*SQRT(P182))</f>
        <v/>
      </c>
      <c r="AQ182" s="14" t="str">
        <f t="shared" si="203"/>
        <v/>
      </c>
      <c r="AR182" s="14" t="str">
        <f t="shared" si="204"/>
        <v/>
      </c>
      <c r="AS182" s="17" t="str">
        <f>IF(A182="","",IF(J182="",Inputs!$B$18,J182))</f>
        <v/>
      </c>
      <c r="AT182" s="17" t="str">
        <f>IF(A182="","",IFERROR(_xludf.maxifs($AV$4:$AV$201,$D$4:$D$201,$A182),""))</f>
        <v/>
      </c>
      <c r="AU182" s="17" t="str">
        <f>IF(A182="","",IF(OR(E182="",Inputs!$B$23=""),"",E182/(Inputs!$B$23*60)))</f>
        <v/>
      </c>
      <c r="AV182" s="17" t="str">
        <f t="shared" si="205"/>
        <v/>
      </c>
      <c r="AW182" s="17" t="str">
        <f t="shared" si="206"/>
        <v/>
      </c>
      <c r="AX182" s="17" t="str">
        <f>IF(OR(T182="",P182=""),"",(1/Inputs!$B$9)*((T182/4)^(2/3))*SQRT(P182))</f>
        <v/>
      </c>
      <c r="AY182" s="17" t="str">
        <f>IF(A182="","",IF(AND(AW182="",AX182="",BA182=""),"",IF(OR(UPPER(TRIM(Inputs!$B$24))="MANNING",UPPER(TRIM(Inputs!$B$24))="M"),AX182,IF(OR(UPPER(TRIM(Inputs!$B$24))="PARTIAL",UPPER(TRIM(Inputs!$B$24))="P"),BA182,IF(OR(UPPER(TRIM(Inputs!$B$24))="MAX",UPPER(TRIM(Inputs!$B$24))="X"),MAX(IF(AW182="",0,AW182),IF(AX182="",0,AX182),IF(BA182="",0,BA182)),AW182)))))</f>
        <v/>
      </c>
      <c r="AZ182" s="17" t="str">
        <f t="shared" si="207"/>
        <v/>
      </c>
      <c r="BA182" s="17" t="str">
        <f t="shared" si="208"/>
        <v/>
      </c>
      <c r="BB182" s="14" t="str">
        <f t="shared" si="209"/>
        <v/>
      </c>
      <c r="BC182" s="14" t="str">
        <f>IF(OR(N182="",T182="",P182=""),"",IF(OR(T182="",P182="",(0.94*T182)="",T182&lt;=0,(0.94*T182)&lt;=0),"",(1/Inputs!$B$9)*((T182^2/8)*((2*ACOS(1-2*(0.94*T182)/T182))-SIN((2*ACOS(1-2*(0.94*T182)/T182)))))*((((T182^2/8)*((2*ACOS(1-2*(0.94*T182)/T182))-SIN((2*ACOS(1-2*(0.94*T182)/T182)))))/((T182/2)*((2*ACOS(1-2*(0.94*T182)/T182)))))^(2/3))*SQRT(P182)))</f>
        <v/>
      </c>
      <c r="BD182" s="14" t="str">
        <f t="shared" si="210"/>
        <v/>
      </c>
      <c r="BE182" s="14" t="str">
        <f t="shared" si="211"/>
        <v/>
      </c>
      <c r="BF182" s="14" t="str">
        <f t="shared" si="212"/>
        <v/>
      </c>
      <c r="BG182" s="14" t="str">
        <f>IF(OR(T182="",P182="",BF182="",T182&lt;=0,BF182&lt;=0),"",(1/Inputs!$B$9)*((T182^2/8)*((2*ACOS(1-2*BF182/T182))-SIN((2*ACOS(1-2*BF182/T182)))))*((((T182^2/8)*((2*ACOS(1-2*BF182/T182))-SIN((2*ACOS(1-2*BF182/T182)))))/((T182/2)*((2*ACOS(1-2*BF182/T182)))))^(2/3))*SQRT(P182))</f>
        <v/>
      </c>
      <c r="BH182" s="14" t="str">
        <f t="shared" si="213"/>
        <v/>
      </c>
      <c r="BI182" s="14" t="str">
        <f t="shared" si="214"/>
        <v/>
      </c>
      <c r="BJ182" s="14" t="str">
        <f t="shared" si="215"/>
        <v/>
      </c>
      <c r="BK182" s="14" t="str">
        <f>IF(OR(T182="",P182="",BJ182="",T182&lt;=0,BJ182&lt;=0),"",(1/Inputs!$B$9)*((T182^2/8)*((2*ACOS(1-2*BJ182/T182))-SIN((2*ACOS(1-2*BJ182/T182)))))*((((T182^2/8)*((2*ACOS(1-2*BJ182/T182))-SIN((2*ACOS(1-2*BJ182/T182)))))/((T182/2)*((2*ACOS(1-2*BJ182/T182)))))^(2/3))*SQRT(P182))</f>
        <v/>
      </c>
      <c r="BL182" s="14" t="str">
        <f t="shared" si="216"/>
        <v/>
      </c>
      <c r="BM182" s="14" t="str">
        <f t="shared" si="217"/>
        <v/>
      </c>
      <c r="BN182" s="14" t="str">
        <f t="shared" si="218"/>
        <v/>
      </c>
      <c r="BO182" s="14" t="str">
        <f>IF(OR(T182="",P182="",BN182="",T182&lt;=0,BN182&lt;=0),"",(1/Inputs!$B$9)*((T182^2/8)*((2*ACOS(1-2*BN182/T182))-SIN((2*ACOS(1-2*BN182/T182)))))*((((T182^2/8)*((2*ACOS(1-2*BN182/T182))-SIN((2*ACOS(1-2*BN182/T182)))))/((T182/2)*((2*ACOS(1-2*BN182/T182)))))^(2/3))*SQRT(P182))</f>
        <v/>
      </c>
      <c r="BP182" s="14" t="str">
        <f t="shared" si="219"/>
        <v/>
      </c>
      <c r="BQ182" s="14" t="str">
        <f t="shared" si="220"/>
        <v/>
      </c>
      <c r="BR182" s="14" t="str">
        <f t="shared" si="221"/>
        <v/>
      </c>
      <c r="BS182" s="14" t="str">
        <f>IF(OR(T182="",P182="",BR182="",T182&lt;=0,BR182&lt;=0),"",(1/Inputs!$B$9)*((T182^2/8)*((2*ACOS(1-2*BR182/T182))-SIN((2*ACOS(1-2*BR182/T182)))))*((((T182^2/8)*((2*ACOS(1-2*BR182/T182))-SIN((2*ACOS(1-2*BR182/T182)))))/((T182/2)*((2*ACOS(1-2*BR182/T182)))))^(2/3))*SQRT(P182))</f>
        <v/>
      </c>
      <c r="BT182" s="14" t="str">
        <f t="shared" si="222"/>
        <v/>
      </c>
      <c r="BU182" s="14" t="str">
        <f t="shared" si="223"/>
        <v/>
      </c>
      <c r="BV182" s="14" t="str">
        <f t="shared" si="224"/>
        <v/>
      </c>
      <c r="BW182" s="14" t="str">
        <f>IF(OR(T182="",P182="",BV182="",T182&lt;=0,BV182&lt;=0),"",(1/Inputs!$B$9)*((T182^2/8)*((2*ACOS(1-2*BV182/T182))-SIN((2*ACOS(1-2*BV182/T182)))))*((((T182^2/8)*((2*ACOS(1-2*BV182/T182))-SIN((2*ACOS(1-2*BV182/T182)))))/((T182/2)*((2*ACOS(1-2*BV182/T182)))))^(2/3))*SQRT(P182))</f>
        <v/>
      </c>
      <c r="BX182" s="14" t="str">
        <f t="shared" si="225"/>
        <v/>
      </c>
      <c r="BY182" s="14" t="str">
        <f t="shared" si="226"/>
        <v/>
      </c>
      <c r="BZ182" s="14" t="str">
        <f t="shared" si="227"/>
        <v/>
      </c>
      <c r="CA182" s="14" t="str">
        <f>IF(OR(T182="",P182="",BZ182="",T182&lt;=0,BZ182&lt;=0),"",(1/Inputs!$B$9)*((T182^2/8)*((2*ACOS(1-2*BZ182/T182))-SIN((2*ACOS(1-2*BZ182/T182)))))*((((T182^2/8)*((2*ACOS(1-2*BZ182/T182))-SIN((2*ACOS(1-2*BZ182/T182)))))/((T182/2)*((2*ACOS(1-2*BZ182/T182)))))^(2/3))*SQRT(P182))</f>
        <v/>
      </c>
      <c r="CB182" s="14" t="str">
        <f t="shared" si="228"/>
        <v/>
      </c>
      <c r="CC182" s="14" t="str">
        <f t="shared" si="229"/>
        <v/>
      </c>
      <c r="CD182" s="14" t="str">
        <f t="shared" si="230"/>
        <v/>
      </c>
      <c r="CE182" s="14" t="str">
        <f>IF(OR(T182="",P182="",CD182="",T182&lt;=0,CD182&lt;=0),"",(1/Inputs!$B$9)*((T182^2/8)*((2*ACOS(1-2*CD182/T182))-SIN((2*ACOS(1-2*CD182/T182)))))*((((T182^2/8)*((2*ACOS(1-2*CD182/T182))-SIN((2*ACOS(1-2*CD182/T182)))))/((T182/2)*((2*ACOS(1-2*CD182/T182)))))^(2/3))*SQRT(P182))</f>
        <v/>
      </c>
      <c r="CF182" s="14" t="str">
        <f t="shared" si="231"/>
        <v/>
      </c>
      <c r="CG182" s="14" t="str">
        <f t="shared" si="232"/>
        <v/>
      </c>
      <c r="CH182" s="14" t="str">
        <f t="shared" si="233"/>
        <v/>
      </c>
    </row>
    <row r="183" spans="1:86" x14ac:dyDescent="0.25">
      <c r="A183" s="14"/>
      <c r="B183" s="14"/>
      <c r="C183" s="14"/>
      <c r="D183" s="14"/>
      <c r="E183" s="44"/>
      <c r="F183" s="44"/>
      <c r="G183" s="44">
        <f>SUMIFS(CB_plan!$G:$G,CB_plan!$F:$F,$A183)</f>
        <v>0</v>
      </c>
      <c r="H183" s="44">
        <f t="shared" si="195"/>
        <v>0</v>
      </c>
      <c r="I183" s="14"/>
      <c r="J183" s="44"/>
      <c r="K183" s="44" t="str">
        <f>IF(A183="","",Inputs!$B$13/((IF(AV183="",Inputs!$B$18,AV183)+Inputs!$B$14)^Inputs!$B$15))</f>
        <v/>
      </c>
      <c r="L183" s="44" t="str">
        <f>IF(A183="","",IF(H183="","",0.000000278*IF(I183&lt;&gt;"",I183,IFERROR(SUMIFS(CB_plan!$H:$H,CB_plan!$F:$F,$A183)/SUMIFS(CB_plan!$G:$G,CB_plan!$F:$F,$A183),Inputs!$B$17))*H183*K183))</f>
        <v/>
      </c>
      <c r="M183" s="44" t="str">
        <f t="shared" si="196"/>
        <v/>
      </c>
      <c r="N183" s="44" t="str">
        <f>IF(A183="","",(L183+M183)*Inputs!$B$16)</f>
        <v/>
      </c>
      <c r="O183" s="44"/>
      <c r="P183" s="44" t="str">
        <f>IF(A183="","",IF(O183="",Inputs!$B$7,O183))</f>
        <v/>
      </c>
      <c r="Q183" s="14" t="str">
        <f>IF(A183="","",IF(N183/Inputs!$B$10&lt;=AG183,Inputs!$F$5,IF(N183/Inputs!$B$10&gt;AP183,"OVERSIZE",INDEX(Inputs!$F$5:$F$14,MATCH(N183/Inputs!$B$10,AG183:AP183,1)+1))))</f>
        <v/>
      </c>
      <c r="R183" s="14"/>
      <c r="S183" s="14" t="str">
        <f t="shared" si="197"/>
        <v/>
      </c>
      <c r="T183" s="44" t="str">
        <f t="shared" si="198"/>
        <v/>
      </c>
      <c r="U183" s="44" t="str">
        <f>IF(T183="","",(1/Inputs!$B$9)*(PI()*T183^2/4)*((T183/4)^(2/3))*SQRT(P183))</f>
        <v/>
      </c>
      <c r="V183" s="44" t="str">
        <f>IF(OR(U183="",N183=""),"",N183/(U183*Inputs!$B$10))</f>
        <v/>
      </c>
      <c r="W183" s="44" t="str">
        <f t="shared" si="199"/>
        <v/>
      </c>
      <c r="X183" s="44"/>
      <c r="Y183" s="44" t="str">
        <f>IF(A183="","",IF(A183=Inputs!$B$6,Inputs!$B$22,IF(D183="","",IFERROR(INDEX($Z$4:$Z$201,MATCH(D183,$A$4:$A$201,0))+IF(X183="",Inputs!$B$20,X183),""))))</f>
        <v/>
      </c>
      <c r="Z183" s="44" t="str">
        <f t="shared" si="200"/>
        <v/>
      </c>
      <c r="AA183" s="44" t="str">
        <f>IF(C183="","",IFERROR(INDEX(Noeuds_plan!$C$4:$C$200,MATCH(C183,Noeuds_plan!$A$4:$A$200,0)),""))</f>
        <v/>
      </c>
      <c r="AB183" s="44" t="str">
        <f>IF(B183="","",IFERROR(INDEX(Noeuds_plan!$C$4:$C$200,MATCH(B183,Noeuds_plan!$A$4:$A$200,0)),""))</f>
        <v/>
      </c>
      <c r="AC183" s="44" t="str">
        <f t="shared" si="201"/>
        <v/>
      </c>
      <c r="AD183" s="44" t="str">
        <f t="shared" si="202"/>
        <v/>
      </c>
      <c r="AE183" s="14" t="str">
        <f>IF(A183="","",IF(OR(V183&gt;1,AND(AY183&lt;&gt;"",AY183&lt;Inputs!$B$11),AND(AY183&lt;&gt;"",AY183&gt;Inputs!$B$12),AC183&lt;Inputs!$B$19,AD183&lt;Inputs!$B$19,P183&lt;Inputs!$B$7,P183&gt;Inputs!$B$8),"CHECK","OK"))</f>
        <v/>
      </c>
      <c r="AF183" s="14"/>
      <c r="AG183" s="14" t="str">
        <f>IF(A183="","",(1/Inputs!$B$9)*(PI()*(Inputs!$F$5/1000)^2/4)*((Inputs!$F$5/1000/4)^(2/3))*SQRT(P183))</f>
        <v/>
      </c>
      <c r="AH183" s="14" t="str">
        <f>IF(A183="","",(1/Inputs!$B$9)*(PI()*(Inputs!$F$6/1000)^2/4)*((Inputs!$F$6/1000/4)^(2/3))*SQRT(P183))</f>
        <v/>
      </c>
      <c r="AI183" s="14" t="str">
        <f>IF(A183="","",(1/Inputs!$B$9)*(PI()*(Inputs!$F$7/1000)^2/4)*((Inputs!$F$7/1000/4)^(2/3))*SQRT(P183))</f>
        <v/>
      </c>
      <c r="AJ183" s="14" t="str">
        <f>IF(A183="","",(1/Inputs!$B$9)*(PI()*(Inputs!$F$8/1000)^2/4)*((Inputs!$F$8/1000/4)^(2/3))*SQRT(P183))</f>
        <v/>
      </c>
      <c r="AK183" s="14" t="str">
        <f>IF(A183="","",(1/Inputs!$B$9)*(PI()*(Inputs!$F$9/1000)^2/4)*((Inputs!$F$9/1000/4)^(2/3))*SQRT(P183))</f>
        <v/>
      </c>
      <c r="AL183" s="14" t="str">
        <f>IF(A183="","",(1/Inputs!$B$9)*(PI()*(Inputs!$F$10/1000)^2/4)*((Inputs!$F$10/1000/4)^(2/3))*SQRT(P183))</f>
        <v/>
      </c>
      <c r="AM183" s="14" t="str">
        <f>IF(A183="","",(1/Inputs!$B$9)*(PI()*(Inputs!$F$11/1000)^2/4)*((Inputs!$F$11/1000/4)^(2/3))*SQRT(P183))</f>
        <v/>
      </c>
      <c r="AN183" s="14" t="str">
        <f>IF(A183="","",(1/Inputs!$B$9)*(PI()*(Inputs!$F$12/1000)^2/4)*((Inputs!$F$12/1000/4)^(2/3))*SQRT(P183))</f>
        <v/>
      </c>
      <c r="AO183" s="14" t="str">
        <f>IF(A183="","",(1/Inputs!$B$9)*(PI()*(Inputs!$F$13/1000)^2/4)*((Inputs!$F$13/1000/4)^(2/3))*SQRT(P183))</f>
        <v/>
      </c>
      <c r="AP183" s="14" t="str">
        <f>IF(A183="","",(1/Inputs!$B$9)*(PI()*(Inputs!$F$14/1000)^2/4)*((Inputs!$F$14/1000/4)^(2/3))*SQRT(P183))</f>
        <v/>
      </c>
      <c r="AQ183" s="14" t="str">
        <f t="shared" si="203"/>
        <v/>
      </c>
      <c r="AR183" s="14" t="str">
        <f t="shared" si="204"/>
        <v/>
      </c>
      <c r="AS183" s="17" t="str">
        <f>IF(A183="","",IF(J183="",Inputs!$B$18,J183))</f>
        <v/>
      </c>
      <c r="AT183" s="17" t="str">
        <f>IF(A183="","",IFERROR(_xludf.maxifs($AV$4:$AV$201,$D$4:$D$201,$A183),""))</f>
        <v/>
      </c>
      <c r="AU183" s="17" t="str">
        <f>IF(A183="","",IF(OR(E183="",Inputs!$B$23=""),"",E183/(Inputs!$B$23*60)))</f>
        <v/>
      </c>
      <c r="AV183" s="17" t="str">
        <f t="shared" si="205"/>
        <v/>
      </c>
      <c r="AW183" s="17" t="str">
        <f t="shared" si="206"/>
        <v/>
      </c>
      <c r="AX183" s="17" t="str">
        <f>IF(OR(T183="",P183=""),"",(1/Inputs!$B$9)*((T183/4)^(2/3))*SQRT(P183))</f>
        <v/>
      </c>
      <c r="AY183" s="17" t="str">
        <f>IF(A183="","",IF(AND(AW183="",AX183="",BA183=""),"",IF(OR(UPPER(TRIM(Inputs!$B$24))="MANNING",UPPER(TRIM(Inputs!$B$24))="M"),AX183,IF(OR(UPPER(TRIM(Inputs!$B$24))="PARTIAL",UPPER(TRIM(Inputs!$B$24))="P"),BA183,IF(OR(UPPER(TRIM(Inputs!$B$24))="MAX",UPPER(TRIM(Inputs!$B$24))="X"),MAX(IF(AW183="",0,AW183),IF(AX183="",0,AX183),IF(BA183="",0,BA183)),AW183)))))</f>
        <v/>
      </c>
      <c r="AZ183" s="17" t="str">
        <f t="shared" si="207"/>
        <v/>
      </c>
      <c r="BA183" s="17" t="str">
        <f t="shared" si="208"/>
        <v/>
      </c>
      <c r="BB183" s="14" t="str">
        <f t="shared" si="209"/>
        <v/>
      </c>
      <c r="BC183" s="14" t="str">
        <f>IF(OR(N183="",T183="",P183=""),"",IF(OR(T183="",P183="",(0.94*T183)="",T183&lt;=0,(0.94*T183)&lt;=0),"",(1/Inputs!$B$9)*((T183^2/8)*((2*ACOS(1-2*(0.94*T183)/T183))-SIN((2*ACOS(1-2*(0.94*T183)/T183)))))*((((T183^2/8)*((2*ACOS(1-2*(0.94*T183)/T183))-SIN((2*ACOS(1-2*(0.94*T183)/T183)))))/((T183/2)*((2*ACOS(1-2*(0.94*T183)/T183)))))^(2/3))*SQRT(P183)))</f>
        <v/>
      </c>
      <c r="BD183" s="14" t="str">
        <f t="shared" si="210"/>
        <v/>
      </c>
      <c r="BE183" s="14" t="str">
        <f t="shared" si="211"/>
        <v/>
      </c>
      <c r="BF183" s="14" t="str">
        <f t="shared" si="212"/>
        <v/>
      </c>
      <c r="BG183" s="14" t="str">
        <f>IF(OR(T183="",P183="",BF183="",T183&lt;=0,BF183&lt;=0),"",(1/Inputs!$B$9)*((T183^2/8)*((2*ACOS(1-2*BF183/T183))-SIN((2*ACOS(1-2*BF183/T183)))))*((((T183^2/8)*((2*ACOS(1-2*BF183/T183))-SIN((2*ACOS(1-2*BF183/T183)))))/((T183/2)*((2*ACOS(1-2*BF183/T183)))))^(2/3))*SQRT(P183))</f>
        <v/>
      </c>
      <c r="BH183" s="14" t="str">
        <f t="shared" si="213"/>
        <v/>
      </c>
      <c r="BI183" s="14" t="str">
        <f t="shared" si="214"/>
        <v/>
      </c>
      <c r="BJ183" s="14" t="str">
        <f t="shared" si="215"/>
        <v/>
      </c>
      <c r="BK183" s="14" t="str">
        <f>IF(OR(T183="",P183="",BJ183="",T183&lt;=0,BJ183&lt;=0),"",(1/Inputs!$B$9)*((T183^2/8)*((2*ACOS(1-2*BJ183/T183))-SIN((2*ACOS(1-2*BJ183/T183)))))*((((T183^2/8)*((2*ACOS(1-2*BJ183/T183))-SIN((2*ACOS(1-2*BJ183/T183)))))/((T183/2)*((2*ACOS(1-2*BJ183/T183)))))^(2/3))*SQRT(P183))</f>
        <v/>
      </c>
      <c r="BL183" s="14" t="str">
        <f t="shared" si="216"/>
        <v/>
      </c>
      <c r="BM183" s="14" t="str">
        <f t="shared" si="217"/>
        <v/>
      </c>
      <c r="BN183" s="14" t="str">
        <f t="shared" si="218"/>
        <v/>
      </c>
      <c r="BO183" s="14" t="str">
        <f>IF(OR(T183="",P183="",BN183="",T183&lt;=0,BN183&lt;=0),"",(1/Inputs!$B$9)*((T183^2/8)*((2*ACOS(1-2*BN183/T183))-SIN((2*ACOS(1-2*BN183/T183)))))*((((T183^2/8)*((2*ACOS(1-2*BN183/T183))-SIN((2*ACOS(1-2*BN183/T183)))))/((T183/2)*((2*ACOS(1-2*BN183/T183)))))^(2/3))*SQRT(P183))</f>
        <v/>
      </c>
      <c r="BP183" s="14" t="str">
        <f t="shared" si="219"/>
        <v/>
      </c>
      <c r="BQ183" s="14" t="str">
        <f t="shared" si="220"/>
        <v/>
      </c>
      <c r="BR183" s="14" t="str">
        <f t="shared" si="221"/>
        <v/>
      </c>
      <c r="BS183" s="14" t="str">
        <f>IF(OR(T183="",P183="",BR183="",T183&lt;=0,BR183&lt;=0),"",(1/Inputs!$B$9)*((T183^2/8)*((2*ACOS(1-2*BR183/T183))-SIN((2*ACOS(1-2*BR183/T183)))))*((((T183^2/8)*((2*ACOS(1-2*BR183/T183))-SIN((2*ACOS(1-2*BR183/T183)))))/((T183/2)*((2*ACOS(1-2*BR183/T183)))))^(2/3))*SQRT(P183))</f>
        <v/>
      </c>
      <c r="BT183" s="14" t="str">
        <f t="shared" si="222"/>
        <v/>
      </c>
      <c r="BU183" s="14" t="str">
        <f t="shared" si="223"/>
        <v/>
      </c>
      <c r="BV183" s="14" t="str">
        <f t="shared" si="224"/>
        <v/>
      </c>
      <c r="BW183" s="14" t="str">
        <f>IF(OR(T183="",P183="",BV183="",T183&lt;=0,BV183&lt;=0),"",(1/Inputs!$B$9)*((T183^2/8)*((2*ACOS(1-2*BV183/T183))-SIN((2*ACOS(1-2*BV183/T183)))))*((((T183^2/8)*((2*ACOS(1-2*BV183/T183))-SIN((2*ACOS(1-2*BV183/T183)))))/((T183/2)*((2*ACOS(1-2*BV183/T183)))))^(2/3))*SQRT(P183))</f>
        <v/>
      </c>
      <c r="BX183" s="14" t="str">
        <f t="shared" si="225"/>
        <v/>
      </c>
      <c r="BY183" s="14" t="str">
        <f t="shared" si="226"/>
        <v/>
      </c>
      <c r="BZ183" s="14" t="str">
        <f t="shared" si="227"/>
        <v/>
      </c>
      <c r="CA183" s="14" t="str">
        <f>IF(OR(T183="",P183="",BZ183="",T183&lt;=0,BZ183&lt;=0),"",(1/Inputs!$B$9)*((T183^2/8)*((2*ACOS(1-2*BZ183/T183))-SIN((2*ACOS(1-2*BZ183/T183)))))*((((T183^2/8)*((2*ACOS(1-2*BZ183/T183))-SIN((2*ACOS(1-2*BZ183/T183)))))/((T183/2)*((2*ACOS(1-2*BZ183/T183)))))^(2/3))*SQRT(P183))</f>
        <v/>
      </c>
      <c r="CB183" s="14" t="str">
        <f t="shared" si="228"/>
        <v/>
      </c>
      <c r="CC183" s="14" t="str">
        <f t="shared" si="229"/>
        <v/>
      </c>
      <c r="CD183" s="14" t="str">
        <f t="shared" si="230"/>
        <v/>
      </c>
      <c r="CE183" s="14" t="str">
        <f>IF(OR(T183="",P183="",CD183="",T183&lt;=0,CD183&lt;=0),"",(1/Inputs!$B$9)*((T183^2/8)*((2*ACOS(1-2*CD183/T183))-SIN((2*ACOS(1-2*CD183/T183)))))*((((T183^2/8)*((2*ACOS(1-2*CD183/T183))-SIN((2*ACOS(1-2*CD183/T183)))))/((T183/2)*((2*ACOS(1-2*CD183/T183)))))^(2/3))*SQRT(P183))</f>
        <v/>
      </c>
      <c r="CF183" s="14" t="str">
        <f t="shared" si="231"/>
        <v/>
      </c>
      <c r="CG183" s="14" t="str">
        <f t="shared" si="232"/>
        <v/>
      </c>
      <c r="CH183" s="14" t="str">
        <f t="shared" si="233"/>
        <v/>
      </c>
    </row>
    <row r="184" spans="1:86" x14ac:dyDescent="0.25">
      <c r="A184" s="14"/>
      <c r="B184" s="14"/>
      <c r="C184" s="14"/>
      <c r="D184" s="14"/>
      <c r="E184" s="44"/>
      <c r="F184" s="44"/>
      <c r="G184" s="44">
        <f>SUMIFS(CB_plan!$G:$G,CB_plan!$F:$F,$A184)</f>
        <v>0</v>
      </c>
      <c r="H184" s="44">
        <f t="shared" si="195"/>
        <v>0</v>
      </c>
      <c r="I184" s="14"/>
      <c r="J184" s="44"/>
      <c r="K184" s="44" t="str">
        <f>IF(A184="","",Inputs!$B$13/((IF(AV184="",Inputs!$B$18,AV184)+Inputs!$B$14)^Inputs!$B$15))</f>
        <v/>
      </c>
      <c r="L184" s="44" t="str">
        <f>IF(A184="","",IF(H184="","",0.000000278*IF(I184&lt;&gt;"",I184,IFERROR(SUMIFS(CB_plan!$H:$H,CB_plan!$F:$F,$A184)/SUMIFS(CB_plan!$G:$G,CB_plan!$F:$F,$A184),Inputs!$B$17))*H184*K184))</f>
        <v/>
      </c>
      <c r="M184" s="44" t="str">
        <f t="shared" si="196"/>
        <v/>
      </c>
      <c r="N184" s="44" t="str">
        <f>IF(A184="","",(L184+M184)*Inputs!$B$16)</f>
        <v/>
      </c>
      <c r="O184" s="44"/>
      <c r="P184" s="44" t="str">
        <f>IF(A184="","",IF(O184="",Inputs!$B$7,O184))</f>
        <v/>
      </c>
      <c r="Q184" s="14" t="str">
        <f>IF(A184="","",IF(N184/Inputs!$B$10&lt;=AG184,Inputs!$F$5,IF(N184/Inputs!$B$10&gt;AP184,"OVERSIZE",INDEX(Inputs!$F$5:$F$14,MATCH(N184/Inputs!$B$10,AG184:AP184,1)+1))))</f>
        <v/>
      </c>
      <c r="R184" s="14"/>
      <c r="S184" s="14" t="str">
        <f t="shared" si="197"/>
        <v/>
      </c>
      <c r="T184" s="44" t="str">
        <f t="shared" si="198"/>
        <v/>
      </c>
      <c r="U184" s="44" t="str">
        <f>IF(T184="","",(1/Inputs!$B$9)*(PI()*T184^2/4)*((T184/4)^(2/3))*SQRT(P184))</f>
        <v/>
      </c>
      <c r="V184" s="44" t="str">
        <f>IF(OR(U184="",N184=""),"",N184/(U184*Inputs!$B$10))</f>
        <v/>
      </c>
      <c r="W184" s="44" t="str">
        <f t="shared" si="199"/>
        <v/>
      </c>
      <c r="X184" s="44"/>
      <c r="Y184" s="44" t="str">
        <f>IF(A184="","",IF(A184=Inputs!$B$6,Inputs!$B$22,IF(D184="","",IFERROR(INDEX($Z$4:$Z$201,MATCH(D184,$A$4:$A$201,0))+IF(X184="",Inputs!$B$20,X184),""))))</f>
        <v/>
      </c>
      <c r="Z184" s="44" t="str">
        <f t="shared" si="200"/>
        <v/>
      </c>
      <c r="AA184" s="44" t="str">
        <f>IF(C184="","",IFERROR(INDEX(Noeuds_plan!$C$4:$C$200,MATCH(C184,Noeuds_plan!$A$4:$A$200,0)),""))</f>
        <v/>
      </c>
      <c r="AB184" s="44" t="str">
        <f>IF(B184="","",IFERROR(INDEX(Noeuds_plan!$C$4:$C$200,MATCH(B184,Noeuds_plan!$A$4:$A$200,0)),""))</f>
        <v/>
      </c>
      <c r="AC184" s="44" t="str">
        <f t="shared" si="201"/>
        <v/>
      </c>
      <c r="AD184" s="44" t="str">
        <f t="shared" si="202"/>
        <v/>
      </c>
      <c r="AE184" s="14" t="str">
        <f>IF(A184="","",IF(OR(V184&gt;1,AND(AY184&lt;&gt;"",AY184&lt;Inputs!$B$11),AND(AY184&lt;&gt;"",AY184&gt;Inputs!$B$12),AC184&lt;Inputs!$B$19,AD184&lt;Inputs!$B$19,P184&lt;Inputs!$B$7,P184&gt;Inputs!$B$8),"CHECK","OK"))</f>
        <v/>
      </c>
      <c r="AF184" s="14"/>
      <c r="AG184" s="14" t="str">
        <f>IF(A184="","",(1/Inputs!$B$9)*(PI()*(Inputs!$F$5/1000)^2/4)*((Inputs!$F$5/1000/4)^(2/3))*SQRT(P184))</f>
        <v/>
      </c>
      <c r="AH184" s="14" t="str">
        <f>IF(A184="","",(1/Inputs!$B$9)*(PI()*(Inputs!$F$6/1000)^2/4)*((Inputs!$F$6/1000/4)^(2/3))*SQRT(P184))</f>
        <v/>
      </c>
      <c r="AI184" s="14" t="str">
        <f>IF(A184="","",(1/Inputs!$B$9)*(PI()*(Inputs!$F$7/1000)^2/4)*((Inputs!$F$7/1000/4)^(2/3))*SQRT(P184))</f>
        <v/>
      </c>
      <c r="AJ184" s="14" t="str">
        <f>IF(A184="","",(1/Inputs!$B$9)*(PI()*(Inputs!$F$8/1000)^2/4)*((Inputs!$F$8/1000/4)^(2/3))*SQRT(P184))</f>
        <v/>
      </c>
      <c r="AK184" s="14" t="str">
        <f>IF(A184="","",(1/Inputs!$B$9)*(PI()*(Inputs!$F$9/1000)^2/4)*((Inputs!$F$9/1000/4)^(2/3))*SQRT(P184))</f>
        <v/>
      </c>
      <c r="AL184" s="14" t="str">
        <f>IF(A184="","",(1/Inputs!$B$9)*(PI()*(Inputs!$F$10/1000)^2/4)*((Inputs!$F$10/1000/4)^(2/3))*SQRT(P184))</f>
        <v/>
      </c>
      <c r="AM184" s="14" t="str">
        <f>IF(A184="","",(1/Inputs!$B$9)*(PI()*(Inputs!$F$11/1000)^2/4)*((Inputs!$F$11/1000/4)^(2/3))*SQRT(P184))</f>
        <v/>
      </c>
      <c r="AN184" s="14" t="str">
        <f>IF(A184="","",(1/Inputs!$B$9)*(PI()*(Inputs!$F$12/1000)^2/4)*((Inputs!$F$12/1000/4)^(2/3))*SQRT(P184))</f>
        <v/>
      </c>
      <c r="AO184" s="14" t="str">
        <f>IF(A184="","",(1/Inputs!$B$9)*(PI()*(Inputs!$F$13/1000)^2/4)*((Inputs!$F$13/1000/4)^(2/3))*SQRT(P184))</f>
        <v/>
      </c>
      <c r="AP184" s="14" t="str">
        <f>IF(A184="","",(1/Inputs!$B$9)*(PI()*(Inputs!$F$14/1000)^2/4)*((Inputs!$F$14/1000/4)^(2/3))*SQRT(P184))</f>
        <v/>
      </c>
      <c r="AQ184" s="14" t="str">
        <f t="shared" si="203"/>
        <v/>
      </c>
      <c r="AR184" s="14" t="str">
        <f t="shared" si="204"/>
        <v/>
      </c>
      <c r="AS184" s="17" t="str">
        <f>IF(A184="","",IF(J184="",Inputs!$B$18,J184))</f>
        <v/>
      </c>
      <c r="AT184" s="17" t="str">
        <f>IF(A184="","",IFERROR(_xludf.maxifs($AV$4:$AV$201,$D$4:$D$201,$A184),""))</f>
        <v/>
      </c>
      <c r="AU184" s="17" t="str">
        <f>IF(A184="","",IF(OR(E184="",Inputs!$B$23=""),"",E184/(Inputs!$B$23*60)))</f>
        <v/>
      </c>
      <c r="AV184" s="17" t="str">
        <f t="shared" si="205"/>
        <v/>
      </c>
      <c r="AW184" s="17" t="str">
        <f t="shared" si="206"/>
        <v/>
      </c>
      <c r="AX184" s="17" t="str">
        <f>IF(OR(T184="",P184=""),"",(1/Inputs!$B$9)*((T184/4)^(2/3))*SQRT(P184))</f>
        <v/>
      </c>
      <c r="AY184" s="17" t="str">
        <f>IF(A184="","",IF(AND(AW184="",AX184="",BA184=""),"",IF(OR(UPPER(TRIM(Inputs!$B$24))="MANNING",UPPER(TRIM(Inputs!$B$24))="M"),AX184,IF(OR(UPPER(TRIM(Inputs!$B$24))="PARTIAL",UPPER(TRIM(Inputs!$B$24))="P"),BA184,IF(OR(UPPER(TRIM(Inputs!$B$24))="MAX",UPPER(TRIM(Inputs!$B$24))="X"),MAX(IF(AW184="",0,AW184),IF(AX184="",0,AX184),IF(BA184="",0,BA184)),AW184)))))</f>
        <v/>
      </c>
      <c r="AZ184" s="17" t="str">
        <f t="shared" si="207"/>
        <v/>
      </c>
      <c r="BA184" s="17" t="str">
        <f t="shared" si="208"/>
        <v/>
      </c>
      <c r="BB184" s="14" t="str">
        <f t="shared" si="209"/>
        <v/>
      </c>
      <c r="BC184" s="14" t="str">
        <f>IF(OR(N184="",T184="",P184=""),"",IF(OR(T184="",P184="",(0.94*T184)="",T184&lt;=0,(0.94*T184)&lt;=0),"",(1/Inputs!$B$9)*((T184^2/8)*((2*ACOS(1-2*(0.94*T184)/T184))-SIN((2*ACOS(1-2*(0.94*T184)/T184)))))*((((T184^2/8)*((2*ACOS(1-2*(0.94*T184)/T184))-SIN((2*ACOS(1-2*(0.94*T184)/T184)))))/((T184/2)*((2*ACOS(1-2*(0.94*T184)/T184)))))^(2/3))*SQRT(P184)))</f>
        <v/>
      </c>
      <c r="BD184" s="14" t="str">
        <f t="shared" si="210"/>
        <v/>
      </c>
      <c r="BE184" s="14" t="str">
        <f t="shared" si="211"/>
        <v/>
      </c>
      <c r="BF184" s="14" t="str">
        <f t="shared" si="212"/>
        <v/>
      </c>
      <c r="BG184" s="14" t="str">
        <f>IF(OR(T184="",P184="",BF184="",T184&lt;=0,BF184&lt;=0),"",(1/Inputs!$B$9)*((T184^2/8)*((2*ACOS(1-2*BF184/T184))-SIN((2*ACOS(1-2*BF184/T184)))))*((((T184^2/8)*((2*ACOS(1-2*BF184/T184))-SIN((2*ACOS(1-2*BF184/T184)))))/((T184/2)*((2*ACOS(1-2*BF184/T184)))))^(2/3))*SQRT(P184))</f>
        <v/>
      </c>
      <c r="BH184" s="14" t="str">
        <f t="shared" si="213"/>
        <v/>
      </c>
      <c r="BI184" s="14" t="str">
        <f t="shared" si="214"/>
        <v/>
      </c>
      <c r="BJ184" s="14" t="str">
        <f t="shared" si="215"/>
        <v/>
      </c>
      <c r="BK184" s="14" t="str">
        <f>IF(OR(T184="",P184="",BJ184="",T184&lt;=0,BJ184&lt;=0),"",(1/Inputs!$B$9)*((T184^2/8)*((2*ACOS(1-2*BJ184/T184))-SIN((2*ACOS(1-2*BJ184/T184)))))*((((T184^2/8)*((2*ACOS(1-2*BJ184/T184))-SIN((2*ACOS(1-2*BJ184/T184)))))/((T184/2)*((2*ACOS(1-2*BJ184/T184)))))^(2/3))*SQRT(P184))</f>
        <v/>
      </c>
      <c r="BL184" s="14" t="str">
        <f t="shared" si="216"/>
        <v/>
      </c>
      <c r="BM184" s="14" t="str">
        <f t="shared" si="217"/>
        <v/>
      </c>
      <c r="BN184" s="14" t="str">
        <f t="shared" si="218"/>
        <v/>
      </c>
      <c r="BO184" s="14" t="str">
        <f>IF(OR(T184="",P184="",BN184="",T184&lt;=0,BN184&lt;=0),"",(1/Inputs!$B$9)*((T184^2/8)*((2*ACOS(1-2*BN184/T184))-SIN((2*ACOS(1-2*BN184/T184)))))*((((T184^2/8)*((2*ACOS(1-2*BN184/T184))-SIN((2*ACOS(1-2*BN184/T184)))))/((T184/2)*((2*ACOS(1-2*BN184/T184)))))^(2/3))*SQRT(P184))</f>
        <v/>
      </c>
      <c r="BP184" s="14" t="str">
        <f t="shared" si="219"/>
        <v/>
      </c>
      <c r="BQ184" s="14" t="str">
        <f t="shared" si="220"/>
        <v/>
      </c>
      <c r="BR184" s="14" t="str">
        <f t="shared" si="221"/>
        <v/>
      </c>
      <c r="BS184" s="14" t="str">
        <f>IF(OR(T184="",P184="",BR184="",T184&lt;=0,BR184&lt;=0),"",(1/Inputs!$B$9)*((T184^2/8)*((2*ACOS(1-2*BR184/T184))-SIN((2*ACOS(1-2*BR184/T184)))))*((((T184^2/8)*((2*ACOS(1-2*BR184/T184))-SIN((2*ACOS(1-2*BR184/T184)))))/((T184/2)*((2*ACOS(1-2*BR184/T184)))))^(2/3))*SQRT(P184))</f>
        <v/>
      </c>
      <c r="BT184" s="14" t="str">
        <f t="shared" si="222"/>
        <v/>
      </c>
      <c r="BU184" s="14" t="str">
        <f t="shared" si="223"/>
        <v/>
      </c>
      <c r="BV184" s="14" t="str">
        <f t="shared" si="224"/>
        <v/>
      </c>
      <c r="BW184" s="14" t="str">
        <f>IF(OR(T184="",P184="",BV184="",T184&lt;=0,BV184&lt;=0),"",(1/Inputs!$B$9)*((T184^2/8)*((2*ACOS(1-2*BV184/T184))-SIN((2*ACOS(1-2*BV184/T184)))))*((((T184^2/8)*((2*ACOS(1-2*BV184/T184))-SIN((2*ACOS(1-2*BV184/T184)))))/((T184/2)*((2*ACOS(1-2*BV184/T184)))))^(2/3))*SQRT(P184))</f>
        <v/>
      </c>
      <c r="BX184" s="14" t="str">
        <f t="shared" si="225"/>
        <v/>
      </c>
      <c r="BY184" s="14" t="str">
        <f t="shared" si="226"/>
        <v/>
      </c>
      <c r="BZ184" s="14" t="str">
        <f t="shared" si="227"/>
        <v/>
      </c>
      <c r="CA184" s="14" t="str">
        <f>IF(OR(T184="",P184="",BZ184="",T184&lt;=0,BZ184&lt;=0),"",(1/Inputs!$B$9)*((T184^2/8)*((2*ACOS(1-2*BZ184/T184))-SIN((2*ACOS(1-2*BZ184/T184)))))*((((T184^2/8)*((2*ACOS(1-2*BZ184/T184))-SIN((2*ACOS(1-2*BZ184/T184)))))/((T184/2)*((2*ACOS(1-2*BZ184/T184)))))^(2/3))*SQRT(P184))</f>
        <v/>
      </c>
      <c r="CB184" s="14" t="str">
        <f t="shared" si="228"/>
        <v/>
      </c>
      <c r="CC184" s="14" t="str">
        <f t="shared" si="229"/>
        <v/>
      </c>
      <c r="CD184" s="14" t="str">
        <f t="shared" si="230"/>
        <v/>
      </c>
      <c r="CE184" s="14" t="str">
        <f>IF(OR(T184="",P184="",CD184="",T184&lt;=0,CD184&lt;=0),"",(1/Inputs!$B$9)*((T184^2/8)*((2*ACOS(1-2*CD184/T184))-SIN((2*ACOS(1-2*CD184/T184)))))*((((T184^2/8)*((2*ACOS(1-2*CD184/T184))-SIN((2*ACOS(1-2*CD184/T184)))))/((T184/2)*((2*ACOS(1-2*CD184/T184)))))^(2/3))*SQRT(P184))</f>
        <v/>
      </c>
      <c r="CF184" s="14" t="str">
        <f t="shared" si="231"/>
        <v/>
      </c>
      <c r="CG184" s="14" t="str">
        <f t="shared" si="232"/>
        <v/>
      </c>
      <c r="CH184" s="14" t="str">
        <f t="shared" si="233"/>
        <v/>
      </c>
    </row>
    <row r="185" spans="1:86" x14ac:dyDescent="0.25">
      <c r="A185" s="14"/>
      <c r="B185" s="14"/>
      <c r="C185" s="14"/>
      <c r="D185" s="14"/>
      <c r="E185" s="44"/>
      <c r="F185" s="44"/>
      <c r="G185" s="44">
        <f>SUMIFS(CB_plan!$G:$G,CB_plan!$F:$F,$A185)</f>
        <v>0</v>
      </c>
      <c r="H185" s="44">
        <f t="shared" si="195"/>
        <v>0</v>
      </c>
      <c r="I185" s="14"/>
      <c r="J185" s="44"/>
      <c r="K185" s="44" t="str">
        <f>IF(A185="","",Inputs!$B$13/((IF(AV185="",Inputs!$B$18,AV185)+Inputs!$B$14)^Inputs!$B$15))</f>
        <v/>
      </c>
      <c r="L185" s="44" t="str">
        <f>IF(A185="","",IF(H185="","",0.000000278*IF(I185&lt;&gt;"",I185,IFERROR(SUMIFS(CB_plan!$H:$H,CB_plan!$F:$F,$A185)/SUMIFS(CB_plan!$G:$G,CB_plan!$F:$F,$A185),Inputs!$B$17))*H185*K185))</f>
        <v/>
      </c>
      <c r="M185" s="44" t="str">
        <f t="shared" si="196"/>
        <v/>
      </c>
      <c r="N185" s="44" t="str">
        <f>IF(A185="","",(L185+M185)*Inputs!$B$16)</f>
        <v/>
      </c>
      <c r="O185" s="44"/>
      <c r="P185" s="44" t="str">
        <f>IF(A185="","",IF(O185="",Inputs!$B$7,O185))</f>
        <v/>
      </c>
      <c r="Q185" s="14" t="str">
        <f>IF(A185="","",IF(N185/Inputs!$B$10&lt;=AG185,Inputs!$F$5,IF(N185/Inputs!$B$10&gt;AP185,"OVERSIZE",INDEX(Inputs!$F$5:$F$14,MATCH(N185/Inputs!$B$10,AG185:AP185,1)+1))))</f>
        <v/>
      </c>
      <c r="R185" s="14"/>
      <c r="S185" s="14" t="str">
        <f t="shared" si="197"/>
        <v/>
      </c>
      <c r="T185" s="44" t="str">
        <f t="shared" si="198"/>
        <v/>
      </c>
      <c r="U185" s="44" t="str">
        <f>IF(T185="","",(1/Inputs!$B$9)*(PI()*T185^2/4)*((T185/4)^(2/3))*SQRT(P185))</f>
        <v/>
      </c>
      <c r="V185" s="44" t="str">
        <f>IF(OR(U185="",N185=""),"",N185/(U185*Inputs!$B$10))</f>
        <v/>
      </c>
      <c r="W185" s="44" t="str">
        <f t="shared" si="199"/>
        <v/>
      </c>
      <c r="X185" s="44"/>
      <c r="Y185" s="44" t="str">
        <f>IF(A185="","",IF(A185=Inputs!$B$6,Inputs!$B$22,IF(D185="","",IFERROR(INDEX($Z$4:$Z$201,MATCH(D185,$A$4:$A$201,0))+IF(X185="",Inputs!$B$20,X185),""))))</f>
        <v/>
      </c>
      <c r="Z185" s="44" t="str">
        <f t="shared" si="200"/>
        <v/>
      </c>
      <c r="AA185" s="44" t="str">
        <f>IF(C185="","",IFERROR(INDEX(Noeuds_plan!$C$4:$C$200,MATCH(C185,Noeuds_plan!$A$4:$A$200,0)),""))</f>
        <v/>
      </c>
      <c r="AB185" s="44" t="str">
        <f>IF(B185="","",IFERROR(INDEX(Noeuds_plan!$C$4:$C$200,MATCH(B185,Noeuds_plan!$A$4:$A$200,0)),""))</f>
        <v/>
      </c>
      <c r="AC185" s="44" t="str">
        <f t="shared" si="201"/>
        <v/>
      </c>
      <c r="AD185" s="44" t="str">
        <f t="shared" si="202"/>
        <v/>
      </c>
      <c r="AE185" s="14" t="str">
        <f>IF(A185="","",IF(OR(V185&gt;1,AND(AY185&lt;&gt;"",AY185&lt;Inputs!$B$11),AND(AY185&lt;&gt;"",AY185&gt;Inputs!$B$12),AC185&lt;Inputs!$B$19,AD185&lt;Inputs!$B$19,P185&lt;Inputs!$B$7,P185&gt;Inputs!$B$8),"CHECK","OK"))</f>
        <v/>
      </c>
      <c r="AF185" s="14"/>
      <c r="AG185" s="14" t="str">
        <f>IF(A185="","",(1/Inputs!$B$9)*(PI()*(Inputs!$F$5/1000)^2/4)*((Inputs!$F$5/1000/4)^(2/3))*SQRT(P185))</f>
        <v/>
      </c>
      <c r="AH185" s="14" t="str">
        <f>IF(A185="","",(1/Inputs!$B$9)*(PI()*(Inputs!$F$6/1000)^2/4)*((Inputs!$F$6/1000/4)^(2/3))*SQRT(P185))</f>
        <v/>
      </c>
      <c r="AI185" s="14" t="str">
        <f>IF(A185="","",(1/Inputs!$B$9)*(PI()*(Inputs!$F$7/1000)^2/4)*((Inputs!$F$7/1000/4)^(2/3))*SQRT(P185))</f>
        <v/>
      </c>
      <c r="AJ185" s="14" t="str">
        <f>IF(A185="","",(1/Inputs!$B$9)*(PI()*(Inputs!$F$8/1000)^2/4)*((Inputs!$F$8/1000/4)^(2/3))*SQRT(P185))</f>
        <v/>
      </c>
      <c r="AK185" s="14" t="str">
        <f>IF(A185="","",(1/Inputs!$B$9)*(PI()*(Inputs!$F$9/1000)^2/4)*((Inputs!$F$9/1000/4)^(2/3))*SQRT(P185))</f>
        <v/>
      </c>
      <c r="AL185" s="14" t="str">
        <f>IF(A185="","",(1/Inputs!$B$9)*(PI()*(Inputs!$F$10/1000)^2/4)*((Inputs!$F$10/1000/4)^(2/3))*SQRT(P185))</f>
        <v/>
      </c>
      <c r="AM185" s="14" t="str">
        <f>IF(A185="","",(1/Inputs!$B$9)*(PI()*(Inputs!$F$11/1000)^2/4)*((Inputs!$F$11/1000/4)^(2/3))*SQRT(P185))</f>
        <v/>
      </c>
      <c r="AN185" s="14" t="str">
        <f>IF(A185="","",(1/Inputs!$B$9)*(PI()*(Inputs!$F$12/1000)^2/4)*((Inputs!$F$12/1000/4)^(2/3))*SQRT(P185))</f>
        <v/>
      </c>
      <c r="AO185" s="14" t="str">
        <f>IF(A185="","",(1/Inputs!$B$9)*(PI()*(Inputs!$F$13/1000)^2/4)*((Inputs!$F$13/1000/4)^(2/3))*SQRT(P185))</f>
        <v/>
      </c>
      <c r="AP185" s="14" t="str">
        <f>IF(A185="","",(1/Inputs!$B$9)*(PI()*(Inputs!$F$14/1000)^2/4)*((Inputs!$F$14/1000/4)^(2/3))*SQRT(P185))</f>
        <v/>
      </c>
      <c r="AQ185" s="14" t="str">
        <f t="shared" si="203"/>
        <v/>
      </c>
      <c r="AR185" s="14" t="str">
        <f t="shared" si="204"/>
        <v/>
      </c>
      <c r="AS185" s="17" t="str">
        <f>IF(A185="","",IF(J185="",Inputs!$B$18,J185))</f>
        <v/>
      </c>
      <c r="AT185" s="17" t="str">
        <f>IF(A185="","",IFERROR(_xludf.maxifs($AV$4:$AV$201,$D$4:$D$201,$A185),""))</f>
        <v/>
      </c>
      <c r="AU185" s="17" t="str">
        <f>IF(A185="","",IF(OR(E185="",Inputs!$B$23=""),"",E185/(Inputs!$B$23*60)))</f>
        <v/>
      </c>
      <c r="AV185" s="17" t="str">
        <f t="shared" si="205"/>
        <v/>
      </c>
      <c r="AW185" s="17" t="str">
        <f t="shared" si="206"/>
        <v/>
      </c>
      <c r="AX185" s="17" t="str">
        <f>IF(OR(T185="",P185=""),"",(1/Inputs!$B$9)*((T185/4)^(2/3))*SQRT(P185))</f>
        <v/>
      </c>
      <c r="AY185" s="17" t="str">
        <f>IF(A185="","",IF(AND(AW185="",AX185="",BA185=""),"",IF(OR(UPPER(TRIM(Inputs!$B$24))="MANNING",UPPER(TRIM(Inputs!$B$24))="M"),AX185,IF(OR(UPPER(TRIM(Inputs!$B$24))="PARTIAL",UPPER(TRIM(Inputs!$B$24))="P"),BA185,IF(OR(UPPER(TRIM(Inputs!$B$24))="MAX",UPPER(TRIM(Inputs!$B$24))="X"),MAX(IF(AW185="",0,AW185),IF(AX185="",0,AX185),IF(BA185="",0,BA185)),AW185)))))</f>
        <v/>
      </c>
      <c r="AZ185" s="17" t="str">
        <f t="shared" si="207"/>
        <v/>
      </c>
      <c r="BA185" s="17" t="str">
        <f t="shared" si="208"/>
        <v/>
      </c>
      <c r="BB185" s="14" t="str">
        <f t="shared" si="209"/>
        <v/>
      </c>
      <c r="BC185" s="14" t="str">
        <f>IF(OR(N185="",T185="",P185=""),"",IF(OR(T185="",P185="",(0.94*T185)="",T185&lt;=0,(0.94*T185)&lt;=0),"",(1/Inputs!$B$9)*((T185^2/8)*((2*ACOS(1-2*(0.94*T185)/T185))-SIN((2*ACOS(1-2*(0.94*T185)/T185)))))*((((T185^2/8)*((2*ACOS(1-2*(0.94*T185)/T185))-SIN((2*ACOS(1-2*(0.94*T185)/T185)))))/((T185/2)*((2*ACOS(1-2*(0.94*T185)/T185)))))^(2/3))*SQRT(P185)))</f>
        <v/>
      </c>
      <c r="BD185" s="14" t="str">
        <f t="shared" si="210"/>
        <v/>
      </c>
      <c r="BE185" s="14" t="str">
        <f t="shared" si="211"/>
        <v/>
      </c>
      <c r="BF185" s="14" t="str">
        <f t="shared" si="212"/>
        <v/>
      </c>
      <c r="BG185" s="14" t="str">
        <f>IF(OR(T185="",P185="",BF185="",T185&lt;=0,BF185&lt;=0),"",(1/Inputs!$B$9)*((T185^2/8)*((2*ACOS(1-2*BF185/T185))-SIN((2*ACOS(1-2*BF185/T185)))))*((((T185^2/8)*((2*ACOS(1-2*BF185/T185))-SIN((2*ACOS(1-2*BF185/T185)))))/((T185/2)*((2*ACOS(1-2*BF185/T185)))))^(2/3))*SQRT(P185))</f>
        <v/>
      </c>
      <c r="BH185" s="14" t="str">
        <f t="shared" si="213"/>
        <v/>
      </c>
      <c r="BI185" s="14" t="str">
        <f t="shared" si="214"/>
        <v/>
      </c>
      <c r="BJ185" s="14" t="str">
        <f t="shared" si="215"/>
        <v/>
      </c>
      <c r="BK185" s="14" t="str">
        <f>IF(OR(T185="",P185="",BJ185="",T185&lt;=0,BJ185&lt;=0),"",(1/Inputs!$B$9)*((T185^2/8)*((2*ACOS(1-2*BJ185/T185))-SIN((2*ACOS(1-2*BJ185/T185)))))*((((T185^2/8)*((2*ACOS(1-2*BJ185/T185))-SIN((2*ACOS(1-2*BJ185/T185)))))/((T185/2)*((2*ACOS(1-2*BJ185/T185)))))^(2/3))*SQRT(P185))</f>
        <v/>
      </c>
      <c r="BL185" s="14" t="str">
        <f t="shared" si="216"/>
        <v/>
      </c>
      <c r="BM185" s="14" t="str">
        <f t="shared" si="217"/>
        <v/>
      </c>
      <c r="BN185" s="14" t="str">
        <f t="shared" si="218"/>
        <v/>
      </c>
      <c r="BO185" s="14" t="str">
        <f>IF(OR(T185="",P185="",BN185="",T185&lt;=0,BN185&lt;=0),"",(1/Inputs!$B$9)*((T185^2/8)*((2*ACOS(1-2*BN185/T185))-SIN((2*ACOS(1-2*BN185/T185)))))*((((T185^2/8)*((2*ACOS(1-2*BN185/T185))-SIN((2*ACOS(1-2*BN185/T185)))))/((T185/2)*((2*ACOS(1-2*BN185/T185)))))^(2/3))*SQRT(P185))</f>
        <v/>
      </c>
      <c r="BP185" s="14" t="str">
        <f t="shared" si="219"/>
        <v/>
      </c>
      <c r="BQ185" s="14" t="str">
        <f t="shared" si="220"/>
        <v/>
      </c>
      <c r="BR185" s="14" t="str">
        <f t="shared" si="221"/>
        <v/>
      </c>
      <c r="BS185" s="14" t="str">
        <f>IF(OR(T185="",P185="",BR185="",T185&lt;=0,BR185&lt;=0),"",(1/Inputs!$B$9)*((T185^2/8)*((2*ACOS(1-2*BR185/T185))-SIN((2*ACOS(1-2*BR185/T185)))))*((((T185^2/8)*((2*ACOS(1-2*BR185/T185))-SIN((2*ACOS(1-2*BR185/T185)))))/((T185/2)*((2*ACOS(1-2*BR185/T185)))))^(2/3))*SQRT(P185))</f>
        <v/>
      </c>
      <c r="BT185" s="14" t="str">
        <f t="shared" si="222"/>
        <v/>
      </c>
      <c r="BU185" s="14" t="str">
        <f t="shared" si="223"/>
        <v/>
      </c>
      <c r="BV185" s="14" t="str">
        <f t="shared" si="224"/>
        <v/>
      </c>
      <c r="BW185" s="14" t="str">
        <f>IF(OR(T185="",P185="",BV185="",T185&lt;=0,BV185&lt;=0),"",(1/Inputs!$B$9)*((T185^2/8)*((2*ACOS(1-2*BV185/T185))-SIN((2*ACOS(1-2*BV185/T185)))))*((((T185^2/8)*((2*ACOS(1-2*BV185/T185))-SIN((2*ACOS(1-2*BV185/T185)))))/((T185/2)*((2*ACOS(1-2*BV185/T185)))))^(2/3))*SQRT(P185))</f>
        <v/>
      </c>
      <c r="BX185" s="14" t="str">
        <f t="shared" si="225"/>
        <v/>
      </c>
      <c r="BY185" s="14" t="str">
        <f t="shared" si="226"/>
        <v/>
      </c>
      <c r="BZ185" s="14" t="str">
        <f t="shared" si="227"/>
        <v/>
      </c>
      <c r="CA185" s="14" t="str">
        <f>IF(OR(T185="",P185="",BZ185="",T185&lt;=0,BZ185&lt;=0),"",(1/Inputs!$B$9)*((T185^2/8)*((2*ACOS(1-2*BZ185/T185))-SIN((2*ACOS(1-2*BZ185/T185)))))*((((T185^2/8)*((2*ACOS(1-2*BZ185/T185))-SIN((2*ACOS(1-2*BZ185/T185)))))/((T185/2)*((2*ACOS(1-2*BZ185/T185)))))^(2/3))*SQRT(P185))</f>
        <v/>
      </c>
      <c r="CB185" s="14" t="str">
        <f t="shared" si="228"/>
        <v/>
      </c>
      <c r="CC185" s="14" t="str">
        <f t="shared" si="229"/>
        <v/>
      </c>
      <c r="CD185" s="14" t="str">
        <f t="shared" si="230"/>
        <v/>
      </c>
      <c r="CE185" s="14" t="str">
        <f>IF(OR(T185="",P185="",CD185="",T185&lt;=0,CD185&lt;=0),"",(1/Inputs!$B$9)*((T185^2/8)*((2*ACOS(1-2*CD185/T185))-SIN((2*ACOS(1-2*CD185/T185)))))*((((T185^2/8)*((2*ACOS(1-2*CD185/T185))-SIN((2*ACOS(1-2*CD185/T185)))))/((T185/2)*((2*ACOS(1-2*CD185/T185)))))^(2/3))*SQRT(P185))</f>
        <v/>
      </c>
      <c r="CF185" s="14" t="str">
        <f t="shared" si="231"/>
        <v/>
      </c>
      <c r="CG185" s="14" t="str">
        <f t="shared" si="232"/>
        <v/>
      </c>
      <c r="CH185" s="14" t="str">
        <f t="shared" si="233"/>
        <v/>
      </c>
    </row>
    <row r="186" spans="1:86" x14ac:dyDescent="0.25">
      <c r="A186" s="14"/>
      <c r="B186" s="14"/>
      <c r="C186" s="14"/>
      <c r="D186" s="14"/>
      <c r="E186" s="44"/>
      <c r="F186" s="44"/>
      <c r="G186" s="44">
        <f>SUMIFS(CB_plan!$G:$G,CB_plan!$F:$F,$A186)</f>
        <v>0</v>
      </c>
      <c r="H186" s="44">
        <f t="shared" si="195"/>
        <v>0</v>
      </c>
      <c r="I186" s="14"/>
      <c r="J186" s="44"/>
      <c r="K186" s="44" t="str">
        <f>IF(A186="","",Inputs!$B$13/((IF(AV186="",Inputs!$B$18,AV186)+Inputs!$B$14)^Inputs!$B$15))</f>
        <v/>
      </c>
      <c r="L186" s="44" t="str">
        <f>IF(A186="","",IF(H186="","",0.000000278*IF(I186&lt;&gt;"",I186,IFERROR(SUMIFS(CB_plan!$H:$H,CB_plan!$F:$F,$A186)/SUMIFS(CB_plan!$G:$G,CB_plan!$F:$F,$A186),Inputs!$B$17))*H186*K186))</f>
        <v/>
      </c>
      <c r="M186" s="44" t="str">
        <f t="shared" si="196"/>
        <v/>
      </c>
      <c r="N186" s="44" t="str">
        <f>IF(A186="","",(L186+M186)*Inputs!$B$16)</f>
        <v/>
      </c>
      <c r="O186" s="44"/>
      <c r="P186" s="44" t="str">
        <f>IF(A186="","",IF(O186="",Inputs!$B$7,O186))</f>
        <v/>
      </c>
      <c r="Q186" s="14" t="str">
        <f>IF(A186="","",IF(N186/Inputs!$B$10&lt;=AG186,Inputs!$F$5,IF(N186/Inputs!$B$10&gt;AP186,"OVERSIZE",INDEX(Inputs!$F$5:$F$14,MATCH(N186/Inputs!$B$10,AG186:AP186,1)+1))))</f>
        <v/>
      </c>
      <c r="R186" s="14"/>
      <c r="S186" s="14" t="str">
        <f t="shared" si="197"/>
        <v/>
      </c>
      <c r="T186" s="44" t="str">
        <f t="shared" si="198"/>
        <v/>
      </c>
      <c r="U186" s="44" t="str">
        <f>IF(T186="","",(1/Inputs!$B$9)*(PI()*T186^2/4)*((T186/4)^(2/3))*SQRT(P186))</f>
        <v/>
      </c>
      <c r="V186" s="44" t="str">
        <f>IF(OR(U186="",N186=""),"",N186/(U186*Inputs!$B$10))</f>
        <v/>
      </c>
      <c r="W186" s="44" t="str">
        <f t="shared" si="199"/>
        <v/>
      </c>
      <c r="X186" s="44"/>
      <c r="Y186" s="44" t="str">
        <f>IF(A186="","",IF(A186=Inputs!$B$6,Inputs!$B$22,IF(D186="","",IFERROR(INDEX($Z$4:$Z$201,MATCH(D186,$A$4:$A$201,0))+IF(X186="",Inputs!$B$20,X186),""))))</f>
        <v/>
      </c>
      <c r="Z186" s="44" t="str">
        <f t="shared" si="200"/>
        <v/>
      </c>
      <c r="AA186" s="44" t="str">
        <f>IF(C186="","",IFERROR(INDEX(Noeuds_plan!$C$4:$C$200,MATCH(C186,Noeuds_plan!$A$4:$A$200,0)),""))</f>
        <v/>
      </c>
      <c r="AB186" s="44" t="str">
        <f>IF(B186="","",IFERROR(INDEX(Noeuds_plan!$C$4:$C$200,MATCH(B186,Noeuds_plan!$A$4:$A$200,0)),""))</f>
        <v/>
      </c>
      <c r="AC186" s="44" t="str">
        <f t="shared" si="201"/>
        <v/>
      </c>
      <c r="AD186" s="44" t="str">
        <f t="shared" si="202"/>
        <v/>
      </c>
      <c r="AE186" s="14" t="str">
        <f>IF(A186="","",IF(OR(V186&gt;1,AND(AY186&lt;&gt;"",AY186&lt;Inputs!$B$11),AND(AY186&lt;&gt;"",AY186&gt;Inputs!$B$12),AC186&lt;Inputs!$B$19,AD186&lt;Inputs!$B$19,P186&lt;Inputs!$B$7,P186&gt;Inputs!$B$8),"CHECK","OK"))</f>
        <v/>
      </c>
      <c r="AF186" s="14"/>
      <c r="AG186" s="14" t="str">
        <f>IF(A186="","",(1/Inputs!$B$9)*(PI()*(Inputs!$F$5/1000)^2/4)*((Inputs!$F$5/1000/4)^(2/3))*SQRT(P186))</f>
        <v/>
      </c>
      <c r="AH186" s="14" t="str">
        <f>IF(A186="","",(1/Inputs!$B$9)*(PI()*(Inputs!$F$6/1000)^2/4)*((Inputs!$F$6/1000/4)^(2/3))*SQRT(P186))</f>
        <v/>
      </c>
      <c r="AI186" s="14" t="str">
        <f>IF(A186="","",(1/Inputs!$B$9)*(PI()*(Inputs!$F$7/1000)^2/4)*((Inputs!$F$7/1000/4)^(2/3))*SQRT(P186))</f>
        <v/>
      </c>
      <c r="AJ186" s="14" t="str">
        <f>IF(A186="","",(1/Inputs!$B$9)*(PI()*(Inputs!$F$8/1000)^2/4)*((Inputs!$F$8/1000/4)^(2/3))*SQRT(P186))</f>
        <v/>
      </c>
      <c r="AK186" s="14" t="str">
        <f>IF(A186="","",(1/Inputs!$B$9)*(PI()*(Inputs!$F$9/1000)^2/4)*((Inputs!$F$9/1000/4)^(2/3))*SQRT(P186))</f>
        <v/>
      </c>
      <c r="AL186" s="14" t="str">
        <f>IF(A186="","",(1/Inputs!$B$9)*(PI()*(Inputs!$F$10/1000)^2/4)*((Inputs!$F$10/1000/4)^(2/3))*SQRT(P186))</f>
        <v/>
      </c>
      <c r="AM186" s="14" t="str">
        <f>IF(A186="","",(1/Inputs!$B$9)*(PI()*(Inputs!$F$11/1000)^2/4)*((Inputs!$F$11/1000/4)^(2/3))*SQRT(P186))</f>
        <v/>
      </c>
      <c r="AN186" s="14" t="str">
        <f>IF(A186="","",(1/Inputs!$B$9)*(PI()*(Inputs!$F$12/1000)^2/4)*((Inputs!$F$12/1000/4)^(2/3))*SQRT(P186))</f>
        <v/>
      </c>
      <c r="AO186" s="14" t="str">
        <f>IF(A186="","",(1/Inputs!$B$9)*(PI()*(Inputs!$F$13/1000)^2/4)*((Inputs!$F$13/1000/4)^(2/3))*SQRT(P186))</f>
        <v/>
      </c>
      <c r="AP186" s="14" t="str">
        <f>IF(A186="","",(1/Inputs!$B$9)*(PI()*(Inputs!$F$14/1000)^2/4)*((Inputs!$F$14/1000/4)^(2/3))*SQRT(P186))</f>
        <v/>
      </c>
      <c r="AQ186" s="14" t="str">
        <f t="shared" si="203"/>
        <v/>
      </c>
      <c r="AR186" s="14" t="str">
        <f t="shared" si="204"/>
        <v/>
      </c>
      <c r="AS186" s="17" t="str">
        <f>IF(A186="","",IF(J186="",Inputs!$B$18,J186))</f>
        <v/>
      </c>
      <c r="AT186" s="17" t="str">
        <f>IF(A186="","",IFERROR(_xludf.maxifs($AV$4:$AV$201,$D$4:$D$201,$A186),""))</f>
        <v/>
      </c>
      <c r="AU186" s="17" t="str">
        <f>IF(A186="","",IF(OR(E186="",Inputs!$B$23=""),"",E186/(Inputs!$B$23*60)))</f>
        <v/>
      </c>
      <c r="AV186" s="17" t="str">
        <f t="shared" si="205"/>
        <v/>
      </c>
      <c r="AW186" s="17" t="str">
        <f t="shared" si="206"/>
        <v/>
      </c>
      <c r="AX186" s="17" t="str">
        <f>IF(OR(T186="",P186=""),"",(1/Inputs!$B$9)*((T186/4)^(2/3))*SQRT(P186))</f>
        <v/>
      </c>
      <c r="AY186" s="17" t="str">
        <f>IF(A186="","",IF(AND(AW186="",AX186="",BA186=""),"",IF(OR(UPPER(TRIM(Inputs!$B$24))="MANNING",UPPER(TRIM(Inputs!$B$24))="M"),AX186,IF(OR(UPPER(TRIM(Inputs!$B$24))="PARTIAL",UPPER(TRIM(Inputs!$B$24))="P"),BA186,IF(OR(UPPER(TRIM(Inputs!$B$24))="MAX",UPPER(TRIM(Inputs!$B$24))="X"),MAX(IF(AW186="",0,AW186),IF(AX186="",0,AX186),IF(BA186="",0,BA186)),AW186)))))</f>
        <v/>
      </c>
      <c r="AZ186" s="17" t="str">
        <f t="shared" si="207"/>
        <v/>
      </c>
      <c r="BA186" s="17" t="str">
        <f t="shared" si="208"/>
        <v/>
      </c>
      <c r="BB186" s="14" t="str">
        <f t="shared" si="209"/>
        <v/>
      </c>
      <c r="BC186" s="14" t="str">
        <f>IF(OR(N186="",T186="",P186=""),"",IF(OR(T186="",P186="",(0.94*T186)="",T186&lt;=0,(0.94*T186)&lt;=0),"",(1/Inputs!$B$9)*((T186^2/8)*((2*ACOS(1-2*(0.94*T186)/T186))-SIN((2*ACOS(1-2*(0.94*T186)/T186)))))*((((T186^2/8)*((2*ACOS(1-2*(0.94*T186)/T186))-SIN((2*ACOS(1-2*(0.94*T186)/T186)))))/((T186/2)*((2*ACOS(1-2*(0.94*T186)/T186)))))^(2/3))*SQRT(P186)))</f>
        <v/>
      </c>
      <c r="BD186" s="14" t="str">
        <f t="shared" si="210"/>
        <v/>
      </c>
      <c r="BE186" s="14" t="str">
        <f t="shared" si="211"/>
        <v/>
      </c>
      <c r="BF186" s="14" t="str">
        <f t="shared" si="212"/>
        <v/>
      </c>
      <c r="BG186" s="14" t="str">
        <f>IF(OR(T186="",P186="",BF186="",T186&lt;=0,BF186&lt;=0),"",(1/Inputs!$B$9)*((T186^2/8)*((2*ACOS(1-2*BF186/T186))-SIN((2*ACOS(1-2*BF186/T186)))))*((((T186^2/8)*((2*ACOS(1-2*BF186/T186))-SIN((2*ACOS(1-2*BF186/T186)))))/((T186/2)*((2*ACOS(1-2*BF186/T186)))))^(2/3))*SQRT(P186))</f>
        <v/>
      </c>
      <c r="BH186" s="14" t="str">
        <f t="shared" si="213"/>
        <v/>
      </c>
      <c r="BI186" s="14" t="str">
        <f t="shared" si="214"/>
        <v/>
      </c>
      <c r="BJ186" s="14" t="str">
        <f t="shared" si="215"/>
        <v/>
      </c>
      <c r="BK186" s="14" t="str">
        <f>IF(OR(T186="",P186="",BJ186="",T186&lt;=0,BJ186&lt;=0),"",(1/Inputs!$B$9)*((T186^2/8)*((2*ACOS(1-2*BJ186/T186))-SIN((2*ACOS(1-2*BJ186/T186)))))*((((T186^2/8)*((2*ACOS(1-2*BJ186/T186))-SIN((2*ACOS(1-2*BJ186/T186)))))/((T186/2)*((2*ACOS(1-2*BJ186/T186)))))^(2/3))*SQRT(P186))</f>
        <v/>
      </c>
      <c r="BL186" s="14" t="str">
        <f t="shared" si="216"/>
        <v/>
      </c>
      <c r="BM186" s="14" t="str">
        <f t="shared" si="217"/>
        <v/>
      </c>
      <c r="BN186" s="14" t="str">
        <f t="shared" si="218"/>
        <v/>
      </c>
      <c r="BO186" s="14" t="str">
        <f>IF(OR(T186="",P186="",BN186="",T186&lt;=0,BN186&lt;=0),"",(1/Inputs!$B$9)*((T186^2/8)*((2*ACOS(1-2*BN186/T186))-SIN((2*ACOS(1-2*BN186/T186)))))*((((T186^2/8)*((2*ACOS(1-2*BN186/T186))-SIN((2*ACOS(1-2*BN186/T186)))))/((T186/2)*((2*ACOS(1-2*BN186/T186)))))^(2/3))*SQRT(P186))</f>
        <v/>
      </c>
      <c r="BP186" s="14" t="str">
        <f t="shared" si="219"/>
        <v/>
      </c>
      <c r="BQ186" s="14" t="str">
        <f t="shared" si="220"/>
        <v/>
      </c>
      <c r="BR186" s="14" t="str">
        <f t="shared" si="221"/>
        <v/>
      </c>
      <c r="BS186" s="14" t="str">
        <f>IF(OR(T186="",P186="",BR186="",T186&lt;=0,BR186&lt;=0),"",(1/Inputs!$B$9)*((T186^2/8)*((2*ACOS(1-2*BR186/T186))-SIN((2*ACOS(1-2*BR186/T186)))))*((((T186^2/8)*((2*ACOS(1-2*BR186/T186))-SIN((2*ACOS(1-2*BR186/T186)))))/((T186/2)*((2*ACOS(1-2*BR186/T186)))))^(2/3))*SQRT(P186))</f>
        <v/>
      </c>
      <c r="BT186" s="14" t="str">
        <f t="shared" si="222"/>
        <v/>
      </c>
      <c r="BU186" s="14" t="str">
        <f t="shared" si="223"/>
        <v/>
      </c>
      <c r="BV186" s="14" t="str">
        <f t="shared" si="224"/>
        <v/>
      </c>
      <c r="BW186" s="14" t="str">
        <f>IF(OR(T186="",P186="",BV186="",T186&lt;=0,BV186&lt;=0),"",(1/Inputs!$B$9)*((T186^2/8)*((2*ACOS(1-2*BV186/T186))-SIN((2*ACOS(1-2*BV186/T186)))))*((((T186^2/8)*((2*ACOS(1-2*BV186/T186))-SIN((2*ACOS(1-2*BV186/T186)))))/((T186/2)*((2*ACOS(1-2*BV186/T186)))))^(2/3))*SQRT(P186))</f>
        <v/>
      </c>
      <c r="BX186" s="14" t="str">
        <f t="shared" si="225"/>
        <v/>
      </c>
      <c r="BY186" s="14" t="str">
        <f t="shared" si="226"/>
        <v/>
      </c>
      <c r="BZ186" s="14" t="str">
        <f t="shared" si="227"/>
        <v/>
      </c>
      <c r="CA186" s="14" t="str">
        <f>IF(OR(T186="",P186="",BZ186="",T186&lt;=0,BZ186&lt;=0),"",(1/Inputs!$B$9)*((T186^2/8)*((2*ACOS(1-2*BZ186/T186))-SIN((2*ACOS(1-2*BZ186/T186)))))*((((T186^2/8)*((2*ACOS(1-2*BZ186/T186))-SIN((2*ACOS(1-2*BZ186/T186)))))/((T186/2)*((2*ACOS(1-2*BZ186/T186)))))^(2/3))*SQRT(P186))</f>
        <v/>
      </c>
      <c r="CB186" s="14" t="str">
        <f t="shared" si="228"/>
        <v/>
      </c>
      <c r="CC186" s="14" t="str">
        <f t="shared" si="229"/>
        <v/>
      </c>
      <c r="CD186" s="14" t="str">
        <f t="shared" si="230"/>
        <v/>
      </c>
      <c r="CE186" s="14" t="str">
        <f>IF(OR(T186="",P186="",CD186="",T186&lt;=0,CD186&lt;=0),"",(1/Inputs!$B$9)*((T186^2/8)*((2*ACOS(1-2*CD186/T186))-SIN((2*ACOS(1-2*CD186/T186)))))*((((T186^2/8)*((2*ACOS(1-2*CD186/T186))-SIN((2*ACOS(1-2*CD186/T186)))))/((T186/2)*((2*ACOS(1-2*CD186/T186)))))^(2/3))*SQRT(P186))</f>
        <v/>
      </c>
      <c r="CF186" s="14" t="str">
        <f t="shared" si="231"/>
        <v/>
      </c>
      <c r="CG186" s="14" t="str">
        <f t="shared" si="232"/>
        <v/>
      </c>
      <c r="CH186" s="14" t="str">
        <f t="shared" si="233"/>
        <v/>
      </c>
    </row>
    <row r="187" spans="1:86" x14ac:dyDescent="0.25">
      <c r="A187" s="14"/>
      <c r="B187" s="14"/>
      <c r="C187" s="14"/>
      <c r="D187" s="14"/>
      <c r="E187" s="44"/>
      <c r="F187" s="44"/>
      <c r="G187" s="44">
        <f>SUMIFS(CB_plan!$G:$G,CB_plan!$F:$F,$A187)</f>
        <v>0</v>
      </c>
      <c r="H187" s="44">
        <f t="shared" si="195"/>
        <v>0</v>
      </c>
      <c r="I187" s="14"/>
      <c r="J187" s="44"/>
      <c r="K187" s="44" t="str">
        <f>IF(A187="","",Inputs!$B$13/((IF(AV187="",Inputs!$B$18,AV187)+Inputs!$B$14)^Inputs!$B$15))</f>
        <v/>
      </c>
      <c r="L187" s="44" t="str">
        <f>IF(A187="","",IF(H187="","",0.000000278*IF(I187&lt;&gt;"",I187,IFERROR(SUMIFS(CB_plan!$H:$H,CB_plan!$F:$F,$A187)/SUMIFS(CB_plan!$G:$G,CB_plan!$F:$F,$A187),Inputs!$B$17))*H187*K187))</f>
        <v/>
      </c>
      <c r="M187" s="44" t="str">
        <f t="shared" si="196"/>
        <v/>
      </c>
      <c r="N187" s="44" t="str">
        <f>IF(A187="","",(L187+M187)*Inputs!$B$16)</f>
        <v/>
      </c>
      <c r="O187" s="44"/>
      <c r="P187" s="44" t="str">
        <f>IF(A187="","",IF(O187="",Inputs!$B$7,O187))</f>
        <v/>
      </c>
      <c r="Q187" s="14" t="str">
        <f>IF(A187="","",IF(N187/Inputs!$B$10&lt;=AG187,Inputs!$F$5,IF(N187/Inputs!$B$10&gt;AP187,"OVERSIZE",INDEX(Inputs!$F$5:$F$14,MATCH(N187/Inputs!$B$10,AG187:AP187,1)+1))))</f>
        <v/>
      </c>
      <c r="R187" s="14"/>
      <c r="S187" s="14" t="str">
        <f t="shared" si="197"/>
        <v/>
      </c>
      <c r="T187" s="44" t="str">
        <f t="shared" si="198"/>
        <v/>
      </c>
      <c r="U187" s="44" t="str">
        <f>IF(T187="","",(1/Inputs!$B$9)*(PI()*T187^2/4)*((T187/4)^(2/3))*SQRT(P187))</f>
        <v/>
      </c>
      <c r="V187" s="44" t="str">
        <f>IF(OR(U187="",N187=""),"",N187/(U187*Inputs!$B$10))</f>
        <v/>
      </c>
      <c r="W187" s="44" t="str">
        <f t="shared" si="199"/>
        <v/>
      </c>
      <c r="X187" s="44"/>
      <c r="Y187" s="44" t="str">
        <f>IF(A187="","",IF(A187=Inputs!$B$6,Inputs!$B$22,IF(D187="","",IFERROR(INDEX($Z$4:$Z$201,MATCH(D187,$A$4:$A$201,0))+IF(X187="",Inputs!$B$20,X187),""))))</f>
        <v/>
      </c>
      <c r="Z187" s="44" t="str">
        <f t="shared" si="200"/>
        <v/>
      </c>
      <c r="AA187" s="44" t="str">
        <f>IF(C187="","",IFERROR(INDEX(Noeuds_plan!$C$4:$C$200,MATCH(C187,Noeuds_plan!$A$4:$A$200,0)),""))</f>
        <v/>
      </c>
      <c r="AB187" s="44" t="str">
        <f>IF(B187="","",IFERROR(INDEX(Noeuds_plan!$C$4:$C$200,MATCH(B187,Noeuds_plan!$A$4:$A$200,0)),""))</f>
        <v/>
      </c>
      <c r="AC187" s="44" t="str">
        <f t="shared" si="201"/>
        <v/>
      </c>
      <c r="AD187" s="44" t="str">
        <f t="shared" si="202"/>
        <v/>
      </c>
      <c r="AE187" s="14" t="str">
        <f>IF(A187="","",IF(OR(V187&gt;1,AND(AY187&lt;&gt;"",AY187&lt;Inputs!$B$11),AND(AY187&lt;&gt;"",AY187&gt;Inputs!$B$12),AC187&lt;Inputs!$B$19,AD187&lt;Inputs!$B$19,P187&lt;Inputs!$B$7,P187&gt;Inputs!$B$8),"CHECK","OK"))</f>
        <v/>
      </c>
      <c r="AF187" s="14"/>
      <c r="AG187" s="14" t="str">
        <f>IF(A187="","",(1/Inputs!$B$9)*(PI()*(Inputs!$F$5/1000)^2/4)*((Inputs!$F$5/1000/4)^(2/3))*SQRT(P187))</f>
        <v/>
      </c>
      <c r="AH187" s="14" t="str">
        <f>IF(A187="","",(1/Inputs!$B$9)*(PI()*(Inputs!$F$6/1000)^2/4)*((Inputs!$F$6/1000/4)^(2/3))*SQRT(P187))</f>
        <v/>
      </c>
      <c r="AI187" s="14" t="str">
        <f>IF(A187="","",(1/Inputs!$B$9)*(PI()*(Inputs!$F$7/1000)^2/4)*((Inputs!$F$7/1000/4)^(2/3))*SQRT(P187))</f>
        <v/>
      </c>
      <c r="AJ187" s="14" t="str">
        <f>IF(A187="","",(1/Inputs!$B$9)*(PI()*(Inputs!$F$8/1000)^2/4)*((Inputs!$F$8/1000/4)^(2/3))*SQRT(P187))</f>
        <v/>
      </c>
      <c r="AK187" s="14" t="str">
        <f>IF(A187="","",(1/Inputs!$B$9)*(PI()*(Inputs!$F$9/1000)^2/4)*((Inputs!$F$9/1000/4)^(2/3))*SQRT(P187))</f>
        <v/>
      </c>
      <c r="AL187" s="14" t="str">
        <f>IF(A187="","",(1/Inputs!$B$9)*(PI()*(Inputs!$F$10/1000)^2/4)*((Inputs!$F$10/1000/4)^(2/3))*SQRT(P187))</f>
        <v/>
      </c>
      <c r="AM187" s="14" t="str">
        <f>IF(A187="","",(1/Inputs!$B$9)*(PI()*(Inputs!$F$11/1000)^2/4)*((Inputs!$F$11/1000/4)^(2/3))*SQRT(P187))</f>
        <v/>
      </c>
      <c r="AN187" s="14" t="str">
        <f>IF(A187="","",(1/Inputs!$B$9)*(PI()*(Inputs!$F$12/1000)^2/4)*((Inputs!$F$12/1000/4)^(2/3))*SQRT(P187))</f>
        <v/>
      </c>
      <c r="AO187" s="14" t="str">
        <f>IF(A187="","",(1/Inputs!$B$9)*(PI()*(Inputs!$F$13/1000)^2/4)*((Inputs!$F$13/1000/4)^(2/3))*SQRT(P187))</f>
        <v/>
      </c>
      <c r="AP187" s="14" t="str">
        <f>IF(A187="","",(1/Inputs!$B$9)*(PI()*(Inputs!$F$14/1000)^2/4)*((Inputs!$F$14/1000/4)^(2/3))*SQRT(P187))</f>
        <v/>
      </c>
      <c r="AQ187" s="14" t="str">
        <f t="shared" si="203"/>
        <v/>
      </c>
      <c r="AR187" s="14" t="str">
        <f t="shared" si="204"/>
        <v/>
      </c>
      <c r="AS187" s="17" t="str">
        <f>IF(A187="","",IF(J187="",Inputs!$B$18,J187))</f>
        <v/>
      </c>
      <c r="AT187" s="17" t="str">
        <f>IF(A187="","",IFERROR(_xludf.maxifs($AV$4:$AV$201,$D$4:$D$201,$A187),""))</f>
        <v/>
      </c>
      <c r="AU187" s="17" t="str">
        <f>IF(A187="","",IF(OR(E187="",Inputs!$B$23=""),"",E187/(Inputs!$B$23*60)))</f>
        <v/>
      </c>
      <c r="AV187" s="17" t="str">
        <f t="shared" si="205"/>
        <v/>
      </c>
      <c r="AW187" s="17" t="str">
        <f t="shared" si="206"/>
        <v/>
      </c>
      <c r="AX187" s="17" t="str">
        <f>IF(OR(T187="",P187=""),"",(1/Inputs!$B$9)*((T187/4)^(2/3))*SQRT(P187))</f>
        <v/>
      </c>
      <c r="AY187" s="17" t="str">
        <f>IF(A187="","",IF(AND(AW187="",AX187="",BA187=""),"",IF(OR(UPPER(TRIM(Inputs!$B$24))="MANNING",UPPER(TRIM(Inputs!$B$24))="M"),AX187,IF(OR(UPPER(TRIM(Inputs!$B$24))="PARTIAL",UPPER(TRIM(Inputs!$B$24))="P"),BA187,IF(OR(UPPER(TRIM(Inputs!$B$24))="MAX",UPPER(TRIM(Inputs!$B$24))="X"),MAX(IF(AW187="",0,AW187),IF(AX187="",0,AX187),IF(BA187="",0,BA187)),AW187)))))</f>
        <v/>
      </c>
      <c r="AZ187" s="17" t="str">
        <f t="shared" si="207"/>
        <v/>
      </c>
      <c r="BA187" s="17" t="str">
        <f t="shared" si="208"/>
        <v/>
      </c>
      <c r="BB187" s="14" t="str">
        <f t="shared" si="209"/>
        <v/>
      </c>
      <c r="BC187" s="14" t="str">
        <f>IF(OR(N187="",T187="",P187=""),"",IF(OR(T187="",P187="",(0.94*T187)="",T187&lt;=0,(0.94*T187)&lt;=0),"",(1/Inputs!$B$9)*((T187^2/8)*((2*ACOS(1-2*(0.94*T187)/T187))-SIN((2*ACOS(1-2*(0.94*T187)/T187)))))*((((T187^2/8)*((2*ACOS(1-2*(0.94*T187)/T187))-SIN((2*ACOS(1-2*(0.94*T187)/T187)))))/((T187/2)*((2*ACOS(1-2*(0.94*T187)/T187)))))^(2/3))*SQRT(P187)))</f>
        <v/>
      </c>
      <c r="BD187" s="14" t="str">
        <f t="shared" si="210"/>
        <v/>
      </c>
      <c r="BE187" s="14" t="str">
        <f t="shared" si="211"/>
        <v/>
      </c>
      <c r="BF187" s="14" t="str">
        <f t="shared" si="212"/>
        <v/>
      </c>
      <c r="BG187" s="14" t="str">
        <f>IF(OR(T187="",P187="",BF187="",T187&lt;=0,BF187&lt;=0),"",(1/Inputs!$B$9)*((T187^2/8)*((2*ACOS(1-2*BF187/T187))-SIN((2*ACOS(1-2*BF187/T187)))))*((((T187^2/8)*((2*ACOS(1-2*BF187/T187))-SIN((2*ACOS(1-2*BF187/T187)))))/((T187/2)*((2*ACOS(1-2*BF187/T187)))))^(2/3))*SQRT(P187))</f>
        <v/>
      </c>
      <c r="BH187" s="14" t="str">
        <f t="shared" si="213"/>
        <v/>
      </c>
      <c r="BI187" s="14" t="str">
        <f t="shared" si="214"/>
        <v/>
      </c>
      <c r="BJ187" s="14" t="str">
        <f t="shared" si="215"/>
        <v/>
      </c>
      <c r="BK187" s="14" t="str">
        <f>IF(OR(T187="",P187="",BJ187="",T187&lt;=0,BJ187&lt;=0),"",(1/Inputs!$B$9)*((T187^2/8)*((2*ACOS(1-2*BJ187/T187))-SIN((2*ACOS(1-2*BJ187/T187)))))*((((T187^2/8)*((2*ACOS(1-2*BJ187/T187))-SIN((2*ACOS(1-2*BJ187/T187)))))/((T187/2)*((2*ACOS(1-2*BJ187/T187)))))^(2/3))*SQRT(P187))</f>
        <v/>
      </c>
      <c r="BL187" s="14" t="str">
        <f t="shared" si="216"/>
        <v/>
      </c>
      <c r="BM187" s="14" t="str">
        <f t="shared" si="217"/>
        <v/>
      </c>
      <c r="BN187" s="14" t="str">
        <f t="shared" si="218"/>
        <v/>
      </c>
      <c r="BO187" s="14" t="str">
        <f>IF(OR(T187="",P187="",BN187="",T187&lt;=0,BN187&lt;=0),"",(1/Inputs!$B$9)*((T187^2/8)*((2*ACOS(1-2*BN187/T187))-SIN((2*ACOS(1-2*BN187/T187)))))*((((T187^2/8)*((2*ACOS(1-2*BN187/T187))-SIN((2*ACOS(1-2*BN187/T187)))))/((T187/2)*((2*ACOS(1-2*BN187/T187)))))^(2/3))*SQRT(P187))</f>
        <v/>
      </c>
      <c r="BP187" s="14" t="str">
        <f t="shared" si="219"/>
        <v/>
      </c>
      <c r="BQ187" s="14" t="str">
        <f t="shared" si="220"/>
        <v/>
      </c>
      <c r="BR187" s="14" t="str">
        <f t="shared" si="221"/>
        <v/>
      </c>
      <c r="BS187" s="14" t="str">
        <f>IF(OR(T187="",P187="",BR187="",T187&lt;=0,BR187&lt;=0),"",(1/Inputs!$B$9)*((T187^2/8)*((2*ACOS(1-2*BR187/T187))-SIN((2*ACOS(1-2*BR187/T187)))))*((((T187^2/8)*((2*ACOS(1-2*BR187/T187))-SIN((2*ACOS(1-2*BR187/T187)))))/((T187/2)*((2*ACOS(1-2*BR187/T187)))))^(2/3))*SQRT(P187))</f>
        <v/>
      </c>
      <c r="BT187" s="14" t="str">
        <f t="shared" si="222"/>
        <v/>
      </c>
      <c r="BU187" s="14" t="str">
        <f t="shared" si="223"/>
        <v/>
      </c>
      <c r="BV187" s="14" t="str">
        <f t="shared" si="224"/>
        <v/>
      </c>
      <c r="BW187" s="14" t="str">
        <f>IF(OR(T187="",P187="",BV187="",T187&lt;=0,BV187&lt;=0),"",(1/Inputs!$B$9)*((T187^2/8)*((2*ACOS(1-2*BV187/T187))-SIN((2*ACOS(1-2*BV187/T187)))))*((((T187^2/8)*((2*ACOS(1-2*BV187/T187))-SIN((2*ACOS(1-2*BV187/T187)))))/((T187/2)*((2*ACOS(1-2*BV187/T187)))))^(2/3))*SQRT(P187))</f>
        <v/>
      </c>
      <c r="BX187" s="14" t="str">
        <f t="shared" si="225"/>
        <v/>
      </c>
      <c r="BY187" s="14" t="str">
        <f t="shared" si="226"/>
        <v/>
      </c>
      <c r="BZ187" s="14" t="str">
        <f t="shared" si="227"/>
        <v/>
      </c>
      <c r="CA187" s="14" t="str">
        <f>IF(OR(T187="",P187="",BZ187="",T187&lt;=0,BZ187&lt;=0),"",(1/Inputs!$B$9)*((T187^2/8)*((2*ACOS(1-2*BZ187/T187))-SIN((2*ACOS(1-2*BZ187/T187)))))*((((T187^2/8)*((2*ACOS(1-2*BZ187/T187))-SIN((2*ACOS(1-2*BZ187/T187)))))/((T187/2)*((2*ACOS(1-2*BZ187/T187)))))^(2/3))*SQRT(P187))</f>
        <v/>
      </c>
      <c r="CB187" s="14" t="str">
        <f t="shared" si="228"/>
        <v/>
      </c>
      <c r="CC187" s="14" t="str">
        <f t="shared" si="229"/>
        <v/>
      </c>
      <c r="CD187" s="14" t="str">
        <f t="shared" si="230"/>
        <v/>
      </c>
      <c r="CE187" s="14" t="str">
        <f>IF(OR(T187="",P187="",CD187="",T187&lt;=0,CD187&lt;=0),"",(1/Inputs!$B$9)*((T187^2/8)*((2*ACOS(1-2*CD187/T187))-SIN((2*ACOS(1-2*CD187/T187)))))*((((T187^2/8)*((2*ACOS(1-2*CD187/T187))-SIN((2*ACOS(1-2*CD187/T187)))))/((T187/2)*((2*ACOS(1-2*CD187/T187)))))^(2/3))*SQRT(P187))</f>
        <v/>
      </c>
      <c r="CF187" s="14" t="str">
        <f t="shared" si="231"/>
        <v/>
      </c>
      <c r="CG187" s="14" t="str">
        <f t="shared" si="232"/>
        <v/>
      </c>
      <c r="CH187" s="14" t="str">
        <f t="shared" si="233"/>
        <v/>
      </c>
    </row>
    <row r="188" spans="1:86" x14ac:dyDescent="0.25">
      <c r="A188" s="14"/>
      <c r="B188" s="14"/>
      <c r="C188" s="14"/>
      <c r="D188" s="14"/>
      <c r="E188" s="44"/>
      <c r="F188" s="44"/>
      <c r="G188" s="44">
        <f>SUMIFS(CB_plan!$G:$G,CB_plan!$F:$F,$A188)</f>
        <v>0</v>
      </c>
      <c r="H188" s="44">
        <f t="shared" si="195"/>
        <v>0</v>
      </c>
      <c r="I188" s="14"/>
      <c r="J188" s="44"/>
      <c r="K188" s="44" t="str">
        <f>IF(A188="","",Inputs!$B$13/((IF(AV188="",Inputs!$B$18,AV188)+Inputs!$B$14)^Inputs!$B$15))</f>
        <v/>
      </c>
      <c r="L188" s="44" t="str">
        <f>IF(A188="","",IF(H188="","",0.000000278*IF(I188&lt;&gt;"",I188,IFERROR(SUMIFS(CB_plan!$H:$H,CB_plan!$F:$F,$A188)/SUMIFS(CB_plan!$G:$G,CB_plan!$F:$F,$A188),Inputs!$B$17))*H188*K188))</f>
        <v/>
      </c>
      <c r="M188" s="44" t="str">
        <f t="shared" si="196"/>
        <v/>
      </c>
      <c r="N188" s="44" t="str">
        <f>IF(A188="","",(L188+M188)*Inputs!$B$16)</f>
        <v/>
      </c>
      <c r="O188" s="44"/>
      <c r="P188" s="44" t="str">
        <f>IF(A188="","",IF(O188="",Inputs!$B$7,O188))</f>
        <v/>
      </c>
      <c r="Q188" s="14" t="str">
        <f>IF(A188="","",IF(N188/Inputs!$B$10&lt;=AG188,Inputs!$F$5,IF(N188/Inputs!$B$10&gt;AP188,"OVERSIZE",INDEX(Inputs!$F$5:$F$14,MATCH(N188/Inputs!$B$10,AG188:AP188,1)+1))))</f>
        <v/>
      </c>
      <c r="R188" s="14"/>
      <c r="S188" s="14" t="str">
        <f t="shared" si="197"/>
        <v/>
      </c>
      <c r="T188" s="44" t="str">
        <f t="shared" si="198"/>
        <v/>
      </c>
      <c r="U188" s="44" t="str">
        <f>IF(T188="","",(1/Inputs!$B$9)*(PI()*T188^2/4)*((T188/4)^(2/3))*SQRT(P188))</f>
        <v/>
      </c>
      <c r="V188" s="44" t="str">
        <f>IF(OR(U188="",N188=""),"",N188/(U188*Inputs!$B$10))</f>
        <v/>
      </c>
      <c r="W188" s="44" t="str">
        <f t="shared" si="199"/>
        <v/>
      </c>
      <c r="X188" s="44"/>
      <c r="Y188" s="44" t="str">
        <f>IF(A188="","",IF(A188=Inputs!$B$6,Inputs!$B$22,IF(D188="","",IFERROR(INDEX($Z$4:$Z$201,MATCH(D188,$A$4:$A$201,0))+IF(X188="",Inputs!$B$20,X188),""))))</f>
        <v/>
      </c>
      <c r="Z188" s="44" t="str">
        <f t="shared" si="200"/>
        <v/>
      </c>
      <c r="AA188" s="44" t="str">
        <f>IF(C188="","",IFERROR(INDEX(Noeuds_plan!$C$4:$C$200,MATCH(C188,Noeuds_plan!$A$4:$A$200,0)),""))</f>
        <v/>
      </c>
      <c r="AB188" s="44" t="str">
        <f>IF(B188="","",IFERROR(INDEX(Noeuds_plan!$C$4:$C$200,MATCH(B188,Noeuds_plan!$A$4:$A$200,0)),""))</f>
        <v/>
      </c>
      <c r="AC188" s="44" t="str">
        <f t="shared" si="201"/>
        <v/>
      </c>
      <c r="AD188" s="44" t="str">
        <f t="shared" si="202"/>
        <v/>
      </c>
      <c r="AE188" s="14" t="str">
        <f>IF(A188="","",IF(OR(V188&gt;1,AND(AY188&lt;&gt;"",AY188&lt;Inputs!$B$11),AND(AY188&lt;&gt;"",AY188&gt;Inputs!$B$12),AC188&lt;Inputs!$B$19,AD188&lt;Inputs!$B$19,P188&lt;Inputs!$B$7,P188&gt;Inputs!$B$8),"CHECK","OK"))</f>
        <v/>
      </c>
      <c r="AF188" s="14"/>
      <c r="AG188" s="14" t="str">
        <f>IF(A188="","",(1/Inputs!$B$9)*(PI()*(Inputs!$F$5/1000)^2/4)*((Inputs!$F$5/1000/4)^(2/3))*SQRT(P188))</f>
        <v/>
      </c>
      <c r="AH188" s="14" t="str">
        <f>IF(A188="","",(1/Inputs!$B$9)*(PI()*(Inputs!$F$6/1000)^2/4)*((Inputs!$F$6/1000/4)^(2/3))*SQRT(P188))</f>
        <v/>
      </c>
      <c r="AI188" s="14" t="str">
        <f>IF(A188="","",(1/Inputs!$B$9)*(PI()*(Inputs!$F$7/1000)^2/4)*((Inputs!$F$7/1000/4)^(2/3))*SQRT(P188))</f>
        <v/>
      </c>
      <c r="AJ188" s="14" t="str">
        <f>IF(A188="","",(1/Inputs!$B$9)*(PI()*(Inputs!$F$8/1000)^2/4)*((Inputs!$F$8/1000/4)^(2/3))*SQRT(P188))</f>
        <v/>
      </c>
      <c r="AK188" s="14" t="str">
        <f>IF(A188="","",(1/Inputs!$B$9)*(PI()*(Inputs!$F$9/1000)^2/4)*((Inputs!$F$9/1000/4)^(2/3))*SQRT(P188))</f>
        <v/>
      </c>
      <c r="AL188" s="14" t="str">
        <f>IF(A188="","",(1/Inputs!$B$9)*(PI()*(Inputs!$F$10/1000)^2/4)*((Inputs!$F$10/1000/4)^(2/3))*SQRT(P188))</f>
        <v/>
      </c>
      <c r="AM188" s="14" t="str">
        <f>IF(A188="","",(1/Inputs!$B$9)*(PI()*(Inputs!$F$11/1000)^2/4)*((Inputs!$F$11/1000/4)^(2/3))*SQRT(P188))</f>
        <v/>
      </c>
      <c r="AN188" s="14" t="str">
        <f>IF(A188="","",(1/Inputs!$B$9)*(PI()*(Inputs!$F$12/1000)^2/4)*((Inputs!$F$12/1000/4)^(2/3))*SQRT(P188))</f>
        <v/>
      </c>
      <c r="AO188" s="14" t="str">
        <f>IF(A188="","",(1/Inputs!$B$9)*(PI()*(Inputs!$F$13/1000)^2/4)*((Inputs!$F$13/1000/4)^(2/3))*SQRT(P188))</f>
        <v/>
      </c>
      <c r="AP188" s="14" t="str">
        <f>IF(A188="","",(1/Inputs!$B$9)*(PI()*(Inputs!$F$14/1000)^2/4)*((Inputs!$F$14/1000/4)^(2/3))*SQRT(P188))</f>
        <v/>
      </c>
      <c r="AQ188" s="14" t="str">
        <f t="shared" si="203"/>
        <v/>
      </c>
      <c r="AR188" s="14" t="str">
        <f t="shared" si="204"/>
        <v/>
      </c>
      <c r="AS188" s="17" t="str">
        <f>IF(A188="","",IF(J188="",Inputs!$B$18,J188))</f>
        <v/>
      </c>
      <c r="AT188" s="17" t="str">
        <f>IF(A188="","",IFERROR(_xludf.maxifs($AV$4:$AV$201,$D$4:$D$201,$A188),""))</f>
        <v/>
      </c>
      <c r="AU188" s="17" t="str">
        <f>IF(A188="","",IF(OR(E188="",Inputs!$B$23=""),"",E188/(Inputs!$B$23*60)))</f>
        <v/>
      </c>
      <c r="AV188" s="17" t="str">
        <f t="shared" si="205"/>
        <v/>
      </c>
      <c r="AW188" s="17" t="str">
        <f t="shared" si="206"/>
        <v/>
      </c>
      <c r="AX188" s="17" t="str">
        <f>IF(OR(T188="",P188=""),"",(1/Inputs!$B$9)*((T188/4)^(2/3))*SQRT(P188))</f>
        <v/>
      </c>
      <c r="AY188" s="17" t="str">
        <f>IF(A188="","",IF(AND(AW188="",AX188="",BA188=""),"",IF(OR(UPPER(TRIM(Inputs!$B$24))="MANNING",UPPER(TRIM(Inputs!$B$24))="M"),AX188,IF(OR(UPPER(TRIM(Inputs!$B$24))="PARTIAL",UPPER(TRIM(Inputs!$B$24))="P"),BA188,IF(OR(UPPER(TRIM(Inputs!$B$24))="MAX",UPPER(TRIM(Inputs!$B$24))="X"),MAX(IF(AW188="",0,AW188),IF(AX188="",0,AX188),IF(BA188="",0,BA188)),AW188)))))</f>
        <v/>
      </c>
      <c r="AZ188" s="17" t="str">
        <f t="shared" si="207"/>
        <v/>
      </c>
      <c r="BA188" s="17" t="str">
        <f t="shared" si="208"/>
        <v/>
      </c>
      <c r="BB188" s="14" t="str">
        <f t="shared" si="209"/>
        <v/>
      </c>
      <c r="BC188" s="14" t="str">
        <f>IF(OR(N188="",T188="",P188=""),"",IF(OR(T188="",P188="",(0.94*T188)="",T188&lt;=0,(0.94*T188)&lt;=0),"",(1/Inputs!$B$9)*((T188^2/8)*((2*ACOS(1-2*(0.94*T188)/T188))-SIN((2*ACOS(1-2*(0.94*T188)/T188)))))*((((T188^2/8)*((2*ACOS(1-2*(0.94*T188)/T188))-SIN((2*ACOS(1-2*(0.94*T188)/T188)))))/((T188/2)*((2*ACOS(1-2*(0.94*T188)/T188)))))^(2/3))*SQRT(P188)))</f>
        <v/>
      </c>
      <c r="BD188" s="14" t="str">
        <f t="shared" si="210"/>
        <v/>
      </c>
      <c r="BE188" s="14" t="str">
        <f t="shared" si="211"/>
        <v/>
      </c>
      <c r="BF188" s="14" t="str">
        <f t="shared" si="212"/>
        <v/>
      </c>
      <c r="BG188" s="14" t="str">
        <f>IF(OR(T188="",P188="",BF188="",T188&lt;=0,BF188&lt;=0),"",(1/Inputs!$B$9)*((T188^2/8)*((2*ACOS(1-2*BF188/T188))-SIN((2*ACOS(1-2*BF188/T188)))))*((((T188^2/8)*((2*ACOS(1-2*BF188/T188))-SIN((2*ACOS(1-2*BF188/T188)))))/((T188/2)*((2*ACOS(1-2*BF188/T188)))))^(2/3))*SQRT(P188))</f>
        <v/>
      </c>
      <c r="BH188" s="14" t="str">
        <f t="shared" si="213"/>
        <v/>
      </c>
      <c r="BI188" s="14" t="str">
        <f t="shared" si="214"/>
        <v/>
      </c>
      <c r="BJ188" s="14" t="str">
        <f t="shared" si="215"/>
        <v/>
      </c>
      <c r="BK188" s="14" t="str">
        <f>IF(OR(T188="",P188="",BJ188="",T188&lt;=0,BJ188&lt;=0),"",(1/Inputs!$B$9)*((T188^2/8)*((2*ACOS(1-2*BJ188/T188))-SIN((2*ACOS(1-2*BJ188/T188)))))*((((T188^2/8)*((2*ACOS(1-2*BJ188/T188))-SIN((2*ACOS(1-2*BJ188/T188)))))/((T188/2)*((2*ACOS(1-2*BJ188/T188)))))^(2/3))*SQRT(P188))</f>
        <v/>
      </c>
      <c r="BL188" s="14" t="str">
        <f t="shared" si="216"/>
        <v/>
      </c>
      <c r="BM188" s="14" t="str">
        <f t="shared" si="217"/>
        <v/>
      </c>
      <c r="BN188" s="14" t="str">
        <f t="shared" si="218"/>
        <v/>
      </c>
      <c r="BO188" s="14" t="str">
        <f>IF(OR(T188="",P188="",BN188="",T188&lt;=0,BN188&lt;=0),"",(1/Inputs!$B$9)*((T188^2/8)*((2*ACOS(1-2*BN188/T188))-SIN((2*ACOS(1-2*BN188/T188)))))*((((T188^2/8)*((2*ACOS(1-2*BN188/T188))-SIN((2*ACOS(1-2*BN188/T188)))))/((T188/2)*((2*ACOS(1-2*BN188/T188)))))^(2/3))*SQRT(P188))</f>
        <v/>
      </c>
      <c r="BP188" s="14" t="str">
        <f t="shared" si="219"/>
        <v/>
      </c>
      <c r="BQ188" s="14" t="str">
        <f t="shared" si="220"/>
        <v/>
      </c>
      <c r="BR188" s="14" t="str">
        <f t="shared" si="221"/>
        <v/>
      </c>
      <c r="BS188" s="14" t="str">
        <f>IF(OR(T188="",P188="",BR188="",T188&lt;=0,BR188&lt;=0),"",(1/Inputs!$B$9)*((T188^2/8)*((2*ACOS(1-2*BR188/T188))-SIN((2*ACOS(1-2*BR188/T188)))))*((((T188^2/8)*((2*ACOS(1-2*BR188/T188))-SIN((2*ACOS(1-2*BR188/T188)))))/((T188/2)*((2*ACOS(1-2*BR188/T188)))))^(2/3))*SQRT(P188))</f>
        <v/>
      </c>
      <c r="BT188" s="14" t="str">
        <f t="shared" si="222"/>
        <v/>
      </c>
      <c r="BU188" s="14" t="str">
        <f t="shared" si="223"/>
        <v/>
      </c>
      <c r="BV188" s="14" t="str">
        <f t="shared" si="224"/>
        <v/>
      </c>
      <c r="BW188" s="14" t="str">
        <f>IF(OR(T188="",P188="",BV188="",T188&lt;=0,BV188&lt;=0),"",(1/Inputs!$B$9)*((T188^2/8)*((2*ACOS(1-2*BV188/T188))-SIN((2*ACOS(1-2*BV188/T188)))))*((((T188^2/8)*((2*ACOS(1-2*BV188/T188))-SIN((2*ACOS(1-2*BV188/T188)))))/((T188/2)*((2*ACOS(1-2*BV188/T188)))))^(2/3))*SQRT(P188))</f>
        <v/>
      </c>
      <c r="BX188" s="14" t="str">
        <f t="shared" si="225"/>
        <v/>
      </c>
      <c r="BY188" s="14" t="str">
        <f t="shared" si="226"/>
        <v/>
      </c>
      <c r="BZ188" s="14" t="str">
        <f t="shared" si="227"/>
        <v/>
      </c>
      <c r="CA188" s="14" t="str">
        <f>IF(OR(T188="",P188="",BZ188="",T188&lt;=0,BZ188&lt;=0),"",(1/Inputs!$B$9)*((T188^2/8)*((2*ACOS(1-2*BZ188/T188))-SIN((2*ACOS(1-2*BZ188/T188)))))*((((T188^2/8)*((2*ACOS(1-2*BZ188/T188))-SIN((2*ACOS(1-2*BZ188/T188)))))/((T188/2)*((2*ACOS(1-2*BZ188/T188)))))^(2/3))*SQRT(P188))</f>
        <v/>
      </c>
      <c r="CB188" s="14" t="str">
        <f t="shared" si="228"/>
        <v/>
      </c>
      <c r="CC188" s="14" t="str">
        <f t="shared" si="229"/>
        <v/>
      </c>
      <c r="CD188" s="14" t="str">
        <f t="shared" si="230"/>
        <v/>
      </c>
      <c r="CE188" s="14" t="str">
        <f>IF(OR(T188="",P188="",CD188="",T188&lt;=0,CD188&lt;=0),"",(1/Inputs!$B$9)*((T188^2/8)*((2*ACOS(1-2*CD188/T188))-SIN((2*ACOS(1-2*CD188/T188)))))*((((T188^2/8)*((2*ACOS(1-2*CD188/T188))-SIN((2*ACOS(1-2*CD188/T188)))))/((T188/2)*((2*ACOS(1-2*CD188/T188)))))^(2/3))*SQRT(P188))</f>
        <v/>
      </c>
      <c r="CF188" s="14" t="str">
        <f t="shared" si="231"/>
        <v/>
      </c>
      <c r="CG188" s="14" t="str">
        <f t="shared" si="232"/>
        <v/>
      </c>
      <c r="CH188" s="14" t="str">
        <f t="shared" si="233"/>
        <v/>
      </c>
    </row>
    <row r="189" spans="1:86" x14ac:dyDescent="0.25">
      <c r="A189" s="14"/>
      <c r="B189" s="14"/>
      <c r="C189" s="14"/>
      <c r="D189" s="14"/>
      <c r="E189" s="44"/>
      <c r="F189" s="44"/>
      <c r="G189" s="44">
        <f>SUMIFS(CB_plan!$G:$G,CB_plan!$F:$F,$A189)</f>
        <v>0</v>
      </c>
      <c r="H189" s="44">
        <f t="shared" si="195"/>
        <v>0</v>
      </c>
      <c r="I189" s="14"/>
      <c r="J189" s="44"/>
      <c r="K189" s="44" t="str">
        <f>IF(A189="","",Inputs!$B$13/((IF(AV189="",Inputs!$B$18,AV189)+Inputs!$B$14)^Inputs!$B$15))</f>
        <v/>
      </c>
      <c r="L189" s="44" t="str">
        <f>IF(A189="","",IF(H189="","",0.000000278*IF(I189&lt;&gt;"",I189,IFERROR(SUMIFS(CB_plan!$H:$H,CB_plan!$F:$F,$A189)/SUMIFS(CB_plan!$G:$G,CB_plan!$F:$F,$A189),Inputs!$B$17))*H189*K189))</f>
        <v/>
      </c>
      <c r="M189" s="44" t="str">
        <f t="shared" si="196"/>
        <v/>
      </c>
      <c r="N189" s="44" t="str">
        <f>IF(A189="","",(L189+M189)*Inputs!$B$16)</f>
        <v/>
      </c>
      <c r="O189" s="44"/>
      <c r="P189" s="44" t="str">
        <f>IF(A189="","",IF(O189="",Inputs!$B$7,O189))</f>
        <v/>
      </c>
      <c r="Q189" s="14" t="str">
        <f>IF(A189="","",IF(N189/Inputs!$B$10&lt;=AG189,Inputs!$F$5,IF(N189/Inputs!$B$10&gt;AP189,"OVERSIZE",INDEX(Inputs!$F$5:$F$14,MATCH(N189/Inputs!$B$10,AG189:AP189,1)+1))))</f>
        <v/>
      </c>
      <c r="R189" s="14"/>
      <c r="S189" s="14" t="str">
        <f t="shared" si="197"/>
        <v/>
      </c>
      <c r="T189" s="44" t="str">
        <f t="shared" si="198"/>
        <v/>
      </c>
      <c r="U189" s="44" t="str">
        <f>IF(T189="","",(1/Inputs!$B$9)*(PI()*T189^2/4)*((T189/4)^(2/3))*SQRT(P189))</f>
        <v/>
      </c>
      <c r="V189" s="44" t="str">
        <f>IF(OR(U189="",N189=""),"",N189/(U189*Inputs!$B$10))</f>
        <v/>
      </c>
      <c r="W189" s="44" t="str">
        <f t="shared" si="199"/>
        <v/>
      </c>
      <c r="X189" s="44"/>
      <c r="Y189" s="44" t="str">
        <f>IF(A189="","",IF(A189=Inputs!$B$6,Inputs!$B$22,IF(D189="","",IFERROR(INDEX($Z$4:$Z$201,MATCH(D189,$A$4:$A$201,0))+IF(X189="",Inputs!$B$20,X189),""))))</f>
        <v/>
      </c>
      <c r="Z189" s="44" t="str">
        <f t="shared" si="200"/>
        <v/>
      </c>
      <c r="AA189" s="44" t="str">
        <f>IF(C189="","",IFERROR(INDEX(Noeuds_plan!$C$4:$C$200,MATCH(C189,Noeuds_plan!$A$4:$A$200,0)),""))</f>
        <v/>
      </c>
      <c r="AB189" s="44" t="str">
        <f>IF(B189="","",IFERROR(INDEX(Noeuds_plan!$C$4:$C$200,MATCH(B189,Noeuds_plan!$A$4:$A$200,0)),""))</f>
        <v/>
      </c>
      <c r="AC189" s="44" t="str">
        <f t="shared" si="201"/>
        <v/>
      </c>
      <c r="AD189" s="44" t="str">
        <f t="shared" si="202"/>
        <v/>
      </c>
      <c r="AE189" s="14" t="str">
        <f>IF(A189="","",IF(OR(V189&gt;1,AND(AY189&lt;&gt;"",AY189&lt;Inputs!$B$11),AND(AY189&lt;&gt;"",AY189&gt;Inputs!$B$12),AC189&lt;Inputs!$B$19,AD189&lt;Inputs!$B$19,P189&lt;Inputs!$B$7,P189&gt;Inputs!$B$8),"CHECK","OK"))</f>
        <v/>
      </c>
      <c r="AF189" s="14"/>
      <c r="AG189" s="14" t="str">
        <f>IF(A189="","",(1/Inputs!$B$9)*(PI()*(Inputs!$F$5/1000)^2/4)*((Inputs!$F$5/1000/4)^(2/3))*SQRT(P189))</f>
        <v/>
      </c>
      <c r="AH189" s="14" t="str">
        <f>IF(A189="","",(1/Inputs!$B$9)*(PI()*(Inputs!$F$6/1000)^2/4)*((Inputs!$F$6/1000/4)^(2/3))*SQRT(P189))</f>
        <v/>
      </c>
      <c r="AI189" s="14" t="str">
        <f>IF(A189="","",(1/Inputs!$B$9)*(PI()*(Inputs!$F$7/1000)^2/4)*((Inputs!$F$7/1000/4)^(2/3))*SQRT(P189))</f>
        <v/>
      </c>
      <c r="AJ189" s="14" t="str">
        <f>IF(A189="","",(1/Inputs!$B$9)*(PI()*(Inputs!$F$8/1000)^2/4)*((Inputs!$F$8/1000/4)^(2/3))*SQRT(P189))</f>
        <v/>
      </c>
      <c r="AK189" s="14" t="str">
        <f>IF(A189="","",(1/Inputs!$B$9)*(PI()*(Inputs!$F$9/1000)^2/4)*((Inputs!$F$9/1000/4)^(2/3))*SQRT(P189))</f>
        <v/>
      </c>
      <c r="AL189" s="14" t="str">
        <f>IF(A189="","",(1/Inputs!$B$9)*(PI()*(Inputs!$F$10/1000)^2/4)*((Inputs!$F$10/1000/4)^(2/3))*SQRT(P189))</f>
        <v/>
      </c>
      <c r="AM189" s="14" t="str">
        <f>IF(A189="","",(1/Inputs!$B$9)*(PI()*(Inputs!$F$11/1000)^2/4)*((Inputs!$F$11/1000/4)^(2/3))*SQRT(P189))</f>
        <v/>
      </c>
      <c r="AN189" s="14" t="str">
        <f>IF(A189="","",(1/Inputs!$B$9)*(PI()*(Inputs!$F$12/1000)^2/4)*((Inputs!$F$12/1000/4)^(2/3))*SQRT(P189))</f>
        <v/>
      </c>
      <c r="AO189" s="14" t="str">
        <f>IF(A189="","",(1/Inputs!$B$9)*(PI()*(Inputs!$F$13/1000)^2/4)*((Inputs!$F$13/1000/4)^(2/3))*SQRT(P189))</f>
        <v/>
      </c>
      <c r="AP189" s="14" t="str">
        <f>IF(A189="","",(1/Inputs!$B$9)*(PI()*(Inputs!$F$14/1000)^2/4)*((Inputs!$F$14/1000/4)^(2/3))*SQRT(P189))</f>
        <v/>
      </c>
      <c r="AQ189" s="14" t="str">
        <f t="shared" si="203"/>
        <v/>
      </c>
      <c r="AR189" s="14" t="str">
        <f t="shared" si="204"/>
        <v/>
      </c>
      <c r="AS189" s="17" t="str">
        <f>IF(A189="","",IF(J189="",Inputs!$B$18,J189))</f>
        <v/>
      </c>
      <c r="AT189" s="17" t="str">
        <f>IF(A189="","",IFERROR(_xludf.maxifs($AV$4:$AV$201,$D$4:$D$201,$A189),""))</f>
        <v/>
      </c>
      <c r="AU189" s="17" t="str">
        <f>IF(A189="","",IF(OR(E189="",Inputs!$B$23=""),"",E189/(Inputs!$B$23*60)))</f>
        <v/>
      </c>
      <c r="AV189" s="17" t="str">
        <f t="shared" si="205"/>
        <v/>
      </c>
      <c r="AW189" s="17" t="str">
        <f t="shared" si="206"/>
        <v/>
      </c>
      <c r="AX189" s="17" t="str">
        <f>IF(OR(T189="",P189=""),"",(1/Inputs!$B$9)*((T189/4)^(2/3))*SQRT(P189))</f>
        <v/>
      </c>
      <c r="AY189" s="17" t="str">
        <f>IF(A189="","",IF(AND(AW189="",AX189="",BA189=""),"",IF(OR(UPPER(TRIM(Inputs!$B$24))="MANNING",UPPER(TRIM(Inputs!$B$24))="M"),AX189,IF(OR(UPPER(TRIM(Inputs!$B$24))="PARTIAL",UPPER(TRIM(Inputs!$B$24))="P"),BA189,IF(OR(UPPER(TRIM(Inputs!$B$24))="MAX",UPPER(TRIM(Inputs!$B$24))="X"),MAX(IF(AW189="",0,AW189),IF(AX189="",0,AX189),IF(BA189="",0,BA189)),AW189)))))</f>
        <v/>
      </c>
      <c r="AZ189" s="17" t="str">
        <f t="shared" si="207"/>
        <v/>
      </c>
      <c r="BA189" s="17" t="str">
        <f t="shared" si="208"/>
        <v/>
      </c>
      <c r="BB189" s="14" t="str">
        <f t="shared" si="209"/>
        <v/>
      </c>
      <c r="BC189" s="14" t="str">
        <f>IF(OR(N189="",T189="",P189=""),"",IF(OR(T189="",P189="",(0.94*T189)="",T189&lt;=0,(0.94*T189)&lt;=0),"",(1/Inputs!$B$9)*((T189^2/8)*((2*ACOS(1-2*(0.94*T189)/T189))-SIN((2*ACOS(1-2*(0.94*T189)/T189)))))*((((T189^2/8)*((2*ACOS(1-2*(0.94*T189)/T189))-SIN((2*ACOS(1-2*(0.94*T189)/T189)))))/((T189/2)*((2*ACOS(1-2*(0.94*T189)/T189)))))^(2/3))*SQRT(P189)))</f>
        <v/>
      </c>
      <c r="BD189" s="14" t="str">
        <f t="shared" si="210"/>
        <v/>
      </c>
      <c r="BE189" s="14" t="str">
        <f t="shared" si="211"/>
        <v/>
      </c>
      <c r="BF189" s="14" t="str">
        <f t="shared" si="212"/>
        <v/>
      </c>
      <c r="BG189" s="14" t="str">
        <f>IF(OR(T189="",P189="",BF189="",T189&lt;=0,BF189&lt;=0),"",(1/Inputs!$B$9)*((T189^2/8)*((2*ACOS(1-2*BF189/T189))-SIN((2*ACOS(1-2*BF189/T189)))))*((((T189^2/8)*((2*ACOS(1-2*BF189/T189))-SIN((2*ACOS(1-2*BF189/T189)))))/((T189/2)*((2*ACOS(1-2*BF189/T189)))))^(2/3))*SQRT(P189))</f>
        <v/>
      </c>
      <c r="BH189" s="14" t="str">
        <f t="shared" si="213"/>
        <v/>
      </c>
      <c r="BI189" s="14" t="str">
        <f t="shared" si="214"/>
        <v/>
      </c>
      <c r="BJ189" s="14" t="str">
        <f t="shared" si="215"/>
        <v/>
      </c>
      <c r="BK189" s="14" t="str">
        <f>IF(OR(T189="",P189="",BJ189="",T189&lt;=0,BJ189&lt;=0),"",(1/Inputs!$B$9)*((T189^2/8)*((2*ACOS(1-2*BJ189/T189))-SIN((2*ACOS(1-2*BJ189/T189)))))*((((T189^2/8)*((2*ACOS(1-2*BJ189/T189))-SIN((2*ACOS(1-2*BJ189/T189)))))/((T189/2)*((2*ACOS(1-2*BJ189/T189)))))^(2/3))*SQRT(P189))</f>
        <v/>
      </c>
      <c r="BL189" s="14" t="str">
        <f t="shared" si="216"/>
        <v/>
      </c>
      <c r="BM189" s="14" t="str">
        <f t="shared" si="217"/>
        <v/>
      </c>
      <c r="BN189" s="14" t="str">
        <f t="shared" si="218"/>
        <v/>
      </c>
      <c r="BO189" s="14" t="str">
        <f>IF(OR(T189="",P189="",BN189="",T189&lt;=0,BN189&lt;=0),"",(1/Inputs!$B$9)*((T189^2/8)*((2*ACOS(1-2*BN189/T189))-SIN((2*ACOS(1-2*BN189/T189)))))*((((T189^2/8)*((2*ACOS(1-2*BN189/T189))-SIN((2*ACOS(1-2*BN189/T189)))))/((T189/2)*((2*ACOS(1-2*BN189/T189)))))^(2/3))*SQRT(P189))</f>
        <v/>
      </c>
      <c r="BP189" s="14" t="str">
        <f t="shared" si="219"/>
        <v/>
      </c>
      <c r="BQ189" s="14" t="str">
        <f t="shared" si="220"/>
        <v/>
      </c>
      <c r="BR189" s="14" t="str">
        <f t="shared" si="221"/>
        <v/>
      </c>
      <c r="BS189" s="14" t="str">
        <f>IF(OR(T189="",P189="",BR189="",T189&lt;=0,BR189&lt;=0),"",(1/Inputs!$B$9)*((T189^2/8)*((2*ACOS(1-2*BR189/T189))-SIN((2*ACOS(1-2*BR189/T189)))))*((((T189^2/8)*((2*ACOS(1-2*BR189/T189))-SIN((2*ACOS(1-2*BR189/T189)))))/((T189/2)*((2*ACOS(1-2*BR189/T189)))))^(2/3))*SQRT(P189))</f>
        <v/>
      </c>
      <c r="BT189" s="14" t="str">
        <f t="shared" si="222"/>
        <v/>
      </c>
      <c r="BU189" s="14" t="str">
        <f t="shared" si="223"/>
        <v/>
      </c>
      <c r="BV189" s="14" t="str">
        <f t="shared" si="224"/>
        <v/>
      </c>
      <c r="BW189" s="14" t="str">
        <f>IF(OR(T189="",P189="",BV189="",T189&lt;=0,BV189&lt;=0),"",(1/Inputs!$B$9)*((T189^2/8)*((2*ACOS(1-2*BV189/T189))-SIN((2*ACOS(1-2*BV189/T189)))))*((((T189^2/8)*((2*ACOS(1-2*BV189/T189))-SIN((2*ACOS(1-2*BV189/T189)))))/((T189/2)*((2*ACOS(1-2*BV189/T189)))))^(2/3))*SQRT(P189))</f>
        <v/>
      </c>
      <c r="BX189" s="14" t="str">
        <f t="shared" si="225"/>
        <v/>
      </c>
      <c r="BY189" s="14" t="str">
        <f t="shared" si="226"/>
        <v/>
      </c>
      <c r="BZ189" s="14" t="str">
        <f t="shared" si="227"/>
        <v/>
      </c>
      <c r="CA189" s="14" t="str">
        <f>IF(OR(T189="",P189="",BZ189="",T189&lt;=0,BZ189&lt;=0),"",(1/Inputs!$B$9)*((T189^2/8)*((2*ACOS(1-2*BZ189/T189))-SIN((2*ACOS(1-2*BZ189/T189)))))*((((T189^2/8)*((2*ACOS(1-2*BZ189/T189))-SIN((2*ACOS(1-2*BZ189/T189)))))/((T189/2)*((2*ACOS(1-2*BZ189/T189)))))^(2/3))*SQRT(P189))</f>
        <v/>
      </c>
      <c r="CB189" s="14" t="str">
        <f t="shared" si="228"/>
        <v/>
      </c>
      <c r="CC189" s="14" t="str">
        <f t="shared" si="229"/>
        <v/>
      </c>
      <c r="CD189" s="14" t="str">
        <f t="shared" si="230"/>
        <v/>
      </c>
      <c r="CE189" s="14" t="str">
        <f>IF(OR(T189="",P189="",CD189="",T189&lt;=0,CD189&lt;=0),"",(1/Inputs!$B$9)*((T189^2/8)*((2*ACOS(1-2*CD189/T189))-SIN((2*ACOS(1-2*CD189/T189)))))*((((T189^2/8)*((2*ACOS(1-2*CD189/T189))-SIN((2*ACOS(1-2*CD189/T189)))))/((T189/2)*((2*ACOS(1-2*CD189/T189)))))^(2/3))*SQRT(P189))</f>
        <v/>
      </c>
      <c r="CF189" s="14" t="str">
        <f t="shared" si="231"/>
        <v/>
      </c>
      <c r="CG189" s="14" t="str">
        <f t="shared" si="232"/>
        <v/>
      </c>
      <c r="CH189" s="14" t="str">
        <f t="shared" si="233"/>
        <v/>
      </c>
    </row>
    <row r="190" spans="1:86" x14ac:dyDescent="0.25">
      <c r="A190" s="14"/>
      <c r="B190" s="14"/>
      <c r="C190" s="14"/>
      <c r="D190" s="14"/>
      <c r="E190" s="44"/>
      <c r="F190" s="44"/>
      <c r="G190" s="44">
        <f>SUMIFS(CB_plan!$G:$G,CB_plan!$F:$F,$A190)</f>
        <v>0</v>
      </c>
      <c r="H190" s="44">
        <f t="shared" si="195"/>
        <v>0</v>
      </c>
      <c r="I190" s="14"/>
      <c r="J190" s="44"/>
      <c r="K190" s="44" t="str">
        <f>IF(A190="","",Inputs!$B$13/((IF(AV190="",Inputs!$B$18,AV190)+Inputs!$B$14)^Inputs!$B$15))</f>
        <v/>
      </c>
      <c r="L190" s="44" t="str">
        <f>IF(A190="","",IF(H190="","",0.000000278*IF(I190&lt;&gt;"",I190,IFERROR(SUMIFS(CB_plan!$H:$H,CB_plan!$F:$F,$A190)/SUMIFS(CB_plan!$G:$G,CB_plan!$F:$F,$A190),Inputs!$B$17))*H190*K190))</f>
        <v/>
      </c>
      <c r="M190" s="44" t="str">
        <f t="shared" si="196"/>
        <v/>
      </c>
      <c r="N190" s="44" t="str">
        <f>IF(A190="","",(L190+M190)*Inputs!$B$16)</f>
        <v/>
      </c>
      <c r="O190" s="44"/>
      <c r="P190" s="44" t="str">
        <f>IF(A190="","",IF(O190="",Inputs!$B$7,O190))</f>
        <v/>
      </c>
      <c r="Q190" s="14" t="str">
        <f>IF(A190="","",IF(N190/Inputs!$B$10&lt;=AG190,Inputs!$F$5,IF(N190/Inputs!$B$10&gt;AP190,"OVERSIZE",INDEX(Inputs!$F$5:$F$14,MATCH(N190/Inputs!$B$10,AG190:AP190,1)+1))))</f>
        <v/>
      </c>
      <c r="R190" s="14"/>
      <c r="S190" s="14" t="str">
        <f t="shared" si="197"/>
        <v/>
      </c>
      <c r="T190" s="44" t="str">
        <f t="shared" si="198"/>
        <v/>
      </c>
      <c r="U190" s="44" t="str">
        <f>IF(T190="","",(1/Inputs!$B$9)*(PI()*T190^2/4)*((T190/4)^(2/3))*SQRT(P190))</f>
        <v/>
      </c>
      <c r="V190" s="44" t="str">
        <f>IF(OR(U190="",N190=""),"",N190/(U190*Inputs!$B$10))</f>
        <v/>
      </c>
      <c r="W190" s="44" t="str">
        <f t="shared" si="199"/>
        <v/>
      </c>
      <c r="X190" s="44"/>
      <c r="Y190" s="44" t="str">
        <f>IF(A190="","",IF(A190=Inputs!$B$6,Inputs!$B$22,IF(D190="","",IFERROR(INDEX($Z$4:$Z$201,MATCH(D190,$A$4:$A$201,0))+IF(X190="",Inputs!$B$20,X190),""))))</f>
        <v/>
      </c>
      <c r="Z190" s="44" t="str">
        <f t="shared" si="200"/>
        <v/>
      </c>
      <c r="AA190" s="44" t="str">
        <f>IF(C190="","",IFERROR(INDEX(Noeuds_plan!$C$4:$C$200,MATCH(C190,Noeuds_plan!$A$4:$A$200,0)),""))</f>
        <v/>
      </c>
      <c r="AB190" s="44" t="str">
        <f>IF(B190="","",IFERROR(INDEX(Noeuds_plan!$C$4:$C$200,MATCH(B190,Noeuds_plan!$A$4:$A$200,0)),""))</f>
        <v/>
      </c>
      <c r="AC190" s="44" t="str">
        <f t="shared" si="201"/>
        <v/>
      </c>
      <c r="AD190" s="44" t="str">
        <f t="shared" si="202"/>
        <v/>
      </c>
      <c r="AE190" s="14" t="str">
        <f>IF(A190="","",IF(OR(V190&gt;1,AND(AY190&lt;&gt;"",AY190&lt;Inputs!$B$11),AND(AY190&lt;&gt;"",AY190&gt;Inputs!$B$12),AC190&lt;Inputs!$B$19,AD190&lt;Inputs!$B$19,P190&lt;Inputs!$B$7,P190&gt;Inputs!$B$8),"CHECK","OK"))</f>
        <v/>
      </c>
      <c r="AF190" s="14"/>
      <c r="AG190" s="14" t="str">
        <f>IF(A190="","",(1/Inputs!$B$9)*(PI()*(Inputs!$F$5/1000)^2/4)*((Inputs!$F$5/1000/4)^(2/3))*SQRT(P190))</f>
        <v/>
      </c>
      <c r="AH190" s="14" t="str">
        <f>IF(A190="","",(1/Inputs!$B$9)*(PI()*(Inputs!$F$6/1000)^2/4)*((Inputs!$F$6/1000/4)^(2/3))*SQRT(P190))</f>
        <v/>
      </c>
      <c r="AI190" s="14" t="str">
        <f>IF(A190="","",(1/Inputs!$B$9)*(PI()*(Inputs!$F$7/1000)^2/4)*((Inputs!$F$7/1000/4)^(2/3))*SQRT(P190))</f>
        <v/>
      </c>
      <c r="AJ190" s="14" t="str">
        <f>IF(A190="","",(1/Inputs!$B$9)*(PI()*(Inputs!$F$8/1000)^2/4)*((Inputs!$F$8/1000/4)^(2/3))*SQRT(P190))</f>
        <v/>
      </c>
      <c r="AK190" s="14" t="str">
        <f>IF(A190="","",(1/Inputs!$B$9)*(PI()*(Inputs!$F$9/1000)^2/4)*((Inputs!$F$9/1000/4)^(2/3))*SQRT(P190))</f>
        <v/>
      </c>
      <c r="AL190" s="14" t="str">
        <f>IF(A190="","",(1/Inputs!$B$9)*(PI()*(Inputs!$F$10/1000)^2/4)*((Inputs!$F$10/1000/4)^(2/3))*SQRT(P190))</f>
        <v/>
      </c>
      <c r="AM190" s="14" t="str">
        <f>IF(A190="","",(1/Inputs!$B$9)*(PI()*(Inputs!$F$11/1000)^2/4)*((Inputs!$F$11/1000/4)^(2/3))*SQRT(P190))</f>
        <v/>
      </c>
      <c r="AN190" s="14" t="str">
        <f>IF(A190="","",(1/Inputs!$B$9)*(PI()*(Inputs!$F$12/1000)^2/4)*((Inputs!$F$12/1000/4)^(2/3))*SQRT(P190))</f>
        <v/>
      </c>
      <c r="AO190" s="14" t="str">
        <f>IF(A190="","",(1/Inputs!$B$9)*(PI()*(Inputs!$F$13/1000)^2/4)*((Inputs!$F$13/1000/4)^(2/3))*SQRT(P190))</f>
        <v/>
      </c>
      <c r="AP190" s="14" t="str">
        <f>IF(A190="","",(1/Inputs!$B$9)*(PI()*(Inputs!$F$14/1000)^2/4)*((Inputs!$F$14/1000/4)^(2/3))*SQRT(P190))</f>
        <v/>
      </c>
      <c r="AQ190" s="14" t="str">
        <f t="shared" si="203"/>
        <v/>
      </c>
      <c r="AR190" s="14" t="str">
        <f t="shared" si="204"/>
        <v/>
      </c>
      <c r="AS190" s="17" t="str">
        <f>IF(A190="","",IF(J190="",Inputs!$B$18,J190))</f>
        <v/>
      </c>
      <c r="AT190" s="17" t="str">
        <f>IF(A190="","",IFERROR(_xludf.maxifs($AV$4:$AV$201,$D$4:$D$201,$A190),""))</f>
        <v/>
      </c>
      <c r="AU190" s="17" t="str">
        <f>IF(A190="","",IF(OR(E190="",Inputs!$B$23=""),"",E190/(Inputs!$B$23*60)))</f>
        <v/>
      </c>
      <c r="AV190" s="17" t="str">
        <f t="shared" si="205"/>
        <v/>
      </c>
      <c r="AW190" s="17" t="str">
        <f t="shared" si="206"/>
        <v/>
      </c>
      <c r="AX190" s="17" t="str">
        <f>IF(OR(T190="",P190=""),"",(1/Inputs!$B$9)*((T190/4)^(2/3))*SQRT(P190))</f>
        <v/>
      </c>
      <c r="AY190" s="17" t="str">
        <f>IF(A190="","",IF(AND(AW190="",AX190="",BA190=""),"",IF(OR(UPPER(TRIM(Inputs!$B$24))="MANNING",UPPER(TRIM(Inputs!$B$24))="M"),AX190,IF(OR(UPPER(TRIM(Inputs!$B$24))="PARTIAL",UPPER(TRIM(Inputs!$B$24))="P"),BA190,IF(OR(UPPER(TRIM(Inputs!$B$24))="MAX",UPPER(TRIM(Inputs!$B$24))="X"),MAX(IF(AW190="",0,AW190),IF(AX190="",0,AX190),IF(BA190="",0,BA190)),AW190)))))</f>
        <v/>
      </c>
      <c r="AZ190" s="17" t="str">
        <f t="shared" si="207"/>
        <v/>
      </c>
      <c r="BA190" s="17" t="str">
        <f t="shared" si="208"/>
        <v/>
      </c>
      <c r="BB190" s="14" t="str">
        <f t="shared" si="209"/>
        <v/>
      </c>
      <c r="BC190" s="14" t="str">
        <f>IF(OR(N190="",T190="",P190=""),"",IF(OR(T190="",P190="",(0.94*T190)="",T190&lt;=0,(0.94*T190)&lt;=0),"",(1/Inputs!$B$9)*((T190^2/8)*((2*ACOS(1-2*(0.94*T190)/T190))-SIN((2*ACOS(1-2*(0.94*T190)/T190)))))*((((T190^2/8)*((2*ACOS(1-2*(0.94*T190)/T190))-SIN((2*ACOS(1-2*(0.94*T190)/T190)))))/((T190/2)*((2*ACOS(1-2*(0.94*T190)/T190)))))^(2/3))*SQRT(P190)))</f>
        <v/>
      </c>
      <c r="BD190" s="14" t="str">
        <f t="shared" si="210"/>
        <v/>
      </c>
      <c r="BE190" s="14" t="str">
        <f t="shared" si="211"/>
        <v/>
      </c>
      <c r="BF190" s="14" t="str">
        <f t="shared" si="212"/>
        <v/>
      </c>
      <c r="BG190" s="14" t="str">
        <f>IF(OR(T190="",P190="",BF190="",T190&lt;=0,BF190&lt;=0),"",(1/Inputs!$B$9)*((T190^2/8)*((2*ACOS(1-2*BF190/T190))-SIN((2*ACOS(1-2*BF190/T190)))))*((((T190^2/8)*((2*ACOS(1-2*BF190/T190))-SIN((2*ACOS(1-2*BF190/T190)))))/((T190/2)*((2*ACOS(1-2*BF190/T190)))))^(2/3))*SQRT(P190))</f>
        <v/>
      </c>
      <c r="BH190" s="14" t="str">
        <f t="shared" si="213"/>
        <v/>
      </c>
      <c r="BI190" s="14" t="str">
        <f t="shared" si="214"/>
        <v/>
      </c>
      <c r="BJ190" s="14" t="str">
        <f t="shared" si="215"/>
        <v/>
      </c>
      <c r="BK190" s="14" t="str">
        <f>IF(OR(T190="",P190="",BJ190="",T190&lt;=0,BJ190&lt;=0),"",(1/Inputs!$B$9)*((T190^2/8)*((2*ACOS(1-2*BJ190/T190))-SIN((2*ACOS(1-2*BJ190/T190)))))*((((T190^2/8)*((2*ACOS(1-2*BJ190/T190))-SIN((2*ACOS(1-2*BJ190/T190)))))/((T190/2)*((2*ACOS(1-2*BJ190/T190)))))^(2/3))*SQRT(P190))</f>
        <v/>
      </c>
      <c r="BL190" s="14" t="str">
        <f t="shared" si="216"/>
        <v/>
      </c>
      <c r="BM190" s="14" t="str">
        <f t="shared" si="217"/>
        <v/>
      </c>
      <c r="BN190" s="14" t="str">
        <f t="shared" si="218"/>
        <v/>
      </c>
      <c r="BO190" s="14" t="str">
        <f>IF(OR(T190="",P190="",BN190="",T190&lt;=0,BN190&lt;=0),"",(1/Inputs!$B$9)*((T190^2/8)*((2*ACOS(1-2*BN190/T190))-SIN((2*ACOS(1-2*BN190/T190)))))*((((T190^2/8)*((2*ACOS(1-2*BN190/T190))-SIN((2*ACOS(1-2*BN190/T190)))))/((T190/2)*((2*ACOS(1-2*BN190/T190)))))^(2/3))*SQRT(P190))</f>
        <v/>
      </c>
      <c r="BP190" s="14" t="str">
        <f t="shared" si="219"/>
        <v/>
      </c>
      <c r="BQ190" s="14" t="str">
        <f t="shared" si="220"/>
        <v/>
      </c>
      <c r="BR190" s="14" t="str">
        <f t="shared" si="221"/>
        <v/>
      </c>
      <c r="BS190" s="14" t="str">
        <f>IF(OR(T190="",P190="",BR190="",T190&lt;=0,BR190&lt;=0),"",(1/Inputs!$B$9)*((T190^2/8)*((2*ACOS(1-2*BR190/T190))-SIN((2*ACOS(1-2*BR190/T190)))))*((((T190^2/8)*((2*ACOS(1-2*BR190/T190))-SIN((2*ACOS(1-2*BR190/T190)))))/((T190/2)*((2*ACOS(1-2*BR190/T190)))))^(2/3))*SQRT(P190))</f>
        <v/>
      </c>
      <c r="BT190" s="14" t="str">
        <f t="shared" si="222"/>
        <v/>
      </c>
      <c r="BU190" s="14" t="str">
        <f t="shared" si="223"/>
        <v/>
      </c>
      <c r="BV190" s="14" t="str">
        <f t="shared" si="224"/>
        <v/>
      </c>
      <c r="BW190" s="14" t="str">
        <f>IF(OR(T190="",P190="",BV190="",T190&lt;=0,BV190&lt;=0),"",(1/Inputs!$B$9)*((T190^2/8)*((2*ACOS(1-2*BV190/T190))-SIN((2*ACOS(1-2*BV190/T190)))))*((((T190^2/8)*((2*ACOS(1-2*BV190/T190))-SIN((2*ACOS(1-2*BV190/T190)))))/((T190/2)*((2*ACOS(1-2*BV190/T190)))))^(2/3))*SQRT(P190))</f>
        <v/>
      </c>
      <c r="BX190" s="14" t="str">
        <f t="shared" si="225"/>
        <v/>
      </c>
      <c r="BY190" s="14" t="str">
        <f t="shared" si="226"/>
        <v/>
      </c>
      <c r="BZ190" s="14" t="str">
        <f t="shared" si="227"/>
        <v/>
      </c>
      <c r="CA190" s="14" t="str">
        <f>IF(OR(T190="",P190="",BZ190="",T190&lt;=0,BZ190&lt;=0),"",(1/Inputs!$B$9)*((T190^2/8)*((2*ACOS(1-2*BZ190/T190))-SIN((2*ACOS(1-2*BZ190/T190)))))*((((T190^2/8)*((2*ACOS(1-2*BZ190/T190))-SIN((2*ACOS(1-2*BZ190/T190)))))/((T190/2)*((2*ACOS(1-2*BZ190/T190)))))^(2/3))*SQRT(P190))</f>
        <v/>
      </c>
      <c r="CB190" s="14" t="str">
        <f t="shared" si="228"/>
        <v/>
      </c>
      <c r="CC190" s="14" t="str">
        <f t="shared" si="229"/>
        <v/>
      </c>
      <c r="CD190" s="14" t="str">
        <f t="shared" si="230"/>
        <v/>
      </c>
      <c r="CE190" s="14" t="str">
        <f>IF(OR(T190="",P190="",CD190="",T190&lt;=0,CD190&lt;=0),"",(1/Inputs!$B$9)*((T190^2/8)*((2*ACOS(1-2*CD190/T190))-SIN((2*ACOS(1-2*CD190/T190)))))*((((T190^2/8)*((2*ACOS(1-2*CD190/T190))-SIN((2*ACOS(1-2*CD190/T190)))))/((T190/2)*((2*ACOS(1-2*CD190/T190)))))^(2/3))*SQRT(P190))</f>
        <v/>
      </c>
      <c r="CF190" s="14" t="str">
        <f t="shared" si="231"/>
        <v/>
      </c>
      <c r="CG190" s="14" t="str">
        <f t="shared" si="232"/>
        <v/>
      </c>
      <c r="CH190" s="14" t="str">
        <f t="shared" si="233"/>
        <v/>
      </c>
    </row>
    <row r="191" spans="1:86" x14ac:dyDescent="0.25">
      <c r="A191" s="14"/>
      <c r="B191" s="14"/>
      <c r="C191" s="14"/>
      <c r="D191" s="14"/>
      <c r="E191" s="44"/>
      <c r="F191" s="44"/>
      <c r="G191" s="44">
        <f>SUMIFS(CB_plan!$G:$G,CB_plan!$F:$F,$A191)</f>
        <v>0</v>
      </c>
      <c r="H191" s="44">
        <f t="shared" si="195"/>
        <v>0</v>
      </c>
      <c r="I191" s="14"/>
      <c r="J191" s="44"/>
      <c r="K191" s="44" t="str">
        <f>IF(A191="","",Inputs!$B$13/((IF(AV191="",Inputs!$B$18,AV191)+Inputs!$B$14)^Inputs!$B$15))</f>
        <v/>
      </c>
      <c r="L191" s="44" t="str">
        <f>IF(A191="","",IF(H191="","",0.000000278*IF(I191&lt;&gt;"",I191,IFERROR(SUMIFS(CB_plan!$H:$H,CB_plan!$F:$F,$A191)/SUMIFS(CB_plan!$G:$G,CB_plan!$F:$F,$A191),Inputs!$B$17))*H191*K191))</f>
        <v/>
      </c>
      <c r="M191" s="44" t="str">
        <f t="shared" si="196"/>
        <v/>
      </c>
      <c r="N191" s="44" t="str">
        <f>IF(A191="","",(L191+M191)*Inputs!$B$16)</f>
        <v/>
      </c>
      <c r="O191" s="44"/>
      <c r="P191" s="44" t="str">
        <f>IF(A191="","",IF(O191="",Inputs!$B$7,O191))</f>
        <v/>
      </c>
      <c r="Q191" s="14" t="str">
        <f>IF(A191="","",IF(N191/Inputs!$B$10&lt;=AG191,Inputs!$F$5,IF(N191/Inputs!$B$10&gt;AP191,"OVERSIZE",INDEX(Inputs!$F$5:$F$14,MATCH(N191/Inputs!$B$10,AG191:AP191,1)+1))))</f>
        <v/>
      </c>
      <c r="R191" s="14"/>
      <c r="S191" s="14" t="str">
        <f t="shared" si="197"/>
        <v/>
      </c>
      <c r="T191" s="44" t="str">
        <f t="shared" si="198"/>
        <v/>
      </c>
      <c r="U191" s="44" t="str">
        <f>IF(T191="","",(1/Inputs!$B$9)*(PI()*T191^2/4)*((T191/4)^(2/3))*SQRT(P191))</f>
        <v/>
      </c>
      <c r="V191" s="44" t="str">
        <f>IF(OR(U191="",N191=""),"",N191/(U191*Inputs!$B$10))</f>
        <v/>
      </c>
      <c r="W191" s="44" t="str">
        <f t="shared" si="199"/>
        <v/>
      </c>
      <c r="X191" s="44"/>
      <c r="Y191" s="44" t="str">
        <f>IF(A191="","",IF(A191=Inputs!$B$6,Inputs!$B$22,IF(D191="","",IFERROR(INDEX($Z$4:$Z$201,MATCH(D191,$A$4:$A$201,0))+IF(X191="",Inputs!$B$20,X191),""))))</f>
        <v/>
      </c>
      <c r="Z191" s="44" t="str">
        <f t="shared" si="200"/>
        <v/>
      </c>
      <c r="AA191" s="44" t="str">
        <f>IF(C191="","",IFERROR(INDEX(Noeuds_plan!$C$4:$C$200,MATCH(C191,Noeuds_plan!$A$4:$A$200,0)),""))</f>
        <v/>
      </c>
      <c r="AB191" s="44" t="str">
        <f>IF(B191="","",IFERROR(INDEX(Noeuds_plan!$C$4:$C$200,MATCH(B191,Noeuds_plan!$A$4:$A$200,0)),""))</f>
        <v/>
      </c>
      <c r="AC191" s="44" t="str">
        <f t="shared" si="201"/>
        <v/>
      </c>
      <c r="AD191" s="44" t="str">
        <f t="shared" si="202"/>
        <v/>
      </c>
      <c r="AE191" s="14" t="str">
        <f>IF(A191="","",IF(OR(V191&gt;1,AND(AY191&lt;&gt;"",AY191&lt;Inputs!$B$11),AND(AY191&lt;&gt;"",AY191&gt;Inputs!$B$12),AC191&lt;Inputs!$B$19,AD191&lt;Inputs!$B$19,P191&lt;Inputs!$B$7,P191&gt;Inputs!$B$8),"CHECK","OK"))</f>
        <v/>
      </c>
      <c r="AF191" s="14"/>
      <c r="AG191" s="14" t="str">
        <f>IF(A191="","",(1/Inputs!$B$9)*(PI()*(Inputs!$F$5/1000)^2/4)*((Inputs!$F$5/1000/4)^(2/3))*SQRT(P191))</f>
        <v/>
      </c>
      <c r="AH191" s="14" t="str">
        <f>IF(A191="","",(1/Inputs!$B$9)*(PI()*(Inputs!$F$6/1000)^2/4)*((Inputs!$F$6/1000/4)^(2/3))*SQRT(P191))</f>
        <v/>
      </c>
      <c r="AI191" s="14" t="str">
        <f>IF(A191="","",(1/Inputs!$B$9)*(PI()*(Inputs!$F$7/1000)^2/4)*((Inputs!$F$7/1000/4)^(2/3))*SQRT(P191))</f>
        <v/>
      </c>
      <c r="AJ191" s="14" t="str">
        <f>IF(A191="","",(1/Inputs!$B$9)*(PI()*(Inputs!$F$8/1000)^2/4)*((Inputs!$F$8/1000/4)^(2/3))*SQRT(P191))</f>
        <v/>
      </c>
      <c r="AK191" s="14" t="str">
        <f>IF(A191="","",(1/Inputs!$B$9)*(PI()*(Inputs!$F$9/1000)^2/4)*((Inputs!$F$9/1000/4)^(2/3))*SQRT(P191))</f>
        <v/>
      </c>
      <c r="AL191" s="14" t="str">
        <f>IF(A191="","",(1/Inputs!$B$9)*(PI()*(Inputs!$F$10/1000)^2/4)*((Inputs!$F$10/1000/4)^(2/3))*SQRT(P191))</f>
        <v/>
      </c>
      <c r="AM191" s="14" t="str">
        <f>IF(A191="","",(1/Inputs!$B$9)*(PI()*(Inputs!$F$11/1000)^2/4)*((Inputs!$F$11/1000/4)^(2/3))*SQRT(P191))</f>
        <v/>
      </c>
      <c r="AN191" s="14" t="str">
        <f>IF(A191="","",(1/Inputs!$B$9)*(PI()*(Inputs!$F$12/1000)^2/4)*((Inputs!$F$12/1000/4)^(2/3))*SQRT(P191))</f>
        <v/>
      </c>
      <c r="AO191" s="14" t="str">
        <f>IF(A191="","",(1/Inputs!$B$9)*(PI()*(Inputs!$F$13/1000)^2/4)*((Inputs!$F$13/1000/4)^(2/3))*SQRT(P191))</f>
        <v/>
      </c>
      <c r="AP191" s="14" t="str">
        <f>IF(A191="","",(1/Inputs!$B$9)*(PI()*(Inputs!$F$14/1000)^2/4)*((Inputs!$F$14/1000/4)^(2/3))*SQRT(P191))</f>
        <v/>
      </c>
      <c r="AQ191" s="14" t="str">
        <f t="shared" si="203"/>
        <v/>
      </c>
      <c r="AR191" s="14" t="str">
        <f t="shared" si="204"/>
        <v/>
      </c>
      <c r="AS191" s="17" t="str">
        <f>IF(A191="","",IF(J191="",Inputs!$B$18,J191))</f>
        <v/>
      </c>
      <c r="AT191" s="17" t="str">
        <f>IF(A191="","",IFERROR(_xludf.maxifs($AV$4:$AV$201,$D$4:$D$201,$A191),""))</f>
        <v/>
      </c>
      <c r="AU191" s="17" t="str">
        <f>IF(A191="","",IF(OR(E191="",Inputs!$B$23=""),"",E191/(Inputs!$B$23*60)))</f>
        <v/>
      </c>
      <c r="AV191" s="17" t="str">
        <f t="shared" si="205"/>
        <v/>
      </c>
      <c r="AW191" s="17" t="str">
        <f t="shared" si="206"/>
        <v/>
      </c>
      <c r="AX191" s="17" t="str">
        <f>IF(OR(T191="",P191=""),"",(1/Inputs!$B$9)*((T191/4)^(2/3))*SQRT(P191))</f>
        <v/>
      </c>
      <c r="AY191" s="17" t="str">
        <f>IF(A191="","",IF(AND(AW191="",AX191="",BA191=""),"",IF(OR(UPPER(TRIM(Inputs!$B$24))="MANNING",UPPER(TRIM(Inputs!$B$24))="M"),AX191,IF(OR(UPPER(TRIM(Inputs!$B$24))="PARTIAL",UPPER(TRIM(Inputs!$B$24))="P"),BA191,IF(OR(UPPER(TRIM(Inputs!$B$24))="MAX",UPPER(TRIM(Inputs!$B$24))="X"),MAX(IF(AW191="",0,AW191),IF(AX191="",0,AX191),IF(BA191="",0,BA191)),AW191)))))</f>
        <v/>
      </c>
      <c r="AZ191" s="17" t="str">
        <f t="shared" si="207"/>
        <v/>
      </c>
      <c r="BA191" s="17" t="str">
        <f t="shared" si="208"/>
        <v/>
      </c>
      <c r="BB191" s="14" t="str">
        <f t="shared" si="209"/>
        <v/>
      </c>
      <c r="BC191" s="14" t="str">
        <f>IF(OR(N191="",T191="",P191=""),"",IF(OR(T191="",P191="",(0.94*T191)="",T191&lt;=0,(0.94*T191)&lt;=0),"",(1/Inputs!$B$9)*((T191^2/8)*((2*ACOS(1-2*(0.94*T191)/T191))-SIN((2*ACOS(1-2*(0.94*T191)/T191)))))*((((T191^2/8)*((2*ACOS(1-2*(0.94*T191)/T191))-SIN((2*ACOS(1-2*(0.94*T191)/T191)))))/((T191/2)*((2*ACOS(1-2*(0.94*T191)/T191)))))^(2/3))*SQRT(P191)))</f>
        <v/>
      </c>
      <c r="BD191" s="14" t="str">
        <f t="shared" si="210"/>
        <v/>
      </c>
      <c r="BE191" s="14" t="str">
        <f t="shared" si="211"/>
        <v/>
      </c>
      <c r="BF191" s="14" t="str">
        <f t="shared" si="212"/>
        <v/>
      </c>
      <c r="BG191" s="14" t="str">
        <f>IF(OR(T191="",P191="",BF191="",T191&lt;=0,BF191&lt;=0),"",(1/Inputs!$B$9)*((T191^2/8)*((2*ACOS(1-2*BF191/T191))-SIN((2*ACOS(1-2*BF191/T191)))))*((((T191^2/8)*((2*ACOS(1-2*BF191/T191))-SIN((2*ACOS(1-2*BF191/T191)))))/((T191/2)*((2*ACOS(1-2*BF191/T191)))))^(2/3))*SQRT(P191))</f>
        <v/>
      </c>
      <c r="BH191" s="14" t="str">
        <f t="shared" si="213"/>
        <v/>
      </c>
      <c r="BI191" s="14" t="str">
        <f t="shared" si="214"/>
        <v/>
      </c>
      <c r="BJ191" s="14" t="str">
        <f t="shared" si="215"/>
        <v/>
      </c>
      <c r="BK191" s="14" t="str">
        <f>IF(OR(T191="",P191="",BJ191="",T191&lt;=0,BJ191&lt;=0),"",(1/Inputs!$B$9)*((T191^2/8)*((2*ACOS(1-2*BJ191/T191))-SIN((2*ACOS(1-2*BJ191/T191)))))*((((T191^2/8)*((2*ACOS(1-2*BJ191/T191))-SIN((2*ACOS(1-2*BJ191/T191)))))/((T191/2)*((2*ACOS(1-2*BJ191/T191)))))^(2/3))*SQRT(P191))</f>
        <v/>
      </c>
      <c r="BL191" s="14" t="str">
        <f t="shared" si="216"/>
        <v/>
      </c>
      <c r="BM191" s="14" t="str">
        <f t="shared" si="217"/>
        <v/>
      </c>
      <c r="BN191" s="14" t="str">
        <f t="shared" si="218"/>
        <v/>
      </c>
      <c r="BO191" s="14" t="str">
        <f>IF(OR(T191="",P191="",BN191="",T191&lt;=0,BN191&lt;=0),"",(1/Inputs!$B$9)*((T191^2/8)*((2*ACOS(1-2*BN191/T191))-SIN((2*ACOS(1-2*BN191/T191)))))*((((T191^2/8)*((2*ACOS(1-2*BN191/T191))-SIN((2*ACOS(1-2*BN191/T191)))))/((T191/2)*((2*ACOS(1-2*BN191/T191)))))^(2/3))*SQRT(P191))</f>
        <v/>
      </c>
      <c r="BP191" s="14" t="str">
        <f t="shared" si="219"/>
        <v/>
      </c>
      <c r="BQ191" s="14" t="str">
        <f t="shared" si="220"/>
        <v/>
      </c>
      <c r="BR191" s="14" t="str">
        <f t="shared" si="221"/>
        <v/>
      </c>
      <c r="BS191" s="14" t="str">
        <f>IF(OR(T191="",P191="",BR191="",T191&lt;=0,BR191&lt;=0),"",(1/Inputs!$B$9)*((T191^2/8)*((2*ACOS(1-2*BR191/T191))-SIN((2*ACOS(1-2*BR191/T191)))))*((((T191^2/8)*((2*ACOS(1-2*BR191/T191))-SIN((2*ACOS(1-2*BR191/T191)))))/((T191/2)*((2*ACOS(1-2*BR191/T191)))))^(2/3))*SQRT(P191))</f>
        <v/>
      </c>
      <c r="BT191" s="14" t="str">
        <f t="shared" si="222"/>
        <v/>
      </c>
      <c r="BU191" s="14" t="str">
        <f t="shared" si="223"/>
        <v/>
      </c>
      <c r="BV191" s="14" t="str">
        <f t="shared" si="224"/>
        <v/>
      </c>
      <c r="BW191" s="14" t="str">
        <f>IF(OR(T191="",P191="",BV191="",T191&lt;=0,BV191&lt;=0),"",(1/Inputs!$B$9)*((T191^2/8)*((2*ACOS(1-2*BV191/T191))-SIN((2*ACOS(1-2*BV191/T191)))))*((((T191^2/8)*((2*ACOS(1-2*BV191/T191))-SIN((2*ACOS(1-2*BV191/T191)))))/((T191/2)*((2*ACOS(1-2*BV191/T191)))))^(2/3))*SQRT(P191))</f>
        <v/>
      </c>
      <c r="BX191" s="14" t="str">
        <f t="shared" si="225"/>
        <v/>
      </c>
      <c r="BY191" s="14" t="str">
        <f t="shared" si="226"/>
        <v/>
      </c>
      <c r="BZ191" s="14" t="str">
        <f t="shared" si="227"/>
        <v/>
      </c>
      <c r="CA191" s="14" t="str">
        <f>IF(OR(T191="",P191="",BZ191="",T191&lt;=0,BZ191&lt;=0),"",(1/Inputs!$B$9)*((T191^2/8)*((2*ACOS(1-2*BZ191/T191))-SIN((2*ACOS(1-2*BZ191/T191)))))*((((T191^2/8)*((2*ACOS(1-2*BZ191/T191))-SIN((2*ACOS(1-2*BZ191/T191)))))/((T191/2)*((2*ACOS(1-2*BZ191/T191)))))^(2/3))*SQRT(P191))</f>
        <v/>
      </c>
      <c r="CB191" s="14" t="str">
        <f t="shared" si="228"/>
        <v/>
      </c>
      <c r="CC191" s="14" t="str">
        <f t="shared" si="229"/>
        <v/>
      </c>
      <c r="CD191" s="14" t="str">
        <f t="shared" si="230"/>
        <v/>
      </c>
      <c r="CE191" s="14" t="str">
        <f>IF(OR(T191="",P191="",CD191="",T191&lt;=0,CD191&lt;=0),"",(1/Inputs!$B$9)*((T191^2/8)*((2*ACOS(1-2*CD191/T191))-SIN((2*ACOS(1-2*CD191/T191)))))*((((T191^2/8)*((2*ACOS(1-2*CD191/T191))-SIN((2*ACOS(1-2*CD191/T191)))))/((T191/2)*((2*ACOS(1-2*CD191/T191)))))^(2/3))*SQRT(P191))</f>
        <v/>
      </c>
      <c r="CF191" s="14" t="str">
        <f t="shared" si="231"/>
        <v/>
      </c>
      <c r="CG191" s="14" t="str">
        <f t="shared" si="232"/>
        <v/>
      </c>
      <c r="CH191" s="14" t="str">
        <f t="shared" si="233"/>
        <v/>
      </c>
    </row>
    <row r="192" spans="1:86" x14ac:dyDescent="0.25">
      <c r="A192" s="14"/>
      <c r="B192" s="14"/>
      <c r="C192" s="14"/>
      <c r="D192" s="14"/>
      <c r="E192" s="44"/>
      <c r="F192" s="44"/>
      <c r="G192" s="44">
        <f>SUMIFS(CB_plan!$G:$G,CB_plan!$F:$F,$A192)</f>
        <v>0</v>
      </c>
      <c r="H192" s="44">
        <f t="shared" si="195"/>
        <v>0</v>
      </c>
      <c r="I192" s="14"/>
      <c r="J192" s="44"/>
      <c r="K192" s="44" t="str">
        <f>IF(A192="","",Inputs!$B$13/((IF(AV192="",Inputs!$B$18,AV192)+Inputs!$B$14)^Inputs!$B$15))</f>
        <v/>
      </c>
      <c r="L192" s="44" t="str">
        <f>IF(A192="","",IF(H192="","",0.000000278*IF(I192&lt;&gt;"",I192,IFERROR(SUMIFS(CB_plan!$H:$H,CB_plan!$F:$F,$A192)/SUMIFS(CB_plan!$G:$G,CB_plan!$F:$F,$A192),Inputs!$B$17))*H192*K192))</f>
        <v/>
      </c>
      <c r="M192" s="44" t="str">
        <f t="shared" si="196"/>
        <v/>
      </c>
      <c r="N192" s="44" t="str">
        <f>IF(A192="","",(L192+M192)*Inputs!$B$16)</f>
        <v/>
      </c>
      <c r="O192" s="44"/>
      <c r="P192" s="44" t="str">
        <f>IF(A192="","",IF(O192="",Inputs!$B$7,O192))</f>
        <v/>
      </c>
      <c r="Q192" s="14" t="str">
        <f>IF(A192="","",IF(N192/Inputs!$B$10&lt;=AG192,Inputs!$F$5,IF(N192/Inputs!$B$10&gt;AP192,"OVERSIZE",INDEX(Inputs!$F$5:$F$14,MATCH(N192/Inputs!$B$10,AG192:AP192,1)+1))))</f>
        <v/>
      </c>
      <c r="R192" s="14"/>
      <c r="S192" s="14" t="str">
        <f t="shared" si="197"/>
        <v/>
      </c>
      <c r="T192" s="44" t="str">
        <f t="shared" si="198"/>
        <v/>
      </c>
      <c r="U192" s="44" t="str">
        <f>IF(T192="","",(1/Inputs!$B$9)*(PI()*T192^2/4)*((T192/4)^(2/3))*SQRT(P192))</f>
        <v/>
      </c>
      <c r="V192" s="44" t="str">
        <f>IF(OR(U192="",N192=""),"",N192/(U192*Inputs!$B$10))</f>
        <v/>
      </c>
      <c r="W192" s="44" t="str">
        <f t="shared" si="199"/>
        <v/>
      </c>
      <c r="X192" s="44"/>
      <c r="Y192" s="44" t="str">
        <f>IF(A192="","",IF(A192=Inputs!$B$6,Inputs!$B$22,IF(D192="","",IFERROR(INDEX($Z$4:$Z$201,MATCH(D192,$A$4:$A$201,0))+IF(X192="",Inputs!$B$20,X192),""))))</f>
        <v/>
      </c>
      <c r="Z192" s="44" t="str">
        <f t="shared" si="200"/>
        <v/>
      </c>
      <c r="AA192" s="44" t="str">
        <f>IF(C192="","",IFERROR(INDEX(Noeuds_plan!$C$4:$C$200,MATCH(C192,Noeuds_plan!$A$4:$A$200,0)),""))</f>
        <v/>
      </c>
      <c r="AB192" s="44" t="str">
        <f>IF(B192="","",IFERROR(INDEX(Noeuds_plan!$C$4:$C$200,MATCH(B192,Noeuds_plan!$A$4:$A$200,0)),""))</f>
        <v/>
      </c>
      <c r="AC192" s="44" t="str">
        <f t="shared" si="201"/>
        <v/>
      </c>
      <c r="AD192" s="44" t="str">
        <f t="shared" si="202"/>
        <v/>
      </c>
      <c r="AE192" s="14" t="str">
        <f>IF(A192="","",IF(OR(V192&gt;1,AND(AY192&lt;&gt;"",AY192&lt;Inputs!$B$11),AND(AY192&lt;&gt;"",AY192&gt;Inputs!$B$12),AC192&lt;Inputs!$B$19,AD192&lt;Inputs!$B$19,P192&lt;Inputs!$B$7,P192&gt;Inputs!$B$8),"CHECK","OK"))</f>
        <v/>
      </c>
      <c r="AF192" s="14"/>
      <c r="AG192" s="14" t="str">
        <f>IF(A192="","",(1/Inputs!$B$9)*(PI()*(Inputs!$F$5/1000)^2/4)*((Inputs!$F$5/1000/4)^(2/3))*SQRT(P192))</f>
        <v/>
      </c>
      <c r="AH192" s="14" t="str">
        <f>IF(A192="","",(1/Inputs!$B$9)*(PI()*(Inputs!$F$6/1000)^2/4)*((Inputs!$F$6/1000/4)^(2/3))*SQRT(P192))</f>
        <v/>
      </c>
      <c r="AI192" s="14" t="str">
        <f>IF(A192="","",(1/Inputs!$B$9)*(PI()*(Inputs!$F$7/1000)^2/4)*((Inputs!$F$7/1000/4)^(2/3))*SQRT(P192))</f>
        <v/>
      </c>
      <c r="AJ192" s="14" t="str">
        <f>IF(A192="","",(1/Inputs!$B$9)*(PI()*(Inputs!$F$8/1000)^2/4)*((Inputs!$F$8/1000/4)^(2/3))*SQRT(P192))</f>
        <v/>
      </c>
      <c r="AK192" s="14" t="str">
        <f>IF(A192="","",(1/Inputs!$B$9)*(PI()*(Inputs!$F$9/1000)^2/4)*((Inputs!$F$9/1000/4)^(2/3))*SQRT(P192))</f>
        <v/>
      </c>
      <c r="AL192" s="14" t="str">
        <f>IF(A192="","",(1/Inputs!$B$9)*(PI()*(Inputs!$F$10/1000)^2/4)*((Inputs!$F$10/1000/4)^(2/3))*SQRT(P192))</f>
        <v/>
      </c>
      <c r="AM192" s="14" t="str">
        <f>IF(A192="","",(1/Inputs!$B$9)*(PI()*(Inputs!$F$11/1000)^2/4)*((Inputs!$F$11/1000/4)^(2/3))*SQRT(P192))</f>
        <v/>
      </c>
      <c r="AN192" s="14" t="str">
        <f>IF(A192="","",(1/Inputs!$B$9)*(PI()*(Inputs!$F$12/1000)^2/4)*((Inputs!$F$12/1000/4)^(2/3))*SQRT(P192))</f>
        <v/>
      </c>
      <c r="AO192" s="14" t="str">
        <f>IF(A192="","",(1/Inputs!$B$9)*(PI()*(Inputs!$F$13/1000)^2/4)*((Inputs!$F$13/1000/4)^(2/3))*SQRT(P192))</f>
        <v/>
      </c>
      <c r="AP192" s="14" t="str">
        <f>IF(A192="","",(1/Inputs!$B$9)*(PI()*(Inputs!$F$14/1000)^2/4)*((Inputs!$F$14/1000/4)^(2/3))*SQRT(P192))</f>
        <v/>
      </c>
      <c r="AQ192" s="14" t="str">
        <f t="shared" si="203"/>
        <v/>
      </c>
      <c r="AR192" s="14" t="str">
        <f t="shared" si="204"/>
        <v/>
      </c>
      <c r="AS192" s="17" t="str">
        <f>IF(A192="","",IF(J192="",Inputs!$B$18,J192))</f>
        <v/>
      </c>
      <c r="AT192" s="17" t="str">
        <f>IF(A192="","",IFERROR(_xludf.maxifs($AV$4:$AV$201,$D$4:$D$201,$A192),""))</f>
        <v/>
      </c>
      <c r="AU192" s="17" t="str">
        <f>IF(A192="","",IF(OR(E192="",Inputs!$B$23=""),"",E192/(Inputs!$B$23*60)))</f>
        <v/>
      </c>
      <c r="AV192" s="17" t="str">
        <f t="shared" si="205"/>
        <v/>
      </c>
      <c r="AW192" s="17" t="str">
        <f t="shared" si="206"/>
        <v/>
      </c>
      <c r="AX192" s="17" t="str">
        <f>IF(OR(T192="",P192=""),"",(1/Inputs!$B$9)*((T192/4)^(2/3))*SQRT(P192))</f>
        <v/>
      </c>
      <c r="AY192" s="17" t="str">
        <f>IF(A192="","",IF(AND(AW192="",AX192="",BA192=""),"",IF(OR(UPPER(TRIM(Inputs!$B$24))="MANNING",UPPER(TRIM(Inputs!$B$24))="M"),AX192,IF(OR(UPPER(TRIM(Inputs!$B$24))="PARTIAL",UPPER(TRIM(Inputs!$B$24))="P"),BA192,IF(OR(UPPER(TRIM(Inputs!$B$24))="MAX",UPPER(TRIM(Inputs!$B$24))="X"),MAX(IF(AW192="",0,AW192),IF(AX192="",0,AX192),IF(BA192="",0,BA192)),AW192)))))</f>
        <v/>
      </c>
      <c r="AZ192" s="17" t="str">
        <f t="shared" si="207"/>
        <v/>
      </c>
      <c r="BA192" s="17" t="str">
        <f t="shared" si="208"/>
        <v/>
      </c>
      <c r="BB192" s="14" t="str">
        <f t="shared" si="209"/>
        <v/>
      </c>
      <c r="BC192" s="14" t="str">
        <f>IF(OR(N192="",T192="",P192=""),"",IF(OR(T192="",P192="",(0.94*T192)="",T192&lt;=0,(0.94*T192)&lt;=0),"",(1/Inputs!$B$9)*((T192^2/8)*((2*ACOS(1-2*(0.94*T192)/T192))-SIN((2*ACOS(1-2*(0.94*T192)/T192)))))*((((T192^2/8)*((2*ACOS(1-2*(0.94*T192)/T192))-SIN((2*ACOS(1-2*(0.94*T192)/T192)))))/((T192/2)*((2*ACOS(1-2*(0.94*T192)/T192)))))^(2/3))*SQRT(P192)))</f>
        <v/>
      </c>
      <c r="BD192" s="14" t="str">
        <f t="shared" si="210"/>
        <v/>
      </c>
      <c r="BE192" s="14" t="str">
        <f t="shared" si="211"/>
        <v/>
      </c>
      <c r="BF192" s="14" t="str">
        <f t="shared" si="212"/>
        <v/>
      </c>
      <c r="BG192" s="14" t="str">
        <f>IF(OR(T192="",P192="",BF192="",T192&lt;=0,BF192&lt;=0),"",(1/Inputs!$B$9)*((T192^2/8)*((2*ACOS(1-2*BF192/T192))-SIN((2*ACOS(1-2*BF192/T192)))))*((((T192^2/8)*((2*ACOS(1-2*BF192/T192))-SIN((2*ACOS(1-2*BF192/T192)))))/((T192/2)*((2*ACOS(1-2*BF192/T192)))))^(2/3))*SQRT(P192))</f>
        <v/>
      </c>
      <c r="BH192" s="14" t="str">
        <f t="shared" si="213"/>
        <v/>
      </c>
      <c r="BI192" s="14" t="str">
        <f t="shared" si="214"/>
        <v/>
      </c>
      <c r="BJ192" s="14" t="str">
        <f t="shared" si="215"/>
        <v/>
      </c>
      <c r="BK192" s="14" t="str">
        <f>IF(OR(T192="",P192="",BJ192="",T192&lt;=0,BJ192&lt;=0),"",(1/Inputs!$B$9)*((T192^2/8)*((2*ACOS(1-2*BJ192/T192))-SIN((2*ACOS(1-2*BJ192/T192)))))*((((T192^2/8)*((2*ACOS(1-2*BJ192/T192))-SIN((2*ACOS(1-2*BJ192/T192)))))/((T192/2)*((2*ACOS(1-2*BJ192/T192)))))^(2/3))*SQRT(P192))</f>
        <v/>
      </c>
      <c r="BL192" s="14" t="str">
        <f t="shared" si="216"/>
        <v/>
      </c>
      <c r="BM192" s="14" t="str">
        <f t="shared" si="217"/>
        <v/>
      </c>
      <c r="BN192" s="14" t="str">
        <f t="shared" si="218"/>
        <v/>
      </c>
      <c r="BO192" s="14" t="str">
        <f>IF(OR(T192="",P192="",BN192="",T192&lt;=0,BN192&lt;=0),"",(1/Inputs!$B$9)*((T192^2/8)*((2*ACOS(1-2*BN192/T192))-SIN((2*ACOS(1-2*BN192/T192)))))*((((T192^2/8)*((2*ACOS(1-2*BN192/T192))-SIN((2*ACOS(1-2*BN192/T192)))))/((T192/2)*((2*ACOS(1-2*BN192/T192)))))^(2/3))*SQRT(P192))</f>
        <v/>
      </c>
      <c r="BP192" s="14" t="str">
        <f t="shared" si="219"/>
        <v/>
      </c>
      <c r="BQ192" s="14" t="str">
        <f t="shared" si="220"/>
        <v/>
      </c>
      <c r="BR192" s="14" t="str">
        <f t="shared" si="221"/>
        <v/>
      </c>
      <c r="BS192" s="14" t="str">
        <f>IF(OR(T192="",P192="",BR192="",T192&lt;=0,BR192&lt;=0),"",(1/Inputs!$B$9)*((T192^2/8)*((2*ACOS(1-2*BR192/T192))-SIN((2*ACOS(1-2*BR192/T192)))))*((((T192^2/8)*((2*ACOS(1-2*BR192/T192))-SIN((2*ACOS(1-2*BR192/T192)))))/((T192/2)*((2*ACOS(1-2*BR192/T192)))))^(2/3))*SQRT(P192))</f>
        <v/>
      </c>
      <c r="BT192" s="14" t="str">
        <f t="shared" si="222"/>
        <v/>
      </c>
      <c r="BU192" s="14" t="str">
        <f t="shared" si="223"/>
        <v/>
      </c>
      <c r="BV192" s="14" t="str">
        <f t="shared" si="224"/>
        <v/>
      </c>
      <c r="BW192" s="14" t="str">
        <f>IF(OR(T192="",P192="",BV192="",T192&lt;=0,BV192&lt;=0),"",(1/Inputs!$B$9)*((T192^2/8)*((2*ACOS(1-2*BV192/T192))-SIN((2*ACOS(1-2*BV192/T192)))))*((((T192^2/8)*((2*ACOS(1-2*BV192/T192))-SIN((2*ACOS(1-2*BV192/T192)))))/((T192/2)*((2*ACOS(1-2*BV192/T192)))))^(2/3))*SQRT(P192))</f>
        <v/>
      </c>
      <c r="BX192" s="14" t="str">
        <f t="shared" si="225"/>
        <v/>
      </c>
      <c r="BY192" s="14" t="str">
        <f t="shared" si="226"/>
        <v/>
      </c>
      <c r="BZ192" s="14" t="str">
        <f t="shared" si="227"/>
        <v/>
      </c>
      <c r="CA192" s="14" t="str">
        <f>IF(OR(T192="",P192="",BZ192="",T192&lt;=0,BZ192&lt;=0),"",(1/Inputs!$B$9)*((T192^2/8)*((2*ACOS(1-2*BZ192/T192))-SIN((2*ACOS(1-2*BZ192/T192)))))*((((T192^2/8)*((2*ACOS(1-2*BZ192/T192))-SIN((2*ACOS(1-2*BZ192/T192)))))/((T192/2)*((2*ACOS(1-2*BZ192/T192)))))^(2/3))*SQRT(P192))</f>
        <v/>
      </c>
      <c r="CB192" s="14" t="str">
        <f t="shared" si="228"/>
        <v/>
      </c>
      <c r="CC192" s="14" t="str">
        <f t="shared" si="229"/>
        <v/>
      </c>
      <c r="CD192" s="14" t="str">
        <f t="shared" si="230"/>
        <v/>
      </c>
      <c r="CE192" s="14" t="str">
        <f>IF(OR(T192="",P192="",CD192="",T192&lt;=0,CD192&lt;=0),"",(1/Inputs!$B$9)*((T192^2/8)*((2*ACOS(1-2*CD192/T192))-SIN((2*ACOS(1-2*CD192/T192)))))*((((T192^2/8)*((2*ACOS(1-2*CD192/T192))-SIN((2*ACOS(1-2*CD192/T192)))))/((T192/2)*((2*ACOS(1-2*CD192/T192)))))^(2/3))*SQRT(P192))</f>
        <v/>
      </c>
      <c r="CF192" s="14" t="str">
        <f t="shared" si="231"/>
        <v/>
      </c>
      <c r="CG192" s="14" t="str">
        <f t="shared" si="232"/>
        <v/>
      </c>
      <c r="CH192" s="14" t="str">
        <f t="shared" si="233"/>
        <v/>
      </c>
    </row>
    <row r="193" spans="1:86" x14ac:dyDescent="0.25">
      <c r="A193" s="14"/>
      <c r="B193" s="14"/>
      <c r="C193" s="14"/>
      <c r="D193" s="14"/>
      <c r="E193" s="44"/>
      <c r="F193" s="44"/>
      <c r="G193" s="44">
        <f>SUMIFS(CB_plan!$G:$G,CB_plan!$F:$F,$A193)</f>
        <v>0</v>
      </c>
      <c r="H193" s="44">
        <f t="shared" si="195"/>
        <v>0</v>
      </c>
      <c r="I193" s="14"/>
      <c r="J193" s="44"/>
      <c r="K193" s="44" t="str">
        <f>IF(A193="","",Inputs!$B$13/((IF(AV193="",Inputs!$B$18,AV193)+Inputs!$B$14)^Inputs!$B$15))</f>
        <v/>
      </c>
      <c r="L193" s="44" t="str">
        <f>IF(A193="","",IF(H193="","",0.000000278*IF(I193&lt;&gt;"",I193,IFERROR(SUMIFS(CB_plan!$H:$H,CB_plan!$F:$F,$A193)/SUMIFS(CB_plan!$G:$G,CB_plan!$F:$F,$A193),Inputs!$B$17))*H193*K193))</f>
        <v/>
      </c>
      <c r="M193" s="44" t="str">
        <f t="shared" si="196"/>
        <v/>
      </c>
      <c r="N193" s="44" t="str">
        <f>IF(A193="","",(L193+M193)*Inputs!$B$16)</f>
        <v/>
      </c>
      <c r="O193" s="44"/>
      <c r="P193" s="44" t="str">
        <f>IF(A193="","",IF(O193="",Inputs!$B$7,O193))</f>
        <v/>
      </c>
      <c r="Q193" s="14" t="str">
        <f>IF(A193="","",IF(N193/Inputs!$B$10&lt;=AG193,Inputs!$F$5,IF(N193/Inputs!$B$10&gt;AP193,"OVERSIZE",INDEX(Inputs!$F$5:$F$14,MATCH(N193/Inputs!$B$10,AG193:AP193,1)+1))))</f>
        <v/>
      </c>
      <c r="R193" s="14"/>
      <c r="S193" s="14" t="str">
        <f t="shared" si="197"/>
        <v/>
      </c>
      <c r="T193" s="44" t="str">
        <f t="shared" si="198"/>
        <v/>
      </c>
      <c r="U193" s="44" t="str">
        <f>IF(T193="","",(1/Inputs!$B$9)*(PI()*T193^2/4)*((T193/4)^(2/3))*SQRT(P193))</f>
        <v/>
      </c>
      <c r="V193" s="44" t="str">
        <f>IF(OR(U193="",N193=""),"",N193/(U193*Inputs!$B$10))</f>
        <v/>
      </c>
      <c r="W193" s="44" t="str">
        <f t="shared" si="199"/>
        <v/>
      </c>
      <c r="X193" s="44"/>
      <c r="Y193" s="44" t="str">
        <f>IF(A193="","",IF(A193=Inputs!$B$6,Inputs!$B$22,IF(D193="","",IFERROR(INDEX($Z$4:$Z$201,MATCH(D193,$A$4:$A$201,0))+IF(X193="",Inputs!$B$20,X193),""))))</f>
        <v/>
      </c>
      <c r="Z193" s="44" t="str">
        <f t="shared" si="200"/>
        <v/>
      </c>
      <c r="AA193" s="44" t="str">
        <f>IF(C193="","",IFERROR(INDEX(Noeuds_plan!$C$4:$C$200,MATCH(C193,Noeuds_plan!$A$4:$A$200,0)),""))</f>
        <v/>
      </c>
      <c r="AB193" s="44" t="str">
        <f>IF(B193="","",IFERROR(INDEX(Noeuds_plan!$C$4:$C$200,MATCH(B193,Noeuds_plan!$A$4:$A$200,0)),""))</f>
        <v/>
      </c>
      <c r="AC193" s="44" t="str">
        <f t="shared" si="201"/>
        <v/>
      </c>
      <c r="AD193" s="44" t="str">
        <f t="shared" si="202"/>
        <v/>
      </c>
      <c r="AE193" s="14" t="str">
        <f>IF(A193="","",IF(OR(V193&gt;1,AND(AY193&lt;&gt;"",AY193&lt;Inputs!$B$11),AND(AY193&lt;&gt;"",AY193&gt;Inputs!$B$12),AC193&lt;Inputs!$B$19,AD193&lt;Inputs!$B$19,P193&lt;Inputs!$B$7,P193&gt;Inputs!$B$8),"CHECK","OK"))</f>
        <v/>
      </c>
      <c r="AF193" s="14"/>
      <c r="AG193" s="14" t="str">
        <f>IF(A193="","",(1/Inputs!$B$9)*(PI()*(Inputs!$F$5/1000)^2/4)*((Inputs!$F$5/1000/4)^(2/3))*SQRT(P193))</f>
        <v/>
      </c>
      <c r="AH193" s="14" t="str">
        <f>IF(A193="","",(1/Inputs!$B$9)*(PI()*(Inputs!$F$6/1000)^2/4)*((Inputs!$F$6/1000/4)^(2/3))*SQRT(P193))</f>
        <v/>
      </c>
      <c r="AI193" s="14" t="str">
        <f>IF(A193="","",(1/Inputs!$B$9)*(PI()*(Inputs!$F$7/1000)^2/4)*((Inputs!$F$7/1000/4)^(2/3))*SQRT(P193))</f>
        <v/>
      </c>
      <c r="AJ193" s="14" t="str">
        <f>IF(A193="","",(1/Inputs!$B$9)*(PI()*(Inputs!$F$8/1000)^2/4)*((Inputs!$F$8/1000/4)^(2/3))*SQRT(P193))</f>
        <v/>
      </c>
      <c r="AK193" s="14" t="str">
        <f>IF(A193="","",(1/Inputs!$B$9)*(PI()*(Inputs!$F$9/1000)^2/4)*((Inputs!$F$9/1000/4)^(2/3))*SQRT(P193))</f>
        <v/>
      </c>
      <c r="AL193" s="14" t="str">
        <f>IF(A193="","",(1/Inputs!$B$9)*(PI()*(Inputs!$F$10/1000)^2/4)*((Inputs!$F$10/1000/4)^(2/3))*SQRT(P193))</f>
        <v/>
      </c>
      <c r="AM193" s="14" t="str">
        <f>IF(A193="","",(1/Inputs!$B$9)*(PI()*(Inputs!$F$11/1000)^2/4)*((Inputs!$F$11/1000/4)^(2/3))*SQRT(P193))</f>
        <v/>
      </c>
      <c r="AN193" s="14" t="str">
        <f>IF(A193="","",(1/Inputs!$B$9)*(PI()*(Inputs!$F$12/1000)^2/4)*((Inputs!$F$12/1000/4)^(2/3))*SQRT(P193))</f>
        <v/>
      </c>
      <c r="AO193" s="14" t="str">
        <f>IF(A193="","",(1/Inputs!$B$9)*(PI()*(Inputs!$F$13/1000)^2/4)*((Inputs!$F$13/1000/4)^(2/3))*SQRT(P193))</f>
        <v/>
      </c>
      <c r="AP193" s="14" t="str">
        <f>IF(A193="","",(1/Inputs!$B$9)*(PI()*(Inputs!$F$14/1000)^2/4)*((Inputs!$F$14/1000/4)^(2/3))*SQRT(P193))</f>
        <v/>
      </c>
      <c r="AQ193" s="14" t="str">
        <f t="shared" si="203"/>
        <v/>
      </c>
      <c r="AR193" s="14" t="str">
        <f t="shared" si="204"/>
        <v/>
      </c>
      <c r="AS193" s="17" t="str">
        <f>IF(A193="","",IF(J193="",Inputs!$B$18,J193))</f>
        <v/>
      </c>
      <c r="AT193" s="17" t="str">
        <f>IF(A193="","",IFERROR(_xludf.maxifs($AV$4:$AV$201,$D$4:$D$201,$A193),""))</f>
        <v/>
      </c>
      <c r="AU193" s="17" t="str">
        <f>IF(A193="","",IF(OR(E193="",Inputs!$B$23=""),"",E193/(Inputs!$B$23*60)))</f>
        <v/>
      </c>
      <c r="AV193" s="17" t="str">
        <f t="shared" si="205"/>
        <v/>
      </c>
      <c r="AW193" s="17" t="str">
        <f t="shared" si="206"/>
        <v/>
      </c>
      <c r="AX193" s="17" t="str">
        <f>IF(OR(T193="",P193=""),"",(1/Inputs!$B$9)*((T193/4)^(2/3))*SQRT(P193))</f>
        <v/>
      </c>
      <c r="AY193" s="17" t="str">
        <f>IF(A193="","",IF(AND(AW193="",AX193="",BA193=""),"",IF(OR(UPPER(TRIM(Inputs!$B$24))="MANNING",UPPER(TRIM(Inputs!$B$24))="M"),AX193,IF(OR(UPPER(TRIM(Inputs!$B$24))="PARTIAL",UPPER(TRIM(Inputs!$B$24))="P"),BA193,IF(OR(UPPER(TRIM(Inputs!$B$24))="MAX",UPPER(TRIM(Inputs!$B$24))="X"),MAX(IF(AW193="",0,AW193),IF(AX193="",0,AX193),IF(BA193="",0,BA193)),AW193)))))</f>
        <v/>
      </c>
      <c r="AZ193" s="17" t="str">
        <f t="shared" si="207"/>
        <v/>
      </c>
      <c r="BA193" s="17" t="str">
        <f t="shared" si="208"/>
        <v/>
      </c>
      <c r="BB193" s="14" t="str">
        <f t="shared" si="209"/>
        <v/>
      </c>
      <c r="BC193" s="14" t="str">
        <f>IF(OR(N193="",T193="",P193=""),"",IF(OR(T193="",P193="",(0.94*T193)="",T193&lt;=0,(0.94*T193)&lt;=0),"",(1/Inputs!$B$9)*((T193^2/8)*((2*ACOS(1-2*(0.94*T193)/T193))-SIN((2*ACOS(1-2*(0.94*T193)/T193)))))*((((T193^2/8)*((2*ACOS(1-2*(0.94*T193)/T193))-SIN((2*ACOS(1-2*(0.94*T193)/T193)))))/((T193/2)*((2*ACOS(1-2*(0.94*T193)/T193)))))^(2/3))*SQRT(P193)))</f>
        <v/>
      </c>
      <c r="BD193" s="14" t="str">
        <f t="shared" si="210"/>
        <v/>
      </c>
      <c r="BE193" s="14" t="str">
        <f t="shared" si="211"/>
        <v/>
      </c>
      <c r="BF193" s="14" t="str">
        <f t="shared" si="212"/>
        <v/>
      </c>
      <c r="BG193" s="14" t="str">
        <f>IF(OR(T193="",P193="",BF193="",T193&lt;=0,BF193&lt;=0),"",(1/Inputs!$B$9)*((T193^2/8)*((2*ACOS(1-2*BF193/T193))-SIN((2*ACOS(1-2*BF193/T193)))))*((((T193^2/8)*((2*ACOS(1-2*BF193/T193))-SIN((2*ACOS(1-2*BF193/T193)))))/((T193/2)*((2*ACOS(1-2*BF193/T193)))))^(2/3))*SQRT(P193))</f>
        <v/>
      </c>
      <c r="BH193" s="14" t="str">
        <f t="shared" si="213"/>
        <v/>
      </c>
      <c r="BI193" s="14" t="str">
        <f t="shared" si="214"/>
        <v/>
      </c>
      <c r="BJ193" s="14" t="str">
        <f t="shared" si="215"/>
        <v/>
      </c>
      <c r="BK193" s="14" t="str">
        <f>IF(OR(T193="",P193="",BJ193="",T193&lt;=0,BJ193&lt;=0),"",(1/Inputs!$B$9)*((T193^2/8)*((2*ACOS(1-2*BJ193/T193))-SIN((2*ACOS(1-2*BJ193/T193)))))*((((T193^2/8)*((2*ACOS(1-2*BJ193/T193))-SIN((2*ACOS(1-2*BJ193/T193)))))/((T193/2)*((2*ACOS(1-2*BJ193/T193)))))^(2/3))*SQRT(P193))</f>
        <v/>
      </c>
      <c r="BL193" s="14" t="str">
        <f t="shared" si="216"/>
        <v/>
      </c>
      <c r="BM193" s="14" t="str">
        <f t="shared" si="217"/>
        <v/>
      </c>
      <c r="BN193" s="14" t="str">
        <f t="shared" si="218"/>
        <v/>
      </c>
      <c r="BO193" s="14" t="str">
        <f>IF(OR(T193="",P193="",BN193="",T193&lt;=0,BN193&lt;=0),"",(1/Inputs!$B$9)*((T193^2/8)*((2*ACOS(1-2*BN193/T193))-SIN((2*ACOS(1-2*BN193/T193)))))*((((T193^2/8)*((2*ACOS(1-2*BN193/T193))-SIN((2*ACOS(1-2*BN193/T193)))))/((T193/2)*((2*ACOS(1-2*BN193/T193)))))^(2/3))*SQRT(P193))</f>
        <v/>
      </c>
      <c r="BP193" s="14" t="str">
        <f t="shared" si="219"/>
        <v/>
      </c>
      <c r="BQ193" s="14" t="str">
        <f t="shared" si="220"/>
        <v/>
      </c>
      <c r="BR193" s="14" t="str">
        <f t="shared" si="221"/>
        <v/>
      </c>
      <c r="BS193" s="14" t="str">
        <f>IF(OR(T193="",P193="",BR193="",T193&lt;=0,BR193&lt;=0),"",(1/Inputs!$B$9)*((T193^2/8)*((2*ACOS(1-2*BR193/T193))-SIN((2*ACOS(1-2*BR193/T193)))))*((((T193^2/8)*((2*ACOS(1-2*BR193/T193))-SIN((2*ACOS(1-2*BR193/T193)))))/((T193/2)*((2*ACOS(1-2*BR193/T193)))))^(2/3))*SQRT(P193))</f>
        <v/>
      </c>
      <c r="BT193" s="14" t="str">
        <f t="shared" si="222"/>
        <v/>
      </c>
      <c r="BU193" s="14" t="str">
        <f t="shared" si="223"/>
        <v/>
      </c>
      <c r="BV193" s="14" t="str">
        <f t="shared" si="224"/>
        <v/>
      </c>
      <c r="BW193" s="14" t="str">
        <f>IF(OR(T193="",P193="",BV193="",T193&lt;=0,BV193&lt;=0),"",(1/Inputs!$B$9)*((T193^2/8)*((2*ACOS(1-2*BV193/T193))-SIN((2*ACOS(1-2*BV193/T193)))))*((((T193^2/8)*((2*ACOS(1-2*BV193/T193))-SIN((2*ACOS(1-2*BV193/T193)))))/((T193/2)*((2*ACOS(1-2*BV193/T193)))))^(2/3))*SQRT(P193))</f>
        <v/>
      </c>
      <c r="BX193" s="14" t="str">
        <f t="shared" si="225"/>
        <v/>
      </c>
      <c r="BY193" s="14" t="str">
        <f t="shared" si="226"/>
        <v/>
      </c>
      <c r="BZ193" s="14" t="str">
        <f t="shared" si="227"/>
        <v/>
      </c>
      <c r="CA193" s="14" t="str">
        <f>IF(OR(T193="",P193="",BZ193="",T193&lt;=0,BZ193&lt;=0),"",(1/Inputs!$B$9)*((T193^2/8)*((2*ACOS(1-2*BZ193/T193))-SIN((2*ACOS(1-2*BZ193/T193)))))*((((T193^2/8)*((2*ACOS(1-2*BZ193/T193))-SIN((2*ACOS(1-2*BZ193/T193)))))/((T193/2)*((2*ACOS(1-2*BZ193/T193)))))^(2/3))*SQRT(P193))</f>
        <v/>
      </c>
      <c r="CB193" s="14" t="str">
        <f t="shared" si="228"/>
        <v/>
      </c>
      <c r="CC193" s="14" t="str">
        <f t="shared" si="229"/>
        <v/>
      </c>
      <c r="CD193" s="14" t="str">
        <f t="shared" si="230"/>
        <v/>
      </c>
      <c r="CE193" s="14" t="str">
        <f>IF(OR(T193="",P193="",CD193="",T193&lt;=0,CD193&lt;=0),"",(1/Inputs!$B$9)*((T193^2/8)*((2*ACOS(1-2*CD193/T193))-SIN((2*ACOS(1-2*CD193/T193)))))*((((T193^2/8)*((2*ACOS(1-2*CD193/T193))-SIN((2*ACOS(1-2*CD193/T193)))))/((T193/2)*((2*ACOS(1-2*CD193/T193)))))^(2/3))*SQRT(P193))</f>
        <v/>
      </c>
      <c r="CF193" s="14" t="str">
        <f t="shared" si="231"/>
        <v/>
      </c>
      <c r="CG193" s="14" t="str">
        <f t="shared" si="232"/>
        <v/>
      </c>
      <c r="CH193" s="14" t="str">
        <f t="shared" si="233"/>
        <v/>
      </c>
    </row>
    <row r="194" spans="1:86" x14ac:dyDescent="0.25">
      <c r="A194" s="14"/>
      <c r="B194" s="14"/>
      <c r="C194" s="14"/>
      <c r="D194" s="14"/>
      <c r="E194" s="44"/>
      <c r="F194" s="44"/>
      <c r="G194" s="44">
        <f>SUMIFS(CB_plan!$G:$G,CB_plan!$F:$F,$A194)</f>
        <v>0</v>
      </c>
      <c r="H194" s="44">
        <f t="shared" si="195"/>
        <v>0</v>
      </c>
      <c r="I194" s="14"/>
      <c r="J194" s="44"/>
      <c r="K194" s="44" t="str">
        <f>IF(A194="","",Inputs!$B$13/((IF(AV194="",Inputs!$B$18,AV194)+Inputs!$B$14)^Inputs!$B$15))</f>
        <v/>
      </c>
      <c r="L194" s="44" t="str">
        <f>IF(A194="","",IF(H194="","",0.000000278*IF(I194&lt;&gt;"",I194,IFERROR(SUMIFS(CB_plan!$H:$H,CB_plan!$F:$F,$A194)/SUMIFS(CB_plan!$G:$G,CB_plan!$F:$F,$A194),Inputs!$B$17))*H194*K194))</f>
        <v/>
      </c>
      <c r="M194" s="44" t="str">
        <f t="shared" si="196"/>
        <v/>
      </c>
      <c r="N194" s="44" t="str">
        <f>IF(A194="","",(L194+M194)*Inputs!$B$16)</f>
        <v/>
      </c>
      <c r="O194" s="44"/>
      <c r="P194" s="44" t="str">
        <f>IF(A194="","",IF(O194="",Inputs!$B$7,O194))</f>
        <v/>
      </c>
      <c r="Q194" s="14" t="str">
        <f>IF(A194="","",IF(N194/Inputs!$B$10&lt;=AG194,Inputs!$F$5,IF(N194/Inputs!$B$10&gt;AP194,"OVERSIZE",INDEX(Inputs!$F$5:$F$14,MATCH(N194/Inputs!$B$10,AG194:AP194,1)+1))))</f>
        <v/>
      </c>
      <c r="R194" s="14"/>
      <c r="S194" s="14" t="str">
        <f t="shared" si="197"/>
        <v/>
      </c>
      <c r="T194" s="44" t="str">
        <f t="shared" si="198"/>
        <v/>
      </c>
      <c r="U194" s="44" t="str">
        <f>IF(T194="","",(1/Inputs!$B$9)*(PI()*T194^2/4)*((T194/4)^(2/3))*SQRT(P194))</f>
        <v/>
      </c>
      <c r="V194" s="44" t="str">
        <f>IF(OR(U194="",N194=""),"",N194/(U194*Inputs!$B$10))</f>
        <v/>
      </c>
      <c r="W194" s="44" t="str">
        <f t="shared" si="199"/>
        <v/>
      </c>
      <c r="X194" s="44"/>
      <c r="Y194" s="44" t="str">
        <f>IF(A194="","",IF(A194=Inputs!$B$6,Inputs!$B$22,IF(D194="","",IFERROR(INDEX($Z$4:$Z$201,MATCH(D194,$A$4:$A$201,0))+IF(X194="",Inputs!$B$20,X194),""))))</f>
        <v/>
      </c>
      <c r="Z194" s="44" t="str">
        <f t="shared" si="200"/>
        <v/>
      </c>
      <c r="AA194" s="44" t="str">
        <f>IF(C194="","",IFERROR(INDEX(Noeuds_plan!$C$4:$C$200,MATCH(C194,Noeuds_plan!$A$4:$A$200,0)),""))</f>
        <v/>
      </c>
      <c r="AB194" s="44" t="str">
        <f>IF(B194="","",IFERROR(INDEX(Noeuds_plan!$C$4:$C$200,MATCH(B194,Noeuds_plan!$A$4:$A$200,0)),""))</f>
        <v/>
      </c>
      <c r="AC194" s="44" t="str">
        <f t="shared" si="201"/>
        <v/>
      </c>
      <c r="AD194" s="44" t="str">
        <f t="shared" si="202"/>
        <v/>
      </c>
      <c r="AE194" s="14" t="str">
        <f>IF(A194="","",IF(OR(V194&gt;1,AND(AY194&lt;&gt;"",AY194&lt;Inputs!$B$11),AND(AY194&lt;&gt;"",AY194&gt;Inputs!$B$12),AC194&lt;Inputs!$B$19,AD194&lt;Inputs!$B$19,P194&lt;Inputs!$B$7,P194&gt;Inputs!$B$8),"CHECK","OK"))</f>
        <v/>
      </c>
      <c r="AF194" s="14"/>
      <c r="AG194" s="14" t="str">
        <f>IF(A194="","",(1/Inputs!$B$9)*(PI()*(Inputs!$F$5/1000)^2/4)*((Inputs!$F$5/1000/4)^(2/3))*SQRT(P194))</f>
        <v/>
      </c>
      <c r="AH194" s="14" t="str">
        <f>IF(A194="","",(1/Inputs!$B$9)*(PI()*(Inputs!$F$6/1000)^2/4)*((Inputs!$F$6/1000/4)^(2/3))*SQRT(P194))</f>
        <v/>
      </c>
      <c r="AI194" s="14" t="str">
        <f>IF(A194="","",(1/Inputs!$B$9)*(PI()*(Inputs!$F$7/1000)^2/4)*((Inputs!$F$7/1000/4)^(2/3))*SQRT(P194))</f>
        <v/>
      </c>
      <c r="AJ194" s="14" t="str">
        <f>IF(A194="","",(1/Inputs!$B$9)*(PI()*(Inputs!$F$8/1000)^2/4)*((Inputs!$F$8/1000/4)^(2/3))*SQRT(P194))</f>
        <v/>
      </c>
      <c r="AK194" s="14" t="str">
        <f>IF(A194="","",(1/Inputs!$B$9)*(PI()*(Inputs!$F$9/1000)^2/4)*((Inputs!$F$9/1000/4)^(2/3))*SQRT(P194))</f>
        <v/>
      </c>
      <c r="AL194" s="14" t="str">
        <f>IF(A194="","",(1/Inputs!$B$9)*(PI()*(Inputs!$F$10/1000)^2/4)*((Inputs!$F$10/1000/4)^(2/3))*SQRT(P194))</f>
        <v/>
      </c>
      <c r="AM194" s="14" t="str">
        <f>IF(A194="","",(1/Inputs!$B$9)*(PI()*(Inputs!$F$11/1000)^2/4)*((Inputs!$F$11/1000/4)^(2/3))*SQRT(P194))</f>
        <v/>
      </c>
      <c r="AN194" s="14" t="str">
        <f>IF(A194="","",(1/Inputs!$B$9)*(PI()*(Inputs!$F$12/1000)^2/4)*((Inputs!$F$12/1000/4)^(2/3))*SQRT(P194))</f>
        <v/>
      </c>
      <c r="AO194" s="14" t="str">
        <f>IF(A194="","",(1/Inputs!$B$9)*(PI()*(Inputs!$F$13/1000)^2/4)*((Inputs!$F$13/1000/4)^(2/3))*SQRT(P194))</f>
        <v/>
      </c>
      <c r="AP194" s="14" t="str">
        <f>IF(A194="","",(1/Inputs!$B$9)*(PI()*(Inputs!$F$14/1000)^2/4)*((Inputs!$F$14/1000/4)^(2/3))*SQRT(P194))</f>
        <v/>
      </c>
      <c r="AQ194" s="14" t="str">
        <f t="shared" si="203"/>
        <v/>
      </c>
      <c r="AR194" s="14" t="str">
        <f t="shared" si="204"/>
        <v/>
      </c>
      <c r="AS194" s="17" t="str">
        <f>IF(A194="","",IF(J194="",Inputs!$B$18,J194))</f>
        <v/>
      </c>
      <c r="AT194" s="17" t="str">
        <f>IF(A194="","",IFERROR(_xludf.maxifs($AV$4:$AV$201,$D$4:$D$201,$A194),""))</f>
        <v/>
      </c>
      <c r="AU194" s="17" t="str">
        <f>IF(A194="","",IF(OR(E194="",Inputs!$B$23=""),"",E194/(Inputs!$B$23*60)))</f>
        <v/>
      </c>
      <c r="AV194" s="17" t="str">
        <f t="shared" si="205"/>
        <v/>
      </c>
      <c r="AW194" s="17" t="str">
        <f t="shared" si="206"/>
        <v/>
      </c>
      <c r="AX194" s="17" t="str">
        <f>IF(OR(T194="",P194=""),"",(1/Inputs!$B$9)*((T194/4)^(2/3))*SQRT(P194))</f>
        <v/>
      </c>
      <c r="AY194" s="17" t="str">
        <f>IF(A194="","",IF(AND(AW194="",AX194="",BA194=""),"",IF(OR(UPPER(TRIM(Inputs!$B$24))="MANNING",UPPER(TRIM(Inputs!$B$24))="M"),AX194,IF(OR(UPPER(TRIM(Inputs!$B$24))="PARTIAL",UPPER(TRIM(Inputs!$B$24))="P"),BA194,IF(OR(UPPER(TRIM(Inputs!$B$24))="MAX",UPPER(TRIM(Inputs!$B$24))="X"),MAX(IF(AW194="",0,AW194),IF(AX194="",0,AX194),IF(BA194="",0,BA194)),AW194)))))</f>
        <v/>
      </c>
      <c r="AZ194" s="17" t="str">
        <f t="shared" si="207"/>
        <v/>
      </c>
      <c r="BA194" s="17" t="str">
        <f t="shared" si="208"/>
        <v/>
      </c>
      <c r="BB194" s="14" t="str">
        <f t="shared" si="209"/>
        <v/>
      </c>
      <c r="BC194" s="14" t="str">
        <f>IF(OR(N194="",T194="",P194=""),"",IF(OR(T194="",P194="",(0.94*T194)="",T194&lt;=0,(0.94*T194)&lt;=0),"",(1/Inputs!$B$9)*((T194^2/8)*((2*ACOS(1-2*(0.94*T194)/T194))-SIN((2*ACOS(1-2*(0.94*T194)/T194)))))*((((T194^2/8)*((2*ACOS(1-2*(0.94*T194)/T194))-SIN((2*ACOS(1-2*(0.94*T194)/T194)))))/((T194/2)*((2*ACOS(1-2*(0.94*T194)/T194)))))^(2/3))*SQRT(P194)))</f>
        <v/>
      </c>
      <c r="BD194" s="14" t="str">
        <f t="shared" si="210"/>
        <v/>
      </c>
      <c r="BE194" s="14" t="str">
        <f t="shared" si="211"/>
        <v/>
      </c>
      <c r="BF194" s="14" t="str">
        <f t="shared" si="212"/>
        <v/>
      </c>
      <c r="BG194" s="14" t="str">
        <f>IF(OR(T194="",P194="",BF194="",T194&lt;=0,BF194&lt;=0),"",(1/Inputs!$B$9)*((T194^2/8)*((2*ACOS(1-2*BF194/T194))-SIN((2*ACOS(1-2*BF194/T194)))))*((((T194^2/8)*((2*ACOS(1-2*BF194/T194))-SIN((2*ACOS(1-2*BF194/T194)))))/((T194/2)*((2*ACOS(1-2*BF194/T194)))))^(2/3))*SQRT(P194))</f>
        <v/>
      </c>
      <c r="BH194" s="14" t="str">
        <f t="shared" si="213"/>
        <v/>
      </c>
      <c r="BI194" s="14" t="str">
        <f t="shared" si="214"/>
        <v/>
      </c>
      <c r="BJ194" s="14" t="str">
        <f t="shared" si="215"/>
        <v/>
      </c>
      <c r="BK194" s="14" t="str">
        <f>IF(OR(T194="",P194="",BJ194="",T194&lt;=0,BJ194&lt;=0),"",(1/Inputs!$B$9)*((T194^2/8)*((2*ACOS(1-2*BJ194/T194))-SIN((2*ACOS(1-2*BJ194/T194)))))*((((T194^2/8)*((2*ACOS(1-2*BJ194/T194))-SIN((2*ACOS(1-2*BJ194/T194)))))/((T194/2)*((2*ACOS(1-2*BJ194/T194)))))^(2/3))*SQRT(P194))</f>
        <v/>
      </c>
      <c r="BL194" s="14" t="str">
        <f t="shared" si="216"/>
        <v/>
      </c>
      <c r="BM194" s="14" t="str">
        <f t="shared" si="217"/>
        <v/>
      </c>
      <c r="BN194" s="14" t="str">
        <f t="shared" si="218"/>
        <v/>
      </c>
      <c r="BO194" s="14" t="str">
        <f>IF(OR(T194="",P194="",BN194="",T194&lt;=0,BN194&lt;=0),"",(1/Inputs!$B$9)*((T194^2/8)*((2*ACOS(1-2*BN194/T194))-SIN((2*ACOS(1-2*BN194/T194)))))*((((T194^2/8)*((2*ACOS(1-2*BN194/T194))-SIN((2*ACOS(1-2*BN194/T194)))))/((T194/2)*((2*ACOS(1-2*BN194/T194)))))^(2/3))*SQRT(P194))</f>
        <v/>
      </c>
      <c r="BP194" s="14" t="str">
        <f t="shared" si="219"/>
        <v/>
      </c>
      <c r="BQ194" s="14" t="str">
        <f t="shared" si="220"/>
        <v/>
      </c>
      <c r="BR194" s="14" t="str">
        <f t="shared" si="221"/>
        <v/>
      </c>
      <c r="BS194" s="14" t="str">
        <f>IF(OR(T194="",P194="",BR194="",T194&lt;=0,BR194&lt;=0),"",(1/Inputs!$B$9)*((T194^2/8)*((2*ACOS(1-2*BR194/T194))-SIN((2*ACOS(1-2*BR194/T194)))))*((((T194^2/8)*((2*ACOS(1-2*BR194/T194))-SIN((2*ACOS(1-2*BR194/T194)))))/((T194/2)*((2*ACOS(1-2*BR194/T194)))))^(2/3))*SQRT(P194))</f>
        <v/>
      </c>
      <c r="BT194" s="14" t="str">
        <f t="shared" si="222"/>
        <v/>
      </c>
      <c r="BU194" s="14" t="str">
        <f t="shared" si="223"/>
        <v/>
      </c>
      <c r="BV194" s="14" t="str">
        <f t="shared" si="224"/>
        <v/>
      </c>
      <c r="BW194" s="14" t="str">
        <f>IF(OR(T194="",P194="",BV194="",T194&lt;=0,BV194&lt;=0),"",(1/Inputs!$B$9)*((T194^2/8)*((2*ACOS(1-2*BV194/T194))-SIN((2*ACOS(1-2*BV194/T194)))))*((((T194^2/8)*((2*ACOS(1-2*BV194/T194))-SIN((2*ACOS(1-2*BV194/T194)))))/((T194/2)*((2*ACOS(1-2*BV194/T194)))))^(2/3))*SQRT(P194))</f>
        <v/>
      </c>
      <c r="BX194" s="14" t="str">
        <f t="shared" si="225"/>
        <v/>
      </c>
      <c r="BY194" s="14" t="str">
        <f t="shared" si="226"/>
        <v/>
      </c>
      <c r="BZ194" s="14" t="str">
        <f t="shared" si="227"/>
        <v/>
      </c>
      <c r="CA194" s="14" t="str">
        <f>IF(OR(T194="",P194="",BZ194="",T194&lt;=0,BZ194&lt;=0),"",(1/Inputs!$B$9)*((T194^2/8)*((2*ACOS(1-2*BZ194/T194))-SIN((2*ACOS(1-2*BZ194/T194)))))*((((T194^2/8)*((2*ACOS(1-2*BZ194/T194))-SIN((2*ACOS(1-2*BZ194/T194)))))/((T194/2)*((2*ACOS(1-2*BZ194/T194)))))^(2/3))*SQRT(P194))</f>
        <v/>
      </c>
      <c r="CB194" s="14" t="str">
        <f t="shared" si="228"/>
        <v/>
      </c>
      <c r="CC194" s="14" t="str">
        <f t="shared" si="229"/>
        <v/>
      </c>
      <c r="CD194" s="14" t="str">
        <f t="shared" si="230"/>
        <v/>
      </c>
      <c r="CE194" s="14" t="str">
        <f>IF(OR(T194="",P194="",CD194="",T194&lt;=0,CD194&lt;=0),"",(1/Inputs!$B$9)*((T194^2/8)*((2*ACOS(1-2*CD194/T194))-SIN((2*ACOS(1-2*CD194/T194)))))*((((T194^2/8)*((2*ACOS(1-2*CD194/T194))-SIN((2*ACOS(1-2*CD194/T194)))))/((T194/2)*((2*ACOS(1-2*CD194/T194)))))^(2/3))*SQRT(P194))</f>
        <v/>
      </c>
      <c r="CF194" s="14" t="str">
        <f t="shared" si="231"/>
        <v/>
      </c>
      <c r="CG194" s="14" t="str">
        <f t="shared" si="232"/>
        <v/>
      </c>
      <c r="CH194" s="14" t="str">
        <f t="shared" si="233"/>
        <v/>
      </c>
    </row>
    <row r="195" spans="1:86" x14ac:dyDescent="0.25">
      <c r="A195" s="14"/>
      <c r="B195" s="14"/>
      <c r="C195" s="14"/>
      <c r="D195" s="14"/>
      <c r="E195" s="44"/>
      <c r="F195" s="44"/>
      <c r="G195" s="44">
        <f>SUMIFS(CB_plan!$G:$G,CB_plan!$F:$F,$A195)</f>
        <v>0</v>
      </c>
      <c r="H195" s="44">
        <f t="shared" si="195"/>
        <v>0</v>
      </c>
      <c r="I195" s="14"/>
      <c r="J195" s="44"/>
      <c r="K195" s="44" t="str">
        <f>IF(A195="","",Inputs!$B$13/((IF(AV195="",Inputs!$B$18,AV195)+Inputs!$B$14)^Inputs!$B$15))</f>
        <v/>
      </c>
      <c r="L195" s="44" t="str">
        <f>IF(A195="","",IF(H195="","",0.000000278*IF(I195&lt;&gt;"",I195,IFERROR(SUMIFS(CB_plan!$H:$H,CB_plan!$F:$F,$A195)/SUMIFS(CB_plan!$G:$G,CB_plan!$F:$F,$A195),Inputs!$B$17))*H195*K195))</f>
        <v/>
      </c>
      <c r="M195" s="44" t="str">
        <f t="shared" si="196"/>
        <v/>
      </c>
      <c r="N195" s="44" t="str">
        <f>IF(A195="","",(L195+M195)*Inputs!$B$16)</f>
        <v/>
      </c>
      <c r="O195" s="44"/>
      <c r="P195" s="44" t="str">
        <f>IF(A195="","",IF(O195="",Inputs!$B$7,O195))</f>
        <v/>
      </c>
      <c r="Q195" s="14" t="str">
        <f>IF(A195="","",IF(N195/Inputs!$B$10&lt;=AG195,Inputs!$F$5,IF(N195/Inputs!$B$10&gt;AP195,"OVERSIZE",INDEX(Inputs!$F$5:$F$14,MATCH(N195/Inputs!$B$10,AG195:AP195,1)+1))))</f>
        <v/>
      </c>
      <c r="R195" s="14"/>
      <c r="S195" s="14" t="str">
        <f t="shared" si="197"/>
        <v/>
      </c>
      <c r="T195" s="44" t="str">
        <f t="shared" si="198"/>
        <v/>
      </c>
      <c r="U195" s="44" t="str">
        <f>IF(T195="","",(1/Inputs!$B$9)*(PI()*T195^2/4)*((T195/4)^(2/3))*SQRT(P195))</f>
        <v/>
      </c>
      <c r="V195" s="44" t="str">
        <f>IF(OR(U195="",N195=""),"",N195/(U195*Inputs!$B$10))</f>
        <v/>
      </c>
      <c r="W195" s="44" t="str">
        <f t="shared" si="199"/>
        <v/>
      </c>
      <c r="X195" s="44"/>
      <c r="Y195" s="44" t="str">
        <f>IF(A195="","",IF(A195=Inputs!$B$6,Inputs!$B$22,IF(D195="","",IFERROR(INDEX($Z$4:$Z$201,MATCH(D195,$A$4:$A$201,0))+IF(X195="",Inputs!$B$20,X195),""))))</f>
        <v/>
      </c>
      <c r="Z195" s="44" t="str">
        <f t="shared" si="200"/>
        <v/>
      </c>
      <c r="AA195" s="44" t="str">
        <f>IF(C195="","",IFERROR(INDEX(Noeuds_plan!$C$4:$C$200,MATCH(C195,Noeuds_plan!$A$4:$A$200,0)),""))</f>
        <v/>
      </c>
      <c r="AB195" s="44" t="str">
        <f>IF(B195="","",IFERROR(INDEX(Noeuds_plan!$C$4:$C$200,MATCH(B195,Noeuds_plan!$A$4:$A$200,0)),""))</f>
        <v/>
      </c>
      <c r="AC195" s="44" t="str">
        <f t="shared" si="201"/>
        <v/>
      </c>
      <c r="AD195" s="44" t="str">
        <f t="shared" si="202"/>
        <v/>
      </c>
      <c r="AE195" s="14" t="str">
        <f>IF(A195="","",IF(OR(V195&gt;1,AND(AY195&lt;&gt;"",AY195&lt;Inputs!$B$11),AND(AY195&lt;&gt;"",AY195&gt;Inputs!$B$12),AC195&lt;Inputs!$B$19,AD195&lt;Inputs!$B$19,P195&lt;Inputs!$B$7,P195&gt;Inputs!$B$8),"CHECK","OK"))</f>
        <v/>
      </c>
      <c r="AF195" s="14"/>
      <c r="AG195" s="14" t="str">
        <f>IF(A195="","",(1/Inputs!$B$9)*(PI()*(Inputs!$F$5/1000)^2/4)*((Inputs!$F$5/1000/4)^(2/3))*SQRT(P195))</f>
        <v/>
      </c>
      <c r="AH195" s="14" t="str">
        <f>IF(A195="","",(1/Inputs!$B$9)*(PI()*(Inputs!$F$6/1000)^2/4)*((Inputs!$F$6/1000/4)^(2/3))*SQRT(P195))</f>
        <v/>
      </c>
      <c r="AI195" s="14" t="str">
        <f>IF(A195="","",(1/Inputs!$B$9)*(PI()*(Inputs!$F$7/1000)^2/4)*((Inputs!$F$7/1000/4)^(2/3))*SQRT(P195))</f>
        <v/>
      </c>
      <c r="AJ195" s="14" t="str">
        <f>IF(A195="","",(1/Inputs!$B$9)*(PI()*(Inputs!$F$8/1000)^2/4)*((Inputs!$F$8/1000/4)^(2/3))*SQRT(P195))</f>
        <v/>
      </c>
      <c r="AK195" s="14" t="str">
        <f>IF(A195="","",(1/Inputs!$B$9)*(PI()*(Inputs!$F$9/1000)^2/4)*((Inputs!$F$9/1000/4)^(2/3))*SQRT(P195))</f>
        <v/>
      </c>
      <c r="AL195" s="14" t="str">
        <f>IF(A195="","",(1/Inputs!$B$9)*(PI()*(Inputs!$F$10/1000)^2/4)*((Inputs!$F$10/1000/4)^(2/3))*SQRT(P195))</f>
        <v/>
      </c>
      <c r="AM195" s="14" t="str">
        <f>IF(A195="","",(1/Inputs!$B$9)*(PI()*(Inputs!$F$11/1000)^2/4)*((Inputs!$F$11/1000/4)^(2/3))*SQRT(P195))</f>
        <v/>
      </c>
      <c r="AN195" s="14" t="str">
        <f>IF(A195="","",(1/Inputs!$B$9)*(PI()*(Inputs!$F$12/1000)^2/4)*((Inputs!$F$12/1000/4)^(2/3))*SQRT(P195))</f>
        <v/>
      </c>
      <c r="AO195" s="14" t="str">
        <f>IF(A195="","",(1/Inputs!$B$9)*(PI()*(Inputs!$F$13/1000)^2/4)*((Inputs!$F$13/1000/4)^(2/3))*SQRT(P195))</f>
        <v/>
      </c>
      <c r="AP195" s="14" t="str">
        <f>IF(A195="","",(1/Inputs!$B$9)*(PI()*(Inputs!$F$14/1000)^2/4)*((Inputs!$F$14/1000/4)^(2/3))*SQRT(P195))</f>
        <v/>
      </c>
      <c r="AQ195" s="14" t="str">
        <f t="shared" si="203"/>
        <v/>
      </c>
      <c r="AR195" s="14" t="str">
        <f t="shared" si="204"/>
        <v/>
      </c>
      <c r="AS195" s="17" t="str">
        <f>IF(A195="","",IF(J195="",Inputs!$B$18,J195))</f>
        <v/>
      </c>
      <c r="AT195" s="17" t="str">
        <f>IF(A195="","",IFERROR(_xludf.maxifs($AV$4:$AV$201,$D$4:$D$201,$A195),""))</f>
        <v/>
      </c>
      <c r="AU195" s="17" t="str">
        <f>IF(A195="","",IF(OR(E195="",Inputs!$B$23=""),"",E195/(Inputs!$B$23*60)))</f>
        <v/>
      </c>
      <c r="AV195" s="17" t="str">
        <f t="shared" si="205"/>
        <v/>
      </c>
      <c r="AW195" s="17" t="str">
        <f t="shared" si="206"/>
        <v/>
      </c>
      <c r="AX195" s="17" t="str">
        <f>IF(OR(T195="",P195=""),"",(1/Inputs!$B$9)*((T195/4)^(2/3))*SQRT(P195))</f>
        <v/>
      </c>
      <c r="AY195" s="17" t="str">
        <f>IF(A195="","",IF(AND(AW195="",AX195="",BA195=""),"",IF(OR(UPPER(TRIM(Inputs!$B$24))="MANNING",UPPER(TRIM(Inputs!$B$24))="M"),AX195,IF(OR(UPPER(TRIM(Inputs!$B$24))="PARTIAL",UPPER(TRIM(Inputs!$B$24))="P"),BA195,IF(OR(UPPER(TRIM(Inputs!$B$24))="MAX",UPPER(TRIM(Inputs!$B$24))="X"),MAX(IF(AW195="",0,AW195),IF(AX195="",0,AX195),IF(BA195="",0,BA195)),AW195)))))</f>
        <v/>
      </c>
      <c r="AZ195" s="17" t="str">
        <f t="shared" si="207"/>
        <v/>
      </c>
      <c r="BA195" s="17" t="str">
        <f t="shared" si="208"/>
        <v/>
      </c>
      <c r="BB195" s="14" t="str">
        <f t="shared" si="209"/>
        <v/>
      </c>
      <c r="BC195" s="14" t="str">
        <f>IF(OR(N195="",T195="",P195=""),"",IF(OR(T195="",P195="",(0.94*T195)="",T195&lt;=0,(0.94*T195)&lt;=0),"",(1/Inputs!$B$9)*((T195^2/8)*((2*ACOS(1-2*(0.94*T195)/T195))-SIN((2*ACOS(1-2*(0.94*T195)/T195)))))*((((T195^2/8)*((2*ACOS(1-2*(0.94*T195)/T195))-SIN((2*ACOS(1-2*(0.94*T195)/T195)))))/((T195/2)*((2*ACOS(1-2*(0.94*T195)/T195)))))^(2/3))*SQRT(P195)))</f>
        <v/>
      </c>
      <c r="BD195" s="14" t="str">
        <f t="shared" si="210"/>
        <v/>
      </c>
      <c r="BE195" s="14" t="str">
        <f t="shared" si="211"/>
        <v/>
      </c>
      <c r="BF195" s="14" t="str">
        <f t="shared" si="212"/>
        <v/>
      </c>
      <c r="BG195" s="14" t="str">
        <f>IF(OR(T195="",P195="",BF195="",T195&lt;=0,BF195&lt;=0),"",(1/Inputs!$B$9)*((T195^2/8)*((2*ACOS(1-2*BF195/T195))-SIN((2*ACOS(1-2*BF195/T195)))))*((((T195^2/8)*((2*ACOS(1-2*BF195/T195))-SIN((2*ACOS(1-2*BF195/T195)))))/((T195/2)*((2*ACOS(1-2*BF195/T195)))))^(2/3))*SQRT(P195))</f>
        <v/>
      </c>
      <c r="BH195" s="14" t="str">
        <f t="shared" si="213"/>
        <v/>
      </c>
      <c r="BI195" s="14" t="str">
        <f t="shared" si="214"/>
        <v/>
      </c>
      <c r="BJ195" s="14" t="str">
        <f t="shared" si="215"/>
        <v/>
      </c>
      <c r="BK195" s="14" t="str">
        <f>IF(OR(T195="",P195="",BJ195="",T195&lt;=0,BJ195&lt;=0),"",(1/Inputs!$B$9)*((T195^2/8)*((2*ACOS(1-2*BJ195/T195))-SIN((2*ACOS(1-2*BJ195/T195)))))*((((T195^2/8)*((2*ACOS(1-2*BJ195/T195))-SIN((2*ACOS(1-2*BJ195/T195)))))/((T195/2)*((2*ACOS(1-2*BJ195/T195)))))^(2/3))*SQRT(P195))</f>
        <v/>
      </c>
      <c r="BL195" s="14" t="str">
        <f t="shared" si="216"/>
        <v/>
      </c>
      <c r="BM195" s="14" t="str">
        <f t="shared" si="217"/>
        <v/>
      </c>
      <c r="BN195" s="14" t="str">
        <f t="shared" si="218"/>
        <v/>
      </c>
      <c r="BO195" s="14" t="str">
        <f>IF(OR(T195="",P195="",BN195="",T195&lt;=0,BN195&lt;=0),"",(1/Inputs!$B$9)*((T195^2/8)*((2*ACOS(1-2*BN195/T195))-SIN((2*ACOS(1-2*BN195/T195)))))*((((T195^2/8)*((2*ACOS(1-2*BN195/T195))-SIN((2*ACOS(1-2*BN195/T195)))))/((T195/2)*((2*ACOS(1-2*BN195/T195)))))^(2/3))*SQRT(P195))</f>
        <v/>
      </c>
      <c r="BP195" s="14" t="str">
        <f t="shared" si="219"/>
        <v/>
      </c>
      <c r="BQ195" s="14" t="str">
        <f t="shared" si="220"/>
        <v/>
      </c>
      <c r="BR195" s="14" t="str">
        <f t="shared" si="221"/>
        <v/>
      </c>
      <c r="BS195" s="14" t="str">
        <f>IF(OR(T195="",P195="",BR195="",T195&lt;=0,BR195&lt;=0),"",(1/Inputs!$B$9)*((T195^2/8)*((2*ACOS(1-2*BR195/T195))-SIN((2*ACOS(1-2*BR195/T195)))))*((((T195^2/8)*((2*ACOS(1-2*BR195/T195))-SIN((2*ACOS(1-2*BR195/T195)))))/((T195/2)*((2*ACOS(1-2*BR195/T195)))))^(2/3))*SQRT(P195))</f>
        <v/>
      </c>
      <c r="BT195" s="14" t="str">
        <f t="shared" si="222"/>
        <v/>
      </c>
      <c r="BU195" s="14" t="str">
        <f t="shared" si="223"/>
        <v/>
      </c>
      <c r="BV195" s="14" t="str">
        <f t="shared" si="224"/>
        <v/>
      </c>
      <c r="BW195" s="14" t="str">
        <f>IF(OR(T195="",P195="",BV195="",T195&lt;=0,BV195&lt;=0),"",(1/Inputs!$B$9)*((T195^2/8)*((2*ACOS(1-2*BV195/T195))-SIN((2*ACOS(1-2*BV195/T195)))))*((((T195^2/8)*((2*ACOS(1-2*BV195/T195))-SIN((2*ACOS(1-2*BV195/T195)))))/((T195/2)*((2*ACOS(1-2*BV195/T195)))))^(2/3))*SQRT(P195))</f>
        <v/>
      </c>
      <c r="BX195" s="14" t="str">
        <f t="shared" si="225"/>
        <v/>
      </c>
      <c r="BY195" s="14" t="str">
        <f t="shared" si="226"/>
        <v/>
      </c>
      <c r="BZ195" s="14" t="str">
        <f t="shared" si="227"/>
        <v/>
      </c>
      <c r="CA195" s="14" t="str">
        <f>IF(OR(T195="",P195="",BZ195="",T195&lt;=0,BZ195&lt;=0),"",(1/Inputs!$B$9)*((T195^2/8)*((2*ACOS(1-2*BZ195/T195))-SIN((2*ACOS(1-2*BZ195/T195)))))*((((T195^2/8)*((2*ACOS(1-2*BZ195/T195))-SIN((2*ACOS(1-2*BZ195/T195)))))/((T195/2)*((2*ACOS(1-2*BZ195/T195)))))^(2/3))*SQRT(P195))</f>
        <v/>
      </c>
      <c r="CB195" s="14" t="str">
        <f t="shared" si="228"/>
        <v/>
      </c>
      <c r="CC195" s="14" t="str">
        <f t="shared" si="229"/>
        <v/>
      </c>
      <c r="CD195" s="14" t="str">
        <f t="shared" si="230"/>
        <v/>
      </c>
      <c r="CE195" s="14" t="str">
        <f>IF(OR(T195="",P195="",CD195="",T195&lt;=0,CD195&lt;=0),"",(1/Inputs!$B$9)*((T195^2/8)*((2*ACOS(1-2*CD195/T195))-SIN((2*ACOS(1-2*CD195/T195)))))*((((T195^2/8)*((2*ACOS(1-2*CD195/T195))-SIN((2*ACOS(1-2*CD195/T195)))))/((T195/2)*((2*ACOS(1-2*CD195/T195)))))^(2/3))*SQRT(P195))</f>
        <v/>
      </c>
      <c r="CF195" s="14" t="str">
        <f t="shared" si="231"/>
        <v/>
      </c>
      <c r="CG195" s="14" t="str">
        <f t="shared" si="232"/>
        <v/>
      </c>
      <c r="CH195" s="14" t="str">
        <f t="shared" si="233"/>
        <v/>
      </c>
    </row>
    <row r="196" spans="1:86" x14ac:dyDescent="0.25">
      <c r="A196" s="14"/>
      <c r="B196" s="14"/>
      <c r="C196" s="14"/>
      <c r="D196" s="14"/>
      <c r="E196" s="44"/>
      <c r="F196" s="44"/>
      <c r="G196" s="44">
        <f>SUMIFS(CB_plan!$G:$G,CB_plan!$F:$F,$A196)</f>
        <v>0</v>
      </c>
      <c r="H196" s="44">
        <f t="shared" ref="H196:H227" si="234">IF(F196="",G196,F196)</f>
        <v>0</v>
      </c>
      <c r="I196" s="14"/>
      <c r="J196" s="44"/>
      <c r="K196" s="44" t="str">
        <f>IF(A196="","",Inputs!$B$13/((IF(AV196="",Inputs!$B$18,AV196)+Inputs!$B$14)^Inputs!$B$15))</f>
        <v/>
      </c>
      <c r="L196" s="44" t="str">
        <f>IF(A196="","",IF(H196="","",0.000000278*IF(I196&lt;&gt;"",I196,IFERROR(SUMIFS(CB_plan!$H:$H,CB_plan!$F:$F,$A196)/SUMIFS(CB_plan!$G:$G,CB_plan!$F:$F,$A196),Inputs!$B$17))*H196*K196))</f>
        <v/>
      </c>
      <c r="M196" s="44" t="str">
        <f t="shared" ref="M196:M201" si="235">IF(A196="","",SUMIFS($N$4:$N$201,$D$4:$D$201,$A196))</f>
        <v/>
      </c>
      <c r="N196" s="44" t="str">
        <f>IF(A196="","",(L196+M196)*Inputs!$B$16)</f>
        <v/>
      </c>
      <c r="O196" s="44"/>
      <c r="P196" s="44" t="str">
        <f>IF(A196="","",IF(O196="",Inputs!$B$7,O196))</f>
        <v/>
      </c>
      <c r="Q196" s="14" t="str">
        <f>IF(A196="","",IF(N196/Inputs!$B$10&lt;=AG196,Inputs!$F$5,IF(N196/Inputs!$B$10&gt;AP196,"OVERSIZE",INDEX(Inputs!$F$5:$F$14,MATCH(N196/Inputs!$B$10,AG196:AP196,1)+1))))</f>
        <v/>
      </c>
      <c r="R196" s="14"/>
      <c r="S196" s="14" t="str">
        <f t="shared" ref="S196:S227" si="236">IF(A196="","",IF(R196="",Q196,R196))</f>
        <v/>
      </c>
      <c r="T196" s="44" t="str">
        <f t="shared" ref="T196:T227" si="237">IF(OR(S196="",S196="OVERSIZE"),"",S196/1000)</f>
        <v/>
      </c>
      <c r="U196" s="44" t="str">
        <f>IF(T196="","",(1/Inputs!$B$9)*(PI()*T196^2/4)*((T196/4)^(2/3))*SQRT(P196))</f>
        <v/>
      </c>
      <c r="V196" s="44" t="str">
        <f>IF(OR(U196="",N196=""),"",N196/(U196*Inputs!$B$10))</f>
        <v/>
      </c>
      <c r="W196" s="44" t="str">
        <f t="shared" ref="W196:W201" si="238">IF(OR(T196="",N196=""),"",4*N196/(PI()*T196^2))</f>
        <v/>
      </c>
      <c r="X196" s="44"/>
      <c r="Y196" s="44" t="str">
        <f>IF(A196="","",IF(A196=Inputs!$B$6,Inputs!$B$22,IF(D196="","",IFERROR(INDEX($Z$4:$Z$201,MATCH(D196,$A$4:$A$201,0))+IF(X196="",Inputs!$B$20,X196),""))))</f>
        <v/>
      </c>
      <c r="Z196" s="44" t="str">
        <f t="shared" ref="Z196:Z227" si="239">IF(OR(Y196="",P196="",E196=""),"",Y196+P196*E196)</f>
        <v/>
      </c>
      <c r="AA196" s="44" t="str">
        <f>IF(C196="","",IFERROR(INDEX(Noeuds_plan!$C$4:$C$200,MATCH(C196,Noeuds_plan!$A$4:$A$200,0)),""))</f>
        <v/>
      </c>
      <c r="AB196" s="44" t="str">
        <f>IF(B196="","",IFERROR(INDEX(Noeuds_plan!$C$4:$C$200,MATCH(B196,Noeuds_plan!$A$4:$A$200,0)),""))</f>
        <v/>
      </c>
      <c r="AC196" s="44" t="str">
        <f t="shared" ref="AC196:AC201" si="240">IF(OR(AA196="",Y196=""),"",AA196-Y196)</f>
        <v/>
      </c>
      <c r="AD196" s="44" t="str">
        <f t="shared" ref="AD196:AD201" si="241">IF(OR(AB196="",Z196=""),"",AB196-Z196)</f>
        <v/>
      </c>
      <c r="AE196" s="14" t="str">
        <f>IF(A196="","",IF(OR(V196&gt;1,AND(AY196&lt;&gt;"",AY196&lt;Inputs!$B$11),AND(AY196&lt;&gt;"",AY196&gt;Inputs!$B$12),AC196&lt;Inputs!$B$19,AD196&lt;Inputs!$B$19,P196&lt;Inputs!$B$7,P196&gt;Inputs!$B$8),"CHECK","OK"))</f>
        <v/>
      </c>
      <c r="AF196" s="14"/>
      <c r="AG196" s="14" t="str">
        <f>IF(A196="","",(1/Inputs!$B$9)*(PI()*(Inputs!$F$5/1000)^2/4)*((Inputs!$F$5/1000/4)^(2/3))*SQRT(P196))</f>
        <v/>
      </c>
      <c r="AH196" s="14" t="str">
        <f>IF(A196="","",(1/Inputs!$B$9)*(PI()*(Inputs!$F$6/1000)^2/4)*((Inputs!$F$6/1000/4)^(2/3))*SQRT(P196))</f>
        <v/>
      </c>
      <c r="AI196" s="14" t="str">
        <f>IF(A196="","",(1/Inputs!$B$9)*(PI()*(Inputs!$F$7/1000)^2/4)*((Inputs!$F$7/1000/4)^(2/3))*SQRT(P196))</f>
        <v/>
      </c>
      <c r="AJ196" s="14" t="str">
        <f>IF(A196="","",(1/Inputs!$B$9)*(PI()*(Inputs!$F$8/1000)^2/4)*((Inputs!$F$8/1000/4)^(2/3))*SQRT(P196))</f>
        <v/>
      </c>
      <c r="AK196" s="14" t="str">
        <f>IF(A196="","",(1/Inputs!$B$9)*(PI()*(Inputs!$F$9/1000)^2/4)*((Inputs!$F$9/1000/4)^(2/3))*SQRT(P196))</f>
        <v/>
      </c>
      <c r="AL196" s="14" t="str">
        <f>IF(A196="","",(1/Inputs!$B$9)*(PI()*(Inputs!$F$10/1000)^2/4)*((Inputs!$F$10/1000/4)^(2/3))*SQRT(P196))</f>
        <v/>
      </c>
      <c r="AM196" s="14" t="str">
        <f>IF(A196="","",(1/Inputs!$B$9)*(PI()*(Inputs!$F$11/1000)^2/4)*((Inputs!$F$11/1000/4)^(2/3))*SQRT(P196))</f>
        <v/>
      </c>
      <c r="AN196" s="14" t="str">
        <f>IF(A196="","",(1/Inputs!$B$9)*(PI()*(Inputs!$F$12/1000)^2/4)*((Inputs!$F$12/1000/4)^(2/3))*SQRT(P196))</f>
        <v/>
      </c>
      <c r="AO196" s="14" t="str">
        <f>IF(A196="","",(1/Inputs!$B$9)*(PI()*(Inputs!$F$13/1000)^2/4)*((Inputs!$F$13/1000/4)^(2/3))*SQRT(P196))</f>
        <v/>
      </c>
      <c r="AP196" s="14" t="str">
        <f>IF(A196="","",(1/Inputs!$B$9)*(PI()*(Inputs!$F$14/1000)^2/4)*((Inputs!$F$14/1000/4)^(2/3))*SQRT(P196))</f>
        <v/>
      </c>
      <c r="AQ196" s="14" t="str">
        <f t="shared" ref="AQ196:AQ201" si="242">IF(A196="","",COUNTIF($D$4:$D$201,$A196))</f>
        <v/>
      </c>
      <c r="AR196" s="14" t="str">
        <f t="shared" ref="AR196:AR227" si="243">IF(A196="","",IF(AQ196=0,"START","CONTINUOUS"))</f>
        <v/>
      </c>
      <c r="AS196" s="17" t="str">
        <f>IF(A196="","",IF(J196="",Inputs!$B$18,J196))</f>
        <v/>
      </c>
      <c r="AT196" s="17" t="str">
        <f>IF(A196="","",IFERROR(_xludf.maxifs($AV$4:$AV$201,$D$4:$D$201,$A196),""))</f>
        <v/>
      </c>
      <c r="AU196" s="17" t="str">
        <f>IF(A196="","",IF(OR(E196="",Inputs!$B$23=""),"",E196/(Inputs!$B$23*60)))</f>
        <v/>
      </c>
      <c r="AV196" s="17" t="str">
        <f t="shared" ref="AV196:AV227" si="244">IF(A196="","",IF(AQ196=0,AS196+AU196,IF(AT196="",AS196+AU196,AT196+AU196)))</f>
        <v/>
      </c>
      <c r="AW196" s="17" t="str">
        <f t="shared" ref="AW196:AW201" si="245">IF(A196="","",W196)</f>
        <v/>
      </c>
      <c r="AX196" s="17" t="str">
        <f>IF(OR(T196="",P196=""),"",(1/Inputs!$B$9)*((T196/4)^(2/3))*SQRT(P196))</f>
        <v/>
      </c>
      <c r="AY196" s="17" t="str">
        <f>IF(A196="","",IF(AND(AW196="",AX196="",BA196=""),"",IF(OR(UPPER(TRIM(Inputs!$B$24))="MANNING",UPPER(TRIM(Inputs!$B$24))="M"),AX196,IF(OR(UPPER(TRIM(Inputs!$B$24))="PARTIAL",UPPER(TRIM(Inputs!$B$24))="P"),BA196,IF(OR(UPPER(TRIM(Inputs!$B$24))="MAX",UPPER(TRIM(Inputs!$B$24))="X"),MAX(IF(AW196="",0,AW196),IF(AX196="",0,AX196),IF(BA196="",0,BA196)),AW196)))))</f>
        <v/>
      </c>
      <c r="AZ196" s="17" t="str">
        <f t="shared" ref="AZ196:AZ201" si="246">IF(BB196="","",CH196)</f>
        <v/>
      </c>
      <c r="BA196" s="17" t="str">
        <f t="shared" ref="BA196:BA227" si="247">IF(OR(BB196="",AZ196="",T196="",T196&lt;=0,AZ196&lt;=0),"",BB196/((T196^2/8)*(2*ACOS(1-2*AZ196/T196)-SIN(2*ACOS(1-2*AZ196/T196)))))</f>
        <v/>
      </c>
      <c r="BB196" s="14" t="str">
        <f t="shared" ref="BB196:BB227" si="248">IF(OR(N196="",BC196=""),"",MIN(N196,BC196))</f>
        <v/>
      </c>
      <c r="BC196" s="14" t="str">
        <f>IF(OR(N196="",T196="",P196=""),"",IF(OR(T196="",P196="",(0.94*T196)="",T196&lt;=0,(0.94*T196)&lt;=0),"",(1/Inputs!$B$9)*((T196^2/8)*((2*ACOS(1-2*(0.94*T196)/T196))-SIN((2*ACOS(1-2*(0.94*T196)/T196)))))*((((T196^2/8)*((2*ACOS(1-2*(0.94*T196)/T196))-SIN((2*ACOS(1-2*(0.94*T196)/T196)))))/((T196/2)*((2*ACOS(1-2*(0.94*T196)/T196)))))^(2/3))*SQRT(P196)))</f>
        <v/>
      </c>
      <c r="BD196" s="14" t="str">
        <f t="shared" ref="BD196:BD201" si="249">IF(BB196="","",0.001*T196)</f>
        <v/>
      </c>
      <c r="BE196" s="14" t="str">
        <f t="shared" ref="BE196:BE201" si="250">IF(BB196="","",0.94*T196)</f>
        <v/>
      </c>
      <c r="BF196" s="14" t="str">
        <f t="shared" ref="BF196:BF227" si="251">IF(BB196="","",(BD196+BE196)/2)</f>
        <v/>
      </c>
      <c r="BG196" s="14" t="str">
        <f>IF(OR(T196="",P196="",BF196="",T196&lt;=0,BF196&lt;=0),"",(1/Inputs!$B$9)*((T196^2/8)*((2*ACOS(1-2*BF196/T196))-SIN((2*ACOS(1-2*BF196/T196)))))*((((T196^2/8)*((2*ACOS(1-2*BF196/T196))-SIN((2*ACOS(1-2*BF196/T196)))))/((T196/2)*((2*ACOS(1-2*BF196/T196)))))^(2/3))*SQRT(P196))</f>
        <v/>
      </c>
      <c r="BH196" s="14" t="str">
        <f t="shared" ref="BH196:BH227" si="252">IF(BB196="","",IF(BG196&lt;BB196,BF196,BD196))</f>
        <v/>
      </c>
      <c r="BI196" s="14" t="str">
        <f t="shared" ref="BI196:BI201" si="253">IF(BB196="","",IF(BG196&lt;BB196,BE196,BF196))</f>
        <v/>
      </c>
      <c r="BJ196" s="14" t="str">
        <f t="shared" ref="BJ196:BJ227" si="254">IF(BB196="","",(BH196+BI196)/2)</f>
        <v/>
      </c>
      <c r="BK196" s="14" t="str">
        <f>IF(OR(T196="",P196="",BJ196="",T196&lt;=0,BJ196&lt;=0),"",(1/Inputs!$B$9)*((T196^2/8)*((2*ACOS(1-2*BJ196/T196))-SIN((2*ACOS(1-2*BJ196/T196)))))*((((T196^2/8)*((2*ACOS(1-2*BJ196/T196))-SIN((2*ACOS(1-2*BJ196/T196)))))/((T196/2)*((2*ACOS(1-2*BJ196/T196)))))^(2/3))*SQRT(P196))</f>
        <v/>
      </c>
      <c r="BL196" s="14" t="str">
        <f t="shared" ref="BL196:BL227" si="255">IF(BB196="","",IF(BK196&lt;BB196,BJ196,BH196))</f>
        <v/>
      </c>
      <c r="BM196" s="14" t="str">
        <f t="shared" ref="BM196:BM201" si="256">IF(BB196="","",IF(BK196&lt;BB196,BI196,BJ196))</f>
        <v/>
      </c>
      <c r="BN196" s="14" t="str">
        <f t="shared" ref="BN196:BN227" si="257">IF(BB196="","",(BL196+BM196)/2)</f>
        <v/>
      </c>
      <c r="BO196" s="14" t="str">
        <f>IF(OR(T196="",P196="",BN196="",T196&lt;=0,BN196&lt;=0),"",(1/Inputs!$B$9)*((T196^2/8)*((2*ACOS(1-2*BN196/T196))-SIN((2*ACOS(1-2*BN196/T196)))))*((((T196^2/8)*((2*ACOS(1-2*BN196/T196))-SIN((2*ACOS(1-2*BN196/T196)))))/((T196/2)*((2*ACOS(1-2*BN196/T196)))))^(2/3))*SQRT(P196))</f>
        <v/>
      </c>
      <c r="BP196" s="14" t="str">
        <f t="shared" ref="BP196:BP227" si="258">IF(BB196="","",IF(BO196&lt;BB196,BN196,BL196))</f>
        <v/>
      </c>
      <c r="BQ196" s="14" t="str">
        <f t="shared" ref="BQ196:BQ201" si="259">IF(BB196="","",IF(BO196&lt;BB196,BM196,BN196))</f>
        <v/>
      </c>
      <c r="BR196" s="14" t="str">
        <f t="shared" ref="BR196:BR227" si="260">IF(BB196="","",(BP196+BQ196)/2)</f>
        <v/>
      </c>
      <c r="BS196" s="14" t="str">
        <f>IF(OR(T196="",P196="",BR196="",T196&lt;=0,BR196&lt;=0),"",(1/Inputs!$B$9)*((T196^2/8)*((2*ACOS(1-2*BR196/T196))-SIN((2*ACOS(1-2*BR196/T196)))))*((((T196^2/8)*((2*ACOS(1-2*BR196/T196))-SIN((2*ACOS(1-2*BR196/T196)))))/((T196/2)*((2*ACOS(1-2*BR196/T196)))))^(2/3))*SQRT(P196))</f>
        <v/>
      </c>
      <c r="BT196" s="14" t="str">
        <f t="shared" ref="BT196:BT227" si="261">IF(BB196="","",IF(BS196&lt;BB196,BR196,BP196))</f>
        <v/>
      </c>
      <c r="BU196" s="14" t="str">
        <f t="shared" ref="BU196:BU201" si="262">IF(BB196="","",IF(BS196&lt;BB196,BQ196,BR196))</f>
        <v/>
      </c>
      <c r="BV196" s="14" t="str">
        <f t="shared" ref="BV196:BV227" si="263">IF(BB196="","",(BT196+BU196)/2)</f>
        <v/>
      </c>
      <c r="BW196" s="14" t="str">
        <f>IF(OR(T196="",P196="",BV196="",T196&lt;=0,BV196&lt;=0),"",(1/Inputs!$B$9)*((T196^2/8)*((2*ACOS(1-2*BV196/T196))-SIN((2*ACOS(1-2*BV196/T196)))))*((((T196^2/8)*((2*ACOS(1-2*BV196/T196))-SIN((2*ACOS(1-2*BV196/T196)))))/((T196/2)*((2*ACOS(1-2*BV196/T196)))))^(2/3))*SQRT(P196))</f>
        <v/>
      </c>
      <c r="BX196" s="14" t="str">
        <f t="shared" ref="BX196:BX227" si="264">IF(BB196="","",IF(BW196&lt;BB196,BV196,BT196))</f>
        <v/>
      </c>
      <c r="BY196" s="14" t="str">
        <f t="shared" ref="BY196:BY201" si="265">IF(BB196="","",IF(BW196&lt;BB196,BU196,BV196))</f>
        <v/>
      </c>
      <c r="BZ196" s="14" t="str">
        <f t="shared" ref="BZ196:BZ227" si="266">IF(BB196="","",(BX196+BY196)/2)</f>
        <v/>
      </c>
      <c r="CA196" s="14" t="str">
        <f>IF(OR(T196="",P196="",BZ196="",T196&lt;=0,BZ196&lt;=0),"",(1/Inputs!$B$9)*((T196^2/8)*((2*ACOS(1-2*BZ196/T196))-SIN((2*ACOS(1-2*BZ196/T196)))))*((((T196^2/8)*((2*ACOS(1-2*BZ196/T196))-SIN((2*ACOS(1-2*BZ196/T196)))))/((T196/2)*((2*ACOS(1-2*BZ196/T196)))))^(2/3))*SQRT(P196))</f>
        <v/>
      </c>
      <c r="CB196" s="14" t="str">
        <f t="shared" ref="CB196:CB227" si="267">IF(BB196="","",IF(CA196&lt;BB196,BZ196,BX196))</f>
        <v/>
      </c>
      <c r="CC196" s="14" t="str">
        <f t="shared" ref="CC196:CC201" si="268">IF(BB196="","",IF(CA196&lt;BB196,BY196,BZ196))</f>
        <v/>
      </c>
      <c r="CD196" s="14" t="str">
        <f t="shared" ref="CD196:CD227" si="269">IF(BB196="","",(CB196+CC196)/2)</f>
        <v/>
      </c>
      <c r="CE196" s="14" t="str">
        <f>IF(OR(T196="",P196="",CD196="",T196&lt;=0,CD196&lt;=0),"",(1/Inputs!$B$9)*((T196^2/8)*((2*ACOS(1-2*CD196/T196))-SIN((2*ACOS(1-2*CD196/T196)))))*((((T196^2/8)*((2*ACOS(1-2*CD196/T196))-SIN((2*ACOS(1-2*CD196/T196)))))/((T196/2)*((2*ACOS(1-2*CD196/T196)))))^(2/3))*SQRT(P196))</f>
        <v/>
      </c>
      <c r="CF196" s="14" t="str">
        <f t="shared" ref="CF196:CF227" si="270">IF(BB196="","",IF(CE196&lt;BB196,CD196,CB196))</f>
        <v/>
      </c>
      <c r="CG196" s="14" t="str">
        <f t="shared" ref="CG196:CG201" si="271">IF(BB196="","",IF(CE196&lt;BB196,CC196,CD196))</f>
        <v/>
      </c>
      <c r="CH196" s="14" t="str">
        <f t="shared" ref="CH196:CH227" si="272">IF(BB196="","",(CF196+CG196)/2)</f>
        <v/>
      </c>
    </row>
    <row r="197" spans="1:86" x14ac:dyDescent="0.25">
      <c r="A197" s="14"/>
      <c r="B197" s="14"/>
      <c r="C197" s="14"/>
      <c r="D197" s="14"/>
      <c r="E197" s="44"/>
      <c r="F197" s="44"/>
      <c r="G197" s="44">
        <f>SUMIFS(CB_plan!$G:$G,CB_plan!$F:$F,$A197)</f>
        <v>0</v>
      </c>
      <c r="H197" s="44">
        <f t="shared" si="234"/>
        <v>0</v>
      </c>
      <c r="I197" s="14"/>
      <c r="J197" s="44"/>
      <c r="K197" s="44" t="str">
        <f>IF(A197="","",Inputs!$B$13/((IF(AV197="",Inputs!$B$18,AV197)+Inputs!$B$14)^Inputs!$B$15))</f>
        <v/>
      </c>
      <c r="L197" s="44" t="str">
        <f>IF(A197="","",IF(H197="","",0.000000278*IF(I197&lt;&gt;"",I197,IFERROR(SUMIFS(CB_plan!$H:$H,CB_plan!$F:$F,$A197)/SUMIFS(CB_plan!$G:$G,CB_plan!$F:$F,$A197),Inputs!$B$17))*H197*K197))</f>
        <v/>
      </c>
      <c r="M197" s="44" t="str">
        <f t="shared" si="235"/>
        <v/>
      </c>
      <c r="N197" s="44" t="str">
        <f>IF(A197="","",(L197+M197)*Inputs!$B$16)</f>
        <v/>
      </c>
      <c r="O197" s="44"/>
      <c r="P197" s="44" t="str">
        <f>IF(A197="","",IF(O197="",Inputs!$B$7,O197))</f>
        <v/>
      </c>
      <c r="Q197" s="14" t="str">
        <f>IF(A197="","",IF(N197/Inputs!$B$10&lt;=AG197,Inputs!$F$5,IF(N197/Inputs!$B$10&gt;AP197,"OVERSIZE",INDEX(Inputs!$F$5:$F$14,MATCH(N197/Inputs!$B$10,AG197:AP197,1)+1))))</f>
        <v/>
      </c>
      <c r="R197" s="14"/>
      <c r="S197" s="14" t="str">
        <f t="shared" si="236"/>
        <v/>
      </c>
      <c r="T197" s="44" t="str">
        <f t="shared" si="237"/>
        <v/>
      </c>
      <c r="U197" s="44" t="str">
        <f>IF(T197="","",(1/Inputs!$B$9)*(PI()*T197^2/4)*((T197/4)^(2/3))*SQRT(P197))</f>
        <v/>
      </c>
      <c r="V197" s="44" t="str">
        <f>IF(OR(U197="",N197=""),"",N197/(U197*Inputs!$B$10))</f>
        <v/>
      </c>
      <c r="W197" s="44" t="str">
        <f t="shared" si="238"/>
        <v/>
      </c>
      <c r="X197" s="44"/>
      <c r="Y197" s="44" t="str">
        <f>IF(A197="","",IF(A197=Inputs!$B$6,Inputs!$B$22,IF(D197="","",IFERROR(INDEX($Z$4:$Z$201,MATCH(D197,$A$4:$A$201,0))+IF(X197="",Inputs!$B$20,X197),""))))</f>
        <v/>
      </c>
      <c r="Z197" s="44" t="str">
        <f t="shared" si="239"/>
        <v/>
      </c>
      <c r="AA197" s="44" t="str">
        <f>IF(C197="","",IFERROR(INDEX(Noeuds_plan!$C$4:$C$200,MATCH(C197,Noeuds_plan!$A$4:$A$200,0)),""))</f>
        <v/>
      </c>
      <c r="AB197" s="44" t="str">
        <f>IF(B197="","",IFERROR(INDEX(Noeuds_plan!$C$4:$C$200,MATCH(B197,Noeuds_plan!$A$4:$A$200,0)),""))</f>
        <v/>
      </c>
      <c r="AC197" s="44" t="str">
        <f t="shared" si="240"/>
        <v/>
      </c>
      <c r="AD197" s="44" t="str">
        <f t="shared" si="241"/>
        <v/>
      </c>
      <c r="AE197" s="14" t="str">
        <f>IF(A197="","",IF(OR(V197&gt;1,AND(AY197&lt;&gt;"",AY197&lt;Inputs!$B$11),AND(AY197&lt;&gt;"",AY197&gt;Inputs!$B$12),AC197&lt;Inputs!$B$19,AD197&lt;Inputs!$B$19,P197&lt;Inputs!$B$7,P197&gt;Inputs!$B$8),"CHECK","OK"))</f>
        <v/>
      </c>
      <c r="AF197" s="14"/>
      <c r="AG197" s="14" t="str">
        <f>IF(A197="","",(1/Inputs!$B$9)*(PI()*(Inputs!$F$5/1000)^2/4)*((Inputs!$F$5/1000/4)^(2/3))*SQRT(P197))</f>
        <v/>
      </c>
      <c r="AH197" s="14" t="str">
        <f>IF(A197="","",(1/Inputs!$B$9)*(PI()*(Inputs!$F$6/1000)^2/4)*((Inputs!$F$6/1000/4)^(2/3))*SQRT(P197))</f>
        <v/>
      </c>
      <c r="AI197" s="14" t="str">
        <f>IF(A197="","",(1/Inputs!$B$9)*(PI()*(Inputs!$F$7/1000)^2/4)*((Inputs!$F$7/1000/4)^(2/3))*SQRT(P197))</f>
        <v/>
      </c>
      <c r="AJ197" s="14" t="str">
        <f>IF(A197="","",(1/Inputs!$B$9)*(PI()*(Inputs!$F$8/1000)^2/4)*((Inputs!$F$8/1000/4)^(2/3))*SQRT(P197))</f>
        <v/>
      </c>
      <c r="AK197" s="14" t="str">
        <f>IF(A197="","",(1/Inputs!$B$9)*(PI()*(Inputs!$F$9/1000)^2/4)*((Inputs!$F$9/1000/4)^(2/3))*SQRT(P197))</f>
        <v/>
      </c>
      <c r="AL197" s="14" t="str">
        <f>IF(A197="","",(1/Inputs!$B$9)*(PI()*(Inputs!$F$10/1000)^2/4)*((Inputs!$F$10/1000/4)^(2/3))*SQRT(P197))</f>
        <v/>
      </c>
      <c r="AM197" s="14" t="str">
        <f>IF(A197="","",(1/Inputs!$B$9)*(PI()*(Inputs!$F$11/1000)^2/4)*((Inputs!$F$11/1000/4)^(2/3))*SQRT(P197))</f>
        <v/>
      </c>
      <c r="AN197" s="14" t="str">
        <f>IF(A197="","",(1/Inputs!$B$9)*(PI()*(Inputs!$F$12/1000)^2/4)*((Inputs!$F$12/1000/4)^(2/3))*SQRT(P197))</f>
        <v/>
      </c>
      <c r="AO197" s="14" t="str">
        <f>IF(A197="","",(1/Inputs!$B$9)*(PI()*(Inputs!$F$13/1000)^2/4)*((Inputs!$F$13/1000/4)^(2/3))*SQRT(P197))</f>
        <v/>
      </c>
      <c r="AP197" s="14" t="str">
        <f>IF(A197="","",(1/Inputs!$B$9)*(PI()*(Inputs!$F$14/1000)^2/4)*((Inputs!$F$14/1000/4)^(2/3))*SQRT(P197))</f>
        <v/>
      </c>
      <c r="AQ197" s="14" t="str">
        <f t="shared" si="242"/>
        <v/>
      </c>
      <c r="AR197" s="14" t="str">
        <f t="shared" si="243"/>
        <v/>
      </c>
      <c r="AS197" s="17" t="str">
        <f>IF(A197="","",IF(J197="",Inputs!$B$18,J197))</f>
        <v/>
      </c>
      <c r="AT197" s="17" t="str">
        <f>IF(A197="","",IFERROR(_xludf.maxifs($AV$4:$AV$201,$D$4:$D$201,$A197),""))</f>
        <v/>
      </c>
      <c r="AU197" s="17" t="str">
        <f>IF(A197="","",IF(OR(E197="",Inputs!$B$23=""),"",E197/(Inputs!$B$23*60)))</f>
        <v/>
      </c>
      <c r="AV197" s="17" t="str">
        <f t="shared" si="244"/>
        <v/>
      </c>
      <c r="AW197" s="17" t="str">
        <f t="shared" si="245"/>
        <v/>
      </c>
      <c r="AX197" s="17" t="str">
        <f>IF(OR(T197="",P197=""),"",(1/Inputs!$B$9)*((T197/4)^(2/3))*SQRT(P197))</f>
        <v/>
      </c>
      <c r="AY197" s="17" t="str">
        <f>IF(A197="","",IF(AND(AW197="",AX197="",BA197=""),"",IF(OR(UPPER(TRIM(Inputs!$B$24))="MANNING",UPPER(TRIM(Inputs!$B$24))="M"),AX197,IF(OR(UPPER(TRIM(Inputs!$B$24))="PARTIAL",UPPER(TRIM(Inputs!$B$24))="P"),BA197,IF(OR(UPPER(TRIM(Inputs!$B$24))="MAX",UPPER(TRIM(Inputs!$B$24))="X"),MAX(IF(AW197="",0,AW197),IF(AX197="",0,AX197),IF(BA197="",0,BA197)),AW197)))))</f>
        <v/>
      </c>
      <c r="AZ197" s="17" t="str">
        <f t="shared" si="246"/>
        <v/>
      </c>
      <c r="BA197" s="17" t="str">
        <f t="shared" si="247"/>
        <v/>
      </c>
      <c r="BB197" s="14" t="str">
        <f t="shared" si="248"/>
        <v/>
      </c>
      <c r="BC197" s="14" t="str">
        <f>IF(OR(N197="",T197="",P197=""),"",IF(OR(T197="",P197="",(0.94*T197)="",T197&lt;=0,(0.94*T197)&lt;=0),"",(1/Inputs!$B$9)*((T197^2/8)*((2*ACOS(1-2*(0.94*T197)/T197))-SIN((2*ACOS(1-2*(0.94*T197)/T197)))))*((((T197^2/8)*((2*ACOS(1-2*(0.94*T197)/T197))-SIN((2*ACOS(1-2*(0.94*T197)/T197)))))/((T197/2)*((2*ACOS(1-2*(0.94*T197)/T197)))))^(2/3))*SQRT(P197)))</f>
        <v/>
      </c>
      <c r="BD197" s="14" t="str">
        <f t="shared" si="249"/>
        <v/>
      </c>
      <c r="BE197" s="14" t="str">
        <f t="shared" si="250"/>
        <v/>
      </c>
      <c r="BF197" s="14" t="str">
        <f t="shared" si="251"/>
        <v/>
      </c>
      <c r="BG197" s="14" t="str">
        <f>IF(OR(T197="",P197="",BF197="",T197&lt;=0,BF197&lt;=0),"",(1/Inputs!$B$9)*((T197^2/8)*((2*ACOS(1-2*BF197/T197))-SIN((2*ACOS(1-2*BF197/T197)))))*((((T197^2/8)*((2*ACOS(1-2*BF197/T197))-SIN((2*ACOS(1-2*BF197/T197)))))/((T197/2)*((2*ACOS(1-2*BF197/T197)))))^(2/3))*SQRT(P197))</f>
        <v/>
      </c>
      <c r="BH197" s="14" t="str">
        <f t="shared" si="252"/>
        <v/>
      </c>
      <c r="BI197" s="14" t="str">
        <f t="shared" si="253"/>
        <v/>
      </c>
      <c r="BJ197" s="14" t="str">
        <f t="shared" si="254"/>
        <v/>
      </c>
      <c r="BK197" s="14" t="str">
        <f>IF(OR(T197="",P197="",BJ197="",T197&lt;=0,BJ197&lt;=0),"",(1/Inputs!$B$9)*((T197^2/8)*((2*ACOS(1-2*BJ197/T197))-SIN((2*ACOS(1-2*BJ197/T197)))))*((((T197^2/8)*((2*ACOS(1-2*BJ197/T197))-SIN((2*ACOS(1-2*BJ197/T197)))))/((T197/2)*((2*ACOS(1-2*BJ197/T197)))))^(2/3))*SQRT(P197))</f>
        <v/>
      </c>
      <c r="BL197" s="14" t="str">
        <f t="shared" si="255"/>
        <v/>
      </c>
      <c r="BM197" s="14" t="str">
        <f t="shared" si="256"/>
        <v/>
      </c>
      <c r="BN197" s="14" t="str">
        <f t="shared" si="257"/>
        <v/>
      </c>
      <c r="BO197" s="14" t="str">
        <f>IF(OR(T197="",P197="",BN197="",T197&lt;=0,BN197&lt;=0),"",(1/Inputs!$B$9)*((T197^2/8)*((2*ACOS(1-2*BN197/T197))-SIN((2*ACOS(1-2*BN197/T197)))))*((((T197^2/8)*((2*ACOS(1-2*BN197/T197))-SIN((2*ACOS(1-2*BN197/T197)))))/((T197/2)*((2*ACOS(1-2*BN197/T197)))))^(2/3))*SQRT(P197))</f>
        <v/>
      </c>
      <c r="BP197" s="14" t="str">
        <f t="shared" si="258"/>
        <v/>
      </c>
      <c r="BQ197" s="14" t="str">
        <f t="shared" si="259"/>
        <v/>
      </c>
      <c r="BR197" s="14" t="str">
        <f t="shared" si="260"/>
        <v/>
      </c>
      <c r="BS197" s="14" t="str">
        <f>IF(OR(T197="",P197="",BR197="",T197&lt;=0,BR197&lt;=0),"",(1/Inputs!$B$9)*((T197^2/8)*((2*ACOS(1-2*BR197/T197))-SIN((2*ACOS(1-2*BR197/T197)))))*((((T197^2/8)*((2*ACOS(1-2*BR197/T197))-SIN((2*ACOS(1-2*BR197/T197)))))/((T197/2)*((2*ACOS(1-2*BR197/T197)))))^(2/3))*SQRT(P197))</f>
        <v/>
      </c>
      <c r="BT197" s="14" t="str">
        <f t="shared" si="261"/>
        <v/>
      </c>
      <c r="BU197" s="14" t="str">
        <f t="shared" si="262"/>
        <v/>
      </c>
      <c r="BV197" s="14" t="str">
        <f t="shared" si="263"/>
        <v/>
      </c>
      <c r="BW197" s="14" t="str">
        <f>IF(OR(T197="",P197="",BV197="",T197&lt;=0,BV197&lt;=0),"",(1/Inputs!$B$9)*((T197^2/8)*((2*ACOS(1-2*BV197/T197))-SIN((2*ACOS(1-2*BV197/T197)))))*((((T197^2/8)*((2*ACOS(1-2*BV197/T197))-SIN((2*ACOS(1-2*BV197/T197)))))/((T197/2)*((2*ACOS(1-2*BV197/T197)))))^(2/3))*SQRT(P197))</f>
        <v/>
      </c>
      <c r="BX197" s="14" t="str">
        <f t="shared" si="264"/>
        <v/>
      </c>
      <c r="BY197" s="14" t="str">
        <f t="shared" si="265"/>
        <v/>
      </c>
      <c r="BZ197" s="14" t="str">
        <f t="shared" si="266"/>
        <v/>
      </c>
      <c r="CA197" s="14" t="str">
        <f>IF(OR(T197="",P197="",BZ197="",T197&lt;=0,BZ197&lt;=0),"",(1/Inputs!$B$9)*((T197^2/8)*((2*ACOS(1-2*BZ197/T197))-SIN((2*ACOS(1-2*BZ197/T197)))))*((((T197^2/8)*((2*ACOS(1-2*BZ197/T197))-SIN((2*ACOS(1-2*BZ197/T197)))))/((T197/2)*((2*ACOS(1-2*BZ197/T197)))))^(2/3))*SQRT(P197))</f>
        <v/>
      </c>
      <c r="CB197" s="14" t="str">
        <f t="shared" si="267"/>
        <v/>
      </c>
      <c r="CC197" s="14" t="str">
        <f t="shared" si="268"/>
        <v/>
      </c>
      <c r="CD197" s="14" t="str">
        <f t="shared" si="269"/>
        <v/>
      </c>
      <c r="CE197" s="14" t="str">
        <f>IF(OR(T197="",P197="",CD197="",T197&lt;=0,CD197&lt;=0),"",(1/Inputs!$B$9)*((T197^2/8)*((2*ACOS(1-2*CD197/T197))-SIN((2*ACOS(1-2*CD197/T197)))))*((((T197^2/8)*((2*ACOS(1-2*CD197/T197))-SIN((2*ACOS(1-2*CD197/T197)))))/((T197/2)*((2*ACOS(1-2*CD197/T197)))))^(2/3))*SQRT(P197))</f>
        <v/>
      </c>
      <c r="CF197" s="14" t="str">
        <f t="shared" si="270"/>
        <v/>
      </c>
      <c r="CG197" s="14" t="str">
        <f t="shared" si="271"/>
        <v/>
      </c>
      <c r="CH197" s="14" t="str">
        <f t="shared" si="272"/>
        <v/>
      </c>
    </row>
    <row r="198" spans="1:86" x14ac:dyDescent="0.25">
      <c r="A198" s="14"/>
      <c r="B198" s="14"/>
      <c r="C198" s="14"/>
      <c r="D198" s="14"/>
      <c r="E198" s="44"/>
      <c r="F198" s="44"/>
      <c r="G198" s="44">
        <f>SUMIFS(CB_plan!$G:$G,CB_plan!$F:$F,$A198)</f>
        <v>0</v>
      </c>
      <c r="H198" s="44">
        <f t="shared" si="234"/>
        <v>0</v>
      </c>
      <c r="I198" s="14"/>
      <c r="J198" s="44"/>
      <c r="K198" s="44" t="str">
        <f>IF(A198="","",Inputs!$B$13/((IF(AV198="",Inputs!$B$18,AV198)+Inputs!$B$14)^Inputs!$B$15))</f>
        <v/>
      </c>
      <c r="L198" s="44" t="str">
        <f>IF(A198="","",IF(H198="","",0.000000278*IF(I198&lt;&gt;"",I198,IFERROR(SUMIFS(CB_plan!$H:$H,CB_plan!$F:$F,$A198)/SUMIFS(CB_plan!$G:$G,CB_plan!$F:$F,$A198),Inputs!$B$17))*H198*K198))</f>
        <v/>
      </c>
      <c r="M198" s="44" t="str">
        <f t="shared" si="235"/>
        <v/>
      </c>
      <c r="N198" s="44" t="str">
        <f>IF(A198="","",(L198+M198)*Inputs!$B$16)</f>
        <v/>
      </c>
      <c r="O198" s="44"/>
      <c r="P198" s="44" t="str">
        <f>IF(A198="","",IF(O198="",Inputs!$B$7,O198))</f>
        <v/>
      </c>
      <c r="Q198" s="14" t="str">
        <f>IF(A198="","",IF(N198/Inputs!$B$10&lt;=AG198,Inputs!$F$5,IF(N198/Inputs!$B$10&gt;AP198,"OVERSIZE",INDEX(Inputs!$F$5:$F$14,MATCH(N198/Inputs!$B$10,AG198:AP198,1)+1))))</f>
        <v/>
      </c>
      <c r="R198" s="14"/>
      <c r="S198" s="14" t="str">
        <f t="shared" si="236"/>
        <v/>
      </c>
      <c r="T198" s="44" t="str">
        <f t="shared" si="237"/>
        <v/>
      </c>
      <c r="U198" s="44" t="str">
        <f>IF(T198="","",(1/Inputs!$B$9)*(PI()*T198^2/4)*((T198/4)^(2/3))*SQRT(P198))</f>
        <v/>
      </c>
      <c r="V198" s="44" t="str">
        <f>IF(OR(U198="",N198=""),"",N198/(U198*Inputs!$B$10))</f>
        <v/>
      </c>
      <c r="W198" s="44" t="str">
        <f t="shared" si="238"/>
        <v/>
      </c>
      <c r="X198" s="44"/>
      <c r="Y198" s="44" t="str">
        <f>IF(A198="","",IF(A198=Inputs!$B$6,Inputs!$B$22,IF(D198="","",IFERROR(INDEX($Z$4:$Z$201,MATCH(D198,$A$4:$A$201,0))+IF(X198="",Inputs!$B$20,X198),""))))</f>
        <v/>
      </c>
      <c r="Z198" s="44" t="str">
        <f t="shared" si="239"/>
        <v/>
      </c>
      <c r="AA198" s="44" t="str">
        <f>IF(C198="","",IFERROR(INDEX(Noeuds_plan!$C$4:$C$200,MATCH(C198,Noeuds_plan!$A$4:$A$200,0)),""))</f>
        <v/>
      </c>
      <c r="AB198" s="44" t="str">
        <f>IF(B198="","",IFERROR(INDEX(Noeuds_plan!$C$4:$C$200,MATCH(B198,Noeuds_plan!$A$4:$A$200,0)),""))</f>
        <v/>
      </c>
      <c r="AC198" s="44" t="str">
        <f t="shared" si="240"/>
        <v/>
      </c>
      <c r="AD198" s="44" t="str">
        <f t="shared" si="241"/>
        <v/>
      </c>
      <c r="AE198" s="14" t="str">
        <f>IF(A198="","",IF(OR(V198&gt;1,AND(AY198&lt;&gt;"",AY198&lt;Inputs!$B$11),AND(AY198&lt;&gt;"",AY198&gt;Inputs!$B$12),AC198&lt;Inputs!$B$19,AD198&lt;Inputs!$B$19,P198&lt;Inputs!$B$7,P198&gt;Inputs!$B$8),"CHECK","OK"))</f>
        <v/>
      </c>
      <c r="AF198" s="14"/>
      <c r="AG198" s="14" t="str">
        <f>IF(A198="","",(1/Inputs!$B$9)*(PI()*(Inputs!$F$5/1000)^2/4)*((Inputs!$F$5/1000/4)^(2/3))*SQRT(P198))</f>
        <v/>
      </c>
      <c r="AH198" s="14" t="str">
        <f>IF(A198="","",(1/Inputs!$B$9)*(PI()*(Inputs!$F$6/1000)^2/4)*((Inputs!$F$6/1000/4)^(2/3))*SQRT(P198))</f>
        <v/>
      </c>
      <c r="AI198" s="14" t="str">
        <f>IF(A198="","",(1/Inputs!$B$9)*(PI()*(Inputs!$F$7/1000)^2/4)*((Inputs!$F$7/1000/4)^(2/3))*SQRT(P198))</f>
        <v/>
      </c>
      <c r="AJ198" s="14" t="str">
        <f>IF(A198="","",(1/Inputs!$B$9)*(PI()*(Inputs!$F$8/1000)^2/4)*((Inputs!$F$8/1000/4)^(2/3))*SQRT(P198))</f>
        <v/>
      </c>
      <c r="AK198" s="14" t="str">
        <f>IF(A198="","",(1/Inputs!$B$9)*(PI()*(Inputs!$F$9/1000)^2/4)*((Inputs!$F$9/1000/4)^(2/3))*SQRT(P198))</f>
        <v/>
      </c>
      <c r="AL198" s="14" t="str">
        <f>IF(A198="","",(1/Inputs!$B$9)*(PI()*(Inputs!$F$10/1000)^2/4)*((Inputs!$F$10/1000/4)^(2/3))*SQRT(P198))</f>
        <v/>
      </c>
      <c r="AM198" s="14" t="str">
        <f>IF(A198="","",(1/Inputs!$B$9)*(PI()*(Inputs!$F$11/1000)^2/4)*((Inputs!$F$11/1000/4)^(2/3))*SQRT(P198))</f>
        <v/>
      </c>
      <c r="AN198" s="14" t="str">
        <f>IF(A198="","",(1/Inputs!$B$9)*(PI()*(Inputs!$F$12/1000)^2/4)*((Inputs!$F$12/1000/4)^(2/3))*SQRT(P198))</f>
        <v/>
      </c>
      <c r="AO198" s="14" t="str">
        <f>IF(A198="","",(1/Inputs!$B$9)*(PI()*(Inputs!$F$13/1000)^2/4)*((Inputs!$F$13/1000/4)^(2/3))*SQRT(P198))</f>
        <v/>
      </c>
      <c r="AP198" s="14" t="str">
        <f>IF(A198="","",(1/Inputs!$B$9)*(PI()*(Inputs!$F$14/1000)^2/4)*((Inputs!$F$14/1000/4)^(2/3))*SQRT(P198))</f>
        <v/>
      </c>
      <c r="AQ198" s="14" t="str">
        <f t="shared" si="242"/>
        <v/>
      </c>
      <c r="AR198" s="14" t="str">
        <f t="shared" si="243"/>
        <v/>
      </c>
      <c r="AS198" s="17" t="str">
        <f>IF(A198="","",IF(J198="",Inputs!$B$18,J198))</f>
        <v/>
      </c>
      <c r="AT198" s="17" t="str">
        <f>IF(A198="","",IFERROR(_xludf.maxifs($AV$4:$AV$201,$D$4:$D$201,$A198),""))</f>
        <v/>
      </c>
      <c r="AU198" s="17" t="str">
        <f>IF(A198="","",IF(OR(E198="",Inputs!$B$23=""),"",E198/(Inputs!$B$23*60)))</f>
        <v/>
      </c>
      <c r="AV198" s="17" t="str">
        <f t="shared" si="244"/>
        <v/>
      </c>
      <c r="AW198" s="17" t="str">
        <f t="shared" si="245"/>
        <v/>
      </c>
      <c r="AX198" s="17" t="str">
        <f>IF(OR(T198="",P198=""),"",(1/Inputs!$B$9)*((T198/4)^(2/3))*SQRT(P198))</f>
        <v/>
      </c>
      <c r="AY198" s="17" t="str">
        <f>IF(A198="","",IF(AND(AW198="",AX198="",BA198=""),"",IF(OR(UPPER(TRIM(Inputs!$B$24))="MANNING",UPPER(TRIM(Inputs!$B$24))="M"),AX198,IF(OR(UPPER(TRIM(Inputs!$B$24))="PARTIAL",UPPER(TRIM(Inputs!$B$24))="P"),BA198,IF(OR(UPPER(TRIM(Inputs!$B$24))="MAX",UPPER(TRIM(Inputs!$B$24))="X"),MAX(IF(AW198="",0,AW198),IF(AX198="",0,AX198),IF(BA198="",0,BA198)),AW198)))))</f>
        <v/>
      </c>
      <c r="AZ198" s="17" t="str">
        <f t="shared" si="246"/>
        <v/>
      </c>
      <c r="BA198" s="17" t="str">
        <f t="shared" si="247"/>
        <v/>
      </c>
      <c r="BB198" s="14" t="str">
        <f t="shared" si="248"/>
        <v/>
      </c>
      <c r="BC198" s="14" t="str">
        <f>IF(OR(N198="",T198="",P198=""),"",IF(OR(T198="",P198="",(0.94*T198)="",T198&lt;=0,(0.94*T198)&lt;=0),"",(1/Inputs!$B$9)*((T198^2/8)*((2*ACOS(1-2*(0.94*T198)/T198))-SIN((2*ACOS(1-2*(0.94*T198)/T198)))))*((((T198^2/8)*((2*ACOS(1-2*(0.94*T198)/T198))-SIN((2*ACOS(1-2*(0.94*T198)/T198)))))/((T198/2)*((2*ACOS(1-2*(0.94*T198)/T198)))))^(2/3))*SQRT(P198)))</f>
        <v/>
      </c>
      <c r="BD198" s="14" t="str">
        <f t="shared" si="249"/>
        <v/>
      </c>
      <c r="BE198" s="14" t="str">
        <f t="shared" si="250"/>
        <v/>
      </c>
      <c r="BF198" s="14" t="str">
        <f t="shared" si="251"/>
        <v/>
      </c>
      <c r="BG198" s="14" t="str">
        <f>IF(OR(T198="",P198="",BF198="",T198&lt;=0,BF198&lt;=0),"",(1/Inputs!$B$9)*((T198^2/8)*((2*ACOS(1-2*BF198/T198))-SIN((2*ACOS(1-2*BF198/T198)))))*((((T198^2/8)*((2*ACOS(1-2*BF198/T198))-SIN((2*ACOS(1-2*BF198/T198)))))/((T198/2)*((2*ACOS(1-2*BF198/T198)))))^(2/3))*SQRT(P198))</f>
        <v/>
      </c>
      <c r="BH198" s="14" t="str">
        <f t="shared" si="252"/>
        <v/>
      </c>
      <c r="BI198" s="14" t="str">
        <f t="shared" si="253"/>
        <v/>
      </c>
      <c r="BJ198" s="14" t="str">
        <f t="shared" si="254"/>
        <v/>
      </c>
      <c r="BK198" s="14" t="str">
        <f>IF(OR(T198="",P198="",BJ198="",T198&lt;=0,BJ198&lt;=0),"",(1/Inputs!$B$9)*((T198^2/8)*((2*ACOS(1-2*BJ198/T198))-SIN((2*ACOS(1-2*BJ198/T198)))))*((((T198^2/8)*((2*ACOS(1-2*BJ198/T198))-SIN((2*ACOS(1-2*BJ198/T198)))))/((T198/2)*((2*ACOS(1-2*BJ198/T198)))))^(2/3))*SQRT(P198))</f>
        <v/>
      </c>
      <c r="BL198" s="14" t="str">
        <f t="shared" si="255"/>
        <v/>
      </c>
      <c r="BM198" s="14" t="str">
        <f t="shared" si="256"/>
        <v/>
      </c>
      <c r="BN198" s="14" t="str">
        <f t="shared" si="257"/>
        <v/>
      </c>
      <c r="BO198" s="14" t="str">
        <f>IF(OR(T198="",P198="",BN198="",T198&lt;=0,BN198&lt;=0),"",(1/Inputs!$B$9)*((T198^2/8)*((2*ACOS(1-2*BN198/T198))-SIN((2*ACOS(1-2*BN198/T198)))))*((((T198^2/8)*((2*ACOS(1-2*BN198/T198))-SIN((2*ACOS(1-2*BN198/T198)))))/((T198/2)*((2*ACOS(1-2*BN198/T198)))))^(2/3))*SQRT(P198))</f>
        <v/>
      </c>
      <c r="BP198" s="14" t="str">
        <f t="shared" si="258"/>
        <v/>
      </c>
      <c r="BQ198" s="14" t="str">
        <f t="shared" si="259"/>
        <v/>
      </c>
      <c r="BR198" s="14" t="str">
        <f t="shared" si="260"/>
        <v/>
      </c>
      <c r="BS198" s="14" t="str">
        <f>IF(OR(T198="",P198="",BR198="",T198&lt;=0,BR198&lt;=0),"",(1/Inputs!$B$9)*((T198^2/8)*((2*ACOS(1-2*BR198/T198))-SIN((2*ACOS(1-2*BR198/T198)))))*((((T198^2/8)*((2*ACOS(1-2*BR198/T198))-SIN((2*ACOS(1-2*BR198/T198)))))/((T198/2)*((2*ACOS(1-2*BR198/T198)))))^(2/3))*SQRT(P198))</f>
        <v/>
      </c>
      <c r="BT198" s="14" t="str">
        <f t="shared" si="261"/>
        <v/>
      </c>
      <c r="BU198" s="14" t="str">
        <f t="shared" si="262"/>
        <v/>
      </c>
      <c r="BV198" s="14" t="str">
        <f t="shared" si="263"/>
        <v/>
      </c>
      <c r="BW198" s="14" t="str">
        <f>IF(OR(T198="",P198="",BV198="",T198&lt;=0,BV198&lt;=0),"",(1/Inputs!$B$9)*((T198^2/8)*((2*ACOS(1-2*BV198/T198))-SIN((2*ACOS(1-2*BV198/T198)))))*((((T198^2/8)*((2*ACOS(1-2*BV198/T198))-SIN((2*ACOS(1-2*BV198/T198)))))/((T198/2)*((2*ACOS(1-2*BV198/T198)))))^(2/3))*SQRT(P198))</f>
        <v/>
      </c>
      <c r="BX198" s="14" t="str">
        <f t="shared" si="264"/>
        <v/>
      </c>
      <c r="BY198" s="14" t="str">
        <f t="shared" si="265"/>
        <v/>
      </c>
      <c r="BZ198" s="14" t="str">
        <f t="shared" si="266"/>
        <v/>
      </c>
      <c r="CA198" s="14" t="str">
        <f>IF(OR(T198="",P198="",BZ198="",T198&lt;=0,BZ198&lt;=0),"",(1/Inputs!$B$9)*((T198^2/8)*((2*ACOS(1-2*BZ198/T198))-SIN((2*ACOS(1-2*BZ198/T198)))))*((((T198^2/8)*((2*ACOS(1-2*BZ198/T198))-SIN((2*ACOS(1-2*BZ198/T198)))))/((T198/2)*((2*ACOS(1-2*BZ198/T198)))))^(2/3))*SQRT(P198))</f>
        <v/>
      </c>
      <c r="CB198" s="14" t="str">
        <f t="shared" si="267"/>
        <v/>
      </c>
      <c r="CC198" s="14" t="str">
        <f t="shared" si="268"/>
        <v/>
      </c>
      <c r="CD198" s="14" t="str">
        <f t="shared" si="269"/>
        <v/>
      </c>
      <c r="CE198" s="14" t="str">
        <f>IF(OR(T198="",P198="",CD198="",T198&lt;=0,CD198&lt;=0),"",(1/Inputs!$B$9)*((T198^2/8)*((2*ACOS(1-2*CD198/T198))-SIN((2*ACOS(1-2*CD198/T198)))))*((((T198^2/8)*((2*ACOS(1-2*CD198/T198))-SIN((2*ACOS(1-2*CD198/T198)))))/((T198/2)*((2*ACOS(1-2*CD198/T198)))))^(2/3))*SQRT(P198))</f>
        <v/>
      </c>
      <c r="CF198" s="14" t="str">
        <f t="shared" si="270"/>
        <v/>
      </c>
      <c r="CG198" s="14" t="str">
        <f t="shared" si="271"/>
        <v/>
      </c>
      <c r="CH198" s="14" t="str">
        <f t="shared" si="272"/>
        <v/>
      </c>
    </row>
    <row r="199" spans="1:86" x14ac:dyDescent="0.25">
      <c r="A199" s="14"/>
      <c r="B199" s="14"/>
      <c r="C199" s="14"/>
      <c r="D199" s="14"/>
      <c r="E199" s="44"/>
      <c r="F199" s="44"/>
      <c r="G199" s="44">
        <f>SUMIFS(CB_plan!$G:$G,CB_plan!$F:$F,$A199)</f>
        <v>0</v>
      </c>
      <c r="H199" s="44">
        <f t="shared" si="234"/>
        <v>0</v>
      </c>
      <c r="I199" s="14"/>
      <c r="J199" s="44"/>
      <c r="K199" s="44" t="str">
        <f>IF(A199="","",Inputs!$B$13/((IF(AV199="",Inputs!$B$18,AV199)+Inputs!$B$14)^Inputs!$B$15))</f>
        <v/>
      </c>
      <c r="L199" s="44" t="str">
        <f>IF(A199="","",IF(H199="","",0.000000278*IF(I199&lt;&gt;"",I199,IFERROR(SUMIFS(CB_plan!$H:$H,CB_plan!$F:$F,$A199)/SUMIFS(CB_plan!$G:$G,CB_plan!$F:$F,$A199),Inputs!$B$17))*H199*K199))</f>
        <v/>
      </c>
      <c r="M199" s="44" t="str">
        <f t="shared" si="235"/>
        <v/>
      </c>
      <c r="N199" s="44" t="str">
        <f>IF(A199="","",(L199+M199)*Inputs!$B$16)</f>
        <v/>
      </c>
      <c r="O199" s="44"/>
      <c r="P199" s="44" t="str">
        <f>IF(A199="","",IF(O199="",Inputs!$B$7,O199))</f>
        <v/>
      </c>
      <c r="Q199" s="14" t="str">
        <f>IF(A199="","",IF(N199/Inputs!$B$10&lt;=AG199,Inputs!$F$5,IF(N199/Inputs!$B$10&gt;AP199,"OVERSIZE",INDEX(Inputs!$F$5:$F$14,MATCH(N199/Inputs!$B$10,AG199:AP199,1)+1))))</f>
        <v/>
      </c>
      <c r="R199" s="14"/>
      <c r="S199" s="14" t="str">
        <f t="shared" si="236"/>
        <v/>
      </c>
      <c r="T199" s="44" t="str">
        <f t="shared" si="237"/>
        <v/>
      </c>
      <c r="U199" s="44" t="str">
        <f>IF(T199="","",(1/Inputs!$B$9)*(PI()*T199^2/4)*((T199/4)^(2/3))*SQRT(P199))</f>
        <v/>
      </c>
      <c r="V199" s="44" t="str">
        <f>IF(OR(U199="",N199=""),"",N199/(U199*Inputs!$B$10))</f>
        <v/>
      </c>
      <c r="W199" s="44" t="str">
        <f t="shared" si="238"/>
        <v/>
      </c>
      <c r="X199" s="44"/>
      <c r="Y199" s="44" t="str">
        <f>IF(A199="","",IF(A199=Inputs!$B$6,Inputs!$B$22,IF(D199="","",IFERROR(INDEX($Z$4:$Z$201,MATCH(D199,$A$4:$A$201,0))+IF(X199="",Inputs!$B$20,X199),""))))</f>
        <v/>
      </c>
      <c r="Z199" s="44" t="str">
        <f t="shared" si="239"/>
        <v/>
      </c>
      <c r="AA199" s="44" t="str">
        <f>IF(C199="","",IFERROR(INDEX(Noeuds_plan!$C$4:$C$200,MATCH(C199,Noeuds_plan!$A$4:$A$200,0)),""))</f>
        <v/>
      </c>
      <c r="AB199" s="44" t="str">
        <f>IF(B199="","",IFERROR(INDEX(Noeuds_plan!$C$4:$C$200,MATCH(B199,Noeuds_plan!$A$4:$A$200,0)),""))</f>
        <v/>
      </c>
      <c r="AC199" s="44" t="str">
        <f t="shared" si="240"/>
        <v/>
      </c>
      <c r="AD199" s="44" t="str">
        <f t="shared" si="241"/>
        <v/>
      </c>
      <c r="AE199" s="14" t="str">
        <f>IF(A199="","",IF(OR(V199&gt;1,AND(AY199&lt;&gt;"",AY199&lt;Inputs!$B$11),AND(AY199&lt;&gt;"",AY199&gt;Inputs!$B$12),AC199&lt;Inputs!$B$19,AD199&lt;Inputs!$B$19,P199&lt;Inputs!$B$7,P199&gt;Inputs!$B$8),"CHECK","OK"))</f>
        <v/>
      </c>
      <c r="AF199" s="14"/>
      <c r="AG199" s="14" t="str">
        <f>IF(A199="","",(1/Inputs!$B$9)*(PI()*(Inputs!$F$5/1000)^2/4)*((Inputs!$F$5/1000/4)^(2/3))*SQRT(P199))</f>
        <v/>
      </c>
      <c r="AH199" s="14" t="str">
        <f>IF(A199="","",(1/Inputs!$B$9)*(PI()*(Inputs!$F$6/1000)^2/4)*((Inputs!$F$6/1000/4)^(2/3))*SQRT(P199))</f>
        <v/>
      </c>
      <c r="AI199" s="14" t="str">
        <f>IF(A199="","",(1/Inputs!$B$9)*(PI()*(Inputs!$F$7/1000)^2/4)*((Inputs!$F$7/1000/4)^(2/3))*SQRT(P199))</f>
        <v/>
      </c>
      <c r="AJ199" s="14" t="str">
        <f>IF(A199="","",(1/Inputs!$B$9)*(PI()*(Inputs!$F$8/1000)^2/4)*((Inputs!$F$8/1000/4)^(2/3))*SQRT(P199))</f>
        <v/>
      </c>
      <c r="AK199" s="14" t="str">
        <f>IF(A199="","",(1/Inputs!$B$9)*(PI()*(Inputs!$F$9/1000)^2/4)*((Inputs!$F$9/1000/4)^(2/3))*SQRT(P199))</f>
        <v/>
      </c>
      <c r="AL199" s="14" t="str">
        <f>IF(A199="","",(1/Inputs!$B$9)*(PI()*(Inputs!$F$10/1000)^2/4)*((Inputs!$F$10/1000/4)^(2/3))*SQRT(P199))</f>
        <v/>
      </c>
      <c r="AM199" s="14" t="str">
        <f>IF(A199="","",(1/Inputs!$B$9)*(PI()*(Inputs!$F$11/1000)^2/4)*((Inputs!$F$11/1000/4)^(2/3))*SQRT(P199))</f>
        <v/>
      </c>
      <c r="AN199" s="14" t="str">
        <f>IF(A199="","",(1/Inputs!$B$9)*(PI()*(Inputs!$F$12/1000)^2/4)*((Inputs!$F$12/1000/4)^(2/3))*SQRT(P199))</f>
        <v/>
      </c>
      <c r="AO199" s="14" t="str">
        <f>IF(A199="","",(1/Inputs!$B$9)*(PI()*(Inputs!$F$13/1000)^2/4)*((Inputs!$F$13/1000/4)^(2/3))*SQRT(P199))</f>
        <v/>
      </c>
      <c r="AP199" s="14" t="str">
        <f>IF(A199="","",(1/Inputs!$B$9)*(PI()*(Inputs!$F$14/1000)^2/4)*((Inputs!$F$14/1000/4)^(2/3))*SQRT(P199))</f>
        <v/>
      </c>
      <c r="AQ199" s="14" t="str">
        <f t="shared" si="242"/>
        <v/>
      </c>
      <c r="AR199" s="14" t="str">
        <f t="shared" si="243"/>
        <v/>
      </c>
      <c r="AS199" s="17" t="str">
        <f>IF(A199="","",IF(J199="",Inputs!$B$18,J199))</f>
        <v/>
      </c>
      <c r="AT199" s="17" t="str">
        <f>IF(A199="","",IFERROR(_xludf.maxifs($AV$4:$AV$201,$D$4:$D$201,$A199),""))</f>
        <v/>
      </c>
      <c r="AU199" s="17" t="str">
        <f>IF(A199="","",IF(OR(E199="",Inputs!$B$23=""),"",E199/(Inputs!$B$23*60)))</f>
        <v/>
      </c>
      <c r="AV199" s="17" t="str">
        <f t="shared" si="244"/>
        <v/>
      </c>
      <c r="AW199" s="17" t="str">
        <f t="shared" si="245"/>
        <v/>
      </c>
      <c r="AX199" s="17" t="str">
        <f>IF(OR(T199="",P199=""),"",(1/Inputs!$B$9)*((T199/4)^(2/3))*SQRT(P199))</f>
        <v/>
      </c>
      <c r="AY199" s="17" t="str">
        <f>IF(A199="","",IF(AND(AW199="",AX199="",BA199=""),"",IF(OR(UPPER(TRIM(Inputs!$B$24))="MANNING",UPPER(TRIM(Inputs!$B$24))="M"),AX199,IF(OR(UPPER(TRIM(Inputs!$B$24))="PARTIAL",UPPER(TRIM(Inputs!$B$24))="P"),BA199,IF(OR(UPPER(TRIM(Inputs!$B$24))="MAX",UPPER(TRIM(Inputs!$B$24))="X"),MAX(IF(AW199="",0,AW199),IF(AX199="",0,AX199),IF(BA199="",0,BA199)),AW199)))))</f>
        <v/>
      </c>
      <c r="AZ199" s="17" t="str">
        <f t="shared" si="246"/>
        <v/>
      </c>
      <c r="BA199" s="17" t="str">
        <f t="shared" si="247"/>
        <v/>
      </c>
      <c r="BB199" s="14" t="str">
        <f t="shared" si="248"/>
        <v/>
      </c>
      <c r="BC199" s="14" t="str">
        <f>IF(OR(N199="",T199="",P199=""),"",IF(OR(T199="",P199="",(0.94*T199)="",T199&lt;=0,(0.94*T199)&lt;=0),"",(1/Inputs!$B$9)*((T199^2/8)*((2*ACOS(1-2*(0.94*T199)/T199))-SIN((2*ACOS(1-2*(0.94*T199)/T199)))))*((((T199^2/8)*((2*ACOS(1-2*(0.94*T199)/T199))-SIN((2*ACOS(1-2*(0.94*T199)/T199)))))/((T199/2)*((2*ACOS(1-2*(0.94*T199)/T199)))))^(2/3))*SQRT(P199)))</f>
        <v/>
      </c>
      <c r="BD199" s="14" t="str">
        <f t="shared" si="249"/>
        <v/>
      </c>
      <c r="BE199" s="14" t="str">
        <f t="shared" si="250"/>
        <v/>
      </c>
      <c r="BF199" s="14" t="str">
        <f t="shared" si="251"/>
        <v/>
      </c>
      <c r="BG199" s="14" t="str">
        <f>IF(OR(T199="",P199="",BF199="",T199&lt;=0,BF199&lt;=0),"",(1/Inputs!$B$9)*((T199^2/8)*((2*ACOS(1-2*BF199/T199))-SIN((2*ACOS(1-2*BF199/T199)))))*((((T199^2/8)*((2*ACOS(1-2*BF199/T199))-SIN((2*ACOS(1-2*BF199/T199)))))/((T199/2)*((2*ACOS(1-2*BF199/T199)))))^(2/3))*SQRT(P199))</f>
        <v/>
      </c>
      <c r="BH199" s="14" t="str">
        <f t="shared" si="252"/>
        <v/>
      </c>
      <c r="BI199" s="14" t="str">
        <f t="shared" si="253"/>
        <v/>
      </c>
      <c r="BJ199" s="14" t="str">
        <f t="shared" si="254"/>
        <v/>
      </c>
      <c r="BK199" s="14" t="str">
        <f>IF(OR(T199="",P199="",BJ199="",T199&lt;=0,BJ199&lt;=0),"",(1/Inputs!$B$9)*((T199^2/8)*((2*ACOS(1-2*BJ199/T199))-SIN((2*ACOS(1-2*BJ199/T199)))))*((((T199^2/8)*((2*ACOS(1-2*BJ199/T199))-SIN((2*ACOS(1-2*BJ199/T199)))))/((T199/2)*((2*ACOS(1-2*BJ199/T199)))))^(2/3))*SQRT(P199))</f>
        <v/>
      </c>
      <c r="BL199" s="14" t="str">
        <f t="shared" si="255"/>
        <v/>
      </c>
      <c r="BM199" s="14" t="str">
        <f t="shared" si="256"/>
        <v/>
      </c>
      <c r="BN199" s="14" t="str">
        <f t="shared" si="257"/>
        <v/>
      </c>
      <c r="BO199" s="14" t="str">
        <f>IF(OR(T199="",P199="",BN199="",T199&lt;=0,BN199&lt;=0),"",(1/Inputs!$B$9)*((T199^2/8)*((2*ACOS(1-2*BN199/T199))-SIN((2*ACOS(1-2*BN199/T199)))))*((((T199^2/8)*((2*ACOS(1-2*BN199/T199))-SIN((2*ACOS(1-2*BN199/T199)))))/((T199/2)*((2*ACOS(1-2*BN199/T199)))))^(2/3))*SQRT(P199))</f>
        <v/>
      </c>
      <c r="BP199" s="14" t="str">
        <f t="shared" si="258"/>
        <v/>
      </c>
      <c r="BQ199" s="14" t="str">
        <f t="shared" si="259"/>
        <v/>
      </c>
      <c r="BR199" s="14" t="str">
        <f t="shared" si="260"/>
        <v/>
      </c>
      <c r="BS199" s="14" t="str">
        <f>IF(OR(T199="",P199="",BR199="",T199&lt;=0,BR199&lt;=0),"",(1/Inputs!$B$9)*((T199^2/8)*((2*ACOS(1-2*BR199/T199))-SIN((2*ACOS(1-2*BR199/T199)))))*((((T199^2/8)*((2*ACOS(1-2*BR199/T199))-SIN((2*ACOS(1-2*BR199/T199)))))/((T199/2)*((2*ACOS(1-2*BR199/T199)))))^(2/3))*SQRT(P199))</f>
        <v/>
      </c>
      <c r="BT199" s="14" t="str">
        <f t="shared" si="261"/>
        <v/>
      </c>
      <c r="BU199" s="14" t="str">
        <f t="shared" si="262"/>
        <v/>
      </c>
      <c r="BV199" s="14" t="str">
        <f t="shared" si="263"/>
        <v/>
      </c>
      <c r="BW199" s="14" t="str">
        <f>IF(OR(T199="",P199="",BV199="",T199&lt;=0,BV199&lt;=0),"",(1/Inputs!$B$9)*((T199^2/8)*((2*ACOS(1-2*BV199/T199))-SIN((2*ACOS(1-2*BV199/T199)))))*((((T199^2/8)*((2*ACOS(1-2*BV199/T199))-SIN((2*ACOS(1-2*BV199/T199)))))/((T199/2)*((2*ACOS(1-2*BV199/T199)))))^(2/3))*SQRT(P199))</f>
        <v/>
      </c>
      <c r="BX199" s="14" t="str">
        <f t="shared" si="264"/>
        <v/>
      </c>
      <c r="BY199" s="14" t="str">
        <f t="shared" si="265"/>
        <v/>
      </c>
      <c r="BZ199" s="14" t="str">
        <f t="shared" si="266"/>
        <v/>
      </c>
      <c r="CA199" s="14" t="str">
        <f>IF(OR(T199="",P199="",BZ199="",T199&lt;=0,BZ199&lt;=0),"",(1/Inputs!$B$9)*((T199^2/8)*((2*ACOS(1-2*BZ199/T199))-SIN((2*ACOS(1-2*BZ199/T199)))))*((((T199^2/8)*((2*ACOS(1-2*BZ199/T199))-SIN((2*ACOS(1-2*BZ199/T199)))))/((T199/2)*((2*ACOS(1-2*BZ199/T199)))))^(2/3))*SQRT(P199))</f>
        <v/>
      </c>
      <c r="CB199" s="14" t="str">
        <f t="shared" si="267"/>
        <v/>
      </c>
      <c r="CC199" s="14" t="str">
        <f t="shared" si="268"/>
        <v/>
      </c>
      <c r="CD199" s="14" t="str">
        <f t="shared" si="269"/>
        <v/>
      </c>
      <c r="CE199" s="14" t="str">
        <f>IF(OR(T199="",P199="",CD199="",T199&lt;=0,CD199&lt;=0),"",(1/Inputs!$B$9)*((T199^2/8)*((2*ACOS(1-2*CD199/T199))-SIN((2*ACOS(1-2*CD199/T199)))))*((((T199^2/8)*((2*ACOS(1-2*CD199/T199))-SIN((2*ACOS(1-2*CD199/T199)))))/((T199/2)*((2*ACOS(1-2*CD199/T199)))))^(2/3))*SQRT(P199))</f>
        <v/>
      </c>
      <c r="CF199" s="14" t="str">
        <f t="shared" si="270"/>
        <v/>
      </c>
      <c r="CG199" s="14" t="str">
        <f t="shared" si="271"/>
        <v/>
      </c>
      <c r="CH199" s="14" t="str">
        <f t="shared" si="272"/>
        <v/>
      </c>
    </row>
    <row r="200" spans="1:86" x14ac:dyDescent="0.25">
      <c r="A200" s="14"/>
      <c r="B200" s="14"/>
      <c r="C200" s="14"/>
      <c r="D200" s="14"/>
      <c r="E200" s="44"/>
      <c r="F200" s="44"/>
      <c r="G200" s="44">
        <f>SUMIFS(CB_plan!$G:$G,CB_plan!$F:$F,$A200)</f>
        <v>0</v>
      </c>
      <c r="H200" s="44">
        <f t="shared" si="234"/>
        <v>0</v>
      </c>
      <c r="I200" s="14"/>
      <c r="J200" s="44"/>
      <c r="K200" s="44" t="str">
        <f>IF(A200="","",Inputs!$B$13/((IF(AV200="",Inputs!$B$18,AV200)+Inputs!$B$14)^Inputs!$B$15))</f>
        <v/>
      </c>
      <c r="L200" s="44" t="str">
        <f>IF(A200="","",IF(H200="","",0.000000278*IF(I200&lt;&gt;"",I200,IFERROR(SUMIFS(CB_plan!$H:$H,CB_plan!$F:$F,$A200)/SUMIFS(CB_plan!$G:$G,CB_plan!$F:$F,$A200),Inputs!$B$17))*H200*K200))</f>
        <v/>
      </c>
      <c r="M200" s="44" t="str">
        <f t="shared" si="235"/>
        <v/>
      </c>
      <c r="N200" s="44" t="str">
        <f>IF(A200="","",(L200+M200)*Inputs!$B$16)</f>
        <v/>
      </c>
      <c r="O200" s="44"/>
      <c r="P200" s="44" t="str">
        <f>IF(A200="","",IF(O200="",Inputs!$B$7,O200))</f>
        <v/>
      </c>
      <c r="Q200" s="14" t="str">
        <f>IF(A200="","",IF(N200/Inputs!$B$10&lt;=AG200,Inputs!$F$5,IF(N200/Inputs!$B$10&gt;AP200,"OVERSIZE",INDEX(Inputs!$F$5:$F$14,MATCH(N200/Inputs!$B$10,AG200:AP200,1)+1))))</f>
        <v/>
      </c>
      <c r="R200" s="14"/>
      <c r="S200" s="14" t="str">
        <f t="shared" si="236"/>
        <v/>
      </c>
      <c r="T200" s="44" t="str">
        <f t="shared" si="237"/>
        <v/>
      </c>
      <c r="U200" s="44" t="str">
        <f>IF(T200="","",(1/Inputs!$B$9)*(PI()*T200^2/4)*((T200/4)^(2/3))*SQRT(P200))</f>
        <v/>
      </c>
      <c r="V200" s="44" t="str">
        <f>IF(OR(U200="",N200=""),"",N200/(U200*Inputs!$B$10))</f>
        <v/>
      </c>
      <c r="W200" s="44" t="str">
        <f t="shared" si="238"/>
        <v/>
      </c>
      <c r="X200" s="44"/>
      <c r="Y200" s="44" t="str">
        <f>IF(A200="","",IF(A200=Inputs!$B$6,Inputs!$B$22,IF(D200="","",IFERROR(INDEX($Z$4:$Z$201,MATCH(D200,$A$4:$A$201,0))+IF(X200="",Inputs!$B$20,X200),""))))</f>
        <v/>
      </c>
      <c r="Z200" s="44" t="str">
        <f t="shared" si="239"/>
        <v/>
      </c>
      <c r="AA200" s="44" t="str">
        <f>IF(C200="","",IFERROR(INDEX(Noeuds_plan!$C$4:$C$200,MATCH(C200,Noeuds_plan!$A$4:$A$200,0)),""))</f>
        <v/>
      </c>
      <c r="AB200" s="44" t="str">
        <f>IF(B200="","",IFERROR(INDEX(Noeuds_plan!$C$4:$C$200,MATCH(B200,Noeuds_plan!$A$4:$A$200,0)),""))</f>
        <v/>
      </c>
      <c r="AC200" s="44" t="str">
        <f t="shared" si="240"/>
        <v/>
      </c>
      <c r="AD200" s="44" t="str">
        <f t="shared" si="241"/>
        <v/>
      </c>
      <c r="AE200" s="14" t="str">
        <f>IF(A200="","",IF(OR(V200&gt;1,AND(AY200&lt;&gt;"",AY200&lt;Inputs!$B$11),AND(AY200&lt;&gt;"",AY200&gt;Inputs!$B$12),AC200&lt;Inputs!$B$19,AD200&lt;Inputs!$B$19,P200&lt;Inputs!$B$7,P200&gt;Inputs!$B$8),"CHECK","OK"))</f>
        <v/>
      </c>
      <c r="AF200" s="14"/>
      <c r="AG200" s="14" t="str">
        <f>IF(A200="","",(1/Inputs!$B$9)*(PI()*(Inputs!$F$5/1000)^2/4)*((Inputs!$F$5/1000/4)^(2/3))*SQRT(P200))</f>
        <v/>
      </c>
      <c r="AH200" s="14" t="str">
        <f>IF(A200="","",(1/Inputs!$B$9)*(PI()*(Inputs!$F$6/1000)^2/4)*((Inputs!$F$6/1000/4)^(2/3))*SQRT(P200))</f>
        <v/>
      </c>
      <c r="AI200" s="14" t="str">
        <f>IF(A200="","",(1/Inputs!$B$9)*(PI()*(Inputs!$F$7/1000)^2/4)*((Inputs!$F$7/1000/4)^(2/3))*SQRT(P200))</f>
        <v/>
      </c>
      <c r="AJ200" s="14" t="str">
        <f>IF(A200="","",(1/Inputs!$B$9)*(PI()*(Inputs!$F$8/1000)^2/4)*((Inputs!$F$8/1000/4)^(2/3))*SQRT(P200))</f>
        <v/>
      </c>
      <c r="AK200" s="14" t="str">
        <f>IF(A200="","",(1/Inputs!$B$9)*(PI()*(Inputs!$F$9/1000)^2/4)*((Inputs!$F$9/1000/4)^(2/3))*SQRT(P200))</f>
        <v/>
      </c>
      <c r="AL200" s="14" t="str">
        <f>IF(A200="","",(1/Inputs!$B$9)*(PI()*(Inputs!$F$10/1000)^2/4)*((Inputs!$F$10/1000/4)^(2/3))*SQRT(P200))</f>
        <v/>
      </c>
      <c r="AM200" s="14" t="str">
        <f>IF(A200="","",(1/Inputs!$B$9)*(PI()*(Inputs!$F$11/1000)^2/4)*((Inputs!$F$11/1000/4)^(2/3))*SQRT(P200))</f>
        <v/>
      </c>
      <c r="AN200" s="14" t="str">
        <f>IF(A200="","",(1/Inputs!$B$9)*(PI()*(Inputs!$F$12/1000)^2/4)*((Inputs!$F$12/1000/4)^(2/3))*SQRT(P200))</f>
        <v/>
      </c>
      <c r="AO200" s="14" t="str">
        <f>IF(A200="","",(1/Inputs!$B$9)*(PI()*(Inputs!$F$13/1000)^2/4)*((Inputs!$F$13/1000/4)^(2/3))*SQRT(P200))</f>
        <v/>
      </c>
      <c r="AP200" s="14" t="str">
        <f>IF(A200="","",(1/Inputs!$B$9)*(PI()*(Inputs!$F$14/1000)^2/4)*((Inputs!$F$14/1000/4)^(2/3))*SQRT(P200))</f>
        <v/>
      </c>
      <c r="AQ200" s="14" t="str">
        <f t="shared" si="242"/>
        <v/>
      </c>
      <c r="AR200" s="14" t="str">
        <f t="shared" si="243"/>
        <v/>
      </c>
      <c r="AS200" s="17" t="str">
        <f>IF(A200="","",IF(J200="",Inputs!$B$18,J200))</f>
        <v/>
      </c>
      <c r="AT200" s="17" t="str">
        <f>IF(A200="","",IFERROR(_xludf.maxifs($AV$4:$AV$201,$D$4:$D$201,$A200),""))</f>
        <v/>
      </c>
      <c r="AU200" s="17" t="str">
        <f>IF(A200="","",IF(OR(E200="",Inputs!$B$23=""),"",E200/(Inputs!$B$23*60)))</f>
        <v/>
      </c>
      <c r="AV200" s="17" t="str">
        <f t="shared" si="244"/>
        <v/>
      </c>
      <c r="AW200" s="17" t="str">
        <f t="shared" si="245"/>
        <v/>
      </c>
      <c r="AX200" s="17" t="str">
        <f>IF(OR(T200="",P200=""),"",(1/Inputs!$B$9)*((T200/4)^(2/3))*SQRT(P200))</f>
        <v/>
      </c>
      <c r="AY200" s="17" t="str">
        <f>IF(A200="","",IF(AND(AW200="",AX200="",BA200=""),"",IF(OR(UPPER(TRIM(Inputs!$B$24))="MANNING",UPPER(TRIM(Inputs!$B$24))="M"),AX200,IF(OR(UPPER(TRIM(Inputs!$B$24))="PARTIAL",UPPER(TRIM(Inputs!$B$24))="P"),BA200,IF(OR(UPPER(TRIM(Inputs!$B$24))="MAX",UPPER(TRIM(Inputs!$B$24))="X"),MAX(IF(AW200="",0,AW200),IF(AX200="",0,AX200),IF(BA200="",0,BA200)),AW200)))))</f>
        <v/>
      </c>
      <c r="AZ200" s="17" t="str">
        <f t="shared" si="246"/>
        <v/>
      </c>
      <c r="BA200" s="17" t="str">
        <f t="shared" si="247"/>
        <v/>
      </c>
      <c r="BB200" s="14" t="str">
        <f t="shared" si="248"/>
        <v/>
      </c>
      <c r="BC200" s="14" t="str">
        <f>IF(OR(N200="",T200="",P200=""),"",IF(OR(T200="",P200="",(0.94*T200)="",T200&lt;=0,(0.94*T200)&lt;=0),"",(1/Inputs!$B$9)*((T200^2/8)*((2*ACOS(1-2*(0.94*T200)/T200))-SIN((2*ACOS(1-2*(0.94*T200)/T200)))))*((((T200^2/8)*((2*ACOS(1-2*(0.94*T200)/T200))-SIN((2*ACOS(1-2*(0.94*T200)/T200)))))/((T200/2)*((2*ACOS(1-2*(0.94*T200)/T200)))))^(2/3))*SQRT(P200)))</f>
        <v/>
      </c>
      <c r="BD200" s="14" t="str">
        <f t="shared" si="249"/>
        <v/>
      </c>
      <c r="BE200" s="14" t="str">
        <f t="shared" si="250"/>
        <v/>
      </c>
      <c r="BF200" s="14" t="str">
        <f t="shared" si="251"/>
        <v/>
      </c>
      <c r="BG200" s="14" t="str">
        <f>IF(OR(T200="",P200="",BF200="",T200&lt;=0,BF200&lt;=0),"",(1/Inputs!$B$9)*((T200^2/8)*((2*ACOS(1-2*BF200/T200))-SIN((2*ACOS(1-2*BF200/T200)))))*((((T200^2/8)*((2*ACOS(1-2*BF200/T200))-SIN((2*ACOS(1-2*BF200/T200)))))/((T200/2)*((2*ACOS(1-2*BF200/T200)))))^(2/3))*SQRT(P200))</f>
        <v/>
      </c>
      <c r="BH200" s="14" t="str">
        <f t="shared" si="252"/>
        <v/>
      </c>
      <c r="BI200" s="14" t="str">
        <f t="shared" si="253"/>
        <v/>
      </c>
      <c r="BJ200" s="14" t="str">
        <f t="shared" si="254"/>
        <v/>
      </c>
      <c r="BK200" s="14" t="str">
        <f>IF(OR(T200="",P200="",BJ200="",T200&lt;=0,BJ200&lt;=0),"",(1/Inputs!$B$9)*((T200^2/8)*((2*ACOS(1-2*BJ200/T200))-SIN((2*ACOS(1-2*BJ200/T200)))))*((((T200^2/8)*((2*ACOS(1-2*BJ200/T200))-SIN((2*ACOS(1-2*BJ200/T200)))))/((T200/2)*((2*ACOS(1-2*BJ200/T200)))))^(2/3))*SQRT(P200))</f>
        <v/>
      </c>
      <c r="BL200" s="14" t="str">
        <f t="shared" si="255"/>
        <v/>
      </c>
      <c r="BM200" s="14" t="str">
        <f t="shared" si="256"/>
        <v/>
      </c>
      <c r="BN200" s="14" t="str">
        <f t="shared" si="257"/>
        <v/>
      </c>
      <c r="BO200" s="14" t="str">
        <f>IF(OR(T200="",P200="",BN200="",T200&lt;=0,BN200&lt;=0),"",(1/Inputs!$B$9)*((T200^2/8)*((2*ACOS(1-2*BN200/T200))-SIN((2*ACOS(1-2*BN200/T200)))))*((((T200^2/8)*((2*ACOS(1-2*BN200/T200))-SIN((2*ACOS(1-2*BN200/T200)))))/((T200/2)*((2*ACOS(1-2*BN200/T200)))))^(2/3))*SQRT(P200))</f>
        <v/>
      </c>
      <c r="BP200" s="14" t="str">
        <f t="shared" si="258"/>
        <v/>
      </c>
      <c r="BQ200" s="14" t="str">
        <f t="shared" si="259"/>
        <v/>
      </c>
      <c r="BR200" s="14" t="str">
        <f t="shared" si="260"/>
        <v/>
      </c>
      <c r="BS200" s="14" t="str">
        <f>IF(OR(T200="",P200="",BR200="",T200&lt;=0,BR200&lt;=0),"",(1/Inputs!$B$9)*((T200^2/8)*((2*ACOS(1-2*BR200/T200))-SIN((2*ACOS(1-2*BR200/T200)))))*((((T200^2/8)*((2*ACOS(1-2*BR200/T200))-SIN((2*ACOS(1-2*BR200/T200)))))/((T200/2)*((2*ACOS(1-2*BR200/T200)))))^(2/3))*SQRT(P200))</f>
        <v/>
      </c>
      <c r="BT200" s="14" t="str">
        <f t="shared" si="261"/>
        <v/>
      </c>
      <c r="BU200" s="14" t="str">
        <f t="shared" si="262"/>
        <v/>
      </c>
      <c r="BV200" s="14" t="str">
        <f t="shared" si="263"/>
        <v/>
      </c>
      <c r="BW200" s="14" t="str">
        <f>IF(OR(T200="",P200="",BV200="",T200&lt;=0,BV200&lt;=0),"",(1/Inputs!$B$9)*((T200^2/8)*((2*ACOS(1-2*BV200/T200))-SIN((2*ACOS(1-2*BV200/T200)))))*((((T200^2/8)*((2*ACOS(1-2*BV200/T200))-SIN((2*ACOS(1-2*BV200/T200)))))/((T200/2)*((2*ACOS(1-2*BV200/T200)))))^(2/3))*SQRT(P200))</f>
        <v/>
      </c>
      <c r="BX200" s="14" t="str">
        <f t="shared" si="264"/>
        <v/>
      </c>
      <c r="BY200" s="14" t="str">
        <f t="shared" si="265"/>
        <v/>
      </c>
      <c r="BZ200" s="14" t="str">
        <f t="shared" si="266"/>
        <v/>
      </c>
      <c r="CA200" s="14" t="str">
        <f>IF(OR(T200="",P200="",BZ200="",T200&lt;=0,BZ200&lt;=0),"",(1/Inputs!$B$9)*((T200^2/8)*((2*ACOS(1-2*BZ200/T200))-SIN((2*ACOS(1-2*BZ200/T200)))))*((((T200^2/8)*((2*ACOS(1-2*BZ200/T200))-SIN((2*ACOS(1-2*BZ200/T200)))))/((T200/2)*((2*ACOS(1-2*BZ200/T200)))))^(2/3))*SQRT(P200))</f>
        <v/>
      </c>
      <c r="CB200" s="14" t="str">
        <f t="shared" si="267"/>
        <v/>
      </c>
      <c r="CC200" s="14" t="str">
        <f t="shared" si="268"/>
        <v/>
      </c>
      <c r="CD200" s="14" t="str">
        <f t="shared" si="269"/>
        <v/>
      </c>
      <c r="CE200" s="14" t="str">
        <f>IF(OR(T200="",P200="",CD200="",T200&lt;=0,CD200&lt;=0),"",(1/Inputs!$B$9)*((T200^2/8)*((2*ACOS(1-2*CD200/T200))-SIN((2*ACOS(1-2*CD200/T200)))))*((((T200^2/8)*((2*ACOS(1-2*CD200/T200))-SIN((2*ACOS(1-2*CD200/T200)))))/((T200/2)*((2*ACOS(1-2*CD200/T200)))))^(2/3))*SQRT(P200))</f>
        <v/>
      </c>
      <c r="CF200" s="14" t="str">
        <f t="shared" si="270"/>
        <v/>
      </c>
      <c r="CG200" s="14" t="str">
        <f t="shared" si="271"/>
        <v/>
      </c>
      <c r="CH200" s="14" t="str">
        <f t="shared" si="272"/>
        <v/>
      </c>
    </row>
    <row r="201" spans="1:86" x14ac:dyDescent="0.25">
      <c r="A201" s="14"/>
      <c r="B201" s="14"/>
      <c r="C201" s="14"/>
      <c r="D201" s="14"/>
      <c r="E201" s="44"/>
      <c r="F201" s="44"/>
      <c r="G201" s="44">
        <f>SUMIFS(CB_plan!$G:$G,CB_plan!$F:$F,$A201)</f>
        <v>0</v>
      </c>
      <c r="H201" s="44">
        <f t="shared" si="234"/>
        <v>0</v>
      </c>
      <c r="I201" s="14"/>
      <c r="J201" s="44"/>
      <c r="K201" s="44" t="str">
        <f>IF(A201="","",Inputs!$B$13/((IF(AV201="",Inputs!$B$18,AV201)+Inputs!$B$14)^Inputs!$B$15))</f>
        <v/>
      </c>
      <c r="L201" s="44" t="str">
        <f>IF(A201="","",IF(H201="","",0.000000278*IF(I201&lt;&gt;"",I201,IFERROR(SUMIFS(CB_plan!$H:$H,CB_plan!$F:$F,$A201)/SUMIFS(CB_plan!$G:$G,CB_plan!$F:$F,$A201),Inputs!$B$17))*H201*K201))</f>
        <v/>
      </c>
      <c r="M201" s="44" t="str">
        <f t="shared" si="235"/>
        <v/>
      </c>
      <c r="N201" s="44" t="str">
        <f>IF(A201="","",(L201+M201)*Inputs!$B$16)</f>
        <v/>
      </c>
      <c r="O201" s="44"/>
      <c r="P201" s="44" t="str">
        <f>IF(A201="","",IF(O201="",Inputs!$B$7,O201))</f>
        <v/>
      </c>
      <c r="Q201" s="14" t="str">
        <f>IF(A201="","",IF(N201/Inputs!$B$10&lt;=AG201,Inputs!$F$5,IF(N201/Inputs!$B$10&gt;AP201,"OVERSIZE",INDEX(Inputs!$F$5:$F$14,MATCH(N201/Inputs!$B$10,AG201:AP201,1)+1))))</f>
        <v/>
      </c>
      <c r="R201" s="14"/>
      <c r="S201" s="14" t="str">
        <f t="shared" si="236"/>
        <v/>
      </c>
      <c r="T201" s="44" t="str">
        <f t="shared" si="237"/>
        <v/>
      </c>
      <c r="U201" s="44" t="str">
        <f>IF(T201="","",(1/Inputs!$B$9)*(PI()*T201^2/4)*((T201/4)^(2/3))*SQRT(P201))</f>
        <v/>
      </c>
      <c r="V201" s="44" t="str">
        <f>IF(OR(U201="",N201=""),"",N201/(U201*Inputs!$B$10))</f>
        <v/>
      </c>
      <c r="W201" s="44" t="str">
        <f t="shared" si="238"/>
        <v/>
      </c>
      <c r="X201" s="44"/>
      <c r="Y201" s="44" t="str">
        <f>IF(A201="","",IF(A201=Inputs!$B$6,Inputs!$B$22,IF(D201="","",IFERROR(INDEX($Z$4:$Z$201,MATCH(D201,$A$4:$A$201,0))+IF(X201="",Inputs!$B$20,X201),""))))</f>
        <v/>
      </c>
      <c r="Z201" s="44" t="str">
        <f t="shared" si="239"/>
        <v/>
      </c>
      <c r="AA201" s="44" t="str">
        <f>IF(C201="","",IFERROR(INDEX(Noeuds_plan!$C$4:$C$200,MATCH(C201,Noeuds_plan!$A$4:$A$200,0)),""))</f>
        <v/>
      </c>
      <c r="AB201" s="44" t="str">
        <f>IF(B201="","",IFERROR(INDEX(Noeuds_plan!$C$4:$C$200,MATCH(B201,Noeuds_plan!$A$4:$A$200,0)),""))</f>
        <v/>
      </c>
      <c r="AC201" s="44" t="str">
        <f t="shared" si="240"/>
        <v/>
      </c>
      <c r="AD201" s="44" t="str">
        <f t="shared" si="241"/>
        <v/>
      </c>
      <c r="AE201" s="14" t="str">
        <f>IF(A201="","",IF(OR(V201&gt;1,AND(AY201&lt;&gt;"",AY201&lt;Inputs!$B$11),AND(AY201&lt;&gt;"",AY201&gt;Inputs!$B$12),AC201&lt;Inputs!$B$19,AD201&lt;Inputs!$B$19,P201&lt;Inputs!$B$7,P201&gt;Inputs!$B$8),"CHECK","OK"))</f>
        <v/>
      </c>
      <c r="AF201" s="14"/>
      <c r="AG201" s="14" t="str">
        <f>IF(A201="","",(1/Inputs!$B$9)*(PI()*(Inputs!$F$5/1000)^2/4)*((Inputs!$F$5/1000/4)^(2/3))*SQRT(P201))</f>
        <v/>
      </c>
      <c r="AH201" s="14" t="str">
        <f>IF(A201="","",(1/Inputs!$B$9)*(PI()*(Inputs!$F$6/1000)^2/4)*((Inputs!$F$6/1000/4)^(2/3))*SQRT(P201))</f>
        <v/>
      </c>
      <c r="AI201" s="14" t="str">
        <f>IF(A201="","",(1/Inputs!$B$9)*(PI()*(Inputs!$F$7/1000)^2/4)*((Inputs!$F$7/1000/4)^(2/3))*SQRT(P201))</f>
        <v/>
      </c>
      <c r="AJ201" s="14" t="str">
        <f>IF(A201="","",(1/Inputs!$B$9)*(PI()*(Inputs!$F$8/1000)^2/4)*((Inputs!$F$8/1000/4)^(2/3))*SQRT(P201))</f>
        <v/>
      </c>
      <c r="AK201" s="14" t="str">
        <f>IF(A201="","",(1/Inputs!$B$9)*(PI()*(Inputs!$F$9/1000)^2/4)*((Inputs!$F$9/1000/4)^(2/3))*SQRT(P201))</f>
        <v/>
      </c>
      <c r="AL201" s="14" t="str">
        <f>IF(A201="","",(1/Inputs!$B$9)*(PI()*(Inputs!$F$10/1000)^2/4)*((Inputs!$F$10/1000/4)^(2/3))*SQRT(P201))</f>
        <v/>
      </c>
      <c r="AM201" s="14" t="str">
        <f>IF(A201="","",(1/Inputs!$B$9)*(PI()*(Inputs!$F$11/1000)^2/4)*((Inputs!$F$11/1000/4)^(2/3))*SQRT(P201))</f>
        <v/>
      </c>
      <c r="AN201" s="14" t="str">
        <f>IF(A201="","",(1/Inputs!$B$9)*(PI()*(Inputs!$F$12/1000)^2/4)*((Inputs!$F$12/1000/4)^(2/3))*SQRT(P201))</f>
        <v/>
      </c>
      <c r="AO201" s="14" t="str">
        <f>IF(A201="","",(1/Inputs!$B$9)*(PI()*(Inputs!$F$13/1000)^2/4)*((Inputs!$F$13/1000/4)^(2/3))*SQRT(P201))</f>
        <v/>
      </c>
      <c r="AP201" s="14" t="str">
        <f>IF(A201="","",(1/Inputs!$B$9)*(PI()*(Inputs!$F$14/1000)^2/4)*((Inputs!$F$14/1000/4)^(2/3))*SQRT(P201))</f>
        <v/>
      </c>
      <c r="AQ201" s="14" t="str">
        <f t="shared" si="242"/>
        <v/>
      </c>
      <c r="AR201" s="14" t="str">
        <f t="shared" si="243"/>
        <v/>
      </c>
      <c r="AS201" s="17" t="str">
        <f>IF(A201="","",IF(J201="",Inputs!$B$18,J201))</f>
        <v/>
      </c>
      <c r="AT201" s="17" t="str">
        <f>IF(A201="","",IFERROR(_xludf.maxifs($AV$4:$AV$201,$D$4:$D$201,$A201),""))</f>
        <v/>
      </c>
      <c r="AU201" s="17" t="str">
        <f>IF(A201="","",IF(OR(E201="",Inputs!$B$23=""),"",E201/(Inputs!$B$23*60)))</f>
        <v/>
      </c>
      <c r="AV201" s="17" t="str">
        <f t="shared" si="244"/>
        <v/>
      </c>
      <c r="AW201" s="17" t="str">
        <f t="shared" si="245"/>
        <v/>
      </c>
      <c r="AX201" s="17" t="str">
        <f>IF(OR(T201="",P201=""),"",(1/Inputs!$B$9)*((T201/4)^(2/3))*SQRT(P201))</f>
        <v/>
      </c>
      <c r="AY201" s="17" t="str">
        <f>IF(A201="","",IF(AND(AW201="",AX201="",BA201=""),"",IF(OR(UPPER(TRIM(Inputs!$B$24))="MANNING",UPPER(TRIM(Inputs!$B$24))="M"),AX201,IF(OR(UPPER(TRIM(Inputs!$B$24))="PARTIAL",UPPER(TRIM(Inputs!$B$24))="P"),BA201,IF(OR(UPPER(TRIM(Inputs!$B$24))="MAX",UPPER(TRIM(Inputs!$B$24))="X"),MAX(IF(AW201="",0,AW201),IF(AX201="",0,AX201),IF(BA201="",0,BA201)),AW201)))))</f>
        <v/>
      </c>
      <c r="AZ201" s="17" t="str">
        <f t="shared" si="246"/>
        <v/>
      </c>
      <c r="BA201" s="17" t="str">
        <f t="shared" si="247"/>
        <v/>
      </c>
      <c r="BB201" s="14" t="str">
        <f t="shared" si="248"/>
        <v/>
      </c>
      <c r="BC201" s="14" t="str">
        <f>IF(OR(N201="",T201="",P201=""),"",IF(OR(T201="",P201="",(0.94*T201)="",T201&lt;=0,(0.94*T201)&lt;=0),"",(1/Inputs!$B$9)*((T201^2/8)*((2*ACOS(1-2*(0.94*T201)/T201))-SIN((2*ACOS(1-2*(0.94*T201)/T201)))))*((((T201^2/8)*((2*ACOS(1-2*(0.94*T201)/T201))-SIN((2*ACOS(1-2*(0.94*T201)/T201)))))/((T201/2)*((2*ACOS(1-2*(0.94*T201)/T201)))))^(2/3))*SQRT(P201)))</f>
        <v/>
      </c>
      <c r="BD201" s="14" t="str">
        <f t="shared" si="249"/>
        <v/>
      </c>
      <c r="BE201" s="14" t="str">
        <f t="shared" si="250"/>
        <v/>
      </c>
      <c r="BF201" s="14" t="str">
        <f t="shared" si="251"/>
        <v/>
      </c>
      <c r="BG201" s="14" t="str">
        <f>IF(OR(T201="",P201="",BF201="",T201&lt;=0,BF201&lt;=0),"",(1/Inputs!$B$9)*((T201^2/8)*((2*ACOS(1-2*BF201/T201))-SIN((2*ACOS(1-2*BF201/T201)))))*((((T201^2/8)*((2*ACOS(1-2*BF201/T201))-SIN((2*ACOS(1-2*BF201/T201)))))/((T201/2)*((2*ACOS(1-2*BF201/T201)))))^(2/3))*SQRT(P201))</f>
        <v/>
      </c>
      <c r="BH201" s="14" t="str">
        <f t="shared" si="252"/>
        <v/>
      </c>
      <c r="BI201" s="14" t="str">
        <f t="shared" si="253"/>
        <v/>
      </c>
      <c r="BJ201" s="14" t="str">
        <f t="shared" si="254"/>
        <v/>
      </c>
      <c r="BK201" s="14" t="str">
        <f>IF(OR(T201="",P201="",BJ201="",T201&lt;=0,BJ201&lt;=0),"",(1/Inputs!$B$9)*((T201^2/8)*((2*ACOS(1-2*BJ201/T201))-SIN((2*ACOS(1-2*BJ201/T201)))))*((((T201^2/8)*((2*ACOS(1-2*BJ201/T201))-SIN((2*ACOS(1-2*BJ201/T201)))))/((T201/2)*((2*ACOS(1-2*BJ201/T201)))))^(2/3))*SQRT(P201))</f>
        <v/>
      </c>
      <c r="BL201" s="14" t="str">
        <f t="shared" si="255"/>
        <v/>
      </c>
      <c r="BM201" s="14" t="str">
        <f t="shared" si="256"/>
        <v/>
      </c>
      <c r="BN201" s="14" t="str">
        <f t="shared" si="257"/>
        <v/>
      </c>
      <c r="BO201" s="14" t="str">
        <f>IF(OR(T201="",P201="",BN201="",T201&lt;=0,BN201&lt;=0),"",(1/Inputs!$B$9)*((T201^2/8)*((2*ACOS(1-2*BN201/T201))-SIN((2*ACOS(1-2*BN201/T201)))))*((((T201^2/8)*((2*ACOS(1-2*BN201/T201))-SIN((2*ACOS(1-2*BN201/T201)))))/((T201/2)*((2*ACOS(1-2*BN201/T201)))))^(2/3))*SQRT(P201))</f>
        <v/>
      </c>
      <c r="BP201" s="14" t="str">
        <f t="shared" si="258"/>
        <v/>
      </c>
      <c r="BQ201" s="14" t="str">
        <f t="shared" si="259"/>
        <v/>
      </c>
      <c r="BR201" s="14" t="str">
        <f t="shared" si="260"/>
        <v/>
      </c>
      <c r="BS201" s="14" t="str">
        <f>IF(OR(T201="",P201="",BR201="",T201&lt;=0,BR201&lt;=0),"",(1/Inputs!$B$9)*((T201^2/8)*((2*ACOS(1-2*BR201/T201))-SIN((2*ACOS(1-2*BR201/T201)))))*((((T201^2/8)*((2*ACOS(1-2*BR201/T201))-SIN((2*ACOS(1-2*BR201/T201)))))/((T201/2)*((2*ACOS(1-2*BR201/T201)))))^(2/3))*SQRT(P201))</f>
        <v/>
      </c>
      <c r="BT201" s="14" t="str">
        <f t="shared" si="261"/>
        <v/>
      </c>
      <c r="BU201" s="14" t="str">
        <f t="shared" si="262"/>
        <v/>
      </c>
      <c r="BV201" s="14" t="str">
        <f t="shared" si="263"/>
        <v/>
      </c>
      <c r="BW201" s="14" t="str">
        <f>IF(OR(T201="",P201="",BV201="",T201&lt;=0,BV201&lt;=0),"",(1/Inputs!$B$9)*((T201^2/8)*((2*ACOS(1-2*BV201/T201))-SIN((2*ACOS(1-2*BV201/T201)))))*((((T201^2/8)*((2*ACOS(1-2*BV201/T201))-SIN((2*ACOS(1-2*BV201/T201)))))/((T201/2)*((2*ACOS(1-2*BV201/T201)))))^(2/3))*SQRT(P201))</f>
        <v/>
      </c>
      <c r="BX201" s="14" t="str">
        <f t="shared" si="264"/>
        <v/>
      </c>
      <c r="BY201" s="14" t="str">
        <f t="shared" si="265"/>
        <v/>
      </c>
      <c r="BZ201" s="14" t="str">
        <f t="shared" si="266"/>
        <v/>
      </c>
      <c r="CA201" s="14" t="str">
        <f>IF(OR(T201="",P201="",BZ201="",T201&lt;=0,BZ201&lt;=0),"",(1/Inputs!$B$9)*((T201^2/8)*((2*ACOS(1-2*BZ201/T201))-SIN((2*ACOS(1-2*BZ201/T201)))))*((((T201^2/8)*((2*ACOS(1-2*BZ201/T201))-SIN((2*ACOS(1-2*BZ201/T201)))))/((T201/2)*((2*ACOS(1-2*BZ201/T201)))))^(2/3))*SQRT(P201))</f>
        <v/>
      </c>
      <c r="CB201" s="14" t="str">
        <f t="shared" si="267"/>
        <v/>
      </c>
      <c r="CC201" s="14" t="str">
        <f t="shared" si="268"/>
        <v/>
      </c>
      <c r="CD201" s="14" t="str">
        <f t="shared" si="269"/>
        <v/>
      </c>
      <c r="CE201" s="14" t="str">
        <f>IF(OR(T201="",P201="",CD201="",T201&lt;=0,CD201&lt;=0),"",(1/Inputs!$B$9)*((T201^2/8)*((2*ACOS(1-2*CD201/T201))-SIN((2*ACOS(1-2*CD201/T201)))))*((((T201^2/8)*((2*ACOS(1-2*CD201/T201))-SIN((2*ACOS(1-2*CD201/T201)))))/((T201/2)*((2*ACOS(1-2*CD201/T201)))))^(2/3))*SQRT(P201))</f>
        <v/>
      </c>
      <c r="CF201" s="14" t="str">
        <f t="shared" si="270"/>
        <v/>
      </c>
      <c r="CG201" s="14" t="str">
        <f t="shared" si="271"/>
        <v/>
      </c>
      <c r="CH201" s="14" t="str">
        <f t="shared" si="272"/>
        <v/>
      </c>
    </row>
    <row r="1048575" x14ac:dyDescent="0.25"/>
    <row r="1048576" x14ac:dyDescent="0.25"/>
  </sheetData>
  <mergeCells count="1">
    <mergeCell ref="A1:AV1"/>
  </mergeCells>
  <conditionalFormatting sqref="V4:V201">
    <cfRule type="cellIs" dxfId="7" priority="3" operator="greaterThan">
      <formula>1</formula>
    </cfRule>
  </conditionalFormatting>
  <conditionalFormatting sqref="AE4:AE201">
    <cfRule type="expression" dxfId="3" priority="2">
      <formula>$AE4="CHECK"</formula>
    </cfRule>
  </conditionalFormatting>
  <pageMargins left="0.75" right="0.75" top="1" bottom="1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216EE5C2-43FA-4400-86C0-F1AEA1A5A5A6}">
            <xm:f>$P4&lt;Inputs!$B$7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expression" priority="5" id="{69D9CF1B-E724-4736-87D8-945FAC946E5D}">
            <xm:f>$P4&gt;Inputs!$B$8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P4:P201</xm:sqref>
        </x14:conditionalFormatting>
        <x14:conditionalFormatting xmlns:xm="http://schemas.microsoft.com/office/excel/2006/main">
          <x14:cfRule type="expression" priority="6" id="{8ED48D3E-199F-4A43-9F2B-FC45D8747F8E}">
            <xm:f>AND(OR(UPPER(TRIM(Inputs!$B$24))="DESIGN",UPPER(TRIM(Inputs!$B$24))="D",UPPER(TRIM(Inputs!$B$24))=""),OR($W4&lt;Inputs!$B$11,$W4&gt;Inputs!$B$12))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W4:W201</xm:sqref>
        </x14:conditionalFormatting>
        <x14:conditionalFormatting xmlns:xm="http://schemas.microsoft.com/office/excel/2006/main">
          <x14:cfRule type="expression" priority="7" id="{C520E0D5-57EA-438C-89DC-5D1CEBDB9BEB}">
            <xm:f>$AC4&lt;Inputs!$B$19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AC4:AC201</xm:sqref>
        </x14:conditionalFormatting>
        <x14:conditionalFormatting xmlns:xm="http://schemas.microsoft.com/office/excel/2006/main">
          <x14:cfRule type="expression" priority="8" id="{F043F741-B9A9-493F-9811-21AE92696677}">
            <xm:f>$AD4&lt;Inputs!$B$19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AD4:AD201</xm:sqref>
        </x14:conditionalFormatting>
        <x14:conditionalFormatting xmlns:xm="http://schemas.microsoft.com/office/excel/2006/main">
          <x14:cfRule type="expression" priority="9" id="{FB5515B4-DE89-43D5-9FDA-46E6B7274FC3}">
            <xm:f>AND(OR(UPPER(TRIM(Inputs!$B$24))="MANNING",UPPER(TRIM(Inputs!$B$24))="M"),OR($AX4&lt;Inputs!$B$11,$AX4&gt;Inputs!$B$12))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AX4:AX201</xm:sqref>
        </x14:conditionalFormatting>
        <x14:conditionalFormatting xmlns:xm="http://schemas.microsoft.com/office/excel/2006/main">
          <x14:cfRule type="expression" priority="10" id="{F7F55DAD-F230-4563-AE85-1F1C34AFAC50}">
            <xm:f>OR($AY4&lt;Inputs!$B$11,$AY4&gt;Inputs!$B$12)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AY4:AY201</xm:sqref>
        </x14:conditionalFormatting>
        <x14:conditionalFormatting xmlns:xm="http://schemas.microsoft.com/office/excel/2006/main">
          <x14:cfRule type="expression" priority="11" id="{6EDF242B-3DD9-40DC-BBFC-C0742DE6E8E0}">
            <xm:f>AND(OR(UPPER(TRIM(Inputs!$B$24))="PARTIAL",UPPER(TRIM(Inputs!$B$24))="P"),OR($BA4&lt;Inputs!$B$11,$BA4&gt;Inputs!$B$12))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BA4:BA201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1"/>
  <sheetViews>
    <sheetView zoomScale="130" zoomScaleNormal="130" workbookViewId="0">
      <selection activeCell="J10" activeCellId="1" sqref="R8 J10"/>
    </sheetView>
  </sheetViews>
  <sheetFormatPr baseColWidth="10" defaultColWidth="9.140625" defaultRowHeight="15" customHeight="1" x14ac:dyDescent="0.25"/>
  <cols>
    <col min="1" max="1" width="8" customWidth="1"/>
    <col min="2" max="2" width="14" customWidth="1"/>
    <col min="3" max="3" width="10" customWidth="1"/>
    <col min="4" max="7" width="12" customWidth="1"/>
    <col min="8" max="8" width="20" customWidth="1"/>
    <col min="9" max="10" width="10" customWidth="1"/>
    <col min="11" max="12" width="3" customWidth="1"/>
  </cols>
  <sheetData>
    <row r="1" spans="1:10" x14ac:dyDescent="0.25">
      <c r="A1" s="8" t="s">
        <v>340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25">
      <c r="A3" s="45" t="s">
        <v>341</v>
      </c>
    </row>
    <row r="4" spans="1:10" x14ac:dyDescent="0.25">
      <c r="A4" s="45" t="s">
        <v>342</v>
      </c>
    </row>
    <row r="7" spans="1:10" x14ac:dyDescent="0.25">
      <c r="A7" s="1" t="s">
        <v>343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3" t="s">
        <v>344</v>
      </c>
      <c r="B8" s="13" t="s">
        <v>345</v>
      </c>
      <c r="C8" s="13" t="s">
        <v>346</v>
      </c>
      <c r="D8" s="13" t="s">
        <v>347</v>
      </c>
      <c r="E8" s="13" t="s">
        <v>348</v>
      </c>
      <c r="F8" s="13" t="s">
        <v>349</v>
      </c>
      <c r="G8" s="13" t="s">
        <v>350</v>
      </c>
      <c r="H8" s="13" t="s">
        <v>351</v>
      </c>
      <c r="I8" s="13" t="s">
        <v>352</v>
      </c>
      <c r="J8" s="13" t="s">
        <v>353</v>
      </c>
    </row>
    <row r="9" spans="1:10" x14ac:dyDescent="0.25">
      <c r="A9" s="14">
        <v>1</v>
      </c>
      <c r="B9" s="14" t="s">
        <v>166</v>
      </c>
      <c r="C9" s="44">
        <v>0</v>
      </c>
      <c r="D9" s="17">
        <f>IFERROR(INDEX(Conduites_plan_noeuds!$AB$4:$AB$201,MATCH("L01_P01_P02",Conduites_plan_noeuds!$A$4:$A$201,0)),"")</f>
        <v>17.236999999999998</v>
      </c>
      <c r="E9" s="17" t="str">
        <f>IFERROR(INDEX(Conduites_plan_noeuds!$Z$4:$Z$201,MATCH("L01_P01_P02",Conduites_plan_noeuds!$A$4:$A$201,0)),"")</f>
        <v/>
      </c>
      <c r="F9" s="17" t="str">
        <f ca="1">IF(OR(E9="",J9=""),"",E9+J9)</f>
        <v/>
      </c>
      <c r="G9" s="17" t="str">
        <f ca="1">IF(OR(E9="",J9="",I9=""),"",E9+0.8*J9+I9^2/(2*9.81))</f>
        <v/>
      </c>
      <c r="H9" s="14" t="s">
        <v>215</v>
      </c>
      <c r="I9" s="44">
        <f ca="1">IFERROR(INDEX(Conduites_plan_noeuds!$W$4:$W$201,MATCH("L01_P01_P02",Conduites_plan_noeuds!$A$4:$A$201,0)),"")</f>
        <v>0.5846782650465977</v>
      </c>
      <c r="J9" s="44">
        <f ca="1">IFERROR(INDEX(Conduites_plan_noeuds!$T$4:$T$201,MATCH("L01_P01_P02",Conduites_plan_noeuds!$A$4:$A$201,0)),"")</f>
        <v>0.25</v>
      </c>
    </row>
    <row r="10" spans="1:10" x14ac:dyDescent="0.25">
      <c r="A10" s="14">
        <v>2</v>
      </c>
      <c r="B10" s="14" t="s">
        <v>167</v>
      </c>
      <c r="C10" s="44">
        <f>IFERROR(INDEX(Conduites_plan_noeuds!$E$4:$E$201,MATCH("L01_P01_P02",Conduites_plan_noeuds!$A$4:$A$201,0)),0)</f>
        <v>14.2</v>
      </c>
      <c r="D10" s="17">
        <f>IFERROR(INDEX(Conduites_plan_noeuds!$AA$4:$AA$201,MATCH("L01_P01_P02",Conduites_plan_noeuds!$A$4:$A$201,0)),"")</f>
        <v>17.131</v>
      </c>
      <c r="E10" s="17" t="str">
        <f>IFERROR(INDEX(Conduites_plan_noeuds!$Y$4:$Y$201,MATCH("L01_P01_P02",Conduites_plan_noeuds!$A$4:$A$201,0)),"")</f>
        <v/>
      </c>
      <c r="F10" s="17" t="str">
        <f ca="1">IF(OR(E10="",J10=""),"",E10+J10)</f>
        <v/>
      </c>
      <c r="G10" s="17" t="str">
        <f ca="1">IF(OR(E10="",J10="",I10=""),"",E10+0.8*J10+I10^2/(2*9.81))</f>
        <v/>
      </c>
      <c r="H10" s="14" t="s">
        <v>218</v>
      </c>
      <c r="I10" s="44">
        <f ca="1">IFERROR(INDEX(Conduites_plan_noeuds!$W$4:$W$201,MATCH("L02_P02_P03",Conduites_plan_noeuds!$A$4:$A$201,0)),"")</f>
        <v>0.55101439501928851</v>
      </c>
      <c r="J10" s="44">
        <f ca="1">IFERROR(INDEX(Conduites_plan_noeuds!$T$4:$T$201,MATCH("L01_P01_P02",Conduites_plan_noeuds!$A$4:$A$201,0)),"")</f>
        <v>0.25</v>
      </c>
    </row>
    <row r="11" spans="1:10" x14ac:dyDescent="0.25">
      <c r="A11" s="14">
        <v>3</v>
      </c>
      <c r="B11" s="14" t="s">
        <v>169</v>
      </c>
      <c r="C11" s="44">
        <f>IFERROR(INDEX(Conduites_plan_noeuds!$E$4:$E$201,MATCH("L01_P01_P02",Conduites_plan_noeuds!$A$4:$A$201,0)),0) + IFERROR(INDEX(Conduites_plan_noeuds!$E$4:$E$201,MATCH("L02_P02_P03",Conduites_plan_noeuds!$A$4:$A$201,0)),0)</f>
        <v>24.799999999999997</v>
      </c>
      <c r="D11" s="17">
        <f>IFERROR(INDEX(Conduites_plan_noeuds!$AA$4:$AA$201,MATCH("L02_P02_P03",Conduites_plan_noeuds!$A$4:$A$201,0)),"")</f>
        <v>17.010000000000002</v>
      </c>
      <c r="E11" s="17" t="str">
        <f>IFERROR(INDEX(Conduites_plan_noeuds!$Y$4:$Y$201,MATCH("L02_P02_P03",Conduites_plan_noeuds!$A$4:$A$201,0)),"")</f>
        <v/>
      </c>
      <c r="F11" s="17" t="str">
        <f>IF(OR(E11="",J11=""),"",E11+J11)</f>
        <v/>
      </c>
      <c r="G11" s="17" t="str">
        <f ca="1">IF(OR(E11="",J11="",I11=""),"",E11+0.8*J11+I11^2/(2*9.81))</f>
        <v/>
      </c>
      <c r="H11" s="14" t="s">
        <v>331</v>
      </c>
      <c r="I11" s="44">
        <f ca="1">IFERROR(INDEX(Conduites_plan_noeuds!$W$4:$W$201,MATCH("L03_P03_P10",Conduites_plan_noeuds!$A$4:$A$201,0)),"")</f>
        <v>0.35264921281234468</v>
      </c>
      <c r="J11" s="44">
        <f>IFERROR(INDEX(Conduites_plan_noeuds!$T$4:$T$201,MATCH("L02_P02_P03",Conduites_plan_noeuds!$A$4:$A$201,0)),"")</f>
        <v>0.3</v>
      </c>
    </row>
    <row r="12" spans="1:10" x14ac:dyDescent="0.25">
      <c r="A12" s="14">
        <v>4</v>
      </c>
      <c r="B12" s="14" t="s">
        <v>171</v>
      </c>
      <c r="C12" s="44">
        <f>IFERROR(INDEX(Conduites_plan_noeuds!$E$4:$E$201,MATCH("L01_P01_P02",Conduites_plan_noeuds!$A$4:$A$201,0)),0) + IFERROR(INDEX(Conduites_plan_noeuds!$E$4:$E$201,MATCH("L02_P02_P03",Conduites_plan_noeuds!$A$4:$A$201,0)),0) + IFERROR(INDEX(Conduites_plan_noeuds!$E$4:$E$201,MATCH("L03_P03_RP100",Conduites_plan_noeuds!$A$4:$A$201,0)),0)</f>
        <v>24.799999999999997</v>
      </c>
      <c r="D12" s="17">
        <f>IFERROR(INDEX(Conduites_plan_noeuds!$AA$4:$AA$201,MATCH("L02_P02_P03",Conduites_plan_noeuds!$A$4:$A$201,0)),"")</f>
        <v>17.010000000000002</v>
      </c>
      <c r="E12" s="17" t="str">
        <f>IFERROR(INDEX(Conduites_plan_noeuds!$Y$4:$Y$201,MATCH("L02_P02_P03",Conduites_plan_noeuds!$A$4:$A$201,0)),"")</f>
        <v/>
      </c>
      <c r="F12" s="17" t="str">
        <f ca="1">IF(OR(E12="",J12=""),"",E12+J12)</f>
        <v/>
      </c>
      <c r="G12" s="17" t="str">
        <f ca="1">IF(OR(E12="",J12="",I12=""),"",E12+0.8*J12+I12^2/(2*9.81))</f>
        <v/>
      </c>
      <c r="H12" s="14" t="s">
        <v>239</v>
      </c>
      <c r="I12" s="44">
        <f ca="1">IFERROR(INDEX(Conduites_plan_noeuds!$W$4:$W$201,MATCH("L10_P10_P11",Conduites_plan_noeuds!$A$4:$A$201,0)),"")</f>
        <v>0.96325139307947516</v>
      </c>
      <c r="J12" s="44">
        <f ca="1">IFERROR(INDEX(Conduites_plan_noeuds!$T$4:$T$201,MATCH("L10_P10_P11",Conduites_plan_noeuds!$A$4:$A$201,0)),"")</f>
        <v>0.3</v>
      </c>
    </row>
    <row r="13" spans="1:10" x14ac:dyDescent="0.25">
      <c r="A13" s="14">
        <v>5</v>
      </c>
      <c r="B13" s="14" t="s">
        <v>185</v>
      </c>
      <c r="C13" s="44">
        <f>IFERROR(INDEX(Conduites_plan_noeuds!$E$4:$E$201,MATCH("L01_P01_P02",Conduites_plan_noeuds!$A$4:$A$201,0)),0) + IFERROR(INDEX(Conduites_plan_noeuds!$E$4:$E$201,MATCH("L02_P02_P03",Conduites_plan_noeuds!$A$4:$A$201,0)),0) + IFERROR(INDEX(Conduites_plan_noeuds!$E$4:$E$201,MATCH("L03_P03_RP100",Conduites_plan_noeuds!$A$4:$A$201,0)),0) + IFERROR(INDEX(Conduites_plan_noeuds!$E$4:$E$201,MATCH("L11_RP100_PUB",Conduites_plan_noeuds!$A$4:$A$201,0)),0)</f>
        <v>24.799999999999997</v>
      </c>
      <c r="D13" s="17">
        <f>IFERROR(INDEX(Conduites_plan_noeuds!$AA$4:$AA$201,MATCH("L02_P02_P03",Conduites_plan_noeuds!$A$4:$A$201,0)),"")</f>
        <v>17.010000000000002</v>
      </c>
      <c r="E13" s="17" t="str">
        <f>IFERROR(INDEX(Conduites_plan_noeuds!$Y$4:$Y$201,MATCH("L02_P02_P03",Conduites_plan_noeuds!$A$4:$A$201,0)),"")</f>
        <v/>
      </c>
      <c r="F13" s="17" t="str">
        <f ca="1">IF(OR(E13="",J13=""),"",E13+J13)</f>
        <v/>
      </c>
      <c r="G13" s="17" t="str">
        <f ca="1">IF(OR(E13="",J13="",I13=""),"",E13+0.8*J13+I13^2/(2*9.81))</f>
        <v/>
      </c>
      <c r="H13" s="14" t="s">
        <v>99</v>
      </c>
      <c r="I13" s="44" t="str">
        <f>IFERROR(INDEX(Conduites_plan_noeuds!$W$4:$W$201,MATCH("L11_P11_PUB",Conduites_plan_noeuds!$A$4:$A$201,0)),"")</f>
        <v/>
      </c>
      <c r="J13" s="44">
        <f ca="1">IFERROR(INDEX(Conduites_plan_noeuds!$T$4:$T$201,MATCH("L10_P10_P11",Conduites_plan_noeuds!$A$4:$A$201,0)),"")</f>
        <v>0.3</v>
      </c>
    </row>
    <row r="30" spans="1:10" x14ac:dyDescent="0.25">
      <c r="A30" s="1" t="s">
        <v>354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3" t="s">
        <v>344</v>
      </c>
      <c r="B31" s="13" t="s">
        <v>345</v>
      </c>
      <c r="C31" s="13" t="s">
        <v>346</v>
      </c>
      <c r="D31" s="13" t="s">
        <v>347</v>
      </c>
      <c r="E31" s="13" t="s">
        <v>348</v>
      </c>
      <c r="F31" s="13" t="s">
        <v>349</v>
      </c>
      <c r="G31" s="13" t="s">
        <v>350</v>
      </c>
      <c r="H31" s="13" t="s">
        <v>351</v>
      </c>
      <c r="I31" s="13" t="s">
        <v>352</v>
      </c>
      <c r="J31" s="13" t="s">
        <v>353</v>
      </c>
    </row>
    <row r="32" spans="1:10" x14ac:dyDescent="0.25">
      <c r="A32" s="14">
        <v>1</v>
      </c>
      <c r="B32" s="14" t="s">
        <v>173</v>
      </c>
      <c r="C32" s="44">
        <v>0</v>
      </c>
      <c r="D32" s="17" t="str">
        <f>IFERROR(INDEX(Conduites_plan_noeuds!$AB$4:$AB$201,MATCH("L04_P04_P05",Conduites_plan_noeuds!$A$4:$A$201,0)),"")</f>
        <v/>
      </c>
      <c r="E32" s="17" t="str">
        <f>IFERROR(INDEX(Conduites_plan_noeuds!$Z$4:$Z$201,MATCH("L04_P04_P05",Conduites_plan_noeuds!$A$4:$A$201,0)),"")</f>
        <v/>
      </c>
      <c r="F32" s="17" t="str">
        <f>IF(OR(E32="",J32=""),"",E32+J32)</f>
        <v/>
      </c>
      <c r="G32" s="17" t="str">
        <f>IF(OR(E32="",J32="",I32=""),"",E32+0.8*J32+I32^2/(2*9.81))</f>
        <v/>
      </c>
      <c r="H32" s="14" t="s">
        <v>355</v>
      </c>
      <c r="I32" s="44" t="str">
        <f>IFERROR(INDEX(Conduites_plan_noeuds!$W$4:$W$201,MATCH("L04_P04_P05",Conduites_plan_noeuds!$A$4:$A$201,0)),"")</f>
        <v/>
      </c>
      <c r="J32" s="44" t="str">
        <f>IFERROR(INDEX(Conduites_plan_noeuds!$T$4:$T$201,MATCH("L04_P04_P05",Conduites_plan_noeuds!$A$4:$A$201,0)),"")</f>
        <v/>
      </c>
    </row>
    <row r="33" spans="1:10" x14ac:dyDescent="0.25">
      <c r="A33" s="14">
        <v>2</v>
      </c>
      <c r="B33" s="14" t="s">
        <v>174</v>
      </c>
      <c r="C33" s="44">
        <f>IFERROR(INDEX(Conduites_plan_noeuds!$E$4:$E$201,MATCH("L04_P04_P05",Conduites_plan_noeuds!$A$4:$A$201,0)),0)</f>
        <v>0</v>
      </c>
      <c r="D33" s="17" t="str">
        <f>IFERROR(INDEX(Conduites_plan_noeuds!$AA$4:$AA$201,MATCH("L04_P04_P05",Conduites_plan_noeuds!$A$4:$A$201,0)),"")</f>
        <v/>
      </c>
      <c r="E33" s="17" t="str">
        <f>IFERROR(INDEX(Conduites_plan_noeuds!$Y$4:$Y$201,MATCH("L04_P04_P05",Conduites_plan_noeuds!$A$4:$A$201,0)),"")</f>
        <v/>
      </c>
      <c r="F33" s="17" t="str">
        <f>IF(OR(E33="",J33=""),"",E33+J33)</f>
        <v/>
      </c>
      <c r="G33" s="17" t="str">
        <f>IF(OR(E33="",J33="",I33=""),"",E33+0.8*J33+I33^2/(2*9.81))</f>
        <v/>
      </c>
      <c r="H33" s="14" t="s">
        <v>355</v>
      </c>
      <c r="I33" s="44" t="str">
        <f>IFERROR(INDEX(Conduites_plan_noeuds!$W$4:$W$201,MATCH("L04_P04_P05",Conduites_plan_noeuds!$A$4:$A$201,0)),"")</f>
        <v/>
      </c>
      <c r="J33" s="44" t="str">
        <f>IFERROR(INDEX(Conduites_plan_noeuds!$T$4:$T$201,MATCH("L04_P04_P05",Conduites_plan_noeuds!$A$4:$A$201,0)),"")</f>
        <v/>
      </c>
    </row>
    <row r="34" spans="1:10" x14ac:dyDescent="0.25">
      <c r="A34" s="14">
        <v>3</v>
      </c>
      <c r="B34" s="14" t="s">
        <v>177</v>
      </c>
      <c r="C34" s="44">
        <f>IFERROR(INDEX(Conduites_plan_noeuds!$E$4:$E$201,MATCH("L04_P04_P05",Conduites_plan_noeuds!$A$4:$A$201,0)),0) + IFERROR(INDEX(Conduites_plan_noeuds!$E$4:$E$201,MATCH("L05_P05_P06",Conduites_plan_noeuds!$A$4:$A$201,0)),0)</f>
        <v>0</v>
      </c>
      <c r="D34" s="17" t="str">
        <f>IFERROR(INDEX(Conduites_plan_noeuds!$AA$4:$AA$201,MATCH("L05_P05_P06",Conduites_plan_noeuds!$A$4:$A$201,0)),"")</f>
        <v/>
      </c>
      <c r="E34" s="17" t="str">
        <f>IFERROR(INDEX(Conduites_plan_noeuds!$Y$4:$Y$201,MATCH("L05_P05_P06",Conduites_plan_noeuds!$A$4:$A$201,0)),"")</f>
        <v/>
      </c>
      <c r="F34" s="17" t="str">
        <f>IF(OR(E34="",J34=""),"",E34+J34)</f>
        <v/>
      </c>
      <c r="G34" s="17" t="str">
        <f>IF(OR(E34="",J34="",I34=""),"",E34+0.8*J34+I34^2/(2*9.81))</f>
        <v/>
      </c>
      <c r="H34" s="14" t="s">
        <v>356</v>
      </c>
      <c r="I34" s="44" t="str">
        <f>IFERROR(INDEX(Conduites_plan_noeuds!$W$4:$W$201,MATCH("L05_P05_P06",Conduites_plan_noeuds!$A$4:$A$201,0)),"")</f>
        <v/>
      </c>
      <c r="J34" s="44" t="str">
        <f>IFERROR(INDEX(Conduites_plan_noeuds!$T$4:$T$201,MATCH("L05_P05_P06",Conduites_plan_noeuds!$A$4:$A$201,0)),"")</f>
        <v/>
      </c>
    </row>
    <row r="35" spans="1:10" x14ac:dyDescent="0.25">
      <c r="A35" s="14">
        <v>4</v>
      </c>
      <c r="B35" s="14" t="s">
        <v>357</v>
      </c>
      <c r="C35" s="44">
        <f>IFERROR(INDEX(Conduites_plan_noeuds!$E$4:$E$201,MATCH("L04_P04_P05",Conduites_plan_noeuds!$A$4:$A$201,0)),0) + IFERROR(INDEX(Conduites_plan_noeuds!$E$4:$E$201,MATCH("L05_P05_P06",Conduites_plan_noeuds!$A$4:$A$201,0)),0) + IFERROR(INDEX(Conduites_plan_noeuds!$E$4:$E$201,MATCH("L06_P06_RP100",Conduites_plan_noeuds!$A$4:$A$201,0)),0)</f>
        <v>0</v>
      </c>
      <c r="D35" s="17" t="str">
        <f>IFERROR(INDEX(Conduites_plan_noeuds!$AA$4:$AA$201,MATCH("L06_P06_RP100",Conduites_plan_noeuds!$A$4:$A$201,0)),"")</f>
        <v/>
      </c>
      <c r="E35" s="17" t="str">
        <f>IFERROR(INDEX(Conduites_plan_noeuds!$Y$4:$Y$201,MATCH("L06_P06_RP100",Conduites_plan_noeuds!$A$4:$A$201,0)),"")</f>
        <v/>
      </c>
      <c r="F35" s="17" t="str">
        <f>IF(OR(E35="",J35=""),"",E35+J35)</f>
        <v/>
      </c>
      <c r="G35" s="17" t="str">
        <f>IF(OR(E35="",J35="",I35=""),"",E35+0.8*J35+I35^2/(2*9.81))</f>
        <v/>
      </c>
      <c r="H35" s="14" t="s">
        <v>358</v>
      </c>
      <c r="I35" s="44" t="str">
        <f>IFERROR(INDEX(Conduites_plan_noeuds!$W$4:$W$201,MATCH("L06_P06_RP100",Conduites_plan_noeuds!$A$4:$A$201,0)),"")</f>
        <v/>
      </c>
      <c r="J35" s="44" t="str">
        <f>IFERROR(INDEX(Conduites_plan_noeuds!$T$4:$T$201,MATCH("L06_P06_RP100",Conduites_plan_noeuds!$A$4:$A$201,0)),"")</f>
        <v/>
      </c>
    </row>
    <row r="36" spans="1:10" x14ac:dyDescent="0.25">
      <c r="A36" s="14">
        <v>5</v>
      </c>
      <c r="B36" s="14" t="s">
        <v>189</v>
      </c>
      <c r="C36" s="44">
        <f>IFERROR(INDEX(Conduites_plan_noeuds!$E$4:$E$201,MATCH("L04_P04_P05",Conduites_plan_noeuds!$A$4:$A$201,0)),0) + IFERROR(INDEX(Conduites_plan_noeuds!$E$4:$E$201,MATCH("L05_P05_P06",Conduites_plan_noeuds!$A$4:$A$201,0)),0) + IFERROR(INDEX(Conduites_plan_noeuds!$E$4:$E$201,MATCH("L06_P06_RP100",Conduites_plan_noeuds!$A$4:$A$201,0)),0) + IFERROR(INDEX(Conduites_plan_noeuds!$E$4:$E$201,MATCH("L11_RP100_PUB",Conduites_plan_noeuds!$A$4:$A$201,0)),0)</f>
        <v>0</v>
      </c>
      <c r="D36" s="17" t="str">
        <f>IFERROR(INDEX(Conduites_plan_noeuds!$AA$4:$AA$201,MATCH("L11_RP100_PUB",Conduites_plan_noeuds!$A$4:$A$201,0)),"")</f>
        <v/>
      </c>
      <c r="E36" s="17" t="str">
        <f>IFERROR(INDEX(Conduites_plan_noeuds!$Y$4:$Y$201,MATCH("L11_RP100_PUB",Conduites_plan_noeuds!$A$4:$A$201,0)),"")</f>
        <v/>
      </c>
      <c r="F36" s="17" t="str">
        <f>IF(OR(E36="",J36=""),"",E36+J36)</f>
        <v/>
      </c>
      <c r="G36" s="17" t="str">
        <f>IF(OR(E36="",J36="",I36=""),"",E36+0.8*J36+I36^2/(2*9.81))</f>
        <v/>
      </c>
      <c r="H36" s="14" t="s">
        <v>359</v>
      </c>
      <c r="I36" s="44" t="str">
        <f>IFERROR(INDEX(Conduites_plan_noeuds!$W$4:$W$201,MATCH("L11_RP100_PUB",Conduites_plan_noeuds!$A$4:$A$201,0)),"")</f>
        <v/>
      </c>
      <c r="J36" s="44" t="str">
        <f>IFERROR(INDEX(Conduites_plan_noeuds!$T$4:$T$201,MATCH("L11_RP100_PUB",Conduites_plan_noeuds!$A$4:$A$201,0)),"")</f>
        <v/>
      </c>
    </row>
    <row r="53" spans="1:10" x14ac:dyDescent="0.25">
      <c r="A53" s="1" t="s">
        <v>360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3" t="s">
        <v>344</v>
      </c>
      <c r="B54" s="13" t="s">
        <v>345</v>
      </c>
      <c r="C54" s="13" t="s">
        <v>346</v>
      </c>
      <c r="D54" s="13" t="s">
        <v>347</v>
      </c>
      <c r="E54" s="13" t="s">
        <v>348</v>
      </c>
      <c r="F54" s="13" t="s">
        <v>349</v>
      </c>
      <c r="G54" s="13" t="s">
        <v>350</v>
      </c>
      <c r="H54" s="13" t="s">
        <v>351</v>
      </c>
      <c r="I54" s="13" t="s">
        <v>352</v>
      </c>
      <c r="J54" s="13" t="s">
        <v>353</v>
      </c>
    </row>
    <row r="55" spans="1:10" x14ac:dyDescent="0.25">
      <c r="A55" s="14">
        <v>1</v>
      </c>
      <c r="B55" s="14" t="s">
        <v>361</v>
      </c>
      <c r="C55" s="44">
        <v>0</v>
      </c>
      <c r="D55" s="17" t="str">
        <f>IFERROR(INDEX(Conduites_plan_noeuds!$AB$4:$AB$201,MATCH("L10_P010_P07",Conduites_plan_noeuds!$A$4:$A$201,0)),"")</f>
        <v/>
      </c>
      <c r="E55" s="17" t="str">
        <f>IFERROR(INDEX(Conduites_plan_noeuds!$Z$4:$Z$201,MATCH("L10_P010_P07",Conduites_plan_noeuds!$A$4:$A$201,0)),"")</f>
        <v/>
      </c>
      <c r="F55" s="17" t="str">
        <f t="shared" ref="F55:F61" si="0">IF(OR(E55="",J55=""),"",E55+J55)</f>
        <v/>
      </c>
      <c r="G55" s="17" t="str">
        <f t="shared" ref="G55:G61" si="1">IF(OR(E55="",J55="",I55=""),"",E55+0.8*J55+I55^2/(2*9.81))</f>
        <v/>
      </c>
      <c r="H55" s="14" t="s">
        <v>362</v>
      </c>
      <c r="I55" s="44" t="str">
        <f>IFERROR(INDEX(Conduites_plan_noeuds!$W$4:$W$201,MATCH("L10_P010_P07",Conduites_plan_noeuds!$A$4:$A$201,0)),"")</f>
        <v/>
      </c>
      <c r="J55" s="44" t="str">
        <f>IFERROR(INDEX(Conduites_plan_noeuds!$T$4:$T$201,MATCH("L10_P010_P07",Conduites_plan_noeuds!$A$4:$A$201,0)),"")</f>
        <v/>
      </c>
    </row>
    <row r="56" spans="1:10" x14ac:dyDescent="0.25">
      <c r="A56" s="14">
        <v>2</v>
      </c>
      <c r="B56" s="14" t="s">
        <v>179</v>
      </c>
      <c r="C56" s="44">
        <f>IFERROR(INDEX(Conduites_plan_noeuds!$E$4:$E$201,MATCH("L10_P010_P07",Conduites_plan_noeuds!$A$4:$A$201,0)),0)</f>
        <v>0</v>
      </c>
      <c r="D56" s="17" t="str">
        <f>IFERROR(INDEX(Conduites_plan_noeuds!$AA$4:$AA$201,MATCH("L10_P010_P07",Conduites_plan_noeuds!$A$4:$A$201,0)),"")</f>
        <v/>
      </c>
      <c r="E56" s="17" t="str">
        <f>IFERROR(INDEX(Conduites_plan_noeuds!$Y$4:$Y$201,MATCH("L10_P010_P07",Conduites_plan_noeuds!$A$4:$A$201,0)),"")</f>
        <v/>
      </c>
      <c r="F56" s="17" t="str">
        <f t="shared" si="0"/>
        <v/>
      </c>
      <c r="G56" s="17" t="str">
        <f t="shared" si="1"/>
        <v/>
      </c>
      <c r="H56" s="14" t="s">
        <v>362</v>
      </c>
      <c r="I56" s="44" t="str">
        <f>IFERROR(INDEX(Conduites_plan_noeuds!$W$4:$W$201,MATCH("L10_P010_P07",Conduites_plan_noeuds!$A$4:$A$201,0)),"")</f>
        <v/>
      </c>
      <c r="J56" s="44" t="str">
        <f>IFERROR(INDEX(Conduites_plan_noeuds!$T$4:$T$201,MATCH("L10_P010_P07",Conduites_plan_noeuds!$A$4:$A$201,0)),"")</f>
        <v/>
      </c>
    </row>
    <row r="57" spans="1:10" x14ac:dyDescent="0.25">
      <c r="A57" s="14">
        <v>3</v>
      </c>
      <c r="B57" s="14" t="s">
        <v>181</v>
      </c>
      <c r="C57" s="44">
        <f>IFERROR(INDEX(Conduites_plan_noeuds!$E$4:$E$201,MATCH("L10_P010_P07",Conduites_plan_noeuds!$A$4:$A$201,0)),0) + IFERROR(INDEX(Conduites_plan_noeuds!$E$4:$E$201,MATCH("L07_P07_P08",Conduites_plan_noeuds!$A$4:$A$201,0)),0)</f>
        <v>0</v>
      </c>
      <c r="D57" s="17" t="str">
        <f>IFERROR(INDEX(Conduites_plan_noeuds!$AA$4:$AA$201,MATCH("L07_P07_P08",Conduites_plan_noeuds!$A$4:$A$201,0)),"")</f>
        <v/>
      </c>
      <c r="E57" s="17" t="str">
        <f>IFERROR(INDEX(Conduites_plan_noeuds!$Y$4:$Y$201,MATCH("L07_P07_P08",Conduites_plan_noeuds!$A$4:$A$201,0)),"")</f>
        <v/>
      </c>
      <c r="F57" s="17" t="str">
        <f t="shared" si="0"/>
        <v/>
      </c>
      <c r="G57" s="17" t="str">
        <f t="shared" si="1"/>
        <v/>
      </c>
      <c r="H57" s="14" t="s">
        <v>363</v>
      </c>
      <c r="I57" s="44" t="str">
        <f>IFERROR(INDEX(Conduites_plan_noeuds!$W$4:$W$201,MATCH("L07_P07_P08",Conduites_plan_noeuds!$A$4:$A$201,0)),"")</f>
        <v/>
      </c>
      <c r="J57" s="44" t="str">
        <f>IFERROR(INDEX(Conduites_plan_noeuds!$T$4:$T$201,MATCH("L07_P07_P08",Conduites_plan_noeuds!$A$4:$A$201,0)),"")</f>
        <v/>
      </c>
    </row>
    <row r="58" spans="1:10" x14ac:dyDescent="0.25">
      <c r="A58" s="14">
        <v>4</v>
      </c>
      <c r="B58" s="14" t="s">
        <v>183</v>
      </c>
      <c r="C58" s="44">
        <f>IFERROR(INDEX(Conduites_plan_noeuds!$E$4:$E$201,MATCH("L10_P010_P07",Conduites_plan_noeuds!$A$4:$A$201,0)),0) + IFERROR(INDEX(Conduites_plan_noeuds!$E$4:$E$201,MATCH("L07_P07_P08",Conduites_plan_noeuds!$A$4:$A$201,0)),0) + IFERROR(INDEX(Conduites_plan_noeuds!$E$4:$E$201,MATCH("L08_P08_P09",Conduites_plan_noeuds!$A$4:$A$201,0)),0)</f>
        <v>0</v>
      </c>
      <c r="D58" s="17" t="str">
        <f>IFERROR(INDEX(Conduites_plan_noeuds!$AA$4:$AA$201,MATCH("L08_P08_P09",Conduites_plan_noeuds!$A$4:$A$201,0)),"")</f>
        <v/>
      </c>
      <c r="E58" s="17" t="str">
        <f>IFERROR(INDEX(Conduites_plan_noeuds!$Y$4:$Y$201,MATCH("L08_P08_P09",Conduites_plan_noeuds!$A$4:$A$201,0)),"")</f>
        <v/>
      </c>
      <c r="F58" s="17" t="str">
        <f t="shared" si="0"/>
        <v/>
      </c>
      <c r="G58" s="17" t="str">
        <f t="shared" si="1"/>
        <v/>
      </c>
      <c r="H58" s="14" t="s">
        <v>364</v>
      </c>
      <c r="I58" s="44" t="str">
        <f>IFERROR(INDEX(Conduites_plan_noeuds!$W$4:$W$201,MATCH("L08_P08_P09",Conduites_plan_noeuds!$A$4:$A$201,0)),"")</f>
        <v/>
      </c>
      <c r="J58" s="44" t="str">
        <f>IFERROR(INDEX(Conduites_plan_noeuds!$T$4:$T$201,MATCH("L08_P08_P09",Conduites_plan_noeuds!$A$4:$A$201,0)),"")</f>
        <v/>
      </c>
    </row>
    <row r="59" spans="1:10" x14ac:dyDescent="0.25">
      <c r="A59" s="14">
        <v>5</v>
      </c>
      <c r="B59" s="14" t="s">
        <v>177</v>
      </c>
      <c r="C59" s="44">
        <f>IFERROR(INDEX(Conduites_plan_noeuds!$E$4:$E$201,MATCH("L10_P010_P07",Conduites_plan_noeuds!$A$4:$A$201,0)),0) + IFERROR(INDEX(Conduites_plan_noeuds!$E$4:$E$201,MATCH("L07_P07_P08",Conduites_plan_noeuds!$A$4:$A$201,0)),0) + IFERROR(INDEX(Conduites_plan_noeuds!$E$4:$E$201,MATCH("L08_P08_P09",Conduites_plan_noeuds!$A$4:$A$201,0)),0) + IFERROR(INDEX(Conduites_plan_noeuds!$E$4:$E$201,MATCH("L09_P09_P06",Conduites_plan_noeuds!$A$4:$A$201,0)),0)</f>
        <v>0</v>
      </c>
      <c r="D59" s="17" t="str">
        <f>IFERROR(INDEX(Conduites_plan_noeuds!$AA$4:$AA$201,MATCH("L09_P09_P06",Conduites_plan_noeuds!$A$4:$A$201,0)),"")</f>
        <v/>
      </c>
      <c r="E59" s="17" t="str">
        <f>IFERROR(INDEX(Conduites_plan_noeuds!$Y$4:$Y$201,MATCH("L09_P09_P06",Conduites_plan_noeuds!$A$4:$A$201,0)),"")</f>
        <v/>
      </c>
      <c r="F59" s="17" t="str">
        <f t="shared" si="0"/>
        <v/>
      </c>
      <c r="G59" s="17" t="str">
        <f t="shared" si="1"/>
        <v/>
      </c>
      <c r="H59" s="14" t="s">
        <v>365</v>
      </c>
      <c r="I59" s="44" t="str">
        <f>IFERROR(INDEX(Conduites_plan_noeuds!$W$4:$W$201,MATCH("L09_P09_P06",Conduites_plan_noeuds!$A$4:$A$201,0)),"")</f>
        <v/>
      </c>
      <c r="J59" s="44" t="str">
        <f>IFERROR(INDEX(Conduites_plan_noeuds!$T$4:$T$201,MATCH("L09_P09_P06",Conduites_plan_noeuds!$A$4:$A$201,0)),"")</f>
        <v/>
      </c>
    </row>
    <row r="60" spans="1:10" x14ac:dyDescent="0.25">
      <c r="A60" s="14">
        <v>6</v>
      </c>
      <c r="B60" s="14" t="s">
        <v>357</v>
      </c>
      <c r="C60" s="44">
        <f>IFERROR(INDEX(Conduites_plan_noeuds!$E$4:$E$201,MATCH("L10_P010_P07",Conduites_plan_noeuds!$A$4:$A$201,0)),0) + IFERROR(INDEX(Conduites_plan_noeuds!$E$4:$E$201,MATCH("L07_P07_P08",Conduites_plan_noeuds!$A$4:$A$201,0)),0) + IFERROR(INDEX(Conduites_plan_noeuds!$E$4:$E$201,MATCH("L08_P08_P09",Conduites_plan_noeuds!$A$4:$A$201,0)),0) + IFERROR(INDEX(Conduites_plan_noeuds!$E$4:$E$201,MATCH("L09_P09_P06",Conduites_plan_noeuds!$A$4:$A$201,0)),0) + IFERROR(INDEX(Conduites_plan_noeuds!$E$4:$E$201,MATCH("L06_P06_RP100",Conduites_plan_noeuds!$A$4:$A$201,0)),0)</f>
        <v>0</v>
      </c>
      <c r="D60" s="17" t="str">
        <f>IFERROR(INDEX(Conduites_plan_noeuds!$AA$4:$AA$201,MATCH("L06_P06_RP100",Conduites_plan_noeuds!$A$4:$A$201,0)),"")</f>
        <v/>
      </c>
      <c r="E60" s="17" t="str">
        <f>IFERROR(INDEX(Conduites_plan_noeuds!$Y$4:$Y$201,MATCH("L06_P06_RP100",Conduites_plan_noeuds!$A$4:$A$201,0)),"")</f>
        <v/>
      </c>
      <c r="F60" s="17" t="str">
        <f t="shared" si="0"/>
        <v/>
      </c>
      <c r="G60" s="17" t="str">
        <f t="shared" si="1"/>
        <v/>
      </c>
      <c r="H60" s="14" t="s">
        <v>358</v>
      </c>
      <c r="I60" s="44" t="str">
        <f>IFERROR(INDEX(Conduites_plan_noeuds!$W$4:$W$201,MATCH("L06_P06_RP100",Conduites_plan_noeuds!$A$4:$A$201,0)),"")</f>
        <v/>
      </c>
      <c r="J60" s="44" t="str">
        <f>IFERROR(INDEX(Conduites_plan_noeuds!$T$4:$T$201,MATCH("L06_P06_RP100",Conduites_plan_noeuds!$A$4:$A$201,0)),"")</f>
        <v/>
      </c>
    </row>
    <row r="61" spans="1:10" x14ac:dyDescent="0.25">
      <c r="A61" s="14">
        <v>7</v>
      </c>
      <c r="B61" s="14" t="s">
        <v>189</v>
      </c>
      <c r="C61" s="44">
        <f>IFERROR(INDEX(Conduites_plan_noeuds!$E$4:$E$201,MATCH("L10_P010_P07",Conduites_plan_noeuds!$A$4:$A$201,0)),0) + IFERROR(INDEX(Conduites_plan_noeuds!$E$4:$E$201,MATCH("L07_P07_P08",Conduites_plan_noeuds!$A$4:$A$201,0)),0) + IFERROR(INDEX(Conduites_plan_noeuds!$E$4:$E$201,MATCH("L08_P08_P09",Conduites_plan_noeuds!$A$4:$A$201,0)),0) + IFERROR(INDEX(Conduites_plan_noeuds!$E$4:$E$201,MATCH("L09_P09_P06",Conduites_plan_noeuds!$A$4:$A$201,0)),0) + IFERROR(INDEX(Conduites_plan_noeuds!$E$4:$E$201,MATCH("L06_P06_RP100",Conduites_plan_noeuds!$A$4:$A$201,0)),0) + IFERROR(INDEX(Conduites_plan_noeuds!$E$4:$E$201,MATCH("L11_RP100_PUB",Conduites_plan_noeuds!$A$4:$A$201,0)),0)</f>
        <v>0</v>
      </c>
      <c r="D61" s="17" t="str">
        <f>IFERROR(INDEX(Conduites_plan_noeuds!$AA$4:$AA$201,MATCH("L11_RP100_PUB",Conduites_plan_noeuds!$A$4:$A$201,0)),"")</f>
        <v/>
      </c>
      <c r="E61" s="17" t="str">
        <f>IFERROR(INDEX(Conduites_plan_noeuds!$Y$4:$Y$201,MATCH("L11_RP100_PUB",Conduites_plan_noeuds!$A$4:$A$201,0)),"")</f>
        <v/>
      </c>
      <c r="F61" s="17" t="str">
        <f t="shared" si="0"/>
        <v/>
      </c>
      <c r="G61" s="17" t="str">
        <f t="shared" si="1"/>
        <v/>
      </c>
      <c r="H61" s="14" t="s">
        <v>359</v>
      </c>
      <c r="I61" s="44" t="str">
        <f>IFERROR(INDEX(Conduites_plan_noeuds!$W$4:$W$201,MATCH("L11_RP100_PUB",Conduites_plan_noeuds!$A$4:$A$201,0)),"")</f>
        <v/>
      </c>
      <c r="J61" s="44" t="str">
        <f>IFERROR(INDEX(Conduites_plan_noeuds!$T$4:$T$201,MATCH("L11_RP100_PUB",Conduites_plan_noeuds!$A$4:$A$201,0)),"")</f>
        <v/>
      </c>
    </row>
  </sheetData>
  <mergeCells count="4">
    <mergeCell ref="A1:J1"/>
    <mergeCell ref="A7:J7"/>
    <mergeCell ref="A30:J30"/>
    <mergeCell ref="A53:J53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"/>
  <sheetViews>
    <sheetView topLeftCell="A7" zoomScale="130" zoomScaleNormal="130" workbookViewId="0">
      <selection activeCell="C20" activeCellId="1" sqref="R8 C20"/>
    </sheetView>
  </sheetViews>
  <sheetFormatPr baseColWidth="10" defaultColWidth="9.140625" defaultRowHeight="15" customHeight="1" x14ac:dyDescent="0.25"/>
  <cols>
    <col min="1" max="1" width="16" customWidth="1"/>
    <col min="2" max="3" width="14" customWidth="1"/>
    <col min="4" max="4" width="36" customWidth="1"/>
    <col min="5" max="5" width="30" customWidth="1"/>
    <col min="6" max="6" width="20" customWidth="1"/>
  </cols>
  <sheetData>
    <row r="1" spans="1:6" x14ac:dyDescent="0.25">
      <c r="A1" s="8" t="s">
        <v>366</v>
      </c>
      <c r="B1" s="8"/>
      <c r="C1" s="8"/>
      <c r="D1" s="8"/>
      <c r="E1" s="8"/>
      <c r="F1" s="8"/>
    </row>
    <row r="3" spans="1:6" x14ac:dyDescent="0.25">
      <c r="A3" s="13" t="s">
        <v>246</v>
      </c>
      <c r="B3" s="13" t="s">
        <v>367</v>
      </c>
      <c r="C3" s="13" t="s">
        <v>368</v>
      </c>
      <c r="D3" s="13" t="s">
        <v>369</v>
      </c>
      <c r="E3" s="14"/>
    </row>
    <row r="4" spans="1:6" x14ac:dyDescent="0.25">
      <c r="A4" s="14" t="s">
        <v>215</v>
      </c>
      <c r="B4" s="14">
        <v>7</v>
      </c>
      <c r="C4" s="14">
        <v>13.9</v>
      </c>
      <c r="D4" s="14" t="s">
        <v>370</v>
      </c>
      <c r="E4" s="14"/>
    </row>
    <row r="5" spans="1:6" x14ac:dyDescent="0.25">
      <c r="A5" s="14" t="s">
        <v>218</v>
      </c>
      <c r="B5" s="14">
        <v>9.7469999999999999</v>
      </c>
      <c r="C5" s="14">
        <v>10.5</v>
      </c>
      <c r="D5" s="14" t="s">
        <v>370</v>
      </c>
      <c r="E5" s="14"/>
    </row>
    <row r="6" spans="1:6" x14ac:dyDescent="0.25">
      <c r="A6" s="14" t="s">
        <v>371</v>
      </c>
      <c r="B6" s="14">
        <v>6.9530000000000003</v>
      </c>
      <c r="C6" s="14">
        <v>6.8</v>
      </c>
      <c r="D6" s="14" t="s">
        <v>370</v>
      </c>
      <c r="E6" s="14"/>
    </row>
    <row r="7" spans="1:6" x14ac:dyDescent="0.25">
      <c r="A7" s="14" t="s">
        <v>355</v>
      </c>
      <c r="B7" s="14">
        <v>11.54</v>
      </c>
      <c r="C7" s="14">
        <v>23.8</v>
      </c>
      <c r="D7" s="14" t="s">
        <v>370</v>
      </c>
      <c r="E7" s="14"/>
    </row>
    <row r="8" spans="1:6" x14ac:dyDescent="0.25">
      <c r="A8" s="14" t="s">
        <v>358</v>
      </c>
      <c r="B8" s="14">
        <v>9.0500000000000007</v>
      </c>
      <c r="C8" s="14">
        <v>7.98</v>
      </c>
      <c r="D8" s="14" t="s">
        <v>370</v>
      </c>
      <c r="E8" s="14"/>
    </row>
    <row r="9" spans="1:6" x14ac:dyDescent="0.25">
      <c r="A9" s="14" t="s">
        <v>363</v>
      </c>
      <c r="B9" s="14">
        <v>12.249000000000001</v>
      </c>
      <c r="C9" s="14">
        <v>12.2</v>
      </c>
      <c r="D9" s="14" t="s">
        <v>370</v>
      </c>
      <c r="E9" s="14"/>
    </row>
    <row r="10" spans="1:6" x14ac:dyDescent="0.25">
      <c r="A10" s="14" t="s">
        <v>362</v>
      </c>
      <c r="B10" s="14"/>
      <c r="C10" s="14">
        <v>15.7</v>
      </c>
      <c r="D10" s="14" t="s">
        <v>370</v>
      </c>
      <c r="E10" s="14"/>
    </row>
    <row r="11" spans="1:6" x14ac:dyDescent="0.25">
      <c r="A11" s="14"/>
      <c r="B11" s="14"/>
      <c r="C11" s="14"/>
      <c r="D11" s="14"/>
      <c r="E11" s="14"/>
    </row>
    <row r="12" spans="1:6" x14ac:dyDescent="0.25">
      <c r="A12" s="14"/>
      <c r="B12" s="14"/>
      <c r="C12" s="14"/>
      <c r="D12" s="14"/>
      <c r="E12" s="14"/>
    </row>
    <row r="13" spans="1:6" x14ac:dyDescent="0.25">
      <c r="A13" s="13" t="s">
        <v>372</v>
      </c>
      <c r="B13" s="13" t="s">
        <v>373</v>
      </c>
      <c r="C13" s="13" t="s">
        <v>374</v>
      </c>
      <c r="D13" s="13" t="s">
        <v>375</v>
      </c>
      <c r="E13" s="13" t="s">
        <v>369</v>
      </c>
    </row>
    <row r="14" spans="1:6" x14ac:dyDescent="0.25">
      <c r="A14" s="14" t="s">
        <v>214</v>
      </c>
      <c r="B14" s="14">
        <v>156.08000000000001</v>
      </c>
      <c r="C14" s="14">
        <v>61.9</v>
      </c>
      <c r="D14" s="14" t="s">
        <v>376</v>
      </c>
      <c r="E14" s="14" t="s">
        <v>377</v>
      </c>
    </row>
    <row r="15" spans="1:6" x14ac:dyDescent="0.25">
      <c r="A15" s="14" t="s">
        <v>217</v>
      </c>
      <c r="B15" s="14">
        <v>161.78</v>
      </c>
      <c r="C15" s="14">
        <v>49.82</v>
      </c>
      <c r="D15" s="14" t="s">
        <v>378</v>
      </c>
      <c r="E15" s="14" t="s">
        <v>377</v>
      </c>
    </row>
    <row r="16" spans="1:6" x14ac:dyDescent="0.25">
      <c r="A16" s="14" t="s">
        <v>219</v>
      </c>
      <c r="B16" s="14">
        <v>142.59</v>
      </c>
      <c r="C16" s="14">
        <v>87.8</v>
      </c>
      <c r="D16" s="14" t="s">
        <v>379</v>
      </c>
      <c r="E16" s="14" t="s">
        <v>377</v>
      </c>
    </row>
    <row r="17" spans="1:5" x14ac:dyDescent="0.25">
      <c r="A17" s="14" t="s">
        <v>220</v>
      </c>
      <c r="B17" s="14">
        <v>61.49</v>
      </c>
      <c r="C17" s="14">
        <v>43.2</v>
      </c>
      <c r="D17" s="14" t="s">
        <v>380</v>
      </c>
      <c r="E17" s="14" t="s">
        <v>377</v>
      </c>
    </row>
    <row r="18" spans="1:5" x14ac:dyDescent="0.25">
      <c r="A18" s="14" t="s">
        <v>222</v>
      </c>
      <c r="B18" s="14">
        <v>133.94999999999999</v>
      </c>
      <c r="C18" s="14">
        <v>16.2</v>
      </c>
      <c r="D18" s="14" t="s">
        <v>381</v>
      </c>
      <c r="E18" s="14" t="s">
        <v>377</v>
      </c>
    </row>
    <row r="19" spans="1:5" x14ac:dyDescent="0.25">
      <c r="A19" s="14" t="s">
        <v>224</v>
      </c>
      <c r="B19" s="14">
        <v>167.31</v>
      </c>
      <c r="C19" s="14">
        <v>89.6</v>
      </c>
      <c r="D19" s="14" t="s">
        <v>382</v>
      </c>
      <c r="E19" s="14" t="s">
        <v>377</v>
      </c>
    </row>
    <row r="20" spans="1:5" x14ac:dyDescent="0.25">
      <c r="A20" s="14" t="s">
        <v>226</v>
      </c>
      <c r="B20" s="14">
        <v>0</v>
      </c>
      <c r="C20" s="14">
        <v>88.7</v>
      </c>
      <c r="D20" s="14" t="s">
        <v>383</v>
      </c>
      <c r="E20" s="14" t="s">
        <v>377</v>
      </c>
    </row>
    <row r="21" spans="1:5" x14ac:dyDescent="0.25">
      <c r="A21" s="14" t="s">
        <v>229</v>
      </c>
      <c r="B21" s="14">
        <v>62.97</v>
      </c>
      <c r="C21" s="14">
        <v>51.3</v>
      </c>
      <c r="D21" s="14" t="s">
        <v>384</v>
      </c>
      <c r="E21" s="14" t="s">
        <v>377</v>
      </c>
    </row>
    <row r="22" spans="1:5" x14ac:dyDescent="0.25">
      <c r="A22" s="14" t="s">
        <v>231</v>
      </c>
      <c r="B22" s="14">
        <v>159.63999999999999</v>
      </c>
      <c r="C22" s="14">
        <v>18.899999999999999</v>
      </c>
      <c r="D22" s="14" t="s">
        <v>385</v>
      </c>
      <c r="E22" s="14" t="s">
        <v>377</v>
      </c>
    </row>
    <row r="23" spans="1:5" x14ac:dyDescent="0.25">
      <c r="A23" s="14" t="s">
        <v>232</v>
      </c>
      <c r="B23" s="14">
        <v>0</v>
      </c>
      <c r="C23" s="14">
        <v>46.4</v>
      </c>
      <c r="D23" s="14" t="s">
        <v>386</v>
      </c>
      <c r="E23" s="14" t="s">
        <v>377</v>
      </c>
    </row>
    <row r="24" spans="1:5" x14ac:dyDescent="0.25">
      <c r="A24" s="14" t="s">
        <v>234</v>
      </c>
      <c r="B24" s="14">
        <v>0</v>
      </c>
      <c r="C24" s="14">
        <v>58.2</v>
      </c>
      <c r="D24" s="14" t="s">
        <v>387</v>
      </c>
      <c r="E24" s="14" t="s">
        <v>377</v>
      </c>
    </row>
    <row r="25" spans="1:5" x14ac:dyDescent="0.25">
      <c r="A25" s="14" t="s">
        <v>236</v>
      </c>
      <c r="B25" s="14">
        <v>42.55</v>
      </c>
      <c r="C25" s="14">
        <v>109.5</v>
      </c>
      <c r="D25" s="14" t="s">
        <v>388</v>
      </c>
      <c r="E25" s="14" t="s">
        <v>377</v>
      </c>
    </row>
    <row r="26" spans="1:5" x14ac:dyDescent="0.25">
      <c r="A26" s="14" t="s">
        <v>237</v>
      </c>
      <c r="B26" s="14">
        <v>69.94</v>
      </c>
      <c r="C26" s="14">
        <v>48.8</v>
      </c>
      <c r="D26" s="14" t="s">
        <v>389</v>
      </c>
      <c r="E26" s="14" t="s">
        <v>377</v>
      </c>
    </row>
    <row r="27" spans="1:5" x14ac:dyDescent="0.25">
      <c r="A27" s="14" t="s">
        <v>238</v>
      </c>
      <c r="B27" s="14">
        <v>110.39</v>
      </c>
      <c r="C27" s="14">
        <v>94.3</v>
      </c>
      <c r="D27" s="14" t="s">
        <v>390</v>
      </c>
      <c r="E27" s="14" t="s">
        <v>377</v>
      </c>
    </row>
    <row r="28" spans="1:5" x14ac:dyDescent="0.25">
      <c r="A28" s="14" t="s">
        <v>240</v>
      </c>
      <c r="B28" s="14">
        <v>165.47</v>
      </c>
      <c r="C28" s="14">
        <v>66.8</v>
      </c>
      <c r="D28" s="14" t="s">
        <v>391</v>
      </c>
      <c r="E28" s="14" t="s">
        <v>377</v>
      </c>
    </row>
  </sheetData>
  <mergeCells count="1">
    <mergeCell ref="A1:F1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Guide</vt:lpstr>
      <vt:lpstr>Inputs</vt:lpstr>
      <vt:lpstr>Noeuds_plan</vt:lpstr>
      <vt:lpstr>CB_plan</vt:lpstr>
      <vt:lpstr>Conduites_plan_noeuds</vt:lpstr>
      <vt:lpstr>Profils_P10</vt:lpstr>
      <vt:lpstr>Releves_image_2026_06_30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Davila</cp:lastModifiedBy>
  <cp:revision>2</cp:revision>
  <dcterms:created xsi:type="dcterms:W3CDTF">2026-06-26T08:18:13Z</dcterms:created>
  <dcterms:modified xsi:type="dcterms:W3CDTF">2026-07-24T17:29:26Z</dcterms:modified>
  <dc:language>en-CA</dc:language>
</cp:coreProperties>
</file>