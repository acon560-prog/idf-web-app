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Hydrogramme" sheetId="2" state="visible" r:id="rId2"/>
    <sheet name="Stage_Storage" sheetId="3" state="visible" r:id="rId3"/>
    <sheet name="Courbe_QH_1200" sheetId="4" state="visible" r:id="rId4"/>
    <sheet name="Compose_C1" sheetId="5" state="visible" r:id="rId5"/>
    <sheet name="Calcul_C1" sheetId="6" state="visible" r:id="rId6"/>
    <sheet name="Compose_C2" sheetId="7" state="visible" r:id="rId7"/>
    <sheet name="Calcul_C2" sheetId="8" state="visible" r:id="rId8"/>
    <sheet name="Compose_C3" sheetId="9" state="visible" r:id="rId9"/>
    <sheet name="Calcul_C3" sheetId="10" state="visible" r:id="rId10"/>
    <sheet name="Compose_C4" sheetId="11" state="visible" r:id="rId11"/>
    <sheet name="Calcul_C4" sheetId="12" state="visible" r:id="rId12"/>
    <sheet name="Compose_C5" sheetId="13" state="visible" r:id="rId13"/>
    <sheet name="Calcul_C5" sheetId="14" state="visible" r:id="rId14"/>
    <sheet name="Compose_C6" sheetId="15" state="visible" r:id="rId15"/>
    <sheet name="Calcul_C6" sheetId="16" state="visible" r:id="rId16"/>
    <sheet name="Metho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6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0F5C5C"/>
      <sz val="12"/>
    </font>
    <font>
      <b val="1"/>
      <color rgb="00FFFFFF"/>
    </font>
    <font>
      <b val="1"/>
      <color rgb="000F5C5C"/>
      <sz val="13"/>
    </font>
  </fonts>
  <fills count="7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0F5C5C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2" borderId="1" pivotButton="0" quotePrefix="0" xfId="0"/>
    <xf numFmtId="2" fontId="0" fillId="2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6" fontId="0" fillId="2" borderId="1" pivotButton="0" quotePrefix="0" xfId="0"/>
    <xf numFmtId="167" fontId="0" fillId="2" borderId="1" pivotButton="0" quotePrefix="0" xfId="0"/>
    <xf numFmtId="0" fontId="3" fillId="0" borderId="0" pivotButton="0" quotePrefix="0" xfId="0"/>
    <xf numFmtId="0" fontId="4" fillId="5" borderId="1" pivotButton="0" quotePrefix="0" xfId="0"/>
    <xf numFmtId="166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6" borderId="1" pivotButton="0" quotePrefix="0" xfId="0"/>
    <xf numFmtId="2" fontId="0" fillId="0" borderId="1" pivotButton="0" quotePrefix="0" xfId="0"/>
    <xf numFmtId="1" fontId="0" fillId="2" borderId="1" pivotButton="0" quotePrefix="0" xfId="0"/>
    <xf numFmtId="2" fontId="0" fillId="6" borderId="1" pivotButton="0" quotePrefix="0" xfId="0"/>
    <xf numFmtId="166" fontId="0" fillId="6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4" fillId="5" borderId="0" pivotButton="0" quotePrefix="0" xfId="0"/>
    <xf numFmtId="0" fontId="0" fillId="2" borderId="1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WSEmax vs Crest</a:t>
            </a:r>
          </a:p>
        </rich>
      </tx>
    </title>
    <plotArea>
      <lineChart>
        <grouping val="standard"/>
        <ser>
          <idx val="0"/>
          <order val="0"/>
          <tx>
            <strRef>
              <f>'Parametres'!C53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'Parametres'!$A$54:$A$59</f>
            </numRef>
          </cat>
          <val>
            <numRef>
              <f>'Parametres'!$C$54:$C$59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V_hold et Q_down max vs Crest</a:t>
            </a:r>
          </a:p>
        </rich>
      </tx>
    </title>
    <plotArea>
      <lineChart>
        <grouping val="standard"/>
        <ser>
          <idx val="0"/>
          <order val="0"/>
          <tx>
            <strRef>
              <f>'Parametres'!B53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'Parametres'!$A$54:$A$59</f>
            </numRef>
          </cat>
          <val>
            <numRef>
              <f>'Parametres'!$B$54:$B$59</f>
            </numRef>
          </val>
        </ser>
        <ser>
          <idx val="1"/>
          <order val="1"/>
          <tx>
            <strRef>
              <f>'Parametres'!D53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'Parametres'!$A$54:$A$59</f>
            </numRef>
          </cat>
          <val>
            <numRef>
              <f>'Parametres'!$D$54:$D$59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Qin(t)</a:t>
            </a:r>
          </a:p>
        </rich>
      </tx>
    </title>
    <plotArea>
      <lineChart>
        <grouping val="standard"/>
        <ser>
          <idx val="0"/>
          <order val="0"/>
          <tx>
            <strRef>
              <f>'Hydrogramme'!C6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'Hydrogramme'!$A$7:$A$19</f>
            </numRef>
          </cat>
          <val>
            <numRef>
              <f>'Hydrogramme'!$C$7:$C$19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Qin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gouvernant vs HW (Ø1200)</a:t>
            </a:r>
          </a:p>
        </rich>
      </tx>
    </title>
    <plotArea>
      <lineChart>
        <grouping val="standard"/>
        <ser>
          <idx val="0"/>
          <order val="0"/>
          <tx>
            <strRef>
              <f>'Courbe_QH_1200'!E19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'Courbe_QH_1200'!$A$20:$A$80</f>
            </numRef>
          </cat>
          <val>
            <numRef>
              <f>'Courbe_QH_1200'!$E$20:$E$80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HW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Calcul_C1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'Calcul_C1'!C14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'Calcul_C1'!$A$15:$A$27</f>
            </numRef>
          </cat>
          <val>
            <numRef>
              <f>'Calcul_C1'!$C$15:$C$27</f>
            </numRef>
          </val>
        </ser>
        <ser>
          <idx val="1"/>
          <order val="1"/>
          <tx>
            <strRef>
              <f>'Calcul_C1'!D14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'Calcul_C1'!$A$15:$A$27</f>
            </numRef>
          </cat>
          <val>
            <numRef>
              <f>'Calcul_C1'!$D$15:$D$27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Calcul_C2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'Calcul_C2'!C14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'Calcul_C2'!$A$15:$A$27</f>
            </numRef>
          </cat>
          <val>
            <numRef>
              <f>'Calcul_C2'!$C$15:$C$27</f>
            </numRef>
          </val>
        </ser>
        <ser>
          <idx val="1"/>
          <order val="1"/>
          <tx>
            <strRef>
              <f>'Calcul_C2'!D14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'Calcul_C2'!$A$15:$A$27</f>
            </numRef>
          </cat>
          <val>
            <numRef>
              <f>'Calcul_C2'!$D$15:$D$27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Calcul_C3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'Calcul_C3'!C14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'Calcul_C3'!$A$15:$A$27</f>
            </numRef>
          </cat>
          <val>
            <numRef>
              <f>'Calcul_C3'!$C$15:$C$27</f>
            </numRef>
          </val>
        </ser>
        <ser>
          <idx val="1"/>
          <order val="1"/>
          <tx>
            <strRef>
              <f>'Calcul_C3'!D14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'Calcul_C3'!$A$15:$A$27</f>
            </numRef>
          </cat>
          <val>
            <numRef>
              <f>'Calcul_C3'!$D$15:$D$27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Calcul_C4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'Calcul_C4'!C14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'Calcul_C4'!$A$15:$A$27</f>
            </numRef>
          </cat>
          <val>
            <numRef>
              <f>'Calcul_C4'!$C$15:$C$27</f>
            </numRef>
          </val>
        </ser>
        <ser>
          <idx val="1"/>
          <order val="1"/>
          <tx>
            <strRef>
              <f>'Calcul_C4'!D14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'Calcul_C4'!$A$15:$A$27</f>
            </numRef>
          </cat>
          <val>
            <numRef>
              <f>'Calcul_C4'!$D$15:$D$27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Calcul_C5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'Calcul_C5'!C14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'Calcul_C5'!$A$15:$A$27</f>
            </numRef>
          </cat>
          <val>
            <numRef>
              <f>'Calcul_C5'!$C$15:$C$27</f>
            </numRef>
          </val>
        </ser>
        <ser>
          <idx val="1"/>
          <order val="1"/>
          <tx>
            <strRef>
              <f>'Calcul_C5'!D14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'Calcul_C5'!$A$15:$A$27</f>
            </numRef>
          </cat>
          <val>
            <numRef>
              <f>'Calcul_C5'!$D$15:$D$27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Calcul_C6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'Calcul_C6'!C14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'Calcul_C6'!$A$15:$A$27</f>
            </numRef>
          </cat>
          <val>
            <numRef>
              <f>'Calcul_C6'!$C$15:$C$27</f>
            </numRef>
          </val>
        </ser>
        <ser>
          <idx val="1"/>
          <order val="1"/>
          <tx>
            <strRef>
              <f>'Calcul_C6'!D14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'Calcul_C6'!$A$15:$A$27</f>
            </numRef>
          </cat>
          <val>
            <numRef>
              <f>'Calcul_C6'!$D$15:$D$27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61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FILE 5 — Sensibilite au crest (formules Excel)</t>
        </is>
      </c>
    </row>
    <row r="2">
      <c r="A2" s="2" t="inlineStr">
        <is>
          <t>Meme orage et meme bassin; seul le crest change (jaune par scenario). Crest plus bas → overflow plus tot → souvent WSEmax plus bas, Q_down plus haut.</t>
        </is>
      </c>
    </row>
    <row r="3"/>
    <row r="8">
      <c r="A8" s="3" t="inlineStr">
        <is>
          <t>Ø1200 (jaune)</t>
        </is>
      </c>
    </row>
    <row r="9">
      <c r="A9" t="inlineStr">
        <is>
          <t>n Manning (-)</t>
        </is>
      </c>
      <c r="B9" s="4" t="n">
        <v>0.013</v>
      </c>
    </row>
    <row r="10">
      <c r="A10" t="inlineStr">
        <is>
          <t>D (m)</t>
        </is>
      </c>
      <c r="B10" s="5" t="n">
        <v>1.2</v>
      </c>
    </row>
    <row r="11">
      <c r="A11" t="inlineStr">
        <is>
          <t>L (m)</t>
        </is>
      </c>
      <c r="B11" s="5" t="n">
        <v>31.3</v>
      </c>
    </row>
    <row r="12">
      <c r="A12" t="inlineStr">
        <is>
          <t>Zin (m)</t>
        </is>
      </c>
      <c r="B12" s="5" t="n">
        <v>33.6</v>
      </c>
    </row>
    <row r="13">
      <c r="A13" t="inlineStr">
        <is>
          <t>Zout (m)</t>
        </is>
      </c>
      <c r="B13" s="5" t="n">
        <v>33.1</v>
      </c>
    </row>
    <row r="14">
      <c r="A14" t="inlineStr">
        <is>
          <t>S0 = (Zin-Zout)/L</t>
        </is>
      </c>
      <c r="B14" s="6">
        <f>(B12-B13)/B11</f>
        <v/>
      </c>
    </row>
    <row r="15">
      <c r="A15" t="inlineStr">
        <is>
          <t>A plein (m2)</t>
        </is>
      </c>
      <c r="B15" s="7">
        <f>PI()*B10^2/4</f>
        <v/>
      </c>
    </row>
    <row r="16">
      <c r="A16" t="inlineStr">
        <is>
          <t>R plein = D/4 (m)</t>
        </is>
      </c>
      <c r="B16" s="7">
        <f>B10/4</f>
        <v/>
      </c>
    </row>
    <row r="17">
      <c r="A17" t="inlineStr">
        <is>
          <t>Q_plein Manning (m3/s)</t>
        </is>
      </c>
      <c r="B17" s="8">
        <f>(1/B9)*B15*(B16^(2/3))*SQRT(B14)</f>
        <v/>
      </c>
    </row>
    <row r="18">
      <c r="A18" t="inlineStr">
        <is>
          <t>Fond bassin WSE min (m)</t>
        </is>
      </c>
      <c r="B18" s="5" t="n">
        <v>34.88</v>
      </c>
    </row>
    <row r="20">
      <c r="A20" s="3" t="inlineStr">
        <is>
          <t>Overflow fosse trapezoidale (jaune)</t>
        </is>
      </c>
    </row>
    <row r="21">
      <c r="A21" t="inlineStr">
        <is>
          <t>Crest (m)</t>
        </is>
      </c>
      <c r="B21" s="5" t="n">
        <v>37.28</v>
      </c>
    </row>
    <row r="22">
      <c r="A22" t="inlineStr">
        <is>
          <t>b fond (m)</t>
        </is>
      </c>
      <c r="B22" s="5" t="n">
        <v>2</v>
      </c>
    </row>
    <row r="23">
      <c r="A23" t="inlineStr">
        <is>
          <t>n fosse (-)</t>
        </is>
      </c>
      <c r="B23" s="4" t="n">
        <v>0.035</v>
      </c>
    </row>
    <row r="24">
      <c r="A24" t="inlineStr">
        <is>
          <t>z (H:V)</t>
        </is>
      </c>
      <c r="B24" s="9" t="n">
        <v>2</v>
      </c>
    </row>
    <row r="25">
      <c r="A25" t="inlineStr">
        <is>
          <t>S fosse (-)</t>
        </is>
      </c>
      <c r="B25" s="10" t="n">
        <v>0.008500000000000001</v>
      </c>
    </row>
    <row r="26">
      <c r="A26" t="inlineStr">
        <is>
          <t>L fosse (m)</t>
        </is>
      </c>
      <c r="B26" s="9" t="n">
        <v>50.1</v>
      </c>
    </row>
    <row r="28">
      <c r="A28" t="inlineStr">
        <is>
          <t>Facteur securite (-)</t>
        </is>
      </c>
      <c r="B28" s="5" t="n">
        <v>1.2</v>
      </c>
    </row>
    <row r="44">
      <c r="A44" s="3" t="inlineStr">
        <is>
          <t>Crests scenario (jaune) — chaque Compose_Ci lit sa cellule</t>
        </is>
      </c>
    </row>
    <row r="45">
      <c r="A45" t="inlineStr">
        <is>
          <t>Crest scenario 1 (m)</t>
        </is>
      </c>
      <c r="B45" s="5" t="n">
        <v>36.8</v>
      </c>
    </row>
    <row r="46">
      <c r="A46" t="inlineStr">
        <is>
          <t>Crest scenario 2 (m)</t>
        </is>
      </c>
      <c r="B46" s="5" t="n">
        <v>37</v>
      </c>
    </row>
    <row r="47">
      <c r="A47" t="inlineStr">
        <is>
          <t>Crest scenario 3 (m)</t>
        </is>
      </c>
      <c r="B47" s="5" t="n">
        <v>37.28</v>
      </c>
    </row>
    <row r="48">
      <c r="A48" t="inlineStr">
        <is>
          <t>Crest scenario 4 (m)</t>
        </is>
      </c>
      <c r="B48" s="5" t="n">
        <v>37.5</v>
      </c>
    </row>
    <row r="49">
      <c r="A49" t="inlineStr">
        <is>
          <t>Crest scenario 5 (m)</t>
        </is>
      </c>
      <c r="B49" s="5" t="n">
        <v>37.8</v>
      </c>
    </row>
    <row r="50">
      <c r="A50" t="inlineStr">
        <is>
          <t>Crest scenario 6 (m)</t>
        </is>
      </c>
      <c r="B50" s="5" t="n">
        <v>38.2</v>
      </c>
    </row>
    <row r="52">
      <c r="A52" s="11" t="inlineStr">
        <is>
          <t>RESULTATS sensibilite (formules)</t>
        </is>
      </c>
    </row>
    <row r="53">
      <c r="A53" s="12" t="inlineStr">
        <is>
          <t>Crest (m)</t>
        </is>
      </c>
      <c r="B53" s="12" t="inlineStr">
        <is>
          <t>V_hold</t>
        </is>
      </c>
      <c r="C53" s="12" t="inlineStr">
        <is>
          <t>WSEmax</t>
        </is>
      </c>
      <c r="D53" s="12" t="inlineStr">
        <is>
          <t>Q_down max</t>
        </is>
      </c>
      <c r="E53" s="12" t="inlineStr">
        <is>
          <t>Q_ov a pointe</t>
        </is>
      </c>
      <c r="F53" s="12" t="inlineStr">
        <is>
          <t>V_overflow</t>
        </is>
      </c>
      <c r="G53" s="12" t="inlineStr">
        <is>
          <t>Overflow?</t>
        </is>
      </c>
    </row>
    <row r="54">
      <c r="A54" s="5">
        <f>B45</f>
        <v/>
      </c>
      <c r="B54" s="13">
        <f>Calcul_C1!B7</f>
        <v/>
      </c>
      <c r="C54" s="14">
        <f>Calcul_C1!B8</f>
        <v/>
      </c>
      <c r="D54" s="8">
        <f>Calcul_C1!B9</f>
        <v/>
      </c>
      <c r="E54" s="8">
        <f>Calcul_C1!B11</f>
        <v/>
      </c>
      <c r="F54" s="13">
        <f>Calcul_C1!B13</f>
        <v/>
      </c>
      <c r="G54" s="15">
        <f>Calcul_C1!B12</f>
        <v/>
      </c>
    </row>
    <row r="55">
      <c r="A55" s="5">
        <f>B46</f>
        <v/>
      </c>
      <c r="B55" s="13">
        <f>Calcul_C2!B7</f>
        <v/>
      </c>
      <c r="C55" s="14">
        <f>Calcul_C2!B8</f>
        <v/>
      </c>
      <c r="D55" s="8">
        <f>Calcul_C2!B9</f>
        <v/>
      </c>
      <c r="E55" s="8">
        <f>Calcul_C2!B11</f>
        <v/>
      </c>
      <c r="F55" s="13">
        <f>Calcul_C2!B13</f>
        <v/>
      </c>
      <c r="G55" s="15">
        <f>Calcul_C2!B12</f>
        <v/>
      </c>
    </row>
    <row r="56">
      <c r="A56" s="5">
        <f>B47</f>
        <v/>
      </c>
      <c r="B56" s="13">
        <f>Calcul_C3!B7</f>
        <v/>
      </c>
      <c r="C56" s="14">
        <f>Calcul_C3!B8</f>
        <v/>
      </c>
      <c r="D56" s="8">
        <f>Calcul_C3!B9</f>
        <v/>
      </c>
      <c r="E56" s="8">
        <f>Calcul_C3!B11</f>
        <v/>
      </c>
      <c r="F56" s="13">
        <f>Calcul_C3!B13</f>
        <v/>
      </c>
      <c r="G56" s="15">
        <f>Calcul_C3!B12</f>
        <v/>
      </c>
    </row>
    <row r="57">
      <c r="A57" s="5">
        <f>B48</f>
        <v/>
      </c>
      <c r="B57" s="13">
        <f>Calcul_C4!B7</f>
        <v/>
      </c>
      <c r="C57" s="14">
        <f>Calcul_C4!B8</f>
        <v/>
      </c>
      <c r="D57" s="8">
        <f>Calcul_C4!B9</f>
        <v/>
      </c>
      <c r="E57" s="8">
        <f>Calcul_C4!B11</f>
        <v/>
      </c>
      <c r="F57" s="13">
        <f>Calcul_C4!B13</f>
        <v/>
      </c>
      <c r="G57" s="15">
        <f>Calcul_C4!B12</f>
        <v/>
      </c>
    </row>
    <row r="58">
      <c r="A58" s="5">
        <f>B49</f>
        <v/>
      </c>
      <c r="B58" s="13">
        <f>Calcul_C5!B7</f>
        <v/>
      </c>
      <c r="C58" s="14">
        <f>Calcul_C5!B8</f>
        <v/>
      </c>
      <c r="D58" s="8">
        <f>Calcul_C5!B9</f>
        <v/>
      </c>
      <c r="E58" s="8">
        <f>Calcul_C5!B11</f>
        <v/>
      </c>
      <c r="F58" s="13">
        <f>Calcul_C5!B13</f>
        <v/>
      </c>
      <c r="G58" s="15">
        <f>Calcul_C5!B12</f>
        <v/>
      </c>
    </row>
    <row r="59">
      <c r="A59" s="5">
        <f>B50</f>
        <v/>
      </c>
      <c r="B59" s="13">
        <f>Calcul_C6!B7</f>
        <v/>
      </c>
      <c r="C59" s="14">
        <f>Calcul_C6!B8</f>
        <v/>
      </c>
      <c r="D59" s="8">
        <f>Calcul_C6!B9</f>
        <v/>
      </c>
      <c r="E59" s="8">
        <f>Calcul_C6!B11</f>
        <v/>
      </c>
      <c r="F59" s="13">
        <f>Calcul_C6!B13</f>
        <v/>
      </c>
      <c r="G59" s="15">
        <f>Calcul_C6!B12</f>
        <v/>
      </c>
    </row>
    <row r="78">
      <c r="A78" s="3" t="inlineStr">
        <is>
          <t>Lecture</t>
        </is>
      </c>
    </row>
    <row r="79">
      <c r="A79" t="inlineStr">
        <is>
          <t>Editez B45–B50 (crests jaunes) — chaque Compose/Calcul et le tableau se mettent a jour. Crest bas: plus d'overflow, souvent moins de V_hold, pointe aval plus forte.</t>
        </is>
      </c>
    </row>
    <row r="80"/>
  </sheetData>
  <mergeCells count="3">
    <mergeCell ref="A2:F3"/>
    <mergeCell ref="A79:G80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Hydrogramme d'entree — formules live</t>
        </is>
      </c>
    </row>
    <row r="2">
      <c r="A2" t="inlineStr">
        <is>
          <t>Qin = ratio × Qpointe (jaune B4). Changer B4 → Qin et routages se mettent a jour.</t>
        </is>
      </c>
    </row>
    <row r="4">
      <c r="A4" t="inlineStr">
        <is>
          <t>Qpointe (m3/s)</t>
        </is>
      </c>
      <c r="B4" s="4" t="n">
        <v>9.6</v>
      </c>
    </row>
    <row r="6">
      <c r="A6" s="12" t="inlineStr">
        <is>
          <t>t (min)</t>
        </is>
      </c>
      <c r="B6" s="12" t="inlineStr">
        <is>
          <t>ratio</t>
        </is>
      </c>
      <c r="C6" s="12" t="inlineStr">
        <is>
          <t>Qin (m3/s)</t>
        </is>
      </c>
    </row>
    <row r="7">
      <c r="A7" s="16" t="n">
        <v>0</v>
      </c>
      <c r="B7" s="17" t="n">
        <v>0.081042</v>
      </c>
      <c r="C7" s="17">
        <f>B7*$B$4</f>
        <v/>
      </c>
    </row>
    <row r="8">
      <c r="A8" s="16" t="n">
        <v>5</v>
      </c>
      <c r="B8" s="17" t="n">
        <v>0.121875</v>
      </c>
      <c r="C8" s="17">
        <f>B8*$B$4</f>
        <v/>
      </c>
    </row>
    <row r="9">
      <c r="A9" s="16" t="n">
        <v>10</v>
      </c>
      <c r="B9" s="17" t="n">
        <v>0.193438</v>
      </c>
      <c r="C9" s="17">
        <f>B9*$B$4</f>
        <v/>
      </c>
    </row>
    <row r="10">
      <c r="A10" s="16" t="n">
        <v>15</v>
      </c>
      <c r="B10" s="17" t="n">
        <v>0.333542</v>
      </c>
      <c r="C10" s="17">
        <f>B10*$B$4</f>
        <v/>
      </c>
    </row>
    <row r="11">
      <c r="A11" s="16" t="n">
        <v>20</v>
      </c>
      <c r="B11" s="17" t="n">
        <v>0.657188</v>
      </c>
      <c r="C11" s="17">
        <f>B11*$B$4</f>
        <v/>
      </c>
    </row>
    <row r="12">
      <c r="A12" s="16" t="n">
        <v>22.5</v>
      </c>
      <c r="B12" s="17" t="n">
        <v>1</v>
      </c>
      <c r="C12" s="18">
        <f>B12*$B$4</f>
        <v/>
      </c>
    </row>
    <row r="13">
      <c r="A13" s="16" t="n">
        <v>27.5</v>
      </c>
      <c r="B13" s="17" t="n">
        <v>0.608958</v>
      </c>
      <c r="C13" s="17">
        <f>B13*$B$4</f>
        <v/>
      </c>
    </row>
    <row r="14">
      <c r="A14" s="16" t="n">
        <v>32.5</v>
      </c>
      <c r="B14" s="17" t="n">
        <v>0.401771</v>
      </c>
      <c r="C14" s="17">
        <f>B14*$B$4</f>
        <v/>
      </c>
    </row>
    <row r="15">
      <c r="A15" s="16" t="n">
        <v>37.5</v>
      </c>
      <c r="B15" s="17" t="n">
        <v>0.280104</v>
      </c>
      <c r="C15" s="17">
        <f>B15*$B$4</f>
        <v/>
      </c>
    </row>
    <row r="16">
      <c r="A16" s="16" t="n">
        <v>42.5</v>
      </c>
      <c r="B16" s="17" t="n">
        <v>0.203438</v>
      </c>
      <c r="C16" s="17">
        <f>B16*$B$4</f>
        <v/>
      </c>
    </row>
    <row r="17">
      <c r="A17" s="16" t="n">
        <v>47.5</v>
      </c>
      <c r="B17" s="17" t="n">
        <v>0.152292</v>
      </c>
      <c r="C17" s="17">
        <f>B17*$B$4</f>
        <v/>
      </c>
    </row>
    <row r="18">
      <c r="A18" s="16" t="n">
        <v>52.5</v>
      </c>
      <c r="B18" s="17" t="n">
        <v>0.116771</v>
      </c>
      <c r="C18" s="17">
        <f>B18*$B$4</f>
        <v/>
      </c>
    </row>
    <row r="19">
      <c r="A19" s="16" t="n">
        <v>57.5</v>
      </c>
      <c r="B19" s="17" t="n">
        <v>0.091146</v>
      </c>
      <c r="C19" s="17">
        <f>B19*$B$4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36" customWidth="1" min="6" max="6"/>
  </cols>
  <sheetData>
    <row r="1">
      <c r="A1" s="11" t="inlineStr">
        <is>
          <t>Stage–storage amont Ø1200 — editer surfaces jaunes</t>
        </is>
      </c>
    </row>
    <row r="2">
      <c r="A2" s="2" t="inlineStr">
        <is>
          <t>V_pas = 0.5*(A_bas+A_haut)*dWSE. Colonnes C–E = formules live.</t>
        </is>
      </c>
    </row>
    <row r="3"/>
    <row r="10">
      <c r="A10" s="12" t="inlineStr">
        <is>
          <t>WSE (m)</t>
        </is>
      </c>
      <c r="B10" s="12" t="inlineStr">
        <is>
          <t>Surface A (m2) EDIT</t>
        </is>
      </c>
      <c r="C10" s="12" t="inlineStr">
        <is>
          <t>dWSE (m)</t>
        </is>
      </c>
      <c r="D10" s="12" t="inlineStr">
        <is>
          <t>V_pas (m3)</t>
        </is>
      </c>
      <c r="E10" s="12" t="inlineStr">
        <is>
          <t>V_cumul (m3)</t>
        </is>
      </c>
      <c r="F10" s="12" t="inlineStr">
        <is>
          <t>Role</t>
        </is>
      </c>
    </row>
    <row r="11">
      <c r="A11" s="19" t="n">
        <v>34.88</v>
      </c>
      <c r="B11" s="20" t="n">
        <v>0</v>
      </c>
      <c r="C11" s="15" t="n">
        <v>0</v>
      </c>
      <c r="D11" s="15" t="n">
        <v>0</v>
      </c>
      <c r="E11" s="15" t="n">
        <v>0</v>
      </c>
      <c r="F11" s="15" t="inlineStr">
        <is>
          <t>Fond bassin</t>
        </is>
      </c>
    </row>
    <row r="12">
      <c r="A12" s="19" t="n">
        <v>35.5</v>
      </c>
      <c r="B12" s="20" t="n">
        <v>120</v>
      </c>
      <c r="C12" s="19">
        <f>A12-A11</f>
        <v/>
      </c>
      <c r="D12" s="16">
        <f>0.5*(B11+B12)*C12</f>
        <v/>
      </c>
      <c r="E12" s="13">
        <f>E11+D12</f>
        <v/>
      </c>
      <c r="F12" s="15" t="inlineStr">
        <is>
          <t>Placeholder — remplacer</t>
        </is>
      </c>
    </row>
    <row r="13">
      <c r="A13" s="19" t="n">
        <v>36.01</v>
      </c>
      <c r="B13" s="20" t="n">
        <v>419</v>
      </c>
      <c r="C13" s="19">
        <f>A13-A12</f>
        <v/>
      </c>
      <c r="D13" s="16">
        <f>0.5*(B12+B13)*C13</f>
        <v/>
      </c>
      <c r="E13" s="13">
        <f>E12+D13</f>
        <v/>
      </c>
      <c r="F13" s="15" t="inlineStr">
        <is>
          <t>Placeholder — remplacer</t>
        </is>
      </c>
    </row>
    <row r="14">
      <c r="A14" s="19" t="n">
        <v>36.5</v>
      </c>
      <c r="B14" s="20" t="n">
        <v>480</v>
      </c>
      <c r="C14" s="19">
        <f>A14-A13</f>
        <v/>
      </c>
      <c r="D14" s="16">
        <f>0.5*(B13+B14)*C14</f>
        <v/>
      </c>
      <c r="E14" s="13">
        <f>E13+D14</f>
        <v/>
      </c>
      <c r="F14" s="15" t="inlineStr">
        <is>
          <t>Placeholder — remplacer</t>
        </is>
      </c>
    </row>
    <row r="15">
      <c r="A15" s="19" t="n">
        <v>37</v>
      </c>
      <c r="B15" s="20" t="n">
        <v>720</v>
      </c>
      <c r="C15" s="19">
        <f>A15-A14</f>
        <v/>
      </c>
      <c r="D15" s="16">
        <f>0.5*(B14+B15)*C15</f>
        <v/>
      </c>
      <c r="E15" s="13">
        <f>E14+D15</f>
        <v/>
      </c>
      <c r="F15" s="15" t="inlineStr">
        <is>
          <t>Placeholder — remplacer</t>
        </is>
      </c>
    </row>
    <row r="16">
      <c r="A16" s="21" t="n">
        <v>37.28</v>
      </c>
      <c r="B16" s="20" t="n">
        <v>2198</v>
      </c>
      <c r="C16" s="21">
        <f>A16-A15</f>
        <v/>
      </c>
      <c r="D16" s="22">
        <f>0.5*(B15+B16)*C16</f>
        <v/>
      </c>
      <c r="E16" s="22">
        <f>E15+D16</f>
        <v/>
      </c>
      <c r="F16" s="23" t="inlineStr"/>
    </row>
    <row r="17">
      <c r="A17" s="19" t="n">
        <v>37.4</v>
      </c>
      <c r="B17" s="20" t="n">
        <v>1516</v>
      </c>
      <c r="C17" s="19">
        <f>A17-A16</f>
        <v/>
      </c>
      <c r="D17" s="16">
        <f>0.5*(B16+B17)*C17</f>
        <v/>
      </c>
      <c r="E17" s="13">
        <f>E16+D17</f>
        <v/>
      </c>
      <c r="F17" s="15" t="inlineStr">
        <is>
          <t>Placeholder — remplacer</t>
        </is>
      </c>
    </row>
    <row r="18">
      <c r="A18" s="19" t="n">
        <v>40</v>
      </c>
      <c r="B18" s="20" t="n">
        <v>3746</v>
      </c>
      <c r="C18" s="19">
        <f>A18-A17</f>
        <v/>
      </c>
      <c r="D18" s="16">
        <f>0.5*(B17+B18)*C18</f>
        <v/>
      </c>
      <c r="E18" s="13">
        <f>E17+D18</f>
        <v/>
      </c>
      <c r="F18" s="15" t="inlineStr">
        <is>
          <t>Placeholder haut — remplacer</t>
        </is>
      </c>
    </row>
  </sheetData>
  <mergeCells count="1">
    <mergeCell ref="A2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Courbe Q=f(H) Ø1200 — FHWA inlet + outlet (LIVE)</t>
        </is>
      </c>
    </row>
    <row r="2">
      <c r="A2" t="inlineStr">
        <is>
          <t>Lie a Parametres. Q_gouvernant = MIN(Qinlet, Qoutlet).</t>
        </is>
      </c>
    </row>
    <row r="4">
      <c r="A4" t="inlineStr">
        <is>
          <t>n</t>
        </is>
      </c>
      <c r="B4" s="24">
        <f>Parametres!B9</f>
        <v/>
      </c>
      <c r="E4" s="25" t="inlineStr">
        <is>
          <t>entree</t>
        </is>
      </c>
      <c r="F4" s="25" t="inlineStr">
        <is>
          <t>K</t>
        </is>
      </c>
      <c r="G4" s="25" t="inlineStr">
        <is>
          <t>M</t>
        </is>
      </c>
      <c r="H4" s="25" t="inlineStr">
        <is>
          <t>c</t>
        </is>
      </c>
      <c r="I4" s="25" t="inlineStr">
        <is>
          <t>Y</t>
        </is>
      </c>
      <c r="J4" s="25" t="inlineStr">
        <is>
          <t>Ke</t>
        </is>
      </c>
    </row>
    <row r="5">
      <c r="A5" t="inlineStr">
        <is>
          <t>D (m)</t>
        </is>
      </c>
      <c r="B5" s="24">
        <f>Parametres!B10</f>
        <v/>
      </c>
      <c r="E5" s="15" t="inlineStr">
        <is>
          <t>square_edge</t>
        </is>
      </c>
      <c r="F5" s="15" t="n">
        <v>0.0098</v>
      </c>
      <c r="G5" s="15" t="n">
        <v>2</v>
      </c>
      <c r="H5" s="15" t="n">
        <v>0.0398</v>
      </c>
      <c r="I5" s="15" t="n">
        <v>0.67</v>
      </c>
      <c r="J5" s="15" t="n">
        <v>0.5</v>
      </c>
    </row>
    <row r="6">
      <c r="A6" t="inlineStr">
        <is>
          <t>L (m)</t>
        </is>
      </c>
      <c r="B6" s="24">
        <f>Parametres!B11</f>
        <v/>
      </c>
      <c r="E6" s="15" t="inlineStr">
        <is>
          <t>beveled</t>
        </is>
      </c>
      <c r="F6" s="15" t="n">
        <v>0.0018</v>
      </c>
      <c r="G6" s="15" t="n">
        <v>2.5</v>
      </c>
      <c r="H6" s="15" t="n">
        <v>0.03</v>
      </c>
      <c r="I6" s="15" t="n">
        <v>0.74</v>
      </c>
      <c r="J6" s="15" t="n">
        <v>0.2</v>
      </c>
    </row>
    <row r="7">
      <c r="A7" t="inlineStr">
        <is>
          <t>Zin (m)</t>
        </is>
      </c>
      <c r="B7" s="24">
        <f>Parametres!B12</f>
        <v/>
      </c>
      <c r="E7" s="15" t="inlineStr">
        <is>
          <t>groove_headwall</t>
        </is>
      </c>
      <c r="F7" s="15" t="n">
        <v>0.0078</v>
      </c>
      <c r="G7" s="15" t="n">
        <v>2</v>
      </c>
      <c r="H7" s="15" t="n">
        <v>0.0292</v>
      </c>
      <c r="I7" s="15" t="n">
        <v>0.74</v>
      </c>
      <c r="J7" s="15" t="n">
        <v>0.2</v>
      </c>
    </row>
    <row r="8">
      <c r="A8" t="inlineStr">
        <is>
          <t>Zout (m)</t>
        </is>
      </c>
      <c r="B8" s="24">
        <f>Parametres!B13</f>
        <v/>
      </c>
    </row>
    <row r="9">
      <c r="A9" t="inlineStr">
        <is>
          <t>S0</t>
        </is>
      </c>
      <c r="B9" s="24">
        <f>Parametres!B14</f>
        <v/>
      </c>
    </row>
    <row r="10">
      <c r="A10" t="inlineStr">
        <is>
          <t>TW au-dessus Zout (m)</t>
        </is>
      </c>
      <c r="B10" s="5" t="n">
        <v>0</v>
      </c>
    </row>
    <row r="11">
      <c r="A11" t="inlineStr">
        <is>
          <t>Entree</t>
        </is>
      </c>
      <c r="B11" s="26" t="inlineStr">
        <is>
          <t>square_edge</t>
        </is>
      </c>
    </row>
    <row r="13">
      <c r="A13" t="inlineStr">
        <is>
          <t>K</t>
        </is>
      </c>
      <c r="B13">
        <f>IFERROR(VLOOKUP(B11,$E$5:$J$7,2,FALSE),0.0098)</f>
        <v/>
      </c>
    </row>
    <row r="14">
      <c r="A14" t="inlineStr">
        <is>
          <t>M</t>
        </is>
      </c>
      <c r="B14">
        <f>IFERROR(VLOOKUP(B11,$E$5:$J$7,3,FALSE),2)</f>
        <v/>
      </c>
    </row>
    <row r="15">
      <c r="A15" t="inlineStr">
        <is>
          <t>c</t>
        </is>
      </c>
      <c r="B15">
        <f>IFERROR(VLOOKUP(B11,$E$5:$J$7,4,FALSE),0.0398)</f>
        <v/>
      </c>
    </row>
    <row r="16">
      <c r="A16" t="inlineStr">
        <is>
          <t>Y</t>
        </is>
      </c>
      <c r="B16">
        <f>IFERROR(VLOOKUP(B11,$E$5:$J$7,5,FALSE),0.67)</f>
        <v/>
      </c>
    </row>
    <row r="17">
      <c r="A17" t="inlineStr">
        <is>
          <t>Ke</t>
        </is>
      </c>
      <c r="B17">
        <f>IFERROR(VLOOKUP(B11,$E$5:$J$7,6,FALSE),0.5)</f>
        <v/>
      </c>
    </row>
    <row r="19">
      <c r="A19" s="12" t="inlineStr">
        <is>
          <t>HW (m)</t>
        </is>
      </c>
      <c r="B19" s="12" t="inlineStr">
        <is>
          <t>WSE (m)</t>
        </is>
      </c>
      <c r="C19" s="12" t="inlineStr">
        <is>
          <t>Qinlet</t>
        </is>
      </c>
      <c r="D19" s="12" t="inlineStr">
        <is>
          <t>Qoutlet</t>
        </is>
      </c>
      <c r="E19" s="12" t="inlineStr">
        <is>
          <t>Q gouvernant</t>
        </is>
      </c>
    </row>
    <row r="20">
      <c r="A20" s="19" t="n">
        <v>0</v>
      </c>
      <c r="B20" s="19">
        <f>$B$7+A20</f>
        <v/>
      </c>
      <c r="C20" s="17">
        <f>IF(A20&lt;=0,0,IF(A20&lt;=1.2*$B$5,1.811*(PI()*($B$5/2)^2)*SQRT($B$5)*IF($B$13*$B$5&lt;=0,0,(A20/($B$13*$B$5))^(1/$B$14)),MAX(1.811*(PI()*($B$5/2)^2)*SQRT($B$5)*IF($B$13*$B$5&lt;=0,0,((1.2*$B$5)/($B$13*$B$5))^(1/$B$14)),1.811*(PI()*($B$5/2)^2)*SQRT($B$5)*SQRT(MAX(0,(A20/$B$5-$B$16)/$B$15)))))</f>
        <v/>
      </c>
      <c r="D20" s="17">
        <f>IF(A20&lt;$B$5,IF($B$4&lt;=0,0,(1/$B$4)*((($B$5/2)^2/2)*((2*ACOS(1-2*(MIN(0.999,MAX(1E-6,A20/$B$5)))))-SIN(2*ACOS(1-2*(MIN(0.999,MAX(1E-6,A20/$B$5)))))))*IF((IF((($B$5/2)*(2*ACOS(1-2*(MIN(0.999,MAX(1E-6,A20/$B$5))))))&lt;=0,0,((($B$5/2)^2/2)*((2*ACOS(1-2*(MIN(0.999,MAX(1E-6,A20/$B$5)))))-SIN(2*ACOS(1-2*(MIN(0.999,MAX(1E-6,A20/$B$5)))))))/(($B$5/2)*(2*ACOS(1-2*(MIN(0.999,MAX(1E-6,A20/$B$5))))))))&lt;=0,0,(IF((($B$5/2)*(2*ACOS(1-2*(MIN(0.999,MAX(1E-6,A20/$B$5))))))&lt;=0,0,((($B$5/2)^2/2)*((2*ACOS(1-2*(MIN(0.999,MAX(1E-6,A20/$B$5)))))-SIN(2*ACOS(1-2*(MIN(0.999,MAX(1E-6,A20/$B$5)))))))/(($B$5/2)*(2*ACOS(1-2*(MIN(0.999,MAX(1E-6,A20/$B$5))))))))^(2/3))*SQRT($B$9)),IF((A20-$B$10+$B$9*$B$6)&lt;=0,0,(PI()*($B$5/2)^2)*SQRT((A20-$B$10+$B$9*$B$6)/((1+$B$17)/(2*9.81)+($B$4^2)*$B$6/(($B$5/4)^(4/3))))))</f>
        <v/>
      </c>
      <c r="E20" s="8">
        <f>MIN(C20,D20)</f>
        <v/>
      </c>
    </row>
    <row r="21">
      <c r="A21" s="19" t="n">
        <v>0.05</v>
      </c>
      <c r="B21" s="19">
        <f>$B$7+A21</f>
        <v/>
      </c>
      <c r="C21" s="17">
        <f>IF(A21&lt;=0,0,IF(A21&lt;=1.2*$B$5,1.811*(PI()*($B$5/2)^2)*SQRT($B$5)*IF($B$13*$B$5&lt;=0,0,(A21/($B$13*$B$5))^(1/$B$14)),MAX(1.811*(PI()*($B$5/2)^2)*SQRT($B$5)*IF($B$13*$B$5&lt;=0,0,((1.2*$B$5)/($B$13*$B$5))^(1/$B$14)),1.811*(PI()*($B$5/2)^2)*SQRT($B$5)*SQRT(MAX(0,(A21/$B$5-$B$16)/5)))))</f>
        <v/>
      </c>
      <c r="D21" s="17">
        <f>IF(A21&lt;$B$5,IF($B$4&lt;=0,0,(1/$B$4)*((($B$5/2)^2/2)*((2*ACOS(1-2*(MIN(0.999,MAX(1E-6,A21/$B$5)))))-SIN(2*ACOS(1-2*(MIN(0.999,MAX(1E-6,A21/$B$5)))))))*IF((IF((($B$5/2)*(2*ACOS(1-2*(MIN(0.999,MAX(1E-6,A21/$B$5))))))&lt;=0,0,((($B$5/2)^2/2)*((2*ACOS(1-2*(MIN(0.999,MAX(1E-6,A21/$B$5)))))-SIN(2*ACOS(1-2*(MIN(0.999,MAX(1E-6,A21/$B$5)))))))/(($B$5/2)*(2*ACOS(1-2*(MIN(0.999,MAX(1E-6,A21/$B$5))))))))&lt;=0,0,(IF((($B$5/2)*(2*ACOS(1-2*(MIN(0.999,MAX(1E-6,A21/$B$5))))))&lt;=0,0,((($B$5/2)^2/2)*((2*ACOS(1-2*(MIN(0.999,MAX(1E-6,A21/$B$5)))))-SIN(2*ACOS(1-2*(MIN(0.999,MAX(1E-6,A21/$B$5)))))))/(($B$5/2)*(2*ACOS(1-2*(MIN(0.999,MAX(1E-6,A21/$B$5))))))))^(2/3))*SQRT($B$9)),IF((A21-$B$10+$B$9*$B$6)&lt;=0,0,(PI()*($B$5/2)^2)*SQRT((A21-$B$10+$B$9*$B$6)/((1+$B$17)/(2*9.81)+($B$4^2)*$B$6/(($B$5/4)^(4/3))))))</f>
        <v/>
      </c>
      <c r="E21" s="8">
        <f>MIN(C21,D21)</f>
        <v/>
      </c>
    </row>
    <row r="22">
      <c r="A22" s="19" t="n">
        <v>0.1</v>
      </c>
      <c r="B22" s="19">
        <f>$B$7+A22</f>
        <v/>
      </c>
      <c r="C22" s="17">
        <f>IF(A22&lt;=0,0,IF(A22&lt;=1.2*$B$5,1.811*(PI()*($B$5/2)^2)*SQRT($B$5)*IF($B$13*$B$5&lt;=0,0,(A22/($B$13*$B$5))^(1/$B$14)),MAX(1.811*(PI()*($B$5/2)^2)*SQRT($B$5)*IF($B$13*$B$5&lt;=0,0,((1.2*$B$5)/($B$13*$B$5))^(1/$B$14)),1.811*(PI()*($B$5/2)^2)*SQRT($B$5)*SQRT(MAX(0,(A22/$B$5-$B$16)/5)))))</f>
        <v/>
      </c>
      <c r="D22" s="17">
        <f>IF(A22&lt;$B$5,IF($B$4&lt;=0,0,(1/$B$4)*((($B$5/2)^2/2)*((2*ACOS(1-2*(MIN(0.999,MAX(1E-6,A22/$B$5)))))-SIN(2*ACOS(1-2*(MIN(0.999,MAX(1E-6,A22/$B$5)))))))*IF((IF((($B$5/2)*(2*ACOS(1-2*(MIN(0.999,MAX(1E-6,A22/$B$5))))))&lt;=0,0,((($B$5/2)^2/2)*((2*ACOS(1-2*(MIN(0.999,MAX(1E-6,A22/$B$5)))))-SIN(2*ACOS(1-2*(MIN(0.999,MAX(1E-6,A22/$B$5)))))))/(($B$5/2)*(2*ACOS(1-2*(MIN(0.999,MAX(1E-6,A22/$B$5))))))))&lt;=0,0,(IF((($B$5/2)*(2*ACOS(1-2*(MIN(0.999,MAX(1E-6,A22/$B$5))))))&lt;=0,0,((($B$5/2)^2/2)*((2*ACOS(1-2*(MIN(0.999,MAX(1E-6,A22/$B$5)))))-SIN(2*ACOS(1-2*(MIN(0.999,MAX(1E-6,A22/$B$5)))))))/(($B$5/2)*(2*ACOS(1-2*(MIN(0.999,MAX(1E-6,A22/$B$5))))))))^(2/3))*SQRT($B$9)),IF((A22-$B$10+$B$9*$B$6)&lt;=0,0,(PI()*($B$5/2)^2)*SQRT((A22-$B$10+$B$9*$B$6)/((1+$B$17)/(2*9.81)+($B$4^2)*$B$6/(($B$5/4)^(4/3))))))</f>
        <v/>
      </c>
      <c r="E22" s="8">
        <f>MIN(C22,D22)</f>
        <v/>
      </c>
    </row>
    <row r="23">
      <c r="A23" s="19" t="n">
        <v>0.15</v>
      </c>
      <c r="B23" s="19">
        <f>$B$7+A23</f>
        <v/>
      </c>
      <c r="C23" s="17">
        <f>IF(A23&lt;=0,0,IF(A23&lt;=1.2*$B$5,1.811*(PI()*($B$5/2)^2)*SQRT($B$5)*IF($B$13*$B$5&lt;=0,0,(A23/($B$13*$B$5))^(1/$B$14)),MAX(1.811*(PI()*($B$5/2)^2)*SQRT($B$5)*IF($B$13*$B$5&lt;=0,0,((1.2*$B$5)/($B$13*$B$5))^(1/$B$14)),1.811*(PI()*($B$5/2)^2)*SQRT($B$5)*SQRT(MAX(0,(A23/$B$5-$B$16)/5)))))</f>
        <v/>
      </c>
      <c r="D23" s="17">
        <f>IF(A23&lt;$B$5,IF($B$4&lt;=0,0,(1/$B$4)*((($B$5/2)^2/2)*((2*ACOS(1-2*(MIN(0.999,MAX(1E-6,A23/$B$5)))))-SIN(2*ACOS(1-2*(MIN(0.999,MAX(1E-6,A23/$B$5)))))))*IF((IF((($B$5/2)*(2*ACOS(1-2*(MIN(0.999,MAX(1E-6,A23/$B$5))))))&lt;=0,0,((($B$5/2)^2/2)*((2*ACOS(1-2*(MIN(0.999,MAX(1E-6,A23/$B$5)))))-SIN(2*ACOS(1-2*(MIN(0.999,MAX(1E-6,A23/$B$5)))))))/(($B$5/2)*(2*ACOS(1-2*(MIN(0.999,MAX(1E-6,A23/$B$5))))))))&lt;=0,0,(IF((($B$5/2)*(2*ACOS(1-2*(MIN(0.999,MAX(1E-6,A23/$B$5))))))&lt;=0,0,((($B$5/2)^2/2)*((2*ACOS(1-2*(MIN(0.999,MAX(1E-6,A23/$B$5)))))-SIN(2*ACOS(1-2*(MIN(0.999,MAX(1E-6,A23/$B$5)))))))/(($B$5/2)*(2*ACOS(1-2*(MIN(0.999,MAX(1E-6,A23/$B$5))))))))^(2/3))*SQRT($B$9)),IF((A23-$B$10+$B$9*$B$6)&lt;=0,0,(PI()*($B$5/2)^2)*SQRT((A23-$B$10+$B$9*$B$6)/((1+$B$17)/(2*9.81)+($B$4^2)*$B$6/(($B$5/4)^(4/3))))))</f>
        <v/>
      </c>
      <c r="E23" s="8">
        <f>MIN(C23,D23)</f>
        <v/>
      </c>
    </row>
    <row r="24">
      <c r="A24" s="19" t="n">
        <v>0.2</v>
      </c>
      <c r="B24" s="19">
        <f>$B$7+A24</f>
        <v/>
      </c>
      <c r="C24" s="17">
        <f>IF(A24&lt;=0,0,IF(A24&lt;=1.2*$B$5,1.811*(PI()*($B$5/2)^2)*SQRT($B$5)*IF($B$13*$B$5&lt;=0,0,(A24/($B$13*$B$5))^(1/$B$14)),MAX(1.811*(PI()*($B$5/2)^2)*SQRT($B$5)*IF($B$13*$B$5&lt;=0,0,((1.2*$B$5)/($B$13*$B$5))^(1/$B$14)),1.811*(PI()*($B$5/2)^2)*SQRT($B$5)*SQRT(MAX(0,(A24/$B$5-$B$16)/5)))))</f>
        <v/>
      </c>
      <c r="D24" s="17">
        <f>IF(A24&lt;$B$5,IF($B$4&lt;=0,0,(1/$B$4)*((($B$5/2)^2/2)*((2*ACOS(1-2*(MIN(0.999,MAX(1E-6,A24/$B$5)))))-SIN(2*ACOS(1-2*(MIN(0.999,MAX(1E-6,A24/$B$5)))))))*IF((IF((($B$5/2)*(2*ACOS(1-2*(MIN(0.999,MAX(1E-6,A24/$B$5))))))&lt;=0,0,((($B$5/2)^2/2)*((2*ACOS(1-2*(MIN(0.999,MAX(1E-6,A24/$B$5)))))-SIN(2*ACOS(1-2*(MIN(0.999,MAX(1E-6,A24/$B$5)))))))/(($B$5/2)*(2*ACOS(1-2*(MIN(0.999,MAX(1E-6,A24/$B$5))))))))&lt;=0,0,(IF((($B$5/2)*(2*ACOS(1-2*(MIN(0.999,MAX(1E-6,A24/$B$5))))))&lt;=0,0,((($B$5/2)^2/2)*((2*ACOS(1-2*(MIN(0.999,MAX(1E-6,A24/$B$5)))))-SIN(2*ACOS(1-2*(MIN(0.999,MAX(1E-6,A24/$B$5)))))))/(($B$5/2)*(2*ACOS(1-2*(MIN(0.999,MAX(1E-6,A24/$B$5))))))))^(2/3))*SQRT($B$9)),IF((A24-$B$10+$B$9*$B$6)&lt;=0,0,(PI()*($B$5/2)^2)*SQRT((A24-$B$10+$B$9*$B$6)/((1+$B$17)/(2*9.81)+($B$4^2)*$B$6/(($B$5/4)^(4/3))))))</f>
        <v/>
      </c>
      <c r="E24" s="8">
        <f>MIN(C24,D24)</f>
        <v/>
      </c>
    </row>
    <row r="25">
      <c r="A25" s="19" t="n">
        <v>0.25</v>
      </c>
      <c r="B25" s="19">
        <f>$B$7+A25</f>
        <v/>
      </c>
      <c r="C25" s="17">
        <f>IF(A25&lt;=0,0,IF(A25&lt;=1.2*$B$5,1.811*(PI()*($B$5/2)^2)*SQRT($B$5)*IF($B$13*$B$5&lt;=0,0,(A25/($B$13*$B$5))^(1/$B$14)),MAX(1.811*(PI()*($B$5/2)^2)*SQRT($B$5)*IF($B$13*$B$5&lt;=0,0,((1.2*$B$5)/($B$13*$B$5))^(1/$B$14)),1.811*(PI()*($B$5/2)^2)*SQRT($B$5)*SQRT(MAX(0,(A25/$B$5-$B$16)/5)))))</f>
        <v/>
      </c>
      <c r="D25" s="17">
        <f>IF(A25&lt;$B$5,IF($B$4&lt;=0,0,(1/$B$4)*((($B$5/2)^2/2)*((2*ACOS(1-2*(MIN(0.999,MAX(1E-6,A25/$B$5)))))-SIN(2*ACOS(1-2*(MIN(0.999,MAX(1E-6,A25/$B$5)))))))*IF((IF((($B$5/2)*(2*ACOS(1-2*(MIN(0.999,MAX(1E-6,A25/$B$5))))))&lt;=0,0,((($B$5/2)^2/2)*((2*ACOS(1-2*(MIN(0.999,MAX(1E-6,A25/$B$5)))))-SIN(2*ACOS(1-2*(MIN(0.999,MAX(1E-6,A25/$B$5)))))))/(($B$5/2)*(2*ACOS(1-2*(MIN(0.999,MAX(1E-6,A25/$B$5))))))))&lt;=0,0,(IF((($B$5/2)*(2*ACOS(1-2*(MIN(0.999,MAX(1E-6,A25/$B$5))))))&lt;=0,0,((($B$5/2)^2/2)*((2*ACOS(1-2*(MIN(0.999,MAX(1E-6,A25/$B$5)))))-SIN(2*ACOS(1-2*(MIN(0.999,MAX(1E-6,A25/$B$5)))))))/(($B$5/2)*(2*ACOS(1-2*(MIN(0.999,MAX(1E-6,A25/$B$5))))))))^(2/3))*SQRT($B$9)),IF((A25-$B$10+$B$9*$B$6)&lt;=0,0,(PI()*($B$5/2)^2)*SQRT((A25-$B$10+$B$9*$B$6)/((1+$B$17)/(2*9.81)+($B$4^2)*$B$6/(($B$5/4)^(4/3))))))</f>
        <v/>
      </c>
      <c r="E25" s="8">
        <f>MIN(C25,D25)</f>
        <v/>
      </c>
    </row>
    <row r="26">
      <c r="A26" s="19" t="n">
        <v>0.3</v>
      </c>
      <c r="B26" s="19">
        <f>$B$7+A26</f>
        <v/>
      </c>
      <c r="C26" s="17">
        <f>IF(A26&lt;=0,0,IF(A26&lt;=1.2*$B$5,1.811*(PI()*($B$5/2)^2)*SQRT($B$5)*IF($B$13*$B$5&lt;=0,0,(A26/($B$13*$B$5))^(1/$B$14)),MAX(1.811*(PI()*($B$5/2)^2)*SQRT($B$5)*IF($B$13*$B$5&lt;=0,0,((1.2*$B$5)/($B$13*$B$5))^(1/$B$14)),1.811*(PI()*($B$5/2)^2)*SQRT($B$5)*SQRT(MAX(0,(A26/$B$5-$B$16)/5)))))</f>
        <v/>
      </c>
      <c r="D26" s="17">
        <f>IF(A26&lt;$B$5,IF($B$4&lt;=0,0,(1/$B$4)*((($B$5/2)^2/2)*((2*ACOS(1-2*(MIN(0.999,MAX(1E-6,A26/$B$5)))))-SIN(2*ACOS(1-2*(MIN(0.999,MAX(1E-6,A26/$B$5)))))))*IF((IF((($B$5/2)*(2*ACOS(1-2*(MIN(0.999,MAX(1E-6,A26/$B$5))))))&lt;=0,0,((($B$5/2)^2/2)*((2*ACOS(1-2*(MIN(0.999,MAX(1E-6,A26/$B$5)))))-SIN(2*ACOS(1-2*(MIN(0.999,MAX(1E-6,A26/$B$5)))))))/(($B$5/2)*(2*ACOS(1-2*(MIN(0.999,MAX(1E-6,A26/$B$5))))))))&lt;=0,0,(IF((($B$5/2)*(2*ACOS(1-2*(MIN(0.999,MAX(1E-6,A26/$B$5))))))&lt;=0,0,((($B$5/2)^2/2)*((2*ACOS(1-2*(MIN(0.999,MAX(1E-6,A26/$B$5)))))-SIN(2*ACOS(1-2*(MIN(0.999,MAX(1E-6,A26/$B$5)))))))/(($B$5/2)*(2*ACOS(1-2*(MIN(0.999,MAX(1E-6,A26/$B$5))))))))^(2/3))*SQRT($B$9)),IF((A26-$B$10+$B$9*$B$6)&lt;=0,0,(PI()*($B$5/2)^2)*SQRT((A26-$B$10+$B$9*$B$6)/((1+$B$17)/(2*9.81)+($B$4^2)*$B$6/(($B$5/4)^(4/3))))))</f>
        <v/>
      </c>
      <c r="E26" s="8">
        <f>MIN(C26,D26)</f>
        <v/>
      </c>
    </row>
    <row r="27">
      <c r="A27" s="19" t="n">
        <v>0.35</v>
      </c>
      <c r="B27" s="19">
        <f>$B$7+A27</f>
        <v/>
      </c>
      <c r="C27" s="17">
        <f>IF(A27&lt;=0,0,IF(A27&lt;=1.2*$B$5,1.811*(PI()*($B$5/2)^2)*SQRT($B$5)*IF($B$13*$B$5&lt;=0,0,(A27/($B$13*$B$5))^(1/$B$14)),MAX(1.811*(PI()*($B$5/2)^2)*SQRT($B$5)*IF($B$13*$B$5&lt;=0,0,((1.2*$B$5)/($B$13*$B$5))^(1/$B$14)),1.811*(PI()*($B$5/2)^2)*SQRT($B$5)*SQRT(MAX(0,(A27/$B$5-$B$16)/5)))))</f>
        <v/>
      </c>
      <c r="D27" s="17">
        <f>IF(A27&lt;$B$5,IF($B$4&lt;=0,0,(1/$B$4)*((($B$5/2)^2/2)*((2*ACOS(1-2*(MIN(0.999,MAX(1E-6,A27/$B$5)))))-SIN(2*ACOS(1-2*(MIN(0.999,MAX(1E-6,A27/$B$5)))))))*IF((IF((($B$5/2)*(2*ACOS(1-2*(MIN(0.999,MAX(1E-6,A27/$B$5))))))&lt;=0,0,((($B$5/2)^2/2)*((2*ACOS(1-2*(MIN(0.999,MAX(1E-6,A27/$B$5)))))-SIN(2*ACOS(1-2*(MIN(0.999,MAX(1E-6,A27/$B$5)))))))/(($B$5/2)*(2*ACOS(1-2*(MIN(0.999,MAX(1E-6,A27/$B$5))))))))&lt;=0,0,(IF((($B$5/2)*(2*ACOS(1-2*(MIN(0.999,MAX(1E-6,A27/$B$5))))))&lt;=0,0,((($B$5/2)^2/2)*((2*ACOS(1-2*(MIN(0.999,MAX(1E-6,A27/$B$5)))))-SIN(2*ACOS(1-2*(MIN(0.999,MAX(1E-6,A27/$B$5)))))))/(($B$5/2)*(2*ACOS(1-2*(MIN(0.999,MAX(1E-6,A27/$B$5))))))))^(2/3))*SQRT($B$9)),IF((A27-$B$10+$B$9*$B$6)&lt;=0,0,(PI()*($B$5/2)^2)*SQRT((A27-$B$10+$B$9*$B$6)/((1+$B$17)/(2*9.81)+($B$4^2)*$B$6/(($B$5/4)^(4/3))))))</f>
        <v/>
      </c>
      <c r="E27" s="8">
        <f>MIN(C27,D27)</f>
        <v/>
      </c>
    </row>
    <row r="28">
      <c r="A28" s="19" t="n">
        <v>0.4</v>
      </c>
      <c r="B28" s="19">
        <f>$B$7+A28</f>
        <v/>
      </c>
      <c r="C28" s="17">
        <f>IF(A28&lt;=0,0,IF(A28&lt;=1.2*$B$5,1.811*(PI()*($B$5/2)^2)*SQRT($B$5)*IF($B$13*$B$5&lt;=0,0,(A28/($B$13*$B$5))^(1/$B$14)),MAX(1.811*(PI()*($B$5/2)^2)*SQRT($B$5)*IF($B$13*$B$5&lt;=0,0,((1.2*$B$5)/($B$13*$B$5))^(1/$B$14)),1.811*(PI()*($B$5/2)^2)*SQRT($B$5)*SQRT(MAX(0,(A28/$B$5-$B$16)/5)))))</f>
        <v/>
      </c>
      <c r="D28" s="17">
        <f>IF(A28&lt;$B$5,IF($B$4&lt;=0,0,(1/$B$4)*((($B$5/2)^2/2)*((2*ACOS(1-2*(MIN(0.999,MAX(1E-6,A28/$B$5)))))-SIN(2*ACOS(1-2*(MIN(0.999,MAX(1E-6,A28/$B$5)))))))*IF((IF((($B$5/2)*(2*ACOS(1-2*(MIN(0.999,MAX(1E-6,A28/$B$5))))))&lt;=0,0,((($B$5/2)^2/2)*((2*ACOS(1-2*(MIN(0.999,MAX(1E-6,A28/$B$5)))))-SIN(2*ACOS(1-2*(MIN(0.999,MAX(1E-6,A28/$B$5)))))))/(($B$5/2)*(2*ACOS(1-2*(MIN(0.999,MAX(1E-6,A28/$B$5))))))))&lt;=0,0,(IF((($B$5/2)*(2*ACOS(1-2*(MIN(0.999,MAX(1E-6,A28/$B$5))))))&lt;=0,0,((($B$5/2)^2/2)*((2*ACOS(1-2*(MIN(0.999,MAX(1E-6,A28/$B$5)))))-SIN(2*ACOS(1-2*(MIN(0.999,MAX(1E-6,A28/$B$5)))))))/(($B$5/2)*(2*ACOS(1-2*(MIN(0.999,MAX(1E-6,A28/$B$5))))))))^(2/3))*SQRT($B$9)),IF((A28-$B$10+$B$9*$B$6)&lt;=0,0,(PI()*($B$5/2)^2)*SQRT((A28-$B$10+$B$9*$B$6)/((1+$B$17)/(2*9.81)+($B$4^2)*$B$6/(($B$5/4)^(4/3))))))</f>
        <v/>
      </c>
      <c r="E28" s="8">
        <f>MIN(C28,D28)</f>
        <v/>
      </c>
    </row>
    <row r="29">
      <c r="A29" s="19" t="n">
        <v>0.45</v>
      </c>
      <c r="B29" s="19">
        <f>$B$7+A29</f>
        <v/>
      </c>
      <c r="C29" s="17">
        <f>IF(A29&lt;=0,0,IF(A29&lt;=1.2*$B$5,1.811*(PI()*($B$5/2)^2)*SQRT($B$5)*IF($B$13*$B$5&lt;=0,0,(A29/($B$13*$B$5))^(1/$B$14)),MAX(1.811*(PI()*($B$5/2)^2)*SQRT($B$5)*IF($B$13*$B$5&lt;=0,0,((1.2*$B$5)/($B$13*$B$5))^(1/$B$14)),1.811*(PI()*($B$5/2)^2)*SQRT($B$5)*SQRT(MAX(0,(A29/$B$5-$B$16)/5)))))</f>
        <v/>
      </c>
      <c r="D29" s="17">
        <f>IF(A29&lt;$B$5,IF($B$4&lt;=0,0,(1/$B$4)*((($B$5/2)^2/2)*((2*ACOS(1-2*(MIN(0.999,MAX(1E-6,A29/$B$5)))))-SIN(2*ACOS(1-2*(MIN(0.999,MAX(1E-6,A29/$B$5)))))))*IF((IF((($B$5/2)*(2*ACOS(1-2*(MIN(0.999,MAX(1E-6,A29/$B$5))))))&lt;=0,0,((($B$5/2)^2/2)*((2*ACOS(1-2*(MIN(0.999,MAX(1E-6,A29/$B$5)))))-SIN(2*ACOS(1-2*(MIN(0.999,MAX(1E-6,A29/$B$5)))))))/(($B$5/2)*(2*ACOS(1-2*(MIN(0.999,MAX(1E-6,A29/$B$5))))))))&lt;=0,0,(IF((($B$5/2)*(2*ACOS(1-2*(MIN(0.999,MAX(1E-6,A29/$B$5))))))&lt;=0,0,((($B$5/2)^2/2)*((2*ACOS(1-2*(MIN(0.999,MAX(1E-6,A29/$B$5)))))-SIN(2*ACOS(1-2*(MIN(0.999,MAX(1E-6,A29/$B$5)))))))/(($B$5/2)*(2*ACOS(1-2*(MIN(0.999,MAX(1E-6,A29/$B$5))))))))^(2/3))*SQRT($B$9)),IF((A29-$B$10+$B$9*$B$6)&lt;=0,0,(PI()*($B$5/2)^2)*SQRT((A29-$B$10+$B$9*$B$6)/((1+$B$17)/(2*9.81)+($B$4^2)*$B$6/(($B$5/4)^(4/3))))))</f>
        <v/>
      </c>
      <c r="E29" s="8">
        <f>MIN(C29,D29)</f>
        <v/>
      </c>
    </row>
    <row r="30">
      <c r="A30" s="19" t="n">
        <v>0.5</v>
      </c>
      <c r="B30" s="19">
        <f>$B$7+A30</f>
        <v/>
      </c>
      <c r="C30" s="17">
        <f>IF(A30&lt;=0,0,IF(A30&lt;=1.2*$B$5,1.811*(PI()*($B$5/2)^2)*SQRT($B$5)*IF($B$13*$B$5&lt;=0,0,(A30/($B$13*$B$5))^(1/$B$14)),MAX(1.811*(PI()*($B$5/2)^2)*SQRT($B$5)*IF($B$13*$B$5&lt;=0,0,((1.2*$B$5)/($B$13*$B$5))^(1/$B$14)),1.811*(PI()*($B$5/2)^2)*SQRT($B$5)*SQRT(MAX(0,(A30/$B$5-$B$16)/5)))))</f>
        <v/>
      </c>
      <c r="D30" s="17">
        <f>IF(A30&lt;$B$5,IF($B$4&lt;=0,0,(1/$B$4)*((($B$5/2)^2/2)*((2*ACOS(1-2*(MIN(0.999,MAX(1E-6,A30/$B$5)))))-SIN(2*ACOS(1-2*(MIN(0.999,MAX(1E-6,A30/$B$5)))))))*IF((IF((($B$5/2)*(2*ACOS(1-2*(MIN(0.999,MAX(1E-6,A30/$B$5))))))&lt;=0,0,((($B$5/2)^2/2)*((2*ACOS(1-2*(MIN(0.999,MAX(1E-6,A30/$B$5)))))-SIN(2*ACOS(1-2*(MIN(0.999,MAX(1E-6,A30/$B$5)))))))/(($B$5/2)*(2*ACOS(1-2*(MIN(0.999,MAX(1E-6,A30/$B$5))))))))&lt;=0,0,(IF((($B$5/2)*(2*ACOS(1-2*(MIN(0.999,MAX(1E-6,A30/$B$5))))))&lt;=0,0,((($B$5/2)^2/2)*((2*ACOS(1-2*(MIN(0.999,MAX(1E-6,A30/$B$5)))))-SIN(2*ACOS(1-2*(MIN(0.999,MAX(1E-6,A30/$B$5)))))))/(($B$5/2)*(2*ACOS(1-2*(MIN(0.999,MAX(1E-6,A30/$B$5))))))))^(2/3))*SQRT($B$9)),IF((A30-$B$10+$B$9*$B$6)&lt;=0,0,(PI()*($B$5/2)^2)*SQRT((A30-$B$10+$B$9*$B$6)/((1+$B$17)/(2*9.81)+($B$4^2)*$B$6/(($B$5/4)^(4/3))))))</f>
        <v/>
      </c>
      <c r="E30" s="8">
        <f>MIN(C30,D30)</f>
        <v/>
      </c>
    </row>
    <row r="31">
      <c r="A31" s="19" t="n">
        <v>0.55</v>
      </c>
      <c r="B31" s="19">
        <f>$B$7+A31</f>
        <v/>
      </c>
      <c r="C31" s="17">
        <f>IF(A31&lt;=0,0,IF(A31&lt;=1.2*$B$5,1.811*(PI()*($B$5/2)^2)*SQRT($B$5)*IF($B$13*$B$5&lt;=0,0,(A31/($B$13*$B$5))^(1/$B$14)),MAX(1.811*(PI()*($B$5/2)^2)*SQRT($B$5)*IF($B$13*$B$5&lt;=0,0,((1.2*$B$5)/($B$13*$B$5))^(1/$B$14)),1.811*(PI()*($B$5/2)^2)*SQRT($B$5)*SQRT(MAX(0,(A31/$B$5-$B$16)/5)))))</f>
        <v/>
      </c>
      <c r="D31" s="17">
        <f>IF(A31&lt;$B$5,IF($B$4&lt;=0,0,(1/$B$4)*((($B$5/2)^2/2)*((2*ACOS(1-2*(MIN(0.999,MAX(1E-6,A31/$B$5)))))-SIN(2*ACOS(1-2*(MIN(0.999,MAX(1E-6,A31/$B$5)))))))*IF((IF((($B$5/2)*(2*ACOS(1-2*(MIN(0.999,MAX(1E-6,A31/$B$5))))))&lt;=0,0,((($B$5/2)^2/2)*((2*ACOS(1-2*(MIN(0.999,MAX(1E-6,A31/$B$5)))))-SIN(2*ACOS(1-2*(MIN(0.999,MAX(1E-6,A31/$B$5)))))))/(($B$5/2)*(2*ACOS(1-2*(MIN(0.999,MAX(1E-6,A31/$B$5))))))))&lt;=0,0,(IF((($B$5/2)*(2*ACOS(1-2*(MIN(0.999,MAX(1E-6,A31/$B$5))))))&lt;=0,0,((($B$5/2)^2/2)*((2*ACOS(1-2*(MIN(0.999,MAX(1E-6,A31/$B$5)))))-SIN(2*ACOS(1-2*(MIN(0.999,MAX(1E-6,A31/$B$5)))))))/(($B$5/2)*(2*ACOS(1-2*(MIN(0.999,MAX(1E-6,A31/$B$5))))))))^(2/3))*SQRT($B$9)),IF((A31-$B$10+$B$9*$B$6)&lt;=0,0,(PI()*($B$5/2)^2)*SQRT((A31-$B$10+$B$9*$B$6)/((1+$B$17)/(2*9.81)+($B$4^2)*$B$6/(($B$5/4)^(4/3))))))</f>
        <v/>
      </c>
      <c r="E31" s="8">
        <f>MIN(C31,D31)</f>
        <v/>
      </c>
    </row>
    <row r="32">
      <c r="A32" s="19" t="n">
        <v>0.6</v>
      </c>
      <c r="B32" s="19">
        <f>$B$7+A32</f>
        <v/>
      </c>
      <c r="C32" s="17">
        <f>IF(A32&lt;=0,0,IF(A32&lt;=1.2*$B$5,1.811*(PI()*($B$5/2)^2)*SQRT($B$5)*IF($B$13*$B$5&lt;=0,0,(A32/($B$13*$B$5))^(1/$B$14)),MAX(1.811*(PI()*($B$5/2)^2)*SQRT($B$5)*IF($B$13*$B$5&lt;=0,0,((1.2*$B$5)/($B$13*$B$5))^(1/$B$14)),1.811*(PI()*($B$5/2)^2)*SQRT($B$5)*SQRT(MAX(0,(A32/$B$5-$B$16)/5)))))</f>
        <v/>
      </c>
      <c r="D32" s="17">
        <f>IF(A32&lt;$B$5,IF($B$4&lt;=0,0,(1/$B$4)*((($B$5/2)^2/2)*((2*ACOS(1-2*(MIN(0.999,MAX(1E-6,A32/$B$5)))))-SIN(2*ACOS(1-2*(MIN(0.999,MAX(1E-6,A32/$B$5)))))))*IF((IF((($B$5/2)*(2*ACOS(1-2*(MIN(0.999,MAX(1E-6,A32/$B$5))))))&lt;=0,0,((($B$5/2)^2/2)*((2*ACOS(1-2*(MIN(0.999,MAX(1E-6,A32/$B$5)))))-SIN(2*ACOS(1-2*(MIN(0.999,MAX(1E-6,A32/$B$5)))))))/(($B$5/2)*(2*ACOS(1-2*(MIN(0.999,MAX(1E-6,A32/$B$5))))))))&lt;=0,0,(IF((($B$5/2)*(2*ACOS(1-2*(MIN(0.999,MAX(1E-6,A32/$B$5))))))&lt;=0,0,((($B$5/2)^2/2)*((2*ACOS(1-2*(MIN(0.999,MAX(1E-6,A32/$B$5)))))-SIN(2*ACOS(1-2*(MIN(0.999,MAX(1E-6,A32/$B$5)))))))/(($B$5/2)*(2*ACOS(1-2*(MIN(0.999,MAX(1E-6,A32/$B$5))))))))^(2/3))*SQRT($B$9)),IF((A32-$B$10+$B$9*$B$6)&lt;=0,0,(PI()*($B$5/2)^2)*SQRT((A32-$B$10+$B$9*$B$6)/((1+$B$17)/(2*9.81)+($B$4^2)*$B$6/(($B$5/4)^(4/3))))))</f>
        <v/>
      </c>
      <c r="E32" s="8">
        <f>MIN(C32,D32)</f>
        <v/>
      </c>
    </row>
    <row r="33">
      <c r="A33" s="19" t="n">
        <v>0.65</v>
      </c>
      <c r="B33" s="19">
        <f>$B$7+A33</f>
        <v/>
      </c>
      <c r="C33" s="17">
        <f>IF(A33&lt;=0,0,IF(A33&lt;=1.2*$B$5,1.811*(PI()*($B$5/2)^2)*SQRT($B$5)*IF($B$13*$B$5&lt;=0,0,(A33/($B$13*$B$5))^(1/$B$14)),MAX(1.811*(PI()*($B$5/2)^2)*SQRT($B$5)*IF($B$13*$B$5&lt;=0,0,((1.2*$B$5)/($B$13*$B$5))^(1/$B$14)),1.811*(PI()*($B$5/2)^2)*SQRT($B$5)*SQRT(MAX(0,(A33/$B$5-$B$16)/5)))))</f>
        <v/>
      </c>
      <c r="D33" s="17">
        <f>IF(A33&lt;$B$5,IF($B$4&lt;=0,0,(1/$B$4)*((($B$5/2)^2/2)*((2*ACOS(1-2*(MIN(0.999,MAX(1E-6,A33/$B$5)))))-SIN(2*ACOS(1-2*(MIN(0.999,MAX(1E-6,A33/$B$5)))))))*IF((IF((($B$5/2)*(2*ACOS(1-2*(MIN(0.999,MAX(1E-6,A33/$B$5))))))&lt;=0,0,((($B$5/2)^2/2)*((2*ACOS(1-2*(MIN(0.999,MAX(1E-6,A33/$B$5)))))-SIN(2*ACOS(1-2*(MIN(0.999,MAX(1E-6,A33/$B$5)))))))/(($B$5/2)*(2*ACOS(1-2*(MIN(0.999,MAX(1E-6,A33/$B$5))))))))&lt;=0,0,(IF((($B$5/2)*(2*ACOS(1-2*(MIN(0.999,MAX(1E-6,A33/$B$5))))))&lt;=0,0,((($B$5/2)^2/2)*((2*ACOS(1-2*(MIN(0.999,MAX(1E-6,A33/$B$5)))))-SIN(2*ACOS(1-2*(MIN(0.999,MAX(1E-6,A33/$B$5)))))))/(($B$5/2)*(2*ACOS(1-2*(MIN(0.999,MAX(1E-6,A33/$B$5))))))))^(2/3))*SQRT($B$9)),IF((A33-$B$10+$B$9*$B$6)&lt;=0,0,(PI()*($B$5/2)^2)*SQRT((A33-$B$10+$B$9*$B$6)/((1+$B$17)/(2*9.81)+($B$4^2)*$B$6/(($B$5/4)^(4/3))))))</f>
        <v/>
      </c>
      <c r="E33" s="8">
        <f>MIN(C33,D33)</f>
        <v/>
      </c>
    </row>
    <row r="34">
      <c r="A34" s="19" t="n">
        <v>0.7</v>
      </c>
      <c r="B34" s="19">
        <f>$B$7+A34</f>
        <v/>
      </c>
      <c r="C34" s="17">
        <f>IF(A34&lt;=0,0,IF(A34&lt;=1.2*$B$5,1.811*(PI()*($B$5/2)^2)*SQRT($B$5)*IF($B$13*$B$5&lt;=0,0,(A34/($B$13*$B$5))^(1/$B$14)),MAX(1.811*(PI()*($B$5/2)^2)*SQRT($B$5)*IF($B$13*$B$5&lt;=0,0,((1.2*$B$5)/($B$13*$B$5))^(1/$B$14)),1.811*(PI()*($B$5/2)^2)*SQRT($B$5)*SQRT(MAX(0,(A34/$B$5-$B$16)/5)))))</f>
        <v/>
      </c>
      <c r="D34" s="17">
        <f>IF(A34&lt;$B$5,IF($B$4&lt;=0,0,(1/$B$4)*((($B$5/2)^2/2)*((2*ACOS(1-2*(MIN(0.999,MAX(1E-6,A34/$B$5)))))-SIN(2*ACOS(1-2*(MIN(0.999,MAX(1E-6,A34/$B$5)))))))*IF((IF((($B$5/2)*(2*ACOS(1-2*(MIN(0.999,MAX(1E-6,A34/$B$5))))))&lt;=0,0,((($B$5/2)^2/2)*((2*ACOS(1-2*(MIN(0.999,MAX(1E-6,A34/$B$5)))))-SIN(2*ACOS(1-2*(MIN(0.999,MAX(1E-6,A34/$B$5)))))))/(($B$5/2)*(2*ACOS(1-2*(MIN(0.999,MAX(1E-6,A34/$B$5))))))))&lt;=0,0,(IF((($B$5/2)*(2*ACOS(1-2*(MIN(0.999,MAX(1E-6,A34/$B$5))))))&lt;=0,0,((($B$5/2)^2/2)*((2*ACOS(1-2*(MIN(0.999,MAX(1E-6,A34/$B$5)))))-SIN(2*ACOS(1-2*(MIN(0.999,MAX(1E-6,A34/$B$5)))))))/(($B$5/2)*(2*ACOS(1-2*(MIN(0.999,MAX(1E-6,A34/$B$5))))))))^(2/3))*SQRT($B$9)),IF((A34-$B$10+$B$9*$B$6)&lt;=0,0,(PI()*($B$5/2)^2)*SQRT((A34-$B$10+$B$9*$B$6)/((1+$B$17)/(2*9.81)+($B$4^2)*$B$6/(($B$5/4)^(4/3))))))</f>
        <v/>
      </c>
      <c r="E34" s="8">
        <f>MIN(C34,D34)</f>
        <v/>
      </c>
    </row>
    <row r="35">
      <c r="A35" s="19" t="n">
        <v>0.75</v>
      </c>
      <c r="B35" s="19">
        <f>$B$7+A35</f>
        <v/>
      </c>
      <c r="C35" s="17">
        <f>IF(A35&lt;=0,0,IF(A35&lt;=1.2*$B$5,1.811*(PI()*($B$5/2)^2)*SQRT($B$5)*IF($B$13*$B$5&lt;=0,0,(A35/($B$13*$B$5))^(1/$B$14)),MAX(1.811*(PI()*($B$5/2)^2)*SQRT($B$5)*IF($B$13*$B$5&lt;=0,0,((1.2*$B$5)/($B$13*$B$5))^(1/$B$14)),1.811*(PI()*($B$5/2)^2)*SQRT($B$5)*SQRT(MAX(0,(A35/$B$5-$B$16)/5)))))</f>
        <v/>
      </c>
      <c r="D35" s="17">
        <f>IF(A35&lt;$B$5,IF($B$4&lt;=0,0,(1/$B$4)*((($B$5/2)^2/2)*((2*ACOS(1-2*(MIN(0.999,MAX(1E-6,A35/$B$5)))))-SIN(2*ACOS(1-2*(MIN(0.999,MAX(1E-6,A35/$B$5)))))))*IF((IF((($B$5/2)*(2*ACOS(1-2*(MIN(0.999,MAX(1E-6,A35/$B$5))))))&lt;=0,0,((($B$5/2)^2/2)*((2*ACOS(1-2*(MIN(0.999,MAX(1E-6,A35/$B$5)))))-SIN(2*ACOS(1-2*(MIN(0.999,MAX(1E-6,A35/$B$5)))))))/(($B$5/2)*(2*ACOS(1-2*(MIN(0.999,MAX(1E-6,A35/$B$5))))))))&lt;=0,0,(IF((($B$5/2)*(2*ACOS(1-2*(MIN(0.999,MAX(1E-6,A35/$B$5))))))&lt;=0,0,((($B$5/2)^2/2)*((2*ACOS(1-2*(MIN(0.999,MAX(1E-6,A35/$B$5)))))-SIN(2*ACOS(1-2*(MIN(0.999,MAX(1E-6,A35/$B$5)))))))/(($B$5/2)*(2*ACOS(1-2*(MIN(0.999,MAX(1E-6,A35/$B$5))))))))^(2/3))*SQRT($B$9)),IF((A35-$B$10+$B$9*$B$6)&lt;=0,0,(PI()*($B$5/2)^2)*SQRT((A35-$B$10+$B$9*$B$6)/((1+$B$17)/(2*9.81)+($B$4^2)*$B$6/(($B$5/4)^(4/3))))))</f>
        <v/>
      </c>
      <c r="E35" s="8">
        <f>MIN(C35,D35)</f>
        <v/>
      </c>
    </row>
    <row r="36">
      <c r="A36" s="19" t="n">
        <v>0.8</v>
      </c>
      <c r="B36" s="19">
        <f>$B$7+A36</f>
        <v/>
      </c>
      <c r="C36" s="17">
        <f>IF(A36&lt;=0,0,IF(A36&lt;=1.2*$B$5,1.811*(PI()*($B$5/2)^2)*SQRT($B$5)*IF($B$13*$B$5&lt;=0,0,(A36/($B$13*$B$5))^(1/$B$14)),MAX(1.811*(PI()*($B$5/2)^2)*SQRT($B$5)*IF($B$13*$B$5&lt;=0,0,((1.2*$B$5)/($B$13*$B$5))^(1/$B$14)),1.811*(PI()*($B$5/2)^2)*SQRT($B$5)*SQRT(MAX(0,(A36/$B$5-$B$16)/5)))))</f>
        <v/>
      </c>
      <c r="D36" s="17">
        <f>IF(A36&lt;$B$5,IF($B$4&lt;=0,0,(1/$B$4)*((($B$5/2)^2/2)*((2*ACOS(1-2*(MIN(0.999,MAX(1E-6,A36/$B$5)))))-SIN(2*ACOS(1-2*(MIN(0.999,MAX(1E-6,A36/$B$5)))))))*IF((IF((($B$5/2)*(2*ACOS(1-2*(MIN(0.999,MAX(1E-6,A36/$B$5))))))&lt;=0,0,((($B$5/2)^2/2)*((2*ACOS(1-2*(MIN(0.999,MAX(1E-6,A36/$B$5)))))-SIN(2*ACOS(1-2*(MIN(0.999,MAX(1E-6,A36/$B$5)))))))/(($B$5/2)*(2*ACOS(1-2*(MIN(0.999,MAX(1E-6,A36/$B$5))))))))&lt;=0,0,(IF((($B$5/2)*(2*ACOS(1-2*(MIN(0.999,MAX(1E-6,A36/$B$5))))))&lt;=0,0,((($B$5/2)^2/2)*((2*ACOS(1-2*(MIN(0.999,MAX(1E-6,A36/$B$5)))))-SIN(2*ACOS(1-2*(MIN(0.999,MAX(1E-6,A36/$B$5)))))))/(($B$5/2)*(2*ACOS(1-2*(MIN(0.999,MAX(1E-6,A36/$B$5))))))))^(2/3))*SQRT($B$9)),IF((A36-$B$10+$B$9*$B$6)&lt;=0,0,(PI()*($B$5/2)^2)*SQRT((A36-$B$10+$B$9*$B$6)/((1+$B$17)/(2*9.81)+($B$4^2)*$B$6/(($B$5/4)^(4/3))))))</f>
        <v/>
      </c>
      <c r="E36" s="8">
        <f>MIN(C36,D36)</f>
        <v/>
      </c>
    </row>
    <row r="37">
      <c r="A37" s="19" t="n">
        <v>0.85</v>
      </c>
      <c r="B37" s="19">
        <f>$B$7+A37</f>
        <v/>
      </c>
      <c r="C37" s="17">
        <f>IF(A37&lt;=0,0,IF(A37&lt;=1.2*$B$5,1.811*(PI()*($B$5/2)^2)*SQRT($B$5)*IF($B$13*$B$5&lt;=0,0,(A37/($B$13*$B$5))^(1/$B$14)),MAX(1.811*(PI()*($B$5/2)^2)*SQRT($B$5)*IF($B$13*$B$5&lt;=0,0,((1.2*$B$5)/($B$13*$B$5))^(1/$B$14)),1.811*(PI()*($B$5/2)^2)*SQRT($B$5)*SQRT(MAX(0,(A37/$B$5-$B$16)/5)))))</f>
        <v/>
      </c>
      <c r="D37" s="17">
        <f>IF(A37&lt;$B$5,IF($B$4&lt;=0,0,(1/$B$4)*((($B$5/2)^2/2)*((2*ACOS(1-2*(MIN(0.999,MAX(1E-6,A37/$B$5)))))-SIN(2*ACOS(1-2*(MIN(0.999,MAX(1E-6,A37/$B$5)))))))*IF((IF((($B$5/2)*(2*ACOS(1-2*(MIN(0.999,MAX(1E-6,A37/$B$5))))))&lt;=0,0,((($B$5/2)^2/2)*((2*ACOS(1-2*(MIN(0.999,MAX(1E-6,A37/$B$5)))))-SIN(2*ACOS(1-2*(MIN(0.999,MAX(1E-6,A37/$B$5)))))))/(($B$5/2)*(2*ACOS(1-2*(MIN(0.999,MAX(1E-6,A37/$B$5))))))))&lt;=0,0,(IF((($B$5/2)*(2*ACOS(1-2*(MIN(0.999,MAX(1E-6,A37/$B$5))))))&lt;=0,0,((($B$5/2)^2/2)*((2*ACOS(1-2*(MIN(0.999,MAX(1E-6,A37/$B$5)))))-SIN(2*ACOS(1-2*(MIN(0.999,MAX(1E-6,A37/$B$5)))))))/(($B$5/2)*(2*ACOS(1-2*(MIN(0.999,MAX(1E-6,A37/$B$5))))))))^(2/3))*SQRT($B$9)),IF((A37-$B$10+$B$9*$B$6)&lt;=0,0,(PI()*($B$5/2)^2)*SQRT((A37-$B$10+$B$9*$B$6)/((1+$B$17)/(2*9.81)+($B$4^2)*$B$6/(($B$5/4)^(4/3))))))</f>
        <v/>
      </c>
      <c r="E37" s="8">
        <f>MIN(C37,D37)</f>
        <v/>
      </c>
    </row>
    <row r="38">
      <c r="A38" s="19" t="n">
        <v>0.9</v>
      </c>
      <c r="B38" s="19">
        <f>$B$7+A38</f>
        <v/>
      </c>
      <c r="C38" s="17">
        <f>IF(A38&lt;=0,0,IF(A38&lt;=1.2*$B$5,1.811*(PI()*($B$5/2)^2)*SQRT($B$5)*IF($B$13*$B$5&lt;=0,0,(A38/($B$13*$B$5))^(1/$B$14)),MAX(1.811*(PI()*($B$5/2)^2)*SQRT($B$5)*IF($B$13*$B$5&lt;=0,0,((1.2*$B$5)/($B$13*$B$5))^(1/$B$14)),1.811*(PI()*($B$5/2)^2)*SQRT($B$5)*SQRT(MAX(0,(A38/$B$5-$B$16)/5)))))</f>
        <v/>
      </c>
      <c r="D38" s="17">
        <f>IF(A38&lt;$B$5,IF($B$4&lt;=0,0,(1/$B$4)*((($B$5/2)^2/2)*((2*ACOS(1-2*(MIN(0.999,MAX(1E-6,A38/$B$5)))))-SIN(2*ACOS(1-2*(MIN(0.999,MAX(1E-6,A38/$B$5)))))))*IF((IF((($B$5/2)*(2*ACOS(1-2*(MIN(0.999,MAX(1E-6,A38/$B$5))))))&lt;=0,0,((($B$5/2)^2/2)*((2*ACOS(1-2*(MIN(0.999,MAX(1E-6,A38/$B$5)))))-SIN(2*ACOS(1-2*(MIN(0.999,MAX(1E-6,A38/$B$5)))))))/(($B$5/2)*(2*ACOS(1-2*(MIN(0.999,MAX(1E-6,A38/$B$5))))))))&lt;=0,0,(IF((($B$5/2)*(2*ACOS(1-2*(MIN(0.999,MAX(1E-6,A38/$B$5))))))&lt;=0,0,((($B$5/2)^2/2)*((2*ACOS(1-2*(MIN(0.999,MAX(1E-6,A38/$B$5)))))-SIN(2*ACOS(1-2*(MIN(0.999,MAX(1E-6,A38/$B$5)))))))/(($B$5/2)*(2*ACOS(1-2*(MIN(0.999,MAX(1E-6,A38/$B$5))))))))^(2/3))*SQRT($B$9)),IF((A38-$B$10+$B$9*$B$6)&lt;=0,0,(PI()*($B$5/2)^2)*SQRT((A38-$B$10+$B$9*$B$6)/((1+$B$17)/(2*9.81)+($B$4^2)*$B$6/(($B$5/4)^(4/3))))))</f>
        <v/>
      </c>
      <c r="E38" s="8">
        <f>MIN(C38,D38)</f>
        <v/>
      </c>
    </row>
    <row r="39">
      <c r="A39" s="19" t="n">
        <v>0.95</v>
      </c>
      <c r="B39" s="19">
        <f>$B$7+A39</f>
        <v/>
      </c>
      <c r="C39" s="17">
        <f>IF(A39&lt;=0,0,IF(A39&lt;=1.2*$B$5,1.811*(PI()*($B$5/2)^2)*SQRT($B$5)*IF($B$13*$B$5&lt;=0,0,(A39/($B$13*$B$5))^(1/$B$14)),MAX(1.811*(PI()*($B$5/2)^2)*SQRT($B$5)*IF($B$13*$B$5&lt;=0,0,((1.2*$B$5)/($B$13*$B$5))^(1/$B$14)),1.811*(PI()*($B$5/2)^2)*SQRT($B$5)*SQRT(MAX(0,(A39/$B$5-$B$16)/5)))))</f>
        <v/>
      </c>
      <c r="D39" s="17">
        <f>IF(A39&lt;$B$5,IF($B$4&lt;=0,0,(1/$B$4)*((($B$5/2)^2/2)*((2*ACOS(1-2*(MIN(0.999,MAX(1E-6,A39/$B$5)))))-SIN(2*ACOS(1-2*(MIN(0.999,MAX(1E-6,A39/$B$5)))))))*IF((IF((($B$5/2)*(2*ACOS(1-2*(MIN(0.999,MAX(1E-6,A39/$B$5))))))&lt;=0,0,((($B$5/2)^2/2)*((2*ACOS(1-2*(MIN(0.999,MAX(1E-6,A39/$B$5)))))-SIN(2*ACOS(1-2*(MIN(0.999,MAX(1E-6,A39/$B$5)))))))/(($B$5/2)*(2*ACOS(1-2*(MIN(0.999,MAX(1E-6,A39/$B$5))))))))&lt;=0,0,(IF((($B$5/2)*(2*ACOS(1-2*(MIN(0.999,MAX(1E-6,A39/$B$5))))))&lt;=0,0,((($B$5/2)^2/2)*((2*ACOS(1-2*(MIN(0.999,MAX(1E-6,A39/$B$5)))))-SIN(2*ACOS(1-2*(MIN(0.999,MAX(1E-6,A39/$B$5)))))))/(($B$5/2)*(2*ACOS(1-2*(MIN(0.999,MAX(1E-6,A39/$B$5))))))))^(2/3))*SQRT($B$9)),IF((A39-$B$10+$B$9*$B$6)&lt;=0,0,(PI()*($B$5/2)^2)*SQRT((A39-$B$10+$B$9*$B$6)/((1+$B$17)/(2*9.81)+($B$4^2)*$B$6/(($B$5/4)^(4/3))))))</f>
        <v/>
      </c>
      <c r="E39" s="8">
        <f>MIN(C39,D39)</f>
        <v/>
      </c>
    </row>
    <row r="40">
      <c r="A40" s="19" t="n">
        <v>1</v>
      </c>
      <c r="B40" s="19">
        <f>$B$7+A40</f>
        <v/>
      </c>
      <c r="C40" s="17">
        <f>IF(A40&lt;=0,0,IF(A40&lt;=1.2*$B$5,1.811*(PI()*($B$5/2)^2)*SQRT($B$5)*IF($B$13*$B$5&lt;=0,0,(A40/($B$13*$B$5))^(1/$B$14)),MAX(1.811*(PI()*($B$5/2)^2)*SQRT($B$5)*IF($B$13*$B$5&lt;=0,0,((1.2*$B$5)/($B$13*$B$5))^(1/$B$14)),1.811*(PI()*($B$5/2)^2)*SQRT($B$5)*SQRT(MAX(0,(A40/$B$5-$B$16)/5)))))</f>
        <v/>
      </c>
      <c r="D40" s="17">
        <f>IF(A40&lt;$B$5,IF($B$4&lt;=0,0,(1/$B$4)*((($B$5/2)^2/2)*((2*ACOS(1-2*(MIN(0.999,MAX(1E-6,A40/$B$5)))))-SIN(2*ACOS(1-2*(MIN(0.999,MAX(1E-6,A40/$B$5)))))))*IF((IF((($B$5/2)*(2*ACOS(1-2*(MIN(0.999,MAX(1E-6,A40/$B$5))))))&lt;=0,0,((($B$5/2)^2/2)*((2*ACOS(1-2*(MIN(0.999,MAX(1E-6,A40/$B$5)))))-SIN(2*ACOS(1-2*(MIN(0.999,MAX(1E-6,A40/$B$5)))))))/(($B$5/2)*(2*ACOS(1-2*(MIN(0.999,MAX(1E-6,A40/$B$5))))))))&lt;=0,0,(IF((($B$5/2)*(2*ACOS(1-2*(MIN(0.999,MAX(1E-6,A40/$B$5))))))&lt;=0,0,((($B$5/2)^2/2)*((2*ACOS(1-2*(MIN(0.999,MAX(1E-6,A40/$B$5)))))-SIN(2*ACOS(1-2*(MIN(0.999,MAX(1E-6,A40/$B$5)))))))/(($B$5/2)*(2*ACOS(1-2*(MIN(0.999,MAX(1E-6,A40/$B$5))))))))^(2/3))*SQRT($B$9)),IF((A40-$B$10+$B$9*$B$6)&lt;=0,0,(PI()*($B$5/2)^2)*SQRT((A40-$B$10+$B$9*$B$6)/((1+$B$17)/(2*9.81)+($B$4^2)*$B$6/(($B$5/4)^(4/3))))))</f>
        <v/>
      </c>
      <c r="E40" s="8">
        <f>MIN(C40,D40)</f>
        <v/>
      </c>
    </row>
    <row r="41">
      <c r="A41" s="19" t="n">
        <v>1.05</v>
      </c>
      <c r="B41" s="19">
        <f>$B$7+A41</f>
        <v/>
      </c>
      <c r="C41" s="17">
        <f>IF(A41&lt;=0,0,IF(A41&lt;=1.2*$B$5,1.811*(PI()*($B$5/2)^2)*SQRT($B$5)*IF($B$13*$B$5&lt;=0,0,(A41/($B$13*$B$5))^(1/$B$14)),MAX(1.811*(PI()*($B$5/2)^2)*SQRT($B$5)*IF($B$13*$B$5&lt;=0,0,((1.2*$B$5)/($B$13*$B$5))^(1/$B$14)),1.811*(PI()*($B$5/2)^2)*SQRT($B$5)*SQRT(MAX(0,(A41/$B$5-$B$16)/5)))))</f>
        <v/>
      </c>
      <c r="D41" s="17">
        <f>IF(A41&lt;$B$5,IF($B$4&lt;=0,0,(1/$B$4)*((($B$5/2)^2/2)*((2*ACOS(1-2*(MIN(0.999,MAX(1E-6,A41/$B$5)))))-SIN(2*ACOS(1-2*(MIN(0.999,MAX(1E-6,A41/$B$5)))))))*IF((IF((($B$5/2)*(2*ACOS(1-2*(MIN(0.999,MAX(1E-6,A41/$B$5))))))&lt;=0,0,((($B$5/2)^2/2)*((2*ACOS(1-2*(MIN(0.999,MAX(1E-6,A41/$B$5)))))-SIN(2*ACOS(1-2*(MIN(0.999,MAX(1E-6,A41/$B$5)))))))/(($B$5/2)*(2*ACOS(1-2*(MIN(0.999,MAX(1E-6,A41/$B$5))))))))&lt;=0,0,(IF((($B$5/2)*(2*ACOS(1-2*(MIN(0.999,MAX(1E-6,A41/$B$5))))))&lt;=0,0,((($B$5/2)^2/2)*((2*ACOS(1-2*(MIN(0.999,MAX(1E-6,A41/$B$5)))))-SIN(2*ACOS(1-2*(MIN(0.999,MAX(1E-6,A41/$B$5)))))))/(($B$5/2)*(2*ACOS(1-2*(MIN(0.999,MAX(1E-6,A41/$B$5))))))))^(2/3))*SQRT($B$9)),IF((A41-$B$10+$B$9*$B$6)&lt;=0,0,(PI()*($B$5/2)^2)*SQRT((A41-$B$10+$B$9*$B$6)/((1+$B$17)/(2*9.81)+($B$4^2)*$B$6/(($B$5/4)^(4/3))))))</f>
        <v/>
      </c>
      <c r="E41" s="8">
        <f>MIN(C41,D41)</f>
        <v/>
      </c>
    </row>
    <row r="42">
      <c r="A42" s="19" t="n">
        <v>1.1</v>
      </c>
      <c r="B42" s="19">
        <f>$B$7+A42</f>
        <v/>
      </c>
      <c r="C42" s="17">
        <f>IF(A42&lt;=0,0,IF(A42&lt;=1.2*$B$5,1.811*(PI()*($B$5/2)^2)*SQRT($B$5)*IF($B$13*$B$5&lt;=0,0,(A42/($B$13*$B$5))^(1/$B$14)),MAX(1.811*(PI()*($B$5/2)^2)*SQRT($B$5)*IF($B$13*$B$5&lt;=0,0,((1.2*$B$5)/($B$13*$B$5))^(1/$B$14)),1.811*(PI()*($B$5/2)^2)*SQRT($B$5)*SQRT(MAX(0,(A42/$B$5-$B$16)/5)))))</f>
        <v/>
      </c>
      <c r="D42" s="17">
        <f>IF(A42&lt;$B$5,IF($B$4&lt;=0,0,(1/$B$4)*((($B$5/2)^2/2)*((2*ACOS(1-2*(MIN(0.999,MAX(1E-6,A42/$B$5)))))-SIN(2*ACOS(1-2*(MIN(0.999,MAX(1E-6,A42/$B$5)))))))*IF((IF((($B$5/2)*(2*ACOS(1-2*(MIN(0.999,MAX(1E-6,A42/$B$5))))))&lt;=0,0,((($B$5/2)^2/2)*((2*ACOS(1-2*(MIN(0.999,MAX(1E-6,A42/$B$5)))))-SIN(2*ACOS(1-2*(MIN(0.999,MAX(1E-6,A42/$B$5)))))))/(($B$5/2)*(2*ACOS(1-2*(MIN(0.999,MAX(1E-6,A42/$B$5))))))))&lt;=0,0,(IF((($B$5/2)*(2*ACOS(1-2*(MIN(0.999,MAX(1E-6,A42/$B$5))))))&lt;=0,0,((($B$5/2)^2/2)*((2*ACOS(1-2*(MIN(0.999,MAX(1E-6,A42/$B$5)))))-SIN(2*ACOS(1-2*(MIN(0.999,MAX(1E-6,A42/$B$5)))))))/(($B$5/2)*(2*ACOS(1-2*(MIN(0.999,MAX(1E-6,A42/$B$5))))))))^(2/3))*SQRT($B$9)),IF((A42-$B$10+$B$9*$B$6)&lt;=0,0,(PI()*($B$5/2)^2)*SQRT((A42-$B$10+$B$9*$B$6)/((1+$B$17)/(2*9.81)+($B$4^2)*$B$6/(($B$5/4)^(4/3))))))</f>
        <v/>
      </c>
      <c r="E42" s="8">
        <f>MIN(C42,D42)</f>
        <v/>
      </c>
    </row>
    <row r="43">
      <c r="A43" s="19" t="n">
        <v>1.15</v>
      </c>
      <c r="B43" s="19">
        <f>$B$7+A43</f>
        <v/>
      </c>
      <c r="C43" s="17">
        <f>IF(A43&lt;=0,0,IF(A43&lt;=1.2*$B$5,1.811*(PI()*($B$5/2)^2)*SQRT($B$5)*IF($B$13*$B$5&lt;=0,0,(A43/($B$13*$B$5))^(1/$B$14)),MAX(1.811*(PI()*($B$5/2)^2)*SQRT($B$5)*IF($B$13*$B$5&lt;=0,0,((1.2*$B$5)/($B$13*$B$5))^(1/$B$14)),1.811*(PI()*($B$5/2)^2)*SQRT($B$5)*SQRT(MAX(0,(A43/$B$5-$B$16)/5)))))</f>
        <v/>
      </c>
      <c r="D43" s="17">
        <f>IF(A43&lt;$B$5,IF($B$4&lt;=0,0,(1/$B$4)*((($B$5/2)^2/2)*((2*ACOS(1-2*(MIN(0.999,MAX(1E-6,A43/$B$5)))))-SIN(2*ACOS(1-2*(MIN(0.999,MAX(1E-6,A43/$B$5)))))))*IF((IF((($B$5/2)*(2*ACOS(1-2*(MIN(0.999,MAX(1E-6,A43/$B$5))))))&lt;=0,0,((($B$5/2)^2/2)*((2*ACOS(1-2*(MIN(0.999,MAX(1E-6,A43/$B$5)))))-SIN(2*ACOS(1-2*(MIN(0.999,MAX(1E-6,A43/$B$5)))))))/(($B$5/2)*(2*ACOS(1-2*(MIN(0.999,MAX(1E-6,A43/$B$5))))))))&lt;=0,0,(IF((($B$5/2)*(2*ACOS(1-2*(MIN(0.999,MAX(1E-6,A43/$B$5))))))&lt;=0,0,((($B$5/2)^2/2)*((2*ACOS(1-2*(MIN(0.999,MAX(1E-6,A43/$B$5)))))-SIN(2*ACOS(1-2*(MIN(0.999,MAX(1E-6,A43/$B$5)))))))/(($B$5/2)*(2*ACOS(1-2*(MIN(0.999,MAX(1E-6,A43/$B$5))))))))^(2/3))*SQRT($B$9)),IF((A43-$B$10+$B$9*$B$6)&lt;=0,0,(PI()*($B$5/2)^2)*SQRT((A43-$B$10+$B$9*$B$6)/((1+$B$17)/(2*9.81)+($B$4^2)*$B$6/(($B$5/4)^(4/3))))))</f>
        <v/>
      </c>
      <c r="E43" s="8">
        <f>MIN(C43,D43)</f>
        <v/>
      </c>
    </row>
    <row r="44">
      <c r="A44" s="19" t="n">
        <v>1.2</v>
      </c>
      <c r="B44" s="19">
        <f>$B$7+A44</f>
        <v/>
      </c>
      <c r="C44" s="17">
        <f>IF(A44&lt;=0,0,IF(A44&lt;=1.2*$B$5,1.811*(PI()*($B$5/2)^2)*SQRT($B$5)*IF($B$13*$B$5&lt;=0,0,(A44/($B$13*$B$5))^(1/$B$14)),MAX(1.811*(PI()*($B$5/2)^2)*SQRT($B$5)*IF($B$13*$B$5&lt;=0,0,((1.2*$B$5)/($B$13*$B$5))^(1/$B$14)),1.811*(PI()*($B$5/2)^2)*SQRT($B$5)*SQRT(MAX(0,(A44/$B$5-$B$16)/5)))))</f>
        <v/>
      </c>
      <c r="D44" s="17">
        <f>IF(A44&lt;$B$5,IF($B$4&lt;=0,0,(1/$B$4)*((($B$5/2)^2/2)*((2*ACOS(1-2*(MIN(0.999,MAX(1E-6,A44/$B$5)))))-SIN(2*ACOS(1-2*(MIN(0.999,MAX(1E-6,A44/$B$5)))))))*IF((IF((($B$5/2)*(2*ACOS(1-2*(MIN(0.999,MAX(1E-6,A44/$B$5))))))&lt;=0,0,((($B$5/2)^2/2)*((2*ACOS(1-2*(MIN(0.999,MAX(1E-6,A44/$B$5)))))-SIN(2*ACOS(1-2*(MIN(0.999,MAX(1E-6,A44/$B$5)))))))/(($B$5/2)*(2*ACOS(1-2*(MIN(0.999,MAX(1E-6,A44/$B$5))))))))&lt;=0,0,(IF((($B$5/2)*(2*ACOS(1-2*(MIN(0.999,MAX(1E-6,A44/$B$5))))))&lt;=0,0,((($B$5/2)^2/2)*((2*ACOS(1-2*(MIN(0.999,MAX(1E-6,A44/$B$5)))))-SIN(2*ACOS(1-2*(MIN(0.999,MAX(1E-6,A44/$B$5)))))))/(($B$5/2)*(2*ACOS(1-2*(MIN(0.999,MAX(1E-6,A44/$B$5))))))))^(2/3))*SQRT($B$9)),IF((A44-$B$10+$B$9*$B$6)&lt;=0,0,(PI()*($B$5/2)^2)*SQRT((A44-$B$10+$B$9*$B$6)/((1+$B$17)/(2*9.81)+($B$4^2)*$B$6/(($B$5/4)^(4/3))))))</f>
        <v/>
      </c>
      <c r="E44" s="8">
        <f>MIN(C44,D44)</f>
        <v/>
      </c>
    </row>
    <row r="45">
      <c r="A45" s="19" t="n">
        <v>1.25</v>
      </c>
      <c r="B45" s="19">
        <f>$B$7+A45</f>
        <v/>
      </c>
      <c r="C45" s="17">
        <f>IF(A45&lt;=0,0,IF(A45&lt;=1.2*$B$5,1.811*(PI()*($B$5/2)^2)*SQRT($B$5)*IF($B$13*$B$5&lt;=0,0,(A45/($B$13*$B$5))^(1/$B$14)),MAX(1.811*(PI()*($B$5/2)^2)*SQRT($B$5)*IF($B$13*$B$5&lt;=0,0,((1.2*$B$5)/($B$13*$B$5))^(1/$B$14)),1.811*(PI()*($B$5/2)^2)*SQRT($B$5)*SQRT(MAX(0,(A45/$B$5-$B$16)/5)))))</f>
        <v/>
      </c>
      <c r="D45" s="17">
        <f>IF(A45&lt;$B$5,IF($B$4&lt;=0,0,(1/$B$4)*((($B$5/2)^2/2)*((2*ACOS(1-2*(MIN(0.999,MAX(1E-6,A45/$B$5)))))-SIN(2*ACOS(1-2*(MIN(0.999,MAX(1E-6,A45/$B$5)))))))*IF((IF((($B$5/2)*(2*ACOS(1-2*(MIN(0.999,MAX(1E-6,A45/$B$5))))))&lt;=0,0,((($B$5/2)^2/2)*((2*ACOS(1-2*(MIN(0.999,MAX(1E-6,A45/$B$5)))))-SIN(2*ACOS(1-2*(MIN(0.999,MAX(1E-6,A45/$B$5)))))))/(($B$5/2)*(2*ACOS(1-2*(MIN(0.999,MAX(1E-6,A45/$B$5))))))))&lt;=0,0,(IF((($B$5/2)*(2*ACOS(1-2*(MIN(0.999,MAX(1E-6,A45/$B$5))))))&lt;=0,0,((($B$5/2)^2/2)*((2*ACOS(1-2*(MIN(0.999,MAX(1E-6,A45/$B$5)))))-SIN(2*ACOS(1-2*(MIN(0.999,MAX(1E-6,A45/$B$5)))))))/(($B$5/2)*(2*ACOS(1-2*(MIN(0.999,MAX(1E-6,A45/$B$5))))))))^(2/3))*SQRT($B$9)),IF((A45-$B$10+$B$9*$B$6)&lt;=0,0,(PI()*($B$5/2)^2)*SQRT((A45-$B$10+$B$9*$B$6)/((1+$B$17)/(2*9.81)+($B$4^2)*$B$6/(($B$5/4)^(4/3))))))</f>
        <v/>
      </c>
      <c r="E45" s="8">
        <f>MIN(C45,D45)</f>
        <v/>
      </c>
    </row>
    <row r="46">
      <c r="A46" s="19" t="n">
        <v>1.3</v>
      </c>
      <c r="B46" s="19">
        <f>$B$7+A46</f>
        <v/>
      </c>
      <c r="C46" s="17">
        <f>IF(A46&lt;=0,0,IF(A46&lt;=1.2*$B$5,1.811*(PI()*($B$5/2)^2)*SQRT($B$5)*IF($B$13*$B$5&lt;=0,0,(A46/($B$13*$B$5))^(1/$B$14)),MAX(1.811*(PI()*($B$5/2)^2)*SQRT($B$5)*IF($B$13*$B$5&lt;=0,0,((1.2*$B$5)/($B$13*$B$5))^(1/$B$14)),1.811*(PI()*($B$5/2)^2)*SQRT($B$5)*SQRT(MAX(0,(A46/$B$5-$B$16)/5)))))</f>
        <v/>
      </c>
      <c r="D46" s="17">
        <f>IF(A46&lt;$B$5,IF($B$4&lt;=0,0,(1/$B$4)*((($B$5/2)^2/2)*((2*ACOS(1-2*(MIN(0.999,MAX(1E-6,A46/$B$5)))))-SIN(2*ACOS(1-2*(MIN(0.999,MAX(1E-6,A46/$B$5)))))))*IF((IF((($B$5/2)*(2*ACOS(1-2*(MIN(0.999,MAX(1E-6,A46/$B$5))))))&lt;=0,0,((($B$5/2)^2/2)*((2*ACOS(1-2*(MIN(0.999,MAX(1E-6,A46/$B$5)))))-SIN(2*ACOS(1-2*(MIN(0.999,MAX(1E-6,A46/$B$5)))))))/(($B$5/2)*(2*ACOS(1-2*(MIN(0.999,MAX(1E-6,A46/$B$5))))))))&lt;=0,0,(IF((($B$5/2)*(2*ACOS(1-2*(MIN(0.999,MAX(1E-6,A46/$B$5))))))&lt;=0,0,((($B$5/2)^2/2)*((2*ACOS(1-2*(MIN(0.999,MAX(1E-6,A46/$B$5)))))-SIN(2*ACOS(1-2*(MIN(0.999,MAX(1E-6,A46/$B$5)))))))/(($B$5/2)*(2*ACOS(1-2*(MIN(0.999,MAX(1E-6,A46/$B$5))))))))^(2/3))*SQRT($B$9)),IF((A46-$B$10+$B$9*$B$6)&lt;=0,0,(PI()*($B$5/2)^2)*SQRT((A46-$B$10+$B$9*$B$6)/((1+$B$17)/(2*9.81)+($B$4^2)*$B$6/(($B$5/4)^(4/3))))))</f>
        <v/>
      </c>
      <c r="E46" s="8">
        <f>MIN(C46,D46)</f>
        <v/>
      </c>
    </row>
    <row r="47">
      <c r="A47" s="19" t="n">
        <v>1.35</v>
      </c>
      <c r="B47" s="19">
        <f>$B$7+A47</f>
        <v/>
      </c>
      <c r="C47" s="17">
        <f>IF(A47&lt;=0,0,IF(A47&lt;=1.2*$B$5,1.811*(PI()*($B$5/2)^2)*SQRT($B$5)*IF($B$13*$B$5&lt;=0,0,(A47/($B$13*$B$5))^(1/$B$14)),MAX(1.811*(PI()*($B$5/2)^2)*SQRT($B$5)*IF($B$13*$B$5&lt;=0,0,((1.2*$B$5)/($B$13*$B$5))^(1/$B$14)),1.811*(PI()*($B$5/2)^2)*SQRT($B$5)*SQRT(MAX(0,(A47/$B$5-$B$16)/5)))))</f>
        <v/>
      </c>
      <c r="D47" s="17">
        <f>IF(A47&lt;$B$5,IF($B$4&lt;=0,0,(1/$B$4)*((($B$5/2)^2/2)*((2*ACOS(1-2*(MIN(0.999,MAX(1E-6,A47/$B$5)))))-SIN(2*ACOS(1-2*(MIN(0.999,MAX(1E-6,A47/$B$5)))))))*IF((IF((($B$5/2)*(2*ACOS(1-2*(MIN(0.999,MAX(1E-6,A47/$B$5))))))&lt;=0,0,((($B$5/2)^2/2)*((2*ACOS(1-2*(MIN(0.999,MAX(1E-6,A47/$B$5)))))-SIN(2*ACOS(1-2*(MIN(0.999,MAX(1E-6,A47/$B$5)))))))/(($B$5/2)*(2*ACOS(1-2*(MIN(0.999,MAX(1E-6,A47/$B$5))))))))&lt;=0,0,(IF((($B$5/2)*(2*ACOS(1-2*(MIN(0.999,MAX(1E-6,A47/$B$5))))))&lt;=0,0,((($B$5/2)^2/2)*((2*ACOS(1-2*(MIN(0.999,MAX(1E-6,A47/$B$5)))))-SIN(2*ACOS(1-2*(MIN(0.999,MAX(1E-6,A47/$B$5)))))))/(($B$5/2)*(2*ACOS(1-2*(MIN(0.999,MAX(1E-6,A47/$B$5))))))))^(2/3))*SQRT($B$9)),IF((A47-$B$10+$B$9*$B$6)&lt;=0,0,(PI()*($B$5/2)^2)*SQRT((A47-$B$10+$B$9*$B$6)/((1+$B$17)/(2*9.81)+($B$4^2)*$B$6/(($B$5/4)^(4/3))))))</f>
        <v/>
      </c>
      <c r="E47" s="8">
        <f>MIN(C47,D47)</f>
        <v/>
      </c>
    </row>
    <row r="48">
      <c r="A48" s="19" t="n">
        <v>1.4</v>
      </c>
      <c r="B48" s="19">
        <f>$B$7+A48</f>
        <v/>
      </c>
      <c r="C48" s="17">
        <f>IF(A48&lt;=0,0,IF(A48&lt;=1.2*$B$5,1.811*(PI()*($B$5/2)^2)*SQRT($B$5)*IF($B$13*$B$5&lt;=0,0,(A48/($B$13*$B$5))^(1/$B$14)),MAX(1.811*(PI()*($B$5/2)^2)*SQRT($B$5)*IF($B$13*$B$5&lt;=0,0,((1.2*$B$5)/($B$13*$B$5))^(1/$B$14)),1.811*(PI()*($B$5/2)^2)*SQRT($B$5)*SQRT(MAX(0,(A48/$B$5-$B$16)/5)))))</f>
        <v/>
      </c>
      <c r="D48" s="17">
        <f>IF(A48&lt;$B$5,IF($B$4&lt;=0,0,(1/$B$4)*((($B$5/2)^2/2)*((2*ACOS(1-2*(MIN(0.999,MAX(1E-6,A48/$B$5)))))-SIN(2*ACOS(1-2*(MIN(0.999,MAX(1E-6,A48/$B$5)))))))*IF((IF((($B$5/2)*(2*ACOS(1-2*(MIN(0.999,MAX(1E-6,A48/$B$5))))))&lt;=0,0,((($B$5/2)^2/2)*((2*ACOS(1-2*(MIN(0.999,MAX(1E-6,A48/$B$5)))))-SIN(2*ACOS(1-2*(MIN(0.999,MAX(1E-6,A48/$B$5)))))))/(($B$5/2)*(2*ACOS(1-2*(MIN(0.999,MAX(1E-6,A48/$B$5))))))))&lt;=0,0,(IF((($B$5/2)*(2*ACOS(1-2*(MIN(0.999,MAX(1E-6,A48/$B$5))))))&lt;=0,0,((($B$5/2)^2/2)*((2*ACOS(1-2*(MIN(0.999,MAX(1E-6,A48/$B$5)))))-SIN(2*ACOS(1-2*(MIN(0.999,MAX(1E-6,A48/$B$5)))))))/(($B$5/2)*(2*ACOS(1-2*(MIN(0.999,MAX(1E-6,A48/$B$5))))))))^(2/3))*SQRT($B$9)),IF((A48-$B$10+$B$9*$B$6)&lt;=0,0,(PI()*($B$5/2)^2)*SQRT((A48-$B$10+$B$9*$B$6)/((1+$B$17)/(2*9.81)+($B$4^2)*$B$6/(($B$5/4)^(4/3))))))</f>
        <v/>
      </c>
      <c r="E48" s="8">
        <f>MIN(C48,D48)</f>
        <v/>
      </c>
    </row>
    <row r="49">
      <c r="A49" s="19" t="n">
        <v>1.45</v>
      </c>
      <c r="B49" s="19">
        <f>$B$7+A49</f>
        <v/>
      </c>
      <c r="C49" s="17">
        <f>IF(A49&lt;=0,0,IF(A49&lt;=1.2*$B$5,1.811*(PI()*($B$5/2)^2)*SQRT($B$5)*IF($B$13*$B$5&lt;=0,0,(A49/($B$13*$B$5))^(1/$B$14)),MAX(1.811*(PI()*($B$5/2)^2)*SQRT($B$5)*IF($B$13*$B$5&lt;=0,0,((1.2*$B$5)/($B$13*$B$5))^(1/$B$14)),1.811*(PI()*($B$5/2)^2)*SQRT($B$5)*SQRT(MAX(0,(A49/$B$5-$B$16)/5)))))</f>
        <v/>
      </c>
      <c r="D49" s="17">
        <f>IF(A49&lt;$B$5,IF($B$4&lt;=0,0,(1/$B$4)*((($B$5/2)^2/2)*((2*ACOS(1-2*(MIN(0.999,MAX(1E-6,A49/$B$5)))))-SIN(2*ACOS(1-2*(MIN(0.999,MAX(1E-6,A49/$B$5)))))))*IF((IF((($B$5/2)*(2*ACOS(1-2*(MIN(0.999,MAX(1E-6,A49/$B$5))))))&lt;=0,0,((($B$5/2)^2/2)*((2*ACOS(1-2*(MIN(0.999,MAX(1E-6,A49/$B$5)))))-SIN(2*ACOS(1-2*(MIN(0.999,MAX(1E-6,A49/$B$5)))))))/(($B$5/2)*(2*ACOS(1-2*(MIN(0.999,MAX(1E-6,A49/$B$5))))))))&lt;=0,0,(IF((($B$5/2)*(2*ACOS(1-2*(MIN(0.999,MAX(1E-6,A49/$B$5))))))&lt;=0,0,((($B$5/2)^2/2)*((2*ACOS(1-2*(MIN(0.999,MAX(1E-6,A49/$B$5)))))-SIN(2*ACOS(1-2*(MIN(0.999,MAX(1E-6,A49/$B$5)))))))/(($B$5/2)*(2*ACOS(1-2*(MIN(0.999,MAX(1E-6,A49/$B$5))))))))^(2/3))*SQRT($B$9)),IF((A49-$B$10+$B$9*$B$6)&lt;=0,0,(PI()*($B$5/2)^2)*SQRT((A49-$B$10+$B$9*$B$6)/((1+$B$17)/(2*9.81)+($B$4^2)*$B$6/(($B$5/4)^(4/3))))))</f>
        <v/>
      </c>
      <c r="E49" s="8">
        <f>MIN(C49,D49)</f>
        <v/>
      </c>
    </row>
    <row r="50">
      <c r="A50" s="19" t="n">
        <v>1.5</v>
      </c>
      <c r="B50" s="19">
        <f>$B$7+A50</f>
        <v/>
      </c>
      <c r="C50" s="17">
        <f>IF(A50&lt;=0,0,IF(A50&lt;=1.2*$B$5,1.811*(PI()*($B$5/2)^2)*SQRT($B$5)*IF($B$13*$B$5&lt;=0,0,(A50/($B$13*$B$5))^(1/$B$14)),MAX(1.811*(PI()*($B$5/2)^2)*SQRT($B$5)*IF($B$13*$B$5&lt;=0,0,((1.2*$B$5)/($B$13*$B$5))^(1/$B$14)),1.811*(PI()*($B$5/2)^2)*SQRT($B$5)*SQRT(MAX(0,(A50/$B$5-$B$16)/5)))))</f>
        <v/>
      </c>
      <c r="D50" s="17">
        <f>IF(A50&lt;$B$5,IF($B$4&lt;=0,0,(1/$B$4)*((($B$5/2)^2/2)*((2*ACOS(1-2*(MIN(0.999,MAX(1E-6,A50/$B$5)))))-SIN(2*ACOS(1-2*(MIN(0.999,MAX(1E-6,A50/$B$5)))))))*IF((IF((($B$5/2)*(2*ACOS(1-2*(MIN(0.999,MAX(1E-6,A50/$B$5))))))&lt;=0,0,((($B$5/2)^2/2)*((2*ACOS(1-2*(MIN(0.999,MAX(1E-6,A50/$B$5)))))-SIN(2*ACOS(1-2*(MIN(0.999,MAX(1E-6,A50/$B$5)))))))/(($B$5/2)*(2*ACOS(1-2*(MIN(0.999,MAX(1E-6,A50/$B$5))))))))&lt;=0,0,(IF((($B$5/2)*(2*ACOS(1-2*(MIN(0.999,MAX(1E-6,A50/$B$5))))))&lt;=0,0,((($B$5/2)^2/2)*((2*ACOS(1-2*(MIN(0.999,MAX(1E-6,A50/$B$5)))))-SIN(2*ACOS(1-2*(MIN(0.999,MAX(1E-6,A50/$B$5)))))))/(($B$5/2)*(2*ACOS(1-2*(MIN(0.999,MAX(1E-6,A50/$B$5))))))))^(2/3))*SQRT($B$9)),IF((A50-$B$10+$B$9*$B$6)&lt;=0,0,(PI()*($B$5/2)^2)*SQRT((A50-$B$10+$B$9*$B$6)/((1+$B$17)/(2*9.81)+($B$4^2)*$B$6/(($B$5/4)^(4/3))))))</f>
        <v/>
      </c>
      <c r="E50" s="8">
        <f>MIN(C50,D50)</f>
        <v/>
      </c>
    </row>
    <row r="51">
      <c r="A51" s="19" t="n">
        <v>1.55</v>
      </c>
      <c r="B51" s="19">
        <f>$B$7+A51</f>
        <v/>
      </c>
      <c r="C51" s="17">
        <f>IF(A51&lt;=0,0,IF(A51&lt;=1.2*$B$5,1.811*(PI()*($B$5/2)^2)*SQRT($B$5)*IF($B$13*$B$5&lt;=0,0,(A51/($B$13*$B$5))^(1/$B$14)),MAX(1.811*(PI()*($B$5/2)^2)*SQRT($B$5)*IF($B$13*$B$5&lt;=0,0,((1.2*$B$5)/($B$13*$B$5))^(1/$B$14)),1.811*(PI()*($B$5/2)^2)*SQRT($B$5)*SQRT(MAX(0,(A51/$B$5-$B$16)/5)))))</f>
        <v/>
      </c>
      <c r="D51" s="17">
        <f>IF(A51&lt;$B$5,IF($B$4&lt;=0,0,(1/$B$4)*((($B$5/2)^2/2)*((2*ACOS(1-2*(MIN(0.999,MAX(1E-6,A51/$B$5)))))-SIN(2*ACOS(1-2*(MIN(0.999,MAX(1E-6,A51/$B$5)))))))*IF((IF((($B$5/2)*(2*ACOS(1-2*(MIN(0.999,MAX(1E-6,A51/$B$5))))))&lt;=0,0,((($B$5/2)^2/2)*((2*ACOS(1-2*(MIN(0.999,MAX(1E-6,A51/$B$5)))))-SIN(2*ACOS(1-2*(MIN(0.999,MAX(1E-6,A51/$B$5)))))))/(($B$5/2)*(2*ACOS(1-2*(MIN(0.999,MAX(1E-6,A51/$B$5))))))))&lt;=0,0,(IF((($B$5/2)*(2*ACOS(1-2*(MIN(0.999,MAX(1E-6,A51/$B$5))))))&lt;=0,0,((($B$5/2)^2/2)*((2*ACOS(1-2*(MIN(0.999,MAX(1E-6,A51/$B$5)))))-SIN(2*ACOS(1-2*(MIN(0.999,MAX(1E-6,A51/$B$5)))))))/(($B$5/2)*(2*ACOS(1-2*(MIN(0.999,MAX(1E-6,A51/$B$5))))))))^(2/3))*SQRT($B$9)),IF((A51-$B$10+$B$9*$B$6)&lt;=0,0,(PI()*($B$5/2)^2)*SQRT((A51-$B$10+$B$9*$B$6)/((1+$B$17)/(2*9.81)+($B$4^2)*$B$6/(($B$5/4)^(4/3))))))</f>
        <v/>
      </c>
      <c r="E51" s="8">
        <f>MIN(C51,D51)</f>
        <v/>
      </c>
    </row>
    <row r="52">
      <c r="A52" s="19" t="n">
        <v>1.6</v>
      </c>
      <c r="B52" s="19">
        <f>$B$7+A52</f>
        <v/>
      </c>
      <c r="C52" s="17">
        <f>IF(A52&lt;=0,0,IF(A52&lt;=1.2*$B$5,1.811*(PI()*($B$5/2)^2)*SQRT($B$5)*IF($B$13*$B$5&lt;=0,0,(A52/($B$13*$B$5))^(1/$B$14)),MAX(1.811*(PI()*($B$5/2)^2)*SQRT($B$5)*IF($B$13*$B$5&lt;=0,0,((1.2*$B$5)/($B$13*$B$5))^(1/$B$14)),1.811*(PI()*($B$5/2)^2)*SQRT($B$5)*SQRT(MAX(0,(A52/$B$5-$B$16)/5)))))</f>
        <v/>
      </c>
      <c r="D52" s="17">
        <f>IF(A52&lt;$B$5,IF($B$4&lt;=0,0,(1/$B$4)*((($B$5/2)^2/2)*((2*ACOS(1-2*(MIN(0.999,MAX(1E-6,A52/$B$5)))))-SIN(2*ACOS(1-2*(MIN(0.999,MAX(1E-6,A52/$B$5)))))))*IF((IF((($B$5/2)*(2*ACOS(1-2*(MIN(0.999,MAX(1E-6,A52/$B$5))))))&lt;=0,0,((($B$5/2)^2/2)*((2*ACOS(1-2*(MIN(0.999,MAX(1E-6,A52/$B$5)))))-SIN(2*ACOS(1-2*(MIN(0.999,MAX(1E-6,A52/$B$5)))))))/(($B$5/2)*(2*ACOS(1-2*(MIN(0.999,MAX(1E-6,A52/$B$5))))))))&lt;=0,0,(IF((($B$5/2)*(2*ACOS(1-2*(MIN(0.999,MAX(1E-6,A52/$B$5))))))&lt;=0,0,((($B$5/2)^2/2)*((2*ACOS(1-2*(MIN(0.999,MAX(1E-6,A52/$B$5)))))-SIN(2*ACOS(1-2*(MIN(0.999,MAX(1E-6,A52/$B$5)))))))/(($B$5/2)*(2*ACOS(1-2*(MIN(0.999,MAX(1E-6,A52/$B$5))))))))^(2/3))*SQRT($B$9)),IF((A52-$B$10+$B$9*$B$6)&lt;=0,0,(PI()*($B$5/2)^2)*SQRT((A52-$B$10+$B$9*$B$6)/((1+$B$17)/(2*9.81)+($B$4^2)*$B$6/(($B$5/4)^(4/3))))))</f>
        <v/>
      </c>
      <c r="E52" s="8">
        <f>MIN(C52,D52)</f>
        <v/>
      </c>
    </row>
    <row r="53">
      <c r="A53" s="19" t="n">
        <v>1.65</v>
      </c>
      <c r="B53" s="19">
        <f>$B$7+A53</f>
        <v/>
      </c>
      <c r="C53" s="17">
        <f>IF(A53&lt;=0,0,IF(A53&lt;=1.2*$B$5,1.811*(PI()*($B$5/2)^2)*SQRT($B$5)*IF($B$13*$B$5&lt;=0,0,(A53/($B$13*$B$5))^(1/$B$14)),MAX(1.811*(PI()*($B$5/2)^2)*SQRT($B$5)*IF($B$13*$B$5&lt;=0,0,((1.2*$B$5)/($B$13*$B$5))^(1/$B$14)),1.811*(PI()*($B$5/2)^2)*SQRT($B$5)*SQRT(MAX(0,(A53/$B$5-$B$16)/5)))))</f>
        <v/>
      </c>
      <c r="D53" s="17">
        <f>IF(A53&lt;$B$5,IF($B$4&lt;=0,0,(1/$B$4)*((($B$5/2)^2/2)*((2*ACOS(1-2*(MIN(0.999,MAX(1E-6,A53/$B$5)))))-SIN(2*ACOS(1-2*(MIN(0.999,MAX(1E-6,A53/$B$5)))))))*IF((IF((($B$5/2)*(2*ACOS(1-2*(MIN(0.999,MAX(1E-6,A53/$B$5))))))&lt;=0,0,((($B$5/2)^2/2)*((2*ACOS(1-2*(MIN(0.999,MAX(1E-6,A53/$B$5)))))-SIN(2*ACOS(1-2*(MIN(0.999,MAX(1E-6,A53/$B$5)))))))/(($B$5/2)*(2*ACOS(1-2*(MIN(0.999,MAX(1E-6,A53/$B$5))))))))&lt;=0,0,(IF((($B$5/2)*(2*ACOS(1-2*(MIN(0.999,MAX(1E-6,A53/$B$5))))))&lt;=0,0,((($B$5/2)^2/2)*((2*ACOS(1-2*(MIN(0.999,MAX(1E-6,A53/$B$5)))))-SIN(2*ACOS(1-2*(MIN(0.999,MAX(1E-6,A53/$B$5)))))))/(($B$5/2)*(2*ACOS(1-2*(MIN(0.999,MAX(1E-6,A53/$B$5))))))))^(2/3))*SQRT($B$9)),IF((A53-$B$10+$B$9*$B$6)&lt;=0,0,(PI()*($B$5/2)^2)*SQRT((A53-$B$10+$B$9*$B$6)/((1+$B$17)/(2*9.81)+($B$4^2)*$B$6/(($B$5/4)^(4/3))))))</f>
        <v/>
      </c>
      <c r="E53" s="8">
        <f>MIN(C53,D53)</f>
        <v/>
      </c>
    </row>
    <row r="54">
      <c r="A54" s="19" t="n">
        <v>1.7</v>
      </c>
      <c r="B54" s="19">
        <f>$B$7+A54</f>
        <v/>
      </c>
      <c r="C54" s="17">
        <f>IF(A54&lt;=0,0,IF(A54&lt;=1.2*$B$5,1.811*(PI()*($B$5/2)^2)*SQRT($B$5)*IF($B$13*$B$5&lt;=0,0,(A54/($B$13*$B$5))^(1/$B$14)),MAX(1.811*(PI()*($B$5/2)^2)*SQRT($B$5)*IF($B$13*$B$5&lt;=0,0,((1.2*$B$5)/($B$13*$B$5))^(1/$B$14)),1.811*(PI()*($B$5/2)^2)*SQRT($B$5)*SQRT(MAX(0,(A54/$B$5-$B$16)/5)))))</f>
        <v/>
      </c>
      <c r="D54" s="17">
        <f>IF(A54&lt;$B$5,IF($B$4&lt;=0,0,(1/$B$4)*((($B$5/2)^2/2)*((2*ACOS(1-2*(MIN(0.999,MAX(1E-6,A54/$B$5)))))-SIN(2*ACOS(1-2*(MIN(0.999,MAX(1E-6,A54/$B$5)))))))*IF((IF((($B$5/2)*(2*ACOS(1-2*(MIN(0.999,MAX(1E-6,A54/$B$5))))))&lt;=0,0,((($B$5/2)^2/2)*((2*ACOS(1-2*(MIN(0.999,MAX(1E-6,A54/$B$5)))))-SIN(2*ACOS(1-2*(MIN(0.999,MAX(1E-6,A54/$B$5)))))))/(($B$5/2)*(2*ACOS(1-2*(MIN(0.999,MAX(1E-6,A54/$B$5))))))))&lt;=0,0,(IF((($B$5/2)*(2*ACOS(1-2*(MIN(0.999,MAX(1E-6,A54/$B$5))))))&lt;=0,0,((($B$5/2)^2/2)*((2*ACOS(1-2*(MIN(0.999,MAX(1E-6,A54/$B$5)))))-SIN(2*ACOS(1-2*(MIN(0.999,MAX(1E-6,A54/$B$5)))))))/(($B$5/2)*(2*ACOS(1-2*(MIN(0.999,MAX(1E-6,A54/$B$5))))))))^(2/3))*SQRT($B$9)),IF((A54-$B$10+$B$9*$B$6)&lt;=0,0,(PI()*($B$5/2)^2)*SQRT((A54-$B$10+$B$9*$B$6)/((1+$B$17)/(2*9.81)+($B$4^2)*$B$6/(($B$5/4)^(4/3))))))</f>
        <v/>
      </c>
      <c r="E54" s="8">
        <f>MIN(C54,D54)</f>
        <v/>
      </c>
    </row>
    <row r="55">
      <c r="A55" s="19" t="n">
        <v>1.75</v>
      </c>
      <c r="B55" s="19">
        <f>$B$7+A55</f>
        <v/>
      </c>
      <c r="C55" s="17">
        <f>IF(A55&lt;=0,0,IF(A55&lt;=1.2*$B$5,1.811*(PI()*($B$5/2)^2)*SQRT($B$5)*IF($B$13*$B$5&lt;=0,0,(A55/($B$13*$B$5))^(1/$B$14)),MAX(1.811*(PI()*($B$5/2)^2)*SQRT($B$5)*IF($B$13*$B$5&lt;=0,0,((1.2*$B$5)/($B$13*$B$5))^(1/$B$14)),1.811*(PI()*($B$5/2)^2)*SQRT($B$5)*SQRT(MAX(0,(A55/$B$5-$B$16)/5)))))</f>
        <v/>
      </c>
      <c r="D55" s="17">
        <f>IF(A55&lt;$B$5,IF($B$4&lt;=0,0,(1/$B$4)*((($B$5/2)^2/2)*((2*ACOS(1-2*(MIN(0.999,MAX(1E-6,A55/$B$5)))))-SIN(2*ACOS(1-2*(MIN(0.999,MAX(1E-6,A55/$B$5)))))))*IF((IF((($B$5/2)*(2*ACOS(1-2*(MIN(0.999,MAX(1E-6,A55/$B$5))))))&lt;=0,0,((($B$5/2)^2/2)*((2*ACOS(1-2*(MIN(0.999,MAX(1E-6,A55/$B$5)))))-SIN(2*ACOS(1-2*(MIN(0.999,MAX(1E-6,A55/$B$5)))))))/(($B$5/2)*(2*ACOS(1-2*(MIN(0.999,MAX(1E-6,A55/$B$5))))))))&lt;=0,0,(IF((($B$5/2)*(2*ACOS(1-2*(MIN(0.999,MAX(1E-6,A55/$B$5))))))&lt;=0,0,((($B$5/2)^2/2)*((2*ACOS(1-2*(MIN(0.999,MAX(1E-6,A55/$B$5)))))-SIN(2*ACOS(1-2*(MIN(0.999,MAX(1E-6,A55/$B$5)))))))/(($B$5/2)*(2*ACOS(1-2*(MIN(0.999,MAX(1E-6,A55/$B$5))))))))^(2/3))*SQRT($B$9)),IF((A55-$B$10+$B$9*$B$6)&lt;=0,0,(PI()*($B$5/2)^2)*SQRT((A55-$B$10+$B$9*$B$6)/((1+$B$17)/(2*9.81)+($B$4^2)*$B$6/(($B$5/4)^(4/3))))))</f>
        <v/>
      </c>
      <c r="E55" s="8">
        <f>MIN(C55,D55)</f>
        <v/>
      </c>
    </row>
    <row r="56">
      <c r="A56" s="19" t="n">
        <v>1.8</v>
      </c>
      <c r="B56" s="19">
        <f>$B$7+A56</f>
        <v/>
      </c>
      <c r="C56" s="17">
        <f>IF(A56&lt;=0,0,IF(A56&lt;=1.2*$B$5,1.811*(PI()*($B$5/2)^2)*SQRT($B$5)*IF($B$13*$B$5&lt;=0,0,(A56/($B$13*$B$5))^(1/$B$14)),MAX(1.811*(PI()*($B$5/2)^2)*SQRT($B$5)*IF($B$13*$B$5&lt;=0,0,((1.2*$B$5)/($B$13*$B$5))^(1/$B$14)),1.811*(PI()*($B$5/2)^2)*SQRT($B$5)*SQRT(MAX(0,(A56/$B$5-$B$16)/5)))))</f>
        <v/>
      </c>
      <c r="D56" s="17">
        <f>IF(A56&lt;$B$5,IF($B$4&lt;=0,0,(1/$B$4)*((($B$5/2)^2/2)*((2*ACOS(1-2*(MIN(0.999,MAX(1E-6,A56/$B$5)))))-SIN(2*ACOS(1-2*(MIN(0.999,MAX(1E-6,A56/$B$5)))))))*IF((IF((($B$5/2)*(2*ACOS(1-2*(MIN(0.999,MAX(1E-6,A56/$B$5))))))&lt;=0,0,((($B$5/2)^2/2)*((2*ACOS(1-2*(MIN(0.999,MAX(1E-6,A56/$B$5)))))-SIN(2*ACOS(1-2*(MIN(0.999,MAX(1E-6,A56/$B$5)))))))/(($B$5/2)*(2*ACOS(1-2*(MIN(0.999,MAX(1E-6,A56/$B$5))))))))&lt;=0,0,(IF((($B$5/2)*(2*ACOS(1-2*(MIN(0.999,MAX(1E-6,A56/$B$5))))))&lt;=0,0,((($B$5/2)^2/2)*((2*ACOS(1-2*(MIN(0.999,MAX(1E-6,A56/$B$5)))))-SIN(2*ACOS(1-2*(MIN(0.999,MAX(1E-6,A56/$B$5)))))))/(($B$5/2)*(2*ACOS(1-2*(MIN(0.999,MAX(1E-6,A56/$B$5))))))))^(2/3))*SQRT($B$9)),IF((A56-$B$10+$B$9*$B$6)&lt;=0,0,(PI()*($B$5/2)^2)*SQRT((A56-$B$10+$B$9*$B$6)/((1+$B$17)/(2*9.81)+($B$4^2)*$B$6/(($B$5/4)^(4/3))))))</f>
        <v/>
      </c>
      <c r="E56" s="8">
        <f>MIN(C56,D56)</f>
        <v/>
      </c>
    </row>
    <row r="57">
      <c r="A57" s="19" t="n">
        <v>1.85</v>
      </c>
      <c r="B57" s="19">
        <f>$B$7+A57</f>
        <v/>
      </c>
      <c r="C57" s="17">
        <f>IF(A57&lt;=0,0,IF(A57&lt;=1.2*$B$5,1.811*(PI()*($B$5/2)^2)*SQRT($B$5)*IF($B$13*$B$5&lt;=0,0,(A57/($B$13*$B$5))^(1/$B$14)),MAX(1.811*(PI()*($B$5/2)^2)*SQRT($B$5)*IF($B$13*$B$5&lt;=0,0,((1.2*$B$5)/($B$13*$B$5))^(1/$B$14)),1.811*(PI()*($B$5/2)^2)*SQRT($B$5)*SQRT(MAX(0,(A57/$B$5-$B$16)/5)))))</f>
        <v/>
      </c>
      <c r="D57" s="17">
        <f>IF(A57&lt;$B$5,IF($B$4&lt;=0,0,(1/$B$4)*((($B$5/2)^2/2)*((2*ACOS(1-2*(MIN(0.999,MAX(1E-6,A57/$B$5)))))-SIN(2*ACOS(1-2*(MIN(0.999,MAX(1E-6,A57/$B$5)))))))*IF((IF((($B$5/2)*(2*ACOS(1-2*(MIN(0.999,MAX(1E-6,A57/$B$5))))))&lt;=0,0,((($B$5/2)^2/2)*((2*ACOS(1-2*(MIN(0.999,MAX(1E-6,A57/$B$5)))))-SIN(2*ACOS(1-2*(MIN(0.999,MAX(1E-6,A57/$B$5)))))))/(($B$5/2)*(2*ACOS(1-2*(MIN(0.999,MAX(1E-6,A57/$B$5))))))))&lt;=0,0,(IF((($B$5/2)*(2*ACOS(1-2*(MIN(0.999,MAX(1E-6,A57/$B$5))))))&lt;=0,0,((($B$5/2)^2/2)*((2*ACOS(1-2*(MIN(0.999,MAX(1E-6,A57/$B$5)))))-SIN(2*ACOS(1-2*(MIN(0.999,MAX(1E-6,A57/$B$5)))))))/(($B$5/2)*(2*ACOS(1-2*(MIN(0.999,MAX(1E-6,A57/$B$5))))))))^(2/3))*SQRT($B$9)),IF((A57-$B$10+$B$9*$B$6)&lt;=0,0,(PI()*($B$5/2)^2)*SQRT((A57-$B$10+$B$9*$B$6)/((1+$B$17)/(2*9.81)+($B$4^2)*$B$6/(($B$5/4)^(4/3))))))</f>
        <v/>
      </c>
      <c r="E57" s="8">
        <f>MIN(C57,D57)</f>
        <v/>
      </c>
    </row>
    <row r="58">
      <c r="A58" s="19" t="n">
        <v>1.9</v>
      </c>
      <c r="B58" s="19">
        <f>$B$7+A58</f>
        <v/>
      </c>
      <c r="C58" s="17">
        <f>IF(A58&lt;=0,0,IF(A58&lt;=1.2*$B$5,1.811*(PI()*($B$5/2)^2)*SQRT($B$5)*IF($B$13*$B$5&lt;=0,0,(A58/($B$13*$B$5))^(1/$B$14)),MAX(1.811*(PI()*($B$5/2)^2)*SQRT($B$5)*IF($B$13*$B$5&lt;=0,0,((1.2*$B$5)/($B$13*$B$5))^(1/$B$14)),1.811*(PI()*($B$5/2)^2)*SQRT($B$5)*SQRT(MAX(0,(A58/$B$5-$B$16)/5)))))</f>
        <v/>
      </c>
      <c r="D58" s="17">
        <f>IF(A58&lt;$B$5,IF($B$4&lt;=0,0,(1/$B$4)*((($B$5/2)^2/2)*((2*ACOS(1-2*(MIN(0.999,MAX(1E-6,A58/$B$5)))))-SIN(2*ACOS(1-2*(MIN(0.999,MAX(1E-6,A58/$B$5)))))))*IF((IF((($B$5/2)*(2*ACOS(1-2*(MIN(0.999,MAX(1E-6,A58/$B$5))))))&lt;=0,0,((($B$5/2)^2/2)*((2*ACOS(1-2*(MIN(0.999,MAX(1E-6,A58/$B$5)))))-SIN(2*ACOS(1-2*(MIN(0.999,MAX(1E-6,A58/$B$5)))))))/(($B$5/2)*(2*ACOS(1-2*(MIN(0.999,MAX(1E-6,A58/$B$5))))))))&lt;=0,0,(IF((($B$5/2)*(2*ACOS(1-2*(MIN(0.999,MAX(1E-6,A58/$B$5))))))&lt;=0,0,((($B$5/2)^2/2)*((2*ACOS(1-2*(MIN(0.999,MAX(1E-6,A58/$B$5)))))-SIN(2*ACOS(1-2*(MIN(0.999,MAX(1E-6,A58/$B$5)))))))/(($B$5/2)*(2*ACOS(1-2*(MIN(0.999,MAX(1E-6,A58/$B$5))))))))^(2/3))*SQRT($B$9)),IF((A58-$B$10+$B$9*$B$6)&lt;=0,0,(PI()*($B$5/2)^2)*SQRT((A58-$B$10+$B$9*$B$6)/((1+$B$17)/(2*9.81)+($B$4^2)*$B$6/(($B$5/4)^(4/3))))))</f>
        <v/>
      </c>
      <c r="E58" s="8">
        <f>MIN(C58,D58)</f>
        <v/>
      </c>
    </row>
    <row r="59">
      <c r="A59" s="19" t="n">
        <v>1.95</v>
      </c>
      <c r="B59" s="19">
        <f>$B$7+A59</f>
        <v/>
      </c>
      <c r="C59" s="17">
        <f>IF(A59&lt;=0,0,IF(A59&lt;=1.2*$B$5,1.811*(PI()*($B$5/2)^2)*SQRT($B$5)*IF($B$13*$B$5&lt;=0,0,(A59/($B$13*$B$5))^(1/$B$14)),MAX(1.811*(PI()*($B$5/2)^2)*SQRT($B$5)*IF($B$13*$B$5&lt;=0,0,((1.2*$B$5)/($B$13*$B$5))^(1/$B$14)),1.811*(PI()*($B$5/2)^2)*SQRT($B$5)*SQRT(MAX(0,(A59/$B$5-$B$16)/5)))))</f>
        <v/>
      </c>
      <c r="D59" s="17">
        <f>IF(A59&lt;$B$5,IF($B$4&lt;=0,0,(1/$B$4)*((($B$5/2)^2/2)*((2*ACOS(1-2*(MIN(0.999,MAX(1E-6,A59/$B$5)))))-SIN(2*ACOS(1-2*(MIN(0.999,MAX(1E-6,A59/$B$5)))))))*IF((IF((($B$5/2)*(2*ACOS(1-2*(MIN(0.999,MAX(1E-6,A59/$B$5))))))&lt;=0,0,((($B$5/2)^2/2)*((2*ACOS(1-2*(MIN(0.999,MAX(1E-6,A59/$B$5)))))-SIN(2*ACOS(1-2*(MIN(0.999,MAX(1E-6,A59/$B$5)))))))/(($B$5/2)*(2*ACOS(1-2*(MIN(0.999,MAX(1E-6,A59/$B$5))))))))&lt;=0,0,(IF((($B$5/2)*(2*ACOS(1-2*(MIN(0.999,MAX(1E-6,A59/$B$5))))))&lt;=0,0,((($B$5/2)^2/2)*((2*ACOS(1-2*(MIN(0.999,MAX(1E-6,A59/$B$5)))))-SIN(2*ACOS(1-2*(MIN(0.999,MAX(1E-6,A59/$B$5)))))))/(($B$5/2)*(2*ACOS(1-2*(MIN(0.999,MAX(1E-6,A59/$B$5))))))))^(2/3))*SQRT($B$9)),IF((A59-$B$10+$B$9*$B$6)&lt;=0,0,(PI()*($B$5/2)^2)*SQRT((A59-$B$10+$B$9*$B$6)/((1+$B$17)/(2*9.81)+($B$4^2)*$B$6/(($B$5/4)^(4/3))))))</f>
        <v/>
      </c>
      <c r="E59" s="8">
        <f>MIN(C59,D59)</f>
        <v/>
      </c>
    </row>
    <row r="60">
      <c r="A60" s="19" t="n">
        <v>2</v>
      </c>
      <c r="B60" s="19">
        <f>$B$7+A60</f>
        <v/>
      </c>
      <c r="C60" s="17">
        <f>IF(A60&lt;=0,0,IF(A60&lt;=1.2*$B$5,1.811*(PI()*($B$5/2)^2)*SQRT($B$5)*IF($B$13*$B$5&lt;=0,0,(A60/($B$13*$B$5))^(1/$B$14)),MAX(1.811*(PI()*($B$5/2)^2)*SQRT($B$5)*IF($B$13*$B$5&lt;=0,0,((1.2*$B$5)/($B$13*$B$5))^(1/$B$14)),1.811*(PI()*($B$5/2)^2)*SQRT($B$5)*SQRT(MAX(0,(A60/$B$5-$B$16)/5)))))</f>
        <v/>
      </c>
      <c r="D60" s="17">
        <f>IF(A60&lt;$B$5,IF($B$4&lt;=0,0,(1/$B$4)*((($B$5/2)^2/2)*((2*ACOS(1-2*(MIN(0.999,MAX(1E-6,A60/$B$5)))))-SIN(2*ACOS(1-2*(MIN(0.999,MAX(1E-6,A60/$B$5)))))))*IF((IF((($B$5/2)*(2*ACOS(1-2*(MIN(0.999,MAX(1E-6,A60/$B$5))))))&lt;=0,0,((($B$5/2)^2/2)*((2*ACOS(1-2*(MIN(0.999,MAX(1E-6,A60/$B$5)))))-SIN(2*ACOS(1-2*(MIN(0.999,MAX(1E-6,A60/$B$5)))))))/(($B$5/2)*(2*ACOS(1-2*(MIN(0.999,MAX(1E-6,A60/$B$5))))))))&lt;=0,0,(IF((($B$5/2)*(2*ACOS(1-2*(MIN(0.999,MAX(1E-6,A60/$B$5))))))&lt;=0,0,((($B$5/2)^2/2)*((2*ACOS(1-2*(MIN(0.999,MAX(1E-6,A60/$B$5)))))-SIN(2*ACOS(1-2*(MIN(0.999,MAX(1E-6,A60/$B$5)))))))/(($B$5/2)*(2*ACOS(1-2*(MIN(0.999,MAX(1E-6,A60/$B$5))))))))^(2/3))*SQRT($B$9)),IF((A60-$B$10+$B$9*$B$6)&lt;=0,0,(PI()*($B$5/2)^2)*SQRT((A60-$B$10+$B$9*$B$6)/((1+$B$17)/(2*9.81)+($B$4^2)*$B$6/(($B$5/4)^(4/3))))))</f>
        <v/>
      </c>
      <c r="E60" s="8">
        <f>MIN(C60,D60)</f>
        <v/>
      </c>
    </row>
    <row r="61">
      <c r="A61" s="19" t="n">
        <v>2.05</v>
      </c>
      <c r="B61" s="19">
        <f>$B$7+A61</f>
        <v/>
      </c>
      <c r="C61" s="17">
        <f>IF(A61&lt;=0,0,IF(A61&lt;=1.2*$B$5,1.811*(PI()*($B$5/2)^2)*SQRT($B$5)*IF($B$13*$B$5&lt;=0,0,(A61/($B$13*$B$5))^(1/$B$14)),MAX(1.811*(PI()*($B$5/2)^2)*SQRT($B$5)*IF($B$13*$B$5&lt;=0,0,((1.2*$B$5)/($B$13*$B$5))^(1/$B$14)),1.811*(PI()*($B$5/2)^2)*SQRT($B$5)*SQRT(MAX(0,(A61/$B$5-$B$16)/5)))))</f>
        <v/>
      </c>
      <c r="D61" s="17">
        <f>IF(A61&lt;$B$5,IF($B$4&lt;=0,0,(1/$B$4)*((($B$5/2)^2/2)*((2*ACOS(1-2*(MIN(0.999,MAX(1E-6,A61/$B$5)))))-SIN(2*ACOS(1-2*(MIN(0.999,MAX(1E-6,A61/$B$5)))))))*IF((IF((($B$5/2)*(2*ACOS(1-2*(MIN(0.999,MAX(1E-6,A61/$B$5))))))&lt;=0,0,((($B$5/2)^2/2)*((2*ACOS(1-2*(MIN(0.999,MAX(1E-6,A61/$B$5)))))-SIN(2*ACOS(1-2*(MIN(0.999,MAX(1E-6,A61/$B$5)))))))/(($B$5/2)*(2*ACOS(1-2*(MIN(0.999,MAX(1E-6,A61/$B$5))))))))&lt;=0,0,(IF((($B$5/2)*(2*ACOS(1-2*(MIN(0.999,MAX(1E-6,A61/$B$5))))))&lt;=0,0,((($B$5/2)^2/2)*((2*ACOS(1-2*(MIN(0.999,MAX(1E-6,A61/$B$5)))))-SIN(2*ACOS(1-2*(MIN(0.999,MAX(1E-6,A61/$B$5)))))))/(($B$5/2)*(2*ACOS(1-2*(MIN(0.999,MAX(1E-6,A61/$B$5))))))))^(2/3))*SQRT($B$9)),IF((A61-$B$10+$B$9*$B$6)&lt;=0,0,(PI()*($B$5/2)^2)*SQRT((A61-$B$10+$B$9*$B$6)/((1+$B$17)/(2*9.81)+($B$4^2)*$B$6/(($B$5/4)^(4/3))))))</f>
        <v/>
      </c>
      <c r="E61" s="8">
        <f>MIN(C61,D61)</f>
        <v/>
      </c>
    </row>
    <row r="62">
      <c r="A62" s="19" t="n">
        <v>2.1</v>
      </c>
      <c r="B62" s="19">
        <f>$B$7+A62</f>
        <v/>
      </c>
      <c r="C62" s="17">
        <f>IF(A62&lt;=0,0,IF(A62&lt;=1.2*$B$5,1.811*(PI()*($B$5/2)^2)*SQRT($B$5)*IF($B$13*$B$5&lt;=0,0,(A62/($B$13*$B$5))^(1/$B$14)),MAX(1.811*(PI()*($B$5/2)^2)*SQRT($B$5)*IF($B$13*$B$5&lt;=0,0,((1.2*$B$5)/($B$13*$B$5))^(1/$B$14)),1.811*(PI()*($B$5/2)^2)*SQRT($B$5)*SQRT(MAX(0,(A62/$B$5-$B$16)/5)))))</f>
        <v/>
      </c>
      <c r="D62" s="17">
        <f>IF(A62&lt;$B$5,IF($B$4&lt;=0,0,(1/$B$4)*((($B$5/2)^2/2)*((2*ACOS(1-2*(MIN(0.999,MAX(1E-6,A62/$B$5)))))-SIN(2*ACOS(1-2*(MIN(0.999,MAX(1E-6,A62/$B$5)))))))*IF((IF((($B$5/2)*(2*ACOS(1-2*(MIN(0.999,MAX(1E-6,A62/$B$5))))))&lt;=0,0,((($B$5/2)^2/2)*((2*ACOS(1-2*(MIN(0.999,MAX(1E-6,A62/$B$5)))))-SIN(2*ACOS(1-2*(MIN(0.999,MAX(1E-6,A62/$B$5)))))))/(($B$5/2)*(2*ACOS(1-2*(MIN(0.999,MAX(1E-6,A62/$B$5))))))))&lt;=0,0,(IF((($B$5/2)*(2*ACOS(1-2*(MIN(0.999,MAX(1E-6,A62/$B$5))))))&lt;=0,0,((($B$5/2)^2/2)*((2*ACOS(1-2*(MIN(0.999,MAX(1E-6,A62/$B$5)))))-SIN(2*ACOS(1-2*(MIN(0.999,MAX(1E-6,A62/$B$5)))))))/(($B$5/2)*(2*ACOS(1-2*(MIN(0.999,MAX(1E-6,A62/$B$5))))))))^(2/3))*SQRT($B$9)),IF((A62-$B$10+$B$9*$B$6)&lt;=0,0,(PI()*($B$5/2)^2)*SQRT((A62-$B$10+$B$9*$B$6)/((1+$B$17)/(2*9.81)+($B$4^2)*$B$6/(($B$5/4)^(4/3))))))</f>
        <v/>
      </c>
      <c r="E62" s="8">
        <f>MIN(C62,D62)</f>
        <v/>
      </c>
    </row>
    <row r="63">
      <c r="A63" s="19" t="n">
        <v>2.15</v>
      </c>
      <c r="B63" s="19">
        <f>$B$7+A63</f>
        <v/>
      </c>
      <c r="C63" s="17">
        <f>IF(A63&lt;=0,0,IF(A63&lt;=1.2*$B$5,1.811*(PI()*($B$5/2)^2)*SQRT($B$5)*IF($B$13*$B$5&lt;=0,0,(A63/($B$13*$B$5))^(1/$B$14)),MAX(1.811*(PI()*($B$5/2)^2)*SQRT($B$5)*IF($B$13*$B$5&lt;=0,0,((1.2*$B$5)/($B$13*$B$5))^(1/$B$14)),1.811*(PI()*($B$5/2)^2)*SQRT($B$5)*SQRT(MAX(0,(A63/$B$5-$B$16)/5)))))</f>
        <v/>
      </c>
      <c r="D63" s="17">
        <f>IF(A63&lt;$B$5,IF($B$4&lt;=0,0,(1/$B$4)*((($B$5/2)^2/2)*((2*ACOS(1-2*(MIN(0.999,MAX(1E-6,A63/$B$5)))))-SIN(2*ACOS(1-2*(MIN(0.999,MAX(1E-6,A63/$B$5)))))))*IF((IF((($B$5/2)*(2*ACOS(1-2*(MIN(0.999,MAX(1E-6,A63/$B$5))))))&lt;=0,0,((($B$5/2)^2/2)*((2*ACOS(1-2*(MIN(0.999,MAX(1E-6,A63/$B$5)))))-SIN(2*ACOS(1-2*(MIN(0.999,MAX(1E-6,A63/$B$5)))))))/(($B$5/2)*(2*ACOS(1-2*(MIN(0.999,MAX(1E-6,A63/$B$5))))))))&lt;=0,0,(IF((($B$5/2)*(2*ACOS(1-2*(MIN(0.999,MAX(1E-6,A63/$B$5))))))&lt;=0,0,((($B$5/2)^2/2)*((2*ACOS(1-2*(MIN(0.999,MAX(1E-6,A63/$B$5)))))-SIN(2*ACOS(1-2*(MIN(0.999,MAX(1E-6,A63/$B$5)))))))/(($B$5/2)*(2*ACOS(1-2*(MIN(0.999,MAX(1E-6,A63/$B$5))))))))^(2/3))*SQRT($B$9)),IF((A63-$B$10+$B$9*$B$6)&lt;=0,0,(PI()*($B$5/2)^2)*SQRT((A63-$B$10+$B$9*$B$6)/((1+$B$17)/(2*9.81)+($B$4^2)*$B$6/(($B$5/4)^(4/3))))))</f>
        <v/>
      </c>
      <c r="E63" s="8">
        <f>MIN(C63,D63)</f>
        <v/>
      </c>
    </row>
    <row r="64">
      <c r="A64" s="19" t="n">
        <v>2.2</v>
      </c>
      <c r="B64" s="19">
        <f>$B$7+A64</f>
        <v/>
      </c>
      <c r="C64" s="17">
        <f>IF(A64&lt;=0,0,IF(A64&lt;=1.2*$B$5,1.811*(PI()*($B$5/2)^2)*SQRT($B$5)*IF($B$13*$B$5&lt;=0,0,(A64/($B$13*$B$5))^(1/$B$14)),MAX(1.811*(PI()*($B$5/2)^2)*SQRT($B$5)*IF($B$13*$B$5&lt;=0,0,((1.2*$B$5)/($B$13*$B$5))^(1/$B$14)),1.811*(PI()*($B$5/2)^2)*SQRT($B$5)*SQRT(MAX(0,(A64/$B$5-$B$16)/5)))))</f>
        <v/>
      </c>
      <c r="D64" s="17">
        <f>IF(A64&lt;$B$5,IF($B$4&lt;=0,0,(1/$B$4)*((($B$5/2)^2/2)*((2*ACOS(1-2*(MIN(0.999,MAX(1E-6,A64/$B$5)))))-SIN(2*ACOS(1-2*(MIN(0.999,MAX(1E-6,A64/$B$5)))))))*IF((IF((($B$5/2)*(2*ACOS(1-2*(MIN(0.999,MAX(1E-6,A64/$B$5))))))&lt;=0,0,((($B$5/2)^2/2)*((2*ACOS(1-2*(MIN(0.999,MAX(1E-6,A64/$B$5)))))-SIN(2*ACOS(1-2*(MIN(0.999,MAX(1E-6,A64/$B$5)))))))/(($B$5/2)*(2*ACOS(1-2*(MIN(0.999,MAX(1E-6,A64/$B$5))))))))&lt;=0,0,(IF((($B$5/2)*(2*ACOS(1-2*(MIN(0.999,MAX(1E-6,A64/$B$5))))))&lt;=0,0,((($B$5/2)^2/2)*((2*ACOS(1-2*(MIN(0.999,MAX(1E-6,A64/$B$5)))))-SIN(2*ACOS(1-2*(MIN(0.999,MAX(1E-6,A64/$B$5)))))))/(($B$5/2)*(2*ACOS(1-2*(MIN(0.999,MAX(1E-6,A64/$B$5))))))))^(2/3))*SQRT($B$9)),IF((A64-$B$10+$B$9*$B$6)&lt;=0,0,(PI()*($B$5/2)^2)*SQRT((A64-$B$10+$B$9*$B$6)/((1+$B$17)/(2*9.81)+($B$4^2)*$B$6/(($B$5/4)^(4/3))))))</f>
        <v/>
      </c>
      <c r="E64" s="8">
        <f>MIN(C64,D64)</f>
        <v/>
      </c>
    </row>
    <row r="65">
      <c r="A65" s="19" t="n">
        <v>2.25</v>
      </c>
      <c r="B65" s="19">
        <f>$B$7+A65</f>
        <v/>
      </c>
      <c r="C65" s="17">
        <f>IF(A65&lt;=0,0,IF(A65&lt;=1.2*$B$5,1.811*(PI()*($B$5/2)^2)*SQRT($B$5)*IF($B$13*$B$5&lt;=0,0,(A65/($B$13*$B$5))^(1/$B$14)),MAX(1.811*(PI()*($B$5/2)^2)*SQRT($B$5)*IF($B$13*$B$5&lt;=0,0,((1.2*$B$5)/($B$13*$B$5))^(1/$B$14)),1.811*(PI()*($B$5/2)^2)*SQRT($B$5)*SQRT(MAX(0,(A65/$B$5-$B$16)/5)))))</f>
        <v/>
      </c>
      <c r="D65" s="17">
        <f>IF(A65&lt;$B$5,IF($B$4&lt;=0,0,(1/$B$4)*((($B$5/2)^2/2)*((2*ACOS(1-2*(MIN(0.999,MAX(1E-6,A65/$B$5)))))-SIN(2*ACOS(1-2*(MIN(0.999,MAX(1E-6,A65/$B$5)))))))*IF((IF((($B$5/2)*(2*ACOS(1-2*(MIN(0.999,MAX(1E-6,A65/$B$5))))))&lt;=0,0,((($B$5/2)^2/2)*((2*ACOS(1-2*(MIN(0.999,MAX(1E-6,A65/$B$5)))))-SIN(2*ACOS(1-2*(MIN(0.999,MAX(1E-6,A65/$B$5)))))))/(($B$5/2)*(2*ACOS(1-2*(MIN(0.999,MAX(1E-6,A65/$B$5))))))))&lt;=0,0,(IF((($B$5/2)*(2*ACOS(1-2*(MIN(0.999,MAX(1E-6,A65/$B$5))))))&lt;=0,0,((($B$5/2)^2/2)*((2*ACOS(1-2*(MIN(0.999,MAX(1E-6,A65/$B$5)))))-SIN(2*ACOS(1-2*(MIN(0.999,MAX(1E-6,A65/$B$5)))))))/(($B$5/2)*(2*ACOS(1-2*(MIN(0.999,MAX(1E-6,A65/$B$5))))))))^(2/3))*SQRT($B$9)),IF((A65-$B$10+$B$9*$B$6)&lt;=0,0,(PI()*($B$5/2)^2)*SQRT((A65-$B$10+$B$9*$B$6)/((1+$B$17)/(2*9.81)+($B$4^2)*$B$6/(($B$5/4)^(4/3))))))</f>
        <v/>
      </c>
      <c r="E65" s="8">
        <f>MIN(C65,D65)</f>
        <v/>
      </c>
    </row>
    <row r="66">
      <c r="A66" s="19" t="n">
        <v>2.3</v>
      </c>
      <c r="B66" s="19">
        <f>$B$7+A66</f>
        <v/>
      </c>
      <c r="C66" s="17">
        <f>IF(A66&lt;=0,0,IF(A66&lt;=1.2*$B$5,1.811*(PI()*($B$5/2)^2)*SQRT($B$5)*IF($B$13*$B$5&lt;=0,0,(A66/($B$13*$B$5))^(1/$B$14)),MAX(1.811*(PI()*($B$5/2)^2)*SQRT($B$5)*IF($B$13*$B$5&lt;=0,0,((1.2*$B$5)/($B$13*$B$5))^(1/$B$14)),1.811*(PI()*($B$5/2)^2)*SQRT($B$5)*SQRT(MAX(0,(A66/$B$5-$B$16)/5)))))</f>
        <v/>
      </c>
      <c r="D66" s="17">
        <f>IF(A66&lt;$B$5,IF($B$4&lt;=0,0,(1/$B$4)*((($B$5/2)^2/2)*((2*ACOS(1-2*(MIN(0.999,MAX(1E-6,A66/$B$5)))))-SIN(2*ACOS(1-2*(MIN(0.999,MAX(1E-6,A66/$B$5)))))))*IF((IF((($B$5/2)*(2*ACOS(1-2*(MIN(0.999,MAX(1E-6,A66/$B$5))))))&lt;=0,0,((($B$5/2)^2/2)*((2*ACOS(1-2*(MIN(0.999,MAX(1E-6,A66/$B$5)))))-SIN(2*ACOS(1-2*(MIN(0.999,MAX(1E-6,A66/$B$5)))))))/(($B$5/2)*(2*ACOS(1-2*(MIN(0.999,MAX(1E-6,A66/$B$5))))))))&lt;=0,0,(IF((($B$5/2)*(2*ACOS(1-2*(MIN(0.999,MAX(1E-6,A66/$B$5))))))&lt;=0,0,((($B$5/2)^2/2)*((2*ACOS(1-2*(MIN(0.999,MAX(1E-6,A66/$B$5)))))-SIN(2*ACOS(1-2*(MIN(0.999,MAX(1E-6,A66/$B$5)))))))/(($B$5/2)*(2*ACOS(1-2*(MIN(0.999,MAX(1E-6,A66/$B$5))))))))^(2/3))*SQRT($B$9)),IF((A66-$B$10+$B$9*$B$6)&lt;=0,0,(PI()*($B$5/2)^2)*SQRT((A66-$B$10+$B$9*$B$6)/((1+$B$17)/(2*9.81)+($B$4^2)*$B$6/(($B$5/4)^(4/3))))))</f>
        <v/>
      </c>
      <c r="E66" s="8">
        <f>MIN(C66,D66)</f>
        <v/>
      </c>
    </row>
    <row r="67">
      <c r="A67" s="19" t="n">
        <v>2.35</v>
      </c>
      <c r="B67" s="19">
        <f>$B$7+A67</f>
        <v/>
      </c>
      <c r="C67" s="17">
        <f>IF(A67&lt;=0,0,IF(A67&lt;=1.2*$B$5,1.811*(PI()*($B$5/2)^2)*SQRT($B$5)*IF($B$13*$B$5&lt;=0,0,(A67/($B$13*$B$5))^(1/$B$14)),MAX(1.811*(PI()*($B$5/2)^2)*SQRT($B$5)*IF($B$13*$B$5&lt;=0,0,((1.2*$B$5)/($B$13*$B$5))^(1/$B$14)),1.811*(PI()*($B$5/2)^2)*SQRT($B$5)*SQRT(MAX(0,(A67/$B$5-$B$16)/5)))))</f>
        <v/>
      </c>
      <c r="D67" s="17">
        <f>IF(A67&lt;$B$5,IF($B$4&lt;=0,0,(1/$B$4)*((($B$5/2)^2/2)*((2*ACOS(1-2*(MIN(0.999,MAX(1E-6,A67/$B$5)))))-SIN(2*ACOS(1-2*(MIN(0.999,MAX(1E-6,A67/$B$5)))))))*IF((IF((($B$5/2)*(2*ACOS(1-2*(MIN(0.999,MAX(1E-6,A67/$B$5))))))&lt;=0,0,((($B$5/2)^2/2)*((2*ACOS(1-2*(MIN(0.999,MAX(1E-6,A67/$B$5)))))-SIN(2*ACOS(1-2*(MIN(0.999,MAX(1E-6,A67/$B$5)))))))/(($B$5/2)*(2*ACOS(1-2*(MIN(0.999,MAX(1E-6,A67/$B$5))))))))&lt;=0,0,(IF((($B$5/2)*(2*ACOS(1-2*(MIN(0.999,MAX(1E-6,A67/$B$5))))))&lt;=0,0,((($B$5/2)^2/2)*((2*ACOS(1-2*(MIN(0.999,MAX(1E-6,A67/$B$5)))))-SIN(2*ACOS(1-2*(MIN(0.999,MAX(1E-6,A67/$B$5)))))))/(($B$5/2)*(2*ACOS(1-2*(MIN(0.999,MAX(1E-6,A67/$B$5))))))))^(2/3))*SQRT($B$9)),IF((A67-$B$10+$B$9*$B$6)&lt;=0,0,(PI()*($B$5/2)^2)*SQRT((A67-$B$10+$B$9*$B$6)/((1+$B$17)/(2*9.81)+($B$4^2)*$B$6/(($B$5/4)^(4/3))))))</f>
        <v/>
      </c>
      <c r="E67" s="8">
        <f>MIN(C67,D67)</f>
        <v/>
      </c>
    </row>
    <row r="68">
      <c r="A68" s="19" t="n">
        <v>2.4</v>
      </c>
      <c r="B68" s="19">
        <f>$B$7+A68</f>
        <v/>
      </c>
      <c r="C68" s="17">
        <f>IF(A68&lt;=0,0,IF(A68&lt;=1.2*$B$5,1.811*(PI()*($B$5/2)^2)*SQRT($B$5)*IF($B$13*$B$5&lt;=0,0,(A68/($B$13*$B$5))^(1/$B$14)),MAX(1.811*(PI()*($B$5/2)^2)*SQRT($B$5)*IF($B$13*$B$5&lt;=0,0,((1.2*$B$5)/($B$13*$B$5))^(1/$B$14)),1.811*(PI()*($B$5/2)^2)*SQRT($B$5)*SQRT(MAX(0,(A68/$B$5-$B$16)/5)))))</f>
        <v/>
      </c>
      <c r="D68" s="17">
        <f>IF(A68&lt;$B$5,IF($B$4&lt;=0,0,(1/$B$4)*((($B$5/2)^2/2)*((2*ACOS(1-2*(MIN(0.999,MAX(1E-6,A68/$B$5)))))-SIN(2*ACOS(1-2*(MIN(0.999,MAX(1E-6,A68/$B$5)))))))*IF((IF((($B$5/2)*(2*ACOS(1-2*(MIN(0.999,MAX(1E-6,A68/$B$5))))))&lt;=0,0,((($B$5/2)^2/2)*((2*ACOS(1-2*(MIN(0.999,MAX(1E-6,A68/$B$5)))))-SIN(2*ACOS(1-2*(MIN(0.999,MAX(1E-6,A68/$B$5)))))))/(($B$5/2)*(2*ACOS(1-2*(MIN(0.999,MAX(1E-6,A68/$B$5))))))))&lt;=0,0,(IF((($B$5/2)*(2*ACOS(1-2*(MIN(0.999,MAX(1E-6,A68/$B$5))))))&lt;=0,0,((($B$5/2)^2/2)*((2*ACOS(1-2*(MIN(0.999,MAX(1E-6,A68/$B$5)))))-SIN(2*ACOS(1-2*(MIN(0.999,MAX(1E-6,A68/$B$5)))))))/(($B$5/2)*(2*ACOS(1-2*(MIN(0.999,MAX(1E-6,A68/$B$5))))))))^(2/3))*SQRT($B$9)),IF((A68-$B$10+$B$9*$B$6)&lt;=0,0,(PI()*($B$5/2)^2)*SQRT((A68-$B$10+$B$9*$B$6)/((1+$B$17)/(2*9.81)+($B$4^2)*$B$6/(($B$5/4)^(4/3))))))</f>
        <v/>
      </c>
      <c r="E68" s="8">
        <f>MIN(C68,D68)</f>
        <v/>
      </c>
    </row>
    <row r="69">
      <c r="A69" s="19" t="n">
        <v>2.45</v>
      </c>
      <c r="B69" s="19">
        <f>$B$7+A69</f>
        <v/>
      </c>
      <c r="C69" s="17">
        <f>IF(A69&lt;=0,0,IF(A69&lt;=1.2*$B$5,1.811*(PI()*($B$5/2)^2)*SQRT($B$5)*IF($B$13*$B$5&lt;=0,0,(A69/($B$13*$B$5))^(1/$B$14)),MAX(1.811*(PI()*($B$5/2)^2)*SQRT($B$5)*IF($B$13*$B$5&lt;=0,0,((1.2*$B$5)/($B$13*$B$5))^(1/$B$14)),1.811*(PI()*($B$5/2)^2)*SQRT($B$5)*SQRT(MAX(0,(A69/$B$5-$B$16)/5)))))</f>
        <v/>
      </c>
      <c r="D69" s="17">
        <f>IF(A69&lt;$B$5,IF($B$4&lt;=0,0,(1/$B$4)*((($B$5/2)^2/2)*((2*ACOS(1-2*(MIN(0.999,MAX(1E-6,A69/$B$5)))))-SIN(2*ACOS(1-2*(MIN(0.999,MAX(1E-6,A69/$B$5)))))))*IF((IF((($B$5/2)*(2*ACOS(1-2*(MIN(0.999,MAX(1E-6,A69/$B$5))))))&lt;=0,0,((($B$5/2)^2/2)*((2*ACOS(1-2*(MIN(0.999,MAX(1E-6,A69/$B$5)))))-SIN(2*ACOS(1-2*(MIN(0.999,MAX(1E-6,A69/$B$5)))))))/(($B$5/2)*(2*ACOS(1-2*(MIN(0.999,MAX(1E-6,A69/$B$5))))))))&lt;=0,0,(IF((($B$5/2)*(2*ACOS(1-2*(MIN(0.999,MAX(1E-6,A69/$B$5))))))&lt;=0,0,((($B$5/2)^2/2)*((2*ACOS(1-2*(MIN(0.999,MAX(1E-6,A69/$B$5)))))-SIN(2*ACOS(1-2*(MIN(0.999,MAX(1E-6,A69/$B$5)))))))/(($B$5/2)*(2*ACOS(1-2*(MIN(0.999,MAX(1E-6,A69/$B$5))))))))^(2/3))*SQRT($B$9)),IF((A69-$B$10+$B$9*$B$6)&lt;=0,0,(PI()*($B$5/2)^2)*SQRT((A69-$B$10+$B$9*$B$6)/((1+$B$17)/(2*9.81)+($B$4^2)*$B$6/(($B$5/4)^(4/3))))))</f>
        <v/>
      </c>
      <c r="E69" s="8">
        <f>MIN(C69,D69)</f>
        <v/>
      </c>
    </row>
    <row r="70">
      <c r="A70" s="19" t="n">
        <v>2.5</v>
      </c>
      <c r="B70" s="19">
        <f>$B$7+A70</f>
        <v/>
      </c>
      <c r="C70" s="17">
        <f>IF(A70&lt;=0,0,IF(A70&lt;=1.2*$B$5,1.811*(PI()*($B$5/2)^2)*SQRT($B$5)*IF($B$13*$B$5&lt;=0,0,(A70/($B$13*$B$5))^(1/$B$14)),MAX(1.811*(PI()*($B$5/2)^2)*SQRT($B$5)*IF($B$13*$B$5&lt;=0,0,((1.2*$B$5)/($B$13*$B$5))^(1/$B$14)),1.811*(PI()*($B$5/2)^2)*SQRT($B$5)*SQRT(MAX(0,(A70/$B$5-$B$16)/5)))))</f>
        <v/>
      </c>
      <c r="D70" s="17">
        <f>IF(A70&lt;$B$5,IF($B$4&lt;=0,0,(1/$B$4)*((($B$5/2)^2/2)*((2*ACOS(1-2*(MIN(0.999,MAX(1E-6,A70/$B$5)))))-SIN(2*ACOS(1-2*(MIN(0.999,MAX(1E-6,A70/$B$5)))))))*IF((IF((($B$5/2)*(2*ACOS(1-2*(MIN(0.999,MAX(1E-6,A70/$B$5))))))&lt;=0,0,((($B$5/2)^2/2)*((2*ACOS(1-2*(MIN(0.999,MAX(1E-6,A70/$B$5)))))-SIN(2*ACOS(1-2*(MIN(0.999,MAX(1E-6,A70/$B$5)))))))/(($B$5/2)*(2*ACOS(1-2*(MIN(0.999,MAX(1E-6,A70/$B$5))))))))&lt;=0,0,(IF((($B$5/2)*(2*ACOS(1-2*(MIN(0.999,MAX(1E-6,A70/$B$5))))))&lt;=0,0,((($B$5/2)^2/2)*((2*ACOS(1-2*(MIN(0.999,MAX(1E-6,A70/$B$5)))))-SIN(2*ACOS(1-2*(MIN(0.999,MAX(1E-6,A70/$B$5)))))))/(($B$5/2)*(2*ACOS(1-2*(MIN(0.999,MAX(1E-6,A70/$B$5))))))))^(2/3))*SQRT($B$9)),IF((A70-$B$10+$B$9*$B$6)&lt;=0,0,(PI()*($B$5/2)^2)*SQRT((A70-$B$10+$B$9*$B$6)/((1+$B$17)/(2*9.81)+($B$4^2)*$B$6/(($B$5/4)^(4/3))))))</f>
        <v/>
      </c>
      <c r="E70" s="8">
        <f>MIN(C70,D70)</f>
        <v/>
      </c>
    </row>
    <row r="71">
      <c r="A71" s="19" t="n">
        <v>2.55</v>
      </c>
      <c r="B71" s="19">
        <f>$B$7+A71</f>
        <v/>
      </c>
      <c r="C71" s="17">
        <f>IF(A71&lt;=0,0,IF(A71&lt;=1.2*$B$5,1.811*(PI()*($B$5/2)^2)*SQRT($B$5)*IF($B$13*$B$5&lt;=0,0,(A71/($B$13*$B$5))^(1/$B$14)),MAX(1.811*(PI()*($B$5/2)^2)*SQRT($B$5)*IF($B$13*$B$5&lt;=0,0,((1.2*$B$5)/($B$13*$B$5))^(1/$B$14)),1.811*(PI()*($B$5/2)^2)*SQRT($B$5)*SQRT(MAX(0,(A71/$B$5-$B$16)/5)))))</f>
        <v/>
      </c>
      <c r="D71" s="17">
        <f>IF(A71&lt;$B$5,IF($B$4&lt;=0,0,(1/$B$4)*((($B$5/2)^2/2)*((2*ACOS(1-2*(MIN(0.999,MAX(1E-6,A71/$B$5)))))-SIN(2*ACOS(1-2*(MIN(0.999,MAX(1E-6,A71/$B$5)))))))*IF((IF((($B$5/2)*(2*ACOS(1-2*(MIN(0.999,MAX(1E-6,A71/$B$5))))))&lt;=0,0,((($B$5/2)^2/2)*((2*ACOS(1-2*(MIN(0.999,MAX(1E-6,A71/$B$5)))))-SIN(2*ACOS(1-2*(MIN(0.999,MAX(1E-6,A71/$B$5)))))))/(($B$5/2)*(2*ACOS(1-2*(MIN(0.999,MAX(1E-6,A71/$B$5))))))))&lt;=0,0,(IF((($B$5/2)*(2*ACOS(1-2*(MIN(0.999,MAX(1E-6,A71/$B$5))))))&lt;=0,0,((($B$5/2)^2/2)*((2*ACOS(1-2*(MIN(0.999,MAX(1E-6,A71/$B$5)))))-SIN(2*ACOS(1-2*(MIN(0.999,MAX(1E-6,A71/$B$5)))))))/(($B$5/2)*(2*ACOS(1-2*(MIN(0.999,MAX(1E-6,A71/$B$5))))))))^(2/3))*SQRT($B$9)),IF((A71-$B$10+$B$9*$B$6)&lt;=0,0,(PI()*($B$5/2)^2)*SQRT((A71-$B$10+$B$9*$B$6)/((1+$B$17)/(2*9.81)+($B$4^2)*$B$6/(($B$5/4)^(4/3))))))</f>
        <v/>
      </c>
      <c r="E71" s="8">
        <f>MIN(C71,D71)</f>
        <v/>
      </c>
    </row>
    <row r="72">
      <c r="A72" s="19" t="n">
        <v>2.6</v>
      </c>
      <c r="B72" s="19">
        <f>$B$7+A72</f>
        <v/>
      </c>
      <c r="C72" s="17">
        <f>IF(A72&lt;=0,0,IF(A72&lt;=1.2*$B$5,1.811*(PI()*($B$5/2)^2)*SQRT($B$5)*IF($B$13*$B$5&lt;=0,0,(A72/($B$13*$B$5))^(1/$B$14)),MAX(1.811*(PI()*($B$5/2)^2)*SQRT($B$5)*IF($B$13*$B$5&lt;=0,0,((1.2*$B$5)/($B$13*$B$5))^(1/$B$14)),1.811*(PI()*($B$5/2)^2)*SQRT($B$5)*SQRT(MAX(0,(A72/$B$5-$B$16)/5)))))</f>
        <v/>
      </c>
      <c r="D72" s="17">
        <f>IF(A72&lt;$B$5,IF($B$4&lt;=0,0,(1/$B$4)*((($B$5/2)^2/2)*((2*ACOS(1-2*(MIN(0.999,MAX(1E-6,A72/$B$5)))))-SIN(2*ACOS(1-2*(MIN(0.999,MAX(1E-6,A72/$B$5)))))))*IF((IF((($B$5/2)*(2*ACOS(1-2*(MIN(0.999,MAX(1E-6,A72/$B$5))))))&lt;=0,0,((($B$5/2)^2/2)*((2*ACOS(1-2*(MIN(0.999,MAX(1E-6,A72/$B$5)))))-SIN(2*ACOS(1-2*(MIN(0.999,MAX(1E-6,A72/$B$5)))))))/(($B$5/2)*(2*ACOS(1-2*(MIN(0.999,MAX(1E-6,A72/$B$5))))))))&lt;=0,0,(IF((($B$5/2)*(2*ACOS(1-2*(MIN(0.999,MAX(1E-6,A72/$B$5))))))&lt;=0,0,((($B$5/2)^2/2)*((2*ACOS(1-2*(MIN(0.999,MAX(1E-6,A72/$B$5)))))-SIN(2*ACOS(1-2*(MIN(0.999,MAX(1E-6,A72/$B$5)))))))/(($B$5/2)*(2*ACOS(1-2*(MIN(0.999,MAX(1E-6,A72/$B$5))))))))^(2/3))*SQRT($B$9)),IF((A72-$B$10+$B$9*$B$6)&lt;=0,0,(PI()*($B$5/2)^2)*SQRT((A72-$B$10+$B$9*$B$6)/((1+$B$17)/(2*9.81)+($B$4^2)*$B$6/(($B$5/4)^(4/3))))))</f>
        <v/>
      </c>
      <c r="E72" s="8">
        <f>MIN(C72,D72)</f>
        <v/>
      </c>
    </row>
    <row r="73">
      <c r="A73" s="19" t="n">
        <v>2.65</v>
      </c>
      <c r="B73" s="19">
        <f>$B$7+A73</f>
        <v/>
      </c>
      <c r="C73" s="17">
        <f>IF(A73&lt;=0,0,IF(A73&lt;=1.2*$B$5,1.811*(PI()*($B$5/2)^2)*SQRT($B$5)*IF($B$13*$B$5&lt;=0,0,(A73/($B$13*$B$5))^(1/$B$14)),MAX(1.811*(PI()*($B$5/2)^2)*SQRT($B$5)*IF($B$13*$B$5&lt;=0,0,((1.2*$B$5)/($B$13*$B$5))^(1/$B$14)),1.811*(PI()*($B$5/2)^2)*SQRT($B$5)*SQRT(MAX(0,(A73/$B$5-$B$16)/5)))))</f>
        <v/>
      </c>
      <c r="D73" s="17">
        <f>IF(A73&lt;$B$5,IF($B$4&lt;=0,0,(1/$B$4)*((($B$5/2)^2/2)*((2*ACOS(1-2*(MIN(0.999,MAX(1E-6,A73/$B$5)))))-SIN(2*ACOS(1-2*(MIN(0.999,MAX(1E-6,A73/$B$5)))))))*IF((IF((($B$5/2)*(2*ACOS(1-2*(MIN(0.999,MAX(1E-6,A73/$B$5))))))&lt;=0,0,((($B$5/2)^2/2)*((2*ACOS(1-2*(MIN(0.999,MAX(1E-6,A73/$B$5)))))-SIN(2*ACOS(1-2*(MIN(0.999,MAX(1E-6,A73/$B$5)))))))/(($B$5/2)*(2*ACOS(1-2*(MIN(0.999,MAX(1E-6,A73/$B$5))))))))&lt;=0,0,(IF((($B$5/2)*(2*ACOS(1-2*(MIN(0.999,MAX(1E-6,A73/$B$5))))))&lt;=0,0,((($B$5/2)^2/2)*((2*ACOS(1-2*(MIN(0.999,MAX(1E-6,A73/$B$5)))))-SIN(2*ACOS(1-2*(MIN(0.999,MAX(1E-6,A73/$B$5)))))))/(($B$5/2)*(2*ACOS(1-2*(MIN(0.999,MAX(1E-6,A73/$B$5))))))))^(2/3))*SQRT($B$9)),IF((A73-$B$10+$B$9*$B$6)&lt;=0,0,(PI()*($B$5/2)^2)*SQRT((A73-$B$10+$B$9*$B$6)/((1+$B$17)/(2*9.81)+($B$4^2)*$B$6/(($B$5/4)^(4/3))))))</f>
        <v/>
      </c>
      <c r="E73" s="8">
        <f>MIN(C73,D73)</f>
        <v/>
      </c>
    </row>
    <row r="74">
      <c r="A74" s="19" t="n">
        <v>2.7</v>
      </c>
      <c r="B74" s="19">
        <f>$B$7+A74</f>
        <v/>
      </c>
      <c r="C74" s="17">
        <f>IF(A74&lt;=0,0,IF(A74&lt;=1.2*$B$5,1.811*(PI()*($B$5/2)^2)*SQRT($B$5)*IF($B$13*$B$5&lt;=0,0,(A74/($B$13*$B$5))^(1/$B$14)),MAX(1.811*(PI()*($B$5/2)^2)*SQRT($B$5)*IF($B$13*$B$5&lt;=0,0,((1.2*$B$5)/($B$13*$B$5))^(1/$B$14)),1.811*(PI()*($B$5/2)^2)*SQRT($B$5)*SQRT(MAX(0,(A74/$B$5-$B$16)/5)))))</f>
        <v/>
      </c>
      <c r="D74" s="17">
        <f>IF(A74&lt;$B$5,IF($B$4&lt;=0,0,(1/$B$4)*((($B$5/2)^2/2)*((2*ACOS(1-2*(MIN(0.999,MAX(1E-6,A74/$B$5)))))-SIN(2*ACOS(1-2*(MIN(0.999,MAX(1E-6,A74/$B$5)))))))*IF((IF((($B$5/2)*(2*ACOS(1-2*(MIN(0.999,MAX(1E-6,A74/$B$5))))))&lt;=0,0,((($B$5/2)^2/2)*((2*ACOS(1-2*(MIN(0.999,MAX(1E-6,A74/$B$5)))))-SIN(2*ACOS(1-2*(MIN(0.999,MAX(1E-6,A74/$B$5)))))))/(($B$5/2)*(2*ACOS(1-2*(MIN(0.999,MAX(1E-6,A74/$B$5))))))))&lt;=0,0,(IF((($B$5/2)*(2*ACOS(1-2*(MIN(0.999,MAX(1E-6,A74/$B$5))))))&lt;=0,0,((($B$5/2)^2/2)*((2*ACOS(1-2*(MIN(0.999,MAX(1E-6,A74/$B$5)))))-SIN(2*ACOS(1-2*(MIN(0.999,MAX(1E-6,A74/$B$5)))))))/(($B$5/2)*(2*ACOS(1-2*(MIN(0.999,MAX(1E-6,A74/$B$5))))))))^(2/3))*SQRT($B$9)),IF((A74-$B$10+$B$9*$B$6)&lt;=0,0,(PI()*($B$5/2)^2)*SQRT((A74-$B$10+$B$9*$B$6)/((1+$B$17)/(2*9.81)+($B$4^2)*$B$6/(($B$5/4)^(4/3))))))</f>
        <v/>
      </c>
      <c r="E74" s="8">
        <f>MIN(C74,D74)</f>
        <v/>
      </c>
    </row>
    <row r="75">
      <c r="A75" s="19" t="n">
        <v>2.75</v>
      </c>
      <c r="B75" s="19">
        <f>$B$7+A75</f>
        <v/>
      </c>
      <c r="C75" s="17">
        <f>IF(A75&lt;=0,0,IF(A75&lt;=1.2*$B$5,1.811*(PI()*($B$5/2)^2)*SQRT($B$5)*IF($B$13*$B$5&lt;=0,0,(A75/($B$13*$B$5))^(1/$B$14)),MAX(1.811*(PI()*($B$5/2)^2)*SQRT($B$5)*IF($B$13*$B$5&lt;=0,0,((1.2*$B$5)/($B$13*$B$5))^(1/$B$14)),1.811*(PI()*($B$5/2)^2)*SQRT($B$5)*SQRT(MAX(0,(A75/$B$5-$B$16)/5)))))</f>
        <v/>
      </c>
      <c r="D75" s="17">
        <f>IF(A75&lt;$B$5,IF($B$4&lt;=0,0,(1/$B$4)*((($B$5/2)^2/2)*((2*ACOS(1-2*(MIN(0.999,MAX(1E-6,A75/$B$5)))))-SIN(2*ACOS(1-2*(MIN(0.999,MAX(1E-6,A75/$B$5)))))))*IF((IF((($B$5/2)*(2*ACOS(1-2*(MIN(0.999,MAX(1E-6,A75/$B$5))))))&lt;=0,0,((($B$5/2)^2/2)*((2*ACOS(1-2*(MIN(0.999,MAX(1E-6,A75/$B$5)))))-SIN(2*ACOS(1-2*(MIN(0.999,MAX(1E-6,A75/$B$5)))))))/(($B$5/2)*(2*ACOS(1-2*(MIN(0.999,MAX(1E-6,A75/$B$5))))))))&lt;=0,0,(IF((($B$5/2)*(2*ACOS(1-2*(MIN(0.999,MAX(1E-6,A75/$B$5))))))&lt;=0,0,((($B$5/2)^2/2)*((2*ACOS(1-2*(MIN(0.999,MAX(1E-6,A75/$B$5)))))-SIN(2*ACOS(1-2*(MIN(0.999,MAX(1E-6,A75/$B$5)))))))/(($B$5/2)*(2*ACOS(1-2*(MIN(0.999,MAX(1E-6,A75/$B$5))))))))^(2/3))*SQRT($B$9)),IF((A75-$B$10+$B$9*$B$6)&lt;=0,0,(PI()*($B$5/2)^2)*SQRT((A75-$B$10+$B$9*$B$6)/((1+$B$17)/(2*9.81)+($B$4^2)*$B$6/(($B$5/4)^(4/3))))))</f>
        <v/>
      </c>
      <c r="E75" s="8">
        <f>MIN(C75,D75)</f>
        <v/>
      </c>
    </row>
    <row r="76">
      <c r="A76" s="19" t="n">
        <v>2.8</v>
      </c>
      <c r="B76" s="19">
        <f>$B$7+A76</f>
        <v/>
      </c>
      <c r="C76" s="17">
        <f>IF(A76&lt;=0,0,IF(A76&lt;=1.2*$B$5,1.811*(PI()*($B$5/2)^2)*SQRT($B$5)*IF($B$13*$B$5&lt;=0,0,(A76/($B$13*$B$5))^(1/$B$14)),MAX(1.811*(PI()*($B$5/2)^2)*SQRT($B$5)*IF($B$13*$B$5&lt;=0,0,((1.2*$B$5)/($B$13*$B$5))^(1/$B$14)),1.811*(PI()*($B$5/2)^2)*SQRT($B$5)*SQRT(MAX(0,(A76/$B$5-$B$16)/5)))))</f>
        <v/>
      </c>
      <c r="D76" s="17">
        <f>IF(A76&lt;$B$5,IF($B$4&lt;=0,0,(1/$B$4)*((($B$5/2)^2/2)*((2*ACOS(1-2*(MIN(0.999,MAX(1E-6,A76/$B$5)))))-SIN(2*ACOS(1-2*(MIN(0.999,MAX(1E-6,A76/$B$5)))))))*IF((IF((($B$5/2)*(2*ACOS(1-2*(MIN(0.999,MAX(1E-6,A76/$B$5))))))&lt;=0,0,((($B$5/2)^2/2)*((2*ACOS(1-2*(MIN(0.999,MAX(1E-6,A76/$B$5)))))-SIN(2*ACOS(1-2*(MIN(0.999,MAX(1E-6,A76/$B$5)))))))/(($B$5/2)*(2*ACOS(1-2*(MIN(0.999,MAX(1E-6,A76/$B$5))))))))&lt;=0,0,(IF((($B$5/2)*(2*ACOS(1-2*(MIN(0.999,MAX(1E-6,A76/$B$5))))))&lt;=0,0,((($B$5/2)^2/2)*((2*ACOS(1-2*(MIN(0.999,MAX(1E-6,A76/$B$5)))))-SIN(2*ACOS(1-2*(MIN(0.999,MAX(1E-6,A76/$B$5)))))))/(($B$5/2)*(2*ACOS(1-2*(MIN(0.999,MAX(1E-6,A76/$B$5))))))))^(2/3))*SQRT($B$9)),IF((A76-$B$10+$B$9*$B$6)&lt;=0,0,(PI()*($B$5/2)^2)*SQRT((A76-$B$10+$B$9*$B$6)/((1+$B$17)/(2*9.81)+($B$4^2)*$B$6/(($B$5/4)^(4/3))))))</f>
        <v/>
      </c>
      <c r="E76" s="8">
        <f>MIN(C76,D76)</f>
        <v/>
      </c>
    </row>
    <row r="77">
      <c r="A77" s="19" t="n">
        <v>2.85</v>
      </c>
      <c r="B77" s="19">
        <f>$B$7+A77</f>
        <v/>
      </c>
      <c r="C77" s="17">
        <f>IF(A77&lt;=0,0,IF(A77&lt;=1.2*$B$5,1.811*(PI()*($B$5/2)^2)*SQRT($B$5)*IF($B$13*$B$5&lt;=0,0,(A77/($B$13*$B$5))^(1/$B$14)),MAX(1.811*(PI()*($B$5/2)^2)*SQRT($B$5)*IF($B$13*$B$5&lt;=0,0,((1.2*$B$5)/($B$13*$B$5))^(1/$B$14)),1.811*(PI()*($B$5/2)^2)*SQRT($B$5)*SQRT(MAX(0,(A77/$B$5-$B$16)/5)))))</f>
        <v/>
      </c>
      <c r="D77" s="17">
        <f>IF(A77&lt;$B$5,IF($B$4&lt;=0,0,(1/$B$4)*((($B$5/2)^2/2)*((2*ACOS(1-2*(MIN(0.999,MAX(1E-6,A77/$B$5)))))-SIN(2*ACOS(1-2*(MIN(0.999,MAX(1E-6,A77/$B$5)))))))*IF((IF((($B$5/2)*(2*ACOS(1-2*(MIN(0.999,MAX(1E-6,A77/$B$5))))))&lt;=0,0,((($B$5/2)^2/2)*((2*ACOS(1-2*(MIN(0.999,MAX(1E-6,A77/$B$5)))))-SIN(2*ACOS(1-2*(MIN(0.999,MAX(1E-6,A77/$B$5)))))))/(($B$5/2)*(2*ACOS(1-2*(MIN(0.999,MAX(1E-6,A77/$B$5))))))))&lt;=0,0,(IF((($B$5/2)*(2*ACOS(1-2*(MIN(0.999,MAX(1E-6,A77/$B$5))))))&lt;=0,0,((($B$5/2)^2/2)*((2*ACOS(1-2*(MIN(0.999,MAX(1E-6,A77/$B$5)))))-SIN(2*ACOS(1-2*(MIN(0.999,MAX(1E-6,A77/$B$5)))))))/(($B$5/2)*(2*ACOS(1-2*(MIN(0.999,MAX(1E-6,A77/$B$5))))))))^(2/3))*SQRT($B$9)),IF((A77-$B$10+$B$9*$B$6)&lt;=0,0,(PI()*($B$5/2)^2)*SQRT((A77-$B$10+$B$9*$B$6)/((1+$B$17)/(2*9.81)+($B$4^2)*$B$6/(($B$5/4)^(4/3))))))</f>
        <v/>
      </c>
      <c r="E77" s="8">
        <f>MIN(C77,D77)</f>
        <v/>
      </c>
    </row>
    <row r="78">
      <c r="A78" s="19" t="n">
        <v>2.9</v>
      </c>
      <c r="B78" s="19">
        <f>$B$7+A78</f>
        <v/>
      </c>
      <c r="C78" s="17">
        <f>IF(A78&lt;=0,0,IF(A78&lt;=1.2*$B$5,1.811*(PI()*($B$5/2)^2)*SQRT($B$5)*IF($B$13*$B$5&lt;=0,0,(A78/($B$13*$B$5))^(1/$B$14)),MAX(1.811*(PI()*($B$5/2)^2)*SQRT($B$5)*IF($B$13*$B$5&lt;=0,0,((1.2*$B$5)/($B$13*$B$5))^(1/$B$14)),1.811*(PI()*($B$5/2)^2)*SQRT($B$5)*SQRT(MAX(0,(A78/$B$5-$B$16)/5)))))</f>
        <v/>
      </c>
      <c r="D78" s="17">
        <f>IF(A78&lt;$B$5,IF($B$4&lt;=0,0,(1/$B$4)*((($B$5/2)^2/2)*((2*ACOS(1-2*(MIN(0.999,MAX(1E-6,A78/$B$5)))))-SIN(2*ACOS(1-2*(MIN(0.999,MAX(1E-6,A78/$B$5)))))))*IF((IF((($B$5/2)*(2*ACOS(1-2*(MIN(0.999,MAX(1E-6,A78/$B$5))))))&lt;=0,0,((($B$5/2)^2/2)*((2*ACOS(1-2*(MIN(0.999,MAX(1E-6,A78/$B$5)))))-SIN(2*ACOS(1-2*(MIN(0.999,MAX(1E-6,A78/$B$5)))))))/(($B$5/2)*(2*ACOS(1-2*(MIN(0.999,MAX(1E-6,A78/$B$5))))))))&lt;=0,0,(IF((($B$5/2)*(2*ACOS(1-2*(MIN(0.999,MAX(1E-6,A78/$B$5))))))&lt;=0,0,((($B$5/2)^2/2)*((2*ACOS(1-2*(MIN(0.999,MAX(1E-6,A78/$B$5)))))-SIN(2*ACOS(1-2*(MIN(0.999,MAX(1E-6,A78/$B$5)))))))/(($B$5/2)*(2*ACOS(1-2*(MIN(0.999,MAX(1E-6,A78/$B$5))))))))^(2/3))*SQRT($B$9)),IF((A78-$B$10+$B$9*$B$6)&lt;=0,0,(PI()*($B$5/2)^2)*SQRT((A78-$B$10+$B$9*$B$6)/((1+$B$17)/(2*9.81)+($B$4^2)*$B$6/(($B$5/4)^(4/3))))))</f>
        <v/>
      </c>
      <c r="E78" s="8">
        <f>MIN(C78,D78)</f>
        <v/>
      </c>
    </row>
    <row r="79">
      <c r="A79" s="19" t="n">
        <v>2.95</v>
      </c>
      <c r="B79" s="19">
        <f>$B$7+A79</f>
        <v/>
      </c>
      <c r="C79" s="17">
        <f>IF(A79&lt;=0,0,IF(A79&lt;=1.2*$B$5,1.811*(PI()*($B$5/2)^2)*SQRT($B$5)*IF($B$13*$B$5&lt;=0,0,(A79/($B$13*$B$5))^(1/$B$14)),MAX(1.811*(PI()*($B$5/2)^2)*SQRT($B$5)*IF($B$13*$B$5&lt;=0,0,((1.2*$B$5)/($B$13*$B$5))^(1/$B$14)),1.811*(PI()*($B$5/2)^2)*SQRT($B$5)*SQRT(MAX(0,(A79/$B$5-$B$16)/5)))))</f>
        <v/>
      </c>
      <c r="D79" s="17">
        <f>IF(A79&lt;$B$5,IF($B$4&lt;=0,0,(1/$B$4)*((($B$5/2)^2/2)*((2*ACOS(1-2*(MIN(0.999,MAX(1E-6,A79/$B$5)))))-SIN(2*ACOS(1-2*(MIN(0.999,MAX(1E-6,A79/$B$5)))))))*IF((IF((($B$5/2)*(2*ACOS(1-2*(MIN(0.999,MAX(1E-6,A79/$B$5))))))&lt;=0,0,((($B$5/2)^2/2)*((2*ACOS(1-2*(MIN(0.999,MAX(1E-6,A79/$B$5)))))-SIN(2*ACOS(1-2*(MIN(0.999,MAX(1E-6,A79/$B$5)))))))/(($B$5/2)*(2*ACOS(1-2*(MIN(0.999,MAX(1E-6,A79/$B$5))))))))&lt;=0,0,(IF((($B$5/2)*(2*ACOS(1-2*(MIN(0.999,MAX(1E-6,A79/$B$5))))))&lt;=0,0,((($B$5/2)^2/2)*((2*ACOS(1-2*(MIN(0.999,MAX(1E-6,A79/$B$5)))))-SIN(2*ACOS(1-2*(MIN(0.999,MAX(1E-6,A79/$B$5)))))))/(($B$5/2)*(2*ACOS(1-2*(MIN(0.999,MAX(1E-6,A79/$B$5))))))))^(2/3))*SQRT($B$9)),IF((A79-$B$10+$B$9*$B$6)&lt;=0,0,(PI()*($B$5/2)^2)*SQRT((A79-$B$10+$B$9*$B$6)/((1+$B$17)/(2*9.81)+($B$4^2)*$B$6/(($B$5/4)^(4/3))))))</f>
        <v/>
      </c>
      <c r="E79" s="8">
        <f>MIN(C79,D79)</f>
        <v/>
      </c>
    </row>
    <row r="80">
      <c r="A80" s="19" t="n">
        <v>3</v>
      </c>
      <c r="B80" s="19">
        <f>$B$7+A80</f>
        <v/>
      </c>
      <c r="C80" s="17">
        <f>IF(A80&lt;=0,0,IF(A80&lt;=1.2*$B$5,1.811*(PI()*($B$5/2)^2)*SQRT($B$5)*IF($B$13*$B$5&lt;=0,0,(A80/($B$13*$B$5))^(1/$B$14)),MAX(1.811*(PI()*($B$5/2)^2)*SQRT($B$5)*IF($B$13*$B$5&lt;=0,0,((1.2*$B$5)/($B$13*$B$5))^(1/$B$14)),1.811*(PI()*($B$5/2)^2)*SQRT($B$5)*SQRT(MAX(0,(A80/$B$5-$B$16)/5)))))</f>
        <v/>
      </c>
      <c r="D80" s="17">
        <f>IF(A80&lt;$B$5,IF($B$4&lt;=0,0,(1/$B$4)*((($B$5/2)^2/2)*((2*ACOS(1-2*(MIN(0.999,MAX(1E-6,A80/$B$5)))))-SIN(2*ACOS(1-2*(MIN(0.999,MAX(1E-6,A80/$B$5)))))))*IF((IF((($B$5/2)*(2*ACOS(1-2*(MIN(0.999,MAX(1E-6,A80/$B$5))))))&lt;=0,0,((($B$5/2)^2/2)*((2*ACOS(1-2*(MIN(0.999,MAX(1E-6,A80/$B$5)))))-SIN(2*ACOS(1-2*(MIN(0.999,MAX(1E-6,A80/$B$5)))))))/(($B$5/2)*(2*ACOS(1-2*(MIN(0.999,MAX(1E-6,A80/$B$5))))))))&lt;=0,0,(IF((($B$5/2)*(2*ACOS(1-2*(MIN(0.999,MAX(1E-6,A80/$B$5))))))&lt;=0,0,((($B$5/2)^2/2)*((2*ACOS(1-2*(MIN(0.999,MAX(1E-6,A80/$B$5)))))-SIN(2*ACOS(1-2*(MIN(0.999,MAX(1E-6,A80/$B$5)))))))/(($B$5/2)*(2*ACOS(1-2*(MIN(0.999,MAX(1E-6,A80/$B$5))))))))^(2/3))*SQRT($B$9)),IF((A80-$B$10+$B$9*$B$6)&lt;=0,0,(PI()*($B$5/2)^2)*SQRT((A80-$B$10+$B$9*$B$6)/((1+$B$17)/(2*9.81)+($B$4^2)*$B$6/(($B$5/4)^(4/3))))))</f>
        <v/>
      </c>
      <c r="E80" s="8">
        <f>MIN(C80,D80)</f>
        <v/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Compose_C1 — Q_1200 + Q_overflow; V_pond + V_ditch (composite)</t>
        </is>
      </c>
    </row>
    <row r="2">
      <c r="A2" t="inlineStr">
        <is>
          <t>Colonnes = formules Excel. Crest / facteur pipe en jaune.</t>
        </is>
      </c>
    </row>
    <row r="4">
      <c r="A4" t="inlineStr">
        <is>
          <t>Crest</t>
        </is>
      </c>
      <c r="B4" s="26">
        <f>Parametres!B45</f>
        <v/>
      </c>
    </row>
    <row r="5">
      <c r="A5" t="inlineStr">
        <is>
          <t>b</t>
        </is>
      </c>
      <c r="B5" s="26">
        <f>Parametres!B22</f>
        <v/>
      </c>
    </row>
    <row r="6">
      <c r="A6" t="inlineStr">
        <is>
          <t>n</t>
        </is>
      </c>
      <c r="B6" s="26">
        <f>Parametres!B23</f>
        <v/>
      </c>
    </row>
    <row r="7">
      <c r="A7" t="inlineStr">
        <is>
          <t>z</t>
        </is>
      </c>
      <c r="B7" s="26">
        <f>Parametres!B24</f>
        <v/>
      </c>
    </row>
    <row r="8">
      <c r="A8" t="inlineStr">
        <is>
          <t>S</t>
        </is>
      </c>
      <c r="B8" s="26">
        <f>Parametres!B25</f>
        <v/>
      </c>
    </row>
    <row r="9">
      <c r="A9" t="inlineStr">
        <is>
          <t>L</t>
        </is>
      </c>
      <c r="B9" s="26">
        <f>Parametres!B26</f>
        <v/>
      </c>
    </row>
    <row r="10">
      <c r="A10" t="inlineStr">
        <is>
          <t>Zin</t>
        </is>
      </c>
      <c r="B10" s="26">
        <f>Parametres!B12</f>
        <v/>
      </c>
    </row>
    <row r="11">
      <c r="A11" t="inlineStr">
        <is>
          <t>Facteur_pipe</t>
        </is>
      </c>
      <c r="B11" s="26" t="inlineStr">
        <is>
          <t>1</t>
        </is>
      </c>
    </row>
    <row r="12">
      <c r="A12" s="12" t="inlineStr">
        <is>
          <t>WSE</t>
        </is>
      </c>
      <c r="B12" s="12" t="inlineStr">
        <is>
          <t>HW</t>
        </is>
      </c>
      <c r="C12" s="12" t="inlineStr">
        <is>
          <t>y_ov</t>
        </is>
      </c>
      <c r="D12" s="12" t="inlineStr">
        <is>
          <t>A_ditch</t>
        </is>
      </c>
      <c r="E12" s="12" t="inlineStr">
        <is>
          <t>V_ditch</t>
        </is>
      </c>
      <c r="F12" s="12" t="inlineStr">
        <is>
          <t>V_pond</t>
        </is>
      </c>
      <c r="G12" s="12" t="inlineStr">
        <is>
          <t>V_total</t>
        </is>
      </c>
      <c r="H12" s="12" t="inlineStr">
        <is>
          <t>Q_1200</t>
        </is>
      </c>
      <c r="I12" s="12" t="inlineStr">
        <is>
          <t>Q_overflow</t>
        </is>
      </c>
      <c r="J12" s="12" t="inlineStr">
        <is>
          <t>Qout</t>
        </is>
      </c>
    </row>
    <row r="13">
      <c r="A13" s="19" t="n">
        <v>34.88</v>
      </c>
      <c r="B13" s="19">
        <f>A13-$B$10</f>
        <v/>
      </c>
      <c r="C13" s="19">
        <f>MAX(0,A13-$B$4)</f>
        <v/>
      </c>
      <c r="D13" s="17">
        <f>IF(C13&lt;=0,0,($B$5+$B$7*C13)*C13)</f>
        <v/>
      </c>
      <c r="E13" s="16">
        <f>D13*$B$9</f>
        <v/>
      </c>
      <c r="F13" s="16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13">
        <f>E13+F13</f>
        <v/>
      </c>
      <c r="H13" s="17">
        <f>($B$11)*(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)</f>
        <v/>
      </c>
      <c r="I13" s="17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19" t="n">
        <v>34.98</v>
      </c>
      <c r="B14" s="19">
        <f>A14-$B$10</f>
        <v/>
      </c>
      <c r="C14" s="19">
        <f>MAX(0,A14-$B$4)</f>
        <v/>
      </c>
      <c r="D14" s="17">
        <f>IF(C14&lt;=0,0,($B$5+$B$7*C14)*C14)</f>
        <v/>
      </c>
      <c r="E14" s="16">
        <f>D14*$B$9</f>
        <v/>
      </c>
      <c r="F14" s="16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13">
        <f>E14+F14</f>
        <v/>
      </c>
      <c r="H14" s="17">
        <f>($B$11)*(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)</f>
        <v/>
      </c>
      <c r="I14" s="17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19" t="n">
        <v>35.08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35.18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35.28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35.38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35.48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35.58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35.68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35.78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35.88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35.98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36.08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36.18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36.28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36.38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36.48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36.58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36.68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36.78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36.88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36.98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37.08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37.18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37.28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37.38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37.48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37.58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37.68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37.78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37.88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37.98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38.08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38.18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38.28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38.38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38.48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38.58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38.68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38.78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38.88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38.98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39.08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39.18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39.28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39.38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39.48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39.58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39.68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39.78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39.88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39.98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Calcul_C1 — routage level-pool (formules Excel)</t>
        </is>
      </c>
    </row>
    <row r="2">
      <c r="A2" t="inlineStr">
        <is>
          <t>WSE depuis V_total (Compose_C1);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Parametres!B45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14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7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15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1!$G$13:$G$64,1),INDEX(Compose_C1!$A$13:$A$64,1),IF(F15&gt;=INDEX(Compose_C1!$G$13:$G$64,ROWS(Compose_C1!$G$13:$G$64)),INDEX(Compose_C1!$A$13:$A$64,ROWS(Compose_C1!$A$13:$A$64)),INDEX(Compose_C1!$A$13:$A$64,MATCH(F15,Compose_C1!$G$13:$G$64,1))+(F15-INDEX(Compose_C1!$G$13:$G$64,MATCH(F15,Compose_C1!$G$13:$G$64,1)))/(INDEX(Compose_C1!$G$13:$G$64,MATCH(F15,Compose_C1!$G$13:$G$64,1)+1)-INDEX(Compose_C1!$G$13:$G$64,MATCH(F15,Compose_C1!$G$13:$G$64,1)))*(INDEX(Compose_C1!$A$13:$A$64,MATCH(F15,Compose_C1!$G$13:$G$64,1)+1)-INDEX(Compose_C1!$A$13:$A$64,MATCH(F15,Compose_C1!$G$13:$G$64,1)))))</f>
        <v/>
      </c>
      <c r="D16" s="17">
        <f>IF(F15&lt;=0.01,MIN(0.5*(B15+B16),$B$4),IF(C16&lt;=INDEX(Compose_C1!$A$13:$A$64,1),INDEX(Compose_C1!$J$13:$J$64,1),IF(C16&gt;=INDEX(Compose_C1!$A$13:$A$64,ROWS(Compose_C1!$A$13:$A$64)),INDEX(Compose_C1!$J$13:$J$64,ROWS(Compose_C1!$J$13:$J$64)),INDEX(Compose_C1!$J$13:$J$64,MATCH(C16,Compose_C1!$A$13:$A$64,1))+(C16-INDEX(Compose_C1!$A$13:$A$64,MATCH(C16,Compose_C1!$A$13:$A$64,1)))/(INDEX(Compose_C1!$A$13:$A$64,MATCH(C16,Compose_C1!$A$13:$A$64,1)+1)-INDEX(Compose_C1!$A$13:$A$64,MATCH(C16,Compose_C1!$A$13:$A$64,1)))*(INDEX(Compose_C1!$J$13:$J$64,MATCH(C16,Compose_C1!$A$13:$A$64,1)+1)-INDEX(Compose_C1!$J$13:$J$64,MATCH(C16,Compose_C1!$A$13:$A$64,1))))))</f>
        <v/>
      </c>
      <c r="E16" s="16">
        <f>(A16-A15)*60</f>
        <v/>
      </c>
      <c r="F16" s="13">
        <f>MAX(0,F15+(0.5*(B15+B16)-D16)*E16)</f>
        <v/>
      </c>
      <c r="G16" s="17">
        <f>IF(C16&lt;=INDEX(Compose_C1!$A$13:$A$64,1),INDEX(Compose_C1!$H$13:$H$64,1),IF(C16&gt;=INDEX(Compose_C1!$A$13:$A$64,ROWS(Compose_C1!$A$13:$A$64)),INDEX(Compose_C1!$H$13:$H$64,ROWS(Compose_C1!$H$13:$H$64)),INDEX(Compose_C1!$H$13:$H$64,MATCH(C16,Compose_C1!$A$13:$A$64,1))+(C16-INDEX(Compose_C1!$A$13:$A$64,MATCH(C16,Compose_C1!$A$13:$A$64,1)))/(INDEX(Compose_C1!$A$13:$A$64,MATCH(C16,Compose_C1!$A$13:$A$64,1)+1)-INDEX(Compose_C1!$A$13:$A$64,MATCH(C16,Compose_C1!$A$13:$A$64,1)))*(INDEX(Compose_C1!$H$13:$H$64,MATCH(C16,Compose_C1!$A$13:$A$64,1)+1)-INDEX(Compose_C1!$H$13:$H$64,MATCH(C16,Compose_C1!$A$13:$A$64,1)))))</f>
        <v/>
      </c>
      <c r="H16" s="17">
        <f>IF(C16&lt;=INDEX(Compose_C1!$A$13:$A$64,1),INDEX(Compose_C1!$I$13:$I$64,1),IF(C16&gt;=INDEX(Compose_C1!$A$13:$A$64,ROWS(Compose_C1!$A$13:$A$64)),INDEX(Compose_C1!$I$13:$I$64,ROWS(Compose_C1!$I$13:$I$64)),INDEX(Compose_C1!$I$13:$I$64,MATCH(C16,Compose_C1!$A$13:$A$64,1))+(C16-INDEX(Compose_C1!$A$13:$A$64,MATCH(C16,Compose_C1!$A$13:$A$64,1)))/(INDEX(Compose_C1!$A$13:$A$64,MATCH(C16,Compose_C1!$A$13:$A$64,1)+1)-INDEX(Compose_C1!$A$13:$A$64,MATCH(C16,Compose_C1!$A$13:$A$64,1)))*(INDEX(Compose_C1!$I$13:$I$64,MATCH(C16,Compose_C1!$A$13:$A$64,1)+1)-INDEX(Compose_C1!$I$13:$I$64,MATCH(C16,Compose_C1!$A$13:$A$64,1)))))</f>
        <v/>
      </c>
      <c r="I16" s="15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1!$G$13:$G$64,1),INDEX(Compose_C1!$A$13:$A$64,1),IF(F16&gt;=INDEX(Compose_C1!$G$13:$G$64,ROWS(Compose_C1!$G$13:$G$64)),INDEX(Compose_C1!$A$13:$A$64,ROWS(Compose_C1!$A$13:$A$64)),INDEX(Compose_C1!$A$13:$A$64,MATCH(F16,Compose_C1!$G$13:$G$64,1))+(F16-INDEX(Compose_C1!$G$13:$G$64,MATCH(F16,Compose_C1!$G$13:$G$64,1)))/(INDEX(Compose_C1!$G$13:$G$64,MATCH(F16,Compose_C1!$G$13:$G$64,1)+1)-INDEX(Compose_C1!$G$13:$G$64,MATCH(F16,Compose_C1!$G$13:$G$64,1)))*(INDEX(Compose_C1!$A$13:$A$64,MATCH(F16,Compose_C1!$G$13:$G$64,1)+1)-INDEX(Compose_C1!$A$13:$A$64,MATCH(F16,Compose_C1!$G$13:$G$64,1)))))</f>
        <v/>
      </c>
      <c r="D17" s="17">
        <f>IF(F16&lt;=0.01,MIN(0.5*(B16+B17),$B$4),IF(C17&lt;=INDEX(Compose_C1!$A$13:$A$64,1),INDEX(Compose_C1!$J$13:$J$64,1),IF(C17&gt;=INDEX(Compose_C1!$A$13:$A$64,ROWS(Compose_C1!$A$13:$A$64)),INDEX(Compose_C1!$J$13:$J$64,ROWS(Compose_C1!$J$13:$J$64)),INDEX(Compose_C1!$J$13:$J$64,MATCH(C17,Compose_C1!$A$13:$A$64,1))+(C17-INDEX(Compose_C1!$A$13:$A$64,MATCH(C17,Compose_C1!$A$13:$A$64,1)))/(INDEX(Compose_C1!$A$13:$A$64,MATCH(C17,Compose_C1!$A$13:$A$64,1)+1)-INDEX(Compose_C1!$A$13:$A$64,MATCH(C17,Compose_C1!$A$13:$A$64,1)))*(INDEX(Compose_C1!$J$13:$J$64,MATCH(C17,Compose_C1!$A$13:$A$64,1)+1)-INDEX(Compose_C1!$J$13:$J$64,MATCH(C17,Compose_C1!$A$13:$A$64,1))))))</f>
        <v/>
      </c>
      <c r="E17" s="16">
        <f>(A17-A16)*60</f>
        <v/>
      </c>
      <c r="F17" s="13">
        <f>MAX(0,F16+(0.5*(B16+B17)-D17)*E17)</f>
        <v/>
      </c>
      <c r="G17" s="17">
        <f>IF(C17&lt;=INDEX(Compose_C1!$A$13:$A$64,1),INDEX(Compose_C1!$H$13:$H$64,1),IF(C17&gt;=INDEX(Compose_C1!$A$13:$A$64,ROWS(Compose_C1!$A$13:$A$64)),INDEX(Compose_C1!$H$13:$H$64,ROWS(Compose_C1!$H$13:$H$64)),INDEX(Compose_C1!$H$13:$H$64,MATCH(C17,Compose_C1!$A$13:$A$64,1))+(C17-INDEX(Compose_C1!$A$13:$A$64,MATCH(C17,Compose_C1!$A$13:$A$64,1)))/(INDEX(Compose_C1!$A$13:$A$64,MATCH(C17,Compose_C1!$A$13:$A$64,1)+1)-INDEX(Compose_C1!$A$13:$A$64,MATCH(C17,Compose_C1!$A$13:$A$64,1)))*(INDEX(Compose_C1!$H$13:$H$64,MATCH(C17,Compose_C1!$A$13:$A$64,1)+1)-INDEX(Compose_C1!$H$13:$H$64,MATCH(C17,Compose_C1!$A$13:$A$64,1)))))</f>
        <v/>
      </c>
      <c r="H17" s="17">
        <f>IF(C17&lt;=INDEX(Compose_C1!$A$13:$A$64,1),INDEX(Compose_C1!$I$13:$I$64,1),IF(C17&gt;=INDEX(Compose_C1!$A$13:$A$64,ROWS(Compose_C1!$A$13:$A$64)),INDEX(Compose_C1!$I$13:$I$64,ROWS(Compose_C1!$I$13:$I$64)),INDEX(Compose_C1!$I$13:$I$64,MATCH(C17,Compose_C1!$A$13:$A$64,1))+(C17-INDEX(Compose_C1!$A$13:$A$64,MATCH(C17,Compose_C1!$A$13:$A$64,1)))/(INDEX(Compose_C1!$A$13:$A$64,MATCH(C17,Compose_C1!$A$13:$A$64,1)+1)-INDEX(Compose_C1!$A$13:$A$64,MATCH(C17,Compose_C1!$A$13:$A$64,1)))*(INDEX(Compose_C1!$I$13:$I$64,MATCH(C17,Compose_C1!$A$13:$A$64,1)+1)-INDEX(Compose_C1!$I$13:$I$64,MATCH(C17,Compose_C1!$A$13:$A$64,1)))))</f>
        <v/>
      </c>
      <c r="I17" s="15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1!$G$13:$G$64,1),INDEX(Compose_C1!$A$13:$A$64,1),IF(F17&gt;=INDEX(Compose_C1!$G$13:$G$64,ROWS(Compose_C1!$G$13:$G$64)),INDEX(Compose_C1!$A$13:$A$64,ROWS(Compose_C1!$A$13:$A$64)),INDEX(Compose_C1!$A$13:$A$64,MATCH(F17,Compose_C1!$G$13:$G$64,1))+(F17-INDEX(Compose_C1!$G$13:$G$64,MATCH(F17,Compose_C1!$G$13:$G$64,1)))/(INDEX(Compose_C1!$G$13:$G$64,MATCH(F17,Compose_C1!$G$13:$G$64,1)+1)-INDEX(Compose_C1!$G$13:$G$64,MATCH(F17,Compose_C1!$G$13:$G$64,1)))*(INDEX(Compose_C1!$A$13:$A$64,MATCH(F17,Compose_C1!$G$13:$G$64,1)+1)-INDEX(Compose_C1!$A$13:$A$64,MATCH(F17,Compose_C1!$G$13:$G$64,1)))))</f>
        <v/>
      </c>
      <c r="D18" s="17">
        <f>IF(F17&lt;=0.01,MIN(0.5*(B17+B18),$B$4),IF(C18&lt;=INDEX(Compose_C1!$A$13:$A$64,1),INDEX(Compose_C1!$J$13:$J$64,1),IF(C18&gt;=INDEX(Compose_C1!$A$13:$A$64,ROWS(Compose_C1!$A$13:$A$64)),INDEX(Compose_C1!$J$13:$J$64,ROWS(Compose_C1!$J$13:$J$64)),INDEX(Compose_C1!$J$13:$J$64,MATCH(C18,Compose_C1!$A$13:$A$64,1))+(C18-INDEX(Compose_C1!$A$13:$A$64,MATCH(C18,Compose_C1!$A$13:$A$64,1)))/(INDEX(Compose_C1!$A$13:$A$64,MATCH(C18,Compose_C1!$A$13:$A$64,1)+1)-INDEX(Compose_C1!$A$13:$A$64,MATCH(C18,Compose_C1!$A$13:$A$64,1)))*(INDEX(Compose_C1!$J$13:$J$64,MATCH(C18,Compose_C1!$A$13:$A$64,1)+1)-INDEX(Compose_C1!$J$13:$J$64,MATCH(C18,Compose_C1!$A$13:$A$64,1))))))</f>
        <v/>
      </c>
      <c r="E18" s="16">
        <f>(A18-A17)*60</f>
        <v/>
      </c>
      <c r="F18" s="13">
        <f>MAX(0,F17+(0.5*(B17+B18)-D18)*E18)</f>
        <v/>
      </c>
      <c r="G18" s="17">
        <f>IF(C18&lt;=INDEX(Compose_C1!$A$13:$A$64,1),INDEX(Compose_C1!$H$13:$H$64,1),IF(C18&gt;=INDEX(Compose_C1!$A$13:$A$64,ROWS(Compose_C1!$A$13:$A$64)),INDEX(Compose_C1!$H$13:$H$64,ROWS(Compose_C1!$H$13:$H$64)),INDEX(Compose_C1!$H$13:$H$64,MATCH(C18,Compose_C1!$A$13:$A$64,1))+(C18-INDEX(Compose_C1!$A$13:$A$64,MATCH(C18,Compose_C1!$A$13:$A$64,1)))/(INDEX(Compose_C1!$A$13:$A$64,MATCH(C18,Compose_C1!$A$13:$A$64,1)+1)-INDEX(Compose_C1!$A$13:$A$64,MATCH(C18,Compose_C1!$A$13:$A$64,1)))*(INDEX(Compose_C1!$H$13:$H$64,MATCH(C18,Compose_C1!$A$13:$A$64,1)+1)-INDEX(Compose_C1!$H$13:$H$64,MATCH(C18,Compose_C1!$A$13:$A$64,1)))))</f>
        <v/>
      </c>
      <c r="H18" s="17">
        <f>IF(C18&lt;=INDEX(Compose_C1!$A$13:$A$64,1),INDEX(Compose_C1!$I$13:$I$64,1),IF(C18&gt;=INDEX(Compose_C1!$A$13:$A$64,ROWS(Compose_C1!$A$13:$A$64)),INDEX(Compose_C1!$I$13:$I$64,ROWS(Compose_C1!$I$13:$I$64)),INDEX(Compose_C1!$I$13:$I$64,MATCH(C18,Compose_C1!$A$13:$A$64,1))+(C18-INDEX(Compose_C1!$A$13:$A$64,MATCH(C18,Compose_C1!$A$13:$A$64,1)))/(INDEX(Compose_C1!$A$13:$A$64,MATCH(C18,Compose_C1!$A$13:$A$64,1)+1)-INDEX(Compose_C1!$A$13:$A$64,MATCH(C18,Compose_C1!$A$13:$A$64,1)))*(INDEX(Compose_C1!$I$13:$I$64,MATCH(C18,Compose_C1!$A$13:$A$64,1)+1)-INDEX(Compose_C1!$I$13:$I$64,MATCH(C18,Compose_C1!$A$13:$A$64,1)))))</f>
        <v/>
      </c>
      <c r="I18" s="15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1!$G$13:$G$64,1),INDEX(Compose_C1!$A$13:$A$64,1),IF(F18&gt;=INDEX(Compose_C1!$G$13:$G$64,ROWS(Compose_C1!$G$13:$G$64)),INDEX(Compose_C1!$A$13:$A$64,ROWS(Compose_C1!$A$13:$A$64)),INDEX(Compose_C1!$A$13:$A$64,MATCH(F18,Compose_C1!$G$13:$G$64,1))+(F18-INDEX(Compose_C1!$G$13:$G$64,MATCH(F18,Compose_C1!$G$13:$G$64,1)))/(INDEX(Compose_C1!$G$13:$G$64,MATCH(F18,Compose_C1!$G$13:$G$64,1)+1)-INDEX(Compose_C1!$G$13:$G$64,MATCH(F18,Compose_C1!$G$13:$G$64,1)))*(INDEX(Compose_C1!$A$13:$A$64,MATCH(F18,Compose_C1!$G$13:$G$64,1)+1)-INDEX(Compose_C1!$A$13:$A$64,MATCH(F18,Compose_C1!$G$13:$G$64,1)))))</f>
        <v/>
      </c>
      <c r="D19" s="17">
        <f>IF(F18&lt;=0.01,MIN(0.5*(B18+B19),$B$4),IF(C19&lt;=INDEX(Compose_C1!$A$13:$A$64,1),INDEX(Compose_C1!$J$13:$J$64,1),IF(C19&gt;=INDEX(Compose_C1!$A$13:$A$64,ROWS(Compose_C1!$A$13:$A$64)),INDEX(Compose_C1!$J$13:$J$64,ROWS(Compose_C1!$J$13:$J$64)),INDEX(Compose_C1!$J$13:$J$64,MATCH(C19,Compose_C1!$A$13:$A$64,1))+(C19-INDEX(Compose_C1!$A$13:$A$64,MATCH(C19,Compose_C1!$A$13:$A$64,1)))/(INDEX(Compose_C1!$A$13:$A$64,MATCH(C19,Compose_C1!$A$13:$A$64,1)+1)-INDEX(Compose_C1!$A$13:$A$64,MATCH(C19,Compose_C1!$A$13:$A$64,1)))*(INDEX(Compose_C1!$J$13:$J$64,MATCH(C19,Compose_C1!$A$13:$A$64,1)+1)-INDEX(Compose_C1!$J$13:$J$64,MATCH(C19,Compose_C1!$A$13:$A$64,1))))))</f>
        <v/>
      </c>
      <c r="E19" s="16">
        <f>(A19-A18)*60</f>
        <v/>
      </c>
      <c r="F19" s="13">
        <f>MAX(0,F18+(0.5*(B18+B19)-D19)*E19)</f>
        <v/>
      </c>
      <c r="G19" s="17">
        <f>IF(C19&lt;=INDEX(Compose_C1!$A$13:$A$64,1),INDEX(Compose_C1!$H$13:$H$64,1),IF(C19&gt;=INDEX(Compose_C1!$A$13:$A$64,ROWS(Compose_C1!$A$13:$A$64)),INDEX(Compose_C1!$H$13:$H$64,ROWS(Compose_C1!$H$13:$H$64)),INDEX(Compose_C1!$H$13:$H$64,MATCH(C19,Compose_C1!$A$13:$A$64,1))+(C19-INDEX(Compose_C1!$A$13:$A$64,MATCH(C19,Compose_C1!$A$13:$A$64,1)))/(INDEX(Compose_C1!$A$13:$A$64,MATCH(C19,Compose_C1!$A$13:$A$64,1)+1)-INDEX(Compose_C1!$A$13:$A$64,MATCH(C19,Compose_C1!$A$13:$A$64,1)))*(INDEX(Compose_C1!$H$13:$H$64,MATCH(C19,Compose_C1!$A$13:$A$64,1)+1)-INDEX(Compose_C1!$H$13:$H$64,MATCH(C19,Compose_C1!$A$13:$A$64,1)))))</f>
        <v/>
      </c>
      <c r="H19" s="17">
        <f>IF(C19&lt;=INDEX(Compose_C1!$A$13:$A$64,1),INDEX(Compose_C1!$I$13:$I$64,1),IF(C19&gt;=INDEX(Compose_C1!$A$13:$A$64,ROWS(Compose_C1!$A$13:$A$64)),INDEX(Compose_C1!$I$13:$I$64,ROWS(Compose_C1!$I$13:$I$64)),INDEX(Compose_C1!$I$13:$I$64,MATCH(C19,Compose_C1!$A$13:$A$64,1))+(C19-INDEX(Compose_C1!$A$13:$A$64,MATCH(C19,Compose_C1!$A$13:$A$64,1)))/(INDEX(Compose_C1!$A$13:$A$64,MATCH(C19,Compose_C1!$A$13:$A$64,1)+1)-INDEX(Compose_C1!$A$13:$A$64,MATCH(C19,Compose_C1!$A$13:$A$64,1)))*(INDEX(Compose_C1!$I$13:$I$64,MATCH(C19,Compose_C1!$A$13:$A$64,1)+1)-INDEX(Compose_C1!$I$13:$I$64,MATCH(C19,Compose_C1!$A$13:$A$64,1)))))</f>
        <v/>
      </c>
      <c r="I19" s="15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1!$G$13:$G$64,1),INDEX(Compose_C1!$A$13:$A$64,1),IF(F19&gt;=INDEX(Compose_C1!$G$13:$G$64,ROWS(Compose_C1!$G$13:$G$64)),INDEX(Compose_C1!$A$13:$A$64,ROWS(Compose_C1!$A$13:$A$64)),INDEX(Compose_C1!$A$13:$A$64,MATCH(F19,Compose_C1!$G$13:$G$64,1))+(F19-INDEX(Compose_C1!$G$13:$G$64,MATCH(F19,Compose_C1!$G$13:$G$64,1)))/(INDEX(Compose_C1!$G$13:$G$64,MATCH(F19,Compose_C1!$G$13:$G$64,1)+1)-INDEX(Compose_C1!$G$13:$G$64,MATCH(F19,Compose_C1!$G$13:$G$64,1)))*(INDEX(Compose_C1!$A$13:$A$64,MATCH(F19,Compose_C1!$G$13:$G$64,1)+1)-INDEX(Compose_C1!$A$13:$A$64,MATCH(F19,Compose_C1!$G$13:$G$64,1)))))</f>
        <v/>
      </c>
      <c r="D20" s="17">
        <f>IF(F19&lt;=0.01,MIN(0.5*(B19+B20),$B$4),IF(C20&lt;=INDEX(Compose_C1!$A$13:$A$64,1),INDEX(Compose_C1!$J$13:$J$64,1),IF(C20&gt;=INDEX(Compose_C1!$A$13:$A$64,ROWS(Compose_C1!$A$13:$A$64)),INDEX(Compose_C1!$J$13:$J$64,ROWS(Compose_C1!$J$13:$J$64)),INDEX(Compose_C1!$J$13:$J$64,MATCH(C20,Compose_C1!$A$13:$A$64,1))+(C20-INDEX(Compose_C1!$A$13:$A$64,MATCH(C20,Compose_C1!$A$13:$A$64,1)))/(INDEX(Compose_C1!$A$13:$A$64,MATCH(C20,Compose_C1!$A$13:$A$64,1)+1)-INDEX(Compose_C1!$A$13:$A$64,MATCH(C20,Compose_C1!$A$13:$A$64,1)))*(INDEX(Compose_C1!$J$13:$J$64,MATCH(C20,Compose_C1!$A$13:$A$64,1)+1)-INDEX(Compose_C1!$J$13:$J$64,MATCH(C20,Compose_C1!$A$13:$A$64,1))))))</f>
        <v/>
      </c>
      <c r="E20" s="16">
        <f>(A20-A19)*60</f>
        <v/>
      </c>
      <c r="F20" s="13">
        <f>MAX(0,F19+(0.5*(B19+B20)-D20)*E20)</f>
        <v/>
      </c>
      <c r="G20" s="17">
        <f>IF(C20&lt;=INDEX(Compose_C1!$A$13:$A$64,1),INDEX(Compose_C1!$H$13:$H$64,1),IF(C20&gt;=INDEX(Compose_C1!$A$13:$A$64,ROWS(Compose_C1!$A$13:$A$64)),INDEX(Compose_C1!$H$13:$H$64,ROWS(Compose_C1!$H$13:$H$64)),INDEX(Compose_C1!$H$13:$H$64,MATCH(C20,Compose_C1!$A$13:$A$64,1))+(C20-INDEX(Compose_C1!$A$13:$A$64,MATCH(C20,Compose_C1!$A$13:$A$64,1)))/(INDEX(Compose_C1!$A$13:$A$64,MATCH(C20,Compose_C1!$A$13:$A$64,1)+1)-INDEX(Compose_C1!$A$13:$A$64,MATCH(C20,Compose_C1!$A$13:$A$64,1)))*(INDEX(Compose_C1!$H$13:$H$64,MATCH(C20,Compose_C1!$A$13:$A$64,1)+1)-INDEX(Compose_C1!$H$13:$H$64,MATCH(C20,Compose_C1!$A$13:$A$64,1)))))</f>
        <v/>
      </c>
      <c r="H20" s="17">
        <f>IF(C20&lt;=INDEX(Compose_C1!$A$13:$A$64,1),INDEX(Compose_C1!$I$13:$I$64,1),IF(C20&gt;=INDEX(Compose_C1!$A$13:$A$64,ROWS(Compose_C1!$A$13:$A$64)),INDEX(Compose_C1!$I$13:$I$64,ROWS(Compose_C1!$I$13:$I$64)),INDEX(Compose_C1!$I$13:$I$64,MATCH(C20,Compose_C1!$A$13:$A$64,1))+(C20-INDEX(Compose_C1!$A$13:$A$64,MATCH(C20,Compose_C1!$A$13:$A$64,1)))/(INDEX(Compose_C1!$A$13:$A$64,MATCH(C20,Compose_C1!$A$13:$A$64,1)+1)-INDEX(Compose_C1!$A$13:$A$64,MATCH(C20,Compose_C1!$A$13:$A$64,1)))*(INDEX(Compose_C1!$I$13:$I$64,MATCH(C20,Compose_C1!$A$13:$A$64,1)+1)-INDEX(Compose_C1!$I$13:$I$64,MATCH(C20,Compose_C1!$A$13:$A$64,1)))))</f>
        <v/>
      </c>
      <c r="I20" s="15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1!$G$13:$G$64,1),INDEX(Compose_C1!$A$13:$A$64,1),IF(F20&gt;=INDEX(Compose_C1!$G$13:$G$64,ROWS(Compose_C1!$G$13:$G$64)),INDEX(Compose_C1!$A$13:$A$64,ROWS(Compose_C1!$A$13:$A$64)),INDEX(Compose_C1!$A$13:$A$64,MATCH(F20,Compose_C1!$G$13:$G$64,1))+(F20-INDEX(Compose_C1!$G$13:$G$64,MATCH(F20,Compose_C1!$G$13:$G$64,1)))/(INDEX(Compose_C1!$G$13:$G$64,MATCH(F20,Compose_C1!$G$13:$G$64,1)+1)-INDEX(Compose_C1!$G$13:$G$64,MATCH(F20,Compose_C1!$G$13:$G$64,1)))*(INDEX(Compose_C1!$A$13:$A$64,MATCH(F20,Compose_C1!$G$13:$G$64,1)+1)-INDEX(Compose_C1!$A$13:$A$64,MATCH(F20,Compose_C1!$G$13:$G$64,1)))))</f>
        <v/>
      </c>
      <c r="D21" s="17">
        <f>IF(F20&lt;=0.01,MIN(0.5*(B20+B21),$B$4),IF(C21&lt;=INDEX(Compose_C1!$A$13:$A$64,1),INDEX(Compose_C1!$J$13:$J$64,1),IF(C21&gt;=INDEX(Compose_C1!$A$13:$A$64,ROWS(Compose_C1!$A$13:$A$64)),INDEX(Compose_C1!$J$13:$J$64,ROWS(Compose_C1!$J$13:$J$64)),INDEX(Compose_C1!$J$13:$J$64,MATCH(C21,Compose_C1!$A$13:$A$64,1))+(C21-INDEX(Compose_C1!$A$13:$A$64,MATCH(C21,Compose_C1!$A$13:$A$64,1)))/(INDEX(Compose_C1!$A$13:$A$64,MATCH(C21,Compose_C1!$A$13:$A$64,1)+1)-INDEX(Compose_C1!$A$13:$A$64,MATCH(C21,Compose_C1!$A$13:$A$64,1)))*(INDEX(Compose_C1!$J$13:$J$64,MATCH(C21,Compose_C1!$A$13:$A$64,1)+1)-INDEX(Compose_C1!$J$13:$J$64,MATCH(C21,Compose_C1!$A$13:$A$64,1))))))</f>
        <v/>
      </c>
      <c r="E21" s="16">
        <f>(A21-A20)*60</f>
        <v/>
      </c>
      <c r="F21" s="13">
        <f>MAX(0,F20+(0.5*(B20+B21)-D21)*E21)</f>
        <v/>
      </c>
      <c r="G21" s="17">
        <f>IF(C21&lt;=INDEX(Compose_C1!$A$13:$A$64,1),INDEX(Compose_C1!$H$13:$H$64,1),IF(C21&gt;=INDEX(Compose_C1!$A$13:$A$64,ROWS(Compose_C1!$A$13:$A$64)),INDEX(Compose_C1!$H$13:$H$64,ROWS(Compose_C1!$H$13:$H$64)),INDEX(Compose_C1!$H$13:$H$64,MATCH(C21,Compose_C1!$A$13:$A$64,1))+(C21-INDEX(Compose_C1!$A$13:$A$64,MATCH(C21,Compose_C1!$A$13:$A$64,1)))/(INDEX(Compose_C1!$A$13:$A$64,MATCH(C21,Compose_C1!$A$13:$A$64,1)+1)-INDEX(Compose_C1!$A$13:$A$64,MATCH(C21,Compose_C1!$A$13:$A$64,1)))*(INDEX(Compose_C1!$H$13:$H$64,MATCH(C21,Compose_C1!$A$13:$A$64,1)+1)-INDEX(Compose_C1!$H$13:$H$64,MATCH(C21,Compose_C1!$A$13:$A$64,1)))))</f>
        <v/>
      </c>
      <c r="H21" s="17">
        <f>IF(C21&lt;=INDEX(Compose_C1!$A$13:$A$64,1),INDEX(Compose_C1!$I$13:$I$64,1),IF(C21&gt;=INDEX(Compose_C1!$A$13:$A$64,ROWS(Compose_C1!$A$13:$A$64)),INDEX(Compose_C1!$I$13:$I$64,ROWS(Compose_C1!$I$13:$I$64)),INDEX(Compose_C1!$I$13:$I$64,MATCH(C21,Compose_C1!$A$13:$A$64,1))+(C21-INDEX(Compose_C1!$A$13:$A$64,MATCH(C21,Compose_C1!$A$13:$A$64,1)))/(INDEX(Compose_C1!$A$13:$A$64,MATCH(C21,Compose_C1!$A$13:$A$64,1)+1)-INDEX(Compose_C1!$A$13:$A$64,MATCH(C21,Compose_C1!$A$13:$A$64,1)))*(INDEX(Compose_C1!$I$13:$I$64,MATCH(C21,Compose_C1!$A$13:$A$64,1)+1)-INDEX(Compose_C1!$I$13:$I$64,MATCH(C21,Compose_C1!$A$13:$A$64,1)))))</f>
        <v/>
      </c>
      <c r="I21" s="15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1!$G$13:$G$64,1),INDEX(Compose_C1!$A$13:$A$64,1),IF(F21&gt;=INDEX(Compose_C1!$G$13:$G$64,ROWS(Compose_C1!$G$13:$G$64)),INDEX(Compose_C1!$A$13:$A$64,ROWS(Compose_C1!$A$13:$A$64)),INDEX(Compose_C1!$A$13:$A$64,MATCH(F21,Compose_C1!$G$13:$G$64,1))+(F21-INDEX(Compose_C1!$G$13:$G$64,MATCH(F21,Compose_C1!$G$13:$G$64,1)))/(INDEX(Compose_C1!$G$13:$G$64,MATCH(F21,Compose_C1!$G$13:$G$64,1)+1)-INDEX(Compose_C1!$G$13:$G$64,MATCH(F21,Compose_C1!$G$13:$G$64,1)))*(INDEX(Compose_C1!$A$13:$A$64,MATCH(F21,Compose_C1!$G$13:$G$64,1)+1)-INDEX(Compose_C1!$A$13:$A$64,MATCH(F21,Compose_C1!$G$13:$G$64,1)))))</f>
        <v/>
      </c>
      <c r="D22" s="17">
        <f>IF(F21&lt;=0.01,MIN(0.5*(B21+B22),$B$4),IF(C22&lt;=INDEX(Compose_C1!$A$13:$A$64,1),INDEX(Compose_C1!$J$13:$J$64,1),IF(C22&gt;=INDEX(Compose_C1!$A$13:$A$64,ROWS(Compose_C1!$A$13:$A$64)),INDEX(Compose_C1!$J$13:$J$64,ROWS(Compose_C1!$J$13:$J$64)),INDEX(Compose_C1!$J$13:$J$64,MATCH(C22,Compose_C1!$A$13:$A$64,1))+(C22-INDEX(Compose_C1!$A$13:$A$64,MATCH(C22,Compose_C1!$A$13:$A$64,1)))/(INDEX(Compose_C1!$A$13:$A$64,MATCH(C22,Compose_C1!$A$13:$A$64,1)+1)-INDEX(Compose_C1!$A$13:$A$64,MATCH(C22,Compose_C1!$A$13:$A$64,1)))*(INDEX(Compose_C1!$J$13:$J$64,MATCH(C22,Compose_C1!$A$13:$A$64,1)+1)-INDEX(Compose_C1!$J$13:$J$64,MATCH(C22,Compose_C1!$A$13:$A$64,1))))))</f>
        <v/>
      </c>
      <c r="E22" s="16">
        <f>(A22-A21)*60</f>
        <v/>
      </c>
      <c r="F22" s="13">
        <f>MAX(0,F21+(0.5*(B21+B22)-D22)*E22)</f>
        <v/>
      </c>
      <c r="G22" s="17">
        <f>IF(C22&lt;=INDEX(Compose_C1!$A$13:$A$64,1),INDEX(Compose_C1!$H$13:$H$64,1),IF(C22&gt;=INDEX(Compose_C1!$A$13:$A$64,ROWS(Compose_C1!$A$13:$A$64)),INDEX(Compose_C1!$H$13:$H$64,ROWS(Compose_C1!$H$13:$H$64)),INDEX(Compose_C1!$H$13:$H$64,MATCH(C22,Compose_C1!$A$13:$A$64,1))+(C22-INDEX(Compose_C1!$A$13:$A$64,MATCH(C22,Compose_C1!$A$13:$A$64,1)))/(INDEX(Compose_C1!$A$13:$A$64,MATCH(C22,Compose_C1!$A$13:$A$64,1)+1)-INDEX(Compose_C1!$A$13:$A$64,MATCH(C22,Compose_C1!$A$13:$A$64,1)))*(INDEX(Compose_C1!$H$13:$H$64,MATCH(C22,Compose_C1!$A$13:$A$64,1)+1)-INDEX(Compose_C1!$H$13:$H$64,MATCH(C22,Compose_C1!$A$13:$A$64,1)))))</f>
        <v/>
      </c>
      <c r="H22" s="17">
        <f>IF(C22&lt;=INDEX(Compose_C1!$A$13:$A$64,1),INDEX(Compose_C1!$I$13:$I$64,1),IF(C22&gt;=INDEX(Compose_C1!$A$13:$A$64,ROWS(Compose_C1!$A$13:$A$64)),INDEX(Compose_C1!$I$13:$I$64,ROWS(Compose_C1!$I$13:$I$64)),INDEX(Compose_C1!$I$13:$I$64,MATCH(C22,Compose_C1!$A$13:$A$64,1))+(C22-INDEX(Compose_C1!$A$13:$A$64,MATCH(C22,Compose_C1!$A$13:$A$64,1)))/(INDEX(Compose_C1!$A$13:$A$64,MATCH(C22,Compose_C1!$A$13:$A$64,1)+1)-INDEX(Compose_C1!$A$13:$A$64,MATCH(C22,Compose_C1!$A$13:$A$64,1)))*(INDEX(Compose_C1!$I$13:$I$64,MATCH(C22,Compose_C1!$A$13:$A$64,1)+1)-INDEX(Compose_C1!$I$13:$I$64,MATCH(C22,Compose_C1!$A$13:$A$64,1)))))</f>
        <v/>
      </c>
      <c r="I22" s="15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1!$G$13:$G$64,1),INDEX(Compose_C1!$A$13:$A$64,1),IF(F22&gt;=INDEX(Compose_C1!$G$13:$G$64,ROWS(Compose_C1!$G$13:$G$64)),INDEX(Compose_C1!$A$13:$A$64,ROWS(Compose_C1!$A$13:$A$64)),INDEX(Compose_C1!$A$13:$A$64,MATCH(F22,Compose_C1!$G$13:$G$64,1))+(F22-INDEX(Compose_C1!$G$13:$G$64,MATCH(F22,Compose_C1!$G$13:$G$64,1)))/(INDEX(Compose_C1!$G$13:$G$64,MATCH(F22,Compose_C1!$G$13:$G$64,1)+1)-INDEX(Compose_C1!$G$13:$G$64,MATCH(F22,Compose_C1!$G$13:$G$64,1)))*(INDEX(Compose_C1!$A$13:$A$64,MATCH(F22,Compose_C1!$G$13:$G$64,1)+1)-INDEX(Compose_C1!$A$13:$A$64,MATCH(F22,Compose_C1!$G$13:$G$64,1)))))</f>
        <v/>
      </c>
      <c r="D23" s="17">
        <f>IF(F22&lt;=0.01,MIN(0.5*(B22+B23),$B$4),IF(C23&lt;=INDEX(Compose_C1!$A$13:$A$64,1),INDEX(Compose_C1!$J$13:$J$64,1),IF(C23&gt;=INDEX(Compose_C1!$A$13:$A$64,ROWS(Compose_C1!$A$13:$A$64)),INDEX(Compose_C1!$J$13:$J$64,ROWS(Compose_C1!$J$13:$J$64)),INDEX(Compose_C1!$J$13:$J$64,MATCH(C23,Compose_C1!$A$13:$A$64,1))+(C23-INDEX(Compose_C1!$A$13:$A$64,MATCH(C23,Compose_C1!$A$13:$A$64,1)))/(INDEX(Compose_C1!$A$13:$A$64,MATCH(C23,Compose_C1!$A$13:$A$64,1)+1)-INDEX(Compose_C1!$A$13:$A$64,MATCH(C23,Compose_C1!$A$13:$A$64,1)))*(INDEX(Compose_C1!$J$13:$J$64,MATCH(C23,Compose_C1!$A$13:$A$64,1)+1)-INDEX(Compose_C1!$J$13:$J$64,MATCH(C23,Compose_C1!$A$13:$A$64,1))))))</f>
        <v/>
      </c>
      <c r="E23" s="16">
        <f>(A23-A22)*60</f>
        <v/>
      </c>
      <c r="F23" s="13">
        <f>MAX(0,F22+(0.5*(B22+B23)-D23)*E23)</f>
        <v/>
      </c>
      <c r="G23" s="17">
        <f>IF(C23&lt;=INDEX(Compose_C1!$A$13:$A$64,1),INDEX(Compose_C1!$H$13:$H$64,1),IF(C23&gt;=INDEX(Compose_C1!$A$13:$A$64,ROWS(Compose_C1!$A$13:$A$64)),INDEX(Compose_C1!$H$13:$H$64,ROWS(Compose_C1!$H$13:$H$64)),INDEX(Compose_C1!$H$13:$H$64,MATCH(C23,Compose_C1!$A$13:$A$64,1))+(C23-INDEX(Compose_C1!$A$13:$A$64,MATCH(C23,Compose_C1!$A$13:$A$64,1)))/(INDEX(Compose_C1!$A$13:$A$64,MATCH(C23,Compose_C1!$A$13:$A$64,1)+1)-INDEX(Compose_C1!$A$13:$A$64,MATCH(C23,Compose_C1!$A$13:$A$64,1)))*(INDEX(Compose_C1!$H$13:$H$64,MATCH(C23,Compose_C1!$A$13:$A$64,1)+1)-INDEX(Compose_C1!$H$13:$H$64,MATCH(C23,Compose_C1!$A$13:$A$64,1)))))</f>
        <v/>
      </c>
      <c r="H23" s="17">
        <f>IF(C23&lt;=INDEX(Compose_C1!$A$13:$A$64,1),INDEX(Compose_C1!$I$13:$I$64,1),IF(C23&gt;=INDEX(Compose_C1!$A$13:$A$64,ROWS(Compose_C1!$A$13:$A$64)),INDEX(Compose_C1!$I$13:$I$64,ROWS(Compose_C1!$I$13:$I$64)),INDEX(Compose_C1!$I$13:$I$64,MATCH(C23,Compose_C1!$A$13:$A$64,1))+(C23-INDEX(Compose_C1!$A$13:$A$64,MATCH(C23,Compose_C1!$A$13:$A$64,1)))/(INDEX(Compose_C1!$A$13:$A$64,MATCH(C23,Compose_C1!$A$13:$A$64,1)+1)-INDEX(Compose_C1!$A$13:$A$64,MATCH(C23,Compose_C1!$A$13:$A$64,1)))*(INDEX(Compose_C1!$I$13:$I$64,MATCH(C23,Compose_C1!$A$13:$A$64,1)+1)-INDEX(Compose_C1!$I$13:$I$64,MATCH(C23,Compose_C1!$A$13:$A$64,1)))))</f>
        <v/>
      </c>
      <c r="I23" s="15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1!$G$13:$G$64,1),INDEX(Compose_C1!$A$13:$A$64,1),IF(F23&gt;=INDEX(Compose_C1!$G$13:$G$64,ROWS(Compose_C1!$G$13:$G$64)),INDEX(Compose_C1!$A$13:$A$64,ROWS(Compose_C1!$A$13:$A$64)),INDEX(Compose_C1!$A$13:$A$64,MATCH(F23,Compose_C1!$G$13:$G$64,1))+(F23-INDEX(Compose_C1!$G$13:$G$64,MATCH(F23,Compose_C1!$G$13:$G$64,1)))/(INDEX(Compose_C1!$G$13:$G$64,MATCH(F23,Compose_C1!$G$13:$G$64,1)+1)-INDEX(Compose_C1!$G$13:$G$64,MATCH(F23,Compose_C1!$G$13:$G$64,1)))*(INDEX(Compose_C1!$A$13:$A$64,MATCH(F23,Compose_C1!$G$13:$G$64,1)+1)-INDEX(Compose_C1!$A$13:$A$64,MATCH(F23,Compose_C1!$G$13:$G$64,1)))))</f>
        <v/>
      </c>
      <c r="D24" s="17">
        <f>IF(F23&lt;=0.01,MIN(0.5*(B23+B24),$B$4),IF(C24&lt;=INDEX(Compose_C1!$A$13:$A$64,1),INDEX(Compose_C1!$J$13:$J$64,1),IF(C24&gt;=INDEX(Compose_C1!$A$13:$A$64,ROWS(Compose_C1!$A$13:$A$64)),INDEX(Compose_C1!$J$13:$J$64,ROWS(Compose_C1!$J$13:$J$64)),INDEX(Compose_C1!$J$13:$J$64,MATCH(C24,Compose_C1!$A$13:$A$64,1))+(C24-INDEX(Compose_C1!$A$13:$A$64,MATCH(C24,Compose_C1!$A$13:$A$64,1)))/(INDEX(Compose_C1!$A$13:$A$64,MATCH(C24,Compose_C1!$A$13:$A$64,1)+1)-INDEX(Compose_C1!$A$13:$A$64,MATCH(C24,Compose_C1!$A$13:$A$64,1)))*(INDEX(Compose_C1!$J$13:$J$64,MATCH(C24,Compose_C1!$A$13:$A$64,1)+1)-INDEX(Compose_C1!$J$13:$J$64,MATCH(C24,Compose_C1!$A$13:$A$64,1))))))</f>
        <v/>
      </c>
      <c r="E24" s="16">
        <f>(A24-A23)*60</f>
        <v/>
      </c>
      <c r="F24" s="13">
        <f>MAX(0,F23+(0.5*(B23+B24)-D24)*E24)</f>
        <v/>
      </c>
      <c r="G24" s="17">
        <f>IF(C24&lt;=INDEX(Compose_C1!$A$13:$A$64,1),INDEX(Compose_C1!$H$13:$H$64,1),IF(C24&gt;=INDEX(Compose_C1!$A$13:$A$64,ROWS(Compose_C1!$A$13:$A$64)),INDEX(Compose_C1!$H$13:$H$64,ROWS(Compose_C1!$H$13:$H$64)),INDEX(Compose_C1!$H$13:$H$64,MATCH(C24,Compose_C1!$A$13:$A$64,1))+(C24-INDEX(Compose_C1!$A$13:$A$64,MATCH(C24,Compose_C1!$A$13:$A$64,1)))/(INDEX(Compose_C1!$A$13:$A$64,MATCH(C24,Compose_C1!$A$13:$A$64,1)+1)-INDEX(Compose_C1!$A$13:$A$64,MATCH(C24,Compose_C1!$A$13:$A$64,1)))*(INDEX(Compose_C1!$H$13:$H$64,MATCH(C24,Compose_C1!$A$13:$A$64,1)+1)-INDEX(Compose_C1!$H$13:$H$64,MATCH(C24,Compose_C1!$A$13:$A$64,1)))))</f>
        <v/>
      </c>
      <c r="H24" s="17">
        <f>IF(C24&lt;=INDEX(Compose_C1!$A$13:$A$64,1),INDEX(Compose_C1!$I$13:$I$64,1),IF(C24&gt;=INDEX(Compose_C1!$A$13:$A$64,ROWS(Compose_C1!$A$13:$A$64)),INDEX(Compose_C1!$I$13:$I$64,ROWS(Compose_C1!$I$13:$I$64)),INDEX(Compose_C1!$I$13:$I$64,MATCH(C24,Compose_C1!$A$13:$A$64,1))+(C24-INDEX(Compose_C1!$A$13:$A$64,MATCH(C24,Compose_C1!$A$13:$A$64,1)))/(INDEX(Compose_C1!$A$13:$A$64,MATCH(C24,Compose_C1!$A$13:$A$64,1)+1)-INDEX(Compose_C1!$A$13:$A$64,MATCH(C24,Compose_C1!$A$13:$A$64,1)))*(INDEX(Compose_C1!$I$13:$I$64,MATCH(C24,Compose_C1!$A$13:$A$64,1)+1)-INDEX(Compose_C1!$I$13:$I$64,MATCH(C24,Compose_C1!$A$13:$A$64,1)))))</f>
        <v/>
      </c>
      <c r="I24" s="15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1!$G$13:$G$64,1),INDEX(Compose_C1!$A$13:$A$64,1),IF(F24&gt;=INDEX(Compose_C1!$G$13:$G$64,ROWS(Compose_C1!$G$13:$G$64)),INDEX(Compose_C1!$A$13:$A$64,ROWS(Compose_C1!$A$13:$A$64)),INDEX(Compose_C1!$A$13:$A$64,MATCH(F24,Compose_C1!$G$13:$G$64,1))+(F24-INDEX(Compose_C1!$G$13:$G$64,MATCH(F24,Compose_C1!$G$13:$G$64,1)))/(INDEX(Compose_C1!$G$13:$G$64,MATCH(F24,Compose_C1!$G$13:$G$64,1)+1)-INDEX(Compose_C1!$G$13:$G$64,MATCH(F24,Compose_C1!$G$13:$G$64,1)))*(INDEX(Compose_C1!$A$13:$A$64,MATCH(F24,Compose_C1!$G$13:$G$64,1)+1)-INDEX(Compose_C1!$A$13:$A$64,MATCH(F24,Compose_C1!$G$13:$G$64,1)))))</f>
        <v/>
      </c>
      <c r="D25" s="17">
        <f>IF(F24&lt;=0.01,MIN(0.5*(B24+B25),$B$4),IF(C25&lt;=INDEX(Compose_C1!$A$13:$A$64,1),INDEX(Compose_C1!$J$13:$J$64,1),IF(C25&gt;=INDEX(Compose_C1!$A$13:$A$64,ROWS(Compose_C1!$A$13:$A$64)),INDEX(Compose_C1!$J$13:$J$64,ROWS(Compose_C1!$J$13:$J$64)),INDEX(Compose_C1!$J$13:$J$64,MATCH(C25,Compose_C1!$A$13:$A$64,1))+(C25-INDEX(Compose_C1!$A$13:$A$64,MATCH(C25,Compose_C1!$A$13:$A$64,1)))/(INDEX(Compose_C1!$A$13:$A$64,MATCH(C25,Compose_C1!$A$13:$A$64,1)+1)-INDEX(Compose_C1!$A$13:$A$64,MATCH(C25,Compose_C1!$A$13:$A$64,1)))*(INDEX(Compose_C1!$J$13:$J$64,MATCH(C25,Compose_C1!$A$13:$A$64,1)+1)-INDEX(Compose_C1!$J$13:$J$64,MATCH(C25,Compose_C1!$A$13:$A$64,1))))))</f>
        <v/>
      </c>
      <c r="E25" s="16">
        <f>(A25-A24)*60</f>
        <v/>
      </c>
      <c r="F25" s="13">
        <f>MAX(0,F24+(0.5*(B24+B25)-D25)*E25)</f>
        <v/>
      </c>
      <c r="G25" s="17">
        <f>IF(C25&lt;=INDEX(Compose_C1!$A$13:$A$64,1),INDEX(Compose_C1!$H$13:$H$64,1),IF(C25&gt;=INDEX(Compose_C1!$A$13:$A$64,ROWS(Compose_C1!$A$13:$A$64)),INDEX(Compose_C1!$H$13:$H$64,ROWS(Compose_C1!$H$13:$H$64)),INDEX(Compose_C1!$H$13:$H$64,MATCH(C25,Compose_C1!$A$13:$A$64,1))+(C25-INDEX(Compose_C1!$A$13:$A$64,MATCH(C25,Compose_C1!$A$13:$A$64,1)))/(INDEX(Compose_C1!$A$13:$A$64,MATCH(C25,Compose_C1!$A$13:$A$64,1)+1)-INDEX(Compose_C1!$A$13:$A$64,MATCH(C25,Compose_C1!$A$13:$A$64,1)))*(INDEX(Compose_C1!$H$13:$H$64,MATCH(C25,Compose_C1!$A$13:$A$64,1)+1)-INDEX(Compose_C1!$H$13:$H$64,MATCH(C25,Compose_C1!$A$13:$A$64,1)))))</f>
        <v/>
      </c>
      <c r="H25" s="17">
        <f>IF(C25&lt;=INDEX(Compose_C1!$A$13:$A$64,1),INDEX(Compose_C1!$I$13:$I$64,1),IF(C25&gt;=INDEX(Compose_C1!$A$13:$A$64,ROWS(Compose_C1!$A$13:$A$64)),INDEX(Compose_C1!$I$13:$I$64,ROWS(Compose_C1!$I$13:$I$64)),INDEX(Compose_C1!$I$13:$I$64,MATCH(C25,Compose_C1!$A$13:$A$64,1))+(C25-INDEX(Compose_C1!$A$13:$A$64,MATCH(C25,Compose_C1!$A$13:$A$64,1)))/(INDEX(Compose_C1!$A$13:$A$64,MATCH(C25,Compose_C1!$A$13:$A$64,1)+1)-INDEX(Compose_C1!$A$13:$A$64,MATCH(C25,Compose_C1!$A$13:$A$64,1)))*(INDEX(Compose_C1!$I$13:$I$64,MATCH(C25,Compose_C1!$A$13:$A$64,1)+1)-INDEX(Compose_C1!$I$13:$I$64,MATCH(C25,Compose_C1!$A$13:$A$64,1)))))</f>
        <v/>
      </c>
      <c r="I25" s="15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1!$G$13:$G$64,1),INDEX(Compose_C1!$A$13:$A$64,1),IF(F25&gt;=INDEX(Compose_C1!$G$13:$G$64,ROWS(Compose_C1!$G$13:$G$64)),INDEX(Compose_C1!$A$13:$A$64,ROWS(Compose_C1!$A$13:$A$64)),INDEX(Compose_C1!$A$13:$A$64,MATCH(F25,Compose_C1!$G$13:$G$64,1))+(F25-INDEX(Compose_C1!$G$13:$G$64,MATCH(F25,Compose_C1!$G$13:$G$64,1)))/(INDEX(Compose_C1!$G$13:$G$64,MATCH(F25,Compose_C1!$G$13:$G$64,1)+1)-INDEX(Compose_C1!$G$13:$G$64,MATCH(F25,Compose_C1!$G$13:$G$64,1)))*(INDEX(Compose_C1!$A$13:$A$64,MATCH(F25,Compose_C1!$G$13:$G$64,1)+1)-INDEX(Compose_C1!$A$13:$A$64,MATCH(F25,Compose_C1!$G$13:$G$64,1)))))</f>
        <v/>
      </c>
      <c r="D26" s="17">
        <f>IF(F25&lt;=0.01,MIN(0.5*(B25+B26),$B$4),IF(C26&lt;=INDEX(Compose_C1!$A$13:$A$64,1),INDEX(Compose_C1!$J$13:$J$64,1),IF(C26&gt;=INDEX(Compose_C1!$A$13:$A$64,ROWS(Compose_C1!$A$13:$A$64)),INDEX(Compose_C1!$J$13:$J$64,ROWS(Compose_C1!$J$13:$J$64)),INDEX(Compose_C1!$J$13:$J$64,MATCH(C26,Compose_C1!$A$13:$A$64,1))+(C26-INDEX(Compose_C1!$A$13:$A$64,MATCH(C26,Compose_C1!$A$13:$A$64,1)))/(INDEX(Compose_C1!$A$13:$A$64,MATCH(C26,Compose_C1!$A$13:$A$64,1)+1)-INDEX(Compose_C1!$A$13:$A$64,MATCH(C26,Compose_C1!$A$13:$A$64,1)))*(INDEX(Compose_C1!$J$13:$J$64,MATCH(C26,Compose_C1!$A$13:$A$64,1)+1)-INDEX(Compose_C1!$J$13:$J$64,MATCH(C26,Compose_C1!$A$13:$A$64,1))))))</f>
        <v/>
      </c>
      <c r="E26" s="16">
        <f>(A26-A25)*60</f>
        <v/>
      </c>
      <c r="F26" s="13">
        <f>MAX(0,F25+(0.5*(B25+B26)-D26)*E26)</f>
        <v/>
      </c>
      <c r="G26" s="17">
        <f>IF(C26&lt;=INDEX(Compose_C1!$A$13:$A$64,1),INDEX(Compose_C1!$H$13:$H$64,1),IF(C26&gt;=INDEX(Compose_C1!$A$13:$A$64,ROWS(Compose_C1!$A$13:$A$64)),INDEX(Compose_C1!$H$13:$H$64,ROWS(Compose_C1!$H$13:$H$64)),INDEX(Compose_C1!$H$13:$H$64,MATCH(C26,Compose_C1!$A$13:$A$64,1))+(C26-INDEX(Compose_C1!$A$13:$A$64,MATCH(C26,Compose_C1!$A$13:$A$64,1)))/(INDEX(Compose_C1!$A$13:$A$64,MATCH(C26,Compose_C1!$A$13:$A$64,1)+1)-INDEX(Compose_C1!$A$13:$A$64,MATCH(C26,Compose_C1!$A$13:$A$64,1)))*(INDEX(Compose_C1!$H$13:$H$64,MATCH(C26,Compose_C1!$A$13:$A$64,1)+1)-INDEX(Compose_C1!$H$13:$H$64,MATCH(C26,Compose_C1!$A$13:$A$64,1)))))</f>
        <v/>
      </c>
      <c r="H26" s="17">
        <f>IF(C26&lt;=INDEX(Compose_C1!$A$13:$A$64,1),INDEX(Compose_C1!$I$13:$I$64,1),IF(C26&gt;=INDEX(Compose_C1!$A$13:$A$64,ROWS(Compose_C1!$A$13:$A$64)),INDEX(Compose_C1!$I$13:$I$64,ROWS(Compose_C1!$I$13:$I$64)),INDEX(Compose_C1!$I$13:$I$64,MATCH(C26,Compose_C1!$A$13:$A$64,1))+(C26-INDEX(Compose_C1!$A$13:$A$64,MATCH(C26,Compose_C1!$A$13:$A$64,1)))/(INDEX(Compose_C1!$A$13:$A$64,MATCH(C26,Compose_C1!$A$13:$A$64,1)+1)-INDEX(Compose_C1!$A$13:$A$64,MATCH(C26,Compose_C1!$A$13:$A$64,1)))*(INDEX(Compose_C1!$I$13:$I$64,MATCH(C26,Compose_C1!$A$13:$A$64,1)+1)-INDEX(Compose_C1!$I$13:$I$64,MATCH(C26,Compose_C1!$A$13:$A$64,1)))))</f>
        <v/>
      </c>
      <c r="I26" s="15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1!$G$13:$G$64,1),INDEX(Compose_C1!$A$13:$A$64,1),IF(F26&gt;=INDEX(Compose_C1!$G$13:$G$64,ROWS(Compose_C1!$G$13:$G$64)),INDEX(Compose_C1!$A$13:$A$64,ROWS(Compose_C1!$A$13:$A$64)),INDEX(Compose_C1!$A$13:$A$64,MATCH(F26,Compose_C1!$G$13:$G$64,1))+(F26-INDEX(Compose_C1!$G$13:$G$64,MATCH(F26,Compose_C1!$G$13:$G$64,1)))/(INDEX(Compose_C1!$G$13:$G$64,MATCH(F26,Compose_C1!$G$13:$G$64,1)+1)-INDEX(Compose_C1!$G$13:$G$64,MATCH(F26,Compose_C1!$G$13:$G$64,1)))*(INDEX(Compose_C1!$A$13:$A$64,MATCH(F26,Compose_C1!$G$13:$G$64,1)+1)-INDEX(Compose_C1!$A$13:$A$64,MATCH(F26,Compose_C1!$G$13:$G$64,1)))))</f>
        <v/>
      </c>
      <c r="D27" s="17">
        <f>IF(F26&lt;=0.01,MIN(0.5*(B26+B27),$B$4),IF(C27&lt;=INDEX(Compose_C1!$A$13:$A$64,1),INDEX(Compose_C1!$J$13:$J$64,1),IF(C27&gt;=INDEX(Compose_C1!$A$13:$A$64,ROWS(Compose_C1!$A$13:$A$64)),INDEX(Compose_C1!$J$13:$J$64,ROWS(Compose_C1!$J$13:$J$64)),INDEX(Compose_C1!$J$13:$J$64,MATCH(C27,Compose_C1!$A$13:$A$64,1))+(C27-INDEX(Compose_C1!$A$13:$A$64,MATCH(C27,Compose_C1!$A$13:$A$64,1)))/(INDEX(Compose_C1!$A$13:$A$64,MATCH(C27,Compose_C1!$A$13:$A$64,1)+1)-INDEX(Compose_C1!$A$13:$A$64,MATCH(C27,Compose_C1!$A$13:$A$64,1)))*(INDEX(Compose_C1!$J$13:$J$64,MATCH(C27,Compose_C1!$A$13:$A$64,1)+1)-INDEX(Compose_C1!$J$13:$J$64,MATCH(C27,Compose_C1!$A$13:$A$64,1))))))</f>
        <v/>
      </c>
      <c r="E27" s="16">
        <f>(A27-A26)*60</f>
        <v/>
      </c>
      <c r="F27" s="13">
        <f>MAX(0,F26+(0.5*(B26+B27)-D27)*E27)</f>
        <v/>
      </c>
      <c r="G27" s="17">
        <f>IF(C27&lt;=INDEX(Compose_C1!$A$13:$A$64,1),INDEX(Compose_C1!$H$13:$H$64,1),IF(C27&gt;=INDEX(Compose_C1!$A$13:$A$64,ROWS(Compose_C1!$A$13:$A$64)),INDEX(Compose_C1!$H$13:$H$64,ROWS(Compose_C1!$H$13:$H$64)),INDEX(Compose_C1!$H$13:$H$64,MATCH(C27,Compose_C1!$A$13:$A$64,1))+(C27-INDEX(Compose_C1!$A$13:$A$64,MATCH(C27,Compose_C1!$A$13:$A$64,1)))/(INDEX(Compose_C1!$A$13:$A$64,MATCH(C27,Compose_C1!$A$13:$A$64,1)+1)-INDEX(Compose_C1!$A$13:$A$64,MATCH(C27,Compose_C1!$A$13:$A$64,1)))*(INDEX(Compose_C1!$H$13:$H$64,MATCH(C27,Compose_C1!$A$13:$A$64,1)+1)-INDEX(Compose_C1!$H$13:$H$64,MATCH(C27,Compose_C1!$A$13:$A$64,1)))))</f>
        <v/>
      </c>
      <c r="H27" s="17">
        <f>IF(C27&lt;=INDEX(Compose_C1!$A$13:$A$64,1),INDEX(Compose_C1!$I$13:$I$64,1),IF(C27&gt;=INDEX(Compose_C1!$A$13:$A$64,ROWS(Compose_C1!$A$13:$A$64)),INDEX(Compose_C1!$I$13:$I$64,ROWS(Compose_C1!$I$13:$I$64)),INDEX(Compose_C1!$I$13:$I$64,MATCH(C27,Compose_C1!$A$13:$A$64,1))+(C27-INDEX(Compose_C1!$A$13:$A$64,MATCH(C27,Compose_C1!$A$13:$A$64,1)))/(INDEX(Compose_C1!$A$13:$A$64,MATCH(C27,Compose_C1!$A$13:$A$64,1)+1)-INDEX(Compose_C1!$A$13:$A$64,MATCH(C27,Compose_C1!$A$13:$A$64,1)))*(INDEX(Compose_C1!$I$13:$I$64,MATCH(C27,Compose_C1!$A$13:$A$64,1)+1)-INDEX(Compose_C1!$I$13:$I$64,MATCH(C27,Compose_C1!$A$13:$A$64,1)))))</f>
        <v/>
      </c>
      <c r="I27" s="15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Compose_C2 — Q_1200 + Q_overflow; V_pond + V_ditch (composite)</t>
        </is>
      </c>
    </row>
    <row r="2">
      <c r="A2" t="inlineStr">
        <is>
          <t>Colonnes = formules Excel. Crest / facteur pipe en jaune.</t>
        </is>
      </c>
    </row>
    <row r="4">
      <c r="A4" t="inlineStr">
        <is>
          <t>Crest</t>
        </is>
      </c>
      <c r="B4" s="26">
        <f>Parametres!B46</f>
        <v/>
      </c>
    </row>
    <row r="5">
      <c r="A5" t="inlineStr">
        <is>
          <t>b</t>
        </is>
      </c>
      <c r="B5" s="26">
        <f>Parametres!B22</f>
        <v/>
      </c>
    </row>
    <row r="6">
      <c r="A6" t="inlineStr">
        <is>
          <t>n</t>
        </is>
      </c>
      <c r="B6" s="26">
        <f>Parametres!B23</f>
        <v/>
      </c>
    </row>
    <row r="7">
      <c r="A7" t="inlineStr">
        <is>
          <t>z</t>
        </is>
      </c>
      <c r="B7" s="26">
        <f>Parametres!B24</f>
        <v/>
      </c>
    </row>
    <row r="8">
      <c r="A8" t="inlineStr">
        <is>
          <t>S</t>
        </is>
      </c>
      <c r="B8" s="26">
        <f>Parametres!B25</f>
        <v/>
      </c>
    </row>
    <row r="9">
      <c r="A9" t="inlineStr">
        <is>
          <t>L</t>
        </is>
      </c>
      <c r="B9" s="26">
        <f>Parametres!B26</f>
        <v/>
      </c>
    </row>
    <row r="10">
      <c r="A10" t="inlineStr">
        <is>
          <t>Zin</t>
        </is>
      </c>
      <c r="B10" s="26">
        <f>Parametres!B12</f>
        <v/>
      </c>
    </row>
    <row r="11">
      <c r="A11" t="inlineStr">
        <is>
          <t>Facteur_pipe</t>
        </is>
      </c>
      <c r="B11" s="26" t="inlineStr">
        <is>
          <t>1</t>
        </is>
      </c>
    </row>
    <row r="12">
      <c r="A12" s="12" t="inlineStr">
        <is>
          <t>WSE</t>
        </is>
      </c>
      <c r="B12" s="12" t="inlineStr">
        <is>
          <t>HW</t>
        </is>
      </c>
      <c r="C12" s="12" t="inlineStr">
        <is>
          <t>y_ov</t>
        </is>
      </c>
      <c r="D12" s="12" t="inlineStr">
        <is>
          <t>A_ditch</t>
        </is>
      </c>
      <c r="E12" s="12" t="inlineStr">
        <is>
          <t>V_ditch</t>
        </is>
      </c>
      <c r="F12" s="12" t="inlineStr">
        <is>
          <t>V_pond</t>
        </is>
      </c>
      <c r="G12" s="12" t="inlineStr">
        <is>
          <t>V_total</t>
        </is>
      </c>
      <c r="H12" s="12" t="inlineStr">
        <is>
          <t>Q_1200</t>
        </is>
      </c>
      <c r="I12" s="12" t="inlineStr">
        <is>
          <t>Q_overflow</t>
        </is>
      </c>
      <c r="J12" s="12" t="inlineStr">
        <is>
          <t>Qout</t>
        </is>
      </c>
    </row>
    <row r="13">
      <c r="A13" s="19" t="n">
        <v>34.88</v>
      </c>
      <c r="B13" s="19">
        <f>A13-$B$10</f>
        <v/>
      </c>
      <c r="C13" s="19">
        <f>MAX(0,A13-$B$4)</f>
        <v/>
      </c>
      <c r="D13" s="17">
        <f>IF(C13&lt;=0,0,($B$5+$B$7*C13)*C13)</f>
        <v/>
      </c>
      <c r="E13" s="16">
        <f>D13*$B$9</f>
        <v/>
      </c>
      <c r="F13" s="16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13">
        <f>E13+F13</f>
        <v/>
      </c>
      <c r="H13" s="17">
        <f>($B$11)*(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)</f>
        <v/>
      </c>
      <c r="I13" s="17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19" t="n">
        <v>34.98</v>
      </c>
      <c r="B14" s="19">
        <f>A14-$B$10</f>
        <v/>
      </c>
      <c r="C14" s="19">
        <f>MAX(0,A14-$B$4)</f>
        <v/>
      </c>
      <c r="D14" s="17">
        <f>IF(C14&lt;=0,0,($B$5+$B$7*C14)*C14)</f>
        <v/>
      </c>
      <c r="E14" s="16">
        <f>D14*$B$9</f>
        <v/>
      </c>
      <c r="F14" s="16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13">
        <f>E14+F14</f>
        <v/>
      </c>
      <c r="H14" s="17">
        <f>($B$11)*(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)</f>
        <v/>
      </c>
      <c r="I14" s="17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19" t="n">
        <v>35.08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35.18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35.28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35.38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35.48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35.58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35.68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35.78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35.88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35.98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36.08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36.18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36.28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36.38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36.48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36.58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36.68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36.78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36.88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36.98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37.08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37.18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37.28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37.38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37.48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37.58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37.68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37.78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37.88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37.98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38.08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38.18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38.28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38.38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38.48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38.58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38.68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38.78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38.88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38.98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39.08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39.18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39.28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39.38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39.48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39.58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39.68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39.78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39.88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39.98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Calcul_C2 — routage level-pool (formules Excel)</t>
        </is>
      </c>
    </row>
    <row r="2">
      <c r="A2" t="inlineStr">
        <is>
          <t>WSE depuis V_total (Compose_C2);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Parametres!B46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14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7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15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2!$G$13:$G$64,1),INDEX(Compose_C2!$A$13:$A$64,1),IF(F15&gt;=INDEX(Compose_C2!$G$13:$G$64,ROWS(Compose_C2!$G$13:$G$64)),INDEX(Compose_C2!$A$13:$A$64,ROWS(Compose_C2!$A$13:$A$64)),INDEX(Compose_C2!$A$13:$A$64,MATCH(F15,Compose_C2!$G$13:$G$64,1))+(F15-INDEX(Compose_C2!$G$13:$G$64,MATCH(F15,Compose_C2!$G$13:$G$64,1)))/(INDEX(Compose_C2!$G$13:$G$64,MATCH(F15,Compose_C2!$G$13:$G$64,1)+1)-INDEX(Compose_C2!$G$13:$G$64,MATCH(F15,Compose_C2!$G$13:$G$64,1)))*(INDEX(Compose_C2!$A$13:$A$64,MATCH(F15,Compose_C2!$G$13:$G$64,1)+1)-INDEX(Compose_C2!$A$13:$A$64,MATCH(F15,Compose_C2!$G$13:$G$64,1)))))</f>
        <v/>
      </c>
      <c r="D16" s="17">
        <f>IF(F15&lt;=0.01,MIN(0.5*(B15+B16),$B$4),IF(C16&lt;=INDEX(Compose_C2!$A$13:$A$64,1),INDEX(Compose_C2!$J$13:$J$64,1),IF(C16&gt;=INDEX(Compose_C2!$A$13:$A$64,ROWS(Compose_C2!$A$13:$A$64)),INDEX(Compose_C2!$J$13:$J$64,ROWS(Compose_C2!$J$13:$J$64)),INDEX(Compose_C2!$J$13:$J$64,MATCH(C16,Compose_C2!$A$13:$A$64,1))+(C16-INDEX(Compose_C2!$A$13:$A$64,MATCH(C16,Compose_C2!$A$13:$A$64,1)))/(INDEX(Compose_C2!$A$13:$A$64,MATCH(C16,Compose_C2!$A$13:$A$64,1)+1)-INDEX(Compose_C2!$A$13:$A$64,MATCH(C16,Compose_C2!$A$13:$A$64,1)))*(INDEX(Compose_C2!$J$13:$J$64,MATCH(C16,Compose_C2!$A$13:$A$64,1)+1)-INDEX(Compose_C2!$J$13:$J$64,MATCH(C16,Compose_C2!$A$13:$A$64,1))))))</f>
        <v/>
      </c>
      <c r="E16" s="16">
        <f>(A16-A15)*60</f>
        <v/>
      </c>
      <c r="F16" s="13">
        <f>MAX(0,F15+(0.5*(B15+B16)-D16)*E16)</f>
        <v/>
      </c>
      <c r="G16" s="17">
        <f>IF(C16&lt;=INDEX(Compose_C2!$A$13:$A$64,1),INDEX(Compose_C2!$H$13:$H$64,1),IF(C16&gt;=INDEX(Compose_C2!$A$13:$A$64,ROWS(Compose_C2!$A$13:$A$64)),INDEX(Compose_C2!$H$13:$H$64,ROWS(Compose_C2!$H$13:$H$64)),INDEX(Compose_C2!$H$13:$H$64,MATCH(C16,Compose_C2!$A$13:$A$64,1))+(C16-INDEX(Compose_C2!$A$13:$A$64,MATCH(C16,Compose_C2!$A$13:$A$64,1)))/(INDEX(Compose_C2!$A$13:$A$64,MATCH(C16,Compose_C2!$A$13:$A$64,1)+1)-INDEX(Compose_C2!$A$13:$A$64,MATCH(C16,Compose_C2!$A$13:$A$64,1)))*(INDEX(Compose_C2!$H$13:$H$64,MATCH(C16,Compose_C2!$A$13:$A$64,1)+1)-INDEX(Compose_C2!$H$13:$H$64,MATCH(C16,Compose_C2!$A$13:$A$64,1)))))</f>
        <v/>
      </c>
      <c r="H16" s="17">
        <f>IF(C16&lt;=INDEX(Compose_C2!$A$13:$A$64,1),INDEX(Compose_C2!$I$13:$I$64,1),IF(C16&gt;=INDEX(Compose_C2!$A$13:$A$64,ROWS(Compose_C2!$A$13:$A$64)),INDEX(Compose_C2!$I$13:$I$64,ROWS(Compose_C2!$I$13:$I$64)),INDEX(Compose_C2!$I$13:$I$64,MATCH(C16,Compose_C2!$A$13:$A$64,1))+(C16-INDEX(Compose_C2!$A$13:$A$64,MATCH(C16,Compose_C2!$A$13:$A$64,1)))/(INDEX(Compose_C2!$A$13:$A$64,MATCH(C16,Compose_C2!$A$13:$A$64,1)+1)-INDEX(Compose_C2!$A$13:$A$64,MATCH(C16,Compose_C2!$A$13:$A$64,1)))*(INDEX(Compose_C2!$I$13:$I$64,MATCH(C16,Compose_C2!$A$13:$A$64,1)+1)-INDEX(Compose_C2!$I$13:$I$64,MATCH(C16,Compose_C2!$A$13:$A$64,1)))))</f>
        <v/>
      </c>
      <c r="I16" s="15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2!$G$13:$G$64,1),INDEX(Compose_C2!$A$13:$A$64,1),IF(F16&gt;=INDEX(Compose_C2!$G$13:$G$64,ROWS(Compose_C2!$G$13:$G$64)),INDEX(Compose_C2!$A$13:$A$64,ROWS(Compose_C2!$A$13:$A$64)),INDEX(Compose_C2!$A$13:$A$64,MATCH(F16,Compose_C2!$G$13:$G$64,1))+(F16-INDEX(Compose_C2!$G$13:$G$64,MATCH(F16,Compose_C2!$G$13:$G$64,1)))/(INDEX(Compose_C2!$G$13:$G$64,MATCH(F16,Compose_C2!$G$13:$G$64,1)+1)-INDEX(Compose_C2!$G$13:$G$64,MATCH(F16,Compose_C2!$G$13:$G$64,1)))*(INDEX(Compose_C2!$A$13:$A$64,MATCH(F16,Compose_C2!$G$13:$G$64,1)+1)-INDEX(Compose_C2!$A$13:$A$64,MATCH(F16,Compose_C2!$G$13:$G$64,1)))))</f>
        <v/>
      </c>
      <c r="D17" s="17">
        <f>IF(F16&lt;=0.01,MIN(0.5*(B16+B17),$B$4),IF(C17&lt;=INDEX(Compose_C2!$A$13:$A$64,1),INDEX(Compose_C2!$J$13:$J$64,1),IF(C17&gt;=INDEX(Compose_C2!$A$13:$A$64,ROWS(Compose_C2!$A$13:$A$64)),INDEX(Compose_C2!$J$13:$J$64,ROWS(Compose_C2!$J$13:$J$64)),INDEX(Compose_C2!$J$13:$J$64,MATCH(C17,Compose_C2!$A$13:$A$64,1))+(C17-INDEX(Compose_C2!$A$13:$A$64,MATCH(C17,Compose_C2!$A$13:$A$64,1)))/(INDEX(Compose_C2!$A$13:$A$64,MATCH(C17,Compose_C2!$A$13:$A$64,1)+1)-INDEX(Compose_C2!$A$13:$A$64,MATCH(C17,Compose_C2!$A$13:$A$64,1)))*(INDEX(Compose_C2!$J$13:$J$64,MATCH(C17,Compose_C2!$A$13:$A$64,1)+1)-INDEX(Compose_C2!$J$13:$J$64,MATCH(C17,Compose_C2!$A$13:$A$64,1))))))</f>
        <v/>
      </c>
      <c r="E17" s="16">
        <f>(A17-A16)*60</f>
        <v/>
      </c>
      <c r="F17" s="13">
        <f>MAX(0,F16+(0.5*(B16+B17)-D17)*E17)</f>
        <v/>
      </c>
      <c r="G17" s="17">
        <f>IF(C17&lt;=INDEX(Compose_C2!$A$13:$A$64,1),INDEX(Compose_C2!$H$13:$H$64,1),IF(C17&gt;=INDEX(Compose_C2!$A$13:$A$64,ROWS(Compose_C2!$A$13:$A$64)),INDEX(Compose_C2!$H$13:$H$64,ROWS(Compose_C2!$H$13:$H$64)),INDEX(Compose_C2!$H$13:$H$64,MATCH(C17,Compose_C2!$A$13:$A$64,1))+(C17-INDEX(Compose_C2!$A$13:$A$64,MATCH(C17,Compose_C2!$A$13:$A$64,1)))/(INDEX(Compose_C2!$A$13:$A$64,MATCH(C17,Compose_C2!$A$13:$A$64,1)+1)-INDEX(Compose_C2!$A$13:$A$64,MATCH(C17,Compose_C2!$A$13:$A$64,1)))*(INDEX(Compose_C2!$H$13:$H$64,MATCH(C17,Compose_C2!$A$13:$A$64,1)+1)-INDEX(Compose_C2!$H$13:$H$64,MATCH(C17,Compose_C2!$A$13:$A$64,1)))))</f>
        <v/>
      </c>
      <c r="H17" s="17">
        <f>IF(C17&lt;=INDEX(Compose_C2!$A$13:$A$64,1),INDEX(Compose_C2!$I$13:$I$64,1),IF(C17&gt;=INDEX(Compose_C2!$A$13:$A$64,ROWS(Compose_C2!$A$13:$A$64)),INDEX(Compose_C2!$I$13:$I$64,ROWS(Compose_C2!$I$13:$I$64)),INDEX(Compose_C2!$I$13:$I$64,MATCH(C17,Compose_C2!$A$13:$A$64,1))+(C17-INDEX(Compose_C2!$A$13:$A$64,MATCH(C17,Compose_C2!$A$13:$A$64,1)))/(INDEX(Compose_C2!$A$13:$A$64,MATCH(C17,Compose_C2!$A$13:$A$64,1)+1)-INDEX(Compose_C2!$A$13:$A$64,MATCH(C17,Compose_C2!$A$13:$A$64,1)))*(INDEX(Compose_C2!$I$13:$I$64,MATCH(C17,Compose_C2!$A$13:$A$64,1)+1)-INDEX(Compose_C2!$I$13:$I$64,MATCH(C17,Compose_C2!$A$13:$A$64,1)))))</f>
        <v/>
      </c>
      <c r="I17" s="15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2!$G$13:$G$64,1),INDEX(Compose_C2!$A$13:$A$64,1),IF(F17&gt;=INDEX(Compose_C2!$G$13:$G$64,ROWS(Compose_C2!$G$13:$G$64)),INDEX(Compose_C2!$A$13:$A$64,ROWS(Compose_C2!$A$13:$A$64)),INDEX(Compose_C2!$A$13:$A$64,MATCH(F17,Compose_C2!$G$13:$G$64,1))+(F17-INDEX(Compose_C2!$G$13:$G$64,MATCH(F17,Compose_C2!$G$13:$G$64,1)))/(INDEX(Compose_C2!$G$13:$G$64,MATCH(F17,Compose_C2!$G$13:$G$64,1)+1)-INDEX(Compose_C2!$G$13:$G$64,MATCH(F17,Compose_C2!$G$13:$G$64,1)))*(INDEX(Compose_C2!$A$13:$A$64,MATCH(F17,Compose_C2!$G$13:$G$64,1)+1)-INDEX(Compose_C2!$A$13:$A$64,MATCH(F17,Compose_C2!$G$13:$G$64,1)))))</f>
        <v/>
      </c>
      <c r="D18" s="17">
        <f>IF(F17&lt;=0.01,MIN(0.5*(B17+B18),$B$4),IF(C18&lt;=INDEX(Compose_C2!$A$13:$A$64,1),INDEX(Compose_C2!$J$13:$J$64,1),IF(C18&gt;=INDEX(Compose_C2!$A$13:$A$64,ROWS(Compose_C2!$A$13:$A$64)),INDEX(Compose_C2!$J$13:$J$64,ROWS(Compose_C2!$J$13:$J$64)),INDEX(Compose_C2!$J$13:$J$64,MATCH(C18,Compose_C2!$A$13:$A$64,1))+(C18-INDEX(Compose_C2!$A$13:$A$64,MATCH(C18,Compose_C2!$A$13:$A$64,1)))/(INDEX(Compose_C2!$A$13:$A$64,MATCH(C18,Compose_C2!$A$13:$A$64,1)+1)-INDEX(Compose_C2!$A$13:$A$64,MATCH(C18,Compose_C2!$A$13:$A$64,1)))*(INDEX(Compose_C2!$J$13:$J$64,MATCH(C18,Compose_C2!$A$13:$A$64,1)+1)-INDEX(Compose_C2!$J$13:$J$64,MATCH(C18,Compose_C2!$A$13:$A$64,1))))))</f>
        <v/>
      </c>
      <c r="E18" s="16">
        <f>(A18-A17)*60</f>
        <v/>
      </c>
      <c r="F18" s="13">
        <f>MAX(0,F17+(0.5*(B17+B18)-D18)*E18)</f>
        <v/>
      </c>
      <c r="G18" s="17">
        <f>IF(C18&lt;=INDEX(Compose_C2!$A$13:$A$64,1),INDEX(Compose_C2!$H$13:$H$64,1),IF(C18&gt;=INDEX(Compose_C2!$A$13:$A$64,ROWS(Compose_C2!$A$13:$A$64)),INDEX(Compose_C2!$H$13:$H$64,ROWS(Compose_C2!$H$13:$H$64)),INDEX(Compose_C2!$H$13:$H$64,MATCH(C18,Compose_C2!$A$13:$A$64,1))+(C18-INDEX(Compose_C2!$A$13:$A$64,MATCH(C18,Compose_C2!$A$13:$A$64,1)))/(INDEX(Compose_C2!$A$13:$A$64,MATCH(C18,Compose_C2!$A$13:$A$64,1)+1)-INDEX(Compose_C2!$A$13:$A$64,MATCH(C18,Compose_C2!$A$13:$A$64,1)))*(INDEX(Compose_C2!$H$13:$H$64,MATCH(C18,Compose_C2!$A$13:$A$64,1)+1)-INDEX(Compose_C2!$H$13:$H$64,MATCH(C18,Compose_C2!$A$13:$A$64,1)))))</f>
        <v/>
      </c>
      <c r="H18" s="17">
        <f>IF(C18&lt;=INDEX(Compose_C2!$A$13:$A$64,1),INDEX(Compose_C2!$I$13:$I$64,1),IF(C18&gt;=INDEX(Compose_C2!$A$13:$A$64,ROWS(Compose_C2!$A$13:$A$64)),INDEX(Compose_C2!$I$13:$I$64,ROWS(Compose_C2!$I$13:$I$64)),INDEX(Compose_C2!$I$13:$I$64,MATCH(C18,Compose_C2!$A$13:$A$64,1))+(C18-INDEX(Compose_C2!$A$13:$A$64,MATCH(C18,Compose_C2!$A$13:$A$64,1)))/(INDEX(Compose_C2!$A$13:$A$64,MATCH(C18,Compose_C2!$A$13:$A$64,1)+1)-INDEX(Compose_C2!$A$13:$A$64,MATCH(C18,Compose_C2!$A$13:$A$64,1)))*(INDEX(Compose_C2!$I$13:$I$64,MATCH(C18,Compose_C2!$A$13:$A$64,1)+1)-INDEX(Compose_C2!$I$13:$I$64,MATCH(C18,Compose_C2!$A$13:$A$64,1)))))</f>
        <v/>
      </c>
      <c r="I18" s="15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2!$G$13:$G$64,1),INDEX(Compose_C2!$A$13:$A$64,1),IF(F18&gt;=INDEX(Compose_C2!$G$13:$G$64,ROWS(Compose_C2!$G$13:$G$64)),INDEX(Compose_C2!$A$13:$A$64,ROWS(Compose_C2!$A$13:$A$64)),INDEX(Compose_C2!$A$13:$A$64,MATCH(F18,Compose_C2!$G$13:$G$64,1))+(F18-INDEX(Compose_C2!$G$13:$G$64,MATCH(F18,Compose_C2!$G$13:$G$64,1)))/(INDEX(Compose_C2!$G$13:$G$64,MATCH(F18,Compose_C2!$G$13:$G$64,1)+1)-INDEX(Compose_C2!$G$13:$G$64,MATCH(F18,Compose_C2!$G$13:$G$64,1)))*(INDEX(Compose_C2!$A$13:$A$64,MATCH(F18,Compose_C2!$G$13:$G$64,1)+1)-INDEX(Compose_C2!$A$13:$A$64,MATCH(F18,Compose_C2!$G$13:$G$64,1)))))</f>
        <v/>
      </c>
      <c r="D19" s="17">
        <f>IF(F18&lt;=0.01,MIN(0.5*(B18+B19),$B$4),IF(C19&lt;=INDEX(Compose_C2!$A$13:$A$64,1),INDEX(Compose_C2!$J$13:$J$64,1),IF(C19&gt;=INDEX(Compose_C2!$A$13:$A$64,ROWS(Compose_C2!$A$13:$A$64)),INDEX(Compose_C2!$J$13:$J$64,ROWS(Compose_C2!$J$13:$J$64)),INDEX(Compose_C2!$J$13:$J$64,MATCH(C19,Compose_C2!$A$13:$A$64,1))+(C19-INDEX(Compose_C2!$A$13:$A$64,MATCH(C19,Compose_C2!$A$13:$A$64,1)))/(INDEX(Compose_C2!$A$13:$A$64,MATCH(C19,Compose_C2!$A$13:$A$64,1)+1)-INDEX(Compose_C2!$A$13:$A$64,MATCH(C19,Compose_C2!$A$13:$A$64,1)))*(INDEX(Compose_C2!$J$13:$J$64,MATCH(C19,Compose_C2!$A$13:$A$64,1)+1)-INDEX(Compose_C2!$J$13:$J$64,MATCH(C19,Compose_C2!$A$13:$A$64,1))))))</f>
        <v/>
      </c>
      <c r="E19" s="16">
        <f>(A19-A18)*60</f>
        <v/>
      </c>
      <c r="F19" s="13">
        <f>MAX(0,F18+(0.5*(B18+B19)-D19)*E19)</f>
        <v/>
      </c>
      <c r="G19" s="17">
        <f>IF(C19&lt;=INDEX(Compose_C2!$A$13:$A$64,1),INDEX(Compose_C2!$H$13:$H$64,1),IF(C19&gt;=INDEX(Compose_C2!$A$13:$A$64,ROWS(Compose_C2!$A$13:$A$64)),INDEX(Compose_C2!$H$13:$H$64,ROWS(Compose_C2!$H$13:$H$64)),INDEX(Compose_C2!$H$13:$H$64,MATCH(C19,Compose_C2!$A$13:$A$64,1))+(C19-INDEX(Compose_C2!$A$13:$A$64,MATCH(C19,Compose_C2!$A$13:$A$64,1)))/(INDEX(Compose_C2!$A$13:$A$64,MATCH(C19,Compose_C2!$A$13:$A$64,1)+1)-INDEX(Compose_C2!$A$13:$A$64,MATCH(C19,Compose_C2!$A$13:$A$64,1)))*(INDEX(Compose_C2!$H$13:$H$64,MATCH(C19,Compose_C2!$A$13:$A$64,1)+1)-INDEX(Compose_C2!$H$13:$H$64,MATCH(C19,Compose_C2!$A$13:$A$64,1)))))</f>
        <v/>
      </c>
      <c r="H19" s="17">
        <f>IF(C19&lt;=INDEX(Compose_C2!$A$13:$A$64,1),INDEX(Compose_C2!$I$13:$I$64,1),IF(C19&gt;=INDEX(Compose_C2!$A$13:$A$64,ROWS(Compose_C2!$A$13:$A$64)),INDEX(Compose_C2!$I$13:$I$64,ROWS(Compose_C2!$I$13:$I$64)),INDEX(Compose_C2!$I$13:$I$64,MATCH(C19,Compose_C2!$A$13:$A$64,1))+(C19-INDEX(Compose_C2!$A$13:$A$64,MATCH(C19,Compose_C2!$A$13:$A$64,1)))/(INDEX(Compose_C2!$A$13:$A$64,MATCH(C19,Compose_C2!$A$13:$A$64,1)+1)-INDEX(Compose_C2!$A$13:$A$64,MATCH(C19,Compose_C2!$A$13:$A$64,1)))*(INDEX(Compose_C2!$I$13:$I$64,MATCH(C19,Compose_C2!$A$13:$A$64,1)+1)-INDEX(Compose_C2!$I$13:$I$64,MATCH(C19,Compose_C2!$A$13:$A$64,1)))))</f>
        <v/>
      </c>
      <c r="I19" s="15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2!$G$13:$G$64,1),INDEX(Compose_C2!$A$13:$A$64,1),IF(F19&gt;=INDEX(Compose_C2!$G$13:$G$64,ROWS(Compose_C2!$G$13:$G$64)),INDEX(Compose_C2!$A$13:$A$64,ROWS(Compose_C2!$A$13:$A$64)),INDEX(Compose_C2!$A$13:$A$64,MATCH(F19,Compose_C2!$G$13:$G$64,1))+(F19-INDEX(Compose_C2!$G$13:$G$64,MATCH(F19,Compose_C2!$G$13:$G$64,1)))/(INDEX(Compose_C2!$G$13:$G$64,MATCH(F19,Compose_C2!$G$13:$G$64,1)+1)-INDEX(Compose_C2!$G$13:$G$64,MATCH(F19,Compose_C2!$G$13:$G$64,1)))*(INDEX(Compose_C2!$A$13:$A$64,MATCH(F19,Compose_C2!$G$13:$G$64,1)+1)-INDEX(Compose_C2!$A$13:$A$64,MATCH(F19,Compose_C2!$G$13:$G$64,1)))))</f>
        <v/>
      </c>
      <c r="D20" s="17">
        <f>IF(F19&lt;=0.01,MIN(0.5*(B19+B20),$B$4),IF(C20&lt;=INDEX(Compose_C2!$A$13:$A$64,1),INDEX(Compose_C2!$J$13:$J$64,1),IF(C20&gt;=INDEX(Compose_C2!$A$13:$A$64,ROWS(Compose_C2!$A$13:$A$64)),INDEX(Compose_C2!$J$13:$J$64,ROWS(Compose_C2!$J$13:$J$64)),INDEX(Compose_C2!$J$13:$J$64,MATCH(C20,Compose_C2!$A$13:$A$64,1))+(C20-INDEX(Compose_C2!$A$13:$A$64,MATCH(C20,Compose_C2!$A$13:$A$64,1)))/(INDEX(Compose_C2!$A$13:$A$64,MATCH(C20,Compose_C2!$A$13:$A$64,1)+1)-INDEX(Compose_C2!$A$13:$A$64,MATCH(C20,Compose_C2!$A$13:$A$64,1)))*(INDEX(Compose_C2!$J$13:$J$64,MATCH(C20,Compose_C2!$A$13:$A$64,1)+1)-INDEX(Compose_C2!$J$13:$J$64,MATCH(C20,Compose_C2!$A$13:$A$64,1))))))</f>
        <v/>
      </c>
      <c r="E20" s="16">
        <f>(A20-A19)*60</f>
        <v/>
      </c>
      <c r="F20" s="13">
        <f>MAX(0,F19+(0.5*(B19+B20)-D20)*E20)</f>
        <v/>
      </c>
      <c r="G20" s="17">
        <f>IF(C20&lt;=INDEX(Compose_C2!$A$13:$A$64,1),INDEX(Compose_C2!$H$13:$H$64,1),IF(C20&gt;=INDEX(Compose_C2!$A$13:$A$64,ROWS(Compose_C2!$A$13:$A$64)),INDEX(Compose_C2!$H$13:$H$64,ROWS(Compose_C2!$H$13:$H$64)),INDEX(Compose_C2!$H$13:$H$64,MATCH(C20,Compose_C2!$A$13:$A$64,1))+(C20-INDEX(Compose_C2!$A$13:$A$64,MATCH(C20,Compose_C2!$A$13:$A$64,1)))/(INDEX(Compose_C2!$A$13:$A$64,MATCH(C20,Compose_C2!$A$13:$A$64,1)+1)-INDEX(Compose_C2!$A$13:$A$64,MATCH(C20,Compose_C2!$A$13:$A$64,1)))*(INDEX(Compose_C2!$H$13:$H$64,MATCH(C20,Compose_C2!$A$13:$A$64,1)+1)-INDEX(Compose_C2!$H$13:$H$64,MATCH(C20,Compose_C2!$A$13:$A$64,1)))))</f>
        <v/>
      </c>
      <c r="H20" s="17">
        <f>IF(C20&lt;=INDEX(Compose_C2!$A$13:$A$64,1),INDEX(Compose_C2!$I$13:$I$64,1),IF(C20&gt;=INDEX(Compose_C2!$A$13:$A$64,ROWS(Compose_C2!$A$13:$A$64)),INDEX(Compose_C2!$I$13:$I$64,ROWS(Compose_C2!$I$13:$I$64)),INDEX(Compose_C2!$I$13:$I$64,MATCH(C20,Compose_C2!$A$13:$A$64,1))+(C20-INDEX(Compose_C2!$A$13:$A$64,MATCH(C20,Compose_C2!$A$13:$A$64,1)))/(INDEX(Compose_C2!$A$13:$A$64,MATCH(C20,Compose_C2!$A$13:$A$64,1)+1)-INDEX(Compose_C2!$A$13:$A$64,MATCH(C20,Compose_C2!$A$13:$A$64,1)))*(INDEX(Compose_C2!$I$13:$I$64,MATCH(C20,Compose_C2!$A$13:$A$64,1)+1)-INDEX(Compose_C2!$I$13:$I$64,MATCH(C20,Compose_C2!$A$13:$A$64,1)))))</f>
        <v/>
      </c>
      <c r="I20" s="15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2!$G$13:$G$64,1),INDEX(Compose_C2!$A$13:$A$64,1),IF(F20&gt;=INDEX(Compose_C2!$G$13:$G$64,ROWS(Compose_C2!$G$13:$G$64)),INDEX(Compose_C2!$A$13:$A$64,ROWS(Compose_C2!$A$13:$A$64)),INDEX(Compose_C2!$A$13:$A$64,MATCH(F20,Compose_C2!$G$13:$G$64,1))+(F20-INDEX(Compose_C2!$G$13:$G$64,MATCH(F20,Compose_C2!$G$13:$G$64,1)))/(INDEX(Compose_C2!$G$13:$G$64,MATCH(F20,Compose_C2!$G$13:$G$64,1)+1)-INDEX(Compose_C2!$G$13:$G$64,MATCH(F20,Compose_C2!$G$13:$G$64,1)))*(INDEX(Compose_C2!$A$13:$A$64,MATCH(F20,Compose_C2!$G$13:$G$64,1)+1)-INDEX(Compose_C2!$A$13:$A$64,MATCH(F20,Compose_C2!$G$13:$G$64,1)))))</f>
        <v/>
      </c>
      <c r="D21" s="17">
        <f>IF(F20&lt;=0.01,MIN(0.5*(B20+B21),$B$4),IF(C21&lt;=INDEX(Compose_C2!$A$13:$A$64,1),INDEX(Compose_C2!$J$13:$J$64,1),IF(C21&gt;=INDEX(Compose_C2!$A$13:$A$64,ROWS(Compose_C2!$A$13:$A$64)),INDEX(Compose_C2!$J$13:$J$64,ROWS(Compose_C2!$J$13:$J$64)),INDEX(Compose_C2!$J$13:$J$64,MATCH(C21,Compose_C2!$A$13:$A$64,1))+(C21-INDEX(Compose_C2!$A$13:$A$64,MATCH(C21,Compose_C2!$A$13:$A$64,1)))/(INDEX(Compose_C2!$A$13:$A$64,MATCH(C21,Compose_C2!$A$13:$A$64,1)+1)-INDEX(Compose_C2!$A$13:$A$64,MATCH(C21,Compose_C2!$A$13:$A$64,1)))*(INDEX(Compose_C2!$J$13:$J$64,MATCH(C21,Compose_C2!$A$13:$A$64,1)+1)-INDEX(Compose_C2!$J$13:$J$64,MATCH(C21,Compose_C2!$A$13:$A$64,1))))))</f>
        <v/>
      </c>
      <c r="E21" s="16">
        <f>(A21-A20)*60</f>
        <v/>
      </c>
      <c r="F21" s="13">
        <f>MAX(0,F20+(0.5*(B20+B21)-D21)*E21)</f>
        <v/>
      </c>
      <c r="G21" s="17">
        <f>IF(C21&lt;=INDEX(Compose_C2!$A$13:$A$64,1),INDEX(Compose_C2!$H$13:$H$64,1),IF(C21&gt;=INDEX(Compose_C2!$A$13:$A$64,ROWS(Compose_C2!$A$13:$A$64)),INDEX(Compose_C2!$H$13:$H$64,ROWS(Compose_C2!$H$13:$H$64)),INDEX(Compose_C2!$H$13:$H$64,MATCH(C21,Compose_C2!$A$13:$A$64,1))+(C21-INDEX(Compose_C2!$A$13:$A$64,MATCH(C21,Compose_C2!$A$13:$A$64,1)))/(INDEX(Compose_C2!$A$13:$A$64,MATCH(C21,Compose_C2!$A$13:$A$64,1)+1)-INDEX(Compose_C2!$A$13:$A$64,MATCH(C21,Compose_C2!$A$13:$A$64,1)))*(INDEX(Compose_C2!$H$13:$H$64,MATCH(C21,Compose_C2!$A$13:$A$64,1)+1)-INDEX(Compose_C2!$H$13:$H$64,MATCH(C21,Compose_C2!$A$13:$A$64,1)))))</f>
        <v/>
      </c>
      <c r="H21" s="17">
        <f>IF(C21&lt;=INDEX(Compose_C2!$A$13:$A$64,1),INDEX(Compose_C2!$I$13:$I$64,1),IF(C21&gt;=INDEX(Compose_C2!$A$13:$A$64,ROWS(Compose_C2!$A$13:$A$64)),INDEX(Compose_C2!$I$13:$I$64,ROWS(Compose_C2!$I$13:$I$64)),INDEX(Compose_C2!$I$13:$I$64,MATCH(C21,Compose_C2!$A$13:$A$64,1))+(C21-INDEX(Compose_C2!$A$13:$A$64,MATCH(C21,Compose_C2!$A$13:$A$64,1)))/(INDEX(Compose_C2!$A$13:$A$64,MATCH(C21,Compose_C2!$A$13:$A$64,1)+1)-INDEX(Compose_C2!$A$13:$A$64,MATCH(C21,Compose_C2!$A$13:$A$64,1)))*(INDEX(Compose_C2!$I$13:$I$64,MATCH(C21,Compose_C2!$A$13:$A$64,1)+1)-INDEX(Compose_C2!$I$13:$I$64,MATCH(C21,Compose_C2!$A$13:$A$64,1)))))</f>
        <v/>
      </c>
      <c r="I21" s="15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2!$G$13:$G$64,1),INDEX(Compose_C2!$A$13:$A$64,1),IF(F21&gt;=INDEX(Compose_C2!$G$13:$G$64,ROWS(Compose_C2!$G$13:$G$64)),INDEX(Compose_C2!$A$13:$A$64,ROWS(Compose_C2!$A$13:$A$64)),INDEX(Compose_C2!$A$13:$A$64,MATCH(F21,Compose_C2!$G$13:$G$64,1))+(F21-INDEX(Compose_C2!$G$13:$G$64,MATCH(F21,Compose_C2!$G$13:$G$64,1)))/(INDEX(Compose_C2!$G$13:$G$64,MATCH(F21,Compose_C2!$G$13:$G$64,1)+1)-INDEX(Compose_C2!$G$13:$G$64,MATCH(F21,Compose_C2!$G$13:$G$64,1)))*(INDEX(Compose_C2!$A$13:$A$64,MATCH(F21,Compose_C2!$G$13:$G$64,1)+1)-INDEX(Compose_C2!$A$13:$A$64,MATCH(F21,Compose_C2!$G$13:$G$64,1)))))</f>
        <v/>
      </c>
      <c r="D22" s="17">
        <f>IF(F21&lt;=0.01,MIN(0.5*(B21+B22),$B$4),IF(C22&lt;=INDEX(Compose_C2!$A$13:$A$64,1),INDEX(Compose_C2!$J$13:$J$64,1),IF(C22&gt;=INDEX(Compose_C2!$A$13:$A$64,ROWS(Compose_C2!$A$13:$A$64)),INDEX(Compose_C2!$J$13:$J$64,ROWS(Compose_C2!$J$13:$J$64)),INDEX(Compose_C2!$J$13:$J$64,MATCH(C22,Compose_C2!$A$13:$A$64,1))+(C22-INDEX(Compose_C2!$A$13:$A$64,MATCH(C22,Compose_C2!$A$13:$A$64,1)))/(INDEX(Compose_C2!$A$13:$A$64,MATCH(C22,Compose_C2!$A$13:$A$64,1)+1)-INDEX(Compose_C2!$A$13:$A$64,MATCH(C22,Compose_C2!$A$13:$A$64,1)))*(INDEX(Compose_C2!$J$13:$J$64,MATCH(C22,Compose_C2!$A$13:$A$64,1)+1)-INDEX(Compose_C2!$J$13:$J$64,MATCH(C22,Compose_C2!$A$13:$A$64,1))))))</f>
        <v/>
      </c>
      <c r="E22" s="16">
        <f>(A22-A21)*60</f>
        <v/>
      </c>
      <c r="F22" s="13">
        <f>MAX(0,F21+(0.5*(B21+B22)-D22)*E22)</f>
        <v/>
      </c>
      <c r="G22" s="17">
        <f>IF(C22&lt;=INDEX(Compose_C2!$A$13:$A$64,1),INDEX(Compose_C2!$H$13:$H$64,1),IF(C22&gt;=INDEX(Compose_C2!$A$13:$A$64,ROWS(Compose_C2!$A$13:$A$64)),INDEX(Compose_C2!$H$13:$H$64,ROWS(Compose_C2!$H$13:$H$64)),INDEX(Compose_C2!$H$13:$H$64,MATCH(C22,Compose_C2!$A$13:$A$64,1))+(C22-INDEX(Compose_C2!$A$13:$A$64,MATCH(C22,Compose_C2!$A$13:$A$64,1)))/(INDEX(Compose_C2!$A$13:$A$64,MATCH(C22,Compose_C2!$A$13:$A$64,1)+1)-INDEX(Compose_C2!$A$13:$A$64,MATCH(C22,Compose_C2!$A$13:$A$64,1)))*(INDEX(Compose_C2!$H$13:$H$64,MATCH(C22,Compose_C2!$A$13:$A$64,1)+1)-INDEX(Compose_C2!$H$13:$H$64,MATCH(C22,Compose_C2!$A$13:$A$64,1)))))</f>
        <v/>
      </c>
      <c r="H22" s="17">
        <f>IF(C22&lt;=INDEX(Compose_C2!$A$13:$A$64,1),INDEX(Compose_C2!$I$13:$I$64,1),IF(C22&gt;=INDEX(Compose_C2!$A$13:$A$64,ROWS(Compose_C2!$A$13:$A$64)),INDEX(Compose_C2!$I$13:$I$64,ROWS(Compose_C2!$I$13:$I$64)),INDEX(Compose_C2!$I$13:$I$64,MATCH(C22,Compose_C2!$A$13:$A$64,1))+(C22-INDEX(Compose_C2!$A$13:$A$64,MATCH(C22,Compose_C2!$A$13:$A$64,1)))/(INDEX(Compose_C2!$A$13:$A$64,MATCH(C22,Compose_C2!$A$13:$A$64,1)+1)-INDEX(Compose_C2!$A$13:$A$64,MATCH(C22,Compose_C2!$A$13:$A$64,1)))*(INDEX(Compose_C2!$I$13:$I$64,MATCH(C22,Compose_C2!$A$13:$A$64,1)+1)-INDEX(Compose_C2!$I$13:$I$64,MATCH(C22,Compose_C2!$A$13:$A$64,1)))))</f>
        <v/>
      </c>
      <c r="I22" s="15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2!$G$13:$G$64,1),INDEX(Compose_C2!$A$13:$A$64,1),IF(F22&gt;=INDEX(Compose_C2!$G$13:$G$64,ROWS(Compose_C2!$G$13:$G$64)),INDEX(Compose_C2!$A$13:$A$64,ROWS(Compose_C2!$A$13:$A$64)),INDEX(Compose_C2!$A$13:$A$64,MATCH(F22,Compose_C2!$G$13:$G$64,1))+(F22-INDEX(Compose_C2!$G$13:$G$64,MATCH(F22,Compose_C2!$G$13:$G$64,1)))/(INDEX(Compose_C2!$G$13:$G$64,MATCH(F22,Compose_C2!$G$13:$G$64,1)+1)-INDEX(Compose_C2!$G$13:$G$64,MATCH(F22,Compose_C2!$G$13:$G$64,1)))*(INDEX(Compose_C2!$A$13:$A$64,MATCH(F22,Compose_C2!$G$13:$G$64,1)+1)-INDEX(Compose_C2!$A$13:$A$64,MATCH(F22,Compose_C2!$G$13:$G$64,1)))))</f>
        <v/>
      </c>
      <c r="D23" s="17">
        <f>IF(F22&lt;=0.01,MIN(0.5*(B22+B23),$B$4),IF(C23&lt;=INDEX(Compose_C2!$A$13:$A$64,1),INDEX(Compose_C2!$J$13:$J$64,1),IF(C23&gt;=INDEX(Compose_C2!$A$13:$A$64,ROWS(Compose_C2!$A$13:$A$64)),INDEX(Compose_C2!$J$13:$J$64,ROWS(Compose_C2!$J$13:$J$64)),INDEX(Compose_C2!$J$13:$J$64,MATCH(C23,Compose_C2!$A$13:$A$64,1))+(C23-INDEX(Compose_C2!$A$13:$A$64,MATCH(C23,Compose_C2!$A$13:$A$64,1)))/(INDEX(Compose_C2!$A$13:$A$64,MATCH(C23,Compose_C2!$A$13:$A$64,1)+1)-INDEX(Compose_C2!$A$13:$A$64,MATCH(C23,Compose_C2!$A$13:$A$64,1)))*(INDEX(Compose_C2!$J$13:$J$64,MATCH(C23,Compose_C2!$A$13:$A$64,1)+1)-INDEX(Compose_C2!$J$13:$J$64,MATCH(C23,Compose_C2!$A$13:$A$64,1))))))</f>
        <v/>
      </c>
      <c r="E23" s="16">
        <f>(A23-A22)*60</f>
        <v/>
      </c>
      <c r="F23" s="13">
        <f>MAX(0,F22+(0.5*(B22+B23)-D23)*E23)</f>
        <v/>
      </c>
      <c r="G23" s="17">
        <f>IF(C23&lt;=INDEX(Compose_C2!$A$13:$A$64,1),INDEX(Compose_C2!$H$13:$H$64,1),IF(C23&gt;=INDEX(Compose_C2!$A$13:$A$64,ROWS(Compose_C2!$A$13:$A$64)),INDEX(Compose_C2!$H$13:$H$64,ROWS(Compose_C2!$H$13:$H$64)),INDEX(Compose_C2!$H$13:$H$64,MATCH(C23,Compose_C2!$A$13:$A$64,1))+(C23-INDEX(Compose_C2!$A$13:$A$64,MATCH(C23,Compose_C2!$A$13:$A$64,1)))/(INDEX(Compose_C2!$A$13:$A$64,MATCH(C23,Compose_C2!$A$13:$A$64,1)+1)-INDEX(Compose_C2!$A$13:$A$64,MATCH(C23,Compose_C2!$A$13:$A$64,1)))*(INDEX(Compose_C2!$H$13:$H$64,MATCH(C23,Compose_C2!$A$13:$A$64,1)+1)-INDEX(Compose_C2!$H$13:$H$64,MATCH(C23,Compose_C2!$A$13:$A$64,1)))))</f>
        <v/>
      </c>
      <c r="H23" s="17">
        <f>IF(C23&lt;=INDEX(Compose_C2!$A$13:$A$64,1),INDEX(Compose_C2!$I$13:$I$64,1),IF(C23&gt;=INDEX(Compose_C2!$A$13:$A$64,ROWS(Compose_C2!$A$13:$A$64)),INDEX(Compose_C2!$I$13:$I$64,ROWS(Compose_C2!$I$13:$I$64)),INDEX(Compose_C2!$I$13:$I$64,MATCH(C23,Compose_C2!$A$13:$A$64,1))+(C23-INDEX(Compose_C2!$A$13:$A$64,MATCH(C23,Compose_C2!$A$13:$A$64,1)))/(INDEX(Compose_C2!$A$13:$A$64,MATCH(C23,Compose_C2!$A$13:$A$64,1)+1)-INDEX(Compose_C2!$A$13:$A$64,MATCH(C23,Compose_C2!$A$13:$A$64,1)))*(INDEX(Compose_C2!$I$13:$I$64,MATCH(C23,Compose_C2!$A$13:$A$64,1)+1)-INDEX(Compose_C2!$I$13:$I$64,MATCH(C23,Compose_C2!$A$13:$A$64,1)))))</f>
        <v/>
      </c>
      <c r="I23" s="15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2!$G$13:$G$64,1),INDEX(Compose_C2!$A$13:$A$64,1),IF(F23&gt;=INDEX(Compose_C2!$G$13:$G$64,ROWS(Compose_C2!$G$13:$G$64)),INDEX(Compose_C2!$A$13:$A$64,ROWS(Compose_C2!$A$13:$A$64)),INDEX(Compose_C2!$A$13:$A$64,MATCH(F23,Compose_C2!$G$13:$G$64,1))+(F23-INDEX(Compose_C2!$G$13:$G$64,MATCH(F23,Compose_C2!$G$13:$G$64,1)))/(INDEX(Compose_C2!$G$13:$G$64,MATCH(F23,Compose_C2!$G$13:$G$64,1)+1)-INDEX(Compose_C2!$G$13:$G$64,MATCH(F23,Compose_C2!$G$13:$G$64,1)))*(INDEX(Compose_C2!$A$13:$A$64,MATCH(F23,Compose_C2!$G$13:$G$64,1)+1)-INDEX(Compose_C2!$A$13:$A$64,MATCH(F23,Compose_C2!$G$13:$G$64,1)))))</f>
        <v/>
      </c>
      <c r="D24" s="17">
        <f>IF(F23&lt;=0.01,MIN(0.5*(B23+B24),$B$4),IF(C24&lt;=INDEX(Compose_C2!$A$13:$A$64,1),INDEX(Compose_C2!$J$13:$J$64,1),IF(C24&gt;=INDEX(Compose_C2!$A$13:$A$64,ROWS(Compose_C2!$A$13:$A$64)),INDEX(Compose_C2!$J$13:$J$64,ROWS(Compose_C2!$J$13:$J$64)),INDEX(Compose_C2!$J$13:$J$64,MATCH(C24,Compose_C2!$A$13:$A$64,1))+(C24-INDEX(Compose_C2!$A$13:$A$64,MATCH(C24,Compose_C2!$A$13:$A$64,1)))/(INDEX(Compose_C2!$A$13:$A$64,MATCH(C24,Compose_C2!$A$13:$A$64,1)+1)-INDEX(Compose_C2!$A$13:$A$64,MATCH(C24,Compose_C2!$A$13:$A$64,1)))*(INDEX(Compose_C2!$J$13:$J$64,MATCH(C24,Compose_C2!$A$13:$A$64,1)+1)-INDEX(Compose_C2!$J$13:$J$64,MATCH(C24,Compose_C2!$A$13:$A$64,1))))))</f>
        <v/>
      </c>
      <c r="E24" s="16">
        <f>(A24-A23)*60</f>
        <v/>
      </c>
      <c r="F24" s="13">
        <f>MAX(0,F23+(0.5*(B23+B24)-D24)*E24)</f>
        <v/>
      </c>
      <c r="G24" s="17">
        <f>IF(C24&lt;=INDEX(Compose_C2!$A$13:$A$64,1),INDEX(Compose_C2!$H$13:$H$64,1),IF(C24&gt;=INDEX(Compose_C2!$A$13:$A$64,ROWS(Compose_C2!$A$13:$A$64)),INDEX(Compose_C2!$H$13:$H$64,ROWS(Compose_C2!$H$13:$H$64)),INDEX(Compose_C2!$H$13:$H$64,MATCH(C24,Compose_C2!$A$13:$A$64,1))+(C24-INDEX(Compose_C2!$A$13:$A$64,MATCH(C24,Compose_C2!$A$13:$A$64,1)))/(INDEX(Compose_C2!$A$13:$A$64,MATCH(C24,Compose_C2!$A$13:$A$64,1)+1)-INDEX(Compose_C2!$A$13:$A$64,MATCH(C24,Compose_C2!$A$13:$A$64,1)))*(INDEX(Compose_C2!$H$13:$H$64,MATCH(C24,Compose_C2!$A$13:$A$64,1)+1)-INDEX(Compose_C2!$H$13:$H$64,MATCH(C24,Compose_C2!$A$13:$A$64,1)))))</f>
        <v/>
      </c>
      <c r="H24" s="17">
        <f>IF(C24&lt;=INDEX(Compose_C2!$A$13:$A$64,1),INDEX(Compose_C2!$I$13:$I$64,1),IF(C24&gt;=INDEX(Compose_C2!$A$13:$A$64,ROWS(Compose_C2!$A$13:$A$64)),INDEX(Compose_C2!$I$13:$I$64,ROWS(Compose_C2!$I$13:$I$64)),INDEX(Compose_C2!$I$13:$I$64,MATCH(C24,Compose_C2!$A$13:$A$64,1))+(C24-INDEX(Compose_C2!$A$13:$A$64,MATCH(C24,Compose_C2!$A$13:$A$64,1)))/(INDEX(Compose_C2!$A$13:$A$64,MATCH(C24,Compose_C2!$A$13:$A$64,1)+1)-INDEX(Compose_C2!$A$13:$A$64,MATCH(C24,Compose_C2!$A$13:$A$64,1)))*(INDEX(Compose_C2!$I$13:$I$64,MATCH(C24,Compose_C2!$A$13:$A$64,1)+1)-INDEX(Compose_C2!$I$13:$I$64,MATCH(C24,Compose_C2!$A$13:$A$64,1)))))</f>
        <v/>
      </c>
      <c r="I24" s="15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2!$G$13:$G$64,1),INDEX(Compose_C2!$A$13:$A$64,1),IF(F24&gt;=INDEX(Compose_C2!$G$13:$G$64,ROWS(Compose_C2!$G$13:$G$64)),INDEX(Compose_C2!$A$13:$A$64,ROWS(Compose_C2!$A$13:$A$64)),INDEX(Compose_C2!$A$13:$A$64,MATCH(F24,Compose_C2!$G$13:$G$64,1))+(F24-INDEX(Compose_C2!$G$13:$G$64,MATCH(F24,Compose_C2!$G$13:$G$64,1)))/(INDEX(Compose_C2!$G$13:$G$64,MATCH(F24,Compose_C2!$G$13:$G$64,1)+1)-INDEX(Compose_C2!$G$13:$G$64,MATCH(F24,Compose_C2!$G$13:$G$64,1)))*(INDEX(Compose_C2!$A$13:$A$64,MATCH(F24,Compose_C2!$G$13:$G$64,1)+1)-INDEX(Compose_C2!$A$13:$A$64,MATCH(F24,Compose_C2!$G$13:$G$64,1)))))</f>
        <v/>
      </c>
      <c r="D25" s="17">
        <f>IF(F24&lt;=0.01,MIN(0.5*(B24+B25),$B$4),IF(C25&lt;=INDEX(Compose_C2!$A$13:$A$64,1),INDEX(Compose_C2!$J$13:$J$64,1),IF(C25&gt;=INDEX(Compose_C2!$A$13:$A$64,ROWS(Compose_C2!$A$13:$A$64)),INDEX(Compose_C2!$J$13:$J$64,ROWS(Compose_C2!$J$13:$J$64)),INDEX(Compose_C2!$J$13:$J$64,MATCH(C25,Compose_C2!$A$13:$A$64,1))+(C25-INDEX(Compose_C2!$A$13:$A$64,MATCH(C25,Compose_C2!$A$13:$A$64,1)))/(INDEX(Compose_C2!$A$13:$A$64,MATCH(C25,Compose_C2!$A$13:$A$64,1)+1)-INDEX(Compose_C2!$A$13:$A$64,MATCH(C25,Compose_C2!$A$13:$A$64,1)))*(INDEX(Compose_C2!$J$13:$J$64,MATCH(C25,Compose_C2!$A$13:$A$64,1)+1)-INDEX(Compose_C2!$J$13:$J$64,MATCH(C25,Compose_C2!$A$13:$A$64,1))))))</f>
        <v/>
      </c>
      <c r="E25" s="16">
        <f>(A25-A24)*60</f>
        <v/>
      </c>
      <c r="F25" s="13">
        <f>MAX(0,F24+(0.5*(B24+B25)-D25)*E25)</f>
        <v/>
      </c>
      <c r="G25" s="17">
        <f>IF(C25&lt;=INDEX(Compose_C2!$A$13:$A$64,1),INDEX(Compose_C2!$H$13:$H$64,1),IF(C25&gt;=INDEX(Compose_C2!$A$13:$A$64,ROWS(Compose_C2!$A$13:$A$64)),INDEX(Compose_C2!$H$13:$H$64,ROWS(Compose_C2!$H$13:$H$64)),INDEX(Compose_C2!$H$13:$H$64,MATCH(C25,Compose_C2!$A$13:$A$64,1))+(C25-INDEX(Compose_C2!$A$13:$A$64,MATCH(C25,Compose_C2!$A$13:$A$64,1)))/(INDEX(Compose_C2!$A$13:$A$64,MATCH(C25,Compose_C2!$A$13:$A$64,1)+1)-INDEX(Compose_C2!$A$13:$A$64,MATCH(C25,Compose_C2!$A$13:$A$64,1)))*(INDEX(Compose_C2!$H$13:$H$64,MATCH(C25,Compose_C2!$A$13:$A$64,1)+1)-INDEX(Compose_C2!$H$13:$H$64,MATCH(C25,Compose_C2!$A$13:$A$64,1)))))</f>
        <v/>
      </c>
      <c r="H25" s="17">
        <f>IF(C25&lt;=INDEX(Compose_C2!$A$13:$A$64,1),INDEX(Compose_C2!$I$13:$I$64,1),IF(C25&gt;=INDEX(Compose_C2!$A$13:$A$64,ROWS(Compose_C2!$A$13:$A$64)),INDEX(Compose_C2!$I$13:$I$64,ROWS(Compose_C2!$I$13:$I$64)),INDEX(Compose_C2!$I$13:$I$64,MATCH(C25,Compose_C2!$A$13:$A$64,1))+(C25-INDEX(Compose_C2!$A$13:$A$64,MATCH(C25,Compose_C2!$A$13:$A$64,1)))/(INDEX(Compose_C2!$A$13:$A$64,MATCH(C25,Compose_C2!$A$13:$A$64,1)+1)-INDEX(Compose_C2!$A$13:$A$64,MATCH(C25,Compose_C2!$A$13:$A$64,1)))*(INDEX(Compose_C2!$I$13:$I$64,MATCH(C25,Compose_C2!$A$13:$A$64,1)+1)-INDEX(Compose_C2!$I$13:$I$64,MATCH(C25,Compose_C2!$A$13:$A$64,1)))))</f>
        <v/>
      </c>
      <c r="I25" s="15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2!$G$13:$G$64,1),INDEX(Compose_C2!$A$13:$A$64,1),IF(F25&gt;=INDEX(Compose_C2!$G$13:$G$64,ROWS(Compose_C2!$G$13:$G$64)),INDEX(Compose_C2!$A$13:$A$64,ROWS(Compose_C2!$A$13:$A$64)),INDEX(Compose_C2!$A$13:$A$64,MATCH(F25,Compose_C2!$G$13:$G$64,1))+(F25-INDEX(Compose_C2!$G$13:$G$64,MATCH(F25,Compose_C2!$G$13:$G$64,1)))/(INDEX(Compose_C2!$G$13:$G$64,MATCH(F25,Compose_C2!$G$13:$G$64,1)+1)-INDEX(Compose_C2!$G$13:$G$64,MATCH(F25,Compose_C2!$G$13:$G$64,1)))*(INDEX(Compose_C2!$A$13:$A$64,MATCH(F25,Compose_C2!$G$13:$G$64,1)+1)-INDEX(Compose_C2!$A$13:$A$64,MATCH(F25,Compose_C2!$G$13:$G$64,1)))))</f>
        <v/>
      </c>
      <c r="D26" s="17">
        <f>IF(F25&lt;=0.01,MIN(0.5*(B25+B26),$B$4),IF(C26&lt;=INDEX(Compose_C2!$A$13:$A$64,1),INDEX(Compose_C2!$J$13:$J$64,1),IF(C26&gt;=INDEX(Compose_C2!$A$13:$A$64,ROWS(Compose_C2!$A$13:$A$64)),INDEX(Compose_C2!$J$13:$J$64,ROWS(Compose_C2!$J$13:$J$64)),INDEX(Compose_C2!$J$13:$J$64,MATCH(C26,Compose_C2!$A$13:$A$64,1))+(C26-INDEX(Compose_C2!$A$13:$A$64,MATCH(C26,Compose_C2!$A$13:$A$64,1)))/(INDEX(Compose_C2!$A$13:$A$64,MATCH(C26,Compose_C2!$A$13:$A$64,1)+1)-INDEX(Compose_C2!$A$13:$A$64,MATCH(C26,Compose_C2!$A$13:$A$64,1)))*(INDEX(Compose_C2!$J$13:$J$64,MATCH(C26,Compose_C2!$A$13:$A$64,1)+1)-INDEX(Compose_C2!$J$13:$J$64,MATCH(C26,Compose_C2!$A$13:$A$64,1))))))</f>
        <v/>
      </c>
      <c r="E26" s="16">
        <f>(A26-A25)*60</f>
        <v/>
      </c>
      <c r="F26" s="13">
        <f>MAX(0,F25+(0.5*(B25+B26)-D26)*E26)</f>
        <v/>
      </c>
      <c r="G26" s="17">
        <f>IF(C26&lt;=INDEX(Compose_C2!$A$13:$A$64,1),INDEX(Compose_C2!$H$13:$H$64,1),IF(C26&gt;=INDEX(Compose_C2!$A$13:$A$64,ROWS(Compose_C2!$A$13:$A$64)),INDEX(Compose_C2!$H$13:$H$64,ROWS(Compose_C2!$H$13:$H$64)),INDEX(Compose_C2!$H$13:$H$64,MATCH(C26,Compose_C2!$A$13:$A$64,1))+(C26-INDEX(Compose_C2!$A$13:$A$64,MATCH(C26,Compose_C2!$A$13:$A$64,1)))/(INDEX(Compose_C2!$A$13:$A$64,MATCH(C26,Compose_C2!$A$13:$A$64,1)+1)-INDEX(Compose_C2!$A$13:$A$64,MATCH(C26,Compose_C2!$A$13:$A$64,1)))*(INDEX(Compose_C2!$H$13:$H$64,MATCH(C26,Compose_C2!$A$13:$A$64,1)+1)-INDEX(Compose_C2!$H$13:$H$64,MATCH(C26,Compose_C2!$A$13:$A$64,1)))))</f>
        <v/>
      </c>
      <c r="H26" s="17">
        <f>IF(C26&lt;=INDEX(Compose_C2!$A$13:$A$64,1),INDEX(Compose_C2!$I$13:$I$64,1),IF(C26&gt;=INDEX(Compose_C2!$A$13:$A$64,ROWS(Compose_C2!$A$13:$A$64)),INDEX(Compose_C2!$I$13:$I$64,ROWS(Compose_C2!$I$13:$I$64)),INDEX(Compose_C2!$I$13:$I$64,MATCH(C26,Compose_C2!$A$13:$A$64,1))+(C26-INDEX(Compose_C2!$A$13:$A$64,MATCH(C26,Compose_C2!$A$13:$A$64,1)))/(INDEX(Compose_C2!$A$13:$A$64,MATCH(C26,Compose_C2!$A$13:$A$64,1)+1)-INDEX(Compose_C2!$A$13:$A$64,MATCH(C26,Compose_C2!$A$13:$A$64,1)))*(INDEX(Compose_C2!$I$13:$I$64,MATCH(C26,Compose_C2!$A$13:$A$64,1)+1)-INDEX(Compose_C2!$I$13:$I$64,MATCH(C26,Compose_C2!$A$13:$A$64,1)))))</f>
        <v/>
      </c>
      <c r="I26" s="15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2!$G$13:$G$64,1),INDEX(Compose_C2!$A$13:$A$64,1),IF(F26&gt;=INDEX(Compose_C2!$G$13:$G$64,ROWS(Compose_C2!$G$13:$G$64)),INDEX(Compose_C2!$A$13:$A$64,ROWS(Compose_C2!$A$13:$A$64)),INDEX(Compose_C2!$A$13:$A$64,MATCH(F26,Compose_C2!$G$13:$G$64,1))+(F26-INDEX(Compose_C2!$G$13:$G$64,MATCH(F26,Compose_C2!$G$13:$G$64,1)))/(INDEX(Compose_C2!$G$13:$G$64,MATCH(F26,Compose_C2!$G$13:$G$64,1)+1)-INDEX(Compose_C2!$G$13:$G$64,MATCH(F26,Compose_C2!$G$13:$G$64,1)))*(INDEX(Compose_C2!$A$13:$A$64,MATCH(F26,Compose_C2!$G$13:$G$64,1)+1)-INDEX(Compose_C2!$A$13:$A$64,MATCH(F26,Compose_C2!$G$13:$G$64,1)))))</f>
        <v/>
      </c>
      <c r="D27" s="17">
        <f>IF(F26&lt;=0.01,MIN(0.5*(B26+B27),$B$4),IF(C27&lt;=INDEX(Compose_C2!$A$13:$A$64,1),INDEX(Compose_C2!$J$13:$J$64,1),IF(C27&gt;=INDEX(Compose_C2!$A$13:$A$64,ROWS(Compose_C2!$A$13:$A$64)),INDEX(Compose_C2!$J$13:$J$64,ROWS(Compose_C2!$J$13:$J$64)),INDEX(Compose_C2!$J$13:$J$64,MATCH(C27,Compose_C2!$A$13:$A$64,1))+(C27-INDEX(Compose_C2!$A$13:$A$64,MATCH(C27,Compose_C2!$A$13:$A$64,1)))/(INDEX(Compose_C2!$A$13:$A$64,MATCH(C27,Compose_C2!$A$13:$A$64,1)+1)-INDEX(Compose_C2!$A$13:$A$64,MATCH(C27,Compose_C2!$A$13:$A$64,1)))*(INDEX(Compose_C2!$J$13:$J$64,MATCH(C27,Compose_C2!$A$13:$A$64,1)+1)-INDEX(Compose_C2!$J$13:$J$64,MATCH(C27,Compose_C2!$A$13:$A$64,1))))))</f>
        <v/>
      </c>
      <c r="E27" s="16">
        <f>(A27-A26)*60</f>
        <v/>
      </c>
      <c r="F27" s="13">
        <f>MAX(0,F26+(0.5*(B26+B27)-D27)*E27)</f>
        <v/>
      </c>
      <c r="G27" s="17">
        <f>IF(C27&lt;=INDEX(Compose_C2!$A$13:$A$64,1),INDEX(Compose_C2!$H$13:$H$64,1),IF(C27&gt;=INDEX(Compose_C2!$A$13:$A$64,ROWS(Compose_C2!$A$13:$A$64)),INDEX(Compose_C2!$H$13:$H$64,ROWS(Compose_C2!$H$13:$H$64)),INDEX(Compose_C2!$H$13:$H$64,MATCH(C27,Compose_C2!$A$13:$A$64,1))+(C27-INDEX(Compose_C2!$A$13:$A$64,MATCH(C27,Compose_C2!$A$13:$A$64,1)))/(INDEX(Compose_C2!$A$13:$A$64,MATCH(C27,Compose_C2!$A$13:$A$64,1)+1)-INDEX(Compose_C2!$A$13:$A$64,MATCH(C27,Compose_C2!$A$13:$A$64,1)))*(INDEX(Compose_C2!$H$13:$H$64,MATCH(C27,Compose_C2!$A$13:$A$64,1)+1)-INDEX(Compose_C2!$H$13:$H$64,MATCH(C27,Compose_C2!$A$13:$A$64,1)))))</f>
        <v/>
      </c>
      <c r="H27" s="17">
        <f>IF(C27&lt;=INDEX(Compose_C2!$A$13:$A$64,1),INDEX(Compose_C2!$I$13:$I$64,1),IF(C27&gt;=INDEX(Compose_C2!$A$13:$A$64,ROWS(Compose_C2!$A$13:$A$64)),INDEX(Compose_C2!$I$13:$I$64,ROWS(Compose_C2!$I$13:$I$64)),INDEX(Compose_C2!$I$13:$I$64,MATCH(C27,Compose_C2!$A$13:$A$64,1))+(C27-INDEX(Compose_C2!$A$13:$A$64,MATCH(C27,Compose_C2!$A$13:$A$64,1)))/(INDEX(Compose_C2!$A$13:$A$64,MATCH(C27,Compose_C2!$A$13:$A$64,1)+1)-INDEX(Compose_C2!$A$13:$A$64,MATCH(C27,Compose_C2!$A$13:$A$64,1)))*(INDEX(Compose_C2!$I$13:$I$64,MATCH(C27,Compose_C2!$A$13:$A$64,1)+1)-INDEX(Compose_C2!$I$13:$I$64,MATCH(C27,Compose_C2!$A$13:$A$64,1)))))</f>
        <v/>
      </c>
      <c r="I27" s="15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Compose_C3 — Q_1200 + Q_overflow; V_pond + V_ditch (composite)</t>
        </is>
      </c>
    </row>
    <row r="2">
      <c r="A2" t="inlineStr">
        <is>
          <t>Colonnes = formules Excel. Crest / facteur pipe en jaune.</t>
        </is>
      </c>
    </row>
    <row r="4">
      <c r="A4" t="inlineStr">
        <is>
          <t>Crest</t>
        </is>
      </c>
      <c r="B4" s="26">
        <f>Parametres!B47</f>
        <v/>
      </c>
    </row>
    <row r="5">
      <c r="A5" t="inlineStr">
        <is>
          <t>b</t>
        </is>
      </c>
      <c r="B5" s="26">
        <f>Parametres!B22</f>
        <v/>
      </c>
    </row>
    <row r="6">
      <c r="A6" t="inlineStr">
        <is>
          <t>n</t>
        </is>
      </c>
      <c r="B6" s="26">
        <f>Parametres!B23</f>
        <v/>
      </c>
    </row>
    <row r="7">
      <c r="A7" t="inlineStr">
        <is>
          <t>z</t>
        </is>
      </c>
      <c r="B7" s="26">
        <f>Parametres!B24</f>
        <v/>
      </c>
    </row>
    <row r="8">
      <c r="A8" t="inlineStr">
        <is>
          <t>S</t>
        </is>
      </c>
      <c r="B8" s="26">
        <f>Parametres!B25</f>
        <v/>
      </c>
    </row>
    <row r="9">
      <c r="A9" t="inlineStr">
        <is>
          <t>L</t>
        </is>
      </c>
      <c r="B9" s="26">
        <f>Parametres!B26</f>
        <v/>
      </c>
    </row>
    <row r="10">
      <c r="A10" t="inlineStr">
        <is>
          <t>Zin</t>
        </is>
      </c>
      <c r="B10" s="26">
        <f>Parametres!B12</f>
        <v/>
      </c>
    </row>
    <row r="11">
      <c r="A11" t="inlineStr">
        <is>
          <t>Facteur_pipe</t>
        </is>
      </c>
      <c r="B11" s="26" t="inlineStr">
        <is>
          <t>1</t>
        </is>
      </c>
    </row>
    <row r="12">
      <c r="A12" s="12" t="inlineStr">
        <is>
          <t>WSE</t>
        </is>
      </c>
      <c r="B12" s="12" t="inlineStr">
        <is>
          <t>HW</t>
        </is>
      </c>
      <c r="C12" s="12" t="inlineStr">
        <is>
          <t>y_ov</t>
        </is>
      </c>
      <c r="D12" s="12" t="inlineStr">
        <is>
          <t>A_ditch</t>
        </is>
      </c>
      <c r="E12" s="12" t="inlineStr">
        <is>
          <t>V_ditch</t>
        </is>
      </c>
      <c r="F12" s="12" t="inlineStr">
        <is>
          <t>V_pond</t>
        </is>
      </c>
      <c r="G12" s="12" t="inlineStr">
        <is>
          <t>V_total</t>
        </is>
      </c>
      <c r="H12" s="12" t="inlineStr">
        <is>
          <t>Q_1200</t>
        </is>
      </c>
      <c r="I12" s="12" t="inlineStr">
        <is>
          <t>Q_overflow</t>
        </is>
      </c>
      <c r="J12" s="12" t="inlineStr">
        <is>
          <t>Qout</t>
        </is>
      </c>
    </row>
    <row r="13">
      <c r="A13" s="19" t="n">
        <v>34.88</v>
      </c>
      <c r="B13" s="19">
        <f>A13-$B$10</f>
        <v/>
      </c>
      <c r="C13" s="19">
        <f>MAX(0,A13-$B$4)</f>
        <v/>
      </c>
      <c r="D13" s="17">
        <f>IF(C13&lt;=0,0,($B$5+$B$7*C13)*C13)</f>
        <v/>
      </c>
      <c r="E13" s="16">
        <f>D13*$B$9</f>
        <v/>
      </c>
      <c r="F13" s="16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13">
        <f>E13+F13</f>
        <v/>
      </c>
      <c r="H13" s="17">
        <f>($B$11)*(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)</f>
        <v/>
      </c>
      <c r="I13" s="17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19" t="n">
        <v>34.98</v>
      </c>
      <c r="B14" s="19">
        <f>A14-$B$10</f>
        <v/>
      </c>
      <c r="C14" s="19">
        <f>MAX(0,A14-$B$4)</f>
        <v/>
      </c>
      <c r="D14" s="17">
        <f>IF(C14&lt;=0,0,($B$5+$B$7*C14)*C14)</f>
        <v/>
      </c>
      <c r="E14" s="16">
        <f>D14*$B$9</f>
        <v/>
      </c>
      <c r="F14" s="16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13">
        <f>E14+F14</f>
        <v/>
      </c>
      <c r="H14" s="17">
        <f>($B$11)*(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)</f>
        <v/>
      </c>
      <c r="I14" s="17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19" t="n">
        <v>35.08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35.18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35.28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35.38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35.48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35.58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35.68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35.78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35.88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35.98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36.08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36.18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36.28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36.38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36.48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36.58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36.68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36.78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36.88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36.98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37.08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37.18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37.28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37.38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37.48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37.58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37.68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37.78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37.88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37.98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38.08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38.18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38.28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38.38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38.48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38.58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38.68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38.78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38.88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38.98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39.08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39.18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39.28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39.38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39.48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39.58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39.68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39.78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39.88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39.98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Calcul_C3 — routage level-pool (formules Excel)</t>
        </is>
      </c>
    </row>
    <row r="2">
      <c r="A2" t="inlineStr">
        <is>
          <t>WSE depuis V_total (Compose_C3);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Parametres!B47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14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7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15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3!$G$13:$G$64,1),INDEX(Compose_C3!$A$13:$A$64,1),IF(F15&gt;=INDEX(Compose_C3!$G$13:$G$64,ROWS(Compose_C3!$G$13:$G$64)),INDEX(Compose_C3!$A$13:$A$64,ROWS(Compose_C3!$A$13:$A$64)),INDEX(Compose_C3!$A$13:$A$64,MATCH(F15,Compose_C3!$G$13:$G$64,1))+(F15-INDEX(Compose_C3!$G$13:$G$64,MATCH(F15,Compose_C3!$G$13:$G$64,1)))/(INDEX(Compose_C3!$G$13:$G$64,MATCH(F15,Compose_C3!$G$13:$G$64,1)+1)-INDEX(Compose_C3!$G$13:$G$64,MATCH(F15,Compose_C3!$G$13:$G$64,1)))*(INDEX(Compose_C3!$A$13:$A$64,MATCH(F15,Compose_C3!$G$13:$G$64,1)+1)-INDEX(Compose_C3!$A$13:$A$64,MATCH(F15,Compose_C3!$G$13:$G$64,1)))))</f>
        <v/>
      </c>
      <c r="D16" s="17">
        <f>IF(F15&lt;=0.01,MIN(0.5*(B15+B16),$B$4),IF(C16&lt;=INDEX(Compose_C3!$A$13:$A$64,1),INDEX(Compose_C3!$J$13:$J$64,1),IF(C16&gt;=INDEX(Compose_C3!$A$13:$A$64,ROWS(Compose_C3!$A$13:$A$64)),INDEX(Compose_C3!$J$13:$J$64,ROWS(Compose_C3!$J$13:$J$64)),INDEX(Compose_C3!$J$13:$J$64,MATCH(C16,Compose_C3!$A$13:$A$64,1))+(C16-INDEX(Compose_C3!$A$13:$A$64,MATCH(C16,Compose_C3!$A$13:$A$64,1)))/(INDEX(Compose_C3!$A$13:$A$64,MATCH(C16,Compose_C3!$A$13:$A$64,1)+1)-INDEX(Compose_C3!$A$13:$A$64,MATCH(C16,Compose_C3!$A$13:$A$64,1)))*(INDEX(Compose_C3!$J$13:$J$64,MATCH(C16,Compose_C3!$A$13:$A$64,1)+1)-INDEX(Compose_C3!$J$13:$J$64,MATCH(C16,Compose_C3!$A$13:$A$64,1))))))</f>
        <v/>
      </c>
      <c r="E16" s="16">
        <f>(A16-A15)*60</f>
        <v/>
      </c>
      <c r="F16" s="13">
        <f>MAX(0,F15+(0.5*(B15+B16)-D16)*E16)</f>
        <v/>
      </c>
      <c r="G16" s="17">
        <f>IF(C16&lt;=INDEX(Compose_C3!$A$13:$A$64,1),INDEX(Compose_C3!$H$13:$H$64,1),IF(C16&gt;=INDEX(Compose_C3!$A$13:$A$64,ROWS(Compose_C3!$A$13:$A$64)),INDEX(Compose_C3!$H$13:$H$64,ROWS(Compose_C3!$H$13:$H$64)),INDEX(Compose_C3!$H$13:$H$64,MATCH(C16,Compose_C3!$A$13:$A$64,1))+(C16-INDEX(Compose_C3!$A$13:$A$64,MATCH(C16,Compose_C3!$A$13:$A$64,1)))/(INDEX(Compose_C3!$A$13:$A$64,MATCH(C16,Compose_C3!$A$13:$A$64,1)+1)-INDEX(Compose_C3!$A$13:$A$64,MATCH(C16,Compose_C3!$A$13:$A$64,1)))*(INDEX(Compose_C3!$H$13:$H$64,MATCH(C16,Compose_C3!$A$13:$A$64,1)+1)-INDEX(Compose_C3!$H$13:$H$64,MATCH(C16,Compose_C3!$A$13:$A$64,1)))))</f>
        <v/>
      </c>
      <c r="H16" s="17">
        <f>IF(C16&lt;=INDEX(Compose_C3!$A$13:$A$64,1),INDEX(Compose_C3!$I$13:$I$64,1),IF(C16&gt;=INDEX(Compose_C3!$A$13:$A$64,ROWS(Compose_C3!$A$13:$A$64)),INDEX(Compose_C3!$I$13:$I$64,ROWS(Compose_C3!$I$13:$I$64)),INDEX(Compose_C3!$I$13:$I$64,MATCH(C16,Compose_C3!$A$13:$A$64,1))+(C16-INDEX(Compose_C3!$A$13:$A$64,MATCH(C16,Compose_C3!$A$13:$A$64,1)))/(INDEX(Compose_C3!$A$13:$A$64,MATCH(C16,Compose_C3!$A$13:$A$64,1)+1)-INDEX(Compose_C3!$A$13:$A$64,MATCH(C16,Compose_C3!$A$13:$A$64,1)))*(INDEX(Compose_C3!$I$13:$I$64,MATCH(C16,Compose_C3!$A$13:$A$64,1)+1)-INDEX(Compose_C3!$I$13:$I$64,MATCH(C16,Compose_C3!$A$13:$A$64,1)))))</f>
        <v/>
      </c>
      <c r="I16" s="15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3!$G$13:$G$64,1),INDEX(Compose_C3!$A$13:$A$64,1),IF(F16&gt;=INDEX(Compose_C3!$G$13:$G$64,ROWS(Compose_C3!$G$13:$G$64)),INDEX(Compose_C3!$A$13:$A$64,ROWS(Compose_C3!$A$13:$A$64)),INDEX(Compose_C3!$A$13:$A$64,MATCH(F16,Compose_C3!$G$13:$G$64,1))+(F16-INDEX(Compose_C3!$G$13:$G$64,MATCH(F16,Compose_C3!$G$13:$G$64,1)))/(INDEX(Compose_C3!$G$13:$G$64,MATCH(F16,Compose_C3!$G$13:$G$64,1)+1)-INDEX(Compose_C3!$G$13:$G$64,MATCH(F16,Compose_C3!$G$13:$G$64,1)))*(INDEX(Compose_C3!$A$13:$A$64,MATCH(F16,Compose_C3!$G$13:$G$64,1)+1)-INDEX(Compose_C3!$A$13:$A$64,MATCH(F16,Compose_C3!$G$13:$G$64,1)))))</f>
        <v/>
      </c>
      <c r="D17" s="17">
        <f>IF(F16&lt;=0.01,MIN(0.5*(B16+B17),$B$4),IF(C17&lt;=INDEX(Compose_C3!$A$13:$A$64,1),INDEX(Compose_C3!$J$13:$J$64,1),IF(C17&gt;=INDEX(Compose_C3!$A$13:$A$64,ROWS(Compose_C3!$A$13:$A$64)),INDEX(Compose_C3!$J$13:$J$64,ROWS(Compose_C3!$J$13:$J$64)),INDEX(Compose_C3!$J$13:$J$64,MATCH(C17,Compose_C3!$A$13:$A$64,1))+(C17-INDEX(Compose_C3!$A$13:$A$64,MATCH(C17,Compose_C3!$A$13:$A$64,1)))/(INDEX(Compose_C3!$A$13:$A$64,MATCH(C17,Compose_C3!$A$13:$A$64,1)+1)-INDEX(Compose_C3!$A$13:$A$64,MATCH(C17,Compose_C3!$A$13:$A$64,1)))*(INDEX(Compose_C3!$J$13:$J$64,MATCH(C17,Compose_C3!$A$13:$A$64,1)+1)-INDEX(Compose_C3!$J$13:$J$64,MATCH(C17,Compose_C3!$A$13:$A$64,1))))))</f>
        <v/>
      </c>
      <c r="E17" s="16">
        <f>(A17-A16)*60</f>
        <v/>
      </c>
      <c r="F17" s="13">
        <f>MAX(0,F16+(0.5*(B16+B17)-D17)*E17)</f>
        <v/>
      </c>
      <c r="G17" s="17">
        <f>IF(C17&lt;=INDEX(Compose_C3!$A$13:$A$64,1),INDEX(Compose_C3!$H$13:$H$64,1),IF(C17&gt;=INDEX(Compose_C3!$A$13:$A$64,ROWS(Compose_C3!$A$13:$A$64)),INDEX(Compose_C3!$H$13:$H$64,ROWS(Compose_C3!$H$13:$H$64)),INDEX(Compose_C3!$H$13:$H$64,MATCH(C17,Compose_C3!$A$13:$A$64,1))+(C17-INDEX(Compose_C3!$A$13:$A$64,MATCH(C17,Compose_C3!$A$13:$A$64,1)))/(INDEX(Compose_C3!$A$13:$A$64,MATCH(C17,Compose_C3!$A$13:$A$64,1)+1)-INDEX(Compose_C3!$A$13:$A$64,MATCH(C17,Compose_C3!$A$13:$A$64,1)))*(INDEX(Compose_C3!$H$13:$H$64,MATCH(C17,Compose_C3!$A$13:$A$64,1)+1)-INDEX(Compose_C3!$H$13:$H$64,MATCH(C17,Compose_C3!$A$13:$A$64,1)))))</f>
        <v/>
      </c>
      <c r="H17" s="17">
        <f>IF(C17&lt;=INDEX(Compose_C3!$A$13:$A$64,1),INDEX(Compose_C3!$I$13:$I$64,1),IF(C17&gt;=INDEX(Compose_C3!$A$13:$A$64,ROWS(Compose_C3!$A$13:$A$64)),INDEX(Compose_C3!$I$13:$I$64,ROWS(Compose_C3!$I$13:$I$64)),INDEX(Compose_C3!$I$13:$I$64,MATCH(C17,Compose_C3!$A$13:$A$64,1))+(C17-INDEX(Compose_C3!$A$13:$A$64,MATCH(C17,Compose_C3!$A$13:$A$64,1)))/(INDEX(Compose_C3!$A$13:$A$64,MATCH(C17,Compose_C3!$A$13:$A$64,1)+1)-INDEX(Compose_C3!$A$13:$A$64,MATCH(C17,Compose_C3!$A$13:$A$64,1)))*(INDEX(Compose_C3!$I$13:$I$64,MATCH(C17,Compose_C3!$A$13:$A$64,1)+1)-INDEX(Compose_C3!$I$13:$I$64,MATCH(C17,Compose_C3!$A$13:$A$64,1)))))</f>
        <v/>
      </c>
      <c r="I17" s="15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3!$G$13:$G$64,1),INDEX(Compose_C3!$A$13:$A$64,1),IF(F17&gt;=INDEX(Compose_C3!$G$13:$G$64,ROWS(Compose_C3!$G$13:$G$64)),INDEX(Compose_C3!$A$13:$A$64,ROWS(Compose_C3!$A$13:$A$64)),INDEX(Compose_C3!$A$13:$A$64,MATCH(F17,Compose_C3!$G$13:$G$64,1))+(F17-INDEX(Compose_C3!$G$13:$G$64,MATCH(F17,Compose_C3!$G$13:$G$64,1)))/(INDEX(Compose_C3!$G$13:$G$64,MATCH(F17,Compose_C3!$G$13:$G$64,1)+1)-INDEX(Compose_C3!$G$13:$G$64,MATCH(F17,Compose_C3!$G$13:$G$64,1)))*(INDEX(Compose_C3!$A$13:$A$64,MATCH(F17,Compose_C3!$G$13:$G$64,1)+1)-INDEX(Compose_C3!$A$13:$A$64,MATCH(F17,Compose_C3!$G$13:$G$64,1)))))</f>
        <v/>
      </c>
      <c r="D18" s="17">
        <f>IF(F17&lt;=0.01,MIN(0.5*(B17+B18),$B$4),IF(C18&lt;=INDEX(Compose_C3!$A$13:$A$64,1),INDEX(Compose_C3!$J$13:$J$64,1),IF(C18&gt;=INDEX(Compose_C3!$A$13:$A$64,ROWS(Compose_C3!$A$13:$A$64)),INDEX(Compose_C3!$J$13:$J$64,ROWS(Compose_C3!$J$13:$J$64)),INDEX(Compose_C3!$J$13:$J$64,MATCH(C18,Compose_C3!$A$13:$A$64,1))+(C18-INDEX(Compose_C3!$A$13:$A$64,MATCH(C18,Compose_C3!$A$13:$A$64,1)))/(INDEX(Compose_C3!$A$13:$A$64,MATCH(C18,Compose_C3!$A$13:$A$64,1)+1)-INDEX(Compose_C3!$A$13:$A$64,MATCH(C18,Compose_C3!$A$13:$A$64,1)))*(INDEX(Compose_C3!$J$13:$J$64,MATCH(C18,Compose_C3!$A$13:$A$64,1)+1)-INDEX(Compose_C3!$J$13:$J$64,MATCH(C18,Compose_C3!$A$13:$A$64,1))))))</f>
        <v/>
      </c>
      <c r="E18" s="16">
        <f>(A18-A17)*60</f>
        <v/>
      </c>
      <c r="F18" s="13">
        <f>MAX(0,F17+(0.5*(B17+B18)-D18)*E18)</f>
        <v/>
      </c>
      <c r="G18" s="17">
        <f>IF(C18&lt;=INDEX(Compose_C3!$A$13:$A$64,1),INDEX(Compose_C3!$H$13:$H$64,1),IF(C18&gt;=INDEX(Compose_C3!$A$13:$A$64,ROWS(Compose_C3!$A$13:$A$64)),INDEX(Compose_C3!$H$13:$H$64,ROWS(Compose_C3!$H$13:$H$64)),INDEX(Compose_C3!$H$13:$H$64,MATCH(C18,Compose_C3!$A$13:$A$64,1))+(C18-INDEX(Compose_C3!$A$13:$A$64,MATCH(C18,Compose_C3!$A$13:$A$64,1)))/(INDEX(Compose_C3!$A$13:$A$64,MATCH(C18,Compose_C3!$A$13:$A$64,1)+1)-INDEX(Compose_C3!$A$13:$A$64,MATCH(C18,Compose_C3!$A$13:$A$64,1)))*(INDEX(Compose_C3!$H$13:$H$64,MATCH(C18,Compose_C3!$A$13:$A$64,1)+1)-INDEX(Compose_C3!$H$13:$H$64,MATCH(C18,Compose_C3!$A$13:$A$64,1)))))</f>
        <v/>
      </c>
      <c r="H18" s="17">
        <f>IF(C18&lt;=INDEX(Compose_C3!$A$13:$A$64,1),INDEX(Compose_C3!$I$13:$I$64,1),IF(C18&gt;=INDEX(Compose_C3!$A$13:$A$64,ROWS(Compose_C3!$A$13:$A$64)),INDEX(Compose_C3!$I$13:$I$64,ROWS(Compose_C3!$I$13:$I$64)),INDEX(Compose_C3!$I$13:$I$64,MATCH(C18,Compose_C3!$A$13:$A$64,1))+(C18-INDEX(Compose_C3!$A$13:$A$64,MATCH(C18,Compose_C3!$A$13:$A$64,1)))/(INDEX(Compose_C3!$A$13:$A$64,MATCH(C18,Compose_C3!$A$13:$A$64,1)+1)-INDEX(Compose_C3!$A$13:$A$64,MATCH(C18,Compose_C3!$A$13:$A$64,1)))*(INDEX(Compose_C3!$I$13:$I$64,MATCH(C18,Compose_C3!$A$13:$A$64,1)+1)-INDEX(Compose_C3!$I$13:$I$64,MATCH(C18,Compose_C3!$A$13:$A$64,1)))))</f>
        <v/>
      </c>
      <c r="I18" s="15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3!$G$13:$G$64,1),INDEX(Compose_C3!$A$13:$A$64,1),IF(F18&gt;=INDEX(Compose_C3!$G$13:$G$64,ROWS(Compose_C3!$G$13:$G$64)),INDEX(Compose_C3!$A$13:$A$64,ROWS(Compose_C3!$A$13:$A$64)),INDEX(Compose_C3!$A$13:$A$64,MATCH(F18,Compose_C3!$G$13:$G$64,1))+(F18-INDEX(Compose_C3!$G$13:$G$64,MATCH(F18,Compose_C3!$G$13:$G$64,1)))/(INDEX(Compose_C3!$G$13:$G$64,MATCH(F18,Compose_C3!$G$13:$G$64,1)+1)-INDEX(Compose_C3!$G$13:$G$64,MATCH(F18,Compose_C3!$G$13:$G$64,1)))*(INDEX(Compose_C3!$A$13:$A$64,MATCH(F18,Compose_C3!$G$13:$G$64,1)+1)-INDEX(Compose_C3!$A$13:$A$64,MATCH(F18,Compose_C3!$G$13:$G$64,1)))))</f>
        <v/>
      </c>
      <c r="D19" s="17">
        <f>IF(F18&lt;=0.01,MIN(0.5*(B18+B19),$B$4),IF(C19&lt;=INDEX(Compose_C3!$A$13:$A$64,1),INDEX(Compose_C3!$J$13:$J$64,1),IF(C19&gt;=INDEX(Compose_C3!$A$13:$A$64,ROWS(Compose_C3!$A$13:$A$64)),INDEX(Compose_C3!$J$13:$J$64,ROWS(Compose_C3!$J$13:$J$64)),INDEX(Compose_C3!$J$13:$J$64,MATCH(C19,Compose_C3!$A$13:$A$64,1))+(C19-INDEX(Compose_C3!$A$13:$A$64,MATCH(C19,Compose_C3!$A$13:$A$64,1)))/(INDEX(Compose_C3!$A$13:$A$64,MATCH(C19,Compose_C3!$A$13:$A$64,1)+1)-INDEX(Compose_C3!$A$13:$A$64,MATCH(C19,Compose_C3!$A$13:$A$64,1)))*(INDEX(Compose_C3!$J$13:$J$64,MATCH(C19,Compose_C3!$A$13:$A$64,1)+1)-INDEX(Compose_C3!$J$13:$J$64,MATCH(C19,Compose_C3!$A$13:$A$64,1))))))</f>
        <v/>
      </c>
      <c r="E19" s="16">
        <f>(A19-A18)*60</f>
        <v/>
      </c>
      <c r="F19" s="13">
        <f>MAX(0,F18+(0.5*(B18+B19)-D19)*E19)</f>
        <v/>
      </c>
      <c r="G19" s="17">
        <f>IF(C19&lt;=INDEX(Compose_C3!$A$13:$A$64,1),INDEX(Compose_C3!$H$13:$H$64,1),IF(C19&gt;=INDEX(Compose_C3!$A$13:$A$64,ROWS(Compose_C3!$A$13:$A$64)),INDEX(Compose_C3!$H$13:$H$64,ROWS(Compose_C3!$H$13:$H$64)),INDEX(Compose_C3!$H$13:$H$64,MATCH(C19,Compose_C3!$A$13:$A$64,1))+(C19-INDEX(Compose_C3!$A$13:$A$64,MATCH(C19,Compose_C3!$A$13:$A$64,1)))/(INDEX(Compose_C3!$A$13:$A$64,MATCH(C19,Compose_C3!$A$13:$A$64,1)+1)-INDEX(Compose_C3!$A$13:$A$64,MATCH(C19,Compose_C3!$A$13:$A$64,1)))*(INDEX(Compose_C3!$H$13:$H$64,MATCH(C19,Compose_C3!$A$13:$A$64,1)+1)-INDEX(Compose_C3!$H$13:$H$64,MATCH(C19,Compose_C3!$A$13:$A$64,1)))))</f>
        <v/>
      </c>
      <c r="H19" s="17">
        <f>IF(C19&lt;=INDEX(Compose_C3!$A$13:$A$64,1),INDEX(Compose_C3!$I$13:$I$64,1),IF(C19&gt;=INDEX(Compose_C3!$A$13:$A$64,ROWS(Compose_C3!$A$13:$A$64)),INDEX(Compose_C3!$I$13:$I$64,ROWS(Compose_C3!$I$13:$I$64)),INDEX(Compose_C3!$I$13:$I$64,MATCH(C19,Compose_C3!$A$13:$A$64,1))+(C19-INDEX(Compose_C3!$A$13:$A$64,MATCH(C19,Compose_C3!$A$13:$A$64,1)))/(INDEX(Compose_C3!$A$13:$A$64,MATCH(C19,Compose_C3!$A$13:$A$64,1)+1)-INDEX(Compose_C3!$A$13:$A$64,MATCH(C19,Compose_C3!$A$13:$A$64,1)))*(INDEX(Compose_C3!$I$13:$I$64,MATCH(C19,Compose_C3!$A$13:$A$64,1)+1)-INDEX(Compose_C3!$I$13:$I$64,MATCH(C19,Compose_C3!$A$13:$A$64,1)))))</f>
        <v/>
      </c>
      <c r="I19" s="15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3!$G$13:$G$64,1),INDEX(Compose_C3!$A$13:$A$64,1),IF(F19&gt;=INDEX(Compose_C3!$G$13:$G$64,ROWS(Compose_C3!$G$13:$G$64)),INDEX(Compose_C3!$A$13:$A$64,ROWS(Compose_C3!$A$13:$A$64)),INDEX(Compose_C3!$A$13:$A$64,MATCH(F19,Compose_C3!$G$13:$G$64,1))+(F19-INDEX(Compose_C3!$G$13:$G$64,MATCH(F19,Compose_C3!$G$13:$G$64,1)))/(INDEX(Compose_C3!$G$13:$G$64,MATCH(F19,Compose_C3!$G$13:$G$64,1)+1)-INDEX(Compose_C3!$G$13:$G$64,MATCH(F19,Compose_C3!$G$13:$G$64,1)))*(INDEX(Compose_C3!$A$13:$A$64,MATCH(F19,Compose_C3!$G$13:$G$64,1)+1)-INDEX(Compose_C3!$A$13:$A$64,MATCH(F19,Compose_C3!$G$13:$G$64,1)))))</f>
        <v/>
      </c>
      <c r="D20" s="17">
        <f>IF(F19&lt;=0.01,MIN(0.5*(B19+B20),$B$4),IF(C20&lt;=INDEX(Compose_C3!$A$13:$A$64,1),INDEX(Compose_C3!$J$13:$J$64,1),IF(C20&gt;=INDEX(Compose_C3!$A$13:$A$64,ROWS(Compose_C3!$A$13:$A$64)),INDEX(Compose_C3!$J$13:$J$64,ROWS(Compose_C3!$J$13:$J$64)),INDEX(Compose_C3!$J$13:$J$64,MATCH(C20,Compose_C3!$A$13:$A$64,1))+(C20-INDEX(Compose_C3!$A$13:$A$64,MATCH(C20,Compose_C3!$A$13:$A$64,1)))/(INDEX(Compose_C3!$A$13:$A$64,MATCH(C20,Compose_C3!$A$13:$A$64,1)+1)-INDEX(Compose_C3!$A$13:$A$64,MATCH(C20,Compose_C3!$A$13:$A$64,1)))*(INDEX(Compose_C3!$J$13:$J$64,MATCH(C20,Compose_C3!$A$13:$A$64,1)+1)-INDEX(Compose_C3!$J$13:$J$64,MATCH(C20,Compose_C3!$A$13:$A$64,1))))))</f>
        <v/>
      </c>
      <c r="E20" s="16">
        <f>(A20-A19)*60</f>
        <v/>
      </c>
      <c r="F20" s="13">
        <f>MAX(0,F19+(0.5*(B19+B20)-D20)*E20)</f>
        <v/>
      </c>
      <c r="G20" s="17">
        <f>IF(C20&lt;=INDEX(Compose_C3!$A$13:$A$64,1),INDEX(Compose_C3!$H$13:$H$64,1),IF(C20&gt;=INDEX(Compose_C3!$A$13:$A$64,ROWS(Compose_C3!$A$13:$A$64)),INDEX(Compose_C3!$H$13:$H$64,ROWS(Compose_C3!$H$13:$H$64)),INDEX(Compose_C3!$H$13:$H$64,MATCH(C20,Compose_C3!$A$13:$A$64,1))+(C20-INDEX(Compose_C3!$A$13:$A$64,MATCH(C20,Compose_C3!$A$13:$A$64,1)))/(INDEX(Compose_C3!$A$13:$A$64,MATCH(C20,Compose_C3!$A$13:$A$64,1)+1)-INDEX(Compose_C3!$A$13:$A$64,MATCH(C20,Compose_C3!$A$13:$A$64,1)))*(INDEX(Compose_C3!$H$13:$H$64,MATCH(C20,Compose_C3!$A$13:$A$64,1)+1)-INDEX(Compose_C3!$H$13:$H$64,MATCH(C20,Compose_C3!$A$13:$A$64,1)))))</f>
        <v/>
      </c>
      <c r="H20" s="17">
        <f>IF(C20&lt;=INDEX(Compose_C3!$A$13:$A$64,1),INDEX(Compose_C3!$I$13:$I$64,1),IF(C20&gt;=INDEX(Compose_C3!$A$13:$A$64,ROWS(Compose_C3!$A$13:$A$64)),INDEX(Compose_C3!$I$13:$I$64,ROWS(Compose_C3!$I$13:$I$64)),INDEX(Compose_C3!$I$13:$I$64,MATCH(C20,Compose_C3!$A$13:$A$64,1))+(C20-INDEX(Compose_C3!$A$13:$A$64,MATCH(C20,Compose_C3!$A$13:$A$64,1)))/(INDEX(Compose_C3!$A$13:$A$64,MATCH(C20,Compose_C3!$A$13:$A$64,1)+1)-INDEX(Compose_C3!$A$13:$A$64,MATCH(C20,Compose_C3!$A$13:$A$64,1)))*(INDEX(Compose_C3!$I$13:$I$64,MATCH(C20,Compose_C3!$A$13:$A$64,1)+1)-INDEX(Compose_C3!$I$13:$I$64,MATCH(C20,Compose_C3!$A$13:$A$64,1)))))</f>
        <v/>
      </c>
      <c r="I20" s="15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3!$G$13:$G$64,1),INDEX(Compose_C3!$A$13:$A$64,1),IF(F20&gt;=INDEX(Compose_C3!$G$13:$G$64,ROWS(Compose_C3!$G$13:$G$64)),INDEX(Compose_C3!$A$13:$A$64,ROWS(Compose_C3!$A$13:$A$64)),INDEX(Compose_C3!$A$13:$A$64,MATCH(F20,Compose_C3!$G$13:$G$64,1))+(F20-INDEX(Compose_C3!$G$13:$G$64,MATCH(F20,Compose_C3!$G$13:$G$64,1)))/(INDEX(Compose_C3!$G$13:$G$64,MATCH(F20,Compose_C3!$G$13:$G$64,1)+1)-INDEX(Compose_C3!$G$13:$G$64,MATCH(F20,Compose_C3!$G$13:$G$64,1)))*(INDEX(Compose_C3!$A$13:$A$64,MATCH(F20,Compose_C3!$G$13:$G$64,1)+1)-INDEX(Compose_C3!$A$13:$A$64,MATCH(F20,Compose_C3!$G$13:$G$64,1)))))</f>
        <v/>
      </c>
      <c r="D21" s="17">
        <f>IF(F20&lt;=0.01,MIN(0.5*(B20+B21),$B$4),IF(C21&lt;=INDEX(Compose_C3!$A$13:$A$64,1),INDEX(Compose_C3!$J$13:$J$64,1),IF(C21&gt;=INDEX(Compose_C3!$A$13:$A$64,ROWS(Compose_C3!$A$13:$A$64)),INDEX(Compose_C3!$J$13:$J$64,ROWS(Compose_C3!$J$13:$J$64)),INDEX(Compose_C3!$J$13:$J$64,MATCH(C21,Compose_C3!$A$13:$A$64,1))+(C21-INDEX(Compose_C3!$A$13:$A$64,MATCH(C21,Compose_C3!$A$13:$A$64,1)))/(INDEX(Compose_C3!$A$13:$A$64,MATCH(C21,Compose_C3!$A$13:$A$64,1)+1)-INDEX(Compose_C3!$A$13:$A$64,MATCH(C21,Compose_C3!$A$13:$A$64,1)))*(INDEX(Compose_C3!$J$13:$J$64,MATCH(C21,Compose_C3!$A$13:$A$64,1)+1)-INDEX(Compose_C3!$J$13:$J$64,MATCH(C21,Compose_C3!$A$13:$A$64,1))))))</f>
        <v/>
      </c>
      <c r="E21" s="16">
        <f>(A21-A20)*60</f>
        <v/>
      </c>
      <c r="F21" s="13">
        <f>MAX(0,F20+(0.5*(B20+B21)-D21)*E21)</f>
        <v/>
      </c>
      <c r="G21" s="17">
        <f>IF(C21&lt;=INDEX(Compose_C3!$A$13:$A$64,1),INDEX(Compose_C3!$H$13:$H$64,1),IF(C21&gt;=INDEX(Compose_C3!$A$13:$A$64,ROWS(Compose_C3!$A$13:$A$64)),INDEX(Compose_C3!$H$13:$H$64,ROWS(Compose_C3!$H$13:$H$64)),INDEX(Compose_C3!$H$13:$H$64,MATCH(C21,Compose_C3!$A$13:$A$64,1))+(C21-INDEX(Compose_C3!$A$13:$A$64,MATCH(C21,Compose_C3!$A$13:$A$64,1)))/(INDEX(Compose_C3!$A$13:$A$64,MATCH(C21,Compose_C3!$A$13:$A$64,1)+1)-INDEX(Compose_C3!$A$13:$A$64,MATCH(C21,Compose_C3!$A$13:$A$64,1)))*(INDEX(Compose_C3!$H$13:$H$64,MATCH(C21,Compose_C3!$A$13:$A$64,1)+1)-INDEX(Compose_C3!$H$13:$H$64,MATCH(C21,Compose_C3!$A$13:$A$64,1)))))</f>
        <v/>
      </c>
      <c r="H21" s="17">
        <f>IF(C21&lt;=INDEX(Compose_C3!$A$13:$A$64,1),INDEX(Compose_C3!$I$13:$I$64,1),IF(C21&gt;=INDEX(Compose_C3!$A$13:$A$64,ROWS(Compose_C3!$A$13:$A$64)),INDEX(Compose_C3!$I$13:$I$64,ROWS(Compose_C3!$I$13:$I$64)),INDEX(Compose_C3!$I$13:$I$64,MATCH(C21,Compose_C3!$A$13:$A$64,1))+(C21-INDEX(Compose_C3!$A$13:$A$64,MATCH(C21,Compose_C3!$A$13:$A$64,1)))/(INDEX(Compose_C3!$A$13:$A$64,MATCH(C21,Compose_C3!$A$13:$A$64,1)+1)-INDEX(Compose_C3!$A$13:$A$64,MATCH(C21,Compose_C3!$A$13:$A$64,1)))*(INDEX(Compose_C3!$I$13:$I$64,MATCH(C21,Compose_C3!$A$13:$A$64,1)+1)-INDEX(Compose_C3!$I$13:$I$64,MATCH(C21,Compose_C3!$A$13:$A$64,1)))))</f>
        <v/>
      </c>
      <c r="I21" s="15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3!$G$13:$G$64,1),INDEX(Compose_C3!$A$13:$A$64,1),IF(F21&gt;=INDEX(Compose_C3!$G$13:$G$64,ROWS(Compose_C3!$G$13:$G$64)),INDEX(Compose_C3!$A$13:$A$64,ROWS(Compose_C3!$A$13:$A$64)),INDEX(Compose_C3!$A$13:$A$64,MATCH(F21,Compose_C3!$G$13:$G$64,1))+(F21-INDEX(Compose_C3!$G$13:$G$64,MATCH(F21,Compose_C3!$G$13:$G$64,1)))/(INDEX(Compose_C3!$G$13:$G$64,MATCH(F21,Compose_C3!$G$13:$G$64,1)+1)-INDEX(Compose_C3!$G$13:$G$64,MATCH(F21,Compose_C3!$G$13:$G$64,1)))*(INDEX(Compose_C3!$A$13:$A$64,MATCH(F21,Compose_C3!$G$13:$G$64,1)+1)-INDEX(Compose_C3!$A$13:$A$64,MATCH(F21,Compose_C3!$G$13:$G$64,1)))))</f>
        <v/>
      </c>
      <c r="D22" s="17">
        <f>IF(F21&lt;=0.01,MIN(0.5*(B21+B22),$B$4),IF(C22&lt;=INDEX(Compose_C3!$A$13:$A$64,1),INDEX(Compose_C3!$J$13:$J$64,1),IF(C22&gt;=INDEX(Compose_C3!$A$13:$A$64,ROWS(Compose_C3!$A$13:$A$64)),INDEX(Compose_C3!$J$13:$J$64,ROWS(Compose_C3!$J$13:$J$64)),INDEX(Compose_C3!$J$13:$J$64,MATCH(C22,Compose_C3!$A$13:$A$64,1))+(C22-INDEX(Compose_C3!$A$13:$A$64,MATCH(C22,Compose_C3!$A$13:$A$64,1)))/(INDEX(Compose_C3!$A$13:$A$64,MATCH(C22,Compose_C3!$A$13:$A$64,1)+1)-INDEX(Compose_C3!$A$13:$A$64,MATCH(C22,Compose_C3!$A$13:$A$64,1)))*(INDEX(Compose_C3!$J$13:$J$64,MATCH(C22,Compose_C3!$A$13:$A$64,1)+1)-INDEX(Compose_C3!$J$13:$J$64,MATCH(C22,Compose_C3!$A$13:$A$64,1))))))</f>
        <v/>
      </c>
      <c r="E22" s="16">
        <f>(A22-A21)*60</f>
        <v/>
      </c>
      <c r="F22" s="13">
        <f>MAX(0,F21+(0.5*(B21+B22)-D22)*E22)</f>
        <v/>
      </c>
      <c r="G22" s="17">
        <f>IF(C22&lt;=INDEX(Compose_C3!$A$13:$A$64,1),INDEX(Compose_C3!$H$13:$H$64,1),IF(C22&gt;=INDEX(Compose_C3!$A$13:$A$64,ROWS(Compose_C3!$A$13:$A$64)),INDEX(Compose_C3!$H$13:$H$64,ROWS(Compose_C3!$H$13:$H$64)),INDEX(Compose_C3!$H$13:$H$64,MATCH(C22,Compose_C3!$A$13:$A$64,1))+(C22-INDEX(Compose_C3!$A$13:$A$64,MATCH(C22,Compose_C3!$A$13:$A$64,1)))/(INDEX(Compose_C3!$A$13:$A$64,MATCH(C22,Compose_C3!$A$13:$A$64,1)+1)-INDEX(Compose_C3!$A$13:$A$64,MATCH(C22,Compose_C3!$A$13:$A$64,1)))*(INDEX(Compose_C3!$H$13:$H$64,MATCH(C22,Compose_C3!$A$13:$A$64,1)+1)-INDEX(Compose_C3!$H$13:$H$64,MATCH(C22,Compose_C3!$A$13:$A$64,1)))))</f>
        <v/>
      </c>
      <c r="H22" s="17">
        <f>IF(C22&lt;=INDEX(Compose_C3!$A$13:$A$64,1),INDEX(Compose_C3!$I$13:$I$64,1),IF(C22&gt;=INDEX(Compose_C3!$A$13:$A$64,ROWS(Compose_C3!$A$13:$A$64)),INDEX(Compose_C3!$I$13:$I$64,ROWS(Compose_C3!$I$13:$I$64)),INDEX(Compose_C3!$I$13:$I$64,MATCH(C22,Compose_C3!$A$13:$A$64,1))+(C22-INDEX(Compose_C3!$A$13:$A$64,MATCH(C22,Compose_C3!$A$13:$A$64,1)))/(INDEX(Compose_C3!$A$13:$A$64,MATCH(C22,Compose_C3!$A$13:$A$64,1)+1)-INDEX(Compose_C3!$A$13:$A$64,MATCH(C22,Compose_C3!$A$13:$A$64,1)))*(INDEX(Compose_C3!$I$13:$I$64,MATCH(C22,Compose_C3!$A$13:$A$64,1)+1)-INDEX(Compose_C3!$I$13:$I$64,MATCH(C22,Compose_C3!$A$13:$A$64,1)))))</f>
        <v/>
      </c>
      <c r="I22" s="15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3!$G$13:$G$64,1),INDEX(Compose_C3!$A$13:$A$64,1),IF(F22&gt;=INDEX(Compose_C3!$G$13:$G$64,ROWS(Compose_C3!$G$13:$G$64)),INDEX(Compose_C3!$A$13:$A$64,ROWS(Compose_C3!$A$13:$A$64)),INDEX(Compose_C3!$A$13:$A$64,MATCH(F22,Compose_C3!$G$13:$G$64,1))+(F22-INDEX(Compose_C3!$G$13:$G$64,MATCH(F22,Compose_C3!$G$13:$G$64,1)))/(INDEX(Compose_C3!$G$13:$G$64,MATCH(F22,Compose_C3!$G$13:$G$64,1)+1)-INDEX(Compose_C3!$G$13:$G$64,MATCH(F22,Compose_C3!$G$13:$G$64,1)))*(INDEX(Compose_C3!$A$13:$A$64,MATCH(F22,Compose_C3!$G$13:$G$64,1)+1)-INDEX(Compose_C3!$A$13:$A$64,MATCH(F22,Compose_C3!$G$13:$G$64,1)))))</f>
        <v/>
      </c>
      <c r="D23" s="17">
        <f>IF(F22&lt;=0.01,MIN(0.5*(B22+B23),$B$4),IF(C23&lt;=INDEX(Compose_C3!$A$13:$A$64,1),INDEX(Compose_C3!$J$13:$J$64,1),IF(C23&gt;=INDEX(Compose_C3!$A$13:$A$64,ROWS(Compose_C3!$A$13:$A$64)),INDEX(Compose_C3!$J$13:$J$64,ROWS(Compose_C3!$J$13:$J$64)),INDEX(Compose_C3!$J$13:$J$64,MATCH(C23,Compose_C3!$A$13:$A$64,1))+(C23-INDEX(Compose_C3!$A$13:$A$64,MATCH(C23,Compose_C3!$A$13:$A$64,1)))/(INDEX(Compose_C3!$A$13:$A$64,MATCH(C23,Compose_C3!$A$13:$A$64,1)+1)-INDEX(Compose_C3!$A$13:$A$64,MATCH(C23,Compose_C3!$A$13:$A$64,1)))*(INDEX(Compose_C3!$J$13:$J$64,MATCH(C23,Compose_C3!$A$13:$A$64,1)+1)-INDEX(Compose_C3!$J$13:$J$64,MATCH(C23,Compose_C3!$A$13:$A$64,1))))))</f>
        <v/>
      </c>
      <c r="E23" s="16">
        <f>(A23-A22)*60</f>
        <v/>
      </c>
      <c r="F23" s="13">
        <f>MAX(0,F22+(0.5*(B22+B23)-D23)*E23)</f>
        <v/>
      </c>
      <c r="G23" s="17">
        <f>IF(C23&lt;=INDEX(Compose_C3!$A$13:$A$64,1),INDEX(Compose_C3!$H$13:$H$64,1),IF(C23&gt;=INDEX(Compose_C3!$A$13:$A$64,ROWS(Compose_C3!$A$13:$A$64)),INDEX(Compose_C3!$H$13:$H$64,ROWS(Compose_C3!$H$13:$H$64)),INDEX(Compose_C3!$H$13:$H$64,MATCH(C23,Compose_C3!$A$13:$A$64,1))+(C23-INDEX(Compose_C3!$A$13:$A$64,MATCH(C23,Compose_C3!$A$13:$A$64,1)))/(INDEX(Compose_C3!$A$13:$A$64,MATCH(C23,Compose_C3!$A$13:$A$64,1)+1)-INDEX(Compose_C3!$A$13:$A$64,MATCH(C23,Compose_C3!$A$13:$A$64,1)))*(INDEX(Compose_C3!$H$13:$H$64,MATCH(C23,Compose_C3!$A$13:$A$64,1)+1)-INDEX(Compose_C3!$H$13:$H$64,MATCH(C23,Compose_C3!$A$13:$A$64,1)))))</f>
        <v/>
      </c>
      <c r="H23" s="17">
        <f>IF(C23&lt;=INDEX(Compose_C3!$A$13:$A$64,1),INDEX(Compose_C3!$I$13:$I$64,1),IF(C23&gt;=INDEX(Compose_C3!$A$13:$A$64,ROWS(Compose_C3!$A$13:$A$64)),INDEX(Compose_C3!$I$13:$I$64,ROWS(Compose_C3!$I$13:$I$64)),INDEX(Compose_C3!$I$13:$I$64,MATCH(C23,Compose_C3!$A$13:$A$64,1))+(C23-INDEX(Compose_C3!$A$13:$A$64,MATCH(C23,Compose_C3!$A$13:$A$64,1)))/(INDEX(Compose_C3!$A$13:$A$64,MATCH(C23,Compose_C3!$A$13:$A$64,1)+1)-INDEX(Compose_C3!$A$13:$A$64,MATCH(C23,Compose_C3!$A$13:$A$64,1)))*(INDEX(Compose_C3!$I$13:$I$64,MATCH(C23,Compose_C3!$A$13:$A$64,1)+1)-INDEX(Compose_C3!$I$13:$I$64,MATCH(C23,Compose_C3!$A$13:$A$64,1)))))</f>
        <v/>
      </c>
      <c r="I23" s="15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3!$G$13:$G$64,1),INDEX(Compose_C3!$A$13:$A$64,1),IF(F23&gt;=INDEX(Compose_C3!$G$13:$G$64,ROWS(Compose_C3!$G$13:$G$64)),INDEX(Compose_C3!$A$13:$A$64,ROWS(Compose_C3!$A$13:$A$64)),INDEX(Compose_C3!$A$13:$A$64,MATCH(F23,Compose_C3!$G$13:$G$64,1))+(F23-INDEX(Compose_C3!$G$13:$G$64,MATCH(F23,Compose_C3!$G$13:$G$64,1)))/(INDEX(Compose_C3!$G$13:$G$64,MATCH(F23,Compose_C3!$G$13:$G$64,1)+1)-INDEX(Compose_C3!$G$13:$G$64,MATCH(F23,Compose_C3!$G$13:$G$64,1)))*(INDEX(Compose_C3!$A$13:$A$64,MATCH(F23,Compose_C3!$G$13:$G$64,1)+1)-INDEX(Compose_C3!$A$13:$A$64,MATCH(F23,Compose_C3!$G$13:$G$64,1)))))</f>
        <v/>
      </c>
      <c r="D24" s="17">
        <f>IF(F23&lt;=0.01,MIN(0.5*(B23+B24),$B$4),IF(C24&lt;=INDEX(Compose_C3!$A$13:$A$64,1),INDEX(Compose_C3!$J$13:$J$64,1),IF(C24&gt;=INDEX(Compose_C3!$A$13:$A$64,ROWS(Compose_C3!$A$13:$A$64)),INDEX(Compose_C3!$J$13:$J$64,ROWS(Compose_C3!$J$13:$J$64)),INDEX(Compose_C3!$J$13:$J$64,MATCH(C24,Compose_C3!$A$13:$A$64,1))+(C24-INDEX(Compose_C3!$A$13:$A$64,MATCH(C24,Compose_C3!$A$13:$A$64,1)))/(INDEX(Compose_C3!$A$13:$A$64,MATCH(C24,Compose_C3!$A$13:$A$64,1)+1)-INDEX(Compose_C3!$A$13:$A$64,MATCH(C24,Compose_C3!$A$13:$A$64,1)))*(INDEX(Compose_C3!$J$13:$J$64,MATCH(C24,Compose_C3!$A$13:$A$64,1)+1)-INDEX(Compose_C3!$J$13:$J$64,MATCH(C24,Compose_C3!$A$13:$A$64,1))))))</f>
        <v/>
      </c>
      <c r="E24" s="16">
        <f>(A24-A23)*60</f>
        <v/>
      </c>
      <c r="F24" s="13">
        <f>MAX(0,F23+(0.5*(B23+B24)-D24)*E24)</f>
        <v/>
      </c>
      <c r="G24" s="17">
        <f>IF(C24&lt;=INDEX(Compose_C3!$A$13:$A$64,1),INDEX(Compose_C3!$H$13:$H$64,1),IF(C24&gt;=INDEX(Compose_C3!$A$13:$A$64,ROWS(Compose_C3!$A$13:$A$64)),INDEX(Compose_C3!$H$13:$H$64,ROWS(Compose_C3!$H$13:$H$64)),INDEX(Compose_C3!$H$13:$H$64,MATCH(C24,Compose_C3!$A$13:$A$64,1))+(C24-INDEX(Compose_C3!$A$13:$A$64,MATCH(C24,Compose_C3!$A$13:$A$64,1)))/(INDEX(Compose_C3!$A$13:$A$64,MATCH(C24,Compose_C3!$A$13:$A$64,1)+1)-INDEX(Compose_C3!$A$13:$A$64,MATCH(C24,Compose_C3!$A$13:$A$64,1)))*(INDEX(Compose_C3!$H$13:$H$64,MATCH(C24,Compose_C3!$A$13:$A$64,1)+1)-INDEX(Compose_C3!$H$13:$H$64,MATCH(C24,Compose_C3!$A$13:$A$64,1)))))</f>
        <v/>
      </c>
      <c r="H24" s="17">
        <f>IF(C24&lt;=INDEX(Compose_C3!$A$13:$A$64,1),INDEX(Compose_C3!$I$13:$I$64,1),IF(C24&gt;=INDEX(Compose_C3!$A$13:$A$64,ROWS(Compose_C3!$A$13:$A$64)),INDEX(Compose_C3!$I$13:$I$64,ROWS(Compose_C3!$I$13:$I$64)),INDEX(Compose_C3!$I$13:$I$64,MATCH(C24,Compose_C3!$A$13:$A$64,1))+(C24-INDEX(Compose_C3!$A$13:$A$64,MATCH(C24,Compose_C3!$A$13:$A$64,1)))/(INDEX(Compose_C3!$A$13:$A$64,MATCH(C24,Compose_C3!$A$13:$A$64,1)+1)-INDEX(Compose_C3!$A$13:$A$64,MATCH(C24,Compose_C3!$A$13:$A$64,1)))*(INDEX(Compose_C3!$I$13:$I$64,MATCH(C24,Compose_C3!$A$13:$A$64,1)+1)-INDEX(Compose_C3!$I$13:$I$64,MATCH(C24,Compose_C3!$A$13:$A$64,1)))))</f>
        <v/>
      </c>
      <c r="I24" s="15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3!$G$13:$G$64,1),INDEX(Compose_C3!$A$13:$A$64,1),IF(F24&gt;=INDEX(Compose_C3!$G$13:$G$64,ROWS(Compose_C3!$G$13:$G$64)),INDEX(Compose_C3!$A$13:$A$64,ROWS(Compose_C3!$A$13:$A$64)),INDEX(Compose_C3!$A$13:$A$64,MATCH(F24,Compose_C3!$G$13:$G$64,1))+(F24-INDEX(Compose_C3!$G$13:$G$64,MATCH(F24,Compose_C3!$G$13:$G$64,1)))/(INDEX(Compose_C3!$G$13:$G$64,MATCH(F24,Compose_C3!$G$13:$G$64,1)+1)-INDEX(Compose_C3!$G$13:$G$64,MATCH(F24,Compose_C3!$G$13:$G$64,1)))*(INDEX(Compose_C3!$A$13:$A$64,MATCH(F24,Compose_C3!$G$13:$G$64,1)+1)-INDEX(Compose_C3!$A$13:$A$64,MATCH(F24,Compose_C3!$G$13:$G$64,1)))))</f>
        <v/>
      </c>
      <c r="D25" s="17">
        <f>IF(F24&lt;=0.01,MIN(0.5*(B24+B25),$B$4),IF(C25&lt;=INDEX(Compose_C3!$A$13:$A$64,1),INDEX(Compose_C3!$J$13:$J$64,1),IF(C25&gt;=INDEX(Compose_C3!$A$13:$A$64,ROWS(Compose_C3!$A$13:$A$64)),INDEX(Compose_C3!$J$13:$J$64,ROWS(Compose_C3!$J$13:$J$64)),INDEX(Compose_C3!$J$13:$J$64,MATCH(C25,Compose_C3!$A$13:$A$64,1))+(C25-INDEX(Compose_C3!$A$13:$A$64,MATCH(C25,Compose_C3!$A$13:$A$64,1)))/(INDEX(Compose_C3!$A$13:$A$64,MATCH(C25,Compose_C3!$A$13:$A$64,1)+1)-INDEX(Compose_C3!$A$13:$A$64,MATCH(C25,Compose_C3!$A$13:$A$64,1)))*(INDEX(Compose_C3!$J$13:$J$64,MATCH(C25,Compose_C3!$A$13:$A$64,1)+1)-INDEX(Compose_C3!$J$13:$J$64,MATCH(C25,Compose_C3!$A$13:$A$64,1))))))</f>
        <v/>
      </c>
      <c r="E25" s="16">
        <f>(A25-A24)*60</f>
        <v/>
      </c>
      <c r="F25" s="13">
        <f>MAX(0,F24+(0.5*(B24+B25)-D25)*E25)</f>
        <v/>
      </c>
      <c r="G25" s="17">
        <f>IF(C25&lt;=INDEX(Compose_C3!$A$13:$A$64,1),INDEX(Compose_C3!$H$13:$H$64,1),IF(C25&gt;=INDEX(Compose_C3!$A$13:$A$64,ROWS(Compose_C3!$A$13:$A$64)),INDEX(Compose_C3!$H$13:$H$64,ROWS(Compose_C3!$H$13:$H$64)),INDEX(Compose_C3!$H$13:$H$64,MATCH(C25,Compose_C3!$A$13:$A$64,1))+(C25-INDEX(Compose_C3!$A$13:$A$64,MATCH(C25,Compose_C3!$A$13:$A$64,1)))/(INDEX(Compose_C3!$A$13:$A$64,MATCH(C25,Compose_C3!$A$13:$A$64,1)+1)-INDEX(Compose_C3!$A$13:$A$64,MATCH(C25,Compose_C3!$A$13:$A$64,1)))*(INDEX(Compose_C3!$H$13:$H$64,MATCH(C25,Compose_C3!$A$13:$A$64,1)+1)-INDEX(Compose_C3!$H$13:$H$64,MATCH(C25,Compose_C3!$A$13:$A$64,1)))))</f>
        <v/>
      </c>
      <c r="H25" s="17">
        <f>IF(C25&lt;=INDEX(Compose_C3!$A$13:$A$64,1),INDEX(Compose_C3!$I$13:$I$64,1),IF(C25&gt;=INDEX(Compose_C3!$A$13:$A$64,ROWS(Compose_C3!$A$13:$A$64)),INDEX(Compose_C3!$I$13:$I$64,ROWS(Compose_C3!$I$13:$I$64)),INDEX(Compose_C3!$I$13:$I$64,MATCH(C25,Compose_C3!$A$13:$A$64,1))+(C25-INDEX(Compose_C3!$A$13:$A$64,MATCH(C25,Compose_C3!$A$13:$A$64,1)))/(INDEX(Compose_C3!$A$13:$A$64,MATCH(C25,Compose_C3!$A$13:$A$64,1)+1)-INDEX(Compose_C3!$A$13:$A$64,MATCH(C25,Compose_C3!$A$13:$A$64,1)))*(INDEX(Compose_C3!$I$13:$I$64,MATCH(C25,Compose_C3!$A$13:$A$64,1)+1)-INDEX(Compose_C3!$I$13:$I$64,MATCH(C25,Compose_C3!$A$13:$A$64,1)))))</f>
        <v/>
      </c>
      <c r="I25" s="15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3!$G$13:$G$64,1),INDEX(Compose_C3!$A$13:$A$64,1),IF(F25&gt;=INDEX(Compose_C3!$G$13:$G$64,ROWS(Compose_C3!$G$13:$G$64)),INDEX(Compose_C3!$A$13:$A$64,ROWS(Compose_C3!$A$13:$A$64)),INDEX(Compose_C3!$A$13:$A$64,MATCH(F25,Compose_C3!$G$13:$G$64,1))+(F25-INDEX(Compose_C3!$G$13:$G$64,MATCH(F25,Compose_C3!$G$13:$G$64,1)))/(INDEX(Compose_C3!$G$13:$G$64,MATCH(F25,Compose_C3!$G$13:$G$64,1)+1)-INDEX(Compose_C3!$G$13:$G$64,MATCH(F25,Compose_C3!$G$13:$G$64,1)))*(INDEX(Compose_C3!$A$13:$A$64,MATCH(F25,Compose_C3!$G$13:$G$64,1)+1)-INDEX(Compose_C3!$A$13:$A$64,MATCH(F25,Compose_C3!$G$13:$G$64,1)))))</f>
        <v/>
      </c>
      <c r="D26" s="17">
        <f>IF(F25&lt;=0.01,MIN(0.5*(B25+B26),$B$4),IF(C26&lt;=INDEX(Compose_C3!$A$13:$A$64,1),INDEX(Compose_C3!$J$13:$J$64,1),IF(C26&gt;=INDEX(Compose_C3!$A$13:$A$64,ROWS(Compose_C3!$A$13:$A$64)),INDEX(Compose_C3!$J$13:$J$64,ROWS(Compose_C3!$J$13:$J$64)),INDEX(Compose_C3!$J$13:$J$64,MATCH(C26,Compose_C3!$A$13:$A$64,1))+(C26-INDEX(Compose_C3!$A$13:$A$64,MATCH(C26,Compose_C3!$A$13:$A$64,1)))/(INDEX(Compose_C3!$A$13:$A$64,MATCH(C26,Compose_C3!$A$13:$A$64,1)+1)-INDEX(Compose_C3!$A$13:$A$64,MATCH(C26,Compose_C3!$A$13:$A$64,1)))*(INDEX(Compose_C3!$J$13:$J$64,MATCH(C26,Compose_C3!$A$13:$A$64,1)+1)-INDEX(Compose_C3!$J$13:$J$64,MATCH(C26,Compose_C3!$A$13:$A$64,1))))))</f>
        <v/>
      </c>
      <c r="E26" s="16">
        <f>(A26-A25)*60</f>
        <v/>
      </c>
      <c r="F26" s="13">
        <f>MAX(0,F25+(0.5*(B25+B26)-D26)*E26)</f>
        <v/>
      </c>
      <c r="G26" s="17">
        <f>IF(C26&lt;=INDEX(Compose_C3!$A$13:$A$64,1),INDEX(Compose_C3!$H$13:$H$64,1),IF(C26&gt;=INDEX(Compose_C3!$A$13:$A$64,ROWS(Compose_C3!$A$13:$A$64)),INDEX(Compose_C3!$H$13:$H$64,ROWS(Compose_C3!$H$13:$H$64)),INDEX(Compose_C3!$H$13:$H$64,MATCH(C26,Compose_C3!$A$13:$A$64,1))+(C26-INDEX(Compose_C3!$A$13:$A$64,MATCH(C26,Compose_C3!$A$13:$A$64,1)))/(INDEX(Compose_C3!$A$13:$A$64,MATCH(C26,Compose_C3!$A$13:$A$64,1)+1)-INDEX(Compose_C3!$A$13:$A$64,MATCH(C26,Compose_C3!$A$13:$A$64,1)))*(INDEX(Compose_C3!$H$13:$H$64,MATCH(C26,Compose_C3!$A$13:$A$64,1)+1)-INDEX(Compose_C3!$H$13:$H$64,MATCH(C26,Compose_C3!$A$13:$A$64,1)))))</f>
        <v/>
      </c>
      <c r="H26" s="17">
        <f>IF(C26&lt;=INDEX(Compose_C3!$A$13:$A$64,1),INDEX(Compose_C3!$I$13:$I$64,1),IF(C26&gt;=INDEX(Compose_C3!$A$13:$A$64,ROWS(Compose_C3!$A$13:$A$64)),INDEX(Compose_C3!$I$13:$I$64,ROWS(Compose_C3!$I$13:$I$64)),INDEX(Compose_C3!$I$13:$I$64,MATCH(C26,Compose_C3!$A$13:$A$64,1))+(C26-INDEX(Compose_C3!$A$13:$A$64,MATCH(C26,Compose_C3!$A$13:$A$64,1)))/(INDEX(Compose_C3!$A$13:$A$64,MATCH(C26,Compose_C3!$A$13:$A$64,1)+1)-INDEX(Compose_C3!$A$13:$A$64,MATCH(C26,Compose_C3!$A$13:$A$64,1)))*(INDEX(Compose_C3!$I$13:$I$64,MATCH(C26,Compose_C3!$A$13:$A$64,1)+1)-INDEX(Compose_C3!$I$13:$I$64,MATCH(C26,Compose_C3!$A$13:$A$64,1)))))</f>
        <v/>
      </c>
      <c r="I26" s="15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3!$G$13:$G$64,1),INDEX(Compose_C3!$A$13:$A$64,1),IF(F26&gt;=INDEX(Compose_C3!$G$13:$G$64,ROWS(Compose_C3!$G$13:$G$64)),INDEX(Compose_C3!$A$13:$A$64,ROWS(Compose_C3!$A$13:$A$64)),INDEX(Compose_C3!$A$13:$A$64,MATCH(F26,Compose_C3!$G$13:$G$64,1))+(F26-INDEX(Compose_C3!$G$13:$G$64,MATCH(F26,Compose_C3!$G$13:$G$64,1)))/(INDEX(Compose_C3!$G$13:$G$64,MATCH(F26,Compose_C3!$G$13:$G$64,1)+1)-INDEX(Compose_C3!$G$13:$G$64,MATCH(F26,Compose_C3!$G$13:$G$64,1)))*(INDEX(Compose_C3!$A$13:$A$64,MATCH(F26,Compose_C3!$G$13:$G$64,1)+1)-INDEX(Compose_C3!$A$13:$A$64,MATCH(F26,Compose_C3!$G$13:$G$64,1)))))</f>
        <v/>
      </c>
      <c r="D27" s="17">
        <f>IF(F26&lt;=0.01,MIN(0.5*(B26+B27),$B$4),IF(C27&lt;=INDEX(Compose_C3!$A$13:$A$64,1),INDEX(Compose_C3!$J$13:$J$64,1),IF(C27&gt;=INDEX(Compose_C3!$A$13:$A$64,ROWS(Compose_C3!$A$13:$A$64)),INDEX(Compose_C3!$J$13:$J$64,ROWS(Compose_C3!$J$13:$J$64)),INDEX(Compose_C3!$J$13:$J$64,MATCH(C27,Compose_C3!$A$13:$A$64,1))+(C27-INDEX(Compose_C3!$A$13:$A$64,MATCH(C27,Compose_C3!$A$13:$A$64,1)))/(INDEX(Compose_C3!$A$13:$A$64,MATCH(C27,Compose_C3!$A$13:$A$64,1)+1)-INDEX(Compose_C3!$A$13:$A$64,MATCH(C27,Compose_C3!$A$13:$A$64,1)))*(INDEX(Compose_C3!$J$13:$J$64,MATCH(C27,Compose_C3!$A$13:$A$64,1)+1)-INDEX(Compose_C3!$J$13:$J$64,MATCH(C27,Compose_C3!$A$13:$A$64,1))))))</f>
        <v/>
      </c>
      <c r="E27" s="16">
        <f>(A27-A26)*60</f>
        <v/>
      </c>
      <c r="F27" s="13">
        <f>MAX(0,F26+(0.5*(B26+B27)-D27)*E27)</f>
        <v/>
      </c>
      <c r="G27" s="17">
        <f>IF(C27&lt;=INDEX(Compose_C3!$A$13:$A$64,1),INDEX(Compose_C3!$H$13:$H$64,1),IF(C27&gt;=INDEX(Compose_C3!$A$13:$A$64,ROWS(Compose_C3!$A$13:$A$64)),INDEX(Compose_C3!$H$13:$H$64,ROWS(Compose_C3!$H$13:$H$64)),INDEX(Compose_C3!$H$13:$H$64,MATCH(C27,Compose_C3!$A$13:$A$64,1))+(C27-INDEX(Compose_C3!$A$13:$A$64,MATCH(C27,Compose_C3!$A$13:$A$64,1)))/(INDEX(Compose_C3!$A$13:$A$64,MATCH(C27,Compose_C3!$A$13:$A$64,1)+1)-INDEX(Compose_C3!$A$13:$A$64,MATCH(C27,Compose_C3!$A$13:$A$64,1)))*(INDEX(Compose_C3!$H$13:$H$64,MATCH(C27,Compose_C3!$A$13:$A$64,1)+1)-INDEX(Compose_C3!$H$13:$H$64,MATCH(C27,Compose_C3!$A$13:$A$64,1)))))</f>
        <v/>
      </c>
      <c r="H27" s="17">
        <f>IF(C27&lt;=INDEX(Compose_C3!$A$13:$A$64,1),INDEX(Compose_C3!$I$13:$I$64,1),IF(C27&gt;=INDEX(Compose_C3!$A$13:$A$64,ROWS(Compose_C3!$A$13:$A$64)),INDEX(Compose_C3!$I$13:$I$64,ROWS(Compose_C3!$I$13:$I$64)),INDEX(Compose_C3!$I$13:$I$64,MATCH(C27,Compose_C3!$A$13:$A$64,1))+(C27-INDEX(Compose_C3!$A$13:$A$64,MATCH(C27,Compose_C3!$A$13:$A$64,1)))/(INDEX(Compose_C3!$A$13:$A$64,MATCH(C27,Compose_C3!$A$13:$A$64,1)+1)-INDEX(Compose_C3!$A$13:$A$64,MATCH(C27,Compose_C3!$A$13:$A$64,1)))*(INDEX(Compose_C3!$I$13:$I$64,MATCH(C27,Compose_C3!$A$13:$A$64,1)+1)-INDEX(Compose_C3!$I$13:$I$64,MATCH(C27,Compose_C3!$A$13:$A$64,1)))))</f>
        <v/>
      </c>
      <c r="I27" s="15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Compose_C4 — Q_1200 + Q_overflow; V_pond + V_ditch (composite)</t>
        </is>
      </c>
    </row>
    <row r="2">
      <c r="A2" t="inlineStr">
        <is>
          <t>Colonnes = formules Excel. Crest / facteur pipe en jaune.</t>
        </is>
      </c>
    </row>
    <row r="4">
      <c r="A4" t="inlineStr">
        <is>
          <t>Crest</t>
        </is>
      </c>
      <c r="B4" s="26">
        <f>Parametres!B48</f>
        <v/>
      </c>
    </row>
    <row r="5">
      <c r="A5" t="inlineStr">
        <is>
          <t>b</t>
        </is>
      </c>
      <c r="B5" s="26">
        <f>Parametres!B22</f>
        <v/>
      </c>
    </row>
    <row r="6">
      <c r="A6" t="inlineStr">
        <is>
          <t>n</t>
        </is>
      </c>
      <c r="B6" s="26">
        <f>Parametres!B23</f>
        <v/>
      </c>
    </row>
    <row r="7">
      <c r="A7" t="inlineStr">
        <is>
          <t>z</t>
        </is>
      </c>
      <c r="B7" s="26">
        <f>Parametres!B24</f>
        <v/>
      </c>
    </row>
    <row r="8">
      <c r="A8" t="inlineStr">
        <is>
          <t>S</t>
        </is>
      </c>
      <c r="B8" s="26">
        <f>Parametres!B25</f>
        <v/>
      </c>
    </row>
    <row r="9">
      <c r="A9" t="inlineStr">
        <is>
          <t>L</t>
        </is>
      </c>
      <c r="B9" s="26">
        <f>Parametres!B26</f>
        <v/>
      </c>
    </row>
    <row r="10">
      <c r="A10" t="inlineStr">
        <is>
          <t>Zin</t>
        </is>
      </c>
      <c r="B10" s="26">
        <f>Parametres!B12</f>
        <v/>
      </c>
    </row>
    <row r="11">
      <c r="A11" t="inlineStr">
        <is>
          <t>Facteur_pipe</t>
        </is>
      </c>
      <c r="B11" s="26" t="inlineStr">
        <is>
          <t>1</t>
        </is>
      </c>
    </row>
    <row r="12">
      <c r="A12" s="12" t="inlineStr">
        <is>
          <t>WSE</t>
        </is>
      </c>
      <c r="B12" s="12" t="inlineStr">
        <is>
          <t>HW</t>
        </is>
      </c>
      <c r="C12" s="12" t="inlineStr">
        <is>
          <t>y_ov</t>
        </is>
      </c>
      <c r="D12" s="12" t="inlineStr">
        <is>
          <t>A_ditch</t>
        </is>
      </c>
      <c r="E12" s="12" t="inlineStr">
        <is>
          <t>V_ditch</t>
        </is>
      </c>
      <c r="F12" s="12" t="inlineStr">
        <is>
          <t>V_pond</t>
        </is>
      </c>
      <c r="G12" s="12" t="inlineStr">
        <is>
          <t>V_total</t>
        </is>
      </c>
      <c r="H12" s="12" t="inlineStr">
        <is>
          <t>Q_1200</t>
        </is>
      </c>
      <c r="I12" s="12" t="inlineStr">
        <is>
          <t>Q_overflow</t>
        </is>
      </c>
      <c r="J12" s="12" t="inlineStr">
        <is>
          <t>Qout</t>
        </is>
      </c>
    </row>
    <row r="13">
      <c r="A13" s="19" t="n">
        <v>34.88</v>
      </c>
      <c r="B13" s="19">
        <f>A13-$B$10</f>
        <v/>
      </c>
      <c r="C13" s="19">
        <f>MAX(0,A13-$B$4)</f>
        <v/>
      </c>
      <c r="D13" s="17">
        <f>IF(C13&lt;=0,0,($B$5+$B$7*C13)*C13)</f>
        <v/>
      </c>
      <c r="E13" s="16">
        <f>D13*$B$9</f>
        <v/>
      </c>
      <c r="F13" s="16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13">
        <f>E13+F13</f>
        <v/>
      </c>
      <c r="H13" s="17">
        <f>($B$11)*(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)</f>
        <v/>
      </c>
      <c r="I13" s="17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19" t="n">
        <v>34.98</v>
      </c>
      <c r="B14" s="19">
        <f>A14-$B$10</f>
        <v/>
      </c>
      <c r="C14" s="19">
        <f>MAX(0,A14-$B$4)</f>
        <v/>
      </c>
      <c r="D14" s="17">
        <f>IF(C14&lt;=0,0,($B$5+$B$7*C14)*C14)</f>
        <v/>
      </c>
      <c r="E14" s="16">
        <f>D14*$B$9</f>
        <v/>
      </c>
      <c r="F14" s="16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13">
        <f>E14+F14</f>
        <v/>
      </c>
      <c r="H14" s="17">
        <f>($B$11)*(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)</f>
        <v/>
      </c>
      <c r="I14" s="17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19" t="n">
        <v>35.08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35.18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35.28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35.38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35.48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35.58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35.68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35.78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35.88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35.98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36.08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36.18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36.28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36.38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36.48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36.58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36.68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36.78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36.88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36.98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37.08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37.18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37.28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37.38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37.48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37.58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37.68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37.78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37.88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37.98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38.08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38.18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38.28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38.38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38.48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38.58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38.68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38.78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38.88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38.98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39.08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39.18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39.28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39.38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39.48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39.58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39.68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39.78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39.88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39.98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Calcul_C4 — routage level-pool (formules Excel)</t>
        </is>
      </c>
    </row>
    <row r="2">
      <c r="A2" t="inlineStr">
        <is>
          <t>WSE depuis V_total (Compose_C4);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Parametres!B48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14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7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15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4!$G$13:$G$64,1),INDEX(Compose_C4!$A$13:$A$64,1),IF(F15&gt;=INDEX(Compose_C4!$G$13:$G$64,ROWS(Compose_C4!$G$13:$G$64)),INDEX(Compose_C4!$A$13:$A$64,ROWS(Compose_C4!$A$13:$A$64)),INDEX(Compose_C4!$A$13:$A$64,MATCH(F15,Compose_C4!$G$13:$G$64,1))+(F15-INDEX(Compose_C4!$G$13:$G$64,MATCH(F15,Compose_C4!$G$13:$G$64,1)))/(INDEX(Compose_C4!$G$13:$G$64,MATCH(F15,Compose_C4!$G$13:$G$64,1)+1)-INDEX(Compose_C4!$G$13:$G$64,MATCH(F15,Compose_C4!$G$13:$G$64,1)))*(INDEX(Compose_C4!$A$13:$A$64,MATCH(F15,Compose_C4!$G$13:$G$64,1)+1)-INDEX(Compose_C4!$A$13:$A$64,MATCH(F15,Compose_C4!$G$13:$G$64,1)))))</f>
        <v/>
      </c>
      <c r="D16" s="17">
        <f>IF(F15&lt;=0.01,MIN(0.5*(B15+B16),$B$4),IF(C16&lt;=INDEX(Compose_C4!$A$13:$A$64,1),INDEX(Compose_C4!$J$13:$J$64,1),IF(C16&gt;=INDEX(Compose_C4!$A$13:$A$64,ROWS(Compose_C4!$A$13:$A$64)),INDEX(Compose_C4!$J$13:$J$64,ROWS(Compose_C4!$J$13:$J$64)),INDEX(Compose_C4!$J$13:$J$64,MATCH(C16,Compose_C4!$A$13:$A$64,1))+(C16-INDEX(Compose_C4!$A$13:$A$64,MATCH(C16,Compose_C4!$A$13:$A$64,1)))/(INDEX(Compose_C4!$A$13:$A$64,MATCH(C16,Compose_C4!$A$13:$A$64,1)+1)-INDEX(Compose_C4!$A$13:$A$64,MATCH(C16,Compose_C4!$A$13:$A$64,1)))*(INDEX(Compose_C4!$J$13:$J$64,MATCH(C16,Compose_C4!$A$13:$A$64,1)+1)-INDEX(Compose_C4!$J$13:$J$64,MATCH(C16,Compose_C4!$A$13:$A$64,1))))))</f>
        <v/>
      </c>
      <c r="E16" s="16">
        <f>(A16-A15)*60</f>
        <v/>
      </c>
      <c r="F16" s="13">
        <f>MAX(0,F15+(0.5*(B15+B16)-D16)*E16)</f>
        <v/>
      </c>
      <c r="G16" s="17">
        <f>IF(C16&lt;=INDEX(Compose_C4!$A$13:$A$64,1),INDEX(Compose_C4!$H$13:$H$64,1),IF(C16&gt;=INDEX(Compose_C4!$A$13:$A$64,ROWS(Compose_C4!$A$13:$A$64)),INDEX(Compose_C4!$H$13:$H$64,ROWS(Compose_C4!$H$13:$H$64)),INDEX(Compose_C4!$H$13:$H$64,MATCH(C16,Compose_C4!$A$13:$A$64,1))+(C16-INDEX(Compose_C4!$A$13:$A$64,MATCH(C16,Compose_C4!$A$13:$A$64,1)))/(INDEX(Compose_C4!$A$13:$A$64,MATCH(C16,Compose_C4!$A$13:$A$64,1)+1)-INDEX(Compose_C4!$A$13:$A$64,MATCH(C16,Compose_C4!$A$13:$A$64,1)))*(INDEX(Compose_C4!$H$13:$H$64,MATCH(C16,Compose_C4!$A$13:$A$64,1)+1)-INDEX(Compose_C4!$H$13:$H$64,MATCH(C16,Compose_C4!$A$13:$A$64,1)))))</f>
        <v/>
      </c>
      <c r="H16" s="17">
        <f>IF(C16&lt;=INDEX(Compose_C4!$A$13:$A$64,1),INDEX(Compose_C4!$I$13:$I$64,1),IF(C16&gt;=INDEX(Compose_C4!$A$13:$A$64,ROWS(Compose_C4!$A$13:$A$64)),INDEX(Compose_C4!$I$13:$I$64,ROWS(Compose_C4!$I$13:$I$64)),INDEX(Compose_C4!$I$13:$I$64,MATCH(C16,Compose_C4!$A$13:$A$64,1))+(C16-INDEX(Compose_C4!$A$13:$A$64,MATCH(C16,Compose_C4!$A$13:$A$64,1)))/(INDEX(Compose_C4!$A$13:$A$64,MATCH(C16,Compose_C4!$A$13:$A$64,1)+1)-INDEX(Compose_C4!$A$13:$A$64,MATCH(C16,Compose_C4!$A$13:$A$64,1)))*(INDEX(Compose_C4!$I$13:$I$64,MATCH(C16,Compose_C4!$A$13:$A$64,1)+1)-INDEX(Compose_C4!$I$13:$I$64,MATCH(C16,Compose_C4!$A$13:$A$64,1)))))</f>
        <v/>
      </c>
      <c r="I16" s="15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4!$G$13:$G$64,1),INDEX(Compose_C4!$A$13:$A$64,1),IF(F16&gt;=INDEX(Compose_C4!$G$13:$G$64,ROWS(Compose_C4!$G$13:$G$64)),INDEX(Compose_C4!$A$13:$A$64,ROWS(Compose_C4!$A$13:$A$64)),INDEX(Compose_C4!$A$13:$A$64,MATCH(F16,Compose_C4!$G$13:$G$64,1))+(F16-INDEX(Compose_C4!$G$13:$G$64,MATCH(F16,Compose_C4!$G$13:$G$64,1)))/(INDEX(Compose_C4!$G$13:$G$64,MATCH(F16,Compose_C4!$G$13:$G$64,1)+1)-INDEX(Compose_C4!$G$13:$G$64,MATCH(F16,Compose_C4!$G$13:$G$64,1)))*(INDEX(Compose_C4!$A$13:$A$64,MATCH(F16,Compose_C4!$G$13:$G$64,1)+1)-INDEX(Compose_C4!$A$13:$A$64,MATCH(F16,Compose_C4!$G$13:$G$64,1)))))</f>
        <v/>
      </c>
      <c r="D17" s="17">
        <f>IF(F16&lt;=0.01,MIN(0.5*(B16+B17),$B$4),IF(C17&lt;=INDEX(Compose_C4!$A$13:$A$64,1),INDEX(Compose_C4!$J$13:$J$64,1),IF(C17&gt;=INDEX(Compose_C4!$A$13:$A$64,ROWS(Compose_C4!$A$13:$A$64)),INDEX(Compose_C4!$J$13:$J$64,ROWS(Compose_C4!$J$13:$J$64)),INDEX(Compose_C4!$J$13:$J$64,MATCH(C17,Compose_C4!$A$13:$A$64,1))+(C17-INDEX(Compose_C4!$A$13:$A$64,MATCH(C17,Compose_C4!$A$13:$A$64,1)))/(INDEX(Compose_C4!$A$13:$A$64,MATCH(C17,Compose_C4!$A$13:$A$64,1)+1)-INDEX(Compose_C4!$A$13:$A$64,MATCH(C17,Compose_C4!$A$13:$A$64,1)))*(INDEX(Compose_C4!$J$13:$J$64,MATCH(C17,Compose_C4!$A$13:$A$64,1)+1)-INDEX(Compose_C4!$J$13:$J$64,MATCH(C17,Compose_C4!$A$13:$A$64,1))))))</f>
        <v/>
      </c>
      <c r="E17" s="16">
        <f>(A17-A16)*60</f>
        <v/>
      </c>
      <c r="F17" s="13">
        <f>MAX(0,F16+(0.5*(B16+B17)-D17)*E17)</f>
        <v/>
      </c>
      <c r="G17" s="17">
        <f>IF(C17&lt;=INDEX(Compose_C4!$A$13:$A$64,1),INDEX(Compose_C4!$H$13:$H$64,1),IF(C17&gt;=INDEX(Compose_C4!$A$13:$A$64,ROWS(Compose_C4!$A$13:$A$64)),INDEX(Compose_C4!$H$13:$H$64,ROWS(Compose_C4!$H$13:$H$64)),INDEX(Compose_C4!$H$13:$H$64,MATCH(C17,Compose_C4!$A$13:$A$64,1))+(C17-INDEX(Compose_C4!$A$13:$A$64,MATCH(C17,Compose_C4!$A$13:$A$64,1)))/(INDEX(Compose_C4!$A$13:$A$64,MATCH(C17,Compose_C4!$A$13:$A$64,1)+1)-INDEX(Compose_C4!$A$13:$A$64,MATCH(C17,Compose_C4!$A$13:$A$64,1)))*(INDEX(Compose_C4!$H$13:$H$64,MATCH(C17,Compose_C4!$A$13:$A$64,1)+1)-INDEX(Compose_C4!$H$13:$H$64,MATCH(C17,Compose_C4!$A$13:$A$64,1)))))</f>
        <v/>
      </c>
      <c r="H17" s="17">
        <f>IF(C17&lt;=INDEX(Compose_C4!$A$13:$A$64,1),INDEX(Compose_C4!$I$13:$I$64,1),IF(C17&gt;=INDEX(Compose_C4!$A$13:$A$64,ROWS(Compose_C4!$A$13:$A$64)),INDEX(Compose_C4!$I$13:$I$64,ROWS(Compose_C4!$I$13:$I$64)),INDEX(Compose_C4!$I$13:$I$64,MATCH(C17,Compose_C4!$A$13:$A$64,1))+(C17-INDEX(Compose_C4!$A$13:$A$64,MATCH(C17,Compose_C4!$A$13:$A$64,1)))/(INDEX(Compose_C4!$A$13:$A$64,MATCH(C17,Compose_C4!$A$13:$A$64,1)+1)-INDEX(Compose_C4!$A$13:$A$64,MATCH(C17,Compose_C4!$A$13:$A$64,1)))*(INDEX(Compose_C4!$I$13:$I$64,MATCH(C17,Compose_C4!$A$13:$A$64,1)+1)-INDEX(Compose_C4!$I$13:$I$64,MATCH(C17,Compose_C4!$A$13:$A$64,1)))))</f>
        <v/>
      </c>
      <c r="I17" s="15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4!$G$13:$G$64,1),INDEX(Compose_C4!$A$13:$A$64,1),IF(F17&gt;=INDEX(Compose_C4!$G$13:$G$64,ROWS(Compose_C4!$G$13:$G$64)),INDEX(Compose_C4!$A$13:$A$64,ROWS(Compose_C4!$A$13:$A$64)),INDEX(Compose_C4!$A$13:$A$64,MATCH(F17,Compose_C4!$G$13:$G$64,1))+(F17-INDEX(Compose_C4!$G$13:$G$64,MATCH(F17,Compose_C4!$G$13:$G$64,1)))/(INDEX(Compose_C4!$G$13:$G$64,MATCH(F17,Compose_C4!$G$13:$G$64,1)+1)-INDEX(Compose_C4!$G$13:$G$64,MATCH(F17,Compose_C4!$G$13:$G$64,1)))*(INDEX(Compose_C4!$A$13:$A$64,MATCH(F17,Compose_C4!$G$13:$G$64,1)+1)-INDEX(Compose_C4!$A$13:$A$64,MATCH(F17,Compose_C4!$G$13:$G$64,1)))))</f>
        <v/>
      </c>
      <c r="D18" s="17">
        <f>IF(F17&lt;=0.01,MIN(0.5*(B17+B18),$B$4),IF(C18&lt;=INDEX(Compose_C4!$A$13:$A$64,1),INDEX(Compose_C4!$J$13:$J$64,1),IF(C18&gt;=INDEX(Compose_C4!$A$13:$A$64,ROWS(Compose_C4!$A$13:$A$64)),INDEX(Compose_C4!$J$13:$J$64,ROWS(Compose_C4!$J$13:$J$64)),INDEX(Compose_C4!$J$13:$J$64,MATCH(C18,Compose_C4!$A$13:$A$64,1))+(C18-INDEX(Compose_C4!$A$13:$A$64,MATCH(C18,Compose_C4!$A$13:$A$64,1)))/(INDEX(Compose_C4!$A$13:$A$64,MATCH(C18,Compose_C4!$A$13:$A$64,1)+1)-INDEX(Compose_C4!$A$13:$A$64,MATCH(C18,Compose_C4!$A$13:$A$64,1)))*(INDEX(Compose_C4!$J$13:$J$64,MATCH(C18,Compose_C4!$A$13:$A$64,1)+1)-INDEX(Compose_C4!$J$13:$J$64,MATCH(C18,Compose_C4!$A$13:$A$64,1))))))</f>
        <v/>
      </c>
      <c r="E18" s="16">
        <f>(A18-A17)*60</f>
        <v/>
      </c>
      <c r="F18" s="13">
        <f>MAX(0,F17+(0.5*(B17+B18)-D18)*E18)</f>
        <v/>
      </c>
      <c r="G18" s="17">
        <f>IF(C18&lt;=INDEX(Compose_C4!$A$13:$A$64,1),INDEX(Compose_C4!$H$13:$H$64,1),IF(C18&gt;=INDEX(Compose_C4!$A$13:$A$64,ROWS(Compose_C4!$A$13:$A$64)),INDEX(Compose_C4!$H$13:$H$64,ROWS(Compose_C4!$H$13:$H$64)),INDEX(Compose_C4!$H$13:$H$64,MATCH(C18,Compose_C4!$A$13:$A$64,1))+(C18-INDEX(Compose_C4!$A$13:$A$64,MATCH(C18,Compose_C4!$A$13:$A$64,1)))/(INDEX(Compose_C4!$A$13:$A$64,MATCH(C18,Compose_C4!$A$13:$A$64,1)+1)-INDEX(Compose_C4!$A$13:$A$64,MATCH(C18,Compose_C4!$A$13:$A$64,1)))*(INDEX(Compose_C4!$H$13:$H$64,MATCH(C18,Compose_C4!$A$13:$A$64,1)+1)-INDEX(Compose_C4!$H$13:$H$64,MATCH(C18,Compose_C4!$A$13:$A$64,1)))))</f>
        <v/>
      </c>
      <c r="H18" s="17">
        <f>IF(C18&lt;=INDEX(Compose_C4!$A$13:$A$64,1),INDEX(Compose_C4!$I$13:$I$64,1),IF(C18&gt;=INDEX(Compose_C4!$A$13:$A$64,ROWS(Compose_C4!$A$13:$A$64)),INDEX(Compose_C4!$I$13:$I$64,ROWS(Compose_C4!$I$13:$I$64)),INDEX(Compose_C4!$I$13:$I$64,MATCH(C18,Compose_C4!$A$13:$A$64,1))+(C18-INDEX(Compose_C4!$A$13:$A$64,MATCH(C18,Compose_C4!$A$13:$A$64,1)))/(INDEX(Compose_C4!$A$13:$A$64,MATCH(C18,Compose_C4!$A$13:$A$64,1)+1)-INDEX(Compose_C4!$A$13:$A$64,MATCH(C18,Compose_C4!$A$13:$A$64,1)))*(INDEX(Compose_C4!$I$13:$I$64,MATCH(C18,Compose_C4!$A$13:$A$64,1)+1)-INDEX(Compose_C4!$I$13:$I$64,MATCH(C18,Compose_C4!$A$13:$A$64,1)))))</f>
        <v/>
      </c>
      <c r="I18" s="15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4!$G$13:$G$64,1),INDEX(Compose_C4!$A$13:$A$64,1),IF(F18&gt;=INDEX(Compose_C4!$G$13:$G$64,ROWS(Compose_C4!$G$13:$G$64)),INDEX(Compose_C4!$A$13:$A$64,ROWS(Compose_C4!$A$13:$A$64)),INDEX(Compose_C4!$A$13:$A$64,MATCH(F18,Compose_C4!$G$13:$G$64,1))+(F18-INDEX(Compose_C4!$G$13:$G$64,MATCH(F18,Compose_C4!$G$13:$G$64,1)))/(INDEX(Compose_C4!$G$13:$G$64,MATCH(F18,Compose_C4!$G$13:$G$64,1)+1)-INDEX(Compose_C4!$G$13:$G$64,MATCH(F18,Compose_C4!$G$13:$G$64,1)))*(INDEX(Compose_C4!$A$13:$A$64,MATCH(F18,Compose_C4!$G$13:$G$64,1)+1)-INDEX(Compose_C4!$A$13:$A$64,MATCH(F18,Compose_C4!$G$13:$G$64,1)))))</f>
        <v/>
      </c>
      <c r="D19" s="17">
        <f>IF(F18&lt;=0.01,MIN(0.5*(B18+B19),$B$4),IF(C19&lt;=INDEX(Compose_C4!$A$13:$A$64,1),INDEX(Compose_C4!$J$13:$J$64,1),IF(C19&gt;=INDEX(Compose_C4!$A$13:$A$64,ROWS(Compose_C4!$A$13:$A$64)),INDEX(Compose_C4!$J$13:$J$64,ROWS(Compose_C4!$J$13:$J$64)),INDEX(Compose_C4!$J$13:$J$64,MATCH(C19,Compose_C4!$A$13:$A$64,1))+(C19-INDEX(Compose_C4!$A$13:$A$64,MATCH(C19,Compose_C4!$A$13:$A$64,1)))/(INDEX(Compose_C4!$A$13:$A$64,MATCH(C19,Compose_C4!$A$13:$A$64,1)+1)-INDEX(Compose_C4!$A$13:$A$64,MATCH(C19,Compose_C4!$A$13:$A$64,1)))*(INDEX(Compose_C4!$J$13:$J$64,MATCH(C19,Compose_C4!$A$13:$A$64,1)+1)-INDEX(Compose_C4!$J$13:$J$64,MATCH(C19,Compose_C4!$A$13:$A$64,1))))))</f>
        <v/>
      </c>
      <c r="E19" s="16">
        <f>(A19-A18)*60</f>
        <v/>
      </c>
      <c r="F19" s="13">
        <f>MAX(0,F18+(0.5*(B18+B19)-D19)*E19)</f>
        <v/>
      </c>
      <c r="G19" s="17">
        <f>IF(C19&lt;=INDEX(Compose_C4!$A$13:$A$64,1),INDEX(Compose_C4!$H$13:$H$64,1),IF(C19&gt;=INDEX(Compose_C4!$A$13:$A$64,ROWS(Compose_C4!$A$13:$A$64)),INDEX(Compose_C4!$H$13:$H$64,ROWS(Compose_C4!$H$13:$H$64)),INDEX(Compose_C4!$H$13:$H$64,MATCH(C19,Compose_C4!$A$13:$A$64,1))+(C19-INDEX(Compose_C4!$A$13:$A$64,MATCH(C19,Compose_C4!$A$13:$A$64,1)))/(INDEX(Compose_C4!$A$13:$A$64,MATCH(C19,Compose_C4!$A$13:$A$64,1)+1)-INDEX(Compose_C4!$A$13:$A$64,MATCH(C19,Compose_C4!$A$13:$A$64,1)))*(INDEX(Compose_C4!$H$13:$H$64,MATCH(C19,Compose_C4!$A$13:$A$64,1)+1)-INDEX(Compose_C4!$H$13:$H$64,MATCH(C19,Compose_C4!$A$13:$A$64,1)))))</f>
        <v/>
      </c>
      <c r="H19" s="17">
        <f>IF(C19&lt;=INDEX(Compose_C4!$A$13:$A$64,1),INDEX(Compose_C4!$I$13:$I$64,1),IF(C19&gt;=INDEX(Compose_C4!$A$13:$A$64,ROWS(Compose_C4!$A$13:$A$64)),INDEX(Compose_C4!$I$13:$I$64,ROWS(Compose_C4!$I$13:$I$64)),INDEX(Compose_C4!$I$13:$I$64,MATCH(C19,Compose_C4!$A$13:$A$64,1))+(C19-INDEX(Compose_C4!$A$13:$A$64,MATCH(C19,Compose_C4!$A$13:$A$64,1)))/(INDEX(Compose_C4!$A$13:$A$64,MATCH(C19,Compose_C4!$A$13:$A$64,1)+1)-INDEX(Compose_C4!$A$13:$A$64,MATCH(C19,Compose_C4!$A$13:$A$64,1)))*(INDEX(Compose_C4!$I$13:$I$64,MATCH(C19,Compose_C4!$A$13:$A$64,1)+1)-INDEX(Compose_C4!$I$13:$I$64,MATCH(C19,Compose_C4!$A$13:$A$64,1)))))</f>
        <v/>
      </c>
      <c r="I19" s="15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4!$G$13:$G$64,1),INDEX(Compose_C4!$A$13:$A$64,1),IF(F19&gt;=INDEX(Compose_C4!$G$13:$G$64,ROWS(Compose_C4!$G$13:$G$64)),INDEX(Compose_C4!$A$13:$A$64,ROWS(Compose_C4!$A$13:$A$64)),INDEX(Compose_C4!$A$13:$A$64,MATCH(F19,Compose_C4!$G$13:$G$64,1))+(F19-INDEX(Compose_C4!$G$13:$G$64,MATCH(F19,Compose_C4!$G$13:$G$64,1)))/(INDEX(Compose_C4!$G$13:$G$64,MATCH(F19,Compose_C4!$G$13:$G$64,1)+1)-INDEX(Compose_C4!$G$13:$G$64,MATCH(F19,Compose_C4!$G$13:$G$64,1)))*(INDEX(Compose_C4!$A$13:$A$64,MATCH(F19,Compose_C4!$G$13:$G$64,1)+1)-INDEX(Compose_C4!$A$13:$A$64,MATCH(F19,Compose_C4!$G$13:$G$64,1)))))</f>
        <v/>
      </c>
      <c r="D20" s="17">
        <f>IF(F19&lt;=0.01,MIN(0.5*(B19+B20),$B$4),IF(C20&lt;=INDEX(Compose_C4!$A$13:$A$64,1),INDEX(Compose_C4!$J$13:$J$64,1),IF(C20&gt;=INDEX(Compose_C4!$A$13:$A$64,ROWS(Compose_C4!$A$13:$A$64)),INDEX(Compose_C4!$J$13:$J$64,ROWS(Compose_C4!$J$13:$J$64)),INDEX(Compose_C4!$J$13:$J$64,MATCH(C20,Compose_C4!$A$13:$A$64,1))+(C20-INDEX(Compose_C4!$A$13:$A$64,MATCH(C20,Compose_C4!$A$13:$A$64,1)))/(INDEX(Compose_C4!$A$13:$A$64,MATCH(C20,Compose_C4!$A$13:$A$64,1)+1)-INDEX(Compose_C4!$A$13:$A$64,MATCH(C20,Compose_C4!$A$13:$A$64,1)))*(INDEX(Compose_C4!$J$13:$J$64,MATCH(C20,Compose_C4!$A$13:$A$64,1)+1)-INDEX(Compose_C4!$J$13:$J$64,MATCH(C20,Compose_C4!$A$13:$A$64,1))))))</f>
        <v/>
      </c>
      <c r="E20" s="16">
        <f>(A20-A19)*60</f>
        <v/>
      </c>
      <c r="F20" s="13">
        <f>MAX(0,F19+(0.5*(B19+B20)-D20)*E20)</f>
        <v/>
      </c>
      <c r="G20" s="17">
        <f>IF(C20&lt;=INDEX(Compose_C4!$A$13:$A$64,1),INDEX(Compose_C4!$H$13:$H$64,1),IF(C20&gt;=INDEX(Compose_C4!$A$13:$A$64,ROWS(Compose_C4!$A$13:$A$64)),INDEX(Compose_C4!$H$13:$H$64,ROWS(Compose_C4!$H$13:$H$64)),INDEX(Compose_C4!$H$13:$H$64,MATCH(C20,Compose_C4!$A$13:$A$64,1))+(C20-INDEX(Compose_C4!$A$13:$A$64,MATCH(C20,Compose_C4!$A$13:$A$64,1)))/(INDEX(Compose_C4!$A$13:$A$64,MATCH(C20,Compose_C4!$A$13:$A$64,1)+1)-INDEX(Compose_C4!$A$13:$A$64,MATCH(C20,Compose_C4!$A$13:$A$64,1)))*(INDEX(Compose_C4!$H$13:$H$64,MATCH(C20,Compose_C4!$A$13:$A$64,1)+1)-INDEX(Compose_C4!$H$13:$H$64,MATCH(C20,Compose_C4!$A$13:$A$64,1)))))</f>
        <v/>
      </c>
      <c r="H20" s="17">
        <f>IF(C20&lt;=INDEX(Compose_C4!$A$13:$A$64,1),INDEX(Compose_C4!$I$13:$I$64,1),IF(C20&gt;=INDEX(Compose_C4!$A$13:$A$64,ROWS(Compose_C4!$A$13:$A$64)),INDEX(Compose_C4!$I$13:$I$64,ROWS(Compose_C4!$I$13:$I$64)),INDEX(Compose_C4!$I$13:$I$64,MATCH(C20,Compose_C4!$A$13:$A$64,1))+(C20-INDEX(Compose_C4!$A$13:$A$64,MATCH(C20,Compose_C4!$A$13:$A$64,1)))/(INDEX(Compose_C4!$A$13:$A$64,MATCH(C20,Compose_C4!$A$13:$A$64,1)+1)-INDEX(Compose_C4!$A$13:$A$64,MATCH(C20,Compose_C4!$A$13:$A$64,1)))*(INDEX(Compose_C4!$I$13:$I$64,MATCH(C20,Compose_C4!$A$13:$A$64,1)+1)-INDEX(Compose_C4!$I$13:$I$64,MATCH(C20,Compose_C4!$A$13:$A$64,1)))))</f>
        <v/>
      </c>
      <c r="I20" s="15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4!$G$13:$G$64,1),INDEX(Compose_C4!$A$13:$A$64,1),IF(F20&gt;=INDEX(Compose_C4!$G$13:$G$64,ROWS(Compose_C4!$G$13:$G$64)),INDEX(Compose_C4!$A$13:$A$64,ROWS(Compose_C4!$A$13:$A$64)),INDEX(Compose_C4!$A$13:$A$64,MATCH(F20,Compose_C4!$G$13:$G$64,1))+(F20-INDEX(Compose_C4!$G$13:$G$64,MATCH(F20,Compose_C4!$G$13:$G$64,1)))/(INDEX(Compose_C4!$G$13:$G$64,MATCH(F20,Compose_C4!$G$13:$G$64,1)+1)-INDEX(Compose_C4!$G$13:$G$64,MATCH(F20,Compose_C4!$G$13:$G$64,1)))*(INDEX(Compose_C4!$A$13:$A$64,MATCH(F20,Compose_C4!$G$13:$G$64,1)+1)-INDEX(Compose_C4!$A$13:$A$64,MATCH(F20,Compose_C4!$G$13:$G$64,1)))))</f>
        <v/>
      </c>
      <c r="D21" s="17">
        <f>IF(F20&lt;=0.01,MIN(0.5*(B20+B21),$B$4),IF(C21&lt;=INDEX(Compose_C4!$A$13:$A$64,1),INDEX(Compose_C4!$J$13:$J$64,1),IF(C21&gt;=INDEX(Compose_C4!$A$13:$A$64,ROWS(Compose_C4!$A$13:$A$64)),INDEX(Compose_C4!$J$13:$J$64,ROWS(Compose_C4!$J$13:$J$64)),INDEX(Compose_C4!$J$13:$J$64,MATCH(C21,Compose_C4!$A$13:$A$64,1))+(C21-INDEX(Compose_C4!$A$13:$A$64,MATCH(C21,Compose_C4!$A$13:$A$64,1)))/(INDEX(Compose_C4!$A$13:$A$64,MATCH(C21,Compose_C4!$A$13:$A$64,1)+1)-INDEX(Compose_C4!$A$13:$A$64,MATCH(C21,Compose_C4!$A$13:$A$64,1)))*(INDEX(Compose_C4!$J$13:$J$64,MATCH(C21,Compose_C4!$A$13:$A$64,1)+1)-INDEX(Compose_C4!$J$13:$J$64,MATCH(C21,Compose_C4!$A$13:$A$64,1))))))</f>
        <v/>
      </c>
      <c r="E21" s="16">
        <f>(A21-A20)*60</f>
        <v/>
      </c>
      <c r="F21" s="13">
        <f>MAX(0,F20+(0.5*(B20+B21)-D21)*E21)</f>
        <v/>
      </c>
      <c r="G21" s="17">
        <f>IF(C21&lt;=INDEX(Compose_C4!$A$13:$A$64,1),INDEX(Compose_C4!$H$13:$H$64,1),IF(C21&gt;=INDEX(Compose_C4!$A$13:$A$64,ROWS(Compose_C4!$A$13:$A$64)),INDEX(Compose_C4!$H$13:$H$64,ROWS(Compose_C4!$H$13:$H$64)),INDEX(Compose_C4!$H$13:$H$64,MATCH(C21,Compose_C4!$A$13:$A$64,1))+(C21-INDEX(Compose_C4!$A$13:$A$64,MATCH(C21,Compose_C4!$A$13:$A$64,1)))/(INDEX(Compose_C4!$A$13:$A$64,MATCH(C21,Compose_C4!$A$13:$A$64,1)+1)-INDEX(Compose_C4!$A$13:$A$64,MATCH(C21,Compose_C4!$A$13:$A$64,1)))*(INDEX(Compose_C4!$H$13:$H$64,MATCH(C21,Compose_C4!$A$13:$A$64,1)+1)-INDEX(Compose_C4!$H$13:$H$64,MATCH(C21,Compose_C4!$A$13:$A$64,1)))))</f>
        <v/>
      </c>
      <c r="H21" s="17">
        <f>IF(C21&lt;=INDEX(Compose_C4!$A$13:$A$64,1),INDEX(Compose_C4!$I$13:$I$64,1),IF(C21&gt;=INDEX(Compose_C4!$A$13:$A$64,ROWS(Compose_C4!$A$13:$A$64)),INDEX(Compose_C4!$I$13:$I$64,ROWS(Compose_C4!$I$13:$I$64)),INDEX(Compose_C4!$I$13:$I$64,MATCH(C21,Compose_C4!$A$13:$A$64,1))+(C21-INDEX(Compose_C4!$A$13:$A$64,MATCH(C21,Compose_C4!$A$13:$A$64,1)))/(INDEX(Compose_C4!$A$13:$A$64,MATCH(C21,Compose_C4!$A$13:$A$64,1)+1)-INDEX(Compose_C4!$A$13:$A$64,MATCH(C21,Compose_C4!$A$13:$A$64,1)))*(INDEX(Compose_C4!$I$13:$I$64,MATCH(C21,Compose_C4!$A$13:$A$64,1)+1)-INDEX(Compose_C4!$I$13:$I$64,MATCH(C21,Compose_C4!$A$13:$A$64,1)))))</f>
        <v/>
      </c>
      <c r="I21" s="15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4!$G$13:$G$64,1),INDEX(Compose_C4!$A$13:$A$64,1),IF(F21&gt;=INDEX(Compose_C4!$G$13:$G$64,ROWS(Compose_C4!$G$13:$G$64)),INDEX(Compose_C4!$A$13:$A$64,ROWS(Compose_C4!$A$13:$A$64)),INDEX(Compose_C4!$A$13:$A$64,MATCH(F21,Compose_C4!$G$13:$G$64,1))+(F21-INDEX(Compose_C4!$G$13:$G$64,MATCH(F21,Compose_C4!$G$13:$G$64,1)))/(INDEX(Compose_C4!$G$13:$G$64,MATCH(F21,Compose_C4!$G$13:$G$64,1)+1)-INDEX(Compose_C4!$G$13:$G$64,MATCH(F21,Compose_C4!$G$13:$G$64,1)))*(INDEX(Compose_C4!$A$13:$A$64,MATCH(F21,Compose_C4!$G$13:$G$64,1)+1)-INDEX(Compose_C4!$A$13:$A$64,MATCH(F21,Compose_C4!$G$13:$G$64,1)))))</f>
        <v/>
      </c>
      <c r="D22" s="17">
        <f>IF(F21&lt;=0.01,MIN(0.5*(B21+B22),$B$4),IF(C22&lt;=INDEX(Compose_C4!$A$13:$A$64,1),INDEX(Compose_C4!$J$13:$J$64,1),IF(C22&gt;=INDEX(Compose_C4!$A$13:$A$64,ROWS(Compose_C4!$A$13:$A$64)),INDEX(Compose_C4!$J$13:$J$64,ROWS(Compose_C4!$J$13:$J$64)),INDEX(Compose_C4!$J$13:$J$64,MATCH(C22,Compose_C4!$A$13:$A$64,1))+(C22-INDEX(Compose_C4!$A$13:$A$64,MATCH(C22,Compose_C4!$A$13:$A$64,1)))/(INDEX(Compose_C4!$A$13:$A$64,MATCH(C22,Compose_C4!$A$13:$A$64,1)+1)-INDEX(Compose_C4!$A$13:$A$64,MATCH(C22,Compose_C4!$A$13:$A$64,1)))*(INDEX(Compose_C4!$J$13:$J$64,MATCH(C22,Compose_C4!$A$13:$A$64,1)+1)-INDEX(Compose_C4!$J$13:$J$64,MATCH(C22,Compose_C4!$A$13:$A$64,1))))))</f>
        <v/>
      </c>
      <c r="E22" s="16">
        <f>(A22-A21)*60</f>
        <v/>
      </c>
      <c r="F22" s="13">
        <f>MAX(0,F21+(0.5*(B21+B22)-D22)*E22)</f>
        <v/>
      </c>
      <c r="G22" s="17">
        <f>IF(C22&lt;=INDEX(Compose_C4!$A$13:$A$64,1),INDEX(Compose_C4!$H$13:$H$64,1),IF(C22&gt;=INDEX(Compose_C4!$A$13:$A$64,ROWS(Compose_C4!$A$13:$A$64)),INDEX(Compose_C4!$H$13:$H$64,ROWS(Compose_C4!$H$13:$H$64)),INDEX(Compose_C4!$H$13:$H$64,MATCH(C22,Compose_C4!$A$13:$A$64,1))+(C22-INDEX(Compose_C4!$A$13:$A$64,MATCH(C22,Compose_C4!$A$13:$A$64,1)))/(INDEX(Compose_C4!$A$13:$A$64,MATCH(C22,Compose_C4!$A$13:$A$64,1)+1)-INDEX(Compose_C4!$A$13:$A$64,MATCH(C22,Compose_C4!$A$13:$A$64,1)))*(INDEX(Compose_C4!$H$13:$H$64,MATCH(C22,Compose_C4!$A$13:$A$64,1)+1)-INDEX(Compose_C4!$H$13:$H$64,MATCH(C22,Compose_C4!$A$13:$A$64,1)))))</f>
        <v/>
      </c>
      <c r="H22" s="17">
        <f>IF(C22&lt;=INDEX(Compose_C4!$A$13:$A$64,1),INDEX(Compose_C4!$I$13:$I$64,1),IF(C22&gt;=INDEX(Compose_C4!$A$13:$A$64,ROWS(Compose_C4!$A$13:$A$64)),INDEX(Compose_C4!$I$13:$I$64,ROWS(Compose_C4!$I$13:$I$64)),INDEX(Compose_C4!$I$13:$I$64,MATCH(C22,Compose_C4!$A$13:$A$64,1))+(C22-INDEX(Compose_C4!$A$13:$A$64,MATCH(C22,Compose_C4!$A$13:$A$64,1)))/(INDEX(Compose_C4!$A$13:$A$64,MATCH(C22,Compose_C4!$A$13:$A$64,1)+1)-INDEX(Compose_C4!$A$13:$A$64,MATCH(C22,Compose_C4!$A$13:$A$64,1)))*(INDEX(Compose_C4!$I$13:$I$64,MATCH(C22,Compose_C4!$A$13:$A$64,1)+1)-INDEX(Compose_C4!$I$13:$I$64,MATCH(C22,Compose_C4!$A$13:$A$64,1)))))</f>
        <v/>
      </c>
      <c r="I22" s="15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4!$G$13:$G$64,1),INDEX(Compose_C4!$A$13:$A$64,1),IF(F22&gt;=INDEX(Compose_C4!$G$13:$G$64,ROWS(Compose_C4!$G$13:$G$64)),INDEX(Compose_C4!$A$13:$A$64,ROWS(Compose_C4!$A$13:$A$64)),INDEX(Compose_C4!$A$13:$A$64,MATCH(F22,Compose_C4!$G$13:$G$64,1))+(F22-INDEX(Compose_C4!$G$13:$G$64,MATCH(F22,Compose_C4!$G$13:$G$64,1)))/(INDEX(Compose_C4!$G$13:$G$64,MATCH(F22,Compose_C4!$G$13:$G$64,1)+1)-INDEX(Compose_C4!$G$13:$G$64,MATCH(F22,Compose_C4!$G$13:$G$64,1)))*(INDEX(Compose_C4!$A$13:$A$64,MATCH(F22,Compose_C4!$G$13:$G$64,1)+1)-INDEX(Compose_C4!$A$13:$A$64,MATCH(F22,Compose_C4!$G$13:$G$64,1)))))</f>
        <v/>
      </c>
      <c r="D23" s="17">
        <f>IF(F22&lt;=0.01,MIN(0.5*(B22+B23),$B$4),IF(C23&lt;=INDEX(Compose_C4!$A$13:$A$64,1),INDEX(Compose_C4!$J$13:$J$64,1),IF(C23&gt;=INDEX(Compose_C4!$A$13:$A$64,ROWS(Compose_C4!$A$13:$A$64)),INDEX(Compose_C4!$J$13:$J$64,ROWS(Compose_C4!$J$13:$J$64)),INDEX(Compose_C4!$J$13:$J$64,MATCH(C23,Compose_C4!$A$13:$A$64,1))+(C23-INDEX(Compose_C4!$A$13:$A$64,MATCH(C23,Compose_C4!$A$13:$A$64,1)))/(INDEX(Compose_C4!$A$13:$A$64,MATCH(C23,Compose_C4!$A$13:$A$64,1)+1)-INDEX(Compose_C4!$A$13:$A$64,MATCH(C23,Compose_C4!$A$13:$A$64,1)))*(INDEX(Compose_C4!$J$13:$J$64,MATCH(C23,Compose_C4!$A$13:$A$64,1)+1)-INDEX(Compose_C4!$J$13:$J$64,MATCH(C23,Compose_C4!$A$13:$A$64,1))))))</f>
        <v/>
      </c>
      <c r="E23" s="16">
        <f>(A23-A22)*60</f>
        <v/>
      </c>
      <c r="F23" s="13">
        <f>MAX(0,F22+(0.5*(B22+B23)-D23)*E23)</f>
        <v/>
      </c>
      <c r="G23" s="17">
        <f>IF(C23&lt;=INDEX(Compose_C4!$A$13:$A$64,1),INDEX(Compose_C4!$H$13:$H$64,1),IF(C23&gt;=INDEX(Compose_C4!$A$13:$A$64,ROWS(Compose_C4!$A$13:$A$64)),INDEX(Compose_C4!$H$13:$H$64,ROWS(Compose_C4!$H$13:$H$64)),INDEX(Compose_C4!$H$13:$H$64,MATCH(C23,Compose_C4!$A$13:$A$64,1))+(C23-INDEX(Compose_C4!$A$13:$A$64,MATCH(C23,Compose_C4!$A$13:$A$64,1)))/(INDEX(Compose_C4!$A$13:$A$64,MATCH(C23,Compose_C4!$A$13:$A$64,1)+1)-INDEX(Compose_C4!$A$13:$A$64,MATCH(C23,Compose_C4!$A$13:$A$64,1)))*(INDEX(Compose_C4!$H$13:$H$64,MATCH(C23,Compose_C4!$A$13:$A$64,1)+1)-INDEX(Compose_C4!$H$13:$H$64,MATCH(C23,Compose_C4!$A$13:$A$64,1)))))</f>
        <v/>
      </c>
      <c r="H23" s="17">
        <f>IF(C23&lt;=INDEX(Compose_C4!$A$13:$A$64,1),INDEX(Compose_C4!$I$13:$I$64,1),IF(C23&gt;=INDEX(Compose_C4!$A$13:$A$64,ROWS(Compose_C4!$A$13:$A$64)),INDEX(Compose_C4!$I$13:$I$64,ROWS(Compose_C4!$I$13:$I$64)),INDEX(Compose_C4!$I$13:$I$64,MATCH(C23,Compose_C4!$A$13:$A$64,1))+(C23-INDEX(Compose_C4!$A$13:$A$64,MATCH(C23,Compose_C4!$A$13:$A$64,1)))/(INDEX(Compose_C4!$A$13:$A$64,MATCH(C23,Compose_C4!$A$13:$A$64,1)+1)-INDEX(Compose_C4!$A$13:$A$64,MATCH(C23,Compose_C4!$A$13:$A$64,1)))*(INDEX(Compose_C4!$I$13:$I$64,MATCH(C23,Compose_C4!$A$13:$A$64,1)+1)-INDEX(Compose_C4!$I$13:$I$64,MATCH(C23,Compose_C4!$A$13:$A$64,1)))))</f>
        <v/>
      </c>
      <c r="I23" s="15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4!$G$13:$G$64,1),INDEX(Compose_C4!$A$13:$A$64,1),IF(F23&gt;=INDEX(Compose_C4!$G$13:$G$64,ROWS(Compose_C4!$G$13:$G$64)),INDEX(Compose_C4!$A$13:$A$64,ROWS(Compose_C4!$A$13:$A$64)),INDEX(Compose_C4!$A$13:$A$64,MATCH(F23,Compose_C4!$G$13:$G$64,1))+(F23-INDEX(Compose_C4!$G$13:$G$64,MATCH(F23,Compose_C4!$G$13:$G$64,1)))/(INDEX(Compose_C4!$G$13:$G$64,MATCH(F23,Compose_C4!$G$13:$G$64,1)+1)-INDEX(Compose_C4!$G$13:$G$64,MATCH(F23,Compose_C4!$G$13:$G$64,1)))*(INDEX(Compose_C4!$A$13:$A$64,MATCH(F23,Compose_C4!$G$13:$G$64,1)+1)-INDEX(Compose_C4!$A$13:$A$64,MATCH(F23,Compose_C4!$G$13:$G$64,1)))))</f>
        <v/>
      </c>
      <c r="D24" s="17">
        <f>IF(F23&lt;=0.01,MIN(0.5*(B23+B24),$B$4),IF(C24&lt;=INDEX(Compose_C4!$A$13:$A$64,1),INDEX(Compose_C4!$J$13:$J$64,1),IF(C24&gt;=INDEX(Compose_C4!$A$13:$A$64,ROWS(Compose_C4!$A$13:$A$64)),INDEX(Compose_C4!$J$13:$J$64,ROWS(Compose_C4!$J$13:$J$64)),INDEX(Compose_C4!$J$13:$J$64,MATCH(C24,Compose_C4!$A$13:$A$64,1))+(C24-INDEX(Compose_C4!$A$13:$A$64,MATCH(C24,Compose_C4!$A$13:$A$64,1)))/(INDEX(Compose_C4!$A$13:$A$64,MATCH(C24,Compose_C4!$A$13:$A$64,1)+1)-INDEX(Compose_C4!$A$13:$A$64,MATCH(C24,Compose_C4!$A$13:$A$64,1)))*(INDEX(Compose_C4!$J$13:$J$64,MATCH(C24,Compose_C4!$A$13:$A$64,1)+1)-INDEX(Compose_C4!$J$13:$J$64,MATCH(C24,Compose_C4!$A$13:$A$64,1))))))</f>
        <v/>
      </c>
      <c r="E24" s="16">
        <f>(A24-A23)*60</f>
        <v/>
      </c>
      <c r="F24" s="13">
        <f>MAX(0,F23+(0.5*(B23+B24)-D24)*E24)</f>
        <v/>
      </c>
      <c r="G24" s="17">
        <f>IF(C24&lt;=INDEX(Compose_C4!$A$13:$A$64,1),INDEX(Compose_C4!$H$13:$H$64,1),IF(C24&gt;=INDEX(Compose_C4!$A$13:$A$64,ROWS(Compose_C4!$A$13:$A$64)),INDEX(Compose_C4!$H$13:$H$64,ROWS(Compose_C4!$H$13:$H$64)),INDEX(Compose_C4!$H$13:$H$64,MATCH(C24,Compose_C4!$A$13:$A$64,1))+(C24-INDEX(Compose_C4!$A$13:$A$64,MATCH(C24,Compose_C4!$A$13:$A$64,1)))/(INDEX(Compose_C4!$A$13:$A$64,MATCH(C24,Compose_C4!$A$13:$A$64,1)+1)-INDEX(Compose_C4!$A$13:$A$64,MATCH(C24,Compose_C4!$A$13:$A$64,1)))*(INDEX(Compose_C4!$H$13:$H$64,MATCH(C24,Compose_C4!$A$13:$A$64,1)+1)-INDEX(Compose_C4!$H$13:$H$64,MATCH(C24,Compose_C4!$A$13:$A$64,1)))))</f>
        <v/>
      </c>
      <c r="H24" s="17">
        <f>IF(C24&lt;=INDEX(Compose_C4!$A$13:$A$64,1),INDEX(Compose_C4!$I$13:$I$64,1),IF(C24&gt;=INDEX(Compose_C4!$A$13:$A$64,ROWS(Compose_C4!$A$13:$A$64)),INDEX(Compose_C4!$I$13:$I$64,ROWS(Compose_C4!$I$13:$I$64)),INDEX(Compose_C4!$I$13:$I$64,MATCH(C24,Compose_C4!$A$13:$A$64,1))+(C24-INDEX(Compose_C4!$A$13:$A$64,MATCH(C24,Compose_C4!$A$13:$A$64,1)))/(INDEX(Compose_C4!$A$13:$A$64,MATCH(C24,Compose_C4!$A$13:$A$64,1)+1)-INDEX(Compose_C4!$A$13:$A$64,MATCH(C24,Compose_C4!$A$13:$A$64,1)))*(INDEX(Compose_C4!$I$13:$I$64,MATCH(C24,Compose_C4!$A$13:$A$64,1)+1)-INDEX(Compose_C4!$I$13:$I$64,MATCH(C24,Compose_C4!$A$13:$A$64,1)))))</f>
        <v/>
      </c>
      <c r="I24" s="15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4!$G$13:$G$64,1),INDEX(Compose_C4!$A$13:$A$64,1),IF(F24&gt;=INDEX(Compose_C4!$G$13:$G$64,ROWS(Compose_C4!$G$13:$G$64)),INDEX(Compose_C4!$A$13:$A$64,ROWS(Compose_C4!$A$13:$A$64)),INDEX(Compose_C4!$A$13:$A$64,MATCH(F24,Compose_C4!$G$13:$G$64,1))+(F24-INDEX(Compose_C4!$G$13:$G$64,MATCH(F24,Compose_C4!$G$13:$G$64,1)))/(INDEX(Compose_C4!$G$13:$G$64,MATCH(F24,Compose_C4!$G$13:$G$64,1)+1)-INDEX(Compose_C4!$G$13:$G$64,MATCH(F24,Compose_C4!$G$13:$G$64,1)))*(INDEX(Compose_C4!$A$13:$A$64,MATCH(F24,Compose_C4!$G$13:$G$64,1)+1)-INDEX(Compose_C4!$A$13:$A$64,MATCH(F24,Compose_C4!$G$13:$G$64,1)))))</f>
        <v/>
      </c>
      <c r="D25" s="17">
        <f>IF(F24&lt;=0.01,MIN(0.5*(B24+B25),$B$4),IF(C25&lt;=INDEX(Compose_C4!$A$13:$A$64,1),INDEX(Compose_C4!$J$13:$J$64,1),IF(C25&gt;=INDEX(Compose_C4!$A$13:$A$64,ROWS(Compose_C4!$A$13:$A$64)),INDEX(Compose_C4!$J$13:$J$64,ROWS(Compose_C4!$J$13:$J$64)),INDEX(Compose_C4!$J$13:$J$64,MATCH(C25,Compose_C4!$A$13:$A$64,1))+(C25-INDEX(Compose_C4!$A$13:$A$64,MATCH(C25,Compose_C4!$A$13:$A$64,1)))/(INDEX(Compose_C4!$A$13:$A$64,MATCH(C25,Compose_C4!$A$13:$A$64,1)+1)-INDEX(Compose_C4!$A$13:$A$64,MATCH(C25,Compose_C4!$A$13:$A$64,1)))*(INDEX(Compose_C4!$J$13:$J$64,MATCH(C25,Compose_C4!$A$13:$A$64,1)+1)-INDEX(Compose_C4!$J$13:$J$64,MATCH(C25,Compose_C4!$A$13:$A$64,1))))))</f>
        <v/>
      </c>
      <c r="E25" s="16">
        <f>(A25-A24)*60</f>
        <v/>
      </c>
      <c r="F25" s="13">
        <f>MAX(0,F24+(0.5*(B24+B25)-D25)*E25)</f>
        <v/>
      </c>
      <c r="G25" s="17">
        <f>IF(C25&lt;=INDEX(Compose_C4!$A$13:$A$64,1),INDEX(Compose_C4!$H$13:$H$64,1),IF(C25&gt;=INDEX(Compose_C4!$A$13:$A$64,ROWS(Compose_C4!$A$13:$A$64)),INDEX(Compose_C4!$H$13:$H$64,ROWS(Compose_C4!$H$13:$H$64)),INDEX(Compose_C4!$H$13:$H$64,MATCH(C25,Compose_C4!$A$13:$A$64,1))+(C25-INDEX(Compose_C4!$A$13:$A$64,MATCH(C25,Compose_C4!$A$13:$A$64,1)))/(INDEX(Compose_C4!$A$13:$A$64,MATCH(C25,Compose_C4!$A$13:$A$64,1)+1)-INDEX(Compose_C4!$A$13:$A$64,MATCH(C25,Compose_C4!$A$13:$A$64,1)))*(INDEX(Compose_C4!$H$13:$H$64,MATCH(C25,Compose_C4!$A$13:$A$64,1)+1)-INDEX(Compose_C4!$H$13:$H$64,MATCH(C25,Compose_C4!$A$13:$A$64,1)))))</f>
        <v/>
      </c>
      <c r="H25" s="17">
        <f>IF(C25&lt;=INDEX(Compose_C4!$A$13:$A$64,1),INDEX(Compose_C4!$I$13:$I$64,1),IF(C25&gt;=INDEX(Compose_C4!$A$13:$A$64,ROWS(Compose_C4!$A$13:$A$64)),INDEX(Compose_C4!$I$13:$I$64,ROWS(Compose_C4!$I$13:$I$64)),INDEX(Compose_C4!$I$13:$I$64,MATCH(C25,Compose_C4!$A$13:$A$64,1))+(C25-INDEX(Compose_C4!$A$13:$A$64,MATCH(C25,Compose_C4!$A$13:$A$64,1)))/(INDEX(Compose_C4!$A$13:$A$64,MATCH(C25,Compose_C4!$A$13:$A$64,1)+1)-INDEX(Compose_C4!$A$13:$A$64,MATCH(C25,Compose_C4!$A$13:$A$64,1)))*(INDEX(Compose_C4!$I$13:$I$64,MATCH(C25,Compose_C4!$A$13:$A$64,1)+1)-INDEX(Compose_C4!$I$13:$I$64,MATCH(C25,Compose_C4!$A$13:$A$64,1)))))</f>
        <v/>
      </c>
      <c r="I25" s="15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4!$G$13:$G$64,1),INDEX(Compose_C4!$A$13:$A$64,1),IF(F25&gt;=INDEX(Compose_C4!$G$13:$G$64,ROWS(Compose_C4!$G$13:$G$64)),INDEX(Compose_C4!$A$13:$A$64,ROWS(Compose_C4!$A$13:$A$64)),INDEX(Compose_C4!$A$13:$A$64,MATCH(F25,Compose_C4!$G$13:$G$64,1))+(F25-INDEX(Compose_C4!$G$13:$G$64,MATCH(F25,Compose_C4!$G$13:$G$64,1)))/(INDEX(Compose_C4!$G$13:$G$64,MATCH(F25,Compose_C4!$G$13:$G$64,1)+1)-INDEX(Compose_C4!$G$13:$G$64,MATCH(F25,Compose_C4!$G$13:$G$64,1)))*(INDEX(Compose_C4!$A$13:$A$64,MATCH(F25,Compose_C4!$G$13:$G$64,1)+1)-INDEX(Compose_C4!$A$13:$A$64,MATCH(F25,Compose_C4!$G$13:$G$64,1)))))</f>
        <v/>
      </c>
      <c r="D26" s="17">
        <f>IF(F25&lt;=0.01,MIN(0.5*(B25+B26),$B$4),IF(C26&lt;=INDEX(Compose_C4!$A$13:$A$64,1),INDEX(Compose_C4!$J$13:$J$64,1),IF(C26&gt;=INDEX(Compose_C4!$A$13:$A$64,ROWS(Compose_C4!$A$13:$A$64)),INDEX(Compose_C4!$J$13:$J$64,ROWS(Compose_C4!$J$13:$J$64)),INDEX(Compose_C4!$J$13:$J$64,MATCH(C26,Compose_C4!$A$13:$A$64,1))+(C26-INDEX(Compose_C4!$A$13:$A$64,MATCH(C26,Compose_C4!$A$13:$A$64,1)))/(INDEX(Compose_C4!$A$13:$A$64,MATCH(C26,Compose_C4!$A$13:$A$64,1)+1)-INDEX(Compose_C4!$A$13:$A$64,MATCH(C26,Compose_C4!$A$13:$A$64,1)))*(INDEX(Compose_C4!$J$13:$J$64,MATCH(C26,Compose_C4!$A$13:$A$64,1)+1)-INDEX(Compose_C4!$J$13:$J$64,MATCH(C26,Compose_C4!$A$13:$A$64,1))))))</f>
        <v/>
      </c>
      <c r="E26" s="16">
        <f>(A26-A25)*60</f>
        <v/>
      </c>
      <c r="F26" s="13">
        <f>MAX(0,F25+(0.5*(B25+B26)-D26)*E26)</f>
        <v/>
      </c>
      <c r="G26" s="17">
        <f>IF(C26&lt;=INDEX(Compose_C4!$A$13:$A$64,1),INDEX(Compose_C4!$H$13:$H$64,1),IF(C26&gt;=INDEX(Compose_C4!$A$13:$A$64,ROWS(Compose_C4!$A$13:$A$64)),INDEX(Compose_C4!$H$13:$H$64,ROWS(Compose_C4!$H$13:$H$64)),INDEX(Compose_C4!$H$13:$H$64,MATCH(C26,Compose_C4!$A$13:$A$64,1))+(C26-INDEX(Compose_C4!$A$13:$A$64,MATCH(C26,Compose_C4!$A$13:$A$64,1)))/(INDEX(Compose_C4!$A$13:$A$64,MATCH(C26,Compose_C4!$A$13:$A$64,1)+1)-INDEX(Compose_C4!$A$13:$A$64,MATCH(C26,Compose_C4!$A$13:$A$64,1)))*(INDEX(Compose_C4!$H$13:$H$64,MATCH(C26,Compose_C4!$A$13:$A$64,1)+1)-INDEX(Compose_C4!$H$13:$H$64,MATCH(C26,Compose_C4!$A$13:$A$64,1)))))</f>
        <v/>
      </c>
      <c r="H26" s="17">
        <f>IF(C26&lt;=INDEX(Compose_C4!$A$13:$A$64,1),INDEX(Compose_C4!$I$13:$I$64,1),IF(C26&gt;=INDEX(Compose_C4!$A$13:$A$64,ROWS(Compose_C4!$A$13:$A$64)),INDEX(Compose_C4!$I$13:$I$64,ROWS(Compose_C4!$I$13:$I$64)),INDEX(Compose_C4!$I$13:$I$64,MATCH(C26,Compose_C4!$A$13:$A$64,1))+(C26-INDEX(Compose_C4!$A$13:$A$64,MATCH(C26,Compose_C4!$A$13:$A$64,1)))/(INDEX(Compose_C4!$A$13:$A$64,MATCH(C26,Compose_C4!$A$13:$A$64,1)+1)-INDEX(Compose_C4!$A$13:$A$64,MATCH(C26,Compose_C4!$A$13:$A$64,1)))*(INDEX(Compose_C4!$I$13:$I$64,MATCH(C26,Compose_C4!$A$13:$A$64,1)+1)-INDEX(Compose_C4!$I$13:$I$64,MATCH(C26,Compose_C4!$A$13:$A$64,1)))))</f>
        <v/>
      </c>
      <c r="I26" s="15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4!$G$13:$G$64,1),INDEX(Compose_C4!$A$13:$A$64,1),IF(F26&gt;=INDEX(Compose_C4!$G$13:$G$64,ROWS(Compose_C4!$G$13:$G$64)),INDEX(Compose_C4!$A$13:$A$64,ROWS(Compose_C4!$A$13:$A$64)),INDEX(Compose_C4!$A$13:$A$64,MATCH(F26,Compose_C4!$G$13:$G$64,1))+(F26-INDEX(Compose_C4!$G$13:$G$64,MATCH(F26,Compose_C4!$G$13:$G$64,1)))/(INDEX(Compose_C4!$G$13:$G$64,MATCH(F26,Compose_C4!$G$13:$G$64,1)+1)-INDEX(Compose_C4!$G$13:$G$64,MATCH(F26,Compose_C4!$G$13:$G$64,1)))*(INDEX(Compose_C4!$A$13:$A$64,MATCH(F26,Compose_C4!$G$13:$G$64,1)+1)-INDEX(Compose_C4!$A$13:$A$64,MATCH(F26,Compose_C4!$G$13:$G$64,1)))))</f>
        <v/>
      </c>
      <c r="D27" s="17">
        <f>IF(F26&lt;=0.01,MIN(0.5*(B26+B27),$B$4),IF(C27&lt;=INDEX(Compose_C4!$A$13:$A$64,1),INDEX(Compose_C4!$J$13:$J$64,1),IF(C27&gt;=INDEX(Compose_C4!$A$13:$A$64,ROWS(Compose_C4!$A$13:$A$64)),INDEX(Compose_C4!$J$13:$J$64,ROWS(Compose_C4!$J$13:$J$64)),INDEX(Compose_C4!$J$13:$J$64,MATCH(C27,Compose_C4!$A$13:$A$64,1))+(C27-INDEX(Compose_C4!$A$13:$A$64,MATCH(C27,Compose_C4!$A$13:$A$64,1)))/(INDEX(Compose_C4!$A$13:$A$64,MATCH(C27,Compose_C4!$A$13:$A$64,1)+1)-INDEX(Compose_C4!$A$13:$A$64,MATCH(C27,Compose_C4!$A$13:$A$64,1)))*(INDEX(Compose_C4!$J$13:$J$64,MATCH(C27,Compose_C4!$A$13:$A$64,1)+1)-INDEX(Compose_C4!$J$13:$J$64,MATCH(C27,Compose_C4!$A$13:$A$64,1))))))</f>
        <v/>
      </c>
      <c r="E27" s="16">
        <f>(A27-A26)*60</f>
        <v/>
      </c>
      <c r="F27" s="13">
        <f>MAX(0,F26+(0.5*(B26+B27)-D27)*E27)</f>
        <v/>
      </c>
      <c r="G27" s="17">
        <f>IF(C27&lt;=INDEX(Compose_C4!$A$13:$A$64,1),INDEX(Compose_C4!$H$13:$H$64,1),IF(C27&gt;=INDEX(Compose_C4!$A$13:$A$64,ROWS(Compose_C4!$A$13:$A$64)),INDEX(Compose_C4!$H$13:$H$64,ROWS(Compose_C4!$H$13:$H$64)),INDEX(Compose_C4!$H$13:$H$64,MATCH(C27,Compose_C4!$A$13:$A$64,1))+(C27-INDEX(Compose_C4!$A$13:$A$64,MATCH(C27,Compose_C4!$A$13:$A$64,1)))/(INDEX(Compose_C4!$A$13:$A$64,MATCH(C27,Compose_C4!$A$13:$A$64,1)+1)-INDEX(Compose_C4!$A$13:$A$64,MATCH(C27,Compose_C4!$A$13:$A$64,1)))*(INDEX(Compose_C4!$H$13:$H$64,MATCH(C27,Compose_C4!$A$13:$A$64,1)+1)-INDEX(Compose_C4!$H$13:$H$64,MATCH(C27,Compose_C4!$A$13:$A$64,1)))))</f>
        <v/>
      </c>
      <c r="H27" s="17">
        <f>IF(C27&lt;=INDEX(Compose_C4!$A$13:$A$64,1),INDEX(Compose_C4!$I$13:$I$64,1),IF(C27&gt;=INDEX(Compose_C4!$A$13:$A$64,ROWS(Compose_C4!$A$13:$A$64)),INDEX(Compose_C4!$I$13:$I$64,ROWS(Compose_C4!$I$13:$I$64)),INDEX(Compose_C4!$I$13:$I$64,MATCH(C27,Compose_C4!$A$13:$A$64,1))+(C27-INDEX(Compose_C4!$A$13:$A$64,MATCH(C27,Compose_C4!$A$13:$A$64,1)))/(INDEX(Compose_C4!$A$13:$A$64,MATCH(C27,Compose_C4!$A$13:$A$64,1)+1)-INDEX(Compose_C4!$A$13:$A$64,MATCH(C27,Compose_C4!$A$13:$A$64,1)))*(INDEX(Compose_C4!$I$13:$I$64,MATCH(C27,Compose_C4!$A$13:$A$64,1)+1)-INDEX(Compose_C4!$I$13:$I$64,MATCH(C27,Compose_C4!$A$13:$A$64,1)))))</f>
        <v/>
      </c>
      <c r="I27" s="15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Compose_C5 — Q_1200 + Q_overflow; V_pond + V_ditch (composite)</t>
        </is>
      </c>
    </row>
    <row r="2">
      <c r="A2" t="inlineStr">
        <is>
          <t>Colonnes = formules Excel. Crest / facteur pipe en jaune.</t>
        </is>
      </c>
    </row>
    <row r="4">
      <c r="A4" t="inlineStr">
        <is>
          <t>Crest</t>
        </is>
      </c>
      <c r="B4" s="26">
        <f>Parametres!B49</f>
        <v/>
      </c>
    </row>
    <row r="5">
      <c r="A5" t="inlineStr">
        <is>
          <t>b</t>
        </is>
      </c>
      <c r="B5" s="26">
        <f>Parametres!B22</f>
        <v/>
      </c>
    </row>
    <row r="6">
      <c r="A6" t="inlineStr">
        <is>
          <t>n</t>
        </is>
      </c>
      <c r="B6" s="26">
        <f>Parametres!B23</f>
        <v/>
      </c>
    </row>
    <row r="7">
      <c r="A7" t="inlineStr">
        <is>
          <t>z</t>
        </is>
      </c>
      <c r="B7" s="26">
        <f>Parametres!B24</f>
        <v/>
      </c>
    </row>
    <row r="8">
      <c r="A8" t="inlineStr">
        <is>
          <t>S</t>
        </is>
      </c>
      <c r="B8" s="26">
        <f>Parametres!B25</f>
        <v/>
      </c>
    </row>
    <row r="9">
      <c r="A9" t="inlineStr">
        <is>
          <t>L</t>
        </is>
      </c>
      <c r="B9" s="26">
        <f>Parametres!B26</f>
        <v/>
      </c>
    </row>
    <row r="10">
      <c r="A10" t="inlineStr">
        <is>
          <t>Zin</t>
        </is>
      </c>
      <c r="B10" s="26">
        <f>Parametres!B12</f>
        <v/>
      </c>
    </row>
    <row r="11">
      <c r="A11" t="inlineStr">
        <is>
          <t>Facteur_pipe</t>
        </is>
      </c>
      <c r="B11" s="26" t="inlineStr">
        <is>
          <t>1</t>
        </is>
      </c>
    </row>
    <row r="12">
      <c r="A12" s="12" t="inlineStr">
        <is>
          <t>WSE</t>
        </is>
      </c>
      <c r="B12" s="12" t="inlineStr">
        <is>
          <t>HW</t>
        </is>
      </c>
      <c r="C12" s="12" t="inlineStr">
        <is>
          <t>y_ov</t>
        </is>
      </c>
      <c r="D12" s="12" t="inlineStr">
        <is>
          <t>A_ditch</t>
        </is>
      </c>
      <c r="E12" s="12" t="inlineStr">
        <is>
          <t>V_ditch</t>
        </is>
      </c>
      <c r="F12" s="12" t="inlineStr">
        <is>
          <t>V_pond</t>
        </is>
      </c>
      <c r="G12" s="12" t="inlineStr">
        <is>
          <t>V_total</t>
        </is>
      </c>
      <c r="H12" s="12" t="inlineStr">
        <is>
          <t>Q_1200</t>
        </is>
      </c>
      <c r="I12" s="12" t="inlineStr">
        <is>
          <t>Q_overflow</t>
        </is>
      </c>
      <c r="J12" s="12" t="inlineStr">
        <is>
          <t>Qout</t>
        </is>
      </c>
    </row>
    <row r="13">
      <c r="A13" s="19" t="n">
        <v>34.88</v>
      </c>
      <c r="B13" s="19">
        <f>A13-$B$10</f>
        <v/>
      </c>
      <c r="C13" s="19">
        <f>MAX(0,A13-$B$4)</f>
        <v/>
      </c>
      <c r="D13" s="17">
        <f>IF(C13&lt;=0,0,($B$5+$B$7*C13)*C13)</f>
        <v/>
      </c>
      <c r="E13" s="16">
        <f>D13*$B$9</f>
        <v/>
      </c>
      <c r="F13" s="16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13">
        <f>E13+F13</f>
        <v/>
      </c>
      <c r="H13" s="17">
        <f>($B$11)*(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)</f>
        <v/>
      </c>
      <c r="I13" s="17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19" t="n">
        <v>34.98</v>
      </c>
      <c r="B14" s="19">
        <f>A14-$B$10</f>
        <v/>
      </c>
      <c r="C14" s="19">
        <f>MAX(0,A14-$B$4)</f>
        <v/>
      </c>
      <c r="D14" s="17">
        <f>IF(C14&lt;=0,0,($B$5+$B$7*C14)*C14)</f>
        <v/>
      </c>
      <c r="E14" s="16">
        <f>D14*$B$9</f>
        <v/>
      </c>
      <c r="F14" s="16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13">
        <f>E14+F14</f>
        <v/>
      </c>
      <c r="H14" s="17">
        <f>($B$11)*(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)</f>
        <v/>
      </c>
      <c r="I14" s="17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19" t="n">
        <v>35.08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35.18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35.28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35.38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35.48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35.58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35.68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35.78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35.88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35.98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36.08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36.18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36.28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36.38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36.48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36.58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36.68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36.78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36.88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36.98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37.08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37.18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37.28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37.38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37.48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37.58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37.68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37.78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37.88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37.98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38.08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38.18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38.28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38.38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38.48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38.58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38.68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38.78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38.88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38.98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39.08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39.18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39.28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39.38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39.48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39.58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39.68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39.78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39.88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39.98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Calcul_C5 — routage level-pool (formules Excel)</t>
        </is>
      </c>
    </row>
    <row r="2">
      <c r="A2" t="inlineStr">
        <is>
          <t>WSE depuis V_total (Compose_C5);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Parametres!B49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14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7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15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5!$G$13:$G$64,1),INDEX(Compose_C5!$A$13:$A$64,1),IF(F15&gt;=INDEX(Compose_C5!$G$13:$G$64,ROWS(Compose_C5!$G$13:$G$64)),INDEX(Compose_C5!$A$13:$A$64,ROWS(Compose_C5!$A$13:$A$64)),INDEX(Compose_C5!$A$13:$A$64,MATCH(F15,Compose_C5!$G$13:$G$64,1))+(F15-INDEX(Compose_C5!$G$13:$G$64,MATCH(F15,Compose_C5!$G$13:$G$64,1)))/(INDEX(Compose_C5!$G$13:$G$64,MATCH(F15,Compose_C5!$G$13:$G$64,1)+1)-INDEX(Compose_C5!$G$13:$G$64,MATCH(F15,Compose_C5!$G$13:$G$64,1)))*(INDEX(Compose_C5!$A$13:$A$64,MATCH(F15,Compose_C5!$G$13:$G$64,1)+1)-INDEX(Compose_C5!$A$13:$A$64,MATCH(F15,Compose_C5!$G$13:$G$64,1)))))</f>
        <v/>
      </c>
      <c r="D16" s="17">
        <f>IF(F15&lt;=0.01,MIN(0.5*(B15+B16),$B$4),IF(C16&lt;=INDEX(Compose_C5!$A$13:$A$64,1),INDEX(Compose_C5!$J$13:$J$64,1),IF(C16&gt;=INDEX(Compose_C5!$A$13:$A$64,ROWS(Compose_C5!$A$13:$A$64)),INDEX(Compose_C5!$J$13:$J$64,ROWS(Compose_C5!$J$13:$J$64)),INDEX(Compose_C5!$J$13:$J$64,MATCH(C16,Compose_C5!$A$13:$A$64,1))+(C16-INDEX(Compose_C5!$A$13:$A$64,MATCH(C16,Compose_C5!$A$13:$A$64,1)))/(INDEX(Compose_C5!$A$13:$A$64,MATCH(C16,Compose_C5!$A$13:$A$64,1)+1)-INDEX(Compose_C5!$A$13:$A$64,MATCH(C16,Compose_C5!$A$13:$A$64,1)))*(INDEX(Compose_C5!$J$13:$J$64,MATCH(C16,Compose_C5!$A$13:$A$64,1)+1)-INDEX(Compose_C5!$J$13:$J$64,MATCH(C16,Compose_C5!$A$13:$A$64,1))))))</f>
        <v/>
      </c>
      <c r="E16" s="16">
        <f>(A16-A15)*60</f>
        <v/>
      </c>
      <c r="F16" s="13">
        <f>MAX(0,F15+(0.5*(B15+B16)-D16)*E16)</f>
        <v/>
      </c>
      <c r="G16" s="17">
        <f>IF(C16&lt;=INDEX(Compose_C5!$A$13:$A$64,1),INDEX(Compose_C5!$H$13:$H$64,1),IF(C16&gt;=INDEX(Compose_C5!$A$13:$A$64,ROWS(Compose_C5!$A$13:$A$64)),INDEX(Compose_C5!$H$13:$H$64,ROWS(Compose_C5!$H$13:$H$64)),INDEX(Compose_C5!$H$13:$H$64,MATCH(C16,Compose_C5!$A$13:$A$64,1))+(C16-INDEX(Compose_C5!$A$13:$A$64,MATCH(C16,Compose_C5!$A$13:$A$64,1)))/(INDEX(Compose_C5!$A$13:$A$64,MATCH(C16,Compose_C5!$A$13:$A$64,1)+1)-INDEX(Compose_C5!$A$13:$A$64,MATCH(C16,Compose_C5!$A$13:$A$64,1)))*(INDEX(Compose_C5!$H$13:$H$64,MATCH(C16,Compose_C5!$A$13:$A$64,1)+1)-INDEX(Compose_C5!$H$13:$H$64,MATCH(C16,Compose_C5!$A$13:$A$64,1)))))</f>
        <v/>
      </c>
      <c r="H16" s="17">
        <f>IF(C16&lt;=INDEX(Compose_C5!$A$13:$A$64,1),INDEX(Compose_C5!$I$13:$I$64,1),IF(C16&gt;=INDEX(Compose_C5!$A$13:$A$64,ROWS(Compose_C5!$A$13:$A$64)),INDEX(Compose_C5!$I$13:$I$64,ROWS(Compose_C5!$I$13:$I$64)),INDEX(Compose_C5!$I$13:$I$64,MATCH(C16,Compose_C5!$A$13:$A$64,1))+(C16-INDEX(Compose_C5!$A$13:$A$64,MATCH(C16,Compose_C5!$A$13:$A$64,1)))/(INDEX(Compose_C5!$A$13:$A$64,MATCH(C16,Compose_C5!$A$13:$A$64,1)+1)-INDEX(Compose_C5!$A$13:$A$64,MATCH(C16,Compose_C5!$A$13:$A$64,1)))*(INDEX(Compose_C5!$I$13:$I$64,MATCH(C16,Compose_C5!$A$13:$A$64,1)+1)-INDEX(Compose_C5!$I$13:$I$64,MATCH(C16,Compose_C5!$A$13:$A$64,1)))))</f>
        <v/>
      </c>
      <c r="I16" s="15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5!$G$13:$G$64,1),INDEX(Compose_C5!$A$13:$A$64,1),IF(F16&gt;=INDEX(Compose_C5!$G$13:$G$64,ROWS(Compose_C5!$G$13:$G$64)),INDEX(Compose_C5!$A$13:$A$64,ROWS(Compose_C5!$A$13:$A$64)),INDEX(Compose_C5!$A$13:$A$64,MATCH(F16,Compose_C5!$G$13:$G$64,1))+(F16-INDEX(Compose_C5!$G$13:$G$64,MATCH(F16,Compose_C5!$G$13:$G$64,1)))/(INDEX(Compose_C5!$G$13:$G$64,MATCH(F16,Compose_C5!$G$13:$G$64,1)+1)-INDEX(Compose_C5!$G$13:$G$64,MATCH(F16,Compose_C5!$G$13:$G$64,1)))*(INDEX(Compose_C5!$A$13:$A$64,MATCH(F16,Compose_C5!$G$13:$G$64,1)+1)-INDEX(Compose_C5!$A$13:$A$64,MATCH(F16,Compose_C5!$G$13:$G$64,1)))))</f>
        <v/>
      </c>
      <c r="D17" s="17">
        <f>IF(F16&lt;=0.01,MIN(0.5*(B16+B17),$B$4),IF(C17&lt;=INDEX(Compose_C5!$A$13:$A$64,1),INDEX(Compose_C5!$J$13:$J$64,1),IF(C17&gt;=INDEX(Compose_C5!$A$13:$A$64,ROWS(Compose_C5!$A$13:$A$64)),INDEX(Compose_C5!$J$13:$J$64,ROWS(Compose_C5!$J$13:$J$64)),INDEX(Compose_C5!$J$13:$J$64,MATCH(C17,Compose_C5!$A$13:$A$64,1))+(C17-INDEX(Compose_C5!$A$13:$A$64,MATCH(C17,Compose_C5!$A$13:$A$64,1)))/(INDEX(Compose_C5!$A$13:$A$64,MATCH(C17,Compose_C5!$A$13:$A$64,1)+1)-INDEX(Compose_C5!$A$13:$A$64,MATCH(C17,Compose_C5!$A$13:$A$64,1)))*(INDEX(Compose_C5!$J$13:$J$64,MATCH(C17,Compose_C5!$A$13:$A$64,1)+1)-INDEX(Compose_C5!$J$13:$J$64,MATCH(C17,Compose_C5!$A$13:$A$64,1))))))</f>
        <v/>
      </c>
      <c r="E17" s="16">
        <f>(A17-A16)*60</f>
        <v/>
      </c>
      <c r="F17" s="13">
        <f>MAX(0,F16+(0.5*(B16+B17)-D17)*E17)</f>
        <v/>
      </c>
      <c r="G17" s="17">
        <f>IF(C17&lt;=INDEX(Compose_C5!$A$13:$A$64,1),INDEX(Compose_C5!$H$13:$H$64,1),IF(C17&gt;=INDEX(Compose_C5!$A$13:$A$64,ROWS(Compose_C5!$A$13:$A$64)),INDEX(Compose_C5!$H$13:$H$64,ROWS(Compose_C5!$H$13:$H$64)),INDEX(Compose_C5!$H$13:$H$64,MATCH(C17,Compose_C5!$A$13:$A$64,1))+(C17-INDEX(Compose_C5!$A$13:$A$64,MATCH(C17,Compose_C5!$A$13:$A$64,1)))/(INDEX(Compose_C5!$A$13:$A$64,MATCH(C17,Compose_C5!$A$13:$A$64,1)+1)-INDEX(Compose_C5!$A$13:$A$64,MATCH(C17,Compose_C5!$A$13:$A$64,1)))*(INDEX(Compose_C5!$H$13:$H$64,MATCH(C17,Compose_C5!$A$13:$A$64,1)+1)-INDEX(Compose_C5!$H$13:$H$64,MATCH(C17,Compose_C5!$A$13:$A$64,1)))))</f>
        <v/>
      </c>
      <c r="H17" s="17">
        <f>IF(C17&lt;=INDEX(Compose_C5!$A$13:$A$64,1),INDEX(Compose_C5!$I$13:$I$64,1),IF(C17&gt;=INDEX(Compose_C5!$A$13:$A$64,ROWS(Compose_C5!$A$13:$A$64)),INDEX(Compose_C5!$I$13:$I$64,ROWS(Compose_C5!$I$13:$I$64)),INDEX(Compose_C5!$I$13:$I$64,MATCH(C17,Compose_C5!$A$13:$A$64,1))+(C17-INDEX(Compose_C5!$A$13:$A$64,MATCH(C17,Compose_C5!$A$13:$A$64,1)))/(INDEX(Compose_C5!$A$13:$A$64,MATCH(C17,Compose_C5!$A$13:$A$64,1)+1)-INDEX(Compose_C5!$A$13:$A$64,MATCH(C17,Compose_C5!$A$13:$A$64,1)))*(INDEX(Compose_C5!$I$13:$I$64,MATCH(C17,Compose_C5!$A$13:$A$64,1)+1)-INDEX(Compose_C5!$I$13:$I$64,MATCH(C17,Compose_C5!$A$13:$A$64,1)))))</f>
        <v/>
      </c>
      <c r="I17" s="15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5!$G$13:$G$64,1),INDEX(Compose_C5!$A$13:$A$64,1),IF(F17&gt;=INDEX(Compose_C5!$G$13:$G$64,ROWS(Compose_C5!$G$13:$G$64)),INDEX(Compose_C5!$A$13:$A$64,ROWS(Compose_C5!$A$13:$A$64)),INDEX(Compose_C5!$A$13:$A$64,MATCH(F17,Compose_C5!$G$13:$G$64,1))+(F17-INDEX(Compose_C5!$G$13:$G$64,MATCH(F17,Compose_C5!$G$13:$G$64,1)))/(INDEX(Compose_C5!$G$13:$G$64,MATCH(F17,Compose_C5!$G$13:$G$64,1)+1)-INDEX(Compose_C5!$G$13:$G$64,MATCH(F17,Compose_C5!$G$13:$G$64,1)))*(INDEX(Compose_C5!$A$13:$A$64,MATCH(F17,Compose_C5!$G$13:$G$64,1)+1)-INDEX(Compose_C5!$A$13:$A$64,MATCH(F17,Compose_C5!$G$13:$G$64,1)))))</f>
        <v/>
      </c>
      <c r="D18" s="17">
        <f>IF(F17&lt;=0.01,MIN(0.5*(B17+B18),$B$4),IF(C18&lt;=INDEX(Compose_C5!$A$13:$A$64,1),INDEX(Compose_C5!$J$13:$J$64,1),IF(C18&gt;=INDEX(Compose_C5!$A$13:$A$64,ROWS(Compose_C5!$A$13:$A$64)),INDEX(Compose_C5!$J$13:$J$64,ROWS(Compose_C5!$J$13:$J$64)),INDEX(Compose_C5!$J$13:$J$64,MATCH(C18,Compose_C5!$A$13:$A$64,1))+(C18-INDEX(Compose_C5!$A$13:$A$64,MATCH(C18,Compose_C5!$A$13:$A$64,1)))/(INDEX(Compose_C5!$A$13:$A$64,MATCH(C18,Compose_C5!$A$13:$A$64,1)+1)-INDEX(Compose_C5!$A$13:$A$64,MATCH(C18,Compose_C5!$A$13:$A$64,1)))*(INDEX(Compose_C5!$J$13:$J$64,MATCH(C18,Compose_C5!$A$13:$A$64,1)+1)-INDEX(Compose_C5!$J$13:$J$64,MATCH(C18,Compose_C5!$A$13:$A$64,1))))))</f>
        <v/>
      </c>
      <c r="E18" s="16">
        <f>(A18-A17)*60</f>
        <v/>
      </c>
      <c r="F18" s="13">
        <f>MAX(0,F17+(0.5*(B17+B18)-D18)*E18)</f>
        <v/>
      </c>
      <c r="G18" s="17">
        <f>IF(C18&lt;=INDEX(Compose_C5!$A$13:$A$64,1),INDEX(Compose_C5!$H$13:$H$64,1),IF(C18&gt;=INDEX(Compose_C5!$A$13:$A$64,ROWS(Compose_C5!$A$13:$A$64)),INDEX(Compose_C5!$H$13:$H$64,ROWS(Compose_C5!$H$13:$H$64)),INDEX(Compose_C5!$H$13:$H$64,MATCH(C18,Compose_C5!$A$13:$A$64,1))+(C18-INDEX(Compose_C5!$A$13:$A$64,MATCH(C18,Compose_C5!$A$13:$A$64,1)))/(INDEX(Compose_C5!$A$13:$A$64,MATCH(C18,Compose_C5!$A$13:$A$64,1)+1)-INDEX(Compose_C5!$A$13:$A$64,MATCH(C18,Compose_C5!$A$13:$A$64,1)))*(INDEX(Compose_C5!$H$13:$H$64,MATCH(C18,Compose_C5!$A$13:$A$64,1)+1)-INDEX(Compose_C5!$H$13:$H$64,MATCH(C18,Compose_C5!$A$13:$A$64,1)))))</f>
        <v/>
      </c>
      <c r="H18" s="17">
        <f>IF(C18&lt;=INDEX(Compose_C5!$A$13:$A$64,1),INDEX(Compose_C5!$I$13:$I$64,1),IF(C18&gt;=INDEX(Compose_C5!$A$13:$A$64,ROWS(Compose_C5!$A$13:$A$64)),INDEX(Compose_C5!$I$13:$I$64,ROWS(Compose_C5!$I$13:$I$64)),INDEX(Compose_C5!$I$13:$I$64,MATCH(C18,Compose_C5!$A$13:$A$64,1))+(C18-INDEX(Compose_C5!$A$13:$A$64,MATCH(C18,Compose_C5!$A$13:$A$64,1)))/(INDEX(Compose_C5!$A$13:$A$64,MATCH(C18,Compose_C5!$A$13:$A$64,1)+1)-INDEX(Compose_C5!$A$13:$A$64,MATCH(C18,Compose_C5!$A$13:$A$64,1)))*(INDEX(Compose_C5!$I$13:$I$64,MATCH(C18,Compose_C5!$A$13:$A$64,1)+1)-INDEX(Compose_C5!$I$13:$I$64,MATCH(C18,Compose_C5!$A$13:$A$64,1)))))</f>
        <v/>
      </c>
      <c r="I18" s="15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5!$G$13:$G$64,1),INDEX(Compose_C5!$A$13:$A$64,1),IF(F18&gt;=INDEX(Compose_C5!$G$13:$G$64,ROWS(Compose_C5!$G$13:$G$64)),INDEX(Compose_C5!$A$13:$A$64,ROWS(Compose_C5!$A$13:$A$64)),INDEX(Compose_C5!$A$13:$A$64,MATCH(F18,Compose_C5!$G$13:$G$64,1))+(F18-INDEX(Compose_C5!$G$13:$G$64,MATCH(F18,Compose_C5!$G$13:$G$64,1)))/(INDEX(Compose_C5!$G$13:$G$64,MATCH(F18,Compose_C5!$G$13:$G$64,1)+1)-INDEX(Compose_C5!$G$13:$G$64,MATCH(F18,Compose_C5!$G$13:$G$64,1)))*(INDEX(Compose_C5!$A$13:$A$64,MATCH(F18,Compose_C5!$G$13:$G$64,1)+1)-INDEX(Compose_C5!$A$13:$A$64,MATCH(F18,Compose_C5!$G$13:$G$64,1)))))</f>
        <v/>
      </c>
      <c r="D19" s="17">
        <f>IF(F18&lt;=0.01,MIN(0.5*(B18+B19),$B$4),IF(C19&lt;=INDEX(Compose_C5!$A$13:$A$64,1),INDEX(Compose_C5!$J$13:$J$64,1),IF(C19&gt;=INDEX(Compose_C5!$A$13:$A$64,ROWS(Compose_C5!$A$13:$A$64)),INDEX(Compose_C5!$J$13:$J$64,ROWS(Compose_C5!$J$13:$J$64)),INDEX(Compose_C5!$J$13:$J$64,MATCH(C19,Compose_C5!$A$13:$A$64,1))+(C19-INDEX(Compose_C5!$A$13:$A$64,MATCH(C19,Compose_C5!$A$13:$A$64,1)))/(INDEX(Compose_C5!$A$13:$A$64,MATCH(C19,Compose_C5!$A$13:$A$64,1)+1)-INDEX(Compose_C5!$A$13:$A$64,MATCH(C19,Compose_C5!$A$13:$A$64,1)))*(INDEX(Compose_C5!$J$13:$J$64,MATCH(C19,Compose_C5!$A$13:$A$64,1)+1)-INDEX(Compose_C5!$J$13:$J$64,MATCH(C19,Compose_C5!$A$13:$A$64,1))))))</f>
        <v/>
      </c>
      <c r="E19" s="16">
        <f>(A19-A18)*60</f>
        <v/>
      </c>
      <c r="F19" s="13">
        <f>MAX(0,F18+(0.5*(B18+B19)-D19)*E19)</f>
        <v/>
      </c>
      <c r="G19" s="17">
        <f>IF(C19&lt;=INDEX(Compose_C5!$A$13:$A$64,1),INDEX(Compose_C5!$H$13:$H$64,1),IF(C19&gt;=INDEX(Compose_C5!$A$13:$A$64,ROWS(Compose_C5!$A$13:$A$64)),INDEX(Compose_C5!$H$13:$H$64,ROWS(Compose_C5!$H$13:$H$64)),INDEX(Compose_C5!$H$13:$H$64,MATCH(C19,Compose_C5!$A$13:$A$64,1))+(C19-INDEX(Compose_C5!$A$13:$A$64,MATCH(C19,Compose_C5!$A$13:$A$64,1)))/(INDEX(Compose_C5!$A$13:$A$64,MATCH(C19,Compose_C5!$A$13:$A$64,1)+1)-INDEX(Compose_C5!$A$13:$A$64,MATCH(C19,Compose_C5!$A$13:$A$64,1)))*(INDEX(Compose_C5!$H$13:$H$64,MATCH(C19,Compose_C5!$A$13:$A$64,1)+1)-INDEX(Compose_C5!$H$13:$H$64,MATCH(C19,Compose_C5!$A$13:$A$64,1)))))</f>
        <v/>
      </c>
      <c r="H19" s="17">
        <f>IF(C19&lt;=INDEX(Compose_C5!$A$13:$A$64,1),INDEX(Compose_C5!$I$13:$I$64,1),IF(C19&gt;=INDEX(Compose_C5!$A$13:$A$64,ROWS(Compose_C5!$A$13:$A$64)),INDEX(Compose_C5!$I$13:$I$64,ROWS(Compose_C5!$I$13:$I$64)),INDEX(Compose_C5!$I$13:$I$64,MATCH(C19,Compose_C5!$A$13:$A$64,1))+(C19-INDEX(Compose_C5!$A$13:$A$64,MATCH(C19,Compose_C5!$A$13:$A$64,1)))/(INDEX(Compose_C5!$A$13:$A$64,MATCH(C19,Compose_C5!$A$13:$A$64,1)+1)-INDEX(Compose_C5!$A$13:$A$64,MATCH(C19,Compose_C5!$A$13:$A$64,1)))*(INDEX(Compose_C5!$I$13:$I$64,MATCH(C19,Compose_C5!$A$13:$A$64,1)+1)-INDEX(Compose_C5!$I$13:$I$64,MATCH(C19,Compose_C5!$A$13:$A$64,1)))))</f>
        <v/>
      </c>
      <c r="I19" s="15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5!$G$13:$G$64,1),INDEX(Compose_C5!$A$13:$A$64,1),IF(F19&gt;=INDEX(Compose_C5!$G$13:$G$64,ROWS(Compose_C5!$G$13:$G$64)),INDEX(Compose_C5!$A$13:$A$64,ROWS(Compose_C5!$A$13:$A$64)),INDEX(Compose_C5!$A$13:$A$64,MATCH(F19,Compose_C5!$G$13:$G$64,1))+(F19-INDEX(Compose_C5!$G$13:$G$64,MATCH(F19,Compose_C5!$G$13:$G$64,1)))/(INDEX(Compose_C5!$G$13:$G$64,MATCH(F19,Compose_C5!$G$13:$G$64,1)+1)-INDEX(Compose_C5!$G$13:$G$64,MATCH(F19,Compose_C5!$G$13:$G$64,1)))*(INDEX(Compose_C5!$A$13:$A$64,MATCH(F19,Compose_C5!$G$13:$G$64,1)+1)-INDEX(Compose_C5!$A$13:$A$64,MATCH(F19,Compose_C5!$G$13:$G$64,1)))))</f>
        <v/>
      </c>
      <c r="D20" s="17">
        <f>IF(F19&lt;=0.01,MIN(0.5*(B19+B20),$B$4),IF(C20&lt;=INDEX(Compose_C5!$A$13:$A$64,1),INDEX(Compose_C5!$J$13:$J$64,1),IF(C20&gt;=INDEX(Compose_C5!$A$13:$A$64,ROWS(Compose_C5!$A$13:$A$64)),INDEX(Compose_C5!$J$13:$J$64,ROWS(Compose_C5!$J$13:$J$64)),INDEX(Compose_C5!$J$13:$J$64,MATCH(C20,Compose_C5!$A$13:$A$64,1))+(C20-INDEX(Compose_C5!$A$13:$A$64,MATCH(C20,Compose_C5!$A$13:$A$64,1)))/(INDEX(Compose_C5!$A$13:$A$64,MATCH(C20,Compose_C5!$A$13:$A$64,1)+1)-INDEX(Compose_C5!$A$13:$A$64,MATCH(C20,Compose_C5!$A$13:$A$64,1)))*(INDEX(Compose_C5!$J$13:$J$64,MATCH(C20,Compose_C5!$A$13:$A$64,1)+1)-INDEX(Compose_C5!$J$13:$J$64,MATCH(C20,Compose_C5!$A$13:$A$64,1))))))</f>
        <v/>
      </c>
      <c r="E20" s="16">
        <f>(A20-A19)*60</f>
        <v/>
      </c>
      <c r="F20" s="13">
        <f>MAX(0,F19+(0.5*(B19+B20)-D20)*E20)</f>
        <v/>
      </c>
      <c r="G20" s="17">
        <f>IF(C20&lt;=INDEX(Compose_C5!$A$13:$A$64,1),INDEX(Compose_C5!$H$13:$H$64,1),IF(C20&gt;=INDEX(Compose_C5!$A$13:$A$64,ROWS(Compose_C5!$A$13:$A$64)),INDEX(Compose_C5!$H$13:$H$64,ROWS(Compose_C5!$H$13:$H$64)),INDEX(Compose_C5!$H$13:$H$64,MATCH(C20,Compose_C5!$A$13:$A$64,1))+(C20-INDEX(Compose_C5!$A$13:$A$64,MATCH(C20,Compose_C5!$A$13:$A$64,1)))/(INDEX(Compose_C5!$A$13:$A$64,MATCH(C20,Compose_C5!$A$13:$A$64,1)+1)-INDEX(Compose_C5!$A$13:$A$64,MATCH(C20,Compose_C5!$A$13:$A$64,1)))*(INDEX(Compose_C5!$H$13:$H$64,MATCH(C20,Compose_C5!$A$13:$A$64,1)+1)-INDEX(Compose_C5!$H$13:$H$64,MATCH(C20,Compose_C5!$A$13:$A$64,1)))))</f>
        <v/>
      </c>
      <c r="H20" s="17">
        <f>IF(C20&lt;=INDEX(Compose_C5!$A$13:$A$64,1),INDEX(Compose_C5!$I$13:$I$64,1),IF(C20&gt;=INDEX(Compose_C5!$A$13:$A$64,ROWS(Compose_C5!$A$13:$A$64)),INDEX(Compose_C5!$I$13:$I$64,ROWS(Compose_C5!$I$13:$I$64)),INDEX(Compose_C5!$I$13:$I$64,MATCH(C20,Compose_C5!$A$13:$A$64,1))+(C20-INDEX(Compose_C5!$A$13:$A$64,MATCH(C20,Compose_C5!$A$13:$A$64,1)))/(INDEX(Compose_C5!$A$13:$A$64,MATCH(C20,Compose_C5!$A$13:$A$64,1)+1)-INDEX(Compose_C5!$A$13:$A$64,MATCH(C20,Compose_C5!$A$13:$A$64,1)))*(INDEX(Compose_C5!$I$13:$I$64,MATCH(C20,Compose_C5!$A$13:$A$64,1)+1)-INDEX(Compose_C5!$I$13:$I$64,MATCH(C20,Compose_C5!$A$13:$A$64,1)))))</f>
        <v/>
      </c>
      <c r="I20" s="15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5!$G$13:$G$64,1),INDEX(Compose_C5!$A$13:$A$64,1),IF(F20&gt;=INDEX(Compose_C5!$G$13:$G$64,ROWS(Compose_C5!$G$13:$G$64)),INDEX(Compose_C5!$A$13:$A$64,ROWS(Compose_C5!$A$13:$A$64)),INDEX(Compose_C5!$A$13:$A$64,MATCH(F20,Compose_C5!$G$13:$G$64,1))+(F20-INDEX(Compose_C5!$G$13:$G$64,MATCH(F20,Compose_C5!$G$13:$G$64,1)))/(INDEX(Compose_C5!$G$13:$G$64,MATCH(F20,Compose_C5!$G$13:$G$64,1)+1)-INDEX(Compose_C5!$G$13:$G$64,MATCH(F20,Compose_C5!$G$13:$G$64,1)))*(INDEX(Compose_C5!$A$13:$A$64,MATCH(F20,Compose_C5!$G$13:$G$64,1)+1)-INDEX(Compose_C5!$A$13:$A$64,MATCH(F20,Compose_C5!$G$13:$G$64,1)))))</f>
        <v/>
      </c>
      <c r="D21" s="17">
        <f>IF(F20&lt;=0.01,MIN(0.5*(B20+B21),$B$4),IF(C21&lt;=INDEX(Compose_C5!$A$13:$A$64,1),INDEX(Compose_C5!$J$13:$J$64,1),IF(C21&gt;=INDEX(Compose_C5!$A$13:$A$64,ROWS(Compose_C5!$A$13:$A$64)),INDEX(Compose_C5!$J$13:$J$64,ROWS(Compose_C5!$J$13:$J$64)),INDEX(Compose_C5!$J$13:$J$64,MATCH(C21,Compose_C5!$A$13:$A$64,1))+(C21-INDEX(Compose_C5!$A$13:$A$64,MATCH(C21,Compose_C5!$A$13:$A$64,1)))/(INDEX(Compose_C5!$A$13:$A$64,MATCH(C21,Compose_C5!$A$13:$A$64,1)+1)-INDEX(Compose_C5!$A$13:$A$64,MATCH(C21,Compose_C5!$A$13:$A$64,1)))*(INDEX(Compose_C5!$J$13:$J$64,MATCH(C21,Compose_C5!$A$13:$A$64,1)+1)-INDEX(Compose_C5!$J$13:$J$64,MATCH(C21,Compose_C5!$A$13:$A$64,1))))))</f>
        <v/>
      </c>
      <c r="E21" s="16">
        <f>(A21-A20)*60</f>
        <v/>
      </c>
      <c r="F21" s="13">
        <f>MAX(0,F20+(0.5*(B20+B21)-D21)*E21)</f>
        <v/>
      </c>
      <c r="G21" s="17">
        <f>IF(C21&lt;=INDEX(Compose_C5!$A$13:$A$64,1),INDEX(Compose_C5!$H$13:$H$64,1),IF(C21&gt;=INDEX(Compose_C5!$A$13:$A$64,ROWS(Compose_C5!$A$13:$A$64)),INDEX(Compose_C5!$H$13:$H$64,ROWS(Compose_C5!$H$13:$H$64)),INDEX(Compose_C5!$H$13:$H$64,MATCH(C21,Compose_C5!$A$13:$A$64,1))+(C21-INDEX(Compose_C5!$A$13:$A$64,MATCH(C21,Compose_C5!$A$13:$A$64,1)))/(INDEX(Compose_C5!$A$13:$A$64,MATCH(C21,Compose_C5!$A$13:$A$64,1)+1)-INDEX(Compose_C5!$A$13:$A$64,MATCH(C21,Compose_C5!$A$13:$A$64,1)))*(INDEX(Compose_C5!$H$13:$H$64,MATCH(C21,Compose_C5!$A$13:$A$64,1)+1)-INDEX(Compose_C5!$H$13:$H$64,MATCH(C21,Compose_C5!$A$13:$A$64,1)))))</f>
        <v/>
      </c>
      <c r="H21" s="17">
        <f>IF(C21&lt;=INDEX(Compose_C5!$A$13:$A$64,1),INDEX(Compose_C5!$I$13:$I$64,1),IF(C21&gt;=INDEX(Compose_C5!$A$13:$A$64,ROWS(Compose_C5!$A$13:$A$64)),INDEX(Compose_C5!$I$13:$I$64,ROWS(Compose_C5!$I$13:$I$64)),INDEX(Compose_C5!$I$13:$I$64,MATCH(C21,Compose_C5!$A$13:$A$64,1))+(C21-INDEX(Compose_C5!$A$13:$A$64,MATCH(C21,Compose_C5!$A$13:$A$64,1)))/(INDEX(Compose_C5!$A$13:$A$64,MATCH(C21,Compose_C5!$A$13:$A$64,1)+1)-INDEX(Compose_C5!$A$13:$A$64,MATCH(C21,Compose_C5!$A$13:$A$64,1)))*(INDEX(Compose_C5!$I$13:$I$64,MATCH(C21,Compose_C5!$A$13:$A$64,1)+1)-INDEX(Compose_C5!$I$13:$I$64,MATCH(C21,Compose_C5!$A$13:$A$64,1)))))</f>
        <v/>
      </c>
      <c r="I21" s="15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5!$G$13:$G$64,1),INDEX(Compose_C5!$A$13:$A$64,1),IF(F21&gt;=INDEX(Compose_C5!$G$13:$G$64,ROWS(Compose_C5!$G$13:$G$64)),INDEX(Compose_C5!$A$13:$A$64,ROWS(Compose_C5!$A$13:$A$64)),INDEX(Compose_C5!$A$13:$A$64,MATCH(F21,Compose_C5!$G$13:$G$64,1))+(F21-INDEX(Compose_C5!$G$13:$G$64,MATCH(F21,Compose_C5!$G$13:$G$64,1)))/(INDEX(Compose_C5!$G$13:$G$64,MATCH(F21,Compose_C5!$G$13:$G$64,1)+1)-INDEX(Compose_C5!$G$13:$G$64,MATCH(F21,Compose_C5!$G$13:$G$64,1)))*(INDEX(Compose_C5!$A$13:$A$64,MATCH(F21,Compose_C5!$G$13:$G$64,1)+1)-INDEX(Compose_C5!$A$13:$A$64,MATCH(F21,Compose_C5!$G$13:$G$64,1)))))</f>
        <v/>
      </c>
      <c r="D22" s="17">
        <f>IF(F21&lt;=0.01,MIN(0.5*(B21+B22),$B$4),IF(C22&lt;=INDEX(Compose_C5!$A$13:$A$64,1),INDEX(Compose_C5!$J$13:$J$64,1),IF(C22&gt;=INDEX(Compose_C5!$A$13:$A$64,ROWS(Compose_C5!$A$13:$A$64)),INDEX(Compose_C5!$J$13:$J$64,ROWS(Compose_C5!$J$13:$J$64)),INDEX(Compose_C5!$J$13:$J$64,MATCH(C22,Compose_C5!$A$13:$A$64,1))+(C22-INDEX(Compose_C5!$A$13:$A$64,MATCH(C22,Compose_C5!$A$13:$A$64,1)))/(INDEX(Compose_C5!$A$13:$A$64,MATCH(C22,Compose_C5!$A$13:$A$64,1)+1)-INDEX(Compose_C5!$A$13:$A$64,MATCH(C22,Compose_C5!$A$13:$A$64,1)))*(INDEX(Compose_C5!$J$13:$J$64,MATCH(C22,Compose_C5!$A$13:$A$64,1)+1)-INDEX(Compose_C5!$J$13:$J$64,MATCH(C22,Compose_C5!$A$13:$A$64,1))))))</f>
        <v/>
      </c>
      <c r="E22" s="16">
        <f>(A22-A21)*60</f>
        <v/>
      </c>
      <c r="F22" s="13">
        <f>MAX(0,F21+(0.5*(B21+B22)-D22)*E22)</f>
        <v/>
      </c>
      <c r="G22" s="17">
        <f>IF(C22&lt;=INDEX(Compose_C5!$A$13:$A$64,1),INDEX(Compose_C5!$H$13:$H$64,1),IF(C22&gt;=INDEX(Compose_C5!$A$13:$A$64,ROWS(Compose_C5!$A$13:$A$64)),INDEX(Compose_C5!$H$13:$H$64,ROWS(Compose_C5!$H$13:$H$64)),INDEX(Compose_C5!$H$13:$H$64,MATCH(C22,Compose_C5!$A$13:$A$64,1))+(C22-INDEX(Compose_C5!$A$13:$A$64,MATCH(C22,Compose_C5!$A$13:$A$64,1)))/(INDEX(Compose_C5!$A$13:$A$64,MATCH(C22,Compose_C5!$A$13:$A$64,1)+1)-INDEX(Compose_C5!$A$13:$A$64,MATCH(C22,Compose_C5!$A$13:$A$64,1)))*(INDEX(Compose_C5!$H$13:$H$64,MATCH(C22,Compose_C5!$A$13:$A$64,1)+1)-INDEX(Compose_C5!$H$13:$H$64,MATCH(C22,Compose_C5!$A$13:$A$64,1)))))</f>
        <v/>
      </c>
      <c r="H22" s="17">
        <f>IF(C22&lt;=INDEX(Compose_C5!$A$13:$A$64,1),INDEX(Compose_C5!$I$13:$I$64,1),IF(C22&gt;=INDEX(Compose_C5!$A$13:$A$64,ROWS(Compose_C5!$A$13:$A$64)),INDEX(Compose_C5!$I$13:$I$64,ROWS(Compose_C5!$I$13:$I$64)),INDEX(Compose_C5!$I$13:$I$64,MATCH(C22,Compose_C5!$A$13:$A$64,1))+(C22-INDEX(Compose_C5!$A$13:$A$64,MATCH(C22,Compose_C5!$A$13:$A$64,1)))/(INDEX(Compose_C5!$A$13:$A$64,MATCH(C22,Compose_C5!$A$13:$A$64,1)+1)-INDEX(Compose_C5!$A$13:$A$64,MATCH(C22,Compose_C5!$A$13:$A$64,1)))*(INDEX(Compose_C5!$I$13:$I$64,MATCH(C22,Compose_C5!$A$13:$A$64,1)+1)-INDEX(Compose_C5!$I$13:$I$64,MATCH(C22,Compose_C5!$A$13:$A$64,1)))))</f>
        <v/>
      </c>
      <c r="I22" s="15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5!$G$13:$G$64,1),INDEX(Compose_C5!$A$13:$A$64,1),IF(F22&gt;=INDEX(Compose_C5!$G$13:$G$64,ROWS(Compose_C5!$G$13:$G$64)),INDEX(Compose_C5!$A$13:$A$64,ROWS(Compose_C5!$A$13:$A$64)),INDEX(Compose_C5!$A$13:$A$64,MATCH(F22,Compose_C5!$G$13:$G$64,1))+(F22-INDEX(Compose_C5!$G$13:$G$64,MATCH(F22,Compose_C5!$G$13:$G$64,1)))/(INDEX(Compose_C5!$G$13:$G$64,MATCH(F22,Compose_C5!$G$13:$G$64,1)+1)-INDEX(Compose_C5!$G$13:$G$64,MATCH(F22,Compose_C5!$G$13:$G$64,1)))*(INDEX(Compose_C5!$A$13:$A$64,MATCH(F22,Compose_C5!$G$13:$G$64,1)+1)-INDEX(Compose_C5!$A$13:$A$64,MATCH(F22,Compose_C5!$G$13:$G$64,1)))))</f>
        <v/>
      </c>
      <c r="D23" s="17">
        <f>IF(F22&lt;=0.01,MIN(0.5*(B22+B23),$B$4),IF(C23&lt;=INDEX(Compose_C5!$A$13:$A$64,1),INDEX(Compose_C5!$J$13:$J$64,1),IF(C23&gt;=INDEX(Compose_C5!$A$13:$A$64,ROWS(Compose_C5!$A$13:$A$64)),INDEX(Compose_C5!$J$13:$J$64,ROWS(Compose_C5!$J$13:$J$64)),INDEX(Compose_C5!$J$13:$J$64,MATCH(C23,Compose_C5!$A$13:$A$64,1))+(C23-INDEX(Compose_C5!$A$13:$A$64,MATCH(C23,Compose_C5!$A$13:$A$64,1)))/(INDEX(Compose_C5!$A$13:$A$64,MATCH(C23,Compose_C5!$A$13:$A$64,1)+1)-INDEX(Compose_C5!$A$13:$A$64,MATCH(C23,Compose_C5!$A$13:$A$64,1)))*(INDEX(Compose_C5!$J$13:$J$64,MATCH(C23,Compose_C5!$A$13:$A$64,1)+1)-INDEX(Compose_C5!$J$13:$J$64,MATCH(C23,Compose_C5!$A$13:$A$64,1))))))</f>
        <v/>
      </c>
      <c r="E23" s="16">
        <f>(A23-A22)*60</f>
        <v/>
      </c>
      <c r="F23" s="13">
        <f>MAX(0,F22+(0.5*(B22+B23)-D23)*E23)</f>
        <v/>
      </c>
      <c r="G23" s="17">
        <f>IF(C23&lt;=INDEX(Compose_C5!$A$13:$A$64,1),INDEX(Compose_C5!$H$13:$H$64,1),IF(C23&gt;=INDEX(Compose_C5!$A$13:$A$64,ROWS(Compose_C5!$A$13:$A$64)),INDEX(Compose_C5!$H$13:$H$64,ROWS(Compose_C5!$H$13:$H$64)),INDEX(Compose_C5!$H$13:$H$64,MATCH(C23,Compose_C5!$A$13:$A$64,1))+(C23-INDEX(Compose_C5!$A$13:$A$64,MATCH(C23,Compose_C5!$A$13:$A$64,1)))/(INDEX(Compose_C5!$A$13:$A$64,MATCH(C23,Compose_C5!$A$13:$A$64,1)+1)-INDEX(Compose_C5!$A$13:$A$64,MATCH(C23,Compose_C5!$A$13:$A$64,1)))*(INDEX(Compose_C5!$H$13:$H$64,MATCH(C23,Compose_C5!$A$13:$A$64,1)+1)-INDEX(Compose_C5!$H$13:$H$64,MATCH(C23,Compose_C5!$A$13:$A$64,1)))))</f>
        <v/>
      </c>
      <c r="H23" s="17">
        <f>IF(C23&lt;=INDEX(Compose_C5!$A$13:$A$64,1),INDEX(Compose_C5!$I$13:$I$64,1),IF(C23&gt;=INDEX(Compose_C5!$A$13:$A$64,ROWS(Compose_C5!$A$13:$A$64)),INDEX(Compose_C5!$I$13:$I$64,ROWS(Compose_C5!$I$13:$I$64)),INDEX(Compose_C5!$I$13:$I$64,MATCH(C23,Compose_C5!$A$13:$A$64,1))+(C23-INDEX(Compose_C5!$A$13:$A$64,MATCH(C23,Compose_C5!$A$13:$A$64,1)))/(INDEX(Compose_C5!$A$13:$A$64,MATCH(C23,Compose_C5!$A$13:$A$64,1)+1)-INDEX(Compose_C5!$A$13:$A$64,MATCH(C23,Compose_C5!$A$13:$A$64,1)))*(INDEX(Compose_C5!$I$13:$I$64,MATCH(C23,Compose_C5!$A$13:$A$64,1)+1)-INDEX(Compose_C5!$I$13:$I$64,MATCH(C23,Compose_C5!$A$13:$A$64,1)))))</f>
        <v/>
      </c>
      <c r="I23" s="15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5!$G$13:$G$64,1),INDEX(Compose_C5!$A$13:$A$64,1),IF(F23&gt;=INDEX(Compose_C5!$G$13:$G$64,ROWS(Compose_C5!$G$13:$G$64)),INDEX(Compose_C5!$A$13:$A$64,ROWS(Compose_C5!$A$13:$A$64)),INDEX(Compose_C5!$A$13:$A$64,MATCH(F23,Compose_C5!$G$13:$G$64,1))+(F23-INDEX(Compose_C5!$G$13:$G$64,MATCH(F23,Compose_C5!$G$13:$G$64,1)))/(INDEX(Compose_C5!$G$13:$G$64,MATCH(F23,Compose_C5!$G$13:$G$64,1)+1)-INDEX(Compose_C5!$G$13:$G$64,MATCH(F23,Compose_C5!$G$13:$G$64,1)))*(INDEX(Compose_C5!$A$13:$A$64,MATCH(F23,Compose_C5!$G$13:$G$64,1)+1)-INDEX(Compose_C5!$A$13:$A$64,MATCH(F23,Compose_C5!$G$13:$G$64,1)))))</f>
        <v/>
      </c>
      <c r="D24" s="17">
        <f>IF(F23&lt;=0.01,MIN(0.5*(B23+B24),$B$4),IF(C24&lt;=INDEX(Compose_C5!$A$13:$A$64,1),INDEX(Compose_C5!$J$13:$J$64,1),IF(C24&gt;=INDEX(Compose_C5!$A$13:$A$64,ROWS(Compose_C5!$A$13:$A$64)),INDEX(Compose_C5!$J$13:$J$64,ROWS(Compose_C5!$J$13:$J$64)),INDEX(Compose_C5!$J$13:$J$64,MATCH(C24,Compose_C5!$A$13:$A$64,1))+(C24-INDEX(Compose_C5!$A$13:$A$64,MATCH(C24,Compose_C5!$A$13:$A$64,1)))/(INDEX(Compose_C5!$A$13:$A$64,MATCH(C24,Compose_C5!$A$13:$A$64,1)+1)-INDEX(Compose_C5!$A$13:$A$64,MATCH(C24,Compose_C5!$A$13:$A$64,1)))*(INDEX(Compose_C5!$J$13:$J$64,MATCH(C24,Compose_C5!$A$13:$A$64,1)+1)-INDEX(Compose_C5!$J$13:$J$64,MATCH(C24,Compose_C5!$A$13:$A$64,1))))))</f>
        <v/>
      </c>
      <c r="E24" s="16">
        <f>(A24-A23)*60</f>
        <v/>
      </c>
      <c r="F24" s="13">
        <f>MAX(0,F23+(0.5*(B23+B24)-D24)*E24)</f>
        <v/>
      </c>
      <c r="G24" s="17">
        <f>IF(C24&lt;=INDEX(Compose_C5!$A$13:$A$64,1),INDEX(Compose_C5!$H$13:$H$64,1),IF(C24&gt;=INDEX(Compose_C5!$A$13:$A$64,ROWS(Compose_C5!$A$13:$A$64)),INDEX(Compose_C5!$H$13:$H$64,ROWS(Compose_C5!$H$13:$H$64)),INDEX(Compose_C5!$H$13:$H$64,MATCH(C24,Compose_C5!$A$13:$A$64,1))+(C24-INDEX(Compose_C5!$A$13:$A$64,MATCH(C24,Compose_C5!$A$13:$A$64,1)))/(INDEX(Compose_C5!$A$13:$A$64,MATCH(C24,Compose_C5!$A$13:$A$64,1)+1)-INDEX(Compose_C5!$A$13:$A$64,MATCH(C24,Compose_C5!$A$13:$A$64,1)))*(INDEX(Compose_C5!$H$13:$H$64,MATCH(C24,Compose_C5!$A$13:$A$64,1)+1)-INDEX(Compose_C5!$H$13:$H$64,MATCH(C24,Compose_C5!$A$13:$A$64,1)))))</f>
        <v/>
      </c>
      <c r="H24" s="17">
        <f>IF(C24&lt;=INDEX(Compose_C5!$A$13:$A$64,1),INDEX(Compose_C5!$I$13:$I$64,1),IF(C24&gt;=INDEX(Compose_C5!$A$13:$A$64,ROWS(Compose_C5!$A$13:$A$64)),INDEX(Compose_C5!$I$13:$I$64,ROWS(Compose_C5!$I$13:$I$64)),INDEX(Compose_C5!$I$13:$I$64,MATCH(C24,Compose_C5!$A$13:$A$64,1))+(C24-INDEX(Compose_C5!$A$13:$A$64,MATCH(C24,Compose_C5!$A$13:$A$64,1)))/(INDEX(Compose_C5!$A$13:$A$64,MATCH(C24,Compose_C5!$A$13:$A$64,1)+1)-INDEX(Compose_C5!$A$13:$A$64,MATCH(C24,Compose_C5!$A$13:$A$64,1)))*(INDEX(Compose_C5!$I$13:$I$64,MATCH(C24,Compose_C5!$A$13:$A$64,1)+1)-INDEX(Compose_C5!$I$13:$I$64,MATCH(C24,Compose_C5!$A$13:$A$64,1)))))</f>
        <v/>
      </c>
      <c r="I24" s="15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5!$G$13:$G$64,1),INDEX(Compose_C5!$A$13:$A$64,1),IF(F24&gt;=INDEX(Compose_C5!$G$13:$G$64,ROWS(Compose_C5!$G$13:$G$64)),INDEX(Compose_C5!$A$13:$A$64,ROWS(Compose_C5!$A$13:$A$64)),INDEX(Compose_C5!$A$13:$A$64,MATCH(F24,Compose_C5!$G$13:$G$64,1))+(F24-INDEX(Compose_C5!$G$13:$G$64,MATCH(F24,Compose_C5!$G$13:$G$64,1)))/(INDEX(Compose_C5!$G$13:$G$64,MATCH(F24,Compose_C5!$G$13:$G$64,1)+1)-INDEX(Compose_C5!$G$13:$G$64,MATCH(F24,Compose_C5!$G$13:$G$64,1)))*(INDEX(Compose_C5!$A$13:$A$64,MATCH(F24,Compose_C5!$G$13:$G$64,1)+1)-INDEX(Compose_C5!$A$13:$A$64,MATCH(F24,Compose_C5!$G$13:$G$64,1)))))</f>
        <v/>
      </c>
      <c r="D25" s="17">
        <f>IF(F24&lt;=0.01,MIN(0.5*(B24+B25),$B$4),IF(C25&lt;=INDEX(Compose_C5!$A$13:$A$64,1),INDEX(Compose_C5!$J$13:$J$64,1),IF(C25&gt;=INDEX(Compose_C5!$A$13:$A$64,ROWS(Compose_C5!$A$13:$A$64)),INDEX(Compose_C5!$J$13:$J$64,ROWS(Compose_C5!$J$13:$J$64)),INDEX(Compose_C5!$J$13:$J$64,MATCH(C25,Compose_C5!$A$13:$A$64,1))+(C25-INDEX(Compose_C5!$A$13:$A$64,MATCH(C25,Compose_C5!$A$13:$A$64,1)))/(INDEX(Compose_C5!$A$13:$A$64,MATCH(C25,Compose_C5!$A$13:$A$64,1)+1)-INDEX(Compose_C5!$A$13:$A$64,MATCH(C25,Compose_C5!$A$13:$A$64,1)))*(INDEX(Compose_C5!$J$13:$J$64,MATCH(C25,Compose_C5!$A$13:$A$64,1)+1)-INDEX(Compose_C5!$J$13:$J$64,MATCH(C25,Compose_C5!$A$13:$A$64,1))))))</f>
        <v/>
      </c>
      <c r="E25" s="16">
        <f>(A25-A24)*60</f>
        <v/>
      </c>
      <c r="F25" s="13">
        <f>MAX(0,F24+(0.5*(B24+B25)-D25)*E25)</f>
        <v/>
      </c>
      <c r="G25" s="17">
        <f>IF(C25&lt;=INDEX(Compose_C5!$A$13:$A$64,1),INDEX(Compose_C5!$H$13:$H$64,1),IF(C25&gt;=INDEX(Compose_C5!$A$13:$A$64,ROWS(Compose_C5!$A$13:$A$64)),INDEX(Compose_C5!$H$13:$H$64,ROWS(Compose_C5!$H$13:$H$64)),INDEX(Compose_C5!$H$13:$H$64,MATCH(C25,Compose_C5!$A$13:$A$64,1))+(C25-INDEX(Compose_C5!$A$13:$A$64,MATCH(C25,Compose_C5!$A$13:$A$64,1)))/(INDEX(Compose_C5!$A$13:$A$64,MATCH(C25,Compose_C5!$A$13:$A$64,1)+1)-INDEX(Compose_C5!$A$13:$A$64,MATCH(C25,Compose_C5!$A$13:$A$64,1)))*(INDEX(Compose_C5!$H$13:$H$64,MATCH(C25,Compose_C5!$A$13:$A$64,1)+1)-INDEX(Compose_C5!$H$13:$H$64,MATCH(C25,Compose_C5!$A$13:$A$64,1)))))</f>
        <v/>
      </c>
      <c r="H25" s="17">
        <f>IF(C25&lt;=INDEX(Compose_C5!$A$13:$A$64,1),INDEX(Compose_C5!$I$13:$I$64,1),IF(C25&gt;=INDEX(Compose_C5!$A$13:$A$64,ROWS(Compose_C5!$A$13:$A$64)),INDEX(Compose_C5!$I$13:$I$64,ROWS(Compose_C5!$I$13:$I$64)),INDEX(Compose_C5!$I$13:$I$64,MATCH(C25,Compose_C5!$A$13:$A$64,1))+(C25-INDEX(Compose_C5!$A$13:$A$64,MATCH(C25,Compose_C5!$A$13:$A$64,1)))/(INDEX(Compose_C5!$A$13:$A$64,MATCH(C25,Compose_C5!$A$13:$A$64,1)+1)-INDEX(Compose_C5!$A$13:$A$64,MATCH(C25,Compose_C5!$A$13:$A$64,1)))*(INDEX(Compose_C5!$I$13:$I$64,MATCH(C25,Compose_C5!$A$13:$A$64,1)+1)-INDEX(Compose_C5!$I$13:$I$64,MATCH(C25,Compose_C5!$A$13:$A$64,1)))))</f>
        <v/>
      </c>
      <c r="I25" s="15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5!$G$13:$G$64,1),INDEX(Compose_C5!$A$13:$A$64,1),IF(F25&gt;=INDEX(Compose_C5!$G$13:$G$64,ROWS(Compose_C5!$G$13:$G$64)),INDEX(Compose_C5!$A$13:$A$64,ROWS(Compose_C5!$A$13:$A$64)),INDEX(Compose_C5!$A$13:$A$64,MATCH(F25,Compose_C5!$G$13:$G$64,1))+(F25-INDEX(Compose_C5!$G$13:$G$64,MATCH(F25,Compose_C5!$G$13:$G$64,1)))/(INDEX(Compose_C5!$G$13:$G$64,MATCH(F25,Compose_C5!$G$13:$G$64,1)+1)-INDEX(Compose_C5!$G$13:$G$64,MATCH(F25,Compose_C5!$G$13:$G$64,1)))*(INDEX(Compose_C5!$A$13:$A$64,MATCH(F25,Compose_C5!$G$13:$G$64,1)+1)-INDEX(Compose_C5!$A$13:$A$64,MATCH(F25,Compose_C5!$G$13:$G$64,1)))))</f>
        <v/>
      </c>
      <c r="D26" s="17">
        <f>IF(F25&lt;=0.01,MIN(0.5*(B25+B26),$B$4),IF(C26&lt;=INDEX(Compose_C5!$A$13:$A$64,1),INDEX(Compose_C5!$J$13:$J$64,1),IF(C26&gt;=INDEX(Compose_C5!$A$13:$A$64,ROWS(Compose_C5!$A$13:$A$64)),INDEX(Compose_C5!$J$13:$J$64,ROWS(Compose_C5!$J$13:$J$64)),INDEX(Compose_C5!$J$13:$J$64,MATCH(C26,Compose_C5!$A$13:$A$64,1))+(C26-INDEX(Compose_C5!$A$13:$A$64,MATCH(C26,Compose_C5!$A$13:$A$64,1)))/(INDEX(Compose_C5!$A$13:$A$64,MATCH(C26,Compose_C5!$A$13:$A$64,1)+1)-INDEX(Compose_C5!$A$13:$A$64,MATCH(C26,Compose_C5!$A$13:$A$64,1)))*(INDEX(Compose_C5!$J$13:$J$64,MATCH(C26,Compose_C5!$A$13:$A$64,1)+1)-INDEX(Compose_C5!$J$13:$J$64,MATCH(C26,Compose_C5!$A$13:$A$64,1))))))</f>
        <v/>
      </c>
      <c r="E26" s="16">
        <f>(A26-A25)*60</f>
        <v/>
      </c>
      <c r="F26" s="13">
        <f>MAX(0,F25+(0.5*(B25+B26)-D26)*E26)</f>
        <v/>
      </c>
      <c r="G26" s="17">
        <f>IF(C26&lt;=INDEX(Compose_C5!$A$13:$A$64,1),INDEX(Compose_C5!$H$13:$H$64,1),IF(C26&gt;=INDEX(Compose_C5!$A$13:$A$64,ROWS(Compose_C5!$A$13:$A$64)),INDEX(Compose_C5!$H$13:$H$64,ROWS(Compose_C5!$H$13:$H$64)),INDEX(Compose_C5!$H$13:$H$64,MATCH(C26,Compose_C5!$A$13:$A$64,1))+(C26-INDEX(Compose_C5!$A$13:$A$64,MATCH(C26,Compose_C5!$A$13:$A$64,1)))/(INDEX(Compose_C5!$A$13:$A$64,MATCH(C26,Compose_C5!$A$13:$A$64,1)+1)-INDEX(Compose_C5!$A$13:$A$64,MATCH(C26,Compose_C5!$A$13:$A$64,1)))*(INDEX(Compose_C5!$H$13:$H$64,MATCH(C26,Compose_C5!$A$13:$A$64,1)+1)-INDEX(Compose_C5!$H$13:$H$64,MATCH(C26,Compose_C5!$A$13:$A$64,1)))))</f>
        <v/>
      </c>
      <c r="H26" s="17">
        <f>IF(C26&lt;=INDEX(Compose_C5!$A$13:$A$64,1),INDEX(Compose_C5!$I$13:$I$64,1),IF(C26&gt;=INDEX(Compose_C5!$A$13:$A$64,ROWS(Compose_C5!$A$13:$A$64)),INDEX(Compose_C5!$I$13:$I$64,ROWS(Compose_C5!$I$13:$I$64)),INDEX(Compose_C5!$I$13:$I$64,MATCH(C26,Compose_C5!$A$13:$A$64,1))+(C26-INDEX(Compose_C5!$A$13:$A$64,MATCH(C26,Compose_C5!$A$13:$A$64,1)))/(INDEX(Compose_C5!$A$13:$A$64,MATCH(C26,Compose_C5!$A$13:$A$64,1)+1)-INDEX(Compose_C5!$A$13:$A$64,MATCH(C26,Compose_C5!$A$13:$A$64,1)))*(INDEX(Compose_C5!$I$13:$I$64,MATCH(C26,Compose_C5!$A$13:$A$64,1)+1)-INDEX(Compose_C5!$I$13:$I$64,MATCH(C26,Compose_C5!$A$13:$A$64,1)))))</f>
        <v/>
      </c>
      <c r="I26" s="15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5!$G$13:$G$64,1),INDEX(Compose_C5!$A$13:$A$64,1),IF(F26&gt;=INDEX(Compose_C5!$G$13:$G$64,ROWS(Compose_C5!$G$13:$G$64)),INDEX(Compose_C5!$A$13:$A$64,ROWS(Compose_C5!$A$13:$A$64)),INDEX(Compose_C5!$A$13:$A$64,MATCH(F26,Compose_C5!$G$13:$G$64,1))+(F26-INDEX(Compose_C5!$G$13:$G$64,MATCH(F26,Compose_C5!$G$13:$G$64,1)))/(INDEX(Compose_C5!$G$13:$G$64,MATCH(F26,Compose_C5!$G$13:$G$64,1)+1)-INDEX(Compose_C5!$G$13:$G$64,MATCH(F26,Compose_C5!$G$13:$G$64,1)))*(INDEX(Compose_C5!$A$13:$A$64,MATCH(F26,Compose_C5!$G$13:$G$64,1)+1)-INDEX(Compose_C5!$A$13:$A$64,MATCH(F26,Compose_C5!$G$13:$G$64,1)))))</f>
        <v/>
      </c>
      <c r="D27" s="17">
        <f>IF(F26&lt;=0.01,MIN(0.5*(B26+B27),$B$4),IF(C27&lt;=INDEX(Compose_C5!$A$13:$A$64,1),INDEX(Compose_C5!$J$13:$J$64,1),IF(C27&gt;=INDEX(Compose_C5!$A$13:$A$64,ROWS(Compose_C5!$A$13:$A$64)),INDEX(Compose_C5!$J$13:$J$64,ROWS(Compose_C5!$J$13:$J$64)),INDEX(Compose_C5!$J$13:$J$64,MATCH(C27,Compose_C5!$A$13:$A$64,1))+(C27-INDEX(Compose_C5!$A$13:$A$64,MATCH(C27,Compose_C5!$A$13:$A$64,1)))/(INDEX(Compose_C5!$A$13:$A$64,MATCH(C27,Compose_C5!$A$13:$A$64,1)+1)-INDEX(Compose_C5!$A$13:$A$64,MATCH(C27,Compose_C5!$A$13:$A$64,1)))*(INDEX(Compose_C5!$J$13:$J$64,MATCH(C27,Compose_C5!$A$13:$A$64,1)+1)-INDEX(Compose_C5!$J$13:$J$64,MATCH(C27,Compose_C5!$A$13:$A$64,1))))))</f>
        <v/>
      </c>
      <c r="E27" s="16">
        <f>(A27-A26)*60</f>
        <v/>
      </c>
      <c r="F27" s="13">
        <f>MAX(0,F26+(0.5*(B26+B27)-D27)*E27)</f>
        <v/>
      </c>
      <c r="G27" s="17">
        <f>IF(C27&lt;=INDEX(Compose_C5!$A$13:$A$64,1),INDEX(Compose_C5!$H$13:$H$64,1),IF(C27&gt;=INDEX(Compose_C5!$A$13:$A$64,ROWS(Compose_C5!$A$13:$A$64)),INDEX(Compose_C5!$H$13:$H$64,ROWS(Compose_C5!$H$13:$H$64)),INDEX(Compose_C5!$H$13:$H$64,MATCH(C27,Compose_C5!$A$13:$A$64,1))+(C27-INDEX(Compose_C5!$A$13:$A$64,MATCH(C27,Compose_C5!$A$13:$A$64,1)))/(INDEX(Compose_C5!$A$13:$A$64,MATCH(C27,Compose_C5!$A$13:$A$64,1)+1)-INDEX(Compose_C5!$A$13:$A$64,MATCH(C27,Compose_C5!$A$13:$A$64,1)))*(INDEX(Compose_C5!$H$13:$H$64,MATCH(C27,Compose_C5!$A$13:$A$64,1)+1)-INDEX(Compose_C5!$H$13:$H$64,MATCH(C27,Compose_C5!$A$13:$A$64,1)))))</f>
        <v/>
      </c>
      <c r="H27" s="17">
        <f>IF(C27&lt;=INDEX(Compose_C5!$A$13:$A$64,1),INDEX(Compose_C5!$I$13:$I$64,1),IF(C27&gt;=INDEX(Compose_C5!$A$13:$A$64,ROWS(Compose_C5!$A$13:$A$64)),INDEX(Compose_C5!$I$13:$I$64,ROWS(Compose_C5!$I$13:$I$64)),INDEX(Compose_C5!$I$13:$I$64,MATCH(C27,Compose_C5!$A$13:$A$64,1))+(C27-INDEX(Compose_C5!$A$13:$A$64,MATCH(C27,Compose_C5!$A$13:$A$64,1)))/(INDEX(Compose_C5!$A$13:$A$64,MATCH(C27,Compose_C5!$A$13:$A$64,1)+1)-INDEX(Compose_C5!$A$13:$A$64,MATCH(C27,Compose_C5!$A$13:$A$64,1)))*(INDEX(Compose_C5!$I$13:$I$64,MATCH(C27,Compose_C5!$A$13:$A$64,1)+1)-INDEX(Compose_C5!$I$13:$I$64,MATCH(C27,Compose_C5!$A$13:$A$64,1)))))</f>
        <v/>
      </c>
      <c r="I27" s="15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Compose_C6 — Q_1200 + Q_overflow; V_pond + V_ditch (composite)</t>
        </is>
      </c>
    </row>
    <row r="2">
      <c r="A2" t="inlineStr">
        <is>
          <t>Colonnes = formules Excel. Crest / facteur pipe en jaune.</t>
        </is>
      </c>
    </row>
    <row r="4">
      <c r="A4" t="inlineStr">
        <is>
          <t>Crest</t>
        </is>
      </c>
      <c r="B4" s="26">
        <f>Parametres!B50</f>
        <v/>
      </c>
    </row>
    <row r="5">
      <c r="A5" t="inlineStr">
        <is>
          <t>b</t>
        </is>
      </c>
      <c r="B5" s="26">
        <f>Parametres!B22</f>
        <v/>
      </c>
    </row>
    <row r="6">
      <c r="A6" t="inlineStr">
        <is>
          <t>n</t>
        </is>
      </c>
      <c r="B6" s="26">
        <f>Parametres!B23</f>
        <v/>
      </c>
    </row>
    <row r="7">
      <c r="A7" t="inlineStr">
        <is>
          <t>z</t>
        </is>
      </c>
      <c r="B7" s="26">
        <f>Parametres!B24</f>
        <v/>
      </c>
    </row>
    <row r="8">
      <c r="A8" t="inlineStr">
        <is>
          <t>S</t>
        </is>
      </c>
      <c r="B8" s="26">
        <f>Parametres!B25</f>
        <v/>
      </c>
    </row>
    <row r="9">
      <c r="A9" t="inlineStr">
        <is>
          <t>L</t>
        </is>
      </c>
      <c r="B9" s="26">
        <f>Parametres!B26</f>
        <v/>
      </c>
    </row>
    <row r="10">
      <c r="A10" t="inlineStr">
        <is>
          <t>Zin</t>
        </is>
      </c>
      <c r="B10" s="26">
        <f>Parametres!B12</f>
        <v/>
      </c>
    </row>
    <row r="11">
      <c r="A11" t="inlineStr">
        <is>
          <t>Facteur_pipe</t>
        </is>
      </c>
      <c r="B11" s="26" t="inlineStr">
        <is>
          <t>1</t>
        </is>
      </c>
    </row>
    <row r="12">
      <c r="A12" s="12" t="inlineStr">
        <is>
          <t>WSE</t>
        </is>
      </c>
      <c r="B12" s="12" t="inlineStr">
        <is>
          <t>HW</t>
        </is>
      </c>
      <c r="C12" s="12" t="inlineStr">
        <is>
          <t>y_ov</t>
        </is>
      </c>
      <c r="D12" s="12" t="inlineStr">
        <is>
          <t>A_ditch</t>
        </is>
      </c>
      <c r="E12" s="12" t="inlineStr">
        <is>
          <t>V_ditch</t>
        </is>
      </c>
      <c r="F12" s="12" t="inlineStr">
        <is>
          <t>V_pond</t>
        </is>
      </c>
      <c r="G12" s="12" t="inlineStr">
        <is>
          <t>V_total</t>
        </is>
      </c>
      <c r="H12" s="12" t="inlineStr">
        <is>
          <t>Q_1200</t>
        </is>
      </c>
      <c r="I12" s="12" t="inlineStr">
        <is>
          <t>Q_overflow</t>
        </is>
      </c>
      <c r="J12" s="12" t="inlineStr">
        <is>
          <t>Qout</t>
        </is>
      </c>
    </row>
    <row r="13">
      <c r="A13" s="19" t="n">
        <v>34.88</v>
      </c>
      <c r="B13" s="19">
        <f>A13-$B$10</f>
        <v/>
      </c>
      <c r="C13" s="19">
        <f>MAX(0,A13-$B$4)</f>
        <v/>
      </c>
      <c r="D13" s="17">
        <f>IF(C13&lt;=0,0,($B$5+$B$7*C13)*C13)</f>
        <v/>
      </c>
      <c r="E13" s="16">
        <f>D13*$B$9</f>
        <v/>
      </c>
      <c r="F13" s="16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13">
        <f>E13+F13</f>
        <v/>
      </c>
      <c r="H13" s="17">
        <f>($B$11)*(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)</f>
        <v/>
      </c>
      <c r="I13" s="17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19" t="n">
        <v>34.98</v>
      </c>
      <c r="B14" s="19">
        <f>A14-$B$10</f>
        <v/>
      </c>
      <c r="C14" s="19">
        <f>MAX(0,A14-$B$4)</f>
        <v/>
      </c>
      <c r="D14" s="17">
        <f>IF(C14&lt;=0,0,($B$5+$B$7*C14)*C14)</f>
        <v/>
      </c>
      <c r="E14" s="16">
        <f>D14*$B$9</f>
        <v/>
      </c>
      <c r="F14" s="16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13">
        <f>E14+F14</f>
        <v/>
      </c>
      <c r="H14" s="17">
        <f>($B$11)*(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)</f>
        <v/>
      </c>
      <c r="I14" s="17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19" t="n">
        <v>35.08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35.18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35.28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35.38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35.48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35.58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35.68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35.78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35.88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35.98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36.08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36.18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36.28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36.38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36.48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36.58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36.68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36.78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36.88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36.98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37.08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37.18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37.28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37.38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37.48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37.58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37.68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37.78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37.88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37.98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38.08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38.18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38.28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38.38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38.48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38.58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38.68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38.78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38.88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38.98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39.08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39.18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39.28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39.38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39.48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39.58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39.68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39.78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39.88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39.98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Calcul_C6 — routage level-pool (formules Excel)</t>
        </is>
      </c>
    </row>
    <row r="2">
      <c r="A2" t="inlineStr">
        <is>
          <t>WSE depuis V_total (Compose_C6);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Parametres!B50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14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7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15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6!$G$13:$G$64,1),INDEX(Compose_C6!$A$13:$A$64,1),IF(F15&gt;=INDEX(Compose_C6!$G$13:$G$64,ROWS(Compose_C6!$G$13:$G$64)),INDEX(Compose_C6!$A$13:$A$64,ROWS(Compose_C6!$A$13:$A$64)),INDEX(Compose_C6!$A$13:$A$64,MATCH(F15,Compose_C6!$G$13:$G$64,1))+(F15-INDEX(Compose_C6!$G$13:$G$64,MATCH(F15,Compose_C6!$G$13:$G$64,1)))/(INDEX(Compose_C6!$G$13:$G$64,MATCH(F15,Compose_C6!$G$13:$G$64,1)+1)-INDEX(Compose_C6!$G$13:$G$64,MATCH(F15,Compose_C6!$G$13:$G$64,1)))*(INDEX(Compose_C6!$A$13:$A$64,MATCH(F15,Compose_C6!$G$13:$G$64,1)+1)-INDEX(Compose_C6!$A$13:$A$64,MATCH(F15,Compose_C6!$G$13:$G$64,1)))))</f>
        <v/>
      </c>
      <c r="D16" s="17">
        <f>IF(F15&lt;=0.01,MIN(0.5*(B15+B16),$B$4),IF(C16&lt;=INDEX(Compose_C6!$A$13:$A$64,1),INDEX(Compose_C6!$J$13:$J$64,1),IF(C16&gt;=INDEX(Compose_C6!$A$13:$A$64,ROWS(Compose_C6!$A$13:$A$64)),INDEX(Compose_C6!$J$13:$J$64,ROWS(Compose_C6!$J$13:$J$64)),INDEX(Compose_C6!$J$13:$J$64,MATCH(C16,Compose_C6!$A$13:$A$64,1))+(C16-INDEX(Compose_C6!$A$13:$A$64,MATCH(C16,Compose_C6!$A$13:$A$64,1)))/(INDEX(Compose_C6!$A$13:$A$64,MATCH(C16,Compose_C6!$A$13:$A$64,1)+1)-INDEX(Compose_C6!$A$13:$A$64,MATCH(C16,Compose_C6!$A$13:$A$64,1)))*(INDEX(Compose_C6!$J$13:$J$64,MATCH(C16,Compose_C6!$A$13:$A$64,1)+1)-INDEX(Compose_C6!$J$13:$J$64,MATCH(C16,Compose_C6!$A$13:$A$64,1))))))</f>
        <v/>
      </c>
      <c r="E16" s="16">
        <f>(A16-A15)*60</f>
        <v/>
      </c>
      <c r="F16" s="13">
        <f>MAX(0,F15+(0.5*(B15+B16)-D16)*E16)</f>
        <v/>
      </c>
      <c r="G16" s="17">
        <f>IF(C16&lt;=INDEX(Compose_C6!$A$13:$A$64,1),INDEX(Compose_C6!$H$13:$H$64,1),IF(C16&gt;=INDEX(Compose_C6!$A$13:$A$64,ROWS(Compose_C6!$A$13:$A$64)),INDEX(Compose_C6!$H$13:$H$64,ROWS(Compose_C6!$H$13:$H$64)),INDEX(Compose_C6!$H$13:$H$64,MATCH(C16,Compose_C6!$A$13:$A$64,1))+(C16-INDEX(Compose_C6!$A$13:$A$64,MATCH(C16,Compose_C6!$A$13:$A$64,1)))/(INDEX(Compose_C6!$A$13:$A$64,MATCH(C16,Compose_C6!$A$13:$A$64,1)+1)-INDEX(Compose_C6!$A$13:$A$64,MATCH(C16,Compose_C6!$A$13:$A$64,1)))*(INDEX(Compose_C6!$H$13:$H$64,MATCH(C16,Compose_C6!$A$13:$A$64,1)+1)-INDEX(Compose_C6!$H$13:$H$64,MATCH(C16,Compose_C6!$A$13:$A$64,1)))))</f>
        <v/>
      </c>
      <c r="H16" s="17">
        <f>IF(C16&lt;=INDEX(Compose_C6!$A$13:$A$64,1),INDEX(Compose_C6!$I$13:$I$64,1),IF(C16&gt;=INDEX(Compose_C6!$A$13:$A$64,ROWS(Compose_C6!$A$13:$A$64)),INDEX(Compose_C6!$I$13:$I$64,ROWS(Compose_C6!$I$13:$I$64)),INDEX(Compose_C6!$I$13:$I$64,MATCH(C16,Compose_C6!$A$13:$A$64,1))+(C16-INDEX(Compose_C6!$A$13:$A$64,MATCH(C16,Compose_C6!$A$13:$A$64,1)))/(INDEX(Compose_C6!$A$13:$A$64,MATCH(C16,Compose_C6!$A$13:$A$64,1)+1)-INDEX(Compose_C6!$A$13:$A$64,MATCH(C16,Compose_C6!$A$13:$A$64,1)))*(INDEX(Compose_C6!$I$13:$I$64,MATCH(C16,Compose_C6!$A$13:$A$64,1)+1)-INDEX(Compose_C6!$I$13:$I$64,MATCH(C16,Compose_C6!$A$13:$A$64,1)))))</f>
        <v/>
      </c>
      <c r="I16" s="15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6!$G$13:$G$64,1),INDEX(Compose_C6!$A$13:$A$64,1),IF(F16&gt;=INDEX(Compose_C6!$G$13:$G$64,ROWS(Compose_C6!$G$13:$G$64)),INDEX(Compose_C6!$A$13:$A$64,ROWS(Compose_C6!$A$13:$A$64)),INDEX(Compose_C6!$A$13:$A$64,MATCH(F16,Compose_C6!$G$13:$G$64,1))+(F16-INDEX(Compose_C6!$G$13:$G$64,MATCH(F16,Compose_C6!$G$13:$G$64,1)))/(INDEX(Compose_C6!$G$13:$G$64,MATCH(F16,Compose_C6!$G$13:$G$64,1)+1)-INDEX(Compose_C6!$G$13:$G$64,MATCH(F16,Compose_C6!$G$13:$G$64,1)))*(INDEX(Compose_C6!$A$13:$A$64,MATCH(F16,Compose_C6!$G$13:$G$64,1)+1)-INDEX(Compose_C6!$A$13:$A$64,MATCH(F16,Compose_C6!$G$13:$G$64,1)))))</f>
        <v/>
      </c>
      <c r="D17" s="17">
        <f>IF(F16&lt;=0.01,MIN(0.5*(B16+B17),$B$4),IF(C17&lt;=INDEX(Compose_C6!$A$13:$A$64,1),INDEX(Compose_C6!$J$13:$J$64,1),IF(C17&gt;=INDEX(Compose_C6!$A$13:$A$64,ROWS(Compose_C6!$A$13:$A$64)),INDEX(Compose_C6!$J$13:$J$64,ROWS(Compose_C6!$J$13:$J$64)),INDEX(Compose_C6!$J$13:$J$64,MATCH(C17,Compose_C6!$A$13:$A$64,1))+(C17-INDEX(Compose_C6!$A$13:$A$64,MATCH(C17,Compose_C6!$A$13:$A$64,1)))/(INDEX(Compose_C6!$A$13:$A$64,MATCH(C17,Compose_C6!$A$13:$A$64,1)+1)-INDEX(Compose_C6!$A$13:$A$64,MATCH(C17,Compose_C6!$A$13:$A$64,1)))*(INDEX(Compose_C6!$J$13:$J$64,MATCH(C17,Compose_C6!$A$13:$A$64,1)+1)-INDEX(Compose_C6!$J$13:$J$64,MATCH(C17,Compose_C6!$A$13:$A$64,1))))))</f>
        <v/>
      </c>
      <c r="E17" s="16">
        <f>(A17-A16)*60</f>
        <v/>
      </c>
      <c r="F17" s="13">
        <f>MAX(0,F16+(0.5*(B16+B17)-D17)*E17)</f>
        <v/>
      </c>
      <c r="G17" s="17">
        <f>IF(C17&lt;=INDEX(Compose_C6!$A$13:$A$64,1),INDEX(Compose_C6!$H$13:$H$64,1),IF(C17&gt;=INDEX(Compose_C6!$A$13:$A$64,ROWS(Compose_C6!$A$13:$A$64)),INDEX(Compose_C6!$H$13:$H$64,ROWS(Compose_C6!$H$13:$H$64)),INDEX(Compose_C6!$H$13:$H$64,MATCH(C17,Compose_C6!$A$13:$A$64,1))+(C17-INDEX(Compose_C6!$A$13:$A$64,MATCH(C17,Compose_C6!$A$13:$A$64,1)))/(INDEX(Compose_C6!$A$13:$A$64,MATCH(C17,Compose_C6!$A$13:$A$64,1)+1)-INDEX(Compose_C6!$A$13:$A$64,MATCH(C17,Compose_C6!$A$13:$A$64,1)))*(INDEX(Compose_C6!$H$13:$H$64,MATCH(C17,Compose_C6!$A$13:$A$64,1)+1)-INDEX(Compose_C6!$H$13:$H$64,MATCH(C17,Compose_C6!$A$13:$A$64,1)))))</f>
        <v/>
      </c>
      <c r="H17" s="17">
        <f>IF(C17&lt;=INDEX(Compose_C6!$A$13:$A$64,1),INDEX(Compose_C6!$I$13:$I$64,1),IF(C17&gt;=INDEX(Compose_C6!$A$13:$A$64,ROWS(Compose_C6!$A$13:$A$64)),INDEX(Compose_C6!$I$13:$I$64,ROWS(Compose_C6!$I$13:$I$64)),INDEX(Compose_C6!$I$13:$I$64,MATCH(C17,Compose_C6!$A$13:$A$64,1))+(C17-INDEX(Compose_C6!$A$13:$A$64,MATCH(C17,Compose_C6!$A$13:$A$64,1)))/(INDEX(Compose_C6!$A$13:$A$64,MATCH(C17,Compose_C6!$A$13:$A$64,1)+1)-INDEX(Compose_C6!$A$13:$A$64,MATCH(C17,Compose_C6!$A$13:$A$64,1)))*(INDEX(Compose_C6!$I$13:$I$64,MATCH(C17,Compose_C6!$A$13:$A$64,1)+1)-INDEX(Compose_C6!$I$13:$I$64,MATCH(C17,Compose_C6!$A$13:$A$64,1)))))</f>
        <v/>
      </c>
      <c r="I17" s="15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6!$G$13:$G$64,1),INDEX(Compose_C6!$A$13:$A$64,1),IF(F17&gt;=INDEX(Compose_C6!$G$13:$G$64,ROWS(Compose_C6!$G$13:$G$64)),INDEX(Compose_C6!$A$13:$A$64,ROWS(Compose_C6!$A$13:$A$64)),INDEX(Compose_C6!$A$13:$A$64,MATCH(F17,Compose_C6!$G$13:$G$64,1))+(F17-INDEX(Compose_C6!$G$13:$G$64,MATCH(F17,Compose_C6!$G$13:$G$64,1)))/(INDEX(Compose_C6!$G$13:$G$64,MATCH(F17,Compose_C6!$G$13:$G$64,1)+1)-INDEX(Compose_C6!$G$13:$G$64,MATCH(F17,Compose_C6!$G$13:$G$64,1)))*(INDEX(Compose_C6!$A$13:$A$64,MATCH(F17,Compose_C6!$G$13:$G$64,1)+1)-INDEX(Compose_C6!$A$13:$A$64,MATCH(F17,Compose_C6!$G$13:$G$64,1)))))</f>
        <v/>
      </c>
      <c r="D18" s="17">
        <f>IF(F17&lt;=0.01,MIN(0.5*(B17+B18),$B$4),IF(C18&lt;=INDEX(Compose_C6!$A$13:$A$64,1),INDEX(Compose_C6!$J$13:$J$64,1),IF(C18&gt;=INDEX(Compose_C6!$A$13:$A$64,ROWS(Compose_C6!$A$13:$A$64)),INDEX(Compose_C6!$J$13:$J$64,ROWS(Compose_C6!$J$13:$J$64)),INDEX(Compose_C6!$J$13:$J$64,MATCH(C18,Compose_C6!$A$13:$A$64,1))+(C18-INDEX(Compose_C6!$A$13:$A$64,MATCH(C18,Compose_C6!$A$13:$A$64,1)))/(INDEX(Compose_C6!$A$13:$A$64,MATCH(C18,Compose_C6!$A$13:$A$64,1)+1)-INDEX(Compose_C6!$A$13:$A$64,MATCH(C18,Compose_C6!$A$13:$A$64,1)))*(INDEX(Compose_C6!$J$13:$J$64,MATCH(C18,Compose_C6!$A$13:$A$64,1)+1)-INDEX(Compose_C6!$J$13:$J$64,MATCH(C18,Compose_C6!$A$13:$A$64,1))))))</f>
        <v/>
      </c>
      <c r="E18" s="16">
        <f>(A18-A17)*60</f>
        <v/>
      </c>
      <c r="F18" s="13">
        <f>MAX(0,F17+(0.5*(B17+B18)-D18)*E18)</f>
        <v/>
      </c>
      <c r="G18" s="17">
        <f>IF(C18&lt;=INDEX(Compose_C6!$A$13:$A$64,1),INDEX(Compose_C6!$H$13:$H$64,1),IF(C18&gt;=INDEX(Compose_C6!$A$13:$A$64,ROWS(Compose_C6!$A$13:$A$64)),INDEX(Compose_C6!$H$13:$H$64,ROWS(Compose_C6!$H$13:$H$64)),INDEX(Compose_C6!$H$13:$H$64,MATCH(C18,Compose_C6!$A$13:$A$64,1))+(C18-INDEX(Compose_C6!$A$13:$A$64,MATCH(C18,Compose_C6!$A$13:$A$64,1)))/(INDEX(Compose_C6!$A$13:$A$64,MATCH(C18,Compose_C6!$A$13:$A$64,1)+1)-INDEX(Compose_C6!$A$13:$A$64,MATCH(C18,Compose_C6!$A$13:$A$64,1)))*(INDEX(Compose_C6!$H$13:$H$64,MATCH(C18,Compose_C6!$A$13:$A$64,1)+1)-INDEX(Compose_C6!$H$13:$H$64,MATCH(C18,Compose_C6!$A$13:$A$64,1)))))</f>
        <v/>
      </c>
      <c r="H18" s="17">
        <f>IF(C18&lt;=INDEX(Compose_C6!$A$13:$A$64,1),INDEX(Compose_C6!$I$13:$I$64,1),IF(C18&gt;=INDEX(Compose_C6!$A$13:$A$64,ROWS(Compose_C6!$A$13:$A$64)),INDEX(Compose_C6!$I$13:$I$64,ROWS(Compose_C6!$I$13:$I$64)),INDEX(Compose_C6!$I$13:$I$64,MATCH(C18,Compose_C6!$A$13:$A$64,1))+(C18-INDEX(Compose_C6!$A$13:$A$64,MATCH(C18,Compose_C6!$A$13:$A$64,1)))/(INDEX(Compose_C6!$A$13:$A$64,MATCH(C18,Compose_C6!$A$13:$A$64,1)+1)-INDEX(Compose_C6!$A$13:$A$64,MATCH(C18,Compose_C6!$A$13:$A$64,1)))*(INDEX(Compose_C6!$I$13:$I$64,MATCH(C18,Compose_C6!$A$13:$A$64,1)+1)-INDEX(Compose_C6!$I$13:$I$64,MATCH(C18,Compose_C6!$A$13:$A$64,1)))))</f>
        <v/>
      </c>
      <c r="I18" s="15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6!$G$13:$G$64,1),INDEX(Compose_C6!$A$13:$A$64,1),IF(F18&gt;=INDEX(Compose_C6!$G$13:$G$64,ROWS(Compose_C6!$G$13:$G$64)),INDEX(Compose_C6!$A$13:$A$64,ROWS(Compose_C6!$A$13:$A$64)),INDEX(Compose_C6!$A$13:$A$64,MATCH(F18,Compose_C6!$G$13:$G$64,1))+(F18-INDEX(Compose_C6!$G$13:$G$64,MATCH(F18,Compose_C6!$G$13:$G$64,1)))/(INDEX(Compose_C6!$G$13:$G$64,MATCH(F18,Compose_C6!$G$13:$G$64,1)+1)-INDEX(Compose_C6!$G$13:$G$64,MATCH(F18,Compose_C6!$G$13:$G$64,1)))*(INDEX(Compose_C6!$A$13:$A$64,MATCH(F18,Compose_C6!$G$13:$G$64,1)+1)-INDEX(Compose_C6!$A$13:$A$64,MATCH(F18,Compose_C6!$G$13:$G$64,1)))))</f>
        <v/>
      </c>
      <c r="D19" s="17">
        <f>IF(F18&lt;=0.01,MIN(0.5*(B18+B19),$B$4),IF(C19&lt;=INDEX(Compose_C6!$A$13:$A$64,1),INDEX(Compose_C6!$J$13:$J$64,1),IF(C19&gt;=INDEX(Compose_C6!$A$13:$A$64,ROWS(Compose_C6!$A$13:$A$64)),INDEX(Compose_C6!$J$13:$J$64,ROWS(Compose_C6!$J$13:$J$64)),INDEX(Compose_C6!$J$13:$J$64,MATCH(C19,Compose_C6!$A$13:$A$64,1))+(C19-INDEX(Compose_C6!$A$13:$A$64,MATCH(C19,Compose_C6!$A$13:$A$64,1)))/(INDEX(Compose_C6!$A$13:$A$64,MATCH(C19,Compose_C6!$A$13:$A$64,1)+1)-INDEX(Compose_C6!$A$13:$A$64,MATCH(C19,Compose_C6!$A$13:$A$64,1)))*(INDEX(Compose_C6!$J$13:$J$64,MATCH(C19,Compose_C6!$A$13:$A$64,1)+1)-INDEX(Compose_C6!$J$13:$J$64,MATCH(C19,Compose_C6!$A$13:$A$64,1))))))</f>
        <v/>
      </c>
      <c r="E19" s="16">
        <f>(A19-A18)*60</f>
        <v/>
      </c>
      <c r="F19" s="13">
        <f>MAX(0,F18+(0.5*(B18+B19)-D19)*E19)</f>
        <v/>
      </c>
      <c r="G19" s="17">
        <f>IF(C19&lt;=INDEX(Compose_C6!$A$13:$A$64,1),INDEX(Compose_C6!$H$13:$H$64,1),IF(C19&gt;=INDEX(Compose_C6!$A$13:$A$64,ROWS(Compose_C6!$A$13:$A$64)),INDEX(Compose_C6!$H$13:$H$64,ROWS(Compose_C6!$H$13:$H$64)),INDEX(Compose_C6!$H$13:$H$64,MATCH(C19,Compose_C6!$A$13:$A$64,1))+(C19-INDEX(Compose_C6!$A$13:$A$64,MATCH(C19,Compose_C6!$A$13:$A$64,1)))/(INDEX(Compose_C6!$A$13:$A$64,MATCH(C19,Compose_C6!$A$13:$A$64,1)+1)-INDEX(Compose_C6!$A$13:$A$64,MATCH(C19,Compose_C6!$A$13:$A$64,1)))*(INDEX(Compose_C6!$H$13:$H$64,MATCH(C19,Compose_C6!$A$13:$A$64,1)+1)-INDEX(Compose_C6!$H$13:$H$64,MATCH(C19,Compose_C6!$A$13:$A$64,1)))))</f>
        <v/>
      </c>
      <c r="H19" s="17">
        <f>IF(C19&lt;=INDEX(Compose_C6!$A$13:$A$64,1),INDEX(Compose_C6!$I$13:$I$64,1),IF(C19&gt;=INDEX(Compose_C6!$A$13:$A$64,ROWS(Compose_C6!$A$13:$A$64)),INDEX(Compose_C6!$I$13:$I$64,ROWS(Compose_C6!$I$13:$I$64)),INDEX(Compose_C6!$I$13:$I$64,MATCH(C19,Compose_C6!$A$13:$A$64,1))+(C19-INDEX(Compose_C6!$A$13:$A$64,MATCH(C19,Compose_C6!$A$13:$A$64,1)))/(INDEX(Compose_C6!$A$13:$A$64,MATCH(C19,Compose_C6!$A$13:$A$64,1)+1)-INDEX(Compose_C6!$A$13:$A$64,MATCH(C19,Compose_C6!$A$13:$A$64,1)))*(INDEX(Compose_C6!$I$13:$I$64,MATCH(C19,Compose_C6!$A$13:$A$64,1)+1)-INDEX(Compose_C6!$I$13:$I$64,MATCH(C19,Compose_C6!$A$13:$A$64,1)))))</f>
        <v/>
      </c>
      <c r="I19" s="15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6!$G$13:$G$64,1),INDEX(Compose_C6!$A$13:$A$64,1),IF(F19&gt;=INDEX(Compose_C6!$G$13:$G$64,ROWS(Compose_C6!$G$13:$G$64)),INDEX(Compose_C6!$A$13:$A$64,ROWS(Compose_C6!$A$13:$A$64)),INDEX(Compose_C6!$A$13:$A$64,MATCH(F19,Compose_C6!$G$13:$G$64,1))+(F19-INDEX(Compose_C6!$G$13:$G$64,MATCH(F19,Compose_C6!$G$13:$G$64,1)))/(INDEX(Compose_C6!$G$13:$G$64,MATCH(F19,Compose_C6!$G$13:$G$64,1)+1)-INDEX(Compose_C6!$G$13:$G$64,MATCH(F19,Compose_C6!$G$13:$G$64,1)))*(INDEX(Compose_C6!$A$13:$A$64,MATCH(F19,Compose_C6!$G$13:$G$64,1)+1)-INDEX(Compose_C6!$A$13:$A$64,MATCH(F19,Compose_C6!$G$13:$G$64,1)))))</f>
        <v/>
      </c>
      <c r="D20" s="17">
        <f>IF(F19&lt;=0.01,MIN(0.5*(B19+B20),$B$4),IF(C20&lt;=INDEX(Compose_C6!$A$13:$A$64,1),INDEX(Compose_C6!$J$13:$J$64,1),IF(C20&gt;=INDEX(Compose_C6!$A$13:$A$64,ROWS(Compose_C6!$A$13:$A$64)),INDEX(Compose_C6!$J$13:$J$64,ROWS(Compose_C6!$J$13:$J$64)),INDEX(Compose_C6!$J$13:$J$64,MATCH(C20,Compose_C6!$A$13:$A$64,1))+(C20-INDEX(Compose_C6!$A$13:$A$64,MATCH(C20,Compose_C6!$A$13:$A$64,1)))/(INDEX(Compose_C6!$A$13:$A$64,MATCH(C20,Compose_C6!$A$13:$A$64,1)+1)-INDEX(Compose_C6!$A$13:$A$64,MATCH(C20,Compose_C6!$A$13:$A$64,1)))*(INDEX(Compose_C6!$J$13:$J$64,MATCH(C20,Compose_C6!$A$13:$A$64,1)+1)-INDEX(Compose_C6!$J$13:$J$64,MATCH(C20,Compose_C6!$A$13:$A$64,1))))))</f>
        <v/>
      </c>
      <c r="E20" s="16">
        <f>(A20-A19)*60</f>
        <v/>
      </c>
      <c r="F20" s="13">
        <f>MAX(0,F19+(0.5*(B19+B20)-D20)*E20)</f>
        <v/>
      </c>
      <c r="G20" s="17">
        <f>IF(C20&lt;=INDEX(Compose_C6!$A$13:$A$64,1),INDEX(Compose_C6!$H$13:$H$64,1),IF(C20&gt;=INDEX(Compose_C6!$A$13:$A$64,ROWS(Compose_C6!$A$13:$A$64)),INDEX(Compose_C6!$H$13:$H$64,ROWS(Compose_C6!$H$13:$H$64)),INDEX(Compose_C6!$H$13:$H$64,MATCH(C20,Compose_C6!$A$13:$A$64,1))+(C20-INDEX(Compose_C6!$A$13:$A$64,MATCH(C20,Compose_C6!$A$13:$A$64,1)))/(INDEX(Compose_C6!$A$13:$A$64,MATCH(C20,Compose_C6!$A$13:$A$64,1)+1)-INDEX(Compose_C6!$A$13:$A$64,MATCH(C20,Compose_C6!$A$13:$A$64,1)))*(INDEX(Compose_C6!$H$13:$H$64,MATCH(C20,Compose_C6!$A$13:$A$64,1)+1)-INDEX(Compose_C6!$H$13:$H$64,MATCH(C20,Compose_C6!$A$13:$A$64,1)))))</f>
        <v/>
      </c>
      <c r="H20" s="17">
        <f>IF(C20&lt;=INDEX(Compose_C6!$A$13:$A$64,1),INDEX(Compose_C6!$I$13:$I$64,1),IF(C20&gt;=INDEX(Compose_C6!$A$13:$A$64,ROWS(Compose_C6!$A$13:$A$64)),INDEX(Compose_C6!$I$13:$I$64,ROWS(Compose_C6!$I$13:$I$64)),INDEX(Compose_C6!$I$13:$I$64,MATCH(C20,Compose_C6!$A$13:$A$64,1))+(C20-INDEX(Compose_C6!$A$13:$A$64,MATCH(C20,Compose_C6!$A$13:$A$64,1)))/(INDEX(Compose_C6!$A$13:$A$64,MATCH(C20,Compose_C6!$A$13:$A$64,1)+1)-INDEX(Compose_C6!$A$13:$A$64,MATCH(C20,Compose_C6!$A$13:$A$64,1)))*(INDEX(Compose_C6!$I$13:$I$64,MATCH(C20,Compose_C6!$A$13:$A$64,1)+1)-INDEX(Compose_C6!$I$13:$I$64,MATCH(C20,Compose_C6!$A$13:$A$64,1)))))</f>
        <v/>
      </c>
      <c r="I20" s="15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6!$G$13:$G$64,1),INDEX(Compose_C6!$A$13:$A$64,1),IF(F20&gt;=INDEX(Compose_C6!$G$13:$G$64,ROWS(Compose_C6!$G$13:$G$64)),INDEX(Compose_C6!$A$13:$A$64,ROWS(Compose_C6!$A$13:$A$64)),INDEX(Compose_C6!$A$13:$A$64,MATCH(F20,Compose_C6!$G$13:$G$64,1))+(F20-INDEX(Compose_C6!$G$13:$G$64,MATCH(F20,Compose_C6!$G$13:$G$64,1)))/(INDEX(Compose_C6!$G$13:$G$64,MATCH(F20,Compose_C6!$G$13:$G$64,1)+1)-INDEX(Compose_C6!$G$13:$G$64,MATCH(F20,Compose_C6!$G$13:$G$64,1)))*(INDEX(Compose_C6!$A$13:$A$64,MATCH(F20,Compose_C6!$G$13:$G$64,1)+1)-INDEX(Compose_C6!$A$13:$A$64,MATCH(F20,Compose_C6!$G$13:$G$64,1)))))</f>
        <v/>
      </c>
      <c r="D21" s="17">
        <f>IF(F20&lt;=0.01,MIN(0.5*(B20+B21),$B$4),IF(C21&lt;=INDEX(Compose_C6!$A$13:$A$64,1),INDEX(Compose_C6!$J$13:$J$64,1),IF(C21&gt;=INDEX(Compose_C6!$A$13:$A$64,ROWS(Compose_C6!$A$13:$A$64)),INDEX(Compose_C6!$J$13:$J$64,ROWS(Compose_C6!$J$13:$J$64)),INDEX(Compose_C6!$J$13:$J$64,MATCH(C21,Compose_C6!$A$13:$A$64,1))+(C21-INDEX(Compose_C6!$A$13:$A$64,MATCH(C21,Compose_C6!$A$13:$A$64,1)))/(INDEX(Compose_C6!$A$13:$A$64,MATCH(C21,Compose_C6!$A$13:$A$64,1)+1)-INDEX(Compose_C6!$A$13:$A$64,MATCH(C21,Compose_C6!$A$13:$A$64,1)))*(INDEX(Compose_C6!$J$13:$J$64,MATCH(C21,Compose_C6!$A$13:$A$64,1)+1)-INDEX(Compose_C6!$J$13:$J$64,MATCH(C21,Compose_C6!$A$13:$A$64,1))))))</f>
        <v/>
      </c>
      <c r="E21" s="16">
        <f>(A21-A20)*60</f>
        <v/>
      </c>
      <c r="F21" s="13">
        <f>MAX(0,F20+(0.5*(B20+B21)-D21)*E21)</f>
        <v/>
      </c>
      <c r="G21" s="17">
        <f>IF(C21&lt;=INDEX(Compose_C6!$A$13:$A$64,1),INDEX(Compose_C6!$H$13:$H$64,1),IF(C21&gt;=INDEX(Compose_C6!$A$13:$A$64,ROWS(Compose_C6!$A$13:$A$64)),INDEX(Compose_C6!$H$13:$H$64,ROWS(Compose_C6!$H$13:$H$64)),INDEX(Compose_C6!$H$13:$H$64,MATCH(C21,Compose_C6!$A$13:$A$64,1))+(C21-INDEX(Compose_C6!$A$13:$A$64,MATCH(C21,Compose_C6!$A$13:$A$64,1)))/(INDEX(Compose_C6!$A$13:$A$64,MATCH(C21,Compose_C6!$A$13:$A$64,1)+1)-INDEX(Compose_C6!$A$13:$A$64,MATCH(C21,Compose_C6!$A$13:$A$64,1)))*(INDEX(Compose_C6!$H$13:$H$64,MATCH(C21,Compose_C6!$A$13:$A$64,1)+1)-INDEX(Compose_C6!$H$13:$H$64,MATCH(C21,Compose_C6!$A$13:$A$64,1)))))</f>
        <v/>
      </c>
      <c r="H21" s="17">
        <f>IF(C21&lt;=INDEX(Compose_C6!$A$13:$A$64,1),INDEX(Compose_C6!$I$13:$I$64,1),IF(C21&gt;=INDEX(Compose_C6!$A$13:$A$64,ROWS(Compose_C6!$A$13:$A$64)),INDEX(Compose_C6!$I$13:$I$64,ROWS(Compose_C6!$I$13:$I$64)),INDEX(Compose_C6!$I$13:$I$64,MATCH(C21,Compose_C6!$A$13:$A$64,1))+(C21-INDEX(Compose_C6!$A$13:$A$64,MATCH(C21,Compose_C6!$A$13:$A$64,1)))/(INDEX(Compose_C6!$A$13:$A$64,MATCH(C21,Compose_C6!$A$13:$A$64,1)+1)-INDEX(Compose_C6!$A$13:$A$64,MATCH(C21,Compose_C6!$A$13:$A$64,1)))*(INDEX(Compose_C6!$I$13:$I$64,MATCH(C21,Compose_C6!$A$13:$A$64,1)+1)-INDEX(Compose_C6!$I$13:$I$64,MATCH(C21,Compose_C6!$A$13:$A$64,1)))))</f>
        <v/>
      </c>
      <c r="I21" s="15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6!$G$13:$G$64,1),INDEX(Compose_C6!$A$13:$A$64,1),IF(F21&gt;=INDEX(Compose_C6!$G$13:$G$64,ROWS(Compose_C6!$G$13:$G$64)),INDEX(Compose_C6!$A$13:$A$64,ROWS(Compose_C6!$A$13:$A$64)),INDEX(Compose_C6!$A$13:$A$64,MATCH(F21,Compose_C6!$G$13:$G$64,1))+(F21-INDEX(Compose_C6!$G$13:$G$64,MATCH(F21,Compose_C6!$G$13:$G$64,1)))/(INDEX(Compose_C6!$G$13:$G$64,MATCH(F21,Compose_C6!$G$13:$G$64,1)+1)-INDEX(Compose_C6!$G$13:$G$64,MATCH(F21,Compose_C6!$G$13:$G$64,1)))*(INDEX(Compose_C6!$A$13:$A$64,MATCH(F21,Compose_C6!$G$13:$G$64,1)+1)-INDEX(Compose_C6!$A$13:$A$64,MATCH(F21,Compose_C6!$G$13:$G$64,1)))))</f>
        <v/>
      </c>
      <c r="D22" s="17">
        <f>IF(F21&lt;=0.01,MIN(0.5*(B21+B22),$B$4),IF(C22&lt;=INDEX(Compose_C6!$A$13:$A$64,1),INDEX(Compose_C6!$J$13:$J$64,1),IF(C22&gt;=INDEX(Compose_C6!$A$13:$A$64,ROWS(Compose_C6!$A$13:$A$64)),INDEX(Compose_C6!$J$13:$J$64,ROWS(Compose_C6!$J$13:$J$64)),INDEX(Compose_C6!$J$13:$J$64,MATCH(C22,Compose_C6!$A$13:$A$64,1))+(C22-INDEX(Compose_C6!$A$13:$A$64,MATCH(C22,Compose_C6!$A$13:$A$64,1)))/(INDEX(Compose_C6!$A$13:$A$64,MATCH(C22,Compose_C6!$A$13:$A$64,1)+1)-INDEX(Compose_C6!$A$13:$A$64,MATCH(C22,Compose_C6!$A$13:$A$64,1)))*(INDEX(Compose_C6!$J$13:$J$64,MATCH(C22,Compose_C6!$A$13:$A$64,1)+1)-INDEX(Compose_C6!$J$13:$J$64,MATCH(C22,Compose_C6!$A$13:$A$64,1))))))</f>
        <v/>
      </c>
      <c r="E22" s="16">
        <f>(A22-A21)*60</f>
        <v/>
      </c>
      <c r="F22" s="13">
        <f>MAX(0,F21+(0.5*(B21+B22)-D22)*E22)</f>
        <v/>
      </c>
      <c r="G22" s="17">
        <f>IF(C22&lt;=INDEX(Compose_C6!$A$13:$A$64,1),INDEX(Compose_C6!$H$13:$H$64,1),IF(C22&gt;=INDEX(Compose_C6!$A$13:$A$64,ROWS(Compose_C6!$A$13:$A$64)),INDEX(Compose_C6!$H$13:$H$64,ROWS(Compose_C6!$H$13:$H$64)),INDEX(Compose_C6!$H$13:$H$64,MATCH(C22,Compose_C6!$A$13:$A$64,1))+(C22-INDEX(Compose_C6!$A$13:$A$64,MATCH(C22,Compose_C6!$A$13:$A$64,1)))/(INDEX(Compose_C6!$A$13:$A$64,MATCH(C22,Compose_C6!$A$13:$A$64,1)+1)-INDEX(Compose_C6!$A$13:$A$64,MATCH(C22,Compose_C6!$A$13:$A$64,1)))*(INDEX(Compose_C6!$H$13:$H$64,MATCH(C22,Compose_C6!$A$13:$A$64,1)+1)-INDEX(Compose_C6!$H$13:$H$64,MATCH(C22,Compose_C6!$A$13:$A$64,1)))))</f>
        <v/>
      </c>
      <c r="H22" s="17">
        <f>IF(C22&lt;=INDEX(Compose_C6!$A$13:$A$64,1),INDEX(Compose_C6!$I$13:$I$64,1),IF(C22&gt;=INDEX(Compose_C6!$A$13:$A$64,ROWS(Compose_C6!$A$13:$A$64)),INDEX(Compose_C6!$I$13:$I$64,ROWS(Compose_C6!$I$13:$I$64)),INDEX(Compose_C6!$I$13:$I$64,MATCH(C22,Compose_C6!$A$13:$A$64,1))+(C22-INDEX(Compose_C6!$A$13:$A$64,MATCH(C22,Compose_C6!$A$13:$A$64,1)))/(INDEX(Compose_C6!$A$13:$A$64,MATCH(C22,Compose_C6!$A$13:$A$64,1)+1)-INDEX(Compose_C6!$A$13:$A$64,MATCH(C22,Compose_C6!$A$13:$A$64,1)))*(INDEX(Compose_C6!$I$13:$I$64,MATCH(C22,Compose_C6!$A$13:$A$64,1)+1)-INDEX(Compose_C6!$I$13:$I$64,MATCH(C22,Compose_C6!$A$13:$A$64,1)))))</f>
        <v/>
      </c>
      <c r="I22" s="15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6!$G$13:$G$64,1),INDEX(Compose_C6!$A$13:$A$64,1),IF(F22&gt;=INDEX(Compose_C6!$G$13:$G$64,ROWS(Compose_C6!$G$13:$G$64)),INDEX(Compose_C6!$A$13:$A$64,ROWS(Compose_C6!$A$13:$A$64)),INDEX(Compose_C6!$A$13:$A$64,MATCH(F22,Compose_C6!$G$13:$G$64,1))+(F22-INDEX(Compose_C6!$G$13:$G$64,MATCH(F22,Compose_C6!$G$13:$G$64,1)))/(INDEX(Compose_C6!$G$13:$G$64,MATCH(F22,Compose_C6!$G$13:$G$64,1)+1)-INDEX(Compose_C6!$G$13:$G$64,MATCH(F22,Compose_C6!$G$13:$G$64,1)))*(INDEX(Compose_C6!$A$13:$A$64,MATCH(F22,Compose_C6!$G$13:$G$64,1)+1)-INDEX(Compose_C6!$A$13:$A$64,MATCH(F22,Compose_C6!$G$13:$G$64,1)))))</f>
        <v/>
      </c>
      <c r="D23" s="17">
        <f>IF(F22&lt;=0.01,MIN(0.5*(B22+B23),$B$4),IF(C23&lt;=INDEX(Compose_C6!$A$13:$A$64,1),INDEX(Compose_C6!$J$13:$J$64,1),IF(C23&gt;=INDEX(Compose_C6!$A$13:$A$64,ROWS(Compose_C6!$A$13:$A$64)),INDEX(Compose_C6!$J$13:$J$64,ROWS(Compose_C6!$J$13:$J$64)),INDEX(Compose_C6!$J$13:$J$64,MATCH(C23,Compose_C6!$A$13:$A$64,1))+(C23-INDEX(Compose_C6!$A$13:$A$64,MATCH(C23,Compose_C6!$A$13:$A$64,1)))/(INDEX(Compose_C6!$A$13:$A$64,MATCH(C23,Compose_C6!$A$13:$A$64,1)+1)-INDEX(Compose_C6!$A$13:$A$64,MATCH(C23,Compose_C6!$A$13:$A$64,1)))*(INDEX(Compose_C6!$J$13:$J$64,MATCH(C23,Compose_C6!$A$13:$A$64,1)+1)-INDEX(Compose_C6!$J$13:$J$64,MATCH(C23,Compose_C6!$A$13:$A$64,1))))))</f>
        <v/>
      </c>
      <c r="E23" s="16">
        <f>(A23-A22)*60</f>
        <v/>
      </c>
      <c r="F23" s="13">
        <f>MAX(0,F22+(0.5*(B22+B23)-D23)*E23)</f>
        <v/>
      </c>
      <c r="G23" s="17">
        <f>IF(C23&lt;=INDEX(Compose_C6!$A$13:$A$64,1),INDEX(Compose_C6!$H$13:$H$64,1),IF(C23&gt;=INDEX(Compose_C6!$A$13:$A$64,ROWS(Compose_C6!$A$13:$A$64)),INDEX(Compose_C6!$H$13:$H$64,ROWS(Compose_C6!$H$13:$H$64)),INDEX(Compose_C6!$H$13:$H$64,MATCH(C23,Compose_C6!$A$13:$A$64,1))+(C23-INDEX(Compose_C6!$A$13:$A$64,MATCH(C23,Compose_C6!$A$13:$A$64,1)))/(INDEX(Compose_C6!$A$13:$A$64,MATCH(C23,Compose_C6!$A$13:$A$64,1)+1)-INDEX(Compose_C6!$A$13:$A$64,MATCH(C23,Compose_C6!$A$13:$A$64,1)))*(INDEX(Compose_C6!$H$13:$H$64,MATCH(C23,Compose_C6!$A$13:$A$64,1)+1)-INDEX(Compose_C6!$H$13:$H$64,MATCH(C23,Compose_C6!$A$13:$A$64,1)))))</f>
        <v/>
      </c>
      <c r="H23" s="17">
        <f>IF(C23&lt;=INDEX(Compose_C6!$A$13:$A$64,1),INDEX(Compose_C6!$I$13:$I$64,1),IF(C23&gt;=INDEX(Compose_C6!$A$13:$A$64,ROWS(Compose_C6!$A$13:$A$64)),INDEX(Compose_C6!$I$13:$I$64,ROWS(Compose_C6!$I$13:$I$64)),INDEX(Compose_C6!$I$13:$I$64,MATCH(C23,Compose_C6!$A$13:$A$64,1))+(C23-INDEX(Compose_C6!$A$13:$A$64,MATCH(C23,Compose_C6!$A$13:$A$64,1)))/(INDEX(Compose_C6!$A$13:$A$64,MATCH(C23,Compose_C6!$A$13:$A$64,1)+1)-INDEX(Compose_C6!$A$13:$A$64,MATCH(C23,Compose_C6!$A$13:$A$64,1)))*(INDEX(Compose_C6!$I$13:$I$64,MATCH(C23,Compose_C6!$A$13:$A$64,1)+1)-INDEX(Compose_C6!$I$13:$I$64,MATCH(C23,Compose_C6!$A$13:$A$64,1)))))</f>
        <v/>
      </c>
      <c r="I23" s="15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6!$G$13:$G$64,1),INDEX(Compose_C6!$A$13:$A$64,1),IF(F23&gt;=INDEX(Compose_C6!$G$13:$G$64,ROWS(Compose_C6!$G$13:$G$64)),INDEX(Compose_C6!$A$13:$A$64,ROWS(Compose_C6!$A$13:$A$64)),INDEX(Compose_C6!$A$13:$A$64,MATCH(F23,Compose_C6!$G$13:$G$64,1))+(F23-INDEX(Compose_C6!$G$13:$G$64,MATCH(F23,Compose_C6!$G$13:$G$64,1)))/(INDEX(Compose_C6!$G$13:$G$64,MATCH(F23,Compose_C6!$G$13:$G$64,1)+1)-INDEX(Compose_C6!$G$13:$G$64,MATCH(F23,Compose_C6!$G$13:$G$64,1)))*(INDEX(Compose_C6!$A$13:$A$64,MATCH(F23,Compose_C6!$G$13:$G$64,1)+1)-INDEX(Compose_C6!$A$13:$A$64,MATCH(F23,Compose_C6!$G$13:$G$64,1)))))</f>
        <v/>
      </c>
      <c r="D24" s="17">
        <f>IF(F23&lt;=0.01,MIN(0.5*(B23+B24),$B$4),IF(C24&lt;=INDEX(Compose_C6!$A$13:$A$64,1),INDEX(Compose_C6!$J$13:$J$64,1),IF(C24&gt;=INDEX(Compose_C6!$A$13:$A$64,ROWS(Compose_C6!$A$13:$A$64)),INDEX(Compose_C6!$J$13:$J$64,ROWS(Compose_C6!$J$13:$J$64)),INDEX(Compose_C6!$J$13:$J$64,MATCH(C24,Compose_C6!$A$13:$A$64,1))+(C24-INDEX(Compose_C6!$A$13:$A$64,MATCH(C24,Compose_C6!$A$13:$A$64,1)))/(INDEX(Compose_C6!$A$13:$A$64,MATCH(C24,Compose_C6!$A$13:$A$64,1)+1)-INDEX(Compose_C6!$A$13:$A$64,MATCH(C24,Compose_C6!$A$13:$A$64,1)))*(INDEX(Compose_C6!$J$13:$J$64,MATCH(C24,Compose_C6!$A$13:$A$64,1)+1)-INDEX(Compose_C6!$J$13:$J$64,MATCH(C24,Compose_C6!$A$13:$A$64,1))))))</f>
        <v/>
      </c>
      <c r="E24" s="16">
        <f>(A24-A23)*60</f>
        <v/>
      </c>
      <c r="F24" s="13">
        <f>MAX(0,F23+(0.5*(B23+B24)-D24)*E24)</f>
        <v/>
      </c>
      <c r="G24" s="17">
        <f>IF(C24&lt;=INDEX(Compose_C6!$A$13:$A$64,1),INDEX(Compose_C6!$H$13:$H$64,1),IF(C24&gt;=INDEX(Compose_C6!$A$13:$A$64,ROWS(Compose_C6!$A$13:$A$64)),INDEX(Compose_C6!$H$13:$H$64,ROWS(Compose_C6!$H$13:$H$64)),INDEX(Compose_C6!$H$13:$H$64,MATCH(C24,Compose_C6!$A$13:$A$64,1))+(C24-INDEX(Compose_C6!$A$13:$A$64,MATCH(C24,Compose_C6!$A$13:$A$64,1)))/(INDEX(Compose_C6!$A$13:$A$64,MATCH(C24,Compose_C6!$A$13:$A$64,1)+1)-INDEX(Compose_C6!$A$13:$A$64,MATCH(C24,Compose_C6!$A$13:$A$64,1)))*(INDEX(Compose_C6!$H$13:$H$64,MATCH(C24,Compose_C6!$A$13:$A$64,1)+1)-INDEX(Compose_C6!$H$13:$H$64,MATCH(C24,Compose_C6!$A$13:$A$64,1)))))</f>
        <v/>
      </c>
      <c r="H24" s="17">
        <f>IF(C24&lt;=INDEX(Compose_C6!$A$13:$A$64,1),INDEX(Compose_C6!$I$13:$I$64,1),IF(C24&gt;=INDEX(Compose_C6!$A$13:$A$64,ROWS(Compose_C6!$A$13:$A$64)),INDEX(Compose_C6!$I$13:$I$64,ROWS(Compose_C6!$I$13:$I$64)),INDEX(Compose_C6!$I$13:$I$64,MATCH(C24,Compose_C6!$A$13:$A$64,1))+(C24-INDEX(Compose_C6!$A$13:$A$64,MATCH(C24,Compose_C6!$A$13:$A$64,1)))/(INDEX(Compose_C6!$A$13:$A$64,MATCH(C24,Compose_C6!$A$13:$A$64,1)+1)-INDEX(Compose_C6!$A$13:$A$64,MATCH(C24,Compose_C6!$A$13:$A$64,1)))*(INDEX(Compose_C6!$I$13:$I$64,MATCH(C24,Compose_C6!$A$13:$A$64,1)+1)-INDEX(Compose_C6!$I$13:$I$64,MATCH(C24,Compose_C6!$A$13:$A$64,1)))))</f>
        <v/>
      </c>
      <c r="I24" s="15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6!$G$13:$G$64,1),INDEX(Compose_C6!$A$13:$A$64,1),IF(F24&gt;=INDEX(Compose_C6!$G$13:$G$64,ROWS(Compose_C6!$G$13:$G$64)),INDEX(Compose_C6!$A$13:$A$64,ROWS(Compose_C6!$A$13:$A$64)),INDEX(Compose_C6!$A$13:$A$64,MATCH(F24,Compose_C6!$G$13:$G$64,1))+(F24-INDEX(Compose_C6!$G$13:$G$64,MATCH(F24,Compose_C6!$G$13:$G$64,1)))/(INDEX(Compose_C6!$G$13:$G$64,MATCH(F24,Compose_C6!$G$13:$G$64,1)+1)-INDEX(Compose_C6!$G$13:$G$64,MATCH(F24,Compose_C6!$G$13:$G$64,1)))*(INDEX(Compose_C6!$A$13:$A$64,MATCH(F24,Compose_C6!$G$13:$G$64,1)+1)-INDEX(Compose_C6!$A$13:$A$64,MATCH(F24,Compose_C6!$G$13:$G$64,1)))))</f>
        <v/>
      </c>
      <c r="D25" s="17">
        <f>IF(F24&lt;=0.01,MIN(0.5*(B24+B25),$B$4),IF(C25&lt;=INDEX(Compose_C6!$A$13:$A$64,1),INDEX(Compose_C6!$J$13:$J$64,1),IF(C25&gt;=INDEX(Compose_C6!$A$13:$A$64,ROWS(Compose_C6!$A$13:$A$64)),INDEX(Compose_C6!$J$13:$J$64,ROWS(Compose_C6!$J$13:$J$64)),INDEX(Compose_C6!$J$13:$J$64,MATCH(C25,Compose_C6!$A$13:$A$64,1))+(C25-INDEX(Compose_C6!$A$13:$A$64,MATCH(C25,Compose_C6!$A$13:$A$64,1)))/(INDEX(Compose_C6!$A$13:$A$64,MATCH(C25,Compose_C6!$A$13:$A$64,1)+1)-INDEX(Compose_C6!$A$13:$A$64,MATCH(C25,Compose_C6!$A$13:$A$64,1)))*(INDEX(Compose_C6!$J$13:$J$64,MATCH(C25,Compose_C6!$A$13:$A$64,1)+1)-INDEX(Compose_C6!$J$13:$J$64,MATCH(C25,Compose_C6!$A$13:$A$64,1))))))</f>
        <v/>
      </c>
      <c r="E25" s="16">
        <f>(A25-A24)*60</f>
        <v/>
      </c>
      <c r="F25" s="13">
        <f>MAX(0,F24+(0.5*(B24+B25)-D25)*E25)</f>
        <v/>
      </c>
      <c r="G25" s="17">
        <f>IF(C25&lt;=INDEX(Compose_C6!$A$13:$A$64,1),INDEX(Compose_C6!$H$13:$H$64,1),IF(C25&gt;=INDEX(Compose_C6!$A$13:$A$64,ROWS(Compose_C6!$A$13:$A$64)),INDEX(Compose_C6!$H$13:$H$64,ROWS(Compose_C6!$H$13:$H$64)),INDEX(Compose_C6!$H$13:$H$64,MATCH(C25,Compose_C6!$A$13:$A$64,1))+(C25-INDEX(Compose_C6!$A$13:$A$64,MATCH(C25,Compose_C6!$A$13:$A$64,1)))/(INDEX(Compose_C6!$A$13:$A$64,MATCH(C25,Compose_C6!$A$13:$A$64,1)+1)-INDEX(Compose_C6!$A$13:$A$64,MATCH(C25,Compose_C6!$A$13:$A$64,1)))*(INDEX(Compose_C6!$H$13:$H$64,MATCH(C25,Compose_C6!$A$13:$A$64,1)+1)-INDEX(Compose_C6!$H$13:$H$64,MATCH(C25,Compose_C6!$A$13:$A$64,1)))))</f>
        <v/>
      </c>
      <c r="H25" s="17">
        <f>IF(C25&lt;=INDEX(Compose_C6!$A$13:$A$64,1),INDEX(Compose_C6!$I$13:$I$64,1),IF(C25&gt;=INDEX(Compose_C6!$A$13:$A$64,ROWS(Compose_C6!$A$13:$A$64)),INDEX(Compose_C6!$I$13:$I$64,ROWS(Compose_C6!$I$13:$I$64)),INDEX(Compose_C6!$I$13:$I$64,MATCH(C25,Compose_C6!$A$13:$A$64,1))+(C25-INDEX(Compose_C6!$A$13:$A$64,MATCH(C25,Compose_C6!$A$13:$A$64,1)))/(INDEX(Compose_C6!$A$13:$A$64,MATCH(C25,Compose_C6!$A$13:$A$64,1)+1)-INDEX(Compose_C6!$A$13:$A$64,MATCH(C25,Compose_C6!$A$13:$A$64,1)))*(INDEX(Compose_C6!$I$13:$I$64,MATCH(C25,Compose_C6!$A$13:$A$64,1)+1)-INDEX(Compose_C6!$I$13:$I$64,MATCH(C25,Compose_C6!$A$13:$A$64,1)))))</f>
        <v/>
      </c>
      <c r="I25" s="15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6!$G$13:$G$64,1),INDEX(Compose_C6!$A$13:$A$64,1),IF(F25&gt;=INDEX(Compose_C6!$G$13:$G$64,ROWS(Compose_C6!$G$13:$G$64)),INDEX(Compose_C6!$A$13:$A$64,ROWS(Compose_C6!$A$13:$A$64)),INDEX(Compose_C6!$A$13:$A$64,MATCH(F25,Compose_C6!$G$13:$G$64,1))+(F25-INDEX(Compose_C6!$G$13:$G$64,MATCH(F25,Compose_C6!$G$13:$G$64,1)))/(INDEX(Compose_C6!$G$13:$G$64,MATCH(F25,Compose_C6!$G$13:$G$64,1)+1)-INDEX(Compose_C6!$G$13:$G$64,MATCH(F25,Compose_C6!$G$13:$G$64,1)))*(INDEX(Compose_C6!$A$13:$A$64,MATCH(F25,Compose_C6!$G$13:$G$64,1)+1)-INDEX(Compose_C6!$A$13:$A$64,MATCH(F25,Compose_C6!$G$13:$G$64,1)))))</f>
        <v/>
      </c>
      <c r="D26" s="17">
        <f>IF(F25&lt;=0.01,MIN(0.5*(B25+B26),$B$4),IF(C26&lt;=INDEX(Compose_C6!$A$13:$A$64,1),INDEX(Compose_C6!$J$13:$J$64,1),IF(C26&gt;=INDEX(Compose_C6!$A$13:$A$64,ROWS(Compose_C6!$A$13:$A$64)),INDEX(Compose_C6!$J$13:$J$64,ROWS(Compose_C6!$J$13:$J$64)),INDEX(Compose_C6!$J$13:$J$64,MATCH(C26,Compose_C6!$A$13:$A$64,1))+(C26-INDEX(Compose_C6!$A$13:$A$64,MATCH(C26,Compose_C6!$A$13:$A$64,1)))/(INDEX(Compose_C6!$A$13:$A$64,MATCH(C26,Compose_C6!$A$13:$A$64,1)+1)-INDEX(Compose_C6!$A$13:$A$64,MATCH(C26,Compose_C6!$A$13:$A$64,1)))*(INDEX(Compose_C6!$J$13:$J$64,MATCH(C26,Compose_C6!$A$13:$A$64,1)+1)-INDEX(Compose_C6!$J$13:$J$64,MATCH(C26,Compose_C6!$A$13:$A$64,1))))))</f>
        <v/>
      </c>
      <c r="E26" s="16">
        <f>(A26-A25)*60</f>
        <v/>
      </c>
      <c r="F26" s="13">
        <f>MAX(0,F25+(0.5*(B25+B26)-D26)*E26)</f>
        <v/>
      </c>
      <c r="G26" s="17">
        <f>IF(C26&lt;=INDEX(Compose_C6!$A$13:$A$64,1),INDEX(Compose_C6!$H$13:$H$64,1),IF(C26&gt;=INDEX(Compose_C6!$A$13:$A$64,ROWS(Compose_C6!$A$13:$A$64)),INDEX(Compose_C6!$H$13:$H$64,ROWS(Compose_C6!$H$13:$H$64)),INDEX(Compose_C6!$H$13:$H$64,MATCH(C26,Compose_C6!$A$13:$A$64,1))+(C26-INDEX(Compose_C6!$A$13:$A$64,MATCH(C26,Compose_C6!$A$13:$A$64,1)))/(INDEX(Compose_C6!$A$13:$A$64,MATCH(C26,Compose_C6!$A$13:$A$64,1)+1)-INDEX(Compose_C6!$A$13:$A$64,MATCH(C26,Compose_C6!$A$13:$A$64,1)))*(INDEX(Compose_C6!$H$13:$H$64,MATCH(C26,Compose_C6!$A$13:$A$64,1)+1)-INDEX(Compose_C6!$H$13:$H$64,MATCH(C26,Compose_C6!$A$13:$A$64,1)))))</f>
        <v/>
      </c>
      <c r="H26" s="17">
        <f>IF(C26&lt;=INDEX(Compose_C6!$A$13:$A$64,1),INDEX(Compose_C6!$I$13:$I$64,1),IF(C26&gt;=INDEX(Compose_C6!$A$13:$A$64,ROWS(Compose_C6!$A$13:$A$64)),INDEX(Compose_C6!$I$13:$I$64,ROWS(Compose_C6!$I$13:$I$64)),INDEX(Compose_C6!$I$13:$I$64,MATCH(C26,Compose_C6!$A$13:$A$64,1))+(C26-INDEX(Compose_C6!$A$13:$A$64,MATCH(C26,Compose_C6!$A$13:$A$64,1)))/(INDEX(Compose_C6!$A$13:$A$64,MATCH(C26,Compose_C6!$A$13:$A$64,1)+1)-INDEX(Compose_C6!$A$13:$A$64,MATCH(C26,Compose_C6!$A$13:$A$64,1)))*(INDEX(Compose_C6!$I$13:$I$64,MATCH(C26,Compose_C6!$A$13:$A$64,1)+1)-INDEX(Compose_C6!$I$13:$I$64,MATCH(C26,Compose_C6!$A$13:$A$64,1)))))</f>
        <v/>
      </c>
      <c r="I26" s="15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6!$G$13:$G$64,1),INDEX(Compose_C6!$A$13:$A$64,1),IF(F26&gt;=INDEX(Compose_C6!$G$13:$G$64,ROWS(Compose_C6!$G$13:$G$64)),INDEX(Compose_C6!$A$13:$A$64,ROWS(Compose_C6!$A$13:$A$64)),INDEX(Compose_C6!$A$13:$A$64,MATCH(F26,Compose_C6!$G$13:$G$64,1))+(F26-INDEX(Compose_C6!$G$13:$G$64,MATCH(F26,Compose_C6!$G$13:$G$64,1)))/(INDEX(Compose_C6!$G$13:$G$64,MATCH(F26,Compose_C6!$G$13:$G$64,1)+1)-INDEX(Compose_C6!$G$13:$G$64,MATCH(F26,Compose_C6!$G$13:$G$64,1)))*(INDEX(Compose_C6!$A$13:$A$64,MATCH(F26,Compose_C6!$G$13:$G$64,1)+1)-INDEX(Compose_C6!$A$13:$A$64,MATCH(F26,Compose_C6!$G$13:$G$64,1)))))</f>
        <v/>
      </c>
      <c r="D27" s="17">
        <f>IF(F26&lt;=0.01,MIN(0.5*(B26+B27),$B$4),IF(C27&lt;=INDEX(Compose_C6!$A$13:$A$64,1),INDEX(Compose_C6!$J$13:$J$64,1),IF(C27&gt;=INDEX(Compose_C6!$A$13:$A$64,ROWS(Compose_C6!$A$13:$A$64)),INDEX(Compose_C6!$J$13:$J$64,ROWS(Compose_C6!$J$13:$J$64)),INDEX(Compose_C6!$J$13:$J$64,MATCH(C27,Compose_C6!$A$13:$A$64,1))+(C27-INDEX(Compose_C6!$A$13:$A$64,MATCH(C27,Compose_C6!$A$13:$A$64,1)))/(INDEX(Compose_C6!$A$13:$A$64,MATCH(C27,Compose_C6!$A$13:$A$64,1)+1)-INDEX(Compose_C6!$A$13:$A$64,MATCH(C27,Compose_C6!$A$13:$A$64,1)))*(INDEX(Compose_C6!$J$13:$J$64,MATCH(C27,Compose_C6!$A$13:$A$64,1)+1)-INDEX(Compose_C6!$J$13:$J$64,MATCH(C27,Compose_C6!$A$13:$A$64,1))))))</f>
        <v/>
      </c>
      <c r="E27" s="16">
        <f>(A27-A26)*60</f>
        <v/>
      </c>
      <c r="F27" s="13">
        <f>MAX(0,F26+(0.5*(B26+B27)-D27)*E27)</f>
        <v/>
      </c>
      <c r="G27" s="17">
        <f>IF(C27&lt;=INDEX(Compose_C6!$A$13:$A$64,1),INDEX(Compose_C6!$H$13:$H$64,1),IF(C27&gt;=INDEX(Compose_C6!$A$13:$A$64,ROWS(Compose_C6!$A$13:$A$64)),INDEX(Compose_C6!$H$13:$H$64,ROWS(Compose_C6!$H$13:$H$64)),INDEX(Compose_C6!$H$13:$H$64,MATCH(C27,Compose_C6!$A$13:$A$64,1))+(C27-INDEX(Compose_C6!$A$13:$A$64,MATCH(C27,Compose_C6!$A$13:$A$64,1)))/(INDEX(Compose_C6!$A$13:$A$64,MATCH(C27,Compose_C6!$A$13:$A$64,1)+1)-INDEX(Compose_C6!$A$13:$A$64,MATCH(C27,Compose_C6!$A$13:$A$64,1)))*(INDEX(Compose_C6!$H$13:$H$64,MATCH(C27,Compose_C6!$A$13:$A$64,1)+1)-INDEX(Compose_C6!$H$13:$H$64,MATCH(C27,Compose_C6!$A$13:$A$64,1)))))</f>
        <v/>
      </c>
      <c r="H27" s="17">
        <f>IF(C27&lt;=INDEX(Compose_C6!$A$13:$A$64,1),INDEX(Compose_C6!$I$13:$I$64,1),IF(C27&gt;=INDEX(Compose_C6!$A$13:$A$64,ROWS(Compose_C6!$A$13:$A$64)),INDEX(Compose_C6!$I$13:$I$64,ROWS(Compose_C6!$I$13:$I$64)),INDEX(Compose_C6!$I$13:$I$64,MATCH(C27,Compose_C6!$A$13:$A$64,1))+(C27-INDEX(Compose_C6!$A$13:$A$64,MATCH(C27,Compose_C6!$A$13:$A$64,1)))/(INDEX(Compose_C6!$A$13:$A$64,MATCH(C27,Compose_C6!$A$13:$A$64,1)+1)-INDEX(Compose_C6!$A$13:$A$64,MATCH(C27,Compose_C6!$A$13:$A$64,1)))*(INDEX(Compose_C6!$I$13:$I$64,MATCH(C27,Compose_C6!$A$13:$A$64,1)+1)-INDEX(Compose_C6!$I$13:$I$64,MATCH(C27,Compose_C6!$A$13:$A$64,1)))))</f>
        <v/>
      </c>
      <c r="I27" s="15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8" t="inlineStr">
        <is>
          <t>FILE 5 — Methode (formules Excel)</t>
        </is>
      </c>
    </row>
    <row r="3">
      <c r="A3" t="inlineStr">
        <is>
          <t>Idee 5: sensibilite — un parametre (crest), formules live.</t>
        </is>
      </c>
    </row>
    <row r="4">
      <c r="A4" t="inlineStr">
        <is>
          <t>Chaque scenario a Compose_Ci + Calcul_Ci lies a Parametres!B45+i.</t>
        </is>
      </c>
    </row>
    <row r="5">
      <c r="A5" t="inlineStr">
        <is>
          <t>Utile pour choisir une cote de debordement avec le client.</t>
        </is>
      </c>
    </row>
    <row r="6">
      <c r="A6" t="inlineStr">
        <is>
          <t>Pas besoin de relancer Python apres edition des crests jaunes.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2026-09-21T11:03:23Z</dcterms:created>
  <dcterms:modified xsi:type="dcterms:W3CDTF">2026-09-21T11:03:23Z</dcterms:modified>
</cp:coreProperties>
</file>