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0" fontId="0" fillId="0" borderId="1" pivotButton="0" quotePrefix="0" xfId="0"/>
    <xf numFmtId="164" fontId="0" fillId="0" borderId="1" pivotButton="0" quotePrefix="0" xfId="0"/>
    <xf numFmtId="2" fontId="0" fillId="5" borderId="1" pivotButton="0" quotePrefix="0" xfId="0"/>
    <xf numFmtId="166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'Compose_1200'!$J$13:$J$64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'Compose_1200'!$H$13:$H$64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un seul bassin (surfaces = Zone1+Zone2 du leve). Entree = hydrogramme (Ø1500). Sortie = Ø1200. Limite ville WSE = 37.40 m (B27). B25=0 → volume = leve seul (pas de V_ditch). Cellules JAUNES = entrees. Aluminium ondule: augmenter n (ex. 0.024) sur Courbe_QH_1200.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  <c r="C10" t="inlineStr">
        <is>
          <t>beton ~0.013; aluminium ondule typ. 0.022–0.025 (changer aussi Courbe_QH_1200)</t>
        </is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2320</v>
      </c>
      <c r="C24" t="inlineStr">
        <is>
          <t>Raccourci Methode B seulement (H=V/A). Ex. A@37.40≈2320 — PAS un 2e bassin</t>
        </is>
      </c>
    </row>
    <row r="25">
      <c r="A25" t="inlineStr">
        <is>
          <t>Inclure V_ditch trapeze? (1=oui, 0=leve seul)</t>
        </is>
      </c>
      <c r="B25" s="10" t="n">
        <v>0</v>
      </c>
      <c r="C25" t="inlineStr">
        <is>
          <t>0 = recommande si Stage_Storage contient deja le fosse (V=leve seul; Q_overflow garde b,z,L). 1 = ajoute V_ditch = A_trapeze x L (risque double volume).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37.4</v>
      </c>
      <c r="C27" t="inlineStr">
        <is>
          <t>Limite ville = 37.40 m par defaut. 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>
        <f>IF(B25=1,"V=V_pond+V_ditch","V=V_pond (leve seul, B25=0)") — Compose_1200 + Calcul_C</f>
        <v/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(&gt;=40.0 m — etendre leve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(&gt;=40.0 m — etendre leve)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Q_overflow (V via B25)</t>
        </is>
      </c>
    </row>
    <row r="48">
      <c r="A48" t="inlineStr">
        <is>
          <t>Vmax_C (m3) = max(V_total)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Stage_Storage = Z1+Z2 (sans Ø900). Editer jaune; limite ville 37.40 m (B27 / ligne orange).</t>
        </is>
      </c>
    </row>
    <row r="56">
      <c r="A56" t="inlineStr">
        <is>
          <t>• B25=0: V Methode C = leve seul. B25=1: +V_ditch trapeze. Q_overflow toujours actif si WSE&gt;crest.</t>
        </is>
      </c>
    </row>
    <row r="57">
      <c r="A57" t="inlineStr">
        <is>
          <t>• Methode A: 1re estimation. B: FHWA pipe (Aire B24). C: pipe + Q_overflow.</t>
        </is>
      </c>
    </row>
    <row r="58">
      <c r="A58" t="inlineStr">
        <is>
          <t>• Verifier pointe aval (Ø1200 livre plus que l'ancien Ø900).</t>
        </is>
      </c>
    </row>
    <row r="92">
      <c r="A92" s="16" t="inlineStr">
        <is>
          <t>Vitesses de reference — V = Q / A_plein</t>
        </is>
      </c>
    </row>
    <row r="93">
      <c r="A93" t="inlineStr">
        <is>
          <t>Sans Ø900: control = Ø1200. V_eq = Q/A_plein. Partiellement rempli: V reelle = Q/A(h) plus elevee — voir Courbe_QH_1200.</t>
        </is>
      </c>
    </row>
    <row r="94">
      <c r="A94" s="17" t="inlineStr">
        <is>
          <t>Ouvrage</t>
        </is>
      </c>
      <c r="B94" s="17" t="inlineStr">
        <is>
          <t>D (m)</t>
        </is>
      </c>
      <c r="C94" s="17" t="inlineStr">
        <is>
          <t>A_plein (m2)</t>
        </is>
      </c>
      <c r="D94" s="17" t="inlineStr">
        <is>
          <t>Q ref</t>
        </is>
      </c>
      <c r="E94" s="17" t="inlineStr">
        <is>
          <t>V_eq (m/s)</t>
        </is>
      </c>
      <c r="F94" s="17" t="inlineStr">
        <is>
          <t>Note</t>
        </is>
      </c>
    </row>
    <row r="95">
      <c r="A95" s="18" t="inlineStr">
        <is>
          <t>Ø1500 (entree)</t>
        </is>
      </c>
      <c r="B95" s="18" t="n">
        <v>1.5</v>
      </c>
      <c r="C95" s="19">
        <f>PI()*B95^2/4</f>
        <v/>
      </c>
      <c r="D95" s="19">
        <f>Hydrogramme!B4</f>
        <v/>
      </c>
      <c r="E95" s="20">
        <f>IF(C95&lt;=0,0,D95/C95)</f>
        <v/>
      </c>
      <c r="F95" s="18" t="inlineStr">
        <is>
          <t>Qpointe</t>
        </is>
      </c>
    </row>
    <row r="96">
      <c r="A96" s="18" t="inlineStr">
        <is>
          <t>Ø1200 (controle)</t>
        </is>
      </c>
      <c r="B96" s="18">
        <f>B11</f>
        <v/>
      </c>
      <c r="C96" s="19">
        <f>B16</f>
        <v/>
      </c>
      <c r="D96" s="19">
        <f>B18</f>
        <v/>
      </c>
      <c r="E96" s="20">
        <f>IF(C96&lt;=0,0,D96/C96)</f>
        <v/>
      </c>
      <c r="F96" s="18" t="inlineStr">
        <is>
          <t>Q_plein Manning</t>
        </is>
      </c>
    </row>
    <row r="97">
      <c r="A97" t="inlineStr">
        <is>
          <t>V_Ø1200 @ Qout Calcul_A (m/s)</t>
        </is>
      </c>
      <c r="B97" s="14">
        <f>IF(C96&lt;=0,0,Calcul_A!B2/C96)</f>
        <v/>
      </c>
    </row>
  </sheetData>
  <mergeCells count="8">
    <mergeCell ref="A54:F54"/>
    <mergeCell ref="A2:F3"/>
    <mergeCell ref="A93:F93"/>
    <mergeCell ref="A1:F1"/>
    <mergeCell ref="A58:F58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21" t="n">
        <v>0</v>
      </c>
      <c r="B7" s="19" t="n">
        <v>0.081042</v>
      </c>
      <c r="C7" s="19">
        <f>B7*$B$4</f>
        <v/>
      </c>
    </row>
    <row r="8">
      <c r="A8" s="21" t="n">
        <v>5</v>
      </c>
      <c r="B8" s="19" t="n">
        <v>0.121875</v>
      </c>
      <c r="C8" s="19">
        <f>B8*$B$4</f>
        <v/>
      </c>
    </row>
    <row r="9">
      <c r="A9" s="21" t="n">
        <v>10</v>
      </c>
      <c r="B9" s="19" t="n">
        <v>0.193438</v>
      </c>
      <c r="C9" s="19">
        <f>B9*$B$4</f>
        <v/>
      </c>
    </row>
    <row r="10">
      <c r="A10" s="21" t="n">
        <v>15</v>
      </c>
      <c r="B10" s="19" t="n">
        <v>0.333542</v>
      </c>
      <c r="C10" s="19">
        <f>B10*$B$4</f>
        <v/>
      </c>
    </row>
    <row r="11">
      <c r="A11" s="21" t="n">
        <v>20</v>
      </c>
      <c r="B11" s="19" t="n">
        <v>0.657188</v>
      </c>
      <c r="C11" s="19">
        <f>B11*$B$4</f>
        <v/>
      </c>
    </row>
    <row r="12">
      <c r="A12" s="21" t="n">
        <v>22.5</v>
      </c>
      <c r="B12" s="19" t="n">
        <v>1</v>
      </c>
      <c r="C12" s="22">
        <f>B12*$B$4</f>
        <v/>
      </c>
    </row>
    <row r="13">
      <c r="A13" s="21" t="n">
        <v>27.5</v>
      </c>
      <c r="B13" s="19" t="n">
        <v>0.608958</v>
      </c>
      <c r="C13" s="19">
        <f>B13*$B$4</f>
        <v/>
      </c>
    </row>
    <row r="14">
      <c r="A14" s="21" t="n">
        <v>32.5</v>
      </c>
      <c r="B14" s="19" t="n">
        <v>0.401771</v>
      </c>
      <c r="C14" s="19">
        <f>B14*$B$4</f>
        <v/>
      </c>
    </row>
    <row r="15">
      <c r="A15" s="21" t="n">
        <v>37.5</v>
      </c>
      <c r="B15" s="19" t="n">
        <v>0.280104</v>
      </c>
      <c r="C15" s="19">
        <f>B15*$B$4</f>
        <v/>
      </c>
    </row>
    <row r="16">
      <c r="A16" s="21" t="n">
        <v>42.5</v>
      </c>
      <c r="B16" s="19" t="n">
        <v>0.203438</v>
      </c>
      <c r="C16" s="19">
        <f>B16*$B$4</f>
        <v/>
      </c>
    </row>
    <row r="17">
      <c r="A17" s="21" t="n">
        <v>47.5</v>
      </c>
      <c r="B17" s="19" t="n">
        <v>0.152292</v>
      </c>
      <c r="C17" s="19">
        <f>B17*$B$4</f>
        <v/>
      </c>
    </row>
    <row r="18">
      <c r="A18" s="21" t="n">
        <v>52.5</v>
      </c>
      <c r="B18" s="19" t="n">
        <v>0.116771</v>
      </c>
      <c r="C18" s="19">
        <f>B18*$B$4</f>
        <v/>
      </c>
    </row>
    <row r="19">
      <c r="A19" s="21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3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4">
        <f>Parametres!B22</f>
        <v/>
      </c>
    </row>
    <row r="3">
      <c r="A3" t="inlineStr">
        <is>
          <t>Vmax_A (m3)</t>
        </is>
      </c>
      <c r="B3" s="25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  <c r="F7" s="17" t="inlineStr">
        <is>
          <t>V_Ø1200 (m/s)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21" t="n">
        <v>0</v>
      </c>
      <c r="E8" s="26" t="n">
        <v>0</v>
      </c>
      <c r="F8" s="20">
        <f>IF(Parametres!$C$96&lt;=0,0,C8/Parametres!$C$96)</f>
        <v/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21">
        <f>(A9-A8)*60</f>
        <v/>
      </c>
      <c r="E9" s="26">
        <f>MAX(0,E8+(0.5*(B8+B9)-C9)*D9)</f>
        <v/>
      </c>
      <c r="F9" s="20">
        <f>IF(Parametres!$C$96&lt;=0,0,C9/Parametres!$C$96)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21">
        <f>(A10-A9)*60</f>
        <v/>
      </c>
      <c r="E10" s="26">
        <f>MAX(0,E9+(0.5*(B9+B10)-C10)*D10)</f>
        <v/>
      </c>
      <c r="F10" s="20">
        <f>IF(Parametres!$C$96&lt;=0,0,C10/Parametres!$C$96)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21">
        <f>(A11-A10)*60</f>
        <v/>
      </c>
      <c r="E11" s="26">
        <f>MAX(0,E10+(0.5*(B10+B11)-C11)*D11)</f>
        <v/>
      </c>
      <c r="F11" s="20">
        <f>IF(Parametres!$C$96&lt;=0,0,C11/Parametres!$C$96)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21">
        <f>(A12-A11)*60</f>
        <v/>
      </c>
      <c r="E12" s="26">
        <f>MAX(0,E11+(0.5*(B11+B12)-C12)*D12)</f>
        <v/>
      </c>
      <c r="F12" s="20">
        <f>IF(Parametres!$C$96&lt;=0,0,C12/Parametres!$C$96)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21">
        <f>(A13-A12)*60</f>
        <v/>
      </c>
      <c r="E13" s="26">
        <f>MAX(0,E12+(0.5*(B12+B13)-C13)*D13)</f>
        <v/>
      </c>
      <c r="F13" s="20">
        <f>IF(Parametres!$C$96&lt;=0,0,C13/Parametres!$C$96)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21">
        <f>(A14-A13)*60</f>
        <v/>
      </c>
      <c r="E14" s="26">
        <f>MAX(0,E13+(0.5*(B13+B14)-C14)*D14)</f>
        <v/>
      </c>
      <c r="F14" s="20">
        <f>IF(Parametres!$C$96&lt;=0,0,C14/Parametres!$C$96)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21">
        <f>(A15-A14)*60</f>
        <v/>
      </c>
      <c r="E15" s="26">
        <f>MAX(0,E14+(0.5*(B14+B15)-C15)*D15)</f>
        <v/>
      </c>
      <c r="F15" s="20">
        <f>IF(Parametres!$C$96&lt;=0,0,C15/Parametres!$C$96)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21">
        <f>(A16-A15)*60</f>
        <v/>
      </c>
      <c r="E16" s="26">
        <f>MAX(0,E15+(0.5*(B15+B16)-C16)*D16)</f>
        <v/>
      </c>
      <c r="F16" s="20">
        <f>IF(Parametres!$C$96&lt;=0,0,C16/Parametres!$C$96)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21">
        <f>(A17-A16)*60</f>
        <v/>
      </c>
      <c r="E17" s="26">
        <f>MAX(0,E16+(0.5*(B16+B17)-C17)*D17)</f>
        <v/>
      </c>
      <c r="F17" s="20">
        <f>IF(Parametres!$C$96&lt;=0,0,C17/Parametres!$C$96)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21">
        <f>(A18-A17)*60</f>
        <v/>
      </c>
      <c r="E18" s="26">
        <f>MAX(0,E17+(0.5*(B17+B18)-C18)*D18)</f>
        <v/>
      </c>
      <c r="F18" s="20">
        <f>IF(Parametres!$C$96&lt;=0,0,C18/Parametres!$C$96)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21">
        <f>(A19-A18)*60</f>
        <v/>
      </c>
      <c r="E19" s="26">
        <f>MAX(0,E18+(0.5*(B18+B19)-C19)*D19)</f>
        <v/>
      </c>
      <c r="F19" s="20">
        <f>IF(Parametres!$C$96&lt;=0,0,C19/Parametres!$C$96)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21">
        <f>(A20-A19)*60</f>
        <v/>
      </c>
      <c r="E20" s="26">
        <f>MAX(0,E19+(0.5*(B19+B20)-C20)*D20)</f>
        <v/>
      </c>
      <c r="F20" s="20">
        <f>IF(Parametres!$C$96&lt;=0,0,C20/Parametres!$C$96)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7" t="inlineStr">
        <is>
          <t>M</t>
        </is>
      </c>
      <c r="H4" s="27" t="inlineStr">
        <is>
          <t>c</t>
        </is>
      </c>
      <c r="I4" s="27" t="inlineStr">
        <is>
          <t>Y</t>
        </is>
      </c>
      <c r="J4" s="27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18" t="inlineStr">
        <is>
          <t>square_edge</t>
        </is>
      </c>
      <c r="F5" s="18" t="n">
        <v>0.0098</v>
      </c>
      <c r="G5" s="18" t="n">
        <v>2</v>
      </c>
      <c r="H5" s="18" t="n">
        <v>0.0398</v>
      </c>
      <c r="I5" s="18" t="n">
        <v>0.67</v>
      </c>
      <c r="J5" s="18" t="n">
        <v>0.5</v>
      </c>
    </row>
    <row r="6">
      <c r="A6" t="inlineStr">
        <is>
          <t>L (m)</t>
        </is>
      </c>
      <c r="B6">
        <f>Parametres!B12</f>
        <v/>
      </c>
      <c r="E6" s="18" t="inlineStr">
        <is>
          <t>beveled</t>
        </is>
      </c>
      <c r="F6" s="18" t="n">
        <v>0.0018</v>
      </c>
      <c r="G6" s="18" t="n">
        <v>2.5</v>
      </c>
      <c r="H6" s="18" t="n">
        <v>0.03</v>
      </c>
      <c r="I6" s="18" t="n">
        <v>0.74</v>
      </c>
      <c r="J6" s="18" t="n">
        <v>0.2</v>
      </c>
    </row>
    <row r="7">
      <c r="A7" t="inlineStr">
        <is>
          <t>Zin (m)</t>
        </is>
      </c>
      <c r="B7">
        <f>Parametres!B13</f>
        <v/>
      </c>
      <c r="E7" s="18" t="inlineStr">
        <is>
          <t>groove_headwall</t>
        </is>
      </c>
      <c r="F7" s="18" t="n">
        <v>0.0078</v>
      </c>
      <c r="G7" s="18" t="n">
        <v>2</v>
      </c>
      <c r="H7" s="18" t="n">
        <v>0.0292</v>
      </c>
      <c r="I7" s="18" t="n">
        <v>0.74</v>
      </c>
      <c r="J7" s="18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8" t="n">
        <v>0</v>
      </c>
    </row>
    <row r="11">
      <c r="A11" t="inlineStr">
        <is>
          <t>Entree</t>
        </is>
      </c>
      <c r="B11" s="28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  <c r="F19" s="17" t="inlineStr">
        <is>
          <t>A_ecoul (m2)</t>
        </is>
      </c>
      <c r="G19" s="17" t="inlineStr">
        <is>
          <t>V_gouv (m/s)</t>
        </is>
      </c>
    </row>
    <row r="20">
      <c r="A20" s="29" t="n">
        <v>0</v>
      </c>
      <c r="B20" s="29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  <c r="F20" s="19">
        <f>IF(A20&lt;=0,0,IF(A20&lt;$B$5,(($B$5/2)^2/2)*((2*ACOS(1-2*(MIN(0.999,MAX(1E-6,A20/$B$5)))))-SIN(2*ACOS(1-2*(MIN(0.999,MAX(1E-6,A20/$B$5)))))),(PI()*($B$5/2)^2)))</f>
        <v/>
      </c>
      <c r="G20" s="20">
        <f>IF(F20&lt;=0,0,E20/F20)</f>
        <v/>
      </c>
    </row>
    <row r="21">
      <c r="A21" s="29" t="n">
        <v>0.05</v>
      </c>
      <c r="B21" s="29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7)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  <c r="F21" s="19">
        <f>IF(A21&lt;=0,0,IF(A21&lt;$B$5,(($B$5/2)^2/2)*((2*ACOS(1-2*(MIN(0.999,MAX(1E-6,A21/$B$5)))))-SIN(2*ACOS(1-2*(MIN(0.999,MAX(1E-6,A21/$B$5)))))),(PI()*($B$5/2)^2)))</f>
        <v/>
      </c>
      <c r="G21" s="20">
        <f>IF(F21&lt;=0,0,E21/F21)</f>
        <v/>
      </c>
    </row>
    <row r="22">
      <c r="A22" s="29" t="n">
        <v>0.1</v>
      </c>
      <c r="B22" s="29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7)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  <c r="F22" s="19">
        <f>IF(A22&lt;=0,0,IF(A22&lt;$B$5,(($B$5/2)^2/2)*((2*ACOS(1-2*(MIN(0.999,MAX(1E-6,A22/$B$5)))))-SIN(2*ACOS(1-2*(MIN(0.999,MAX(1E-6,A22/$B$5)))))),(PI()*($B$5/2)^2)))</f>
        <v/>
      </c>
      <c r="G22" s="20">
        <f>IF(F22&lt;=0,0,E22/F22)</f>
        <v/>
      </c>
    </row>
    <row r="23">
      <c r="A23" s="29" t="n">
        <v>0.15</v>
      </c>
      <c r="B23" s="29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7)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  <c r="F23" s="19">
        <f>IF(A23&lt;=0,0,IF(A23&lt;$B$5,(($B$5/2)^2/2)*((2*ACOS(1-2*(MIN(0.999,MAX(1E-6,A23/$B$5)))))-SIN(2*ACOS(1-2*(MIN(0.999,MAX(1E-6,A23/$B$5)))))),(PI()*($B$5/2)^2)))</f>
        <v/>
      </c>
      <c r="G23" s="20">
        <f>IF(F23&lt;=0,0,E23/F23)</f>
        <v/>
      </c>
    </row>
    <row r="24">
      <c r="A24" s="29" t="n">
        <v>0.2</v>
      </c>
      <c r="B24" s="29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7)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  <c r="F24" s="19">
        <f>IF(A24&lt;=0,0,IF(A24&lt;$B$5,(($B$5/2)^2/2)*((2*ACOS(1-2*(MIN(0.999,MAX(1E-6,A24/$B$5)))))-SIN(2*ACOS(1-2*(MIN(0.999,MAX(1E-6,A24/$B$5)))))),(PI()*($B$5/2)^2)))</f>
        <v/>
      </c>
      <c r="G24" s="20">
        <f>IF(F24&lt;=0,0,E24/F24)</f>
        <v/>
      </c>
    </row>
    <row r="25">
      <c r="A25" s="29" t="n">
        <v>0.25</v>
      </c>
      <c r="B25" s="29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7)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  <c r="F25" s="19">
        <f>IF(A25&lt;=0,0,IF(A25&lt;$B$5,(($B$5/2)^2/2)*((2*ACOS(1-2*(MIN(0.999,MAX(1E-6,A25/$B$5)))))-SIN(2*ACOS(1-2*(MIN(0.999,MAX(1E-6,A25/$B$5)))))),(PI()*($B$5/2)^2)))</f>
        <v/>
      </c>
      <c r="G25" s="20">
        <f>IF(F25&lt;=0,0,E25/F25)</f>
        <v/>
      </c>
    </row>
    <row r="26">
      <c r="A26" s="29" t="n">
        <v>0.3</v>
      </c>
      <c r="B26" s="29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7)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  <c r="F26" s="19">
        <f>IF(A26&lt;=0,0,IF(A26&lt;$B$5,(($B$5/2)^2/2)*((2*ACOS(1-2*(MIN(0.999,MAX(1E-6,A26/$B$5)))))-SIN(2*ACOS(1-2*(MIN(0.999,MAX(1E-6,A26/$B$5)))))),(PI()*($B$5/2)^2)))</f>
        <v/>
      </c>
      <c r="G26" s="20">
        <f>IF(F26&lt;=0,0,E26/F26)</f>
        <v/>
      </c>
    </row>
    <row r="27">
      <c r="A27" s="29" t="n">
        <v>0.35</v>
      </c>
      <c r="B27" s="29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7)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  <c r="F27" s="19">
        <f>IF(A27&lt;=0,0,IF(A27&lt;$B$5,(($B$5/2)^2/2)*((2*ACOS(1-2*(MIN(0.999,MAX(1E-6,A27/$B$5)))))-SIN(2*ACOS(1-2*(MIN(0.999,MAX(1E-6,A27/$B$5)))))),(PI()*($B$5/2)^2)))</f>
        <v/>
      </c>
      <c r="G27" s="20">
        <f>IF(F27&lt;=0,0,E27/F27)</f>
        <v/>
      </c>
    </row>
    <row r="28">
      <c r="A28" s="29" t="n">
        <v>0.4</v>
      </c>
      <c r="B28" s="29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7)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  <c r="F28" s="19">
        <f>IF(A28&lt;=0,0,IF(A28&lt;$B$5,(($B$5/2)^2/2)*((2*ACOS(1-2*(MIN(0.999,MAX(1E-6,A28/$B$5)))))-SIN(2*ACOS(1-2*(MIN(0.999,MAX(1E-6,A28/$B$5)))))),(PI()*($B$5/2)^2)))</f>
        <v/>
      </c>
      <c r="G28" s="20">
        <f>IF(F28&lt;=0,0,E28/F28)</f>
        <v/>
      </c>
    </row>
    <row r="29">
      <c r="A29" s="29" t="n">
        <v>0.45</v>
      </c>
      <c r="B29" s="29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7)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  <c r="F29" s="19">
        <f>IF(A29&lt;=0,0,IF(A29&lt;$B$5,(($B$5/2)^2/2)*((2*ACOS(1-2*(MIN(0.999,MAX(1E-6,A29/$B$5)))))-SIN(2*ACOS(1-2*(MIN(0.999,MAX(1E-6,A29/$B$5)))))),(PI()*($B$5/2)^2)))</f>
        <v/>
      </c>
      <c r="G29" s="20">
        <f>IF(F29&lt;=0,0,E29/F29)</f>
        <v/>
      </c>
    </row>
    <row r="30">
      <c r="A30" s="29" t="n">
        <v>0.5</v>
      </c>
      <c r="B30" s="29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7)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  <c r="F30" s="19">
        <f>IF(A30&lt;=0,0,IF(A30&lt;$B$5,(($B$5/2)^2/2)*((2*ACOS(1-2*(MIN(0.999,MAX(1E-6,A30/$B$5)))))-SIN(2*ACOS(1-2*(MIN(0.999,MAX(1E-6,A30/$B$5)))))),(PI()*($B$5/2)^2)))</f>
        <v/>
      </c>
      <c r="G30" s="20">
        <f>IF(F30&lt;=0,0,E30/F30)</f>
        <v/>
      </c>
    </row>
    <row r="31">
      <c r="A31" s="29" t="n">
        <v>0.55</v>
      </c>
      <c r="B31" s="29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7)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  <c r="F31" s="19">
        <f>IF(A31&lt;=0,0,IF(A31&lt;$B$5,(($B$5/2)^2/2)*((2*ACOS(1-2*(MIN(0.999,MAX(1E-6,A31/$B$5)))))-SIN(2*ACOS(1-2*(MIN(0.999,MAX(1E-6,A31/$B$5)))))),(PI()*($B$5/2)^2)))</f>
        <v/>
      </c>
      <c r="G31" s="20">
        <f>IF(F31&lt;=0,0,E31/F31)</f>
        <v/>
      </c>
    </row>
    <row r="32">
      <c r="A32" s="29" t="n">
        <v>0.6</v>
      </c>
      <c r="B32" s="29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7)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  <c r="F32" s="19">
        <f>IF(A32&lt;=0,0,IF(A32&lt;$B$5,(($B$5/2)^2/2)*((2*ACOS(1-2*(MIN(0.999,MAX(1E-6,A32/$B$5)))))-SIN(2*ACOS(1-2*(MIN(0.999,MAX(1E-6,A32/$B$5)))))),(PI()*($B$5/2)^2)))</f>
        <v/>
      </c>
      <c r="G32" s="20">
        <f>IF(F32&lt;=0,0,E32/F32)</f>
        <v/>
      </c>
    </row>
    <row r="33">
      <c r="A33" s="29" t="n">
        <v>0.65</v>
      </c>
      <c r="B33" s="29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7)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  <c r="F33" s="19">
        <f>IF(A33&lt;=0,0,IF(A33&lt;$B$5,(($B$5/2)^2/2)*((2*ACOS(1-2*(MIN(0.999,MAX(1E-6,A33/$B$5)))))-SIN(2*ACOS(1-2*(MIN(0.999,MAX(1E-6,A33/$B$5)))))),(PI()*($B$5/2)^2)))</f>
        <v/>
      </c>
      <c r="G33" s="20">
        <f>IF(F33&lt;=0,0,E33/F33)</f>
        <v/>
      </c>
    </row>
    <row r="34">
      <c r="A34" s="29" t="n">
        <v>0.7</v>
      </c>
      <c r="B34" s="29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7)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  <c r="F34" s="19">
        <f>IF(A34&lt;=0,0,IF(A34&lt;$B$5,(($B$5/2)^2/2)*((2*ACOS(1-2*(MIN(0.999,MAX(1E-6,A34/$B$5)))))-SIN(2*ACOS(1-2*(MIN(0.999,MAX(1E-6,A34/$B$5)))))),(PI()*($B$5/2)^2)))</f>
        <v/>
      </c>
      <c r="G34" s="20">
        <f>IF(F34&lt;=0,0,E34/F34)</f>
        <v/>
      </c>
    </row>
    <row r="35">
      <c r="A35" s="29" t="n">
        <v>0.75</v>
      </c>
      <c r="B35" s="29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7)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  <c r="F35" s="19">
        <f>IF(A35&lt;=0,0,IF(A35&lt;$B$5,(($B$5/2)^2/2)*((2*ACOS(1-2*(MIN(0.999,MAX(1E-6,A35/$B$5)))))-SIN(2*ACOS(1-2*(MIN(0.999,MAX(1E-6,A35/$B$5)))))),(PI()*($B$5/2)^2)))</f>
        <v/>
      </c>
      <c r="G35" s="20">
        <f>IF(F35&lt;=0,0,E35/F35)</f>
        <v/>
      </c>
    </row>
    <row r="36">
      <c r="A36" s="29" t="n">
        <v>0.8</v>
      </c>
      <c r="B36" s="29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7)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  <c r="F36" s="19">
        <f>IF(A36&lt;=0,0,IF(A36&lt;$B$5,(($B$5/2)^2/2)*((2*ACOS(1-2*(MIN(0.999,MAX(1E-6,A36/$B$5)))))-SIN(2*ACOS(1-2*(MIN(0.999,MAX(1E-6,A36/$B$5)))))),(PI()*($B$5/2)^2)))</f>
        <v/>
      </c>
      <c r="G36" s="20">
        <f>IF(F36&lt;=0,0,E36/F36)</f>
        <v/>
      </c>
    </row>
    <row r="37">
      <c r="A37" s="29" t="n">
        <v>0.85</v>
      </c>
      <c r="B37" s="29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7)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  <c r="F37" s="19">
        <f>IF(A37&lt;=0,0,IF(A37&lt;$B$5,(($B$5/2)^2/2)*((2*ACOS(1-2*(MIN(0.999,MAX(1E-6,A37/$B$5)))))-SIN(2*ACOS(1-2*(MIN(0.999,MAX(1E-6,A37/$B$5)))))),(PI()*($B$5/2)^2)))</f>
        <v/>
      </c>
      <c r="G37" s="20">
        <f>IF(F37&lt;=0,0,E37/F37)</f>
        <v/>
      </c>
    </row>
    <row r="38">
      <c r="A38" s="29" t="n">
        <v>0.9</v>
      </c>
      <c r="B38" s="29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7)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  <c r="F38" s="19">
        <f>IF(A38&lt;=0,0,IF(A38&lt;$B$5,(($B$5/2)^2/2)*((2*ACOS(1-2*(MIN(0.999,MAX(1E-6,A38/$B$5)))))-SIN(2*ACOS(1-2*(MIN(0.999,MAX(1E-6,A38/$B$5)))))),(PI()*($B$5/2)^2)))</f>
        <v/>
      </c>
      <c r="G38" s="20">
        <f>IF(F38&lt;=0,0,E38/F38)</f>
        <v/>
      </c>
    </row>
    <row r="39">
      <c r="A39" s="29" t="n">
        <v>0.95</v>
      </c>
      <c r="B39" s="29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7)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  <c r="F39" s="19">
        <f>IF(A39&lt;=0,0,IF(A39&lt;$B$5,(($B$5/2)^2/2)*((2*ACOS(1-2*(MIN(0.999,MAX(1E-6,A39/$B$5)))))-SIN(2*ACOS(1-2*(MIN(0.999,MAX(1E-6,A39/$B$5)))))),(PI()*($B$5/2)^2)))</f>
        <v/>
      </c>
      <c r="G39" s="20">
        <f>IF(F39&lt;=0,0,E39/F39)</f>
        <v/>
      </c>
    </row>
    <row r="40">
      <c r="A40" s="29" t="n">
        <v>1</v>
      </c>
      <c r="B40" s="29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7)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  <c r="F40" s="19">
        <f>IF(A40&lt;=0,0,IF(A40&lt;$B$5,(($B$5/2)^2/2)*((2*ACOS(1-2*(MIN(0.999,MAX(1E-6,A40/$B$5)))))-SIN(2*ACOS(1-2*(MIN(0.999,MAX(1E-6,A40/$B$5)))))),(PI()*($B$5/2)^2)))</f>
        <v/>
      </c>
      <c r="G40" s="20">
        <f>IF(F40&lt;=0,0,E40/F40)</f>
        <v/>
      </c>
    </row>
    <row r="41">
      <c r="A41" s="29" t="n">
        <v>1.05</v>
      </c>
      <c r="B41" s="29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7)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  <c r="F41" s="19">
        <f>IF(A41&lt;=0,0,IF(A41&lt;$B$5,(($B$5/2)^2/2)*((2*ACOS(1-2*(MIN(0.999,MAX(1E-6,A41/$B$5)))))-SIN(2*ACOS(1-2*(MIN(0.999,MAX(1E-6,A41/$B$5)))))),(PI()*($B$5/2)^2)))</f>
        <v/>
      </c>
      <c r="G41" s="20">
        <f>IF(F41&lt;=0,0,E41/F41)</f>
        <v/>
      </c>
    </row>
    <row r="42">
      <c r="A42" s="29" t="n">
        <v>1.1</v>
      </c>
      <c r="B42" s="29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7)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  <c r="F42" s="19">
        <f>IF(A42&lt;=0,0,IF(A42&lt;$B$5,(($B$5/2)^2/2)*((2*ACOS(1-2*(MIN(0.999,MAX(1E-6,A42/$B$5)))))-SIN(2*ACOS(1-2*(MIN(0.999,MAX(1E-6,A42/$B$5)))))),(PI()*($B$5/2)^2)))</f>
        <v/>
      </c>
      <c r="G42" s="20">
        <f>IF(F42&lt;=0,0,E42/F42)</f>
        <v/>
      </c>
    </row>
    <row r="43">
      <c r="A43" s="29" t="n">
        <v>1.15</v>
      </c>
      <c r="B43" s="29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7)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  <c r="F43" s="19">
        <f>IF(A43&lt;=0,0,IF(A43&lt;$B$5,(($B$5/2)^2/2)*((2*ACOS(1-2*(MIN(0.999,MAX(1E-6,A43/$B$5)))))-SIN(2*ACOS(1-2*(MIN(0.999,MAX(1E-6,A43/$B$5)))))),(PI()*($B$5/2)^2)))</f>
        <v/>
      </c>
      <c r="G43" s="20">
        <f>IF(F43&lt;=0,0,E43/F43)</f>
        <v/>
      </c>
    </row>
    <row r="44">
      <c r="A44" s="29" t="n">
        <v>1.2</v>
      </c>
      <c r="B44" s="29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7)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  <c r="F44" s="19">
        <f>IF(A44&lt;=0,0,IF(A44&lt;$B$5,(($B$5/2)^2/2)*((2*ACOS(1-2*(MIN(0.999,MAX(1E-6,A44/$B$5)))))-SIN(2*ACOS(1-2*(MIN(0.999,MAX(1E-6,A44/$B$5)))))),(PI()*($B$5/2)^2)))</f>
        <v/>
      </c>
      <c r="G44" s="20">
        <f>IF(F44&lt;=0,0,E44/F44)</f>
        <v/>
      </c>
    </row>
    <row r="45">
      <c r="A45" s="29" t="n">
        <v>1.25</v>
      </c>
      <c r="B45" s="29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7)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  <c r="F45" s="19">
        <f>IF(A45&lt;=0,0,IF(A45&lt;$B$5,(($B$5/2)^2/2)*((2*ACOS(1-2*(MIN(0.999,MAX(1E-6,A45/$B$5)))))-SIN(2*ACOS(1-2*(MIN(0.999,MAX(1E-6,A45/$B$5)))))),(PI()*($B$5/2)^2)))</f>
        <v/>
      </c>
      <c r="G45" s="20">
        <f>IF(F45&lt;=0,0,E45/F45)</f>
        <v/>
      </c>
    </row>
    <row r="46">
      <c r="A46" s="29" t="n">
        <v>1.3</v>
      </c>
      <c r="B46" s="29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7)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  <c r="F46" s="19">
        <f>IF(A46&lt;=0,0,IF(A46&lt;$B$5,(($B$5/2)^2/2)*((2*ACOS(1-2*(MIN(0.999,MAX(1E-6,A46/$B$5)))))-SIN(2*ACOS(1-2*(MIN(0.999,MAX(1E-6,A46/$B$5)))))),(PI()*($B$5/2)^2)))</f>
        <v/>
      </c>
      <c r="G46" s="20">
        <f>IF(F46&lt;=0,0,E46/F46)</f>
        <v/>
      </c>
    </row>
    <row r="47">
      <c r="A47" s="29" t="n">
        <v>1.35</v>
      </c>
      <c r="B47" s="29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7)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  <c r="F47" s="19">
        <f>IF(A47&lt;=0,0,IF(A47&lt;$B$5,(($B$5/2)^2/2)*((2*ACOS(1-2*(MIN(0.999,MAX(1E-6,A47/$B$5)))))-SIN(2*ACOS(1-2*(MIN(0.999,MAX(1E-6,A47/$B$5)))))),(PI()*($B$5/2)^2)))</f>
        <v/>
      </c>
      <c r="G47" s="20">
        <f>IF(F47&lt;=0,0,E47/F47)</f>
        <v/>
      </c>
    </row>
    <row r="48">
      <c r="A48" s="29" t="n">
        <v>1.4</v>
      </c>
      <c r="B48" s="29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7)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  <c r="F48" s="19">
        <f>IF(A48&lt;=0,0,IF(A48&lt;$B$5,(($B$5/2)^2/2)*((2*ACOS(1-2*(MIN(0.999,MAX(1E-6,A48/$B$5)))))-SIN(2*ACOS(1-2*(MIN(0.999,MAX(1E-6,A48/$B$5)))))),(PI()*($B$5/2)^2)))</f>
        <v/>
      </c>
      <c r="G48" s="20">
        <f>IF(F48&lt;=0,0,E48/F48)</f>
        <v/>
      </c>
    </row>
    <row r="49">
      <c r="A49" s="29" t="n">
        <v>1.45</v>
      </c>
      <c r="B49" s="29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7)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  <c r="F49" s="19">
        <f>IF(A49&lt;=0,0,IF(A49&lt;$B$5,(($B$5/2)^2/2)*((2*ACOS(1-2*(MIN(0.999,MAX(1E-6,A49/$B$5)))))-SIN(2*ACOS(1-2*(MIN(0.999,MAX(1E-6,A49/$B$5)))))),(PI()*($B$5/2)^2)))</f>
        <v/>
      </c>
      <c r="G49" s="20">
        <f>IF(F49&lt;=0,0,E49/F49)</f>
        <v/>
      </c>
    </row>
    <row r="50">
      <c r="A50" s="29" t="n">
        <v>1.5</v>
      </c>
      <c r="B50" s="29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7)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  <c r="F50" s="19">
        <f>IF(A50&lt;=0,0,IF(A50&lt;$B$5,(($B$5/2)^2/2)*((2*ACOS(1-2*(MIN(0.999,MAX(1E-6,A50/$B$5)))))-SIN(2*ACOS(1-2*(MIN(0.999,MAX(1E-6,A50/$B$5)))))),(PI()*($B$5/2)^2)))</f>
        <v/>
      </c>
      <c r="G50" s="20">
        <f>IF(F50&lt;=0,0,E50/F50)</f>
        <v/>
      </c>
    </row>
    <row r="51">
      <c r="A51" s="29" t="n">
        <v>1.55</v>
      </c>
      <c r="B51" s="29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7)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  <c r="F51" s="19">
        <f>IF(A51&lt;=0,0,IF(A51&lt;$B$5,(($B$5/2)^2/2)*((2*ACOS(1-2*(MIN(0.999,MAX(1E-6,A51/$B$5)))))-SIN(2*ACOS(1-2*(MIN(0.999,MAX(1E-6,A51/$B$5)))))),(PI()*($B$5/2)^2)))</f>
        <v/>
      </c>
      <c r="G51" s="20">
        <f>IF(F51&lt;=0,0,E51/F51)</f>
        <v/>
      </c>
    </row>
    <row r="52">
      <c r="A52" s="29" t="n">
        <v>1.6</v>
      </c>
      <c r="B52" s="29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7)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  <c r="F52" s="19">
        <f>IF(A52&lt;=0,0,IF(A52&lt;$B$5,(($B$5/2)^2/2)*((2*ACOS(1-2*(MIN(0.999,MAX(1E-6,A52/$B$5)))))-SIN(2*ACOS(1-2*(MIN(0.999,MAX(1E-6,A52/$B$5)))))),(PI()*($B$5/2)^2)))</f>
        <v/>
      </c>
      <c r="G52" s="20">
        <f>IF(F52&lt;=0,0,E52/F52)</f>
        <v/>
      </c>
    </row>
    <row r="53">
      <c r="A53" s="29" t="n">
        <v>1.65</v>
      </c>
      <c r="B53" s="29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7)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  <c r="F53" s="19">
        <f>IF(A53&lt;=0,0,IF(A53&lt;$B$5,(($B$5/2)^2/2)*((2*ACOS(1-2*(MIN(0.999,MAX(1E-6,A53/$B$5)))))-SIN(2*ACOS(1-2*(MIN(0.999,MAX(1E-6,A53/$B$5)))))),(PI()*($B$5/2)^2)))</f>
        <v/>
      </c>
      <c r="G53" s="20">
        <f>IF(F53&lt;=0,0,E53/F53)</f>
        <v/>
      </c>
    </row>
    <row r="54">
      <c r="A54" s="29" t="n">
        <v>1.7</v>
      </c>
      <c r="B54" s="29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7)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  <c r="F54" s="19">
        <f>IF(A54&lt;=0,0,IF(A54&lt;$B$5,(($B$5/2)^2/2)*((2*ACOS(1-2*(MIN(0.999,MAX(1E-6,A54/$B$5)))))-SIN(2*ACOS(1-2*(MIN(0.999,MAX(1E-6,A54/$B$5)))))),(PI()*($B$5/2)^2)))</f>
        <v/>
      </c>
      <c r="G54" s="20">
        <f>IF(F54&lt;=0,0,E54/F54)</f>
        <v/>
      </c>
    </row>
    <row r="55">
      <c r="A55" s="29" t="n">
        <v>1.75</v>
      </c>
      <c r="B55" s="29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7)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  <c r="F55" s="19">
        <f>IF(A55&lt;=0,0,IF(A55&lt;$B$5,(($B$5/2)^2/2)*((2*ACOS(1-2*(MIN(0.999,MAX(1E-6,A55/$B$5)))))-SIN(2*ACOS(1-2*(MIN(0.999,MAX(1E-6,A55/$B$5)))))),(PI()*($B$5/2)^2)))</f>
        <v/>
      </c>
      <c r="G55" s="20">
        <f>IF(F55&lt;=0,0,E55/F55)</f>
        <v/>
      </c>
    </row>
    <row r="56">
      <c r="A56" s="29" t="n">
        <v>1.8</v>
      </c>
      <c r="B56" s="29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7)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  <c r="F56" s="19">
        <f>IF(A56&lt;=0,0,IF(A56&lt;$B$5,(($B$5/2)^2/2)*((2*ACOS(1-2*(MIN(0.999,MAX(1E-6,A56/$B$5)))))-SIN(2*ACOS(1-2*(MIN(0.999,MAX(1E-6,A56/$B$5)))))),(PI()*($B$5/2)^2)))</f>
        <v/>
      </c>
      <c r="G56" s="20">
        <f>IF(F56&lt;=0,0,E56/F56)</f>
        <v/>
      </c>
    </row>
    <row r="57">
      <c r="A57" s="29" t="n">
        <v>1.85</v>
      </c>
      <c r="B57" s="29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7)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  <c r="F57" s="19">
        <f>IF(A57&lt;=0,0,IF(A57&lt;$B$5,(($B$5/2)^2/2)*((2*ACOS(1-2*(MIN(0.999,MAX(1E-6,A57/$B$5)))))-SIN(2*ACOS(1-2*(MIN(0.999,MAX(1E-6,A57/$B$5)))))),(PI()*($B$5/2)^2)))</f>
        <v/>
      </c>
      <c r="G57" s="20">
        <f>IF(F57&lt;=0,0,E57/F57)</f>
        <v/>
      </c>
    </row>
    <row r="58">
      <c r="A58" s="29" t="n">
        <v>1.9</v>
      </c>
      <c r="B58" s="29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7)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  <c r="F58" s="19">
        <f>IF(A58&lt;=0,0,IF(A58&lt;$B$5,(($B$5/2)^2/2)*((2*ACOS(1-2*(MIN(0.999,MAX(1E-6,A58/$B$5)))))-SIN(2*ACOS(1-2*(MIN(0.999,MAX(1E-6,A58/$B$5)))))),(PI()*($B$5/2)^2)))</f>
        <v/>
      </c>
      <c r="G58" s="20">
        <f>IF(F58&lt;=0,0,E58/F58)</f>
        <v/>
      </c>
    </row>
    <row r="59">
      <c r="A59" s="29" t="n">
        <v>1.95</v>
      </c>
      <c r="B59" s="29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7)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  <c r="F59" s="19">
        <f>IF(A59&lt;=0,0,IF(A59&lt;$B$5,(($B$5/2)^2/2)*((2*ACOS(1-2*(MIN(0.999,MAX(1E-6,A59/$B$5)))))-SIN(2*ACOS(1-2*(MIN(0.999,MAX(1E-6,A59/$B$5)))))),(PI()*($B$5/2)^2)))</f>
        <v/>
      </c>
      <c r="G59" s="20">
        <f>IF(F59&lt;=0,0,E59/F59)</f>
        <v/>
      </c>
    </row>
    <row r="60">
      <c r="A60" s="29" t="n">
        <v>2</v>
      </c>
      <c r="B60" s="29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7)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  <c r="F60" s="19">
        <f>IF(A60&lt;=0,0,IF(A60&lt;$B$5,(($B$5/2)^2/2)*((2*ACOS(1-2*(MIN(0.999,MAX(1E-6,A60/$B$5)))))-SIN(2*ACOS(1-2*(MIN(0.999,MAX(1E-6,A60/$B$5)))))),(PI()*($B$5/2)^2)))</f>
        <v/>
      </c>
      <c r="G60" s="20">
        <f>IF(F60&lt;=0,0,E60/F60)</f>
        <v/>
      </c>
    </row>
    <row r="61">
      <c r="A61" s="29" t="n">
        <v>2.05</v>
      </c>
      <c r="B61" s="29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7)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  <c r="F61" s="19">
        <f>IF(A61&lt;=0,0,IF(A61&lt;$B$5,(($B$5/2)^2/2)*((2*ACOS(1-2*(MIN(0.999,MAX(1E-6,A61/$B$5)))))-SIN(2*ACOS(1-2*(MIN(0.999,MAX(1E-6,A61/$B$5)))))),(PI()*($B$5/2)^2)))</f>
        <v/>
      </c>
      <c r="G61" s="20">
        <f>IF(F61&lt;=0,0,E61/F61)</f>
        <v/>
      </c>
    </row>
    <row r="62">
      <c r="A62" s="29" t="n">
        <v>2.1</v>
      </c>
      <c r="B62" s="29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7)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  <c r="F62" s="19">
        <f>IF(A62&lt;=0,0,IF(A62&lt;$B$5,(($B$5/2)^2/2)*((2*ACOS(1-2*(MIN(0.999,MAX(1E-6,A62/$B$5)))))-SIN(2*ACOS(1-2*(MIN(0.999,MAX(1E-6,A62/$B$5)))))),(PI()*($B$5/2)^2)))</f>
        <v/>
      </c>
      <c r="G62" s="20">
        <f>IF(F62&lt;=0,0,E62/F62)</f>
        <v/>
      </c>
    </row>
    <row r="63">
      <c r="A63" s="29" t="n">
        <v>2.15</v>
      </c>
      <c r="B63" s="29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7)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  <c r="F63" s="19">
        <f>IF(A63&lt;=0,0,IF(A63&lt;$B$5,(($B$5/2)^2/2)*((2*ACOS(1-2*(MIN(0.999,MAX(1E-6,A63/$B$5)))))-SIN(2*ACOS(1-2*(MIN(0.999,MAX(1E-6,A63/$B$5)))))),(PI()*($B$5/2)^2)))</f>
        <v/>
      </c>
      <c r="G63" s="20">
        <f>IF(F63&lt;=0,0,E63/F63)</f>
        <v/>
      </c>
    </row>
    <row r="64">
      <c r="A64" s="29" t="n">
        <v>2.2</v>
      </c>
      <c r="B64" s="29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7)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  <c r="F64" s="19">
        <f>IF(A64&lt;=0,0,IF(A64&lt;$B$5,(($B$5/2)^2/2)*((2*ACOS(1-2*(MIN(0.999,MAX(1E-6,A64/$B$5)))))-SIN(2*ACOS(1-2*(MIN(0.999,MAX(1E-6,A64/$B$5)))))),(PI()*($B$5/2)^2)))</f>
        <v/>
      </c>
      <c r="G64" s="20">
        <f>IF(F64&lt;=0,0,E64/F64)</f>
        <v/>
      </c>
    </row>
    <row r="65">
      <c r="A65" s="29" t="n">
        <v>2.25</v>
      </c>
      <c r="B65" s="29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7)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  <c r="F65" s="19">
        <f>IF(A65&lt;=0,0,IF(A65&lt;$B$5,(($B$5/2)^2/2)*((2*ACOS(1-2*(MIN(0.999,MAX(1E-6,A65/$B$5)))))-SIN(2*ACOS(1-2*(MIN(0.999,MAX(1E-6,A65/$B$5)))))),(PI()*($B$5/2)^2)))</f>
        <v/>
      </c>
      <c r="G65" s="20">
        <f>IF(F65&lt;=0,0,E65/F65)</f>
        <v/>
      </c>
    </row>
    <row r="66">
      <c r="A66" s="29" t="n">
        <v>2.3</v>
      </c>
      <c r="B66" s="29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7)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  <c r="F66" s="19">
        <f>IF(A66&lt;=0,0,IF(A66&lt;$B$5,(($B$5/2)^2/2)*((2*ACOS(1-2*(MIN(0.999,MAX(1E-6,A66/$B$5)))))-SIN(2*ACOS(1-2*(MIN(0.999,MAX(1E-6,A66/$B$5)))))),(PI()*($B$5/2)^2)))</f>
        <v/>
      </c>
      <c r="G66" s="20">
        <f>IF(F66&lt;=0,0,E66/F66)</f>
        <v/>
      </c>
    </row>
    <row r="67">
      <c r="A67" s="29" t="n">
        <v>2.35</v>
      </c>
      <c r="B67" s="29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7)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  <c r="F67" s="19">
        <f>IF(A67&lt;=0,0,IF(A67&lt;$B$5,(($B$5/2)^2/2)*((2*ACOS(1-2*(MIN(0.999,MAX(1E-6,A67/$B$5)))))-SIN(2*ACOS(1-2*(MIN(0.999,MAX(1E-6,A67/$B$5)))))),(PI()*($B$5/2)^2)))</f>
        <v/>
      </c>
      <c r="G67" s="20">
        <f>IF(F67&lt;=0,0,E67/F67)</f>
        <v/>
      </c>
    </row>
    <row r="68">
      <c r="A68" s="29" t="n">
        <v>2.4</v>
      </c>
      <c r="B68" s="29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7)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  <c r="F68" s="19">
        <f>IF(A68&lt;=0,0,IF(A68&lt;$B$5,(($B$5/2)^2/2)*((2*ACOS(1-2*(MIN(0.999,MAX(1E-6,A68/$B$5)))))-SIN(2*ACOS(1-2*(MIN(0.999,MAX(1E-6,A68/$B$5)))))),(PI()*($B$5/2)^2)))</f>
        <v/>
      </c>
      <c r="G68" s="20">
        <f>IF(F68&lt;=0,0,E68/F68)</f>
        <v/>
      </c>
    </row>
    <row r="69">
      <c r="A69" s="29" t="n">
        <v>2.45</v>
      </c>
      <c r="B69" s="29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7)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  <c r="F69" s="19">
        <f>IF(A69&lt;=0,0,IF(A69&lt;$B$5,(($B$5/2)^2/2)*((2*ACOS(1-2*(MIN(0.999,MAX(1E-6,A69/$B$5)))))-SIN(2*ACOS(1-2*(MIN(0.999,MAX(1E-6,A69/$B$5)))))),(PI()*($B$5/2)^2)))</f>
        <v/>
      </c>
      <c r="G69" s="20">
        <f>IF(F69&lt;=0,0,E69/F69)</f>
        <v/>
      </c>
    </row>
    <row r="70">
      <c r="A70" s="29" t="n">
        <v>2.5</v>
      </c>
      <c r="B70" s="29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7)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  <c r="F70" s="19">
        <f>IF(A70&lt;=0,0,IF(A70&lt;$B$5,(($B$5/2)^2/2)*((2*ACOS(1-2*(MIN(0.999,MAX(1E-6,A70/$B$5)))))-SIN(2*ACOS(1-2*(MIN(0.999,MAX(1E-6,A70/$B$5)))))),(PI()*($B$5/2)^2)))</f>
        <v/>
      </c>
      <c r="G70" s="20">
        <f>IF(F70&lt;=0,0,E70/F70)</f>
        <v/>
      </c>
    </row>
    <row r="71">
      <c r="A71" s="29" t="n">
        <v>2.55</v>
      </c>
      <c r="B71" s="29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7)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  <c r="F71" s="19">
        <f>IF(A71&lt;=0,0,IF(A71&lt;$B$5,(($B$5/2)^2/2)*((2*ACOS(1-2*(MIN(0.999,MAX(1E-6,A71/$B$5)))))-SIN(2*ACOS(1-2*(MIN(0.999,MAX(1E-6,A71/$B$5)))))),(PI()*($B$5/2)^2)))</f>
        <v/>
      </c>
      <c r="G71" s="20">
        <f>IF(F71&lt;=0,0,E71/F71)</f>
        <v/>
      </c>
    </row>
    <row r="72">
      <c r="A72" s="29" t="n">
        <v>2.6</v>
      </c>
      <c r="B72" s="29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7)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  <c r="F72" s="19">
        <f>IF(A72&lt;=0,0,IF(A72&lt;$B$5,(($B$5/2)^2/2)*((2*ACOS(1-2*(MIN(0.999,MAX(1E-6,A72/$B$5)))))-SIN(2*ACOS(1-2*(MIN(0.999,MAX(1E-6,A72/$B$5)))))),(PI()*($B$5/2)^2)))</f>
        <v/>
      </c>
      <c r="G72" s="20">
        <f>IF(F72&lt;=0,0,E72/F72)</f>
        <v/>
      </c>
    </row>
    <row r="73">
      <c r="A73" s="29" t="n">
        <v>2.65</v>
      </c>
      <c r="B73" s="29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7)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  <c r="F73" s="19">
        <f>IF(A73&lt;=0,0,IF(A73&lt;$B$5,(($B$5/2)^2/2)*((2*ACOS(1-2*(MIN(0.999,MAX(1E-6,A73/$B$5)))))-SIN(2*ACOS(1-2*(MIN(0.999,MAX(1E-6,A73/$B$5)))))),(PI()*($B$5/2)^2)))</f>
        <v/>
      </c>
      <c r="G73" s="20">
        <f>IF(F73&lt;=0,0,E73/F73)</f>
        <v/>
      </c>
    </row>
    <row r="74">
      <c r="A74" s="29" t="n">
        <v>2.7</v>
      </c>
      <c r="B74" s="29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7)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  <c r="F74" s="19">
        <f>IF(A74&lt;=0,0,IF(A74&lt;$B$5,(($B$5/2)^2/2)*((2*ACOS(1-2*(MIN(0.999,MAX(1E-6,A74/$B$5)))))-SIN(2*ACOS(1-2*(MIN(0.999,MAX(1E-6,A74/$B$5)))))),(PI()*($B$5/2)^2)))</f>
        <v/>
      </c>
      <c r="G74" s="20">
        <f>IF(F74&lt;=0,0,E74/F74)</f>
        <v/>
      </c>
    </row>
    <row r="75">
      <c r="A75" s="29" t="n">
        <v>2.75</v>
      </c>
      <c r="B75" s="29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7)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  <c r="F75" s="19">
        <f>IF(A75&lt;=0,0,IF(A75&lt;$B$5,(($B$5/2)^2/2)*((2*ACOS(1-2*(MIN(0.999,MAX(1E-6,A75/$B$5)))))-SIN(2*ACOS(1-2*(MIN(0.999,MAX(1E-6,A75/$B$5)))))),(PI()*($B$5/2)^2)))</f>
        <v/>
      </c>
      <c r="G75" s="20">
        <f>IF(F75&lt;=0,0,E75/F75)</f>
        <v/>
      </c>
    </row>
    <row r="76">
      <c r="A76" s="29" t="n">
        <v>2.8</v>
      </c>
      <c r="B76" s="29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7)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  <c r="F76" s="19">
        <f>IF(A76&lt;=0,0,IF(A76&lt;$B$5,(($B$5/2)^2/2)*((2*ACOS(1-2*(MIN(0.999,MAX(1E-6,A76/$B$5)))))-SIN(2*ACOS(1-2*(MIN(0.999,MAX(1E-6,A76/$B$5)))))),(PI()*($B$5/2)^2)))</f>
        <v/>
      </c>
      <c r="G76" s="20">
        <f>IF(F76&lt;=0,0,E76/F76)</f>
        <v/>
      </c>
    </row>
    <row r="77">
      <c r="A77" s="29" t="n">
        <v>2.85</v>
      </c>
      <c r="B77" s="29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7)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  <c r="F77" s="19">
        <f>IF(A77&lt;=0,0,IF(A77&lt;$B$5,(($B$5/2)^2/2)*((2*ACOS(1-2*(MIN(0.999,MAX(1E-6,A77/$B$5)))))-SIN(2*ACOS(1-2*(MIN(0.999,MAX(1E-6,A77/$B$5)))))),(PI()*($B$5/2)^2)))</f>
        <v/>
      </c>
      <c r="G77" s="20">
        <f>IF(F77&lt;=0,0,E77/F77)</f>
        <v/>
      </c>
    </row>
    <row r="78">
      <c r="A78" s="29" t="n">
        <v>2.9</v>
      </c>
      <c r="B78" s="29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7)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  <c r="F78" s="19">
        <f>IF(A78&lt;=0,0,IF(A78&lt;$B$5,(($B$5/2)^2/2)*((2*ACOS(1-2*(MIN(0.999,MAX(1E-6,A78/$B$5)))))-SIN(2*ACOS(1-2*(MIN(0.999,MAX(1E-6,A78/$B$5)))))),(PI()*($B$5/2)^2)))</f>
        <v/>
      </c>
      <c r="G78" s="20">
        <f>IF(F78&lt;=0,0,E78/F78)</f>
        <v/>
      </c>
    </row>
    <row r="79">
      <c r="A79" s="29" t="n">
        <v>2.95</v>
      </c>
      <c r="B79" s="29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7)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  <c r="F79" s="19">
        <f>IF(A79&lt;=0,0,IF(A79&lt;$B$5,(($B$5/2)^2/2)*((2*ACOS(1-2*(MIN(0.999,MAX(1E-6,A79/$B$5)))))-SIN(2*ACOS(1-2*(MIN(0.999,MAX(1E-6,A79/$B$5)))))),(PI()*($B$5/2)^2)))</f>
        <v/>
      </c>
      <c r="G79" s="20">
        <f>IF(F79&lt;=0,0,E79/F79)</f>
        <v/>
      </c>
    </row>
    <row r="80">
      <c r="A80" s="29" t="n">
        <v>3</v>
      </c>
      <c r="B80" s="29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7)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  <c r="F80" s="19">
        <f>IF(A80&lt;=0,0,IF(A80&lt;$B$5,(($B$5/2)^2/2)*((2*ACOS(1-2*(MIN(0.999,MAX(1E-6,A80/$B$5)))))-SIN(2*ACOS(1-2*(MIN(0.999,MAX(1E-6,A80/$B$5)))))),(PI()*($B$5/2)^2)))</f>
        <v/>
      </c>
      <c r="G80" s="20">
        <f>IF(F80&lt;=0,0,E80/F80)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30">
        <f>Parametres!B24</f>
        <v/>
      </c>
    </row>
    <row r="5">
      <c r="A5" t="inlineStr">
        <is>
          <t>Q_plein ref</t>
        </is>
      </c>
      <c r="B5" s="30">
        <f>Parametres!B22</f>
        <v/>
      </c>
    </row>
    <row r="7">
      <c r="A7" t="inlineStr">
        <is>
          <t>Vmax_B (m3)</t>
        </is>
      </c>
      <c r="B7" s="25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  <c r="H9" s="17" t="inlineStr">
        <is>
          <t>V_Ø1200 (m/s)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21" t="n">
        <v>0</v>
      </c>
      <c r="G10" s="26" t="n">
        <v>0</v>
      </c>
      <c r="H10" s="20">
        <f>IF(Parametres!$C$96&lt;=0,0,E10/Parametres!$C$96)</f>
        <v/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21">
        <f>(A11-A10)*60</f>
        <v/>
      </c>
      <c r="G11" s="26">
        <f>MAX(0,G10+(0.5*(B10+B11)-E11)*F11)</f>
        <v/>
      </c>
      <c r="H11" s="20">
        <f>IF(Parametres!$C$96&lt;=0,0,E11/Parametres!$C$96)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21">
        <f>(A12-A11)*60</f>
        <v/>
      </c>
      <c r="G12" s="26">
        <f>MAX(0,G11+(0.5*(B11+B12)-E12)*F12)</f>
        <v/>
      </c>
      <c r="H12" s="20">
        <f>IF(Parametres!$C$96&lt;=0,0,E12/Parametres!$C$96)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21">
        <f>(A13-A12)*60</f>
        <v/>
      </c>
      <c r="G13" s="26">
        <f>MAX(0,G12+(0.5*(B12+B13)-E13)*F13)</f>
        <v/>
      </c>
      <c r="H13" s="20">
        <f>IF(Parametres!$C$96&lt;=0,0,E13/Parametres!$C$96)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21">
        <f>(A14-A13)*60</f>
        <v/>
      </c>
      <c r="G14" s="26">
        <f>MAX(0,G13+(0.5*(B13+B14)-E14)*F14)</f>
        <v/>
      </c>
      <c r="H14" s="20">
        <f>IF(Parametres!$C$96&lt;=0,0,E14/Parametres!$C$96)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21">
        <f>(A15-A14)*60</f>
        <v/>
      </c>
      <c r="G15" s="26">
        <f>MAX(0,G14+(0.5*(B14+B15)-E15)*F15)</f>
        <v/>
      </c>
      <c r="H15" s="20">
        <f>IF(Parametres!$C$96&lt;=0,0,E15/Parametres!$C$96)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21">
        <f>(A16-A15)*60</f>
        <v/>
      </c>
      <c r="G16" s="26">
        <f>MAX(0,G15+(0.5*(B15+B16)-E16)*F16)</f>
        <v/>
      </c>
      <c r="H16" s="20">
        <f>IF(Parametres!$C$96&lt;=0,0,E16/Parametres!$C$96)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21">
        <f>(A17-A16)*60</f>
        <v/>
      </c>
      <c r="G17" s="26">
        <f>MAX(0,G16+(0.5*(B16+B17)-E17)*F17)</f>
        <v/>
      </c>
      <c r="H17" s="20">
        <f>IF(Parametres!$C$96&lt;=0,0,E17/Parametres!$C$96)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21">
        <f>(A18-A17)*60</f>
        <v/>
      </c>
      <c r="G18" s="26">
        <f>MAX(0,G17+(0.5*(B17+B18)-E18)*F18)</f>
        <v/>
      </c>
      <c r="H18" s="20">
        <f>IF(Parametres!$C$96&lt;=0,0,E18/Parametres!$C$96)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21">
        <f>(A19-A18)*60</f>
        <v/>
      </c>
      <c r="G19" s="26">
        <f>MAX(0,G18+(0.5*(B18+B19)-E19)*F19)</f>
        <v/>
      </c>
      <c r="H19" s="20">
        <f>IF(Parametres!$C$96&lt;=0,0,E19/Parametres!$C$96)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21">
        <f>(A20-A19)*60</f>
        <v/>
      </c>
      <c r="G20" s="26">
        <f>MAX(0,G19+(0.5*(B19+B20)-E20)*F20)</f>
        <v/>
      </c>
      <c r="H20" s="20">
        <f>IF(Parametres!$C$96&lt;=0,0,E20/Parametres!$C$96)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21">
        <f>(A21-A20)*60</f>
        <v/>
      </c>
      <c r="G21" s="26">
        <f>MAX(0,G20+(0.5*(B20+B21)-E21)*F21)</f>
        <v/>
      </c>
      <c r="H21" s="20">
        <f>IF(Parametres!$C$96&lt;=0,0,E21/Parametres!$C$96)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21">
        <f>(A22-A21)*60</f>
        <v/>
      </c>
      <c r="G22" s="26">
        <f>MAX(0,G21+(0.5*(B21+B22)-E22)*F22)</f>
        <v/>
      </c>
      <c r="H22" s="20">
        <f>IF(Parametres!$C$96&lt;=0,0,E22/Parametres!$C$96)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COMBINE (Zone1+Zone2) — bassin SANS Ø900 — editer jaune</t>
        </is>
      </c>
    </row>
    <row r="2">
      <c r="A2" s="31" t="inlineStr">
        <is>
          <t>V_pas = 0.5*(A_bas+A_haut)*dWSE. Aires = somme Z1+Z2 du leve deux zones (scenario sans ponceau Ø900 intermediaire). Jaune = WSE et Surface editables (AutoCAD). Orange = 37.40 m limite ville. Ancien seuil etude 37.28 reste dans la table.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9" t="n">
        <v>34.88</v>
      </c>
      <c r="B11" s="10" t="n">
        <v>0</v>
      </c>
      <c r="C11" s="18" t="n">
        <v>0</v>
      </c>
      <c r="D11" s="18" t="n">
        <v>0</v>
      </c>
      <c r="E11" s="18" t="n">
        <v>0</v>
      </c>
      <c r="F11" s="18" t="inlineStr">
        <is>
          <t>Fond bassin</t>
        </is>
      </c>
    </row>
    <row r="12">
      <c r="A12" s="29" t="n">
        <v>35.5</v>
      </c>
      <c r="B12" s="10" t="n">
        <v>116</v>
      </c>
      <c r="C12" s="29">
        <f>A12-A11</f>
        <v/>
      </c>
      <c r="D12" s="21">
        <f>0.5*(B11+B12)*C12</f>
        <v/>
      </c>
      <c r="E12" s="26">
        <f>E11+D12</f>
        <v/>
      </c>
      <c r="F12" s="18" t="inlineStr">
        <is>
          <t>Levé Z1+Z2 — éditer si AutoCAD diffère</t>
        </is>
      </c>
    </row>
    <row r="13">
      <c r="A13" s="29" t="n">
        <v>36.01</v>
      </c>
      <c r="B13" s="10" t="n">
        <v>429</v>
      </c>
      <c r="C13" s="29">
        <f>A13-A12</f>
        <v/>
      </c>
      <c r="D13" s="21">
        <f>0.5*(B12+B13)*C13</f>
        <v/>
      </c>
      <c r="E13" s="26">
        <f>E12+D13</f>
        <v/>
      </c>
      <c r="F13" s="18" t="inlineStr">
        <is>
          <t>Levé Z1+Z2</t>
        </is>
      </c>
    </row>
    <row r="14">
      <c r="A14" s="29" t="n">
        <v>36.5</v>
      </c>
      <c r="B14" s="10" t="n">
        <v>530</v>
      </c>
      <c r="C14" s="29">
        <f>A14-A13</f>
        <v/>
      </c>
      <c r="D14" s="21">
        <f>0.5*(B13+B14)*C14</f>
        <v/>
      </c>
      <c r="E14" s="26">
        <f>E13+D14</f>
        <v/>
      </c>
      <c r="F14" s="18" t="inlineStr">
        <is>
          <t>Levé Z1+Z2</t>
        </is>
      </c>
    </row>
    <row r="15">
      <c r="A15" s="29" t="n">
        <v>37</v>
      </c>
      <c r="B15" s="10" t="n">
        <v>740</v>
      </c>
      <c r="C15" s="29">
        <f>A15-A14</f>
        <v/>
      </c>
      <c r="D15" s="21">
        <f>0.5*(B14+B15)*C15</f>
        <v/>
      </c>
      <c r="E15" s="26">
        <f>E14+D15</f>
        <v/>
      </c>
      <c r="F15" s="18" t="inlineStr">
        <is>
          <t>Levé Z1+Z2</t>
        </is>
      </c>
    </row>
    <row r="16">
      <c r="A16" s="32" t="n">
        <v>37.28</v>
      </c>
      <c r="B16" s="10" t="n">
        <v>2200</v>
      </c>
      <c r="C16" s="32">
        <f>A16-A15</f>
        <v/>
      </c>
      <c r="D16" s="33">
        <f>0.5*(B15+B16)*C16</f>
        <v/>
      </c>
      <c r="E16" s="33">
        <f>E15+D16</f>
        <v/>
      </c>
      <c r="F16" s="34" t="inlineStr">
        <is>
          <t>Ancien seuil étude (+1.5 m) — référence</t>
        </is>
      </c>
    </row>
    <row r="17">
      <c r="A17" s="32" t="n">
        <v>37.4</v>
      </c>
      <c r="B17" s="10" t="n">
        <v>2320</v>
      </c>
      <c r="C17" s="32">
        <f>A17-A16</f>
        <v/>
      </c>
      <c r="D17" s="33">
        <f>0.5*(B16+B17)*C17</f>
        <v/>
      </c>
      <c r="E17" s="33">
        <f>E16+D17</f>
        <v/>
      </c>
      <c r="F17" s="34" t="inlineStr">
        <is>
          <t>LIMITE VILLE (WSE max + freeboard 0.6 m)</t>
        </is>
      </c>
    </row>
    <row r="18">
      <c r="A18" s="29" t="n">
        <v>40</v>
      </c>
      <c r="B18" s="10" t="n">
        <v>3732</v>
      </c>
      <c r="C18" s="29">
        <f>A18-A17</f>
        <v/>
      </c>
      <c r="D18" s="21">
        <f>0.5*(B17+B18)*C18</f>
        <v/>
      </c>
      <c r="E18" s="26">
        <f>E17+D18</f>
        <v/>
      </c>
      <c r="F18" s="18" t="inlineStr">
        <is>
          <t>Sommet table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 (ancien seuil)</t>
        </is>
      </c>
      <c r="B23" s="35">
        <f>E16</f>
        <v/>
      </c>
    </row>
    <row r="24">
      <c r="A24" t="inlineStr">
        <is>
          <t>V @ 37.40 m (limite ville)</t>
        </is>
      </c>
      <c r="B24" s="25">
        <f>E17</f>
        <v/>
      </c>
      <c r="C24" t="inlineStr">
        <is>
          <t>Comparer a Vmax Methode C</t>
        </is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 = V_pond (+ V_ditch si B25=1)</t>
        </is>
      </c>
    </row>
    <row r="2">
      <c r="A2" t="inlineStr">
        <is>
          <t>Lie a Parametres B25–B32. Q_overflow si WSE&gt;=crest. B25=0 → V_ditch=0 (leve seul).</t>
        </is>
      </c>
    </row>
    <row r="4">
      <c r="A4" t="inlineStr">
        <is>
          <t>Crest</t>
        </is>
      </c>
      <c r="B4" s="28">
        <f>Parametres!B27</f>
        <v/>
      </c>
    </row>
    <row r="5">
      <c r="A5" t="inlineStr">
        <is>
          <t>b</t>
        </is>
      </c>
      <c r="B5" s="28">
        <f>Parametres!B28</f>
        <v/>
      </c>
    </row>
    <row r="6">
      <c r="A6" t="inlineStr">
        <is>
          <t>n</t>
        </is>
      </c>
      <c r="B6" s="28">
        <f>Parametres!B29</f>
        <v/>
      </c>
    </row>
    <row r="7">
      <c r="A7" t="inlineStr">
        <is>
          <t>z</t>
        </is>
      </c>
      <c r="B7" s="28">
        <f>Parametres!B30</f>
        <v/>
      </c>
    </row>
    <row r="8">
      <c r="A8" t="inlineStr">
        <is>
          <t>S</t>
        </is>
      </c>
      <c r="B8" s="28">
        <f>Parametres!B31</f>
        <v/>
      </c>
    </row>
    <row r="9">
      <c r="A9" t="inlineStr">
        <is>
          <t>L</t>
        </is>
      </c>
      <c r="B9" s="28">
        <f>Parametres!B32</f>
        <v/>
      </c>
    </row>
    <row r="10">
      <c r="A10" t="inlineStr">
        <is>
          <t>Zin</t>
        </is>
      </c>
      <c r="B10" s="28">
        <f>Parametres!B13</f>
        <v/>
      </c>
    </row>
    <row r="11">
      <c r="A11" t="inlineStr">
        <is>
          <t>Inclure V_ditch</t>
        </is>
      </c>
      <c r="B11" s="28">
        <f>Parametres!B25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  <c r="K12" s="17" t="inlineStr">
        <is>
          <t>V_Ø1200 (m/s)</t>
        </is>
      </c>
      <c r="L12" s="17" t="inlineStr">
        <is>
          <t>V_overflow (m/s)</t>
        </is>
      </c>
    </row>
    <row r="13">
      <c r="A13" s="29" t="n">
        <v>34.88</v>
      </c>
      <c r="B13" s="29">
        <f>A13-$B$10</f>
        <v/>
      </c>
      <c r="C13" s="29">
        <f>MAX(0,A13-$B$4)</f>
        <v/>
      </c>
      <c r="D13" s="19">
        <f>IF(C13&lt;=0,0,($B$5+$B$7*C13)*C13)</f>
        <v/>
      </c>
      <c r="E13" s="21">
        <f>IF($B$11=1,D13*$B$9,0)</f>
        <v/>
      </c>
      <c r="F13" s="21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6">
        <f>F13+E13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  <c r="K13" s="20">
        <f>IF(Parametres!$C$96&lt;=0,0,H13/Parametres!$C$96)</f>
        <v/>
      </c>
      <c r="L13" s="20">
        <f>IF(D13&lt;=0,0,I13/D13)</f>
        <v/>
      </c>
    </row>
    <row r="14">
      <c r="A14" s="29" t="n">
        <v>34.98</v>
      </c>
      <c r="B14" s="29">
        <f>A14-$B$10</f>
        <v/>
      </c>
      <c r="C14" s="29">
        <f>MAX(0,A14-$B$4)</f>
        <v/>
      </c>
      <c r="D14" s="19">
        <f>IF(C14&lt;=0,0,($B$5+$B$7*C14)*C14)</f>
        <v/>
      </c>
      <c r="E14" s="21">
        <f>IF($B$11=1,D14*$B$9,0)</f>
        <v/>
      </c>
      <c r="F14" s="21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6">
        <f>F14+E14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  <c r="K14" s="20">
        <f>IF(Parametres!$C$96&lt;=0,0,H14/Parametres!$C$96)</f>
        <v/>
      </c>
      <c r="L14" s="20">
        <f>IF(D14&lt;=0,0,I14/D14)</f>
        <v/>
      </c>
    </row>
    <row r="15">
      <c r="A15" s="29" t="n">
        <v>35.08</v>
      </c>
      <c r="B15" s="29">
        <f>A15-$B$10</f>
        <v/>
      </c>
      <c r="C15" s="29">
        <f>MAX(0,A15-$B$4)</f>
        <v/>
      </c>
      <c r="D15" s="19">
        <f>IF(C15&lt;=0,0,($B$5+$B$7*C15)*C15)</f>
        <v/>
      </c>
      <c r="E15" s="21">
        <f>IF($B$11=1,D15*$B$9,0)</f>
        <v/>
      </c>
      <c r="F15" s="21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6">
        <f>F15+E15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  <c r="K15" s="20">
        <f>IF(Parametres!$C$96&lt;=0,0,H15/Parametres!$C$96)</f>
        <v/>
      </c>
      <c r="L15" s="20">
        <f>IF(D15&lt;=0,0,I15/D15)</f>
        <v/>
      </c>
    </row>
    <row r="16">
      <c r="A16" s="29" t="n">
        <v>35.18</v>
      </c>
      <c r="B16" s="29">
        <f>A16-$B$10</f>
        <v/>
      </c>
      <c r="C16" s="29">
        <f>MAX(0,A16-$B$4)</f>
        <v/>
      </c>
      <c r="D16" s="19">
        <f>IF(C16&lt;=0,0,($B$5+$B$7*C16)*C16)</f>
        <v/>
      </c>
      <c r="E16" s="21">
        <f>IF($B$11=1,D16*$B$9,0)</f>
        <v/>
      </c>
      <c r="F16" s="21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6">
        <f>F16+E16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  <c r="K16" s="20">
        <f>IF(Parametres!$C$96&lt;=0,0,H16/Parametres!$C$96)</f>
        <v/>
      </c>
      <c r="L16" s="20">
        <f>IF(D16&lt;=0,0,I16/D16)</f>
        <v/>
      </c>
    </row>
    <row r="17">
      <c r="A17" s="29" t="n">
        <v>35.28</v>
      </c>
      <c r="B17" s="29">
        <f>A17-$B$10</f>
        <v/>
      </c>
      <c r="C17" s="29">
        <f>MAX(0,A17-$B$4)</f>
        <v/>
      </c>
      <c r="D17" s="19">
        <f>IF(C17&lt;=0,0,($B$5+$B$7*C17)*C17)</f>
        <v/>
      </c>
      <c r="E17" s="21">
        <f>IF($B$11=1,D17*$B$9,0)</f>
        <v/>
      </c>
      <c r="F17" s="21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6">
        <f>F17+E17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  <c r="K17" s="20">
        <f>IF(Parametres!$C$96&lt;=0,0,H17/Parametres!$C$96)</f>
        <v/>
      </c>
      <c r="L17" s="20">
        <f>IF(D17&lt;=0,0,I17/D17)</f>
        <v/>
      </c>
    </row>
    <row r="18">
      <c r="A18" s="29" t="n">
        <v>35.38</v>
      </c>
      <c r="B18" s="29">
        <f>A18-$B$10</f>
        <v/>
      </c>
      <c r="C18" s="29">
        <f>MAX(0,A18-$B$4)</f>
        <v/>
      </c>
      <c r="D18" s="19">
        <f>IF(C18&lt;=0,0,($B$5+$B$7*C18)*C18)</f>
        <v/>
      </c>
      <c r="E18" s="21">
        <f>IF($B$11=1,D18*$B$9,0)</f>
        <v/>
      </c>
      <c r="F18" s="21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6">
        <f>F18+E18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  <c r="K18" s="20">
        <f>IF(Parametres!$C$96&lt;=0,0,H18/Parametres!$C$96)</f>
        <v/>
      </c>
      <c r="L18" s="20">
        <f>IF(D18&lt;=0,0,I18/D18)</f>
        <v/>
      </c>
    </row>
    <row r="19">
      <c r="A19" s="29" t="n">
        <v>35.48</v>
      </c>
      <c r="B19" s="29">
        <f>A19-$B$10</f>
        <v/>
      </c>
      <c r="C19" s="29">
        <f>MAX(0,A19-$B$4)</f>
        <v/>
      </c>
      <c r="D19" s="19">
        <f>IF(C19&lt;=0,0,($B$5+$B$7*C19)*C19)</f>
        <v/>
      </c>
      <c r="E19" s="21">
        <f>IF($B$11=1,D19*$B$9,0)</f>
        <v/>
      </c>
      <c r="F19" s="21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6">
        <f>F19+E19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  <c r="K19" s="20">
        <f>IF(Parametres!$C$96&lt;=0,0,H19/Parametres!$C$96)</f>
        <v/>
      </c>
      <c r="L19" s="20">
        <f>IF(D19&lt;=0,0,I19/D19)</f>
        <v/>
      </c>
    </row>
    <row r="20">
      <c r="A20" s="29" t="n">
        <v>35.58</v>
      </c>
      <c r="B20" s="29">
        <f>A20-$B$10</f>
        <v/>
      </c>
      <c r="C20" s="29">
        <f>MAX(0,A20-$B$4)</f>
        <v/>
      </c>
      <c r="D20" s="19">
        <f>IF(C20&lt;=0,0,($B$5+$B$7*C20)*C20)</f>
        <v/>
      </c>
      <c r="E20" s="21">
        <f>IF($B$11=1,D20*$B$9,0)</f>
        <v/>
      </c>
      <c r="F20" s="21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6">
        <f>F20+E20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  <c r="K20" s="20">
        <f>IF(Parametres!$C$96&lt;=0,0,H20/Parametres!$C$96)</f>
        <v/>
      </c>
      <c r="L20" s="20">
        <f>IF(D20&lt;=0,0,I20/D20)</f>
        <v/>
      </c>
    </row>
    <row r="21">
      <c r="A21" s="29" t="n">
        <v>35.68</v>
      </c>
      <c r="B21" s="29">
        <f>A21-$B$10</f>
        <v/>
      </c>
      <c r="C21" s="29">
        <f>MAX(0,A21-$B$4)</f>
        <v/>
      </c>
      <c r="D21" s="19">
        <f>IF(C21&lt;=0,0,($B$5+$B$7*C21)*C21)</f>
        <v/>
      </c>
      <c r="E21" s="21">
        <f>IF($B$11=1,D21*$B$9,0)</f>
        <v/>
      </c>
      <c r="F21" s="21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6">
        <f>F21+E21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  <c r="K21" s="20">
        <f>IF(Parametres!$C$96&lt;=0,0,H21/Parametres!$C$96)</f>
        <v/>
      </c>
      <c r="L21" s="20">
        <f>IF(D21&lt;=0,0,I21/D21)</f>
        <v/>
      </c>
    </row>
    <row r="22">
      <c r="A22" s="29" t="n">
        <v>35.78</v>
      </c>
      <c r="B22" s="29">
        <f>A22-$B$10</f>
        <v/>
      </c>
      <c r="C22" s="29">
        <f>MAX(0,A22-$B$4)</f>
        <v/>
      </c>
      <c r="D22" s="19">
        <f>IF(C22&lt;=0,0,($B$5+$B$7*C22)*C22)</f>
        <v/>
      </c>
      <c r="E22" s="21">
        <f>IF($B$11=1,D22*$B$9,0)</f>
        <v/>
      </c>
      <c r="F22" s="21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6">
        <f>F22+E22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  <c r="K22" s="20">
        <f>IF(Parametres!$C$96&lt;=0,0,H22/Parametres!$C$96)</f>
        <v/>
      </c>
      <c r="L22" s="20">
        <f>IF(D22&lt;=0,0,I22/D22)</f>
        <v/>
      </c>
    </row>
    <row r="23">
      <c r="A23" s="29" t="n">
        <v>35.88</v>
      </c>
      <c r="B23" s="29">
        <f>A23-$B$10</f>
        <v/>
      </c>
      <c r="C23" s="29">
        <f>MAX(0,A23-$B$4)</f>
        <v/>
      </c>
      <c r="D23" s="19">
        <f>IF(C23&lt;=0,0,($B$5+$B$7*C23)*C23)</f>
        <v/>
      </c>
      <c r="E23" s="21">
        <f>IF($B$11=1,D23*$B$9,0)</f>
        <v/>
      </c>
      <c r="F23" s="21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6">
        <f>F23+E23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  <c r="K23" s="20">
        <f>IF(Parametres!$C$96&lt;=0,0,H23/Parametres!$C$96)</f>
        <v/>
      </c>
      <c r="L23" s="20">
        <f>IF(D23&lt;=0,0,I23/D23)</f>
        <v/>
      </c>
    </row>
    <row r="24">
      <c r="A24" s="29" t="n">
        <v>35.98</v>
      </c>
      <c r="B24" s="29">
        <f>A24-$B$10</f>
        <v/>
      </c>
      <c r="C24" s="29">
        <f>MAX(0,A24-$B$4)</f>
        <v/>
      </c>
      <c r="D24" s="19">
        <f>IF(C24&lt;=0,0,($B$5+$B$7*C24)*C24)</f>
        <v/>
      </c>
      <c r="E24" s="21">
        <f>IF($B$11=1,D24*$B$9,0)</f>
        <v/>
      </c>
      <c r="F24" s="21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6">
        <f>F24+E24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  <c r="K24" s="20">
        <f>IF(Parametres!$C$96&lt;=0,0,H24/Parametres!$C$96)</f>
        <v/>
      </c>
      <c r="L24" s="20">
        <f>IF(D24&lt;=0,0,I24/D24)</f>
        <v/>
      </c>
    </row>
    <row r="25">
      <c r="A25" s="29" t="n">
        <v>36.08</v>
      </c>
      <c r="B25" s="29">
        <f>A25-$B$10</f>
        <v/>
      </c>
      <c r="C25" s="29">
        <f>MAX(0,A25-$B$4)</f>
        <v/>
      </c>
      <c r="D25" s="19">
        <f>IF(C25&lt;=0,0,($B$5+$B$7*C25)*C25)</f>
        <v/>
      </c>
      <c r="E25" s="21">
        <f>IF($B$11=1,D25*$B$9,0)</f>
        <v/>
      </c>
      <c r="F25" s="21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6">
        <f>F25+E25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  <c r="K25" s="20">
        <f>IF(Parametres!$C$96&lt;=0,0,H25/Parametres!$C$96)</f>
        <v/>
      </c>
      <c r="L25" s="20">
        <f>IF(D25&lt;=0,0,I25/D25)</f>
        <v/>
      </c>
    </row>
    <row r="26">
      <c r="A26" s="29" t="n">
        <v>36.18</v>
      </c>
      <c r="B26" s="29">
        <f>A26-$B$10</f>
        <v/>
      </c>
      <c r="C26" s="29">
        <f>MAX(0,A26-$B$4)</f>
        <v/>
      </c>
      <c r="D26" s="19">
        <f>IF(C26&lt;=0,0,($B$5+$B$7*C26)*C26)</f>
        <v/>
      </c>
      <c r="E26" s="21">
        <f>IF($B$11=1,D26*$B$9,0)</f>
        <v/>
      </c>
      <c r="F26" s="21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6">
        <f>F26+E26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  <c r="K26" s="20">
        <f>IF(Parametres!$C$96&lt;=0,0,H26/Parametres!$C$96)</f>
        <v/>
      </c>
      <c r="L26" s="20">
        <f>IF(D26&lt;=0,0,I26/D26)</f>
        <v/>
      </c>
    </row>
    <row r="27">
      <c r="A27" s="29" t="n">
        <v>36.28</v>
      </c>
      <c r="B27" s="29">
        <f>A27-$B$10</f>
        <v/>
      </c>
      <c r="C27" s="29">
        <f>MAX(0,A27-$B$4)</f>
        <v/>
      </c>
      <c r="D27" s="19">
        <f>IF(C27&lt;=0,0,($B$5+$B$7*C27)*C27)</f>
        <v/>
      </c>
      <c r="E27" s="21">
        <f>IF($B$11=1,D27*$B$9,0)</f>
        <v/>
      </c>
      <c r="F27" s="21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6">
        <f>F27+E27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  <c r="K27" s="20">
        <f>IF(Parametres!$C$96&lt;=0,0,H27/Parametres!$C$96)</f>
        <v/>
      </c>
      <c r="L27" s="20">
        <f>IF(D27&lt;=0,0,I27/D27)</f>
        <v/>
      </c>
    </row>
    <row r="28">
      <c r="A28" s="29" t="n">
        <v>36.38</v>
      </c>
      <c r="B28" s="29">
        <f>A28-$B$10</f>
        <v/>
      </c>
      <c r="C28" s="29">
        <f>MAX(0,A28-$B$4)</f>
        <v/>
      </c>
      <c r="D28" s="19">
        <f>IF(C28&lt;=0,0,($B$5+$B$7*C28)*C28)</f>
        <v/>
      </c>
      <c r="E28" s="21">
        <f>IF($B$11=1,D28*$B$9,0)</f>
        <v/>
      </c>
      <c r="F28" s="21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6">
        <f>F28+E28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  <c r="K28" s="20">
        <f>IF(Parametres!$C$96&lt;=0,0,H28/Parametres!$C$96)</f>
        <v/>
      </c>
      <c r="L28" s="20">
        <f>IF(D28&lt;=0,0,I28/D28)</f>
        <v/>
      </c>
    </row>
    <row r="29">
      <c r="A29" s="29" t="n">
        <v>36.48</v>
      </c>
      <c r="B29" s="29">
        <f>A29-$B$10</f>
        <v/>
      </c>
      <c r="C29" s="29">
        <f>MAX(0,A29-$B$4)</f>
        <v/>
      </c>
      <c r="D29" s="19">
        <f>IF(C29&lt;=0,0,($B$5+$B$7*C29)*C29)</f>
        <v/>
      </c>
      <c r="E29" s="21">
        <f>IF($B$11=1,D29*$B$9,0)</f>
        <v/>
      </c>
      <c r="F29" s="21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6">
        <f>F29+E29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  <c r="K29" s="20">
        <f>IF(Parametres!$C$96&lt;=0,0,H29/Parametres!$C$96)</f>
        <v/>
      </c>
      <c r="L29" s="20">
        <f>IF(D29&lt;=0,0,I29/D29)</f>
        <v/>
      </c>
    </row>
    <row r="30">
      <c r="A30" s="29" t="n">
        <v>36.58</v>
      </c>
      <c r="B30" s="29">
        <f>A30-$B$10</f>
        <v/>
      </c>
      <c r="C30" s="29">
        <f>MAX(0,A30-$B$4)</f>
        <v/>
      </c>
      <c r="D30" s="19">
        <f>IF(C30&lt;=0,0,($B$5+$B$7*C30)*C30)</f>
        <v/>
      </c>
      <c r="E30" s="21">
        <f>IF($B$11=1,D30*$B$9,0)</f>
        <v/>
      </c>
      <c r="F30" s="21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6">
        <f>F30+E30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  <c r="K30" s="20">
        <f>IF(Parametres!$C$96&lt;=0,0,H30/Parametres!$C$96)</f>
        <v/>
      </c>
      <c r="L30" s="20">
        <f>IF(D30&lt;=0,0,I30/D30)</f>
        <v/>
      </c>
    </row>
    <row r="31">
      <c r="A31" s="29" t="n">
        <v>36.68</v>
      </c>
      <c r="B31" s="29">
        <f>A31-$B$10</f>
        <v/>
      </c>
      <c r="C31" s="29">
        <f>MAX(0,A31-$B$4)</f>
        <v/>
      </c>
      <c r="D31" s="19">
        <f>IF(C31&lt;=0,0,($B$5+$B$7*C31)*C31)</f>
        <v/>
      </c>
      <c r="E31" s="21">
        <f>IF($B$11=1,D31*$B$9,0)</f>
        <v/>
      </c>
      <c r="F31" s="21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6">
        <f>F31+E31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  <c r="K31" s="20">
        <f>IF(Parametres!$C$96&lt;=0,0,H31/Parametres!$C$96)</f>
        <v/>
      </c>
      <c r="L31" s="20">
        <f>IF(D31&lt;=0,0,I31/D31)</f>
        <v/>
      </c>
    </row>
    <row r="32">
      <c r="A32" s="29" t="n">
        <v>36.78</v>
      </c>
      <c r="B32" s="29">
        <f>A32-$B$10</f>
        <v/>
      </c>
      <c r="C32" s="29">
        <f>MAX(0,A32-$B$4)</f>
        <v/>
      </c>
      <c r="D32" s="19">
        <f>IF(C32&lt;=0,0,($B$5+$B$7*C32)*C32)</f>
        <v/>
      </c>
      <c r="E32" s="21">
        <f>IF($B$11=1,D32*$B$9,0)</f>
        <v/>
      </c>
      <c r="F32" s="21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6">
        <f>F32+E32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  <c r="K32" s="20">
        <f>IF(Parametres!$C$96&lt;=0,0,H32/Parametres!$C$96)</f>
        <v/>
      </c>
      <c r="L32" s="20">
        <f>IF(D32&lt;=0,0,I32/D32)</f>
        <v/>
      </c>
    </row>
    <row r="33">
      <c r="A33" s="29" t="n">
        <v>36.88</v>
      </c>
      <c r="B33" s="29">
        <f>A33-$B$10</f>
        <v/>
      </c>
      <c r="C33" s="29">
        <f>MAX(0,A33-$B$4)</f>
        <v/>
      </c>
      <c r="D33" s="19">
        <f>IF(C33&lt;=0,0,($B$5+$B$7*C33)*C33)</f>
        <v/>
      </c>
      <c r="E33" s="21">
        <f>IF($B$11=1,D33*$B$9,0)</f>
        <v/>
      </c>
      <c r="F33" s="21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6">
        <f>F33+E33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  <c r="K33" s="20">
        <f>IF(Parametres!$C$96&lt;=0,0,H33/Parametres!$C$96)</f>
        <v/>
      </c>
      <c r="L33" s="20">
        <f>IF(D33&lt;=0,0,I33/D33)</f>
        <v/>
      </c>
    </row>
    <row r="34">
      <c r="A34" s="29" t="n">
        <v>36.98</v>
      </c>
      <c r="B34" s="29">
        <f>A34-$B$10</f>
        <v/>
      </c>
      <c r="C34" s="29">
        <f>MAX(0,A34-$B$4)</f>
        <v/>
      </c>
      <c r="D34" s="19">
        <f>IF(C34&lt;=0,0,($B$5+$B$7*C34)*C34)</f>
        <v/>
      </c>
      <c r="E34" s="21">
        <f>IF($B$11=1,D34*$B$9,0)</f>
        <v/>
      </c>
      <c r="F34" s="21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6">
        <f>F34+E34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  <c r="K34" s="20">
        <f>IF(Parametres!$C$96&lt;=0,0,H34/Parametres!$C$96)</f>
        <v/>
      </c>
      <c r="L34" s="20">
        <f>IF(D34&lt;=0,0,I34/D34)</f>
        <v/>
      </c>
    </row>
    <row r="35">
      <c r="A35" s="29" t="n">
        <v>37.08</v>
      </c>
      <c r="B35" s="29">
        <f>A35-$B$10</f>
        <v/>
      </c>
      <c r="C35" s="29">
        <f>MAX(0,A35-$B$4)</f>
        <v/>
      </c>
      <c r="D35" s="19">
        <f>IF(C35&lt;=0,0,($B$5+$B$7*C35)*C35)</f>
        <v/>
      </c>
      <c r="E35" s="21">
        <f>IF($B$11=1,D35*$B$9,0)</f>
        <v/>
      </c>
      <c r="F35" s="21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6">
        <f>F35+E35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  <c r="K35" s="20">
        <f>IF(Parametres!$C$96&lt;=0,0,H35/Parametres!$C$96)</f>
        <v/>
      </c>
      <c r="L35" s="20">
        <f>IF(D35&lt;=0,0,I35/D35)</f>
        <v/>
      </c>
    </row>
    <row r="36">
      <c r="A36" s="29" t="n">
        <v>37.18</v>
      </c>
      <c r="B36" s="29">
        <f>A36-$B$10</f>
        <v/>
      </c>
      <c r="C36" s="29">
        <f>MAX(0,A36-$B$4)</f>
        <v/>
      </c>
      <c r="D36" s="19">
        <f>IF(C36&lt;=0,0,($B$5+$B$7*C36)*C36)</f>
        <v/>
      </c>
      <c r="E36" s="21">
        <f>IF($B$11=1,D36*$B$9,0)</f>
        <v/>
      </c>
      <c r="F36" s="21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6">
        <f>F36+E36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  <c r="K36" s="20">
        <f>IF(Parametres!$C$96&lt;=0,0,H36/Parametres!$C$96)</f>
        <v/>
      </c>
      <c r="L36" s="20">
        <f>IF(D36&lt;=0,0,I36/D36)</f>
        <v/>
      </c>
    </row>
    <row r="37">
      <c r="A37" s="29" t="n">
        <v>37.28</v>
      </c>
      <c r="B37" s="29">
        <f>A37-$B$10</f>
        <v/>
      </c>
      <c r="C37" s="29">
        <f>MAX(0,A37-$B$4)</f>
        <v/>
      </c>
      <c r="D37" s="19">
        <f>IF(C37&lt;=0,0,($B$5+$B$7*C37)*C37)</f>
        <v/>
      </c>
      <c r="E37" s="21">
        <f>IF($B$11=1,D37*$B$9,0)</f>
        <v/>
      </c>
      <c r="F37" s="21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6">
        <f>F37+E37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  <c r="K37" s="20">
        <f>IF(Parametres!$C$96&lt;=0,0,H37/Parametres!$C$96)</f>
        <v/>
      </c>
      <c r="L37" s="20">
        <f>IF(D37&lt;=0,0,I37/D37)</f>
        <v/>
      </c>
    </row>
    <row r="38">
      <c r="A38" s="29" t="n">
        <v>37.38</v>
      </c>
      <c r="B38" s="29">
        <f>A38-$B$10</f>
        <v/>
      </c>
      <c r="C38" s="29">
        <f>MAX(0,A38-$B$4)</f>
        <v/>
      </c>
      <c r="D38" s="19">
        <f>IF(C38&lt;=0,0,($B$5+$B$7*C38)*C38)</f>
        <v/>
      </c>
      <c r="E38" s="21">
        <f>IF($B$11=1,D38*$B$9,0)</f>
        <v/>
      </c>
      <c r="F38" s="21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6">
        <f>F38+E38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  <c r="K38" s="20">
        <f>IF(Parametres!$C$96&lt;=0,0,H38/Parametres!$C$96)</f>
        <v/>
      </c>
      <c r="L38" s="20">
        <f>IF(D38&lt;=0,0,I38/D38)</f>
        <v/>
      </c>
    </row>
    <row r="39">
      <c r="A39" s="29" t="n">
        <v>37.48</v>
      </c>
      <c r="B39" s="29">
        <f>A39-$B$10</f>
        <v/>
      </c>
      <c r="C39" s="29">
        <f>MAX(0,A39-$B$4)</f>
        <v/>
      </c>
      <c r="D39" s="19">
        <f>IF(C39&lt;=0,0,($B$5+$B$7*C39)*C39)</f>
        <v/>
      </c>
      <c r="E39" s="21">
        <f>IF($B$11=1,D39*$B$9,0)</f>
        <v/>
      </c>
      <c r="F39" s="21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6">
        <f>F39+E39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  <c r="K39" s="20">
        <f>IF(Parametres!$C$96&lt;=0,0,H39/Parametres!$C$96)</f>
        <v/>
      </c>
      <c r="L39" s="20">
        <f>IF(D39&lt;=0,0,I39/D39)</f>
        <v/>
      </c>
    </row>
    <row r="40">
      <c r="A40" s="29" t="n">
        <v>37.58</v>
      </c>
      <c r="B40" s="29">
        <f>A40-$B$10</f>
        <v/>
      </c>
      <c r="C40" s="29">
        <f>MAX(0,A40-$B$4)</f>
        <v/>
      </c>
      <c r="D40" s="19">
        <f>IF(C40&lt;=0,0,($B$5+$B$7*C40)*C40)</f>
        <v/>
      </c>
      <c r="E40" s="21">
        <f>IF($B$11=1,D40*$B$9,0)</f>
        <v/>
      </c>
      <c r="F40" s="21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6">
        <f>F40+E40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  <c r="K40" s="20">
        <f>IF(Parametres!$C$96&lt;=0,0,H40/Parametres!$C$96)</f>
        <v/>
      </c>
      <c r="L40" s="20">
        <f>IF(D40&lt;=0,0,I40/D40)</f>
        <v/>
      </c>
    </row>
    <row r="41">
      <c r="A41" s="29" t="n">
        <v>37.68</v>
      </c>
      <c r="B41" s="29">
        <f>A41-$B$10</f>
        <v/>
      </c>
      <c r="C41" s="29">
        <f>MAX(0,A41-$B$4)</f>
        <v/>
      </c>
      <c r="D41" s="19">
        <f>IF(C41&lt;=0,0,($B$5+$B$7*C41)*C41)</f>
        <v/>
      </c>
      <c r="E41" s="21">
        <f>IF($B$11=1,D41*$B$9,0)</f>
        <v/>
      </c>
      <c r="F41" s="21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6">
        <f>F41+E41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  <c r="K41" s="20">
        <f>IF(Parametres!$C$96&lt;=0,0,H41/Parametres!$C$96)</f>
        <v/>
      </c>
      <c r="L41" s="20">
        <f>IF(D41&lt;=0,0,I41/D41)</f>
        <v/>
      </c>
    </row>
    <row r="42">
      <c r="A42" s="29" t="n">
        <v>37.78</v>
      </c>
      <c r="B42" s="29">
        <f>A42-$B$10</f>
        <v/>
      </c>
      <c r="C42" s="29">
        <f>MAX(0,A42-$B$4)</f>
        <v/>
      </c>
      <c r="D42" s="19">
        <f>IF(C42&lt;=0,0,($B$5+$B$7*C42)*C42)</f>
        <v/>
      </c>
      <c r="E42" s="21">
        <f>IF($B$11=1,D42*$B$9,0)</f>
        <v/>
      </c>
      <c r="F42" s="21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6">
        <f>F42+E42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  <c r="K42" s="20">
        <f>IF(Parametres!$C$96&lt;=0,0,H42/Parametres!$C$96)</f>
        <v/>
      </c>
      <c r="L42" s="20">
        <f>IF(D42&lt;=0,0,I42/D42)</f>
        <v/>
      </c>
    </row>
    <row r="43">
      <c r="A43" s="29" t="n">
        <v>37.88</v>
      </c>
      <c r="B43" s="29">
        <f>A43-$B$10</f>
        <v/>
      </c>
      <c r="C43" s="29">
        <f>MAX(0,A43-$B$4)</f>
        <v/>
      </c>
      <c r="D43" s="19">
        <f>IF(C43&lt;=0,0,($B$5+$B$7*C43)*C43)</f>
        <v/>
      </c>
      <c r="E43" s="21">
        <f>IF($B$11=1,D43*$B$9,0)</f>
        <v/>
      </c>
      <c r="F43" s="21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6">
        <f>F43+E43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  <c r="K43" s="20">
        <f>IF(Parametres!$C$96&lt;=0,0,H43/Parametres!$C$96)</f>
        <v/>
      </c>
      <c r="L43" s="20">
        <f>IF(D43&lt;=0,0,I43/D43)</f>
        <v/>
      </c>
    </row>
    <row r="44">
      <c r="A44" s="29" t="n">
        <v>37.98</v>
      </c>
      <c r="B44" s="29">
        <f>A44-$B$10</f>
        <v/>
      </c>
      <c r="C44" s="29">
        <f>MAX(0,A44-$B$4)</f>
        <v/>
      </c>
      <c r="D44" s="19">
        <f>IF(C44&lt;=0,0,($B$5+$B$7*C44)*C44)</f>
        <v/>
      </c>
      <c r="E44" s="21">
        <f>IF($B$11=1,D44*$B$9,0)</f>
        <v/>
      </c>
      <c r="F44" s="21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6">
        <f>F44+E44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  <c r="K44" s="20">
        <f>IF(Parametres!$C$96&lt;=0,0,H44/Parametres!$C$96)</f>
        <v/>
      </c>
      <c r="L44" s="20">
        <f>IF(D44&lt;=0,0,I44/D44)</f>
        <v/>
      </c>
    </row>
    <row r="45">
      <c r="A45" s="29" t="n">
        <v>38.08</v>
      </c>
      <c r="B45" s="29">
        <f>A45-$B$10</f>
        <v/>
      </c>
      <c r="C45" s="29">
        <f>MAX(0,A45-$B$4)</f>
        <v/>
      </c>
      <c r="D45" s="19">
        <f>IF(C45&lt;=0,0,($B$5+$B$7*C45)*C45)</f>
        <v/>
      </c>
      <c r="E45" s="21">
        <f>IF($B$11=1,D45*$B$9,0)</f>
        <v/>
      </c>
      <c r="F45" s="21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6">
        <f>F45+E45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  <c r="K45" s="20">
        <f>IF(Parametres!$C$96&lt;=0,0,H45/Parametres!$C$96)</f>
        <v/>
      </c>
      <c r="L45" s="20">
        <f>IF(D45&lt;=0,0,I45/D45)</f>
        <v/>
      </c>
    </row>
    <row r="46">
      <c r="A46" s="29" t="n">
        <v>38.18</v>
      </c>
      <c r="B46" s="29">
        <f>A46-$B$10</f>
        <v/>
      </c>
      <c r="C46" s="29">
        <f>MAX(0,A46-$B$4)</f>
        <v/>
      </c>
      <c r="D46" s="19">
        <f>IF(C46&lt;=0,0,($B$5+$B$7*C46)*C46)</f>
        <v/>
      </c>
      <c r="E46" s="21">
        <f>IF($B$11=1,D46*$B$9,0)</f>
        <v/>
      </c>
      <c r="F46" s="21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6">
        <f>F46+E46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  <c r="K46" s="20">
        <f>IF(Parametres!$C$96&lt;=0,0,H46/Parametres!$C$96)</f>
        <v/>
      </c>
      <c r="L46" s="20">
        <f>IF(D46&lt;=0,0,I46/D46)</f>
        <v/>
      </c>
    </row>
    <row r="47">
      <c r="A47" s="29" t="n">
        <v>38.28</v>
      </c>
      <c r="B47" s="29">
        <f>A47-$B$10</f>
        <v/>
      </c>
      <c r="C47" s="29">
        <f>MAX(0,A47-$B$4)</f>
        <v/>
      </c>
      <c r="D47" s="19">
        <f>IF(C47&lt;=0,0,($B$5+$B$7*C47)*C47)</f>
        <v/>
      </c>
      <c r="E47" s="21">
        <f>IF($B$11=1,D47*$B$9,0)</f>
        <v/>
      </c>
      <c r="F47" s="21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6">
        <f>F47+E47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  <c r="K47" s="20">
        <f>IF(Parametres!$C$96&lt;=0,0,H47/Parametres!$C$96)</f>
        <v/>
      </c>
      <c r="L47" s="20">
        <f>IF(D47&lt;=0,0,I47/D47)</f>
        <v/>
      </c>
    </row>
    <row r="48">
      <c r="A48" s="29" t="n">
        <v>38.38</v>
      </c>
      <c r="B48" s="29">
        <f>A48-$B$10</f>
        <v/>
      </c>
      <c r="C48" s="29">
        <f>MAX(0,A48-$B$4)</f>
        <v/>
      </c>
      <c r="D48" s="19">
        <f>IF(C48&lt;=0,0,($B$5+$B$7*C48)*C48)</f>
        <v/>
      </c>
      <c r="E48" s="21">
        <f>IF($B$11=1,D48*$B$9,0)</f>
        <v/>
      </c>
      <c r="F48" s="21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6">
        <f>F48+E48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  <c r="K48" s="20">
        <f>IF(Parametres!$C$96&lt;=0,0,H48/Parametres!$C$96)</f>
        <v/>
      </c>
      <c r="L48" s="20">
        <f>IF(D48&lt;=0,0,I48/D48)</f>
        <v/>
      </c>
    </row>
    <row r="49">
      <c r="A49" s="29" t="n">
        <v>38.48</v>
      </c>
      <c r="B49" s="29">
        <f>A49-$B$10</f>
        <v/>
      </c>
      <c r="C49" s="29">
        <f>MAX(0,A49-$B$4)</f>
        <v/>
      </c>
      <c r="D49" s="19">
        <f>IF(C49&lt;=0,0,($B$5+$B$7*C49)*C49)</f>
        <v/>
      </c>
      <c r="E49" s="21">
        <f>IF($B$11=1,D49*$B$9,0)</f>
        <v/>
      </c>
      <c r="F49" s="21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6">
        <f>F49+E49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  <c r="K49" s="20">
        <f>IF(Parametres!$C$96&lt;=0,0,H49/Parametres!$C$96)</f>
        <v/>
      </c>
      <c r="L49" s="20">
        <f>IF(D49&lt;=0,0,I49/D49)</f>
        <v/>
      </c>
    </row>
    <row r="50">
      <c r="A50" s="29" t="n">
        <v>38.58</v>
      </c>
      <c r="B50" s="29">
        <f>A50-$B$10</f>
        <v/>
      </c>
      <c r="C50" s="29">
        <f>MAX(0,A50-$B$4)</f>
        <v/>
      </c>
      <c r="D50" s="19">
        <f>IF(C50&lt;=0,0,($B$5+$B$7*C50)*C50)</f>
        <v/>
      </c>
      <c r="E50" s="21">
        <f>IF($B$11=1,D50*$B$9,0)</f>
        <v/>
      </c>
      <c r="F50" s="21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6">
        <f>F50+E50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  <c r="K50" s="20">
        <f>IF(Parametres!$C$96&lt;=0,0,H50/Parametres!$C$96)</f>
        <v/>
      </c>
      <c r="L50" s="20">
        <f>IF(D50&lt;=0,0,I50/D50)</f>
        <v/>
      </c>
    </row>
    <row r="51">
      <c r="A51" s="29" t="n">
        <v>38.68</v>
      </c>
      <c r="B51" s="29">
        <f>A51-$B$10</f>
        <v/>
      </c>
      <c r="C51" s="29">
        <f>MAX(0,A51-$B$4)</f>
        <v/>
      </c>
      <c r="D51" s="19">
        <f>IF(C51&lt;=0,0,($B$5+$B$7*C51)*C51)</f>
        <v/>
      </c>
      <c r="E51" s="21">
        <f>IF($B$11=1,D51*$B$9,0)</f>
        <v/>
      </c>
      <c r="F51" s="21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6">
        <f>F51+E51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  <c r="K51" s="20">
        <f>IF(Parametres!$C$96&lt;=0,0,H51/Parametres!$C$96)</f>
        <v/>
      </c>
      <c r="L51" s="20">
        <f>IF(D51&lt;=0,0,I51/D51)</f>
        <v/>
      </c>
    </row>
    <row r="52">
      <c r="A52" s="29" t="n">
        <v>38.78</v>
      </c>
      <c r="B52" s="29">
        <f>A52-$B$10</f>
        <v/>
      </c>
      <c r="C52" s="29">
        <f>MAX(0,A52-$B$4)</f>
        <v/>
      </c>
      <c r="D52" s="19">
        <f>IF(C52&lt;=0,0,($B$5+$B$7*C52)*C52)</f>
        <v/>
      </c>
      <c r="E52" s="21">
        <f>IF($B$11=1,D52*$B$9,0)</f>
        <v/>
      </c>
      <c r="F52" s="21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6">
        <f>F52+E52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  <c r="K52" s="20">
        <f>IF(Parametres!$C$96&lt;=0,0,H52/Parametres!$C$96)</f>
        <v/>
      </c>
      <c r="L52" s="20">
        <f>IF(D52&lt;=0,0,I52/D52)</f>
        <v/>
      </c>
    </row>
    <row r="53">
      <c r="A53" s="29" t="n">
        <v>38.88</v>
      </c>
      <c r="B53" s="29">
        <f>A53-$B$10</f>
        <v/>
      </c>
      <c r="C53" s="29">
        <f>MAX(0,A53-$B$4)</f>
        <v/>
      </c>
      <c r="D53" s="19">
        <f>IF(C53&lt;=0,0,($B$5+$B$7*C53)*C53)</f>
        <v/>
      </c>
      <c r="E53" s="21">
        <f>IF($B$11=1,D53*$B$9,0)</f>
        <v/>
      </c>
      <c r="F53" s="21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6">
        <f>F53+E53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  <c r="K53" s="20">
        <f>IF(Parametres!$C$96&lt;=0,0,H53/Parametres!$C$96)</f>
        <v/>
      </c>
      <c r="L53" s="20">
        <f>IF(D53&lt;=0,0,I53/D53)</f>
        <v/>
      </c>
    </row>
    <row r="54">
      <c r="A54" s="29" t="n">
        <v>38.98</v>
      </c>
      <c r="B54" s="29">
        <f>A54-$B$10</f>
        <v/>
      </c>
      <c r="C54" s="29">
        <f>MAX(0,A54-$B$4)</f>
        <v/>
      </c>
      <c r="D54" s="19">
        <f>IF(C54&lt;=0,0,($B$5+$B$7*C54)*C54)</f>
        <v/>
      </c>
      <c r="E54" s="21">
        <f>IF($B$11=1,D54*$B$9,0)</f>
        <v/>
      </c>
      <c r="F54" s="21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6">
        <f>F54+E54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  <c r="K54" s="20">
        <f>IF(Parametres!$C$96&lt;=0,0,H54/Parametres!$C$96)</f>
        <v/>
      </c>
      <c r="L54" s="20">
        <f>IF(D54&lt;=0,0,I54/D54)</f>
        <v/>
      </c>
    </row>
    <row r="55">
      <c r="A55" s="29" t="n">
        <v>39.08</v>
      </c>
      <c r="B55" s="29">
        <f>A55-$B$10</f>
        <v/>
      </c>
      <c r="C55" s="29">
        <f>MAX(0,A55-$B$4)</f>
        <v/>
      </c>
      <c r="D55" s="19">
        <f>IF(C55&lt;=0,0,($B$5+$B$7*C55)*C55)</f>
        <v/>
      </c>
      <c r="E55" s="21">
        <f>IF($B$11=1,D55*$B$9,0)</f>
        <v/>
      </c>
      <c r="F55" s="21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6">
        <f>F55+E55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  <c r="K55" s="20">
        <f>IF(Parametres!$C$96&lt;=0,0,H55/Parametres!$C$96)</f>
        <v/>
      </c>
      <c r="L55" s="20">
        <f>IF(D55&lt;=0,0,I55/D55)</f>
        <v/>
      </c>
    </row>
    <row r="56">
      <c r="A56" s="29" t="n">
        <v>39.18</v>
      </c>
      <c r="B56" s="29">
        <f>A56-$B$10</f>
        <v/>
      </c>
      <c r="C56" s="29">
        <f>MAX(0,A56-$B$4)</f>
        <v/>
      </c>
      <c r="D56" s="19">
        <f>IF(C56&lt;=0,0,($B$5+$B$7*C56)*C56)</f>
        <v/>
      </c>
      <c r="E56" s="21">
        <f>IF($B$11=1,D56*$B$9,0)</f>
        <v/>
      </c>
      <c r="F56" s="21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6">
        <f>F56+E56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  <c r="K56" s="20">
        <f>IF(Parametres!$C$96&lt;=0,0,H56/Parametres!$C$96)</f>
        <v/>
      </c>
      <c r="L56" s="20">
        <f>IF(D56&lt;=0,0,I56/D56)</f>
        <v/>
      </c>
    </row>
    <row r="57">
      <c r="A57" s="29" t="n">
        <v>39.28</v>
      </c>
      <c r="B57" s="29">
        <f>A57-$B$10</f>
        <v/>
      </c>
      <c r="C57" s="29">
        <f>MAX(0,A57-$B$4)</f>
        <v/>
      </c>
      <c r="D57" s="19">
        <f>IF(C57&lt;=0,0,($B$5+$B$7*C57)*C57)</f>
        <v/>
      </c>
      <c r="E57" s="21">
        <f>IF($B$11=1,D57*$B$9,0)</f>
        <v/>
      </c>
      <c r="F57" s="21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6">
        <f>F57+E57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  <c r="K57" s="20">
        <f>IF(Parametres!$C$96&lt;=0,0,H57/Parametres!$C$96)</f>
        <v/>
      </c>
      <c r="L57" s="20">
        <f>IF(D57&lt;=0,0,I57/D57)</f>
        <v/>
      </c>
    </row>
    <row r="58">
      <c r="A58" s="29" t="n">
        <v>39.38</v>
      </c>
      <c r="B58" s="29">
        <f>A58-$B$10</f>
        <v/>
      </c>
      <c r="C58" s="29">
        <f>MAX(0,A58-$B$4)</f>
        <v/>
      </c>
      <c r="D58" s="19">
        <f>IF(C58&lt;=0,0,($B$5+$B$7*C58)*C58)</f>
        <v/>
      </c>
      <c r="E58" s="21">
        <f>IF($B$11=1,D58*$B$9,0)</f>
        <v/>
      </c>
      <c r="F58" s="21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6">
        <f>F58+E58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  <c r="K58" s="20">
        <f>IF(Parametres!$C$96&lt;=0,0,H58/Parametres!$C$96)</f>
        <v/>
      </c>
      <c r="L58" s="20">
        <f>IF(D58&lt;=0,0,I58/D58)</f>
        <v/>
      </c>
    </row>
    <row r="59">
      <c r="A59" s="29" t="n">
        <v>39.48</v>
      </c>
      <c r="B59" s="29">
        <f>A59-$B$10</f>
        <v/>
      </c>
      <c r="C59" s="29">
        <f>MAX(0,A59-$B$4)</f>
        <v/>
      </c>
      <c r="D59" s="19">
        <f>IF(C59&lt;=0,0,($B$5+$B$7*C59)*C59)</f>
        <v/>
      </c>
      <c r="E59" s="21">
        <f>IF($B$11=1,D59*$B$9,0)</f>
        <v/>
      </c>
      <c r="F59" s="21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6">
        <f>F59+E59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  <c r="K59" s="20">
        <f>IF(Parametres!$C$96&lt;=0,0,H59/Parametres!$C$96)</f>
        <v/>
      </c>
      <c r="L59" s="20">
        <f>IF(D59&lt;=0,0,I59/D59)</f>
        <v/>
      </c>
    </row>
    <row r="60">
      <c r="A60" s="29" t="n">
        <v>39.58</v>
      </c>
      <c r="B60" s="29">
        <f>A60-$B$10</f>
        <v/>
      </c>
      <c r="C60" s="29">
        <f>MAX(0,A60-$B$4)</f>
        <v/>
      </c>
      <c r="D60" s="19">
        <f>IF(C60&lt;=0,0,($B$5+$B$7*C60)*C60)</f>
        <v/>
      </c>
      <c r="E60" s="21">
        <f>IF($B$11=1,D60*$B$9,0)</f>
        <v/>
      </c>
      <c r="F60" s="21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26">
        <f>F60+E60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9">
        <f>H60+I60</f>
        <v/>
      </c>
      <c r="K60" s="20">
        <f>IF(Parametres!$C$96&lt;=0,0,H60/Parametres!$C$96)</f>
        <v/>
      </c>
      <c r="L60" s="20">
        <f>IF(D60&lt;=0,0,I60/D60)</f>
        <v/>
      </c>
    </row>
    <row r="61">
      <c r="A61" s="29" t="n">
        <v>39.68</v>
      </c>
      <c r="B61" s="29">
        <f>A61-$B$10</f>
        <v/>
      </c>
      <c r="C61" s="29">
        <f>MAX(0,A61-$B$4)</f>
        <v/>
      </c>
      <c r="D61" s="19">
        <f>IF(C61&lt;=0,0,($B$5+$B$7*C61)*C61)</f>
        <v/>
      </c>
      <c r="E61" s="21">
        <f>IF($B$11=1,D61*$B$9,0)</f>
        <v/>
      </c>
      <c r="F61" s="21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26">
        <f>F61+E61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9">
        <f>H61+I61</f>
        <v/>
      </c>
      <c r="K61" s="20">
        <f>IF(Parametres!$C$96&lt;=0,0,H61/Parametres!$C$96)</f>
        <v/>
      </c>
      <c r="L61" s="20">
        <f>IF(D61&lt;=0,0,I61/D61)</f>
        <v/>
      </c>
    </row>
    <row r="62">
      <c r="A62" s="29" t="n">
        <v>39.78</v>
      </c>
      <c r="B62" s="29">
        <f>A62-$B$10</f>
        <v/>
      </c>
      <c r="C62" s="29">
        <f>MAX(0,A62-$B$4)</f>
        <v/>
      </c>
      <c r="D62" s="19">
        <f>IF(C62&lt;=0,0,($B$5+$B$7*C62)*C62)</f>
        <v/>
      </c>
      <c r="E62" s="21">
        <f>IF($B$11=1,D62*$B$9,0)</f>
        <v/>
      </c>
      <c r="F62" s="21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26">
        <f>F62+E62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9">
        <f>H62+I62</f>
        <v/>
      </c>
      <c r="K62" s="20">
        <f>IF(Parametres!$C$96&lt;=0,0,H62/Parametres!$C$96)</f>
        <v/>
      </c>
      <c r="L62" s="20">
        <f>IF(D62&lt;=0,0,I62/D62)</f>
        <v/>
      </c>
    </row>
    <row r="63">
      <c r="A63" s="29" t="n">
        <v>39.88</v>
      </c>
      <c r="B63" s="29">
        <f>A63-$B$10</f>
        <v/>
      </c>
      <c r="C63" s="29">
        <f>MAX(0,A63-$B$4)</f>
        <v/>
      </c>
      <c r="D63" s="19">
        <f>IF(C63&lt;=0,0,($B$5+$B$7*C63)*C63)</f>
        <v/>
      </c>
      <c r="E63" s="21">
        <f>IF($B$11=1,D63*$B$9,0)</f>
        <v/>
      </c>
      <c r="F63" s="21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26">
        <f>F63+E63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9">
        <f>H63+I63</f>
        <v/>
      </c>
      <c r="K63" s="20">
        <f>IF(Parametres!$C$96&lt;=0,0,H63/Parametres!$C$96)</f>
        <v/>
      </c>
      <c r="L63" s="20">
        <f>IF(D63&lt;=0,0,I63/D63)</f>
        <v/>
      </c>
    </row>
    <row r="64">
      <c r="A64" s="29" t="n">
        <v>39.98</v>
      </c>
      <c r="B64" s="29">
        <f>A64-$B$10</f>
        <v/>
      </c>
      <c r="C64" s="29">
        <f>MAX(0,A64-$B$4)</f>
        <v/>
      </c>
      <c r="D64" s="19">
        <f>IF(C64&lt;=0,0,($B$5+$B$7*C64)*C64)</f>
        <v/>
      </c>
      <c r="E64" s="21">
        <f>IF($B$11=1,D64*$B$9,0)</f>
        <v/>
      </c>
      <c r="F64" s="21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26">
        <f>F64+E64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9">
        <f>H64+I64</f>
        <v/>
      </c>
      <c r="K64" s="20">
        <f>IF(Parametres!$C$96&lt;=0,0,H64/Parametres!$C$96)</f>
        <v/>
      </c>
      <c r="L64" s="20">
        <f>IF(D64&lt;=0,0,I64/D64)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(Compose_1200; B25 pilote V_ditch). Qout = Q_1200 + Q_overflow.</t>
        </is>
      </c>
    </row>
    <row r="4">
      <c r="A4" t="inlineStr">
        <is>
          <t>Q_plein ref</t>
        </is>
      </c>
      <c r="B4" s="30">
        <f>Parametres!B22</f>
        <v/>
      </c>
    </row>
    <row r="5">
      <c r="A5" t="inlineStr">
        <is>
          <t>Crest</t>
        </is>
      </c>
      <c r="B5" s="30">
        <f>Parametres!B27</f>
        <v/>
      </c>
    </row>
    <row r="7">
      <c r="A7" t="inlineStr">
        <is>
          <t>Vmax_C</t>
        </is>
      </c>
      <c r="B7" s="25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  <c r="H9" s="17" t="inlineStr">
        <is>
          <t>V_eq_Ø1200 (m/s)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21" t="n">
        <v>0</v>
      </c>
      <c r="F10" s="26" t="n">
        <v>0</v>
      </c>
      <c r="G10" s="18" t="inlineStr">
        <is>
          <t>non</t>
        </is>
      </c>
      <c r="H10" s="20">
        <f>IF(Parametres!$C$96&lt;=0,0,D10/Parametres!$C$96)</f>
        <v/>
      </c>
    </row>
    <row r="11">
      <c r="A11" s="19">
        <f>Hydrogramme!A8</f>
        <v/>
      </c>
      <c r="B11" s="19">
        <f>Hydrogramme!C8</f>
        <v/>
      </c>
      <c r="C11" s="19">
        <f>IF(F10&lt;=INDEX(Compose_1200!$G$13:$G$64,1),INDEX(Compose_1200!$A$13:$A$64,1),IF(F10&gt;=INDEX(Compose_1200!$G$13:$G$64,ROWS(Compose_1200!$G$13:$G$64)),INDEX(Compose_1200!$A$13:$A$64,ROWS(Compose_1200!$A$13:$A$64)),INDEX(Compose_1200!$A$13:$A$64,MATCH(F10,Compose_1200!$G$13:$G$64,1))+(F10-INDEX(Compose_1200!$G$13:$G$64,MATCH(F10,Compose_1200!$G$13:$G$64,1)))/(INDEX(Compose_1200!$G$13:$G$64,MATCH(F10,Compose_1200!$G$13:$G$64,1)+1)-INDEX(Compose_1200!$G$13:$G$64,MATCH(F10,Compose_1200!$G$13:$G$64,1)))*(INDEX(Compose_1200!$A$13:$A$64,MATCH(F10,Compose_1200!$G$13:$G$64,1)+1)-INDEX(Compose_1200!$A$13:$A$64,MATCH(F10,Compose_1200!$G$13:$G$64,1)))))</f>
        <v/>
      </c>
      <c r="D11" s="19">
        <f>IF(F10&lt;=0.01,MIN(0.5*(B10+B11),$B$4),IF(C11&lt;=INDEX(Compose_1200!$A$13:$A$64,1),INDEX(Compose_1200!$J$13:$J$64,1),IF(C11&gt;=INDEX(Compose_1200!$A$13:$A$64,ROWS(Compose_1200!$A$13:$A$64)),INDEX(Compose_1200!$J$13:$J$64,ROWS(Compose_1200!$J$13:$J$64)),INDEX(Compose_1200!$J$13:$J$64,MATCH(C11,Compose_1200!$A$13:$A$64,1))+(C11-INDEX(Compose_1200!$A$13:$A$64,MATCH(C11,Compose_1200!$A$13:$A$64,1)))/(INDEX(Compose_1200!$A$13:$A$64,MATCH(C11,Compose_1200!$A$13:$A$64,1)+1)-INDEX(Compose_1200!$A$13:$A$64,MATCH(C11,Compose_1200!$A$13:$A$64,1)))*(INDEX(Compose_1200!$J$13:$J$64,MATCH(C11,Compose_1200!$A$13:$A$64,1)+1)-INDEX(Compose_1200!$J$13:$J$64,MATCH(C11,Compose_1200!$A$13:$A$64,1))))))</f>
        <v/>
      </c>
      <c r="E11" s="21">
        <f>(A11-A10)*60</f>
        <v/>
      </c>
      <c r="F11" s="26">
        <f>MAX(0,F10+(0.5*(B10+B11)-D11)*E11)</f>
        <v/>
      </c>
      <c r="G11" s="18">
        <f>IF(C11&gt;$B$5,"oui","non")</f>
        <v/>
      </c>
      <c r="H11" s="20">
        <f>IF(Parametres!$C$96&lt;=0,0,D11/Parametres!$C$96)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$64,1),INDEX(Compose_1200!$A$13:$A$64,1),IF(F11&gt;=INDEX(Compose_1200!$G$13:$G$64,ROWS(Compose_1200!$G$13:$G$64)),INDEX(Compose_1200!$A$13:$A$64,ROWS(Compose_1200!$A$13:$A$64)),INDEX(Compose_1200!$A$13:$A$64,MATCH(F11,Compose_1200!$G$13:$G$64,1))+(F11-INDEX(Compose_1200!$G$13:$G$64,MATCH(F11,Compose_1200!$G$13:$G$64,1)))/(INDEX(Compose_1200!$G$13:$G$64,MATCH(F11,Compose_1200!$G$13:$G$64,1)+1)-INDEX(Compose_1200!$G$13:$G$64,MATCH(F11,Compose_1200!$G$13:$G$64,1)))*(INDEX(Compose_1200!$A$13:$A$64,MATCH(F11,Compose_1200!$G$13:$G$64,1)+1)-INDEX(Compose_1200!$A$13:$A$64,MATCH(F11,Compose_1200!$G$13:$G$64,1)))))</f>
        <v/>
      </c>
      <c r="D12" s="19">
        <f>IF(F11&lt;=0.01,MIN(0.5*(B11+B12),$B$4),IF(C12&lt;=INDEX(Compose_1200!$A$13:$A$64,1),INDEX(Compose_1200!$J$13:$J$64,1),IF(C12&gt;=INDEX(Compose_1200!$A$13:$A$64,ROWS(Compose_1200!$A$13:$A$64)),INDEX(Compose_1200!$J$13:$J$64,ROWS(Compose_1200!$J$13:$J$64)),INDEX(Compose_1200!$J$13:$J$64,MATCH(C12,Compose_1200!$A$13:$A$64,1))+(C12-INDEX(Compose_1200!$A$13:$A$64,MATCH(C12,Compose_1200!$A$13:$A$64,1)))/(INDEX(Compose_1200!$A$13:$A$64,MATCH(C12,Compose_1200!$A$13:$A$64,1)+1)-INDEX(Compose_1200!$A$13:$A$64,MATCH(C12,Compose_1200!$A$13:$A$64,1)))*(INDEX(Compose_1200!$J$13:$J$64,MATCH(C12,Compose_1200!$A$13:$A$64,1)+1)-INDEX(Compose_1200!$J$13:$J$64,MATCH(C12,Compose_1200!$A$13:$A$64,1))))))</f>
        <v/>
      </c>
      <c r="E12" s="21">
        <f>(A12-A11)*60</f>
        <v/>
      </c>
      <c r="F12" s="26">
        <f>MAX(0,F11+(0.5*(B11+B12)-D12)*E12)</f>
        <v/>
      </c>
      <c r="G12" s="18">
        <f>IF(C12&gt;$B$5,"oui","non")</f>
        <v/>
      </c>
      <c r="H12" s="20">
        <f>IF(Parametres!$C$96&lt;=0,0,D12/Parametres!$C$96)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$64,1),INDEX(Compose_1200!$A$13:$A$64,1),IF(F12&gt;=INDEX(Compose_1200!$G$13:$G$64,ROWS(Compose_1200!$G$13:$G$64)),INDEX(Compose_1200!$A$13:$A$64,ROWS(Compose_1200!$A$13:$A$64)),INDEX(Compose_1200!$A$13:$A$64,MATCH(F12,Compose_1200!$G$13:$G$64,1))+(F12-INDEX(Compose_1200!$G$13:$G$64,MATCH(F12,Compose_1200!$G$13:$G$64,1)))/(INDEX(Compose_1200!$G$13:$G$64,MATCH(F12,Compose_1200!$G$13:$G$64,1)+1)-INDEX(Compose_1200!$G$13:$G$64,MATCH(F12,Compose_1200!$G$13:$G$64,1)))*(INDEX(Compose_1200!$A$13:$A$64,MATCH(F12,Compose_1200!$G$13:$G$64,1)+1)-INDEX(Compose_1200!$A$13:$A$64,MATCH(F12,Compose_1200!$G$13:$G$64,1)))))</f>
        <v/>
      </c>
      <c r="D13" s="19">
        <f>IF(F12&lt;=0.01,MIN(0.5*(B12+B13),$B$4),IF(C13&lt;=INDEX(Compose_1200!$A$13:$A$64,1),INDEX(Compose_1200!$J$13:$J$64,1),IF(C13&gt;=INDEX(Compose_1200!$A$13:$A$64,ROWS(Compose_1200!$A$13:$A$64)),INDEX(Compose_1200!$J$13:$J$64,ROWS(Compose_1200!$J$13:$J$64)),INDEX(Compose_1200!$J$13:$J$64,MATCH(C13,Compose_1200!$A$13:$A$64,1))+(C13-INDEX(Compose_1200!$A$13:$A$64,MATCH(C13,Compose_1200!$A$13:$A$64,1)))/(INDEX(Compose_1200!$A$13:$A$64,MATCH(C13,Compose_1200!$A$13:$A$64,1)+1)-INDEX(Compose_1200!$A$13:$A$64,MATCH(C13,Compose_1200!$A$13:$A$64,1)))*(INDEX(Compose_1200!$J$13:$J$64,MATCH(C13,Compose_1200!$A$13:$A$64,1)+1)-INDEX(Compose_1200!$J$13:$J$64,MATCH(C13,Compose_1200!$A$13:$A$64,1))))))</f>
        <v/>
      </c>
      <c r="E13" s="21">
        <f>(A13-A12)*60</f>
        <v/>
      </c>
      <c r="F13" s="26">
        <f>MAX(0,F12+(0.5*(B12+B13)-D13)*E13)</f>
        <v/>
      </c>
      <c r="G13" s="18">
        <f>IF(C13&gt;$B$5,"oui","non")</f>
        <v/>
      </c>
      <c r="H13" s="20">
        <f>IF(Parametres!$C$96&lt;=0,0,D13/Parametres!$C$96)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$64,1),INDEX(Compose_1200!$A$13:$A$64,1),IF(F13&gt;=INDEX(Compose_1200!$G$13:$G$64,ROWS(Compose_1200!$G$13:$G$64)),INDEX(Compose_1200!$A$13:$A$64,ROWS(Compose_1200!$A$13:$A$64)),INDEX(Compose_1200!$A$13:$A$64,MATCH(F13,Compose_1200!$G$13:$G$64,1))+(F13-INDEX(Compose_1200!$G$13:$G$64,MATCH(F13,Compose_1200!$G$13:$G$64,1)))/(INDEX(Compose_1200!$G$13:$G$64,MATCH(F13,Compose_1200!$G$13:$G$64,1)+1)-INDEX(Compose_1200!$G$13:$G$64,MATCH(F13,Compose_1200!$G$13:$G$64,1)))*(INDEX(Compose_1200!$A$13:$A$64,MATCH(F13,Compose_1200!$G$13:$G$64,1)+1)-INDEX(Compose_1200!$A$13:$A$64,MATCH(F13,Compose_1200!$G$13:$G$64,1)))))</f>
        <v/>
      </c>
      <c r="D14" s="19">
        <f>IF(F13&lt;=0.01,MIN(0.5*(B13+B14),$B$4),IF(C14&lt;=INDEX(Compose_1200!$A$13:$A$64,1),INDEX(Compose_1200!$J$13:$J$64,1),IF(C14&gt;=INDEX(Compose_1200!$A$13:$A$64,ROWS(Compose_1200!$A$13:$A$64)),INDEX(Compose_1200!$J$13:$J$64,ROWS(Compose_1200!$J$13:$J$64)),INDEX(Compose_1200!$J$13:$J$64,MATCH(C14,Compose_1200!$A$13:$A$64,1))+(C14-INDEX(Compose_1200!$A$13:$A$64,MATCH(C14,Compose_1200!$A$13:$A$64,1)))/(INDEX(Compose_1200!$A$13:$A$64,MATCH(C14,Compose_1200!$A$13:$A$64,1)+1)-INDEX(Compose_1200!$A$13:$A$64,MATCH(C14,Compose_1200!$A$13:$A$64,1)))*(INDEX(Compose_1200!$J$13:$J$64,MATCH(C14,Compose_1200!$A$13:$A$64,1)+1)-INDEX(Compose_1200!$J$13:$J$64,MATCH(C14,Compose_1200!$A$13:$A$64,1))))))</f>
        <v/>
      </c>
      <c r="E14" s="21">
        <f>(A14-A13)*60</f>
        <v/>
      </c>
      <c r="F14" s="26">
        <f>MAX(0,F13+(0.5*(B13+B14)-D14)*E14)</f>
        <v/>
      </c>
      <c r="G14" s="18">
        <f>IF(C14&gt;$B$5,"oui","non")</f>
        <v/>
      </c>
      <c r="H14" s="20">
        <f>IF(Parametres!$C$96&lt;=0,0,D14/Parametres!$C$96)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$64,1),INDEX(Compose_1200!$A$13:$A$64,1),IF(F14&gt;=INDEX(Compose_1200!$G$13:$G$64,ROWS(Compose_1200!$G$13:$G$64)),INDEX(Compose_1200!$A$13:$A$64,ROWS(Compose_1200!$A$13:$A$64)),INDEX(Compose_1200!$A$13:$A$64,MATCH(F14,Compose_1200!$G$13:$G$64,1))+(F14-INDEX(Compose_1200!$G$13:$G$64,MATCH(F14,Compose_1200!$G$13:$G$64,1)))/(INDEX(Compose_1200!$G$13:$G$64,MATCH(F14,Compose_1200!$G$13:$G$64,1)+1)-INDEX(Compose_1200!$G$13:$G$64,MATCH(F14,Compose_1200!$G$13:$G$64,1)))*(INDEX(Compose_1200!$A$13:$A$64,MATCH(F14,Compose_1200!$G$13:$G$64,1)+1)-INDEX(Compose_1200!$A$13:$A$64,MATCH(F14,Compose_1200!$G$13:$G$64,1)))))</f>
        <v/>
      </c>
      <c r="D15" s="19">
        <f>IF(F14&lt;=0.01,MIN(0.5*(B14+B15),$B$4),IF(C15&lt;=INDEX(Compose_1200!$A$13:$A$64,1),INDEX(Compose_1200!$J$13:$J$64,1),IF(C15&gt;=INDEX(Compose_1200!$A$13:$A$64,ROWS(Compose_1200!$A$13:$A$64)),INDEX(Compose_1200!$J$13:$J$64,ROWS(Compose_1200!$J$13:$J$64)),INDEX(Compose_1200!$J$13:$J$64,MATCH(C15,Compose_1200!$A$13:$A$64,1))+(C15-INDEX(Compose_1200!$A$13:$A$64,MATCH(C15,Compose_1200!$A$13:$A$64,1)))/(INDEX(Compose_1200!$A$13:$A$64,MATCH(C15,Compose_1200!$A$13:$A$64,1)+1)-INDEX(Compose_1200!$A$13:$A$64,MATCH(C15,Compose_1200!$A$13:$A$64,1)))*(INDEX(Compose_1200!$J$13:$J$64,MATCH(C15,Compose_1200!$A$13:$A$64,1)+1)-INDEX(Compose_1200!$J$13:$J$64,MATCH(C15,Compose_1200!$A$13:$A$64,1))))))</f>
        <v/>
      </c>
      <c r="E15" s="21">
        <f>(A15-A14)*60</f>
        <v/>
      </c>
      <c r="F15" s="26">
        <f>MAX(0,F14+(0.5*(B14+B15)-D15)*E15)</f>
        <v/>
      </c>
      <c r="G15" s="18">
        <f>IF(C15&gt;$B$5,"oui","non")</f>
        <v/>
      </c>
      <c r="H15" s="20">
        <f>IF(Parametres!$C$96&lt;=0,0,D15/Parametres!$C$96)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$64,1),INDEX(Compose_1200!$A$13:$A$64,1),IF(F15&gt;=INDEX(Compose_1200!$G$13:$G$64,ROWS(Compose_1200!$G$13:$G$64)),INDEX(Compose_1200!$A$13:$A$64,ROWS(Compose_1200!$A$13:$A$64)),INDEX(Compose_1200!$A$13:$A$64,MATCH(F15,Compose_1200!$G$13:$G$64,1))+(F15-INDEX(Compose_1200!$G$13:$G$64,MATCH(F15,Compose_1200!$G$13:$G$64,1)))/(INDEX(Compose_1200!$G$13:$G$64,MATCH(F15,Compose_1200!$G$13:$G$64,1)+1)-INDEX(Compose_1200!$G$13:$G$64,MATCH(F15,Compose_1200!$G$13:$G$64,1)))*(INDEX(Compose_1200!$A$13:$A$64,MATCH(F15,Compose_1200!$G$13:$G$64,1)+1)-INDEX(Compose_1200!$A$13:$A$64,MATCH(F15,Compose_1200!$G$13:$G$64,1)))))</f>
        <v/>
      </c>
      <c r="D16" s="19">
        <f>IF(F15&lt;=0.01,MIN(0.5*(B15+B16),$B$4),IF(C16&lt;=INDEX(Compose_1200!$A$13:$A$64,1),INDEX(Compose_1200!$J$13:$J$64,1),IF(C16&gt;=INDEX(Compose_1200!$A$13:$A$64,ROWS(Compose_1200!$A$13:$A$64)),INDEX(Compose_1200!$J$13:$J$64,ROWS(Compose_1200!$J$13:$J$64)),INDEX(Compose_1200!$J$13:$J$64,MATCH(C16,Compose_1200!$A$13:$A$64,1))+(C16-INDEX(Compose_1200!$A$13:$A$64,MATCH(C16,Compose_1200!$A$13:$A$64,1)))/(INDEX(Compose_1200!$A$13:$A$64,MATCH(C16,Compose_1200!$A$13:$A$64,1)+1)-INDEX(Compose_1200!$A$13:$A$64,MATCH(C16,Compose_1200!$A$13:$A$64,1)))*(INDEX(Compose_1200!$J$13:$J$64,MATCH(C16,Compose_1200!$A$13:$A$64,1)+1)-INDEX(Compose_1200!$J$13:$J$64,MATCH(C16,Compose_1200!$A$13:$A$64,1))))))</f>
        <v/>
      </c>
      <c r="E16" s="21">
        <f>(A16-A15)*60</f>
        <v/>
      </c>
      <c r="F16" s="26">
        <f>MAX(0,F15+(0.5*(B15+B16)-D16)*E16)</f>
        <v/>
      </c>
      <c r="G16" s="18">
        <f>IF(C16&gt;$B$5,"oui","non")</f>
        <v/>
      </c>
      <c r="H16" s="20">
        <f>IF(Parametres!$C$96&lt;=0,0,D16/Parametres!$C$96)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$64,1),INDEX(Compose_1200!$A$13:$A$64,1),IF(F16&gt;=INDEX(Compose_1200!$G$13:$G$64,ROWS(Compose_1200!$G$13:$G$64)),INDEX(Compose_1200!$A$13:$A$64,ROWS(Compose_1200!$A$13:$A$64)),INDEX(Compose_1200!$A$13:$A$64,MATCH(F16,Compose_1200!$G$13:$G$64,1))+(F16-INDEX(Compose_1200!$G$13:$G$64,MATCH(F16,Compose_1200!$G$13:$G$64,1)))/(INDEX(Compose_1200!$G$13:$G$64,MATCH(F16,Compose_1200!$G$13:$G$64,1)+1)-INDEX(Compose_1200!$G$13:$G$64,MATCH(F16,Compose_1200!$G$13:$G$64,1)))*(INDEX(Compose_1200!$A$13:$A$64,MATCH(F16,Compose_1200!$G$13:$G$64,1)+1)-INDEX(Compose_1200!$A$13:$A$64,MATCH(F16,Compose_1200!$G$13:$G$64,1)))))</f>
        <v/>
      </c>
      <c r="D17" s="19">
        <f>IF(F16&lt;=0.01,MIN(0.5*(B16+B17),$B$4),IF(C17&lt;=INDEX(Compose_1200!$A$13:$A$64,1),INDEX(Compose_1200!$J$13:$J$64,1),IF(C17&gt;=INDEX(Compose_1200!$A$13:$A$64,ROWS(Compose_1200!$A$13:$A$64)),INDEX(Compose_1200!$J$13:$J$64,ROWS(Compose_1200!$J$13:$J$64)),INDEX(Compose_1200!$J$13:$J$64,MATCH(C17,Compose_1200!$A$13:$A$64,1))+(C17-INDEX(Compose_1200!$A$13:$A$64,MATCH(C17,Compose_1200!$A$13:$A$64,1)))/(INDEX(Compose_1200!$A$13:$A$64,MATCH(C17,Compose_1200!$A$13:$A$64,1)+1)-INDEX(Compose_1200!$A$13:$A$64,MATCH(C17,Compose_1200!$A$13:$A$64,1)))*(INDEX(Compose_1200!$J$13:$J$64,MATCH(C17,Compose_1200!$A$13:$A$64,1)+1)-INDEX(Compose_1200!$J$13:$J$64,MATCH(C17,Compose_1200!$A$13:$A$64,1))))))</f>
        <v/>
      </c>
      <c r="E17" s="21">
        <f>(A17-A16)*60</f>
        <v/>
      </c>
      <c r="F17" s="26">
        <f>MAX(0,F16+(0.5*(B16+B17)-D17)*E17)</f>
        <v/>
      </c>
      <c r="G17" s="18">
        <f>IF(C17&gt;$B$5,"oui","non")</f>
        <v/>
      </c>
      <c r="H17" s="20">
        <f>IF(Parametres!$C$96&lt;=0,0,D17/Parametres!$C$96)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$64,1),INDEX(Compose_1200!$A$13:$A$64,1),IF(F17&gt;=INDEX(Compose_1200!$G$13:$G$64,ROWS(Compose_1200!$G$13:$G$64)),INDEX(Compose_1200!$A$13:$A$64,ROWS(Compose_1200!$A$13:$A$64)),INDEX(Compose_1200!$A$13:$A$64,MATCH(F17,Compose_1200!$G$13:$G$64,1))+(F17-INDEX(Compose_1200!$G$13:$G$64,MATCH(F17,Compose_1200!$G$13:$G$64,1)))/(INDEX(Compose_1200!$G$13:$G$64,MATCH(F17,Compose_1200!$G$13:$G$64,1)+1)-INDEX(Compose_1200!$G$13:$G$64,MATCH(F17,Compose_1200!$G$13:$G$64,1)))*(INDEX(Compose_1200!$A$13:$A$64,MATCH(F17,Compose_1200!$G$13:$G$64,1)+1)-INDEX(Compose_1200!$A$13:$A$64,MATCH(F17,Compose_1200!$G$13:$G$64,1)))))</f>
        <v/>
      </c>
      <c r="D18" s="19">
        <f>IF(F17&lt;=0.01,MIN(0.5*(B17+B18),$B$4),IF(C18&lt;=INDEX(Compose_1200!$A$13:$A$64,1),INDEX(Compose_1200!$J$13:$J$64,1),IF(C18&gt;=INDEX(Compose_1200!$A$13:$A$64,ROWS(Compose_1200!$A$13:$A$64)),INDEX(Compose_1200!$J$13:$J$64,ROWS(Compose_1200!$J$13:$J$64)),INDEX(Compose_1200!$J$13:$J$64,MATCH(C18,Compose_1200!$A$13:$A$64,1))+(C18-INDEX(Compose_1200!$A$13:$A$64,MATCH(C18,Compose_1200!$A$13:$A$64,1)))/(INDEX(Compose_1200!$A$13:$A$64,MATCH(C18,Compose_1200!$A$13:$A$64,1)+1)-INDEX(Compose_1200!$A$13:$A$64,MATCH(C18,Compose_1200!$A$13:$A$64,1)))*(INDEX(Compose_1200!$J$13:$J$64,MATCH(C18,Compose_1200!$A$13:$A$64,1)+1)-INDEX(Compose_1200!$J$13:$J$64,MATCH(C18,Compose_1200!$A$13:$A$64,1))))))</f>
        <v/>
      </c>
      <c r="E18" s="21">
        <f>(A18-A17)*60</f>
        <v/>
      </c>
      <c r="F18" s="26">
        <f>MAX(0,F17+(0.5*(B17+B18)-D18)*E18)</f>
        <v/>
      </c>
      <c r="G18" s="18">
        <f>IF(C18&gt;$B$5,"oui","non")</f>
        <v/>
      </c>
      <c r="H18" s="20">
        <f>IF(Parametres!$C$96&lt;=0,0,D18/Parametres!$C$96)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$64,1),INDEX(Compose_1200!$A$13:$A$64,1),IF(F18&gt;=INDEX(Compose_1200!$G$13:$G$64,ROWS(Compose_1200!$G$13:$G$64)),INDEX(Compose_1200!$A$13:$A$64,ROWS(Compose_1200!$A$13:$A$64)),INDEX(Compose_1200!$A$13:$A$64,MATCH(F18,Compose_1200!$G$13:$G$64,1))+(F18-INDEX(Compose_1200!$G$13:$G$64,MATCH(F18,Compose_1200!$G$13:$G$64,1)))/(INDEX(Compose_1200!$G$13:$G$64,MATCH(F18,Compose_1200!$G$13:$G$64,1)+1)-INDEX(Compose_1200!$G$13:$G$64,MATCH(F18,Compose_1200!$G$13:$G$64,1)))*(INDEX(Compose_1200!$A$13:$A$64,MATCH(F18,Compose_1200!$G$13:$G$64,1)+1)-INDEX(Compose_1200!$A$13:$A$64,MATCH(F18,Compose_1200!$G$13:$G$64,1)))))</f>
        <v/>
      </c>
      <c r="D19" s="19">
        <f>IF(F18&lt;=0.01,MIN(0.5*(B18+B19),$B$4),IF(C19&lt;=INDEX(Compose_1200!$A$13:$A$64,1),INDEX(Compose_1200!$J$13:$J$64,1),IF(C19&gt;=INDEX(Compose_1200!$A$13:$A$64,ROWS(Compose_1200!$A$13:$A$64)),INDEX(Compose_1200!$J$13:$J$64,ROWS(Compose_1200!$J$13:$J$64)),INDEX(Compose_1200!$J$13:$J$64,MATCH(C19,Compose_1200!$A$13:$A$64,1))+(C19-INDEX(Compose_1200!$A$13:$A$64,MATCH(C19,Compose_1200!$A$13:$A$64,1)))/(INDEX(Compose_1200!$A$13:$A$64,MATCH(C19,Compose_1200!$A$13:$A$64,1)+1)-INDEX(Compose_1200!$A$13:$A$64,MATCH(C19,Compose_1200!$A$13:$A$64,1)))*(INDEX(Compose_1200!$J$13:$J$64,MATCH(C19,Compose_1200!$A$13:$A$64,1)+1)-INDEX(Compose_1200!$J$13:$J$64,MATCH(C19,Compose_1200!$A$13:$A$64,1))))))</f>
        <v/>
      </c>
      <c r="E19" s="21">
        <f>(A19-A18)*60</f>
        <v/>
      </c>
      <c r="F19" s="26">
        <f>MAX(0,F18+(0.5*(B18+B19)-D19)*E19)</f>
        <v/>
      </c>
      <c r="G19" s="18">
        <f>IF(C19&gt;$B$5,"oui","non")</f>
        <v/>
      </c>
      <c r="H19" s="20">
        <f>IF(Parametres!$C$96&lt;=0,0,D19/Parametres!$C$96)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$64,1),INDEX(Compose_1200!$A$13:$A$64,1),IF(F19&gt;=INDEX(Compose_1200!$G$13:$G$64,ROWS(Compose_1200!$G$13:$G$64)),INDEX(Compose_1200!$A$13:$A$64,ROWS(Compose_1200!$A$13:$A$64)),INDEX(Compose_1200!$A$13:$A$64,MATCH(F19,Compose_1200!$G$13:$G$64,1))+(F19-INDEX(Compose_1200!$G$13:$G$64,MATCH(F19,Compose_1200!$G$13:$G$64,1)))/(INDEX(Compose_1200!$G$13:$G$64,MATCH(F19,Compose_1200!$G$13:$G$64,1)+1)-INDEX(Compose_1200!$G$13:$G$64,MATCH(F19,Compose_1200!$G$13:$G$64,1)))*(INDEX(Compose_1200!$A$13:$A$64,MATCH(F19,Compose_1200!$G$13:$G$64,1)+1)-INDEX(Compose_1200!$A$13:$A$64,MATCH(F19,Compose_1200!$G$13:$G$64,1)))))</f>
        <v/>
      </c>
      <c r="D20" s="19">
        <f>IF(F19&lt;=0.01,MIN(0.5*(B19+B20),$B$4),IF(C20&lt;=INDEX(Compose_1200!$A$13:$A$64,1),INDEX(Compose_1200!$J$13:$J$64,1),IF(C20&gt;=INDEX(Compose_1200!$A$13:$A$64,ROWS(Compose_1200!$A$13:$A$64)),INDEX(Compose_1200!$J$13:$J$64,ROWS(Compose_1200!$J$13:$J$64)),INDEX(Compose_1200!$J$13:$J$64,MATCH(C20,Compose_1200!$A$13:$A$64,1))+(C20-INDEX(Compose_1200!$A$13:$A$64,MATCH(C20,Compose_1200!$A$13:$A$64,1)))/(INDEX(Compose_1200!$A$13:$A$64,MATCH(C20,Compose_1200!$A$13:$A$64,1)+1)-INDEX(Compose_1200!$A$13:$A$64,MATCH(C20,Compose_1200!$A$13:$A$64,1)))*(INDEX(Compose_1200!$J$13:$J$64,MATCH(C20,Compose_1200!$A$13:$A$64,1)+1)-INDEX(Compose_1200!$J$13:$J$64,MATCH(C20,Compose_1200!$A$13:$A$64,1))))))</f>
        <v/>
      </c>
      <c r="E20" s="21">
        <f>(A20-A19)*60</f>
        <v/>
      </c>
      <c r="F20" s="26">
        <f>MAX(0,F19+(0.5*(B19+B20)-D20)*E20)</f>
        <v/>
      </c>
      <c r="G20" s="18">
        <f>IF(C20&gt;$B$5,"oui","non")</f>
        <v/>
      </c>
      <c r="H20" s="20">
        <f>IF(Parametres!$C$96&lt;=0,0,D20/Parametres!$C$96)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$64,1),INDEX(Compose_1200!$A$13:$A$64,1),IF(F20&gt;=INDEX(Compose_1200!$G$13:$G$64,ROWS(Compose_1200!$G$13:$G$64)),INDEX(Compose_1200!$A$13:$A$64,ROWS(Compose_1200!$A$13:$A$64)),INDEX(Compose_1200!$A$13:$A$64,MATCH(F20,Compose_1200!$G$13:$G$64,1))+(F20-INDEX(Compose_1200!$G$13:$G$64,MATCH(F20,Compose_1200!$G$13:$G$64,1)))/(INDEX(Compose_1200!$G$13:$G$64,MATCH(F20,Compose_1200!$G$13:$G$64,1)+1)-INDEX(Compose_1200!$G$13:$G$64,MATCH(F20,Compose_1200!$G$13:$G$64,1)))*(INDEX(Compose_1200!$A$13:$A$64,MATCH(F20,Compose_1200!$G$13:$G$64,1)+1)-INDEX(Compose_1200!$A$13:$A$64,MATCH(F20,Compose_1200!$G$13:$G$64,1)))))</f>
        <v/>
      </c>
      <c r="D21" s="19">
        <f>IF(F20&lt;=0.01,MIN(0.5*(B20+B21),$B$4),IF(C21&lt;=INDEX(Compose_1200!$A$13:$A$64,1),INDEX(Compose_1200!$J$13:$J$64,1),IF(C21&gt;=INDEX(Compose_1200!$A$13:$A$64,ROWS(Compose_1200!$A$13:$A$64)),INDEX(Compose_1200!$J$13:$J$64,ROWS(Compose_1200!$J$13:$J$64)),INDEX(Compose_1200!$J$13:$J$64,MATCH(C21,Compose_1200!$A$13:$A$64,1))+(C21-INDEX(Compose_1200!$A$13:$A$64,MATCH(C21,Compose_1200!$A$13:$A$64,1)))/(INDEX(Compose_1200!$A$13:$A$64,MATCH(C21,Compose_1200!$A$13:$A$64,1)+1)-INDEX(Compose_1200!$A$13:$A$64,MATCH(C21,Compose_1200!$A$13:$A$64,1)))*(INDEX(Compose_1200!$J$13:$J$64,MATCH(C21,Compose_1200!$A$13:$A$64,1)+1)-INDEX(Compose_1200!$J$13:$J$64,MATCH(C21,Compose_1200!$A$13:$A$64,1))))))</f>
        <v/>
      </c>
      <c r="E21" s="21">
        <f>(A21-A20)*60</f>
        <v/>
      </c>
      <c r="F21" s="26">
        <f>MAX(0,F20+(0.5*(B20+B21)-D21)*E21)</f>
        <v/>
      </c>
      <c r="G21" s="18">
        <f>IF(C21&gt;$B$5,"oui","non")</f>
        <v/>
      </c>
      <c r="H21" s="20">
        <f>IF(Parametres!$C$96&lt;=0,0,D21/Parametres!$C$96)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$64,1),INDEX(Compose_1200!$A$13:$A$64,1),IF(F21&gt;=INDEX(Compose_1200!$G$13:$G$64,ROWS(Compose_1200!$G$13:$G$64)),INDEX(Compose_1200!$A$13:$A$64,ROWS(Compose_1200!$A$13:$A$64)),INDEX(Compose_1200!$A$13:$A$64,MATCH(F21,Compose_1200!$G$13:$G$64,1))+(F21-INDEX(Compose_1200!$G$13:$G$64,MATCH(F21,Compose_1200!$G$13:$G$64,1)))/(INDEX(Compose_1200!$G$13:$G$64,MATCH(F21,Compose_1200!$G$13:$G$64,1)+1)-INDEX(Compose_1200!$G$13:$G$64,MATCH(F21,Compose_1200!$G$13:$G$64,1)))*(INDEX(Compose_1200!$A$13:$A$64,MATCH(F21,Compose_1200!$G$13:$G$64,1)+1)-INDEX(Compose_1200!$A$13:$A$64,MATCH(F21,Compose_1200!$G$13:$G$64,1)))))</f>
        <v/>
      </c>
      <c r="D22" s="19">
        <f>IF(F21&lt;=0.01,MIN(0.5*(B21+B22),$B$4),IF(C22&lt;=INDEX(Compose_1200!$A$13:$A$64,1),INDEX(Compose_1200!$J$13:$J$64,1),IF(C22&gt;=INDEX(Compose_1200!$A$13:$A$64,ROWS(Compose_1200!$A$13:$A$64)),INDEX(Compose_1200!$J$13:$J$64,ROWS(Compose_1200!$J$13:$J$64)),INDEX(Compose_1200!$J$13:$J$64,MATCH(C22,Compose_1200!$A$13:$A$64,1))+(C22-INDEX(Compose_1200!$A$13:$A$64,MATCH(C22,Compose_1200!$A$13:$A$64,1)))/(INDEX(Compose_1200!$A$13:$A$64,MATCH(C22,Compose_1200!$A$13:$A$64,1)+1)-INDEX(Compose_1200!$A$13:$A$64,MATCH(C22,Compose_1200!$A$13:$A$64,1)))*(INDEX(Compose_1200!$J$13:$J$64,MATCH(C22,Compose_1200!$A$13:$A$64,1)+1)-INDEX(Compose_1200!$J$13:$J$64,MATCH(C22,Compose_1200!$A$13:$A$64,1))))))</f>
        <v/>
      </c>
      <c r="E22" s="21">
        <f>(A22-A21)*60</f>
        <v/>
      </c>
      <c r="F22" s="26">
        <f>MAX(0,F21+(0.5*(B21+B22)-D22)*E22)</f>
        <v/>
      </c>
      <c r="G22" s="18">
        <f>IF(C22&gt;$B$5,"oui","non")</f>
        <v/>
      </c>
      <c r="H22" s="20">
        <f>IF(Parametres!$C$96&lt;=0,0,D22/Parametres!$C$96)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6" t="inlineStr">
        <is>
          <t>Methode — retention SANS Ø900</t>
        </is>
      </c>
    </row>
    <row r="2">
      <c r="A2" t="inlineStr"/>
    </row>
    <row r="3">
      <c r="A3" t="inlineStr">
        <is>
          <t>1. Le Ø900 est elimine: controle = Ø1200; Stage_Storage = aires Z1+Z2 (leve combine).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Q_overflow; V = leve (+ V_ditch si Parametres B25=1).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2026-10-20T04:43:00Z</dcterms:created>
  <dcterms:modified xsi:type="dcterms:W3CDTF">2026-10-20T04:43:00Z</dcterms:modified>
</cp:coreProperties>
</file>