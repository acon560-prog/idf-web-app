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Hydrogramme" sheetId="2" state="visible" r:id="rId2"/>
    <sheet name="Calcul_A" sheetId="3" state="visible" r:id="rId3"/>
    <sheet name="Courbe_QH_1200" sheetId="4" state="visible" r:id="rId4"/>
    <sheet name="Calcul_B" sheetId="5" state="visible" r:id="rId5"/>
    <sheet name="Stage_Storage" sheetId="6" state="visible" r:id="rId6"/>
    <sheet name="Compose_1200" sheetId="7" state="visible" r:id="rId7"/>
    <sheet name="Calcul_C" sheetId="8" state="visible" r:id="rId8"/>
    <sheet name="Methode" sheetId="9" state="visible" r:id="rId9"/>
    <sheet name="Read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"/>
    <numFmt numFmtId="166" formatCode="0.0"/>
    <numFmt numFmtId="167" formatCode="0.0000"/>
  </numFmts>
  <fonts count="6">
    <font>
      <name val="Calibri"/>
      <family val="2"/>
      <color theme="1"/>
      <sz val="11"/>
      <scheme val="minor"/>
    </font>
    <font>
      <b val="1"/>
      <color rgb="000F5C5C"/>
      <sz val="14"/>
    </font>
    <font>
      <b val="1"/>
    </font>
    <font>
      <b val="1"/>
      <color rgb="000F5C5C"/>
      <sz val="12"/>
    </font>
    <font>
      <b val="1"/>
      <color rgb="00FFFFFF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FFE0B2"/>
      </patternFill>
    </fill>
    <fill>
      <patternFill patternType="solid">
        <fgColor rgb="00FFF59D"/>
      </patternFill>
    </fill>
    <fill>
      <patternFill patternType="solid">
        <fgColor rgb="00BBDEFB"/>
      </patternFill>
    </fill>
    <fill>
      <patternFill patternType="solid">
        <fgColor rgb="00C8E6C9"/>
      </patternFill>
    </fill>
    <fill>
      <patternFill patternType="solid">
        <fgColor rgb="000F5C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2" borderId="0" pivotButton="0" quotePrefix="0" xfId="0"/>
    <xf numFmtId="164" fontId="0" fillId="3" borderId="1" pivotButton="0" quotePrefix="0" xfId="0"/>
    <xf numFmtId="2" fontId="0" fillId="3" borderId="1" pivotButton="0" quotePrefix="0" xfId="0"/>
    <xf numFmtId="165" fontId="0" fillId="4" borderId="0" pivotButton="0" quotePrefix="0" xfId="0"/>
    <xf numFmtId="164" fontId="0" fillId="4" borderId="0" pivotButton="0" quotePrefix="0" xfId="0"/>
    <xf numFmtId="164" fontId="0" fillId="5" borderId="1" pivotButton="0" quotePrefix="0" xfId="0"/>
    <xf numFmtId="1" fontId="0" fillId="3" borderId="1" pivotButton="0" quotePrefix="0" xfId="0"/>
    <xf numFmtId="166" fontId="0" fillId="3" borderId="1" pivotButton="0" quotePrefix="0" xfId="0"/>
    <xf numFmtId="167" fontId="0" fillId="3" borderId="1" pivotButton="0" quotePrefix="0" xfId="0"/>
    <xf numFmtId="1" fontId="0" fillId="5" borderId="0" pivotButton="0" quotePrefix="0" xfId="0"/>
    <xf numFmtId="2" fontId="0" fillId="5" borderId="0" pivotButton="0" quotePrefix="0" xfId="0"/>
    <xf numFmtId="2" fontId="0" fillId="4" borderId="0" pivotButton="0" quotePrefix="0" xfId="0"/>
    <xf numFmtId="0" fontId="3" fillId="0" borderId="0" pivotButton="0" quotePrefix="0" xfId="0"/>
    <xf numFmtId="0" fontId="4" fillId="6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5" borderId="1" pivotButton="0" quotePrefix="0" xfId="0"/>
    <xf numFmtId="166" fontId="0" fillId="0" borderId="1" pivotButton="0" quotePrefix="0" xfId="0"/>
    <xf numFmtId="164" fontId="0" fillId="2" borderId="1" pivotButton="0" quotePrefix="0" xfId="0"/>
    <xf numFmtId="0" fontId="0" fillId="5" borderId="0" pivotButton="0" quotePrefix="0" xfId="0"/>
    <xf numFmtId="164" fontId="0" fillId="3" borderId="0" pivotButton="0" quotePrefix="0" xfId="0"/>
    <xf numFmtId="166" fontId="0" fillId="5" borderId="0" pivotButton="0" quotePrefix="0" xfId="0"/>
    <xf numFmtId="166" fontId="0" fillId="5" borderId="1" pivotButton="0" quotePrefix="0" xfId="0"/>
    <xf numFmtId="0" fontId="4" fillId="6" borderId="0" pivotButton="0" quotePrefix="0" xfId="0"/>
    <xf numFmtId="0" fontId="0" fillId="3" borderId="1" pivotButton="0" quotePrefix="0" xfId="0"/>
    <xf numFmtId="2" fontId="0" fillId="0" borderId="1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2" fontId="0" fillId="2" borderId="1" pivotButton="0" quotePrefix="0" xfId="0"/>
    <xf numFmtId="166" fontId="0" fillId="2" borderId="1" pivotButton="0" quotePrefix="0" xfId="0"/>
    <xf numFmtId="0" fontId="0" fillId="2" borderId="1" pivotButton="0" quotePrefix="0" xfId="0"/>
    <xf numFmtId="0" fontId="0" fillId="4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Hydrogramme Qin(t)</a:t>
            </a:r>
          </a:p>
        </rich>
      </tx>
    </title>
    <plotArea>
      <lineChart>
        <grouping val="standard"/>
        <ser>
          <idx val="0"/>
          <order val="0"/>
          <tx>
            <strRef>
              <f>'Hydrogramme'!C6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'Hydrogramme'!$A$7:$A$19</f>
            </numRef>
          </cat>
          <val>
            <numRef>
              <f>'Hydrogramme'!$C$7:$C$19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 (min)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Qin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Methode A — V(t) et Qin</a:t>
            </a:r>
          </a:p>
        </rich>
      </tx>
    </title>
    <plotArea>
      <lineChart>
        <grouping val="standard"/>
        <ser>
          <idx val="0"/>
          <order val="0"/>
          <tx>
            <strRef>
              <f>'Calcul_A'!E7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'Calcul_A'!$A$8:$A$20</f>
            </numRef>
          </cat>
          <val>
            <numRef>
              <f>'Calcul_A'!$E$8:$E$20</f>
            </numRef>
          </val>
        </ser>
        <ser>
          <idx val="1"/>
          <order val="1"/>
          <tx>
            <strRef>
              <f>'Calcul_A'!B7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'Calcul_A'!$A$8:$A$20</f>
            </numRef>
          </cat>
          <val>
            <numRef>
              <f>'Calcul_A'!$B$8:$B$20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(m3) / Qin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 gouvernant vs HW (Ø1200)</a:t>
            </a:r>
          </a:p>
        </rich>
      </tx>
    </title>
    <plotArea>
      <lineChart>
        <grouping val="standard"/>
        <ser>
          <idx val="0"/>
          <order val="0"/>
          <tx>
            <strRef>
              <f>'Courbe_QH_1200'!E19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'Courbe_QH_1200'!$A$20:$A$80</f>
            </numRef>
          </cat>
          <val>
            <numRef>
              <f>'Courbe_QH_1200'!$E$20:$E$80</f>
            </numRef>
          </val>
        </ser>
        <ser>
          <idx val="1"/>
          <order val="1"/>
          <tx>
            <strRef>
              <f>'Courbe_QH_1200'!C19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'Courbe_QH_1200'!$A$20:$A$80</f>
            </numRef>
          </cat>
          <val>
            <numRef>
              <f>'Courbe_QH_1200'!$C$20:$C$80</f>
            </numRef>
          </val>
        </ser>
        <ser>
          <idx val="2"/>
          <order val="2"/>
          <tx>
            <strRef>
              <f>'Courbe_QH_1200'!D19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'Courbe_QH_1200'!$A$20:$A$80</f>
            </numRef>
          </cat>
          <val>
            <numRef>
              <f>'Courbe_QH_1200'!$D$20:$D$80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HW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Methode B — V(t)</a:t>
            </a:r>
          </a:p>
        </rich>
      </tx>
    </title>
    <plotArea>
      <lineChart>
        <grouping val="standard"/>
        <ser>
          <idx val="0"/>
          <order val="0"/>
          <tx>
            <strRef>
              <f>'Calcul_B'!G9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'Calcul_B'!$A$10:$A$22</f>
            </numRef>
          </cat>
          <val>
            <numRef>
              <f>'Calcul_B'!$G$10:$G$22</f>
            </numRef>
          </val>
        </ser>
        <ser>
          <idx val="1"/>
          <order val="1"/>
          <tx>
            <strRef>
              <f>'Calcul_B'!B9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'Calcul_B'!$A$10:$A$22</f>
            </numRef>
          </cat>
          <val>
            <numRef>
              <f>'Calcul_B'!$B$10:$B$22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 cumul vs WSE (leve)</a:t>
            </a:r>
          </a:p>
        </rich>
      </tx>
    </title>
    <plotArea>
      <lineChart>
        <grouping val="standard"/>
        <ser>
          <idx val="0"/>
          <order val="0"/>
          <tx>
            <strRef>
              <f>'Stage_Storage'!E10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'Stage_Storage'!$A$11:$A$18</f>
            </numRef>
          </cat>
          <val>
            <numRef>
              <f>'Stage_Storage'!$E$11:$E$18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 (m3)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Qout compose vs WSE</a:t>
            </a:r>
          </a:p>
        </rich>
      </tx>
    </title>
    <plotArea>
      <lineChart>
        <grouping val="standard"/>
        <ser>
          <idx val="0"/>
          <order val="0"/>
          <tx>
            <strRef>
              <f>'Compose_1200'!J12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'Compose_1200'!$A$13:$A$64</f>
            </numRef>
          </cat>
          <val>
            <numRef>
              <f>'Compose_1200'!$J$13:$J$64</f>
            </numRef>
          </val>
        </ser>
        <ser>
          <idx val="1"/>
          <order val="1"/>
          <tx>
            <strRef>
              <f>'Compose_1200'!H12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'Compose_1200'!$A$13:$A$64</f>
            </numRef>
          </cat>
          <val>
            <numRef>
              <f>'Compose_1200'!$H$13:$H$64</f>
            </numRef>
          </val>
        </ser>
        <ser>
          <idx val="2"/>
          <order val="2"/>
          <tx>
            <strRef>
              <f>'Compose_1200'!I12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'Compose_1200'!$A$13:$A$64</f>
            </numRef>
          </cat>
          <val>
            <numRef>
              <f>'Compose_1200'!$I$13:$I$64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WSE (m)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Q (m3/s)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Methode C — WSE(t) et V(t)</a:t>
            </a:r>
          </a:p>
        </rich>
      </tx>
    </title>
    <plotArea>
      <lineChart>
        <grouping val="standard"/>
        <ser>
          <idx val="0"/>
          <order val="0"/>
          <tx>
            <strRef>
              <f>'Calcul_C'!C9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'Calcul_C'!$A$10:$A$22</f>
            </numRef>
          </cat>
          <val>
            <numRef>
              <f>'Calcul_C'!$C$10:$C$22</f>
            </numRef>
          </val>
        </ser>
        <ser>
          <idx val="1"/>
          <order val="1"/>
          <tx>
            <strRef>
              <f>'Calcul_C'!F9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'Calcul_C'!$A$10:$A$22</f>
            </numRef>
          </cat>
          <val>
            <numRef>
              <f>'Calcul_C'!$F$10:$F$22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55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Retention SANS Ø900 — control = Ø1200 (+ overflow optionnel)</t>
        </is>
      </c>
    </row>
    <row r="2">
      <c r="A2" s="2" t="inlineStr">
        <is>
          <t>Hypotheses: le Ø900 est elimine; un seul bassin (surfaces = Zone1+Zone2 du leve). Entree = hydrogramme (Ø1500). Sortie = Ø1200. Limite ville WSE = 37.40 m (B27). B25=0 → volume = leve seul (pas de V_ditch). Cellules JAUNES = entrees. Aluminium ondule: augmenter n (ex. 0.024) sur Courbe_QH_1200.</t>
        </is>
      </c>
    </row>
    <row r="3"/>
    <row r="5">
      <c r="A5" s="3" t="inlineStr">
        <is>
          <t>Schema</t>
        </is>
      </c>
    </row>
    <row r="6">
      <c r="A6" t="inlineStr">
        <is>
          <t>Ø1500 (in)  →  bassin de retention (agrandi)  →  Ø1200 (controle)  →  exutoire</t>
        </is>
      </c>
    </row>
    <row r="7">
      <c r="A7" s="4" t="inlineStr">
        <is>
          <t>Ø900: SUPPRIME (plus de goulot amont du Ø1200)</t>
        </is>
      </c>
    </row>
    <row r="9">
      <c r="A9" s="3" t="inlineStr">
        <is>
          <t>Ø1200 — geometrie et Manning (jaune)</t>
        </is>
      </c>
    </row>
    <row r="10">
      <c r="A10" t="inlineStr">
        <is>
          <t>n Manning (-)</t>
        </is>
      </c>
      <c r="B10" s="5" t="n">
        <v>0.013</v>
      </c>
      <c r="C10" t="inlineStr">
        <is>
          <t>beton ~0.013; aluminium ondule typ. 0.022–0.025 (changer aussi Courbe_QH_1200)</t>
        </is>
      </c>
    </row>
    <row r="11">
      <c r="A11" t="inlineStr">
        <is>
          <t>D (m)</t>
        </is>
      </c>
      <c r="B11" s="6" t="n">
        <v>1.2</v>
      </c>
    </row>
    <row r="12">
      <c r="A12" t="inlineStr">
        <is>
          <t>L (m)</t>
        </is>
      </c>
      <c r="B12" s="6" t="n">
        <v>31.3</v>
      </c>
    </row>
    <row r="13">
      <c r="A13" t="inlineStr">
        <is>
          <t>Radier amont Zin (m)</t>
        </is>
      </c>
      <c r="B13" s="6" t="n">
        <v>33.6</v>
      </c>
    </row>
    <row r="14">
      <c r="A14" t="inlineStr">
        <is>
          <t>Radier aval Zout (m)</t>
        </is>
      </c>
      <c r="B14" s="6" t="n">
        <v>33.1</v>
      </c>
    </row>
    <row r="15">
      <c r="A15" t="inlineStr">
        <is>
          <t>S0 = (Zin-Zout)/L</t>
        </is>
      </c>
      <c r="B15" s="7">
        <f>(B13-B14)/B12</f>
        <v/>
      </c>
    </row>
    <row r="16">
      <c r="A16" t="inlineStr">
        <is>
          <t>A = PI()*D^2/4 (m2)</t>
        </is>
      </c>
      <c r="B16" s="8">
        <f>PI()*B11^2/4</f>
        <v/>
      </c>
    </row>
    <row r="17">
      <c r="A17" t="inlineStr">
        <is>
          <t>R = D/4 (m)</t>
        </is>
      </c>
      <c r="B17" s="8">
        <f>B11/4</f>
        <v/>
      </c>
    </row>
    <row r="18">
      <c r="A18" t="inlineStr">
        <is>
          <t>Q_plein = (1/n)*A*R^(2/3)*SQRT(S0)</t>
        </is>
      </c>
      <c r="B18" s="9">
        <f>(1/B10)*B16*(B17^(2/3))*SQRT(B15)</f>
        <v/>
      </c>
      <c r="C18" t="inlineStr">
        <is>
          <t>m3/s — formule live</t>
        </is>
      </c>
    </row>
    <row r="19">
      <c r="A19" t="inlineStr">
        <is>
          <t>Fond bassin / NSE min (m)</t>
        </is>
      </c>
      <c r="B19" s="6" t="n">
        <v>34.88</v>
      </c>
      <c r="C19" t="inlineStr">
        <is>
          <t>Depart Stage_Storage (ex-radier zone Ø900)</t>
        </is>
      </c>
    </row>
    <row r="21">
      <c r="A21" s="3" t="inlineStr">
        <is>
          <t>Entrees routage (jaune)</t>
        </is>
      </c>
    </row>
    <row r="22">
      <c r="A22" t="inlineStr">
        <is>
          <t>Qout_cap (m3/s) Methode A</t>
        </is>
      </c>
      <c r="B22" s="5">
        <f>B18</f>
        <v/>
      </c>
      <c r="C22" t="inlineStr">
        <is>
          <t>Par defaut = Q_plein Ø1200; ecraser si besoin</t>
        </is>
      </c>
    </row>
    <row r="23">
      <c r="A23" t="inlineStr">
        <is>
          <t>Facteur_securite (-)</t>
        </is>
      </c>
      <c r="B23" s="6" t="n">
        <v>1.2</v>
      </c>
    </row>
    <row r="24">
      <c r="A24" t="inlineStr">
        <is>
          <t>Aire_plan_eau_m2 (approx Methode B)</t>
        </is>
      </c>
      <c r="B24" s="10" t="n">
        <v>2320</v>
      </c>
      <c r="C24" t="inlineStr">
        <is>
          <t>Raccourci Methode B seulement (H=V/A). Ex. A@37.40≈2320 — PAS un 2e bassin</t>
        </is>
      </c>
    </row>
    <row r="25">
      <c r="A25" t="inlineStr">
        <is>
          <t>Inclure V_ditch trapeze? (1=oui, 0=leve seul)</t>
        </is>
      </c>
      <c r="B25" s="10" t="n">
        <v>0</v>
      </c>
      <c r="C25" t="inlineStr">
        <is>
          <t>0 = recommande si Stage_Storage contient deja le fosse (V=leve seul; Q_overflow garde b,z,L). 1 = ajoute V_ditch = A_trapeze x L (risque double volume).</t>
        </is>
      </c>
    </row>
    <row r="26">
      <c r="A26" s="3" t="inlineStr">
        <is>
          <t>Overflow optionnel — fosse/berme au-dessus d'un crest (jaune)</t>
        </is>
      </c>
    </row>
    <row r="27">
      <c r="A27" t="inlineStr">
        <is>
          <t>Crest (m)</t>
        </is>
      </c>
      <c r="B27" s="6" t="n">
        <v>37.4</v>
      </c>
      <c r="C27" t="inlineStr">
        <is>
          <t>Limite ville = 37.40 m par defaut. Si WSE &lt; crest → Q_overflow = 0</t>
        </is>
      </c>
    </row>
    <row r="28">
      <c r="A28" t="inlineStr">
        <is>
          <t>b fond (m)</t>
        </is>
      </c>
      <c r="B28" s="6" t="n">
        <v>2</v>
      </c>
    </row>
    <row r="29">
      <c r="A29" t="inlineStr">
        <is>
          <t>n fosse (-)</t>
        </is>
      </c>
      <c r="B29" s="5" t="n">
        <v>0.035</v>
      </c>
    </row>
    <row r="30">
      <c r="A30" t="inlineStr">
        <is>
          <t>z (H:V)</t>
        </is>
      </c>
      <c r="B30" s="11" t="n">
        <v>2</v>
      </c>
    </row>
    <row r="31">
      <c r="A31" t="inlineStr">
        <is>
          <t>S fosse (-)</t>
        </is>
      </c>
      <c r="B31" s="12" t="n">
        <v>0.008500000000000001</v>
      </c>
      <c r="C31" t="inlineStr">
        <is>
          <t>Pente fosse (pas 0.085)</t>
        </is>
      </c>
    </row>
    <row r="32">
      <c r="A32" t="inlineStr">
        <is>
          <t>L fosse (m)</t>
        </is>
      </c>
      <c r="B32" s="11" t="n">
        <v>50.1</v>
      </c>
    </row>
    <row r="33">
      <c r="A33" t="inlineStr">
        <is>
          <t>Qout compose</t>
        </is>
      </c>
      <c r="B33" t="inlineStr">
        <is>
          <t>Q_1200(WSE) + Q_overflow(WSE)</t>
        </is>
      </c>
      <c r="C33">
        <f>IF(B25=1,"V=V_pond+V_ditch","V=V_pond (leve seul, B25=0)") — Compose_1200 + Calcul_C</f>
        <v/>
      </c>
    </row>
    <row r="35">
      <c r="A35" s="3" t="inlineStr">
        <is>
          <t>Resultats Methode A — Qout constant Ø1200 (Calcul_A)</t>
        </is>
      </c>
    </row>
    <row r="36">
      <c r="A36" t="inlineStr">
        <is>
          <t>Vmax_A (m3)</t>
        </is>
      </c>
      <c r="B36" s="13">
        <f>Calcul_A!B3</f>
        <v/>
      </c>
    </row>
    <row r="37">
      <c r="A37" t="inlineStr">
        <is>
          <t>V_dim_A = Vmax_A * facteur</t>
        </is>
      </c>
      <c r="B37" s="13">
        <f>B36*B23</f>
        <v/>
      </c>
    </row>
    <row r="38">
      <c r="A38" t="inlineStr">
        <is>
          <t>WSEmax_A (m) depuis leve</t>
        </is>
      </c>
      <c r="B38" s="14">
        <f>IF(B36&lt;=Stage_Storage!E11,Stage_Storage!A11,IF(B36&gt;=Stage_Storage!E18,"Hors table (&gt;=40.0 m — etendre leve)",INDEX(Stage_Storage!$A$11:$A$18,MATCH(B36,Stage_Storage!$E$11:$E$18,1))+(B36-INDEX(Stage_Storage!$E$11:$E$18,MATCH(B36,Stage_Storage!$E$11:$E$18,1)))/(INDEX(Stage_Storage!$E$11:$E$18,MATCH(B36,Stage_Storage!$E$11:$E$18,1)+1)-INDEX(Stage_Storage!$E$11:$E$18,MATCH(B36,Stage_Storage!$E$11:$E$18,1)))*(INDEX(Stage_Storage!$A$11:$A$18,MATCH(B36,Stage_Storage!$E$11:$E$18,1)+1)-INDEX(Stage_Storage!$A$11:$A$18,MATCH(B36,Stage_Storage!$E$11:$E$18,1)))))</f>
        <v/>
      </c>
    </row>
    <row r="39">
      <c r="A39" t="inlineStr">
        <is>
          <t>HW_A = WSEmax_A - Zin_1200 (m)</t>
        </is>
      </c>
      <c r="B39" s="14">
        <f>IF(ISNUMBER(B38),B38-B13,"")</f>
        <v/>
      </c>
    </row>
    <row r="41">
      <c r="A41" s="3" t="inlineStr">
        <is>
          <t>Resultats Methode B — Q=f(H) pipe Ø1200 (Calcul_B)</t>
        </is>
      </c>
    </row>
    <row r="42">
      <c r="A42" t="inlineStr">
        <is>
          <t>Vmax_B (m3)</t>
        </is>
      </c>
      <c r="B42" s="13">
        <f>Calcul_B!B7</f>
        <v/>
      </c>
    </row>
    <row r="43">
      <c r="A43" t="inlineStr">
        <is>
          <t>V_dim_B</t>
        </is>
      </c>
      <c r="B43" s="13">
        <f>B42*B23</f>
        <v/>
      </c>
    </row>
    <row r="44">
      <c r="A44" t="inlineStr">
        <is>
          <t>WSEmax_B (m) depuis leve</t>
        </is>
      </c>
      <c r="B44" s="14">
        <f>IF(B42&lt;=Stage_Storage!E11,Stage_Storage!A11,IF(B42&gt;=Stage_Storage!E18,"Hors table (&gt;=40.0 m — etendre leve)",INDEX(Stage_Storage!$A$11:$A$18,MATCH(B42,Stage_Storage!$E$11:$E$18,1))+(B42-INDEX(Stage_Storage!$E$11:$E$18,MATCH(B42,Stage_Storage!$E$11:$E$18,1)))/(INDEX(Stage_Storage!$E$11:$E$18,MATCH(B42,Stage_Storage!$E$11:$E$18,1)+1)-INDEX(Stage_Storage!$E$11:$E$18,MATCH(B42,Stage_Storage!$E$11:$E$18,1)))*(INDEX(Stage_Storage!$A$11:$A$18,MATCH(B42,Stage_Storage!$E$11:$E$18,1)+1)-INDEX(Stage_Storage!$A$11:$A$18,MATCH(B42,Stage_Storage!$E$11:$E$18,1)))))</f>
        <v/>
      </c>
    </row>
    <row r="45">
      <c r="A45" t="inlineStr">
        <is>
          <t>Hmax_B approx = Vmax_B / Aire (m)</t>
        </is>
      </c>
      <c r="B45" s="15">
        <f>IF(B24&gt;0,B42/B24,0)</f>
        <v/>
      </c>
    </row>
    <row r="47">
      <c r="A47" s="3" t="inlineStr">
        <is>
          <t>Resultats Methode C — Ø1200 + Q_overflow (V via B25)</t>
        </is>
      </c>
    </row>
    <row r="48">
      <c r="A48" t="inlineStr">
        <is>
          <t>Vmax_C (m3) = max(V_total)</t>
        </is>
      </c>
      <c r="B48" s="13">
        <f>Calcul_C!B7</f>
        <v/>
      </c>
    </row>
    <row r="49">
      <c r="A49" t="inlineStr">
        <is>
          <t>V_dim_C</t>
        </is>
      </c>
      <c r="B49" s="13">
        <f>B48*B23</f>
        <v/>
      </c>
    </row>
    <row r="50">
      <c r="A50" t="inlineStr">
        <is>
          <t>WSEmax_C (m) routage</t>
        </is>
      </c>
      <c r="B50" s="14">
        <f>Calcul_C!B8</f>
        <v/>
      </c>
    </row>
    <row r="51">
      <c r="A51" t="inlineStr">
        <is>
          <t>HW_C = WSEmax_C - Zin_1200 (m)</t>
        </is>
      </c>
      <c r="B51" s="14">
        <f>IF(ISNUMBER(B50),B50-B13,"")</f>
        <v/>
      </c>
      <c r="C51" t="inlineStr">
        <is>
          <t>Overflow actif si WSEmax_C &gt; crest (B27)</t>
        </is>
      </c>
    </row>
    <row r="53">
      <c r="A53" s="3" t="inlineStr">
        <is>
          <t>Notes dynamiques</t>
        </is>
      </c>
    </row>
    <row r="54">
      <c r="A54" t="inlineStr">
        <is>
          <t>• Sans Ø900: le goulot est le Ø1200 (Q_plein ~4.9 m3/s vs ~1.7 avant) → moins de stockage force, plus de pointe aval.</t>
        </is>
      </c>
    </row>
    <row r="55">
      <c r="A55" t="inlineStr">
        <is>
          <t>• Stage_Storage = Z1+Z2 (sans Ø900). Editer jaune; limite ville 37.40 m (B27 / ligne orange).</t>
        </is>
      </c>
    </row>
    <row r="56">
      <c r="A56" t="inlineStr">
        <is>
          <t>• B25=0: V Methode C = leve seul. B25=1: +V_ditch trapeze. Q_overflow toujours actif si WSE&gt;crest.</t>
        </is>
      </c>
    </row>
    <row r="57">
      <c r="A57" t="inlineStr">
        <is>
          <t>• Methode A: 1re estimation. B: FHWA pipe (Aire B24). C: pipe + Q_overflow.</t>
        </is>
      </c>
    </row>
    <row r="58">
      <c r="A58" t="inlineStr">
        <is>
          <t>• Verifier pointe aval (Ø1200 livre plus que l'ancien Ø900).</t>
        </is>
      </c>
    </row>
    <row r="92">
      <c r="A92" s="16" t="inlineStr">
        <is>
          <t>Vitesses de reference — V = Q / A_plein</t>
        </is>
      </c>
    </row>
    <row r="93">
      <c r="A93" t="inlineStr">
        <is>
          <t>Sans Ø900: control = Ø1200. V_eq = Q/A_plein. Partiellement rempli: V reelle = Q/A(h) plus elevee — voir Courbe_QH_1200.</t>
        </is>
      </c>
    </row>
    <row r="94">
      <c r="A94" s="17" t="inlineStr">
        <is>
          <t>Ouvrage</t>
        </is>
      </c>
      <c r="B94" s="17" t="inlineStr">
        <is>
          <t>D (m)</t>
        </is>
      </c>
      <c r="C94" s="17" t="inlineStr">
        <is>
          <t>A_plein (m2)</t>
        </is>
      </c>
      <c r="D94" s="17" t="inlineStr">
        <is>
          <t>Q ref</t>
        </is>
      </c>
      <c r="E94" s="17" t="inlineStr">
        <is>
          <t>V_eq (m/s)</t>
        </is>
      </c>
      <c r="F94" s="17" t="inlineStr">
        <is>
          <t>Note</t>
        </is>
      </c>
    </row>
    <row r="95">
      <c r="A95" s="18" t="inlineStr">
        <is>
          <t>Ø1500 (entree)</t>
        </is>
      </c>
      <c r="B95" s="18" t="n">
        <v>1.5</v>
      </c>
      <c r="C95" s="19">
        <f>PI()*B95^2/4</f>
        <v/>
      </c>
      <c r="D95" s="19">
        <f>Hydrogramme!B4</f>
        <v/>
      </c>
      <c r="E95" s="20">
        <f>IF(C95&lt;=0,0,D95/C95)</f>
        <v/>
      </c>
      <c r="F95" s="18" t="inlineStr">
        <is>
          <t>Qpointe</t>
        </is>
      </c>
    </row>
    <row r="96">
      <c r="A96" s="18" t="inlineStr">
        <is>
          <t>Ø1200 (controle)</t>
        </is>
      </c>
      <c r="B96" s="18">
        <f>B11</f>
        <v/>
      </c>
      <c r="C96" s="19">
        <f>B16</f>
        <v/>
      </c>
      <c r="D96" s="19">
        <f>B18</f>
        <v/>
      </c>
      <c r="E96" s="20">
        <f>IF(C96&lt;=0,0,D96/C96)</f>
        <v/>
      </c>
      <c r="F96" s="18" t="inlineStr">
        <is>
          <t>Q_plein Manning</t>
        </is>
      </c>
    </row>
    <row r="97">
      <c r="A97" t="inlineStr">
        <is>
          <t>V_Ø1200 @ Qout Calcul_A (m/s)</t>
        </is>
      </c>
      <c r="B97" s="14">
        <f>IF(C96&lt;=0,0,Calcul_A!B2/C96)</f>
        <v/>
      </c>
    </row>
  </sheetData>
  <mergeCells count="8">
    <mergeCell ref="A54:F54"/>
    <mergeCell ref="A2:F3"/>
    <mergeCell ref="A93:F93"/>
    <mergeCell ref="A1:F1"/>
    <mergeCell ref="A58:F58"/>
    <mergeCell ref="A56:F56"/>
    <mergeCell ref="A55:F55"/>
    <mergeCell ref="A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6" t="inlineStr">
        <is>
          <t>Hydrogramme d'entree (Ø1500 / entree retention) — LIVE</t>
        </is>
      </c>
    </row>
    <row r="2">
      <c r="A2" t="inlineStr">
        <is>
          <t>Qin(t) = ratio(t) × Qpointe. Changez B4 (jaune) → Calcul_A/B/C se mettent a jour.</t>
        </is>
      </c>
    </row>
    <row r="4">
      <c r="A4" t="inlineStr">
        <is>
          <t>Qpointe (m3/s)</t>
        </is>
      </c>
      <c r="B4" s="5" t="n">
        <v>9.6</v>
      </c>
    </row>
    <row r="6">
      <c r="A6" s="17" t="inlineStr">
        <is>
          <t>t (min)</t>
        </is>
      </c>
      <c r="B6" s="17" t="inlineStr">
        <is>
          <t>ratio</t>
        </is>
      </c>
      <c r="C6" s="17" t="inlineStr">
        <is>
          <t>Qin (m3/s)</t>
        </is>
      </c>
    </row>
    <row r="7">
      <c r="A7" s="21" t="n">
        <v>0</v>
      </c>
      <c r="B7" s="19" t="n">
        <v>0.081042</v>
      </c>
      <c r="C7" s="19">
        <f>B7*$B$4</f>
        <v/>
      </c>
    </row>
    <row r="8">
      <c r="A8" s="21" t="n">
        <v>5</v>
      </c>
      <c r="B8" s="19" t="n">
        <v>0.121875</v>
      </c>
      <c r="C8" s="19">
        <f>B8*$B$4</f>
        <v/>
      </c>
    </row>
    <row r="9">
      <c r="A9" s="21" t="n">
        <v>10</v>
      </c>
      <c r="B9" s="19" t="n">
        <v>0.193438</v>
      </c>
      <c r="C9" s="19">
        <f>B9*$B$4</f>
        <v/>
      </c>
    </row>
    <row r="10">
      <c r="A10" s="21" t="n">
        <v>15</v>
      </c>
      <c r="B10" s="19" t="n">
        <v>0.333542</v>
      </c>
      <c r="C10" s="19">
        <f>B10*$B$4</f>
        <v/>
      </c>
    </row>
    <row r="11">
      <c r="A11" s="21" t="n">
        <v>20</v>
      </c>
      <c r="B11" s="19" t="n">
        <v>0.657188</v>
      </c>
      <c r="C11" s="19">
        <f>B11*$B$4</f>
        <v/>
      </c>
    </row>
    <row r="12">
      <c r="A12" s="21" t="n">
        <v>22.5</v>
      </c>
      <c r="B12" s="19" t="n">
        <v>1</v>
      </c>
      <c r="C12" s="22">
        <f>B12*$B$4</f>
        <v/>
      </c>
    </row>
    <row r="13">
      <c r="A13" s="21" t="n">
        <v>27.5</v>
      </c>
      <c r="B13" s="19" t="n">
        <v>0.608958</v>
      </c>
      <c r="C13" s="19">
        <f>B13*$B$4</f>
        <v/>
      </c>
    </row>
    <row r="14">
      <c r="A14" s="21" t="n">
        <v>32.5</v>
      </c>
      <c r="B14" s="19" t="n">
        <v>0.401771</v>
      </c>
      <c r="C14" s="19">
        <f>B14*$B$4</f>
        <v/>
      </c>
    </row>
    <row r="15">
      <c r="A15" s="21" t="n">
        <v>37.5</v>
      </c>
      <c r="B15" s="19" t="n">
        <v>0.280104</v>
      </c>
      <c r="C15" s="19">
        <f>B15*$B$4</f>
        <v/>
      </c>
    </row>
    <row r="16">
      <c r="A16" s="21" t="n">
        <v>42.5</v>
      </c>
      <c r="B16" s="19" t="n">
        <v>0.203438</v>
      </c>
      <c r="C16" s="19">
        <f>B16*$B$4</f>
        <v/>
      </c>
    </row>
    <row r="17">
      <c r="A17" s="21" t="n">
        <v>47.5</v>
      </c>
      <c r="B17" s="19" t="n">
        <v>0.152292</v>
      </c>
      <c r="C17" s="19">
        <f>B17*$B$4</f>
        <v/>
      </c>
    </row>
    <row r="18">
      <c r="A18" s="21" t="n">
        <v>52.5</v>
      </c>
      <c r="B18" s="19" t="n">
        <v>0.116771</v>
      </c>
      <c r="C18" s="19">
        <f>B18*$B$4</f>
        <v/>
      </c>
    </row>
    <row r="19">
      <c r="A19" s="21" t="n">
        <v>57.5</v>
      </c>
      <c r="B19" s="19" t="n">
        <v>0.091146</v>
      </c>
      <c r="C19" s="19">
        <f>B19*$B$4</f>
        <v/>
      </c>
    </row>
    <row r="22">
      <c r="A22" t="inlineStr">
        <is>
          <t>Qin max</t>
        </is>
      </c>
      <c r="B22" s="23">
        <f>MAX(C7:C19)</f>
        <v/>
      </c>
    </row>
  </sheetData>
  <mergeCells count="1">
    <mergeCell ref="A2: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Methode A — Qout constant = Qout_cap (Ø1200)</t>
        </is>
      </c>
    </row>
    <row r="2">
      <c r="A2" t="inlineStr">
        <is>
          <t>Qout</t>
        </is>
      </c>
      <c r="B2" s="24">
        <f>Parametres!B22</f>
        <v/>
      </c>
    </row>
    <row r="3">
      <c r="A3" t="inlineStr">
        <is>
          <t>Vmax_A (m3)</t>
        </is>
      </c>
      <c r="B3" s="25">
        <f>MAX(E8:E20)</f>
        <v/>
      </c>
    </row>
    <row r="7">
      <c r="A7" s="17" t="inlineStr">
        <is>
          <t>t (min)</t>
        </is>
      </c>
      <c r="B7" s="17" t="inlineStr">
        <is>
          <t>Qin</t>
        </is>
      </c>
      <c r="C7" s="17" t="inlineStr">
        <is>
          <t>Qout</t>
        </is>
      </c>
      <c r="D7" s="17" t="inlineStr">
        <is>
          <t>dt (s)</t>
        </is>
      </c>
      <c r="E7" s="17" t="inlineStr">
        <is>
          <t>V (m3)</t>
        </is>
      </c>
      <c r="F7" s="17" t="inlineStr">
        <is>
          <t>V_Ø1200 (m/s)</t>
        </is>
      </c>
    </row>
    <row r="8">
      <c r="A8" s="19">
        <f>Hydrogramme!A7</f>
        <v/>
      </c>
      <c r="B8" s="19">
        <f>Hydrogramme!C7</f>
        <v/>
      </c>
      <c r="C8" s="19">
        <f>$B$2</f>
        <v/>
      </c>
      <c r="D8" s="21" t="n">
        <v>0</v>
      </c>
      <c r="E8" s="26" t="n">
        <v>0</v>
      </c>
      <c r="F8" s="20">
        <f>IF(Parametres!$C$96&lt;=0,0,C8/Parametres!$C$96)</f>
        <v/>
      </c>
    </row>
    <row r="9">
      <c r="A9" s="19">
        <f>Hydrogramme!A8</f>
        <v/>
      </c>
      <c r="B9" s="19">
        <f>Hydrogramme!C8</f>
        <v/>
      </c>
      <c r="C9" s="19">
        <f>$B$2</f>
        <v/>
      </c>
      <c r="D9" s="21">
        <f>(A9-A8)*60</f>
        <v/>
      </c>
      <c r="E9" s="26">
        <f>MAX(0,E8+(0.5*(B8+B9)-C9)*D9)</f>
        <v/>
      </c>
      <c r="F9" s="20">
        <f>IF(Parametres!$C$96&lt;=0,0,C9/Parametres!$C$96)</f>
        <v/>
      </c>
    </row>
    <row r="10">
      <c r="A10" s="19">
        <f>Hydrogramme!A9</f>
        <v/>
      </c>
      <c r="B10" s="19">
        <f>Hydrogramme!C9</f>
        <v/>
      </c>
      <c r="C10" s="19">
        <f>$B$2</f>
        <v/>
      </c>
      <c r="D10" s="21">
        <f>(A10-A9)*60</f>
        <v/>
      </c>
      <c r="E10" s="26">
        <f>MAX(0,E9+(0.5*(B9+B10)-C10)*D10)</f>
        <v/>
      </c>
      <c r="F10" s="20">
        <f>IF(Parametres!$C$96&lt;=0,0,C10/Parametres!$C$96)</f>
        <v/>
      </c>
    </row>
    <row r="11">
      <c r="A11" s="19">
        <f>Hydrogramme!A10</f>
        <v/>
      </c>
      <c r="B11" s="19">
        <f>Hydrogramme!C10</f>
        <v/>
      </c>
      <c r="C11" s="19">
        <f>$B$2</f>
        <v/>
      </c>
      <c r="D11" s="21">
        <f>(A11-A10)*60</f>
        <v/>
      </c>
      <c r="E11" s="26">
        <f>MAX(0,E10+(0.5*(B10+B11)-C11)*D11)</f>
        <v/>
      </c>
      <c r="F11" s="20">
        <f>IF(Parametres!$C$96&lt;=0,0,C11/Parametres!$C$96)</f>
        <v/>
      </c>
    </row>
    <row r="12">
      <c r="A12" s="19">
        <f>Hydrogramme!A11</f>
        <v/>
      </c>
      <c r="B12" s="19">
        <f>Hydrogramme!C11</f>
        <v/>
      </c>
      <c r="C12" s="19">
        <f>$B$2</f>
        <v/>
      </c>
      <c r="D12" s="21">
        <f>(A12-A11)*60</f>
        <v/>
      </c>
      <c r="E12" s="26">
        <f>MAX(0,E11+(0.5*(B11+B12)-C12)*D12)</f>
        <v/>
      </c>
      <c r="F12" s="20">
        <f>IF(Parametres!$C$96&lt;=0,0,C12/Parametres!$C$96)</f>
        <v/>
      </c>
    </row>
    <row r="13">
      <c r="A13" s="19">
        <f>Hydrogramme!A12</f>
        <v/>
      </c>
      <c r="B13" s="19">
        <f>Hydrogramme!C12</f>
        <v/>
      </c>
      <c r="C13" s="19">
        <f>$B$2</f>
        <v/>
      </c>
      <c r="D13" s="21">
        <f>(A13-A12)*60</f>
        <v/>
      </c>
      <c r="E13" s="26">
        <f>MAX(0,E12+(0.5*(B12+B13)-C13)*D13)</f>
        <v/>
      </c>
      <c r="F13" s="20">
        <f>IF(Parametres!$C$96&lt;=0,0,C13/Parametres!$C$96)</f>
        <v/>
      </c>
    </row>
    <row r="14">
      <c r="A14" s="19">
        <f>Hydrogramme!A13</f>
        <v/>
      </c>
      <c r="B14" s="19">
        <f>Hydrogramme!C13</f>
        <v/>
      </c>
      <c r="C14" s="19">
        <f>$B$2</f>
        <v/>
      </c>
      <c r="D14" s="21">
        <f>(A14-A13)*60</f>
        <v/>
      </c>
      <c r="E14" s="26">
        <f>MAX(0,E13+(0.5*(B13+B14)-C14)*D14)</f>
        <v/>
      </c>
      <c r="F14" s="20">
        <f>IF(Parametres!$C$96&lt;=0,0,C14/Parametres!$C$96)</f>
        <v/>
      </c>
    </row>
    <row r="15">
      <c r="A15" s="19">
        <f>Hydrogramme!A14</f>
        <v/>
      </c>
      <c r="B15" s="19">
        <f>Hydrogramme!C14</f>
        <v/>
      </c>
      <c r="C15" s="19">
        <f>$B$2</f>
        <v/>
      </c>
      <c r="D15" s="21">
        <f>(A15-A14)*60</f>
        <v/>
      </c>
      <c r="E15" s="26">
        <f>MAX(0,E14+(0.5*(B14+B15)-C15)*D15)</f>
        <v/>
      </c>
      <c r="F15" s="20">
        <f>IF(Parametres!$C$96&lt;=0,0,C15/Parametres!$C$96)</f>
        <v/>
      </c>
    </row>
    <row r="16">
      <c r="A16" s="19">
        <f>Hydrogramme!A15</f>
        <v/>
      </c>
      <c r="B16" s="19">
        <f>Hydrogramme!C15</f>
        <v/>
      </c>
      <c r="C16" s="19">
        <f>$B$2</f>
        <v/>
      </c>
      <c r="D16" s="21">
        <f>(A16-A15)*60</f>
        <v/>
      </c>
      <c r="E16" s="26">
        <f>MAX(0,E15+(0.5*(B15+B16)-C16)*D16)</f>
        <v/>
      </c>
      <c r="F16" s="20">
        <f>IF(Parametres!$C$96&lt;=0,0,C16/Parametres!$C$96)</f>
        <v/>
      </c>
    </row>
    <row r="17">
      <c r="A17" s="19">
        <f>Hydrogramme!A16</f>
        <v/>
      </c>
      <c r="B17" s="19">
        <f>Hydrogramme!C16</f>
        <v/>
      </c>
      <c r="C17" s="19">
        <f>$B$2</f>
        <v/>
      </c>
      <c r="D17" s="21">
        <f>(A17-A16)*60</f>
        <v/>
      </c>
      <c r="E17" s="26">
        <f>MAX(0,E16+(0.5*(B16+B17)-C17)*D17)</f>
        <v/>
      </c>
      <c r="F17" s="20">
        <f>IF(Parametres!$C$96&lt;=0,0,C17/Parametres!$C$96)</f>
        <v/>
      </c>
    </row>
    <row r="18">
      <c r="A18" s="19">
        <f>Hydrogramme!A17</f>
        <v/>
      </c>
      <c r="B18" s="19">
        <f>Hydrogramme!C17</f>
        <v/>
      </c>
      <c r="C18" s="19">
        <f>$B$2</f>
        <v/>
      </c>
      <c r="D18" s="21">
        <f>(A18-A17)*60</f>
        <v/>
      </c>
      <c r="E18" s="26">
        <f>MAX(0,E17+(0.5*(B17+B18)-C18)*D18)</f>
        <v/>
      </c>
      <c r="F18" s="20">
        <f>IF(Parametres!$C$96&lt;=0,0,C18/Parametres!$C$96)</f>
        <v/>
      </c>
    </row>
    <row r="19">
      <c r="A19" s="19">
        <f>Hydrogramme!A18</f>
        <v/>
      </c>
      <c r="B19" s="19">
        <f>Hydrogramme!C18</f>
        <v/>
      </c>
      <c r="C19" s="19">
        <f>$B$2</f>
        <v/>
      </c>
      <c r="D19" s="21">
        <f>(A19-A18)*60</f>
        <v/>
      </c>
      <c r="E19" s="26">
        <f>MAX(0,E18+(0.5*(B18+B19)-C19)*D19)</f>
        <v/>
      </c>
      <c r="F19" s="20">
        <f>IF(Parametres!$C$96&lt;=0,0,C19/Parametres!$C$96)</f>
        <v/>
      </c>
    </row>
    <row r="20">
      <c r="A20" s="19">
        <f>Hydrogramme!A19</f>
        <v/>
      </c>
      <c r="B20" s="19">
        <f>Hydrogramme!C19</f>
        <v/>
      </c>
      <c r="C20" s="19">
        <f>$B$2</f>
        <v/>
      </c>
      <c r="D20" s="21">
        <f>(A20-A19)*60</f>
        <v/>
      </c>
      <c r="E20" s="26">
        <f>MAX(0,E19+(0.5*(B19+B20)-C20)*D20)</f>
        <v/>
      </c>
      <c r="F20" s="20">
        <f>IF(Parametres!$C$96&lt;=0,0,C20/Parametres!$C$96)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Courbe Q=f(H) Ø1200 — FHWA HDS-5 (inlet + outlet) LIVE</t>
        </is>
      </c>
    </row>
    <row r="2">
      <c r="A2" t="inlineStr">
        <is>
          <t>Parametres lies a Parametres!B10–B14. Q_gouvernant = MIN(Qinlet, Qoutlet).</t>
        </is>
      </c>
    </row>
    <row r="4">
      <c r="A4" s="17" t="inlineStr">
        <is>
          <t>n</t>
        </is>
      </c>
      <c r="B4" s="17">
        <f>Parametres!B10</f>
        <v/>
      </c>
      <c r="C4" s="17" t="n"/>
      <c r="D4" s="17" t="n"/>
      <c r="E4" s="17" t="inlineStr">
        <is>
          <t>entree</t>
        </is>
      </c>
      <c r="F4" s="17" t="inlineStr">
        <is>
          <t>K</t>
        </is>
      </c>
      <c r="G4" s="27" t="inlineStr">
        <is>
          <t>M</t>
        </is>
      </c>
      <c r="H4" s="27" t="inlineStr">
        <is>
          <t>c</t>
        </is>
      </c>
      <c r="I4" s="27" t="inlineStr">
        <is>
          <t>Y</t>
        </is>
      </c>
      <c r="J4" s="27" t="inlineStr">
        <is>
          <t>Ke</t>
        </is>
      </c>
    </row>
    <row r="5">
      <c r="A5" t="inlineStr">
        <is>
          <t>D (m)</t>
        </is>
      </c>
      <c r="B5">
        <f>Parametres!B11</f>
        <v/>
      </c>
      <c r="E5" s="18" t="inlineStr">
        <is>
          <t>square_edge</t>
        </is>
      </c>
      <c r="F5" s="18" t="n">
        <v>0.0098</v>
      </c>
      <c r="G5" s="18" t="n">
        <v>2</v>
      </c>
      <c r="H5" s="18" t="n">
        <v>0.0398</v>
      </c>
      <c r="I5" s="18" t="n">
        <v>0.67</v>
      </c>
      <c r="J5" s="18" t="n">
        <v>0.5</v>
      </c>
    </row>
    <row r="6">
      <c r="A6" t="inlineStr">
        <is>
          <t>L (m)</t>
        </is>
      </c>
      <c r="B6">
        <f>Parametres!B12</f>
        <v/>
      </c>
      <c r="E6" s="18" t="inlineStr">
        <is>
          <t>beveled</t>
        </is>
      </c>
      <c r="F6" s="18" t="n">
        <v>0.0018</v>
      </c>
      <c r="G6" s="18" t="n">
        <v>2.5</v>
      </c>
      <c r="H6" s="18" t="n">
        <v>0.03</v>
      </c>
      <c r="I6" s="18" t="n">
        <v>0.74</v>
      </c>
      <c r="J6" s="18" t="n">
        <v>0.2</v>
      </c>
    </row>
    <row r="7">
      <c r="A7" t="inlineStr">
        <is>
          <t>Zin (m)</t>
        </is>
      </c>
      <c r="B7">
        <f>Parametres!B13</f>
        <v/>
      </c>
      <c r="E7" s="18" t="inlineStr">
        <is>
          <t>groove_headwall</t>
        </is>
      </c>
      <c r="F7" s="18" t="n">
        <v>0.0078</v>
      </c>
      <c r="G7" s="18" t="n">
        <v>2</v>
      </c>
      <c r="H7" s="18" t="n">
        <v>0.0292</v>
      </c>
      <c r="I7" s="18" t="n">
        <v>0.74</v>
      </c>
      <c r="J7" s="18" t="n">
        <v>0.2</v>
      </c>
    </row>
    <row r="8">
      <c r="A8" t="inlineStr">
        <is>
          <t>Zout (m)</t>
        </is>
      </c>
      <c r="B8">
        <f>Parametres!B14</f>
        <v/>
      </c>
    </row>
    <row r="9">
      <c r="A9" t="inlineStr">
        <is>
          <t>S0</t>
        </is>
      </c>
      <c r="B9">
        <f>Parametres!B15</f>
        <v/>
      </c>
    </row>
    <row r="10">
      <c r="A10" t="inlineStr">
        <is>
          <t>TW au-dessus Zout (m)</t>
        </is>
      </c>
      <c r="B10" s="28" t="n">
        <v>0</v>
      </c>
    </row>
    <row r="11">
      <c r="A11" t="inlineStr">
        <is>
          <t>Entree</t>
        </is>
      </c>
      <c r="B11" s="28" t="inlineStr">
        <is>
          <t>square_edge</t>
        </is>
      </c>
      <c r="C11" t="inlineStr">
        <is>
          <t>square_edge | beveled | groove_headwall</t>
        </is>
      </c>
    </row>
    <row r="13">
      <c r="A13" t="inlineStr">
        <is>
          <t>K</t>
        </is>
      </c>
      <c r="B13">
        <f>IFERROR(VLOOKUP(B11,$E$5:$J$7,2,FALSE),0.0098)</f>
        <v/>
      </c>
    </row>
    <row r="14">
      <c r="A14" t="inlineStr">
        <is>
          <t>M</t>
        </is>
      </c>
      <c r="B14">
        <f>IFERROR(VLOOKUP(B11,$E$5:$J$7,3,FALSE),2)</f>
        <v/>
      </c>
    </row>
    <row r="15">
      <c r="A15" t="inlineStr">
        <is>
          <t>c</t>
        </is>
      </c>
      <c r="B15">
        <f>IFERROR(VLOOKUP(B11,$E$5:$J$7,4,FALSE),0.0398)</f>
        <v/>
      </c>
    </row>
    <row r="16">
      <c r="A16" t="inlineStr">
        <is>
          <t>Y</t>
        </is>
      </c>
      <c r="B16">
        <f>IFERROR(VLOOKUP(B11,$E$5:$J$7,5,FALSE),0.67)</f>
        <v/>
      </c>
    </row>
    <row r="17">
      <c r="A17" t="inlineStr">
        <is>
          <t>Ke</t>
        </is>
      </c>
      <c r="B17">
        <f>IFERROR(VLOOKUP(B11,$E$5:$J$7,6,FALSE),0.5)</f>
        <v/>
      </c>
    </row>
    <row r="19">
      <c r="A19" s="17" t="inlineStr">
        <is>
          <t>HW (m)</t>
        </is>
      </c>
      <c r="B19" s="17" t="inlineStr">
        <is>
          <t>WSE (m)</t>
        </is>
      </c>
      <c r="C19" s="17" t="inlineStr">
        <is>
          <t>Qinlet</t>
        </is>
      </c>
      <c r="D19" s="17" t="inlineStr">
        <is>
          <t>Qoutlet</t>
        </is>
      </c>
      <c r="E19" s="17" t="inlineStr">
        <is>
          <t>Q gouvernant</t>
        </is>
      </c>
      <c r="F19" s="17" t="inlineStr">
        <is>
          <t>A_ecoul (m2)</t>
        </is>
      </c>
      <c r="G19" s="17" t="inlineStr">
        <is>
          <t>V_gouv (m/s)</t>
        </is>
      </c>
    </row>
    <row r="20">
      <c r="A20" s="29" t="n">
        <v>0</v>
      </c>
      <c r="B20" s="29">
        <f>$B$7+A20</f>
        <v/>
      </c>
      <c r="C20" s="19">
        <f>IF(A20&lt;=0,0,IF(A20&lt;=1.2*$B$5,1.811*(PI()*($B$5/2)^2)*SQRT($B$5)*IF($B$13*$B$5&lt;=0,0,(A20/($B$13*$B$5))^(1/$B$14)),MAX(1.811*(PI()*($B$5/2)^2)*SQRT($B$5)*IF($B$13*$B$5&lt;=0,0,((1.2*$B$5)/($B$13*$B$5))^(1/$B$14)),1.811*(PI()*($B$5/2)^2)*SQRT($B$5)*SQRT(MAX(0,(A20/$B$5-$B$16)/$B$15)))))</f>
        <v/>
      </c>
      <c r="D20" s="19">
        <f>IF(A20&lt;$B$5,IF($B$4&lt;=0,0,(1/$B$4)*((($B$5/2)^2/2)*((2*ACOS(1-2*(MIN(0.999,MAX(1E-6,A20/$B$5)))))-SIN(2*ACOS(1-2*(MIN(0.999,MAX(1E-6,A20/$B$5)))))))*IF((IF((($B$5/2)*(2*ACOS(1-2*(MIN(0.999,MAX(1E-6,A20/$B$5))))))&lt;=0,0,((($B$5/2)^2/2)*((2*ACOS(1-2*(MIN(0.999,MAX(1E-6,A20/$B$5)))))-SIN(2*ACOS(1-2*(MIN(0.999,MAX(1E-6,A20/$B$5)))))))/(($B$5/2)*(2*ACOS(1-2*(MIN(0.999,MAX(1E-6,A20/$B$5))))))))&lt;=0,0,(IF((($B$5/2)*(2*ACOS(1-2*(MIN(0.999,MAX(1E-6,A20/$B$5))))))&lt;=0,0,((($B$5/2)^2/2)*((2*ACOS(1-2*(MIN(0.999,MAX(1E-6,A20/$B$5)))))-SIN(2*ACOS(1-2*(MIN(0.999,MAX(1E-6,A20/$B$5)))))))/(($B$5/2)*(2*ACOS(1-2*(MIN(0.999,MAX(1E-6,A20/$B$5))))))))^(2/3))*SQRT($B$9)),IF((A20-$B$10+$B$9*$B$6)&lt;=0,0,(PI()*($B$5/2)^2)*SQRT((A20-$B$10+$B$9*$B$6)/((1+$B$17)/(2*9.81)+($B$4^2)*$B$6/(($B$5/4)^(4/3))))))</f>
        <v/>
      </c>
      <c r="E20" s="9">
        <f>MIN(C20,D20)</f>
        <v/>
      </c>
      <c r="F20" s="19">
        <f>IF(A20&lt;=0,0,IF(A20&lt;$B$5,(($B$5/2)^2/2)*((2*ACOS(1-2*(MIN(0.999,MAX(1E-6,A20/$B$5)))))-SIN(2*ACOS(1-2*(MIN(0.999,MAX(1E-6,A20/$B$5)))))),(PI()*($B$5/2)^2)))</f>
        <v/>
      </c>
      <c r="G20" s="20">
        <f>IF(F20&lt;=0,0,E20/F20)</f>
        <v/>
      </c>
    </row>
    <row r="21">
      <c r="A21" s="29" t="n">
        <v>0.05</v>
      </c>
      <c r="B21" s="29">
        <f>$B$7+A21</f>
        <v/>
      </c>
      <c r="C21" s="19">
        <f>IF(A21&lt;=0,0,IF(A21&lt;=1.2*$B$5,1.811*(PI()*($B$5/2)^2)*SQRT($B$5)*IF($B$13*$B$5&lt;=0,0,(A21/($B$13*$B$5))^(1/$B$14)),MAX(1.811*(PI()*($B$5/2)^2)*SQRT($B$5)*IF($B$13*$B$5&lt;=0,0,((1.2*$B$5)/($B$13*$B$5))^(1/$B$14)),1.811*(PI()*($B$5/2)^2)*SQRT($B$5)*SQRT(MAX(0,(A21/$B$5-$B$16)/7)))))</f>
        <v/>
      </c>
      <c r="D21" s="19">
        <f>IF(A21&lt;$B$5,IF($B$4&lt;=0,0,(1/$B$4)*((($B$5/2)^2/2)*((2*ACOS(1-2*(MIN(0.999,MAX(1E-6,A21/$B$5)))))-SIN(2*ACOS(1-2*(MIN(0.999,MAX(1E-6,A21/$B$5)))))))*IF((IF((($B$5/2)*(2*ACOS(1-2*(MIN(0.999,MAX(1E-6,A21/$B$5))))))&lt;=0,0,((($B$5/2)^2/2)*((2*ACOS(1-2*(MIN(0.999,MAX(1E-6,A21/$B$5)))))-SIN(2*ACOS(1-2*(MIN(0.999,MAX(1E-6,A21/$B$5)))))))/(($B$5/2)*(2*ACOS(1-2*(MIN(0.999,MAX(1E-6,A21/$B$5))))))))&lt;=0,0,(IF((($B$5/2)*(2*ACOS(1-2*(MIN(0.999,MAX(1E-6,A21/$B$5))))))&lt;=0,0,((($B$5/2)^2/2)*((2*ACOS(1-2*(MIN(0.999,MAX(1E-6,A21/$B$5)))))-SIN(2*ACOS(1-2*(MIN(0.999,MAX(1E-6,A21/$B$5)))))))/(($B$5/2)*(2*ACOS(1-2*(MIN(0.999,MAX(1E-6,A21/$B$5))))))))^(2/3))*SQRT($B$9)),IF((A21-$B$10+$B$9*$B$6)&lt;=0,0,(PI()*($B$5/2)^2)*SQRT((A21-$B$10+$B$9*$B$6)/((1+$B$17)/(2*9.81)+($B$4^2)*$B$6/(($B$5/4)^(4/3))))))</f>
        <v/>
      </c>
      <c r="E21" s="9">
        <f>MIN(C21,D21)</f>
        <v/>
      </c>
      <c r="F21" s="19">
        <f>IF(A21&lt;=0,0,IF(A21&lt;$B$5,(($B$5/2)^2/2)*((2*ACOS(1-2*(MIN(0.999,MAX(1E-6,A21/$B$5)))))-SIN(2*ACOS(1-2*(MIN(0.999,MAX(1E-6,A21/$B$5)))))),(PI()*($B$5/2)^2)))</f>
        <v/>
      </c>
      <c r="G21" s="20">
        <f>IF(F21&lt;=0,0,E21/F21)</f>
        <v/>
      </c>
    </row>
    <row r="22">
      <c r="A22" s="29" t="n">
        <v>0.1</v>
      </c>
      <c r="B22" s="29">
        <f>$B$7+A22</f>
        <v/>
      </c>
      <c r="C22" s="19">
        <f>IF(A22&lt;=0,0,IF(A22&lt;=1.2*$B$5,1.811*(PI()*($B$5/2)^2)*SQRT($B$5)*IF($B$13*$B$5&lt;=0,0,(A22/($B$13*$B$5))^(1/$B$14)),MAX(1.811*(PI()*($B$5/2)^2)*SQRT($B$5)*IF($B$13*$B$5&lt;=0,0,((1.2*$B$5)/($B$13*$B$5))^(1/$B$14)),1.811*(PI()*($B$5/2)^2)*SQRT($B$5)*SQRT(MAX(0,(A22/$B$5-$B$16)/7)))))</f>
        <v/>
      </c>
      <c r="D22" s="19">
        <f>IF(A22&lt;$B$5,IF($B$4&lt;=0,0,(1/$B$4)*((($B$5/2)^2/2)*((2*ACOS(1-2*(MIN(0.999,MAX(1E-6,A22/$B$5)))))-SIN(2*ACOS(1-2*(MIN(0.999,MAX(1E-6,A22/$B$5)))))))*IF((IF((($B$5/2)*(2*ACOS(1-2*(MIN(0.999,MAX(1E-6,A22/$B$5))))))&lt;=0,0,((($B$5/2)^2/2)*((2*ACOS(1-2*(MIN(0.999,MAX(1E-6,A22/$B$5)))))-SIN(2*ACOS(1-2*(MIN(0.999,MAX(1E-6,A22/$B$5)))))))/(($B$5/2)*(2*ACOS(1-2*(MIN(0.999,MAX(1E-6,A22/$B$5))))))))&lt;=0,0,(IF((($B$5/2)*(2*ACOS(1-2*(MIN(0.999,MAX(1E-6,A22/$B$5))))))&lt;=0,0,((($B$5/2)^2/2)*((2*ACOS(1-2*(MIN(0.999,MAX(1E-6,A22/$B$5)))))-SIN(2*ACOS(1-2*(MIN(0.999,MAX(1E-6,A22/$B$5)))))))/(($B$5/2)*(2*ACOS(1-2*(MIN(0.999,MAX(1E-6,A22/$B$5))))))))^(2/3))*SQRT($B$9)),IF((A22-$B$10+$B$9*$B$6)&lt;=0,0,(PI()*($B$5/2)^2)*SQRT((A22-$B$10+$B$9*$B$6)/((1+$B$17)/(2*9.81)+($B$4^2)*$B$6/(($B$5/4)^(4/3))))))</f>
        <v/>
      </c>
      <c r="E22" s="9">
        <f>MIN(C22,D22)</f>
        <v/>
      </c>
      <c r="F22" s="19">
        <f>IF(A22&lt;=0,0,IF(A22&lt;$B$5,(($B$5/2)^2/2)*((2*ACOS(1-2*(MIN(0.999,MAX(1E-6,A22/$B$5)))))-SIN(2*ACOS(1-2*(MIN(0.999,MAX(1E-6,A22/$B$5)))))),(PI()*($B$5/2)^2)))</f>
        <v/>
      </c>
      <c r="G22" s="20">
        <f>IF(F22&lt;=0,0,E22/F22)</f>
        <v/>
      </c>
    </row>
    <row r="23">
      <c r="A23" s="29" t="n">
        <v>0.15</v>
      </c>
      <c r="B23" s="29">
        <f>$B$7+A23</f>
        <v/>
      </c>
      <c r="C23" s="19">
        <f>IF(A23&lt;=0,0,IF(A23&lt;=1.2*$B$5,1.811*(PI()*($B$5/2)^2)*SQRT($B$5)*IF($B$13*$B$5&lt;=0,0,(A23/($B$13*$B$5))^(1/$B$14)),MAX(1.811*(PI()*($B$5/2)^2)*SQRT($B$5)*IF($B$13*$B$5&lt;=0,0,((1.2*$B$5)/($B$13*$B$5))^(1/$B$14)),1.811*(PI()*($B$5/2)^2)*SQRT($B$5)*SQRT(MAX(0,(A23/$B$5-$B$16)/7)))))</f>
        <v/>
      </c>
      <c r="D23" s="19">
        <f>IF(A23&lt;$B$5,IF($B$4&lt;=0,0,(1/$B$4)*((($B$5/2)^2/2)*((2*ACOS(1-2*(MIN(0.999,MAX(1E-6,A23/$B$5)))))-SIN(2*ACOS(1-2*(MIN(0.999,MAX(1E-6,A23/$B$5)))))))*IF((IF((($B$5/2)*(2*ACOS(1-2*(MIN(0.999,MAX(1E-6,A23/$B$5))))))&lt;=0,0,((($B$5/2)^2/2)*((2*ACOS(1-2*(MIN(0.999,MAX(1E-6,A23/$B$5)))))-SIN(2*ACOS(1-2*(MIN(0.999,MAX(1E-6,A23/$B$5)))))))/(($B$5/2)*(2*ACOS(1-2*(MIN(0.999,MAX(1E-6,A23/$B$5))))))))&lt;=0,0,(IF((($B$5/2)*(2*ACOS(1-2*(MIN(0.999,MAX(1E-6,A23/$B$5))))))&lt;=0,0,((($B$5/2)^2/2)*((2*ACOS(1-2*(MIN(0.999,MAX(1E-6,A23/$B$5)))))-SIN(2*ACOS(1-2*(MIN(0.999,MAX(1E-6,A23/$B$5)))))))/(($B$5/2)*(2*ACOS(1-2*(MIN(0.999,MAX(1E-6,A23/$B$5))))))))^(2/3))*SQRT($B$9)),IF((A23-$B$10+$B$9*$B$6)&lt;=0,0,(PI()*($B$5/2)^2)*SQRT((A23-$B$10+$B$9*$B$6)/((1+$B$17)/(2*9.81)+($B$4^2)*$B$6/(($B$5/4)^(4/3))))))</f>
        <v/>
      </c>
      <c r="E23" s="9">
        <f>MIN(C23,D23)</f>
        <v/>
      </c>
      <c r="F23" s="19">
        <f>IF(A23&lt;=0,0,IF(A23&lt;$B$5,(($B$5/2)^2/2)*((2*ACOS(1-2*(MIN(0.999,MAX(1E-6,A23/$B$5)))))-SIN(2*ACOS(1-2*(MIN(0.999,MAX(1E-6,A23/$B$5)))))),(PI()*($B$5/2)^2)))</f>
        <v/>
      </c>
      <c r="G23" s="20">
        <f>IF(F23&lt;=0,0,E23/F23)</f>
        <v/>
      </c>
    </row>
    <row r="24">
      <c r="A24" s="29" t="n">
        <v>0.2</v>
      </c>
      <c r="B24" s="29">
        <f>$B$7+A24</f>
        <v/>
      </c>
      <c r="C24" s="19">
        <f>IF(A24&lt;=0,0,IF(A24&lt;=1.2*$B$5,1.811*(PI()*($B$5/2)^2)*SQRT($B$5)*IF($B$13*$B$5&lt;=0,0,(A24/($B$13*$B$5))^(1/$B$14)),MAX(1.811*(PI()*($B$5/2)^2)*SQRT($B$5)*IF($B$13*$B$5&lt;=0,0,((1.2*$B$5)/($B$13*$B$5))^(1/$B$14)),1.811*(PI()*($B$5/2)^2)*SQRT($B$5)*SQRT(MAX(0,(A24/$B$5-$B$16)/7)))))</f>
        <v/>
      </c>
      <c r="D24" s="19">
        <f>IF(A24&lt;$B$5,IF($B$4&lt;=0,0,(1/$B$4)*((($B$5/2)^2/2)*((2*ACOS(1-2*(MIN(0.999,MAX(1E-6,A24/$B$5)))))-SIN(2*ACOS(1-2*(MIN(0.999,MAX(1E-6,A24/$B$5)))))))*IF((IF((($B$5/2)*(2*ACOS(1-2*(MIN(0.999,MAX(1E-6,A24/$B$5))))))&lt;=0,0,((($B$5/2)^2/2)*((2*ACOS(1-2*(MIN(0.999,MAX(1E-6,A24/$B$5)))))-SIN(2*ACOS(1-2*(MIN(0.999,MAX(1E-6,A24/$B$5)))))))/(($B$5/2)*(2*ACOS(1-2*(MIN(0.999,MAX(1E-6,A24/$B$5))))))))&lt;=0,0,(IF((($B$5/2)*(2*ACOS(1-2*(MIN(0.999,MAX(1E-6,A24/$B$5))))))&lt;=0,0,((($B$5/2)^2/2)*((2*ACOS(1-2*(MIN(0.999,MAX(1E-6,A24/$B$5)))))-SIN(2*ACOS(1-2*(MIN(0.999,MAX(1E-6,A24/$B$5)))))))/(($B$5/2)*(2*ACOS(1-2*(MIN(0.999,MAX(1E-6,A24/$B$5))))))))^(2/3))*SQRT($B$9)),IF((A24-$B$10+$B$9*$B$6)&lt;=0,0,(PI()*($B$5/2)^2)*SQRT((A24-$B$10+$B$9*$B$6)/((1+$B$17)/(2*9.81)+($B$4^2)*$B$6/(($B$5/4)^(4/3))))))</f>
        <v/>
      </c>
      <c r="E24" s="9">
        <f>MIN(C24,D24)</f>
        <v/>
      </c>
      <c r="F24" s="19">
        <f>IF(A24&lt;=0,0,IF(A24&lt;$B$5,(($B$5/2)^2/2)*((2*ACOS(1-2*(MIN(0.999,MAX(1E-6,A24/$B$5)))))-SIN(2*ACOS(1-2*(MIN(0.999,MAX(1E-6,A24/$B$5)))))),(PI()*($B$5/2)^2)))</f>
        <v/>
      </c>
      <c r="G24" s="20">
        <f>IF(F24&lt;=0,0,E24/F24)</f>
        <v/>
      </c>
    </row>
    <row r="25">
      <c r="A25" s="29" t="n">
        <v>0.25</v>
      </c>
      <c r="B25" s="29">
        <f>$B$7+A25</f>
        <v/>
      </c>
      <c r="C25" s="19">
        <f>IF(A25&lt;=0,0,IF(A25&lt;=1.2*$B$5,1.811*(PI()*($B$5/2)^2)*SQRT($B$5)*IF($B$13*$B$5&lt;=0,0,(A25/($B$13*$B$5))^(1/$B$14)),MAX(1.811*(PI()*($B$5/2)^2)*SQRT($B$5)*IF($B$13*$B$5&lt;=0,0,((1.2*$B$5)/($B$13*$B$5))^(1/$B$14)),1.811*(PI()*($B$5/2)^2)*SQRT($B$5)*SQRT(MAX(0,(A25/$B$5-$B$16)/7)))))</f>
        <v/>
      </c>
      <c r="D25" s="19">
        <f>IF(A25&lt;$B$5,IF($B$4&lt;=0,0,(1/$B$4)*((($B$5/2)^2/2)*((2*ACOS(1-2*(MIN(0.999,MAX(1E-6,A25/$B$5)))))-SIN(2*ACOS(1-2*(MIN(0.999,MAX(1E-6,A25/$B$5)))))))*IF((IF((($B$5/2)*(2*ACOS(1-2*(MIN(0.999,MAX(1E-6,A25/$B$5))))))&lt;=0,0,((($B$5/2)^2/2)*((2*ACOS(1-2*(MIN(0.999,MAX(1E-6,A25/$B$5)))))-SIN(2*ACOS(1-2*(MIN(0.999,MAX(1E-6,A25/$B$5)))))))/(($B$5/2)*(2*ACOS(1-2*(MIN(0.999,MAX(1E-6,A25/$B$5))))))))&lt;=0,0,(IF((($B$5/2)*(2*ACOS(1-2*(MIN(0.999,MAX(1E-6,A25/$B$5))))))&lt;=0,0,((($B$5/2)^2/2)*((2*ACOS(1-2*(MIN(0.999,MAX(1E-6,A25/$B$5)))))-SIN(2*ACOS(1-2*(MIN(0.999,MAX(1E-6,A25/$B$5)))))))/(($B$5/2)*(2*ACOS(1-2*(MIN(0.999,MAX(1E-6,A25/$B$5))))))))^(2/3))*SQRT($B$9)),IF((A25-$B$10+$B$9*$B$6)&lt;=0,0,(PI()*($B$5/2)^2)*SQRT((A25-$B$10+$B$9*$B$6)/((1+$B$17)/(2*9.81)+($B$4^2)*$B$6/(($B$5/4)^(4/3))))))</f>
        <v/>
      </c>
      <c r="E25" s="9">
        <f>MIN(C25,D25)</f>
        <v/>
      </c>
      <c r="F25" s="19">
        <f>IF(A25&lt;=0,0,IF(A25&lt;$B$5,(($B$5/2)^2/2)*((2*ACOS(1-2*(MIN(0.999,MAX(1E-6,A25/$B$5)))))-SIN(2*ACOS(1-2*(MIN(0.999,MAX(1E-6,A25/$B$5)))))),(PI()*($B$5/2)^2)))</f>
        <v/>
      </c>
      <c r="G25" s="20">
        <f>IF(F25&lt;=0,0,E25/F25)</f>
        <v/>
      </c>
    </row>
    <row r="26">
      <c r="A26" s="29" t="n">
        <v>0.3</v>
      </c>
      <c r="B26" s="29">
        <f>$B$7+A26</f>
        <v/>
      </c>
      <c r="C26" s="19">
        <f>IF(A26&lt;=0,0,IF(A26&lt;=1.2*$B$5,1.811*(PI()*($B$5/2)^2)*SQRT($B$5)*IF($B$13*$B$5&lt;=0,0,(A26/($B$13*$B$5))^(1/$B$14)),MAX(1.811*(PI()*($B$5/2)^2)*SQRT($B$5)*IF($B$13*$B$5&lt;=0,0,((1.2*$B$5)/($B$13*$B$5))^(1/$B$14)),1.811*(PI()*($B$5/2)^2)*SQRT($B$5)*SQRT(MAX(0,(A26/$B$5-$B$16)/7)))))</f>
        <v/>
      </c>
      <c r="D26" s="19">
        <f>IF(A26&lt;$B$5,IF($B$4&lt;=0,0,(1/$B$4)*((($B$5/2)^2/2)*((2*ACOS(1-2*(MIN(0.999,MAX(1E-6,A26/$B$5)))))-SIN(2*ACOS(1-2*(MIN(0.999,MAX(1E-6,A26/$B$5)))))))*IF((IF((($B$5/2)*(2*ACOS(1-2*(MIN(0.999,MAX(1E-6,A26/$B$5))))))&lt;=0,0,((($B$5/2)^2/2)*((2*ACOS(1-2*(MIN(0.999,MAX(1E-6,A26/$B$5)))))-SIN(2*ACOS(1-2*(MIN(0.999,MAX(1E-6,A26/$B$5)))))))/(($B$5/2)*(2*ACOS(1-2*(MIN(0.999,MAX(1E-6,A26/$B$5))))))))&lt;=0,0,(IF((($B$5/2)*(2*ACOS(1-2*(MIN(0.999,MAX(1E-6,A26/$B$5))))))&lt;=0,0,((($B$5/2)^2/2)*((2*ACOS(1-2*(MIN(0.999,MAX(1E-6,A26/$B$5)))))-SIN(2*ACOS(1-2*(MIN(0.999,MAX(1E-6,A26/$B$5)))))))/(($B$5/2)*(2*ACOS(1-2*(MIN(0.999,MAX(1E-6,A26/$B$5))))))))^(2/3))*SQRT($B$9)),IF((A26-$B$10+$B$9*$B$6)&lt;=0,0,(PI()*($B$5/2)^2)*SQRT((A26-$B$10+$B$9*$B$6)/((1+$B$17)/(2*9.81)+($B$4^2)*$B$6/(($B$5/4)^(4/3))))))</f>
        <v/>
      </c>
      <c r="E26" s="9">
        <f>MIN(C26,D26)</f>
        <v/>
      </c>
      <c r="F26" s="19">
        <f>IF(A26&lt;=0,0,IF(A26&lt;$B$5,(($B$5/2)^2/2)*((2*ACOS(1-2*(MIN(0.999,MAX(1E-6,A26/$B$5)))))-SIN(2*ACOS(1-2*(MIN(0.999,MAX(1E-6,A26/$B$5)))))),(PI()*($B$5/2)^2)))</f>
        <v/>
      </c>
      <c r="G26" s="20">
        <f>IF(F26&lt;=0,0,E26/F26)</f>
        <v/>
      </c>
    </row>
    <row r="27">
      <c r="A27" s="29" t="n">
        <v>0.35</v>
      </c>
      <c r="B27" s="29">
        <f>$B$7+A27</f>
        <v/>
      </c>
      <c r="C27" s="19">
        <f>IF(A27&lt;=0,0,IF(A27&lt;=1.2*$B$5,1.811*(PI()*($B$5/2)^2)*SQRT($B$5)*IF($B$13*$B$5&lt;=0,0,(A27/($B$13*$B$5))^(1/$B$14)),MAX(1.811*(PI()*($B$5/2)^2)*SQRT($B$5)*IF($B$13*$B$5&lt;=0,0,((1.2*$B$5)/($B$13*$B$5))^(1/$B$14)),1.811*(PI()*($B$5/2)^2)*SQRT($B$5)*SQRT(MAX(0,(A27/$B$5-$B$16)/7)))))</f>
        <v/>
      </c>
      <c r="D27" s="19">
        <f>IF(A27&lt;$B$5,IF($B$4&lt;=0,0,(1/$B$4)*((($B$5/2)^2/2)*((2*ACOS(1-2*(MIN(0.999,MAX(1E-6,A27/$B$5)))))-SIN(2*ACOS(1-2*(MIN(0.999,MAX(1E-6,A27/$B$5)))))))*IF((IF((($B$5/2)*(2*ACOS(1-2*(MIN(0.999,MAX(1E-6,A27/$B$5))))))&lt;=0,0,((($B$5/2)^2/2)*((2*ACOS(1-2*(MIN(0.999,MAX(1E-6,A27/$B$5)))))-SIN(2*ACOS(1-2*(MIN(0.999,MAX(1E-6,A27/$B$5)))))))/(($B$5/2)*(2*ACOS(1-2*(MIN(0.999,MAX(1E-6,A27/$B$5))))))))&lt;=0,0,(IF((($B$5/2)*(2*ACOS(1-2*(MIN(0.999,MAX(1E-6,A27/$B$5))))))&lt;=0,0,((($B$5/2)^2/2)*((2*ACOS(1-2*(MIN(0.999,MAX(1E-6,A27/$B$5)))))-SIN(2*ACOS(1-2*(MIN(0.999,MAX(1E-6,A27/$B$5)))))))/(($B$5/2)*(2*ACOS(1-2*(MIN(0.999,MAX(1E-6,A27/$B$5))))))))^(2/3))*SQRT($B$9)),IF((A27-$B$10+$B$9*$B$6)&lt;=0,0,(PI()*($B$5/2)^2)*SQRT((A27-$B$10+$B$9*$B$6)/((1+$B$17)/(2*9.81)+($B$4^2)*$B$6/(($B$5/4)^(4/3))))))</f>
        <v/>
      </c>
      <c r="E27" s="9">
        <f>MIN(C27,D27)</f>
        <v/>
      </c>
      <c r="F27" s="19">
        <f>IF(A27&lt;=0,0,IF(A27&lt;$B$5,(($B$5/2)^2/2)*((2*ACOS(1-2*(MIN(0.999,MAX(1E-6,A27/$B$5)))))-SIN(2*ACOS(1-2*(MIN(0.999,MAX(1E-6,A27/$B$5)))))),(PI()*($B$5/2)^2)))</f>
        <v/>
      </c>
      <c r="G27" s="20">
        <f>IF(F27&lt;=0,0,E27/F27)</f>
        <v/>
      </c>
    </row>
    <row r="28">
      <c r="A28" s="29" t="n">
        <v>0.4</v>
      </c>
      <c r="B28" s="29">
        <f>$B$7+A28</f>
        <v/>
      </c>
      <c r="C28" s="19">
        <f>IF(A28&lt;=0,0,IF(A28&lt;=1.2*$B$5,1.811*(PI()*($B$5/2)^2)*SQRT($B$5)*IF($B$13*$B$5&lt;=0,0,(A28/($B$13*$B$5))^(1/$B$14)),MAX(1.811*(PI()*($B$5/2)^2)*SQRT($B$5)*IF($B$13*$B$5&lt;=0,0,((1.2*$B$5)/($B$13*$B$5))^(1/$B$14)),1.811*(PI()*($B$5/2)^2)*SQRT($B$5)*SQRT(MAX(0,(A28/$B$5-$B$16)/7)))))</f>
        <v/>
      </c>
      <c r="D28" s="19">
        <f>IF(A28&lt;$B$5,IF($B$4&lt;=0,0,(1/$B$4)*((($B$5/2)^2/2)*((2*ACOS(1-2*(MIN(0.999,MAX(1E-6,A28/$B$5)))))-SIN(2*ACOS(1-2*(MIN(0.999,MAX(1E-6,A28/$B$5)))))))*IF((IF((($B$5/2)*(2*ACOS(1-2*(MIN(0.999,MAX(1E-6,A28/$B$5))))))&lt;=0,0,((($B$5/2)^2/2)*((2*ACOS(1-2*(MIN(0.999,MAX(1E-6,A28/$B$5)))))-SIN(2*ACOS(1-2*(MIN(0.999,MAX(1E-6,A28/$B$5)))))))/(($B$5/2)*(2*ACOS(1-2*(MIN(0.999,MAX(1E-6,A28/$B$5))))))))&lt;=0,0,(IF((($B$5/2)*(2*ACOS(1-2*(MIN(0.999,MAX(1E-6,A28/$B$5))))))&lt;=0,0,((($B$5/2)^2/2)*((2*ACOS(1-2*(MIN(0.999,MAX(1E-6,A28/$B$5)))))-SIN(2*ACOS(1-2*(MIN(0.999,MAX(1E-6,A28/$B$5)))))))/(($B$5/2)*(2*ACOS(1-2*(MIN(0.999,MAX(1E-6,A28/$B$5))))))))^(2/3))*SQRT($B$9)),IF((A28-$B$10+$B$9*$B$6)&lt;=0,0,(PI()*($B$5/2)^2)*SQRT((A28-$B$10+$B$9*$B$6)/((1+$B$17)/(2*9.81)+($B$4^2)*$B$6/(($B$5/4)^(4/3))))))</f>
        <v/>
      </c>
      <c r="E28" s="9">
        <f>MIN(C28,D28)</f>
        <v/>
      </c>
      <c r="F28" s="19">
        <f>IF(A28&lt;=0,0,IF(A28&lt;$B$5,(($B$5/2)^2/2)*((2*ACOS(1-2*(MIN(0.999,MAX(1E-6,A28/$B$5)))))-SIN(2*ACOS(1-2*(MIN(0.999,MAX(1E-6,A28/$B$5)))))),(PI()*($B$5/2)^2)))</f>
        <v/>
      </c>
      <c r="G28" s="20">
        <f>IF(F28&lt;=0,0,E28/F28)</f>
        <v/>
      </c>
    </row>
    <row r="29">
      <c r="A29" s="29" t="n">
        <v>0.45</v>
      </c>
      <c r="B29" s="29">
        <f>$B$7+A29</f>
        <v/>
      </c>
      <c r="C29" s="19">
        <f>IF(A29&lt;=0,0,IF(A29&lt;=1.2*$B$5,1.811*(PI()*($B$5/2)^2)*SQRT($B$5)*IF($B$13*$B$5&lt;=0,0,(A29/($B$13*$B$5))^(1/$B$14)),MAX(1.811*(PI()*($B$5/2)^2)*SQRT($B$5)*IF($B$13*$B$5&lt;=0,0,((1.2*$B$5)/($B$13*$B$5))^(1/$B$14)),1.811*(PI()*($B$5/2)^2)*SQRT($B$5)*SQRT(MAX(0,(A29/$B$5-$B$16)/7)))))</f>
        <v/>
      </c>
      <c r="D29" s="19">
        <f>IF(A29&lt;$B$5,IF($B$4&lt;=0,0,(1/$B$4)*((($B$5/2)^2/2)*((2*ACOS(1-2*(MIN(0.999,MAX(1E-6,A29/$B$5)))))-SIN(2*ACOS(1-2*(MIN(0.999,MAX(1E-6,A29/$B$5)))))))*IF((IF((($B$5/2)*(2*ACOS(1-2*(MIN(0.999,MAX(1E-6,A29/$B$5))))))&lt;=0,0,((($B$5/2)^2/2)*((2*ACOS(1-2*(MIN(0.999,MAX(1E-6,A29/$B$5)))))-SIN(2*ACOS(1-2*(MIN(0.999,MAX(1E-6,A29/$B$5)))))))/(($B$5/2)*(2*ACOS(1-2*(MIN(0.999,MAX(1E-6,A29/$B$5))))))))&lt;=0,0,(IF((($B$5/2)*(2*ACOS(1-2*(MIN(0.999,MAX(1E-6,A29/$B$5))))))&lt;=0,0,((($B$5/2)^2/2)*((2*ACOS(1-2*(MIN(0.999,MAX(1E-6,A29/$B$5)))))-SIN(2*ACOS(1-2*(MIN(0.999,MAX(1E-6,A29/$B$5)))))))/(($B$5/2)*(2*ACOS(1-2*(MIN(0.999,MAX(1E-6,A29/$B$5))))))))^(2/3))*SQRT($B$9)),IF((A29-$B$10+$B$9*$B$6)&lt;=0,0,(PI()*($B$5/2)^2)*SQRT((A29-$B$10+$B$9*$B$6)/((1+$B$17)/(2*9.81)+($B$4^2)*$B$6/(($B$5/4)^(4/3))))))</f>
        <v/>
      </c>
      <c r="E29" s="9">
        <f>MIN(C29,D29)</f>
        <v/>
      </c>
      <c r="F29" s="19">
        <f>IF(A29&lt;=0,0,IF(A29&lt;$B$5,(($B$5/2)^2/2)*((2*ACOS(1-2*(MIN(0.999,MAX(1E-6,A29/$B$5)))))-SIN(2*ACOS(1-2*(MIN(0.999,MAX(1E-6,A29/$B$5)))))),(PI()*($B$5/2)^2)))</f>
        <v/>
      </c>
      <c r="G29" s="20">
        <f>IF(F29&lt;=0,0,E29/F29)</f>
        <v/>
      </c>
    </row>
    <row r="30">
      <c r="A30" s="29" t="n">
        <v>0.5</v>
      </c>
      <c r="B30" s="29">
        <f>$B$7+A30</f>
        <v/>
      </c>
      <c r="C30" s="19">
        <f>IF(A30&lt;=0,0,IF(A30&lt;=1.2*$B$5,1.811*(PI()*($B$5/2)^2)*SQRT($B$5)*IF($B$13*$B$5&lt;=0,0,(A30/($B$13*$B$5))^(1/$B$14)),MAX(1.811*(PI()*($B$5/2)^2)*SQRT($B$5)*IF($B$13*$B$5&lt;=0,0,((1.2*$B$5)/($B$13*$B$5))^(1/$B$14)),1.811*(PI()*($B$5/2)^2)*SQRT($B$5)*SQRT(MAX(0,(A30/$B$5-$B$16)/7)))))</f>
        <v/>
      </c>
      <c r="D30" s="19">
        <f>IF(A30&lt;$B$5,IF($B$4&lt;=0,0,(1/$B$4)*((($B$5/2)^2/2)*((2*ACOS(1-2*(MIN(0.999,MAX(1E-6,A30/$B$5)))))-SIN(2*ACOS(1-2*(MIN(0.999,MAX(1E-6,A30/$B$5)))))))*IF((IF((($B$5/2)*(2*ACOS(1-2*(MIN(0.999,MAX(1E-6,A30/$B$5))))))&lt;=0,0,((($B$5/2)^2/2)*((2*ACOS(1-2*(MIN(0.999,MAX(1E-6,A30/$B$5)))))-SIN(2*ACOS(1-2*(MIN(0.999,MAX(1E-6,A30/$B$5)))))))/(($B$5/2)*(2*ACOS(1-2*(MIN(0.999,MAX(1E-6,A30/$B$5))))))))&lt;=0,0,(IF((($B$5/2)*(2*ACOS(1-2*(MIN(0.999,MAX(1E-6,A30/$B$5))))))&lt;=0,0,((($B$5/2)^2/2)*((2*ACOS(1-2*(MIN(0.999,MAX(1E-6,A30/$B$5)))))-SIN(2*ACOS(1-2*(MIN(0.999,MAX(1E-6,A30/$B$5)))))))/(($B$5/2)*(2*ACOS(1-2*(MIN(0.999,MAX(1E-6,A30/$B$5))))))))^(2/3))*SQRT($B$9)),IF((A30-$B$10+$B$9*$B$6)&lt;=0,0,(PI()*($B$5/2)^2)*SQRT((A30-$B$10+$B$9*$B$6)/((1+$B$17)/(2*9.81)+($B$4^2)*$B$6/(($B$5/4)^(4/3))))))</f>
        <v/>
      </c>
      <c r="E30" s="9">
        <f>MIN(C30,D30)</f>
        <v/>
      </c>
      <c r="F30" s="19">
        <f>IF(A30&lt;=0,0,IF(A30&lt;$B$5,(($B$5/2)^2/2)*((2*ACOS(1-2*(MIN(0.999,MAX(1E-6,A30/$B$5)))))-SIN(2*ACOS(1-2*(MIN(0.999,MAX(1E-6,A30/$B$5)))))),(PI()*($B$5/2)^2)))</f>
        <v/>
      </c>
      <c r="G30" s="20">
        <f>IF(F30&lt;=0,0,E30/F30)</f>
        <v/>
      </c>
    </row>
    <row r="31">
      <c r="A31" s="29" t="n">
        <v>0.55</v>
      </c>
      <c r="B31" s="29">
        <f>$B$7+A31</f>
        <v/>
      </c>
      <c r="C31" s="19">
        <f>IF(A31&lt;=0,0,IF(A31&lt;=1.2*$B$5,1.811*(PI()*($B$5/2)^2)*SQRT($B$5)*IF($B$13*$B$5&lt;=0,0,(A31/($B$13*$B$5))^(1/$B$14)),MAX(1.811*(PI()*($B$5/2)^2)*SQRT($B$5)*IF($B$13*$B$5&lt;=0,0,((1.2*$B$5)/($B$13*$B$5))^(1/$B$14)),1.811*(PI()*($B$5/2)^2)*SQRT($B$5)*SQRT(MAX(0,(A31/$B$5-$B$16)/7)))))</f>
        <v/>
      </c>
      <c r="D31" s="19">
        <f>IF(A31&lt;$B$5,IF($B$4&lt;=0,0,(1/$B$4)*((($B$5/2)^2/2)*((2*ACOS(1-2*(MIN(0.999,MAX(1E-6,A31/$B$5)))))-SIN(2*ACOS(1-2*(MIN(0.999,MAX(1E-6,A31/$B$5)))))))*IF((IF((($B$5/2)*(2*ACOS(1-2*(MIN(0.999,MAX(1E-6,A31/$B$5))))))&lt;=0,0,((($B$5/2)^2/2)*((2*ACOS(1-2*(MIN(0.999,MAX(1E-6,A31/$B$5)))))-SIN(2*ACOS(1-2*(MIN(0.999,MAX(1E-6,A31/$B$5)))))))/(($B$5/2)*(2*ACOS(1-2*(MIN(0.999,MAX(1E-6,A31/$B$5))))))))&lt;=0,0,(IF((($B$5/2)*(2*ACOS(1-2*(MIN(0.999,MAX(1E-6,A31/$B$5))))))&lt;=0,0,((($B$5/2)^2/2)*((2*ACOS(1-2*(MIN(0.999,MAX(1E-6,A31/$B$5)))))-SIN(2*ACOS(1-2*(MIN(0.999,MAX(1E-6,A31/$B$5)))))))/(($B$5/2)*(2*ACOS(1-2*(MIN(0.999,MAX(1E-6,A31/$B$5))))))))^(2/3))*SQRT($B$9)),IF((A31-$B$10+$B$9*$B$6)&lt;=0,0,(PI()*($B$5/2)^2)*SQRT((A31-$B$10+$B$9*$B$6)/((1+$B$17)/(2*9.81)+($B$4^2)*$B$6/(($B$5/4)^(4/3))))))</f>
        <v/>
      </c>
      <c r="E31" s="9">
        <f>MIN(C31,D31)</f>
        <v/>
      </c>
      <c r="F31" s="19">
        <f>IF(A31&lt;=0,0,IF(A31&lt;$B$5,(($B$5/2)^2/2)*((2*ACOS(1-2*(MIN(0.999,MAX(1E-6,A31/$B$5)))))-SIN(2*ACOS(1-2*(MIN(0.999,MAX(1E-6,A31/$B$5)))))),(PI()*($B$5/2)^2)))</f>
        <v/>
      </c>
      <c r="G31" s="20">
        <f>IF(F31&lt;=0,0,E31/F31)</f>
        <v/>
      </c>
    </row>
    <row r="32">
      <c r="A32" s="29" t="n">
        <v>0.6</v>
      </c>
      <c r="B32" s="29">
        <f>$B$7+A32</f>
        <v/>
      </c>
      <c r="C32" s="19">
        <f>IF(A32&lt;=0,0,IF(A32&lt;=1.2*$B$5,1.811*(PI()*($B$5/2)^2)*SQRT($B$5)*IF($B$13*$B$5&lt;=0,0,(A32/($B$13*$B$5))^(1/$B$14)),MAX(1.811*(PI()*($B$5/2)^2)*SQRT($B$5)*IF($B$13*$B$5&lt;=0,0,((1.2*$B$5)/($B$13*$B$5))^(1/$B$14)),1.811*(PI()*($B$5/2)^2)*SQRT($B$5)*SQRT(MAX(0,(A32/$B$5-$B$16)/7)))))</f>
        <v/>
      </c>
      <c r="D32" s="19">
        <f>IF(A32&lt;$B$5,IF($B$4&lt;=0,0,(1/$B$4)*((($B$5/2)^2/2)*((2*ACOS(1-2*(MIN(0.999,MAX(1E-6,A32/$B$5)))))-SIN(2*ACOS(1-2*(MIN(0.999,MAX(1E-6,A32/$B$5)))))))*IF((IF((($B$5/2)*(2*ACOS(1-2*(MIN(0.999,MAX(1E-6,A32/$B$5))))))&lt;=0,0,((($B$5/2)^2/2)*((2*ACOS(1-2*(MIN(0.999,MAX(1E-6,A32/$B$5)))))-SIN(2*ACOS(1-2*(MIN(0.999,MAX(1E-6,A32/$B$5)))))))/(($B$5/2)*(2*ACOS(1-2*(MIN(0.999,MAX(1E-6,A32/$B$5))))))))&lt;=0,0,(IF((($B$5/2)*(2*ACOS(1-2*(MIN(0.999,MAX(1E-6,A32/$B$5))))))&lt;=0,0,((($B$5/2)^2/2)*((2*ACOS(1-2*(MIN(0.999,MAX(1E-6,A32/$B$5)))))-SIN(2*ACOS(1-2*(MIN(0.999,MAX(1E-6,A32/$B$5)))))))/(($B$5/2)*(2*ACOS(1-2*(MIN(0.999,MAX(1E-6,A32/$B$5))))))))^(2/3))*SQRT($B$9)),IF((A32-$B$10+$B$9*$B$6)&lt;=0,0,(PI()*($B$5/2)^2)*SQRT((A32-$B$10+$B$9*$B$6)/((1+$B$17)/(2*9.81)+($B$4^2)*$B$6/(($B$5/4)^(4/3))))))</f>
        <v/>
      </c>
      <c r="E32" s="9">
        <f>MIN(C32,D32)</f>
        <v/>
      </c>
      <c r="F32" s="19">
        <f>IF(A32&lt;=0,0,IF(A32&lt;$B$5,(($B$5/2)^2/2)*((2*ACOS(1-2*(MIN(0.999,MAX(1E-6,A32/$B$5)))))-SIN(2*ACOS(1-2*(MIN(0.999,MAX(1E-6,A32/$B$5)))))),(PI()*($B$5/2)^2)))</f>
        <v/>
      </c>
      <c r="G32" s="20">
        <f>IF(F32&lt;=0,0,E32/F32)</f>
        <v/>
      </c>
    </row>
    <row r="33">
      <c r="A33" s="29" t="n">
        <v>0.65</v>
      </c>
      <c r="B33" s="29">
        <f>$B$7+A33</f>
        <v/>
      </c>
      <c r="C33" s="19">
        <f>IF(A33&lt;=0,0,IF(A33&lt;=1.2*$B$5,1.811*(PI()*($B$5/2)^2)*SQRT($B$5)*IF($B$13*$B$5&lt;=0,0,(A33/($B$13*$B$5))^(1/$B$14)),MAX(1.811*(PI()*($B$5/2)^2)*SQRT($B$5)*IF($B$13*$B$5&lt;=0,0,((1.2*$B$5)/($B$13*$B$5))^(1/$B$14)),1.811*(PI()*($B$5/2)^2)*SQRT($B$5)*SQRT(MAX(0,(A33/$B$5-$B$16)/7)))))</f>
        <v/>
      </c>
      <c r="D33" s="19">
        <f>IF(A33&lt;$B$5,IF($B$4&lt;=0,0,(1/$B$4)*((($B$5/2)^2/2)*((2*ACOS(1-2*(MIN(0.999,MAX(1E-6,A33/$B$5)))))-SIN(2*ACOS(1-2*(MIN(0.999,MAX(1E-6,A33/$B$5)))))))*IF((IF((($B$5/2)*(2*ACOS(1-2*(MIN(0.999,MAX(1E-6,A33/$B$5))))))&lt;=0,0,((($B$5/2)^2/2)*((2*ACOS(1-2*(MIN(0.999,MAX(1E-6,A33/$B$5)))))-SIN(2*ACOS(1-2*(MIN(0.999,MAX(1E-6,A33/$B$5)))))))/(($B$5/2)*(2*ACOS(1-2*(MIN(0.999,MAX(1E-6,A33/$B$5))))))))&lt;=0,0,(IF((($B$5/2)*(2*ACOS(1-2*(MIN(0.999,MAX(1E-6,A33/$B$5))))))&lt;=0,0,((($B$5/2)^2/2)*((2*ACOS(1-2*(MIN(0.999,MAX(1E-6,A33/$B$5)))))-SIN(2*ACOS(1-2*(MIN(0.999,MAX(1E-6,A33/$B$5)))))))/(($B$5/2)*(2*ACOS(1-2*(MIN(0.999,MAX(1E-6,A33/$B$5))))))))^(2/3))*SQRT($B$9)),IF((A33-$B$10+$B$9*$B$6)&lt;=0,0,(PI()*($B$5/2)^2)*SQRT((A33-$B$10+$B$9*$B$6)/((1+$B$17)/(2*9.81)+($B$4^2)*$B$6/(($B$5/4)^(4/3))))))</f>
        <v/>
      </c>
      <c r="E33" s="9">
        <f>MIN(C33,D33)</f>
        <v/>
      </c>
      <c r="F33" s="19">
        <f>IF(A33&lt;=0,0,IF(A33&lt;$B$5,(($B$5/2)^2/2)*((2*ACOS(1-2*(MIN(0.999,MAX(1E-6,A33/$B$5)))))-SIN(2*ACOS(1-2*(MIN(0.999,MAX(1E-6,A33/$B$5)))))),(PI()*($B$5/2)^2)))</f>
        <v/>
      </c>
      <c r="G33" s="20">
        <f>IF(F33&lt;=0,0,E33/F33)</f>
        <v/>
      </c>
    </row>
    <row r="34">
      <c r="A34" s="29" t="n">
        <v>0.7</v>
      </c>
      <c r="B34" s="29">
        <f>$B$7+A34</f>
        <v/>
      </c>
      <c r="C34" s="19">
        <f>IF(A34&lt;=0,0,IF(A34&lt;=1.2*$B$5,1.811*(PI()*($B$5/2)^2)*SQRT($B$5)*IF($B$13*$B$5&lt;=0,0,(A34/($B$13*$B$5))^(1/$B$14)),MAX(1.811*(PI()*($B$5/2)^2)*SQRT($B$5)*IF($B$13*$B$5&lt;=0,0,((1.2*$B$5)/($B$13*$B$5))^(1/$B$14)),1.811*(PI()*($B$5/2)^2)*SQRT($B$5)*SQRT(MAX(0,(A34/$B$5-$B$16)/7)))))</f>
        <v/>
      </c>
      <c r="D34" s="19">
        <f>IF(A34&lt;$B$5,IF($B$4&lt;=0,0,(1/$B$4)*((($B$5/2)^2/2)*((2*ACOS(1-2*(MIN(0.999,MAX(1E-6,A34/$B$5)))))-SIN(2*ACOS(1-2*(MIN(0.999,MAX(1E-6,A34/$B$5)))))))*IF((IF((($B$5/2)*(2*ACOS(1-2*(MIN(0.999,MAX(1E-6,A34/$B$5))))))&lt;=0,0,((($B$5/2)^2/2)*((2*ACOS(1-2*(MIN(0.999,MAX(1E-6,A34/$B$5)))))-SIN(2*ACOS(1-2*(MIN(0.999,MAX(1E-6,A34/$B$5)))))))/(($B$5/2)*(2*ACOS(1-2*(MIN(0.999,MAX(1E-6,A34/$B$5))))))))&lt;=0,0,(IF((($B$5/2)*(2*ACOS(1-2*(MIN(0.999,MAX(1E-6,A34/$B$5))))))&lt;=0,0,((($B$5/2)^2/2)*((2*ACOS(1-2*(MIN(0.999,MAX(1E-6,A34/$B$5)))))-SIN(2*ACOS(1-2*(MIN(0.999,MAX(1E-6,A34/$B$5)))))))/(($B$5/2)*(2*ACOS(1-2*(MIN(0.999,MAX(1E-6,A34/$B$5))))))))^(2/3))*SQRT($B$9)),IF((A34-$B$10+$B$9*$B$6)&lt;=0,0,(PI()*($B$5/2)^2)*SQRT((A34-$B$10+$B$9*$B$6)/((1+$B$17)/(2*9.81)+($B$4^2)*$B$6/(($B$5/4)^(4/3))))))</f>
        <v/>
      </c>
      <c r="E34" s="9">
        <f>MIN(C34,D34)</f>
        <v/>
      </c>
      <c r="F34" s="19">
        <f>IF(A34&lt;=0,0,IF(A34&lt;$B$5,(($B$5/2)^2/2)*((2*ACOS(1-2*(MIN(0.999,MAX(1E-6,A34/$B$5)))))-SIN(2*ACOS(1-2*(MIN(0.999,MAX(1E-6,A34/$B$5)))))),(PI()*($B$5/2)^2)))</f>
        <v/>
      </c>
      <c r="G34" s="20">
        <f>IF(F34&lt;=0,0,E34/F34)</f>
        <v/>
      </c>
    </row>
    <row r="35">
      <c r="A35" s="29" t="n">
        <v>0.75</v>
      </c>
      <c r="B35" s="29">
        <f>$B$7+A35</f>
        <v/>
      </c>
      <c r="C35" s="19">
        <f>IF(A35&lt;=0,0,IF(A35&lt;=1.2*$B$5,1.811*(PI()*($B$5/2)^2)*SQRT($B$5)*IF($B$13*$B$5&lt;=0,0,(A35/($B$13*$B$5))^(1/$B$14)),MAX(1.811*(PI()*($B$5/2)^2)*SQRT($B$5)*IF($B$13*$B$5&lt;=0,0,((1.2*$B$5)/($B$13*$B$5))^(1/$B$14)),1.811*(PI()*($B$5/2)^2)*SQRT($B$5)*SQRT(MAX(0,(A35/$B$5-$B$16)/7)))))</f>
        <v/>
      </c>
      <c r="D35" s="19">
        <f>IF(A35&lt;$B$5,IF($B$4&lt;=0,0,(1/$B$4)*((($B$5/2)^2/2)*((2*ACOS(1-2*(MIN(0.999,MAX(1E-6,A35/$B$5)))))-SIN(2*ACOS(1-2*(MIN(0.999,MAX(1E-6,A35/$B$5)))))))*IF((IF((($B$5/2)*(2*ACOS(1-2*(MIN(0.999,MAX(1E-6,A35/$B$5))))))&lt;=0,0,((($B$5/2)^2/2)*((2*ACOS(1-2*(MIN(0.999,MAX(1E-6,A35/$B$5)))))-SIN(2*ACOS(1-2*(MIN(0.999,MAX(1E-6,A35/$B$5)))))))/(($B$5/2)*(2*ACOS(1-2*(MIN(0.999,MAX(1E-6,A35/$B$5))))))))&lt;=0,0,(IF((($B$5/2)*(2*ACOS(1-2*(MIN(0.999,MAX(1E-6,A35/$B$5))))))&lt;=0,0,((($B$5/2)^2/2)*((2*ACOS(1-2*(MIN(0.999,MAX(1E-6,A35/$B$5)))))-SIN(2*ACOS(1-2*(MIN(0.999,MAX(1E-6,A35/$B$5)))))))/(($B$5/2)*(2*ACOS(1-2*(MIN(0.999,MAX(1E-6,A35/$B$5))))))))^(2/3))*SQRT($B$9)),IF((A35-$B$10+$B$9*$B$6)&lt;=0,0,(PI()*($B$5/2)^2)*SQRT((A35-$B$10+$B$9*$B$6)/((1+$B$17)/(2*9.81)+($B$4^2)*$B$6/(($B$5/4)^(4/3))))))</f>
        <v/>
      </c>
      <c r="E35" s="9">
        <f>MIN(C35,D35)</f>
        <v/>
      </c>
      <c r="F35" s="19">
        <f>IF(A35&lt;=0,0,IF(A35&lt;$B$5,(($B$5/2)^2/2)*((2*ACOS(1-2*(MIN(0.999,MAX(1E-6,A35/$B$5)))))-SIN(2*ACOS(1-2*(MIN(0.999,MAX(1E-6,A35/$B$5)))))),(PI()*($B$5/2)^2)))</f>
        <v/>
      </c>
      <c r="G35" s="20">
        <f>IF(F35&lt;=0,0,E35/F35)</f>
        <v/>
      </c>
    </row>
    <row r="36">
      <c r="A36" s="29" t="n">
        <v>0.8</v>
      </c>
      <c r="B36" s="29">
        <f>$B$7+A36</f>
        <v/>
      </c>
      <c r="C36" s="19">
        <f>IF(A36&lt;=0,0,IF(A36&lt;=1.2*$B$5,1.811*(PI()*($B$5/2)^2)*SQRT($B$5)*IF($B$13*$B$5&lt;=0,0,(A36/($B$13*$B$5))^(1/$B$14)),MAX(1.811*(PI()*($B$5/2)^2)*SQRT($B$5)*IF($B$13*$B$5&lt;=0,0,((1.2*$B$5)/($B$13*$B$5))^(1/$B$14)),1.811*(PI()*($B$5/2)^2)*SQRT($B$5)*SQRT(MAX(0,(A36/$B$5-$B$16)/7)))))</f>
        <v/>
      </c>
      <c r="D36" s="19">
        <f>IF(A36&lt;$B$5,IF($B$4&lt;=0,0,(1/$B$4)*((($B$5/2)^2/2)*((2*ACOS(1-2*(MIN(0.999,MAX(1E-6,A36/$B$5)))))-SIN(2*ACOS(1-2*(MIN(0.999,MAX(1E-6,A36/$B$5)))))))*IF((IF((($B$5/2)*(2*ACOS(1-2*(MIN(0.999,MAX(1E-6,A36/$B$5))))))&lt;=0,0,((($B$5/2)^2/2)*((2*ACOS(1-2*(MIN(0.999,MAX(1E-6,A36/$B$5)))))-SIN(2*ACOS(1-2*(MIN(0.999,MAX(1E-6,A36/$B$5)))))))/(($B$5/2)*(2*ACOS(1-2*(MIN(0.999,MAX(1E-6,A36/$B$5))))))))&lt;=0,0,(IF((($B$5/2)*(2*ACOS(1-2*(MIN(0.999,MAX(1E-6,A36/$B$5))))))&lt;=0,0,((($B$5/2)^2/2)*((2*ACOS(1-2*(MIN(0.999,MAX(1E-6,A36/$B$5)))))-SIN(2*ACOS(1-2*(MIN(0.999,MAX(1E-6,A36/$B$5)))))))/(($B$5/2)*(2*ACOS(1-2*(MIN(0.999,MAX(1E-6,A36/$B$5))))))))^(2/3))*SQRT($B$9)),IF((A36-$B$10+$B$9*$B$6)&lt;=0,0,(PI()*($B$5/2)^2)*SQRT((A36-$B$10+$B$9*$B$6)/((1+$B$17)/(2*9.81)+($B$4^2)*$B$6/(($B$5/4)^(4/3))))))</f>
        <v/>
      </c>
      <c r="E36" s="9">
        <f>MIN(C36,D36)</f>
        <v/>
      </c>
      <c r="F36" s="19">
        <f>IF(A36&lt;=0,0,IF(A36&lt;$B$5,(($B$5/2)^2/2)*((2*ACOS(1-2*(MIN(0.999,MAX(1E-6,A36/$B$5)))))-SIN(2*ACOS(1-2*(MIN(0.999,MAX(1E-6,A36/$B$5)))))),(PI()*($B$5/2)^2)))</f>
        <v/>
      </c>
      <c r="G36" s="20">
        <f>IF(F36&lt;=0,0,E36/F36)</f>
        <v/>
      </c>
    </row>
    <row r="37">
      <c r="A37" s="29" t="n">
        <v>0.85</v>
      </c>
      <c r="B37" s="29">
        <f>$B$7+A37</f>
        <v/>
      </c>
      <c r="C37" s="19">
        <f>IF(A37&lt;=0,0,IF(A37&lt;=1.2*$B$5,1.811*(PI()*($B$5/2)^2)*SQRT($B$5)*IF($B$13*$B$5&lt;=0,0,(A37/($B$13*$B$5))^(1/$B$14)),MAX(1.811*(PI()*($B$5/2)^2)*SQRT($B$5)*IF($B$13*$B$5&lt;=0,0,((1.2*$B$5)/($B$13*$B$5))^(1/$B$14)),1.811*(PI()*($B$5/2)^2)*SQRT($B$5)*SQRT(MAX(0,(A37/$B$5-$B$16)/7)))))</f>
        <v/>
      </c>
      <c r="D37" s="19">
        <f>IF(A37&lt;$B$5,IF($B$4&lt;=0,0,(1/$B$4)*((($B$5/2)^2/2)*((2*ACOS(1-2*(MIN(0.999,MAX(1E-6,A37/$B$5)))))-SIN(2*ACOS(1-2*(MIN(0.999,MAX(1E-6,A37/$B$5)))))))*IF((IF((($B$5/2)*(2*ACOS(1-2*(MIN(0.999,MAX(1E-6,A37/$B$5))))))&lt;=0,0,((($B$5/2)^2/2)*((2*ACOS(1-2*(MIN(0.999,MAX(1E-6,A37/$B$5)))))-SIN(2*ACOS(1-2*(MIN(0.999,MAX(1E-6,A37/$B$5)))))))/(($B$5/2)*(2*ACOS(1-2*(MIN(0.999,MAX(1E-6,A37/$B$5))))))))&lt;=0,0,(IF((($B$5/2)*(2*ACOS(1-2*(MIN(0.999,MAX(1E-6,A37/$B$5))))))&lt;=0,0,((($B$5/2)^2/2)*((2*ACOS(1-2*(MIN(0.999,MAX(1E-6,A37/$B$5)))))-SIN(2*ACOS(1-2*(MIN(0.999,MAX(1E-6,A37/$B$5)))))))/(($B$5/2)*(2*ACOS(1-2*(MIN(0.999,MAX(1E-6,A37/$B$5))))))))^(2/3))*SQRT($B$9)),IF((A37-$B$10+$B$9*$B$6)&lt;=0,0,(PI()*($B$5/2)^2)*SQRT((A37-$B$10+$B$9*$B$6)/((1+$B$17)/(2*9.81)+($B$4^2)*$B$6/(($B$5/4)^(4/3))))))</f>
        <v/>
      </c>
      <c r="E37" s="9">
        <f>MIN(C37,D37)</f>
        <v/>
      </c>
      <c r="F37" s="19">
        <f>IF(A37&lt;=0,0,IF(A37&lt;$B$5,(($B$5/2)^2/2)*((2*ACOS(1-2*(MIN(0.999,MAX(1E-6,A37/$B$5)))))-SIN(2*ACOS(1-2*(MIN(0.999,MAX(1E-6,A37/$B$5)))))),(PI()*($B$5/2)^2)))</f>
        <v/>
      </c>
      <c r="G37" s="20">
        <f>IF(F37&lt;=0,0,E37/F37)</f>
        <v/>
      </c>
    </row>
    <row r="38">
      <c r="A38" s="29" t="n">
        <v>0.9</v>
      </c>
      <c r="B38" s="29">
        <f>$B$7+A38</f>
        <v/>
      </c>
      <c r="C38" s="19">
        <f>IF(A38&lt;=0,0,IF(A38&lt;=1.2*$B$5,1.811*(PI()*($B$5/2)^2)*SQRT($B$5)*IF($B$13*$B$5&lt;=0,0,(A38/($B$13*$B$5))^(1/$B$14)),MAX(1.811*(PI()*($B$5/2)^2)*SQRT($B$5)*IF($B$13*$B$5&lt;=0,0,((1.2*$B$5)/($B$13*$B$5))^(1/$B$14)),1.811*(PI()*($B$5/2)^2)*SQRT($B$5)*SQRT(MAX(0,(A38/$B$5-$B$16)/7)))))</f>
        <v/>
      </c>
      <c r="D38" s="19">
        <f>IF(A38&lt;$B$5,IF($B$4&lt;=0,0,(1/$B$4)*((($B$5/2)^2/2)*((2*ACOS(1-2*(MIN(0.999,MAX(1E-6,A38/$B$5)))))-SIN(2*ACOS(1-2*(MIN(0.999,MAX(1E-6,A38/$B$5)))))))*IF((IF((($B$5/2)*(2*ACOS(1-2*(MIN(0.999,MAX(1E-6,A38/$B$5))))))&lt;=0,0,((($B$5/2)^2/2)*((2*ACOS(1-2*(MIN(0.999,MAX(1E-6,A38/$B$5)))))-SIN(2*ACOS(1-2*(MIN(0.999,MAX(1E-6,A38/$B$5)))))))/(($B$5/2)*(2*ACOS(1-2*(MIN(0.999,MAX(1E-6,A38/$B$5))))))))&lt;=0,0,(IF((($B$5/2)*(2*ACOS(1-2*(MIN(0.999,MAX(1E-6,A38/$B$5))))))&lt;=0,0,((($B$5/2)^2/2)*((2*ACOS(1-2*(MIN(0.999,MAX(1E-6,A38/$B$5)))))-SIN(2*ACOS(1-2*(MIN(0.999,MAX(1E-6,A38/$B$5)))))))/(($B$5/2)*(2*ACOS(1-2*(MIN(0.999,MAX(1E-6,A38/$B$5))))))))^(2/3))*SQRT($B$9)),IF((A38-$B$10+$B$9*$B$6)&lt;=0,0,(PI()*($B$5/2)^2)*SQRT((A38-$B$10+$B$9*$B$6)/((1+$B$17)/(2*9.81)+($B$4^2)*$B$6/(($B$5/4)^(4/3))))))</f>
        <v/>
      </c>
      <c r="E38" s="9">
        <f>MIN(C38,D38)</f>
        <v/>
      </c>
      <c r="F38" s="19">
        <f>IF(A38&lt;=0,0,IF(A38&lt;$B$5,(($B$5/2)^2/2)*((2*ACOS(1-2*(MIN(0.999,MAX(1E-6,A38/$B$5)))))-SIN(2*ACOS(1-2*(MIN(0.999,MAX(1E-6,A38/$B$5)))))),(PI()*($B$5/2)^2)))</f>
        <v/>
      </c>
      <c r="G38" s="20">
        <f>IF(F38&lt;=0,0,E38/F38)</f>
        <v/>
      </c>
    </row>
    <row r="39">
      <c r="A39" s="29" t="n">
        <v>0.95</v>
      </c>
      <c r="B39" s="29">
        <f>$B$7+A39</f>
        <v/>
      </c>
      <c r="C39" s="19">
        <f>IF(A39&lt;=0,0,IF(A39&lt;=1.2*$B$5,1.811*(PI()*($B$5/2)^2)*SQRT($B$5)*IF($B$13*$B$5&lt;=0,0,(A39/($B$13*$B$5))^(1/$B$14)),MAX(1.811*(PI()*($B$5/2)^2)*SQRT($B$5)*IF($B$13*$B$5&lt;=0,0,((1.2*$B$5)/($B$13*$B$5))^(1/$B$14)),1.811*(PI()*($B$5/2)^2)*SQRT($B$5)*SQRT(MAX(0,(A39/$B$5-$B$16)/7)))))</f>
        <v/>
      </c>
      <c r="D39" s="19">
        <f>IF(A39&lt;$B$5,IF($B$4&lt;=0,0,(1/$B$4)*((($B$5/2)^2/2)*((2*ACOS(1-2*(MIN(0.999,MAX(1E-6,A39/$B$5)))))-SIN(2*ACOS(1-2*(MIN(0.999,MAX(1E-6,A39/$B$5)))))))*IF((IF((($B$5/2)*(2*ACOS(1-2*(MIN(0.999,MAX(1E-6,A39/$B$5))))))&lt;=0,0,((($B$5/2)^2/2)*((2*ACOS(1-2*(MIN(0.999,MAX(1E-6,A39/$B$5)))))-SIN(2*ACOS(1-2*(MIN(0.999,MAX(1E-6,A39/$B$5)))))))/(($B$5/2)*(2*ACOS(1-2*(MIN(0.999,MAX(1E-6,A39/$B$5))))))))&lt;=0,0,(IF((($B$5/2)*(2*ACOS(1-2*(MIN(0.999,MAX(1E-6,A39/$B$5))))))&lt;=0,0,((($B$5/2)^2/2)*((2*ACOS(1-2*(MIN(0.999,MAX(1E-6,A39/$B$5)))))-SIN(2*ACOS(1-2*(MIN(0.999,MAX(1E-6,A39/$B$5)))))))/(($B$5/2)*(2*ACOS(1-2*(MIN(0.999,MAX(1E-6,A39/$B$5))))))))^(2/3))*SQRT($B$9)),IF((A39-$B$10+$B$9*$B$6)&lt;=0,0,(PI()*($B$5/2)^2)*SQRT((A39-$B$10+$B$9*$B$6)/((1+$B$17)/(2*9.81)+($B$4^2)*$B$6/(($B$5/4)^(4/3))))))</f>
        <v/>
      </c>
      <c r="E39" s="9">
        <f>MIN(C39,D39)</f>
        <v/>
      </c>
      <c r="F39" s="19">
        <f>IF(A39&lt;=0,0,IF(A39&lt;$B$5,(($B$5/2)^2/2)*((2*ACOS(1-2*(MIN(0.999,MAX(1E-6,A39/$B$5)))))-SIN(2*ACOS(1-2*(MIN(0.999,MAX(1E-6,A39/$B$5)))))),(PI()*($B$5/2)^2)))</f>
        <v/>
      </c>
      <c r="G39" s="20">
        <f>IF(F39&lt;=0,0,E39/F39)</f>
        <v/>
      </c>
    </row>
    <row r="40">
      <c r="A40" s="29" t="n">
        <v>1</v>
      </c>
      <c r="B40" s="29">
        <f>$B$7+A40</f>
        <v/>
      </c>
      <c r="C40" s="19">
        <f>IF(A40&lt;=0,0,IF(A40&lt;=1.2*$B$5,1.811*(PI()*($B$5/2)^2)*SQRT($B$5)*IF($B$13*$B$5&lt;=0,0,(A40/($B$13*$B$5))^(1/$B$14)),MAX(1.811*(PI()*($B$5/2)^2)*SQRT($B$5)*IF($B$13*$B$5&lt;=0,0,((1.2*$B$5)/($B$13*$B$5))^(1/$B$14)),1.811*(PI()*($B$5/2)^2)*SQRT($B$5)*SQRT(MAX(0,(A40/$B$5-$B$16)/7)))))</f>
        <v/>
      </c>
      <c r="D40" s="19">
        <f>IF(A40&lt;$B$5,IF($B$4&lt;=0,0,(1/$B$4)*((($B$5/2)^2/2)*((2*ACOS(1-2*(MIN(0.999,MAX(1E-6,A40/$B$5)))))-SIN(2*ACOS(1-2*(MIN(0.999,MAX(1E-6,A40/$B$5)))))))*IF((IF((($B$5/2)*(2*ACOS(1-2*(MIN(0.999,MAX(1E-6,A40/$B$5))))))&lt;=0,0,((($B$5/2)^2/2)*((2*ACOS(1-2*(MIN(0.999,MAX(1E-6,A40/$B$5)))))-SIN(2*ACOS(1-2*(MIN(0.999,MAX(1E-6,A40/$B$5)))))))/(($B$5/2)*(2*ACOS(1-2*(MIN(0.999,MAX(1E-6,A40/$B$5))))))))&lt;=0,0,(IF((($B$5/2)*(2*ACOS(1-2*(MIN(0.999,MAX(1E-6,A40/$B$5))))))&lt;=0,0,((($B$5/2)^2/2)*((2*ACOS(1-2*(MIN(0.999,MAX(1E-6,A40/$B$5)))))-SIN(2*ACOS(1-2*(MIN(0.999,MAX(1E-6,A40/$B$5)))))))/(($B$5/2)*(2*ACOS(1-2*(MIN(0.999,MAX(1E-6,A40/$B$5))))))))^(2/3))*SQRT($B$9)),IF((A40-$B$10+$B$9*$B$6)&lt;=0,0,(PI()*($B$5/2)^2)*SQRT((A40-$B$10+$B$9*$B$6)/((1+$B$17)/(2*9.81)+($B$4^2)*$B$6/(($B$5/4)^(4/3))))))</f>
        <v/>
      </c>
      <c r="E40" s="9">
        <f>MIN(C40,D40)</f>
        <v/>
      </c>
      <c r="F40" s="19">
        <f>IF(A40&lt;=0,0,IF(A40&lt;$B$5,(($B$5/2)^2/2)*((2*ACOS(1-2*(MIN(0.999,MAX(1E-6,A40/$B$5)))))-SIN(2*ACOS(1-2*(MIN(0.999,MAX(1E-6,A40/$B$5)))))),(PI()*($B$5/2)^2)))</f>
        <v/>
      </c>
      <c r="G40" s="20">
        <f>IF(F40&lt;=0,0,E40/F40)</f>
        <v/>
      </c>
    </row>
    <row r="41">
      <c r="A41" s="29" t="n">
        <v>1.05</v>
      </c>
      <c r="B41" s="29">
        <f>$B$7+A41</f>
        <v/>
      </c>
      <c r="C41" s="19">
        <f>IF(A41&lt;=0,0,IF(A41&lt;=1.2*$B$5,1.811*(PI()*($B$5/2)^2)*SQRT($B$5)*IF($B$13*$B$5&lt;=0,0,(A41/($B$13*$B$5))^(1/$B$14)),MAX(1.811*(PI()*($B$5/2)^2)*SQRT($B$5)*IF($B$13*$B$5&lt;=0,0,((1.2*$B$5)/($B$13*$B$5))^(1/$B$14)),1.811*(PI()*($B$5/2)^2)*SQRT($B$5)*SQRT(MAX(0,(A41/$B$5-$B$16)/7)))))</f>
        <v/>
      </c>
      <c r="D41" s="19">
        <f>IF(A41&lt;$B$5,IF($B$4&lt;=0,0,(1/$B$4)*((($B$5/2)^2/2)*((2*ACOS(1-2*(MIN(0.999,MAX(1E-6,A41/$B$5)))))-SIN(2*ACOS(1-2*(MIN(0.999,MAX(1E-6,A41/$B$5)))))))*IF((IF((($B$5/2)*(2*ACOS(1-2*(MIN(0.999,MAX(1E-6,A41/$B$5))))))&lt;=0,0,((($B$5/2)^2/2)*((2*ACOS(1-2*(MIN(0.999,MAX(1E-6,A41/$B$5)))))-SIN(2*ACOS(1-2*(MIN(0.999,MAX(1E-6,A41/$B$5)))))))/(($B$5/2)*(2*ACOS(1-2*(MIN(0.999,MAX(1E-6,A41/$B$5))))))))&lt;=0,0,(IF((($B$5/2)*(2*ACOS(1-2*(MIN(0.999,MAX(1E-6,A41/$B$5))))))&lt;=0,0,((($B$5/2)^2/2)*((2*ACOS(1-2*(MIN(0.999,MAX(1E-6,A41/$B$5)))))-SIN(2*ACOS(1-2*(MIN(0.999,MAX(1E-6,A41/$B$5)))))))/(($B$5/2)*(2*ACOS(1-2*(MIN(0.999,MAX(1E-6,A41/$B$5))))))))^(2/3))*SQRT($B$9)),IF((A41-$B$10+$B$9*$B$6)&lt;=0,0,(PI()*($B$5/2)^2)*SQRT((A41-$B$10+$B$9*$B$6)/((1+$B$17)/(2*9.81)+($B$4^2)*$B$6/(($B$5/4)^(4/3))))))</f>
        <v/>
      </c>
      <c r="E41" s="9">
        <f>MIN(C41,D41)</f>
        <v/>
      </c>
      <c r="F41" s="19">
        <f>IF(A41&lt;=0,0,IF(A41&lt;$B$5,(($B$5/2)^2/2)*((2*ACOS(1-2*(MIN(0.999,MAX(1E-6,A41/$B$5)))))-SIN(2*ACOS(1-2*(MIN(0.999,MAX(1E-6,A41/$B$5)))))),(PI()*($B$5/2)^2)))</f>
        <v/>
      </c>
      <c r="G41" s="20">
        <f>IF(F41&lt;=0,0,E41/F41)</f>
        <v/>
      </c>
    </row>
    <row r="42">
      <c r="A42" s="29" t="n">
        <v>1.1</v>
      </c>
      <c r="B42" s="29">
        <f>$B$7+A42</f>
        <v/>
      </c>
      <c r="C42" s="19">
        <f>IF(A42&lt;=0,0,IF(A42&lt;=1.2*$B$5,1.811*(PI()*($B$5/2)^2)*SQRT($B$5)*IF($B$13*$B$5&lt;=0,0,(A42/($B$13*$B$5))^(1/$B$14)),MAX(1.811*(PI()*($B$5/2)^2)*SQRT($B$5)*IF($B$13*$B$5&lt;=0,0,((1.2*$B$5)/($B$13*$B$5))^(1/$B$14)),1.811*(PI()*($B$5/2)^2)*SQRT($B$5)*SQRT(MAX(0,(A42/$B$5-$B$16)/7)))))</f>
        <v/>
      </c>
      <c r="D42" s="19">
        <f>IF(A42&lt;$B$5,IF($B$4&lt;=0,0,(1/$B$4)*((($B$5/2)^2/2)*((2*ACOS(1-2*(MIN(0.999,MAX(1E-6,A42/$B$5)))))-SIN(2*ACOS(1-2*(MIN(0.999,MAX(1E-6,A42/$B$5)))))))*IF((IF((($B$5/2)*(2*ACOS(1-2*(MIN(0.999,MAX(1E-6,A42/$B$5))))))&lt;=0,0,((($B$5/2)^2/2)*((2*ACOS(1-2*(MIN(0.999,MAX(1E-6,A42/$B$5)))))-SIN(2*ACOS(1-2*(MIN(0.999,MAX(1E-6,A42/$B$5)))))))/(($B$5/2)*(2*ACOS(1-2*(MIN(0.999,MAX(1E-6,A42/$B$5))))))))&lt;=0,0,(IF((($B$5/2)*(2*ACOS(1-2*(MIN(0.999,MAX(1E-6,A42/$B$5))))))&lt;=0,0,((($B$5/2)^2/2)*((2*ACOS(1-2*(MIN(0.999,MAX(1E-6,A42/$B$5)))))-SIN(2*ACOS(1-2*(MIN(0.999,MAX(1E-6,A42/$B$5)))))))/(($B$5/2)*(2*ACOS(1-2*(MIN(0.999,MAX(1E-6,A42/$B$5))))))))^(2/3))*SQRT($B$9)),IF((A42-$B$10+$B$9*$B$6)&lt;=0,0,(PI()*($B$5/2)^2)*SQRT((A42-$B$10+$B$9*$B$6)/((1+$B$17)/(2*9.81)+($B$4^2)*$B$6/(($B$5/4)^(4/3))))))</f>
        <v/>
      </c>
      <c r="E42" s="9">
        <f>MIN(C42,D42)</f>
        <v/>
      </c>
      <c r="F42" s="19">
        <f>IF(A42&lt;=0,0,IF(A42&lt;$B$5,(($B$5/2)^2/2)*((2*ACOS(1-2*(MIN(0.999,MAX(1E-6,A42/$B$5)))))-SIN(2*ACOS(1-2*(MIN(0.999,MAX(1E-6,A42/$B$5)))))),(PI()*($B$5/2)^2)))</f>
        <v/>
      </c>
      <c r="G42" s="20">
        <f>IF(F42&lt;=0,0,E42/F42)</f>
        <v/>
      </c>
    </row>
    <row r="43">
      <c r="A43" s="29" t="n">
        <v>1.15</v>
      </c>
      <c r="B43" s="29">
        <f>$B$7+A43</f>
        <v/>
      </c>
      <c r="C43" s="19">
        <f>IF(A43&lt;=0,0,IF(A43&lt;=1.2*$B$5,1.811*(PI()*($B$5/2)^2)*SQRT($B$5)*IF($B$13*$B$5&lt;=0,0,(A43/($B$13*$B$5))^(1/$B$14)),MAX(1.811*(PI()*($B$5/2)^2)*SQRT($B$5)*IF($B$13*$B$5&lt;=0,0,((1.2*$B$5)/($B$13*$B$5))^(1/$B$14)),1.811*(PI()*($B$5/2)^2)*SQRT($B$5)*SQRT(MAX(0,(A43/$B$5-$B$16)/7)))))</f>
        <v/>
      </c>
      <c r="D43" s="19">
        <f>IF(A43&lt;$B$5,IF($B$4&lt;=0,0,(1/$B$4)*((($B$5/2)^2/2)*((2*ACOS(1-2*(MIN(0.999,MAX(1E-6,A43/$B$5)))))-SIN(2*ACOS(1-2*(MIN(0.999,MAX(1E-6,A43/$B$5)))))))*IF((IF((($B$5/2)*(2*ACOS(1-2*(MIN(0.999,MAX(1E-6,A43/$B$5))))))&lt;=0,0,((($B$5/2)^2/2)*((2*ACOS(1-2*(MIN(0.999,MAX(1E-6,A43/$B$5)))))-SIN(2*ACOS(1-2*(MIN(0.999,MAX(1E-6,A43/$B$5)))))))/(($B$5/2)*(2*ACOS(1-2*(MIN(0.999,MAX(1E-6,A43/$B$5))))))))&lt;=0,0,(IF((($B$5/2)*(2*ACOS(1-2*(MIN(0.999,MAX(1E-6,A43/$B$5))))))&lt;=0,0,((($B$5/2)^2/2)*((2*ACOS(1-2*(MIN(0.999,MAX(1E-6,A43/$B$5)))))-SIN(2*ACOS(1-2*(MIN(0.999,MAX(1E-6,A43/$B$5)))))))/(($B$5/2)*(2*ACOS(1-2*(MIN(0.999,MAX(1E-6,A43/$B$5))))))))^(2/3))*SQRT($B$9)),IF((A43-$B$10+$B$9*$B$6)&lt;=0,0,(PI()*($B$5/2)^2)*SQRT((A43-$B$10+$B$9*$B$6)/((1+$B$17)/(2*9.81)+($B$4^2)*$B$6/(($B$5/4)^(4/3))))))</f>
        <v/>
      </c>
      <c r="E43" s="9">
        <f>MIN(C43,D43)</f>
        <v/>
      </c>
      <c r="F43" s="19">
        <f>IF(A43&lt;=0,0,IF(A43&lt;$B$5,(($B$5/2)^2/2)*((2*ACOS(1-2*(MIN(0.999,MAX(1E-6,A43/$B$5)))))-SIN(2*ACOS(1-2*(MIN(0.999,MAX(1E-6,A43/$B$5)))))),(PI()*($B$5/2)^2)))</f>
        <v/>
      </c>
      <c r="G43" s="20">
        <f>IF(F43&lt;=0,0,E43/F43)</f>
        <v/>
      </c>
    </row>
    <row r="44">
      <c r="A44" s="29" t="n">
        <v>1.2</v>
      </c>
      <c r="B44" s="29">
        <f>$B$7+A44</f>
        <v/>
      </c>
      <c r="C44" s="19">
        <f>IF(A44&lt;=0,0,IF(A44&lt;=1.2*$B$5,1.811*(PI()*($B$5/2)^2)*SQRT($B$5)*IF($B$13*$B$5&lt;=0,0,(A44/($B$13*$B$5))^(1/$B$14)),MAX(1.811*(PI()*($B$5/2)^2)*SQRT($B$5)*IF($B$13*$B$5&lt;=0,0,((1.2*$B$5)/($B$13*$B$5))^(1/$B$14)),1.811*(PI()*($B$5/2)^2)*SQRT($B$5)*SQRT(MAX(0,(A44/$B$5-$B$16)/7)))))</f>
        <v/>
      </c>
      <c r="D44" s="19">
        <f>IF(A44&lt;$B$5,IF($B$4&lt;=0,0,(1/$B$4)*((($B$5/2)^2/2)*((2*ACOS(1-2*(MIN(0.999,MAX(1E-6,A44/$B$5)))))-SIN(2*ACOS(1-2*(MIN(0.999,MAX(1E-6,A44/$B$5)))))))*IF((IF((($B$5/2)*(2*ACOS(1-2*(MIN(0.999,MAX(1E-6,A44/$B$5))))))&lt;=0,0,((($B$5/2)^2/2)*((2*ACOS(1-2*(MIN(0.999,MAX(1E-6,A44/$B$5)))))-SIN(2*ACOS(1-2*(MIN(0.999,MAX(1E-6,A44/$B$5)))))))/(($B$5/2)*(2*ACOS(1-2*(MIN(0.999,MAX(1E-6,A44/$B$5))))))))&lt;=0,0,(IF((($B$5/2)*(2*ACOS(1-2*(MIN(0.999,MAX(1E-6,A44/$B$5))))))&lt;=0,0,((($B$5/2)^2/2)*((2*ACOS(1-2*(MIN(0.999,MAX(1E-6,A44/$B$5)))))-SIN(2*ACOS(1-2*(MIN(0.999,MAX(1E-6,A44/$B$5)))))))/(($B$5/2)*(2*ACOS(1-2*(MIN(0.999,MAX(1E-6,A44/$B$5))))))))^(2/3))*SQRT($B$9)),IF((A44-$B$10+$B$9*$B$6)&lt;=0,0,(PI()*($B$5/2)^2)*SQRT((A44-$B$10+$B$9*$B$6)/((1+$B$17)/(2*9.81)+($B$4^2)*$B$6/(($B$5/4)^(4/3))))))</f>
        <v/>
      </c>
      <c r="E44" s="9">
        <f>MIN(C44,D44)</f>
        <v/>
      </c>
      <c r="F44" s="19">
        <f>IF(A44&lt;=0,0,IF(A44&lt;$B$5,(($B$5/2)^2/2)*((2*ACOS(1-2*(MIN(0.999,MAX(1E-6,A44/$B$5)))))-SIN(2*ACOS(1-2*(MIN(0.999,MAX(1E-6,A44/$B$5)))))),(PI()*($B$5/2)^2)))</f>
        <v/>
      </c>
      <c r="G44" s="20">
        <f>IF(F44&lt;=0,0,E44/F44)</f>
        <v/>
      </c>
    </row>
    <row r="45">
      <c r="A45" s="29" t="n">
        <v>1.25</v>
      </c>
      <c r="B45" s="29">
        <f>$B$7+A45</f>
        <v/>
      </c>
      <c r="C45" s="19">
        <f>IF(A45&lt;=0,0,IF(A45&lt;=1.2*$B$5,1.811*(PI()*($B$5/2)^2)*SQRT($B$5)*IF($B$13*$B$5&lt;=0,0,(A45/($B$13*$B$5))^(1/$B$14)),MAX(1.811*(PI()*($B$5/2)^2)*SQRT($B$5)*IF($B$13*$B$5&lt;=0,0,((1.2*$B$5)/($B$13*$B$5))^(1/$B$14)),1.811*(PI()*($B$5/2)^2)*SQRT($B$5)*SQRT(MAX(0,(A45/$B$5-$B$16)/7)))))</f>
        <v/>
      </c>
      <c r="D45" s="19">
        <f>IF(A45&lt;$B$5,IF($B$4&lt;=0,0,(1/$B$4)*((($B$5/2)^2/2)*((2*ACOS(1-2*(MIN(0.999,MAX(1E-6,A45/$B$5)))))-SIN(2*ACOS(1-2*(MIN(0.999,MAX(1E-6,A45/$B$5)))))))*IF((IF((($B$5/2)*(2*ACOS(1-2*(MIN(0.999,MAX(1E-6,A45/$B$5))))))&lt;=0,0,((($B$5/2)^2/2)*((2*ACOS(1-2*(MIN(0.999,MAX(1E-6,A45/$B$5)))))-SIN(2*ACOS(1-2*(MIN(0.999,MAX(1E-6,A45/$B$5)))))))/(($B$5/2)*(2*ACOS(1-2*(MIN(0.999,MAX(1E-6,A45/$B$5))))))))&lt;=0,0,(IF((($B$5/2)*(2*ACOS(1-2*(MIN(0.999,MAX(1E-6,A45/$B$5))))))&lt;=0,0,((($B$5/2)^2/2)*((2*ACOS(1-2*(MIN(0.999,MAX(1E-6,A45/$B$5)))))-SIN(2*ACOS(1-2*(MIN(0.999,MAX(1E-6,A45/$B$5)))))))/(($B$5/2)*(2*ACOS(1-2*(MIN(0.999,MAX(1E-6,A45/$B$5))))))))^(2/3))*SQRT($B$9)),IF((A45-$B$10+$B$9*$B$6)&lt;=0,0,(PI()*($B$5/2)^2)*SQRT((A45-$B$10+$B$9*$B$6)/((1+$B$17)/(2*9.81)+($B$4^2)*$B$6/(($B$5/4)^(4/3))))))</f>
        <v/>
      </c>
      <c r="E45" s="9">
        <f>MIN(C45,D45)</f>
        <v/>
      </c>
      <c r="F45" s="19">
        <f>IF(A45&lt;=0,0,IF(A45&lt;$B$5,(($B$5/2)^2/2)*((2*ACOS(1-2*(MIN(0.999,MAX(1E-6,A45/$B$5)))))-SIN(2*ACOS(1-2*(MIN(0.999,MAX(1E-6,A45/$B$5)))))),(PI()*($B$5/2)^2)))</f>
        <v/>
      </c>
      <c r="G45" s="20">
        <f>IF(F45&lt;=0,0,E45/F45)</f>
        <v/>
      </c>
    </row>
    <row r="46">
      <c r="A46" s="29" t="n">
        <v>1.3</v>
      </c>
      <c r="B46" s="29">
        <f>$B$7+A46</f>
        <v/>
      </c>
      <c r="C46" s="19">
        <f>IF(A46&lt;=0,0,IF(A46&lt;=1.2*$B$5,1.811*(PI()*($B$5/2)^2)*SQRT($B$5)*IF($B$13*$B$5&lt;=0,0,(A46/($B$13*$B$5))^(1/$B$14)),MAX(1.811*(PI()*($B$5/2)^2)*SQRT($B$5)*IF($B$13*$B$5&lt;=0,0,((1.2*$B$5)/($B$13*$B$5))^(1/$B$14)),1.811*(PI()*($B$5/2)^2)*SQRT($B$5)*SQRT(MAX(0,(A46/$B$5-$B$16)/7)))))</f>
        <v/>
      </c>
      <c r="D46" s="19">
        <f>IF(A46&lt;$B$5,IF($B$4&lt;=0,0,(1/$B$4)*((($B$5/2)^2/2)*((2*ACOS(1-2*(MIN(0.999,MAX(1E-6,A46/$B$5)))))-SIN(2*ACOS(1-2*(MIN(0.999,MAX(1E-6,A46/$B$5)))))))*IF((IF((($B$5/2)*(2*ACOS(1-2*(MIN(0.999,MAX(1E-6,A46/$B$5))))))&lt;=0,0,((($B$5/2)^2/2)*((2*ACOS(1-2*(MIN(0.999,MAX(1E-6,A46/$B$5)))))-SIN(2*ACOS(1-2*(MIN(0.999,MAX(1E-6,A46/$B$5)))))))/(($B$5/2)*(2*ACOS(1-2*(MIN(0.999,MAX(1E-6,A46/$B$5))))))))&lt;=0,0,(IF((($B$5/2)*(2*ACOS(1-2*(MIN(0.999,MAX(1E-6,A46/$B$5))))))&lt;=0,0,((($B$5/2)^2/2)*((2*ACOS(1-2*(MIN(0.999,MAX(1E-6,A46/$B$5)))))-SIN(2*ACOS(1-2*(MIN(0.999,MAX(1E-6,A46/$B$5)))))))/(($B$5/2)*(2*ACOS(1-2*(MIN(0.999,MAX(1E-6,A46/$B$5))))))))^(2/3))*SQRT($B$9)),IF((A46-$B$10+$B$9*$B$6)&lt;=0,0,(PI()*($B$5/2)^2)*SQRT((A46-$B$10+$B$9*$B$6)/((1+$B$17)/(2*9.81)+($B$4^2)*$B$6/(($B$5/4)^(4/3))))))</f>
        <v/>
      </c>
      <c r="E46" s="9">
        <f>MIN(C46,D46)</f>
        <v/>
      </c>
      <c r="F46" s="19">
        <f>IF(A46&lt;=0,0,IF(A46&lt;$B$5,(($B$5/2)^2/2)*((2*ACOS(1-2*(MIN(0.999,MAX(1E-6,A46/$B$5)))))-SIN(2*ACOS(1-2*(MIN(0.999,MAX(1E-6,A46/$B$5)))))),(PI()*($B$5/2)^2)))</f>
        <v/>
      </c>
      <c r="G46" s="20">
        <f>IF(F46&lt;=0,0,E46/F46)</f>
        <v/>
      </c>
    </row>
    <row r="47">
      <c r="A47" s="29" t="n">
        <v>1.35</v>
      </c>
      <c r="B47" s="29">
        <f>$B$7+A47</f>
        <v/>
      </c>
      <c r="C47" s="19">
        <f>IF(A47&lt;=0,0,IF(A47&lt;=1.2*$B$5,1.811*(PI()*($B$5/2)^2)*SQRT($B$5)*IF($B$13*$B$5&lt;=0,0,(A47/($B$13*$B$5))^(1/$B$14)),MAX(1.811*(PI()*($B$5/2)^2)*SQRT($B$5)*IF($B$13*$B$5&lt;=0,0,((1.2*$B$5)/($B$13*$B$5))^(1/$B$14)),1.811*(PI()*($B$5/2)^2)*SQRT($B$5)*SQRT(MAX(0,(A47/$B$5-$B$16)/7)))))</f>
        <v/>
      </c>
      <c r="D47" s="19">
        <f>IF(A47&lt;$B$5,IF($B$4&lt;=0,0,(1/$B$4)*((($B$5/2)^2/2)*((2*ACOS(1-2*(MIN(0.999,MAX(1E-6,A47/$B$5)))))-SIN(2*ACOS(1-2*(MIN(0.999,MAX(1E-6,A47/$B$5)))))))*IF((IF((($B$5/2)*(2*ACOS(1-2*(MIN(0.999,MAX(1E-6,A47/$B$5))))))&lt;=0,0,((($B$5/2)^2/2)*((2*ACOS(1-2*(MIN(0.999,MAX(1E-6,A47/$B$5)))))-SIN(2*ACOS(1-2*(MIN(0.999,MAX(1E-6,A47/$B$5)))))))/(($B$5/2)*(2*ACOS(1-2*(MIN(0.999,MAX(1E-6,A47/$B$5))))))))&lt;=0,0,(IF((($B$5/2)*(2*ACOS(1-2*(MIN(0.999,MAX(1E-6,A47/$B$5))))))&lt;=0,0,((($B$5/2)^2/2)*((2*ACOS(1-2*(MIN(0.999,MAX(1E-6,A47/$B$5)))))-SIN(2*ACOS(1-2*(MIN(0.999,MAX(1E-6,A47/$B$5)))))))/(($B$5/2)*(2*ACOS(1-2*(MIN(0.999,MAX(1E-6,A47/$B$5))))))))^(2/3))*SQRT($B$9)),IF((A47-$B$10+$B$9*$B$6)&lt;=0,0,(PI()*($B$5/2)^2)*SQRT((A47-$B$10+$B$9*$B$6)/((1+$B$17)/(2*9.81)+($B$4^2)*$B$6/(($B$5/4)^(4/3))))))</f>
        <v/>
      </c>
      <c r="E47" s="9">
        <f>MIN(C47,D47)</f>
        <v/>
      </c>
      <c r="F47" s="19">
        <f>IF(A47&lt;=0,0,IF(A47&lt;$B$5,(($B$5/2)^2/2)*((2*ACOS(1-2*(MIN(0.999,MAX(1E-6,A47/$B$5)))))-SIN(2*ACOS(1-2*(MIN(0.999,MAX(1E-6,A47/$B$5)))))),(PI()*($B$5/2)^2)))</f>
        <v/>
      </c>
      <c r="G47" s="20">
        <f>IF(F47&lt;=0,0,E47/F47)</f>
        <v/>
      </c>
    </row>
    <row r="48">
      <c r="A48" s="29" t="n">
        <v>1.4</v>
      </c>
      <c r="B48" s="29">
        <f>$B$7+A48</f>
        <v/>
      </c>
      <c r="C48" s="19">
        <f>IF(A48&lt;=0,0,IF(A48&lt;=1.2*$B$5,1.811*(PI()*($B$5/2)^2)*SQRT($B$5)*IF($B$13*$B$5&lt;=0,0,(A48/($B$13*$B$5))^(1/$B$14)),MAX(1.811*(PI()*($B$5/2)^2)*SQRT($B$5)*IF($B$13*$B$5&lt;=0,0,((1.2*$B$5)/($B$13*$B$5))^(1/$B$14)),1.811*(PI()*($B$5/2)^2)*SQRT($B$5)*SQRT(MAX(0,(A48/$B$5-$B$16)/7)))))</f>
        <v/>
      </c>
      <c r="D48" s="19">
        <f>IF(A48&lt;$B$5,IF($B$4&lt;=0,0,(1/$B$4)*((($B$5/2)^2/2)*((2*ACOS(1-2*(MIN(0.999,MAX(1E-6,A48/$B$5)))))-SIN(2*ACOS(1-2*(MIN(0.999,MAX(1E-6,A48/$B$5)))))))*IF((IF((($B$5/2)*(2*ACOS(1-2*(MIN(0.999,MAX(1E-6,A48/$B$5))))))&lt;=0,0,((($B$5/2)^2/2)*((2*ACOS(1-2*(MIN(0.999,MAX(1E-6,A48/$B$5)))))-SIN(2*ACOS(1-2*(MIN(0.999,MAX(1E-6,A48/$B$5)))))))/(($B$5/2)*(2*ACOS(1-2*(MIN(0.999,MAX(1E-6,A48/$B$5))))))))&lt;=0,0,(IF((($B$5/2)*(2*ACOS(1-2*(MIN(0.999,MAX(1E-6,A48/$B$5))))))&lt;=0,0,((($B$5/2)^2/2)*((2*ACOS(1-2*(MIN(0.999,MAX(1E-6,A48/$B$5)))))-SIN(2*ACOS(1-2*(MIN(0.999,MAX(1E-6,A48/$B$5)))))))/(($B$5/2)*(2*ACOS(1-2*(MIN(0.999,MAX(1E-6,A48/$B$5))))))))^(2/3))*SQRT($B$9)),IF((A48-$B$10+$B$9*$B$6)&lt;=0,0,(PI()*($B$5/2)^2)*SQRT((A48-$B$10+$B$9*$B$6)/((1+$B$17)/(2*9.81)+($B$4^2)*$B$6/(($B$5/4)^(4/3))))))</f>
        <v/>
      </c>
      <c r="E48" s="9">
        <f>MIN(C48,D48)</f>
        <v/>
      </c>
      <c r="F48" s="19">
        <f>IF(A48&lt;=0,0,IF(A48&lt;$B$5,(($B$5/2)^2/2)*((2*ACOS(1-2*(MIN(0.999,MAX(1E-6,A48/$B$5)))))-SIN(2*ACOS(1-2*(MIN(0.999,MAX(1E-6,A48/$B$5)))))),(PI()*($B$5/2)^2)))</f>
        <v/>
      </c>
      <c r="G48" s="20">
        <f>IF(F48&lt;=0,0,E48/F48)</f>
        <v/>
      </c>
    </row>
    <row r="49">
      <c r="A49" s="29" t="n">
        <v>1.45</v>
      </c>
      <c r="B49" s="29">
        <f>$B$7+A49</f>
        <v/>
      </c>
      <c r="C49" s="19">
        <f>IF(A49&lt;=0,0,IF(A49&lt;=1.2*$B$5,1.811*(PI()*($B$5/2)^2)*SQRT($B$5)*IF($B$13*$B$5&lt;=0,0,(A49/($B$13*$B$5))^(1/$B$14)),MAX(1.811*(PI()*($B$5/2)^2)*SQRT($B$5)*IF($B$13*$B$5&lt;=0,0,((1.2*$B$5)/($B$13*$B$5))^(1/$B$14)),1.811*(PI()*($B$5/2)^2)*SQRT($B$5)*SQRT(MAX(0,(A49/$B$5-$B$16)/7)))))</f>
        <v/>
      </c>
      <c r="D49" s="19">
        <f>IF(A49&lt;$B$5,IF($B$4&lt;=0,0,(1/$B$4)*((($B$5/2)^2/2)*((2*ACOS(1-2*(MIN(0.999,MAX(1E-6,A49/$B$5)))))-SIN(2*ACOS(1-2*(MIN(0.999,MAX(1E-6,A49/$B$5)))))))*IF((IF((($B$5/2)*(2*ACOS(1-2*(MIN(0.999,MAX(1E-6,A49/$B$5))))))&lt;=0,0,((($B$5/2)^2/2)*((2*ACOS(1-2*(MIN(0.999,MAX(1E-6,A49/$B$5)))))-SIN(2*ACOS(1-2*(MIN(0.999,MAX(1E-6,A49/$B$5)))))))/(($B$5/2)*(2*ACOS(1-2*(MIN(0.999,MAX(1E-6,A49/$B$5))))))))&lt;=0,0,(IF((($B$5/2)*(2*ACOS(1-2*(MIN(0.999,MAX(1E-6,A49/$B$5))))))&lt;=0,0,((($B$5/2)^2/2)*((2*ACOS(1-2*(MIN(0.999,MAX(1E-6,A49/$B$5)))))-SIN(2*ACOS(1-2*(MIN(0.999,MAX(1E-6,A49/$B$5)))))))/(($B$5/2)*(2*ACOS(1-2*(MIN(0.999,MAX(1E-6,A49/$B$5))))))))^(2/3))*SQRT($B$9)),IF((A49-$B$10+$B$9*$B$6)&lt;=0,0,(PI()*($B$5/2)^2)*SQRT((A49-$B$10+$B$9*$B$6)/((1+$B$17)/(2*9.81)+($B$4^2)*$B$6/(($B$5/4)^(4/3))))))</f>
        <v/>
      </c>
      <c r="E49" s="9">
        <f>MIN(C49,D49)</f>
        <v/>
      </c>
      <c r="F49" s="19">
        <f>IF(A49&lt;=0,0,IF(A49&lt;$B$5,(($B$5/2)^2/2)*((2*ACOS(1-2*(MIN(0.999,MAX(1E-6,A49/$B$5)))))-SIN(2*ACOS(1-2*(MIN(0.999,MAX(1E-6,A49/$B$5)))))),(PI()*($B$5/2)^2)))</f>
        <v/>
      </c>
      <c r="G49" s="20">
        <f>IF(F49&lt;=0,0,E49/F49)</f>
        <v/>
      </c>
    </row>
    <row r="50">
      <c r="A50" s="29" t="n">
        <v>1.5</v>
      </c>
      <c r="B50" s="29">
        <f>$B$7+A50</f>
        <v/>
      </c>
      <c r="C50" s="19">
        <f>IF(A50&lt;=0,0,IF(A50&lt;=1.2*$B$5,1.811*(PI()*($B$5/2)^2)*SQRT($B$5)*IF($B$13*$B$5&lt;=0,0,(A50/($B$13*$B$5))^(1/$B$14)),MAX(1.811*(PI()*($B$5/2)^2)*SQRT($B$5)*IF($B$13*$B$5&lt;=0,0,((1.2*$B$5)/($B$13*$B$5))^(1/$B$14)),1.811*(PI()*($B$5/2)^2)*SQRT($B$5)*SQRT(MAX(0,(A50/$B$5-$B$16)/7)))))</f>
        <v/>
      </c>
      <c r="D50" s="19">
        <f>IF(A50&lt;$B$5,IF($B$4&lt;=0,0,(1/$B$4)*((($B$5/2)^2/2)*((2*ACOS(1-2*(MIN(0.999,MAX(1E-6,A50/$B$5)))))-SIN(2*ACOS(1-2*(MIN(0.999,MAX(1E-6,A50/$B$5)))))))*IF((IF((($B$5/2)*(2*ACOS(1-2*(MIN(0.999,MAX(1E-6,A50/$B$5))))))&lt;=0,0,((($B$5/2)^2/2)*((2*ACOS(1-2*(MIN(0.999,MAX(1E-6,A50/$B$5)))))-SIN(2*ACOS(1-2*(MIN(0.999,MAX(1E-6,A50/$B$5)))))))/(($B$5/2)*(2*ACOS(1-2*(MIN(0.999,MAX(1E-6,A50/$B$5))))))))&lt;=0,0,(IF((($B$5/2)*(2*ACOS(1-2*(MIN(0.999,MAX(1E-6,A50/$B$5))))))&lt;=0,0,((($B$5/2)^2/2)*((2*ACOS(1-2*(MIN(0.999,MAX(1E-6,A50/$B$5)))))-SIN(2*ACOS(1-2*(MIN(0.999,MAX(1E-6,A50/$B$5)))))))/(($B$5/2)*(2*ACOS(1-2*(MIN(0.999,MAX(1E-6,A50/$B$5))))))))^(2/3))*SQRT($B$9)),IF((A50-$B$10+$B$9*$B$6)&lt;=0,0,(PI()*($B$5/2)^2)*SQRT((A50-$B$10+$B$9*$B$6)/((1+$B$17)/(2*9.81)+($B$4^2)*$B$6/(($B$5/4)^(4/3))))))</f>
        <v/>
      </c>
      <c r="E50" s="9">
        <f>MIN(C50,D50)</f>
        <v/>
      </c>
      <c r="F50" s="19">
        <f>IF(A50&lt;=0,0,IF(A50&lt;$B$5,(($B$5/2)^2/2)*((2*ACOS(1-2*(MIN(0.999,MAX(1E-6,A50/$B$5)))))-SIN(2*ACOS(1-2*(MIN(0.999,MAX(1E-6,A50/$B$5)))))),(PI()*($B$5/2)^2)))</f>
        <v/>
      </c>
      <c r="G50" s="20">
        <f>IF(F50&lt;=0,0,E50/F50)</f>
        <v/>
      </c>
    </row>
    <row r="51">
      <c r="A51" s="29" t="n">
        <v>1.55</v>
      </c>
      <c r="B51" s="29">
        <f>$B$7+A51</f>
        <v/>
      </c>
      <c r="C51" s="19">
        <f>IF(A51&lt;=0,0,IF(A51&lt;=1.2*$B$5,1.811*(PI()*($B$5/2)^2)*SQRT($B$5)*IF($B$13*$B$5&lt;=0,0,(A51/($B$13*$B$5))^(1/$B$14)),MAX(1.811*(PI()*($B$5/2)^2)*SQRT($B$5)*IF($B$13*$B$5&lt;=0,0,((1.2*$B$5)/($B$13*$B$5))^(1/$B$14)),1.811*(PI()*($B$5/2)^2)*SQRT($B$5)*SQRT(MAX(0,(A51/$B$5-$B$16)/7)))))</f>
        <v/>
      </c>
      <c r="D51" s="19">
        <f>IF(A51&lt;$B$5,IF($B$4&lt;=0,0,(1/$B$4)*((($B$5/2)^2/2)*((2*ACOS(1-2*(MIN(0.999,MAX(1E-6,A51/$B$5)))))-SIN(2*ACOS(1-2*(MIN(0.999,MAX(1E-6,A51/$B$5)))))))*IF((IF((($B$5/2)*(2*ACOS(1-2*(MIN(0.999,MAX(1E-6,A51/$B$5))))))&lt;=0,0,((($B$5/2)^2/2)*((2*ACOS(1-2*(MIN(0.999,MAX(1E-6,A51/$B$5)))))-SIN(2*ACOS(1-2*(MIN(0.999,MAX(1E-6,A51/$B$5)))))))/(($B$5/2)*(2*ACOS(1-2*(MIN(0.999,MAX(1E-6,A51/$B$5))))))))&lt;=0,0,(IF((($B$5/2)*(2*ACOS(1-2*(MIN(0.999,MAX(1E-6,A51/$B$5))))))&lt;=0,0,((($B$5/2)^2/2)*((2*ACOS(1-2*(MIN(0.999,MAX(1E-6,A51/$B$5)))))-SIN(2*ACOS(1-2*(MIN(0.999,MAX(1E-6,A51/$B$5)))))))/(($B$5/2)*(2*ACOS(1-2*(MIN(0.999,MAX(1E-6,A51/$B$5))))))))^(2/3))*SQRT($B$9)),IF((A51-$B$10+$B$9*$B$6)&lt;=0,0,(PI()*($B$5/2)^2)*SQRT((A51-$B$10+$B$9*$B$6)/((1+$B$17)/(2*9.81)+($B$4^2)*$B$6/(($B$5/4)^(4/3))))))</f>
        <v/>
      </c>
      <c r="E51" s="9">
        <f>MIN(C51,D51)</f>
        <v/>
      </c>
      <c r="F51" s="19">
        <f>IF(A51&lt;=0,0,IF(A51&lt;$B$5,(($B$5/2)^2/2)*((2*ACOS(1-2*(MIN(0.999,MAX(1E-6,A51/$B$5)))))-SIN(2*ACOS(1-2*(MIN(0.999,MAX(1E-6,A51/$B$5)))))),(PI()*($B$5/2)^2)))</f>
        <v/>
      </c>
      <c r="G51" s="20">
        <f>IF(F51&lt;=0,0,E51/F51)</f>
        <v/>
      </c>
    </row>
    <row r="52">
      <c r="A52" s="29" t="n">
        <v>1.6</v>
      </c>
      <c r="B52" s="29">
        <f>$B$7+A52</f>
        <v/>
      </c>
      <c r="C52" s="19">
        <f>IF(A52&lt;=0,0,IF(A52&lt;=1.2*$B$5,1.811*(PI()*($B$5/2)^2)*SQRT($B$5)*IF($B$13*$B$5&lt;=0,0,(A52/($B$13*$B$5))^(1/$B$14)),MAX(1.811*(PI()*($B$5/2)^2)*SQRT($B$5)*IF($B$13*$B$5&lt;=0,0,((1.2*$B$5)/($B$13*$B$5))^(1/$B$14)),1.811*(PI()*($B$5/2)^2)*SQRT($B$5)*SQRT(MAX(0,(A52/$B$5-$B$16)/7)))))</f>
        <v/>
      </c>
      <c r="D52" s="19">
        <f>IF(A52&lt;$B$5,IF($B$4&lt;=0,0,(1/$B$4)*((($B$5/2)^2/2)*((2*ACOS(1-2*(MIN(0.999,MAX(1E-6,A52/$B$5)))))-SIN(2*ACOS(1-2*(MIN(0.999,MAX(1E-6,A52/$B$5)))))))*IF((IF((($B$5/2)*(2*ACOS(1-2*(MIN(0.999,MAX(1E-6,A52/$B$5))))))&lt;=0,0,((($B$5/2)^2/2)*((2*ACOS(1-2*(MIN(0.999,MAX(1E-6,A52/$B$5)))))-SIN(2*ACOS(1-2*(MIN(0.999,MAX(1E-6,A52/$B$5)))))))/(($B$5/2)*(2*ACOS(1-2*(MIN(0.999,MAX(1E-6,A52/$B$5))))))))&lt;=0,0,(IF((($B$5/2)*(2*ACOS(1-2*(MIN(0.999,MAX(1E-6,A52/$B$5))))))&lt;=0,0,((($B$5/2)^2/2)*((2*ACOS(1-2*(MIN(0.999,MAX(1E-6,A52/$B$5)))))-SIN(2*ACOS(1-2*(MIN(0.999,MAX(1E-6,A52/$B$5)))))))/(($B$5/2)*(2*ACOS(1-2*(MIN(0.999,MAX(1E-6,A52/$B$5))))))))^(2/3))*SQRT($B$9)),IF((A52-$B$10+$B$9*$B$6)&lt;=0,0,(PI()*($B$5/2)^2)*SQRT((A52-$B$10+$B$9*$B$6)/((1+$B$17)/(2*9.81)+($B$4^2)*$B$6/(($B$5/4)^(4/3))))))</f>
        <v/>
      </c>
      <c r="E52" s="9">
        <f>MIN(C52,D52)</f>
        <v/>
      </c>
      <c r="F52" s="19">
        <f>IF(A52&lt;=0,0,IF(A52&lt;$B$5,(($B$5/2)^2/2)*((2*ACOS(1-2*(MIN(0.999,MAX(1E-6,A52/$B$5)))))-SIN(2*ACOS(1-2*(MIN(0.999,MAX(1E-6,A52/$B$5)))))),(PI()*($B$5/2)^2)))</f>
        <v/>
      </c>
      <c r="G52" s="20">
        <f>IF(F52&lt;=0,0,E52/F52)</f>
        <v/>
      </c>
    </row>
    <row r="53">
      <c r="A53" s="29" t="n">
        <v>1.65</v>
      </c>
      <c r="B53" s="29">
        <f>$B$7+A53</f>
        <v/>
      </c>
      <c r="C53" s="19">
        <f>IF(A53&lt;=0,0,IF(A53&lt;=1.2*$B$5,1.811*(PI()*($B$5/2)^2)*SQRT($B$5)*IF($B$13*$B$5&lt;=0,0,(A53/($B$13*$B$5))^(1/$B$14)),MAX(1.811*(PI()*($B$5/2)^2)*SQRT($B$5)*IF($B$13*$B$5&lt;=0,0,((1.2*$B$5)/($B$13*$B$5))^(1/$B$14)),1.811*(PI()*($B$5/2)^2)*SQRT($B$5)*SQRT(MAX(0,(A53/$B$5-$B$16)/7)))))</f>
        <v/>
      </c>
      <c r="D53" s="19">
        <f>IF(A53&lt;$B$5,IF($B$4&lt;=0,0,(1/$B$4)*((($B$5/2)^2/2)*((2*ACOS(1-2*(MIN(0.999,MAX(1E-6,A53/$B$5)))))-SIN(2*ACOS(1-2*(MIN(0.999,MAX(1E-6,A53/$B$5)))))))*IF((IF((($B$5/2)*(2*ACOS(1-2*(MIN(0.999,MAX(1E-6,A53/$B$5))))))&lt;=0,0,((($B$5/2)^2/2)*((2*ACOS(1-2*(MIN(0.999,MAX(1E-6,A53/$B$5)))))-SIN(2*ACOS(1-2*(MIN(0.999,MAX(1E-6,A53/$B$5)))))))/(($B$5/2)*(2*ACOS(1-2*(MIN(0.999,MAX(1E-6,A53/$B$5))))))))&lt;=0,0,(IF((($B$5/2)*(2*ACOS(1-2*(MIN(0.999,MAX(1E-6,A53/$B$5))))))&lt;=0,0,((($B$5/2)^2/2)*((2*ACOS(1-2*(MIN(0.999,MAX(1E-6,A53/$B$5)))))-SIN(2*ACOS(1-2*(MIN(0.999,MAX(1E-6,A53/$B$5)))))))/(($B$5/2)*(2*ACOS(1-2*(MIN(0.999,MAX(1E-6,A53/$B$5))))))))^(2/3))*SQRT($B$9)),IF((A53-$B$10+$B$9*$B$6)&lt;=0,0,(PI()*($B$5/2)^2)*SQRT((A53-$B$10+$B$9*$B$6)/((1+$B$17)/(2*9.81)+($B$4^2)*$B$6/(($B$5/4)^(4/3))))))</f>
        <v/>
      </c>
      <c r="E53" s="9">
        <f>MIN(C53,D53)</f>
        <v/>
      </c>
      <c r="F53" s="19">
        <f>IF(A53&lt;=0,0,IF(A53&lt;$B$5,(($B$5/2)^2/2)*((2*ACOS(1-2*(MIN(0.999,MAX(1E-6,A53/$B$5)))))-SIN(2*ACOS(1-2*(MIN(0.999,MAX(1E-6,A53/$B$5)))))),(PI()*($B$5/2)^2)))</f>
        <v/>
      </c>
      <c r="G53" s="20">
        <f>IF(F53&lt;=0,0,E53/F53)</f>
        <v/>
      </c>
    </row>
    <row r="54">
      <c r="A54" s="29" t="n">
        <v>1.7</v>
      </c>
      <c r="B54" s="29">
        <f>$B$7+A54</f>
        <v/>
      </c>
      <c r="C54" s="19">
        <f>IF(A54&lt;=0,0,IF(A54&lt;=1.2*$B$5,1.811*(PI()*($B$5/2)^2)*SQRT($B$5)*IF($B$13*$B$5&lt;=0,0,(A54/($B$13*$B$5))^(1/$B$14)),MAX(1.811*(PI()*($B$5/2)^2)*SQRT($B$5)*IF($B$13*$B$5&lt;=0,0,((1.2*$B$5)/($B$13*$B$5))^(1/$B$14)),1.811*(PI()*($B$5/2)^2)*SQRT($B$5)*SQRT(MAX(0,(A54/$B$5-$B$16)/7)))))</f>
        <v/>
      </c>
      <c r="D54" s="19">
        <f>IF(A54&lt;$B$5,IF($B$4&lt;=0,0,(1/$B$4)*((($B$5/2)^2/2)*((2*ACOS(1-2*(MIN(0.999,MAX(1E-6,A54/$B$5)))))-SIN(2*ACOS(1-2*(MIN(0.999,MAX(1E-6,A54/$B$5)))))))*IF((IF((($B$5/2)*(2*ACOS(1-2*(MIN(0.999,MAX(1E-6,A54/$B$5))))))&lt;=0,0,((($B$5/2)^2/2)*((2*ACOS(1-2*(MIN(0.999,MAX(1E-6,A54/$B$5)))))-SIN(2*ACOS(1-2*(MIN(0.999,MAX(1E-6,A54/$B$5)))))))/(($B$5/2)*(2*ACOS(1-2*(MIN(0.999,MAX(1E-6,A54/$B$5))))))))&lt;=0,0,(IF((($B$5/2)*(2*ACOS(1-2*(MIN(0.999,MAX(1E-6,A54/$B$5))))))&lt;=0,0,((($B$5/2)^2/2)*((2*ACOS(1-2*(MIN(0.999,MAX(1E-6,A54/$B$5)))))-SIN(2*ACOS(1-2*(MIN(0.999,MAX(1E-6,A54/$B$5)))))))/(($B$5/2)*(2*ACOS(1-2*(MIN(0.999,MAX(1E-6,A54/$B$5))))))))^(2/3))*SQRT($B$9)),IF((A54-$B$10+$B$9*$B$6)&lt;=0,0,(PI()*($B$5/2)^2)*SQRT((A54-$B$10+$B$9*$B$6)/((1+$B$17)/(2*9.81)+($B$4^2)*$B$6/(($B$5/4)^(4/3))))))</f>
        <v/>
      </c>
      <c r="E54" s="9">
        <f>MIN(C54,D54)</f>
        <v/>
      </c>
      <c r="F54" s="19">
        <f>IF(A54&lt;=0,0,IF(A54&lt;$B$5,(($B$5/2)^2/2)*((2*ACOS(1-2*(MIN(0.999,MAX(1E-6,A54/$B$5)))))-SIN(2*ACOS(1-2*(MIN(0.999,MAX(1E-6,A54/$B$5)))))),(PI()*($B$5/2)^2)))</f>
        <v/>
      </c>
      <c r="G54" s="20">
        <f>IF(F54&lt;=0,0,E54/F54)</f>
        <v/>
      </c>
    </row>
    <row r="55">
      <c r="A55" s="29" t="n">
        <v>1.75</v>
      </c>
      <c r="B55" s="29">
        <f>$B$7+A55</f>
        <v/>
      </c>
      <c r="C55" s="19">
        <f>IF(A55&lt;=0,0,IF(A55&lt;=1.2*$B$5,1.811*(PI()*($B$5/2)^2)*SQRT($B$5)*IF($B$13*$B$5&lt;=0,0,(A55/($B$13*$B$5))^(1/$B$14)),MAX(1.811*(PI()*($B$5/2)^2)*SQRT($B$5)*IF($B$13*$B$5&lt;=0,0,((1.2*$B$5)/($B$13*$B$5))^(1/$B$14)),1.811*(PI()*($B$5/2)^2)*SQRT($B$5)*SQRT(MAX(0,(A55/$B$5-$B$16)/7)))))</f>
        <v/>
      </c>
      <c r="D55" s="19">
        <f>IF(A55&lt;$B$5,IF($B$4&lt;=0,0,(1/$B$4)*((($B$5/2)^2/2)*((2*ACOS(1-2*(MIN(0.999,MAX(1E-6,A55/$B$5)))))-SIN(2*ACOS(1-2*(MIN(0.999,MAX(1E-6,A55/$B$5)))))))*IF((IF((($B$5/2)*(2*ACOS(1-2*(MIN(0.999,MAX(1E-6,A55/$B$5))))))&lt;=0,0,((($B$5/2)^2/2)*((2*ACOS(1-2*(MIN(0.999,MAX(1E-6,A55/$B$5)))))-SIN(2*ACOS(1-2*(MIN(0.999,MAX(1E-6,A55/$B$5)))))))/(($B$5/2)*(2*ACOS(1-2*(MIN(0.999,MAX(1E-6,A55/$B$5))))))))&lt;=0,0,(IF((($B$5/2)*(2*ACOS(1-2*(MIN(0.999,MAX(1E-6,A55/$B$5))))))&lt;=0,0,((($B$5/2)^2/2)*((2*ACOS(1-2*(MIN(0.999,MAX(1E-6,A55/$B$5)))))-SIN(2*ACOS(1-2*(MIN(0.999,MAX(1E-6,A55/$B$5)))))))/(($B$5/2)*(2*ACOS(1-2*(MIN(0.999,MAX(1E-6,A55/$B$5))))))))^(2/3))*SQRT($B$9)),IF((A55-$B$10+$B$9*$B$6)&lt;=0,0,(PI()*($B$5/2)^2)*SQRT((A55-$B$10+$B$9*$B$6)/((1+$B$17)/(2*9.81)+($B$4^2)*$B$6/(($B$5/4)^(4/3))))))</f>
        <v/>
      </c>
      <c r="E55" s="9">
        <f>MIN(C55,D55)</f>
        <v/>
      </c>
      <c r="F55" s="19">
        <f>IF(A55&lt;=0,0,IF(A55&lt;$B$5,(($B$5/2)^2/2)*((2*ACOS(1-2*(MIN(0.999,MAX(1E-6,A55/$B$5)))))-SIN(2*ACOS(1-2*(MIN(0.999,MAX(1E-6,A55/$B$5)))))),(PI()*($B$5/2)^2)))</f>
        <v/>
      </c>
      <c r="G55" s="20">
        <f>IF(F55&lt;=0,0,E55/F55)</f>
        <v/>
      </c>
    </row>
    <row r="56">
      <c r="A56" s="29" t="n">
        <v>1.8</v>
      </c>
      <c r="B56" s="29">
        <f>$B$7+A56</f>
        <v/>
      </c>
      <c r="C56" s="19">
        <f>IF(A56&lt;=0,0,IF(A56&lt;=1.2*$B$5,1.811*(PI()*($B$5/2)^2)*SQRT($B$5)*IF($B$13*$B$5&lt;=0,0,(A56/($B$13*$B$5))^(1/$B$14)),MAX(1.811*(PI()*($B$5/2)^2)*SQRT($B$5)*IF($B$13*$B$5&lt;=0,0,((1.2*$B$5)/($B$13*$B$5))^(1/$B$14)),1.811*(PI()*($B$5/2)^2)*SQRT($B$5)*SQRT(MAX(0,(A56/$B$5-$B$16)/7)))))</f>
        <v/>
      </c>
      <c r="D56" s="19">
        <f>IF(A56&lt;$B$5,IF($B$4&lt;=0,0,(1/$B$4)*((($B$5/2)^2/2)*((2*ACOS(1-2*(MIN(0.999,MAX(1E-6,A56/$B$5)))))-SIN(2*ACOS(1-2*(MIN(0.999,MAX(1E-6,A56/$B$5)))))))*IF((IF((($B$5/2)*(2*ACOS(1-2*(MIN(0.999,MAX(1E-6,A56/$B$5))))))&lt;=0,0,((($B$5/2)^2/2)*((2*ACOS(1-2*(MIN(0.999,MAX(1E-6,A56/$B$5)))))-SIN(2*ACOS(1-2*(MIN(0.999,MAX(1E-6,A56/$B$5)))))))/(($B$5/2)*(2*ACOS(1-2*(MIN(0.999,MAX(1E-6,A56/$B$5))))))))&lt;=0,0,(IF((($B$5/2)*(2*ACOS(1-2*(MIN(0.999,MAX(1E-6,A56/$B$5))))))&lt;=0,0,((($B$5/2)^2/2)*((2*ACOS(1-2*(MIN(0.999,MAX(1E-6,A56/$B$5)))))-SIN(2*ACOS(1-2*(MIN(0.999,MAX(1E-6,A56/$B$5)))))))/(($B$5/2)*(2*ACOS(1-2*(MIN(0.999,MAX(1E-6,A56/$B$5))))))))^(2/3))*SQRT($B$9)),IF((A56-$B$10+$B$9*$B$6)&lt;=0,0,(PI()*($B$5/2)^2)*SQRT((A56-$B$10+$B$9*$B$6)/((1+$B$17)/(2*9.81)+($B$4^2)*$B$6/(($B$5/4)^(4/3))))))</f>
        <v/>
      </c>
      <c r="E56" s="9">
        <f>MIN(C56,D56)</f>
        <v/>
      </c>
      <c r="F56" s="19">
        <f>IF(A56&lt;=0,0,IF(A56&lt;$B$5,(($B$5/2)^2/2)*((2*ACOS(1-2*(MIN(0.999,MAX(1E-6,A56/$B$5)))))-SIN(2*ACOS(1-2*(MIN(0.999,MAX(1E-6,A56/$B$5)))))),(PI()*($B$5/2)^2)))</f>
        <v/>
      </c>
      <c r="G56" s="20">
        <f>IF(F56&lt;=0,0,E56/F56)</f>
        <v/>
      </c>
    </row>
    <row r="57">
      <c r="A57" s="29" t="n">
        <v>1.85</v>
      </c>
      <c r="B57" s="29">
        <f>$B$7+A57</f>
        <v/>
      </c>
      <c r="C57" s="19">
        <f>IF(A57&lt;=0,0,IF(A57&lt;=1.2*$B$5,1.811*(PI()*($B$5/2)^2)*SQRT($B$5)*IF($B$13*$B$5&lt;=0,0,(A57/($B$13*$B$5))^(1/$B$14)),MAX(1.811*(PI()*($B$5/2)^2)*SQRT($B$5)*IF($B$13*$B$5&lt;=0,0,((1.2*$B$5)/($B$13*$B$5))^(1/$B$14)),1.811*(PI()*($B$5/2)^2)*SQRT($B$5)*SQRT(MAX(0,(A57/$B$5-$B$16)/7)))))</f>
        <v/>
      </c>
      <c r="D57" s="19">
        <f>IF(A57&lt;$B$5,IF($B$4&lt;=0,0,(1/$B$4)*((($B$5/2)^2/2)*((2*ACOS(1-2*(MIN(0.999,MAX(1E-6,A57/$B$5)))))-SIN(2*ACOS(1-2*(MIN(0.999,MAX(1E-6,A57/$B$5)))))))*IF((IF((($B$5/2)*(2*ACOS(1-2*(MIN(0.999,MAX(1E-6,A57/$B$5))))))&lt;=0,0,((($B$5/2)^2/2)*((2*ACOS(1-2*(MIN(0.999,MAX(1E-6,A57/$B$5)))))-SIN(2*ACOS(1-2*(MIN(0.999,MAX(1E-6,A57/$B$5)))))))/(($B$5/2)*(2*ACOS(1-2*(MIN(0.999,MAX(1E-6,A57/$B$5))))))))&lt;=0,0,(IF((($B$5/2)*(2*ACOS(1-2*(MIN(0.999,MAX(1E-6,A57/$B$5))))))&lt;=0,0,((($B$5/2)^2/2)*((2*ACOS(1-2*(MIN(0.999,MAX(1E-6,A57/$B$5)))))-SIN(2*ACOS(1-2*(MIN(0.999,MAX(1E-6,A57/$B$5)))))))/(($B$5/2)*(2*ACOS(1-2*(MIN(0.999,MAX(1E-6,A57/$B$5))))))))^(2/3))*SQRT($B$9)),IF((A57-$B$10+$B$9*$B$6)&lt;=0,0,(PI()*($B$5/2)^2)*SQRT((A57-$B$10+$B$9*$B$6)/((1+$B$17)/(2*9.81)+($B$4^2)*$B$6/(($B$5/4)^(4/3))))))</f>
        <v/>
      </c>
      <c r="E57" s="9">
        <f>MIN(C57,D57)</f>
        <v/>
      </c>
      <c r="F57" s="19">
        <f>IF(A57&lt;=0,0,IF(A57&lt;$B$5,(($B$5/2)^2/2)*((2*ACOS(1-2*(MIN(0.999,MAX(1E-6,A57/$B$5)))))-SIN(2*ACOS(1-2*(MIN(0.999,MAX(1E-6,A57/$B$5)))))),(PI()*($B$5/2)^2)))</f>
        <v/>
      </c>
      <c r="G57" s="20">
        <f>IF(F57&lt;=0,0,E57/F57)</f>
        <v/>
      </c>
    </row>
    <row r="58">
      <c r="A58" s="29" t="n">
        <v>1.9</v>
      </c>
      <c r="B58" s="29">
        <f>$B$7+A58</f>
        <v/>
      </c>
      <c r="C58" s="19">
        <f>IF(A58&lt;=0,0,IF(A58&lt;=1.2*$B$5,1.811*(PI()*($B$5/2)^2)*SQRT($B$5)*IF($B$13*$B$5&lt;=0,0,(A58/($B$13*$B$5))^(1/$B$14)),MAX(1.811*(PI()*($B$5/2)^2)*SQRT($B$5)*IF($B$13*$B$5&lt;=0,0,((1.2*$B$5)/($B$13*$B$5))^(1/$B$14)),1.811*(PI()*($B$5/2)^2)*SQRT($B$5)*SQRT(MAX(0,(A58/$B$5-$B$16)/7)))))</f>
        <v/>
      </c>
      <c r="D58" s="19">
        <f>IF(A58&lt;$B$5,IF($B$4&lt;=0,0,(1/$B$4)*((($B$5/2)^2/2)*((2*ACOS(1-2*(MIN(0.999,MAX(1E-6,A58/$B$5)))))-SIN(2*ACOS(1-2*(MIN(0.999,MAX(1E-6,A58/$B$5)))))))*IF((IF((($B$5/2)*(2*ACOS(1-2*(MIN(0.999,MAX(1E-6,A58/$B$5))))))&lt;=0,0,((($B$5/2)^2/2)*((2*ACOS(1-2*(MIN(0.999,MAX(1E-6,A58/$B$5)))))-SIN(2*ACOS(1-2*(MIN(0.999,MAX(1E-6,A58/$B$5)))))))/(($B$5/2)*(2*ACOS(1-2*(MIN(0.999,MAX(1E-6,A58/$B$5))))))))&lt;=0,0,(IF((($B$5/2)*(2*ACOS(1-2*(MIN(0.999,MAX(1E-6,A58/$B$5))))))&lt;=0,0,((($B$5/2)^2/2)*((2*ACOS(1-2*(MIN(0.999,MAX(1E-6,A58/$B$5)))))-SIN(2*ACOS(1-2*(MIN(0.999,MAX(1E-6,A58/$B$5)))))))/(($B$5/2)*(2*ACOS(1-2*(MIN(0.999,MAX(1E-6,A58/$B$5))))))))^(2/3))*SQRT($B$9)),IF((A58-$B$10+$B$9*$B$6)&lt;=0,0,(PI()*($B$5/2)^2)*SQRT((A58-$B$10+$B$9*$B$6)/((1+$B$17)/(2*9.81)+($B$4^2)*$B$6/(($B$5/4)^(4/3))))))</f>
        <v/>
      </c>
      <c r="E58" s="9">
        <f>MIN(C58,D58)</f>
        <v/>
      </c>
      <c r="F58" s="19">
        <f>IF(A58&lt;=0,0,IF(A58&lt;$B$5,(($B$5/2)^2/2)*((2*ACOS(1-2*(MIN(0.999,MAX(1E-6,A58/$B$5)))))-SIN(2*ACOS(1-2*(MIN(0.999,MAX(1E-6,A58/$B$5)))))),(PI()*($B$5/2)^2)))</f>
        <v/>
      </c>
      <c r="G58" s="20">
        <f>IF(F58&lt;=0,0,E58/F58)</f>
        <v/>
      </c>
    </row>
    <row r="59">
      <c r="A59" s="29" t="n">
        <v>1.95</v>
      </c>
      <c r="B59" s="29">
        <f>$B$7+A59</f>
        <v/>
      </c>
      <c r="C59" s="19">
        <f>IF(A59&lt;=0,0,IF(A59&lt;=1.2*$B$5,1.811*(PI()*($B$5/2)^2)*SQRT($B$5)*IF($B$13*$B$5&lt;=0,0,(A59/($B$13*$B$5))^(1/$B$14)),MAX(1.811*(PI()*($B$5/2)^2)*SQRT($B$5)*IF($B$13*$B$5&lt;=0,0,((1.2*$B$5)/($B$13*$B$5))^(1/$B$14)),1.811*(PI()*($B$5/2)^2)*SQRT($B$5)*SQRT(MAX(0,(A59/$B$5-$B$16)/7)))))</f>
        <v/>
      </c>
      <c r="D59" s="19">
        <f>IF(A59&lt;$B$5,IF($B$4&lt;=0,0,(1/$B$4)*((($B$5/2)^2/2)*((2*ACOS(1-2*(MIN(0.999,MAX(1E-6,A59/$B$5)))))-SIN(2*ACOS(1-2*(MIN(0.999,MAX(1E-6,A59/$B$5)))))))*IF((IF((($B$5/2)*(2*ACOS(1-2*(MIN(0.999,MAX(1E-6,A59/$B$5))))))&lt;=0,0,((($B$5/2)^2/2)*((2*ACOS(1-2*(MIN(0.999,MAX(1E-6,A59/$B$5)))))-SIN(2*ACOS(1-2*(MIN(0.999,MAX(1E-6,A59/$B$5)))))))/(($B$5/2)*(2*ACOS(1-2*(MIN(0.999,MAX(1E-6,A59/$B$5))))))))&lt;=0,0,(IF((($B$5/2)*(2*ACOS(1-2*(MIN(0.999,MAX(1E-6,A59/$B$5))))))&lt;=0,0,((($B$5/2)^2/2)*((2*ACOS(1-2*(MIN(0.999,MAX(1E-6,A59/$B$5)))))-SIN(2*ACOS(1-2*(MIN(0.999,MAX(1E-6,A59/$B$5)))))))/(($B$5/2)*(2*ACOS(1-2*(MIN(0.999,MAX(1E-6,A59/$B$5))))))))^(2/3))*SQRT($B$9)),IF((A59-$B$10+$B$9*$B$6)&lt;=0,0,(PI()*($B$5/2)^2)*SQRT((A59-$B$10+$B$9*$B$6)/((1+$B$17)/(2*9.81)+($B$4^2)*$B$6/(($B$5/4)^(4/3))))))</f>
        <v/>
      </c>
      <c r="E59" s="9">
        <f>MIN(C59,D59)</f>
        <v/>
      </c>
      <c r="F59" s="19">
        <f>IF(A59&lt;=0,0,IF(A59&lt;$B$5,(($B$5/2)^2/2)*((2*ACOS(1-2*(MIN(0.999,MAX(1E-6,A59/$B$5)))))-SIN(2*ACOS(1-2*(MIN(0.999,MAX(1E-6,A59/$B$5)))))),(PI()*($B$5/2)^2)))</f>
        <v/>
      </c>
      <c r="G59" s="20">
        <f>IF(F59&lt;=0,0,E59/F59)</f>
        <v/>
      </c>
    </row>
    <row r="60">
      <c r="A60" s="29" t="n">
        <v>2</v>
      </c>
      <c r="B60" s="29">
        <f>$B$7+A60</f>
        <v/>
      </c>
      <c r="C60" s="19">
        <f>IF(A60&lt;=0,0,IF(A60&lt;=1.2*$B$5,1.811*(PI()*($B$5/2)^2)*SQRT($B$5)*IF($B$13*$B$5&lt;=0,0,(A60/($B$13*$B$5))^(1/$B$14)),MAX(1.811*(PI()*($B$5/2)^2)*SQRT($B$5)*IF($B$13*$B$5&lt;=0,0,((1.2*$B$5)/($B$13*$B$5))^(1/$B$14)),1.811*(PI()*($B$5/2)^2)*SQRT($B$5)*SQRT(MAX(0,(A60/$B$5-$B$16)/7)))))</f>
        <v/>
      </c>
      <c r="D60" s="19">
        <f>IF(A60&lt;$B$5,IF($B$4&lt;=0,0,(1/$B$4)*((($B$5/2)^2/2)*((2*ACOS(1-2*(MIN(0.999,MAX(1E-6,A60/$B$5)))))-SIN(2*ACOS(1-2*(MIN(0.999,MAX(1E-6,A60/$B$5)))))))*IF((IF((($B$5/2)*(2*ACOS(1-2*(MIN(0.999,MAX(1E-6,A60/$B$5))))))&lt;=0,0,((($B$5/2)^2/2)*((2*ACOS(1-2*(MIN(0.999,MAX(1E-6,A60/$B$5)))))-SIN(2*ACOS(1-2*(MIN(0.999,MAX(1E-6,A60/$B$5)))))))/(($B$5/2)*(2*ACOS(1-2*(MIN(0.999,MAX(1E-6,A60/$B$5))))))))&lt;=0,0,(IF((($B$5/2)*(2*ACOS(1-2*(MIN(0.999,MAX(1E-6,A60/$B$5))))))&lt;=0,0,((($B$5/2)^2/2)*((2*ACOS(1-2*(MIN(0.999,MAX(1E-6,A60/$B$5)))))-SIN(2*ACOS(1-2*(MIN(0.999,MAX(1E-6,A60/$B$5)))))))/(($B$5/2)*(2*ACOS(1-2*(MIN(0.999,MAX(1E-6,A60/$B$5))))))))^(2/3))*SQRT($B$9)),IF((A60-$B$10+$B$9*$B$6)&lt;=0,0,(PI()*($B$5/2)^2)*SQRT((A60-$B$10+$B$9*$B$6)/((1+$B$17)/(2*9.81)+($B$4^2)*$B$6/(($B$5/4)^(4/3))))))</f>
        <v/>
      </c>
      <c r="E60" s="9">
        <f>MIN(C60,D60)</f>
        <v/>
      </c>
      <c r="F60" s="19">
        <f>IF(A60&lt;=0,0,IF(A60&lt;$B$5,(($B$5/2)^2/2)*((2*ACOS(1-2*(MIN(0.999,MAX(1E-6,A60/$B$5)))))-SIN(2*ACOS(1-2*(MIN(0.999,MAX(1E-6,A60/$B$5)))))),(PI()*($B$5/2)^2)))</f>
        <v/>
      </c>
      <c r="G60" s="20">
        <f>IF(F60&lt;=0,0,E60/F60)</f>
        <v/>
      </c>
    </row>
    <row r="61">
      <c r="A61" s="29" t="n">
        <v>2.05</v>
      </c>
      <c r="B61" s="29">
        <f>$B$7+A61</f>
        <v/>
      </c>
      <c r="C61" s="19">
        <f>IF(A61&lt;=0,0,IF(A61&lt;=1.2*$B$5,1.811*(PI()*($B$5/2)^2)*SQRT($B$5)*IF($B$13*$B$5&lt;=0,0,(A61/($B$13*$B$5))^(1/$B$14)),MAX(1.811*(PI()*($B$5/2)^2)*SQRT($B$5)*IF($B$13*$B$5&lt;=0,0,((1.2*$B$5)/($B$13*$B$5))^(1/$B$14)),1.811*(PI()*($B$5/2)^2)*SQRT($B$5)*SQRT(MAX(0,(A61/$B$5-$B$16)/7)))))</f>
        <v/>
      </c>
      <c r="D61" s="19">
        <f>IF(A61&lt;$B$5,IF($B$4&lt;=0,0,(1/$B$4)*((($B$5/2)^2/2)*((2*ACOS(1-2*(MIN(0.999,MAX(1E-6,A61/$B$5)))))-SIN(2*ACOS(1-2*(MIN(0.999,MAX(1E-6,A61/$B$5)))))))*IF((IF((($B$5/2)*(2*ACOS(1-2*(MIN(0.999,MAX(1E-6,A61/$B$5))))))&lt;=0,0,((($B$5/2)^2/2)*((2*ACOS(1-2*(MIN(0.999,MAX(1E-6,A61/$B$5)))))-SIN(2*ACOS(1-2*(MIN(0.999,MAX(1E-6,A61/$B$5)))))))/(($B$5/2)*(2*ACOS(1-2*(MIN(0.999,MAX(1E-6,A61/$B$5))))))))&lt;=0,0,(IF((($B$5/2)*(2*ACOS(1-2*(MIN(0.999,MAX(1E-6,A61/$B$5))))))&lt;=0,0,((($B$5/2)^2/2)*((2*ACOS(1-2*(MIN(0.999,MAX(1E-6,A61/$B$5)))))-SIN(2*ACOS(1-2*(MIN(0.999,MAX(1E-6,A61/$B$5)))))))/(($B$5/2)*(2*ACOS(1-2*(MIN(0.999,MAX(1E-6,A61/$B$5))))))))^(2/3))*SQRT($B$9)),IF((A61-$B$10+$B$9*$B$6)&lt;=0,0,(PI()*($B$5/2)^2)*SQRT((A61-$B$10+$B$9*$B$6)/((1+$B$17)/(2*9.81)+($B$4^2)*$B$6/(($B$5/4)^(4/3))))))</f>
        <v/>
      </c>
      <c r="E61" s="9">
        <f>MIN(C61,D61)</f>
        <v/>
      </c>
      <c r="F61" s="19">
        <f>IF(A61&lt;=0,0,IF(A61&lt;$B$5,(($B$5/2)^2/2)*((2*ACOS(1-2*(MIN(0.999,MAX(1E-6,A61/$B$5)))))-SIN(2*ACOS(1-2*(MIN(0.999,MAX(1E-6,A61/$B$5)))))),(PI()*($B$5/2)^2)))</f>
        <v/>
      </c>
      <c r="G61" s="20">
        <f>IF(F61&lt;=0,0,E61/F61)</f>
        <v/>
      </c>
    </row>
    <row r="62">
      <c r="A62" s="29" t="n">
        <v>2.1</v>
      </c>
      <c r="B62" s="29">
        <f>$B$7+A62</f>
        <v/>
      </c>
      <c r="C62" s="19">
        <f>IF(A62&lt;=0,0,IF(A62&lt;=1.2*$B$5,1.811*(PI()*($B$5/2)^2)*SQRT($B$5)*IF($B$13*$B$5&lt;=0,0,(A62/($B$13*$B$5))^(1/$B$14)),MAX(1.811*(PI()*($B$5/2)^2)*SQRT($B$5)*IF($B$13*$B$5&lt;=0,0,((1.2*$B$5)/($B$13*$B$5))^(1/$B$14)),1.811*(PI()*($B$5/2)^2)*SQRT($B$5)*SQRT(MAX(0,(A62/$B$5-$B$16)/7)))))</f>
        <v/>
      </c>
      <c r="D62" s="19">
        <f>IF(A62&lt;$B$5,IF($B$4&lt;=0,0,(1/$B$4)*((($B$5/2)^2/2)*((2*ACOS(1-2*(MIN(0.999,MAX(1E-6,A62/$B$5)))))-SIN(2*ACOS(1-2*(MIN(0.999,MAX(1E-6,A62/$B$5)))))))*IF((IF((($B$5/2)*(2*ACOS(1-2*(MIN(0.999,MAX(1E-6,A62/$B$5))))))&lt;=0,0,((($B$5/2)^2/2)*((2*ACOS(1-2*(MIN(0.999,MAX(1E-6,A62/$B$5)))))-SIN(2*ACOS(1-2*(MIN(0.999,MAX(1E-6,A62/$B$5)))))))/(($B$5/2)*(2*ACOS(1-2*(MIN(0.999,MAX(1E-6,A62/$B$5))))))))&lt;=0,0,(IF((($B$5/2)*(2*ACOS(1-2*(MIN(0.999,MAX(1E-6,A62/$B$5))))))&lt;=0,0,((($B$5/2)^2/2)*((2*ACOS(1-2*(MIN(0.999,MAX(1E-6,A62/$B$5)))))-SIN(2*ACOS(1-2*(MIN(0.999,MAX(1E-6,A62/$B$5)))))))/(($B$5/2)*(2*ACOS(1-2*(MIN(0.999,MAX(1E-6,A62/$B$5))))))))^(2/3))*SQRT($B$9)),IF((A62-$B$10+$B$9*$B$6)&lt;=0,0,(PI()*($B$5/2)^2)*SQRT((A62-$B$10+$B$9*$B$6)/((1+$B$17)/(2*9.81)+($B$4^2)*$B$6/(($B$5/4)^(4/3))))))</f>
        <v/>
      </c>
      <c r="E62" s="9">
        <f>MIN(C62,D62)</f>
        <v/>
      </c>
      <c r="F62" s="19">
        <f>IF(A62&lt;=0,0,IF(A62&lt;$B$5,(($B$5/2)^2/2)*((2*ACOS(1-2*(MIN(0.999,MAX(1E-6,A62/$B$5)))))-SIN(2*ACOS(1-2*(MIN(0.999,MAX(1E-6,A62/$B$5)))))),(PI()*($B$5/2)^2)))</f>
        <v/>
      </c>
      <c r="G62" s="20">
        <f>IF(F62&lt;=0,0,E62/F62)</f>
        <v/>
      </c>
    </row>
    <row r="63">
      <c r="A63" s="29" t="n">
        <v>2.15</v>
      </c>
      <c r="B63" s="29">
        <f>$B$7+A63</f>
        <v/>
      </c>
      <c r="C63" s="19">
        <f>IF(A63&lt;=0,0,IF(A63&lt;=1.2*$B$5,1.811*(PI()*($B$5/2)^2)*SQRT($B$5)*IF($B$13*$B$5&lt;=0,0,(A63/($B$13*$B$5))^(1/$B$14)),MAX(1.811*(PI()*($B$5/2)^2)*SQRT($B$5)*IF($B$13*$B$5&lt;=0,0,((1.2*$B$5)/($B$13*$B$5))^(1/$B$14)),1.811*(PI()*($B$5/2)^2)*SQRT($B$5)*SQRT(MAX(0,(A63/$B$5-$B$16)/7)))))</f>
        <v/>
      </c>
      <c r="D63" s="19">
        <f>IF(A63&lt;$B$5,IF($B$4&lt;=0,0,(1/$B$4)*((($B$5/2)^2/2)*((2*ACOS(1-2*(MIN(0.999,MAX(1E-6,A63/$B$5)))))-SIN(2*ACOS(1-2*(MIN(0.999,MAX(1E-6,A63/$B$5)))))))*IF((IF((($B$5/2)*(2*ACOS(1-2*(MIN(0.999,MAX(1E-6,A63/$B$5))))))&lt;=0,0,((($B$5/2)^2/2)*((2*ACOS(1-2*(MIN(0.999,MAX(1E-6,A63/$B$5)))))-SIN(2*ACOS(1-2*(MIN(0.999,MAX(1E-6,A63/$B$5)))))))/(($B$5/2)*(2*ACOS(1-2*(MIN(0.999,MAX(1E-6,A63/$B$5))))))))&lt;=0,0,(IF((($B$5/2)*(2*ACOS(1-2*(MIN(0.999,MAX(1E-6,A63/$B$5))))))&lt;=0,0,((($B$5/2)^2/2)*((2*ACOS(1-2*(MIN(0.999,MAX(1E-6,A63/$B$5)))))-SIN(2*ACOS(1-2*(MIN(0.999,MAX(1E-6,A63/$B$5)))))))/(($B$5/2)*(2*ACOS(1-2*(MIN(0.999,MAX(1E-6,A63/$B$5))))))))^(2/3))*SQRT($B$9)),IF((A63-$B$10+$B$9*$B$6)&lt;=0,0,(PI()*($B$5/2)^2)*SQRT((A63-$B$10+$B$9*$B$6)/((1+$B$17)/(2*9.81)+($B$4^2)*$B$6/(($B$5/4)^(4/3))))))</f>
        <v/>
      </c>
      <c r="E63" s="9">
        <f>MIN(C63,D63)</f>
        <v/>
      </c>
      <c r="F63" s="19">
        <f>IF(A63&lt;=0,0,IF(A63&lt;$B$5,(($B$5/2)^2/2)*((2*ACOS(1-2*(MIN(0.999,MAX(1E-6,A63/$B$5)))))-SIN(2*ACOS(1-2*(MIN(0.999,MAX(1E-6,A63/$B$5)))))),(PI()*($B$5/2)^2)))</f>
        <v/>
      </c>
      <c r="G63" s="20">
        <f>IF(F63&lt;=0,0,E63/F63)</f>
        <v/>
      </c>
    </row>
    <row r="64">
      <c r="A64" s="29" t="n">
        <v>2.2</v>
      </c>
      <c r="B64" s="29">
        <f>$B$7+A64</f>
        <v/>
      </c>
      <c r="C64" s="19">
        <f>IF(A64&lt;=0,0,IF(A64&lt;=1.2*$B$5,1.811*(PI()*($B$5/2)^2)*SQRT($B$5)*IF($B$13*$B$5&lt;=0,0,(A64/($B$13*$B$5))^(1/$B$14)),MAX(1.811*(PI()*($B$5/2)^2)*SQRT($B$5)*IF($B$13*$B$5&lt;=0,0,((1.2*$B$5)/($B$13*$B$5))^(1/$B$14)),1.811*(PI()*($B$5/2)^2)*SQRT($B$5)*SQRT(MAX(0,(A64/$B$5-$B$16)/7)))))</f>
        <v/>
      </c>
      <c r="D64" s="19">
        <f>IF(A64&lt;$B$5,IF($B$4&lt;=0,0,(1/$B$4)*((($B$5/2)^2/2)*((2*ACOS(1-2*(MIN(0.999,MAX(1E-6,A64/$B$5)))))-SIN(2*ACOS(1-2*(MIN(0.999,MAX(1E-6,A64/$B$5)))))))*IF((IF((($B$5/2)*(2*ACOS(1-2*(MIN(0.999,MAX(1E-6,A64/$B$5))))))&lt;=0,0,((($B$5/2)^2/2)*((2*ACOS(1-2*(MIN(0.999,MAX(1E-6,A64/$B$5)))))-SIN(2*ACOS(1-2*(MIN(0.999,MAX(1E-6,A64/$B$5)))))))/(($B$5/2)*(2*ACOS(1-2*(MIN(0.999,MAX(1E-6,A64/$B$5))))))))&lt;=0,0,(IF((($B$5/2)*(2*ACOS(1-2*(MIN(0.999,MAX(1E-6,A64/$B$5))))))&lt;=0,0,((($B$5/2)^2/2)*((2*ACOS(1-2*(MIN(0.999,MAX(1E-6,A64/$B$5)))))-SIN(2*ACOS(1-2*(MIN(0.999,MAX(1E-6,A64/$B$5)))))))/(($B$5/2)*(2*ACOS(1-2*(MIN(0.999,MAX(1E-6,A64/$B$5))))))))^(2/3))*SQRT($B$9)),IF((A64-$B$10+$B$9*$B$6)&lt;=0,0,(PI()*($B$5/2)^2)*SQRT((A64-$B$10+$B$9*$B$6)/((1+$B$17)/(2*9.81)+($B$4^2)*$B$6/(($B$5/4)^(4/3))))))</f>
        <v/>
      </c>
      <c r="E64" s="9">
        <f>MIN(C64,D64)</f>
        <v/>
      </c>
      <c r="F64" s="19">
        <f>IF(A64&lt;=0,0,IF(A64&lt;$B$5,(($B$5/2)^2/2)*((2*ACOS(1-2*(MIN(0.999,MAX(1E-6,A64/$B$5)))))-SIN(2*ACOS(1-2*(MIN(0.999,MAX(1E-6,A64/$B$5)))))),(PI()*($B$5/2)^2)))</f>
        <v/>
      </c>
      <c r="G64" s="20">
        <f>IF(F64&lt;=0,0,E64/F64)</f>
        <v/>
      </c>
    </row>
    <row r="65">
      <c r="A65" s="29" t="n">
        <v>2.25</v>
      </c>
      <c r="B65" s="29">
        <f>$B$7+A65</f>
        <v/>
      </c>
      <c r="C65" s="19">
        <f>IF(A65&lt;=0,0,IF(A65&lt;=1.2*$B$5,1.811*(PI()*($B$5/2)^2)*SQRT($B$5)*IF($B$13*$B$5&lt;=0,0,(A65/($B$13*$B$5))^(1/$B$14)),MAX(1.811*(PI()*($B$5/2)^2)*SQRT($B$5)*IF($B$13*$B$5&lt;=0,0,((1.2*$B$5)/($B$13*$B$5))^(1/$B$14)),1.811*(PI()*($B$5/2)^2)*SQRT($B$5)*SQRT(MAX(0,(A65/$B$5-$B$16)/7)))))</f>
        <v/>
      </c>
      <c r="D65" s="19">
        <f>IF(A65&lt;$B$5,IF($B$4&lt;=0,0,(1/$B$4)*((($B$5/2)^2/2)*((2*ACOS(1-2*(MIN(0.999,MAX(1E-6,A65/$B$5)))))-SIN(2*ACOS(1-2*(MIN(0.999,MAX(1E-6,A65/$B$5)))))))*IF((IF((($B$5/2)*(2*ACOS(1-2*(MIN(0.999,MAX(1E-6,A65/$B$5))))))&lt;=0,0,((($B$5/2)^2/2)*((2*ACOS(1-2*(MIN(0.999,MAX(1E-6,A65/$B$5)))))-SIN(2*ACOS(1-2*(MIN(0.999,MAX(1E-6,A65/$B$5)))))))/(($B$5/2)*(2*ACOS(1-2*(MIN(0.999,MAX(1E-6,A65/$B$5))))))))&lt;=0,0,(IF((($B$5/2)*(2*ACOS(1-2*(MIN(0.999,MAX(1E-6,A65/$B$5))))))&lt;=0,0,((($B$5/2)^2/2)*((2*ACOS(1-2*(MIN(0.999,MAX(1E-6,A65/$B$5)))))-SIN(2*ACOS(1-2*(MIN(0.999,MAX(1E-6,A65/$B$5)))))))/(($B$5/2)*(2*ACOS(1-2*(MIN(0.999,MAX(1E-6,A65/$B$5))))))))^(2/3))*SQRT($B$9)),IF((A65-$B$10+$B$9*$B$6)&lt;=0,0,(PI()*($B$5/2)^2)*SQRT((A65-$B$10+$B$9*$B$6)/((1+$B$17)/(2*9.81)+($B$4^2)*$B$6/(($B$5/4)^(4/3))))))</f>
        <v/>
      </c>
      <c r="E65" s="9">
        <f>MIN(C65,D65)</f>
        <v/>
      </c>
      <c r="F65" s="19">
        <f>IF(A65&lt;=0,0,IF(A65&lt;$B$5,(($B$5/2)^2/2)*((2*ACOS(1-2*(MIN(0.999,MAX(1E-6,A65/$B$5)))))-SIN(2*ACOS(1-2*(MIN(0.999,MAX(1E-6,A65/$B$5)))))),(PI()*($B$5/2)^2)))</f>
        <v/>
      </c>
      <c r="G65" s="20">
        <f>IF(F65&lt;=0,0,E65/F65)</f>
        <v/>
      </c>
    </row>
    <row r="66">
      <c r="A66" s="29" t="n">
        <v>2.3</v>
      </c>
      <c r="B66" s="29">
        <f>$B$7+A66</f>
        <v/>
      </c>
      <c r="C66" s="19">
        <f>IF(A66&lt;=0,0,IF(A66&lt;=1.2*$B$5,1.811*(PI()*($B$5/2)^2)*SQRT($B$5)*IF($B$13*$B$5&lt;=0,0,(A66/($B$13*$B$5))^(1/$B$14)),MAX(1.811*(PI()*($B$5/2)^2)*SQRT($B$5)*IF($B$13*$B$5&lt;=0,0,((1.2*$B$5)/($B$13*$B$5))^(1/$B$14)),1.811*(PI()*($B$5/2)^2)*SQRT($B$5)*SQRT(MAX(0,(A66/$B$5-$B$16)/7)))))</f>
        <v/>
      </c>
      <c r="D66" s="19">
        <f>IF(A66&lt;$B$5,IF($B$4&lt;=0,0,(1/$B$4)*((($B$5/2)^2/2)*((2*ACOS(1-2*(MIN(0.999,MAX(1E-6,A66/$B$5)))))-SIN(2*ACOS(1-2*(MIN(0.999,MAX(1E-6,A66/$B$5)))))))*IF((IF((($B$5/2)*(2*ACOS(1-2*(MIN(0.999,MAX(1E-6,A66/$B$5))))))&lt;=0,0,((($B$5/2)^2/2)*((2*ACOS(1-2*(MIN(0.999,MAX(1E-6,A66/$B$5)))))-SIN(2*ACOS(1-2*(MIN(0.999,MAX(1E-6,A66/$B$5)))))))/(($B$5/2)*(2*ACOS(1-2*(MIN(0.999,MAX(1E-6,A66/$B$5))))))))&lt;=0,0,(IF((($B$5/2)*(2*ACOS(1-2*(MIN(0.999,MAX(1E-6,A66/$B$5))))))&lt;=0,0,((($B$5/2)^2/2)*((2*ACOS(1-2*(MIN(0.999,MAX(1E-6,A66/$B$5)))))-SIN(2*ACOS(1-2*(MIN(0.999,MAX(1E-6,A66/$B$5)))))))/(($B$5/2)*(2*ACOS(1-2*(MIN(0.999,MAX(1E-6,A66/$B$5))))))))^(2/3))*SQRT($B$9)),IF((A66-$B$10+$B$9*$B$6)&lt;=0,0,(PI()*($B$5/2)^2)*SQRT((A66-$B$10+$B$9*$B$6)/((1+$B$17)/(2*9.81)+($B$4^2)*$B$6/(($B$5/4)^(4/3))))))</f>
        <v/>
      </c>
      <c r="E66" s="9">
        <f>MIN(C66,D66)</f>
        <v/>
      </c>
      <c r="F66" s="19">
        <f>IF(A66&lt;=0,0,IF(A66&lt;$B$5,(($B$5/2)^2/2)*((2*ACOS(1-2*(MIN(0.999,MAX(1E-6,A66/$B$5)))))-SIN(2*ACOS(1-2*(MIN(0.999,MAX(1E-6,A66/$B$5)))))),(PI()*($B$5/2)^2)))</f>
        <v/>
      </c>
      <c r="G66" s="20">
        <f>IF(F66&lt;=0,0,E66/F66)</f>
        <v/>
      </c>
    </row>
    <row r="67">
      <c r="A67" s="29" t="n">
        <v>2.35</v>
      </c>
      <c r="B67" s="29">
        <f>$B$7+A67</f>
        <v/>
      </c>
      <c r="C67" s="19">
        <f>IF(A67&lt;=0,0,IF(A67&lt;=1.2*$B$5,1.811*(PI()*($B$5/2)^2)*SQRT($B$5)*IF($B$13*$B$5&lt;=0,0,(A67/($B$13*$B$5))^(1/$B$14)),MAX(1.811*(PI()*($B$5/2)^2)*SQRT($B$5)*IF($B$13*$B$5&lt;=0,0,((1.2*$B$5)/($B$13*$B$5))^(1/$B$14)),1.811*(PI()*($B$5/2)^2)*SQRT($B$5)*SQRT(MAX(0,(A67/$B$5-$B$16)/7)))))</f>
        <v/>
      </c>
      <c r="D67" s="19">
        <f>IF(A67&lt;$B$5,IF($B$4&lt;=0,0,(1/$B$4)*((($B$5/2)^2/2)*((2*ACOS(1-2*(MIN(0.999,MAX(1E-6,A67/$B$5)))))-SIN(2*ACOS(1-2*(MIN(0.999,MAX(1E-6,A67/$B$5)))))))*IF((IF((($B$5/2)*(2*ACOS(1-2*(MIN(0.999,MAX(1E-6,A67/$B$5))))))&lt;=0,0,((($B$5/2)^2/2)*((2*ACOS(1-2*(MIN(0.999,MAX(1E-6,A67/$B$5)))))-SIN(2*ACOS(1-2*(MIN(0.999,MAX(1E-6,A67/$B$5)))))))/(($B$5/2)*(2*ACOS(1-2*(MIN(0.999,MAX(1E-6,A67/$B$5))))))))&lt;=0,0,(IF((($B$5/2)*(2*ACOS(1-2*(MIN(0.999,MAX(1E-6,A67/$B$5))))))&lt;=0,0,((($B$5/2)^2/2)*((2*ACOS(1-2*(MIN(0.999,MAX(1E-6,A67/$B$5)))))-SIN(2*ACOS(1-2*(MIN(0.999,MAX(1E-6,A67/$B$5)))))))/(($B$5/2)*(2*ACOS(1-2*(MIN(0.999,MAX(1E-6,A67/$B$5))))))))^(2/3))*SQRT($B$9)),IF((A67-$B$10+$B$9*$B$6)&lt;=0,0,(PI()*($B$5/2)^2)*SQRT((A67-$B$10+$B$9*$B$6)/((1+$B$17)/(2*9.81)+($B$4^2)*$B$6/(($B$5/4)^(4/3))))))</f>
        <v/>
      </c>
      <c r="E67" s="9">
        <f>MIN(C67,D67)</f>
        <v/>
      </c>
      <c r="F67" s="19">
        <f>IF(A67&lt;=0,0,IF(A67&lt;$B$5,(($B$5/2)^2/2)*((2*ACOS(1-2*(MIN(0.999,MAX(1E-6,A67/$B$5)))))-SIN(2*ACOS(1-2*(MIN(0.999,MAX(1E-6,A67/$B$5)))))),(PI()*($B$5/2)^2)))</f>
        <v/>
      </c>
      <c r="G67" s="20">
        <f>IF(F67&lt;=0,0,E67/F67)</f>
        <v/>
      </c>
    </row>
    <row r="68">
      <c r="A68" s="29" t="n">
        <v>2.4</v>
      </c>
      <c r="B68" s="29">
        <f>$B$7+A68</f>
        <v/>
      </c>
      <c r="C68" s="19">
        <f>IF(A68&lt;=0,0,IF(A68&lt;=1.2*$B$5,1.811*(PI()*($B$5/2)^2)*SQRT($B$5)*IF($B$13*$B$5&lt;=0,0,(A68/($B$13*$B$5))^(1/$B$14)),MAX(1.811*(PI()*($B$5/2)^2)*SQRT($B$5)*IF($B$13*$B$5&lt;=0,0,((1.2*$B$5)/($B$13*$B$5))^(1/$B$14)),1.811*(PI()*($B$5/2)^2)*SQRT($B$5)*SQRT(MAX(0,(A68/$B$5-$B$16)/7)))))</f>
        <v/>
      </c>
      <c r="D68" s="19">
        <f>IF(A68&lt;$B$5,IF($B$4&lt;=0,0,(1/$B$4)*((($B$5/2)^2/2)*((2*ACOS(1-2*(MIN(0.999,MAX(1E-6,A68/$B$5)))))-SIN(2*ACOS(1-2*(MIN(0.999,MAX(1E-6,A68/$B$5)))))))*IF((IF((($B$5/2)*(2*ACOS(1-2*(MIN(0.999,MAX(1E-6,A68/$B$5))))))&lt;=0,0,((($B$5/2)^2/2)*((2*ACOS(1-2*(MIN(0.999,MAX(1E-6,A68/$B$5)))))-SIN(2*ACOS(1-2*(MIN(0.999,MAX(1E-6,A68/$B$5)))))))/(($B$5/2)*(2*ACOS(1-2*(MIN(0.999,MAX(1E-6,A68/$B$5))))))))&lt;=0,0,(IF((($B$5/2)*(2*ACOS(1-2*(MIN(0.999,MAX(1E-6,A68/$B$5))))))&lt;=0,0,((($B$5/2)^2/2)*((2*ACOS(1-2*(MIN(0.999,MAX(1E-6,A68/$B$5)))))-SIN(2*ACOS(1-2*(MIN(0.999,MAX(1E-6,A68/$B$5)))))))/(($B$5/2)*(2*ACOS(1-2*(MIN(0.999,MAX(1E-6,A68/$B$5))))))))^(2/3))*SQRT($B$9)),IF((A68-$B$10+$B$9*$B$6)&lt;=0,0,(PI()*($B$5/2)^2)*SQRT((A68-$B$10+$B$9*$B$6)/((1+$B$17)/(2*9.81)+($B$4^2)*$B$6/(($B$5/4)^(4/3))))))</f>
        <v/>
      </c>
      <c r="E68" s="9">
        <f>MIN(C68,D68)</f>
        <v/>
      </c>
      <c r="F68" s="19">
        <f>IF(A68&lt;=0,0,IF(A68&lt;$B$5,(($B$5/2)^2/2)*((2*ACOS(1-2*(MIN(0.999,MAX(1E-6,A68/$B$5)))))-SIN(2*ACOS(1-2*(MIN(0.999,MAX(1E-6,A68/$B$5)))))),(PI()*($B$5/2)^2)))</f>
        <v/>
      </c>
      <c r="G68" s="20">
        <f>IF(F68&lt;=0,0,E68/F68)</f>
        <v/>
      </c>
    </row>
    <row r="69">
      <c r="A69" s="29" t="n">
        <v>2.45</v>
      </c>
      <c r="B69" s="29">
        <f>$B$7+A69</f>
        <v/>
      </c>
      <c r="C69" s="19">
        <f>IF(A69&lt;=0,0,IF(A69&lt;=1.2*$B$5,1.811*(PI()*($B$5/2)^2)*SQRT($B$5)*IF($B$13*$B$5&lt;=0,0,(A69/($B$13*$B$5))^(1/$B$14)),MAX(1.811*(PI()*($B$5/2)^2)*SQRT($B$5)*IF($B$13*$B$5&lt;=0,0,((1.2*$B$5)/($B$13*$B$5))^(1/$B$14)),1.811*(PI()*($B$5/2)^2)*SQRT($B$5)*SQRT(MAX(0,(A69/$B$5-$B$16)/7)))))</f>
        <v/>
      </c>
      <c r="D69" s="19">
        <f>IF(A69&lt;$B$5,IF($B$4&lt;=0,0,(1/$B$4)*((($B$5/2)^2/2)*((2*ACOS(1-2*(MIN(0.999,MAX(1E-6,A69/$B$5)))))-SIN(2*ACOS(1-2*(MIN(0.999,MAX(1E-6,A69/$B$5)))))))*IF((IF((($B$5/2)*(2*ACOS(1-2*(MIN(0.999,MAX(1E-6,A69/$B$5))))))&lt;=0,0,((($B$5/2)^2/2)*((2*ACOS(1-2*(MIN(0.999,MAX(1E-6,A69/$B$5)))))-SIN(2*ACOS(1-2*(MIN(0.999,MAX(1E-6,A69/$B$5)))))))/(($B$5/2)*(2*ACOS(1-2*(MIN(0.999,MAX(1E-6,A69/$B$5))))))))&lt;=0,0,(IF((($B$5/2)*(2*ACOS(1-2*(MIN(0.999,MAX(1E-6,A69/$B$5))))))&lt;=0,0,((($B$5/2)^2/2)*((2*ACOS(1-2*(MIN(0.999,MAX(1E-6,A69/$B$5)))))-SIN(2*ACOS(1-2*(MIN(0.999,MAX(1E-6,A69/$B$5)))))))/(($B$5/2)*(2*ACOS(1-2*(MIN(0.999,MAX(1E-6,A69/$B$5))))))))^(2/3))*SQRT($B$9)),IF((A69-$B$10+$B$9*$B$6)&lt;=0,0,(PI()*($B$5/2)^2)*SQRT((A69-$B$10+$B$9*$B$6)/((1+$B$17)/(2*9.81)+($B$4^2)*$B$6/(($B$5/4)^(4/3))))))</f>
        <v/>
      </c>
      <c r="E69" s="9">
        <f>MIN(C69,D69)</f>
        <v/>
      </c>
      <c r="F69" s="19">
        <f>IF(A69&lt;=0,0,IF(A69&lt;$B$5,(($B$5/2)^2/2)*((2*ACOS(1-2*(MIN(0.999,MAX(1E-6,A69/$B$5)))))-SIN(2*ACOS(1-2*(MIN(0.999,MAX(1E-6,A69/$B$5)))))),(PI()*($B$5/2)^2)))</f>
        <v/>
      </c>
      <c r="G69" s="20">
        <f>IF(F69&lt;=0,0,E69/F69)</f>
        <v/>
      </c>
    </row>
    <row r="70">
      <c r="A70" s="29" t="n">
        <v>2.5</v>
      </c>
      <c r="B70" s="29">
        <f>$B$7+A70</f>
        <v/>
      </c>
      <c r="C70" s="19">
        <f>IF(A70&lt;=0,0,IF(A70&lt;=1.2*$B$5,1.811*(PI()*($B$5/2)^2)*SQRT($B$5)*IF($B$13*$B$5&lt;=0,0,(A70/($B$13*$B$5))^(1/$B$14)),MAX(1.811*(PI()*($B$5/2)^2)*SQRT($B$5)*IF($B$13*$B$5&lt;=0,0,((1.2*$B$5)/($B$13*$B$5))^(1/$B$14)),1.811*(PI()*($B$5/2)^2)*SQRT($B$5)*SQRT(MAX(0,(A70/$B$5-$B$16)/7)))))</f>
        <v/>
      </c>
      <c r="D70" s="19">
        <f>IF(A70&lt;$B$5,IF($B$4&lt;=0,0,(1/$B$4)*((($B$5/2)^2/2)*((2*ACOS(1-2*(MIN(0.999,MAX(1E-6,A70/$B$5)))))-SIN(2*ACOS(1-2*(MIN(0.999,MAX(1E-6,A70/$B$5)))))))*IF((IF((($B$5/2)*(2*ACOS(1-2*(MIN(0.999,MAX(1E-6,A70/$B$5))))))&lt;=0,0,((($B$5/2)^2/2)*((2*ACOS(1-2*(MIN(0.999,MAX(1E-6,A70/$B$5)))))-SIN(2*ACOS(1-2*(MIN(0.999,MAX(1E-6,A70/$B$5)))))))/(($B$5/2)*(2*ACOS(1-2*(MIN(0.999,MAX(1E-6,A70/$B$5))))))))&lt;=0,0,(IF((($B$5/2)*(2*ACOS(1-2*(MIN(0.999,MAX(1E-6,A70/$B$5))))))&lt;=0,0,((($B$5/2)^2/2)*((2*ACOS(1-2*(MIN(0.999,MAX(1E-6,A70/$B$5)))))-SIN(2*ACOS(1-2*(MIN(0.999,MAX(1E-6,A70/$B$5)))))))/(($B$5/2)*(2*ACOS(1-2*(MIN(0.999,MAX(1E-6,A70/$B$5))))))))^(2/3))*SQRT($B$9)),IF((A70-$B$10+$B$9*$B$6)&lt;=0,0,(PI()*($B$5/2)^2)*SQRT((A70-$B$10+$B$9*$B$6)/((1+$B$17)/(2*9.81)+($B$4^2)*$B$6/(($B$5/4)^(4/3))))))</f>
        <v/>
      </c>
      <c r="E70" s="9">
        <f>MIN(C70,D70)</f>
        <v/>
      </c>
      <c r="F70" s="19">
        <f>IF(A70&lt;=0,0,IF(A70&lt;$B$5,(($B$5/2)^2/2)*((2*ACOS(1-2*(MIN(0.999,MAX(1E-6,A70/$B$5)))))-SIN(2*ACOS(1-2*(MIN(0.999,MAX(1E-6,A70/$B$5)))))),(PI()*($B$5/2)^2)))</f>
        <v/>
      </c>
      <c r="G70" s="20">
        <f>IF(F70&lt;=0,0,E70/F70)</f>
        <v/>
      </c>
    </row>
    <row r="71">
      <c r="A71" s="29" t="n">
        <v>2.55</v>
      </c>
      <c r="B71" s="29">
        <f>$B$7+A71</f>
        <v/>
      </c>
      <c r="C71" s="19">
        <f>IF(A71&lt;=0,0,IF(A71&lt;=1.2*$B$5,1.811*(PI()*($B$5/2)^2)*SQRT($B$5)*IF($B$13*$B$5&lt;=0,0,(A71/($B$13*$B$5))^(1/$B$14)),MAX(1.811*(PI()*($B$5/2)^2)*SQRT($B$5)*IF($B$13*$B$5&lt;=0,0,((1.2*$B$5)/($B$13*$B$5))^(1/$B$14)),1.811*(PI()*($B$5/2)^2)*SQRT($B$5)*SQRT(MAX(0,(A71/$B$5-$B$16)/7)))))</f>
        <v/>
      </c>
      <c r="D71" s="19">
        <f>IF(A71&lt;$B$5,IF($B$4&lt;=0,0,(1/$B$4)*((($B$5/2)^2/2)*((2*ACOS(1-2*(MIN(0.999,MAX(1E-6,A71/$B$5)))))-SIN(2*ACOS(1-2*(MIN(0.999,MAX(1E-6,A71/$B$5)))))))*IF((IF((($B$5/2)*(2*ACOS(1-2*(MIN(0.999,MAX(1E-6,A71/$B$5))))))&lt;=0,0,((($B$5/2)^2/2)*((2*ACOS(1-2*(MIN(0.999,MAX(1E-6,A71/$B$5)))))-SIN(2*ACOS(1-2*(MIN(0.999,MAX(1E-6,A71/$B$5)))))))/(($B$5/2)*(2*ACOS(1-2*(MIN(0.999,MAX(1E-6,A71/$B$5))))))))&lt;=0,0,(IF((($B$5/2)*(2*ACOS(1-2*(MIN(0.999,MAX(1E-6,A71/$B$5))))))&lt;=0,0,((($B$5/2)^2/2)*((2*ACOS(1-2*(MIN(0.999,MAX(1E-6,A71/$B$5)))))-SIN(2*ACOS(1-2*(MIN(0.999,MAX(1E-6,A71/$B$5)))))))/(($B$5/2)*(2*ACOS(1-2*(MIN(0.999,MAX(1E-6,A71/$B$5))))))))^(2/3))*SQRT($B$9)),IF((A71-$B$10+$B$9*$B$6)&lt;=0,0,(PI()*($B$5/2)^2)*SQRT((A71-$B$10+$B$9*$B$6)/((1+$B$17)/(2*9.81)+($B$4^2)*$B$6/(($B$5/4)^(4/3))))))</f>
        <v/>
      </c>
      <c r="E71" s="9">
        <f>MIN(C71,D71)</f>
        <v/>
      </c>
      <c r="F71" s="19">
        <f>IF(A71&lt;=0,0,IF(A71&lt;$B$5,(($B$5/2)^2/2)*((2*ACOS(1-2*(MIN(0.999,MAX(1E-6,A71/$B$5)))))-SIN(2*ACOS(1-2*(MIN(0.999,MAX(1E-6,A71/$B$5)))))),(PI()*($B$5/2)^2)))</f>
        <v/>
      </c>
      <c r="G71" s="20">
        <f>IF(F71&lt;=0,0,E71/F71)</f>
        <v/>
      </c>
    </row>
    <row r="72">
      <c r="A72" s="29" t="n">
        <v>2.6</v>
      </c>
      <c r="B72" s="29">
        <f>$B$7+A72</f>
        <v/>
      </c>
      <c r="C72" s="19">
        <f>IF(A72&lt;=0,0,IF(A72&lt;=1.2*$B$5,1.811*(PI()*($B$5/2)^2)*SQRT($B$5)*IF($B$13*$B$5&lt;=0,0,(A72/($B$13*$B$5))^(1/$B$14)),MAX(1.811*(PI()*($B$5/2)^2)*SQRT($B$5)*IF($B$13*$B$5&lt;=0,0,((1.2*$B$5)/($B$13*$B$5))^(1/$B$14)),1.811*(PI()*($B$5/2)^2)*SQRT($B$5)*SQRT(MAX(0,(A72/$B$5-$B$16)/7)))))</f>
        <v/>
      </c>
      <c r="D72" s="19">
        <f>IF(A72&lt;$B$5,IF($B$4&lt;=0,0,(1/$B$4)*((($B$5/2)^2/2)*((2*ACOS(1-2*(MIN(0.999,MAX(1E-6,A72/$B$5)))))-SIN(2*ACOS(1-2*(MIN(0.999,MAX(1E-6,A72/$B$5)))))))*IF((IF((($B$5/2)*(2*ACOS(1-2*(MIN(0.999,MAX(1E-6,A72/$B$5))))))&lt;=0,0,((($B$5/2)^2/2)*((2*ACOS(1-2*(MIN(0.999,MAX(1E-6,A72/$B$5)))))-SIN(2*ACOS(1-2*(MIN(0.999,MAX(1E-6,A72/$B$5)))))))/(($B$5/2)*(2*ACOS(1-2*(MIN(0.999,MAX(1E-6,A72/$B$5))))))))&lt;=0,0,(IF((($B$5/2)*(2*ACOS(1-2*(MIN(0.999,MAX(1E-6,A72/$B$5))))))&lt;=0,0,((($B$5/2)^2/2)*((2*ACOS(1-2*(MIN(0.999,MAX(1E-6,A72/$B$5)))))-SIN(2*ACOS(1-2*(MIN(0.999,MAX(1E-6,A72/$B$5)))))))/(($B$5/2)*(2*ACOS(1-2*(MIN(0.999,MAX(1E-6,A72/$B$5))))))))^(2/3))*SQRT($B$9)),IF((A72-$B$10+$B$9*$B$6)&lt;=0,0,(PI()*($B$5/2)^2)*SQRT((A72-$B$10+$B$9*$B$6)/((1+$B$17)/(2*9.81)+($B$4^2)*$B$6/(($B$5/4)^(4/3))))))</f>
        <v/>
      </c>
      <c r="E72" s="9">
        <f>MIN(C72,D72)</f>
        <v/>
      </c>
      <c r="F72" s="19">
        <f>IF(A72&lt;=0,0,IF(A72&lt;$B$5,(($B$5/2)^2/2)*((2*ACOS(1-2*(MIN(0.999,MAX(1E-6,A72/$B$5)))))-SIN(2*ACOS(1-2*(MIN(0.999,MAX(1E-6,A72/$B$5)))))),(PI()*($B$5/2)^2)))</f>
        <v/>
      </c>
      <c r="G72" s="20">
        <f>IF(F72&lt;=0,0,E72/F72)</f>
        <v/>
      </c>
    </row>
    <row r="73">
      <c r="A73" s="29" t="n">
        <v>2.65</v>
      </c>
      <c r="B73" s="29">
        <f>$B$7+A73</f>
        <v/>
      </c>
      <c r="C73" s="19">
        <f>IF(A73&lt;=0,0,IF(A73&lt;=1.2*$B$5,1.811*(PI()*($B$5/2)^2)*SQRT($B$5)*IF($B$13*$B$5&lt;=0,0,(A73/($B$13*$B$5))^(1/$B$14)),MAX(1.811*(PI()*($B$5/2)^2)*SQRT($B$5)*IF($B$13*$B$5&lt;=0,0,((1.2*$B$5)/($B$13*$B$5))^(1/$B$14)),1.811*(PI()*($B$5/2)^2)*SQRT($B$5)*SQRT(MAX(0,(A73/$B$5-$B$16)/7)))))</f>
        <v/>
      </c>
      <c r="D73" s="19">
        <f>IF(A73&lt;$B$5,IF($B$4&lt;=0,0,(1/$B$4)*((($B$5/2)^2/2)*((2*ACOS(1-2*(MIN(0.999,MAX(1E-6,A73/$B$5)))))-SIN(2*ACOS(1-2*(MIN(0.999,MAX(1E-6,A73/$B$5)))))))*IF((IF((($B$5/2)*(2*ACOS(1-2*(MIN(0.999,MAX(1E-6,A73/$B$5))))))&lt;=0,0,((($B$5/2)^2/2)*((2*ACOS(1-2*(MIN(0.999,MAX(1E-6,A73/$B$5)))))-SIN(2*ACOS(1-2*(MIN(0.999,MAX(1E-6,A73/$B$5)))))))/(($B$5/2)*(2*ACOS(1-2*(MIN(0.999,MAX(1E-6,A73/$B$5))))))))&lt;=0,0,(IF((($B$5/2)*(2*ACOS(1-2*(MIN(0.999,MAX(1E-6,A73/$B$5))))))&lt;=0,0,((($B$5/2)^2/2)*((2*ACOS(1-2*(MIN(0.999,MAX(1E-6,A73/$B$5)))))-SIN(2*ACOS(1-2*(MIN(0.999,MAX(1E-6,A73/$B$5)))))))/(($B$5/2)*(2*ACOS(1-2*(MIN(0.999,MAX(1E-6,A73/$B$5))))))))^(2/3))*SQRT($B$9)),IF((A73-$B$10+$B$9*$B$6)&lt;=0,0,(PI()*($B$5/2)^2)*SQRT((A73-$B$10+$B$9*$B$6)/((1+$B$17)/(2*9.81)+($B$4^2)*$B$6/(($B$5/4)^(4/3))))))</f>
        <v/>
      </c>
      <c r="E73" s="9">
        <f>MIN(C73,D73)</f>
        <v/>
      </c>
      <c r="F73" s="19">
        <f>IF(A73&lt;=0,0,IF(A73&lt;$B$5,(($B$5/2)^2/2)*((2*ACOS(1-2*(MIN(0.999,MAX(1E-6,A73/$B$5)))))-SIN(2*ACOS(1-2*(MIN(0.999,MAX(1E-6,A73/$B$5)))))),(PI()*($B$5/2)^2)))</f>
        <v/>
      </c>
      <c r="G73" s="20">
        <f>IF(F73&lt;=0,0,E73/F73)</f>
        <v/>
      </c>
    </row>
    <row r="74">
      <c r="A74" s="29" t="n">
        <v>2.7</v>
      </c>
      <c r="B74" s="29">
        <f>$B$7+A74</f>
        <v/>
      </c>
      <c r="C74" s="19">
        <f>IF(A74&lt;=0,0,IF(A74&lt;=1.2*$B$5,1.811*(PI()*($B$5/2)^2)*SQRT($B$5)*IF($B$13*$B$5&lt;=0,0,(A74/($B$13*$B$5))^(1/$B$14)),MAX(1.811*(PI()*($B$5/2)^2)*SQRT($B$5)*IF($B$13*$B$5&lt;=0,0,((1.2*$B$5)/($B$13*$B$5))^(1/$B$14)),1.811*(PI()*($B$5/2)^2)*SQRT($B$5)*SQRT(MAX(0,(A74/$B$5-$B$16)/7)))))</f>
        <v/>
      </c>
      <c r="D74" s="19">
        <f>IF(A74&lt;$B$5,IF($B$4&lt;=0,0,(1/$B$4)*((($B$5/2)^2/2)*((2*ACOS(1-2*(MIN(0.999,MAX(1E-6,A74/$B$5)))))-SIN(2*ACOS(1-2*(MIN(0.999,MAX(1E-6,A74/$B$5)))))))*IF((IF((($B$5/2)*(2*ACOS(1-2*(MIN(0.999,MAX(1E-6,A74/$B$5))))))&lt;=0,0,((($B$5/2)^2/2)*((2*ACOS(1-2*(MIN(0.999,MAX(1E-6,A74/$B$5)))))-SIN(2*ACOS(1-2*(MIN(0.999,MAX(1E-6,A74/$B$5)))))))/(($B$5/2)*(2*ACOS(1-2*(MIN(0.999,MAX(1E-6,A74/$B$5))))))))&lt;=0,0,(IF((($B$5/2)*(2*ACOS(1-2*(MIN(0.999,MAX(1E-6,A74/$B$5))))))&lt;=0,0,((($B$5/2)^2/2)*((2*ACOS(1-2*(MIN(0.999,MAX(1E-6,A74/$B$5)))))-SIN(2*ACOS(1-2*(MIN(0.999,MAX(1E-6,A74/$B$5)))))))/(($B$5/2)*(2*ACOS(1-2*(MIN(0.999,MAX(1E-6,A74/$B$5))))))))^(2/3))*SQRT($B$9)),IF((A74-$B$10+$B$9*$B$6)&lt;=0,0,(PI()*($B$5/2)^2)*SQRT((A74-$B$10+$B$9*$B$6)/((1+$B$17)/(2*9.81)+($B$4^2)*$B$6/(($B$5/4)^(4/3))))))</f>
        <v/>
      </c>
      <c r="E74" s="9">
        <f>MIN(C74,D74)</f>
        <v/>
      </c>
      <c r="F74" s="19">
        <f>IF(A74&lt;=0,0,IF(A74&lt;$B$5,(($B$5/2)^2/2)*((2*ACOS(1-2*(MIN(0.999,MAX(1E-6,A74/$B$5)))))-SIN(2*ACOS(1-2*(MIN(0.999,MAX(1E-6,A74/$B$5)))))),(PI()*($B$5/2)^2)))</f>
        <v/>
      </c>
      <c r="G74" s="20">
        <f>IF(F74&lt;=0,0,E74/F74)</f>
        <v/>
      </c>
    </row>
    <row r="75">
      <c r="A75" s="29" t="n">
        <v>2.75</v>
      </c>
      <c r="B75" s="29">
        <f>$B$7+A75</f>
        <v/>
      </c>
      <c r="C75" s="19">
        <f>IF(A75&lt;=0,0,IF(A75&lt;=1.2*$B$5,1.811*(PI()*($B$5/2)^2)*SQRT($B$5)*IF($B$13*$B$5&lt;=0,0,(A75/($B$13*$B$5))^(1/$B$14)),MAX(1.811*(PI()*($B$5/2)^2)*SQRT($B$5)*IF($B$13*$B$5&lt;=0,0,((1.2*$B$5)/($B$13*$B$5))^(1/$B$14)),1.811*(PI()*($B$5/2)^2)*SQRT($B$5)*SQRT(MAX(0,(A75/$B$5-$B$16)/7)))))</f>
        <v/>
      </c>
      <c r="D75" s="19">
        <f>IF(A75&lt;$B$5,IF($B$4&lt;=0,0,(1/$B$4)*((($B$5/2)^2/2)*((2*ACOS(1-2*(MIN(0.999,MAX(1E-6,A75/$B$5)))))-SIN(2*ACOS(1-2*(MIN(0.999,MAX(1E-6,A75/$B$5)))))))*IF((IF((($B$5/2)*(2*ACOS(1-2*(MIN(0.999,MAX(1E-6,A75/$B$5))))))&lt;=0,0,((($B$5/2)^2/2)*((2*ACOS(1-2*(MIN(0.999,MAX(1E-6,A75/$B$5)))))-SIN(2*ACOS(1-2*(MIN(0.999,MAX(1E-6,A75/$B$5)))))))/(($B$5/2)*(2*ACOS(1-2*(MIN(0.999,MAX(1E-6,A75/$B$5))))))))&lt;=0,0,(IF((($B$5/2)*(2*ACOS(1-2*(MIN(0.999,MAX(1E-6,A75/$B$5))))))&lt;=0,0,((($B$5/2)^2/2)*((2*ACOS(1-2*(MIN(0.999,MAX(1E-6,A75/$B$5)))))-SIN(2*ACOS(1-2*(MIN(0.999,MAX(1E-6,A75/$B$5)))))))/(($B$5/2)*(2*ACOS(1-2*(MIN(0.999,MAX(1E-6,A75/$B$5))))))))^(2/3))*SQRT($B$9)),IF((A75-$B$10+$B$9*$B$6)&lt;=0,0,(PI()*($B$5/2)^2)*SQRT((A75-$B$10+$B$9*$B$6)/((1+$B$17)/(2*9.81)+($B$4^2)*$B$6/(($B$5/4)^(4/3))))))</f>
        <v/>
      </c>
      <c r="E75" s="9">
        <f>MIN(C75,D75)</f>
        <v/>
      </c>
      <c r="F75" s="19">
        <f>IF(A75&lt;=0,0,IF(A75&lt;$B$5,(($B$5/2)^2/2)*((2*ACOS(1-2*(MIN(0.999,MAX(1E-6,A75/$B$5)))))-SIN(2*ACOS(1-2*(MIN(0.999,MAX(1E-6,A75/$B$5)))))),(PI()*($B$5/2)^2)))</f>
        <v/>
      </c>
      <c r="G75" s="20">
        <f>IF(F75&lt;=0,0,E75/F75)</f>
        <v/>
      </c>
    </row>
    <row r="76">
      <c r="A76" s="29" t="n">
        <v>2.8</v>
      </c>
      <c r="B76" s="29">
        <f>$B$7+A76</f>
        <v/>
      </c>
      <c r="C76" s="19">
        <f>IF(A76&lt;=0,0,IF(A76&lt;=1.2*$B$5,1.811*(PI()*($B$5/2)^2)*SQRT($B$5)*IF($B$13*$B$5&lt;=0,0,(A76/($B$13*$B$5))^(1/$B$14)),MAX(1.811*(PI()*($B$5/2)^2)*SQRT($B$5)*IF($B$13*$B$5&lt;=0,0,((1.2*$B$5)/($B$13*$B$5))^(1/$B$14)),1.811*(PI()*($B$5/2)^2)*SQRT($B$5)*SQRT(MAX(0,(A76/$B$5-$B$16)/7)))))</f>
        <v/>
      </c>
      <c r="D76" s="19">
        <f>IF(A76&lt;$B$5,IF($B$4&lt;=0,0,(1/$B$4)*((($B$5/2)^2/2)*((2*ACOS(1-2*(MIN(0.999,MAX(1E-6,A76/$B$5)))))-SIN(2*ACOS(1-2*(MIN(0.999,MAX(1E-6,A76/$B$5)))))))*IF((IF((($B$5/2)*(2*ACOS(1-2*(MIN(0.999,MAX(1E-6,A76/$B$5))))))&lt;=0,0,((($B$5/2)^2/2)*((2*ACOS(1-2*(MIN(0.999,MAX(1E-6,A76/$B$5)))))-SIN(2*ACOS(1-2*(MIN(0.999,MAX(1E-6,A76/$B$5)))))))/(($B$5/2)*(2*ACOS(1-2*(MIN(0.999,MAX(1E-6,A76/$B$5))))))))&lt;=0,0,(IF((($B$5/2)*(2*ACOS(1-2*(MIN(0.999,MAX(1E-6,A76/$B$5))))))&lt;=0,0,((($B$5/2)^2/2)*((2*ACOS(1-2*(MIN(0.999,MAX(1E-6,A76/$B$5)))))-SIN(2*ACOS(1-2*(MIN(0.999,MAX(1E-6,A76/$B$5)))))))/(($B$5/2)*(2*ACOS(1-2*(MIN(0.999,MAX(1E-6,A76/$B$5))))))))^(2/3))*SQRT($B$9)),IF((A76-$B$10+$B$9*$B$6)&lt;=0,0,(PI()*($B$5/2)^2)*SQRT((A76-$B$10+$B$9*$B$6)/((1+$B$17)/(2*9.81)+($B$4^2)*$B$6/(($B$5/4)^(4/3))))))</f>
        <v/>
      </c>
      <c r="E76" s="9">
        <f>MIN(C76,D76)</f>
        <v/>
      </c>
      <c r="F76" s="19">
        <f>IF(A76&lt;=0,0,IF(A76&lt;$B$5,(($B$5/2)^2/2)*((2*ACOS(1-2*(MIN(0.999,MAX(1E-6,A76/$B$5)))))-SIN(2*ACOS(1-2*(MIN(0.999,MAX(1E-6,A76/$B$5)))))),(PI()*($B$5/2)^2)))</f>
        <v/>
      </c>
      <c r="G76" s="20">
        <f>IF(F76&lt;=0,0,E76/F76)</f>
        <v/>
      </c>
    </row>
    <row r="77">
      <c r="A77" s="29" t="n">
        <v>2.85</v>
      </c>
      <c r="B77" s="29">
        <f>$B$7+A77</f>
        <v/>
      </c>
      <c r="C77" s="19">
        <f>IF(A77&lt;=0,0,IF(A77&lt;=1.2*$B$5,1.811*(PI()*($B$5/2)^2)*SQRT($B$5)*IF($B$13*$B$5&lt;=0,0,(A77/($B$13*$B$5))^(1/$B$14)),MAX(1.811*(PI()*($B$5/2)^2)*SQRT($B$5)*IF($B$13*$B$5&lt;=0,0,((1.2*$B$5)/($B$13*$B$5))^(1/$B$14)),1.811*(PI()*($B$5/2)^2)*SQRT($B$5)*SQRT(MAX(0,(A77/$B$5-$B$16)/7)))))</f>
        <v/>
      </c>
      <c r="D77" s="19">
        <f>IF(A77&lt;$B$5,IF($B$4&lt;=0,0,(1/$B$4)*((($B$5/2)^2/2)*((2*ACOS(1-2*(MIN(0.999,MAX(1E-6,A77/$B$5)))))-SIN(2*ACOS(1-2*(MIN(0.999,MAX(1E-6,A77/$B$5)))))))*IF((IF((($B$5/2)*(2*ACOS(1-2*(MIN(0.999,MAX(1E-6,A77/$B$5))))))&lt;=0,0,((($B$5/2)^2/2)*((2*ACOS(1-2*(MIN(0.999,MAX(1E-6,A77/$B$5)))))-SIN(2*ACOS(1-2*(MIN(0.999,MAX(1E-6,A77/$B$5)))))))/(($B$5/2)*(2*ACOS(1-2*(MIN(0.999,MAX(1E-6,A77/$B$5))))))))&lt;=0,0,(IF((($B$5/2)*(2*ACOS(1-2*(MIN(0.999,MAX(1E-6,A77/$B$5))))))&lt;=0,0,((($B$5/2)^2/2)*((2*ACOS(1-2*(MIN(0.999,MAX(1E-6,A77/$B$5)))))-SIN(2*ACOS(1-2*(MIN(0.999,MAX(1E-6,A77/$B$5)))))))/(($B$5/2)*(2*ACOS(1-2*(MIN(0.999,MAX(1E-6,A77/$B$5))))))))^(2/3))*SQRT($B$9)),IF((A77-$B$10+$B$9*$B$6)&lt;=0,0,(PI()*($B$5/2)^2)*SQRT((A77-$B$10+$B$9*$B$6)/((1+$B$17)/(2*9.81)+($B$4^2)*$B$6/(($B$5/4)^(4/3))))))</f>
        <v/>
      </c>
      <c r="E77" s="9">
        <f>MIN(C77,D77)</f>
        <v/>
      </c>
      <c r="F77" s="19">
        <f>IF(A77&lt;=0,0,IF(A77&lt;$B$5,(($B$5/2)^2/2)*((2*ACOS(1-2*(MIN(0.999,MAX(1E-6,A77/$B$5)))))-SIN(2*ACOS(1-2*(MIN(0.999,MAX(1E-6,A77/$B$5)))))),(PI()*($B$5/2)^2)))</f>
        <v/>
      </c>
      <c r="G77" s="20">
        <f>IF(F77&lt;=0,0,E77/F77)</f>
        <v/>
      </c>
    </row>
    <row r="78">
      <c r="A78" s="29" t="n">
        <v>2.9</v>
      </c>
      <c r="B78" s="29">
        <f>$B$7+A78</f>
        <v/>
      </c>
      <c r="C78" s="19">
        <f>IF(A78&lt;=0,0,IF(A78&lt;=1.2*$B$5,1.811*(PI()*($B$5/2)^2)*SQRT($B$5)*IF($B$13*$B$5&lt;=0,0,(A78/($B$13*$B$5))^(1/$B$14)),MAX(1.811*(PI()*($B$5/2)^2)*SQRT($B$5)*IF($B$13*$B$5&lt;=0,0,((1.2*$B$5)/($B$13*$B$5))^(1/$B$14)),1.811*(PI()*($B$5/2)^2)*SQRT($B$5)*SQRT(MAX(0,(A78/$B$5-$B$16)/7)))))</f>
        <v/>
      </c>
      <c r="D78" s="19">
        <f>IF(A78&lt;$B$5,IF($B$4&lt;=0,0,(1/$B$4)*((($B$5/2)^2/2)*((2*ACOS(1-2*(MIN(0.999,MAX(1E-6,A78/$B$5)))))-SIN(2*ACOS(1-2*(MIN(0.999,MAX(1E-6,A78/$B$5)))))))*IF((IF((($B$5/2)*(2*ACOS(1-2*(MIN(0.999,MAX(1E-6,A78/$B$5))))))&lt;=0,0,((($B$5/2)^2/2)*((2*ACOS(1-2*(MIN(0.999,MAX(1E-6,A78/$B$5)))))-SIN(2*ACOS(1-2*(MIN(0.999,MAX(1E-6,A78/$B$5)))))))/(($B$5/2)*(2*ACOS(1-2*(MIN(0.999,MAX(1E-6,A78/$B$5))))))))&lt;=0,0,(IF((($B$5/2)*(2*ACOS(1-2*(MIN(0.999,MAX(1E-6,A78/$B$5))))))&lt;=0,0,((($B$5/2)^2/2)*((2*ACOS(1-2*(MIN(0.999,MAX(1E-6,A78/$B$5)))))-SIN(2*ACOS(1-2*(MIN(0.999,MAX(1E-6,A78/$B$5)))))))/(($B$5/2)*(2*ACOS(1-2*(MIN(0.999,MAX(1E-6,A78/$B$5))))))))^(2/3))*SQRT($B$9)),IF((A78-$B$10+$B$9*$B$6)&lt;=0,0,(PI()*($B$5/2)^2)*SQRT((A78-$B$10+$B$9*$B$6)/((1+$B$17)/(2*9.81)+($B$4^2)*$B$6/(($B$5/4)^(4/3))))))</f>
        <v/>
      </c>
      <c r="E78" s="9">
        <f>MIN(C78,D78)</f>
        <v/>
      </c>
      <c r="F78" s="19">
        <f>IF(A78&lt;=0,0,IF(A78&lt;$B$5,(($B$5/2)^2/2)*((2*ACOS(1-2*(MIN(0.999,MAX(1E-6,A78/$B$5)))))-SIN(2*ACOS(1-2*(MIN(0.999,MAX(1E-6,A78/$B$5)))))),(PI()*($B$5/2)^2)))</f>
        <v/>
      </c>
      <c r="G78" s="20">
        <f>IF(F78&lt;=0,0,E78/F78)</f>
        <v/>
      </c>
    </row>
    <row r="79">
      <c r="A79" s="29" t="n">
        <v>2.95</v>
      </c>
      <c r="B79" s="29">
        <f>$B$7+A79</f>
        <v/>
      </c>
      <c r="C79" s="19">
        <f>IF(A79&lt;=0,0,IF(A79&lt;=1.2*$B$5,1.811*(PI()*($B$5/2)^2)*SQRT($B$5)*IF($B$13*$B$5&lt;=0,0,(A79/($B$13*$B$5))^(1/$B$14)),MAX(1.811*(PI()*($B$5/2)^2)*SQRT($B$5)*IF($B$13*$B$5&lt;=0,0,((1.2*$B$5)/($B$13*$B$5))^(1/$B$14)),1.811*(PI()*($B$5/2)^2)*SQRT($B$5)*SQRT(MAX(0,(A79/$B$5-$B$16)/7)))))</f>
        <v/>
      </c>
      <c r="D79" s="19">
        <f>IF(A79&lt;$B$5,IF($B$4&lt;=0,0,(1/$B$4)*((($B$5/2)^2/2)*((2*ACOS(1-2*(MIN(0.999,MAX(1E-6,A79/$B$5)))))-SIN(2*ACOS(1-2*(MIN(0.999,MAX(1E-6,A79/$B$5)))))))*IF((IF((($B$5/2)*(2*ACOS(1-2*(MIN(0.999,MAX(1E-6,A79/$B$5))))))&lt;=0,0,((($B$5/2)^2/2)*((2*ACOS(1-2*(MIN(0.999,MAX(1E-6,A79/$B$5)))))-SIN(2*ACOS(1-2*(MIN(0.999,MAX(1E-6,A79/$B$5)))))))/(($B$5/2)*(2*ACOS(1-2*(MIN(0.999,MAX(1E-6,A79/$B$5))))))))&lt;=0,0,(IF((($B$5/2)*(2*ACOS(1-2*(MIN(0.999,MAX(1E-6,A79/$B$5))))))&lt;=0,0,((($B$5/2)^2/2)*((2*ACOS(1-2*(MIN(0.999,MAX(1E-6,A79/$B$5)))))-SIN(2*ACOS(1-2*(MIN(0.999,MAX(1E-6,A79/$B$5)))))))/(($B$5/2)*(2*ACOS(1-2*(MIN(0.999,MAX(1E-6,A79/$B$5))))))))^(2/3))*SQRT($B$9)),IF((A79-$B$10+$B$9*$B$6)&lt;=0,0,(PI()*($B$5/2)^2)*SQRT((A79-$B$10+$B$9*$B$6)/((1+$B$17)/(2*9.81)+($B$4^2)*$B$6/(($B$5/4)^(4/3))))))</f>
        <v/>
      </c>
      <c r="E79" s="9">
        <f>MIN(C79,D79)</f>
        <v/>
      </c>
      <c r="F79" s="19">
        <f>IF(A79&lt;=0,0,IF(A79&lt;$B$5,(($B$5/2)^2/2)*((2*ACOS(1-2*(MIN(0.999,MAX(1E-6,A79/$B$5)))))-SIN(2*ACOS(1-2*(MIN(0.999,MAX(1E-6,A79/$B$5)))))),(PI()*($B$5/2)^2)))</f>
        <v/>
      </c>
      <c r="G79" s="20">
        <f>IF(F79&lt;=0,0,E79/F79)</f>
        <v/>
      </c>
    </row>
    <row r="80">
      <c r="A80" s="29" t="n">
        <v>3</v>
      </c>
      <c r="B80" s="29">
        <f>$B$7+A80</f>
        <v/>
      </c>
      <c r="C80" s="19">
        <f>IF(A80&lt;=0,0,IF(A80&lt;=1.2*$B$5,1.811*(PI()*($B$5/2)^2)*SQRT($B$5)*IF($B$13*$B$5&lt;=0,0,(A80/($B$13*$B$5))^(1/$B$14)),MAX(1.811*(PI()*($B$5/2)^2)*SQRT($B$5)*IF($B$13*$B$5&lt;=0,0,((1.2*$B$5)/($B$13*$B$5))^(1/$B$14)),1.811*(PI()*($B$5/2)^2)*SQRT($B$5)*SQRT(MAX(0,(A80/$B$5-$B$16)/7)))))</f>
        <v/>
      </c>
      <c r="D80" s="19">
        <f>IF(A80&lt;$B$5,IF($B$4&lt;=0,0,(1/$B$4)*((($B$5/2)^2/2)*((2*ACOS(1-2*(MIN(0.999,MAX(1E-6,A80/$B$5)))))-SIN(2*ACOS(1-2*(MIN(0.999,MAX(1E-6,A80/$B$5)))))))*IF((IF((($B$5/2)*(2*ACOS(1-2*(MIN(0.999,MAX(1E-6,A80/$B$5))))))&lt;=0,0,((($B$5/2)^2/2)*((2*ACOS(1-2*(MIN(0.999,MAX(1E-6,A80/$B$5)))))-SIN(2*ACOS(1-2*(MIN(0.999,MAX(1E-6,A80/$B$5)))))))/(($B$5/2)*(2*ACOS(1-2*(MIN(0.999,MAX(1E-6,A80/$B$5))))))))&lt;=0,0,(IF((($B$5/2)*(2*ACOS(1-2*(MIN(0.999,MAX(1E-6,A80/$B$5))))))&lt;=0,0,((($B$5/2)^2/2)*((2*ACOS(1-2*(MIN(0.999,MAX(1E-6,A80/$B$5)))))-SIN(2*ACOS(1-2*(MIN(0.999,MAX(1E-6,A80/$B$5)))))))/(($B$5/2)*(2*ACOS(1-2*(MIN(0.999,MAX(1E-6,A80/$B$5))))))))^(2/3))*SQRT($B$9)),IF((A80-$B$10+$B$9*$B$6)&lt;=0,0,(PI()*($B$5/2)^2)*SQRT((A80-$B$10+$B$9*$B$6)/((1+$B$17)/(2*9.81)+($B$4^2)*$B$6/(($B$5/4)^(4/3))))))</f>
        <v/>
      </c>
      <c r="E80" s="9">
        <f>MIN(C80,D80)</f>
        <v/>
      </c>
      <c r="F80" s="19">
        <f>IF(A80&lt;=0,0,IF(A80&lt;$B$5,(($B$5/2)^2/2)*((2*ACOS(1-2*(MIN(0.999,MAX(1E-6,A80/$B$5)))))-SIN(2*ACOS(1-2*(MIN(0.999,MAX(1E-6,A80/$B$5)))))),(PI()*($B$5/2)^2)))</f>
        <v/>
      </c>
      <c r="G80" s="20">
        <f>IF(F80&lt;=0,0,E80/F80)</f>
        <v/>
      </c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Methode B — routage Qout = f(H) depuis Courbe_QH_1200</t>
        </is>
      </c>
    </row>
    <row r="2">
      <c r="A2" t="inlineStr">
        <is>
          <t>H = V / Aire_plan_eau. Qout interpole sur Q gouvernant.</t>
        </is>
      </c>
    </row>
    <row r="4">
      <c r="A4" t="inlineStr">
        <is>
          <t>Aire (m2)</t>
        </is>
      </c>
      <c r="B4" s="30">
        <f>Parametres!B24</f>
        <v/>
      </c>
    </row>
    <row r="5">
      <c r="A5" t="inlineStr">
        <is>
          <t>Q_plein ref</t>
        </is>
      </c>
      <c r="B5" s="30">
        <f>Parametres!B22</f>
        <v/>
      </c>
    </row>
    <row r="7">
      <c r="A7" t="inlineStr">
        <is>
          <t>Vmax_B (m3)</t>
        </is>
      </c>
      <c r="B7" s="25">
        <f>MAX(G10:G22)</f>
        <v/>
      </c>
    </row>
    <row r="8">
      <c r="A8" t="inlineStr">
        <is>
          <t>Hmax_B (m)</t>
        </is>
      </c>
      <c r="B8" s="15">
        <f>IF(B4&gt;0,B7/B4,0)</f>
        <v/>
      </c>
    </row>
    <row r="9">
      <c r="A9" s="17" t="inlineStr">
        <is>
          <t>t (min)</t>
        </is>
      </c>
      <c r="B9" s="17" t="inlineStr">
        <is>
          <t>Qin</t>
        </is>
      </c>
      <c r="C9" s="17" t="inlineStr">
        <is>
          <t>H (m)</t>
        </is>
      </c>
      <c r="D9" s="17" t="inlineStr">
        <is>
          <t>Q_courbe</t>
        </is>
      </c>
      <c r="E9" s="17" t="inlineStr">
        <is>
          <t>Qout</t>
        </is>
      </c>
      <c r="F9" s="17" t="inlineStr">
        <is>
          <t>dt (s)</t>
        </is>
      </c>
      <c r="G9" s="17" t="inlineStr">
        <is>
          <t>V (m3)</t>
        </is>
      </c>
      <c r="H9" s="17" t="inlineStr">
        <is>
          <t>V_Ø1200 (m/s)</t>
        </is>
      </c>
    </row>
    <row r="10">
      <c r="A10" s="19">
        <f>Hydrogramme!A7</f>
        <v/>
      </c>
      <c r="B10" s="19">
        <f>Hydrogramme!C7</f>
        <v/>
      </c>
      <c r="C10" s="19" t="n">
        <v>0</v>
      </c>
      <c r="D10" s="19" t="n">
        <v>0</v>
      </c>
      <c r="E10" s="19">
        <f>MIN(B10,$B$5)</f>
        <v/>
      </c>
      <c r="F10" s="21" t="n">
        <v>0</v>
      </c>
      <c r="G10" s="26" t="n">
        <v>0</v>
      </c>
      <c r="H10" s="20">
        <f>IF(Parametres!$C$96&lt;=0,0,E10/Parametres!$C$96)</f>
        <v/>
      </c>
    </row>
    <row r="11">
      <c r="A11" s="19">
        <f>Hydrogramme!A8</f>
        <v/>
      </c>
      <c r="B11" s="19">
        <f>Hydrogramme!C8</f>
        <v/>
      </c>
      <c r="C11" s="19">
        <f>IF($B$4&gt;0,G10/$B$4,0)</f>
        <v/>
      </c>
      <c r="D11" s="19">
        <f>IF(C11&lt;=0,0,IF(C11&gt;=INDEX(Courbe_QH_1200!$A$20:$A$80,ROWS(Courbe_QH_1200!$A$20:$A$80)),INDEX(Courbe_QH_1200!$E$20:$E$80,ROWS(Courbe_QH_1200!$E$20:$E$80)),INDEX(Courbe_QH_1200!$E$20:$E$80,MATCH(C11,Courbe_QH_1200!$A$20:$A$80,1))+(C11-INDEX(Courbe_QH_1200!$A$20:$A$80,MATCH(C11,Courbe_QH_1200!$A$20:$A$80,1)))/(INDEX(Courbe_QH_1200!$A$20:$A$80,MATCH(C11,Courbe_QH_1200!$A$20:$A$80,1)+1)-INDEX(Courbe_QH_1200!$A$20:$A$80,MATCH(C11,Courbe_QH_1200!$A$20:$A$80,1)))*(INDEX(Courbe_QH_1200!$E$20:$E$80,MATCH(C11,Courbe_QH_1200!$A$20:$A$80,1)+1)-INDEX(Courbe_QH_1200!$E$20:$E$80,MATCH(C11,Courbe_QH_1200!$A$20:$A$80,1)))))</f>
        <v/>
      </c>
      <c r="E11" s="19">
        <f>IF(G10&lt;=0.01,MIN(0.5*(B10+B11),$B$5),D11)</f>
        <v/>
      </c>
      <c r="F11" s="21">
        <f>(A11-A10)*60</f>
        <v/>
      </c>
      <c r="G11" s="26">
        <f>MAX(0,G10+(0.5*(B10+B11)-E11)*F11)</f>
        <v/>
      </c>
      <c r="H11" s="20">
        <f>IF(Parametres!$C$96&lt;=0,0,E11/Parametres!$C$96)</f>
        <v/>
      </c>
    </row>
    <row r="12">
      <c r="A12" s="19">
        <f>Hydrogramme!A9</f>
        <v/>
      </c>
      <c r="B12" s="19">
        <f>Hydrogramme!C9</f>
        <v/>
      </c>
      <c r="C12" s="19">
        <f>IF($B$4&gt;0,G11/$B$4,0)</f>
        <v/>
      </c>
      <c r="D12" s="19">
        <f>IF(C12&lt;=0,0,IF(C12&gt;=INDEX(Courbe_QH_1200!$A$20:$A$80,ROWS(Courbe_QH_1200!$A$20:$A$80)),INDEX(Courbe_QH_1200!$E$20:$E$80,ROWS(Courbe_QH_1200!$E$20:$E$80)),INDEX(Courbe_QH_1200!$E$20:$E$80,MATCH(C12,Courbe_QH_1200!$A$20:$A$80,1))+(C12-INDEX(Courbe_QH_1200!$A$20:$A$80,MATCH(C12,Courbe_QH_1200!$A$20:$A$80,1)))/(INDEX(Courbe_QH_1200!$A$20:$A$80,MATCH(C12,Courbe_QH_1200!$A$20:$A$80,1)+1)-INDEX(Courbe_QH_1200!$A$20:$A$80,MATCH(C12,Courbe_QH_1200!$A$20:$A$80,1)))*(INDEX(Courbe_QH_1200!$E$20:$E$80,MATCH(C12,Courbe_QH_1200!$A$20:$A$80,1)+1)-INDEX(Courbe_QH_1200!$E$20:$E$80,MATCH(C12,Courbe_QH_1200!$A$20:$A$80,1)))))</f>
        <v/>
      </c>
      <c r="E12" s="19">
        <f>IF(G11&lt;=0.01,MIN(0.5*(B11+B12),$B$5),D12)</f>
        <v/>
      </c>
      <c r="F12" s="21">
        <f>(A12-A11)*60</f>
        <v/>
      </c>
      <c r="G12" s="26">
        <f>MAX(0,G11+(0.5*(B11+B12)-E12)*F12)</f>
        <v/>
      </c>
      <c r="H12" s="20">
        <f>IF(Parametres!$C$96&lt;=0,0,E12/Parametres!$C$96)</f>
        <v/>
      </c>
    </row>
    <row r="13">
      <c r="A13" s="19">
        <f>Hydrogramme!A10</f>
        <v/>
      </c>
      <c r="B13" s="19">
        <f>Hydrogramme!C10</f>
        <v/>
      </c>
      <c r="C13" s="19">
        <f>IF($B$4&gt;0,G12/$B$4,0)</f>
        <v/>
      </c>
      <c r="D13" s="19">
        <f>IF(C13&lt;=0,0,IF(C13&gt;=INDEX(Courbe_QH_1200!$A$20:$A$80,ROWS(Courbe_QH_1200!$A$20:$A$80)),INDEX(Courbe_QH_1200!$E$20:$E$80,ROWS(Courbe_QH_1200!$E$20:$E$80)),INDEX(Courbe_QH_1200!$E$20:$E$80,MATCH(C13,Courbe_QH_1200!$A$20:$A$80,1))+(C13-INDEX(Courbe_QH_1200!$A$20:$A$80,MATCH(C13,Courbe_QH_1200!$A$20:$A$80,1)))/(INDEX(Courbe_QH_1200!$A$20:$A$80,MATCH(C13,Courbe_QH_1200!$A$20:$A$80,1)+1)-INDEX(Courbe_QH_1200!$A$20:$A$80,MATCH(C13,Courbe_QH_1200!$A$20:$A$80,1)))*(INDEX(Courbe_QH_1200!$E$20:$E$80,MATCH(C13,Courbe_QH_1200!$A$20:$A$80,1)+1)-INDEX(Courbe_QH_1200!$E$20:$E$80,MATCH(C13,Courbe_QH_1200!$A$20:$A$80,1)))))</f>
        <v/>
      </c>
      <c r="E13" s="19">
        <f>IF(G12&lt;=0.01,MIN(0.5*(B12+B13),$B$5),D13)</f>
        <v/>
      </c>
      <c r="F13" s="21">
        <f>(A13-A12)*60</f>
        <v/>
      </c>
      <c r="G13" s="26">
        <f>MAX(0,G12+(0.5*(B12+B13)-E13)*F13)</f>
        <v/>
      </c>
      <c r="H13" s="20">
        <f>IF(Parametres!$C$96&lt;=0,0,E13/Parametres!$C$96)</f>
        <v/>
      </c>
    </row>
    <row r="14">
      <c r="A14" s="19">
        <f>Hydrogramme!A11</f>
        <v/>
      </c>
      <c r="B14" s="19">
        <f>Hydrogramme!C11</f>
        <v/>
      </c>
      <c r="C14" s="19">
        <f>IF($B$4&gt;0,G13/$B$4,0)</f>
        <v/>
      </c>
      <c r="D14" s="19">
        <f>IF(C14&lt;=0,0,IF(C14&gt;=INDEX(Courbe_QH_1200!$A$20:$A$80,ROWS(Courbe_QH_1200!$A$20:$A$80)),INDEX(Courbe_QH_1200!$E$20:$E$80,ROWS(Courbe_QH_1200!$E$20:$E$80)),INDEX(Courbe_QH_1200!$E$20:$E$80,MATCH(C14,Courbe_QH_1200!$A$20:$A$80,1))+(C14-INDEX(Courbe_QH_1200!$A$20:$A$80,MATCH(C14,Courbe_QH_1200!$A$20:$A$80,1)))/(INDEX(Courbe_QH_1200!$A$20:$A$80,MATCH(C14,Courbe_QH_1200!$A$20:$A$80,1)+1)-INDEX(Courbe_QH_1200!$A$20:$A$80,MATCH(C14,Courbe_QH_1200!$A$20:$A$80,1)))*(INDEX(Courbe_QH_1200!$E$20:$E$80,MATCH(C14,Courbe_QH_1200!$A$20:$A$80,1)+1)-INDEX(Courbe_QH_1200!$E$20:$E$80,MATCH(C14,Courbe_QH_1200!$A$20:$A$80,1)))))</f>
        <v/>
      </c>
      <c r="E14" s="19">
        <f>IF(G13&lt;=0.01,MIN(0.5*(B13+B14),$B$5),D14)</f>
        <v/>
      </c>
      <c r="F14" s="21">
        <f>(A14-A13)*60</f>
        <v/>
      </c>
      <c r="G14" s="26">
        <f>MAX(0,G13+(0.5*(B13+B14)-E14)*F14)</f>
        <v/>
      </c>
      <c r="H14" s="20">
        <f>IF(Parametres!$C$96&lt;=0,0,E14/Parametres!$C$96)</f>
        <v/>
      </c>
    </row>
    <row r="15">
      <c r="A15" s="19">
        <f>Hydrogramme!A12</f>
        <v/>
      </c>
      <c r="B15" s="19">
        <f>Hydrogramme!C12</f>
        <v/>
      </c>
      <c r="C15" s="19">
        <f>IF($B$4&gt;0,G14/$B$4,0)</f>
        <v/>
      </c>
      <c r="D15" s="19">
        <f>IF(C15&lt;=0,0,IF(C15&gt;=INDEX(Courbe_QH_1200!$A$20:$A$80,ROWS(Courbe_QH_1200!$A$20:$A$80)),INDEX(Courbe_QH_1200!$E$20:$E$80,ROWS(Courbe_QH_1200!$E$20:$E$80)),INDEX(Courbe_QH_1200!$E$20:$E$80,MATCH(C15,Courbe_QH_1200!$A$20:$A$80,1))+(C15-INDEX(Courbe_QH_1200!$A$20:$A$80,MATCH(C15,Courbe_QH_1200!$A$20:$A$80,1)))/(INDEX(Courbe_QH_1200!$A$20:$A$80,MATCH(C15,Courbe_QH_1200!$A$20:$A$80,1)+1)-INDEX(Courbe_QH_1200!$A$20:$A$80,MATCH(C15,Courbe_QH_1200!$A$20:$A$80,1)))*(INDEX(Courbe_QH_1200!$E$20:$E$80,MATCH(C15,Courbe_QH_1200!$A$20:$A$80,1)+1)-INDEX(Courbe_QH_1200!$E$20:$E$80,MATCH(C15,Courbe_QH_1200!$A$20:$A$80,1)))))</f>
        <v/>
      </c>
      <c r="E15" s="19">
        <f>IF(G14&lt;=0.01,MIN(0.5*(B14+B15),$B$5),D15)</f>
        <v/>
      </c>
      <c r="F15" s="21">
        <f>(A15-A14)*60</f>
        <v/>
      </c>
      <c r="G15" s="26">
        <f>MAX(0,G14+(0.5*(B14+B15)-E15)*F15)</f>
        <v/>
      </c>
      <c r="H15" s="20">
        <f>IF(Parametres!$C$96&lt;=0,0,E15/Parametres!$C$96)</f>
        <v/>
      </c>
    </row>
    <row r="16">
      <c r="A16" s="19">
        <f>Hydrogramme!A13</f>
        <v/>
      </c>
      <c r="B16" s="19">
        <f>Hydrogramme!C13</f>
        <v/>
      </c>
      <c r="C16" s="19">
        <f>IF($B$4&gt;0,G15/$B$4,0)</f>
        <v/>
      </c>
      <c r="D16" s="19">
        <f>IF(C16&lt;=0,0,IF(C16&gt;=INDEX(Courbe_QH_1200!$A$20:$A$80,ROWS(Courbe_QH_1200!$A$20:$A$80)),INDEX(Courbe_QH_1200!$E$20:$E$80,ROWS(Courbe_QH_1200!$E$20:$E$80)),INDEX(Courbe_QH_1200!$E$20:$E$80,MATCH(C16,Courbe_QH_1200!$A$20:$A$80,1))+(C16-INDEX(Courbe_QH_1200!$A$20:$A$80,MATCH(C16,Courbe_QH_1200!$A$20:$A$80,1)))/(INDEX(Courbe_QH_1200!$A$20:$A$80,MATCH(C16,Courbe_QH_1200!$A$20:$A$80,1)+1)-INDEX(Courbe_QH_1200!$A$20:$A$80,MATCH(C16,Courbe_QH_1200!$A$20:$A$80,1)))*(INDEX(Courbe_QH_1200!$E$20:$E$80,MATCH(C16,Courbe_QH_1200!$A$20:$A$80,1)+1)-INDEX(Courbe_QH_1200!$E$20:$E$80,MATCH(C16,Courbe_QH_1200!$A$20:$A$80,1)))))</f>
        <v/>
      </c>
      <c r="E16" s="19">
        <f>IF(G15&lt;=0.01,MIN(0.5*(B15+B16),$B$5),D16)</f>
        <v/>
      </c>
      <c r="F16" s="21">
        <f>(A16-A15)*60</f>
        <v/>
      </c>
      <c r="G16" s="26">
        <f>MAX(0,G15+(0.5*(B15+B16)-E16)*F16)</f>
        <v/>
      </c>
      <c r="H16" s="20">
        <f>IF(Parametres!$C$96&lt;=0,0,E16/Parametres!$C$96)</f>
        <v/>
      </c>
    </row>
    <row r="17">
      <c r="A17" s="19">
        <f>Hydrogramme!A14</f>
        <v/>
      </c>
      <c r="B17" s="19">
        <f>Hydrogramme!C14</f>
        <v/>
      </c>
      <c r="C17" s="19">
        <f>IF($B$4&gt;0,G16/$B$4,0)</f>
        <v/>
      </c>
      <c r="D17" s="19">
        <f>IF(C17&lt;=0,0,IF(C17&gt;=INDEX(Courbe_QH_1200!$A$20:$A$80,ROWS(Courbe_QH_1200!$A$20:$A$80)),INDEX(Courbe_QH_1200!$E$20:$E$80,ROWS(Courbe_QH_1200!$E$20:$E$80)),INDEX(Courbe_QH_1200!$E$20:$E$80,MATCH(C17,Courbe_QH_1200!$A$20:$A$80,1))+(C17-INDEX(Courbe_QH_1200!$A$20:$A$80,MATCH(C17,Courbe_QH_1200!$A$20:$A$80,1)))/(INDEX(Courbe_QH_1200!$A$20:$A$80,MATCH(C17,Courbe_QH_1200!$A$20:$A$80,1)+1)-INDEX(Courbe_QH_1200!$A$20:$A$80,MATCH(C17,Courbe_QH_1200!$A$20:$A$80,1)))*(INDEX(Courbe_QH_1200!$E$20:$E$80,MATCH(C17,Courbe_QH_1200!$A$20:$A$80,1)+1)-INDEX(Courbe_QH_1200!$E$20:$E$80,MATCH(C17,Courbe_QH_1200!$A$20:$A$80,1)))))</f>
        <v/>
      </c>
      <c r="E17" s="19">
        <f>IF(G16&lt;=0.01,MIN(0.5*(B16+B17),$B$5),D17)</f>
        <v/>
      </c>
      <c r="F17" s="21">
        <f>(A17-A16)*60</f>
        <v/>
      </c>
      <c r="G17" s="26">
        <f>MAX(0,G16+(0.5*(B16+B17)-E17)*F17)</f>
        <v/>
      </c>
      <c r="H17" s="20">
        <f>IF(Parametres!$C$96&lt;=0,0,E17/Parametres!$C$96)</f>
        <v/>
      </c>
    </row>
    <row r="18">
      <c r="A18" s="19">
        <f>Hydrogramme!A15</f>
        <v/>
      </c>
      <c r="B18" s="19">
        <f>Hydrogramme!C15</f>
        <v/>
      </c>
      <c r="C18" s="19">
        <f>IF($B$4&gt;0,G17/$B$4,0)</f>
        <v/>
      </c>
      <c r="D18" s="19">
        <f>IF(C18&lt;=0,0,IF(C18&gt;=INDEX(Courbe_QH_1200!$A$20:$A$80,ROWS(Courbe_QH_1200!$A$20:$A$80)),INDEX(Courbe_QH_1200!$E$20:$E$80,ROWS(Courbe_QH_1200!$E$20:$E$80)),INDEX(Courbe_QH_1200!$E$20:$E$80,MATCH(C18,Courbe_QH_1200!$A$20:$A$80,1))+(C18-INDEX(Courbe_QH_1200!$A$20:$A$80,MATCH(C18,Courbe_QH_1200!$A$20:$A$80,1)))/(INDEX(Courbe_QH_1200!$A$20:$A$80,MATCH(C18,Courbe_QH_1200!$A$20:$A$80,1)+1)-INDEX(Courbe_QH_1200!$A$20:$A$80,MATCH(C18,Courbe_QH_1200!$A$20:$A$80,1)))*(INDEX(Courbe_QH_1200!$E$20:$E$80,MATCH(C18,Courbe_QH_1200!$A$20:$A$80,1)+1)-INDEX(Courbe_QH_1200!$E$20:$E$80,MATCH(C18,Courbe_QH_1200!$A$20:$A$80,1)))))</f>
        <v/>
      </c>
      <c r="E18" s="19">
        <f>IF(G17&lt;=0.01,MIN(0.5*(B17+B18),$B$5),D18)</f>
        <v/>
      </c>
      <c r="F18" s="21">
        <f>(A18-A17)*60</f>
        <v/>
      </c>
      <c r="G18" s="26">
        <f>MAX(0,G17+(0.5*(B17+B18)-E18)*F18)</f>
        <v/>
      </c>
      <c r="H18" s="20">
        <f>IF(Parametres!$C$96&lt;=0,0,E18/Parametres!$C$96)</f>
        <v/>
      </c>
    </row>
    <row r="19">
      <c r="A19" s="19">
        <f>Hydrogramme!A16</f>
        <v/>
      </c>
      <c r="B19" s="19">
        <f>Hydrogramme!C16</f>
        <v/>
      </c>
      <c r="C19" s="19">
        <f>IF($B$4&gt;0,G18/$B$4,0)</f>
        <v/>
      </c>
      <c r="D19" s="19">
        <f>IF(C19&lt;=0,0,IF(C19&gt;=INDEX(Courbe_QH_1200!$A$20:$A$80,ROWS(Courbe_QH_1200!$A$20:$A$80)),INDEX(Courbe_QH_1200!$E$20:$E$80,ROWS(Courbe_QH_1200!$E$20:$E$80)),INDEX(Courbe_QH_1200!$E$20:$E$80,MATCH(C19,Courbe_QH_1200!$A$20:$A$80,1))+(C19-INDEX(Courbe_QH_1200!$A$20:$A$80,MATCH(C19,Courbe_QH_1200!$A$20:$A$80,1)))/(INDEX(Courbe_QH_1200!$A$20:$A$80,MATCH(C19,Courbe_QH_1200!$A$20:$A$80,1)+1)-INDEX(Courbe_QH_1200!$A$20:$A$80,MATCH(C19,Courbe_QH_1200!$A$20:$A$80,1)))*(INDEX(Courbe_QH_1200!$E$20:$E$80,MATCH(C19,Courbe_QH_1200!$A$20:$A$80,1)+1)-INDEX(Courbe_QH_1200!$E$20:$E$80,MATCH(C19,Courbe_QH_1200!$A$20:$A$80,1)))))</f>
        <v/>
      </c>
      <c r="E19" s="19">
        <f>IF(G18&lt;=0.01,MIN(0.5*(B18+B19),$B$5),D19)</f>
        <v/>
      </c>
      <c r="F19" s="21">
        <f>(A19-A18)*60</f>
        <v/>
      </c>
      <c r="G19" s="26">
        <f>MAX(0,G18+(0.5*(B18+B19)-E19)*F19)</f>
        <v/>
      </c>
      <c r="H19" s="20">
        <f>IF(Parametres!$C$96&lt;=0,0,E19/Parametres!$C$96)</f>
        <v/>
      </c>
    </row>
    <row r="20">
      <c r="A20" s="19">
        <f>Hydrogramme!A17</f>
        <v/>
      </c>
      <c r="B20" s="19">
        <f>Hydrogramme!C17</f>
        <v/>
      </c>
      <c r="C20" s="19">
        <f>IF($B$4&gt;0,G19/$B$4,0)</f>
        <v/>
      </c>
      <c r="D20" s="19">
        <f>IF(C20&lt;=0,0,IF(C20&gt;=INDEX(Courbe_QH_1200!$A$20:$A$80,ROWS(Courbe_QH_1200!$A$20:$A$80)),INDEX(Courbe_QH_1200!$E$20:$E$80,ROWS(Courbe_QH_1200!$E$20:$E$80)),INDEX(Courbe_QH_1200!$E$20:$E$80,MATCH(C20,Courbe_QH_1200!$A$20:$A$80,1))+(C20-INDEX(Courbe_QH_1200!$A$20:$A$80,MATCH(C20,Courbe_QH_1200!$A$20:$A$80,1)))/(INDEX(Courbe_QH_1200!$A$20:$A$80,MATCH(C20,Courbe_QH_1200!$A$20:$A$80,1)+1)-INDEX(Courbe_QH_1200!$A$20:$A$80,MATCH(C20,Courbe_QH_1200!$A$20:$A$80,1)))*(INDEX(Courbe_QH_1200!$E$20:$E$80,MATCH(C20,Courbe_QH_1200!$A$20:$A$80,1)+1)-INDEX(Courbe_QH_1200!$E$20:$E$80,MATCH(C20,Courbe_QH_1200!$A$20:$A$80,1)))))</f>
        <v/>
      </c>
      <c r="E20" s="19">
        <f>IF(G19&lt;=0.01,MIN(0.5*(B19+B20),$B$5),D20)</f>
        <v/>
      </c>
      <c r="F20" s="21">
        <f>(A20-A19)*60</f>
        <v/>
      </c>
      <c r="G20" s="26">
        <f>MAX(0,G19+(0.5*(B19+B20)-E20)*F20)</f>
        <v/>
      </c>
      <c r="H20" s="20">
        <f>IF(Parametres!$C$96&lt;=0,0,E20/Parametres!$C$96)</f>
        <v/>
      </c>
    </row>
    <row r="21">
      <c r="A21" s="19">
        <f>Hydrogramme!A18</f>
        <v/>
      </c>
      <c r="B21" s="19">
        <f>Hydrogramme!C18</f>
        <v/>
      </c>
      <c r="C21" s="19">
        <f>IF($B$4&gt;0,G20/$B$4,0)</f>
        <v/>
      </c>
      <c r="D21" s="19">
        <f>IF(C21&lt;=0,0,IF(C21&gt;=INDEX(Courbe_QH_1200!$A$20:$A$80,ROWS(Courbe_QH_1200!$A$20:$A$80)),INDEX(Courbe_QH_1200!$E$20:$E$80,ROWS(Courbe_QH_1200!$E$20:$E$80)),INDEX(Courbe_QH_1200!$E$20:$E$80,MATCH(C21,Courbe_QH_1200!$A$20:$A$80,1))+(C21-INDEX(Courbe_QH_1200!$A$20:$A$80,MATCH(C21,Courbe_QH_1200!$A$20:$A$80,1)))/(INDEX(Courbe_QH_1200!$A$20:$A$80,MATCH(C21,Courbe_QH_1200!$A$20:$A$80,1)+1)-INDEX(Courbe_QH_1200!$A$20:$A$80,MATCH(C21,Courbe_QH_1200!$A$20:$A$80,1)))*(INDEX(Courbe_QH_1200!$E$20:$E$80,MATCH(C21,Courbe_QH_1200!$A$20:$A$80,1)+1)-INDEX(Courbe_QH_1200!$E$20:$E$80,MATCH(C21,Courbe_QH_1200!$A$20:$A$80,1)))))</f>
        <v/>
      </c>
      <c r="E21" s="19">
        <f>IF(G20&lt;=0.01,MIN(0.5*(B20+B21),$B$5),D21)</f>
        <v/>
      </c>
      <c r="F21" s="21">
        <f>(A21-A20)*60</f>
        <v/>
      </c>
      <c r="G21" s="26">
        <f>MAX(0,G20+(0.5*(B20+B21)-E21)*F21)</f>
        <v/>
      </c>
      <c r="H21" s="20">
        <f>IF(Parametres!$C$96&lt;=0,0,E21/Parametres!$C$96)</f>
        <v/>
      </c>
    </row>
    <row r="22">
      <c r="A22" s="19">
        <f>Hydrogramme!A19</f>
        <v/>
      </c>
      <c r="B22" s="19">
        <f>Hydrogramme!C19</f>
        <v/>
      </c>
      <c r="C22" s="19">
        <f>IF($B$4&gt;0,G21/$B$4,0)</f>
        <v/>
      </c>
      <c r="D22" s="19">
        <f>IF(C22&lt;=0,0,IF(C22&gt;=INDEX(Courbe_QH_1200!$A$20:$A$80,ROWS(Courbe_QH_1200!$A$20:$A$80)),INDEX(Courbe_QH_1200!$E$20:$E$80,ROWS(Courbe_QH_1200!$E$20:$E$80)),INDEX(Courbe_QH_1200!$E$20:$E$80,MATCH(C22,Courbe_QH_1200!$A$20:$A$80,1))+(C22-INDEX(Courbe_QH_1200!$A$20:$A$80,MATCH(C22,Courbe_QH_1200!$A$20:$A$80,1)))/(INDEX(Courbe_QH_1200!$A$20:$A$80,MATCH(C22,Courbe_QH_1200!$A$20:$A$80,1)+1)-INDEX(Courbe_QH_1200!$A$20:$A$80,MATCH(C22,Courbe_QH_1200!$A$20:$A$80,1)))*(INDEX(Courbe_QH_1200!$E$20:$E$80,MATCH(C22,Courbe_QH_1200!$A$20:$A$80,1)+1)-INDEX(Courbe_QH_1200!$E$20:$E$80,MATCH(C22,Courbe_QH_1200!$A$20:$A$80,1)))))</f>
        <v/>
      </c>
      <c r="E22" s="19">
        <f>IF(G21&lt;=0.01,MIN(0.5*(B21+B22),$B$5),D22)</f>
        <v/>
      </c>
      <c r="F22" s="21">
        <f>(A22-A21)*60</f>
        <v/>
      </c>
      <c r="G22" s="26">
        <f>MAX(0,G21+(0.5*(B21+B22)-E22)*F22)</f>
        <v/>
      </c>
      <c r="H22" s="20">
        <f>IF(Parametres!$C$96&lt;=0,0,E22/Parametres!$C$96)</f>
        <v/>
      </c>
    </row>
  </sheetData>
  <mergeCells count="1">
    <mergeCell ref="A2:G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4" customWidth="1" min="5" max="5"/>
    <col width="40" customWidth="1" min="6" max="6"/>
  </cols>
  <sheetData>
    <row r="1">
      <c r="A1" s="16" t="inlineStr">
        <is>
          <t>Stage–storage COMBINE (Zone1+Zone2) — bassin SANS Ø900 — editer jaune</t>
        </is>
      </c>
    </row>
    <row r="2">
      <c r="A2" s="31" t="inlineStr">
        <is>
          <t>V_pas = 0.5*(A_bas+A_haut)*dWSE. Aires = somme Z1+Z2 du leve deux zones (scenario sans ponceau Ø900 intermediaire). Jaune = WSE et Surface editables (AutoCAD). Orange = 37.40 m limite ville. Ancien seuil etude 37.28 reste dans la table.</t>
        </is>
      </c>
    </row>
    <row r="3"/>
    <row r="10">
      <c r="A10" s="17" t="inlineStr">
        <is>
          <t>WSE (m)</t>
        </is>
      </c>
      <c r="B10" s="17" t="inlineStr">
        <is>
          <t>Surface A (m2) EDIT</t>
        </is>
      </c>
      <c r="C10" s="17" t="inlineStr">
        <is>
          <t>dWSE (m)</t>
        </is>
      </c>
      <c r="D10" s="17" t="inlineStr">
        <is>
          <t>V_pas (m3)</t>
        </is>
      </c>
      <c r="E10" s="17" t="inlineStr">
        <is>
          <t>V_cumul (m3)</t>
        </is>
      </c>
      <c r="F10" s="17" t="inlineStr">
        <is>
          <t>Role</t>
        </is>
      </c>
    </row>
    <row r="11">
      <c r="A11" s="29" t="n">
        <v>34.88</v>
      </c>
      <c r="B11" s="10" t="n">
        <v>0</v>
      </c>
      <c r="C11" s="18" t="n">
        <v>0</v>
      </c>
      <c r="D11" s="18" t="n">
        <v>0</v>
      </c>
      <c r="E11" s="18" t="n">
        <v>0</v>
      </c>
      <c r="F11" s="18" t="inlineStr">
        <is>
          <t>Fond bassin</t>
        </is>
      </c>
    </row>
    <row r="12">
      <c r="A12" s="29" t="n">
        <v>35.5</v>
      </c>
      <c r="B12" s="10" t="n">
        <v>116</v>
      </c>
      <c r="C12" s="29">
        <f>A12-A11</f>
        <v/>
      </c>
      <c r="D12" s="21">
        <f>0.5*(B11+B12)*C12</f>
        <v/>
      </c>
      <c r="E12" s="26">
        <f>E11+D12</f>
        <v/>
      </c>
      <c r="F12" s="18" t="inlineStr">
        <is>
          <t>Levé Z1+Z2 — éditer si AutoCAD diffère</t>
        </is>
      </c>
    </row>
    <row r="13">
      <c r="A13" s="29" t="n">
        <v>36.01</v>
      </c>
      <c r="B13" s="10" t="n">
        <v>429</v>
      </c>
      <c r="C13" s="29">
        <f>A13-A12</f>
        <v/>
      </c>
      <c r="D13" s="21">
        <f>0.5*(B12+B13)*C13</f>
        <v/>
      </c>
      <c r="E13" s="26">
        <f>E12+D13</f>
        <v/>
      </c>
      <c r="F13" s="18" t="inlineStr">
        <is>
          <t>Levé Z1+Z2</t>
        </is>
      </c>
    </row>
    <row r="14">
      <c r="A14" s="29" t="n">
        <v>36.5</v>
      </c>
      <c r="B14" s="10" t="n">
        <v>530</v>
      </c>
      <c r="C14" s="29">
        <f>A14-A13</f>
        <v/>
      </c>
      <c r="D14" s="21">
        <f>0.5*(B13+B14)*C14</f>
        <v/>
      </c>
      <c r="E14" s="26">
        <f>E13+D14</f>
        <v/>
      </c>
      <c r="F14" s="18" t="inlineStr">
        <is>
          <t>Levé Z1+Z2</t>
        </is>
      </c>
    </row>
    <row r="15">
      <c r="A15" s="29" t="n">
        <v>37</v>
      </c>
      <c r="B15" s="10" t="n">
        <v>740</v>
      </c>
      <c r="C15" s="29">
        <f>A15-A14</f>
        <v/>
      </c>
      <c r="D15" s="21">
        <f>0.5*(B14+B15)*C15</f>
        <v/>
      </c>
      <c r="E15" s="26">
        <f>E14+D15</f>
        <v/>
      </c>
      <c r="F15" s="18" t="inlineStr">
        <is>
          <t>Levé Z1+Z2</t>
        </is>
      </c>
    </row>
    <row r="16">
      <c r="A16" s="32" t="n">
        <v>37.28</v>
      </c>
      <c r="B16" s="10" t="n">
        <v>2200</v>
      </c>
      <c r="C16" s="32">
        <f>A16-A15</f>
        <v/>
      </c>
      <c r="D16" s="33">
        <f>0.5*(B15+B16)*C16</f>
        <v/>
      </c>
      <c r="E16" s="33">
        <f>E15+D16</f>
        <v/>
      </c>
      <c r="F16" s="34" t="inlineStr">
        <is>
          <t>Ancien seuil étude (+1.5 m) — référence</t>
        </is>
      </c>
    </row>
    <row r="17">
      <c r="A17" s="32" t="n">
        <v>37.4</v>
      </c>
      <c r="B17" s="10" t="n">
        <v>2320</v>
      </c>
      <c r="C17" s="32">
        <f>A17-A16</f>
        <v/>
      </c>
      <c r="D17" s="33">
        <f>0.5*(B16+B17)*C17</f>
        <v/>
      </c>
      <c r="E17" s="33">
        <f>E16+D17</f>
        <v/>
      </c>
      <c r="F17" s="34" t="inlineStr">
        <is>
          <t>LIMITE VILLE (WSE max + freeboard 0.6 m)</t>
        </is>
      </c>
    </row>
    <row r="18">
      <c r="A18" s="29" t="n">
        <v>40</v>
      </c>
      <c r="B18" s="10" t="n">
        <v>3732</v>
      </c>
      <c r="C18" s="29">
        <f>A18-A17</f>
        <v/>
      </c>
      <c r="D18" s="21">
        <f>0.5*(B17+B18)*C18</f>
        <v/>
      </c>
      <c r="E18" s="26">
        <f>E17+D18</f>
        <v/>
      </c>
      <c r="F18" s="18" t="inlineStr">
        <is>
          <t>Sommet table</t>
        </is>
      </c>
    </row>
    <row r="21">
      <c r="A21" t="inlineStr">
        <is>
          <t>Vmax_A / WSEmax_A</t>
        </is>
      </c>
      <c r="B21">
        <f>Parametres!B36</f>
        <v/>
      </c>
      <c r="C21">
        <f>Parametres!B38</f>
        <v/>
      </c>
    </row>
    <row r="22">
      <c r="A22" t="inlineStr">
        <is>
          <t>Vmax_B / WSEmax_B</t>
        </is>
      </c>
      <c r="B22">
        <f>Parametres!B42</f>
        <v/>
      </c>
      <c r="C22">
        <f>Parametres!B44</f>
        <v/>
      </c>
    </row>
    <row r="23">
      <c r="A23" t="inlineStr">
        <is>
          <t>V @ 37.28 m (ancien seuil)</t>
        </is>
      </c>
      <c r="B23" s="35">
        <f>E16</f>
        <v/>
      </c>
    </row>
    <row r="24">
      <c r="A24" t="inlineStr">
        <is>
          <t>V @ 37.40 m (limite ville)</t>
        </is>
      </c>
      <c r="B24" s="25">
        <f>E17</f>
        <v/>
      </c>
      <c r="C24" t="inlineStr">
        <is>
          <t>Comparer a Vmax Methode C</t>
        </is>
      </c>
    </row>
  </sheetData>
  <mergeCells count="1">
    <mergeCell ref="A2:F3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Methode C — Q_1200 + Q_overflow; V = V_pond (+ V_ditch si B25=1)</t>
        </is>
      </c>
    </row>
    <row r="2">
      <c r="A2" t="inlineStr">
        <is>
          <t>Lie a Parametres B25–B32. Q_overflow si WSE&gt;=crest. B25=0 → V_ditch=0 (leve seul).</t>
        </is>
      </c>
    </row>
    <row r="4">
      <c r="A4" t="inlineStr">
        <is>
          <t>Crest</t>
        </is>
      </c>
      <c r="B4" s="28">
        <f>Parametres!B27</f>
        <v/>
      </c>
    </row>
    <row r="5">
      <c r="A5" t="inlineStr">
        <is>
          <t>b</t>
        </is>
      </c>
      <c r="B5" s="28">
        <f>Parametres!B28</f>
        <v/>
      </c>
    </row>
    <row r="6">
      <c r="A6" t="inlineStr">
        <is>
          <t>n</t>
        </is>
      </c>
      <c r="B6" s="28">
        <f>Parametres!B29</f>
        <v/>
      </c>
    </row>
    <row r="7">
      <c r="A7" t="inlineStr">
        <is>
          <t>z</t>
        </is>
      </c>
      <c r="B7" s="28">
        <f>Parametres!B30</f>
        <v/>
      </c>
    </row>
    <row r="8">
      <c r="A8" t="inlineStr">
        <is>
          <t>S</t>
        </is>
      </c>
      <c r="B8" s="28">
        <f>Parametres!B31</f>
        <v/>
      </c>
    </row>
    <row r="9">
      <c r="A9" t="inlineStr">
        <is>
          <t>L</t>
        </is>
      </c>
      <c r="B9" s="28">
        <f>Parametres!B32</f>
        <v/>
      </c>
    </row>
    <row r="10">
      <c r="A10" t="inlineStr">
        <is>
          <t>Zin</t>
        </is>
      </c>
      <c r="B10" s="28">
        <f>Parametres!B13</f>
        <v/>
      </c>
    </row>
    <row r="11">
      <c r="A11" t="inlineStr">
        <is>
          <t>Inclure V_ditch</t>
        </is>
      </c>
      <c r="B11" s="28">
        <f>Parametres!B25</f>
        <v/>
      </c>
    </row>
    <row r="12">
      <c r="A12" s="17" t="inlineStr">
        <is>
          <t>WSE</t>
        </is>
      </c>
      <c r="B12" s="17" t="inlineStr">
        <is>
          <t>HW</t>
        </is>
      </c>
      <c r="C12" s="17" t="inlineStr">
        <is>
          <t>y_ov</t>
        </is>
      </c>
      <c r="D12" s="17" t="inlineStr">
        <is>
          <t>A_ditch</t>
        </is>
      </c>
      <c r="E12" s="17" t="inlineStr">
        <is>
          <t>V_ditch</t>
        </is>
      </c>
      <c r="F12" s="17" t="inlineStr">
        <is>
          <t>V_pond</t>
        </is>
      </c>
      <c r="G12" s="17" t="inlineStr">
        <is>
          <t>V_total</t>
        </is>
      </c>
      <c r="H12" s="17" t="inlineStr">
        <is>
          <t>Q_1200</t>
        </is>
      </c>
      <c r="I12" s="17" t="inlineStr">
        <is>
          <t>Q_overflow</t>
        </is>
      </c>
      <c r="J12" s="17" t="inlineStr">
        <is>
          <t>Qout</t>
        </is>
      </c>
      <c r="K12" s="17" t="inlineStr">
        <is>
          <t>V_Ø1200 (m/s)</t>
        </is>
      </c>
      <c r="L12" s="17" t="inlineStr">
        <is>
          <t>V_overflow (m/s)</t>
        </is>
      </c>
    </row>
    <row r="13">
      <c r="A13" s="29" t="n">
        <v>34.88</v>
      </c>
      <c r="B13" s="29">
        <f>A13-$B$10</f>
        <v/>
      </c>
      <c r="C13" s="29">
        <f>MAX(0,A13-$B$4)</f>
        <v/>
      </c>
      <c r="D13" s="19">
        <f>IF(C13&lt;=0,0,($B$5+$B$7*C13)*C13)</f>
        <v/>
      </c>
      <c r="E13" s="21">
        <f>IF($B$11=1,D13*$B$9,0)</f>
        <v/>
      </c>
      <c r="F13" s="21">
        <f>IF(A13&lt;=INDEX(Stage_Storage!$A$11:$A$18,1),INDEX(Stage_Storage!$E$11:$E$18,1),IF(A13&gt;=INDEX(Stage_Storage!$A$11:$A$18,ROWS(Stage_Storage!$A$11:$A$18)),INDEX(Stage_Storage!$E$11:$E$18,ROWS(Stage_Storage!$E$11:$E$18)),INDEX(Stage_Storage!$E$11:$E$18,MATCH(A13,Stage_Storage!$A$11:$A$18,1))+(A13-INDEX(Stage_Storage!$A$11:$A$18,MATCH(A13,Stage_Storage!$A$11:$A$18,1)))/(INDEX(Stage_Storage!$A$11:$A$18,MATCH(A13,Stage_Storage!$A$11:$A$18,1)+1)-INDEX(Stage_Storage!$A$11:$A$18,MATCH(A13,Stage_Storage!$A$11:$A$18,1)))*(INDEX(Stage_Storage!$E$11:$E$18,MATCH(A13,Stage_Storage!$A$11:$A$18,1)+1)-INDEX(Stage_Storage!$E$11:$E$18,MATCH(A13,Stage_Storage!$A$11:$A$18,1)))))</f>
        <v/>
      </c>
      <c r="G13" s="26">
        <f>F13+E13</f>
        <v/>
      </c>
      <c r="H13" s="19">
        <f>IF(B13&lt;=0,0,IF(B13&gt;=INDEX(Courbe_QH_1200!$A$20:$A$80,ROWS(Courbe_QH_1200!$A$20:$A$80)),INDEX(Courbe_QH_1200!$E$20:$E$80,ROWS(Courbe_QH_1200!$E$20:$E$80)),INDEX(Courbe_QH_1200!$E$20:$E$80,MATCH(B13,Courbe_QH_1200!$A$20:$A$80,1))+(B13-INDEX(Courbe_QH_1200!$A$20:$A$80,MATCH(B13,Courbe_QH_1200!$A$20:$A$80,1)))/(INDEX(Courbe_QH_1200!$A$20:$A$80,MATCH(B13,Courbe_QH_1200!$A$20:$A$80,1)+1)-INDEX(Courbe_QH_1200!$A$20:$A$80,MATCH(B13,Courbe_QH_1200!$A$20:$A$80,1)))*(INDEX(Courbe_QH_1200!$E$20:$E$80,MATCH(B13,Courbe_QH_1200!$A$20:$A$80,1)+1)-INDEX(Courbe_QH_1200!$E$20:$E$80,MATCH(B13,Courbe_QH_1200!$A$20:$A$80,1)))))</f>
        <v/>
      </c>
      <c r="I13" s="19">
        <f>IF(C13&lt;=0,0,IF($B$6&lt;=0,0,(1/$B$6)*D13*IF(($B$5+2*C13*SQRT(1+$B$7^2))&lt;=0,0,((D13/($B$5+2*C13*SQRT(1+$B$7^2)))^(2/3)))*SQRT($B$8)))</f>
        <v/>
      </c>
      <c r="J13" s="9">
        <f>H13+I13</f>
        <v/>
      </c>
      <c r="K13" s="20">
        <f>IF(Parametres!$C$96&lt;=0,0,H13/Parametres!$C$96)</f>
        <v/>
      </c>
      <c r="L13" s="20">
        <f>IF(OR(C13&lt;0.05,D13&lt;0.05),"",I13/D13)</f>
        <v/>
      </c>
    </row>
    <row r="14">
      <c r="A14" s="29" t="n">
        <v>34.98</v>
      </c>
      <c r="B14" s="29">
        <f>A14-$B$10</f>
        <v/>
      </c>
      <c r="C14" s="29">
        <f>MAX(0,A14-$B$4)</f>
        <v/>
      </c>
      <c r="D14" s="19">
        <f>IF(C14&lt;=0,0,($B$5+$B$7*C14)*C14)</f>
        <v/>
      </c>
      <c r="E14" s="21">
        <f>IF($B$11=1,D14*$B$9,0)</f>
        <v/>
      </c>
      <c r="F14" s="21">
        <f>IF(A14&lt;=INDEX(Stage_Storage!$A$11:$A$18,1),INDEX(Stage_Storage!$E$11:$E$18,1),IF(A14&gt;=INDEX(Stage_Storage!$A$11:$A$18,ROWS(Stage_Storage!$A$11:$A$18)),INDEX(Stage_Storage!$E$11:$E$18,ROWS(Stage_Storage!$E$11:$E$18)),INDEX(Stage_Storage!$E$11:$E$18,MATCH(A14,Stage_Storage!$A$11:$A$18,1))+(A14-INDEX(Stage_Storage!$A$11:$A$18,MATCH(A14,Stage_Storage!$A$11:$A$18,1)))/(INDEX(Stage_Storage!$A$11:$A$18,MATCH(A14,Stage_Storage!$A$11:$A$18,1)+1)-INDEX(Stage_Storage!$A$11:$A$18,MATCH(A14,Stage_Storage!$A$11:$A$18,1)))*(INDEX(Stage_Storage!$E$11:$E$18,MATCH(A14,Stage_Storage!$A$11:$A$18,1)+1)-INDEX(Stage_Storage!$E$11:$E$18,MATCH(A14,Stage_Storage!$A$11:$A$18,1)))))</f>
        <v/>
      </c>
      <c r="G14" s="26">
        <f>F14+E14</f>
        <v/>
      </c>
      <c r="H14" s="19">
        <f>IF(B14&lt;=0,0,IF(B14&gt;=INDEX(Courbe_QH_1200!$A$20:$A$80,ROWS(Courbe_QH_1200!$A$20:$A$80)),INDEX(Courbe_QH_1200!$E$20:$E$80,ROWS(Courbe_QH_1200!$E$20:$E$80)),INDEX(Courbe_QH_1200!$E$20:$E$80,MATCH(B14,Courbe_QH_1200!$A$20:$A$80,1))+(B14-INDEX(Courbe_QH_1200!$A$20:$A$80,MATCH(B14,Courbe_QH_1200!$A$20:$A$80,1)))/(INDEX(Courbe_QH_1200!$A$20:$A$80,MATCH(B14,Courbe_QH_1200!$A$20:$A$80,1)+1)-INDEX(Courbe_QH_1200!$A$20:$A$80,MATCH(B14,Courbe_QH_1200!$A$20:$A$80,1)))*(INDEX(Courbe_QH_1200!$E$20:$E$80,MATCH(B14,Courbe_QH_1200!$A$20:$A$80,1)+1)-INDEX(Courbe_QH_1200!$E$20:$E$80,MATCH(B14,Courbe_QH_1200!$A$20:$A$80,1)))))</f>
        <v/>
      </c>
      <c r="I14" s="19">
        <f>IF(C14&lt;=0,0,IF($B$6&lt;=0,0,(1/$B$6)*D14*IF(($B$5+2*C14*SQRT(1+$B$7^2))&lt;=0,0,((D14/($B$5+2*C14*SQRT(1+$B$7^2)))^(2/3)))*SQRT($B$8)))</f>
        <v/>
      </c>
      <c r="J14" s="9">
        <f>H14+I14</f>
        <v/>
      </c>
      <c r="K14" s="20">
        <f>IF(Parametres!$C$96&lt;=0,0,H14/Parametres!$C$96)</f>
        <v/>
      </c>
      <c r="L14" s="20">
        <f>IF(OR(C14&lt;0.05,D14&lt;0.05),"",I14/D14)</f>
        <v/>
      </c>
    </row>
    <row r="15">
      <c r="A15" s="29" t="n">
        <v>35.08</v>
      </c>
      <c r="B15" s="29">
        <f>A15-$B$10</f>
        <v/>
      </c>
      <c r="C15" s="29">
        <f>MAX(0,A15-$B$4)</f>
        <v/>
      </c>
      <c r="D15" s="19">
        <f>IF(C15&lt;=0,0,($B$5+$B$7*C15)*C15)</f>
        <v/>
      </c>
      <c r="E15" s="21">
        <f>IF($B$11=1,D15*$B$9,0)</f>
        <v/>
      </c>
      <c r="F15" s="21">
        <f>IF(A15&lt;=INDEX(Stage_Storage!$A$11:$A$18,1),INDEX(Stage_Storage!$E$11:$E$18,1),IF(A15&gt;=INDEX(Stage_Storage!$A$11:$A$18,ROWS(Stage_Storage!$A$11:$A$18)),INDEX(Stage_Storage!$E$11:$E$18,ROWS(Stage_Storage!$E$11:$E$18)),INDEX(Stage_Storage!$E$11:$E$18,MATCH(A15,Stage_Storage!$A$11:$A$18,1))+(A15-INDEX(Stage_Storage!$A$11:$A$18,MATCH(A15,Stage_Storage!$A$11:$A$18,1)))/(INDEX(Stage_Storage!$A$11:$A$18,MATCH(A15,Stage_Storage!$A$11:$A$18,1)+1)-INDEX(Stage_Storage!$A$11:$A$18,MATCH(A15,Stage_Storage!$A$11:$A$18,1)))*(INDEX(Stage_Storage!$E$11:$E$18,MATCH(A15,Stage_Storage!$A$11:$A$18,1)+1)-INDEX(Stage_Storage!$E$11:$E$18,MATCH(A15,Stage_Storage!$A$11:$A$18,1)))))</f>
        <v/>
      </c>
      <c r="G15" s="26">
        <f>F15+E15</f>
        <v/>
      </c>
      <c r="H15" s="19">
        <f>IF(B15&lt;=0,0,IF(B15&gt;=INDEX(Courbe_QH_1200!$A$20:$A$80,ROWS(Courbe_QH_1200!$A$20:$A$80)),INDEX(Courbe_QH_1200!$E$20:$E$80,ROWS(Courbe_QH_1200!$E$20:$E$80)),INDEX(Courbe_QH_1200!$E$20:$E$80,MATCH(B15,Courbe_QH_1200!$A$20:$A$80,1))+(B15-INDEX(Courbe_QH_1200!$A$20:$A$80,MATCH(B15,Courbe_QH_1200!$A$20:$A$80,1)))/(INDEX(Courbe_QH_1200!$A$20:$A$80,MATCH(B15,Courbe_QH_1200!$A$20:$A$80,1)+1)-INDEX(Courbe_QH_1200!$A$20:$A$80,MATCH(B15,Courbe_QH_1200!$A$20:$A$80,1)))*(INDEX(Courbe_QH_1200!$E$20:$E$80,MATCH(B15,Courbe_QH_1200!$A$20:$A$80,1)+1)-INDEX(Courbe_QH_1200!$E$20:$E$80,MATCH(B15,Courbe_QH_1200!$A$20:$A$80,1)))))</f>
        <v/>
      </c>
      <c r="I15" s="19">
        <f>IF(C15&lt;=0,0,IF($B$6&lt;=0,0,(1/$B$6)*D15*IF(($B$5+2*C15*SQRT(1+$B$7^2))&lt;=0,0,((D15/($B$5+2*C15*SQRT(1+$B$7^2)))^(2/3)))*SQRT($B$8)))</f>
        <v/>
      </c>
      <c r="J15" s="9">
        <f>H15+I15</f>
        <v/>
      </c>
      <c r="K15" s="20">
        <f>IF(Parametres!$C$96&lt;=0,0,H15/Parametres!$C$96)</f>
        <v/>
      </c>
      <c r="L15" s="20">
        <f>IF(OR(C15&lt;0.05,D15&lt;0.05),"",I15/D15)</f>
        <v/>
      </c>
    </row>
    <row r="16">
      <c r="A16" s="29" t="n">
        <v>35.18</v>
      </c>
      <c r="B16" s="29">
        <f>A16-$B$10</f>
        <v/>
      </c>
      <c r="C16" s="29">
        <f>MAX(0,A16-$B$4)</f>
        <v/>
      </c>
      <c r="D16" s="19">
        <f>IF(C16&lt;=0,0,($B$5+$B$7*C16)*C16)</f>
        <v/>
      </c>
      <c r="E16" s="21">
        <f>IF($B$11=1,D16*$B$9,0)</f>
        <v/>
      </c>
      <c r="F16" s="21">
        <f>IF(A16&lt;=INDEX(Stage_Storage!$A$11:$A$18,1),INDEX(Stage_Storage!$E$11:$E$18,1),IF(A16&gt;=INDEX(Stage_Storage!$A$11:$A$18,ROWS(Stage_Storage!$A$11:$A$18)),INDEX(Stage_Storage!$E$11:$E$18,ROWS(Stage_Storage!$E$11:$E$18)),INDEX(Stage_Storage!$E$11:$E$18,MATCH(A16,Stage_Storage!$A$11:$A$18,1))+(A16-INDEX(Stage_Storage!$A$11:$A$18,MATCH(A16,Stage_Storage!$A$11:$A$18,1)))/(INDEX(Stage_Storage!$A$11:$A$18,MATCH(A16,Stage_Storage!$A$11:$A$18,1)+1)-INDEX(Stage_Storage!$A$11:$A$18,MATCH(A16,Stage_Storage!$A$11:$A$18,1)))*(INDEX(Stage_Storage!$E$11:$E$18,MATCH(A16,Stage_Storage!$A$11:$A$18,1)+1)-INDEX(Stage_Storage!$E$11:$E$18,MATCH(A16,Stage_Storage!$A$11:$A$18,1)))))</f>
        <v/>
      </c>
      <c r="G16" s="26">
        <f>F16+E16</f>
        <v/>
      </c>
      <c r="H16" s="19">
        <f>IF(B16&lt;=0,0,IF(B16&gt;=INDEX(Courbe_QH_1200!$A$20:$A$80,ROWS(Courbe_QH_1200!$A$20:$A$80)),INDEX(Courbe_QH_1200!$E$20:$E$80,ROWS(Courbe_QH_1200!$E$20:$E$80)),INDEX(Courbe_QH_1200!$E$20:$E$80,MATCH(B16,Courbe_QH_1200!$A$20:$A$80,1))+(B16-INDEX(Courbe_QH_1200!$A$20:$A$80,MATCH(B16,Courbe_QH_1200!$A$20:$A$80,1)))/(INDEX(Courbe_QH_1200!$A$20:$A$80,MATCH(B16,Courbe_QH_1200!$A$20:$A$80,1)+1)-INDEX(Courbe_QH_1200!$A$20:$A$80,MATCH(B16,Courbe_QH_1200!$A$20:$A$80,1)))*(INDEX(Courbe_QH_1200!$E$20:$E$80,MATCH(B16,Courbe_QH_1200!$A$20:$A$80,1)+1)-INDEX(Courbe_QH_1200!$E$20:$E$80,MATCH(B16,Courbe_QH_1200!$A$20:$A$80,1)))))</f>
        <v/>
      </c>
      <c r="I16" s="19">
        <f>IF(C16&lt;=0,0,IF($B$6&lt;=0,0,(1/$B$6)*D16*IF(($B$5+2*C16*SQRT(1+$B$7^2))&lt;=0,0,((D16/($B$5+2*C16*SQRT(1+$B$7^2)))^(2/3)))*SQRT($B$8)))</f>
        <v/>
      </c>
      <c r="J16" s="9">
        <f>H16+I16</f>
        <v/>
      </c>
      <c r="K16" s="20">
        <f>IF(Parametres!$C$96&lt;=0,0,H16/Parametres!$C$96)</f>
        <v/>
      </c>
      <c r="L16" s="20">
        <f>IF(OR(C16&lt;0.05,D16&lt;0.05),"",I16/D16)</f>
        <v/>
      </c>
    </row>
    <row r="17">
      <c r="A17" s="29" t="n">
        <v>35.28</v>
      </c>
      <c r="B17" s="29">
        <f>A17-$B$10</f>
        <v/>
      </c>
      <c r="C17" s="29">
        <f>MAX(0,A17-$B$4)</f>
        <v/>
      </c>
      <c r="D17" s="19">
        <f>IF(C17&lt;=0,0,($B$5+$B$7*C17)*C17)</f>
        <v/>
      </c>
      <c r="E17" s="21">
        <f>IF($B$11=1,D17*$B$9,0)</f>
        <v/>
      </c>
      <c r="F17" s="21">
        <f>IF(A17&lt;=INDEX(Stage_Storage!$A$11:$A$18,1),INDEX(Stage_Storage!$E$11:$E$18,1),IF(A17&gt;=INDEX(Stage_Storage!$A$11:$A$18,ROWS(Stage_Storage!$A$11:$A$18)),INDEX(Stage_Storage!$E$11:$E$18,ROWS(Stage_Storage!$E$11:$E$18)),INDEX(Stage_Storage!$E$11:$E$18,MATCH(A17,Stage_Storage!$A$11:$A$18,1))+(A17-INDEX(Stage_Storage!$A$11:$A$18,MATCH(A17,Stage_Storage!$A$11:$A$18,1)))/(INDEX(Stage_Storage!$A$11:$A$18,MATCH(A17,Stage_Storage!$A$11:$A$18,1)+1)-INDEX(Stage_Storage!$A$11:$A$18,MATCH(A17,Stage_Storage!$A$11:$A$18,1)))*(INDEX(Stage_Storage!$E$11:$E$18,MATCH(A17,Stage_Storage!$A$11:$A$18,1)+1)-INDEX(Stage_Storage!$E$11:$E$18,MATCH(A17,Stage_Storage!$A$11:$A$18,1)))))</f>
        <v/>
      </c>
      <c r="G17" s="26">
        <f>F17+E17</f>
        <v/>
      </c>
      <c r="H17" s="19">
        <f>IF(B17&lt;=0,0,IF(B17&gt;=INDEX(Courbe_QH_1200!$A$20:$A$80,ROWS(Courbe_QH_1200!$A$20:$A$80)),INDEX(Courbe_QH_1200!$E$20:$E$80,ROWS(Courbe_QH_1200!$E$20:$E$80)),INDEX(Courbe_QH_1200!$E$20:$E$80,MATCH(B17,Courbe_QH_1200!$A$20:$A$80,1))+(B17-INDEX(Courbe_QH_1200!$A$20:$A$80,MATCH(B17,Courbe_QH_1200!$A$20:$A$80,1)))/(INDEX(Courbe_QH_1200!$A$20:$A$80,MATCH(B17,Courbe_QH_1200!$A$20:$A$80,1)+1)-INDEX(Courbe_QH_1200!$A$20:$A$80,MATCH(B17,Courbe_QH_1200!$A$20:$A$80,1)))*(INDEX(Courbe_QH_1200!$E$20:$E$80,MATCH(B17,Courbe_QH_1200!$A$20:$A$80,1)+1)-INDEX(Courbe_QH_1200!$E$20:$E$80,MATCH(B17,Courbe_QH_1200!$A$20:$A$80,1)))))</f>
        <v/>
      </c>
      <c r="I17" s="19">
        <f>IF(C17&lt;=0,0,IF($B$6&lt;=0,0,(1/$B$6)*D17*IF(($B$5+2*C17*SQRT(1+$B$7^2))&lt;=0,0,((D17/($B$5+2*C17*SQRT(1+$B$7^2)))^(2/3)))*SQRT($B$8)))</f>
        <v/>
      </c>
      <c r="J17" s="9">
        <f>H17+I17</f>
        <v/>
      </c>
      <c r="K17" s="20">
        <f>IF(Parametres!$C$96&lt;=0,0,H17/Parametres!$C$96)</f>
        <v/>
      </c>
      <c r="L17" s="20">
        <f>IF(OR(C17&lt;0.05,D17&lt;0.05),"",I17/D17)</f>
        <v/>
      </c>
    </row>
    <row r="18">
      <c r="A18" s="29" t="n">
        <v>35.38</v>
      </c>
      <c r="B18" s="29">
        <f>A18-$B$10</f>
        <v/>
      </c>
      <c r="C18" s="29">
        <f>MAX(0,A18-$B$4)</f>
        <v/>
      </c>
      <c r="D18" s="19">
        <f>IF(C18&lt;=0,0,($B$5+$B$7*C18)*C18)</f>
        <v/>
      </c>
      <c r="E18" s="21">
        <f>IF($B$11=1,D18*$B$9,0)</f>
        <v/>
      </c>
      <c r="F18" s="21">
        <f>IF(A18&lt;=INDEX(Stage_Storage!$A$11:$A$18,1),INDEX(Stage_Storage!$E$11:$E$18,1),IF(A18&gt;=INDEX(Stage_Storage!$A$11:$A$18,ROWS(Stage_Storage!$A$11:$A$18)),INDEX(Stage_Storage!$E$11:$E$18,ROWS(Stage_Storage!$E$11:$E$18)),INDEX(Stage_Storage!$E$11:$E$18,MATCH(A18,Stage_Storage!$A$11:$A$18,1))+(A18-INDEX(Stage_Storage!$A$11:$A$18,MATCH(A18,Stage_Storage!$A$11:$A$18,1)))/(INDEX(Stage_Storage!$A$11:$A$18,MATCH(A18,Stage_Storage!$A$11:$A$18,1)+1)-INDEX(Stage_Storage!$A$11:$A$18,MATCH(A18,Stage_Storage!$A$11:$A$18,1)))*(INDEX(Stage_Storage!$E$11:$E$18,MATCH(A18,Stage_Storage!$A$11:$A$18,1)+1)-INDEX(Stage_Storage!$E$11:$E$18,MATCH(A18,Stage_Storage!$A$11:$A$18,1)))))</f>
        <v/>
      </c>
      <c r="G18" s="26">
        <f>F18+E18</f>
        <v/>
      </c>
      <c r="H18" s="19">
        <f>IF(B18&lt;=0,0,IF(B18&gt;=INDEX(Courbe_QH_1200!$A$20:$A$80,ROWS(Courbe_QH_1200!$A$20:$A$80)),INDEX(Courbe_QH_1200!$E$20:$E$80,ROWS(Courbe_QH_1200!$E$20:$E$80)),INDEX(Courbe_QH_1200!$E$20:$E$80,MATCH(B18,Courbe_QH_1200!$A$20:$A$80,1))+(B18-INDEX(Courbe_QH_1200!$A$20:$A$80,MATCH(B18,Courbe_QH_1200!$A$20:$A$80,1)))/(INDEX(Courbe_QH_1200!$A$20:$A$80,MATCH(B18,Courbe_QH_1200!$A$20:$A$80,1)+1)-INDEX(Courbe_QH_1200!$A$20:$A$80,MATCH(B18,Courbe_QH_1200!$A$20:$A$80,1)))*(INDEX(Courbe_QH_1200!$E$20:$E$80,MATCH(B18,Courbe_QH_1200!$A$20:$A$80,1)+1)-INDEX(Courbe_QH_1200!$E$20:$E$80,MATCH(B18,Courbe_QH_1200!$A$20:$A$80,1)))))</f>
        <v/>
      </c>
      <c r="I18" s="19">
        <f>IF(C18&lt;=0,0,IF($B$6&lt;=0,0,(1/$B$6)*D18*IF(($B$5+2*C18*SQRT(1+$B$7^2))&lt;=0,0,((D18/($B$5+2*C18*SQRT(1+$B$7^2)))^(2/3)))*SQRT($B$8)))</f>
        <v/>
      </c>
      <c r="J18" s="9">
        <f>H18+I18</f>
        <v/>
      </c>
      <c r="K18" s="20">
        <f>IF(Parametres!$C$96&lt;=0,0,H18/Parametres!$C$96)</f>
        <v/>
      </c>
      <c r="L18" s="20">
        <f>IF(OR(C18&lt;0.05,D18&lt;0.05),"",I18/D18)</f>
        <v/>
      </c>
    </row>
    <row r="19">
      <c r="A19" s="29" t="n">
        <v>35.48</v>
      </c>
      <c r="B19" s="29">
        <f>A19-$B$10</f>
        <v/>
      </c>
      <c r="C19" s="29">
        <f>MAX(0,A19-$B$4)</f>
        <v/>
      </c>
      <c r="D19" s="19">
        <f>IF(C19&lt;=0,0,($B$5+$B$7*C19)*C19)</f>
        <v/>
      </c>
      <c r="E19" s="21">
        <f>IF($B$11=1,D19*$B$9,0)</f>
        <v/>
      </c>
      <c r="F19" s="21">
        <f>IF(A19&lt;=INDEX(Stage_Storage!$A$11:$A$18,1),INDEX(Stage_Storage!$E$11:$E$18,1),IF(A19&gt;=INDEX(Stage_Storage!$A$11:$A$18,ROWS(Stage_Storage!$A$11:$A$18)),INDEX(Stage_Storage!$E$11:$E$18,ROWS(Stage_Storage!$E$11:$E$18)),INDEX(Stage_Storage!$E$11:$E$18,MATCH(A19,Stage_Storage!$A$11:$A$18,1))+(A19-INDEX(Stage_Storage!$A$11:$A$18,MATCH(A19,Stage_Storage!$A$11:$A$18,1)))/(INDEX(Stage_Storage!$A$11:$A$18,MATCH(A19,Stage_Storage!$A$11:$A$18,1)+1)-INDEX(Stage_Storage!$A$11:$A$18,MATCH(A19,Stage_Storage!$A$11:$A$18,1)))*(INDEX(Stage_Storage!$E$11:$E$18,MATCH(A19,Stage_Storage!$A$11:$A$18,1)+1)-INDEX(Stage_Storage!$E$11:$E$18,MATCH(A19,Stage_Storage!$A$11:$A$18,1)))))</f>
        <v/>
      </c>
      <c r="G19" s="26">
        <f>F19+E19</f>
        <v/>
      </c>
      <c r="H19" s="19">
        <f>IF(B19&lt;=0,0,IF(B19&gt;=INDEX(Courbe_QH_1200!$A$20:$A$80,ROWS(Courbe_QH_1200!$A$20:$A$80)),INDEX(Courbe_QH_1200!$E$20:$E$80,ROWS(Courbe_QH_1200!$E$20:$E$80)),INDEX(Courbe_QH_1200!$E$20:$E$80,MATCH(B19,Courbe_QH_1200!$A$20:$A$80,1))+(B19-INDEX(Courbe_QH_1200!$A$20:$A$80,MATCH(B19,Courbe_QH_1200!$A$20:$A$80,1)))/(INDEX(Courbe_QH_1200!$A$20:$A$80,MATCH(B19,Courbe_QH_1200!$A$20:$A$80,1)+1)-INDEX(Courbe_QH_1200!$A$20:$A$80,MATCH(B19,Courbe_QH_1200!$A$20:$A$80,1)))*(INDEX(Courbe_QH_1200!$E$20:$E$80,MATCH(B19,Courbe_QH_1200!$A$20:$A$80,1)+1)-INDEX(Courbe_QH_1200!$E$20:$E$80,MATCH(B19,Courbe_QH_1200!$A$20:$A$80,1)))))</f>
        <v/>
      </c>
      <c r="I19" s="19">
        <f>IF(C19&lt;=0,0,IF($B$6&lt;=0,0,(1/$B$6)*D19*IF(($B$5+2*C19*SQRT(1+$B$7^2))&lt;=0,0,((D19/($B$5+2*C19*SQRT(1+$B$7^2)))^(2/3)))*SQRT($B$8)))</f>
        <v/>
      </c>
      <c r="J19" s="9">
        <f>H19+I19</f>
        <v/>
      </c>
      <c r="K19" s="20">
        <f>IF(Parametres!$C$96&lt;=0,0,H19/Parametres!$C$96)</f>
        <v/>
      </c>
      <c r="L19" s="20">
        <f>IF(OR(C19&lt;0.05,D19&lt;0.05),"",I19/D19)</f>
        <v/>
      </c>
    </row>
    <row r="20">
      <c r="A20" s="29" t="n">
        <v>35.58</v>
      </c>
      <c r="B20" s="29">
        <f>A20-$B$10</f>
        <v/>
      </c>
      <c r="C20" s="29">
        <f>MAX(0,A20-$B$4)</f>
        <v/>
      </c>
      <c r="D20" s="19">
        <f>IF(C20&lt;=0,0,($B$5+$B$7*C20)*C20)</f>
        <v/>
      </c>
      <c r="E20" s="21">
        <f>IF($B$11=1,D20*$B$9,0)</f>
        <v/>
      </c>
      <c r="F20" s="21">
        <f>IF(A20&lt;=INDEX(Stage_Storage!$A$11:$A$18,1),INDEX(Stage_Storage!$E$11:$E$18,1),IF(A20&gt;=INDEX(Stage_Storage!$A$11:$A$18,ROWS(Stage_Storage!$A$11:$A$18)),INDEX(Stage_Storage!$E$11:$E$18,ROWS(Stage_Storage!$E$11:$E$18)),INDEX(Stage_Storage!$E$11:$E$18,MATCH(A20,Stage_Storage!$A$11:$A$18,1))+(A20-INDEX(Stage_Storage!$A$11:$A$18,MATCH(A20,Stage_Storage!$A$11:$A$18,1)))/(INDEX(Stage_Storage!$A$11:$A$18,MATCH(A20,Stage_Storage!$A$11:$A$18,1)+1)-INDEX(Stage_Storage!$A$11:$A$18,MATCH(A20,Stage_Storage!$A$11:$A$18,1)))*(INDEX(Stage_Storage!$E$11:$E$18,MATCH(A20,Stage_Storage!$A$11:$A$18,1)+1)-INDEX(Stage_Storage!$E$11:$E$18,MATCH(A20,Stage_Storage!$A$11:$A$18,1)))))</f>
        <v/>
      </c>
      <c r="G20" s="26">
        <f>F20+E20</f>
        <v/>
      </c>
      <c r="H20" s="19">
        <f>IF(B20&lt;=0,0,IF(B20&gt;=INDEX(Courbe_QH_1200!$A$20:$A$80,ROWS(Courbe_QH_1200!$A$20:$A$80)),INDEX(Courbe_QH_1200!$E$20:$E$80,ROWS(Courbe_QH_1200!$E$20:$E$80)),INDEX(Courbe_QH_1200!$E$20:$E$80,MATCH(B20,Courbe_QH_1200!$A$20:$A$80,1))+(B20-INDEX(Courbe_QH_1200!$A$20:$A$80,MATCH(B20,Courbe_QH_1200!$A$20:$A$80,1)))/(INDEX(Courbe_QH_1200!$A$20:$A$80,MATCH(B20,Courbe_QH_1200!$A$20:$A$80,1)+1)-INDEX(Courbe_QH_1200!$A$20:$A$80,MATCH(B20,Courbe_QH_1200!$A$20:$A$80,1)))*(INDEX(Courbe_QH_1200!$E$20:$E$80,MATCH(B20,Courbe_QH_1200!$A$20:$A$80,1)+1)-INDEX(Courbe_QH_1200!$E$20:$E$80,MATCH(B20,Courbe_QH_1200!$A$20:$A$80,1)))))</f>
        <v/>
      </c>
      <c r="I20" s="19">
        <f>IF(C20&lt;=0,0,IF($B$6&lt;=0,0,(1/$B$6)*D20*IF(($B$5+2*C20*SQRT(1+$B$7^2))&lt;=0,0,((D20/($B$5+2*C20*SQRT(1+$B$7^2)))^(2/3)))*SQRT($B$8)))</f>
        <v/>
      </c>
      <c r="J20" s="9">
        <f>H20+I20</f>
        <v/>
      </c>
      <c r="K20" s="20">
        <f>IF(Parametres!$C$96&lt;=0,0,H20/Parametres!$C$96)</f>
        <v/>
      </c>
      <c r="L20" s="20">
        <f>IF(OR(C20&lt;0.05,D20&lt;0.05),"",I20/D20)</f>
        <v/>
      </c>
    </row>
    <row r="21">
      <c r="A21" s="29" t="n">
        <v>35.68</v>
      </c>
      <c r="B21" s="29">
        <f>A21-$B$10</f>
        <v/>
      </c>
      <c r="C21" s="29">
        <f>MAX(0,A21-$B$4)</f>
        <v/>
      </c>
      <c r="D21" s="19">
        <f>IF(C21&lt;=0,0,($B$5+$B$7*C21)*C21)</f>
        <v/>
      </c>
      <c r="E21" s="21">
        <f>IF($B$11=1,D21*$B$9,0)</f>
        <v/>
      </c>
      <c r="F21" s="21">
        <f>IF(A21&lt;=INDEX(Stage_Storage!$A$11:$A$18,1),INDEX(Stage_Storage!$E$11:$E$18,1),IF(A21&gt;=INDEX(Stage_Storage!$A$11:$A$18,ROWS(Stage_Storage!$A$11:$A$18)),INDEX(Stage_Storage!$E$11:$E$18,ROWS(Stage_Storage!$E$11:$E$18)),INDEX(Stage_Storage!$E$11:$E$18,MATCH(A21,Stage_Storage!$A$11:$A$18,1))+(A21-INDEX(Stage_Storage!$A$11:$A$18,MATCH(A21,Stage_Storage!$A$11:$A$18,1)))/(INDEX(Stage_Storage!$A$11:$A$18,MATCH(A21,Stage_Storage!$A$11:$A$18,1)+1)-INDEX(Stage_Storage!$A$11:$A$18,MATCH(A21,Stage_Storage!$A$11:$A$18,1)))*(INDEX(Stage_Storage!$E$11:$E$18,MATCH(A21,Stage_Storage!$A$11:$A$18,1)+1)-INDEX(Stage_Storage!$E$11:$E$18,MATCH(A21,Stage_Storage!$A$11:$A$18,1)))))</f>
        <v/>
      </c>
      <c r="G21" s="26">
        <f>F21+E21</f>
        <v/>
      </c>
      <c r="H21" s="19">
        <f>IF(B21&lt;=0,0,IF(B21&gt;=INDEX(Courbe_QH_1200!$A$20:$A$80,ROWS(Courbe_QH_1200!$A$20:$A$80)),INDEX(Courbe_QH_1200!$E$20:$E$80,ROWS(Courbe_QH_1200!$E$20:$E$80)),INDEX(Courbe_QH_1200!$E$20:$E$80,MATCH(B21,Courbe_QH_1200!$A$20:$A$80,1))+(B21-INDEX(Courbe_QH_1200!$A$20:$A$80,MATCH(B21,Courbe_QH_1200!$A$20:$A$80,1)))/(INDEX(Courbe_QH_1200!$A$20:$A$80,MATCH(B21,Courbe_QH_1200!$A$20:$A$80,1)+1)-INDEX(Courbe_QH_1200!$A$20:$A$80,MATCH(B21,Courbe_QH_1200!$A$20:$A$80,1)))*(INDEX(Courbe_QH_1200!$E$20:$E$80,MATCH(B21,Courbe_QH_1200!$A$20:$A$80,1)+1)-INDEX(Courbe_QH_1200!$E$20:$E$80,MATCH(B21,Courbe_QH_1200!$A$20:$A$80,1)))))</f>
        <v/>
      </c>
      <c r="I21" s="19">
        <f>IF(C21&lt;=0,0,IF($B$6&lt;=0,0,(1/$B$6)*D21*IF(($B$5+2*C21*SQRT(1+$B$7^2))&lt;=0,0,((D21/($B$5+2*C21*SQRT(1+$B$7^2)))^(2/3)))*SQRT($B$8)))</f>
        <v/>
      </c>
      <c r="J21" s="9">
        <f>H21+I21</f>
        <v/>
      </c>
      <c r="K21" s="20">
        <f>IF(Parametres!$C$96&lt;=0,0,H21/Parametres!$C$96)</f>
        <v/>
      </c>
      <c r="L21" s="20">
        <f>IF(OR(C21&lt;0.05,D21&lt;0.05),"",I21/D21)</f>
        <v/>
      </c>
    </row>
    <row r="22">
      <c r="A22" s="29" t="n">
        <v>35.78</v>
      </c>
      <c r="B22" s="29">
        <f>A22-$B$10</f>
        <v/>
      </c>
      <c r="C22" s="29">
        <f>MAX(0,A22-$B$4)</f>
        <v/>
      </c>
      <c r="D22" s="19">
        <f>IF(C22&lt;=0,0,($B$5+$B$7*C22)*C22)</f>
        <v/>
      </c>
      <c r="E22" s="21">
        <f>IF($B$11=1,D22*$B$9,0)</f>
        <v/>
      </c>
      <c r="F22" s="21">
        <f>IF(A22&lt;=INDEX(Stage_Storage!$A$11:$A$18,1),INDEX(Stage_Storage!$E$11:$E$18,1),IF(A22&gt;=INDEX(Stage_Storage!$A$11:$A$18,ROWS(Stage_Storage!$A$11:$A$18)),INDEX(Stage_Storage!$E$11:$E$18,ROWS(Stage_Storage!$E$11:$E$18)),INDEX(Stage_Storage!$E$11:$E$18,MATCH(A22,Stage_Storage!$A$11:$A$18,1))+(A22-INDEX(Stage_Storage!$A$11:$A$18,MATCH(A22,Stage_Storage!$A$11:$A$18,1)))/(INDEX(Stage_Storage!$A$11:$A$18,MATCH(A22,Stage_Storage!$A$11:$A$18,1)+1)-INDEX(Stage_Storage!$A$11:$A$18,MATCH(A22,Stage_Storage!$A$11:$A$18,1)))*(INDEX(Stage_Storage!$E$11:$E$18,MATCH(A22,Stage_Storage!$A$11:$A$18,1)+1)-INDEX(Stage_Storage!$E$11:$E$18,MATCH(A22,Stage_Storage!$A$11:$A$18,1)))))</f>
        <v/>
      </c>
      <c r="G22" s="26">
        <f>F22+E22</f>
        <v/>
      </c>
      <c r="H22" s="19">
        <f>IF(B22&lt;=0,0,IF(B22&gt;=INDEX(Courbe_QH_1200!$A$20:$A$80,ROWS(Courbe_QH_1200!$A$20:$A$80)),INDEX(Courbe_QH_1200!$E$20:$E$80,ROWS(Courbe_QH_1200!$E$20:$E$80)),INDEX(Courbe_QH_1200!$E$20:$E$80,MATCH(B22,Courbe_QH_1200!$A$20:$A$80,1))+(B22-INDEX(Courbe_QH_1200!$A$20:$A$80,MATCH(B22,Courbe_QH_1200!$A$20:$A$80,1)))/(INDEX(Courbe_QH_1200!$A$20:$A$80,MATCH(B22,Courbe_QH_1200!$A$20:$A$80,1)+1)-INDEX(Courbe_QH_1200!$A$20:$A$80,MATCH(B22,Courbe_QH_1200!$A$20:$A$80,1)))*(INDEX(Courbe_QH_1200!$E$20:$E$80,MATCH(B22,Courbe_QH_1200!$A$20:$A$80,1)+1)-INDEX(Courbe_QH_1200!$E$20:$E$80,MATCH(B22,Courbe_QH_1200!$A$20:$A$80,1)))))</f>
        <v/>
      </c>
      <c r="I22" s="19">
        <f>IF(C22&lt;=0,0,IF($B$6&lt;=0,0,(1/$B$6)*D22*IF(($B$5+2*C22*SQRT(1+$B$7^2))&lt;=0,0,((D22/($B$5+2*C22*SQRT(1+$B$7^2)))^(2/3)))*SQRT($B$8)))</f>
        <v/>
      </c>
      <c r="J22" s="9">
        <f>H22+I22</f>
        <v/>
      </c>
      <c r="K22" s="20">
        <f>IF(Parametres!$C$96&lt;=0,0,H22/Parametres!$C$96)</f>
        <v/>
      </c>
      <c r="L22" s="20">
        <f>IF(OR(C22&lt;0.05,D22&lt;0.05),"",I22/D22)</f>
        <v/>
      </c>
    </row>
    <row r="23">
      <c r="A23" s="29" t="n">
        <v>35.88</v>
      </c>
      <c r="B23" s="29">
        <f>A23-$B$10</f>
        <v/>
      </c>
      <c r="C23" s="29">
        <f>MAX(0,A23-$B$4)</f>
        <v/>
      </c>
      <c r="D23" s="19">
        <f>IF(C23&lt;=0,0,($B$5+$B$7*C23)*C23)</f>
        <v/>
      </c>
      <c r="E23" s="21">
        <f>IF($B$11=1,D23*$B$9,0)</f>
        <v/>
      </c>
      <c r="F23" s="21">
        <f>IF(A23&lt;=INDEX(Stage_Storage!$A$11:$A$18,1),INDEX(Stage_Storage!$E$11:$E$18,1),IF(A23&gt;=INDEX(Stage_Storage!$A$11:$A$18,ROWS(Stage_Storage!$A$11:$A$18)),INDEX(Stage_Storage!$E$11:$E$18,ROWS(Stage_Storage!$E$11:$E$18)),INDEX(Stage_Storage!$E$11:$E$18,MATCH(A23,Stage_Storage!$A$11:$A$18,1))+(A23-INDEX(Stage_Storage!$A$11:$A$18,MATCH(A23,Stage_Storage!$A$11:$A$18,1)))/(INDEX(Stage_Storage!$A$11:$A$18,MATCH(A23,Stage_Storage!$A$11:$A$18,1)+1)-INDEX(Stage_Storage!$A$11:$A$18,MATCH(A23,Stage_Storage!$A$11:$A$18,1)))*(INDEX(Stage_Storage!$E$11:$E$18,MATCH(A23,Stage_Storage!$A$11:$A$18,1)+1)-INDEX(Stage_Storage!$E$11:$E$18,MATCH(A23,Stage_Storage!$A$11:$A$18,1)))))</f>
        <v/>
      </c>
      <c r="G23" s="26">
        <f>F23+E23</f>
        <v/>
      </c>
      <c r="H23" s="19">
        <f>IF(B23&lt;=0,0,IF(B23&gt;=INDEX(Courbe_QH_1200!$A$20:$A$80,ROWS(Courbe_QH_1200!$A$20:$A$80)),INDEX(Courbe_QH_1200!$E$20:$E$80,ROWS(Courbe_QH_1200!$E$20:$E$80)),INDEX(Courbe_QH_1200!$E$20:$E$80,MATCH(B23,Courbe_QH_1200!$A$20:$A$80,1))+(B23-INDEX(Courbe_QH_1200!$A$20:$A$80,MATCH(B23,Courbe_QH_1200!$A$20:$A$80,1)))/(INDEX(Courbe_QH_1200!$A$20:$A$80,MATCH(B23,Courbe_QH_1200!$A$20:$A$80,1)+1)-INDEX(Courbe_QH_1200!$A$20:$A$80,MATCH(B23,Courbe_QH_1200!$A$20:$A$80,1)))*(INDEX(Courbe_QH_1200!$E$20:$E$80,MATCH(B23,Courbe_QH_1200!$A$20:$A$80,1)+1)-INDEX(Courbe_QH_1200!$E$20:$E$80,MATCH(B23,Courbe_QH_1200!$A$20:$A$80,1)))))</f>
        <v/>
      </c>
      <c r="I23" s="19">
        <f>IF(C23&lt;=0,0,IF($B$6&lt;=0,0,(1/$B$6)*D23*IF(($B$5+2*C23*SQRT(1+$B$7^2))&lt;=0,0,((D23/($B$5+2*C23*SQRT(1+$B$7^2)))^(2/3)))*SQRT($B$8)))</f>
        <v/>
      </c>
      <c r="J23" s="9">
        <f>H23+I23</f>
        <v/>
      </c>
      <c r="K23" s="20">
        <f>IF(Parametres!$C$96&lt;=0,0,H23/Parametres!$C$96)</f>
        <v/>
      </c>
      <c r="L23" s="20">
        <f>IF(OR(C23&lt;0.05,D23&lt;0.05),"",I23/D23)</f>
        <v/>
      </c>
    </row>
    <row r="24">
      <c r="A24" s="29" t="n">
        <v>35.98</v>
      </c>
      <c r="B24" s="29">
        <f>A24-$B$10</f>
        <v/>
      </c>
      <c r="C24" s="29">
        <f>MAX(0,A24-$B$4)</f>
        <v/>
      </c>
      <c r="D24" s="19">
        <f>IF(C24&lt;=0,0,($B$5+$B$7*C24)*C24)</f>
        <v/>
      </c>
      <c r="E24" s="21">
        <f>IF($B$11=1,D24*$B$9,0)</f>
        <v/>
      </c>
      <c r="F24" s="21">
        <f>IF(A24&lt;=INDEX(Stage_Storage!$A$11:$A$18,1),INDEX(Stage_Storage!$E$11:$E$18,1),IF(A24&gt;=INDEX(Stage_Storage!$A$11:$A$18,ROWS(Stage_Storage!$A$11:$A$18)),INDEX(Stage_Storage!$E$11:$E$18,ROWS(Stage_Storage!$E$11:$E$18)),INDEX(Stage_Storage!$E$11:$E$18,MATCH(A24,Stage_Storage!$A$11:$A$18,1))+(A24-INDEX(Stage_Storage!$A$11:$A$18,MATCH(A24,Stage_Storage!$A$11:$A$18,1)))/(INDEX(Stage_Storage!$A$11:$A$18,MATCH(A24,Stage_Storage!$A$11:$A$18,1)+1)-INDEX(Stage_Storage!$A$11:$A$18,MATCH(A24,Stage_Storage!$A$11:$A$18,1)))*(INDEX(Stage_Storage!$E$11:$E$18,MATCH(A24,Stage_Storage!$A$11:$A$18,1)+1)-INDEX(Stage_Storage!$E$11:$E$18,MATCH(A24,Stage_Storage!$A$11:$A$18,1)))))</f>
        <v/>
      </c>
      <c r="G24" s="26">
        <f>F24+E24</f>
        <v/>
      </c>
      <c r="H24" s="19">
        <f>IF(B24&lt;=0,0,IF(B24&gt;=INDEX(Courbe_QH_1200!$A$20:$A$80,ROWS(Courbe_QH_1200!$A$20:$A$80)),INDEX(Courbe_QH_1200!$E$20:$E$80,ROWS(Courbe_QH_1200!$E$20:$E$80)),INDEX(Courbe_QH_1200!$E$20:$E$80,MATCH(B24,Courbe_QH_1200!$A$20:$A$80,1))+(B24-INDEX(Courbe_QH_1200!$A$20:$A$80,MATCH(B24,Courbe_QH_1200!$A$20:$A$80,1)))/(INDEX(Courbe_QH_1200!$A$20:$A$80,MATCH(B24,Courbe_QH_1200!$A$20:$A$80,1)+1)-INDEX(Courbe_QH_1200!$A$20:$A$80,MATCH(B24,Courbe_QH_1200!$A$20:$A$80,1)))*(INDEX(Courbe_QH_1200!$E$20:$E$80,MATCH(B24,Courbe_QH_1200!$A$20:$A$80,1)+1)-INDEX(Courbe_QH_1200!$E$20:$E$80,MATCH(B24,Courbe_QH_1200!$A$20:$A$80,1)))))</f>
        <v/>
      </c>
      <c r="I24" s="19">
        <f>IF(C24&lt;=0,0,IF($B$6&lt;=0,0,(1/$B$6)*D24*IF(($B$5+2*C24*SQRT(1+$B$7^2))&lt;=0,0,((D24/($B$5+2*C24*SQRT(1+$B$7^2)))^(2/3)))*SQRT($B$8)))</f>
        <v/>
      </c>
      <c r="J24" s="9">
        <f>H24+I24</f>
        <v/>
      </c>
      <c r="K24" s="20">
        <f>IF(Parametres!$C$96&lt;=0,0,H24/Parametres!$C$96)</f>
        <v/>
      </c>
      <c r="L24" s="20">
        <f>IF(OR(C24&lt;0.05,D24&lt;0.05),"",I24/D24)</f>
        <v/>
      </c>
    </row>
    <row r="25">
      <c r="A25" s="29" t="n">
        <v>36.08</v>
      </c>
      <c r="B25" s="29">
        <f>A25-$B$10</f>
        <v/>
      </c>
      <c r="C25" s="29">
        <f>MAX(0,A25-$B$4)</f>
        <v/>
      </c>
      <c r="D25" s="19">
        <f>IF(C25&lt;=0,0,($B$5+$B$7*C25)*C25)</f>
        <v/>
      </c>
      <c r="E25" s="21">
        <f>IF($B$11=1,D25*$B$9,0)</f>
        <v/>
      </c>
      <c r="F25" s="21">
        <f>IF(A25&lt;=INDEX(Stage_Storage!$A$11:$A$18,1),INDEX(Stage_Storage!$E$11:$E$18,1),IF(A25&gt;=INDEX(Stage_Storage!$A$11:$A$18,ROWS(Stage_Storage!$A$11:$A$18)),INDEX(Stage_Storage!$E$11:$E$18,ROWS(Stage_Storage!$E$11:$E$18)),INDEX(Stage_Storage!$E$11:$E$18,MATCH(A25,Stage_Storage!$A$11:$A$18,1))+(A25-INDEX(Stage_Storage!$A$11:$A$18,MATCH(A25,Stage_Storage!$A$11:$A$18,1)))/(INDEX(Stage_Storage!$A$11:$A$18,MATCH(A25,Stage_Storage!$A$11:$A$18,1)+1)-INDEX(Stage_Storage!$A$11:$A$18,MATCH(A25,Stage_Storage!$A$11:$A$18,1)))*(INDEX(Stage_Storage!$E$11:$E$18,MATCH(A25,Stage_Storage!$A$11:$A$18,1)+1)-INDEX(Stage_Storage!$E$11:$E$18,MATCH(A25,Stage_Storage!$A$11:$A$18,1)))))</f>
        <v/>
      </c>
      <c r="G25" s="26">
        <f>F25+E25</f>
        <v/>
      </c>
      <c r="H25" s="19">
        <f>IF(B25&lt;=0,0,IF(B25&gt;=INDEX(Courbe_QH_1200!$A$20:$A$80,ROWS(Courbe_QH_1200!$A$20:$A$80)),INDEX(Courbe_QH_1200!$E$20:$E$80,ROWS(Courbe_QH_1200!$E$20:$E$80)),INDEX(Courbe_QH_1200!$E$20:$E$80,MATCH(B25,Courbe_QH_1200!$A$20:$A$80,1))+(B25-INDEX(Courbe_QH_1200!$A$20:$A$80,MATCH(B25,Courbe_QH_1200!$A$20:$A$80,1)))/(INDEX(Courbe_QH_1200!$A$20:$A$80,MATCH(B25,Courbe_QH_1200!$A$20:$A$80,1)+1)-INDEX(Courbe_QH_1200!$A$20:$A$80,MATCH(B25,Courbe_QH_1200!$A$20:$A$80,1)))*(INDEX(Courbe_QH_1200!$E$20:$E$80,MATCH(B25,Courbe_QH_1200!$A$20:$A$80,1)+1)-INDEX(Courbe_QH_1200!$E$20:$E$80,MATCH(B25,Courbe_QH_1200!$A$20:$A$80,1)))))</f>
        <v/>
      </c>
      <c r="I25" s="19">
        <f>IF(C25&lt;=0,0,IF($B$6&lt;=0,0,(1/$B$6)*D25*IF(($B$5+2*C25*SQRT(1+$B$7^2))&lt;=0,0,((D25/($B$5+2*C25*SQRT(1+$B$7^2)))^(2/3)))*SQRT($B$8)))</f>
        <v/>
      </c>
      <c r="J25" s="9">
        <f>H25+I25</f>
        <v/>
      </c>
      <c r="K25" s="20">
        <f>IF(Parametres!$C$96&lt;=0,0,H25/Parametres!$C$96)</f>
        <v/>
      </c>
      <c r="L25" s="20">
        <f>IF(OR(C25&lt;0.05,D25&lt;0.05),"",I25/D25)</f>
        <v/>
      </c>
    </row>
    <row r="26">
      <c r="A26" s="29" t="n">
        <v>36.18</v>
      </c>
      <c r="B26" s="29">
        <f>A26-$B$10</f>
        <v/>
      </c>
      <c r="C26" s="29">
        <f>MAX(0,A26-$B$4)</f>
        <v/>
      </c>
      <c r="D26" s="19">
        <f>IF(C26&lt;=0,0,($B$5+$B$7*C26)*C26)</f>
        <v/>
      </c>
      <c r="E26" s="21">
        <f>IF($B$11=1,D26*$B$9,0)</f>
        <v/>
      </c>
      <c r="F26" s="21">
        <f>IF(A26&lt;=INDEX(Stage_Storage!$A$11:$A$18,1),INDEX(Stage_Storage!$E$11:$E$18,1),IF(A26&gt;=INDEX(Stage_Storage!$A$11:$A$18,ROWS(Stage_Storage!$A$11:$A$18)),INDEX(Stage_Storage!$E$11:$E$18,ROWS(Stage_Storage!$E$11:$E$18)),INDEX(Stage_Storage!$E$11:$E$18,MATCH(A26,Stage_Storage!$A$11:$A$18,1))+(A26-INDEX(Stage_Storage!$A$11:$A$18,MATCH(A26,Stage_Storage!$A$11:$A$18,1)))/(INDEX(Stage_Storage!$A$11:$A$18,MATCH(A26,Stage_Storage!$A$11:$A$18,1)+1)-INDEX(Stage_Storage!$A$11:$A$18,MATCH(A26,Stage_Storage!$A$11:$A$18,1)))*(INDEX(Stage_Storage!$E$11:$E$18,MATCH(A26,Stage_Storage!$A$11:$A$18,1)+1)-INDEX(Stage_Storage!$E$11:$E$18,MATCH(A26,Stage_Storage!$A$11:$A$18,1)))))</f>
        <v/>
      </c>
      <c r="G26" s="26">
        <f>F26+E26</f>
        <v/>
      </c>
      <c r="H26" s="19">
        <f>IF(B26&lt;=0,0,IF(B26&gt;=INDEX(Courbe_QH_1200!$A$20:$A$80,ROWS(Courbe_QH_1200!$A$20:$A$80)),INDEX(Courbe_QH_1200!$E$20:$E$80,ROWS(Courbe_QH_1200!$E$20:$E$80)),INDEX(Courbe_QH_1200!$E$20:$E$80,MATCH(B26,Courbe_QH_1200!$A$20:$A$80,1))+(B26-INDEX(Courbe_QH_1200!$A$20:$A$80,MATCH(B26,Courbe_QH_1200!$A$20:$A$80,1)))/(INDEX(Courbe_QH_1200!$A$20:$A$80,MATCH(B26,Courbe_QH_1200!$A$20:$A$80,1)+1)-INDEX(Courbe_QH_1200!$A$20:$A$80,MATCH(B26,Courbe_QH_1200!$A$20:$A$80,1)))*(INDEX(Courbe_QH_1200!$E$20:$E$80,MATCH(B26,Courbe_QH_1200!$A$20:$A$80,1)+1)-INDEX(Courbe_QH_1200!$E$20:$E$80,MATCH(B26,Courbe_QH_1200!$A$20:$A$80,1)))))</f>
        <v/>
      </c>
      <c r="I26" s="19">
        <f>IF(C26&lt;=0,0,IF($B$6&lt;=0,0,(1/$B$6)*D26*IF(($B$5+2*C26*SQRT(1+$B$7^2))&lt;=0,0,((D26/($B$5+2*C26*SQRT(1+$B$7^2)))^(2/3)))*SQRT($B$8)))</f>
        <v/>
      </c>
      <c r="J26" s="9">
        <f>H26+I26</f>
        <v/>
      </c>
      <c r="K26" s="20">
        <f>IF(Parametres!$C$96&lt;=0,0,H26/Parametres!$C$96)</f>
        <v/>
      </c>
      <c r="L26" s="20">
        <f>IF(OR(C26&lt;0.05,D26&lt;0.05),"",I26/D26)</f>
        <v/>
      </c>
    </row>
    <row r="27">
      <c r="A27" s="29" t="n">
        <v>36.28</v>
      </c>
      <c r="B27" s="29">
        <f>A27-$B$10</f>
        <v/>
      </c>
      <c r="C27" s="29">
        <f>MAX(0,A27-$B$4)</f>
        <v/>
      </c>
      <c r="D27" s="19">
        <f>IF(C27&lt;=0,0,($B$5+$B$7*C27)*C27)</f>
        <v/>
      </c>
      <c r="E27" s="21">
        <f>IF($B$11=1,D27*$B$9,0)</f>
        <v/>
      </c>
      <c r="F27" s="21">
        <f>IF(A27&lt;=INDEX(Stage_Storage!$A$11:$A$18,1),INDEX(Stage_Storage!$E$11:$E$18,1),IF(A27&gt;=INDEX(Stage_Storage!$A$11:$A$18,ROWS(Stage_Storage!$A$11:$A$18)),INDEX(Stage_Storage!$E$11:$E$18,ROWS(Stage_Storage!$E$11:$E$18)),INDEX(Stage_Storage!$E$11:$E$18,MATCH(A27,Stage_Storage!$A$11:$A$18,1))+(A27-INDEX(Stage_Storage!$A$11:$A$18,MATCH(A27,Stage_Storage!$A$11:$A$18,1)))/(INDEX(Stage_Storage!$A$11:$A$18,MATCH(A27,Stage_Storage!$A$11:$A$18,1)+1)-INDEX(Stage_Storage!$A$11:$A$18,MATCH(A27,Stage_Storage!$A$11:$A$18,1)))*(INDEX(Stage_Storage!$E$11:$E$18,MATCH(A27,Stage_Storage!$A$11:$A$18,1)+1)-INDEX(Stage_Storage!$E$11:$E$18,MATCH(A27,Stage_Storage!$A$11:$A$18,1)))))</f>
        <v/>
      </c>
      <c r="G27" s="26">
        <f>F27+E27</f>
        <v/>
      </c>
      <c r="H27" s="19">
        <f>IF(B27&lt;=0,0,IF(B27&gt;=INDEX(Courbe_QH_1200!$A$20:$A$80,ROWS(Courbe_QH_1200!$A$20:$A$80)),INDEX(Courbe_QH_1200!$E$20:$E$80,ROWS(Courbe_QH_1200!$E$20:$E$80)),INDEX(Courbe_QH_1200!$E$20:$E$80,MATCH(B27,Courbe_QH_1200!$A$20:$A$80,1))+(B27-INDEX(Courbe_QH_1200!$A$20:$A$80,MATCH(B27,Courbe_QH_1200!$A$20:$A$80,1)))/(INDEX(Courbe_QH_1200!$A$20:$A$80,MATCH(B27,Courbe_QH_1200!$A$20:$A$80,1)+1)-INDEX(Courbe_QH_1200!$A$20:$A$80,MATCH(B27,Courbe_QH_1200!$A$20:$A$80,1)))*(INDEX(Courbe_QH_1200!$E$20:$E$80,MATCH(B27,Courbe_QH_1200!$A$20:$A$80,1)+1)-INDEX(Courbe_QH_1200!$E$20:$E$80,MATCH(B27,Courbe_QH_1200!$A$20:$A$80,1)))))</f>
        <v/>
      </c>
      <c r="I27" s="19">
        <f>IF(C27&lt;=0,0,IF($B$6&lt;=0,0,(1/$B$6)*D27*IF(($B$5+2*C27*SQRT(1+$B$7^2))&lt;=0,0,((D27/($B$5+2*C27*SQRT(1+$B$7^2)))^(2/3)))*SQRT($B$8)))</f>
        <v/>
      </c>
      <c r="J27" s="9">
        <f>H27+I27</f>
        <v/>
      </c>
      <c r="K27" s="20">
        <f>IF(Parametres!$C$96&lt;=0,0,H27/Parametres!$C$96)</f>
        <v/>
      </c>
      <c r="L27" s="20">
        <f>IF(OR(C27&lt;0.05,D27&lt;0.05),"",I27/D27)</f>
        <v/>
      </c>
    </row>
    <row r="28">
      <c r="A28" s="29" t="n">
        <v>36.38</v>
      </c>
      <c r="B28" s="29">
        <f>A28-$B$10</f>
        <v/>
      </c>
      <c r="C28" s="29">
        <f>MAX(0,A28-$B$4)</f>
        <v/>
      </c>
      <c r="D28" s="19">
        <f>IF(C28&lt;=0,0,($B$5+$B$7*C28)*C28)</f>
        <v/>
      </c>
      <c r="E28" s="21">
        <f>IF($B$11=1,D28*$B$9,0)</f>
        <v/>
      </c>
      <c r="F28" s="21">
        <f>IF(A28&lt;=INDEX(Stage_Storage!$A$11:$A$18,1),INDEX(Stage_Storage!$E$11:$E$18,1),IF(A28&gt;=INDEX(Stage_Storage!$A$11:$A$18,ROWS(Stage_Storage!$A$11:$A$18)),INDEX(Stage_Storage!$E$11:$E$18,ROWS(Stage_Storage!$E$11:$E$18)),INDEX(Stage_Storage!$E$11:$E$18,MATCH(A28,Stage_Storage!$A$11:$A$18,1))+(A28-INDEX(Stage_Storage!$A$11:$A$18,MATCH(A28,Stage_Storage!$A$11:$A$18,1)))/(INDEX(Stage_Storage!$A$11:$A$18,MATCH(A28,Stage_Storage!$A$11:$A$18,1)+1)-INDEX(Stage_Storage!$A$11:$A$18,MATCH(A28,Stage_Storage!$A$11:$A$18,1)))*(INDEX(Stage_Storage!$E$11:$E$18,MATCH(A28,Stage_Storage!$A$11:$A$18,1)+1)-INDEX(Stage_Storage!$E$11:$E$18,MATCH(A28,Stage_Storage!$A$11:$A$18,1)))))</f>
        <v/>
      </c>
      <c r="G28" s="26">
        <f>F28+E28</f>
        <v/>
      </c>
      <c r="H28" s="19">
        <f>IF(B28&lt;=0,0,IF(B28&gt;=INDEX(Courbe_QH_1200!$A$20:$A$80,ROWS(Courbe_QH_1200!$A$20:$A$80)),INDEX(Courbe_QH_1200!$E$20:$E$80,ROWS(Courbe_QH_1200!$E$20:$E$80)),INDEX(Courbe_QH_1200!$E$20:$E$80,MATCH(B28,Courbe_QH_1200!$A$20:$A$80,1))+(B28-INDEX(Courbe_QH_1200!$A$20:$A$80,MATCH(B28,Courbe_QH_1200!$A$20:$A$80,1)))/(INDEX(Courbe_QH_1200!$A$20:$A$80,MATCH(B28,Courbe_QH_1200!$A$20:$A$80,1)+1)-INDEX(Courbe_QH_1200!$A$20:$A$80,MATCH(B28,Courbe_QH_1200!$A$20:$A$80,1)))*(INDEX(Courbe_QH_1200!$E$20:$E$80,MATCH(B28,Courbe_QH_1200!$A$20:$A$80,1)+1)-INDEX(Courbe_QH_1200!$E$20:$E$80,MATCH(B28,Courbe_QH_1200!$A$20:$A$80,1)))))</f>
        <v/>
      </c>
      <c r="I28" s="19">
        <f>IF(C28&lt;=0,0,IF($B$6&lt;=0,0,(1/$B$6)*D28*IF(($B$5+2*C28*SQRT(1+$B$7^2))&lt;=0,0,((D28/($B$5+2*C28*SQRT(1+$B$7^2)))^(2/3)))*SQRT($B$8)))</f>
        <v/>
      </c>
      <c r="J28" s="9">
        <f>H28+I28</f>
        <v/>
      </c>
      <c r="K28" s="20">
        <f>IF(Parametres!$C$96&lt;=0,0,H28/Parametres!$C$96)</f>
        <v/>
      </c>
      <c r="L28" s="20">
        <f>IF(OR(C28&lt;0.05,D28&lt;0.05),"",I28/D28)</f>
        <v/>
      </c>
    </row>
    <row r="29">
      <c r="A29" s="29" t="n">
        <v>36.48</v>
      </c>
      <c r="B29" s="29">
        <f>A29-$B$10</f>
        <v/>
      </c>
      <c r="C29" s="29">
        <f>MAX(0,A29-$B$4)</f>
        <v/>
      </c>
      <c r="D29" s="19">
        <f>IF(C29&lt;=0,0,($B$5+$B$7*C29)*C29)</f>
        <v/>
      </c>
      <c r="E29" s="21">
        <f>IF($B$11=1,D29*$B$9,0)</f>
        <v/>
      </c>
      <c r="F29" s="21">
        <f>IF(A29&lt;=INDEX(Stage_Storage!$A$11:$A$18,1),INDEX(Stage_Storage!$E$11:$E$18,1),IF(A29&gt;=INDEX(Stage_Storage!$A$11:$A$18,ROWS(Stage_Storage!$A$11:$A$18)),INDEX(Stage_Storage!$E$11:$E$18,ROWS(Stage_Storage!$E$11:$E$18)),INDEX(Stage_Storage!$E$11:$E$18,MATCH(A29,Stage_Storage!$A$11:$A$18,1))+(A29-INDEX(Stage_Storage!$A$11:$A$18,MATCH(A29,Stage_Storage!$A$11:$A$18,1)))/(INDEX(Stage_Storage!$A$11:$A$18,MATCH(A29,Stage_Storage!$A$11:$A$18,1)+1)-INDEX(Stage_Storage!$A$11:$A$18,MATCH(A29,Stage_Storage!$A$11:$A$18,1)))*(INDEX(Stage_Storage!$E$11:$E$18,MATCH(A29,Stage_Storage!$A$11:$A$18,1)+1)-INDEX(Stage_Storage!$E$11:$E$18,MATCH(A29,Stage_Storage!$A$11:$A$18,1)))))</f>
        <v/>
      </c>
      <c r="G29" s="26">
        <f>F29+E29</f>
        <v/>
      </c>
      <c r="H29" s="19">
        <f>IF(B29&lt;=0,0,IF(B29&gt;=INDEX(Courbe_QH_1200!$A$20:$A$80,ROWS(Courbe_QH_1200!$A$20:$A$80)),INDEX(Courbe_QH_1200!$E$20:$E$80,ROWS(Courbe_QH_1200!$E$20:$E$80)),INDEX(Courbe_QH_1200!$E$20:$E$80,MATCH(B29,Courbe_QH_1200!$A$20:$A$80,1))+(B29-INDEX(Courbe_QH_1200!$A$20:$A$80,MATCH(B29,Courbe_QH_1200!$A$20:$A$80,1)))/(INDEX(Courbe_QH_1200!$A$20:$A$80,MATCH(B29,Courbe_QH_1200!$A$20:$A$80,1)+1)-INDEX(Courbe_QH_1200!$A$20:$A$80,MATCH(B29,Courbe_QH_1200!$A$20:$A$80,1)))*(INDEX(Courbe_QH_1200!$E$20:$E$80,MATCH(B29,Courbe_QH_1200!$A$20:$A$80,1)+1)-INDEX(Courbe_QH_1200!$E$20:$E$80,MATCH(B29,Courbe_QH_1200!$A$20:$A$80,1)))))</f>
        <v/>
      </c>
      <c r="I29" s="19">
        <f>IF(C29&lt;=0,0,IF($B$6&lt;=0,0,(1/$B$6)*D29*IF(($B$5+2*C29*SQRT(1+$B$7^2))&lt;=0,0,((D29/($B$5+2*C29*SQRT(1+$B$7^2)))^(2/3)))*SQRT($B$8)))</f>
        <v/>
      </c>
      <c r="J29" s="9">
        <f>H29+I29</f>
        <v/>
      </c>
      <c r="K29" s="20">
        <f>IF(Parametres!$C$96&lt;=0,0,H29/Parametres!$C$96)</f>
        <v/>
      </c>
      <c r="L29" s="20">
        <f>IF(OR(C29&lt;0.05,D29&lt;0.05),"",I29/D29)</f>
        <v/>
      </c>
    </row>
    <row r="30">
      <c r="A30" s="29" t="n">
        <v>36.58</v>
      </c>
      <c r="B30" s="29">
        <f>A30-$B$10</f>
        <v/>
      </c>
      <c r="C30" s="29">
        <f>MAX(0,A30-$B$4)</f>
        <v/>
      </c>
      <c r="D30" s="19">
        <f>IF(C30&lt;=0,0,($B$5+$B$7*C30)*C30)</f>
        <v/>
      </c>
      <c r="E30" s="21">
        <f>IF($B$11=1,D30*$B$9,0)</f>
        <v/>
      </c>
      <c r="F30" s="21">
        <f>IF(A30&lt;=INDEX(Stage_Storage!$A$11:$A$18,1),INDEX(Stage_Storage!$E$11:$E$18,1),IF(A30&gt;=INDEX(Stage_Storage!$A$11:$A$18,ROWS(Stage_Storage!$A$11:$A$18)),INDEX(Stage_Storage!$E$11:$E$18,ROWS(Stage_Storage!$E$11:$E$18)),INDEX(Stage_Storage!$E$11:$E$18,MATCH(A30,Stage_Storage!$A$11:$A$18,1))+(A30-INDEX(Stage_Storage!$A$11:$A$18,MATCH(A30,Stage_Storage!$A$11:$A$18,1)))/(INDEX(Stage_Storage!$A$11:$A$18,MATCH(A30,Stage_Storage!$A$11:$A$18,1)+1)-INDEX(Stage_Storage!$A$11:$A$18,MATCH(A30,Stage_Storage!$A$11:$A$18,1)))*(INDEX(Stage_Storage!$E$11:$E$18,MATCH(A30,Stage_Storage!$A$11:$A$18,1)+1)-INDEX(Stage_Storage!$E$11:$E$18,MATCH(A30,Stage_Storage!$A$11:$A$18,1)))))</f>
        <v/>
      </c>
      <c r="G30" s="26">
        <f>F30+E30</f>
        <v/>
      </c>
      <c r="H30" s="19">
        <f>IF(B30&lt;=0,0,IF(B30&gt;=INDEX(Courbe_QH_1200!$A$20:$A$80,ROWS(Courbe_QH_1200!$A$20:$A$80)),INDEX(Courbe_QH_1200!$E$20:$E$80,ROWS(Courbe_QH_1200!$E$20:$E$80)),INDEX(Courbe_QH_1200!$E$20:$E$80,MATCH(B30,Courbe_QH_1200!$A$20:$A$80,1))+(B30-INDEX(Courbe_QH_1200!$A$20:$A$80,MATCH(B30,Courbe_QH_1200!$A$20:$A$80,1)))/(INDEX(Courbe_QH_1200!$A$20:$A$80,MATCH(B30,Courbe_QH_1200!$A$20:$A$80,1)+1)-INDEX(Courbe_QH_1200!$A$20:$A$80,MATCH(B30,Courbe_QH_1200!$A$20:$A$80,1)))*(INDEX(Courbe_QH_1200!$E$20:$E$80,MATCH(B30,Courbe_QH_1200!$A$20:$A$80,1)+1)-INDEX(Courbe_QH_1200!$E$20:$E$80,MATCH(B30,Courbe_QH_1200!$A$20:$A$80,1)))))</f>
        <v/>
      </c>
      <c r="I30" s="19">
        <f>IF(C30&lt;=0,0,IF($B$6&lt;=0,0,(1/$B$6)*D30*IF(($B$5+2*C30*SQRT(1+$B$7^2))&lt;=0,0,((D30/($B$5+2*C30*SQRT(1+$B$7^2)))^(2/3)))*SQRT($B$8)))</f>
        <v/>
      </c>
      <c r="J30" s="9">
        <f>H30+I30</f>
        <v/>
      </c>
      <c r="K30" s="20">
        <f>IF(Parametres!$C$96&lt;=0,0,H30/Parametres!$C$96)</f>
        <v/>
      </c>
      <c r="L30" s="20">
        <f>IF(OR(C30&lt;0.05,D30&lt;0.05),"",I30/D30)</f>
        <v/>
      </c>
    </row>
    <row r="31">
      <c r="A31" s="29" t="n">
        <v>36.68</v>
      </c>
      <c r="B31" s="29">
        <f>A31-$B$10</f>
        <v/>
      </c>
      <c r="C31" s="29">
        <f>MAX(0,A31-$B$4)</f>
        <v/>
      </c>
      <c r="D31" s="19">
        <f>IF(C31&lt;=0,0,($B$5+$B$7*C31)*C31)</f>
        <v/>
      </c>
      <c r="E31" s="21">
        <f>IF($B$11=1,D31*$B$9,0)</f>
        <v/>
      </c>
      <c r="F31" s="21">
        <f>IF(A31&lt;=INDEX(Stage_Storage!$A$11:$A$18,1),INDEX(Stage_Storage!$E$11:$E$18,1),IF(A31&gt;=INDEX(Stage_Storage!$A$11:$A$18,ROWS(Stage_Storage!$A$11:$A$18)),INDEX(Stage_Storage!$E$11:$E$18,ROWS(Stage_Storage!$E$11:$E$18)),INDEX(Stage_Storage!$E$11:$E$18,MATCH(A31,Stage_Storage!$A$11:$A$18,1))+(A31-INDEX(Stage_Storage!$A$11:$A$18,MATCH(A31,Stage_Storage!$A$11:$A$18,1)))/(INDEX(Stage_Storage!$A$11:$A$18,MATCH(A31,Stage_Storage!$A$11:$A$18,1)+1)-INDEX(Stage_Storage!$A$11:$A$18,MATCH(A31,Stage_Storage!$A$11:$A$18,1)))*(INDEX(Stage_Storage!$E$11:$E$18,MATCH(A31,Stage_Storage!$A$11:$A$18,1)+1)-INDEX(Stage_Storage!$E$11:$E$18,MATCH(A31,Stage_Storage!$A$11:$A$18,1)))))</f>
        <v/>
      </c>
      <c r="G31" s="26">
        <f>F31+E31</f>
        <v/>
      </c>
      <c r="H31" s="19">
        <f>IF(B31&lt;=0,0,IF(B31&gt;=INDEX(Courbe_QH_1200!$A$20:$A$80,ROWS(Courbe_QH_1200!$A$20:$A$80)),INDEX(Courbe_QH_1200!$E$20:$E$80,ROWS(Courbe_QH_1200!$E$20:$E$80)),INDEX(Courbe_QH_1200!$E$20:$E$80,MATCH(B31,Courbe_QH_1200!$A$20:$A$80,1))+(B31-INDEX(Courbe_QH_1200!$A$20:$A$80,MATCH(B31,Courbe_QH_1200!$A$20:$A$80,1)))/(INDEX(Courbe_QH_1200!$A$20:$A$80,MATCH(B31,Courbe_QH_1200!$A$20:$A$80,1)+1)-INDEX(Courbe_QH_1200!$A$20:$A$80,MATCH(B31,Courbe_QH_1200!$A$20:$A$80,1)))*(INDEX(Courbe_QH_1200!$E$20:$E$80,MATCH(B31,Courbe_QH_1200!$A$20:$A$80,1)+1)-INDEX(Courbe_QH_1200!$E$20:$E$80,MATCH(B31,Courbe_QH_1200!$A$20:$A$80,1)))))</f>
        <v/>
      </c>
      <c r="I31" s="19">
        <f>IF(C31&lt;=0,0,IF($B$6&lt;=0,0,(1/$B$6)*D31*IF(($B$5+2*C31*SQRT(1+$B$7^2))&lt;=0,0,((D31/($B$5+2*C31*SQRT(1+$B$7^2)))^(2/3)))*SQRT($B$8)))</f>
        <v/>
      </c>
      <c r="J31" s="9">
        <f>H31+I31</f>
        <v/>
      </c>
      <c r="K31" s="20">
        <f>IF(Parametres!$C$96&lt;=0,0,H31/Parametres!$C$96)</f>
        <v/>
      </c>
      <c r="L31" s="20">
        <f>IF(OR(C31&lt;0.05,D31&lt;0.05),"",I31/D31)</f>
        <v/>
      </c>
    </row>
    <row r="32">
      <c r="A32" s="29" t="n">
        <v>36.78</v>
      </c>
      <c r="B32" s="29">
        <f>A32-$B$10</f>
        <v/>
      </c>
      <c r="C32" s="29">
        <f>MAX(0,A32-$B$4)</f>
        <v/>
      </c>
      <c r="D32" s="19">
        <f>IF(C32&lt;=0,0,($B$5+$B$7*C32)*C32)</f>
        <v/>
      </c>
      <c r="E32" s="21">
        <f>IF($B$11=1,D32*$B$9,0)</f>
        <v/>
      </c>
      <c r="F32" s="21">
        <f>IF(A32&lt;=INDEX(Stage_Storage!$A$11:$A$18,1),INDEX(Stage_Storage!$E$11:$E$18,1),IF(A32&gt;=INDEX(Stage_Storage!$A$11:$A$18,ROWS(Stage_Storage!$A$11:$A$18)),INDEX(Stage_Storage!$E$11:$E$18,ROWS(Stage_Storage!$E$11:$E$18)),INDEX(Stage_Storage!$E$11:$E$18,MATCH(A32,Stage_Storage!$A$11:$A$18,1))+(A32-INDEX(Stage_Storage!$A$11:$A$18,MATCH(A32,Stage_Storage!$A$11:$A$18,1)))/(INDEX(Stage_Storage!$A$11:$A$18,MATCH(A32,Stage_Storage!$A$11:$A$18,1)+1)-INDEX(Stage_Storage!$A$11:$A$18,MATCH(A32,Stage_Storage!$A$11:$A$18,1)))*(INDEX(Stage_Storage!$E$11:$E$18,MATCH(A32,Stage_Storage!$A$11:$A$18,1)+1)-INDEX(Stage_Storage!$E$11:$E$18,MATCH(A32,Stage_Storage!$A$11:$A$18,1)))))</f>
        <v/>
      </c>
      <c r="G32" s="26">
        <f>F32+E32</f>
        <v/>
      </c>
      <c r="H32" s="19">
        <f>IF(B32&lt;=0,0,IF(B32&gt;=INDEX(Courbe_QH_1200!$A$20:$A$80,ROWS(Courbe_QH_1200!$A$20:$A$80)),INDEX(Courbe_QH_1200!$E$20:$E$80,ROWS(Courbe_QH_1200!$E$20:$E$80)),INDEX(Courbe_QH_1200!$E$20:$E$80,MATCH(B32,Courbe_QH_1200!$A$20:$A$80,1))+(B32-INDEX(Courbe_QH_1200!$A$20:$A$80,MATCH(B32,Courbe_QH_1200!$A$20:$A$80,1)))/(INDEX(Courbe_QH_1200!$A$20:$A$80,MATCH(B32,Courbe_QH_1200!$A$20:$A$80,1)+1)-INDEX(Courbe_QH_1200!$A$20:$A$80,MATCH(B32,Courbe_QH_1200!$A$20:$A$80,1)))*(INDEX(Courbe_QH_1200!$E$20:$E$80,MATCH(B32,Courbe_QH_1200!$A$20:$A$80,1)+1)-INDEX(Courbe_QH_1200!$E$20:$E$80,MATCH(B32,Courbe_QH_1200!$A$20:$A$80,1)))))</f>
        <v/>
      </c>
      <c r="I32" s="19">
        <f>IF(C32&lt;=0,0,IF($B$6&lt;=0,0,(1/$B$6)*D32*IF(($B$5+2*C32*SQRT(1+$B$7^2))&lt;=0,0,((D32/($B$5+2*C32*SQRT(1+$B$7^2)))^(2/3)))*SQRT($B$8)))</f>
        <v/>
      </c>
      <c r="J32" s="9">
        <f>H32+I32</f>
        <v/>
      </c>
      <c r="K32" s="20">
        <f>IF(Parametres!$C$96&lt;=0,0,H32/Parametres!$C$96)</f>
        <v/>
      </c>
      <c r="L32" s="20">
        <f>IF(OR(C32&lt;0.05,D32&lt;0.05),"",I32/D32)</f>
        <v/>
      </c>
    </row>
    <row r="33">
      <c r="A33" s="29" t="n">
        <v>36.88</v>
      </c>
      <c r="B33" s="29">
        <f>A33-$B$10</f>
        <v/>
      </c>
      <c r="C33" s="29">
        <f>MAX(0,A33-$B$4)</f>
        <v/>
      </c>
      <c r="D33" s="19">
        <f>IF(C33&lt;=0,0,($B$5+$B$7*C33)*C33)</f>
        <v/>
      </c>
      <c r="E33" s="21">
        <f>IF($B$11=1,D33*$B$9,0)</f>
        <v/>
      </c>
      <c r="F33" s="21">
        <f>IF(A33&lt;=INDEX(Stage_Storage!$A$11:$A$18,1),INDEX(Stage_Storage!$E$11:$E$18,1),IF(A33&gt;=INDEX(Stage_Storage!$A$11:$A$18,ROWS(Stage_Storage!$A$11:$A$18)),INDEX(Stage_Storage!$E$11:$E$18,ROWS(Stage_Storage!$E$11:$E$18)),INDEX(Stage_Storage!$E$11:$E$18,MATCH(A33,Stage_Storage!$A$11:$A$18,1))+(A33-INDEX(Stage_Storage!$A$11:$A$18,MATCH(A33,Stage_Storage!$A$11:$A$18,1)))/(INDEX(Stage_Storage!$A$11:$A$18,MATCH(A33,Stage_Storage!$A$11:$A$18,1)+1)-INDEX(Stage_Storage!$A$11:$A$18,MATCH(A33,Stage_Storage!$A$11:$A$18,1)))*(INDEX(Stage_Storage!$E$11:$E$18,MATCH(A33,Stage_Storage!$A$11:$A$18,1)+1)-INDEX(Stage_Storage!$E$11:$E$18,MATCH(A33,Stage_Storage!$A$11:$A$18,1)))))</f>
        <v/>
      </c>
      <c r="G33" s="26">
        <f>F33+E33</f>
        <v/>
      </c>
      <c r="H33" s="19">
        <f>IF(B33&lt;=0,0,IF(B33&gt;=INDEX(Courbe_QH_1200!$A$20:$A$80,ROWS(Courbe_QH_1200!$A$20:$A$80)),INDEX(Courbe_QH_1200!$E$20:$E$80,ROWS(Courbe_QH_1200!$E$20:$E$80)),INDEX(Courbe_QH_1200!$E$20:$E$80,MATCH(B33,Courbe_QH_1200!$A$20:$A$80,1))+(B33-INDEX(Courbe_QH_1200!$A$20:$A$80,MATCH(B33,Courbe_QH_1200!$A$20:$A$80,1)))/(INDEX(Courbe_QH_1200!$A$20:$A$80,MATCH(B33,Courbe_QH_1200!$A$20:$A$80,1)+1)-INDEX(Courbe_QH_1200!$A$20:$A$80,MATCH(B33,Courbe_QH_1200!$A$20:$A$80,1)))*(INDEX(Courbe_QH_1200!$E$20:$E$80,MATCH(B33,Courbe_QH_1200!$A$20:$A$80,1)+1)-INDEX(Courbe_QH_1200!$E$20:$E$80,MATCH(B33,Courbe_QH_1200!$A$20:$A$80,1)))))</f>
        <v/>
      </c>
      <c r="I33" s="19">
        <f>IF(C33&lt;=0,0,IF($B$6&lt;=0,0,(1/$B$6)*D33*IF(($B$5+2*C33*SQRT(1+$B$7^2))&lt;=0,0,((D33/($B$5+2*C33*SQRT(1+$B$7^2)))^(2/3)))*SQRT($B$8)))</f>
        <v/>
      </c>
      <c r="J33" s="9">
        <f>H33+I33</f>
        <v/>
      </c>
      <c r="K33" s="20">
        <f>IF(Parametres!$C$96&lt;=0,0,H33/Parametres!$C$96)</f>
        <v/>
      </c>
      <c r="L33" s="20">
        <f>IF(OR(C33&lt;0.05,D33&lt;0.05),"",I33/D33)</f>
        <v/>
      </c>
    </row>
    <row r="34">
      <c r="A34" s="29" t="n">
        <v>36.98</v>
      </c>
      <c r="B34" s="29">
        <f>A34-$B$10</f>
        <v/>
      </c>
      <c r="C34" s="29">
        <f>MAX(0,A34-$B$4)</f>
        <v/>
      </c>
      <c r="D34" s="19">
        <f>IF(C34&lt;=0,0,($B$5+$B$7*C34)*C34)</f>
        <v/>
      </c>
      <c r="E34" s="21">
        <f>IF($B$11=1,D34*$B$9,0)</f>
        <v/>
      </c>
      <c r="F34" s="21">
        <f>IF(A34&lt;=INDEX(Stage_Storage!$A$11:$A$18,1),INDEX(Stage_Storage!$E$11:$E$18,1),IF(A34&gt;=INDEX(Stage_Storage!$A$11:$A$18,ROWS(Stage_Storage!$A$11:$A$18)),INDEX(Stage_Storage!$E$11:$E$18,ROWS(Stage_Storage!$E$11:$E$18)),INDEX(Stage_Storage!$E$11:$E$18,MATCH(A34,Stage_Storage!$A$11:$A$18,1))+(A34-INDEX(Stage_Storage!$A$11:$A$18,MATCH(A34,Stage_Storage!$A$11:$A$18,1)))/(INDEX(Stage_Storage!$A$11:$A$18,MATCH(A34,Stage_Storage!$A$11:$A$18,1)+1)-INDEX(Stage_Storage!$A$11:$A$18,MATCH(A34,Stage_Storage!$A$11:$A$18,1)))*(INDEX(Stage_Storage!$E$11:$E$18,MATCH(A34,Stage_Storage!$A$11:$A$18,1)+1)-INDEX(Stage_Storage!$E$11:$E$18,MATCH(A34,Stage_Storage!$A$11:$A$18,1)))))</f>
        <v/>
      </c>
      <c r="G34" s="26">
        <f>F34+E34</f>
        <v/>
      </c>
      <c r="H34" s="19">
        <f>IF(B34&lt;=0,0,IF(B34&gt;=INDEX(Courbe_QH_1200!$A$20:$A$80,ROWS(Courbe_QH_1200!$A$20:$A$80)),INDEX(Courbe_QH_1200!$E$20:$E$80,ROWS(Courbe_QH_1200!$E$20:$E$80)),INDEX(Courbe_QH_1200!$E$20:$E$80,MATCH(B34,Courbe_QH_1200!$A$20:$A$80,1))+(B34-INDEX(Courbe_QH_1200!$A$20:$A$80,MATCH(B34,Courbe_QH_1200!$A$20:$A$80,1)))/(INDEX(Courbe_QH_1200!$A$20:$A$80,MATCH(B34,Courbe_QH_1200!$A$20:$A$80,1)+1)-INDEX(Courbe_QH_1200!$A$20:$A$80,MATCH(B34,Courbe_QH_1200!$A$20:$A$80,1)))*(INDEX(Courbe_QH_1200!$E$20:$E$80,MATCH(B34,Courbe_QH_1200!$A$20:$A$80,1)+1)-INDEX(Courbe_QH_1200!$E$20:$E$80,MATCH(B34,Courbe_QH_1200!$A$20:$A$80,1)))))</f>
        <v/>
      </c>
      <c r="I34" s="19">
        <f>IF(C34&lt;=0,0,IF($B$6&lt;=0,0,(1/$B$6)*D34*IF(($B$5+2*C34*SQRT(1+$B$7^2))&lt;=0,0,((D34/($B$5+2*C34*SQRT(1+$B$7^2)))^(2/3)))*SQRT($B$8)))</f>
        <v/>
      </c>
      <c r="J34" s="9">
        <f>H34+I34</f>
        <v/>
      </c>
      <c r="K34" s="20">
        <f>IF(Parametres!$C$96&lt;=0,0,H34/Parametres!$C$96)</f>
        <v/>
      </c>
      <c r="L34" s="20">
        <f>IF(OR(C34&lt;0.05,D34&lt;0.05),"",I34/D34)</f>
        <v/>
      </c>
    </row>
    <row r="35">
      <c r="A35" s="29" t="n">
        <v>37.08</v>
      </c>
      <c r="B35" s="29">
        <f>A35-$B$10</f>
        <v/>
      </c>
      <c r="C35" s="29">
        <f>MAX(0,A35-$B$4)</f>
        <v/>
      </c>
      <c r="D35" s="19">
        <f>IF(C35&lt;=0,0,($B$5+$B$7*C35)*C35)</f>
        <v/>
      </c>
      <c r="E35" s="21">
        <f>IF($B$11=1,D35*$B$9,0)</f>
        <v/>
      </c>
      <c r="F35" s="21">
        <f>IF(A35&lt;=INDEX(Stage_Storage!$A$11:$A$18,1),INDEX(Stage_Storage!$E$11:$E$18,1),IF(A35&gt;=INDEX(Stage_Storage!$A$11:$A$18,ROWS(Stage_Storage!$A$11:$A$18)),INDEX(Stage_Storage!$E$11:$E$18,ROWS(Stage_Storage!$E$11:$E$18)),INDEX(Stage_Storage!$E$11:$E$18,MATCH(A35,Stage_Storage!$A$11:$A$18,1))+(A35-INDEX(Stage_Storage!$A$11:$A$18,MATCH(A35,Stage_Storage!$A$11:$A$18,1)))/(INDEX(Stage_Storage!$A$11:$A$18,MATCH(A35,Stage_Storage!$A$11:$A$18,1)+1)-INDEX(Stage_Storage!$A$11:$A$18,MATCH(A35,Stage_Storage!$A$11:$A$18,1)))*(INDEX(Stage_Storage!$E$11:$E$18,MATCH(A35,Stage_Storage!$A$11:$A$18,1)+1)-INDEX(Stage_Storage!$E$11:$E$18,MATCH(A35,Stage_Storage!$A$11:$A$18,1)))))</f>
        <v/>
      </c>
      <c r="G35" s="26">
        <f>F35+E35</f>
        <v/>
      </c>
      <c r="H35" s="19">
        <f>IF(B35&lt;=0,0,IF(B35&gt;=INDEX(Courbe_QH_1200!$A$20:$A$80,ROWS(Courbe_QH_1200!$A$20:$A$80)),INDEX(Courbe_QH_1200!$E$20:$E$80,ROWS(Courbe_QH_1200!$E$20:$E$80)),INDEX(Courbe_QH_1200!$E$20:$E$80,MATCH(B35,Courbe_QH_1200!$A$20:$A$80,1))+(B35-INDEX(Courbe_QH_1200!$A$20:$A$80,MATCH(B35,Courbe_QH_1200!$A$20:$A$80,1)))/(INDEX(Courbe_QH_1200!$A$20:$A$80,MATCH(B35,Courbe_QH_1200!$A$20:$A$80,1)+1)-INDEX(Courbe_QH_1200!$A$20:$A$80,MATCH(B35,Courbe_QH_1200!$A$20:$A$80,1)))*(INDEX(Courbe_QH_1200!$E$20:$E$80,MATCH(B35,Courbe_QH_1200!$A$20:$A$80,1)+1)-INDEX(Courbe_QH_1200!$E$20:$E$80,MATCH(B35,Courbe_QH_1200!$A$20:$A$80,1)))))</f>
        <v/>
      </c>
      <c r="I35" s="19">
        <f>IF(C35&lt;=0,0,IF($B$6&lt;=0,0,(1/$B$6)*D35*IF(($B$5+2*C35*SQRT(1+$B$7^2))&lt;=0,0,((D35/($B$5+2*C35*SQRT(1+$B$7^2)))^(2/3)))*SQRT($B$8)))</f>
        <v/>
      </c>
      <c r="J35" s="9">
        <f>H35+I35</f>
        <v/>
      </c>
      <c r="K35" s="20">
        <f>IF(Parametres!$C$96&lt;=0,0,H35/Parametres!$C$96)</f>
        <v/>
      </c>
      <c r="L35" s="20">
        <f>IF(OR(C35&lt;0.05,D35&lt;0.05),"",I35/D35)</f>
        <v/>
      </c>
    </row>
    <row r="36">
      <c r="A36" s="29" t="n">
        <v>37.18</v>
      </c>
      <c r="B36" s="29">
        <f>A36-$B$10</f>
        <v/>
      </c>
      <c r="C36" s="29">
        <f>MAX(0,A36-$B$4)</f>
        <v/>
      </c>
      <c r="D36" s="19">
        <f>IF(C36&lt;=0,0,($B$5+$B$7*C36)*C36)</f>
        <v/>
      </c>
      <c r="E36" s="21">
        <f>IF($B$11=1,D36*$B$9,0)</f>
        <v/>
      </c>
      <c r="F36" s="21">
        <f>IF(A36&lt;=INDEX(Stage_Storage!$A$11:$A$18,1),INDEX(Stage_Storage!$E$11:$E$18,1),IF(A36&gt;=INDEX(Stage_Storage!$A$11:$A$18,ROWS(Stage_Storage!$A$11:$A$18)),INDEX(Stage_Storage!$E$11:$E$18,ROWS(Stage_Storage!$E$11:$E$18)),INDEX(Stage_Storage!$E$11:$E$18,MATCH(A36,Stage_Storage!$A$11:$A$18,1))+(A36-INDEX(Stage_Storage!$A$11:$A$18,MATCH(A36,Stage_Storage!$A$11:$A$18,1)))/(INDEX(Stage_Storage!$A$11:$A$18,MATCH(A36,Stage_Storage!$A$11:$A$18,1)+1)-INDEX(Stage_Storage!$A$11:$A$18,MATCH(A36,Stage_Storage!$A$11:$A$18,1)))*(INDEX(Stage_Storage!$E$11:$E$18,MATCH(A36,Stage_Storage!$A$11:$A$18,1)+1)-INDEX(Stage_Storage!$E$11:$E$18,MATCH(A36,Stage_Storage!$A$11:$A$18,1)))))</f>
        <v/>
      </c>
      <c r="G36" s="26">
        <f>F36+E36</f>
        <v/>
      </c>
      <c r="H36" s="19">
        <f>IF(B36&lt;=0,0,IF(B36&gt;=INDEX(Courbe_QH_1200!$A$20:$A$80,ROWS(Courbe_QH_1200!$A$20:$A$80)),INDEX(Courbe_QH_1200!$E$20:$E$80,ROWS(Courbe_QH_1200!$E$20:$E$80)),INDEX(Courbe_QH_1200!$E$20:$E$80,MATCH(B36,Courbe_QH_1200!$A$20:$A$80,1))+(B36-INDEX(Courbe_QH_1200!$A$20:$A$80,MATCH(B36,Courbe_QH_1200!$A$20:$A$80,1)))/(INDEX(Courbe_QH_1200!$A$20:$A$80,MATCH(B36,Courbe_QH_1200!$A$20:$A$80,1)+1)-INDEX(Courbe_QH_1200!$A$20:$A$80,MATCH(B36,Courbe_QH_1200!$A$20:$A$80,1)))*(INDEX(Courbe_QH_1200!$E$20:$E$80,MATCH(B36,Courbe_QH_1200!$A$20:$A$80,1)+1)-INDEX(Courbe_QH_1200!$E$20:$E$80,MATCH(B36,Courbe_QH_1200!$A$20:$A$80,1)))))</f>
        <v/>
      </c>
      <c r="I36" s="19">
        <f>IF(C36&lt;=0,0,IF($B$6&lt;=0,0,(1/$B$6)*D36*IF(($B$5+2*C36*SQRT(1+$B$7^2))&lt;=0,0,((D36/($B$5+2*C36*SQRT(1+$B$7^2)))^(2/3)))*SQRT($B$8)))</f>
        <v/>
      </c>
      <c r="J36" s="9">
        <f>H36+I36</f>
        <v/>
      </c>
      <c r="K36" s="20">
        <f>IF(Parametres!$C$96&lt;=0,0,H36/Parametres!$C$96)</f>
        <v/>
      </c>
      <c r="L36" s="20">
        <f>IF(OR(C36&lt;0.05,D36&lt;0.05),"",I36/D36)</f>
        <v/>
      </c>
    </row>
    <row r="37">
      <c r="A37" s="29" t="n">
        <v>37.28</v>
      </c>
      <c r="B37" s="29">
        <f>A37-$B$10</f>
        <v/>
      </c>
      <c r="C37" s="29">
        <f>MAX(0,A37-$B$4)</f>
        <v/>
      </c>
      <c r="D37" s="19">
        <f>IF(C37&lt;=0,0,($B$5+$B$7*C37)*C37)</f>
        <v/>
      </c>
      <c r="E37" s="21">
        <f>IF($B$11=1,D37*$B$9,0)</f>
        <v/>
      </c>
      <c r="F37" s="21">
        <f>IF(A37&lt;=INDEX(Stage_Storage!$A$11:$A$18,1),INDEX(Stage_Storage!$E$11:$E$18,1),IF(A37&gt;=INDEX(Stage_Storage!$A$11:$A$18,ROWS(Stage_Storage!$A$11:$A$18)),INDEX(Stage_Storage!$E$11:$E$18,ROWS(Stage_Storage!$E$11:$E$18)),INDEX(Stage_Storage!$E$11:$E$18,MATCH(A37,Stage_Storage!$A$11:$A$18,1))+(A37-INDEX(Stage_Storage!$A$11:$A$18,MATCH(A37,Stage_Storage!$A$11:$A$18,1)))/(INDEX(Stage_Storage!$A$11:$A$18,MATCH(A37,Stage_Storage!$A$11:$A$18,1)+1)-INDEX(Stage_Storage!$A$11:$A$18,MATCH(A37,Stage_Storage!$A$11:$A$18,1)))*(INDEX(Stage_Storage!$E$11:$E$18,MATCH(A37,Stage_Storage!$A$11:$A$18,1)+1)-INDEX(Stage_Storage!$E$11:$E$18,MATCH(A37,Stage_Storage!$A$11:$A$18,1)))))</f>
        <v/>
      </c>
      <c r="G37" s="26">
        <f>F37+E37</f>
        <v/>
      </c>
      <c r="H37" s="19">
        <f>IF(B37&lt;=0,0,IF(B37&gt;=INDEX(Courbe_QH_1200!$A$20:$A$80,ROWS(Courbe_QH_1200!$A$20:$A$80)),INDEX(Courbe_QH_1200!$E$20:$E$80,ROWS(Courbe_QH_1200!$E$20:$E$80)),INDEX(Courbe_QH_1200!$E$20:$E$80,MATCH(B37,Courbe_QH_1200!$A$20:$A$80,1))+(B37-INDEX(Courbe_QH_1200!$A$20:$A$80,MATCH(B37,Courbe_QH_1200!$A$20:$A$80,1)))/(INDEX(Courbe_QH_1200!$A$20:$A$80,MATCH(B37,Courbe_QH_1200!$A$20:$A$80,1)+1)-INDEX(Courbe_QH_1200!$A$20:$A$80,MATCH(B37,Courbe_QH_1200!$A$20:$A$80,1)))*(INDEX(Courbe_QH_1200!$E$20:$E$80,MATCH(B37,Courbe_QH_1200!$A$20:$A$80,1)+1)-INDEX(Courbe_QH_1200!$E$20:$E$80,MATCH(B37,Courbe_QH_1200!$A$20:$A$80,1)))))</f>
        <v/>
      </c>
      <c r="I37" s="19">
        <f>IF(C37&lt;=0,0,IF($B$6&lt;=0,0,(1/$B$6)*D37*IF(($B$5+2*C37*SQRT(1+$B$7^2))&lt;=0,0,((D37/($B$5+2*C37*SQRT(1+$B$7^2)))^(2/3)))*SQRT($B$8)))</f>
        <v/>
      </c>
      <c r="J37" s="9">
        <f>H37+I37</f>
        <v/>
      </c>
      <c r="K37" s="20">
        <f>IF(Parametres!$C$96&lt;=0,0,H37/Parametres!$C$96)</f>
        <v/>
      </c>
      <c r="L37" s="20">
        <f>IF(OR(C37&lt;0.05,D37&lt;0.05),"",I37/D37)</f>
        <v/>
      </c>
    </row>
    <row r="38">
      <c r="A38" s="29" t="n">
        <v>37.38</v>
      </c>
      <c r="B38" s="29">
        <f>A38-$B$10</f>
        <v/>
      </c>
      <c r="C38" s="29">
        <f>MAX(0,A38-$B$4)</f>
        <v/>
      </c>
      <c r="D38" s="19">
        <f>IF(C38&lt;=0,0,($B$5+$B$7*C38)*C38)</f>
        <v/>
      </c>
      <c r="E38" s="21">
        <f>IF($B$11=1,D38*$B$9,0)</f>
        <v/>
      </c>
      <c r="F38" s="21">
        <f>IF(A38&lt;=INDEX(Stage_Storage!$A$11:$A$18,1),INDEX(Stage_Storage!$E$11:$E$18,1),IF(A38&gt;=INDEX(Stage_Storage!$A$11:$A$18,ROWS(Stage_Storage!$A$11:$A$18)),INDEX(Stage_Storage!$E$11:$E$18,ROWS(Stage_Storage!$E$11:$E$18)),INDEX(Stage_Storage!$E$11:$E$18,MATCH(A38,Stage_Storage!$A$11:$A$18,1))+(A38-INDEX(Stage_Storage!$A$11:$A$18,MATCH(A38,Stage_Storage!$A$11:$A$18,1)))/(INDEX(Stage_Storage!$A$11:$A$18,MATCH(A38,Stage_Storage!$A$11:$A$18,1)+1)-INDEX(Stage_Storage!$A$11:$A$18,MATCH(A38,Stage_Storage!$A$11:$A$18,1)))*(INDEX(Stage_Storage!$E$11:$E$18,MATCH(A38,Stage_Storage!$A$11:$A$18,1)+1)-INDEX(Stage_Storage!$E$11:$E$18,MATCH(A38,Stage_Storage!$A$11:$A$18,1)))))</f>
        <v/>
      </c>
      <c r="G38" s="26">
        <f>F38+E38</f>
        <v/>
      </c>
      <c r="H38" s="19">
        <f>IF(B38&lt;=0,0,IF(B38&gt;=INDEX(Courbe_QH_1200!$A$20:$A$80,ROWS(Courbe_QH_1200!$A$20:$A$80)),INDEX(Courbe_QH_1200!$E$20:$E$80,ROWS(Courbe_QH_1200!$E$20:$E$80)),INDEX(Courbe_QH_1200!$E$20:$E$80,MATCH(B38,Courbe_QH_1200!$A$20:$A$80,1))+(B38-INDEX(Courbe_QH_1200!$A$20:$A$80,MATCH(B38,Courbe_QH_1200!$A$20:$A$80,1)))/(INDEX(Courbe_QH_1200!$A$20:$A$80,MATCH(B38,Courbe_QH_1200!$A$20:$A$80,1)+1)-INDEX(Courbe_QH_1200!$A$20:$A$80,MATCH(B38,Courbe_QH_1200!$A$20:$A$80,1)))*(INDEX(Courbe_QH_1200!$E$20:$E$80,MATCH(B38,Courbe_QH_1200!$A$20:$A$80,1)+1)-INDEX(Courbe_QH_1200!$E$20:$E$80,MATCH(B38,Courbe_QH_1200!$A$20:$A$80,1)))))</f>
        <v/>
      </c>
      <c r="I38" s="19">
        <f>IF(C38&lt;=0,0,IF($B$6&lt;=0,0,(1/$B$6)*D38*IF(($B$5+2*C38*SQRT(1+$B$7^2))&lt;=0,0,((D38/($B$5+2*C38*SQRT(1+$B$7^2)))^(2/3)))*SQRT($B$8)))</f>
        <v/>
      </c>
      <c r="J38" s="9">
        <f>H38+I38</f>
        <v/>
      </c>
      <c r="K38" s="20">
        <f>IF(Parametres!$C$96&lt;=0,0,H38/Parametres!$C$96)</f>
        <v/>
      </c>
      <c r="L38" s="20">
        <f>IF(OR(C38&lt;0.05,D38&lt;0.05),"",I38/D38)</f>
        <v/>
      </c>
    </row>
    <row r="39">
      <c r="A39" s="29" t="n">
        <v>37.48</v>
      </c>
      <c r="B39" s="29">
        <f>A39-$B$10</f>
        <v/>
      </c>
      <c r="C39" s="29">
        <f>MAX(0,A39-$B$4)</f>
        <v/>
      </c>
      <c r="D39" s="19">
        <f>IF(C39&lt;=0,0,($B$5+$B$7*C39)*C39)</f>
        <v/>
      </c>
      <c r="E39" s="21">
        <f>IF($B$11=1,D39*$B$9,0)</f>
        <v/>
      </c>
      <c r="F39" s="21">
        <f>IF(A39&lt;=INDEX(Stage_Storage!$A$11:$A$18,1),INDEX(Stage_Storage!$E$11:$E$18,1),IF(A39&gt;=INDEX(Stage_Storage!$A$11:$A$18,ROWS(Stage_Storage!$A$11:$A$18)),INDEX(Stage_Storage!$E$11:$E$18,ROWS(Stage_Storage!$E$11:$E$18)),INDEX(Stage_Storage!$E$11:$E$18,MATCH(A39,Stage_Storage!$A$11:$A$18,1))+(A39-INDEX(Stage_Storage!$A$11:$A$18,MATCH(A39,Stage_Storage!$A$11:$A$18,1)))/(INDEX(Stage_Storage!$A$11:$A$18,MATCH(A39,Stage_Storage!$A$11:$A$18,1)+1)-INDEX(Stage_Storage!$A$11:$A$18,MATCH(A39,Stage_Storage!$A$11:$A$18,1)))*(INDEX(Stage_Storage!$E$11:$E$18,MATCH(A39,Stage_Storage!$A$11:$A$18,1)+1)-INDEX(Stage_Storage!$E$11:$E$18,MATCH(A39,Stage_Storage!$A$11:$A$18,1)))))</f>
        <v/>
      </c>
      <c r="G39" s="26">
        <f>F39+E39</f>
        <v/>
      </c>
      <c r="H39" s="19">
        <f>IF(B39&lt;=0,0,IF(B39&gt;=INDEX(Courbe_QH_1200!$A$20:$A$80,ROWS(Courbe_QH_1200!$A$20:$A$80)),INDEX(Courbe_QH_1200!$E$20:$E$80,ROWS(Courbe_QH_1200!$E$20:$E$80)),INDEX(Courbe_QH_1200!$E$20:$E$80,MATCH(B39,Courbe_QH_1200!$A$20:$A$80,1))+(B39-INDEX(Courbe_QH_1200!$A$20:$A$80,MATCH(B39,Courbe_QH_1200!$A$20:$A$80,1)))/(INDEX(Courbe_QH_1200!$A$20:$A$80,MATCH(B39,Courbe_QH_1200!$A$20:$A$80,1)+1)-INDEX(Courbe_QH_1200!$A$20:$A$80,MATCH(B39,Courbe_QH_1200!$A$20:$A$80,1)))*(INDEX(Courbe_QH_1200!$E$20:$E$80,MATCH(B39,Courbe_QH_1200!$A$20:$A$80,1)+1)-INDEX(Courbe_QH_1200!$E$20:$E$80,MATCH(B39,Courbe_QH_1200!$A$20:$A$80,1)))))</f>
        <v/>
      </c>
      <c r="I39" s="19">
        <f>IF(C39&lt;=0,0,IF($B$6&lt;=0,0,(1/$B$6)*D39*IF(($B$5+2*C39*SQRT(1+$B$7^2))&lt;=0,0,((D39/($B$5+2*C39*SQRT(1+$B$7^2)))^(2/3)))*SQRT($B$8)))</f>
        <v/>
      </c>
      <c r="J39" s="9">
        <f>H39+I39</f>
        <v/>
      </c>
      <c r="K39" s="20">
        <f>IF(Parametres!$C$96&lt;=0,0,H39/Parametres!$C$96)</f>
        <v/>
      </c>
      <c r="L39" s="20">
        <f>IF(OR(C39&lt;0.05,D39&lt;0.05),"",I39/D39)</f>
        <v/>
      </c>
    </row>
    <row r="40">
      <c r="A40" s="29" t="n">
        <v>37.58</v>
      </c>
      <c r="B40" s="29">
        <f>A40-$B$10</f>
        <v/>
      </c>
      <c r="C40" s="29">
        <f>MAX(0,A40-$B$4)</f>
        <v/>
      </c>
      <c r="D40" s="19">
        <f>IF(C40&lt;=0,0,($B$5+$B$7*C40)*C40)</f>
        <v/>
      </c>
      <c r="E40" s="21">
        <f>IF($B$11=1,D40*$B$9,0)</f>
        <v/>
      </c>
      <c r="F40" s="21">
        <f>IF(A40&lt;=INDEX(Stage_Storage!$A$11:$A$18,1),INDEX(Stage_Storage!$E$11:$E$18,1),IF(A40&gt;=INDEX(Stage_Storage!$A$11:$A$18,ROWS(Stage_Storage!$A$11:$A$18)),INDEX(Stage_Storage!$E$11:$E$18,ROWS(Stage_Storage!$E$11:$E$18)),INDEX(Stage_Storage!$E$11:$E$18,MATCH(A40,Stage_Storage!$A$11:$A$18,1))+(A40-INDEX(Stage_Storage!$A$11:$A$18,MATCH(A40,Stage_Storage!$A$11:$A$18,1)))/(INDEX(Stage_Storage!$A$11:$A$18,MATCH(A40,Stage_Storage!$A$11:$A$18,1)+1)-INDEX(Stage_Storage!$A$11:$A$18,MATCH(A40,Stage_Storage!$A$11:$A$18,1)))*(INDEX(Stage_Storage!$E$11:$E$18,MATCH(A40,Stage_Storage!$A$11:$A$18,1)+1)-INDEX(Stage_Storage!$E$11:$E$18,MATCH(A40,Stage_Storage!$A$11:$A$18,1)))))</f>
        <v/>
      </c>
      <c r="G40" s="26">
        <f>F40+E40</f>
        <v/>
      </c>
      <c r="H40" s="19">
        <f>IF(B40&lt;=0,0,IF(B40&gt;=INDEX(Courbe_QH_1200!$A$20:$A$80,ROWS(Courbe_QH_1200!$A$20:$A$80)),INDEX(Courbe_QH_1200!$E$20:$E$80,ROWS(Courbe_QH_1200!$E$20:$E$80)),INDEX(Courbe_QH_1200!$E$20:$E$80,MATCH(B40,Courbe_QH_1200!$A$20:$A$80,1))+(B40-INDEX(Courbe_QH_1200!$A$20:$A$80,MATCH(B40,Courbe_QH_1200!$A$20:$A$80,1)))/(INDEX(Courbe_QH_1200!$A$20:$A$80,MATCH(B40,Courbe_QH_1200!$A$20:$A$80,1)+1)-INDEX(Courbe_QH_1200!$A$20:$A$80,MATCH(B40,Courbe_QH_1200!$A$20:$A$80,1)))*(INDEX(Courbe_QH_1200!$E$20:$E$80,MATCH(B40,Courbe_QH_1200!$A$20:$A$80,1)+1)-INDEX(Courbe_QH_1200!$E$20:$E$80,MATCH(B40,Courbe_QH_1200!$A$20:$A$80,1)))))</f>
        <v/>
      </c>
      <c r="I40" s="19">
        <f>IF(C40&lt;=0,0,IF($B$6&lt;=0,0,(1/$B$6)*D40*IF(($B$5+2*C40*SQRT(1+$B$7^2))&lt;=0,0,((D40/($B$5+2*C40*SQRT(1+$B$7^2)))^(2/3)))*SQRT($B$8)))</f>
        <v/>
      </c>
      <c r="J40" s="9">
        <f>H40+I40</f>
        <v/>
      </c>
      <c r="K40" s="20">
        <f>IF(Parametres!$C$96&lt;=0,0,H40/Parametres!$C$96)</f>
        <v/>
      </c>
      <c r="L40" s="20">
        <f>IF(OR(C40&lt;0.05,D40&lt;0.05),"",I40/D40)</f>
        <v/>
      </c>
    </row>
    <row r="41">
      <c r="A41" s="29" t="n">
        <v>37.68</v>
      </c>
      <c r="B41" s="29">
        <f>A41-$B$10</f>
        <v/>
      </c>
      <c r="C41" s="29">
        <f>MAX(0,A41-$B$4)</f>
        <v/>
      </c>
      <c r="D41" s="19">
        <f>IF(C41&lt;=0,0,($B$5+$B$7*C41)*C41)</f>
        <v/>
      </c>
      <c r="E41" s="21">
        <f>IF($B$11=1,D41*$B$9,0)</f>
        <v/>
      </c>
      <c r="F41" s="21">
        <f>IF(A41&lt;=INDEX(Stage_Storage!$A$11:$A$18,1),INDEX(Stage_Storage!$E$11:$E$18,1),IF(A41&gt;=INDEX(Stage_Storage!$A$11:$A$18,ROWS(Stage_Storage!$A$11:$A$18)),INDEX(Stage_Storage!$E$11:$E$18,ROWS(Stage_Storage!$E$11:$E$18)),INDEX(Stage_Storage!$E$11:$E$18,MATCH(A41,Stage_Storage!$A$11:$A$18,1))+(A41-INDEX(Stage_Storage!$A$11:$A$18,MATCH(A41,Stage_Storage!$A$11:$A$18,1)))/(INDEX(Stage_Storage!$A$11:$A$18,MATCH(A41,Stage_Storage!$A$11:$A$18,1)+1)-INDEX(Stage_Storage!$A$11:$A$18,MATCH(A41,Stage_Storage!$A$11:$A$18,1)))*(INDEX(Stage_Storage!$E$11:$E$18,MATCH(A41,Stage_Storage!$A$11:$A$18,1)+1)-INDEX(Stage_Storage!$E$11:$E$18,MATCH(A41,Stage_Storage!$A$11:$A$18,1)))))</f>
        <v/>
      </c>
      <c r="G41" s="26">
        <f>F41+E41</f>
        <v/>
      </c>
      <c r="H41" s="19">
        <f>IF(B41&lt;=0,0,IF(B41&gt;=INDEX(Courbe_QH_1200!$A$20:$A$80,ROWS(Courbe_QH_1200!$A$20:$A$80)),INDEX(Courbe_QH_1200!$E$20:$E$80,ROWS(Courbe_QH_1200!$E$20:$E$80)),INDEX(Courbe_QH_1200!$E$20:$E$80,MATCH(B41,Courbe_QH_1200!$A$20:$A$80,1))+(B41-INDEX(Courbe_QH_1200!$A$20:$A$80,MATCH(B41,Courbe_QH_1200!$A$20:$A$80,1)))/(INDEX(Courbe_QH_1200!$A$20:$A$80,MATCH(B41,Courbe_QH_1200!$A$20:$A$80,1)+1)-INDEX(Courbe_QH_1200!$A$20:$A$80,MATCH(B41,Courbe_QH_1200!$A$20:$A$80,1)))*(INDEX(Courbe_QH_1200!$E$20:$E$80,MATCH(B41,Courbe_QH_1200!$A$20:$A$80,1)+1)-INDEX(Courbe_QH_1200!$E$20:$E$80,MATCH(B41,Courbe_QH_1200!$A$20:$A$80,1)))))</f>
        <v/>
      </c>
      <c r="I41" s="19">
        <f>IF(C41&lt;=0,0,IF($B$6&lt;=0,0,(1/$B$6)*D41*IF(($B$5+2*C41*SQRT(1+$B$7^2))&lt;=0,0,((D41/($B$5+2*C41*SQRT(1+$B$7^2)))^(2/3)))*SQRT($B$8)))</f>
        <v/>
      </c>
      <c r="J41" s="9">
        <f>H41+I41</f>
        <v/>
      </c>
      <c r="K41" s="20">
        <f>IF(Parametres!$C$96&lt;=0,0,H41/Parametres!$C$96)</f>
        <v/>
      </c>
      <c r="L41" s="20">
        <f>IF(OR(C41&lt;0.05,D41&lt;0.05),"",I41/D41)</f>
        <v/>
      </c>
    </row>
    <row r="42">
      <c r="A42" s="29" t="n">
        <v>37.78</v>
      </c>
      <c r="B42" s="29">
        <f>A42-$B$10</f>
        <v/>
      </c>
      <c r="C42" s="29">
        <f>MAX(0,A42-$B$4)</f>
        <v/>
      </c>
      <c r="D42" s="19">
        <f>IF(C42&lt;=0,0,($B$5+$B$7*C42)*C42)</f>
        <v/>
      </c>
      <c r="E42" s="21">
        <f>IF($B$11=1,D42*$B$9,0)</f>
        <v/>
      </c>
      <c r="F42" s="21">
        <f>IF(A42&lt;=INDEX(Stage_Storage!$A$11:$A$18,1),INDEX(Stage_Storage!$E$11:$E$18,1),IF(A42&gt;=INDEX(Stage_Storage!$A$11:$A$18,ROWS(Stage_Storage!$A$11:$A$18)),INDEX(Stage_Storage!$E$11:$E$18,ROWS(Stage_Storage!$E$11:$E$18)),INDEX(Stage_Storage!$E$11:$E$18,MATCH(A42,Stage_Storage!$A$11:$A$18,1))+(A42-INDEX(Stage_Storage!$A$11:$A$18,MATCH(A42,Stage_Storage!$A$11:$A$18,1)))/(INDEX(Stage_Storage!$A$11:$A$18,MATCH(A42,Stage_Storage!$A$11:$A$18,1)+1)-INDEX(Stage_Storage!$A$11:$A$18,MATCH(A42,Stage_Storage!$A$11:$A$18,1)))*(INDEX(Stage_Storage!$E$11:$E$18,MATCH(A42,Stage_Storage!$A$11:$A$18,1)+1)-INDEX(Stage_Storage!$E$11:$E$18,MATCH(A42,Stage_Storage!$A$11:$A$18,1)))))</f>
        <v/>
      </c>
      <c r="G42" s="26">
        <f>F42+E42</f>
        <v/>
      </c>
      <c r="H42" s="19">
        <f>IF(B42&lt;=0,0,IF(B42&gt;=INDEX(Courbe_QH_1200!$A$20:$A$80,ROWS(Courbe_QH_1200!$A$20:$A$80)),INDEX(Courbe_QH_1200!$E$20:$E$80,ROWS(Courbe_QH_1200!$E$20:$E$80)),INDEX(Courbe_QH_1200!$E$20:$E$80,MATCH(B42,Courbe_QH_1200!$A$20:$A$80,1))+(B42-INDEX(Courbe_QH_1200!$A$20:$A$80,MATCH(B42,Courbe_QH_1200!$A$20:$A$80,1)))/(INDEX(Courbe_QH_1200!$A$20:$A$80,MATCH(B42,Courbe_QH_1200!$A$20:$A$80,1)+1)-INDEX(Courbe_QH_1200!$A$20:$A$80,MATCH(B42,Courbe_QH_1200!$A$20:$A$80,1)))*(INDEX(Courbe_QH_1200!$E$20:$E$80,MATCH(B42,Courbe_QH_1200!$A$20:$A$80,1)+1)-INDEX(Courbe_QH_1200!$E$20:$E$80,MATCH(B42,Courbe_QH_1200!$A$20:$A$80,1)))))</f>
        <v/>
      </c>
      <c r="I42" s="19">
        <f>IF(C42&lt;=0,0,IF($B$6&lt;=0,0,(1/$B$6)*D42*IF(($B$5+2*C42*SQRT(1+$B$7^2))&lt;=0,0,((D42/($B$5+2*C42*SQRT(1+$B$7^2)))^(2/3)))*SQRT($B$8)))</f>
        <v/>
      </c>
      <c r="J42" s="9">
        <f>H42+I42</f>
        <v/>
      </c>
      <c r="K42" s="20">
        <f>IF(Parametres!$C$96&lt;=0,0,H42/Parametres!$C$96)</f>
        <v/>
      </c>
      <c r="L42" s="20">
        <f>IF(OR(C42&lt;0.05,D42&lt;0.05),"",I42/D42)</f>
        <v/>
      </c>
    </row>
    <row r="43">
      <c r="A43" s="29" t="n">
        <v>37.88</v>
      </c>
      <c r="B43" s="29">
        <f>A43-$B$10</f>
        <v/>
      </c>
      <c r="C43" s="29">
        <f>MAX(0,A43-$B$4)</f>
        <v/>
      </c>
      <c r="D43" s="19">
        <f>IF(C43&lt;=0,0,($B$5+$B$7*C43)*C43)</f>
        <v/>
      </c>
      <c r="E43" s="21">
        <f>IF($B$11=1,D43*$B$9,0)</f>
        <v/>
      </c>
      <c r="F43" s="21">
        <f>IF(A43&lt;=INDEX(Stage_Storage!$A$11:$A$18,1),INDEX(Stage_Storage!$E$11:$E$18,1),IF(A43&gt;=INDEX(Stage_Storage!$A$11:$A$18,ROWS(Stage_Storage!$A$11:$A$18)),INDEX(Stage_Storage!$E$11:$E$18,ROWS(Stage_Storage!$E$11:$E$18)),INDEX(Stage_Storage!$E$11:$E$18,MATCH(A43,Stage_Storage!$A$11:$A$18,1))+(A43-INDEX(Stage_Storage!$A$11:$A$18,MATCH(A43,Stage_Storage!$A$11:$A$18,1)))/(INDEX(Stage_Storage!$A$11:$A$18,MATCH(A43,Stage_Storage!$A$11:$A$18,1)+1)-INDEX(Stage_Storage!$A$11:$A$18,MATCH(A43,Stage_Storage!$A$11:$A$18,1)))*(INDEX(Stage_Storage!$E$11:$E$18,MATCH(A43,Stage_Storage!$A$11:$A$18,1)+1)-INDEX(Stage_Storage!$E$11:$E$18,MATCH(A43,Stage_Storage!$A$11:$A$18,1)))))</f>
        <v/>
      </c>
      <c r="G43" s="26">
        <f>F43+E43</f>
        <v/>
      </c>
      <c r="H43" s="19">
        <f>IF(B43&lt;=0,0,IF(B43&gt;=INDEX(Courbe_QH_1200!$A$20:$A$80,ROWS(Courbe_QH_1200!$A$20:$A$80)),INDEX(Courbe_QH_1200!$E$20:$E$80,ROWS(Courbe_QH_1200!$E$20:$E$80)),INDEX(Courbe_QH_1200!$E$20:$E$80,MATCH(B43,Courbe_QH_1200!$A$20:$A$80,1))+(B43-INDEX(Courbe_QH_1200!$A$20:$A$80,MATCH(B43,Courbe_QH_1200!$A$20:$A$80,1)))/(INDEX(Courbe_QH_1200!$A$20:$A$80,MATCH(B43,Courbe_QH_1200!$A$20:$A$80,1)+1)-INDEX(Courbe_QH_1200!$A$20:$A$80,MATCH(B43,Courbe_QH_1200!$A$20:$A$80,1)))*(INDEX(Courbe_QH_1200!$E$20:$E$80,MATCH(B43,Courbe_QH_1200!$A$20:$A$80,1)+1)-INDEX(Courbe_QH_1200!$E$20:$E$80,MATCH(B43,Courbe_QH_1200!$A$20:$A$80,1)))))</f>
        <v/>
      </c>
      <c r="I43" s="19">
        <f>IF(C43&lt;=0,0,IF($B$6&lt;=0,0,(1/$B$6)*D43*IF(($B$5+2*C43*SQRT(1+$B$7^2))&lt;=0,0,((D43/($B$5+2*C43*SQRT(1+$B$7^2)))^(2/3)))*SQRT($B$8)))</f>
        <v/>
      </c>
      <c r="J43" s="9">
        <f>H43+I43</f>
        <v/>
      </c>
      <c r="K43" s="20">
        <f>IF(Parametres!$C$96&lt;=0,0,H43/Parametres!$C$96)</f>
        <v/>
      </c>
      <c r="L43" s="20">
        <f>IF(OR(C43&lt;0.05,D43&lt;0.05),"",I43/D43)</f>
        <v/>
      </c>
    </row>
    <row r="44">
      <c r="A44" s="29" t="n">
        <v>37.98</v>
      </c>
      <c r="B44" s="29">
        <f>A44-$B$10</f>
        <v/>
      </c>
      <c r="C44" s="29">
        <f>MAX(0,A44-$B$4)</f>
        <v/>
      </c>
      <c r="D44" s="19">
        <f>IF(C44&lt;=0,0,($B$5+$B$7*C44)*C44)</f>
        <v/>
      </c>
      <c r="E44" s="21">
        <f>IF($B$11=1,D44*$B$9,0)</f>
        <v/>
      </c>
      <c r="F44" s="21">
        <f>IF(A44&lt;=INDEX(Stage_Storage!$A$11:$A$18,1),INDEX(Stage_Storage!$E$11:$E$18,1),IF(A44&gt;=INDEX(Stage_Storage!$A$11:$A$18,ROWS(Stage_Storage!$A$11:$A$18)),INDEX(Stage_Storage!$E$11:$E$18,ROWS(Stage_Storage!$E$11:$E$18)),INDEX(Stage_Storage!$E$11:$E$18,MATCH(A44,Stage_Storage!$A$11:$A$18,1))+(A44-INDEX(Stage_Storage!$A$11:$A$18,MATCH(A44,Stage_Storage!$A$11:$A$18,1)))/(INDEX(Stage_Storage!$A$11:$A$18,MATCH(A44,Stage_Storage!$A$11:$A$18,1)+1)-INDEX(Stage_Storage!$A$11:$A$18,MATCH(A44,Stage_Storage!$A$11:$A$18,1)))*(INDEX(Stage_Storage!$E$11:$E$18,MATCH(A44,Stage_Storage!$A$11:$A$18,1)+1)-INDEX(Stage_Storage!$E$11:$E$18,MATCH(A44,Stage_Storage!$A$11:$A$18,1)))))</f>
        <v/>
      </c>
      <c r="G44" s="26">
        <f>F44+E44</f>
        <v/>
      </c>
      <c r="H44" s="19">
        <f>IF(B44&lt;=0,0,IF(B44&gt;=INDEX(Courbe_QH_1200!$A$20:$A$80,ROWS(Courbe_QH_1200!$A$20:$A$80)),INDEX(Courbe_QH_1200!$E$20:$E$80,ROWS(Courbe_QH_1200!$E$20:$E$80)),INDEX(Courbe_QH_1200!$E$20:$E$80,MATCH(B44,Courbe_QH_1200!$A$20:$A$80,1))+(B44-INDEX(Courbe_QH_1200!$A$20:$A$80,MATCH(B44,Courbe_QH_1200!$A$20:$A$80,1)))/(INDEX(Courbe_QH_1200!$A$20:$A$80,MATCH(B44,Courbe_QH_1200!$A$20:$A$80,1)+1)-INDEX(Courbe_QH_1200!$A$20:$A$80,MATCH(B44,Courbe_QH_1200!$A$20:$A$80,1)))*(INDEX(Courbe_QH_1200!$E$20:$E$80,MATCH(B44,Courbe_QH_1200!$A$20:$A$80,1)+1)-INDEX(Courbe_QH_1200!$E$20:$E$80,MATCH(B44,Courbe_QH_1200!$A$20:$A$80,1)))))</f>
        <v/>
      </c>
      <c r="I44" s="19">
        <f>IF(C44&lt;=0,0,IF($B$6&lt;=0,0,(1/$B$6)*D44*IF(($B$5+2*C44*SQRT(1+$B$7^2))&lt;=0,0,((D44/($B$5+2*C44*SQRT(1+$B$7^2)))^(2/3)))*SQRT($B$8)))</f>
        <v/>
      </c>
      <c r="J44" s="9">
        <f>H44+I44</f>
        <v/>
      </c>
      <c r="K44" s="20">
        <f>IF(Parametres!$C$96&lt;=0,0,H44/Parametres!$C$96)</f>
        <v/>
      </c>
      <c r="L44" s="20">
        <f>IF(OR(C44&lt;0.05,D44&lt;0.05),"",I44/D44)</f>
        <v/>
      </c>
    </row>
    <row r="45">
      <c r="A45" s="29" t="n">
        <v>38.08</v>
      </c>
      <c r="B45" s="29">
        <f>A45-$B$10</f>
        <v/>
      </c>
      <c r="C45" s="29">
        <f>MAX(0,A45-$B$4)</f>
        <v/>
      </c>
      <c r="D45" s="19">
        <f>IF(C45&lt;=0,0,($B$5+$B$7*C45)*C45)</f>
        <v/>
      </c>
      <c r="E45" s="21">
        <f>IF($B$11=1,D45*$B$9,0)</f>
        <v/>
      </c>
      <c r="F45" s="21">
        <f>IF(A45&lt;=INDEX(Stage_Storage!$A$11:$A$18,1),INDEX(Stage_Storage!$E$11:$E$18,1),IF(A45&gt;=INDEX(Stage_Storage!$A$11:$A$18,ROWS(Stage_Storage!$A$11:$A$18)),INDEX(Stage_Storage!$E$11:$E$18,ROWS(Stage_Storage!$E$11:$E$18)),INDEX(Stage_Storage!$E$11:$E$18,MATCH(A45,Stage_Storage!$A$11:$A$18,1))+(A45-INDEX(Stage_Storage!$A$11:$A$18,MATCH(A45,Stage_Storage!$A$11:$A$18,1)))/(INDEX(Stage_Storage!$A$11:$A$18,MATCH(A45,Stage_Storage!$A$11:$A$18,1)+1)-INDEX(Stage_Storage!$A$11:$A$18,MATCH(A45,Stage_Storage!$A$11:$A$18,1)))*(INDEX(Stage_Storage!$E$11:$E$18,MATCH(A45,Stage_Storage!$A$11:$A$18,1)+1)-INDEX(Stage_Storage!$E$11:$E$18,MATCH(A45,Stage_Storage!$A$11:$A$18,1)))))</f>
        <v/>
      </c>
      <c r="G45" s="26">
        <f>F45+E45</f>
        <v/>
      </c>
      <c r="H45" s="19">
        <f>IF(B45&lt;=0,0,IF(B45&gt;=INDEX(Courbe_QH_1200!$A$20:$A$80,ROWS(Courbe_QH_1200!$A$20:$A$80)),INDEX(Courbe_QH_1200!$E$20:$E$80,ROWS(Courbe_QH_1200!$E$20:$E$80)),INDEX(Courbe_QH_1200!$E$20:$E$80,MATCH(B45,Courbe_QH_1200!$A$20:$A$80,1))+(B45-INDEX(Courbe_QH_1200!$A$20:$A$80,MATCH(B45,Courbe_QH_1200!$A$20:$A$80,1)))/(INDEX(Courbe_QH_1200!$A$20:$A$80,MATCH(B45,Courbe_QH_1200!$A$20:$A$80,1)+1)-INDEX(Courbe_QH_1200!$A$20:$A$80,MATCH(B45,Courbe_QH_1200!$A$20:$A$80,1)))*(INDEX(Courbe_QH_1200!$E$20:$E$80,MATCH(B45,Courbe_QH_1200!$A$20:$A$80,1)+1)-INDEX(Courbe_QH_1200!$E$20:$E$80,MATCH(B45,Courbe_QH_1200!$A$20:$A$80,1)))))</f>
        <v/>
      </c>
      <c r="I45" s="19">
        <f>IF(C45&lt;=0,0,IF($B$6&lt;=0,0,(1/$B$6)*D45*IF(($B$5+2*C45*SQRT(1+$B$7^2))&lt;=0,0,((D45/($B$5+2*C45*SQRT(1+$B$7^2)))^(2/3)))*SQRT($B$8)))</f>
        <v/>
      </c>
      <c r="J45" s="9">
        <f>H45+I45</f>
        <v/>
      </c>
      <c r="K45" s="20">
        <f>IF(Parametres!$C$96&lt;=0,0,H45/Parametres!$C$96)</f>
        <v/>
      </c>
      <c r="L45" s="20">
        <f>IF(OR(C45&lt;0.05,D45&lt;0.05),"",I45/D45)</f>
        <v/>
      </c>
    </row>
    <row r="46">
      <c r="A46" s="29" t="n">
        <v>38.18</v>
      </c>
      <c r="B46" s="29">
        <f>A46-$B$10</f>
        <v/>
      </c>
      <c r="C46" s="29">
        <f>MAX(0,A46-$B$4)</f>
        <v/>
      </c>
      <c r="D46" s="19">
        <f>IF(C46&lt;=0,0,($B$5+$B$7*C46)*C46)</f>
        <v/>
      </c>
      <c r="E46" s="21">
        <f>IF($B$11=1,D46*$B$9,0)</f>
        <v/>
      </c>
      <c r="F46" s="21">
        <f>IF(A46&lt;=INDEX(Stage_Storage!$A$11:$A$18,1),INDEX(Stage_Storage!$E$11:$E$18,1),IF(A46&gt;=INDEX(Stage_Storage!$A$11:$A$18,ROWS(Stage_Storage!$A$11:$A$18)),INDEX(Stage_Storage!$E$11:$E$18,ROWS(Stage_Storage!$E$11:$E$18)),INDEX(Stage_Storage!$E$11:$E$18,MATCH(A46,Stage_Storage!$A$11:$A$18,1))+(A46-INDEX(Stage_Storage!$A$11:$A$18,MATCH(A46,Stage_Storage!$A$11:$A$18,1)))/(INDEX(Stage_Storage!$A$11:$A$18,MATCH(A46,Stage_Storage!$A$11:$A$18,1)+1)-INDEX(Stage_Storage!$A$11:$A$18,MATCH(A46,Stage_Storage!$A$11:$A$18,1)))*(INDEX(Stage_Storage!$E$11:$E$18,MATCH(A46,Stage_Storage!$A$11:$A$18,1)+1)-INDEX(Stage_Storage!$E$11:$E$18,MATCH(A46,Stage_Storage!$A$11:$A$18,1)))))</f>
        <v/>
      </c>
      <c r="G46" s="26">
        <f>F46+E46</f>
        <v/>
      </c>
      <c r="H46" s="19">
        <f>IF(B46&lt;=0,0,IF(B46&gt;=INDEX(Courbe_QH_1200!$A$20:$A$80,ROWS(Courbe_QH_1200!$A$20:$A$80)),INDEX(Courbe_QH_1200!$E$20:$E$80,ROWS(Courbe_QH_1200!$E$20:$E$80)),INDEX(Courbe_QH_1200!$E$20:$E$80,MATCH(B46,Courbe_QH_1200!$A$20:$A$80,1))+(B46-INDEX(Courbe_QH_1200!$A$20:$A$80,MATCH(B46,Courbe_QH_1200!$A$20:$A$80,1)))/(INDEX(Courbe_QH_1200!$A$20:$A$80,MATCH(B46,Courbe_QH_1200!$A$20:$A$80,1)+1)-INDEX(Courbe_QH_1200!$A$20:$A$80,MATCH(B46,Courbe_QH_1200!$A$20:$A$80,1)))*(INDEX(Courbe_QH_1200!$E$20:$E$80,MATCH(B46,Courbe_QH_1200!$A$20:$A$80,1)+1)-INDEX(Courbe_QH_1200!$E$20:$E$80,MATCH(B46,Courbe_QH_1200!$A$20:$A$80,1)))))</f>
        <v/>
      </c>
      <c r="I46" s="19">
        <f>IF(C46&lt;=0,0,IF($B$6&lt;=0,0,(1/$B$6)*D46*IF(($B$5+2*C46*SQRT(1+$B$7^2))&lt;=0,0,((D46/($B$5+2*C46*SQRT(1+$B$7^2)))^(2/3)))*SQRT($B$8)))</f>
        <v/>
      </c>
      <c r="J46" s="9">
        <f>H46+I46</f>
        <v/>
      </c>
      <c r="K46" s="20">
        <f>IF(Parametres!$C$96&lt;=0,0,H46/Parametres!$C$96)</f>
        <v/>
      </c>
      <c r="L46" s="20">
        <f>IF(OR(C46&lt;0.05,D46&lt;0.05),"",I46/D46)</f>
        <v/>
      </c>
    </row>
    <row r="47">
      <c r="A47" s="29" t="n">
        <v>38.28</v>
      </c>
      <c r="B47" s="29">
        <f>A47-$B$10</f>
        <v/>
      </c>
      <c r="C47" s="29">
        <f>MAX(0,A47-$B$4)</f>
        <v/>
      </c>
      <c r="D47" s="19">
        <f>IF(C47&lt;=0,0,($B$5+$B$7*C47)*C47)</f>
        <v/>
      </c>
      <c r="E47" s="21">
        <f>IF($B$11=1,D47*$B$9,0)</f>
        <v/>
      </c>
      <c r="F47" s="21">
        <f>IF(A47&lt;=INDEX(Stage_Storage!$A$11:$A$18,1),INDEX(Stage_Storage!$E$11:$E$18,1),IF(A47&gt;=INDEX(Stage_Storage!$A$11:$A$18,ROWS(Stage_Storage!$A$11:$A$18)),INDEX(Stage_Storage!$E$11:$E$18,ROWS(Stage_Storage!$E$11:$E$18)),INDEX(Stage_Storage!$E$11:$E$18,MATCH(A47,Stage_Storage!$A$11:$A$18,1))+(A47-INDEX(Stage_Storage!$A$11:$A$18,MATCH(A47,Stage_Storage!$A$11:$A$18,1)))/(INDEX(Stage_Storage!$A$11:$A$18,MATCH(A47,Stage_Storage!$A$11:$A$18,1)+1)-INDEX(Stage_Storage!$A$11:$A$18,MATCH(A47,Stage_Storage!$A$11:$A$18,1)))*(INDEX(Stage_Storage!$E$11:$E$18,MATCH(A47,Stage_Storage!$A$11:$A$18,1)+1)-INDEX(Stage_Storage!$E$11:$E$18,MATCH(A47,Stage_Storage!$A$11:$A$18,1)))))</f>
        <v/>
      </c>
      <c r="G47" s="26">
        <f>F47+E47</f>
        <v/>
      </c>
      <c r="H47" s="19">
        <f>IF(B47&lt;=0,0,IF(B47&gt;=INDEX(Courbe_QH_1200!$A$20:$A$80,ROWS(Courbe_QH_1200!$A$20:$A$80)),INDEX(Courbe_QH_1200!$E$20:$E$80,ROWS(Courbe_QH_1200!$E$20:$E$80)),INDEX(Courbe_QH_1200!$E$20:$E$80,MATCH(B47,Courbe_QH_1200!$A$20:$A$80,1))+(B47-INDEX(Courbe_QH_1200!$A$20:$A$80,MATCH(B47,Courbe_QH_1200!$A$20:$A$80,1)))/(INDEX(Courbe_QH_1200!$A$20:$A$80,MATCH(B47,Courbe_QH_1200!$A$20:$A$80,1)+1)-INDEX(Courbe_QH_1200!$A$20:$A$80,MATCH(B47,Courbe_QH_1200!$A$20:$A$80,1)))*(INDEX(Courbe_QH_1200!$E$20:$E$80,MATCH(B47,Courbe_QH_1200!$A$20:$A$80,1)+1)-INDEX(Courbe_QH_1200!$E$20:$E$80,MATCH(B47,Courbe_QH_1200!$A$20:$A$80,1)))))</f>
        <v/>
      </c>
      <c r="I47" s="19">
        <f>IF(C47&lt;=0,0,IF($B$6&lt;=0,0,(1/$B$6)*D47*IF(($B$5+2*C47*SQRT(1+$B$7^2))&lt;=0,0,((D47/($B$5+2*C47*SQRT(1+$B$7^2)))^(2/3)))*SQRT($B$8)))</f>
        <v/>
      </c>
      <c r="J47" s="9">
        <f>H47+I47</f>
        <v/>
      </c>
      <c r="K47" s="20">
        <f>IF(Parametres!$C$96&lt;=0,0,H47/Parametres!$C$96)</f>
        <v/>
      </c>
      <c r="L47" s="20">
        <f>IF(OR(C47&lt;0.05,D47&lt;0.05),"",I47/D47)</f>
        <v/>
      </c>
    </row>
    <row r="48">
      <c r="A48" s="29" t="n">
        <v>38.38</v>
      </c>
      <c r="B48" s="29">
        <f>A48-$B$10</f>
        <v/>
      </c>
      <c r="C48" s="29">
        <f>MAX(0,A48-$B$4)</f>
        <v/>
      </c>
      <c r="D48" s="19">
        <f>IF(C48&lt;=0,0,($B$5+$B$7*C48)*C48)</f>
        <v/>
      </c>
      <c r="E48" s="21">
        <f>IF($B$11=1,D48*$B$9,0)</f>
        <v/>
      </c>
      <c r="F48" s="21">
        <f>IF(A48&lt;=INDEX(Stage_Storage!$A$11:$A$18,1),INDEX(Stage_Storage!$E$11:$E$18,1),IF(A48&gt;=INDEX(Stage_Storage!$A$11:$A$18,ROWS(Stage_Storage!$A$11:$A$18)),INDEX(Stage_Storage!$E$11:$E$18,ROWS(Stage_Storage!$E$11:$E$18)),INDEX(Stage_Storage!$E$11:$E$18,MATCH(A48,Stage_Storage!$A$11:$A$18,1))+(A48-INDEX(Stage_Storage!$A$11:$A$18,MATCH(A48,Stage_Storage!$A$11:$A$18,1)))/(INDEX(Stage_Storage!$A$11:$A$18,MATCH(A48,Stage_Storage!$A$11:$A$18,1)+1)-INDEX(Stage_Storage!$A$11:$A$18,MATCH(A48,Stage_Storage!$A$11:$A$18,1)))*(INDEX(Stage_Storage!$E$11:$E$18,MATCH(A48,Stage_Storage!$A$11:$A$18,1)+1)-INDEX(Stage_Storage!$E$11:$E$18,MATCH(A48,Stage_Storage!$A$11:$A$18,1)))))</f>
        <v/>
      </c>
      <c r="G48" s="26">
        <f>F48+E48</f>
        <v/>
      </c>
      <c r="H48" s="19">
        <f>IF(B48&lt;=0,0,IF(B48&gt;=INDEX(Courbe_QH_1200!$A$20:$A$80,ROWS(Courbe_QH_1200!$A$20:$A$80)),INDEX(Courbe_QH_1200!$E$20:$E$80,ROWS(Courbe_QH_1200!$E$20:$E$80)),INDEX(Courbe_QH_1200!$E$20:$E$80,MATCH(B48,Courbe_QH_1200!$A$20:$A$80,1))+(B48-INDEX(Courbe_QH_1200!$A$20:$A$80,MATCH(B48,Courbe_QH_1200!$A$20:$A$80,1)))/(INDEX(Courbe_QH_1200!$A$20:$A$80,MATCH(B48,Courbe_QH_1200!$A$20:$A$80,1)+1)-INDEX(Courbe_QH_1200!$A$20:$A$80,MATCH(B48,Courbe_QH_1200!$A$20:$A$80,1)))*(INDEX(Courbe_QH_1200!$E$20:$E$80,MATCH(B48,Courbe_QH_1200!$A$20:$A$80,1)+1)-INDEX(Courbe_QH_1200!$E$20:$E$80,MATCH(B48,Courbe_QH_1200!$A$20:$A$80,1)))))</f>
        <v/>
      </c>
      <c r="I48" s="19">
        <f>IF(C48&lt;=0,0,IF($B$6&lt;=0,0,(1/$B$6)*D48*IF(($B$5+2*C48*SQRT(1+$B$7^2))&lt;=0,0,((D48/($B$5+2*C48*SQRT(1+$B$7^2)))^(2/3)))*SQRT($B$8)))</f>
        <v/>
      </c>
      <c r="J48" s="9">
        <f>H48+I48</f>
        <v/>
      </c>
      <c r="K48" s="20">
        <f>IF(Parametres!$C$96&lt;=0,0,H48/Parametres!$C$96)</f>
        <v/>
      </c>
      <c r="L48" s="20">
        <f>IF(OR(C48&lt;0.05,D48&lt;0.05),"",I48/D48)</f>
        <v/>
      </c>
    </row>
    <row r="49">
      <c r="A49" s="29" t="n">
        <v>38.48</v>
      </c>
      <c r="B49" s="29">
        <f>A49-$B$10</f>
        <v/>
      </c>
      <c r="C49" s="29">
        <f>MAX(0,A49-$B$4)</f>
        <v/>
      </c>
      <c r="D49" s="19">
        <f>IF(C49&lt;=0,0,($B$5+$B$7*C49)*C49)</f>
        <v/>
      </c>
      <c r="E49" s="21">
        <f>IF($B$11=1,D49*$B$9,0)</f>
        <v/>
      </c>
      <c r="F49" s="21">
        <f>IF(A49&lt;=INDEX(Stage_Storage!$A$11:$A$18,1),INDEX(Stage_Storage!$E$11:$E$18,1),IF(A49&gt;=INDEX(Stage_Storage!$A$11:$A$18,ROWS(Stage_Storage!$A$11:$A$18)),INDEX(Stage_Storage!$E$11:$E$18,ROWS(Stage_Storage!$E$11:$E$18)),INDEX(Stage_Storage!$E$11:$E$18,MATCH(A49,Stage_Storage!$A$11:$A$18,1))+(A49-INDEX(Stage_Storage!$A$11:$A$18,MATCH(A49,Stage_Storage!$A$11:$A$18,1)))/(INDEX(Stage_Storage!$A$11:$A$18,MATCH(A49,Stage_Storage!$A$11:$A$18,1)+1)-INDEX(Stage_Storage!$A$11:$A$18,MATCH(A49,Stage_Storage!$A$11:$A$18,1)))*(INDEX(Stage_Storage!$E$11:$E$18,MATCH(A49,Stage_Storage!$A$11:$A$18,1)+1)-INDEX(Stage_Storage!$E$11:$E$18,MATCH(A49,Stage_Storage!$A$11:$A$18,1)))))</f>
        <v/>
      </c>
      <c r="G49" s="26">
        <f>F49+E49</f>
        <v/>
      </c>
      <c r="H49" s="19">
        <f>IF(B49&lt;=0,0,IF(B49&gt;=INDEX(Courbe_QH_1200!$A$20:$A$80,ROWS(Courbe_QH_1200!$A$20:$A$80)),INDEX(Courbe_QH_1200!$E$20:$E$80,ROWS(Courbe_QH_1200!$E$20:$E$80)),INDEX(Courbe_QH_1200!$E$20:$E$80,MATCH(B49,Courbe_QH_1200!$A$20:$A$80,1))+(B49-INDEX(Courbe_QH_1200!$A$20:$A$80,MATCH(B49,Courbe_QH_1200!$A$20:$A$80,1)))/(INDEX(Courbe_QH_1200!$A$20:$A$80,MATCH(B49,Courbe_QH_1200!$A$20:$A$80,1)+1)-INDEX(Courbe_QH_1200!$A$20:$A$80,MATCH(B49,Courbe_QH_1200!$A$20:$A$80,1)))*(INDEX(Courbe_QH_1200!$E$20:$E$80,MATCH(B49,Courbe_QH_1200!$A$20:$A$80,1)+1)-INDEX(Courbe_QH_1200!$E$20:$E$80,MATCH(B49,Courbe_QH_1200!$A$20:$A$80,1)))))</f>
        <v/>
      </c>
      <c r="I49" s="19">
        <f>IF(C49&lt;=0,0,IF($B$6&lt;=0,0,(1/$B$6)*D49*IF(($B$5+2*C49*SQRT(1+$B$7^2))&lt;=0,0,((D49/($B$5+2*C49*SQRT(1+$B$7^2)))^(2/3)))*SQRT($B$8)))</f>
        <v/>
      </c>
      <c r="J49" s="9">
        <f>H49+I49</f>
        <v/>
      </c>
      <c r="K49" s="20">
        <f>IF(Parametres!$C$96&lt;=0,0,H49/Parametres!$C$96)</f>
        <v/>
      </c>
      <c r="L49" s="20">
        <f>IF(OR(C49&lt;0.05,D49&lt;0.05),"",I49/D49)</f>
        <v/>
      </c>
    </row>
    <row r="50">
      <c r="A50" s="29" t="n">
        <v>38.58</v>
      </c>
      <c r="B50" s="29">
        <f>A50-$B$10</f>
        <v/>
      </c>
      <c r="C50" s="29">
        <f>MAX(0,A50-$B$4)</f>
        <v/>
      </c>
      <c r="D50" s="19">
        <f>IF(C50&lt;=0,0,($B$5+$B$7*C50)*C50)</f>
        <v/>
      </c>
      <c r="E50" s="21">
        <f>IF($B$11=1,D50*$B$9,0)</f>
        <v/>
      </c>
      <c r="F50" s="21">
        <f>IF(A50&lt;=INDEX(Stage_Storage!$A$11:$A$18,1),INDEX(Stage_Storage!$E$11:$E$18,1),IF(A50&gt;=INDEX(Stage_Storage!$A$11:$A$18,ROWS(Stage_Storage!$A$11:$A$18)),INDEX(Stage_Storage!$E$11:$E$18,ROWS(Stage_Storage!$E$11:$E$18)),INDEX(Stage_Storage!$E$11:$E$18,MATCH(A50,Stage_Storage!$A$11:$A$18,1))+(A50-INDEX(Stage_Storage!$A$11:$A$18,MATCH(A50,Stage_Storage!$A$11:$A$18,1)))/(INDEX(Stage_Storage!$A$11:$A$18,MATCH(A50,Stage_Storage!$A$11:$A$18,1)+1)-INDEX(Stage_Storage!$A$11:$A$18,MATCH(A50,Stage_Storage!$A$11:$A$18,1)))*(INDEX(Stage_Storage!$E$11:$E$18,MATCH(A50,Stage_Storage!$A$11:$A$18,1)+1)-INDEX(Stage_Storage!$E$11:$E$18,MATCH(A50,Stage_Storage!$A$11:$A$18,1)))))</f>
        <v/>
      </c>
      <c r="G50" s="26">
        <f>F50+E50</f>
        <v/>
      </c>
      <c r="H50" s="19">
        <f>IF(B50&lt;=0,0,IF(B50&gt;=INDEX(Courbe_QH_1200!$A$20:$A$80,ROWS(Courbe_QH_1200!$A$20:$A$80)),INDEX(Courbe_QH_1200!$E$20:$E$80,ROWS(Courbe_QH_1200!$E$20:$E$80)),INDEX(Courbe_QH_1200!$E$20:$E$80,MATCH(B50,Courbe_QH_1200!$A$20:$A$80,1))+(B50-INDEX(Courbe_QH_1200!$A$20:$A$80,MATCH(B50,Courbe_QH_1200!$A$20:$A$80,1)))/(INDEX(Courbe_QH_1200!$A$20:$A$80,MATCH(B50,Courbe_QH_1200!$A$20:$A$80,1)+1)-INDEX(Courbe_QH_1200!$A$20:$A$80,MATCH(B50,Courbe_QH_1200!$A$20:$A$80,1)))*(INDEX(Courbe_QH_1200!$E$20:$E$80,MATCH(B50,Courbe_QH_1200!$A$20:$A$80,1)+1)-INDEX(Courbe_QH_1200!$E$20:$E$80,MATCH(B50,Courbe_QH_1200!$A$20:$A$80,1)))))</f>
        <v/>
      </c>
      <c r="I50" s="19">
        <f>IF(C50&lt;=0,0,IF($B$6&lt;=0,0,(1/$B$6)*D50*IF(($B$5+2*C50*SQRT(1+$B$7^2))&lt;=0,0,((D50/($B$5+2*C50*SQRT(1+$B$7^2)))^(2/3)))*SQRT($B$8)))</f>
        <v/>
      </c>
      <c r="J50" s="9">
        <f>H50+I50</f>
        <v/>
      </c>
      <c r="K50" s="20">
        <f>IF(Parametres!$C$96&lt;=0,0,H50/Parametres!$C$96)</f>
        <v/>
      </c>
      <c r="L50" s="20">
        <f>IF(OR(C50&lt;0.05,D50&lt;0.05),"",I50/D50)</f>
        <v/>
      </c>
    </row>
    <row r="51">
      <c r="A51" s="29" t="n">
        <v>38.68</v>
      </c>
      <c r="B51" s="29">
        <f>A51-$B$10</f>
        <v/>
      </c>
      <c r="C51" s="29">
        <f>MAX(0,A51-$B$4)</f>
        <v/>
      </c>
      <c r="D51" s="19">
        <f>IF(C51&lt;=0,0,($B$5+$B$7*C51)*C51)</f>
        <v/>
      </c>
      <c r="E51" s="21">
        <f>IF($B$11=1,D51*$B$9,0)</f>
        <v/>
      </c>
      <c r="F51" s="21">
        <f>IF(A51&lt;=INDEX(Stage_Storage!$A$11:$A$18,1),INDEX(Stage_Storage!$E$11:$E$18,1),IF(A51&gt;=INDEX(Stage_Storage!$A$11:$A$18,ROWS(Stage_Storage!$A$11:$A$18)),INDEX(Stage_Storage!$E$11:$E$18,ROWS(Stage_Storage!$E$11:$E$18)),INDEX(Stage_Storage!$E$11:$E$18,MATCH(A51,Stage_Storage!$A$11:$A$18,1))+(A51-INDEX(Stage_Storage!$A$11:$A$18,MATCH(A51,Stage_Storage!$A$11:$A$18,1)))/(INDEX(Stage_Storage!$A$11:$A$18,MATCH(A51,Stage_Storage!$A$11:$A$18,1)+1)-INDEX(Stage_Storage!$A$11:$A$18,MATCH(A51,Stage_Storage!$A$11:$A$18,1)))*(INDEX(Stage_Storage!$E$11:$E$18,MATCH(A51,Stage_Storage!$A$11:$A$18,1)+1)-INDEX(Stage_Storage!$E$11:$E$18,MATCH(A51,Stage_Storage!$A$11:$A$18,1)))))</f>
        <v/>
      </c>
      <c r="G51" s="26">
        <f>F51+E51</f>
        <v/>
      </c>
      <c r="H51" s="19">
        <f>IF(B51&lt;=0,0,IF(B51&gt;=INDEX(Courbe_QH_1200!$A$20:$A$80,ROWS(Courbe_QH_1200!$A$20:$A$80)),INDEX(Courbe_QH_1200!$E$20:$E$80,ROWS(Courbe_QH_1200!$E$20:$E$80)),INDEX(Courbe_QH_1200!$E$20:$E$80,MATCH(B51,Courbe_QH_1200!$A$20:$A$80,1))+(B51-INDEX(Courbe_QH_1200!$A$20:$A$80,MATCH(B51,Courbe_QH_1200!$A$20:$A$80,1)))/(INDEX(Courbe_QH_1200!$A$20:$A$80,MATCH(B51,Courbe_QH_1200!$A$20:$A$80,1)+1)-INDEX(Courbe_QH_1200!$A$20:$A$80,MATCH(B51,Courbe_QH_1200!$A$20:$A$80,1)))*(INDEX(Courbe_QH_1200!$E$20:$E$80,MATCH(B51,Courbe_QH_1200!$A$20:$A$80,1)+1)-INDEX(Courbe_QH_1200!$E$20:$E$80,MATCH(B51,Courbe_QH_1200!$A$20:$A$80,1)))))</f>
        <v/>
      </c>
      <c r="I51" s="19">
        <f>IF(C51&lt;=0,0,IF($B$6&lt;=0,0,(1/$B$6)*D51*IF(($B$5+2*C51*SQRT(1+$B$7^2))&lt;=0,0,((D51/($B$5+2*C51*SQRT(1+$B$7^2)))^(2/3)))*SQRT($B$8)))</f>
        <v/>
      </c>
      <c r="J51" s="9">
        <f>H51+I51</f>
        <v/>
      </c>
      <c r="K51" s="20">
        <f>IF(Parametres!$C$96&lt;=0,0,H51/Parametres!$C$96)</f>
        <v/>
      </c>
      <c r="L51" s="20">
        <f>IF(OR(C51&lt;0.05,D51&lt;0.05),"",I51/D51)</f>
        <v/>
      </c>
    </row>
    <row r="52">
      <c r="A52" s="29" t="n">
        <v>38.78</v>
      </c>
      <c r="B52" s="29">
        <f>A52-$B$10</f>
        <v/>
      </c>
      <c r="C52" s="29">
        <f>MAX(0,A52-$B$4)</f>
        <v/>
      </c>
      <c r="D52" s="19">
        <f>IF(C52&lt;=0,0,($B$5+$B$7*C52)*C52)</f>
        <v/>
      </c>
      <c r="E52" s="21">
        <f>IF($B$11=1,D52*$B$9,0)</f>
        <v/>
      </c>
      <c r="F52" s="21">
        <f>IF(A52&lt;=INDEX(Stage_Storage!$A$11:$A$18,1),INDEX(Stage_Storage!$E$11:$E$18,1),IF(A52&gt;=INDEX(Stage_Storage!$A$11:$A$18,ROWS(Stage_Storage!$A$11:$A$18)),INDEX(Stage_Storage!$E$11:$E$18,ROWS(Stage_Storage!$E$11:$E$18)),INDEX(Stage_Storage!$E$11:$E$18,MATCH(A52,Stage_Storage!$A$11:$A$18,1))+(A52-INDEX(Stage_Storage!$A$11:$A$18,MATCH(A52,Stage_Storage!$A$11:$A$18,1)))/(INDEX(Stage_Storage!$A$11:$A$18,MATCH(A52,Stage_Storage!$A$11:$A$18,1)+1)-INDEX(Stage_Storage!$A$11:$A$18,MATCH(A52,Stage_Storage!$A$11:$A$18,1)))*(INDEX(Stage_Storage!$E$11:$E$18,MATCH(A52,Stage_Storage!$A$11:$A$18,1)+1)-INDEX(Stage_Storage!$E$11:$E$18,MATCH(A52,Stage_Storage!$A$11:$A$18,1)))))</f>
        <v/>
      </c>
      <c r="G52" s="26">
        <f>F52+E52</f>
        <v/>
      </c>
      <c r="H52" s="19">
        <f>IF(B52&lt;=0,0,IF(B52&gt;=INDEX(Courbe_QH_1200!$A$20:$A$80,ROWS(Courbe_QH_1200!$A$20:$A$80)),INDEX(Courbe_QH_1200!$E$20:$E$80,ROWS(Courbe_QH_1200!$E$20:$E$80)),INDEX(Courbe_QH_1200!$E$20:$E$80,MATCH(B52,Courbe_QH_1200!$A$20:$A$80,1))+(B52-INDEX(Courbe_QH_1200!$A$20:$A$80,MATCH(B52,Courbe_QH_1200!$A$20:$A$80,1)))/(INDEX(Courbe_QH_1200!$A$20:$A$80,MATCH(B52,Courbe_QH_1200!$A$20:$A$80,1)+1)-INDEX(Courbe_QH_1200!$A$20:$A$80,MATCH(B52,Courbe_QH_1200!$A$20:$A$80,1)))*(INDEX(Courbe_QH_1200!$E$20:$E$80,MATCH(B52,Courbe_QH_1200!$A$20:$A$80,1)+1)-INDEX(Courbe_QH_1200!$E$20:$E$80,MATCH(B52,Courbe_QH_1200!$A$20:$A$80,1)))))</f>
        <v/>
      </c>
      <c r="I52" s="19">
        <f>IF(C52&lt;=0,0,IF($B$6&lt;=0,0,(1/$B$6)*D52*IF(($B$5+2*C52*SQRT(1+$B$7^2))&lt;=0,0,((D52/($B$5+2*C52*SQRT(1+$B$7^2)))^(2/3)))*SQRT($B$8)))</f>
        <v/>
      </c>
      <c r="J52" s="9">
        <f>H52+I52</f>
        <v/>
      </c>
      <c r="K52" s="20">
        <f>IF(Parametres!$C$96&lt;=0,0,H52/Parametres!$C$96)</f>
        <v/>
      </c>
      <c r="L52" s="20">
        <f>IF(OR(C52&lt;0.05,D52&lt;0.05),"",I52/D52)</f>
        <v/>
      </c>
    </row>
    <row r="53">
      <c r="A53" s="29" t="n">
        <v>38.88</v>
      </c>
      <c r="B53" s="29">
        <f>A53-$B$10</f>
        <v/>
      </c>
      <c r="C53" s="29">
        <f>MAX(0,A53-$B$4)</f>
        <v/>
      </c>
      <c r="D53" s="19">
        <f>IF(C53&lt;=0,0,($B$5+$B$7*C53)*C53)</f>
        <v/>
      </c>
      <c r="E53" s="21">
        <f>IF($B$11=1,D53*$B$9,0)</f>
        <v/>
      </c>
      <c r="F53" s="21">
        <f>IF(A53&lt;=INDEX(Stage_Storage!$A$11:$A$18,1),INDEX(Stage_Storage!$E$11:$E$18,1),IF(A53&gt;=INDEX(Stage_Storage!$A$11:$A$18,ROWS(Stage_Storage!$A$11:$A$18)),INDEX(Stage_Storage!$E$11:$E$18,ROWS(Stage_Storage!$E$11:$E$18)),INDEX(Stage_Storage!$E$11:$E$18,MATCH(A53,Stage_Storage!$A$11:$A$18,1))+(A53-INDEX(Stage_Storage!$A$11:$A$18,MATCH(A53,Stage_Storage!$A$11:$A$18,1)))/(INDEX(Stage_Storage!$A$11:$A$18,MATCH(A53,Stage_Storage!$A$11:$A$18,1)+1)-INDEX(Stage_Storage!$A$11:$A$18,MATCH(A53,Stage_Storage!$A$11:$A$18,1)))*(INDEX(Stage_Storage!$E$11:$E$18,MATCH(A53,Stage_Storage!$A$11:$A$18,1)+1)-INDEX(Stage_Storage!$E$11:$E$18,MATCH(A53,Stage_Storage!$A$11:$A$18,1)))))</f>
        <v/>
      </c>
      <c r="G53" s="26">
        <f>F53+E53</f>
        <v/>
      </c>
      <c r="H53" s="19">
        <f>IF(B53&lt;=0,0,IF(B53&gt;=INDEX(Courbe_QH_1200!$A$20:$A$80,ROWS(Courbe_QH_1200!$A$20:$A$80)),INDEX(Courbe_QH_1200!$E$20:$E$80,ROWS(Courbe_QH_1200!$E$20:$E$80)),INDEX(Courbe_QH_1200!$E$20:$E$80,MATCH(B53,Courbe_QH_1200!$A$20:$A$80,1))+(B53-INDEX(Courbe_QH_1200!$A$20:$A$80,MATCH(B53,Courbe_QH_1200!$A$20:$A$80,1)))/(INDEX(Courbe_QH_1200!$A$20:$A$80,MATCH(B53,Courbe_QH_1200!$A$20:$A$80,1)+1)-INDEX(Courbe_QH_1200!$A$20:$A$80,MATCH(B53,Courbe_QH_1200!$A$20:$A$80,1)))*(INDEX(Courbe_QH_1200!$E$20:$E$80,MATCH(B53,Courbe_QH_1200!$A$20:$A$80,1)+1)-INDEX(Courbe_QH_1200!$E$20:$E$80,MATCH(B53,Courbe_QH_1200!$A$20:$A$80,1)))))</f>
        <v/>
      </c>
      <c r="I53" s="19">
        <f>IF(C53&lt;=0,0,IF($B$6&lt;=0,0,(1/$B$6)*D53*IF(($B$5+2*C53*SQRT(1+$B$7^2))&lt;=0,0,((D53/($B$5+2*C53*SQRT(1+$B$7^2)))^(2/3)))*SQRT($B$8)))</f>
        <v/>
      </c>
      <c r="J53" s="9">
        <f>H53+I53</f>
        <v/>
      </c>
      <c r="K53" s="20">
        <f>IF(Parametres!$C$96&lt;=0,0,H53/Parametres!$C$96)</f>
        <v/>
      </c>
      <c r="L53" s="20">
        <f>IF(OR(C53&lt;0.05,D53&lt;0.05),"",I53/D53)</f>
        <v/>
      </c>
    </row>
    <row r="54">
      <c r="A54" s="29" t="n">
        <v>38.98</v>
      </c>
      <c r="B54" s="29">
        <f>A54-$B$10</f>
        <v/>
      </c>
      <c r="C54" s="29">
        <f>MAX(0,A54-$B$4)</f>
        <v/>
      </c>
      <c r="D54" s="19">
        <f>IF(C54&lt;=0,0,($B$5+$B$7*C54)*C54)</f>
        <v/>
      </c>
      <c r="E54" s="21">
        <f>IF($B$11=1,D54*$B$9,0)</f>
        <v/>
      </c>
      <c r="F54" s="21">
        <f>IF(A54&lt;=INDEX(Stage_Storage!$A$11:$A$18,1),INDEX(Stage_Storage!$E$11:$E$18,1),IF(A54&gt;=INDEX(Stage_Storage!$A$11:$A$18,ROWS(Stage_Storage!$A$11:$A$18)),INDEX(Stage_Storage!$E$11:$E$18,ROWS(Stage_Storage!$E$11:$E$18)),INDEX(Stage_Storage!$E$11:$E$18,MATCH(A54,Stage_Storage!$A$11:$A$18,1))+(A54-INDEX(Stage_Storage!$A$11:$A$18,MATCH(A54,Stage_Storage!$A$11:$A$18,1)))/(INDEX(Stage_Storage!$A$11:$A$18,MATCH(A54,Stage_Storage!$A$11:$A$18,1)+1)-INDEX(Stage_Storage!$A$11:$A$18,MATCH(A54,Stage_Storage!$A$11:$A$18,1)))*(INDEX(Stage_Storage!$E$11:$E$18,MATCH(A54,Stage_Storage!$A$11:$A$18,1)+1)-INDEX(Stage_Storage!$E$11:$E$18,MATCH(A54,Stage_Storage!$A$11:$A$18,1)))))</f>
        <v/>
      </c>
      <c r="G54" s="26">
        <f>F54+E54</f>
        <v/>
      </c>
      <c r="H54" s="19">
        <f>IF(B54&lt;=0,0,IF(B54&gt;=INDEX(Courbe_QH_1200!$A$20:$A$80,ROWS(Courbe_QH_1200!$A$20:$A$80)),INDEX(Courbe_QH_1200!$E$20:$E$80,ROWS(Courbe_QH_1200!$E$20:$E$80)),INDEX(Courbe_QH_1200!$E$20:$E$80,MATCH(B54,Courbe_QH_1200!$A$20:$A$80,1))+(B54-INDEX(Courbe_QH_1200!$A$20:$A$80,MATCH(B54,Courbe_QH_1200!$A$20:$A$80,1)))/(INDEX(Courbe_QH_1200!$A$20:$A$80,MATCH(B54,Courbe_QH_1200!$A$20:$A$80,1)+1)-INDEX(Courbe_QH_1200!$A$20:$A$80,MATCH(B54,Courbe_QH_1200!$A$20:$A$80,1)))*(INDEX(Courbe_QH_1200!$E$20:$E$80,MATCH(B54,Courbe_QH_1200!$A$20:$A$80,1)+1)-INDEX(Courbe_QH_1200!$E$20:$E$80,MATCH(B54,Courbe_QH_1200!$A$20:$A$80,1)))))</f>
        <v/>
      </c>
      <c r="I54" s="19">
        <f>IF(C54&lt;=0,0,IF($B$6&lt;=0,0,(1/$B$6)*D54*IF(($B$5+2*C54*SQRT(1+$B$7^2))&lt;=0,0,((D54/($B$5+2*C54*SQRT(1+$B$7^2)))^(2/3)))*SQRT($B$8)))</f>
        <v/>
      </c>
      <c r="J54" s="9">
        <f>H54+I54</f>
        <v/>
      </c>
      <c r="K54" s="20">
        <f>IF(Parametres!$C$96&lt;=0,0,H54/Parametres!$C$96)</f>
        <v/>
      </c>
      <c r="L54" s="20">
        <f>IF(OR(C54&lt;0.05,D54&lt;0.05),"",I54/D54)</f>
        <v/>
      </c>
    </row>
    <row r="55">
      <c r="A55" s="29" t="n">
        <v>39.08</v>
      </c>
      <c r="B55" s="29">
        <f>A55-$B$10</f>
        <v/>
      </c>
      <c r="C55" s="29">
        <f>MAX(0,A55-$B$4)</f>
        <v/>
      </c>
      <c r="D55" s="19">
        <f>IF(C55&lt;=0,0,($B$5+$B$7*C55)*C55)</f>
        <v/>
      </c>
      <c r="E55" s="21">
        <f>IF($B$11=1,D55*$B$9,0)</f>
        <v/>
      </c>
      <c r="F55" s="21">
        <f>IF(A55&lt;=INDEX(Stage_Storage!$A$11:$A$18,1),INDEX(Stage_Storage!$E$11:$E$18,1),IF(A55&gt;=INDEX(Stage_Storage!$A$11:$A$18,ROWS(Stage_Storage!$A$11:$A$18)),INDEX(Stage_Storage!$E$11:$E$18,ROWS(Stage_Storage!$E$11:$E$18)),INDEX(Stage_Storage!$E$11:$E$18,MATCH(A55,Stage_Storage!$A$11:$A$18,1))+(A55-INDEX(Stage_Storage!$A$11:$A$18,MATCH(A55,Stage_Storage!$A$11:$A$18,1)))/(INDEX(Stage_Storage!$A$11:$A$18,MATCH(A55,Stage_Storage!$A$11:$A$18,1)+1)-INDEX(Stage_Storage!$A$11:$A$18,MATCH(A55,Stage_Storage!$A$11:$A$18,1)))*(INDEX(Stage_Storage!$E$11:$E$18,MATCH(A55,Stage_Storage!$A$11:$A$18,1)+1)-INDEX(Stage_Storage!$E$11:$E$18,MATCH(A55,Stage_Storage!$A$11:$A$18,1)))))</f>
        <v/>
      </c>
      <c r="G55" s="26">
        <f>F55+E55</f>
        <v/>
      </c>
      <c r="H55" s="19">
        <f>IF(B55&lt;=0,0,IF(B55&gt;=INDEX(Courbe_QH_1200!$A$20:$A$80,ROWS(Courbe_QH_1200!$A$20:$A$80)),INDEX(Courbe_QH_1200!$E$20:$E$80,ROWS(Courbe_QH_1200!$E$20:$E$80)),INDEX(Courbe_QH_1200!$E$20:$E$80,MATCH(B55,Courbe_QH_1200!$A$20:$A$80,1))+(B55-INDEX(Courbe_QH_1200!$A$20:$A$80,MATCH(B55,Courbe_QH_1200!$A$20:$A$80,1)))/(INDEX(Courbe_QH_1200!$A$20:$A$80,MATCH(B55,Courbe_QH_1200!$A$20:$A$80,1)+1)-INDEX(Courbe_QH_1200!$A$20:$A$80,MATCH(B55,Courbe_QH_1200!$A$20:$A$80,1)))*(INDEX(Courbe_QH_1200!$E$20:$E$80,MATCH(B55,Courbe_QH_1200!$A$20:$A$80,1)+1)-INDEX(Courbe_QH_1200!$E$20:$E$80,MATCH(B55,Courbe_QH_1200!$A$20:$A$80,1)))))</f>
        <v/>
      </c>
      <c r="I55" s="19">
        <f>IF(C55&lt;=0,0,IF($B$6&lt;=0,0,(1/$B$6)*D55*IF(($B$5+2*C55*SQRT(1+$B$7^2))&lt;=0,0,((D55/($B$5+2*C55*SQRT(1+$B$7^2)))^(2/3)))*SQRT($B$8)))</f>
        <v/>
      </c>
      <c r="J55" s="9">
        <f>H55+I55</f>
        <v/>
      </c>
      <c r="K55" s="20">
        <f>IF(Parametres!$C$96&lt;=0,0,H55/Parametres!$C$96)</f>
        <v/>
      </c>
      <c r="L55" s="20">
        <f>IF(OR(C55&lt;0.05,D55&lt;0.05),"",I55/D55)</f>
        <v/>
      </c>
    </row>
    <row r="56">
      <c r="A56" s="29" t="n">
        <v>39.18</v>
      </c>
      <c r="B56" s="29">
        <f>A56-$B$10</f>
        <v/>
      </c>
      <c r="C56" s="29">
        <f>MAX(0,A56-$B$4)</f>
        <v/>
      </c>
      <c r="D56" s="19">
        <f>IF(C56&lt;=0,0,($B$5+$B$7*C56)*C56)</f>
        <v/>
      </c>
      <c r="E56" s="21">
        <f>IF($B$11=1,D56*$B$9,0)</f>
        <v/>
      </c>
      <c r="F56" s="21">
        <f>IF(A56&lt;=INDEX(Stage_Storage!$A$11:$A$18,1),INDEX(Stage_Storage!$E$11:$E$18,1),IF(A56&gt;=INDEX(Stage_Storage!$A$11:$A$18,ROWS(Stage_Storage!$A$11:$A$18)),INDEX(Stage_Storage!$E$11:$E$18,ROWS(Stage_Storage!$E$11:$E$18)),INDEX(Stage_Storage!$E$11:$E$18,MATCH(A56,Stage_Storage!$A$11:$A$18,1))+(A56-INDEX(Stage_Storage!$A$11:$A$18,MATCH(A56,Stage_Storage!$A$11:$A$18,1)))/(INDEX(Stage_Storage!$A$11:$A$18,MATCH(A56,Stage_Storage!$A$11:$A$18,1)+1)-INDEX(Stage_Storage!$A$11:$A$18,MATCH(A56,Stage_Storage!$A$11:$A$18,1)))*(INDEX(Stage_Storage!$E$11:$E$18,MATCH(A56,Stage_Storage!$A$11:$A$18,1)+1)-INDEX(Stage_Storage!$E$11:$E$18,MATCH(A56,Stage_Storage!$A$11:$A$18,1)))))</f>
        <v/>
      </c>
      <c r="G56" s="26">
        <f>F56+E56</f>
        <v/>
      </c>
      <c r="H56" s="19">
        <f>IF(B56&lt;=0,0,IF(B56&gt;=INDEX(Courbe_QH_1200!$A$20:$A$80,ROWS(Courbe_QH_1200!$A$20:$A$80)),INDEX(Courbe_QH_1200!$E$20:$E$80,ROWS(Courbe_QH_1200!$E$20:$E$80)),INDEX(Courbe_QH_1200!$E$20:$E$80,MATCH(B56,Courbe_QH_1200!$A$20:$A$80,1))+(B56-INDEX(Courbe_QH_1200!$A$20:$A$80,MATCH(B56,Courbe_QH_1200!$A$20:$A$80,1)))/(INDEX(Courbe_QH_1200!$A$20:$A$80,MATCH(B56,Courbe_QH_1200!$A$20:$A$80,1)+1)-INDEX(Courbe_QH_1200!$A$20:$A$80,MATCH(B56,Courbe_QH_1200!$A$20:$A$80,1)))*(INDEX(Courbe_QH_1200!$E$20:$E$80,MATCH(B56,Courbe_QH_1200!$A$20:$A$80,1)+1)-INDEX(Courbe_QH_1200!$E$20:$E$80,MATCH(B56,Courbe_QH_1200!$A$20:$A$80,1)))))</f>
        <v/>
      </c>
      <c r="I56" s="19">
        <f>IF(C56&lt;=0,0,IF($B$6&lt;=0,0,(1/$B$6)*D56*IF(($B$5+2*C56*SQRT(1+$B$7^2))&lt;=0,0,((D56/($B$5+2*C56*SQRT(1+$B$7^2)))^(2/3)))*SQRT($B$8)))</f>
        <v/>
      </c>
      <c r="J56" s="9">
        <f>H56+I56</f>
        <v/>
      </c>
      <c r="K56" s="20">
        <f>IF(Parametres!$C$96&lt;=0,0,H56/Parametres!$C$96)</f>
        <v/>
      </c>
      <c r="L56" s="20">
        <f>IF(OR(C56&lt;0.05,D56&lt;0.05),"",I56/D56)</f>
        <v/>
      </c>
    </row>
    <row r="57">
      <c r="A57" s="29" t="n">
        <v>39.28</v>
      </c>
      <c r="B57" s="29">
        <f>A57-$B$10</f>
        <v/>
      </c>
      <c r="C57" s="29">
        <f>MAX(0,A57-$B$4)</f>
        <v/>
      </c>
      <c r="D57" s="19">
        <f>IF(C57&lt;=0,0,($B$5+$B$7*C57)*C57)</f>
        <v/>
      </c>
      <c r="E57" s="21">
        <f>IF($B$11=1,D57*$B$9,0)</f>
        <v/>
      </c>
      <c r="F57" s="21">
        <f>IF(A57&lt;=INDEX(Stage_Storage!$A$11:$A$18,1),INDEX(Stage_Storage!$E$11:$E$18,1),IF(A57&gt;=INDEX(Stage_Storage!$A$11:$A$18,ROWS(Stage_Storage!$A$11:$A$18)),INDEX(Stage_Storage!$E$11:$E$18,ROWS(Stage_Storage!$E$11:$E$18)),INDEX(Stage_Storage!$E$11:$E$18,MATCH(A57,Stage_Storage!$A$11:$A$18,1))+(A57-INDEX(Stage_Storage!$A$11:$A$18,MATCH(A57,Stage_Storage!$A$11:$A$18,1)))/(INDEX(Stage_Storage!$A$11:$A$18,MATCH(A57,Stage_Storage!$A$11:$A$18,1)+1)-INDEX(Stage_Storage!$A$11:$A$18,MATCH(A57,Stage_Storage!$A$11:$A$18,1)))*(INDEX(Stage_Storage!$E$11:$E$18,MATCH(A57,Stage_Storage!$A$11:$A$18,1)+1)-INDEX(Stage_Storage!$E$11:$E$18,MATCH(A57,Stage_Storage!$A$11:$A$18,1)))))</f>
        <v/>
      </c>
      <c r="G57" s="26">
        <f>F57+E57</f>
        <v/>
      </c>
      <c r="H57" s="19">
        <f>IF(B57&lt;=0,0,IF(B57&gt;=INDEX(Courbe_QH_1200!$A$20:$A$80,ROWS(Courbe_QH_1200!$A$20:$A$80)),INDEX(Courbe_QH_1200!$E$20:$E$80,ROWS(Courbe_QH_1200!$E$20:$E$80)),INDEX(Courbe_QH_1200!$E$20:$E$80,MATCH(B57,Courbe_QH_1200!$A$20:$A$80,1))+(B57-INDEX(Courbe_QH_1200!$A$20:$A$80,MATCH(B57,Courbe_QH_1200!$A$20:$A$80,1)))/(INDEX(Courbe_QH_1200!$A$20:$A$80,MATCH(B57,Courbe_QH_1200!$A$20:$A$80,1)+1)-INDEX(Courbe_QH_1200!$A$20:$A$80,MATCH(B57,Courbe_QH_1200!$A$20:$A$80,1)))*(INDEX(Courbe_QH_1200!$E$20:$E$80,MATCH(B57,Courbe_QH_1200!$A$20:$A$80,1)+1)-INDEX(Courbe_QH_1200!$E$20:$E$80,MATCH(B57,Courbe_QH_1200!$A$20:$A$80,1)))))</f>
        <v/>
      </c>
      <c r="I57" s="19">
        <f>IF(C57&lt;=0,0,IF($B$6&lt;=0,0,(1/$B$6)*D57*IF(($B$5+2*C57*SQRT(1+$B$7^2))&lt;=0,0,((D57/($B$5+2*C57*SQRT(1+$B$7^2)))^(2/3)))*SQRT($B$8)))</f>
        <v/>
      </c>
      <c r="J57" s="9">
        <f>H57+I57</f>
        <v/>
      </c>
      <c r="K57" s="20">
        <f>IF(Parametres!$C$96&lt;=0,0,H57/Parametres!$C$96)</f>
        <v/>
      </c>
      <c r="L57" s="20">
        <f>IF(OR(C57&lt;0.05,D57&lt;0.05),"",I57/D57)</f>
        <v/>
      </c>
    </row>
    <row r="58">
      <c r="A58" s="29" t="n">
        <v>39.38</v>
      </c>
      <c r="B58" s="29">
        <f>A58-$B$10</f>
        <v/>
      </c>
      <c r="C58" s="29">
        <f>MAX(0,A58-$B$4)</f>
        <v/>
      </c>
      <c r="D58" s="19">
        <f>IF(C58&lt;=0,0,($B$5+$B$7*C58)*C58)</f>
        <v/>
      </c>
      <c r="E58" s="21">
        <f>IF($B$11=1,D58*$B$9,0)</f>
        <v/>
      </c>
      <c r="F58" s="21">
        <f>IF(A58&lt;=INDEX(Stage_Storage!$A$11:$A$18,1),INDEX(Stage_Storage!$E$11:$E$18,1),IF(A58&gt;=INDEX(Stage_Storage!$A$11:$A$18,ROWS(Stage_Storage!$A$11:$A$18)),INDEX(Stage_Storage!$E$11:$E$18,ROWS(Stage_Storage!$E$11:$E$18)),INDEX(Stage_Storage!$E$11:$E$18,MATCH(A58,Stage_Storage!$A$11:$A$18,1))+(A58-INDEX(Stage_Storage!$A$11:$A$18,MATCH(A58,Stage_Storage!$A$11:$A$18,1)))/(INDEX(Stage_Storage!$A$11:$A$18,MATCH(A58,Stage_Storage!$A$11:$A$18,1)+1)-INDEX(Stage_Storage!$A$11:$A$18,MATCH(A58,Stage_Storage!$A$11:$A$18,1)))*(INDEX(Stage_Storage!$E$11:$E$18,MATCH(A58,Stage_Storage!$A$11:$A$18,1)+1)-INDEX(Stage_Storage!$E$11:$E$18,MATCH(A58,Stage_Storage!$A$11:$A$18,1)))))</f>
        <v/>
      </c>
      <c r="G58" s="26">
        <f>F58+E58</f>
        <v/>
      </c>
      <c r="H58" s="19">
        <f>IF(B58&lt;=0,0,IF(B58&gt;=INDEX(Courbe_QH_1200!$A$20:$A$80,ROWS(Courbe_QH_1200!$A$20:$A$80)),INDEX(Courbe_QH_1200!$E$20:$E$80,ROWS(Courbe_QH_1200!$E$20:$E$80)),INDEX(Courbe_QH_1200!$E$20:$E$80,MATCH(B58,Courbe_QH_1200!$A$20:$A$80,1))+(B58-INDEX(Courbe_QH_1200!$A$20:$A$80,MATCH(B58,Courbe_QH_1200!$A$20:$A$80,1)))/(INDEX(Courbe_QH_1200!$A$20:$A$80,MATCH(B58,Courbe_QH_1200!$A$20:$A$80,1)+1)-INDEX(Courbe_QH_1200!$A$20:$A$80,MATCH(B58,Courbe_QH_1200!$A$20:$A$80,1)))*(INDEX(Courbe_QH_1200!$E$20:$E$80,MATCH(B58,Courbe_QH_1200!$A$20:$A$80,1)+1)-INDEX(Courbe_QH_1200!$E$20:$E$80,MATCH(B58,Courbe_QH_1200!$A$20:$A$80,1)))))</f>
        <v/>
      </c>
      <c r="I58" s="19">
        <f>IF(C58&lt;=0,0,IF($B$6&lt;=0,0,(1/$B$6)*D58*IF(($B$5+2*C58*SQRT(1+$B$7^2))&lt;=0,0,((D58/($B$5+2*C58*SQRT(1+$B$7^2)))^(2/3)))*SQRT($B$8)))</f>
        <v/>
      </c>
      <c r="J58" s="9">
        <f>H58+I58</f>
        <v/>
      </c>
      <c r="K58" s="20">
        <f>IF(Parametres!$C$96&lt;=0,0,H58/Parametres!$C$96)</f>
        <v/>
      </c>
      <c r="L58" s="20">
        <f>IF(OR(C58&lt;0.05,D58&lt;0.05),"",I58/D58)</f>
        <v/>
      </c>
    </row>
    <row r="59">
      <c r="A59" s="29" t="n">
        <v>39.48</v>
      </c>
      <c r="B59" s="29">
        <f>A59-$B$10</f>
        <v/>
      </c>
      <c r="C59" s="29">
        <f>MAX(0,A59-$B$4)</f>
        <v/>
      </c>
      <c r="D59" s="19">
        <f>IF(C59&lt;=0,0,($B$5+$B$7*C59)*C59)</f>
        <v/>
      </c>
      <c r="E59" s="21">
        <f>IF($B$11=1,D59*$B$9,0)</f>
        <v/>
      </c>
      <c r="F59" s="21">
        <f>IF(A59&lt;=INDEX(Stage_Storage!$A$11:$A$18,1),INDEX(Stage_Storage!$E$11:$E$18,1),IF(A59&gt;=INDEX(Stage_Storage!$A$11:$A$18,ROWS(Stage_Storage!$A$11:$A$18)),INDEX(Stage_Storage!$E$11:$E$18,ROWS(Stage_Storage!$E$11:$E$18)),INDEX(Stage_Storage!$E$11:$E$18,MATCH(A59,Stage_Storage!$A$11:$A$18,1))+(A59-INDEX(Stage_Storage!$A$11:$A$18,MATCH(A59,Stage_Storage!$A$11:$A$18,1)))/(INDEX(Stage_Storage!$A$11:$A$18,MATCH(A59,Stage_Storage!$A$11:$A$18,1)+1)-INDEX(Stage_Storage!$A$11:$A$18,MATCH(A59,Stage_Storage!$A$11:$A$18,1)))*(INDEX(Stage_Storage!$E$11:$E$18,MATCH(A59,Stage_Storage!$A$11:$A$18,1)+1)-INDEX(Stage_Storage!$E$11:$E$18,MATCH(A59,Stage_Storage!$A$11:$A$18,1)))))</f>
        <v/>
      </c>
      <c r="G59" s="26">
        <f>F59+E59</f>
        <v/>
      </c>
      <c r="H59" s="19">
        <f>IF(B59&lt;=0,0,IF(B59&gt;=INDEX(Courbe_QH_1200!$A$20:$A$80,ROWS(Courbe_QH_1200!$A$20:$A$80)),INDEX(Courbe_QH_1200!$E$20:$E$80,ROWS(Courbe_QH_1200!$E$20:$E$80)),INDEX(Courbe_QH_1200!$E$20:$E$80,MATCH(B59,Courbe_QH_1200!$A$20:$A$80,1))+(B59-INDEX(Courbe_QH_1200!$A$20:$A$80,MATCH(B59,Courbe_QH_1200!$A$20:$A$80,1)))/(INDEX(Courbe_QH_1200!$A$20:$A$80,MATCH(B59,Courbe_QH_1200!$A$20:$A$80,1)+1)-INDEX(Courbe_QH_1200!$A$20:$A$80,MATCH(B59,Courbe_QH_1200!$A$20:$A$80,1)))*(INDEX(Courbe_QH_1200!$E$20:$E$80,MATCH(B59,Courbe_QH_1200!$A$20:$A$80,1)+1)-INDEX(Courbe_QH_1200!$E$20:$E$80,MATCH(B59,Courbe_QH_1200!$A$20:$A$80,1)))))</f>
        <v/>
      </c>
      <c r="I59" s="19">
        <f>IF(C59&lt;=0,0,IF($B$6&lt;=0,0,(1/$B$6)*D59*IF(($B$5+2*C59*SQRT(1+$B$7^2))&lt;=0,0,((D59/($B$5+2*C59*SQRT(1+$B$7^2)))^(2/3)))*SQRT($B$8)))</f>
        <v/>
      </c>
      <c r="J59" s="9">
        <f>H59+I59</f>
        <v/>
      </c>
      <c r="K59" s="20">
        <f>IF(Parametres!$C$96&lt;=0,0,H59/Parametres!$C$96)</f>
        <v/>
      </c>
      <c r="L59" s="20">
        <f>IF(OR(C59&lt;0.05,D59&lt;0.05),"",I59/D59)</f>
        <v/>
      </c>
    </row>
    <row r="60">
      <c r="A60" s="29" t="n">
        <v>39.58</v>
      </c>
      <c r="B60" s="29">
        <f>A60-$B$10</f>
        <v/>
      </c>
      <c r="C60" s="29">
        <f>MAX(0,A60-$B$4)</f>
        <v/>
      </c>
      <c r="D60" s="19">
        <f>IF(C60&lt;=0,0,($B$5+$B$7*C60)*C60)</f>
        <v/>
      </c>
      <c r="E60" s="21">
        <f>IF($B$11=1,D60*$B$9,0)</f>
        <v/>
      </c>
      <c r="F60" s="21">
        <f>IF(A60&lt;=INDEX(Stage_Storage!$A$11:$A$18,1),INDEX(Stage_Storage!$E$11:$E$18,1),IF(A60&gt;=INDEX(Stage_Storage!$A$11:$A$18,ROWS(Stage_Storage!$A$11:$A$18)),INDEX(Stage_Storage!$E$11:$E$18,ROWS(Stage_Storage!$E$11:$E$18)),INDEX(Stage_Storage!$E$11:$E$18,MATCH(A60,Stage_Storage!$A$11:$A$18,1))+(A60-INDEX(Stage_Storage!$A$11:$A$18,MATCH(A60,Stage_Storage!$A$11:$A$18,1)))/(INDEX(Stage_Storage!$A$11:$A$18,MATCH(A60,Stage_Storage!$A$11:$A$18,1)+1)-INDEX(Stage_Storage!$A$11:$A$18,MATCH(A60,Stage_Storage!$A$11:$A$18,1)))*(INDEX(Stage_Storage!$E$11:$E$18,MATCH(A60,Stage_Storage!$A$11:$A$18,1)+1)-INDEX(Stage_Storage!$E$11:$E$18,MATCH(A60,Stage_Storage!$A$11:$A$18,1)))))</f>
        <v/>
      </c>
      <c r="G60" s="26">
        <f>F60+E60</f>
        <v/>
      </c>
      <c r="H60" s="19">
        <f>IF(B60&lt;=0,0,IF(B60&gt;=INDEX(Courbe_QH_1200!$A$20:$A$80,ROWS(Courbe_QH_1200!$A$20:$A$80)),INDEX(Courbe_QH_1200!$E$20:$E$80,ROWS(Courbe_QH_1200!$E$20:$E$80)),INDEX(Courbe_QH_1200!$E$20:$E$80,MATCH(B60,Courbe_QH_1200!$A$20:$A$80,1))+(B60-INDEX(Courbe_QH_1200!$A$20:$A$80,MATCH(B60,Courbe_QH_1200!$A$20:$A$80,1)))/(INDEX(Courbe_QH_1200!$A$20:$A$80,MATCH(B60,Courbe_QH_1200!$A$20:$A$80,1)+1)-INDEX(Courbe_QH_1200!$A$20:$A$80,MATCH(B60,Courbe_QH_1200!$A$20:$A$80,1)))*(INDEX(Courbe_QH_1200!$E$20:$E$80,MATCH(B60,Courbe_QH_1200!$A$20:$A$80,1)+1)-INDEX(Courbe_QH_1200!$E$20:$E$80,MATCH(B60,Courbe_QH_1200!$A$20:$A$80,1)))))</f>
        <v/>
      </c>
      <c r="I60" s="19">
        <f>IF(C60&lt;=0,0,IF($B$6&lt;=0,0,(1/$B$6)*D60*IF(($B$5+2*C60*SQRT(1+$B$7^2))&lt;=0,0,((D60/($B$5+2*C60*SQRT(1+$B$7^2)))^(2/3)))*SQRT($B$8)))</f>
        <v/>
      </c>
      <c r="J60" s="9">
        <f>H60+I60</f>
        <v/>
      </c>
      <c r="K60" s="20">
        <f>IF(Parametres!$C$96&lt;=0,0,H60/Parametres!$C$96)</f>
        <v/>
      </c>
      <c r="L60" s="20">
        <f>IF(OR(C60&lt;0.05,D60&lt;0.05),"",I60/D60)</f>
        <v/>
      </c>
    </row>
    <row r="61">
      <c r="A61" s="29" t="n">
        <v>39.68</v>
      </c>
      <c r="B61" s="29">
        <f>A61-$B$10</f>
        <v/>
      </c>
      <c r="C61" s="29">
        <f>MAX(0,A61-$B$4)</f>
        <v/>
      </c>
      <c r="D61" s="19">
        <f>IF(C61&lt;=0,0,($B$5+$B$7*C61)*C61)</f>
        <v/>
      </c>
      <c r="E61" s="21">
        <f>IF($B$11=1,D61*$B$9,0)</f>
        <v/>
      </c>
      <c r="F61" s="21">
        <f>IF(A61&lt;=INDEX(Stage_Storage!$A$11:$A$18,1),INDEX(Stage_Storage!$E$11:$E$18,1),IF(A61&gt;=INDEX(Stage_Storage!$A$11:$A$18,ROWS(Stage_Storage!$A$11:$A$18)),INDEX(Stage_Storage!$E$11:$E$18,ROWS(Stage_Storage!$E$11:$E$18)),INDEX(Stage_Storage!$E$11:$E$18,MATCH(A61,Stage_Storage!$A$11:$A$18,1))+(A61-INDEX(Stage_Storage!$A$11:$A$18,MATCH(A61,Stage_Storage!$A$11:$A$18,1)))/(INDEX(Stage_Storage!$A$11:$A$18,MATCH(A61,Stage_Storage!$A$11:$A$18,1)+1)-INDEX(Stage_Storage!$A$11:$A$18,MATCH(A61,Stage_Storage!$A$11:$A$18,1)))*(INDEX(Stage_Storage!$E$11:$E$18,MATCH(A61,Stage_Storage!$A$11:$A$18,1)+1)-INDEX(Stage_Storage!$E$11:$E$18,MATCH(A61,Stage_Storage!$A$11:$A$18,1)))))</f>
        <v/>
      </c>
      <c r="G61" s="26">
        <f>F61+E61</f>
        <v/>
      </c>
      <c r="H61" s="19">
        <f>IF(B61&lt;=0,0,IF(B61&gt;=INDEX(Courbe_QH_1200!$A$20:$A$80,ROWS(Courbe_QH_1200!$A$20:$A$80)),INDEX(Courbe_QH_1200!$E$20:$E$80,ROWS(Courbe_QH_1200!$E$20:$E$80)),INDEX(Courbe_QH_1200!$E$20:$E$80,MATCH(B61,Courbe_QH_1200!$A$20:$A$80,1))+(B61-INDEX(Courbe_QH_1200!$A$20:$A$80,MATCH(B61,Courbe_QH_1200!$A$20:$A$80,1)))/(INDEX(Courbe_QH_1200!$A$20:$A$80,MATCH(B61,Courbe_QH_1200!$A$20:$A$80,1)+1)-INDEX(Courbe_QH_1200!$A$20:$A$80,MATCH(B61,Courbe_QH_1200!$A$20:$A$80,1)))*(INDEX(Courbe_QH_1200!$E$20:$E$80,MATCH(B61,Courbe_QH_1200!$A$20:$A$80,1)+1)-INDEX(Courbe_QH_1200!$E$20:$E$80,MATCH(B61,Courbe_QH_1200!$A$20:$A$80,1)))))</f>
        <v/>
      </c>
      <c r="I61" s="19">
        <f>IF(C61&lt;=0,0,IF($B$6&lt;=0,0,(1/$B$6)*D61*IF(($B$5+2*C61*SQRT(1+$B$7^2))&lt;=0,0,((D61/($B$5+2*C61*SQRT(1+$B$7^2)))^(2/3)))*SQRT($B$8)))</f>
        <v/>
      </c>
      <c r="J61" s="9">
        <f>H61+I61</f>
        <v/>
      </c>
      <c r="K61" s="20">
        <f>IF(Parametres!$C$96&lt;=0,0,H61/Parametres!$C$96)</f>
        <v/>
      </c>
      <c r="L61" s="20">
        <f>IF(OR(C61&lt;0.05,D61&lt;0.05),"",I61/D61)</f>
        <v/>
      </c>
    </row>
    <row r="62">
      <c r="A62" s="29" t="n">
        <v>39.78</v>
      </c>
      <c r="B62" s="29">
        <f>A62-$B$10</f>
        <v/>
      </c>
      <c r="C62" s="29">
        <f>MAX(0,A62-$B$4)</f>
        <v/>
      </c>
      <c r="D62" s="19">
        <f>IF(C62&lt;=0,0,($B$5+$B$7*C62)*C62)</f>
        <v/>
      </c>
      <c r="E62" s="21">
        <f>IF($B$11=1,D62*$B$9,0)</f>
        <v/>
      </c>
      <c r="F62" s="21">
        <f>IF(A62&lt;=INDEX(Stage_Storage!$A$11:$A$18,1),INDEX(Stage_Storage!$E$11:$E$18,1),IF(A62&gt;=INDEX(Stage_Storage!$A$11:$A$18,ROWS(Stage_Storage!$A$11:$A$18)),INDEX(Stage_Storage!$E$11:$E$18,ROWS(Stage_Storage!$E$11:$E$18)),INDEX(Stage_Storage!$E$11:$E$18,MATCH(A62,Stage_Storage!$A$11:$A$18,1))+(A62-INDEX(Stage_Storage!$A$11:$A$18,MATCH(A62,Stage_Storage!$A$11:$A$18,1)))/(INDEX(Stage_Storage!$A$11:$A$18,MATCH(A62,Stage_Storage!$A$11:$A$18,1)+1)-INDEX(Stage_Storage!$A$11:$A$18,MATCH(A62,Stage_Storage!$A$11:$A$18,1)))*(INDEX(Stage_Storage!$E$11:$E$18,MATCH(A62,Stage_Storage!$A$11:$A$18,1)+1)-INDEX(Stage_Storage!$E$11:$E$18,MATCH(A62,Stage_Storage!$A$11:$A$18,1)))))</f>
        <v/>
      </c>
      <c r="G62" s="26">
        <f>F62+E62</f>
        <v/>
      </c>
      <c r="H62" s="19">
        <f>IF(B62&lt;=0,0,IF(B62&gt;=INDEX(Courbe_QH_1200!$A$20:$A$80,ROWS(Courbe_QH_1200!$A$20:$A$80)),INDEX(Courbe_QH_1200!$E$20:$E$80,ROWS(Courbe_QH_1200!$E$20:$E$80)),INDEX(Courbe_QH_1200!$E$20:$E$80,MATCH(B62,Courbe_QH_1200!$A$20:$A$80,1))+(B62-INDEX(Courbe_QH_1200!$A$20:$A$80,MATCH(B62,Courbe_QH_1200!$A$20:$A$80,1)))/(INDEX(Courbe_QH_1200!$A$20:$A$80,MATCH(B62,Courbe_QH_1200!$A$20:$A$80,1)+1)-INDEX(Courbe_QH_1200!$A$20:$A$80,MATCH(B62,Courbe_QH_1200!$A$20:$A$80,1)))*(INDEX(Courbe_QH_1200!$E$20:$E$80,MATCH(B62,Courbe_QH_1200!$A$20:$A$80,1)+1)-INDEX(Courbe_QH_1200!$E$20:$E$80,MATCH(B62,Courbe_QH_1200!$A$20:$A$80,1)))))</f>
        <v/>
      </c>
      <c r="I62" s="19">
        <f>IF(C62&lt;=0,0,IF($B$6&lt;=0,0,(1/$B$6)*D62*IF(($B$5+2*C62*SQRT(1+$B$7^2))&lt;=0,0,((D62/($B$5+2*C62*SQRT(1+$B$7^2)))^(2/3)))*SQRT($B$8)))</f>
        <v/>
      </c>
      <c r="J62" s="9">
        <f>H62+I62</f>
        <v/>
      </c>
      <c r="K62" s="20">
        <f>IF(Parametres!$C$96&lt;=0,0,H62/Parametres!$C$96)</f>
        <v/>
      </c>
      <c r="L62" s="20">
        <f>IF(OR(C62&lt;0.05,D62&lt;0.05),"",I62/D62)</f>
        <v/>
      </c>
    </row>
    <row r="63">
      <c r="A63" s="29" t="n">
        <v>39.88</v>
      </c>
      <c r="B63" s="29">
        <f>A63-$B$10</f>
        <v/>
      </c>
      <c r="C63" s="29">
        <f>MAX(0,A63-$B$4)</f>
        <v/>
      </c>
      <c r="D63" s="19">
        <f>IF(C63&lt;=0,0,($B$5+$B$7*C63)*C63)</f>
        <v/>
      </c>
      <c r="E63" s="21">
        <f>IF($B$11=1,D63*$B$9,0)</f>
        <v/>
      </c>
      <c r="F63" s="21">
        <f>IF(A63&lt;=INDEX(Stage_Storage!$A$11:$A$18,1),INDEX(Stage_Storage!$E$11:$E$18,1),IF(A63&gt;=INDEX(Stage_Storage!$A$11:$A$18,ROWS(Stage_Storage!$A$11:$A$18)),INDEX(Stage_Storage!$E$11:$E$18,ROWS(Stage_Storage!$E$11:$E$18)),INDEX(Stage_Storage!$E$11:$E$18,MATCH(A63,Stage_Storage!$A$11:$A$18,1))+(A63-INDEX(Stage_Storage!$A$11:$A$18,MATCH(A63,Stage_Storage!$A$11:$A$18,1)))/(INDEX(Stage_Storage!$A$11:$A$18,MATCH(A63,Stage_Storage!$A$11:$A$18,1)+1)-INDEX(Stage_Storage!$A$11:$A$18,MATCH(A63,Stage_Storage!$A$11:$A$18,1)))*(INDEX(Stage_Storage!$E$11:$E$18,MATCH(A63,Stage_Storage!$A$11:$A$18,1)+1)-INDEX(Stage_Storage!$E$11:$E$18,MATCH(A63,Stage_Storage!$A$11:$A$18,1)))))</f>
        <v/>
      </c>
      <c r="G63" s="26">
        <f>F63+E63</f>
        <v/>
      </c>
      <c r="H63" s="19">
        <f>IF(B63&lt;=0,0,IF(B63&gt;=INDEX(Courbe_QH_1200!$A$20:$A$80,ROWS(Courbe_QH_1200!$A$20:$A$80)),INDEX(Courbe_QH_1200!$E$20:$E$80,ROWS(Courbe_QH_1200!$E$20:$E$80)),INDEX(Courbe_QH_1200!$E$20:$E$80,MATCH(B63,Courbe_QH_1200!$A$20:$A$80,1))+(B63-INDEX(Courbe_QH_1200!$A$20:$A$80,MATCH(B63,Courbe_QH_1200!$A$20:$A$80,1)))/(INDEX(Courbe_QH_1200!$A$20:$A$80,MATCH(B63,Courbe_QH_1200!$A$20:$A$80,1)+1)-INDEX(Courbe_QH_1200!$A$20:$A$80,MATCH(B63,Courbe_QH_1200!$A$20:$A$80,1)))*(INDEX(Courbe_QH_1200!$E$20:$E$80,MATCH(B63,Courbe_QH_1200!$A$20:$A$80,1)+1)-INDEX(Courbe_QH_1200!$E$20:$E$80,MATCH(B63,Courbe_QH_1200!$A$20:$A$80,1)))))</f>
        <v/>
      </c>
      <c r="I63" s="19">
        <f>IF(C63&lt;=0,0,IF($B$6&lt;=0,0,(1/$B$6)*D63*IF(($B$5+2*C63*SQRT(1+$B$7^2))&lt;=0,0,((D63/($B$5+2*C63*SQRT(1+$B$7^2)))^(2/3)))*SQRT($B$8)))</f>
        <v/>
      </c>
      <c r="J63" s="9">
        <f>H63+I63</f>
        <v/>
      </c>
      <c r="K63" s="20">
        <f>IF(Parametres!$C$96&lt;=0,0,H63/Parametres!$C$96)</f>
        <v/>
      </c>
      <c r="L63" s="20">
        <f>IF(OR(C63&lt;0.05,D63&lt;0.05),"",I63/D63)</f>
        <v/>
      </c>
    </row>
    <row r="64">
      <c r="A64" s="29" t="n">
        <v>39.98</v>
      </c>
      <c r="B64" s="29">
        <f>A64-$B$10</f>
        <v/>
      </c>
      <c r="C64" s="29">
        <f>MAX(0,A64-$B$4)</f>
        <v/>
      </c>
      <c r="D64" s="19">
        <f>IF(C64&lt;=0,0,($B$5+$B$7*C64)*C64)</f>
        <v/>
      </c>
      <c r="E64" s="21">
        <f>IF($B$11=1,D64*$B$9,0)</f>
        <v/>
      </c>
      <c r="F64" s="21">
        <f>IF(A64&lt;=INDEX(Stage_Storage!$A$11:$A$18,1),INDEX(Stage_Storage!$E$11:$E$18,1),IF(A64&gt;=INDEX(Stage_Storage!$A$11:$A$18,ROWS(Stage_Storage!$A$11:$A$18)),INDEX(Stage_Storage!$E$11:$E$18,ROWS(Stage_Storage!$E$11:$E$18)),INDEX(Stage_Storage!$E$11:$E$18,MATCH(A64,Stage_Storage!$A$11:$A$18,1))+(A64-INDEX(Stage_Storage!$A$11:$A$18,MATCH(A64,Stage_Storage!$A$11:$A$18,1)))/(INDEX(Stage_Storage!$A$11:$A$18,MATCH(A64,Stage_Storage!$A$11:$A$18,1)+1)-INDEX(Stage_Storage!$A$11:$A$18,MATCH(A64,Stage_Storage!$A$11:$A$18,1)))*(INDEX(Stage_Storage!$E$11:$E$18,MATCH(A64,Stage_Storage!$A$11:$A$18,1)+1)-INDEX(Stage_Storage!$E$11:$E$18,MATCH(A64,Stage_Storage!$A$11:$A$18,1)))))</f>
        <v/>
      </c>
      <c r="G64" s="26">
        <f>F64+E64</f>
        <v/>
      </c>
      <c r="H64" s="19">
        <f>IF(B64&lt;=0,0,IF(B64&gt;=INDEX(Courbe_QH_1200!$A$20:$A$80,ROWS(Courbe_QH_1200!$A$20:$A$80)),INDEX(Courbe_QH_1200!$E$20:$E$80,ROWS(Courbe_QH_1200!$E$20:$E$80)),INDEX(Courbe_QH_1200!$E$20:$E$80,MATCH(B64,Courbe_QH_1200!$A$20:$A$80,1))+(B64-INDEX(Courbe_QH_1200!$A$20:$A$80,MATCH(B64,Courbe_QH_1200!$A$20:$A$80,1)))/(INDEX(Courbe_QH_1200!$A$20:$A$80,MATCH(B64,Courbe_QH_1200!$A$20:$A$80,1)+1)-INDEX(Courbe_QH_1200!$A$20:$A$80,MATCH(B64,Courbe_QH_1200!$A$20:$A$80,1)))*(INDEX(Courbe_QH_1200!$E$20:$E$80,MATCH(B64,Courbe_QH_1200!$A$20:$A$80,1)+1)-INDEX(Courbe_QH_1200!$E$20:$E$80,MATCH(B64,Courbe_QH_1200!$A$20:$A$80,1)))))</f>
        <v/>
      </c>
      <c r="I64" s="19">
        <f>IF(C64&lt;=0,0,IF($B$6&lt;=0,0,(1/$B$6)*D64*IF(($B$5+2*C64*SQRT(1+$B$7^2))&lt;=0,0,((D64/($B$5+2*C64*SQRT(1+$B$7^2)))^(2/3)))*SQRT($B$8)))</f>
        <v/>
      </c>
      <c r="J64" s="9">
        <f>H64+I64</f>
        <v/>
      </c>
      <c r="K64" s="20">
        <f>IF(Parametres!$C$96&lt;=0,0,H64/Parametres!$C$96)</f>
        <v/>
      </c>
      <c r="L64" s="20">
        <f>IF(OR(C64&lt;0.05,D64&lt;0.05),"",I64/D64)</f>
        <v/>
      </c>
    </row>
  </sheetData>
  <mergeCells count="1">
    <mergeCell ref="A2:K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Methode C — routage V_total + Qout compose (sans Ø900)</t>
        </is>
      </c>
    </row>
    <row r="2">
      <c r="A2" t="inlineStr">
        <is>
          <t>WSE depuis V_total (Compose_1200; B25 pilote V_ditch). Qout = Q_1200 + Q_overflow.</t>
        </is>
      </c>
    </row>
    <row r="4">
      <c r="A4" t="inlineStr">
        <is>
          <t>Q_plein ref</t>
        </is>
      </c>
      <c r="B4" s="30">
        <f>Parametres!B22</f>
        <v/>
      </c>
    </row>
    <row r="5">
      <c r="A5" t="inlineStr">
        <is>
          <t>Crest</t>
        </is>
      </c>
      <c r="B5" s="30">
        <f>Parametres!B27</f>
        <v/>
      </c>
    </row>
    <row r="7">
      <c r="A7" t="inlineStr">
        <is>
          <t>Vmax_C</t>
        </is>
      </c>
      <c r="B7" s="25">
        <f>MAX(F10:F22)</f>
        <v/>
      </c>
    </row>
    <row r="8">
      <c r="A8" t="inlineStr">
        <is>
          <t>WSEmax_C</t>
        </is>
      </c>
      <c r="B8" s="14">
        <f>MAX(C10:C22)</f>
        <v/>
      </c>
    </row>
    <row r="9">
      <c r="A9" s="17" t="inlineStr">
        <is>
          <t>t</t>
        </is>
      </c>
      <c r="B9" s="17" t="inlineStr">
        <is>
          <t>Qin</t>
        </is>
      </c>
      <c r="C9" s="17" t="inlineStr">
        <is>
          <t>WSE</t>
        </is>
      </c>
      <c r="D9" s="17" t="inlineStr">
        <is>
          <t>Qout</t>
        </is>
      </c>
      <c r="E9" s="17" t="inlineStr">
        <is>
          <t>dt</t>
        </is>
      </c>
      <c r="F9" s="17" t="inlineStr">
        <is>
          <t>V</t>
        </is>
      </c>
      <c r="G9" s="17" t="inlineStr">
        <is>
          <t>Overflow?</t>
        </is>
      </c>
      <c r="H9" s="17" t="inlineStr">
        <is>
          <t>V_pipe_seul (m/s)</t>
        </is>
      </c>
    </row>
    <row r="10">
      <c r="A10" s="19">
        <f>Hydrogramme!A7</f>
        <v/>
      </c>
      <c r="B10" s="19">
        <f>Hydrogramme!C7</f>
        <v/>
      </c>
      <c r="C10" s="19">
        <f>Parametres!B19</f>
        <v/>
      </c>
      <c r="D10" s="19">
        <f>MIN(B10,$B$4)</f>
        <v/>
      </c>
      <c r="E10" s="21" t="n">
        <v>0</v>
      </c>
      <c r="F10" s="26" t="n">
        <v>0</v>
      </c>
      <c r="G10" s="18" t="inlineStr">
        <is>
          <t>non</t>
        </is>
      </c>
      <c r="H10" s="20">
        <f>IF(OR(Parametres!$C$96&lt;=0,C10&gt;$B$5),"",D10/Parametres!$C$96)</f>
        <v/>
      </c>
    </row>
    <row r="11">
      <c r="A11" s="19">
        <f>Hydrogramme!A8</f>
        <v/>
      </c>
      <c r="B11" s="19">
        <f>Hydrogramme!C8</f>
        <v/>
      </c>
      <c r="C11" s="19">
        <f>IF(F10&lt;=INDEX(Compose_1200!$G$13:$G$64,1),INDEX(Compose_1200!$A$13:$A$64,1),IF(F10&gt;=INDEX(Compose_1200!$G$13:$G$64,ROWS(Compose_1200!$G$13:$G$64)),INDEX(Compose_1200!$A$13:$A$64,ROWS(Compose_1200!$A$13:$A$64)),INDEX(Compose_1200!$A$13:$A$64,MATCH(F10,Compose_1200!$G$13:$G$64,1))+(F10-INDEX(Compose_1200!$G$13:$G$64,MATCH(F10,Compose_1200!$G$13:$G$64,1)))/(INDEX(Compose_1200!$G$13:$G$64,MATCH(F10,Compose_1200!$G$13:$G$64,1)+1)-INDEX(Compose_1200!$G$13:$G$64,MATCH(F10,Compose_1200!$G$13:$G$64,1)))*(INDEX(Compose_1200!$A$13:$A$64,MATCH(F10,Compose_1200!$G$13:$G$64,1)+1)-INDEX(Compose_1200!$A$13:$A$64,MATCH(F10,Compose_1200!$G$13:$G$64,1)))))</f>
        <v/>
      </c>
      <c r="D11" s="19">
        <f>IF(F10&lt;=0.01,MIN(0.5*(B10+B11),$B$4),IF(C11&lt;=INDEX(Compose_1200!$A$13:$A$64,1),INDEX(Compose_1200!$J$13:$J$64,1),IF(C11&gt;=INDEX(Compose_1200!$A$13:$A$64,ROWS(Compose_1200!$A$13:$A$64)),INDEX(Compose_1200!$J$13:$J$64,ROWS(Compose_1200!$J$13:$J$64)),INDEX(Compose_1200!$J$13:$J$64,MATCH(C11,Compose_1200!$A$13:$A$64,1))+(C11-INDEX(Compose_1200!$A$13:$A$64,MATCH(C11,Compose_1200!$A$13:$A$64,1)))/(INDEX(Compose_1200!$A$13:$A$64,MATCH(C11,Compose_1200!$A$13:$A$64,1)+1)-INDEX(Compose_1200!$A$13:$A$64,MATCH(C11,Compose_1200!$A$13:$A$64,1)))*(INDEX(Compose_1200!$J$13:$J$64,MATCH(C11,Compose_1200!$A$13:$A$64,1)+1)-INDEX(Compose_1200!$J$13:$J$64,MATCH(C11,Compose_1200!$A$13:$A$64,1))))))</f>
        <v/>
      </c>
      <c r="E11" s="21">
        <f>(A11-A10)*60</f>
        <v/>
      </c>
      <c r="F11" s="26">
        <f>MAX(0,F10+(0.5*(B10+B11)-D11)*E11)</f>
        <v/>
      </c>
      <c r="G11" s="18">
        <f>IF(C11&gt;$B$5,"oui","non")</f>
        <v/>
      </c>
      <c r="H11" s="20">
        <f>IF(OR(Parametres!$C$96&lt;=0,C11&gt;$B$5),"",D11/Parametres!$C$96)</f>
        <v/>
      </c>
    </row>
    <row r="12">
      <c r="A12" s="19">
        <f>Hydrogramme!A9</f>
        <v/>
      </c>
      <c r="B12" s="19">
        <f>Hydrogramme!C9</f>
        <v/>
      </c>
      <c r="C12" s="19">
        <f>IF(F11&lt;=INDEX(Compose_1200!$G$13:$G$64,1),INDEX(Compose_1200!$A$13:$A$64,1),IF(F11&gt;=INDEX(Compose_1200!$G$13:$G$64,ROWS(Compose_1200!$G$13:$G$64)),INDEX(Compose_1200!$A$13:$A$64,ROWS(Compose_1200!$A$13:$A$64)),INDEX(Compose_1200!$A$13:$A$64,MATCH(F11,Compose_1200!$G$13:$G$64,1))+(F11-INDEX(Compose_1200!$G$13:$G$64,MATCH(F11,Compose_1200!$G$13:$G$64,1)))/(INDEX(Compose_1200!$G$13:$G$64,MATCH(F11,Compose_1200!$G$13:$G$64,1)+1)-INDEX(Compose_1200!$G$13:$G$64,MATCH(F11,Compose_1200!$G$13:$G$64,1)))*(INDEX(Compose_1200!$A$13:$A$64,MATCH(F11,Compose_1200!$G$13:$G$64,1)+1)-INDEX(Compose_1200!$A$13:$A$64,MATCH(F11,Compose_1200!$G$13:$G$64,1)))))</f>
        <v/>
      </c>
      <c r="D12" s="19">
        <f>IF(F11&lt;=0.01,MIN(0.5*(B11+B12),$B$4),IF(C12&lt;=INDEX(Compose_1200!$A$13:$A$64,1),INDEX(Compose_1200!$J$13:$J$64,1),IF(C12&gt;=INDEX(Compose_1200!$A$13:$A$64,ROWS(Compose_1200!$A$13:$A$64)),INDEX(Compose_1200!$J$13:$J$64,ROWS(Compose_1200!$J$13:$J$64)),INDEX(Compose_1200!$J$13:$J$64,MATCH(C12,Compose_1200!$A$13:$A$64,1))+(C12-INDEX(Compose_1200!$A$13:$A$64,MATCH(C12,Compose_1200!$A$13:$A$64,1)))/(INDEX(Compose_1200!$A$13:$A$64,MATCH(C12,Compose_1200!$A$13:$A$64,1)+1)-INDEX(Compose_1200!$A$13:$A$64,MATCH(C12,Compose_1200!$A$13:$A$64,1)))*(INDEX(Compose_1200!$J$13:$J$64,MATCH(C12,Compose_1200!$A$13:$A$64,1)+1)-INDEX(Compose_1200!$J$13:$J$64,MATCH(C12,Compose_1200!$A$13:$A$64,1))))))</f>
        <v/>
      </c>
      <c r="E12" s="21">
        <f>(A12-A11)*60</f>
        <v/>
      </c>
      <c r="F12" s="26">
        <f>MAX(0,F11+(0.5*(B11+B12)-D12)*E12)</f>
        <v/>
      </c>
      <c r="G12" s="18">
        <f>IF(C12&gt;$B$5,"oui","non")</f>
        <v/>
      </c>
      <c r="H12" s="20">
        <f>IF(OR(Parametres!$C$96&lt;=0,C12&gt;$B$5),"",D12/Parametres!$C$96)</f>
        <v/>
      </c>
    </row>
    <row r="13">
      <c r="A13" s="19">
        <f>Hydrogramme!A10</f>
        <v/>
      </c>
      <c r="B13" s="19">
        <f>Hydrogramme!C10</f>
        <v/>
      </c>
      <c r="C13" s="19">
        <f>IF(F12&lt;=INDEX(Compose_1200!$G$13:$G$64,1),INDEX(Compose_1200!$A$13:$A$64,1),IF(F12&gt;=INDEX(Compose_1200!$G$13:$G$64,ROWS(Compose_1200!$G$13:$G$64)),INDEX(Compose_1200!$A$13:$A$64,ROWS(Compose_1200!$A$13:$A$64)),INDEX(Compose_1200!$A$13:$A$64,MATCH(F12,Compose_1200!$G$13:$G$64,1))+(F12-INDEX(Compose_1200!$G$13:$G$64,MATCH(F12,Compose_1200!$G$13:$G$64,1)))/(INDEX(Compose_1200!$G$13:$G$64,MATCH(F12,Compose_1200!$G$13:$G$64,1)+1)-INDEX(Compose_1200!$G$13:$G$64,MATCH(F12,Compose_1200!$G$13:$G$64,1)))*(INDEX(Compose_1200!$A$13:$A$64,MATCH(F12,Compose_1200!$G$13:$G$64,1)+1)-INDEX(Compose_1200!$A$13:$A$64,MATCH(F12,Compose_1200!$G$13:$G$64,1)))))</f>
        <v/>
      </c>
      <c r="D13" s="19">
        <f>IF(F12&lt;=0.01,MIN(0.5*(B12+B13),$B$4),IF(C13&lt;=INDEX(Compose_1200!$A$13:$A$64,1),INDEX(Compose_1200!$J$13:$J$64,1),IF(C13&gt;=INDEX(Compose_1200!$A$13:$A$64,ROWS(Compose_1200!$A$13:$A$64)),INDEX(Compose_1200!$J$13:$J$64,ROWS(Compose_1200!$J$13:$J$64)),INDEX(Compose_1200!$J$13:$J$64,MATCH(C13,Compose_1200!$A$13:$A$64,1))+(C13-INDEX(Compose_1200!$A$13:$A$64,MATCH(C13,Compose_1200!$A$13:$A$64,1)))/(INDEX(Compose_1200!$A$13:$A$64,MATCH(C13,Compose_1200!$A$13:$A$64,1)+1)-INDEX(Compose_1200!$A$13:$A$64,MATCH(C13,Compose_1200!$A$13:$A$64,1)))*(INDEX(Compose_1200!$J$13:$J$64,MATCH(C13,Compose_1200!$A$13:$A$64,1)+1)-INDEX(Compose_1200!$J$13:$J$64,MATCH(C13,Compose_1200!$A$13:$A$64,1))))))</f>
        <v/>
      </c>
      <c r="E13" s="21">
        <f>(A13-A12)*60</f>
        <v/>
      </c>
      <c r="F13" s="26">
        <f>MAX(0,F12+(0.5*(B12+B13)-D13)*E13)</f>
        <v/>
      </c>
      <c r="G13" s="18">
        <f>IF(C13&gt;$B$5,"oui","non")</f>
        <v/>
      </c>
      <c r="H13" s="20">
        <f>IF(OR(Parametres!$C$96&lt;=0,C13&gt;$B$5),"",D13/Parametres!$C$96)</f>
        <v/>
      </c>
    </row>
    <row r="14">
      <c r="A14" s="19">
        <f>Hydrogramme!A11</f>
        <v/>
      </c>
      <c r="B14" s="19">
        <f>Hydrogramme!C11</f>
        <v/>
      </c>
      <c r="C14" s="19">
        <f>IF(F13&lt;=INDEX(Compose_1200!$G$13:$G$64,1),INDEX(Compose_1200!$A$13:$A$64,1),IF(F13&gt;=INDEX(Compose_1200!$G$13:$G$64,ROWS(Compose_1200!$G$13:$G$64)),INDEX(Compose_1200!$A$13:$A$64,ROWS(Compose_1200!$A$13:$A$64)),INDEX(Compose_1200!$A$13:$A$64,MATCH(F13,Compose_1200!$G$13:$G$64,1))+(F13-INDEX(Compose_1200!$G$13:$G$64,MATCH(F13,Compose_1200!$G$13:$G$64,1)))/(INDEX(Compose_1200!$G$13:$G$64,MATCH(F13,Compose_1200!$G$13:$G$64,1)+1)-INDEX(Compose_1200!$G$13:$G$64,MATCH(F13,Compose_1200!$G$13:$G$64,1)))*(INDEX(Compose_1200!$A$13:$A$64,MATCH(F13,Compose_1200!$G$13:$G$64,1)+1)-INDEX(Compose_1200!$A$13:$A$64,MATCH(F13,Compose_1200!$G$13:$G$64,1)))))</f>
        <v/>
      </c>
      <c r="D14" s="19">
        <f>IF(F13&lt;=0.01,MIN(0.5*(B13+B14),$B$4),IF(C14&lt;=INDEX(Compose_1200!$A$13:$A$64,1),INDEX(Compose_1200!$J$13:$J$64,1),IF(C14&gt;=INDEX(Compose_1200!$A$13:$A$64,ROWS(Compose_1200!$A$13:$A$64)),INDEX(Compose_1200!$J$13:$J$64,ROWS(Compose_1200!$J$13:$J$64)),INDEX(Compose_1200!$J$13:$J$64,MATCH(C14,Compose_1200!$A$13:$A$64,1))+(C14-INDEX(Compose_1200!$A$13:$A$64,MATCH(C14,Compose_1200!$A$13:$A$64,1)))/(INDEX(Compose_1200!$A$13:$A$64,MATCH(C14,Compose_1200!$A$13:$A$64,1)+1)-INDEX(Compose_1200!$A$13:$A$64,MATCH(C14,Compose_1200!$A$13:$A$64,1)))*(INDEX(Compose_1200!$J$13:$J$64,MATCH(C14,Compose_1200!$A$13:$A$64,1)+1)-INDEX(Compose_1200!$J$13:$J$64,MATCH(C14,Compose_1200!$A$13:$A$64,1))))))</f>
        <v/>
      </c>
      <c r="E14" s="21">
        <f>(A14-A13)*60</f>
        <v/>
      </c>
      <c r="F14" s="26">
        <f>MAX(0,F13+(0.5*(B13+B14)-D14)*E14)</f>
        <v/>
      </c>
      <c r="G14" s="18">
        <f>IF(C14&gt;$B$5,"oui","non")</f>
        <v/>
      </c>
      <c r="H14" s="20">
        <f>IF(OR(Parametres!$C$96&lt;=0,C14&gt;$B$5),"",D14/Parametres!$C$96)</f>
        <v/>
      </c>
    </row>
    <row r="15">
      <c r="A15" s="19">
        <f>Hydrogramme!A12</f>
        <v/>
      </c>
      <c r="B15" s="19">
        <f>Hydrogramme!C12</f>
        <v/>
      </c>
      <c r="C15" s="19">
        <f>IF(F14&lt;=INDEX(Compose_1200!$G$13:$G$64,1),INDEX(Compose_1200!$A$13:$A$64,1),IF(F14&gt;=INDEX(Compose_1200!$G$13:$G$64,ROWS(Compose_1200!$G$13:$G$64)),INDEX(Compose_1200!$A$13:$A$64,ROWS(Compose_1200!$A$13:$A$64)),INDEX(Compose_1200!$A$13:$A$64,MATCH(F14,Compose_1200!$G$13:$G$64,1))+(F14-INDEX(Compose_1200!$G$13:$G$64,MATCH(F14,Compose_1200!$G$13:$G$64,1)))/(INDEX(Compose_1200!$G$13:$G$64,MATCH(F14,Compose_1200!$G$13:$G$64,1)+1)-INDEX(Compose_1200!$G$13:$G$64,MATCH(F14,Compose_1200!$G$13:$G$64,1)))*(INDEX(Compose_1200!$A$13:$A$64,MATCH(F14,Compose_1200!$G$13:$G$64,1)+1)-INDEX(Compose_1200!$A$13:$A$64,MATCH(F14,Compose_1200!$G$13:$G$64,1)))))</f>
        <v/>
      </c>
      <c r="D15" s="19">
        <f>IF(F14&lt;=0.01,MIN(0.5*(B14+B15),$B$4),IF(C15&lt;=INDEX(Compose_1200!$A$13:$A$64,1),INDEX(Compose_1200!$J$13:$J$64,1),IF(C15&gt;=INDEX(Compose_1200!$A$13:$A$64,ROWS(Compose_1200!$A$13:$A$64)),INDEX(Compose_1200!$J$13:$J$64,ROWS(Compose_1200!$J$13:$J$64)),INDEX(Compose_1200!$J$13:$J$64,MATCH(C15,Compose_1200!$A$13:$A$64,1))+(C15-INDEX(Compose_1200!$A$13:$A$64,MATCH(C15,Compose_1200!$A$13:$A$64,1)))/(INDEX(Compose_1200!$A$13:$A$64,MATCH(C15,Compose_1200!$A$13:$A$64,1)+1)-INDEX(Compose_1200!$A$13:$A$64,MATCH(C15,Compose_1200!$A$13:$A$64,1)))*(INDEX(Compose_1200!$J$13:$J$64,MATCH(C15,Compose_1200!$A$13:$A$64,1)+1)-INDEX(Compose_1200!$J$13:$J$64,MATCH(C15,Compose_1200!$A$13:$A$64,1))))))</f>
        <v/>
      </c>
      <c r="E15" s="21">
        <f>(A15-A14)*60</f>
        <v/>
      </c>
      <c r="F15" s="26">
        <f>MAX(0,F14+(0.5*(B14+B15)-D15)*E15)</f>
        <v/>
      </c>
      <c r="G15" s="18">
        <f>IF(C15&gt;$B$5,"oui","non")</f>
        <v/>
      </c>
      <c r="H15" s="20">
        <f>IF(OR(Parametres!$C$96&lt;=0,C15&gt;$B$5),"",D15/Parametres!$C$96)</f>
        <v/>
      </c>
    </row>
    <row r="16">
      <c r="A16" s="19">
        <f>Hydrogramme!A13</f>
        <v/>
      </c>
      <c r="B16" s="19">
        <f>Hydrogramme!C13</f>
        <v/>
      </c>
      <c r="C16" s="19">
        <f>IF(F15&lt;=INDEX(Compose_1200!$G$13:$G$64,1),INDEX(Compose_1200!$A$13:$A$64,1),IF(F15&gt;=INDEX(Compose_1200!$G$13:$G$64,ROWS(Compose_1200!$G$13:$G$64)),INDEX(Compose_1200!$A$13:$A$64,ROWS(Compose_1200!$A$13:$A$64)),INDEX(Compose_1200!$A$13:$A$64,MATCH(F15,Compose_1200!$G$13:$G$64,1))+(F15-INDEX(Compose_1200!$G$13:$G$64,MATCH(F15,Compose_1200!$G$13:$G$64,1)))/(INDEX(Compose_1200!$G$13:$G$64,MATCH(F15,Compose_1200!$G$13:$G$64,1)+1)-INDEX(Compose_1200!$G$13:$G$64,MATCH(F15,Compose_1200!$G$13:$G$64,1)))*(INDEX(Compose_1200!$A$13:$A$64,MATCH(F15,Compose_1200!$G$13:$G$64,1)+1)-INDEX(Compose_1200!$A$13:$A$64,MATCH(F15,Compose_1200!$G$13:$G$64,1)))))</f>
        <v/>
      </c>
      <c r="D16" s="19">
        <f>IF(F15&lt;=0.01,MIN(0.5*(B15+B16),$B$4),IF(C16&lt;=INDEX(Compose_1200!$A$13:$A$64,1),INDEX(Compose_1200!$J$13:$J$64,1),IF(C16&gt;=INDEX(Compose_1200!$A$13:$A$64,ROWS(Compose_1200!$A$13:$A$64)),INDEX(Compose_1200!$J$13:$J$64,ROWS(Compose_1200!$J$13:$J$64)),INDEX(Compose_1200!$J$13:$J$64,MATCH(C16,Compose_1200!$A$13:$A$64,1))+(C16-INDEX(Compose_1200!$A$13:$A$64,MATCH(C16,Compose_1200!$A$13:$A$64,1)))/(INDEX(Compose_1200!$A$13:$A$64,MATCH(C16,Compose_1200!$A$13:$A$64,1)+1)-INDEX(Compose_1200!$A$13:$A$64,MATCH(C16,Compose_1200!$A$13:$A$64,1)))*(INDEX(Compose_1200!$J$13:$J$64,MATCH(C16,Compose_1200!$A$13:$A$64,1)+1)-INDEX(Compose_1200!$J$13:$J$64,MATCH(C16,Compose_1200!$A$13:$A$64,1))))))</f>
        <v/>
      </c>
      <c r="E16" s="21">
        <f>(A16-A15)*60</f>
        <v/>
      </c>
      <c r="F16" s="26">
        <f>MAX(0,F15+(0.5*(B15+B16)-D16)*E16)</f>
        <v/>
      </c>
      <c r="G16" s="18">
        <f>IF(C16&gt;$B$5,"oui","non")</f>
        <v/>
      </c>
      <c r="H16" s="20">
        <f>IF(OR(Parametres!$C$96&lt;=0,C16&gt;$B$5),"",D16/Parametres!$C$96)</f>
        <v/>
      </c>
    </row>
    <row r="17">
      <c r="A17" s="19">
        <f>Hydrogramme!A14</f>
        <v/>
      </c>
      <c r="B17" s="19">
        <f>Hydrogramme!C14</f>
        <v/>
      </c>
      <c r="C17" s="19">
        <f>IF(F16&lt;=INDEX(Compose_1200!$G$13:$G$64,1),INDEX(Compose_1200!$A$13:$A$64,1),IF(F16&gt;=INDEX(Compose_1200!$G$13:$G$64,ROWS(Compose_1200!$G$13:$G$64)),INDEX(Compose_1200!$A$13:$A$64,ROWS(Compose_1200!$A$13:$A$64)),INDEX(Compose_1200!$A$13:$A$64,MATCH(F16,Compose_1200!$G$13:$G$64,1))+(F16-INDEX(Compose_1200!$G$13:$G$64,MATCH(F16,Compose_1200!$G$13:$G$64,1)))/(INDEX(Compose_1200!$G$13:$G$64,MATCH(F16,Compose_1200!$G$13:$G$64,1)+1)-INDEX(Compose_1200!$G$13:$G$64,MATCH(F16,Compose_1200!$G$13:$G$64,1)))*(INDEX(Compose_1200!$A$13:$A$64,MATCH(F16,Compose_1200!$G$13:$G$64,1)+1)-INDEX(Compose_1200!$A$13:$A$64,MATCH(F16,Compose_1200!$G$13:$G$64,1)))))</f>
        <v/>
      </c>
      <c r="D17" s="19">
        <f>IF(F16&lt;=0.01,MIN(0.5*(B16+B17),$B$4),IF(C17&lt;=INDEX(Compose_1200!$A$13:$A$64,1),INDEX(Compose_1200!$J$13:$J$64,1),IF(C17&gt;=INDEX(Compose_1200!$A$13:$A$64,ROWS(Compose_1200!$A$13:$A$64)),INDEX(Compose_1200!$J$13:$J$64,ROWS(Compose_1200!$J$13:$J$64)),INDEX(Compose_1200!$J$13:$J$64,MATCH(C17,Compose_1200!$A$13:$A$64,1))+(C17-INDEX(Compose_1200!$A$13:$A$64,MATCH(C17,Compose_1200!$A$13:$A$64,1)))/(INDEX(Compose_1200!$A$13:$A$64,MATCH(C17,Compose_1200!$A$13:$A$64,1)+1)-INDEX(Compose_1200!$A$13:$A$64,MATCH(C17,Compose_1200!$A$13:$A$64,1)))*(INDEX(Compose_1200!$J$13:$J$64,MATCH(C17,Compose_1200!$A$13:$A$64,1)+1)-INDEX(Compose_1200!$J$13:$J$64,MATCH(C17,Compose_1200!$A$13:$A$64,1))))))</f>
        <v/>
      </c>
      <c r="E17" s="21">
        <f>(A17-A16)*60</f>
        <v/>
      </c>
      <c r="F17" s="26">
        <f>MAX(0,F16+(0.5*(B16+B17)-D17)*E17)</f>
        <v/>
      </c>
      <c r="G17" s="18">
        <f>IF(C17&gt;$B$5,"oui","non")</f>
        <v/>
      </c>
      <c r="H17" s="20">
        <f>IF(OR(Parametres!$C$96&lt;=0,C17&gt;$B$5),"",D17/Parametres!$C$96)</f>
        <v/>
      </c>
    </row>
    <row r="18">
      <c r="A18" s="19">
        <f>Hydrogramme!A15</f>
        <v/>
      </c>
      <c r="B18" s="19">
        <f>Hydrogramme!C15</f>
        <v/>
      </c>
      <c r="C18" s="19">
        <f>IF(F17&lt;=INDEX(Compose_1200!$G$13:$G$64,1),INDEX(Compose_1200!$A$13:$A$64,1),IF(F17&gt;=INDEX(Compose_1200!$G$13:$G$64,ROWS(Compose_1200!$G$13:$G$64)),INDEX(Compose_1200!$A$13:$A$64,ROWS(Compose_1200!$A$13:$A$64)),INDEX(Compose_1200!$A$13:$A$64,MATCH(F17,Compose_1200!$G$13:$G$64,1))+(F17-INDEX(Compose_1200!$G$13:$G$64,MATCH(F17,Compose_1200!$G$13:$G$64,1)))/(INDEX(Compose_1200!$G$13:$G$64,MATCH(F17,Compose_1200!$G$13:$G$64,1)+1)-INDEX(Compose_1200!$G$13:$G$64,MATCH(F17,Compose_1200!$G$13:$G$64,1)))*(INDEX(Compose_1200!$A$13:$A$64,MATCH(F17,Compose_1200!$G$13:$G$64,1)+1)-INDEX(Compose_1200!$A$13:$A$64,MATCH(F17,Compose_1200!$G$13:$G$64,1)))))</f>
        <v/>
      </c>
      <c r="D18" s="19">
        <f>IF(F17&lt;=0.01,MIN(0.5*(B17+B18),$B$4),IF(C18&lt;=INDEX(Compose_1200!$A$13:$A$64,1),INDEX(Compose_1200!$J$13:$J$64,1),IF(C18&gt;=INDEX(Compose_1200!$A$13:$A$64,ROWS(Compose_1200!$A$13:$A$64)),INDEX(Compose_1200!$J$13:$J$64,ROWS(Compose_1200!$J$13:$J$64)),INDEX(Compose_1200!$J$13:$J$64,MATCH(C18,Compose_1200!$A$13:$A$64,1))+(C18-INDEX(Compose_1200!$A$13:$A$64,MATCH(C18,Compose_1200!$A$13:$A$64,1)))/(INDEX(Compose_1200!$A$13:$A$64,MATCH(C18,Compose_1200!$A$13:$A$64,1)+1)-INDEX(Compose_1200!$A$13:$A$64,MATCH(C18,Compose_1200!$A$13:$A$64,1)))*(INDEX(Compose_1200!$J$13:$J$64,MATCH(C18,Compose_1200!$A$13:$A$64,1)+1)-INDEX(Compose_1200!$J$13:$J$64,MATCH(C18,Compose_1200!$A$13:$A$64,1))))))</f>
        <v/>
      </c>
      <c r="E18" s="21">
        <f>(A18-A17)*60</f>
        <v/>
      </c>
      <c r="F18" s="26">
        <f>MAX(0,F17+(0.5*(B17+B18)-D18)*E18)</f>
        <v/>
      </c>
      <c r="G18" s="18">
        <f>IF(C18&gt;$B$5,"oui","non")</f>
        <v/>
      </c>
      <c r="H18" s="20">
        <f>IF(OR(Parametres!$C$96&lt;=0,C18&gt;$B$5),"",D18/Parametres!$C$96)</f>
        <v/>
      </c>
    </row>
    <row r="19">
      <c r="A19" s="19">
        <f>Hydrogramme!A16</f>
        <v/>
      </c>
      <c r="B19" s="19">
        <f>Hydrogramme!C16</f>
        <v/>
      </c>
      <c r="C19" s="19">
        <f>IF(F18&lt;=INDEX(Compose_1200!$G$13:$G$64,1),INDEX(Compose_1200!$A$13:$A$64,1),IF(F18&gt;=INDEX(Compose_1200!$G$13:$G$64,ROWS(Compose_1200!$G$13:$G$64)),INDEX(Compose_1200!$A$13:$A$64,ROWS(Compose_1200!$A$13:$A$64)),INDEX(Compose_1200!$A$13:$A$64,MATCH(F18,Compose_1200!$G$13:$G$64,1))+(F18-INDEX(Compose_1200!$G$13:$G$64,MATCH(F18,Compose_1200!$G$13:$G$64,1)))/(INDEX(Compose_1200!$G$13:$G$64,MATCH(F18,Compose_1200!$G$13:$G$64,1)+1)-INDEX(Compose_1200!$G$13:$G$64,MATCH(F18,Compose_1200!$G$13:$G$64,1)))*(INDEX(Compose_1200!$A$13:$A$64,MATCH(F18,Compose_1200!$G$13:$G$64,1)+1)-INDEX(Compose_1200!$A$13:$A$64,MATCH(F18,Compose_1200!$G$13:$G$64,1)))))</f>
        <v/>
      </c>
      <c r="D19" s="19">
        <f>IF(F18&lt;=0.01,MIN(0.5*(B18+B19),$B$4),IF(C19&lt;=INDEX(Compose_1200!$A$13:$A$64,1),INDEX(Compose_1200!$J$13:$J$64,1),IF(C19&gt;=INDEX(Compose_1200!$A$13:$A$64,ROWS(Compose_1200!$A$13:$A$64)),INDEX(Compose_1200!$J$13:$J$64,ROWS(Compose_1200!$J$13:$J$64)),INDEX(Compose_1200!$J$13:$J$64,MATCH(C19,Compose_1200!$A$13:$A$64,1))+(C19-INDEX(Compose_1200!$A$13:$A$64,MATCH(C19,Compose_1200!$A$13:$A$64,1)))/(INDEX(Compose_1200!$A$13:$A$64,MATCH(C19,Compose_1200!$A$13:$A$64,1)+1)-INDEX(Compose_1200!$A$13:$A$64,MATCH(C19,Compose_1200!$A$13:$A$64,1)))*(INDEX(Compose_1200!$J$13:$J$64,MATCH(C19,Compose_1200!$A$13:$A$64,1)+1)-INDEX(Compose_1200!$J$13:$J$64,MATCH(C19,Compose_1200!$A$13:$A$64,1))))))</f>
        <v/>
      </c>
      <c r="E19" s="21">
        <f>(A19-A18)*60</f>
        <v/>
      </c>
      <c r="F19" s="26">
        <f>MAX(0,F18+(0.5*(B18+B19)-D19)*E19)</f>
        <v/>
      </c>
      <c r="G19" s="18">
        <f>IF(C19&gt;$B$5,"oui","non")</f>
        <v/>
      </c>
      <c r="H19" s="20">
        <f>IF(OR(Parametres!$C$96&lt;=0,C19&gt;$B$5),"",D19/Parametres!$C$96)</f>
        <v/>
      </c>
    </row>
    <row r="20">
      <c r="A20" s="19">
        <f>Hydrogramme!A17</f>
        <v/>
      </c>
      <c r="B20" s="19">
        <f>Hydrogramme!C17</f>
        <v/>
      </c>
      <c r="C20" s="19">
        <f>IF(F19&lt;=INDEX(Compose_1200!$G$13:$G$64,1),INDEX(Compose_1200!$A$13:$A$64,1),IF(F19&gt;=INDEX(Compose_1200!$G$13:$G$64,ROWS(Compose_1200!$G$13:$G$64)),INDEX(Compose_1200!$A$13:$A$64,ROWS(Compose_1200!$A$13:$A$64)),INDEX(Compose_1200!$A$13:$A$64,MATCH(F19,Compose_1200!$G$13:$G$64,1))+(F19-INDEX(Compose_1200!$G$13:$G$64,MATCH(F19,Compose_1200!$G$13:$G$64,1)))/(INDEX(Compose_1200!$G$13:$G$64,MATCH(F19,Compose_1200!$G$13:$G$64,1)+1)-INDEX(Compose_1200!$G$13:$G$64,MATCH(F19,Compose_1200!$G$13:$G$64,1)))*(INDEX(Compose_1200!$A$13:$A$64,MATCH(F19,Compose_1200!$G$13:$G$64,1)+1)-INDEX(Compose_1200!$A$13:$A$64,MATCH(F19,Compose_1200!$G$13:$G$64,1)))))</f>
        <v/>
      </c>
      <c r="D20" s="19">
        <f>IF(F19&lt;=0.01,MIN(0.5*(B19+B20),$B$4),IF(C20&lt;=INDEX(Compose_1200!$A$13:$A$64,1),INDEX(Compose_1200!$J$13:$J$64,1),IF(C20&gt;=INDEX(Compose_1200!$A$13:$A$64,ROWS(Compose_1200!$A$13:$A$64)),INDEX(Compose_1200!$J$13:$J$64,ROWS(Compose_1200!$J$13:$J$64)),INDEX(Compose_1200!$J$13:$J$64,MATCH(C20,Compose_1200!$A$13:$A$64,1))+(C20-INDEX(Compose_1200!$A$13:$A$64,MATCH(C20,Compose_1200!$A$13:$A$64,1)))/(INDEX(Compose_1200!$A$13:$A$64,MATCH(C20,Compose_1200!$A$13:$A$64,1)+1)-INDEX(Compose_1200!$A$13:$A$64,MATCH(C20,Compose_1200!$A$13:$A$64,1)))*(INDEX(Compose_1200!$J$13:$J$64,MATCH(C20,Compose_1200!$A$13:$A$64,1)+1)-INDEX(Compose_1200!$J$13:$J$64,MATCH(C20,Compose_1200!$A$13:$A$64,1))))))</f>
        <v/>
      </c>
      <c r="E20" s="21">
        <f>(A20-A19)*60</f>
        <v/>
      </c>
      <c r="F20" s="26">
        <f>MAX(0,F19+(0.5*(B19+B20)-D20)*E20)</f>
        <v/>
      </c>
      <c r="G20" s="18">
        <f>IF(C20&gt;$B$5,"oui","non")</f>
        <v/>
      </c>
      <c r="H20" s="20">
        <f>IF(OR(Parametres!$C$96&lt;=0,C20&gt;$B$5),"",D20/Parametres!$C$96)</f>
        <v/>
      </c>
    </row>
    <row r="21">
      <c r="A21" s="19">
        <f>Hydrogramme!A18</f>
        <v/>
      </c>
      <c r="B21" s="19">
        <f>Hydrogramme!C18</f>
        <v/>
      </c>
      <c r="C21" s="19">
        <f>IF(F20&lt;=INDEX(Compose_1200!$G$13:$G$64,1),INDEX(Compose_1200!$A$13:$A$64,1),IF(F20&gt;=INDEX(Compose_1200!$G$13:$G$64,ROWS(Compose_1200!$G$13:$G$64)),INDEX(Compose_1200!$A$13:$A$64,ROWS(Compose_1200!$A$13:$A$64)),INDEX(Compose_1200!$A$13:$A$64,MATCH(F20,Compose_1200!$G$13:$G$64,1))+(F20-INDEX(Compose_1200!$G$13:$G$64,MATCH(F20,Compose_1200!$G$13:$G$64,1)))/(INDEX(Compose_1200!$G$13:$G$64,MATCH(F20,Compose_1200!$G$13:$G$64,1)+1)-INDEX(Compose_1200!$G$13:$G$64,MATCH(F20,Compose_1200!$G$13:$G$64,1)))*(INDEX(Compose_1200!$A$13:$A$64,MATCH(F20,Compose_1200!$G$13:$G$64,1)+1)-INDEX(Compose_1200!$A$13:$A$64,MATCH(F20,Compose_1200!$G$13:$G$64,1)))))</f>
        <v/>
      </c>
      <c r="D21" s="19">
        <f>IF(F20&lt;=0.01,MIN(0.5*(B20+B21),$B$4),IF(C21&lt;=INDEX(Compose_1200!$A$13:$A$64,1),INDEX(Compose_1200!$J$13:$J$64,1),IF(C21&gt;=INDEX(Compose_1200!$A$13:$A$64,ROWS(Compose_1200!$A$13:$A$64)),INDEX(Compose_1200!$J$13:$J$64,ROWS(Compose_1200!$J$13:$J$64)),INDEX(Compose_1200!$J$13:$J$64,MATCH(C21,Compose_1200!$A$13:$A$64,1))+(C21-INDEX(Compose_1200!$A$13:$A$64,MATCH(C21,Compose_1200!$A$13:$A$64,1)))/(INDEX(Compose_1200!$A$13:$A$64,MATCH(C21,Compose_1200!$A$13:$A$64,1)+1)-INDEX(Compose_1200!$A$13:$A$64,MATCH(C21,Compose_1200!$A$13:$A$64,1)))*(INDEX(Compose_1200!$J$13:$J$64,MATCH(C21,Compose_1200!$A$13:$A$64,1)+1)-INDEX(Compose_1200!$J$13:$J$64,MATCH(C21,Compose_1200!$A$13:$A$64,1))))))</f>
        <v/>
      </c>
      <c r="E21" s="21">
        <f>(A21-A20)*60</f>
        <v/>
      </c>
      <c r="F21" s="26">
        <f>MAX(0,F20+(0.5*(B20+B21)-D21)*E21)</f>
        <v/>
      </c>
      <c r="G21" s="18">
        <f>IF(C21&gt;$B$5,"oui","non")</f>
        <v/>
      </c>
      <c r="H21" s="20">
        <f>IF(OR(Parametres!$C$96&lt;=0,C21&gt;$B$5),"",D21/Parametres!$C$96)</f>
        <v/>
      </c>
    </row>
    <row r="22">
      <c r="A22" s="19">
        <f>Hydrogramme!A19</f>
        <v/>
      </c>
      <c r="B22" s="19">
        <f>Hydrogramme!C19</f>
        <v/>
      </c>
      <c r="C22" s="19">
        <f>IF(F21&lt;=INDEX(Compose_1200!$G$13:$G$64,1),INDEX(Compose_1200!$A$13:$A$64,1),IF(F21&gt;=INDEX(Compose_1200!$G$13:$G$64,ROWS(Compose_1200!$G$13:$G$64)),INDEX(Compose_1200!$A$13:$A$64,ROWS(Compose_1200!$A$13:$A$64)),INDEX(Compose_1200!$A$13:$A$64,MATCH(F21,Compose_1200!$G$13:$G$64,1))+(F21-INDEX(Compose_1200!$G$13:$G$64,MATCH(F21,Compose_1200!$G$13:$G$64,1)))/(INDEX(Compose_1200!$G$13:$G$64,MATCH(F21,Compose_1200!$G$13:$G$64,1)+1)-INDEX(Compose_1200!$G$13:$G$64,MATCH(F21,Compose_1200!$G$13:$G$64,1)))*(INDEX(Compose_1200!$A$13:$A$64,MATCH(F21,Compose_1200!$G$13:$G$64,1)+1)-INDEX(Compose_1200!$A$13:$A$64,MATCH(F21,Compose_1200!$G$13:$G$64,1)))))</f>
        <v/>
      </c>
      <c r="D22" s="19">
        <f>IF(F21&lt;=0.01,MIN(0.5*(B21+B22),$B$4),IF(C22&lt;=INDEX(Compose_1200!$A$13:$A$64,1),INDEX(Compose_1200!$J$13:$J$64,1),IF(C22&gt;=INDEX(Compose_1200!$A$13:$A$64,ROWS(Compose_1200!$A$13:$A$64)),INDEX(Compose_1200!$J$13:$J$64,ROWS(Compose_1200!$J$13:$J$64)),INDEX(Compose_1200!$J$13:$J$64,MATCH(C22,Compose_1200!$A$13:$A$64,1))+(C22-INDEX(Compose_1200!$A$13:$A$64,MATCH(C22,Compose_1200!$A$13:$A$64,1)))/(INDEX(Compose_1200!$A$13:$A$64,MATCH(C22,Compose_1200!$A$13:$A$64,1)+1)-INDEX(Compose_1200!$A$13:$A$64,MATCH(C22,Compose_1200!$A$13:$A$64,1)))*(INDEX(Compose_1200!$J$13:$J$64,MATCH(C22,Compose_1200!$A$13:$A$64,1)+1)-INDEX(Compose_1200!$J$13:$J$64,MATCH(C22,Compose_1200!$A$13:$A$64,1))))))</f>
        <v/>
      </c>
      <c r="E22" s="21">
        <f>(A22-A21)*60</f>
        <v/>
      </c>
      <c r="F22" s="26">
        <f>MAX(0,F21+(0.5*(B21+B22)-D22)*E22)</f>
        <v/>
      </c>
      <c r="G22" s="18">
        <f>IF(C22&gt;$B$5,"oui","non")</f>
        <v/>
      </c>
      <c r="H22" s="20">
        <f>IF(OR(Parametres!$C$96&lt;=0,C22&gt;$B$5),"",D22/Parametres!$C$96)</f>
        <v/>
      </c>
    </row>
  </sheetData>
  <mergeCells count="1">
    <mergeCell ref="A2:G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6" t="inlineStr">
        <is>
          <t>Methode — retention SANS Ø900</t>
        </is>
      </c>
    </row>
    <row r="2">
      <c r="A2" t="inlineStr"/>
    </row>
    <row r="3">
      <c r="A3" t="inlineStr">
        <is>
          <t>1. Le Ø900 est elimine: controle = Ø1200; Stage_Storage = aires Z1+Z2 (leve combine).</t>
        </is>
      </c>
    </row>
    <row r="4">
      <c r="A4" t="inlineStr">
        <is>
          <t>2. Entree: hydrogramme (pointe editable Hydrogramme!B4), typiquement via Ø1500.</t>
        </is>
      </c>
    </row>
    <row r="5">
      <c r="A5" t="inlineStr">
        <is>
          <t>3. Sortie: Ø1200 = nouvel ouvrage de controle.</t>
        </is>
      </c>
    </row>
    <row r="6">
      <c r="A6" t="inlineStr">
        <is>
          <t xml:space="preserve">   A) Qout = Q_plein Manning (formule Parametres!B18).</t>
        </is>
      </c>
    </row>
    <row r="7">
      <c r="A7" t="inlineStr">
        <is>
          <t xml:space="preserve">   B) Qout = f(H) FHWA sur Courbe_QH_1200.</t>
        </is>
      </c>
    </row>
    <row r="8">
      <c r="A8" t="inlineStr">
        <is>
          <t xml:space="preserve">   C) Qout = Q_1200 + Q_overflow; V = leve (+ V_ditch si Parametres B25=1).</t>
        </is>
      </c>
    </row>
    <row r="9">
      <c r="A9" t="inlineStr">
        <is>
          <t>4. Effet attendu vs ancien Ø900: Qout plus grand → Vmax plus petit, pointe aval plus forte.</t>
        </is>
      </c>
    </row>
    <row r="10">
      <c r="A10" t="inlineStr">
        <is>
          <t>5. Editez les jaunes; les verts et graphiques se recalculent.</t>
        </is>
      </c>
    </row>
    <row r="11">
      <c r="A11" t="inlineStr">
        <is>
          <t>6. Fichier frere (ancien): Volume_Retention_Ponceau_900.xlsx (avec Ø900).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Fichier: Volume_Retention_Sans_900.xlsx</t>
        </is>
      </c>
    </row>
    <row r="3">
      <c r="A3" t="inlineStr">
        <is>
          <t>Onglets: Parametres | Hydrogramme | Calcul_A | Courbe_QH_1200 | Calcul_B |</t>
        </is>
      </c>
    </row>
    <row r="4">
      <c r="A4" t="inlineStr">
        <is>
          <t xml:space="preserve">         Stage_Storage | Compose_1200 | Calcul_C | Methode | Readme</t>
        </is>
      </c>
    </row>
    <row r="5">
      <c r="A5" t="inlineStr">
        <is>
          <t>Jaune = entree; vert = resultat; bleu = formule intermediaire.</t>
        </is>
      </c>
    </row>
    <row r="6">
      <c r="A6" t="inlineStr">
        <is>
          <t>Regenerer: python3 build_retention_no_900_excel.py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2026-10-20T05:00:03Z</dcterms:created>
  <dcterms:modified xsi:type="dcterms:W3CDTF">2026-10-20T05:00:03Z</dcterms:modified>
</cp:coreProperties>
</file>