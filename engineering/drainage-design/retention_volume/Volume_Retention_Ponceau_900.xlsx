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alcul_B" sheetId="4" state="visible" r:id="rId4"/>
    <sheet name="Metho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 (34.88 − 34.45) / 50.65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orifice Q=f(H) plafonné — illustration seulement; HY-8 / HEC-RAS donnerait une vraie courbe.</t>
        </is>
      </c>
    </row>
    <row r="45">
      <c r="A45" t="inlineStr">
        <is>
          <t>• Ø1200 Q_plein ≈ 4,93 m³/s avec le même n: cohérent, mais aval du Ø900 donc non limitant pour la rétention.</t>
        </is>
      </c>
    </row>
    <row r="46">
      <c r="A46" t="inlineStr">
        <is>
          <t>• Vérifier que le radier amont Ø900 (34.88) est bien le fond de la zone de rétention étudiée.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20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21" t="n">
        <v>0</v>
      </c>
      <c r="B4" s="5" t="n">
        <v>0.778</v>
      </c>
      <c r="C4" s="4" t="inlineStr"/>
    </row>
    <row r="5">
      <c r="A5" s="21" t="n">
        <v>5</v>
      </c>
      <c r="B5" s="5" t="n">
        <v>1.17</v>
      </c>
      <c r="C5" s="4" t="inlineStr"/>
    </row>
    <row r="6">
      <c r="A6" s="21" t="n">
        <v>8.619999999999999</v>
      </c>
      <c r="B6" s="22" t="n">
        <v>1.668</v>
      </c>
      <c r="C6" s="4" t="inlineStr">
        <is>
          <t>Qin = Qcap (croisement)</t>
        </is>
      </c>
    </row>
    <row r="7">
      <c r="A7" s="21" t="n">
        <v>10</v>
      </c>
      <c r="B7" s="5" t="n">
        <v>1.857</v>
      </c>
      <c r="C7" s="4" t="inlineStr"/>
    </row>
    <row r="8">
      <c r="A8" s="21" t="n">
        <v>15</v>
      </c>
      <c r="B8" s="5" t="n">
        <v>3.202</v>
      </c>
      <c r="C8" s="4" t="inlineStr"/>
    </row>
    <row r="9">
      <c r="A9" s="21" t="n">
        <v>20</v>
      </c>
      <c r="B9" s="5" t="n">
        <v>6.309</v>
      </c>
      <c r="C9" s="4" t="inlineStr"/>
    </row>
    <row r="10">
      <c r="A10" s="21" t="n">
        <v>22.5</v>
      </c>
      <c r="B10" s="8" t="n">
        <v>9.6</v>
      </c>
      <c r="C10" s="4" t="inlineStr">
        <is>
          <t>Pointe</t>
        </is>
      </c>
    </row>
    <row r="11">
      <c r="A11" s="21" t="n">
        <v>27.5</v>
      </c>
      <c r="B11" s="5" t="n">
        <v>5.846</v>
      </c>
      <c r="C11" s="4" t="inlineStr"/>
    </row>
    <row r="12">
      <c r="A12" s="21" t="n">
        <v>32.5</v>
      </c>
      <c r="B12" s="5" t="n">
        <v>3.857</v>
      </c>
      <c r="C12" s="4" t="inlineStr"/>
    </row>
    <row r="13">
      <c r="A13" s="21" t="n">
        <v>37.5</v>
      </c>
      <c r="B13" s="5" t="n">
        <v>2.689</v>
      </c>
      <c r="C13" s="4" t="inlineStr"/>
    </row>
    <row r="14">
      <c r="A14" s="21" t="n">
        <v>42.5</v>
      </c>
      <c r="B14" s="5" t="n">
        <v>1.953</v>
      </c>
      <c r="C14" s="4" t="inlineStr"/>
    </row>
    <row r="15">
      <c r="A15" s="21" t="n">
        <v>45.4</v>
      </c>
      <c r="B15" s="22" t="n">
        <v>1.668</v>
      </c>
      <c r="C15" s="4" t="inlineStr">
        <is>
          <t>Qin = Qcap (croisement)</t>
        </is>
      </c>
    </row>
    <row r="16">
      <c r="A16" s="21" t="n">
        <v>47.5</v>
      </c>
      <c r="B16" s="5" t="n">
        <v>1.462</v>
      </c>
      <c r="C16" s="4" t="inlineStr"/>
    </row>
    <row r="17">
      <c r="A17" s="21" t="n">
        <v>52.5</v>
      </c>
      <c r="B17" s="5" t="n">
        <v>1.121</v>
      </c>
      <c r="C17" s="4" t="inlineStr"/>
    </row>
    <row r="18">
      <c r="A18" s="21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23">
        <f>MAX(B4:B18)</f>
        <v/>
      </c>
    </row>
    <row r="21">
      <c r="A21" t="inlineStr">
        <is>
          <t>t pointe (min)</t>
        </is>
      </c>
      <c r="B21" s="24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croisement Qin=Qcap dans Hydrogramme (~8.6 min si Q=1.668)</t>
        </is>
      </c>
    </row>
    <row r="6">
      <c r="A6" t="inlineStr">
        <is>
          <t>t fin accumulation nette (min)</t>
        </is>
      </c>
      <c r="B6" t="inlineStr">
        <is>
          <t>croisement descendant (~45.4 min si Q=1.668)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1">
        <f>Hydrogramme!A4</f>
        <v/>
      </c>
      <c r="B8" s="5">
        <f>Hydrogramme!B4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1">
        <f>Hydrogramme!A5</f>
        <v/>
      </c>
      <c r="B9" s="5">
        <f>Hydrogramme!B5</f>
        <v/>
      </c>
      <c r="C9" s="27">
        <f>$B$2</f>
        <v/>
      </c>
      <c r="D9" s="5">
        <f>B9-C9</f>
        <v/>
      </c>
      <c r="E9" s="21">
        <f>(A9-A8)*60</f>
        <v/>
      </c>
      <c r="F9" s="21">
        <f>0.5*(B8+B9)*E9</f>
        <v/>
      </c>
      <c r="G9" s="21">
        <f>F9-(H9-H8)</f>
        <v/>
      </c>
      <c r="H9" s="29">
        <f>MAX(0,H8+0.5*(D8+D9)*E9)</f>
        <v/>
      </c>
      <c r="I9" s="4">
        <f>IF(H9&gt;0.5,"oui","non")</f>
        <v/>
      </c>
    </row>
    <row r="10">
      <c r="A10" s="21">
        <f>Hydrogramme!A6</f>
        <v/>
      </c>
      <c r="B10" s="5">
        <f>Hydrogramme!B6</f>
        <v/>
      </c>
      <c r="C10" s="27">
        <f>$B$2</f>
        <v/>
      </c>
      <c r="D10" s="5">
        <f>B10-C10</f>
        <v/>
      </c>
      <c r="E10" s="21">
        <f>(A10-A9)*60</f>
        <v/>
      </c>
      <c r="F10" s="21">
        <f>0.5*(B9+B10)*E10</f>
        <v/>
      </c>
      <c r="G10" s="21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1">
        <f>Hydrogramme!A7</f>
        <v/>
      </c>
      <c r="B11" s="5">
        <f>Hydrogramme!B7</f>
        <v/>
      </c>
      <c r="C11" s="27">
        <f>$B$2</f>
        <v/>
      </c>
      <c r="D11" s="5">
        <f>B11-C11</f>
        <v/>
      </c>
      <c r="E11" s="21">
        <f>(A11-A10)*60</f>
        <v/>
      </c>
      <c r="F11" s="21">
        <f>0.5*(B10+B11)*E11</f>
        <v/>
      </c>
      <c r="G11" s="21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1">
        <f>Hydrogramme!A8</f>
        <v/>
      </c>
      <c r="B12" s="5">
        <f>Hydrogramme!B8</f>
        <v/>
      </c>
      <c r="C12" s="27">
        <f>$B$2</f>
        <v/>
      </c>
      <c r="D12" s="5">
        <f>B12-C12</f>
        <v/>
      </c>
      <c r="E12" s="21">
        <f>(A12-A11)*60</f>
        <v/>
      </c>
      <c r="F12" s="21">
        <f>0.5*(B11+B12)*E12</f>
        <v/>
      </c>
      <c r="G12" s="21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1">
        <f>Hydrogramme!A9</f>
        <v/>
      </c>
      <c r="B13" s="5">
        <f>Hydrogramme!B9</f>
        <v/>
      </c>
      <c r="C13" s="27">
        <f>$B$2</f>
        <v/>
      </c>
      <c r="D13" s="5">
        <f>B13-C13</f>
        <v/>
      </c>
      <c r="E13" s="21">
        <f>(A13-A12)*60</f>
        <v/>
      </c>
      <c r="F13" s="21">
        <f>0.5*(B12+B13)*E13</f>
        <v/>
      </c>
      <c r="G13" s="21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1">
        <f>Hydrogramme!A10</f>
        <v/>
      </c>
      <c r="B14" s="5">
        <f>Hydrogramme!B10</f>
        <v/>
      </c>
      <c r="C14" s="27">
        <f>$B$2</f>
        <v/>
      </c>
      <c r="D14" s="5">
        <f>B14-C14</f>
        <v/>
      </c>
      <c r="E14" s="21">
        <f>(A14-A13)*60</f>
        <v/>
      </c>
      <c r="F14" s="21">
        <f>0.5*(B13+B14)*E14</f>
        <v/>
      </c>
      <c r="G14" s="21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1">
        <f>Hydrogramme!A11</f>
        <v/>
      </c>
      <c r="B15" s="5">
        <f>Hydrogramme!B11</f>
        <v/>
      </c>
      <c r="C15" s="27">
        <f>$B$2</f>
        <v/>
      </c>
      <c r="D15" s="5">
        <f>B15-C15</f>
        <v/>
      </c>
      <c r="E15" s="21">
        <f>(A15-A14)*60</f>
        <v/>
      </c>
      <c r="F15" s="21">
        <f>0.5*(B14+B15)*E15</f>
        <v/>
      </c>
      <c r="G15" s="21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1">
        <f>Hydrogramme!A12</f>
        <v/>
      </c>
      <c r="B16" s="5">
        <f>Hydrogramme!B12</f>
        <v/>
      </c>
      <c r="C16" s="27">
        <f>$B$2</f>
        <v/>
      </c>
      <c r="D16" s="5">
        <f>B16-C16</f>
        <v/>
      </c>
      <c r="E16" s="21">
        <f>(A16-A15)*60</f>
        <v/>
      </c>
      <c r="F16" s="21">
        <f>0.5*(B15+B16)*E16</f>
        <v/>
      </c>
      <c r="G16" s="21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1">
        <f>Hydrogramme!A13</f>
        <v/>
      </c>
      <c r="B17" s="5">
        <f>Hydrogramme!B13</f>
        <v/>
      </c>
      <c r="C17" s="27">
        <f>$B$2</f>
        <v/>
      </c>
      <c r="D17" s="5">
        <f>B17-C17</f>
        <v/>
      </c>
      <c r="E17" s="21">
        <f>(A17-A16)*60</f>
        <v/>
      </c>
      <c r="F17" s="21">
        <f>0.5*(B16+B17)*E17</f>
        <v/>
      </c>
      <c r="G17" s="21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1">
        <f>Hydrogramme!A14</f>
        <v/>
      </c>
      <c r="B18" s="5">
        <f>Hydrogramme!B14</f>
        <v/>
      </c>
      <c r="C18" s="27">
        <f>$B$2</f>
        <v/>
      </c>
      <c r="D18" s="5">
        <f>B18-C18</f>
        <v/>
      </c>
      <c r="E18" s="21">
        <f>(A18-A17)*60</f>
        <v/>
      </c>
      <c r="F18" s="21">
        <f>0.5*(B17+B18)*E18</f>
        <v/>
      </c>
      <c r="G18" s="21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1">
        <f>Hydrogramme!A15</f>
        <v/>
      </c>
      <c r="B19" s="5">
        <f>Hydrogramme!B15</f>
        <v/>
      </c>
      <c r="C19" s="27">
        <f>$B$2</f>
        <v/>
      </c>
      <c r="D19" s="5">
        <f>B19-C19</f>
        <v/>
      </c>
      <c r="E19" s="21">
        <f>(A19-A18)*60</f>
        <v/>
      </c>
      <c r="F19" s="21">
        <f>0.5*(B18+B19)*E19</f>
        <v/>
      </c>
      <c r="G19" s="21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1">
        <f>Hydrogramme!A16</f>
        <v/>
      </c>
      <c r="B20" s="5">
        <f>Hydrogramme!B16</f>
        <v/>
      </c>
      <c r="C20" s="27">
        <f>$B$2</f>
        <v/>
      </c>
      <c r="D20" s="5">
        <f>B20-C20</f>
        <v/>
      </c>
      <c r="E20" s="21">
        <f>(A20-A19)*60</f>
        <v/>
      </c>
      <c r="F20" s="21">
        <f>0.5*(B19+B20)*E20</f>
        <v/>
      </c>
      <c r="G20" s="21">
        <f>F20-(H20-H19)</f>
        <v/>
      </c>
      <c r="H20" s="29">
        <f>MAX(0,H19+0.5*(D19+D20)*E20)</f>
        <v/>
      </c>
      <c r="I20" s="4">
        <f>IF(H20&gt;0.5,"oui","non")</f>
        <v/>
      </c>
    </row>
    <row r="21">
      <c r="A21" s="21">
        <f>Hydrogramme!A17</f>
        <v/>
      </c>
      <c r="B21" s="5">
        <f>Hydrogramme!B17</f>
        <v/>
      </c>
      <c r="C21" s="27">
        <f>$B$2</f>
        <v/>
      </c>
      <c r="D21" s="5">
        <f>B21-C21</f>
        <v/>
      </c>
      <c r="E21" s="21">
        <f>(A21-A20)*60</f>
        <v/>
      </c>
      <c r="F21" s="21">
        <f>0.5*(B20+B21)*E21</f>
        <v/>
      </c>
      <c r="G21" s="21">
        <f>F21-(H21-H20)</f>
        <v/>
      </c>
      <c r="H21" s="29">
        <f>MAX(0,H20+0.5*(D20+D21)*E21)</f>
        <v/>
      </c>
      <c r="I21" s="4">
        <f>IF(H21&gt;0.5,"oui","non")</f>
        <v/>
      </c>
    </row>
    <row r="22">
      <c r="A22" s="21">
        <f>Hydrogramme!A18</f>
        <v/>
      </c>
      <c r="B22" s="5">
        <f>Hydrogramme!B18</f>
        <v/>
      </c>
      <c r="C22" s="27">
        <f>$B$2</f>
        <v/>
      </c>
      <c r="D22" s="5">
        <f>B22-C22</f>
        <v/>
      </c>
      <c r="E22" s="21">
        <f>(A22-A21)*60</f>
        <v/>
      </c>
      <c r="F22" s="21">
        <f>0.5*(B21+B22)*E22</f>
        <v/>
      </c>
      <c r="G22" s="21">
        <f>F22-(H22-H21)</f>
        <v/>
      </c>
      <c r="H22" s="29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simplifié Qout = f(H) (orifice Ø900 plafonné à Qcap)</t>
        </is>
      </c>
    </row>
    <row r="2">
      <c r="A2" s="30" t="inlineStr">
        <is>
          <t>H = V / Aire_bassin.  Qorifice = Cd·(πD²/4)·√(2gH).  Qout = MIN(Qcap, Qorifice) si V&gt;0; si V≈0, Qout = MIN(Qin, Qcap).  ΔV = (Qin_moyenne − Qout)·Δt.  Ajuster Cd, Aire, Qcap (jaune).</t>
        </is>
      </c>
    </row>
    <row r="3"/>
    <row r="5">
      <c r="A5" t="inlineStr">
        <is>
          <t>Cd</t>
        </is>
      </c>
      <c r="B5" s="31" t="n">
        <v>0.62</v>
      </c>
    </row>
    <row r="6">
      <c r="A6" t="inlineStr">
        <is>
          <t>D (m)</t>
        </is>
      </c>
      <c r="B6" s="31" t="n">
        <v>0.9</v>
      </c>
    </row>
    <row r="7">
      <c r="A7" t="inlineStr">
        <is>
          <t>Qcap (m³/s)</t>
        </is>
      </c>
      <c r="B7" s="31">
        <f>Parametres!B22</f>
        <v/>
      </c>
    </row>
    <row r="8">
      <c r="A8" t="inlineStr">
        <is>
          <t>Aire (m²)</t>
        </is>
      </c>
      <c r="B8" s="31">
        <f>Parametres!B24</f>
        <v/>
      </c>
    </row>
    <row r="9">
      <c r="A9" t="inlineStr">
        <is>
          <t>Vmax_B (m³)</t>
        </is>
      </c>
      <c r="B9" s="26">
        <f>MAX(G14:G28)</f>
        <v/>
      </c>
    </row>
    <row r="10">
      <c r="A10" t="inlineStr">
        <is>
          <t>Hmax_B (m)</t>
        </is>
      </c>
      <c r="B10" s="19">
        <f>IF(B8&gt;0,B9/B8,0)</f>
        <v/>
      </c>
    </row>
    <row r="13">
      <c r="A13" s="3" t="inlineStr">
        <is>
          <t>t (min)</t>
        </is>
      </c>
      <c r="B13" s="3" t="inlineStr">
        <is>
          <t>Qin</t>
        </is>
      </c>
      <c r="C13" s="3" t="inlineStr">
        <is>
          <t>H (m)</t>
        </is>
      </c>
      <c r="D13" s="3" t="inlineStr">
        <is>
          <t>Qorifice</t>
        </is>
      </c>
      <c r="E13" s="3" t="inlineStr">
        <is>
          <t>Qout</t>
        </is>
      </c>
      <c r="F13" s="3" t="inlineStr">
        <is>
          <t>Δt (s)</t>
        </is>
      </c>
      <c r="G13" s="3" t="inlineStr">
        <is>
          <t>V (m³)</t>
        </is>
      </c>
    </row>
    <row r="14">
      <c r="A14" s="4">
        <f>Hydrogramme!A4</f>
        <v/>
      </c>
      <c r="B14" s="5">
        <f>Hydrogramme!B4</f>
        <v/>
      </c>
      <c r="C14" s="5" t="n">
        <v>0</v>
      </c>
      <c r="D14" s="5" t="n">
        <v>0</v>
      </c>
      <c r="E14" s="5">
        <f>MIN(B14,$B$7)</f>
        <v/>
      </c>
      <c r="F14" s="21" t="n">
        <v>0</v>
      </c>
      <c r="G14" s="29" t="n">
        <v>0</v>
      </c>
    </row>
    <row r="15">
      <c r="A15" s="4">
        <f>Hydrogramme!A5</f>
        <v/>
      </c>
      <c r="B15" s="5">
        <f>Hydrogramme!B5</f>
        <v/>
      </c>
      <c r="C15" s="5">
        <f>IF($B$8&gt;0,G14/$B$8,0)</f>
        <v/>
      </c>
      <c r="D15" s="5">
        <f>IF(C15&lt;=0,0,$B$5*(PI()*($B$6^2)/4)*SQRT(2*9.81*C15))</f>
        <v/>
      </c>
      <c r="E15" s="5">
        <f>IF(G14&lt;=0.01,MIN(0.5*(B14+B15),$B$7),MIN($B$7,D15))</f>
        <v/>
      </c>
      <c r="F15" s="21">
        <f>(A15-A14)*60</f>
        <v/>
      </c>
      <c r="G15" s="29">
        <f>MAX(0,G14+(0.5*(B14+B15)-E15)*F15)</f>
        <v/>
      </c>
    </row>
    <row r="16">
      <c r="A16" s="4">
        <f>Hydrogramme!A6</f>
        <v/>
      </c>
      <c r="B16" s="5">
        <f>Hydrogramme!B6</f>
        <v/>
      </c>
      <c r="C16" s="5">
        <f>IF($B$8&gt;0,G15/$B$8,0)</f>
        <v/>
      </c>
      <c r="D16" s="5">
        <f>IF(C16&lt;=0,0,$B$5*(PI()*($B$6^2)/4)*SQRT(2*9.81*C16))</f>
        <v/>
      </c>
      <c r="E16" s="5">
        <f>IF(G15&lt;=0.01,MIN(0.5*(B15+B16),$B$7),MIN($B$7,D16))</f>
        <v/>
      </c>
      <c r="F16" s="21">
        <f>(A16-A15)*60</f>
        <v/>
      </c>
      <c r="G16" s="29">
        <f>MAX(0,G15+(0.5*(B15+B16)-E16)*F16)</f>
        <v/>
      </c>
    </row>
    <row r="17">
      <c r="A17" s="4">
        <f>Hydrogramme!A7</f>
        <v/>
      </c>
      <c r="B17" s="5">
        <f>Hydrogramme!B7</f>
        <v/>
      </c>
      <c r="C17" s="5">
        <f>IF($B$8&gt;0,G16/$B$8,0)</f>
        <v/>
      </c>
      <c r="D17" s="5">
        <f>IF(C17&lt;=0,0,$B$5*(PI()*($B$6^2)/4)*SQRT(2*9.81*C17))</f>
        <v/>
      </c>
      <c r="E17" s="5">
        <f>IF(G16&lt;=0.01,MIN(0.5*(B16+B17),$B$7),MIN($B$7,D17))</f>
        <v/>
      </c>
      <c r="F17" s="21">
        <f>(A17-A16)*60</f>
        <v/>
      </c>
      <c r="G17" s="29">
        <f>MAX(0,G16+(0.5*(B16+B17)-E17)*F17)</f>
        <v/>
      </c>
    </row>
    <row r="18">
      <c r="A18" s="4">
        <f>Hydrogramme!A8</f>
        <v/>
      </c>
      <c r="B18" s="5">
        <f>Hydrogramme!B8</f>
        <v/>
      </c>
      <c r="C18" s="5">
        <f>IF($B$8&gt;0,G17/$B$8,0)</f>
        <v/>
      </c>
      <c r="D18" s="5">
        <f>IF(C18&lt;=0,0,$B$5*(PI()*($B$6^2)/4)*SQRT(2*9.81*C18))</f>
        <v/>
      </c>
      <c r="E18" s="5">
        <f>IF(G17&lt;=0.01,MIN(0.5*(B17+B18),$B$7),MIN($B$7,D18))</f>
        <v/>
      </c>
      <c r="F18" s="21">
        <f>(A18-A17)*60</f>
        <v/>
      </c>
      <c r="G18" s="29">
        <f>MAX(0,G17+(0.5*(B17+B18)-E18)*F18)</f>
        <v/>
      </c>
    </row>
    <row r="19">
      <c r="A19" s="4">
        <f>Hydrogramme!A9</f>
        <v/>
      </c>
      <c r="B19" s="5">
        <f>Hydrogramme!B9</f>
        <v/>
      </c>
      <c r="C19" s="5">
        <f>IF($B$8&gt;0,G18/$B$8,0)</f>
        <v/>
      </c>
      <c r="D19" s="5">
        <f>IF(C19&lt;=0,0,$B$5*(PI()*($B$6^2)/4)*SQRT(2*9.81*C19))</f>
        <v/>
      </c>
      <c r="E19" s="5">
        <f>IF(G18&lt;=0.01,MIN(0.5*(B18+B19),$B$7),MIN($B$7,D19))</f>
        <v/>
      </c>
      <c r="F19" s="21">
        <f>(A19-A18)*60</f>
        <v/>
      </c>
      <c r="G19" s="29">
        <f>MAX(0,G18+(0.5*(B18+B19)-E19)*F19)</f>
        <v/>
      </c>
    </row>
    <row r="20">
      <c r="A20" s="4">
        <f>Hydrogramme!A10</f>
        <v/>
      </c>
      <c r="B20" s="5">
        <f>Hydrogramme!B10</f>
        <v/>
      </c>
      <c r="C20" s="5">
        <f>IF($B$8&gt;0,G19/$B$8,0)</f>
        <v/>
      </c>
      <c r="D20" s="5">
        <f>IF(C20&lt;=0,0,$B$5*(PI()*($B$6^2)/4)*SQRT(2*9.81*C20))</f>
        <v/>
      </c>
      <c r="E20" s="5">
        <f>IF(G19&lt;=0.01,MIN(0.5*(B19+B20),$B$7),MIN($B$7,D20))</f>
        <v/>
      </c>
      <c r="F20" s="21">
        <f>(A20-A19)*60</f>
        <v/>
      </c>
      <c r="G20" s="29">
        <f>MAX(0,G19+(0.5*(B19+B20)-E20)*F20)</f>
        <v/>
      </c>
    </row>
    <row r="21">
      <c r="A21" s="4">
        <f>Hydrogramme!A11</f>
        <v/>
      </c>
      <c r="B21" s="5">
        <f>Hydrogramme!B11</f>
        <v/>
      </c>
      <c r="C21" s="5">
        <f>IF($B$8&gt;0,G20/$B$8,0)</f>
        <v/>
      </c>
      <c r="D21" s="5">
        <f>IF(C21&lt;=0,0,$B$5*(PI()*($B$6^2)/4)*SQRT(2*9.81*C21))</f>
        <v/>
      </c>
      <c r="E21" s="5">
        <f>IF(G20&lt;=0.01,MIN(0.5*(B20+B21),$B$7),MIN($B$7,D21))</f>
        <v/>
      </c>
      <c r="F21" s="21">
        <f>(A21-A20)*60</f>
        <v/>
      </c>
      <c r="G21" s="29">
        <f>MAX(0,G20+(0.5*(B20+B21)-E21)*F21)</f>
        <v/>
      </c>
    </row>
    <row r="22">
      <c r="A22" s="4">
        <f>Hydrogramme!A12</f>
        <v/>
      </c>
      <c r="B22" s="5">
        <f>Hydrogramme!B12</f>
        <v/>
      </c>
      <c r="C22" s="5">
        <f>IF($B$8&gt;0,G21/$B$8,0)</f>
        <v/>
      </c>
      <c r="D22" s="5">
        <f>IF(C22&lt;=0,0,$B$5*(PI()*($B$6^2)/4)*SQRT(2*9.81*C22))</f>
        <v/>
      </c>
      <c r="E22" s="5">
        <f>IF(G21&lt;=0.01,MIN(0.5*(B21+B22),$B$7),MIN($B$7,D22))</f>
        <v/>
      </c>
      <c r="F22" s="21">
        <f>(A22-A21)*60</f>
        <v/>
      </c>
      <c r="G22" s="29">
        <f>MAX(0,G21+(0.5*(B21+B22)-E22)*F22)</f>
        <v/>
      </c>
    </row>
    <row r="23">
      <c r="A23" s="4">
        <f>Hydrogramme!A13</f>
        <v/>
      </c>
      <c r="B23" s="5">
        <f>Hydrogramme!B13</f>
        <v/>
      </c>
      <c r="C23" s="5">
        <f>IF($B$8&gt;0,G22/$B$8,0)</f>
        <v/>
      </c>
      <c r="D23" s="5">
        <f>IF(C23&lt;=0,0,$B$5*(PI()*($B$6^2)/4)*SQRT(2*9.81*C23))</f>
        <v/>
      </c>
      <c r="E23" s="5">
        <f>IF(G22&lt;=0.01,MIN(0.5*(B22+B23),$B$7),MIN($B$7,D23))</f>
        <v/>
      </c>
      <c r="F23" s="21">
        <f>(A23-A22)*60</f>
        <v/>
      </c>
      <c r="G23" s="29">
        <f>MAX(0,G22+(0.5*(B22+B23)-E23)*F23)</f>
        <v/>
      </c>
    </row>
    <row r="24">
      <c r="A24" s="4">
        <f>Hydrogramme!A14</f>
        <v/>
      </c>
      <c r="B24" s="5">
        <f>Hydrogramme!B14</f>
        <v/>
      </c>
      <c r="C24" s="5">
        <f>IF($B$8&gt;0,G23/$B$8,0)</f>
        <v/>
      </c>
      <c r="D24" s="5">
        <f>IF(C24&lt;=0,0,$B$5*(PI()*($B$6^2)/4)*SQRT(2*9.81*C24))</f>
        <v/>
      </c>
      <c r="E24" s="5">
        <f>IF(G23&lt;=0.01,MIN(0.5*(B23+B24),$B$7),MIN($B$7,D24))</f>
        <v/>
      </c>
      <c r="F24" s="21">
        <f>(A24-A23)*60</f>
        <v/>
      </c>
      <c r="G24" s="29">
        <f>MAX(0,G23+(0.5*(B23+B24)-E24)*F24)</f>
        <v/>
      </c>
    </row>
    <row r="25">
      <c r="A25" s="4">
        <f>Hydrogramme!A15</f>
        <v/>
      </c>
      <c r="B25" s="5">
        <f>Hydrogramme!B15</f>
        <v/>
      </c>
      <c r="C25" s="5">
        <f>IF($B$8&gt;0,G24/$B$8,0)</f>
        <v/>
      </c>
      <c r="D25" s="5">
        <f>IF(C25&lt;=0,0,$B$5*(PI()*($B$6^2)/4)*SQRT(2*9.81*C25))</f>
        <v/>
      </c>
      <c r="E25" s="5">
        <f>IF(G24&lt;=0.01,MIN(0.5*(B24+B25),$B$7),MIN($B$7,D25))</f>
        <v/>
      </c>
      <c r="F25" s="21">
        <f>(A25-A24)*60</f>
        <v/>
      </c>
      <c r="G25" s="29">
        <f>MAX(0,G24+(0.5*(B24+B25)-E25)*F25)</f>
        <v/>
      </c>
    </row>
    <row r="26">
      <c r="A26" s="4">
        <f>Hydrogramme!A16</f>
        <v/>
      </c>
      <c r="B26" s="5">
        <f>Hydrogramme!B16</f>
        <v/>
      </c>
      <c r="C26" s="5">
        <f>IF($B$8&gt;0,G25/$B$8,0)</f>
        <v/>
      </c>
      <c r="D26" s="5">
        <f>IF(C26&lt;=0,0,$B$5*(PI()*($B$6^2)/4)*SQRT(2*9.81*C26))</f>
        <v/>
      </c>
      <c r="E26" s="5">
        <f>IF(G25&lt;=0.01,MIN(0.5*(B25+B26),$B$7),MIN($B$7,D26))</f>
        <v/>
      </c>
      <c r="F26" s="21">
        <f>(A26-A25)*60</f>
        <v/>
      </c>
      <c r="G26" s="29">
        <f>MAX(0,G25+(0.5*(B25+B26)-E26)*F26)</f>
        <v/>
      </c>
    </row>
    <row r="27">
      <c r="A27" s="4">
        <f>Hydrogramme!A17</f>
        <v/>
      </c>
      <c r="B27" s="5">
        <f>Hydrogramme!B17</f>
        <v/>
      </c>
      <c r="C27" s="5">
        <f>IF($B$8&gt;0,G26/$B$8,0)</f>
        <v/>
      </c>
      <c r="D27" s="5">
        <f>IF(C27&lt;=0,0,$B$5*(PI()*($B$6^2)/4)*SQRT(2*9.81*C27))</f>
        <v/>
      </c>
      <c r="E27" s="5">
        <f>IF(G26&lt;=0.01,MIN(0.5*(B26+B27),$B$7),MIN($B$7,D27))</f>
        <v/>
      </c>
      <c r="F27" s="21">
        <f>(A27-A26)*60</f>
        <v/>
      </c>
      <c r="G27" s="29">
        <f>MAX(0,G26+(0.5*(B26+B27)-E27)*F27)</f>
        <v/>
      </c>
    </row>
    <row r="28">
      <c r="A28" s="4">
        <f>Hydrogramme!A18</f>
        <v/>
      </c>
      <c r="B28" s="5">
        <f>Hydrogramme!B18</f>
        <v/>
      </c>
      <c r="C28" s="5">
        <f>IF($B$8&gt;0,G27/$B$8,0)</f>
        <v/>
      </c>
      <c r="D28" s="5">
        <f>IF(C28&lt;=0,0,$B$5*(PI()*($B$6^2)/4)*SQRT(2*9.81*C28))</f>
        <v/>
      </c>
      <c r="E28" s="5">
        <f>IF(G27&lt;=0.01,MIN(0.5*(B27+B28),$B$7),MIN($B$7,D28))</f>
        <v/>
      </c>
      <c r="F28" s="21">
        <f>(A28-A27)*60</f>
        <v/>
      </c>
      <c r="G28" s="29">
        <f>MAX(0,G27+(0.5*(B27+B28)-E28)*F28)</f>
        <v/>
      </c>
    </row>
  </sheetData>
  <mergeCells count="1">
    <mergeCell ref="A2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2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Ø900: Manning pleine section, n=0.013:</t>
        </is>
      </c>
    </row>
    <row r="6">
      <c r="A6" t="inlineStr">
        <is>
          <t xml:space="preserve">   Q = (1/n)·A·R^(2/3)·√S0  avec A=πD²/4, R=D/4, S0=(Zamont−Zaval)/L.</t>
        </is>
      </c>
    </row>
    <row r="7">
      <c r="A7" t="inlineStr">
        <is>
          <t xml:space="preserve">   → Q_plein ≈ 1.668 m³/s (ancienne valeur bureau 1.77 ≈ même méthode).</t>
        </is>
      </c>
    </row>
    <row r="8">
      <c r="A8" t="inlineStr">
        <is>
          <t>4. Méthode A: Qout = constante = Q_plein (jaune Parametres).</t>
        </is>
      </c>
    </row>
    <row r="9">
      <c r="A9" t="inlineStr">
        <is>
          <t xml:space="preserve">   ΔV = 0.5 * ((Qin−Qout)_i + (Qin−Qout)_{i+1}) * Δt ; V = max(0, V+ΔV); Vmax = max V.</t>
        </is>
      </c>
    </row>
    <row r="10">
      <c r="A10" t="inlineStr">
        <is>
          <t>5. Inlet vs outlet control: non tranché ici. L/D≈56 → frottement souvent plausible;</t>
        </is>
      </c>
    </row>
    <row r="11">
      <c r="A11" t="inlineStr">
        <is>
          <t xml:space="preserve">   Q_plein constant reste une 1re estimation prudente pour la rétention.</t>
        </is>
      </c>
    </row>
    <row r="12">
      <c r="A12" t="inlineStr">
        <is>
          <t>6. Méthode B: orifice Q=f(H) plafonné — illustration seulement.</t>
        </is>
      </c>
    </row>
    <row r="13">
      <c r="A13" t="inlineStr">
        <is>
          <t>7. Le Ø1200 (~4.93 m³/s Manning) est aval: n'augmente pas la sortie de la rétention.</t>
        </is>
      </c>
    </row>
    <row r="14">
      <c r="A14" t="inlineStr"/>
    </row>
    <row r="15">
      <c r="A15" t="inlineStr">
        <is>
          <t>Pour une courbe Q=f(H) défendable: HY-8 / HEC-RAS (inlet + outlet control FHWA).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2026-09-02T02:15:43Z</dcterms:created>
  <dcterms:modified xsi:type="dcterms:W3CDTF">2026-09-02T02:15:43Z</dcterms:modified>
</cp:coreProperties>
</file>