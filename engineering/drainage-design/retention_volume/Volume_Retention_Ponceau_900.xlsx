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Fichiers_lies" sheetId="6" state="visible" r:id="rId6"/>
    <sheet name="Method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6" borderId="1" pivotButton="0" quotePrefix="0" xfId="0"/>
    <xf numFmtId="164" fontId="0" fillId="5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(Zamont−Zaval)/L</t>
        </is>
      </c>
      <c r="B15" s="13" t="n">
        <v>0.008489634748272452</v>
      </c>
      <c r="C15">
        <f>(D6-E6)/F6</f>
        <v/>
      </c>
    </row>
    <row r="16">
      <c r="A16" t="inlineStr">
        <is>
          <t>A = πD²/4 (m²)</t>
        </is>
      </c>
      <c r="B16" s="14" t="n">
        <v>0.6361725123519332</v>
      </c>
    </row>
    <row r="17">
      <c r="A17" t="inlineStr">
        <is>
          <t>R = D/4 (m)</t>
        </is>
      </c>
      <c r="B17" s="14" t="n">
        <v>0.225</v>
      </c>
    </row>
    <row r="18">
      <c r="A18" t="inlineStr">
        <is>
          <t>Q_plein = (1/n)·A·R^(2/3)·√S0</t>
        </is>
      </c>
      <c r="B18" s="15" t="n">
        <v>1.668006465155198</v>
      </c>
      <c r="C18" t="inlineStr">
        <is>
          <t>m³/s — capacité pleine section (hypothèse actuelle)</t>
        </is>
      </c>
    </row>
    <row r="19">
      <c r="A19" t="inlineStr">
        <is>
          <t>Q utilisé avant (m³/s)</t>
        </is>
      </c>
      <c r="B19" s="12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 t="n">
        <v>1.668</v>
      </c>
      <c r="C22" t="inlineStr">
        <is>
          <t>Par défaut = Q_plein Manning. Mettre 1.77 pour retrouver l'ancien calcul.</t>
        </is>
      </c>
    </row>
    <row r="23">
      <c r="A23" t="inlineStr">
        <is>
          <t>Facteur_securite (-)</t>
        </is>
      </c>
      <c r="B23" s="16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B)</t>
        </is>
      </c>
    </row>
    <row r="26">
      <c r="A26" s="2" t="inlineStr">
        <is>
          <t>Résultats (formules — feuille Calcul_A)</t>
        </is>
      </c>
    </row>
    <row r="27">
      <c r="A27" t="inlineStr">
        <is>
          <t>Vmax (m³)</t>
        </is>
      </c>
      <c r="B27" s="18">
        <f>Calcul_A!B3</f>
        <v/>
      </c>
    </row>
    <row r="28">
      <c r="A28" t="inlineStr">
        <is>
          <t>V_dimensionnement = Vmax × facteur (m³)</t>
        </is>
      </c>
      <c r="B28" s="18">
        <f>B27*B23</f>
        <v/>
      </c>
    </row>
    <row r="29">
      <c r="A29" t="inlineStr">
        <is>
          <t>Hmax approx (m) = Vmax / Aire</t>
        </is>
      </c>
      <c r="B29" s="19">
        <f>IF(B24&gt;0,B27/B24,0)</f>
        <v/>
      </c>
      <c r="C29" t="inlineStr">
        <is>
          <t>Estimation grossière si l'aire de bassin est constante</t>
        </is>
      </c>
    </row>
    <row r="31">
      <c r="A31" s="2" t="inlineStr">
        <is>
          <t>Inlet control vs outlet control — qu'est-ce que ça veut dire?</t>
        </is>
      </c>
    </row>
    <row r="32">
      <c r="A32" t="inlineStr">
        <is>
          <t>• Inlet control (contrôle à l'entrée): le débit est limité par l'entrée du ponceau (forme d'entrée, HW/D).</t>
        </is>
      </c>
    </row>
    <row r="33">
      <c r="A33" t="inlineStr">
        <is>
          <t xml:space="preserve">  Le tuyau aval « n'aspire » pas assez pour influencer — Q dépend surtout de la charge amont H, pas de L ni de n.</t>
        </is>
      </c>
    </row>
    <row r="34">
      <c r="A34" t="inlineStr">
        <is>
          <t>• Outlet control (contrôle à la sortie / frottement): le débit dépend de la longueur, de n, de la pente et de la charge</t>
        </is>
      </c>
    </row>
    <row r="35">
      <c r="A35" t="inlineStr">
        <is>
          <t xml:space="preserve">  (énergie amont → aval). Manning pleine section est une hypothèse de type outlet/frottement à section pleine.</t>
        </is>
      </c>
    </row>
    <row r="36">
      <c r="A36" t="inlineStr">
        <is>
          <t>• Ici L/D = 56 (tuyau assez long) → le contrôle par frottement (outlet) est souvent plausible,</t>
        </is>
      </c>
    </row>
    <row r="37">
      <c r="A37" t="inlineStr">
        <is>
          <t xml:space="preserve">  mais sans analyse FHWA/HY-8 on ne peut pas l'affirmer. Pour dimensionner la rétention, Q_plein constant est</t>
        </is>
      </c>
    </row>
    <row r="38">
      <c r="A38" t="inlineStr">
        <is>
          <t xml:space="preserve">  en général prudent (si la charge monte, le débit réel peut être un peu plus élevé → Vmax un peu plus bas).</t>
        </is>
      </c>
    </row>
    <row r="39">
      <c r="A39" t="inlineStr">
        <is>
          <t>• On n'a pas besoin de trancher IC/OC pour utiliser ce classeur: garder Qout = Q_plein (ou 1.77) suffit pour une 1re estimation.</t>
        </is>
      </c>
    </row>
    <row r="41">
      <c r="A41" s="2" t="inlineStr">
        <is>
          <t>Notes</t>
        </is>
      </c>
    </row>
    <row r="42">
      <c r="A42" t="inlineStr">
        <is>
          <t>• Méthode A: Qout fixe = Q_plein Manning Ø900 (n=0,013). Pas un jugement IC/OC complet.</t>
        </is>
      </c>
    </row>
    <row r="43">
      <c r="A43" t="inlineStr">
        <is>
          <t>• Le stockage commence quand Qin dépasse Qout; Vmax = max du volume stocké (pas (Qp−Qout)×durée).</t>
        </is>
      </c>
    </row>
    <row r="44">
      <c r="A44" t="inlineStr">
        <is>
          <t>• Méthode B: Qout = f(H) depuis feuille Courbe_QH_900 (FHWA inlet+outlet).</t>
        </is>
      </c>
    </row>
    <row r="45">
      <c r="A45" t="inlineStr">
        <is>
          <t>• Voir feuille Fichiers_lies pour les anciens Excel HY-8 / ponceau+fossé.</t>
        </is>
      </c>
    </row>
    <row r="46">
      <c r="A46" t="inlineStr">
        <is>
          <t>• Vérifier que le radier amont Ø900 (34.88) est bien le fond de la zone de rétention étudiée.</t>
        </is>
      </c>
    </row>
    <row r="47">
      <c r="A47" t="inlineStr">
        <is>
          <t>Vmax_B courbe FHWA (m³)</t>
        </is>
      </c>
      <c r="B47" s="18">
        <f>Calcul_B!B7</f>
        <v/>
      </c>
      <c r="C47" t="inlineStr">
        <is>
          <t>Routage avec Q=f(H) — dépend de Aire_bassin (B24)</t>
        </is>
      </c>
    </row>
  </sheetData>
  <mergeCells count="15">
    <mergeCell ref="A9:H10"/>
    <mergeCell ref="A39:H39"/>
    <mergeCell ref="A46:H46"/>
    <mergeCell ref="A35:H35"/>
    <mergeCell ref="A43:H43"/>
    <mergeCell ref="A38:H38"/>
    <mergeCell ref="A1:F1"/>
    <mergeCell ref="A42:H42"/>
    <mergeCell ref="A33:H33"/>
    <mergeCell ref="A36:H36"/>
    <mergeCell ref="A44:H44"/>
    <mergeCell ref="A45:H45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0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1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2" t="n">
        <v>0</v>
      </c>
      <c r="B8" s="23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2" t="n">
        <v>5</v>
      </c>
      <c r="B9" s="23" t="n">
        <v>0.121875</v>
      </c>
      <c r="C9" s="5">
        <f>B9*$B$4</f>
        <v/>
      </c>
      <c r="D9" s="4" t="inlineStr"/>
    </row>
    <row r="10">
      <c r="A10" s="22" t="n">
        <v>10</v>
      </c>
      <c r="B10" s="23" t="n">
        <v>0.193438</v>
      </c>
      <c r="C10" s="5">
        <f>B10*$B$4</f>
        <v/>
      </c>
      <c r="D10" s="4" t="inlineStr"/>
    </row>
    <row r="11">
      <c r="A11" s="22" t="n">
        <v>15</v>
      </c>
      <c r="B11" s="23" t="n">
        <v>0.333542</v>
      </c>
      <c r="C11" s="5">
        <f>B11*$B$4</f>
        <v/>
      </c>
      <c r="D11" s="4" t="inlineStr"/>
    </row>
    <row r="12">
      <c r="A12" s="22" t="n">
        <v>20</v>
      </c>
      <c r="B12" s="23" t="n">
        <v>0.657188</v>
      </c>
      <c r="C12" s="5">
        <f>B12*$B$4</f>
        <v/>
      </c>
      <c r="D12" s="4" t="inlineStr"/>
    </row>
    <row r="13">
      <c r="A13" s="22" t="n">
        <v>22.5</v>
      </c>
      <c r="B13" s="23" t="n">
        <v>1</v>
      </c>
      <c r="C13" s="8">
        <f>B13*$B$4</f>
        <v/>
      </c>
      <c r="D13" s="4" t="inlineStr">
        <is>
          <t>Pointe (ratio = 1)</t>
        </is>
      </c>
    </row>
    <row r="14">
      <c r="A14" s="22" t="n">
        <v>27.5</v>
      </c>
      <c r="B14" s="23" t="n">
        <v>0.608958</v>
      </c>
      <c r="C14" s="5">
        <f>B14*$B$4</f>
        <v/>
      </c>
      <c r="D14" s="4" t="inlineStr"/>
    </row>
    <row r="15">
      <c r="A15" s="22" t="n">
        <v>32.5</v>
      </c>
      <c r="B15" s="23" t="n">
        <v>0.401771</v>
      </c>
      <c r="C15" s="5">
        <f>B15*$B$4</f>
        <v/>
      </c>
      <c r="D15" s="4" t="inlineStr"/>
    </row>
    <row r="16">
      <c r="A16" s="22" t="n">
        <v>37.5</v>
      </c>
      <c r="B16" s="23" t="n">
        <v>0.280104</v>
      </c>
      <c r="C16" s="5">
        <f>B16*$B$4</f>
        <v/>
      </c>
      <c r="D16" s="4" t="inlineStr"/>
    </row>
    <row r="17">
      <c r="A17" s="22" t="n">
        <v>42.5</v>
      </c>
      <c r="B17" s="23" t="n">
        <v>0.203438</v>
      </c>
      <c r="C17" s="5">
        <f>B17*$B$4</f>
        <v/>
      </c>
      <c r="D17" s="4" t="inlineStr"/>
    </row>
    <row r="18">
      <c r="A18" s="22" t="n">
        <v>47.5</v>
      </c>
      <c r="B18" s="23" t="n">
        <v>0.152292</v>
      </c>
      <c r="C18" s="5">
        <f>B18*$B$4</f>
        <v/>
      </c>
      <c r="D18" s="4" t="inlineStr"/>
    </row>
    <row r="19">
      <c r="A19" s="22" t="n">
        <v>52.5</v>
      </c>
      <c r="B19" s="23" t="n">
        <v>0.116771</v>
      </c>
      <c r="C19" s="5">
        <f>B19*$B$4</f>
        <v/>
      </c>
      <c r="D19" s="4" t="inlineStr"/>
    </row>
    <row r="20">
      <c r="A20" s="22" t="n">
        <v>57.5</v>
      </c>
      <c r="B20" s="23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24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14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0" t="inlineStr">
        <is>
          <t>Méthode A — Qout constant = capacité Ø900</t>
        </is>
      </c>
    </row>
    <row r="2">
      <c r="A2" t="inlineStr">
        <is>
          <t>Qout (m³/s)</t>
        </is>
      </c>
      <c r="B2" s="25">
        <f>Parametres!B22</f>
        <v/>
      </c>
    </row>
    <row r="3">
      <c r="A3" t="inlineStr">
        <is>
          <t>Vmax (m³)</t>
        </is>
      </c>
      <c r="B3" s="26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2">
        <f>Hydrogramme!A8</f>
        <v/>
      </c>
      <c r="B8" s="5">
        <f>Hydrogramme!C8</f>
        <v/>
      </c>
      <c r="C8" s="27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28" t="n">
        <v>0</v>
      </c>
      <c r="I8" s="4">
        <f>IF(H8&gt;0.5,"oui","non")</f>
        <v/>
      </c>
    </row>
    <row r="9">
      <c r="A9" s="22">
        <f>Hydrogramme!A9</f>
        <v/>
      </c>
      <c r="B9" s="5">
        <f>Hydrogramme!C9</f>
        <v/>
      </c>
      <c r="C9" s="27">
        <f>$B$2</f>
        <v/>
      </c>
      <c r="D9" s="5">
        <f>B9-C9</f>
        <v/>
      </c>
      <c r="E9" s="22">
        <f>(A9-A8)*60</f>
        <v/>
      </c>
      <c r="F9" s="22">
        <f>0.5*(B8+B9)*E9</f>
        <v/>
      </c>
      <c r="G9" s="22">
        <f>F9-(H9-H8)</f>
        <v/>
      </c>
      <c r="H9" s="29">
        <f>MAX(0,H8+0.5*(D8+D9)*E9)</f>
        <v/>
      </c>
      <c r="I9" s="4">
        <f>IF(H9&gt;0.5,"oui","non")</f>
        <v/>
      </c>
    </row>
    <row r="10">
      <c r="A10" s="22">
        <f>Hydrogramme!A10</f>
        <v/>
      </c>
      <c r="B10" s="5">
        <f>Hydrogramme!C10</f>
        <v/>
      </c>
      <c r="C10" s="27">
        <f>$B$2</f>
        <v/>
      </c>
      <c r="D10" s="5">
        <f>B10-C10</f>
        <v/>
      </c>
      <c r="E10" s="22">
        <f>(A10-A9)*60</f>
        <v/>
      </c>
      <c r="F10" s="22">
        <f>0.5*(B9+B10)*E10</f>
        <v/>
      </c>
      <c r="G10" s="22">
        <f>F10-(H10-H9)</f>
        <v/>
      </c>
      <c r="H10" s="29">
        <f>MAX(0,H9+0.5*(D9+D10)*E10)</f>
        <v/>
      </c>
      <c r="I10" s="4">
        <f>IF(H10&gt;0.5,"oui","non")</f>
        <v/>
      </c>
    </row>
    <row r="11">
      <c r="A11" s="22">
        <f>Hydrogramme!A11</f>
        <v/>
      </c>
      <c r="B11" s="5">
        <f>Hydrogramme!C11</f>
        <v/>
      </c>
      <c r="C11" s="27">
        <f>$B$2</f>
        <v/>
      </c>
      <c r="D11" s="5">
        <f>B11-C11</f>
        <v/>
      </c>
      <c r="E11" s="22">
        <f>(A11-A10)*60</f>
        <v/>
      </c>
      <c r="F11" s="22">
        <f>0.5*(B10+B11)*E11</f>
        <v/>
      </c>
      <c r="G11" s="22">
        <f>F11-(H11-H10)</f>
        <v/>
      </c>
      <c r="H11" s="29">
        <f>MAX(0,H10+0.5*(D10+D11)*E11)</f>
        <v/>
      </c>
      <c r="I11" s="4">
        <f>IF(H11&gt;0.5,"oui","non")</f>
        <v/>
      </c>
    </row>
    <row r="12">
      <c r="A12" s="22">
        <f>Hydrogramme!A12</f>
        <v/>
      </c>
      <c r="B12" s="5">
        <f>Hydrogramme!C12</f>
        <v/>
      </c>
      <c r="C12" s="27">
        <f>$B$2</f>
        <v/>
      </c>
      <c r="D12" s="5">
        <f>B12-C12</f>
        <v/>
      </c>
      <c r="E12" s="22">
        <f>(A12-A11)*60</f>
        <v/>
      </c>
      <c r="F12" s="22">
        <f>0.5*(B11+B12)*E12</f>
        <v/>
      </c>
      <c r="G12" s="22">
        <f>F12-(H12-H11)</f>
        <v/>
      </c>
      <c r="H12" s="29">
        <f>MAX(0,H11+0.5*(D11+D12)*E12)</f>
        <v/>
      </c>
      <c r="I12" s="4">
        <f>IF(H12&gt;0.5,"oui","non")</f>
        <v/>
      </c>
    </row>
    <row r="13">
      <c r="A13" s="22">
        <f>Hydrogramme!A13</f>
        <v/>
      </c>
      <c r="B13" s="5">
        <f>Hydrogramme!C13</f>
        <v/>
      </c>
      <c r="C13" s="27">
        <f>$B$2</f>
        <v/>
      </c>
      <c r="D13" s="5">
        <f>B13-C13</f>
        <v/>
      </c>
      <c r="E13" s="22">
        <f>(A13-A12)*60</f>
        <v/>
      </c>
      <c r="F13" s="22">
        <f>0.5*(B12+B13)*E13</f>
        <v/>
      </c>
      <c r="G13" s="22">
        <f>F13-(H13-H12)</f>
        <v/>
      </c>
      <c r="H13" s="29">
        <f>MAX(0,H12+0.5*(D12+D13)*E13)</f>
        <v/>
      </c>
      <c r="I13" s="4">
        <f>IF(H13&gt;0.5,"oui","non")</f>
        <v/>
      </c>
    </row>
    <row r="14">
      <c r="A14" s="22">
        <f>Hydrogramme!A14</f>
        <v/>
      </c>
      <c r="B14" s="5">
        <f>Hydrogramme!C14</f>
        <v/>
      </c>
      <c r="C14" s="27">
        <f>$B$2</f>
        <v/>
      </c>
      <c r="D14" s="5">
        <f>B14-C14</f>
        <v/>
      </c>
      <c r="E14" s="22">
        <f>(A14-A13)*60</f>
        <v/>
      </c>
      <c r="F14" s="22">
        <f>0.5*(B13+B14)*E14</f>
        <v/>
      </c>
      <c r="G14" s="22">
        <f>F14-(H14-H13)</f>
        <v/>
      </c>
      <c r="H14" s="29">
        <f>MAX(0,H13+0.5*(D13+D14)*E14)</f>
        <v/>
      </c>
      <c r="I14" s="4">
        <f>IF(H14&gt;0.5,"oui","non")</f>
        <v/>
      </c>
    </row>
    <row r="15">
      <c r="A15" s="22">
        <f>Hydrogramme!A15</f>
        <v/>
      </c>
      <c r="B15" s="5">
        <f>Hydrogramme!C15</f>
        <v/>
      </c>
      <c r="C15" s="27">
        <f>$B$2</f>
        <v/>
      </c>
      <c r="D15" s="5">
        <f>B15-C15</f>
        <v/>
      </c>
      <c r="E15" s="22">
        <f>(A15-A14)*60</f>
        <v/>
      </c>
      <c r="F15" s="22">
        <f>0.5*(B14+B15)*E15</f>
        <v/>
      </c>
      <c r="G15" s="22">
        <f>F15-(H15-H14)</f>
        <v/>
      </c>
      <c r="H15" s="29">
        <f>MAX(0,H14+0.5*(D14+D15)*E15)</f>
        <v/>
      </c>
      <c r="I15" s="4">
        <f>IF(H15&gt;0.5,"oui","non")</f>
        <v/>
      </c>
    </row>
    <row r="16">
      <c r="A16" s="22">
        <f>Hydrogramme!A16</f>
        <v/>
      </c>
      <c r="B16" s="5">
        <f>Hydrogramme!C16</f>
        <v/>
      </c>
      <c r="C16" s="27">
        <f>$B$2</f>
        <v/>
      </c>
      <c r="D16" s="5">
        <f>B16-C16</f>
        <v/>
      </c>
      <c r="E16" s="22">
        <f>(A16-A15)*60</f>
        <v/>
      </c>
      <c r="F16" s="22">
        <f>0.5*(B15+B16)*E16</f>
        <v/>
      </c>
      <c r="G16" s="22">
        <f>F16-(H16-H15)</f>
        <v/>
      </c>
      <c r="H16" s="29">
        <f>MAX(0,H15+0.5*(D15+D16)*E16)</f>
        <v/>
      </c>
      <c r="I16" s="4">
        <f>IF(H16&gt;0.5,"oui","non")</f>
        <v/>
      </c>
    </row>
    <row r="17">
      <c r="A17" s="22">
        <f>Hydrogramme!A17</f>
        <v/>
      </c>
      <c r="B17" s="5">
        <f>Hydrogramme!C17</f>
        <v/>
      </c>
      <c r="C17" s="27">
        <f>$B$2</f>
        <v/>
      </c>
      <c r="D17" s="5">
        <f>B17-C17</f>
        <v/>
      </c>
      <c r="E17" s="22">
        <f>(A17-A16)*60</f>
        <v/>
      </c>
      <c r="F17" s="22">
        <f>0.5*(B16+B17)*E17</f>
        <v/>
      </c>
      <c r="G17" s="22">
        <f>F17-(H17-H16)</f>
        <v/>
      </c>
      <c r="H17" s="29">
        <f>MAX(0,H16+0.5*(D16+D17)*E17)</f>
        <v/>
      </c>
      <c r="I17" s="4">
        <f>IF(H17&gt;0.5,"oui","non")</f>
        <v/>
      </c>
    </row>
    <row r="18">
      <c r="A18" s="22">
        <f>Hydrogramme!A18</f>
        <v/>
      </c>
      <c r="B18" s="5">
        <f>Hydrogramme!C18</f>
        <v/>
      </c>
      <c r="C18" s="27">
        <f>$B$2</f>
        <v/>
      </c>
      <c r="D18" s="5">
        <f>B18-C18</f>
        <v/>
      </c>
      <c r="E18" s="22">
        <f>(A18-A17)*60</f>
        <v/>
      </c>
      <c r="F18" s="22">
        <f>0.5*(B17+B18)*E18</f>
        <v/>
      </c>
      <c r="G18" s="22">
        <f>F18-(H18-H17)</f>
        <v/>
      </c>
      <c r="H18" s="29">
        <f>MAX(0,H17+0.5*(D17+D18)*E18)</f>
        <v/>
      </c>
      <c r="I18" s="4">
        <f>IF(H18&gt;0.5,"oui","non")</f>
        <v/>
      </c>
    </row>
    <row r="19">
      <c r="A19" s="22">
        <f>Hydrogramme!A19</f>
        <v/>
      </c>
      <c r="B19" s="5">
        <f>Hydrogramme!C19</f>
        <v/>
      </c>
      <c r="C19" s="27">
        <f>$B$2</f>
        <v/>
      </c>
      <c r="D19" s="5">
        <f>B19-C19</f>
        <v/>
      </c>
      <c r="E19" s="22">
        <f>(A19-A18)*60</f>
        <v/>
      </c>
      <c r="F19" s="22">
        <f>0.5*(B18+B19)*E19</f>
        <v/>
      </c>
      <c r="G19" s="22">
        <f>F19-(H19-H18)</f>
        <v/>
      </c>
      <c r="H19" s="29">
        <f>MAX(0,H18+0.5*(D18+D19)*E19)</f>
        <v/>
      </c>
      <c r="I19" s="4">
        <f>IF(H19&gt;0.5,"oui","non")</f>
        <v/>
      </c>
    </row>
    <row r="20">
      <c r="A20" s="22">
        <f>Hydrogramme!A20</f>
        <v/>
      </c>
      <c r="B20" s="5">
        <f>Hydrogramme!C20</f>
        <v/>
      </c>
      <c r="C20" s="27">
        <f>$B$2</f>
        <v/>
      </c>
      <c r="D20" s="5">
        <f>B20-C20</f>
        <v/>
      </c>
      <c r="E20" s="22">
        <f>(A20-A19)*60</f>
        <v/>
      </c>
      <c r="F20" s="22">
        <f>0.5*(B19+B20)*E20</f>
        <v/>
      </c>
      <c r="G20" s="22">
        <f>F20-(H20-H19)</f>
        <v/>
      </c>
      <c r="H20" s="29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0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0" t="inlineStr">
        <is>
          <t>entrée</t>
        </is>
      </c>
      <c r="F6" s="30" t="inlineStr">
        <is>
          <t>K</t>
        </is>
      </c>
      <c r="G6" s="30" t="inlineStr">
        <is>
          <t>M</t>
        </is>
      </c>
      <c r="H6" s="30" t="inlineStr">
        <is>
          <t>c</t>
        </is>
      </c>
      <c r="I6" s="30" t="inlineStr">
        <is>
          <t>Y</t>
        </is>
      </c>
      <c r="J6" s="30" t="inlineStr">
        <is>
          <t>Ke</t>
        </is>
      </c>
    </row>
    <row r="7">
      <c r="A7" t="inlineStr">
        <is>
          <t>D (m)</t>
        </is>
      </c>
      <c r="B7" s="16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6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6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6" t="n">
        <v>34.45</v>
      </c>
      <c r="C10" t="inlineStr"/>
    </row>
    <row r="11">
      <c r="A11" t="inlineStr">
        <is>
          <t>S0 = (Zin-Zout)/L</t>
        </is>
      </c>
      <c r="B11" s="31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6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2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24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3">
        <f>IFERROR(VLOOKUP(B13,$E$7:$J$9,2,FALSE),0.0098)</f>
        <v/>
      </c>
    </row>
    <row r="18">
      <c r="A18" t="inlineStr">
        <is>
          <t>M (lu)</t>
        </is>
      </c>
      <c r="B18" s="33">
        <f>IFERROR(VLOOKUP(B13,$E$7:$J$9,3,FALSE),2)</f>
        <v/>
      </c>
    </row>
    <row r="19">
      <c r="A19" t="inlineStr">
        <is>
          <t>c (lu)</t>
        </is>
      </c>
      <c r="B19" s="33">
        <f>IFERROR(VLOOKUP(B13,$E$7:$J$9,4,FALSE),0.0398)</f>
        <v/>
      </c>
    </row>
    <row r="20">
      <c r="A20" t="inlineStr">
        <is>
          <t>Y (lu)</t>
        </is>
      </c>
      <c r="B20" s="33">
        <f>IFERROR(VLOOKUP(B13,$E$7:$J$9,5,FALSE),0.67)</f>
        <v/>
      </c>
    </row>
    <row r="21">
      <c r="A21" t="inlineStr">
        <is>
          <t>Ke (lu)</t>
        </is>
      </c>
      <c r="B21" s="33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27" t="n">
        <v>0</v>
      </c>
      <c r="B24" s="27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27" t="n">
        <v>0.05</v>
      </c>
      <c r="B25" s="27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27" t="n">
        <v>0.1</v>
      </c>
      <c r="B26" s="27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27" t="n">
        <v>0.15</v>
      </c>
      <c r="B27" s="27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27" t="n">
        <v>0.2</v>
      </c>
      <c r="B28" s="27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27" t="n">
        <v>0.25</v>
      </c>
      <c r="B29" s="27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27" t="n">
        <v>0.3</v>
      </c>
      <c r="B30" s="27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27" t="n">
        <v>0.35</v>
      </c>
      <c r="B31" s="27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27" t="n">
        <v>0.4</v>
      </c>
      <c r="B32" s="27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27" t="n">
        <v>0.45</v>
      </c>
      <c r="B33" s="27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27" t="n">
        <v>0.5</v>
      </c>
      <c r="B34" s="27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27" t="n">
        <v>0.55</v>
      </c>
      <c r="B35" s="27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27" t="n">
        <v>0.6</v>
      </c>
      <c r="B36" s="27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27" t="n">
        <v>0.65</v>
      </c>
      <c r="B37" s="27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27" t="n">
        <v>0.7</v>
      </c>
      <c r="B38" s="27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27" t="n">
        <v>0.75</v>
      </c>
      <c r="B39" s="27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27" t="n">
        <v>0.8</v>
      </c>
      <c r="B40" s="27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27" t="n">
        <v>0.85</v>
      </c>
      <c r="B41" s="27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27" t="n">
        <v>0.9</v>
      </c>
      <c r="B42" s="27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27" t="n">
        <v>0.95</v>
      </c>
      <c r="B43" s="27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27" t="n">
        <v>1</v>
      </c>
      <c r="B44" s="27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27" t="n">
        <v>1.05</v>
      </c>
      <c r="B45" s="27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27" t="n">
        <v>1.1</v>
      </c>
      <c r="B46" s="27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27" t="n">
        <v>1.15</v>
      </c>
      <c r="B47" s="27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27" t="n">
        <v>1.2</v>
      </c>
      <c r="B48" s="27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27" t="n">
        <v>1.25</v>
      </c>
      <c r="B49" s="27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27" t="n">
        <v>1.3</v>
      </c>
      <c r="B50" s="27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27" t="n">
        <v>1.35</v>
      </c>
      <c r="B51" s="27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27" t="n">
        <v>1.4</v>
      </c>
      <c r="B52" s="27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27" t="n">
        <v>1.45</v>
      </c>
      <c r="B53" s="27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27" t="n">
        <v>1.5</v>
      </c>
      <c r="B54" s="27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27" t="n">
        <v>1.55</v>
      </c>
      <c r="B55" s="27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27" t="n">
        <v>1.6</v>
      </c>
      <c r="B56" s="27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27" t="n">
        <v>1.65</v>
      </c>
      <c r="B57" s="27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27" t="n">
        <v>1.7</v>
      </c>
      <c r="B58" s="27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27" t="n">
        <v>1.75</v>
      </c>
      <c r="B59" s="27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27" t="n">
        <v>1.8</v>
      </c>
      <c r="B60" s="27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27" t="n">
        <v>1.85</v>
      </c>
      <c r="B61" s="27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27" t="n">
        <v>1.9</v>
      </c>
      <c r="B62" s="27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27" t="n">
        <v>1.95</v>
      </c>
      <c r="B63" s="27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27" t="n">
        <v>2</v>
      </c>
      <c r="B64" s="27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27" t="n">
        <v>2.05</v>
      </c>
      <c r="B65" s="27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27" t="n">
        <v>2.1</v>
      </c>
      <c r="B66" s="27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27" t="n">
        <v>2.15</v>
      </c>
      <c r="B67" s="27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27" t="n">
        <v>2.2</v>
      </c>
      <c r="B68" s="27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27" t="n">
        <v>2.25</v>
      </c>
      <c r="B69" s="27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27" t="n">
        <v>2.3</v>
      </c>
      <c r="B70" s="27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27" t="n">
        <v>2.35</v>
      </c>
      <c r="B71" s="27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4" t="n">
        <v>2.4</v>
      </c>
      <c r="B72" s="34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27" t="n">
        <v>2.45</v>
      </c>
      <c r="B73" s="27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27" t="n">
        <v>2.5</v>
      </c>
      <c r="B74" s="27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27" t="n">
        <v>2.55</v>
      </c>
      <c r="B75" s="27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27" t="n">
        <v>2.6</v>
      </c>
      <c r="B76" s="27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27" t="n">
        <v>2.65</v>
      </c>
      <c r="B77" s="27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27" t="n">
        <v>2.7</v>
      </c>
      <c r="B78" s="27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27" t="n">
        <v>2.75</v>
      </c>
      <c r="B79" s="27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27" t="n">
        <v>2.8</v>
      </c>
      <c r="B80" s="27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27" t="n">
        <v>2.85</v>
      </c>
      <c r="B81" s="27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27" t="n">
        <v>2.9</v>
      </c>
      <c r="B82" s="27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27" t="n">
        <v>2.95</v>
      </c>
      <c r="B83" s="27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27" t="n">
        <v>3</v>
      </c>
      <c r="B84" s="27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0" t="inlineStr">
        <is>
          <t>Méthode B — routage avec Qout = f(H) depuis Courbe_QH_900 (FHWA)</t>
        </is>
      </c>
    </row>
    <row r="2">
      <c r="A2" s="35" t="inlineStr">
        <is>
          <t>H = V / Aire_bassin. Qout interpolé sur Courbe_QH_900!E (Q gouvernant). Si V≈0, Qout = MIN(Qin, Q_plein). ΔV = (Qin_moy - Qout)*Δt. La courbe Courbe_QH_900 est en formules live (changer n/L/entrée/TW).</t>
        </is>
      </c>
    </row>
    <row r="3"/>
    <row r="5">
      <c r="A5" t="inlineStr">
        <is>
          <t>Aire (m²)</t>
        </is>
      </c>
      <c r="B5" s="36">
        <f>Parametres!B24</f>
        <v/>
      </c>
    </row>
    <row r="6">
      <c r="A6" t="inlineStr">
        <is>
          <t>Q_plein réf. (m³/s)</t>
        </is>
      </c>
      <c r="B6" s="36">
        <f>Parametres!B22</f>
        <v/>
      </c>
    </row>
    <row r="7">
      <c r="A7" t="inlineStr">
        <is>
          <t>Vmax_B (m³)</t>
        </is>
      </c>
      <c r="B7" s="26">
        <f>MAX(G12:G24)</f>
        <v/>
      </c>
    </row>
    <row r="8">
      <c r="A8" t="inlineStr">
        <is>
          <t>Hmax_B (m)</t>
        </is>
      </c>
      <c r="B8" s="19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2" t="n">
        <v>0</v>
      </c>
      <c r="G12" s="29" t="n">
        <v>0</v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2">
        <f>(A13-A12)*60</f>
        <v/>
      </c>
      <c r="G13" s="29">
        <f>MAX(0,G12+(0.5*(B12+B13)-E13)*F13)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2">
        <f>(A14-A13)*60</f>
        <v/>
      </c>
      <c r="G14" s="29">
        <f>MAX(0,G13+(0.5*(B13+B14)-E14)*F14)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2">
        <f>(A15-A14)*60</f>
        <v/>
      </c>
      <c r="G15" s="29">
        <f>MAX(0,G14+(0.5*(B14+B15)-E15)*F15)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2">
        <f>(A16-A15)*60</f>
        <v/>
      </c>
      <c r="G16" s="29">
        <f>MAX(0,G15+(0.5*(B15+B16)-E16)*F16)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2">
        <f>(A17-A16)*60</f>
        <v/>
      </c>
      <c r="G17" s="29">
        <f>MAX(0,G16+(0.5*(B16+B17)-E17)*F17)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2">
        <f>(A18-A17)*60</f>
        <v/>
      </c>
      <c r="G18" s="29">
        <f>MAX(0,G17+(0.5*(B17+B18)-E18)*F18)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2">
        <f>(A19-A18)*60</f>
        <v/>
      </c>
      <c r="G19" s="29">
        <f>MAX(0,G18+(0.5*(B18+B19)-E19)*F19)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2">
        <f>(A20-A19)*60</f>
        <v/>
      </c>
      <c r="G20" s="29">
        <f>MAX(0,G19+(0.5*(B19+B20)-E20)*F20)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2">
        <f>(A21-A20)*60</f>
        <v/>
      </c>
      <c r="G21" s="29">
        <f>MAX(0,G20+(0.5*(B20+B21)-E21)*F21)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2">
        <f>(A22-A21)*60</f>
        <v/>
      </c>
      <c r="G22" s="29">
        <f>MAX(0,G21+(0.5*(B21+B22)-E22)*F22)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2">
        <f>(A23-A22)*60</f>
        <v/>
      </c>
      <c r="G23" s="29">
        <f>MAX(0,G22+(0.5*(B22+B23)-E23)*F23)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2">
        <f>(A24-A23)*60</f>
        <v/>
      </c>
      <c r="G24" s="29">
        <f>MAX(0,G23+(0.5*(B23+B24)-E24)*F24)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7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8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deux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>4. Méthode A: Qout = constante = Q_plein (jaune Parametres). Bon pour 1re estimation.</t>
        </is>
      </c>
    </row>
    <row r="9">
      <c r="A9" t="inlineStr">
        <is>
          <t>5. Méthode B: Qout lu sur la courbe selon H=V/Aire (charge amont).</t>
        </is>
      </c>
    </row>
    <row r="10">
      <c r="A10" t="inlineStr">
        <is>
          <t>6. Sur ce Ø900 (L/D≈56), le calcul FHWA indique surtout un contrôle outlet.</t>
        </is>
      </c>
    </row>
    <row r="11">
      <c r="A11" t="inlineStr">
        <is>
          <t>7. Le Ø1200 est aval: n'augmente pas la sortie de la rétention.</t>
        </is>
      </c>
    </row>
    <row r="12">
      <c r="A12" t="inlineStr"/>
    </row>
    <row r="13">
      <c r="A13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2026-09-11T01:29:13Z</dcterms:created>
  <dcterms:modified xsi:type="dcterms:W3CDTF">2026-09-11T01:29:13Z</dcterms:modified>
</cp:coreProperties>
</file>