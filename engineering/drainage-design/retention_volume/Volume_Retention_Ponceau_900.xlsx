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ametres" sheetId="1" state="visible" r:id="rId1"/>
    <sheet name="Hydrogramme" sheetId="2" state="visible" r:id="rId2"/>
    <sheet name="Calcul_A" sheetId="3" state="visible" r:id="rId3"/>
    <sheet name="Courbe_QH_900" sheetId="4" state="visible" r:id="rId4"/>
    <sheet name="Calcul_B" sheetId="5" state="visible" r:id="rId5"/>
    <sheet name="Fichiers_lies" sheetId="6" state="visible" r:id="rId6"/>
    <sheet name="Method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00"/>
    <numFmt numFmtId="165" formatCode="0.00000"/>
    <numFmt numFmtId="166" formatCode="0.0"/>
    <numFmt numFmtId="167" formatCode="0.0000"/>
  </numFmts>
  <fonts count="7">
    <font>
      <name val="Calibri"/>
      <family val="2"/>
      <color theme="1"/>
      <sz val="11"/>
      <scheme val="minor"/>
    </font>
    <font>
      <b val="1"/>
      <color rgb="000F5C5C"/>
      <sz val="14"/>
    </font>
    <font>
      <b val="1"/>
    </font>
    <font>
      <b val="1"/>
      <color rgb="00FFFFFF"/>
    </font>
    <font>
      <b val="1"/>
      <color rgb="000F5C5C"/>
      <sz val="12"/>
    </font>
    <font>
      <b val="1"/>
      <color rgb="000F5C5C"/>
      <sz val="13"/>
    </font>
    <font>
      <b val="1"/>
      <sz val="13"/>
    </font>
  </fonts>
  <fills count="7">
    <fill>
      <patternFill/>
    </fill>
    <fill>
      <patternFill patternType="gray125"/>
    </fill>
    <fill>
      <patternFill patternType="solid">
        <fgColor rgb="000F5C5C"/>
      </patternFill>
    </fill>
    <fill>
      <patternFill patternType="solid">
        <fgColor rgb="00FCE4D6"/>
      </patternFill>
    </fill>
    <fill>
      <patternFill patternType="solid">
        <fgColor rgb="00FFF59D"/>
      </patternFill>
    </fill>
    <fill>
      <patternFill patternType="solid">
        <fgColor rgb="00D1FAE5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0" fillId="3" borderId="1" pivotButton="0" quotePrefix="0" xfId="0"/>
    <xf numFmtId="164" fontId="0" fillId="3" borderId="1" pivotButton="0" quotePrefix="0" xfId="0"/>
    <xf numFmtId="165" fontId="0" fillId="3" borderId="1" pivotButton="0" quotePrefix="0" xfId="0"/>
    <xf numFmtId="0" fontId="0" fillId="0" borderId="0" applyAlignment="1" pivotButton="0" quotePrefix="0" xfId="0">
      <alignment vertical="top" wrapText="1"/>
    </xf>
    <xf numFmtId="164" fontId="0" fillId="4" borderId="1" pivotButton="0" quotePrefix="0" xfId="0"/>
    <xf numFmtId="2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4" fontId="0" fillId="5" borderId="1" pivotButton="0" quotePrefix="0" xfId="0"/>
    <xf numFmtId="2" fontId="0" fillId="4" borderId="1" pivotButton="0" quotePrefix="0" xfId="0"/>
    <xf numFmtId="1" fontId="0" fillId="4" borderId="1" pivotButton="0" quotePrefix="0" xfId="0"/>
    <xf numFmtId="1" fontId="0" fillId="5" borderId="0" pivotButton="0" quotePrefix="0" xfId="0"/>
    <xf numFmtId="2" fontId="0" fillId="6" borderId="0" pivotButton="0" quotePrefix="0" xfId="0"/>
    <xf numFmtId="0" fontId="4" fillId="0" borderId="0" pivotButton="0" quotePrefix="0" xfId="0"/>
    <xf numFmtId="166" fontId="0" fillId="0" borderId="1" pivotButton="0" quotePrefix="0" xfId="0"/>
    <xf numFmtId="164" fontId="0" fillId="6" borderId="1" pivotButton="0" quotePrefix="0" xfId="0"/>
    <xf numFmtId="0" fontId="0" fillId="5" borderId="0" pivotButton="0" quotePrefix="0" xfId="0"/>
    <xf numFmtId="166" fontId="0" fillId="0" borderId="0" pivotButton="0" quotePrefix="0" xfId="0"/>
    <xf numFmtId="2" fontId="0" fillId="4" borderId="0" pivotButton="0" quotePrefix="0" xfId="0"/>
    <xf numFmtId="166" fontId="0" fillId="5" borderId="0" pivotButton="0" quotePrefix="0" xfId="0"/>
    <xf numFmtId="2" fontId="0" fillId="0" borderId="1" pivotButton="0" quotePrefix="0" xfId="0"/>
    <xf numFmtId="0" fontId="0" fillId="5" borderId="1" pivotButton="0" quotePrefix="0" xfId="0"/>
    <xf numFmtId="166" fontId="0" fillId="5" borderId="1" pivotButton="0" quotePrefix="0" xfId="0"/>
    <xf numFmtId="0" fontId="3" fillId="2" borderId="0" pivotButton="0" quotePrefix="0" xfId="0"/>
    <xf numFmtId="165" fontId="0" fillId="4" borderId="1" pivotButton="0" quotePrefix="0" xfId="0"/>
    <xf numFmtId="0" fontId="0" fillId="4" borderId="1" pivotButton="0" quotePrefix="0" xfId="0"/>
    <xf numFmtId="164" fontId="0" fillId="5" borderId="0" pivotButton="0" quotePrefix="0" xfId="0"/>
    <xf numFmtId="167" fontId="0" fillId="6" borderId="0" pivotButton="0" quotePrefix="0" xfId="0"/>
    <xf numFmtId="2" fontId="0" fillId="3" borderId="1" pivotButton="0" quotePrefix="0" xfId="0"/>
    <xf numFmtId="0" fontId="0" fillId="0" borderId="0" applyAlignment="1" pivotButton="0" quotePrefix="0" xfId="0">
      <alignment wrapText="1"/>
    </xf>
    <xf numFmtId="0" fontId="0" fillId="4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Hydrogramme Qin</a:t>
            </a:r>
          </a:p>
        </rich>
      </tx>
    </title>
    <plotArea>
      <lineChart>
        <grouping val="standard"/>
        <ser>
          <idx val="0"/>
          <order val="0"/>
          <tx>
            <strRef>
              <f>'Hydrogramme'!B3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'Hydrogramme'!$A$4:$A$18</f>
            </numRef>
          </cat>
          <val>
            <numRef>
              <f>'Hydrogramme'!$B$4:$B$18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Volume stocké cumulé (Méthode A)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'Calcul_A'!H7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'Calcul_A'!$H$8:$H$22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 (min)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 (m³)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Qin vs Qout</a:t>
            </a:r>
          </a:p>
        </rich>
      </tx>
    </title>
    <plotArea>
      <lineChart>
        <grouping val="standard"/>
        <ser>
          <idx val="0"/>
          <order val="0"/>
          <tx>
            <strRef>
              <f>'Calcul_A'!B7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'Calcul_A'!$B$8:$B$22</f>
            </numRef>
          </val>
        </ser>
        <ser>
          <idx val="1"/>
          <order val="1"/>
          <tx>
            <strRef>
              <f>'Calcul_A'!C7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'Calcul_A'!$A$8:$A$22</f>
            </numRef>
          </cat>
          <val>
            <numRef>
              <f>'Calcul_A'!$C$8:$C$22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 gouvernant vs HW (Ø900) — live</a:t>
            </a:r>
          </a:p>
        </rich>
      </tx>
    </title>
    <plotArea>
      <lineChart>
        <grouping val="standard"/>
        <ser>
          <idx val="0"/>
          <order val="0"/>
          <tx>
            <strRef>
              <f>'Courbe_QH_900'!E23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'Courbe_QH_900'!$E$24:$E$84</f>
            </numRef>
          </val>
        </ser>
        <ser>
          <idx val="1"/>
          <order val="1"/>
          <tx>
            <strRef>
              <f>'Courbe_QH_900'!C23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'Courbe_QH_900'!$C$24:$C$84</f>
            </numRef>
          </val>
        </ser>
        <ser>
          <idx val="2"/>
          <order val="2"/>
          <tx>
            <strRef>
              <f>'Courbe_QH_900'!D23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'Courbe_QH_900'!$A$24:$A$84</f>
            </numRef>
          </cat>
          <val>
            <numRef>
              <f>'Courbe_QH_900'!$D$24:$D$84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HW (m)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Q (m³/s)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6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21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</row>
      <rowOff>0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55" customWidth="1" min="3" max="3"/>
    <col width="16" customWidth="1" min="4" max="4"/>
    <col width="16" customWidth="1" min="5" max="5"/>
    <col width="14" customWidth="1" min="6" max="6"/>
    <col width="12" customWidth="1" min="7" max="7"/>
    <col width="26" customWidth="1" min="8" max="8"/>
  </cols>
  <sheetData>
    <row r="1">
      <c r="A1" s="1" t="inlineStr">
        <is>
          <t>Volume de rétention — ponceau Ø900 contrôlant</t>
        </is>
      </c>
    </row>
    <row r="3">
      <c r="A3" s="2" t="inlineStr">
        <is>
          <t>Configuration (série)</t>
        </is>
      </c>
    </row>
    <row r="4">
      <c r="A4" s="3" t="inlineStr">
        <is>
          <t>Ouvrage</t>
        </is>
      </c>
      <c r="B4" s="3" t="inlineStr">
        <is>
          <t>Rôle</t>
        </is>
      </c>
      <c r="C4" s="3" t="inlineStr">
        <is>
          <t>D (mm)</t>
        </is>
      </c>
      <c r="D4" s="3" t="inlineStr">
        <is>
          <t>Radier amont (m)</t>
        </is>
      </c>
      <c r="E4" s="3" t="inlineStr">
        <is>
          <t>Radier aval (m)</t>
        </is>
      </c>
      <c r="F4" s="3" t="inlineStr">
        <is>
          <t>Longueur (m)</t>
        </is>
      </c>
      <c r="G4" s="3" t="inlineStr">
        <is>
          <t>S0 (-)</t>
        </is>
      </c>
      <c r="H4" s="3" t="inlineStr">
        <is>
          <t>Q capacité donnée (m³/s)</t>
        </is>
      </c>
    </row>
    <row r="5">
      <c r="A5" s="4" t="inlineStr">
        <is>
          <t>Ø1500</t>
        </is>
      </c>
      <c r="B5" s="4" t="inlineStr">
        <is>
          <t>Entrée / amont</t>
        </is>
      </c>
      <c r="C5" s="4" t="n">
        <v>1500</v>
      </c>
      <c r="D5" s="5" t="n">
        <v>36.1</v>
      </c>
      <c r="E5" s="5" t="n">
        <v>35.05</v>
      </c>
      <c r="F5" s="5" t="n">
        <v>57</v>
      </c>
      <c r="G5" s="6" t="n">
        <v>0.01842105263157902</v>
      </c>
      <c r="H5" s="5" t="n">
        <v>9.6</v>
      </c>
    </row>
    <row r="6">
      <c r="A6" s="7" t="inlineStr">
        <is>
          <t>Ø900</t>
        </is>
      </c>
      <c r="B6" s="7" t="inlineStr">
        <is>
          <t>Contrôle sortie rétention</t>
        </is>
      </c>
      <c r="C6" s="7" t="n">
        <v>900</v>
      </c>
      <c r="D6" s="8" t="n">
        <v>34.88</v>
      </c>
      <c r="E6" s="8" t="n">
        <v>34.45</v>
      </c>
      <c r="F6" s="8" t="n">
        <v>50.65</v>
      </c>
      <c r="G6" s="9" t="n">
        <v>0.008489634748272452</v>
      </c>
      <c r="H6" s="8" t="n">
        <v>1.668</v>
      </c>
    </row>
    <row r="7">
      <c r="A7" s="4" t="inlineStr">
        <is>
          <t>Ø1200</t>
        </is>
      </c>
      <c r="B7" s="4" t="inlineStr">
        <is>
          <t>Aval du Ø900</t>
        </is>
      </c>
      <c r="C7" s="4" t="n">
        <v>1200</v>
      </c>
      <c r="D7" s="5" t="n">
        <v>33.6</v>
      </c>
      <c r="E7" s="5" t="n">
        <v>33.1</v>
      </c>
      <c r="F7" s="5" t="n">
        <v>31.3</v>
      </c>
      <c r="G7" s="6" t="n">
        <v>0.01597444089456869</v>
      </c>
      <c r="H7" s="5" t="n">
        <v>4.93</v>
      </c>
    </row>
    <row r="9">
      <c r="A9" s="10" t="inlineStr">
        <is>
          <t>Chaîne: Ø1500 → zone de rétention → Ø900 (contrôle) → Ø1200 → exutoire. Le Ø1200 ne peut pas évacuer plus que ce que le Ø900 lui livre.</t>
        </is>
      </c>
    </row>
    <row r="10"/>
    <row r="12">
      <c r="A12" s="2" t="inlineStr">
        <is>
          <t>Capacité Ø900 — Manning pleine section (n = 0,013)</t>
        </is>
      </c>
    </row>
    <row r="13">
      <c r="A13" t="inlineStr">
        <is>
          <t>n Manning (-)</t>
        </is>
      </c>
      <c r="B13" s="11" t="n">
        <v>0.013</v>
      </c>
      <c r="C13" t="inlineStr">
        <is>
          <t>Fourni (béton typique ~0,012–0,015)</t>
        </is>
      </c>
    </row>
    <row r="14">
      <c r="A14" t="inlineStr">
        <is>
          <t>D (m)</t>
        </is>
      </c>
      <c r="B14" s="12" t="n">
        <v>0.9</v>
      </c>
    </row>
    <row r="15">
      <c r="A15" t="inlineStr">
        <is>
          <t>S0 = (Zamont−Zaval)/L</t>
        </is>
      </c>
      <c r="B15" s="13" t="n">
        <v>0.008489634748272452</v>
      </c>
      <c r="C15">
        <f>(D6-E6)/F6</f>
        <v/>
      </c>
    </row>
    <row r="16">
      <c r="A16" t="inlineStr">
        <is>
          <t>A = πD²/4 (m²)</t>
        </is>
      </c>
      <c r="B16" s="14" t="n">
        <v>0.6361725123519332</v>
      </c>
    </row>
    <row r="17">
      <c r="A17" t="inlineStr">
        <is>
          <t>R = D/4 (m)</t>
        </is>
      </c>
      <c r="B17" s="14" t="n">
        <v>0.225</v>
      </c>
    </row>
    <row r="18">
      <c r="A18" t="inlineStr">
        <is>
          <t>Q_plein = (1/n)·A·R^(2/3)·√S0</t>
        </is>
      </c>
      <c r="B18" s="15" t="n">
        <v>1.668006465155198</v>
      </c>
      <c r="C18" t="inlineStr">
        <is>
          <t>m³/s — capacité pleine section (hypothèse actuelle)</t>
        </is>
      </c>
    </row>
    <row r="19">
      <c r="A19" t="inlineStr">
        <is>
          <t>Q utilisé avant (m³/s)</t>
        </is>
      </c>
      <c r="B19" s="12" t="n">
        <v>1.77</v>
      </c>
      <c r="C19" t="inlineStr">
        <is>
          <t>Ancienne valeur bureau (~6% plus haute; même méthode)</t>
        </is>
      </c>
    </row>
    <row r="21">
      <c r="A21" s="2" t="inlineStr">
        <is>
          <t>Entrées de calcul rétention (jaune)</t>
        </is>
      </c>
    </row>
    <row r="22">
      <c r="A22" t="inlineStr">
        <is>
          <t>Qout_cap_900 (m³/s)</t>
        </is>
      </c>
      <c r="B22" s="11" t="n">
        <v>1.668</v>
      </c>
      <c r="C22" t="inlineStr">
        <is>
          <t>Par défaut = Q_plein Manning. Mettre 1.77 pour retrouver l'ancien calcul.</t>
        </is>
      </c>
    </row>
    <row r="23">
      <c r="A23" t="inlineStr">
        <is>
          <t>Facteur_securite (-)</t>
        </is>
      </c>
      <c r="B23" s="16" t="n">
        <v>1.2</v>
      </c>
      <c r="C23" t="inlineStr">
        <is>
          <t>Marge sur Vmax (ex. 1.20 = +20%)</t>
        </is>
      </c>
    </row>
    <row r="24">
      <c r="A24" t="inlineStr">
        <is>
          <t>Aire_bassin_m2</t>
        </is>
      </c>
      <c r="B24" s="17" t="n">
        <v>2500</v>
      </c>
      <c r="C24" t="inlineStr">
        <is>
          <t>Aire plan d'eau approx. pour H = V/A (Méthode B)</t>
        </is>
      </c>
    </row>
    <row r="26">
      <c r="A26" s="2" t="inlineStr">
        <is>
          <t>Résultats (formules — feuille Calcul_A)</t>
        </is>
      </c>
    </row>
    <row r="27">
      <c r="A27" t="inlineStr">
        <is>
          <t>Vmax (m³)</t>
        </is>
      </c>
      <c r="B27" s="18">
        <f>Calcul_A!B3</f>
        <v/>
      </c>
    </row>
    <row r="28">
      <c r="A28" t="inlineStr">
        <is>
          <t>V_dimensionnement = Vmax × facteur (m³)</t>
        </is>
      </c>
      <c r="B28" s="18">
        <f>B27*B23</f>
        <v/>
      </c>
    </row>
    <row r="29">
      <c r="A29" t="inlineStr">
        <is>
          <t>Hmax approx (m) = Vmax / Aire</t>
        </is>
      </c>
      <c r="B29" s="19">
        <f>IF(B24&gt;0,B27/B24,0)</f>
        <v/>
      </c>
      <c r="C29" t="inlineStr">
        <is>
          <t>Estimation grossière si l'aire de bassin est constante</t>
        </is>
      </c>
    </row>
    <row r="31">
      <c r="A31" s="2" t="inlineStr">
        <is>
          <t>Inlet control vs outlet control — qu'est-ce que ça veut dire?</t>
        </is>
      </c>
    </row>
    <row r="32">
      <c r="A32" t="inlineStr">
        <is>
          <t>• Inlet control (contrôle à l'entrée): le débit est limité par l'entrée du ponceau (forme d'entrée, HW/D).</t>
        </is>
      </c>
    </row>
    <row r="33">
      <c r="A33" t="inlineStr">
        <is>
          <t xml:space="preserve">  Le tuyau aval « n'aspire » pas assez pour influencer — Q dépend surtout de la charge amont H, pas de L ni de n.</t>
        </is>
      </c>
    </row>
    <row r="34">
      <c r="A34" t="inlineStr">
        <is>
          <t>• Outlet control (contrôle à la sortie / frottement): le débit dépend de la longueur, de n, de la pente et de la charge</t>
        </is>
      </c>
    </row>
    <row r="35">
      <c r="A35" t="inlineStr">
        <is>
          <t xml:space="preserve">  (énergie amont → aval). Manning pleine section est une hypothèse de type outlet/frottement à section pleine.</t>
        </is>
      </c>
    </row>
    <row r="36">
      <c r="A36" t="inlineStr">
        <is>
          <t>• Ici L/D = 56 (tuyau assez long) → le contrôle par frottement (outlet) est souvent plausible,</t>
        </is>
      </c>
    </row>
    <row r="37">
      <c r="A37" t="inlineStr">
        <is>
          <t xml:space="preserve">  mais sans analyse FHWA/HY-8 on ne peut pas l'affirmer. Pour dimensionner la rétention, Q_plein constant est</t>
        </is>
      </c>
    </row>
    <row r="38">
      <c r="A38" t="inlineStr">
        <is>
          <t xml:space="preserve">  en général prudent (si la charge monte, le débit réel peut être un peu plus élevé → Vmax un peu plus bas).</t>
        </is>
      </c>
    </row>
    <row r="39">
      <c r="A39" t="inlineStr">
        <is>
          <t>• On n'a pas besoin de trancher IC/OC pour utiliser ce classeur: garder Qout = Q_plein (ou 1.77) suffit pour une 1re estimation.</t>
        </is>
      </c>
    </row>
    <row r="41">
      <c r="A41" s="2" t="inlineStr">
        <is>
          <t>Notes</t>
        </is>
      </c>
    </row>
    <row r="42">
      <c r="A42" t="inlineStr">
        <is>
          <t>• Méthode A: Qout fixe = Q_plein Manning Ø900 (n=0,013). Pas un jugement IC/OC complet.</t>
        </is>
      </c>
    </row>
    <row r="43">
      <c r="A43" t="inlineStr">
        <is>
          <t>• Le stockage commence quand Qin dépasse Qout; Vmax = max du volume stocké (pas (Qp−Qout)×durée).</t>
        </is>
      </c>
    </row>
    <row r="44">
      <c r="A44" t="inlineStr">
        <is>
          <t>• Méthode B: Qout = f(H) depuis feuille Courbe_QH_900 (FHWA inlet+outlet).</t>
        </is>
      </c>
    </row>
    <row r="45">
      <c r="A45" t="inlineStr">
        <is>
          <t>• Voir feuille Fichiers_lies pour les anciens Excel HY-8 / ponceau+fossé.</t>
        </is>
      </c>
    </row>
    <row r="46">
      <c r="A46" t="inlineStr">
        <is>
          <t>• Vérifier que le radier amont Ø900 (34.88) est bien le fond de la zone de rétention étudiée.</t>
        </is>
      </c>
    </row>
    <row r="47">
      <c r="A47" t="inlineStr">
        <is>
          <t>Vmax_B courbe FHWA (m³)</t>
        </is>
      </c>
      <c r="B47" s="18">
        <f>Calcul_B!B7</f>
        <v/>
      </c>
      <c r="C47" t="inlineStr">
        <is>
          <t>Routage avec Q=f(H) — dépend de Aire_bassin (B24)</t>
        </is>
      </c>
    </row>
  </sheetData>
  <mergeCells count="15">
    <mergeCell ref="A9:H10"/>
    <mergeCell ref="A39:H39"/>
    <mergeCell ref="A46:H46"/>
    <mergeCell ref="A35:H35"/>
    <mergeCell ref="A43:H43"/>
    <mergeCell ref="A38:H38"/>
    <mergeCell ref="A1:F1"/>
    <mergeCell ref="A42:H42"/>
    <mergeCell ref="A33:H33"/>
    <mergeCell ref="A36:H36"/>
    <mergeCell ref="A44:H44"/>
    <mergeCell ref="A45:H45"/>
    <mergeCell ref="A37:H37"/>
    <mergeCell ref="A32:H32"/>
    <mergeCell ref="A34:H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</cols>
  <sheetData>
    <row r="1">
      <c r="A1" s="20" t="inlineStr">
        <is>
          <t>Hydrogramme d'entrée (point Ø1500 / entrée rétention)</t>
        </is>
      </c>
    </row>
    <row r="3">
      <c r="A3" s="3" t="inlineStr">
        <is>
          <t>t (min)</t>
        </is>
      </c>
      <c r="B3" s="3" t="inlineStr">
        <is>
          <t>Qin (m³/s)</t>
        </is>
      </c>
      <c r="C3" s="3" t="inlineStr">
        <is>
          <t>Remarque</t>
        </is>
      </c>
    </row>
    <row r="4">
      <c r="A4" s="21" t="n">
        <v>0</v>
      </c>
      <c r="B4" s="5" t="n">
        <v>0.778</v>
      </c>
      <c r="C4" s="4" t="inlineStr"/>
    </row>
    <row r="5">
      <c r="A5" s="21" t="n">
        <v>5</v>
      </c>
      <c r="B5" s="5" t="n">
        <v>1.17</v>
      </c>
      <c r="C5" s="4" t="inlineStr"/>
    </row>
    <row r="6">
      <c r="A6" s="21" t="n">
        <v>8.619999999999999</v>
      </c>
      <c r="B6" s="22" t="n">
        <v>1.668</v>
      </c>
      <c r="C6" s="4" t="inlineStr">
        <is>
          <t>Qin = Qcap (croisement)</t>
        </is>
      </c>
    </row>
    <row r="7">
      <c r="A7" s="21" t="n">
        <v>10</v>
      </c>
      <c r="B7" s="5" t="n">
        <v>1.857</v>
      </c>
      <c r="C7" s="4" t="inlineStr"/>
    </row>
    <row r="8">
      <c r="A8" s="21" t="n">
        <v>15</v>
      </c>
      <c r="B8" s="5" t="n">
        <v>3.202</v>
      </c>
      <c r="C8" s="4" t="inlineStr"/>
    </row>
    <row r="9">
      <c r="A9" s="21" t="n">
        <v>20</v>
      </c>
      <c r="B9" s="5" t="n">
        <v>6.309</v>
      </c>
      <c r="C9" s="4" t="inlineStr"/>
    </row>
    <row r="10">
      <c r="A10" s="21" t="n">
        <v>22.5</v>
      </c>
      <c r="B10" s="8" t="n">
        <v>9.6</v>
      </c>
      <c r="C10" s="4" t="inlineStr">
        <is>
          <t>Pointe</t>
        </is>
      </c>
    </row>
    <row r="11">
      <c r="A11" s="21" t="n">
        <v>27.5</v>
      </c>
      <c r="B11" s="5" t="n">
        <v>5.846</v>
      </c>
      <c r="C11" s="4" t="inlineStr"/>
    </row>
    <row r="12">
      <c r="A12" s="21" t="n">
        <v>32.5</v>
      </c>
      <c r="B12" s="5" t="n">
        <v>3.857</v>
      </c>
      <c r="C12" s="4" t="inlineStr"/>
    </row>
    <row r="13">
      <c r="A13" s="21" t="n">
        <v>37.5</v>
      </c>
      <c r="B13" s="5" t="n">
        <v>2.689</v>
      </c>
      <c r="C13" s="4" t="inlineStr"/>
    </row>
    <row r="14">
      <c r="A14" s="21" t="n">
        <v>42.5</v>
      </c>
      <c r="B14" s="5" t="n">
        <v>1.953</v>
      </c>
      <c r="C14" s="4" t="inlineStr"/>
    </row>
    <row r="15">
      <c r="A15" s="21" t="n">
        <v>45.4</v>
      </c>
      <c r="B15" s="22" t="n">
        <v>1.668</v>
      </c>
      <c r="C15" s="4" t="inlineStr">
        <is>
          <t>Qin = Qcap (croisement)</t>
        </is>
      </c>
    </row>
    <row r="16">
      <c r="A16" s="21" t="n">
        <v>47.5</v>
      </c>
      <c r="B16" s="5" t="n">
        <v>1.462</v>
      </c>
      <c r="C16" s="4" t="inlineStr"/>
    </row>
    <row r="17">
      <c r="A17" s="21" t="n">
        <v>52.5</v>
      </c>
      <c r="B17" s="5" t="n">
        <v>1.121</v>
      </c>
      <c r="C17" s="4" t="inlineStr"/>
    </row>
    <row r="18">
      <c r="A18" s="21" t="n">
        <v>57.5</v>
      </c>
      <c r="B18" s="5" t="n">
        <v>0.875</v>
      </c>
      <c r="C18" s="4" t="inlineStr"/>
    </row>
    <row r="20">
      <c r="A20" t="inlineStr">
        <is>
          <t>Qpointe (m³/s)</t>
        </is>
      </c>
      <c r="B20" s="23">
        <f>MAX(B4:B18)</f>
        <v/>
      </c>
    </row>
    <row r="21">
      <c r="A21" t="inlineStr">
        <is>
          <t>t pointe (min)</t>
        </is>
      </c>
      <c r="B21" s="24" t="n">
        <v>22.5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20" customWidth="1" min="4" max="4"/>
    <col width="14" customWidth="1" min="5" max="5"/>
    <col width="14" customWidth="1" min="6" max="6"/>
    <col width="14" customWidth="1" min="7" max="7"/>
    <col width="18" customWidth="1" min="8" max="8"/>
    <col width="14" customWidth="1" min="9" max="9"/>
  </cols>
  <sheetData>
    <row r="1">
      <c r="A1" s="20" t="inlineStr">
        <is>
          <t>Méthode A — Qout constant = capacité Ø900</t>
        </is>
      </c>
    </row>
    <row r="2">
      <c r="A2" t="inlineStr">
        <is>
          <t>Qout (m³/s)</t>
        </is>
      </c>
      <c r="B2" s="25">
        <f>Parametres!B22</f>
        <v/>
      </c>
    </row>
    <row r="3">
      <c r="A3" t="inlineStr">
        <is>
          <t>Vmax (m³)</t>
        </is>
      </c>
      <c r="B3" s="26">
        <f>MAX(H8:H22)</f>
        <v/>
      </c>
      <c r="C3" t="inlineStr">
        <is>
          <t>Maximum du volume stocké cumulé</t>
        </is>
      </c>
    </row>
    <row r="5">
      <c r="A5" t="inlineStr">
        <is>
          <t>t début stockage approx (min)</t>
        </is>
      </c>
      <c r="B5" t="inlineStr">
        <is>
          <t>croisement Qin=Qcap dans Hydrogramme (~8.6 min si Q=1.668)</t>
        </is>
      </c>
    </row>
    <row r="6">
      <c r="A6" t="inlineStr">
        <is>
          <t>t fin accumulation nette (min)</t>
        </is>
      </c>
      <c r="B6" t="inlineStr">
        <is>
          <t>croisement descendant (~45.4 min si Q=1.668)</t>
        </is>
      </c>
    </row>
    <row r="7">
      <c r="A7" s="3" t="inlineStr">
        <is>
          <t>t (min)</t>
        </is>
      </c>
      <c r="B7" s="3" t="inlineStr">
        <is>
          <t>Qin (m³/s)</t>
        </is>
      </c>
      <c r="C7" s="3" t="inlineStr">
        <is>
          <t>Qout (m³/s)</t>
        </is>
      </c>
      <c r="D7" s="3" t="inlineStr">
        <is>
          <t>Qin−Qout (m³/s)</t>
        </is>
      </c>
      <c r="E7" s="3" t="inlineStr">
        <is>
          <t>Δt (s)</t>
        </is>
      </c>
      <c r="F7" s="3" t="inlineStr">
        <is>
          <t>ΔVin (m³)</t>
        </is>
      </c>
      <c r="G7" s="3" t="inlineStr">
        <is>
          <t>ΔVout (m³)</t>
        </is>
      </c>
      <c r="H7" s="3" t="inlineStr">
        <is>
          <t>V stocké (m³)</t>
        </is>
      </c>
      <c r="I7" s="3" t="inlineStr">
        <is>
          <t>Stockage?</t>
        </is>
      </c>
    </row>
    <row r="8">
      <c r="A8" s="21">
        <f>Hydrogramme!A4</f>
        <v/>
      </c>
      <c r="B8" s="5">
        <f>Hydrogramme!B4</f>
        <v/>
      </c>
      <c r="C8" s="27">
        <f>$B$2</f>
        <v/>
      </c>
      <c r="D8" s="5">
        <f>B8-C8</f>
        <v/>
      </c>
      <c r="E8" s="4" t="n">
        <v>0</v>
      </c>
      <c r="F8" s="4" t="n">
        <v>0</v>
      </c>
      <c r="G8" s="4" t="n">
        <v>0</v>
      </c>
      <c r="H8" s="28" t="n">
        <v>0</v>
      </c>
      <c r="I8" s="4">
        <f>IF(H8&gt;0.5,"oui","non")</f>
        <v/>
      </c>
    </row>
    <row r="9">
      <c r="A9" s="21">
        <f>Hydrogramme!A5</f>
        <v/>
      </c>
      <c r="B9" s="5">
        <f>Hydrogramme!B5</f>
        <v/>
      </c>
      <c r="C9" s="27">
        <f>$B$2</f>
        <v/>
      </c>
      <c r="D9" s="5">
        <f>B9-C9</f>
        <v/>
      </c>
      <c r="E9" s="21">
        <f>(A9-A8)*60</f>
        <v/>
      </c>
      <c r="F9" s="21">
        <f>0.5*(B8+B9)*E9</f>
        <v/>
      </c>
      <c r="G9" s="21">
        <f>F9-(H9-H8)</f>
        <v/>
      </c>
      <c r="H9" s="29">
        <f>MAX(0,H8+0.5*(D8+D9)*E9)</f>
        <v/>
      </c>
      <c r="I9" s="4">
        <f>IF(H9&gt;0.5,"oui","non")</f>
        <v/>
      </c>
    </row>
    <row r="10">
      <c r="A10" s="21">
        <f>Hydrogramme!A6</f>
        <v/>
      </c>
      <c r="B10" s="5">
        <f>Hydrogramme!B6</f>
        <v/>
      </c>
      <c r="C10" s="27">
        <f>$B$2</f>
        <v/>
      </c>
      <c r="D10" s="5">
        <f>B10-C10</f>
        <v/>
      </c>
      <c r="E10" s="21">
        <f>(A10-A9)*60</f>
        <v/>
      </c>
      <c r="F10" s="21">
        <f>0.5*(B9+B10)*E10</f>
        <v/>
      </c>
      <c r="G10" s="21">
        <f>F10-(H10-H9)</f>
        <v/>
      </c>
      <c r="H10" s="29">
        <f>MAX(0,H9+0.5*(D9+D10)*E10)</f>
        <v/>
      </c>
      <c r="I10" s="4">
        <f>IF(H10&gt;0.5,"oui","non")</f>
        <v/>
      </c>
    </row>
    <row r="11">
      <c r="A11" s="21">
        <f>Hydrogramme!A7</f>
        <v/>
      </c>
      <c r="B11" s="5">
        <f>Hydrogramme!B7</f>
        <v/>
      </c>
      <c r="C11" s="27">
        <f>$B$2</f>
        <v/>
      </c>
      <c r="D11" s="5">
        <f>B11-C11</f>
        <v/>
      </c>
      <c r="E11" s="21">
        <f>(A11-A10)*60</f>
        <v/>
      </c>
      <c r="F11" s="21">
        <f>0.5*(B10+B11)*E11</f>
        <v/>
      </c>
      <c r="G11" s="21">
        <f>F11-(H11-H10)</f>
        <v/>
      </c>
      <c r="H11" s="29">
        <f>MAX(0,H10+0.5*(D10+D11)*E11)</f>
        <v/>
      </c>
      <c r="I11" s="4">
        <f>IF(H11&gt;0.5,"oui","non")</f>
        <v/>
      </c>
    </row>
    <row r="12">
      <c r="A12" s="21">
        <f>Hydrogramme!A8</f>
        <v/>
      </c>
      <c r="B12" s="5">
        <f>Hydrogramme!B8</f>
        <v/>
      </c>
      <c r="C12" s="27">
        <f>$B$2</f>
        <v/>
      </c>
      <c r="D12" s="5">
        <f>B12-C12</f>
        <v/>
      </c>
      <c r="E12" s="21">
        <f>(A12-A11)*60</f>
        <v/>
      </c>
      <c r="F12" s="21">
        <f>0.5*(B11+B12)*E12</f>
        <v/>
      </c>
      <c r="G12" s="21">
        <f>F12-(H12-H11)</f>
        <v/>
      </c>
      <c r="H12" s="29">
        <f>MAX(0,H11+0.5*(D11+D12)*E12)</f>
        <v/>
      </c>
      <c r="I12" s="4">
        <f>IF(H12&gt;0.5,"oui","non")</f>
        <v/>
      </c>
    </row>
    <row r="13">
      <c r="A13" s="21">
        <f>Hydrogramme!A9</f>
        <v/>
      </c>
      <c r="B13" s="5">
        <f>Hydrogramme!B9</f>
        <v/>
      </c>
      <c r="C13" s="27">
        <f>$B$2</f>
        <v/>
      </c>
      <c r="D13" s="5">
        <f>B13-C13</f>
        <v/>
      </c>
      <c r="E13" s="21">
        <f>(A13-A12)*60</f>
        <v/>
      </c>
      <c r="F13" s="21">
        <f>0.5*(B12+B13)*E13</f>
        <v/>
      </c>
      <c r="G13" s="21">
        <f>F13-(H13-H12)</f>
        <v/>
      </c>
      <c r="H13" s="29">
        <f>MAX(0,H12+0.5*(D12+D13)*E13)</f>
        <v/>
      </c>
      <c r="I13" s="4">
        <f>IF(H13&gt;0.5,"oui","non")</f>
        <v/>
      </c>
    </row>
    <row r="14">
      <c r="A14" s="21">
        <f>Hydrogramme!A10</f>
        <v/>
      </c>
      <c r="B14" s="5">
        <f>Hydrogramme!B10</f>
        <v/>
      </c>
      <c r="C14" s="27">
        <f>$B$2</f>
        <v/>
      </c>
      <c r="D14" s="5">
        <f>B14-C14</f>
        <v/>
      </c>
      <c r="E14" s="21">
        <f>(A14-A13)*60</f>
        <v/>
      </c>
      <c r="F14" s="21">
        <f>0.5*(B13+B14)*E14</f>
        <v/>
      </c>
      <c r="G14" s="21">
        <f>F14-(H14-H13)</f>
        <v/>
      </c>
      <c r="H14" s="29">
        <f>MAX(0,H13+0.5*(D13+D14)*E14)</f>
        <v/>
      </c>
      <c r="I14" s="4">
        <f>IF(H14&gt;0.5,"oui","non")</f>
        <v/>
      </c>
    </row>
    <row r="15">
      <c r="A15" s="21">
        <f>Hydrogramme!A11</f>
        <v/>
      </c>
      <c r="B15" s="5">
        <f>Hydrogramme!B11</f>
        <v/>
      </c>
      <c r="C15" s="27">
        <f>$B$2</f>
        <v/>
      </c>
      <c r="D15" s="5">
        <f>B15-C15</f>
        <v/>
      </c>
      <c r="E15" s="21">
        <f>(A15-A14)*60</f>
        <v/>
      </c>
      <c r="F15" s="21">
        <f>0.5*(B14+B15)*E15</f>
        <v/>
      </c>
      <c r="G15" s="21">
        <f>F15-(H15-H14)</f>
        <v/>
      </c>
      <c r="H15" s="29">
        <f>MAX(0,H14+0.5*(D14+D15)*E15)</f>
        <v/>
      </c>
      <c r="I15" s="4">
        <f>IF(H15&gt;0.5,"oui","non")</f>
        <v/>
      </c>
    </row>
    <row r="16">
      <c r="A16" s="21">
        <f>Hydrogramme!A12</f>
        <v/>
      </c>
      <c r="B16" s="5">
        <f>Hydrogramme!B12</f>
        <v/>
      </c>
      <c r="C16" s="27">
        <f>$B$2</f>
        <v/>
      </c>
      <c r="D16" s="5">
        <f>B16-C16</f>
        <v/>
      </c>
      <c r="E16" s="21">
        <f>(A16-A15)*60</f>
        <v/>
      </c>
      <c r="F16" s="21">
        <f>0.5*(B15+B16)*E16</f>
        <v/>
      </c>
      <c r="G16" s="21">
        <f>F16-(H16-H15)</f>
        <v/>
      </c>
      <c r="H16" s="29">
        <f>MAX(0,H15+0.5*(D15+D16)*E16)</f>
        <v/>
      </c>
      <c r="I16" s="4">
        <f>IF(H16&gt;0.5,"oui","non")</f>
        <v/>
      </c>
    </row>
    <row r="17">
      <c r="A17" s="21">
        <f>Hydrogramme!A13</f>
        <v/>
      </c>
      <c r="B17" s="5">
        <f>Hydrogramme!B13</f>
        <v/>
      </c>
      <c r="C17" s="27">
        <f>$B$2</f>
        <v/>
      </c>
      <c r="D17" s="5">
        <f>B17-C17</f>
        <v/>
      </c>
      <c r="E17" s="21">
        <f>(A17-A16)*60</f>
        <v/>
      </c>
      <c r="F17" s="21">
        <f>0.5*(B16+B17)*E17</f>
        <v/>
      </c>
      <c r="G17" s="21">
        <f>F17-(H17-H16)</f>
        <v/>
      </c>
      <c r="H17" s="29">
        <f>MAX(0,H16+0.5*(D16+D17)*E17)</f>
        <v/>
      </c>
      <c r="I17" s="4">
        <f>IF(H17&gt;0.5,"oui","non")</f>
        <v/>
      </c>
    </row>
    <row r="18">
      <c r="A18" s="21">
        <f>Hydrogramme!A14</f>
        <v/>
      </c>
      <c r="B18" s="5">
        <f>Hydrogramme!B14</f>
        <v/>
      </c>
      <c r="C18" s="27">
        <f>$B$2</f>
        <v/>
      </c>
      <c r="D18" s="5">
        <f>B18-C18</f>
        <v/>
      </c>
      <c r="E18" s="21">
        <f>(A18-A17)*60</f>
        <v/>
      </c>
      <c r="F18" s="21">
        <f>0.5*(B17+B18)*E18</f>
        <v/>
      </c>
      <c r="G18" s="21">
        <f>F18-(H18-H17)</f>
        <v/>
      </c>
      <c r="H18" s="29">
        <f>MAX(0,H17+0.5*(D17+D18)*E18)</f>
        <v/>
      </c>
      <c r="I18" s="4">
        <f>IF(H18&gt;0.5,"oui","non")</f>
        <v/>
      </c>
    </row>
    <row r="19">
      <c r="A19" s="21">
        <f>Hydrogramme!A15</f>
        <v/>
      </c>
      <c r="B19" s="5">
        <f>Hydrogramme!B15</f>
        <v/>
      </c>
      <c r="C19" s="27">
        <f>$B$2</f>
        <v/>
      </c>
      <c r="D19" s="5">
        <f>B19-C19</f>
        <v/>
      </c>
      <c r="E19" s="21">
        <f>(A19-A18)*60</f>
        <v/>
      </c>
      <c r="F19" s="21">
        <f>0.5*(B18+B19)*E19</f>
        <v/>
      </c>
      <c r="G19" s="21">
        <f>F19-(H19-H18)</f>
        <v/>
      </c>
      <c r="H19" s="29">
        <f>MAX(0,H18+0.5*(D18+D19)*E19)</f>
        <v/>
      </c>
      <c r="I19" s="4">
        <f>IF(H19&gt;0.5,"oui","non")</f>
        <v/>
      </c>
    </row>
    <row r="20">
      <c r="A20" s="21">
        <f>Hydrogramme!A16</f>
        <v/>
      </c>
      <c r="B20" s="5">
        <f>Hydrogramme!B16</f>
        <v/>
      </c>
      <c r="C20" s="27">
        <f>$B$2</f>
        <v/>
      </c>
      <c r="D20" s="5">
        <f>B20-C20</f>
        <v/>
      </c>
      <c r="E20" s="21">
        <f>(A20-A19)*60</f>
        <v/>
      </c>
      <c r="F20" s="21">
        <f>0.5*(B19+B20)*E20</f>
        <v/>
      </c>
      <c r="G20" s="21">
        <f>F20-(H20-H19)</f>
        <v/>
      </c>
      <c r="H20" s="29">
        <f>MAX(0,H19+0.5*(D19+D20)*E20)</f>
        <v/>
      </c>
      <c r="I20" s="4">
        <f>IF(H20&gt;0.5,"oui","non")</f>
        <v/>
      </c>
    </row>
    <row r="21">
      <c r="A21" s="21">
        <f>Hydrogramme!A17</f>
        <v/>
      </c>
      <c r="B21" s="5">
        <f>Hydrogramme!B17</f>
        <v/>
      </c>
      <c r="C21" s="27">
        <f>$B$2</f>
        <v/>
      </c>
      <c r="D21" s="5">
        <f>B21-C21</f>
        <v/>
      </c>
      <c r="E21" s="21">
        <f>(A21-A20)*60</f>
        <v/>
      </c>
      <c r="F21" s="21">
        <f>0.5*(B20+B21)*E21</f>
        <v/>
      </c>
      <c r="G21" s="21">
        <f>F21-(H21-H20)</f>
        <v/>
      </c>
      <c r="H21" s="29">
        <f>MAX(0,H20+0.5*(D20+D21)*E21)</f>
        <v/>
      </c>
      <c r="I21" s="4">
        <f>IF(H21&gt;0.5,"oui","non")</f>
        <v/>
      </c>
    </row>
    <row r="22">
      <c r="A22" s="21">
        <f>Hydrogramme!A18</f>
        <v/>
      </c>
      <c r="B22" s="5">
        <f>Hydrogramme!B18</f>
        <v/>
      </c>
      <c r="C22" s="27">
        <f>$B$2</f>
        <v/>
      </c>
      <c r="D22" s="5">
        <f>B22-C22</f>
        <v/>
      </c>
      <c r="E22" s="21">
        <f>(A22-A21)*60</f>
        <v/>
      </c>
      <c r="F22" s="21">
        <f>0.5*(B21+B22)*E22</f>
        <v/>
      </c>
      <c r="G22" s="21">
        <f>F22-(H22-H21)</f>
        <v/>
      </c>
      <c r="H22" s="29">
        <f>MAX(0,H21+0.5*(D21+D22)*E22)</f>
        <v/>
      </c>
      <c r="I22" s="4">
        <f>IF(H22&gt;0.5,"oui","non")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84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42" customWidth="1" min="3" max="3"/>
    <col width="12" customWidth="1" min="4" max="4"/>
    <col width="14" customWidth="1" min="5" max="5"/>
    <col width="12" customWidth="1" min="6" max="6"/>
    <col width="8" customWidth="1" min="10" max="10"/>
  </cols>
  <sheetData>
    <row r="1">
      <c r="A1" s="20" t="inlineStr">
        <is>
          <t>Courbe de capacité Ø900 — Q = f(H) (FHWA HDS-5 inlet + outlet) — FORMULES LIVE</t>
        </is>
      </c>
    </row>
    <row r="2">
      <c r="A2" s="10" t="inlineStr">
        <is>
          <t>Changez les cellules JAUNES (n, D, L, radiers, entrée, TW) : toute la table se recalcule. Q_gouvernant = MIN(Qinlet, Qoutlet). Pas besoin de relancer Python.</t>
        </is>
      </c>
    </row>
    <row r="3"/>
    <row r="5">
      <c r="A5" s="2" t="inlineStr">
        <is>
          <t>Paramètres Ø900 (jaune = éditable)</t>
        </is>
      </c>
      <c r="E5" s="2" t="inlineStr">
        <is>
          <t>Coeffs HDS-5 (table)</t>
        </is>
      </c>
    </row>
    <row r="6">
      <c r="A6" t="inlineStr">
        <is>
          <t>n Manning (-)</t>
        </is>
      </c>
      <c r="B6" s="11" t="n">
        <v>0.013</v>
      </c>
      <c r="C6" t="inlineStr">
        <is>
          <t>béton typ. 0.012–0.015</t>
        </is>
      </c>
      <c r="E6" s="30" t="inlineStr">
        <is>
          <t>entrée</t>
        </is>
      </c>
      <c r="F6" s="30" t="inlineStr">
        <is>
          <t>K</t>
        </is>
      </c>
      <c r="G6" s="30" t="inlineStr">
        <is>
          <t>M</t>
        </is>
      </c>
      <c r="H6" s="30" t="inlineStr">
        <is>
          <t>c</t>
        </is>
      </c>
      <c r="I6" s="30" t="inlineStr">
        <is>
          <t>Y</t>
        </is>
      </c>
      <c r="J6" s="30" t="inlineStr">
        <is>
          <t>Ke</t>
        </is>
      </c>
    </row>
    <row r="7">
      <c r="A7" t="inlineStr">
        <is>
          <t>D (m)</t>
        </is>
      </c>
      <c r="B7" s="16" t="n">
        <v>0.9</v>
      </c>
      <c r="C7" t="inlineStr"/>
      <c r="E7" s="4" t="inlineStr">
        <is>
          <t>square_edge</t>
        </is>
      </c>
      <c r="F7" s="4" t="n">
        <v>0.0098</v>
      </c>
      <c r="G7" s="4" t="n">
        <v>2</v>
      </c>
      <c r="H7" s="4" t="n">
        <v>0.0398</v>
      </c>
      <c r="I7" s="4" t="n">
        <v>0.67</v>
      </c>
      <c r="J7" s="4" t="n">
        <v>0.5</v>
      </c>
    </row>
    <row r="8">
      <c r="A8" t="inlineStr">
        <is>
          <t>L (m)</t>
        </is>
      </c>
      <c r="B8" s="16" t="n">
        <v>50.65</v>
      </c>
      <c r="C8" t="inlineStr"/>
      <c r="E8" s="4" t="inlineStr">
        <is>
          <t>beveled</t>
        </is>
      </c>
      <c r="F8" s="4" t="n">
        <v>0.0018</v>
      </c>
      <c r="G8" s="4" t="n">
        <v>2.5</v>
      </c>
      <c r="H8" s="4" t="n">
        <v>0.03</v>
      </c>
      <c r="I8" s="4" t="n">
        <v>0.74</v>
      </c>
      <c r="J8" s="4" t="n">
        <v>0.2</v>
      </c>
    </row>
    <row r="9">
      <c r="A9" t="inlineStr">
        <is>
          <t>Radier amont Zin (m)</t>
        </is>
      </c>
      <c r="B9" s="16" t="n">
        <v>34.88</v>
      </c>
      <c r="C9" t="inlineStr"/>
      <c r="E9" s="4" t="inlineStr">
        <is>
          <t>groove_headwall</t>
        </is>
      </c>
      <c r="F9" s="4" t="n">
        <v>0.0078</v>
      </c>
      <c r="G9" s="4" t="n">
        <v>2</v>
      </c>
      <c r="H9" s="4" t="n">
        <v>0.0292</v>
      </c>
      <c r="I9" s="4" t="n">
        <v>0.74</v>
      </c>
      <c r="J9" s="4" t="n">
        <v>0.2</v>
      </c>
    </row>
    <row r="10">
      <c r="A10" t="inlineStr">
        <is>
          <t>Radier aval Zout (m)</t>
        </is>
      </c>
      <c r="B10" s="16" t="n">
        <v>34.45</v>
      </c>
      <c r="C10" t="inlineStr"/>
    </row>
    <row r="11">
      <c r="A11" t="inlineStr">
        <is>
          <t>S0 = (Zin-Zout)/L</t>
        </is>
      </c>
      <c r="B11" s="31">
        <f>(B9-B10)/B8</f>
        <v/>
      </c>
      <c r="C11" t="inlineStr">
        <is>
          <t>ASCII minus; LibreOffice FR: OK</t>
        </is>
      </c>
    </row>
    <row r="12">
      <c r="A12" t="inlineStr">
        <is>
          <t>TW (m au-dessus Zout)</t>
        </is>
      </c>
      <c r="B12" s="16" t="n">
        <v>0</v>
      </c>
      <c r="C12" t="inlineStr">
        <is>
          <t>0 = exutoire libre</t>
        </is>
      </c>
    </row>
    <row r="13">
      <c r="A13" t="inlineStr">
        <is>
          <t>Entrée (texte exact)</t>
        </is>
      </c>
      <c r="B13" s="32" t="inlineStr">
        <is>
          <t>square_edge</t>
        </is>
      </c>
      <c r="C13" t="inlineStr">
        <is>
          <t>square_edge | beveled | groove_headwall</t>
        </is>
      </c>
    </row>
    <row r="15">
      <c r="A15" t="inlineStr">
        <is>
          <t>Q_plein Manning (réf.)</t>
        </is>
      </c>
      <c r="B15" s="33">
        <f>(1/B6)*(PI()*B7^2/4)*((B7/4)^(2/3))*SQRT(B11)</f>
        <v/>
      </c>
      <c r="C15" t="inlineStr">
        <is>
          <t>m³/s — se met à jour avec n, D, S0</t>
        </is>
      </c>
    </row>
    <row r="17">
      <c r="A17" t="inlineStr">
        <is>
          <t>K (lu)</t>
        </is>
      </c>
      <c r="B17" s="34">
        <f>IFERROR(VLOOKUP(B13,$E$7:$J$9,2,FALSE),0.0098)</f>
        <v/>
      </c>
    </row>
    <row r="18">
      <c r="A18" t="inlineStr">
        <is>
          <t>M (lu)</t>
        </is>
      </c>
      <c r="B18" s="34">
        <f>IFERROR(VLOOKUP(B13,$E$7:$J$9,3,FALSE),2)</f>
        <v/>
      </c>
    </row>
    <row r="19">
      <c r="A19" t="inlineStr">
        <is>
          <t>c (lu)</t>
        </is>
      </c>
      <c r="B19" s="34">
        <f>IFERROR(VLOOKUP(B13,$E$7:$J$9,4,FALSE),0.0398)</f>
        <v/>
      </c>
    </row>
    <row r="20">
      <c r="A20" t="inlineStr">
        <is>
          <t>Y (lu)</t>
        </is>
      </c>
      <c r="B20" s="34">
        <f>IFERROR(VLOOKUP(B13,$E$7:$J$9,5,FALSE),0.67)</f>
        <v/>
      </c>
    </row>
    <row r="21">
      <c r="A21" t="inlineStr">
        <is>
          <t>Ke (lu)</t>
        </is>
      </c>
      <c r="B21" s="34">
        <f>IFERROR(VLOOKUP(B13,$E$7:$J$9,6,FALSE),0.5)</f>
        <v/>
      </c>
    </row>
    <row r="23">
      <c r="A23" s="3" t="inlineStr">
        <is>
          <t>HW (m)</t>
        </is>
      </c>
      <c r="B23" s="3" t="inlineStr">
        <is>
          <t>WSE (m)</t>
        </is>
      </c>
      <c r="C23" s="3" t="inlineStr">
        <is>
          <t>Qinlet</t>
        </is>
      </c>
      <c r="D23" s="3" t="inlineStr">
        <is>
          <t>Qoutlet</t>
        </is>
      </c>
      <c r="E23" s="3" t="inlineStr">
        <is>
          <t>Q gouvernant</t>
        </is>
      </c>
      <c r="F23" s="3" t="inlineStr">
        <is>
          <t>Contrôle</t>
        </is>
      </c>
    </row>
    <row r="24">
      <c r="A24" s="27" t="n">
        <v>0</v>
      </c>
      <c r="B24" s="27">
        <f>$B$9+A24</f>
        <v/>
      </c>
      <c r="C24" s="5">
        <f>IF(A24&lt;=0,0,IF(A24&lt;0.95*$B$7,1.811*(PI()*($B$7/2)^2)*SQRT($B$7)*IF($B$17*$B$7&lt;=0,0,(A24/($B$17*$B$7))^(1/$B$18)),IF(A24&gt;1.2*$B$7,1.811*(PI()*($B$7/2)^2)*SQRT($B$7)*SQRT(MAX(0,(A24/$B$7-$B$20)/$B$19)),(1-(MIN(1,MAX(0,(A24/$B$7-0.95)/(1.2-0.95)))))*(1.811*(PI()*($B$7/2)^2)*SQRT($B$7)*IF($B$17*$B$7&lt;=0,0,(A24/($B$17*$B$7))^(1/$B$18)))+(MIN(1,MAX(0,(A24/$B$7-0.95)/(1.2-0.95))))*(1.811*(PI()*($B$7/2)^2)*SQRT($B$7)*SQRT(MAX(0,(A24/$B$7-$B$20)/$B$19))))))</f>
        <v/>
      </c>
      <c r="D24" s="5">
        <f>IF(A24&lt;$B$7,IF($B$6&lt;=0,0,(1/$B$6)*((($B$7/2)^2/2)*((2*ACOS(1-2*(MIN(0.999,MAX(1E-6,A24/$B$7)))))-SIN(2*ACOS(1-2*(MIN(0.999,MAX(1E-6,A24/$B$7)))))))*IF((IF((($B$7/2)*(2*ACOS(1-2*(MIN(0.999,MAX(1E-6,A24/$B$7))))))&lt;=0,0,((($B$7/2)^2/2)*((2*ACOS(1-2*(MIN(0.999,MAX(1E-6,A24/$B$7)))))-SIN(2*ACOS(1-2*(MIN(0.999,MAX(1E-6,A24/$B$7)))))))/(($B$7/2)*(2*ACOS(1-2*(MIN(0.999,MAX(1E-6,A24/$B$7))))))))&lt;=0,0,(IF((($B$7/2)*(2*ACOS(1-2*(MIN(0.999,MAX(1E-6,A24/$B$7))))))&lt;=0,0,((($B$7/2)^2/2)*((2*ACOS(1-2*(MIN(0.999,MAX(1E-6,A24/$B$7)))))-SIN(2*ACOS(1-2*(MIN(0.999,MAX(1E-6,A24/$B$7)))))))/(($B$7/2)*(2*ACOS(1-2*(MIN(0.999,MAX(1E-6,A24/$B$7))))))))^(2/3))*SQRT($B$11)),IF((A24-$B$12+$B$11*$B$8)&lt;=0,0,(PI()*($B$7/2)^2)*SQRT((A24-$B$12+$B$11*$B$8)/((1+$B$21)/(2*9.81)+($B$6^2)*$B$8/(($B$7/4)^(4/3))))))</f>
        <v/>
      </c>
      <c r="E24" s="15">
        <f>MIN(C24,D24)</f>
        <v/>
      </c>
      <c r="F24" s="4">
        <f>IF(A24&lt;=0,"—",IF(C24&lt;=D24,"inlet","outlet"))</f>
        <v/>
      </c>
    </row>
    <row r="25">
      <c r="A25" s="27" t="n">
        <v>0.05</v>
      </c>
      <c r="B25" s="27">
        <f>$B$9+A25</f>
        <v/>
      </c>
      <c r="C25" s="5">
        <f>IF(A25&lt;=0,0,IF(A25&lt;0.95*$B$7,1.811*(PI()*($B$7/2)^2)*SQRT($B$7)*IF($B$17*$B$7&lt;=0,0,(A25/($B$17*$B$7))^(1/$B$18)),IF(A25&gt;1.2*$B$7,1.811*(PI()*($B$7/2)^2)*SQRT($B$7)*SQRT(MAX(0,(A25/$B$7-$B$20)/$B$19)),(1-(MIN(1,MAX(0,(A25/$B$7-0.95)/(1.2-0.95)))))*(1.811*(PI()*($B$7/2)^2)*SQRT($B$7)*IF($B$17*$B$7&lt;=0,0,(A25/($B$17*$B$7))^(1/$B$18)))+(MIN(1,MAX(0,(A25/$B$7-0.95)/(1.2-0.95))))*(1.811*(PI()*($B$7/2)^2)*SQRT($B$7)*SQRT(MAX(0,(A25/$B$7-$B$20)/$B$19))))))</f>
        <v/>
      </c>
      <c r="D25" s="5">
        <f>IF(A25&lt;$B$7,IF($B$6&lt;=0,0,(1/$B$6)*((($B$7/2)^2/2)*((2*ACOS(1-2*(MIN(0.999,MAX(1E-6,A25/$B$7)))))-SIN(2*ACOS(1-2*(MIN(0.999,MAX(1E-6,A25/$B$7)))))))*IF((IF((($B$7/2)*(2*ACOS(1-2*(MIN(0.999,MAX(1E-6,A25/$B$7))))))&lt;=0,0,((($B$7/2)^2/2)*((2*ACOS(1-2*(MIN(0.999,MAX(1E-6,A25/$B$7)))))-SIN(2*ACOS(1-2*(MIN(0.999,MAX(1E-6,A25/$B$7)))))))/(($B$7/2)*(2*ACOS(1-2*(MIN(0.999,MAX(1E-6,A25/$B$7))))))))&lt;=0,0,(IF((($B$7/2)*(2*ACOS(1-2*(MIN(0.999,MAX(1E-6,A25/$B$7))))))&lt;=0,0,((($B$7/2)^2/2)*((2*ACOS(1-2*(MIN(0.999,MAX(1E-6,A25/$B$7)))))-SIN(2*ACOS(1-2*(MIN(0.999,MAX(1E-6,A25/$B$7)))))))/(($B$7/2)*(2*ACOS(1-2*(MIN(0.999,MAX(1E-6,A25/$B$7))))))))^(2/3))*SQRT($B$11)),IF((A25-$B$12+$B$11*$B$8)&lt;=0,0,(PI()*($B$7/2)^2)*SQRT((A25-$B$12+$B$11*$B$8)/((1+$B$21)/(2*9.81)+($B$6^2)*$B$8/(($B$7/4)^(4/3))))))</f>
        <v/>
      </c>
      <c r="E25" s="15">
        <f>MIN(C25,D25)</f>
        <v/>
      </c>
      <c r="F25" s="4">
        <f>IF(A25&lt;=0,"—",IF(C25&lt;=D25,"inlet","outlet"))</f>
        <v/>
      </c>
    </row>
    <row r="26">
      <c r="A26" s="27" t="n">
        <v>0.1</v>
      </c>
      <c r="B26" s="27">
        <f>$B$9+A26</f>
        <v/>
      </c>
      <c r="C26" s="5">
        <f>IF(A26&lt;=0,0,IF(A26&lt;0.95*$B$7,1.811*(PI()*($B$7/2)^2)*SQRT($B$7)*IF($B$17*$B$7&lt;=0,0,(A26/($B$17*$B$7))^(1/$B$18)),IF(A26&gt;1.2*$B$7,1.811*(PI()*($B$7/2)^2)*SQRT($B$7)*SQRT(MAX(0,(A26/$B$7-$B$20)/$B$19)),(1-(MIN(1,MAX(0,(A26/$B$7-0.95)/(1.2-0.95)))))*(1.811*(PI()*($B$7/2)^2)*SQRT($B$7)*IF($B$17*$B$7&lt;=0,0,(A26/($B$17*$B$7))^(1/$B$18)))+(MIN(1,MAX(0,(A26/$B$7-0.95)/(1.2-0.95))))*(1.811*(PI()*($B$7/2)^2)*SQRT($B$7)*SQRT(MAX(0,(A26/$B$7-$B$20)/$B$19))))))</f>
        <v/>
      </c>
      <c r="D26" s="5">
        <f>IF(A26&lt;$B$7,IF($B$6&lt;=0,0,(1/$B$6)*((($B$7/2)^2/2)*((2*ACOS(1-2*(MIN(0.999,MAX(1E-6,A26/$B$7)))))-SIN(2*ACOS(1-2*(MIN(0.999,MAX(1E-6,A26/$B$7)))))))*IF((IF((($B$7/2)*(2*ACOS(1-2*(MIN(0.999,MAX(1E-6,A26/$B$7))))))&lt;=0,0,((($B$7/2)^2/2)*((2*ACOS(1-2*(MIN(0.999,MAX(1E-6,A26/$B$7)))))-SIN(2*ACOS(1-2*(MIN(0.999,MAX(1E-6,A26/$B$7)))))))/(($B$7/2)*(2*ACOS(1-2*(MIN(0.999,MAX(1E-6,A26/$B$7))))))))&lt;=0,0,(IF((($B$7/2)*(2*ACOS(1-2*(MIN(0.999,MAX(1E-6,A26/$B$7))))))&lt;=0,0,((($B$7/2)^2/2)*((2*ACOS(1-2*(MIN(0.999,MAX(1E-6,A26/$B$7)))))-SIN(2*ACOS(1-2*(MIN(0.999,MAX(1E-6,A26/$B$7)))))))/(($B$7/2)*(2*ACOS(1-2*(MIN(0.999,MAX(1E-6,A26/$B$7))))))))^(2/3))*SQRT($B$11)),IF((A26-$B$12+$B$11*$B$8)&lt;=0,0,(PI()*($B$7/2)^2)*SQRT((A26-$B$12+$B$11*$B$8)/((1+$B$21)/(2*9.81)+($B$6^2)*$B$8/(($B$7/4)^(4/3))))))</f>
        <v/>
      </c>
      <c r="E26" s="15">
        <f>MIN(C26,D26)</f>
        <v/>
      </c>
      <c r="F26" s="4">
        <f>IF(A26&lt;=0,"—",IF(C26&lt;=D26,"inlet","outlet"))</f>
        <v/>
      </c>
    </row>
    <row r="27">
      <c r="A27" s="27" t="n">
        <v>0.15</v>
      </c>
      <c r="B27" s="27">
        <f>$B$9+A27</f>
        <v/>
      </c>
      <c r="C27" s="5">
        <f>IF(A27&lt;=0,0,IF(A27&lt;0.95*$B$7,1.811*(PI()*($B$7/2)^2)*SQRT($B$7)*IF($B$17*$B$7&lt;=0,0,(A27/($B$17*$B$7))^(1/$B$18)),IF(A27&gt;1.2*$B$7,1.811*(PI()*($B$7/2)^2)*SQRT($B$7)*SQRT(MAX(0,(A27/$B$7-$B$20)/$B$19)),(1-(MIN(1,MAX(0,(A27/$B$7-0.95)/(1.2-0.95)))))*(1.811*(PI()*($B$7/2)^2)*SQRT($B$7)*IF($B$17*$B$7&lt;=0,0,(A27/($B$17*$B$7))^(1/$B$18)))+(MIN(1,MAX(0,(A27/$B$7-0.95)/(1.2-0.95))))*(1.811*(PI()*($B$7/2)^2)*SQRT($B$7)*SQRT(MAX(0,(A27/$B$7-$B$20)/$B$19))))))</f>
        <v/>
      </c>
      <c r="D27" s="5">
        <f>IF(A27&lt;$B$7,IF($B$6&lt;=0,0,(1/$B$6)*((($B$7/2)^2/2)*((2*ACOS(1-2*(MIN(0.999,MAX(1E-6,A27/$B$7)))))-SIN(2*ACOS(1-2*(MIN(0.999,MAX(1E-6,A27/$B$7)))))))*IF((IF((($B$7/2)*(2*ACOS(1-2*(MIN(0.999,MAX(1E-6,A27/$B$7))))))&lt;=0,0,((($B$7/2)^2/2)*((2*ACOS(1-2*(MIN(0.999,MAX(1E-6,A27/$B$7)))))-SIN(2*ACOS(1-2*(MIN(0.999,MAX(1E-6,A27/$B$7)))))))/(($B$7/2)*(2*ACOS(1-2*(MIN(0.999,MAX(1E-6,A27/$B$7))))))))&lt;=0,0,(IF((($B$7/2)*(2*ACOS(1-2*(MIN(0.999,MAX(1E-6,A27/$B$7))))))&lt;=0,0,((($B$7/2)^2/2)*((2*ACOS(1-2*(MIN(0.999,MAX(1E-6,A27/$B$7)))))-SIN(2*ACOS(1-2*(MIN(0.999,MAX(1E-6,A27/$B$7)))))))/(($B$7/2)*(2*ACOS(1-2*(MIN(0.999,MAX(1E-6,A27/$B$7))))))))^(2/3))*SQRT($B$11)),IF((A27-$B$12+$B$11*$B$8)&lt;=0,0,(PI()*($B$7/2)^2)*SQRT((A27-$B$12+$B$11*$B$8)/((1+$B$21)/(2*9.81)+($B$6^2)*$B$8/(($B$7/4)^(4/3))))))</f>
        <v/>
      </c>
      <c r="E27" s="15">
        <f>MIN(C27,D27)</f>
        <v/>
      </c>
      <c r="F27" s="4">
        <f>IF(A27&lt;=0,"—",IF(C27&lt;=D27,"inlet","outlet"))</f>
        <v/>
      </c>
    </row>
    <row r="28">
      <c r="A28" s="27" t="n">
        <v>0.2</v>
      </c>
      <c r="B28" s="27">
        <f>$B$9+A28</f>
        <v/>
      </c>
      <c r="C28" s="5">
        <f>IF(A28&lt;=0,0,IF(A28&lt;0.95*$B$7,1.811*(PI()*($B$7/2)^2)*SQRT($B$7)*IF($B$17*$B$7&lt;=0,0,(A28/($B$17*$B$7))^(1/$B$18)),IF(A28&gt;1.2*$B$7,1.811*(PI()*($B$7/2)^2)*SQRT($B$7)*SQRT(MAX(0,(A28/$B$7-$B$20)/$B$19)),(1-(MIN(1,MAX(0,(A28/$B$7-0.95)/(1.2-0.95)))))*(1.811*(PI()*($B$7/2)^2)*SQRT($B$7)*IF($B$17*$B$7&lt;=0,0,(A28/($B$17*$B$7))^(1/$B$18)))+(MIN(1,MAX(0,(A28/$B$7-0.95)/(1.2-0.95))))*(1.811*(PI()*($B$7/2)^2)*SQRT($B$7)*SQRT(MAX(0,(A28/$B$7-$B$20)/$B$19))))))</f>
        <v/>
      </c>
      <c r="D28" s="5">
        <f>IF(A28&lt;$B$7,IF($B$6&lt;=0,0,(1/$B$6)*((($B$7/2)^2/2)*((2*ACOS(1-2*(MIN(0.999,MAX(1E-6,A28/$B$7)))))-SIN(2*ACOS(1-2*(MIN(0.999,MAX(1E-6,A28/$B$7)))))))*IF((IF((($B$7/2)*(2*ACOS(1-2*(MIN(0.999,MAX(1E-6,A28/$B$7))))))&lt;=0,0,((($B$7/2)^2/2)*((2*ACOS(1-2*(MIN(0.999,MAX(1E-6,A28/$B$7)))))-SIN(2*ACOS(1-2*(MIN(0.999,MAX(1E-6,A28/$B$7)))))))/(($B$7/2)*(2*ACOS(1-2*(MIN(0.999,MAX(1E-6,A28/$B$7))))))))&lt;=0,0,(IF((($B$7/2)*(2*ACOS(1-2*(MIN(0.999,MAX(1E-6,A28/$B$7))))))&lt;=0,0,((($B$7/2)^2/2)*((2*ACOS(1-2*(MIN(0.999,MAX(1E-6,A28/$B$7)))))-SIN(2*ACOS(1-2*(MIN(0.999,MAX(1E-6,A28/$B$7)))))))/(($B$7/2)*(2*ACOS(1-2*(MIN(0.999,MAX(1E-6,A28/$B$7))))))))^(2/3))*SQRT($B$11)),IF((A28-$B$12+$B$11*$B$8)&lt;=0,0,(PI()*($B$7/2)^2)*SQRT((A28-$B$12+$B$11*$B$8)/((1+$B$21)/(2*9.81)+($B$6^2)*$B$8/(($B$7/4)^(4/3))))))</f>
        <v/>
      </c>
      <c r="E28" s="15">
        <f>MIN(C28,D28)</f>
        <v/>
      </c>
      <c r="F28" s="4">
        <f>IF(A28&lt;=0,"—",IF(C28&lt;=D28,"inlet","outlet"))</f>
        <v/>
      </c>
    </row>
    <row r="29">
      <c r="A29" s="27" t="n">
        <v>0.25</v>
      </c>
      <c r="B29" s="27">
        <f>$B$9+A29</f>
        <v/>
      </c>
      <c r="C29" s="5">
        <f>IF(A29&lt;=0,0,IF(A29&lt;0.95*$B$7,1.811*(PI()*($B$7/2)^2)*SQRT($B$7)*IF($B$17*$B$7&lt;=0,0,(A29/($B$17*$B$7))^(1/$B$18)),IF(A29&gt;1.2*$B$7,1.811*(PI()*($B$7/2)^2)*SQRT($B$7)*SQRT(MAX(0,(A29/$B$7-$B$20)/$B$19)),(1-(MIN(1,MAX(0,(A29/$B$7-0.95)/(1.2-0.95)))))*(1.811*(PI()*($B$7/2)^2)*SQRT($B$7)*IF($B$17*$B$7&lt;=0,0,(A29/($B$17*$B$7))^(1/$B$18)))+(MIN(1,MAX(0,(A29/$B$7-0.95)/(1.2-0.95))))*(1.811*(PI()*($B$7/2)^2)*SQRT($B$7)*SQRT(MAX(0,(A29/$B$7-$B$20)/$B$19))))))</f>
        <v/>
      </c>
      <c r="D29" s="5">
        <f>IF(A29&lt;$B$7,IF($B$6&lt;=0,0,(1/$B$6)*((($B$7/2)^2/2)*((2*ACOS(1-2*(MIN(0.999,MAX(1E-6,A29/$B$7)))))-SIN(2*ACOS(1-2*(MIN(0.999,MAX(1E-6,A29/$B$7)))))))*IF((IF((($B$7/2)*(2*ACOS(1-2*(MIN(0.999,MAX(1E-6,A29/$B$7))))))&lt;=0,0,((($B$7/2)^2/2)*((2*ACOS(1-2*(MIN(0.999,MAX(1E-6,A29/$B$7)))))-SIN(2*ACOS(1-2*(MIN(0.999,MAX(1E-6,A29/$B$7)))))))/(($B$7/2)*(2*ACOS(1-2*(MIN(0.999,MAX(1E-6,A29/$B$7))))))))&lt;=0,0,(IF((($B$7/2)*(2*ACOS(1-2*(MIN(0.999,MAX(1E-6,A29/$B$7))))))&lt;=0,0,((($B$7/2)^2/2)*((2*ACOS(1-2*(MIN(0.999,MAX(1E-6,A29/$B$7)))))-SIN(2*ACOS(1-2*(MIN(0.999,MAX(1E-6,A29/$B$7)))))))/(($B$7/2)*(2*ACOS(1-2*(MIN(0.999,MAX(1E-6,A29/$B$7))))))))^(2/3))*SQRT($B$11)),IF((A29-$B$12+$B$11*$B$8)&lt;=0,0,(PI()*($B$7/2)^2)*SQRT((A29-$B$12+$B$11*$B$8)/((1+$B$21)/(2*9.81)+($B$6^2)*$B$8/(($B$7/4)^(4/3))))))</f>
        <v/>
      </c>
      <c r="E29" s="15">
        <f>MIN(C29,D29)</f>
        <v/>
      </c>
      <c r="F29" s="4">
        <f>IF(A29&lt;=0,"—",IF(C29&lt;=D29,"inlet","outlet"))</f>
        <v/>
      </c>
    </row>
    <row r="30">
      <c r="A30" s="27" t="n">
        <v>0.3</v>
      </c>
      <c r="B30" s="27">
        <f>$B$9+A30</f>
        <v/>
      </c>
      <c r="C30" s="5">
        <f>IF(A30&lt;=0,0,IF(A30&lt;0.95*$B$7,1.811*(PI()*($B$7/2)^2)*SQRT($B$7)*IF($B$17*$B$7&lt;=0,0,(A30/($B$17*$B$7))^(1/$B$18)),IF(A30&gt;1.2*$B$7,1.811*(PI()*($B$7/2)^2)*SQRT($B$7)*SQRT(MAX(0,(A30/$B$7-$B$20)/$B$19)),(1-(MIN(1,MAX(0,(A30/$B$7-0.95)/(1.2-0.95)))))*(1.811*(PI()*($B$7/2)^2)*SQRT($B$7)*IF($B$17*$B$7&lt;=0,0,(A30/($B$17*$B$7))^(1/$B$18)))+(MIN(1,MAX(0,(A30/$B$7-0.95)/(1.2-0.95))))*(1.811*(PI()*($B$7/2)^2)*SQRT($B$7)*SQRT(MAX(0,(A30/$B$7-$B$20)/$B$19))))))</f>
        <v/>
      </c>
      <c r="D30" s="5">
        <f>IF(A30&lt;$B$7,IF($B$6&lt;=0,0,(1/$B$6)*((($B$7/2)^2/2)*((2*ACOS(1-2*(MIN(0.999,MAX(1E-6,A30/$B$7)))))-SIN(2*ACOS(1-2*(MIN(0.999,MAX(1E-6,A30/$B$7)))))))*IF((IF((($B$7/2)*(2*ACOS(1-2*(MIN(0.999,MAX(1E-6,A30/$B$7))))))&lt;=0,0,((($B$7/2)^2/2)*((2*ACOS(1-2*(MIN(0.999,MAX(1E-6,A30/$B$7)))))-SIN(2*ACOS(1-2*(MIN(0.999,MAX(1E-6,A30/$B$7)))))))/(($B$7/2)*(2*ACOS(1-2*(MIN(0.999,MAX(1E-6,A30/$B$7))))))))&lt;=0,0,(IF((($B$7/2)*(2*ACOS(1-2*(MIN(0.999,MAX(1E-6,A30/$B$7))))))&lt;=0,0,((($B$7/2)^2/2)*((2*ACOS(1-2*(MIN(0.999,MAX(1E-6,A30/$B$7)))))-SIN(2*ACOS(1-2*(MIN(0.999,MAX(1E-6,A30/$B$7)))))))/(($B$7/2)*(2*ACOS(1-2*(MIN(0.999,MAX(1E-6,A30/$B$7))))))))^(2/3))*SQRT($B$11)),IF((A30-$B$12+$B$11*$B$8)&lt;=0,0,(PI()*($B$7/2)^2)*SQRT((A30-$B$12+$B$11*$B$8)/((1+$B$21)/(2*9.81)+($B$6^2)*$B$8/(($B$7/4)^(4/3))))))</f>
        <v/>
      </c>
      <c r="E30" s="15">
        <f>MIN(C30,D30)</f>
        <v/>
      </c>
      <c r="F30" s="4">
        <f>IF(A30&lt;=0,"—",IF(C30&lt;=D30,"inlet","outlet"))</f>
        <v/>
      </c>
    </row>
    <row r="31">
      <c r="A31" s="27" t="n">
        <v>0.35</v>
      </c>
      <c r="B31" s="27">
        <f>$B$9+A31</f>
        <v/>
      </c>
      <c r="C31" s="5">
        <f>IF(A31&lt;=0,0,IF(A31&lt;0.95*$B$7,1.811*(PI()*($B$7/2)^2)*SQRT($B$7)*IF($B$17*$B$7&lt;=0,0,(A31/($B$17*$B$7))^(1/$B$18)),IF(A31&gt;1.2*$B$7,1.811*(PI()*($B$7/2)^2)*SQRT($B$7)*SQRT(MAX(0,(A31/$B$7-$B$20)/$B$19)),(1-(MIN(1,MAX(0,(A31/$B$7-0.95)/(1.2-0.95)))))*(1.811*(PI()*($B$7/2)^2)*SQRT($B$7)*IF($B$17*$B$7&lt;=0,0,(A31/($B$17*$B$7))^(1/$B$18)))+(MIN(1,MAX(0,(A31/$B$7-0.95)/(1.2-0.95))))*(1.811*(PI()*($B$7/2)^2)*SQRT($B$7)*SQRT(MAX(0,(A31/$B$7-$B$20)/$B$19))))))</f>
        <v/>
      </c>
      <c r="D31" s="5">
        <f>IF(A31&lt;$B$7,IF($B$6&lt;=0,0,(1/$B$6)*((($B$7/2)^2/2)*((2*ACOS(1-2*(MIN(0.999,MAX(1E-6,A31/$B$7)))))-SIN(2*ACOS(1-2*(MIN(0.999,MAX(1E-6,A31/$B$7)))))))*IF((IF((($B$7/2)*(2*ACOS(1-2*(MIN(0.999,MAX(1E-6,A31/$B$7))))))&lt;=0,0,((($B$7/2)^2/2)*((2*ACOS(1-2*(MIN(0.999,MAX(1E-6,A31/$B$7)))))-SIN(2*ACOS(1-2*(MIN(0.999,MAX(1E-6,A31/$B$7)))))))/(($B$7/2)*(2*ACOS(1-2*(MIN(0.999,MAX(1E-6,A31/$B$7))))))))&lt;=0,0,(IF((($B$7/2)*(2*ACOS(1-2*(MIN(0.999,MAX(1E-6,A31/$B$7))))))&lt;=0,0,((($B$7/2)^2/2)*((2*ACOS(1-2*(MIN(0.999,MAX(1E-6,A31/$B$7)))))-SIN(2*ACOS(1-2*(MIN(0.999,MAX(1E-6,A31/$B$7)))))))/(($B$7/2)*(2*ACOS(1-2*(MIN(0.999,MAX(1E-6,A31/$B$7))))))))^(2/3))*SQRT($B$11)),IF((A31-$B$12+$B$11*$B$8)&lt;=0,0,(PI()*($B$7/2)^2)*SQRT((A31-$B$12+$B$11*$B$8)/((1+$B$21)/(2*9.81)+($B$6^2)*$B$8/(($B$7/4)^(4/3))))))</f>
        <v/>
      </c>
      <c r="E31" s="15">
        <f>MIN(C31,D31)</f>
        <v/>
      </c>
      <c r="F31" s="4">
        <f>IF(A31&lt;=0,"—",IF(C31&lt;=D31,"inlet","outlet"))</f>
        <v/>
      </c>
    </row>
    <row r="32">
      <c r="A32" s="27" t="n">
        <v>0.4</v>
      </c>
      <c r="B32" s="27">
        <f>$B$9+A32</f>
        <v/>
      </c>
      <c r="C32" s="5">
        <f>IF(A32&lt;=0,0,IF(A32&lt;0.95*$B$7,1.811*(PI()*($B$7/2)^2)*SQRT($B$7)*IF($B$17*$B$7&lt;=0,0,(A32/($B$17*$B$7))^(1/$B$18)),IF(A32&gt;1.2*$B$7,1.811*(PI()*($B$7/2)^2)*SQRT($B$7)*SQRT(MAX(0,(A32/$B$7-$B$20)/$B$19)),(1-(MIN(1,MAX(0,(A32/$B$7-0.95)/(1.2-0.95)))))*(1.811*(PI()*($B$7/2)^2)*SQRT($B$7)*IF($B$17*$B$7&lt;=0,0,(A32/($B$17*$B$7))^(1/$B$18)))+(MIN(1,MAX(0,(A32/$B$7-0.95)/(1.2-0.95))))*(1.811*(PI()*($B$7/2)^2)*SQRT($B$7)*SQRT(MAX(0,(A32/$B$7-$B$20)/$B$19))))))</f>
        <v/>
      </c>
      <c r="D32" s="5">
        <f>IF(A32&lt;$B$7,IF($B$6&lt;=0,0,(1/$B$6)*((($B$7/2)^2/2)*((2*ACOS(1-2*(MIN(0.999,MAX(1E-6,A32/$B$7)))))-SIN(2*ACOS(1-2*(MIN(0.999,MAX(1E-6,A32/$B$7)))))))*IF((IF((($B$7/2)*(2*ACOS(1-2*(MIN(0.999,MAX(1E-6,A32/$B$7))))))&lt;=0,0,((($B$7/2)^2/2)*((2*ACOS(1-2*(MIN(0.999,MAX(1E-6,A32/$B$7)))))-SIN(2*ACOS(1-2*(MIN(0.999,MAX(1E-6,A32/$B$7)))))))/(($B$7/2)*(2*ACOS(1-2*(MIN(0.999,MAX(1E-6,A32/$B$7))))))))&lt;=0,0,(IF((($B$7/2)*(2*ACOS(1-2*(MIN(0.999,MAX(1E-6,A32/$B$7))))))&lt;=0,0,((($B$7/2)^2/2)*((2*ACOS(1-2*(MIN(0.999,MAX(1E-6,A32/$B$7)))))-SIN(2*ACOS(1-2*(MIN(0.999,MAX(1E-6,A32/$B$7)))))))/(($B$7/2)*(2*ACOS(1-2*(MIN(0.999,MAX(1E-6,A32/$B$7))))))))^(2/3))*SQRT($B$11)),IF((A32-$B$12+$B$11*$B$8)&lt;=0,0,(PI()*($B$7/2)^2)*SQRT((A32-$B$12+$B$11*$B$8)/((1+$B$21)/(2*9.81)+($B$6^2)*$B$8/(($B$7/4)^(4/3))))))</f>
        <v/>
      </c>
      <c r="E32" s="15">
        <f>MIN(C32,D32)</f>
        <v/>
      </c>
      <c r="F32" s="4">
        <f>IF(A32&lt;=0,"—",IF(C32&lt;=D32,"inlet","outlet"))</f>
        <v/>
      </c>
    </row>
    <row r="33">
      <c r="A33" s="27" t="n">
        <v>0.45</v>
      </c>
      <c r="B33" s="27">
        <f>$B$9+A33</f>
        <v/>
      </c>
      <c r="C33" s="5">
        <f>IF(A33&lt;=0,0,IF(A33&lt;0.95*$B$7,1.811*(PI()*($B$7/2)^2)*SQRT($B$7)*IF($B$17*$B$7&lt;=0,0,(A33/($B$17*$B$7))^(1/$B$18)),IF(A33&gt;1.2*$B$7,1.811*(PI()*($B$7/2)^2)*SQRT($B$7)*SQRT(MAX(0,(A33/$B$7-$B$20)/$B$19)),(1-(MIN(1,MAX(0,(A33/$B$7-0.95)/(1.2-0.95)))))*(1.811*(PI()*($B$7/2)^2)*SQRT($B$7)*IF($B$17*$B$7&lt;=0,0,(A33/($B$17*$B$7))^(1/$B$18)))+(MIN(1,MAX(0,(A33/$B$7-0.95)/(1.2-0.95))))*(1.811*(PI()*($B$7/2)^2)*SQRT($B$7)*SQRT(MAX(0,(A33/$B$7-$B$20)/$B$19))))))</f>
        <v/>
      </c>
      <c r="D33" s="5">
        <f>IF(A33&lt;$B$7,IF($B$6&lt;=0,0,(1/$B$6)*((($B$7/2)^2/2)*((2*ACOS(1-2*(MIN(0.999,MAX(1E-6,A33/$B$7)))))-SIN(2*ACOS(1-2*(MIN(0.999,MAX(1E-6,A33/$B$7)))))))*IF((IF((($B$7/2)*(2*ACOS(1-2*(MIN(0.999,MAX(1E-6,A33/$B$7))))))&lt;=0,0,((($B$7/2)^2/2)*((2*ACOS(1-2*(MIN(0.999,MAX(1E-6,A33/$B$7)))))-SIN(2*ACOS(1-2*(MIN(0.999,MAX(1E-6,A33/$B$7)))))))/(($B$7/2)*(2*ACOS(1-2*(MIN(0.999,MAX(1E-6,A33/$B$7))))))))&lt;=0,0,(IF((($B$7/2)*(2*ACOS(1-2*(MIN(0.999,MAX(1E-6,A33/$B$7))))))&lt;=0,0,((($B$7/2)^2/2)*((2*ACOS(1-2*(MIN(0.999,MAX(1E-6,A33/$B$7)))))-SIN(2*ACOS(1-2*(MIN(0.999,MAX(1E-6,A33/$B$7)))))))/(($B$7/2)*(2*ACOS(1-2*(MIN(0.999,MAX(1E-6,A33/$B$7))))))))^(2/3))*SQRT($B$11)),IF((A33-$B$12+$B$11*$B$8)&lt;=0,0,(PI()*($B$7/2)^2)*SQRT((A33-$B$12+$B$11*$B$8)/((1+$B$21)/(2*9.81)+($B$6^2)*$B$8/(($B$7/4)^(4/3))))))</f>
        <v/>
      </c>
      <c r="E33" s="15">
        <f>MIN(C33,D33)</f>
        <v/>
      </c>
      <c r="F33" s="4">
        <f>IF(A33&lt;=0,"—",IF(C33&lt;=D33,"inlet","outlet"))</f>
        <v/>
      </c>
    </row>
    <row r="34">
      <c r="A34" s="27" t="n">
        <v>0.5</v>
      </c>
      <c r="B34" s="27">
        <f>$B$9+A34</f>
        <v/>
      </c>
      <c r="C34" s="5">
        <f>IF(A34&lt;=0,0,IF(A34&lt;0.95*$B$7,1.811*(PI()*($B$7/2)^2)*SQRT($B$7)*IF($B$17*$B$7&lt;=0,0,(A34/($B$17*$B$7))^(1/$B$18)),IF(A34&gt;1.2*$B$7,1.811*(PI()*($B$7/2)^2)*SQRT($B$7)*SQRT(MAX(0,(A34/$B$7-$B$20)/$B$19)),(1-(MIN(1,MAX(0,(A34/$B$7-0.95)/(1.2-0.95)))))*(1.811*(PI()*($B$7/2)^2)*SQRT($B$7)*IF($B$17*$B$7&lt;=0,0,(A34/($B$17*$B$7))^(1/$B$18)))+(MIN(1,MAX(0,(A34/$B$7-0.95)/(1.2-0.95))))*(1.811*(PI()*($B$7/2)^2)*SQRT($B$7)*SQRT(MAX(0,(A34/$B$7-$B$20)/$B$19))))))</f>
        <v/>
      </c>
      <c r="D34" s="5">
        <f>IF(A34&lt;$B$7,IF($B$6&lt;=0,0,(1/$B$6)*((($B$7/2)^2/2)*((2*ACOS(1-2*(MIN(0.999,MAX(1E-6,A34/$B$7)))))-SIN(2*ACOS(1-2*(MIN(0.999,MAX(1E-6,A34/$B$7)))))))*IF((IF((($B$7/2)*(2*ACOS(1-2*(MIN(0.999,MAX(1E-6,A34/$B$7))))))&lt;=0,0,((($B$7/2)^2/2)*((2*ACOS(1-2*(MIN(0.999,MAX(1E-6,A34/$B$7)))))-SIN(2*ACOS(1-2*(MIN(0.999,MAX(1E-6,A34/$B$7)))))))/(($B$7/2)*(2*ACOS(1-2*(MIN(0.999,MAX(1E-6,A34/$B$7))))))))&lt;=0,0,(IF((($B$7/2)*(2*ACOS(1-2*(MIN(0.999,MAX(1E-6,A34/$B$7))))))&lt;=0,0,((($B$7/2)^2/2)*((2*ACOS(1-2*(MIN(0.999,MAX(1E-6,A34/$B$7)))))-SIN(2*ACOS(1-2*(MIN(0.999,MAX(1E-6,A34/$B$7)))))))/(($B$7/2)*(2*ACOS(1-2*(MIN(0.999,MAX(1E-6,A34/$B$7))))))))^(2/3))*SQRT($B$11)),IF((A34-$B$12+$B$11*$B$8)&lt;=0,0,(PI()*($B$7/2)^2)*SQRT((A34-$B$12+$B$11*$B$8)/((1+$B$21)/(2*9.81)+($B$6^2)*$B$8/(($B$7/4)^(4/3))))))</f>
        <v/>
      </c>
      <c r="E34" s="15">
        <f>MIN(C34,D34)</f>
        <v/>
      </c>
      <c r="F34" s="4">
        <f>IF(A34&lt;=0,"—",IF(C34&lt;=D34,"inlet","outlet"))</f>
        <v/>
      </c>
    </row>
    <row r="35">
      <c r="A35" s="27" t="n">
        <v>0.55</v>
      </c>
      <c r="B35" s="27">
        <f>$B$9+A35</f>
        <v/>
      </c>
      <c r="C35" s="5">
        <f>IF(A35&lt;=0,0,IF(A35&lt;0.95*$B$7,1.811*(PI()*($B$7/2)^2)*SQRT($B$7)*IF($B$17*$B$7&lt;=0,0,(A35/($B$17*$B$7))^(1/$B$18)),IF(A35&gt;1.2*$B$7,1.811*(PI()*($B$7/2)^2)*SQRT($B$7)*SQRT(MAX(0,(A35/$B$7-$B$20)/$B$19)),(1-(MIN(1,MAX(0,(A35/$B$7-0.95)/(1.2-0.95)))))*(1.811*(PI()*($B$7/2)^2)*SQRT($B$7)*IF($B$17*$B$7&lt;=0,0,(A35/($B$17*$B$7))^(1/$B$18)))+(MIN(1,MAX(0,(A35/$B$7-0.95)/(1.2-0.95))))*(1.811*(PI()*($B$7/2)^2)*SQRT($B$7)*SQRT(MAX(0,(A35/$B$7-$B$20)/$B$19))))))</f>
        <v/>
      </c>
      <c r="D35" s="5">
        <f>IF(A35&lt;$B$7,IF($B$6&lt;=0,0,(1/$B$6)*((($B$7/2)^2/2)*((2*ACOS(1-2*(MIN(0.999,MAX(1E-6,A35/$B$7)))))-SIN(2*ACOS(1-2*(MIN(0.999,MAX(1E-6,A35/$B$7)))))))*IF((IF((($B$7/2)*(2*ACOS(1-2*(MIN(0.999,MAX(1E-6,A35/$B$7))))))&lt;=0,0,((($B$7/2)^2/2)*((2*ACOS(1-2*(MIN(0.999,MAX(1E-6,A35/$B$7)))))-SIN(2*ACOS(1-2*(MIN(0.999,MAX(1E-6,A35/$B$7)))))))/(($B$7/2)*(2*ACOS(1-2*(MIN(0.999,MAX(1E-6,A35/$B$7))))))))&lt;=0,0,(IF((($B$7/2)*(2*ACOS(1-2*(MIN(0.999,MAX(1E-6,A35/$B$7))))))&lt;=0,0,((($B$7/2)^2/2)*((2*ACOS(1-2*(MIN(0.999,MAX(1E-6,A35/$B$7)))))-SIN(2*ACOS(1-2*(MIN(0.999,MAX(1E-6,A35/$B$7)))))))/(($B$7/2)*(2*ACOS(1-2*(MIN(0.999,MAX(1E-6,A35/$B$7))))))))^(2/3))*SQRT($B$11)),IF((A35-$B$12+$B$11*$B$8)&lt;=0,0,(PI()*($B$7/2)^2)*SQRT((A35-$B$12+$B$11*$B$8)/((1+$B$21)/(2*9.81)+($B$6^2)*$B$8/(($B$7/4)^(4/3))))))</f>
        <v/>
      </c>
      <c r="E35" s="15">
        <f>MIN(C35,D35)</f>
        <v/>
      </c>
      <c r="F35" s="4">
        <f>IF(A35&lt;=0,"—",IF(C35&lt;=D35,"inlet","outlet"))</f>
        <v/>
      </c>
    </row>
    <row r="36">
      <c r="A36" s="27" t="n">
        <v>0.6</v>
      </c>
      <c r="B36" s="27">
        <f>$B$9+A36</f>
        <v/>
      </c>
      <c r="C36" s="5">
        <f>IF(A36&lt;=0,0,IF(A36&lt;0.95*$B$7,1.811*(PI()*($B$7/2)^2)*SQRT($B$7)*IF($B$17*$B$7&lt;=0,0,(A36/($B$17*$B$7))^(1/$B$18)),IF(A36&gt;1.2*$B$7,1.811*(PI()*($B$7/2)^2)*SQRT($B$7)*SQRT(MAX(0,(A36/$B$7-$B$20)/$B$19)),(1-(MIN(1,MAX(0,(A36/$B$7-0.95)/(1.2-0.95)))))*(1.811*(PI()*($B$7/2)^2)*SQRT($B$7)*IF($B$17*$B$7&lt;=0,0,(A36/($B$17*$B$7))^(1/$B$18)))+(MIN(1,MAX(0,(A36/$B$7-0.95)/(1.2-0.95))))*(1.811*(PI()*($B$7/2)^2)*SQRT($B$7)*SQRT(MAX(0,(A36/$B$7-$B$20)/$B$19))))))</f>
        <v/>
      </c>
      <c r="D36" s="5">
        <f>IF(A36&lt;$B$7,IF($B$6&lt;=0,0,(1/$B$6)*((($B$7/2)^2/2)*((2*ACOS(1-2*(MIN(0.999,MAX(1E-6,A36/$B$7)))))-SIN(2*ACOS(1-2*(MIN(0.999,MAX(1E-6,A36/$B$7)))))))*IF((IF((($B$7/2)*(2*ACOS(1-2*(MIN(0.999,MAX(1E-6,A36/$B$7))))))&lt;=0,0,((($B$7/2)^2/2)*((2*ACOS(1-2*(MIN(0.999,MAX(1E-6,A36/$B$7)))))-SIN(2*ACOS(1-2*(MIN(0.999,MAX(1E-6,A36/$B$7)))))))/(($B$7/2)*(2*ACOS(1-2*(MIN(0.999,MAX(1E-6,A36/$B$7))))))))&lt;=0,0,(IF((($B$7/2)*(2*ACOS(1-2*(MIN(0.999,MAX(1E-6,A36/$B$7))))))&lt;=0,0,((($B$7/2)^2/2)*((2*ACOS(1-2*(MIN(0.999,MAX(1E-6,A36/$B$7)))))-SIN(2*ACOS(1-2*(MIN(0.999,MAX(1E-6,A36/$B$7)))))))/(($B$7/2)*(2*ACOS(1-2*(MIN(0.999,MAX(1E-6,A36/$B$7))))))))^(2/3))*SQRT($B$11)),IF((A36-$B$12+$B$11*$B$8)&lt;=0,0,(PI()*($B$7/2)^2)*SQRT((A36-$B$12+$B$11*$B$8)/((1+$B$21)/(2*9.81)+($B$6^2)*$B$8/(($B$7/4)^(4/3))))))</f>
        <v/>
      </c>
      <c r="E36" s="15">
        <f>MIN(C36,D36)</f>
        <v/>
      </c>
      <c r="F36" s="4">
        <f>IF(A36&lt;=0,"—",IF(C36&lt;=D36,"inlet","outlet"))</f>
        <v/>
      </c>
    </row>
    <row r="37">
      <c r="A37" s="27" t="n">
        <v>0.65</v>
      </c>
      <c r="B37" s="27">
        <f>$B$9+A37</f>
        <v/>
      </c>
      <c r="C37" s="5">
        <f>IF(A37&lt;=0,0,IF(A37&lt;0.95*$B$7,1.811*(PI()*($B$7/2)^2)*SQRT($B$7)*IF($B$17*$B$7&lt;=0,0,(A37/($B$17*$B$7))^(1/$B$18)),IF(A37&gt;1.2*$B$7,1.811*(PI()*($B$7/2)^2)*SQRT($B$7)*SQRT(MAX(0,(A37/$B$7-$B$20)/$B$19)),(1-(MIN(1,MAX(0,(A37/$B$7-0.95)/(1.2-0.95)))))*(1.811*(PI()*($B$7/2)^2)*SQRT($B$7)*IF($B$17*$B$7&lt;=0,0,(A37/($B$17*$B$7))^(1/$B$18)))+(MIN(1,MAX(0,(A37/$B$7-0.95)/(1.2-0.95))))*(1.811*(PI()*($B$7/2)^2)*SQRT($B$7)*SQRT(MAX(0,(A37/$B$7-$B$20)/$B$19))))))</f>
        <v/>
      </c>
      <c r="D37" s="5">
        <f>IF(A37&lt;$B$7,IF($B$6&lt;=0,0,(1/$B$6)*((($B$7/2)^2/2)*((2*ACOS(1-2*(MIN(0.999,MAX(1E-6,A37/$B$7)))))-SIN(2*ACOS(1-2*(MIN(0.999,MAX(1E-6,A37/$B$7)))))))*IF((IF((($B$7/2)*(2*ACOS(1-2*(MIN(0.999,MAX(1E-6,A37/$B$7))))))&lt;=0,0,((($B$7/2)^2/2)*((2*ACOS(1-2*(MIN(0.999,MAX(1E-6,A37/$B$7)))))-SIN(2*ACOS(1-2*(MIN(0.999,MAX(1E-6,A37/$B$7)))))))/(($B$7/2)*(2*ACOS(1-2*(MIN(0.999,MAX(1E-6,A37/$B$7))))))))&lt;=0,0,(IF((($B$7/2)*(2*ACOS(1-2*(MIN(0.999,MAX(1E-6,A37/$B$7))))))&lt;=0,0,((($B$7/2)^2/2)*((2*ACOS(1-2*(MIN(0.999,MAX(1E-6,A37/$B$7)))))-SIN(2*ACOS(1-2*(MIN(0.999,MAX(1E-6,A37/$B$7)))))))/(($B$7/2)*(2*ACOS(1-2*(MIN(0.999,MAX(1E-6,A37/$B$7))))))))^(2/3))*SQRT($B$11)),IF((A37-$B$12+$B$11*$B$8)&lt;=0,0,(PI()*($B$7/2)^2)*SQRT((A37-$B$12+$B$11*$B$8)/((1+$B$21)/(2*9.81)+($B$6^2)*$B$8/(($B$7/4)^(4/3))))))</f>
        <v/>
      </c>
      <c r="E37" s="15">
        <f>MIN(C37,D37)</f>
        <v/>
      </c>
      <c r="F37" s="4">
        <f>IF(A37&lt;=0,"—",IF(C37&lt;=D37,"inlet","outlet"))</f>
        <v/>
      </c>
    </row>
    <row r="38">
      <c r="A38" s="27" t="n">
        <v>0.7</v>
      </c>
      <c r="B38" s="27">
        <f>$B$9+A38</f>
        <v/>
      </c>
      <c r="C38" s="5">
        <f>IF(A38&lt;=0,0,IF(A38&lt;0.95*$B$7,1.811*(PI()*($B$7/2)^2)*SQRT($B$7)*IF($B$17*$B$7&lt;=0,0,(A38/($B$17*$B$7))^(1/$B$18)),IF(A38&gt;1.2*$B$7,1.811*(PI()*($B$7/2)^2)*SQRT($B$7)*SQRT(MAX(0,(A38/$B$7-$B$20)/$B$19)),(1-(MIN(1,MAX(0,(A38/$B$7-0.95)/(1.2-0.95)))))*(1.811*(PI()*($B$7/2)^2)*SQRT($B$7)*IF($B$17*$B$7&lt;=0,0,(A38/($B$17*$B$7))^(1/$B$18)))+(MIN(1,MAX(0,(A38/$B$7-0.95)/(1.2-0.95))))*(1.811*(PI()*($B$7/2)^2)*SQRT($B$7)*SQRT(MAX(0,(A38/$B$7-$B$20)/$B$19))))))</f>
        <v/>
      </c>
      <c r="D38" s="5">
        <f>IF(A38&lt;$B$7,IF($B$6&lt;=0,0,(1/$B$6)*((($B$7/2)^2/2)*((2*ACOS(1-2*(MIN(0.999,MAX(1E-6,A38/$B$7)))))-SIN(2*ACOS(1-2*(MIN(0.999,MAX(1E-6,A38/$B$7)))))))*IF((IF((($B$7/2)*(2*ACOS(1-2*(MIN(0.999,MAX(1E-6,A38/$B$7))))))&lt;=0,0,((($B$7/2)^2/2)*((2*ACOS(1-2*(MIN(0.999,MAX(1E-6,A38/$B$7)))))-SIN(2*ACOS(1-2*(MIN(0.999,MAX(1E-6,A38/$B$7)))))))/(($B$7/2)*(2*ACOS(1-2*(MIN(0.999,MAX(1E-6,A38/$B$7))))))))&lt;=0,0,(IF((($B$7/2)*(2*ACOS(1-2*(MIN(0.999,MAX(1E-6,A38/$B$7))))))&lt;=0,0,((($B$7/2)^2/2)*((2*ACOS(1-2*(MIN(0.999,MAX(1E-6,A38/$B$7)))))-SIN(2*ACOS(1-2*(MIN(0.999,MAX(1E-6,A38/$B$7)))))))/(($B$7/2)*(2*ACOS(1-2*(MIN(0.999,MAX(1E-6,A38/$B$7))))))))^(2/3))*SQRT($B$11)),IF((A38-$B$12+$B$11*$B$8)&lt;=0,0,(PI()*($B$7/2)^2)*SQRT((A38-$B$12+$B$11*$B$8)/((1+$B$21)/(2*9.81)+($B$6^2)*$B$8/(($B$7/4)^(4/3))))))</f>
        <v/>
      </c>
      <c r="E38" s="15">
        <f>MIN(C38,D38)</f>
        <v/>
      </c>
      <c r="F38" s="4">
        <f>IF(A38&lt;=0,"—",IF(C38&lt;=D38,"inlet","outlet"))</f>
        <v/>
      </c>
    </row>
    <row r="39">
      <c r="A39" s="27" t="n">
        <v>0.75</v>
      </c>
      <c r="B39" s="27">
        <f>$B$9+A39</f>
        <v/>
      </c>
      <c r="C39" s="5">
        <f>IF(A39&lt;=0,0,IF(A39&lt;0.95*$B$7,1.811*(PI()*($B$7/2)^2)*SQRT($B$7)*IF($B$17*$B$7&lt;=0,0,(A39/($B$17*$B$7))^(1/$B$18)),IF(A39&gt;1.2*$B$7,1.811*(PI()*($B$7/2)^2)*SQRT($B$7)*SQRT(MAX(0,(A39/$B$7-$B$20)/$B$19)),(1-(MIN(1,MAX(0,(A39/$B$7-0.95)/(1.2-0.95)))))*(1.811*(PI()*($B$7/2)^2)*SQRT($B$7)*IF($B$17*$B$7&lt;=0,0,(A39/($B$17*$B$7))^(1/$B$18)))+(MIN(1,MAX(0,(A39/$B$7-0.95)/(1.2-0.95))))*(1.811*(PI()*($B$7/2)^2)*SQRT($B$7)*SQRT(MAX(0,(A39/$B$7-$B$20)/$B$19))))))</f>
        <v/>
      </c>
      <c r="D39" s="5">
        <f>IF(A39&lt;$B$7,IF($B$6&lt;=0,0,(1/$B$6)*((($B$7/2)^2/2)*((2*ACOS(1-2*(MIN(0.999,MAX(1E-6,A39/$B$7)))))-SIN(2*ACOS(1-2*(MIN(0.999,MAX(1E-6,A39/$B$7)))))))*IF((IF((($B$7/2)*(2*ACOS(1-2*(MIN(0.999,MAX(1E-6,A39/$B$7))))))&lt;=0,0,((($B$7/2)^2/2)*((2*ACOS(1-2*(MIN(0.999,MAX(1E-6,A39/$B$7)))))-SIN(2*ACOS(1-2*(MIN(0.999,MAX(1E-6,A39/$B$7)))))))/(($B$7/2)*(2*ACOS(1-2*(MIN(0.999,MAX(1E-6,A39/$B$7))))))))&lt;=0,0,(IF((($B$7/2)*(2*ACOS(1-2*(MIN(0.999,MAX(1E-6,A39/$B$7))))))&lt;=0,0,((($B$7/2)^2/2)*((2*ACOS(1-2*(MIN(0.999,MAX(1E-6,A39/$B$7)))))-SIN(2*ACOS(1-2*(MIN(0.999,MAX(1E-6,A39/$B$7)))))))/(($B$7/2)*(2*ACOS(1-2*(MIN(0.999,MAX(1E-6,A39/$B$7))))))))^(2/3))*SQRT($B$11)),IF((A39-$B$12+$B$11*$B$8)&lt;=0,0,(PI()*($B$7/2)^2)*SQRT((A39-$B$12+$B$11*$B$8)/((1+$B$21)/(2*9.81)+($B$6^2)*$B$8/(($B$7/4)^(4/3))))))</f>
        <v/>
      </c>
      <c r="E39" s="15">
        <f>MIN(C39,D39)</f>
        <v/>
      </c>
      <c r="F39" s="4">
        <f>IF(A39&lt;=0,"—",IF(C39&lt;=D39,"inlet","outlet"))</f>
        <v/>
      </c>
    </row>
    <row r="40">
      <c r="A40" s="27" t="n">
        <v>0.8</v>
      </c>
      <c r="B40" s="27">
        <f>$B$9+A40</f>
        <v/>
      </c>
      <c r="C40" s="5">
        <f>IF(A40&lt;=0,0,IF(A40&lt;0.95*$B$7,1.811*(PI()*($B$7/2)^2)*SQRT($B$7)*IF($B$17*$B$7&lt;=0,0,(A40/($B$17*$B$7))^(1/$B$18)),IF(A40&gt;1.2*$B$7,1.811*(PI()*($B$7/2)^2)*SQRT($B$7)*SQRT(MAX(0,(A40/$B$7-$B$20)/$B$19)),(1-(MIN(1,MAX(0,(A40/$B$7-0.95)/(1.2-0.95)))))*(1.811*(PI()*($B$7/2)^2)*SQRT($B$7)*IF($B$17*$B$7&lt;=0,0,(A40/($B$17*$B$7))^(1/$B$18)))+(MIN(1,MAX(0,(A40/$B$7-0.95)/(1.2-0.95))))*(1.811*(PI()*($B$7/2)^2)*SQRT($B$7)*SQRT(MAX(0,(A40/$B$7-$B$20)/$B$19))))))</f>
        <v/>
      </c>
      <c r="D40" s="5">
        <f>IF(A40&lt;$B$7,IF($B$6&lt;=0,0,(1/$B$6)*((($B$7/2)^2/2)*((2*ACOS(1-2*(MIN(0.999,MAX(1E-6,A40/$B$7)))))-SIN(2*ACOS(1-2*(MIN(0.999,MAX(1E-6,A40/$B$7)))))))*IF((IF((($B$7/2)*(2*ACOS(1-2*(MIN(0.999,MAX(1E-6,A40/$B$7))))))&lt;=0,0,((($B$7/2)^2/2)*((2*ACOS(1-2*(MIN(0.999,MAX(1E-6,A40/$B$7)))))-SIN(2*ACOS(1-2*(MIN(0.999,MAX(1E-6,A40/$B$7)))))))/(($B$7/2)*(2*ACOS(1-2*(MIN(0.999,MAX(1E-6,A40/$B$7))))))))&lt;=0,0,(IF((($B$7/2)*(2*ACOS(1-2*(MIN(0.999,MAX(1E-6,A40/$B$7))))))&lt;=0,0,((($B$7/2)^2/2)*((2*ACOS(1-2*(MIN(0.999,MAX(1E-6,A40/$B$7)))))-SIN(2*ACOS(1-2*(MIN(0.999,MAX(1E-6,A40/$B$7)))))))/(($B$7/2)*(2*ACOS(1-2*(MIN(0.999,MAX(1E-6,A40/$B$7))))))))^(2/3))*SQRT($B$11)),IF((A40-$B$12+$B$11*$B$8)&lt;=0,0,(PI()*($B$7/2)^2)*SQRT((A40-$B$12+$B$11*$B$8)/((1+$B$21)/(2*9.81)+($B$6^2)*$B$8/(($B$7/4)^(4/3))))))</f>
        <v/>
      </c>
      <c r="E40" s="15">
        <f>MIN(C40,D40)</f>
        <v/>
      </c>
      <c r="F40" s="4">
        <f>IF(A40&lt;=0,"—",IF(C40&lt;=D40,"inlet","outlet"))</f>
        <v/>
      </c>
    </row>
    <row r="41">
      <c r="A41" s="27" t="n">
        <v>0.85</v>
      </c>
      <c r="B41" s="27">
        <f>$B$9+A41</f>
        <v/>
      </c>
      <c r="C41" s="5">
        <f>IF(A41&lt;=0,0,IF(A41&lt;0.95*$B$7,1.811*(PI()*($B$7/2)^2)*SQRT($B$7)*IF($B$17*$B$7&lt;=0,0,(A41/($B$17*$B$7))^(1/$B$18)),IF(A41&gt;1.2*$B$7,1.811*(PI()*($B$7/2)^2)*SQRT($B$7)*SQRT(MAX(0,(A41/$B$7-$B$20)/$B$19)),(1-(MIN(1,MAX(0,(A41/$B$7-0.95)/(1.2-0.95)))))*(1.811*(PI()*($B$7/2)^2)*SQRT($B$7)*IF($B$17*$B$7&lt;=0,0,(A41/($B$17*$B$7))^(1/$B$18)))+(MIN(1,MAX(0,(A41/$B$7-0.95)/(1.2-0.95))))*(1.811*(PI()*($B$7/2)^2)*SQRT($B$7)*SQRT(MAX(0,(A41/$B$7-$B$20)/$B$19))))))</f>
        <v/>
      </c>
      <c r="D41" s="5">
        <f>IF(A41&lt;$B$7,IF($B$6&lt;=0,0,(1/$B$6)*((($B$7/2)^2/2)*((2*ACOS(1-2*(MIN(0.999,MAX(1E-6,A41/$B$7)))))-SIN(2*ACOS(1-2*(MIN(0.999,MAX(1E-6,A41/$B$7)))))))*IF((IF((($B$7/2)*(2*ACOS(1-2*(MIN(0.999,MAX(1E-6,A41/$B$7))))))&lt;=0,0,((($B$7/2)^2/2)*((2*ACOS(1-2*(MIN(0.999,MAX(1E-6,A41/$B$7)))))-SIN(2*ACOS(1-2*(MIN(0.999,MAX(1E-6,A41/$B$7)))))))/(($B$7/2)*(2*ACOS(1-2*(MIN(0.999,MAX(1E-6,A41/$B$7))))))))&lt;=0,0,(IF((($B$7/2)*(2*ACOS(1-2*(MIN(0.999,MAX(1E-6,A41/$B$7))))))&lt;=0,0,((($B$7/2)^2/2)*((2*ACOS(1-2*(MIN(0.999,MAX(1E-6,A41/$B$7)))))-SIN(2*ACOS(1-2*(MIN(0.999,MAX(1E-6,A41/$B$7)))))))/(($B$7/2)*(2*ACOS(1-2*(MIN(0.999,MAX(1E-6,A41/$B$7))))))))^(2/3))*SQRT($B$11)),IF((A41-$B$12+$B$11*$B$8)&lt;=0,0,(PI()*($B$7/2)^2)*SQRT((A41-$B$12+$B$11*$B$8)/((1+$B$21)/(2*9.81)+($B$6^2)*$B$8/(($B$7/4)^(4/3))))))</f>
        <v/>
      </c>
      <c r="E41" s="15">
        <f>MIN(C41,D41)</f>
        <v/>
      </c>
      <c r="F41" s="4">
        <f>IF(A41&lt;=0,"—",IF(C41&lt;=D41,"inlet","outlet"))</f>
        <v/>
      </c>
    </row>
    <row r="42">
      <c r="A42" s="27" t="n">
        <v>0.9</v>
      </c>
      <c r="B42" s="27">
        <f>$B$9+A42</f>
        <v/>
      </c>
      <c r="C42" s="5">
        <f>IF(A42&lt;=0,0,IF(A42&lt;0.95*$B$7,1.811*(PI()*($B$7/2)^2)*SQRT($B$7)*IF($B$17*$B$7&lt;=0,0,(A42/($B$17*$B$7))^(1/$B$18)),IF(A42&gt;1.2*$B$7,1.811*(PI()*($B$7/2)^2)*SQRT($B$7)*SQRT(MAX(0,(A42/$B$7-$B$20)/$B$19)),(1-(MIN(1,MAX(0,(A42/$B$7-0.95)/(1.2-0.95)))))*(1.811*(PI()*($B$7/2)^2)*SQRT($B$7)*IF($B$17*$B$7&lt;=0,0,(A42/($B$17*$B$7))^(1/$B$18)))+(MIN(1,MAX(0,(A42/$B$7-0.95)/(1.2-0.95))))*(1.811*(PI()*($B$7/2)^2)*SQRT($B$7)*SQRT(MAX(0,(A42/$B$7-$B$20)/$B$19))))))</f>
        <v/>
      </c>
      <c r="D42" s="5">
        <f>IF(A42&lt;$B$7,IF($B$6&lt;=0,0,(1/$B$6)*((($B$7/2)^2/2)*((2*ACOS(1-2*(MIN(0.999,MAX(1E-6,A42/$B$7)))))-SIN(2*ACOS(1-2*(MIN(0.999,MAX(1E-6,A42/$B$7)))))))*IF((IF((($B$7/2)*(2*ACOS(1-2*(MIN(0.999,MAX(1E-6,A42/$B$7))))))&lt;=0,0,((($B$7/2)^2/2)*((2*ACOS(1-2*(MIN(0.999,MAX(1E-6,A42/$B$7)))))-SIN(2*ACOS(1-2*(MIN(0.999,MAX(1E-6,A42/$B$7)))))))/(($B$7/2)*(2*ACOS(1-2*(MIN(0.999,MAX(1E-6,A42/$B$7))))))))&lt;=0,0,(IF((($B$7/2)*(2*ACOS(1-2*(MIN(0.999,MAX(1E-6,A42/$B$7))))))&lt;=0,0,((($B$7/2)^2/2)*((2*ACOS(1-2*(MIN(0.999,MAX(1E-6,A42/$B$7)))))-SIN(2*ACOS(1-2*(MIN(0.999,MAX(1E-6,A42/$B$7)))))))/(($B$7/2)*(2*ACOS(1-2*(MIN(0.999,MAX(1E-6,A42/$B$7))))))))^(2/3))*SQRT($B$11)),IF((A42-$B$12+$B$11*$B$8)&lt;=0,0,(PI()*($B$7/2)^2)*SQRT((A42-$B$12+$B$11*$B$8)/((1+$B$21)/(2*9.81)+($B$6^2)*$B$8/(($B$7/4)^(4/3))))))</f>
        <v/>
      </c>
      <c r="E42" s="15">
        <f>MIN(C42,D42)</f>
        <v/>
      </c>
      <c r="F42" s="4">
        <f>IF(A42&lt;=0,"—",IF(C42&lt;=D42,"inlet","outlet"))</f>
        <v/>
      </c>
    </row>
    <row r="43">
      <c r="A43" s="27" t="n">
        <v>0.95</v>
      </c>
      <c r="B43" s="27">
        <f>$B$9+A43</f>
        <v/>
      </c>
      <c r="C43" s="5">
        <f>IF(A43&lt;=0,0,IF(A43&lt;0.95*$B$7,1.811*(PI()*($B$7/2)^2)*SQRT($B$7)*IF($B$17*$B$7&lt;=0,0,(A43/($B$17*$B$7))^(1/$B$18)),IF(A43&gt;1.2*$B$7,1.811*(PI()*($B$7/2)^2)*SQRT($B$7)*SQRT(MAX(0,(A43/$B$7-$B$20)/$B$19)),(1-(MIN(1,MAX(0,(A43/$B$7-0.95)/(1.2-0.95)))))*(1.811*(PI()*($B$7/2)^2)*SQRT($B$7)*IF($B$17*$B$7&lt;=0,0,(A43/($B$17*$B$7))^(1/$B$18)))+(MIN(1,MAX(0,(A43/$B$7-0.95)/(1.2-0.95))))*(1.811*(PI()*($B$7/2)^2)*SQRT($B$7)*SQRT(MAX(0,(A43/$B$7-$B$20)/$B$19))))))</f>
        <v/>
      </c>
      <c r="D43" s="5">
        <f>IF(A43&lt;$B$7,IF($B$6&lt;=0,0,(1/$B$6)*((($B$7/2)^2/2)*((2*ACOS(1-2*(MIN(0.999,MAX(1E-6,A43/$B$7)))))-SIN(2*ACOS(1-2*(MIN(0.999,MAX(1E-6,A43/$B$7)))))))*IF((IF((($B$7/2)*(2*ACOS(1-2*(MIN(0.999,MAX(1E-6,A43/$B$7))))))&lt;=0,0,((($B$7/2)^2/2)*((2*ACOS(1-2*(MIN(0.999,MAX(1E-6,A43/$B$7)))))-SIN(2*ACOS(1-2*(MIN(0.999,MAX(1E-6,A43/$B$7)))))))/(($B$7/2)*(2*ACOS(1-2*(MIN(0.999,MAX(1E-6,A43/$B$7))))))))&lt;=0,0,(IF((($B$7/2)*(2*ACOS(1-2*(MIN(0.999,MAX(1E-6,A43/$B$7))))))&lt;=0,0,((($B$7/2)^2/2)*((2*ACOS(1-2*(MIN(0.999,MAX(1E-6,A43/$B$7)))))-SIN(2*ACOS(1-2*(MIN(0.999,MAX(1E-6,A43/$B$7)))))))/(($B$7/2)*(2*ACOS(1-2*(MIN(0.999,MAX(1E-6,A43/$B$7))))))))^(2/3))*SQRT($B$11)),IF((A43-$B$12+$B$11*$B$8)&lt;=0,0,(PI()*($B$7/2)^2)*SQRT((A43-$B$12+$B$11*$B$8)/((1+$B$21)/(2*9.81)+($B$6^2)*$B$8/(($B$7/4)^(4/3))))))</f>
        <v/>
      </c>
      <c r="E43" s="15">
        <f>MIN(C43,D43)</f>
        <v/>
      </c>
      <c r="F43" s="4">
        <f>IF(A43&lt;=0,"—",IF(C43&lt;=D43,"inlet","outlet"))</f>
        <v/>
      </c>
    </row>
    <row r="44">
      <c r="A44" s="27" t="n">
        <v>1</v>
      </c>
      <c r="B44" s="27">
        <f>$B$9+A44</f>
        <v/>
      </c>
      <c r="C44" s="5">
        <f>IF(A44&lt;=0,0,IF(A44&lt;0.95*$B$7,1.811*(PI()*($B$7/2)^2)*SQRT($B$7)*IF($B$17*$B$7&lt;=0,0,(A44/($B$17*$B$7))^(1/$B$18)),IF(A44&gt;1.2*$B$7,1.811*(PI()*($B$7/2)^2)*SQRT($B$7)*SQRT(MAX(0,(A44/$B$7-$B$20)/$B$19)),(1-(MIN(1,MAX(0,(A44/$B$7-0.95)/(1.2-0.95)))))*(1.811*(PI()*($B$7/2)^2)*SQRT($B$7)*IF($B$17*$B$7&lt;=0,0,(A44/($B$17*$B$7))^(1/$B$18)))+(MIN(1,MAX(0,(A44/$B$7-0.95)/(1.2-0.95))))*(1.811*(PI()*($B$7/2)^2)*SQRT($B$7)*SQRT(MAX(0,(A44/$B$7-$B$20)/$B$19))))))</f>
        <v/>
      </c>
      <c r="D44" s="5">
        <f>IF(A44&lt;$B$7,IF($B$6&lt;=0,0,(1/$B$6)*((($B$7/2)^2/2)*((2*ACOS(1-2*(MIN(0.999,MAX(1E-6,A44/$B$7)))))-SIN(2*ACOS(1-2*(MIN(0.999,MAX(1E-6,A44/$B$7)))))))*IF((IF((($B$7/2)*(2*ACOS(1-2*(MIN(0.999,MAX(1E-6,A44/$B$7))))))&lt;=0,0,((($B$7/2)^2/2)*((2*ACOS(1-2*(MIN(0.999,MAX(1E-6,A44/$B$7)))))-SIN(2*ACOS(1-2*(MIN(0.999,MAX(1E-6,A44/$B$7)))))))/(($B$7/2)*(2*ACOS(1-2*(MIN(0.999,MAX(1E-6,A44/$B$7))))))))&lt;=0,0,(IF((($B$7/2)*(2*ACOS(1-2*(MIN(0.999,MAX(1E-6,A44/$B$7))))))&lt;=0,0,((($B$7/2)^2/2)*((2*ACOS(1-2*(MIN(0.999,MAX(1E-6,A44/$B$7)))))-SIN(2*ACOS(1-2*(MIN(0.999,MAX(1E-6,A44/$B$7)))))))/(($B$7/2)*(2*ACOS(1-2*(MIN(0.999,MAX(1E-6,A44/$B$7))))))))^(2/3))*SQRT($B$11)),IF((A44-$B$12+$B$11*$B$8)&lt;=0,0,(PI()*($B$7/2)^2)*SQRT((A44-$B$12+$B$11*$B$8)/((1+$B$21)/(2*9.81)+($B$6^2)*$B$8/(($B$7/4)^(4/3))))))</f>
        <v/>
      </c>
      <c r="E44" s="15">
        <f>MIN(C44,D44)</f>
        <v/>
      </c>
      <c r="F44" s="4">
        <f>IF(A44&lt;=0,"—",IF(C44&lt;=D44,"inlet","outlet"))</f>
        <v/>
      </c>
    </row>
    <row r="45">
      <c r="A45" s="27" t="n">
        <v>1.05</v>
      </c>
      <c r="B45" s="27">
        <f>$B$9+A45</f>
        <v/>
      </c>
      <c r="C45" s="5">
        <f>IF(A45&lt;=0,0,IF(A45&lt;0.95*$B$7,1.811*(PI()*($B$7/2)^2)*SQRT($B$7)*IF($B$17*$B$7&lt;=0,0,(A45/($B$17*$B$7))^(1/$B$18)),IF(A45&gt;1.2*$B$7,1.811*(PI()*($B$7/2)^2)*SQRT($B$7)*SQRT(MAX(0,(A45/$B$7-$B$20)/$B$19)),(1-(MIN(1,MAX(0,(A45/$B$7-0.95)/(1.2-0.95)))))*(1.811*(PI()*($B$7/2)^2)*SQRT($B$7)*IF($B$17*$B$7&lt;=0,0,(A45/($B$17*$B$7))^(1/$B$18)))+(MIN(1,MAX(0,(A45/$B$7-0.95)/(1.2-0.95))))*(1.811*(PI()*($B$7/2)^2)*SQRT($B$7)*SQRT(MAX(0,(A45/$B$7-$B$20)/$B$19))))))</f>
        <v/>
      </c>
      <c r="D45" s="5">
        <f>IF(A45&lt;$B$7,IF($B$6&lt;=0,0,(1/$B$6)*((($B$7/2)^2/2)*((2*ACOS(1-2*(MIN(0.999,MAX(1E-6,A45/$B$7)))))-SIN(2*ACOS(1-2*(MIN(0.999,MAX(1E-6,A45/$B$7)))))))*IF((IF((($B$7/2)*(2*ACOS(1-2*(MIN(0.999,MAX(1E-6,A45/$B$7))))))&lt;=0,0,((($B$7/2)^2/2)*((2*ACOS(1-2*(MIN(0.999,MAX(1E-6,A45/$B$7)))))-SIN(2*ACOS(1-2*(MIN(0.999,MAX(1E-6,A45/$B$7)))))))/(($B$7/2)*(2*ACOS(1-2*(MIN(0.999,MAX(1E-6,A45/$B$7))))))))&lt;=0,0,(IF((($B$7/2)*(2*ACOS(1-2*(MIN(0.999,MAX(1E-6,A45/$B$7))))))&lt;=0,0,((($B$7/2)^2/2)*((2*ACOS(1-2*(MIN(0.999,MAX(1E-6,A45/$B$7)))))-SIN(2*ACOS(1-2*(MIN(0.999,MAX(1E-6,A45/$B$7)))))))/(($B$7/2)*(2*ACOS(1-2*(MIN(0.999,MAX(1E-6,A45/$B$7))))))))^(2/3))*SQRT($B$11)),IF((A45-$B$12+$B$11*$B$8)&lt;=0,0,(PI()*($B$7/2)^2)*SQRT((A45-$B$12+$B$11*$B$8)/((1+$B$21)/(2*9.81)+($B$6^2)*$B$8/(($B$7/4)^(4/3))))))</f>
        <v/>
      </c>
      <c r="E45" s="15">
        <f>MIN(C45,D45)</f>
        <v/>
      </c>
      <c r="F45" s="4">
        <f>IF(A45&lt;=0,"—",IF(C45&lt;=D45,"inlet","outlet"))</f>
        <v/>
      </c>
    </row>
    <row r="46">
      <c r="A46" s="27" t="n">
        <v>1.1</v>
      </c>
      <c r="B46" s="27">
        <f>$B$9+A46</f>
        <v/>
      </c>
      <c r="C46" s="5">
        <f>IF(A46&lt;=0,0,IF(A46&lt;0.95*$B$7,1.811*(PI()*($B$7/2)^2)*SQRT($B$7)*IF($B$17*$B$7&lt;=0,0,(A46/($B$17*$B$7))^(1/$B$18)),IF(A46&gt;1.2*$B$7,1.811*(PI()*($B$7/2)^2)*SQRT($B$7)*SQRT(MAX(0,(A46/$B$7-$B$20)/$B$19)),(1-(MIN(1,MAX(0,(A46/$B$7-0.95)/(1.2-0.95)))))*(1.811*(PI()*($B$7/2)^2)*SQRT($B$7)*IF($B$17*$B$7&lt;=0,0,(A46/($B$17*$B$7))^(1/$B$18)))+(MIN(1,MAX(0,(A46/$B$7-0.95)/(1.2-0.95))))*(1.811*(PI()*($B$7/2)^2)*SQRT($B$7)*SQRT(MAX(0,(A46/$B$7-$B$20)/$B$19))))))</f>
        <v/>
      </c>
      <c r="D46" s="5">
        <f>IF(A46&lt;$B$7,IF($B$6&lt;=0,0,(1/$B$6)*((($B$7/2)^2/2)*((2*ACOS(1-2*(MIN(0.999,MAX(1E-6,A46/$B$7)))))-SIN(2*ACOS(1-2*(MIN(0.999,MAX(1E-6,A46/$B$7)))))))*IF((IF((($B$7/2)*(2*ACOS(1-2*(MIN(0.999,MAX(1E-6,A46/$B$7))))))&lt;=0,0,((($B$7/2)^2/2)*((2*ACOS(1-2*(MIN(0.999,MAX(1E-6,A46/$B$7)))))-SIN(2*ACOS(1-2*(MIN(0.999,MAX(1E-6,A46/$B$7)))))))/(($B$7/2)*(2*ACOS(1-2*(MIN(0.999,MAX(1E-6,A46/$B$7))))))))&lt;=0,0,(IF((($B$7/2)*(2*ACOS(1-2*(MIN(0.999,MAX(1E-6,A46/$B$7))))))&lt;=0,0,((($B$7/2)^2/2)*((2*ACOS(1-2*(MIN(0.999,MAX(1E-6,A46/$B$7)))))-SIN(2*ACOS(1-2*(MIN(0.999,MAX(1E-6,A46/$B$7)))))))/(($B$7/2)*(2*ACOS(1-2*(MIN(0.999,MAX(1E-6,A46/$B$7))))))))^(2/3))*SQRT($B$11)),IF((A46-$B$12+$B$11*$B$8)&lt;=0,0,(PI()*($B$7/2)^2)*SQRT((A46-$B$12+$B$11*$B$8)/((1+$B$21)/(2*9.81)+($B$6^2)*$B$8/(($B$7/4)^(4/3))))))</f>
        <v/>
      </c>
      <c r="E46" s="15">
        <f>MIN(C46,D46)</f>
        <v/>
      </c>
      <c r="F46" s="4">
        <f>IF(A46&lt;=0,"—",IF(C46&lt;=D46,"inlet","outlet"))</f>
        <v/>
      </c>
    </row>
    <row r="47">
      <c r="A47" s="27" t="n">
        <v>1.15</v>
      </c>
      <c r="B47" s="27">
        <f>$B$9+A47</f>
        <v/>
      </c>
      <c r="C47" s="5">
        <f>IF(A47&lt;=0,0,IF(A47&lt;0.95*$B$7,1.811*(PI()*($B$7/2)^2)*SQRT($B$7)*IF($B$17*$B$7&lt;=0,0,(A47/($B$17*$B$7))^(1/$B$18)),IF(A47&gt;1.2*$B$7,1.811*(PI()*($B$7/2)^2)*SQRT($B$7)*SQRT(MAX(0,(A47/$B$7-$B$20)/$B$19)),(1-(MIN(1,MAX(0,(A47/$B$7-0.95)/(1.2-0.95)))))*(1.811*(PI()*($B$7/2)^2)*SQRT($B$7)*IF($B$17*$B$7&lt;=0,0,(A47/($B$17*$B$7))^(1/$B$18)))+(MIN(1,MAX(0,(A47/$B$7-0.95)/(1.2-0.95))))*(1.811*(PI()*($B$7/2)^2)*SQRT($B$7)*SQRT(MAX(0,(A47/$B$7-$B$20)/$B$19))))))</f>
        <v/>
      </c>
      <c r="D47" s="5">
        <f>IF(A47&lt;$B$7,IF($B$6&lt;=0,0,(1/$B$6)*((($B$7/2)^2/2)*((2*ACOS(1-2*(MIN(0.999,MAX(1E-6,A47/$B$7)))))-SIN(2*ACOS(1-2*(MIN(0.999,MAX(1E-6,A47/$B$7)))))))*IF((IF((($B$7/2)*(2*ACOS(1-2*(MIN(0.999,MAX(1E-6,A47/$B$7))))))&lt;=0,0,((($B$7/2)^2/2)*((2*ACOS(1-2*(MIN(0.999,MAX(1E-6,A47/$B$7)))))-SIN(2*ACOS(1-2*(MIN(0.999,MAX(1E-6,A47/$B$7)))))))/(($B$7/2)*(2*ACOS(1-2*(MIN(0.999,MAX(1E-6,A47/$B$7))))))))&lt;=0,0,(IF((($B$7/2)*(2*ACOS(1-2*(MIN(0.999,MAX(1E-6,A47/$B$7))))))&lt;=0,0,((($B$7/2)^2/2)*((2*ACOS(1-2*(MIN(0.999,MAX(1E-6,A47/$B$7)))))-SIN(2*ACOS(1-2*(MIN(0.999,MAX(1E-6,A47/$B$7)))))))/(($B$7/2)*(2*ACOS(1-2*(MIN(0.999,MAX(1E-6,A47/$B$7))))))))^(2/3))*SQRT($B$11)),IF((A47-$B$12+$B$11*$B$8)&lt;=0,0,(PI()*($B$7/2)^2)*SQRT((A47-$B$12+$B$11*$B$8)/((1+$B$21)/(2*9.81)+($B$6^2)*$B$8/(($B$7/4)^(4/3))))))</f>
        <v/>
      </c>
      <c r="E47" s="15">
        <f>MIN(C47,D47)</f>
        <v/>
      </c>
      <c r="F47" s="4">
        <f>IF(A47&lt;=0,"—",IF(C47&lt;=D47,"inlet","outlet"))</f>
        <v/>
      </c>
    </row>
    <row r="48">
      <c r="A48" s="27" t="n">
        <v>1.2</v>
      </c>
      <c r="B48" s="27">
        <f>$B$9+A48</f>
        <v/>
      </c>
      <c r="C48" s="5">
        <f>IF(A48&lt;=0,0,IF(A48&lt;0.95*$B$7,1.811*(PI()*($B$7/2)^2)*SQRT($B$7)*IF($B$17*$B$7&lt;=0,0,(A48/($B$17*$B$7))^(1/$B$18)),IF(A48&gt;1.2*$B$7,1.811*(PI()*($B$7/2)^2)*SQRT($B$7)*SQRT(MAX(0,(A48/$B$7-$B$20)/$B$19)),(1-(MIN(1,MAX(0,(A48/$B$7-0.95)/(1.2-0.95)))))*(1.811*(PI()*($B$7/2)^2)*SQRT($B$7)*IF($B$17*$B$7&lt;=0,0,(A48/($B$17*$B$7))^(1/$B$18)))+(MIN(1,MAX(0,(A48/$B$7-0.95)/(1.2-0.95))))*(1.811*(PI()*($B$7/2)^2)*SQRT($B$7)*SQRT(MAX(0,(A48/$B$7-$B$20)/$B$19))))))</f>
        <v/>
      </c>
      <c r="D48" s="5">
        <f>IF(A48&lt;$B$7,IF($B$6&lt;=0,0,(1/$B$6)*((($B$7/2)^2/2)*((2*ACOS(1-2*(MIN(0.999,MAX(1E-6,A48/$B$7)))))-SIN(2*ACOS(1-2*(MIN(0.999,MAX(1E-6,A48/$B$7)))))))*IF((IF((($B$7/2)*(2*ACOS(1-2*(MIN(0.999,MAX(1E-6,A48/$B$7))))))&lt;=0,0,((($B$7/2)^2/2)*((2*ACOS(1-2*(MIN(0.999,MAX(1E-6,A48/$B$7)))))-SIN(2*ACOS(1-2*(MIN(0.999,MAX(1E-6,A48/$B$7)))))))/(($B$7/2)*(2*ACOS(1-2*(MIN(0.999,MAX(1E-6,A48/$B$7))))))))&lt;=0,0,(IF((($B$7/2)*(2*ACOS(1-2*(MIN(0.999,MAX(1E-6,A48/$B$7))))))&lt;=0,0,((($B$7/2)^2/2)*((2*ACOS(1-2*(MIN(0.999,MAX(1E-6,A48/$B$7)))))-SIN(2*ACOS(1-2*(MIN(0.999,MAX(1E-6,A48/$B$7)))))))/(($B$7/2)*(2*ACOS(1-2*(MIN(0.999,MAX(1E-6,A48/$B$7))))))))^(2/3))*SQRT($B$11)),IF((A48-$B$12+$B$11*$B$8)&lt;=0,0,(PI()*($B$7/2)^2)*SQRT((A48-$B$12+$B$11*$B$8)/((1+$B$21)/(2*9.81)+($B$6^2)*$B$8/(($B$7/4)^(4/3))))))</f>
        <v/>
      </c>
      <c r="E48" s="15">
        <f>MIN(C48,D48)</f>
        <v/>
      </c>
      <c r="F48" s="4">
        <f>IF(A48&lt;=0,"—",IF(C48&lt;=D48,"inlet","outlet"))</f>
        <v/>
      </c>
    </row>
    <row r="49">
      <c r="A49" s="27" t="n">
        <v>1.25</v>
      </c>
      <c r="B49" s="27">
        <f>$B$9+A49</f>
        <v/>
      </c>
      <c r="C49" s="5">
        <f>IF(A49&lt;=0,0,IF(A49&lt;0.95*$B$7,1.811*(PI()*($B$7/2)^2)*SQRT($B$7)*IF($B$17*$B$7&lt;=0,0,(A49/($B$17*$B$7))^(1/$B$18)),IF(A49&gt;1.2*$B$7,1.811*(PI()*($B$7/2)^2)*SQRT($B$7)*SQRT(MAX(0,(A49/$B$7-$B$20)/$B$19)),(1-(MIN(1,MAX(0,(A49/$B$7-0.95)/(1.2-0.95)))))*(1.811*(PI()*($B$7/2)^2)*SQRT($B$7)*IF($B$17*$B$7&lt;=0,0,(A49/($B$17*$B$7))^(1/$B$18)))+(MIN(1,MAX(0,(A49/$B$7-0.95)/(1.2-0.95))))*(1.811*(PI()*($B$7/2)^2)*SQRT($B$7)*SQRT(MAX(0,(A49/$B$7-$B$20)/$B$19))))))</f>
        <v/>
      </c>
      <c r="D49" s="5">
        <f>IF(A49&lt;$B$7,IF($B$6&lt;=0,0,(1/$B$6)*((($B$7/2)^2/2)*((2*ACOS(1-2*(MIN(0.999,MAX(1E-6,A49/$B$7)))))-SIN(2*ACOS(1-2*(MIN(0.999,MAX(1E-6,A49/$B$7)))))))*IF((IF((($B$7/2)*(2*ACOS(1-2*(MIN(0.999,MAX(1E-6,A49/$B$7))))))&lt;=0,0,((($B$7/2)^2/2)*((2*ACOS(1-2*(MIN(0.999,MAX(1E-6,A49/$B$7)))))-SIN(2*ACOS(1-2*(MIN(0.999,MAX(1E-6,A49/$B$7)))))))/(($B$7/2)*(2*ACOS(1-2*(MIN(0.999,MAX(1E-6,A49/$B$7))))))))&lt;=0,0,(IF((($B$7/2)*(2*ACOS(1-2*(MIN(0.999,MAX(1E-6,A49/$B$7))))))&lt;=0,0,((($B$7/2)^2/2)*((2*ACOS(1-2*(MIN(0.999,MAX(1E-6,A49/$B$7)))))-SIN(2*ACOS(1-2*(MIN(0.999,MAX(1E-6,A49/$B$7)))))))/(($B$7/2)*(2*ACOS(1-2*(MIN(0.999,MAX(1E-6,A49/$B$7))))))))^(2/3))*SQRT($B$11)),IF((A49-$B$12+$B$11*$B$8)&lt;=0,0,(PI()*($B$7/2)^2)*SQRT((A49-$B$12+$B$11*$B$8)/((1+$B$21)/(2*9.81)+($B$6^2)*$B$8/(($B$7/4)^(4/3))))))</f>
        <v/>
      </c>
      <c r="E49" s="15">
        <f>MIN(C49,D49)</f>
        <v/>
      </c>
      <c r="F49" s="4">
        <f>IF(A49&lt;=0,"—",IF(C49&lt;=D49,"inlet","outlet"))</f>
        <v/>
      </c>
    </row>
    <row r="50">
      <c r="A50" s="27" t="n">
        <v>1.3</v>
      </c>
      <c r="B50" s="27">
        <f>$B$9+A50</f>
        <v/>
      </c>
      <c r="C50" s="5">
        <f>IF(A50&lt;=0,0,IF(A50&lt;0.95*$B$7,1.811*(PI()*($B$7/2)^2)*SQRT($B$7)*IF($B$17*$B$7&lt;=0,0,(A50/($B$17*$B$7))^(1/$B$18)),IF(A50&gt;1.2*$B$7,1.811*(PI()*($B$7/2)^2)*SQRT($B$7)*SQRT(MAX(0,(A50/$B$7-$B$20)/$B$19)),(1-(MIN(1,MAX(0,(A50/$B$7-0.95)/(1.2-0.95)))))*(1.811*(PI()*($B$7/2)^2)*SQRT($B$7)*IF($B$17*$B$7&lt;=0,0,(A50/($B$17*$B$7))^(1/$B$18)))+(MIN(1,MAX(0,(A50/$B$7-0.95)/(1.2-0.95))))*(1.811*(PI()*($B$7/2)^2)*SQRT($B$7)*SQRT(MAX(0,(A50/$B$7-$B$20)/$B$19))))))</f>
        <v/>
      </c>
      <c r="D50" s="5">
        <f>IF(A50&lt;$B$7,IF($B$6&lt;=0,0,(1/$B$6)*((($B$7/2)^2/2)*((2*ACOS(1-2*(MIN(0.999,MAX(1E-6,A50/$B$7)))))-SIN(2*ACOS(1-2*(MIN(0.999,MAX(1E-6,A50/$B$7)))))))*IF((IF((($B$7/2)*(2*ACOS(1-2*(MIN(0.999,MAX(1E-6,A50/$B$7))))))&lt;=0,0,((($B$7/2)^2/2)*((2*ACOS(1-2*(MIN(0.999,MAX(1E-6,A50/$B$7)))))-SIN(2*ACOS(1-2*(MIN(0.999,MAX(1E-6,A50/$B$7)))))))/(($B$7/2)*(2*ACOS(1-2*(MIN(0.999,MAX(1E-6,A50/$B$7))))))))&lt;=0,0,(IF((($B$7/2)*(2*ACOS(1-2*(MIN(0.999,MAX(1E-6,A50/$B$7))))))&lt;=0,0,((($B$7/2)^2/2)*((2*ACOS(1-2*(MIN(0.999,MAX(1E-6,A50/$B$7)))))-SIN(2*ACOS(1-2*(MIN(0.999,MAX(1E-6,A50/$B$7)))))))/(($B$7/2)*(2*ACOS(1-2*(MIN(0.999,MAX(1E-6,A50/$B$7))))))))^(2/3))*SQRT($B$11)),IF((A50-$B$12+$B$11*$B$8)&lt;=0,0,(PI()*($B$7/2)^2)*SQRT((A50-$B$12+$B$11*$B$8)/((1+$B$21)/(2*9.81)+($B$6^2)*$B$8/(($B$7/4)^(4/3))))))</f>
        <v/>
      </c>
      <c r="E50" s="15">
        <f>MIN(C50,D50)</f>
        <v/>
      </c>
      <c r="F50" s="4">
        <f>IF(A50&lt;=0,"—",IF(C50&lt;=D50,"inlet","outlet"))</f>
        <v/>
      </c>
    </row>
    <row r="51">
      <c r="A51" s="27" t="n">
        <v>1.35</v>
      </c>
      <c r="B51" s="27">
        <f>$B$9+A51</f>
        <v/>
      </c>
      <c r="C51" s="5">
        <f>IF(A51&lt;=0,0,IF(A51&lt;0.95*$B$7,1.811*(PI()*($B$7/2)^2)*SQRT($B$7)*IF($B$17*$B$7&lt;=0,0,(A51/($B$17*$B$7))^(1/$B$18)),IF(A51&gt;1.2*$B$7,1.811*(PI()*($B$7/2)^2)*SQRT($B$7)*SQRT(MAX(0,(A51/$B$7-$B$20)/$B$19)),(1-(MIN(1,MAX(0,(A51/$B$7-0.95)/(1.2-0.95)))))*(1.811*(PI()*($B$7/2)^2)*SQRT($B$7)*IF($B$17*$B$7&lt;=0,0,(A51/($B$17*$B$7))^(1/$B$18)))+(MIN(1,MAX(0,(A51/$B$7-0.95)/(1.2-0.95))))*(1.811*(PI()*($B$7/2)^2)*SQRT($B$7)*SQRT(MAX(0,(A51/$B$7-$B$20)/$B$19))))))</f>
        <v/>
      </c>
      <c r="D51" s="5">
        <f>IF(A51&lt;$B$7,IF($B$6&lt;=0,0,(1/$B$6)*((($B$7/2)^2/2)*((2*ACOS(1-2*(MIN(0.999,MAX(1E-6,A51/$B$7)))))-SIN(2*ACOS(1-2*(MIN(0.999,MAX(1E-6,A51/$B$7)))))))*IF((IF((($B$7/2)*(2*ACOS(1-2*(MIN(0.999,MAX(1E-6,A51/$B$7))))))&lt;=0,0,((($B$7/2)^2/2)*((2*ACOS(1-2*(MIN(0.999,MAX(1E-6,A51/$B$7)))))-SIN(2*ACOS(1-2*(MIN(0.999,MAX(1E-6,A51/$B$7)))))))/(($B$7/2)*(2*ACOS(1-2*(MIN(0.999,MAX(1E-6,A51/$B$7))))))))&lt;=0,0,(IF((($B$7/2)*(2*ACOS(1-2*(MIN(0.999,MAX(1E-6,A51/$B$7))))))&lt;=0,0,((($B$7/2)^2/2)*((2*ACOS(1-2*(MIN(0.999,MAX(1E-6,A51/$B$7)))))-SIN(2*ACOS(1-2*(MIN(0.999,MAX(1E-6,A51/$B$7)))))))/(($B$7/2)*(2*ACOS(1-2*(MIN(0.999,MAX(1E-6,A51/$B$7))))))))^(2/3))*SQRT($B$11)),IF((A51-$B$12+$B$11*$B$8)&lt;=0,0,(PI()*($B$7/2)^2)*SQRT((A51-$B$12+$B$11*$B$8)/((1+$B$21)/(2*9.81)+($B$6^2)*$B$8/(($B$7/4)^(4/3))))))</f>
        <v/>
      </c>
      <c r="E51" s="15">
        <f>MIN(C51,D51)</f>
        <v/>
      </c>
      <c r="F51" s="4">
        <f>IF(A51&lt;=0,"—",IF(C51&lt;=D51,"inlet","outlet"))</f>
        <v/>
      </c>
    </row>
    <row r="52">
      <c r="A52" s="27" t="n">
        <v>1.4</v>
      </c>
      <c r="B52" s="27">
        <f>$B$9+A52</f>
        <v/>
      </c>
      <c r="C52" s="5">
        <f>IF(A52&lt;=0,0,IF(A52&lt;0.95*$B$7,1.811*(PI()*($B$7/2)^2)*SQRT($B$7)*IF($B$17*$B$7&lt;=0,0,(A52/($B$17*$B$7))^(1/$B$18)),IF(A52&gt;1.2*$B$7,1.811*(PI()*($B$7/2)^2)*SQRT($B$7)*SQRT(MAX(0,(A52/$B$7-$B$20)/$B$19)),(1-(MIN(1,MAX(0,(A52/$B$7-0.95)/(1.2-0.95)))))*(1.811*(PI()*($B$7/2)^2)*SQRT($B$7)*IF($B$17*$B$7&lt;=0,0,(A52/($B$17*$B$7))^(1/$B$18)))+(MIN(1,MAX(0,(A52/$B$7-0.95)/(1.2-0.95))))*(1.811*(PI()*($B$7/2)^2)*SQRT($B$7)*SQRT(MAX(0,(A52/$B$7-$B$20)/$B$19))))))</f>
        <v/>
      </c>
      <c r="D52" s="5">
        <f>IF(A52&lt;$B$7,IF($B$6&lt;=0,0,(1/$B$6)*((($B$7/2)^2/2)*((2*ACOS(1-2*(MIN(0.999,MAX(1E-6,A52/$B$7)))))-SIN(2*ACOS(1-2*(MIN(0.999,MAX(1E-6,A52/$B$7)))))))*IF((IF((($B$7/2)*(2*ACOS(1-2*(MIN(0.999,MAX(1E-6,A52/$B$7))))))&lt;=0,0,((($B$7/2)^2/2)*((2*ACOS(1-2*(MIN(0.999,MAX(1E-6,A52/$B$7)))))-SIN(2*ACOS(1-2*(MIN(0.999,MAX(1E-6,A52/$B$7)))))))/(($B$7/2)*(2*ACOS(1-2*(MIN(0.999,MAX(1E-6,A52/$B$7))))))))&lt;=0,0,(IF((($B$7/2)*(2*ACOS(1-2*(MIN(0.999,MAX(1E-6,A52/$B$7))))))&lt;=0,0,((($B$7/2)^2/2)*((2*ACOS(1-2*(MIN(0.999,MAX(1E-6,A52/$B$7)))))-SIN(2*ACOS(1-2*(MIN(0.999,MAX(1E-6,A52/$B$7)))))))/(($B$7/2)*(2*ACOS(1-2*(MIN(0.999,MAX(1E-6,A52/$B$7))))))))^(2/3))*SQRT($B$11)),IF((A52-$B$12+$B$11*$B$8)&lt;=0,0,(PI()*($B$7/2)^2)*SQRT((A52-$B$12+$B$11*$B$8)/((1+$B$21)/(2*9.81)+($B$6^2)*$B$8/(($B$7/4)^(4/3))))))</f>
        <v/>
      </c>
      <c r="E52" s="15">
        <f>MIN(C52,D52)</f>
        <v/>
      </c>
      <c r="F52" s="4">
        <f>IF(A52&lt;=0,"—",IF(C52&lt;=D52,"inlet","outlet"))</f>
        <v/>
      </c>
    </row>
    <row r="53">
      <c r="A53" s="27" t="n">
        <v>1.45</v>
      </c>
      <c r="B53" s="27">
        <f>$B$9+A53</f>
        <v/>
      </c>
      <c r="C53" s="5">
        <f>IF(A53&lt;=0,0,IF(A53&lt;0.95*$B$7,1.811*(PI()*($B$7/2)^2)*SQRT($B$7)*IF($B$17*$B$7&lt;=0,0,(A53/($B$17*$B$7))^(1/$B$18)),IF(A53&gt;1.2*$B$7,1.811*(PI()*($B$7/2)^2)*SQRT($B$7)*SQRT(MAX(0,(A53/$B$7-$B$20)/$B$19)),(1-(MIN(1,MAX(0,(A53/$B$7-0.95)/(1.2-0.95)))))*(1.811*(PI()*($B$7/2)^2)*SQRT($B$7)*IF($B$17*$B$7&lt;=0,0,(A53/($B$17*$B$7))^(1/$B$18)))+(MIN(1,MAX(0,(A53/$B$7-0.95)/(1.2-0.95))))*(1.811*(PI()*($B$7/2)^2)*SQRT($B$7)*SQRT(MAX(0,(A53/$B$7-$B$20)/$B$19))))))</f>
        <v/>
      </c>
      <c r="D53" s="5">
        <f>IF(A53&lt;$B$7,IF($B$6&lt;=0,0,(1/$B$6)*((($B$7/2)^2/2)*((2*ACOS(1-2*(MIN(0.999,MAX(1E-6,A53/$B$7)))))-SIN(2*ACOS(1-2*(MIN(0.999,MAX(1E-6,A53/$B$7)))))))*IF((IF((($B$7/2)*(2*ACOS(1-2*(MIN(0.999,MAX(1E-6,A53/$B$7))))))&lt;=0,0,((($B$7/2)^2/2)*((2*ACOS(1-2*(MIN(0.999,MAX(1E-6,A53/$B$7)))))-SIN(2*ACOS(1-2*(MIN(0.999,MAX(1E-6,A53/$B$7)))))))/(($B$7/2)*(2*ACOS(1-2*(MIN(0.999,MAX(1E-6,A53/$B$7))))))))&lt;=0,0,(IF((($B$7/2)*(2*ACOS(1-2*(MIN(0.999,MAX(1E-6,A53/$B$7))))))&lt;=0,0,((($B$7/2)^2/2)*((2*ACOS(1-2*(MIN(0.999,MAX(1E-6,A53/$B$7)))))-SIN(2*ACOS(1-2*(MIN(0.999,MAX(1E-6,A53/$B$7)))))))/(($B$7/2)*(2*ACOS(1-2*(MIN(0.999,MAX(1E-6,A53/$B$7))))))))^(2/3))*SQRT($B$11)),IF((A53-$B$12+$B$11*$B$8)&lt;=0,0,(PI()*($B$7/2)^2)*SQRT((A53-$B$12+$B$11*$B$8)/((1+$B$21)/(2*9.81)+($B$6^2)*$B$8/(($B$7/4)^(4/3))))))</f>
        <v/>
      </c>
      <c r="E53" s="15">
        <f>MIN(C53,D53)</f>
        <v/>
      </c>
      <c r="F53" s="4">
        <f>IF(A53&lt;=0,"—",IF(C53&lt;=D53,"inlet","outlet"))</f>
        <v/>
      </c>
    </row>
    <row r="54">
      <c r="A54" s="27" t="n">
        <v>1.5</v>
      </c>
      <c r="B54" s="27">
        <f>$B$9+A54</f>
        <v/>
      </c>
      <c r="C54" s="5">
        <f>IF(A54&lt;=0,0,IF(A54&lt;0.95*$B$7,1.811*(PI()*($B$7/2)^2)*SQRT($B$7)*IF($B$17*$B$7&lt;=0,0,(A54/($B$17*$B$7))^(1/$B$18)),IF(A54&gt;1.2*$B$7,1.811*(PI()*($B$7/2)^2)*SQRT($B$7)*SQRT(MAX(0,(A54/$B$7-$B$20)/$B$19)),(1-(MIN(1,MAX(0,(A54/$B$7-0.95)/(1.2-0.95)))))*(1.811*(PI()*($B$7/2)^2)*SQRT($B$7)*IF($B$17*$B$7&lt;=0,0,(A54/($B$17*$B$7))^(1/$B$18)))+(MIN(1,MAX(0,(A54/$B$7-0.95)/(1.2-0.95))))*(1.811*(PI()*($B$7/2)^2)*SQRT($B$7)*SQRT(MAX(0,(A54/$B$7-$B$20)/$B$19))))))</f>
        <v/>
      </c>
      <c r="D54" s="5">
        <f>IF(A54&lt;$B$7,IF($B$6&lt;=0,0,(1/$B$6)*((($B$7/2)^2/2)*((2*ACOS(1-2*(MIN(0.999,MAX(1E-6,A54/$B$7)))))-SIN(2*ACOS(1-2*(MIN(0.999,MAX(1E-6,A54/$B$7)))))))*IF((IF((($B$7/2)*(2*ACOS(1-2*(MIN(0.999,MAX(1E-6,A54/$B$7))))))&lt;=0,0,((($B$7/2)^2/2)*((2*ACOS(1-2*(MIN(0.999,MAX(1E-6,A54/$B$7)))))-SIN(2*ACOS(1-2*(MIN(0.999,MAX(1E-6,A54/$B$7)))))))/(($B$7/2)*(2*ACOS(1-2*(MIN(0.999,MAX(1E-6,A54/$B$7))))))))&lt;=0,0,(IF((($B$7/2)*(2*ACOS(1-2*(MIN(0.999,MAX(1E-6,A54/$B$7))))))&lt;=0,0,((($B$7/2)^2/2)*((2*ACOS(1-2*(MIN(0.999,MAX(1E-6,A54/$B$7)))))-SIN(2*ACOS(1-2*(MIN(0.999,MAX(1E-6,A54/$B$7)))))))/(($B$7/2)*(2*ACOS(1-2*(MIN(0.999,MAX(1E-6,A54/$B$7))))))))^(2/3))*SQRT($B$11)),IF((A54-$B$12+$B$11*$B$8)&lt;=0,0,(PI()*($B$7/2)^2)*SQRT((A54-$B$12+$B$11*$B$8)/((1+$B$21)/(2*9.81)+($B$6^2)*$B$8/(($B$7/4)^(4/3))))))</f>
        <v/>
      </c>
      <c r="E54" s="15">
        <f>MIN(C54,D54)</f>
        <v/>
      </c>
      <c r="F54" s="4">
        <f>IF(A54&lt;=0,"—",IF(C54&lt;=D54,"inlet","outlet"))</f>
        <v/>
      </c>
    </row>
    <row r="55">
      <c r="A55" s="27" t="n">
        <v>1.55</v>
      </c>
      <c r="B55" s="27">
        <f>$B$9+A55</f>
        <v/>
      </c>
      <c r="C55" s="5">
        <f>IF(A55&lt;=0,0,IF(A55&lt;0.95*$B$7,1.811*(PI()*($B$7/2)^2)*SQRT($B$7)*IF($B$17*$B$7&lt;=0,0,(A55/($B$17*$B$7))^(1/$B$18)),IF(A55&gt;1.2*$B$7,1.811*(PI()*($B$7/2)^2)*SQRT($B$7)*SQRT(MAX(0,(A55/$B$7-$B$20)/$B$19)),(1-(MIN(1,MAX(0,(A55/$B$7-0.95)/(1.2-0.95)))))*(1.811*(PI()*($B$7/2)^2)*SQRT($B$7)*IF($B$17*$B$7&lt;=0,0,(A55/($B$17*$B$7))^(1/$B$18)))+(MIN(1,MAX(0,(A55/$B$7-0.95)/(1.2-0.95))))*(1.811*(PI()*($B$7/2)^2)*SQRT($B$7)*SQRT(MAX(0,(A55/$B$7-$B$20)/$B$19))))))</f>
        <v/>
      </c>
      <c r="D55" s="5">
        <f>IF(A55&lt;$B$7,IF($B$6&lt;=0,0,(1/$B$6)*((($B$7/2)^2/2)*((2*ACOS(1-2*(MIN(0.999,MAX(1E-6,A55/$B$7)))))-SIN(2*ACOS(1-2*(MIN(0.999,MAX(1E-6,A55/$B$7)))))))*IF((IF((($B$7/2)*(2*ACOS(1-2*(MIN(0.999,MAX(1E-6,A55/$B$7))))))&lt;=0,0,((($B$7/2)^2/2)*((2*ACOS(1-2*(MIN(0.999,MAX(1E-6,A55/$B$7)))))-SIN(2*ACOS(1-2*(MIN(0.999,MAX(1E-6,A55/$B$7)))))))/(($B$7/2)*(2*ACOS(1-2*(MIN(0.999,MAX(1E-6,A55/$B$7))))))))&lt;=0,0,(IF((($B$7/2)*(2*ACOS(1-2*(MIN(0.999,MAX(1E-6,A55/$B$7))))))&lt;=0,0,((($B$7/2)^2/2)*((2*ACOS(1-2*(MIN(0.999,MAX(1E-6,A55/$B$7)))))-SIN(2*ACOS(1-2*(MIN(0.999,MAX(1E-6,A55/$B$7)))))))/(($B$7/2)*(2*ACOS(1-2*(MIN(0.999,MAX(1E-6,A55/$B$7))))))))^(2/3))*SQRT($B$11)),IF((A55-$B$12+$B$11*$B$8)&lt;=0,0,(PI()*($B$7/2)^2)*SQRT((A55-$B$12+$B$11*$B$8)/((1+$B$21)/(2*9.81)+($B$6^2)*$B$8/(($B$7/4)^(4/3))))))</f>
        <v/>
      </c>
      <c r="E55" s="15">
        <f>MIN(C55,D55)</f>
        <v/>
      </c>
      <c r="F55" s="4">
        <f>IF(A55&lt;=0,"—",IF(C55&lt;=D55,"inlet","outlet"))</f>
        <v/>
      </c>
    </row>
    <row r="56">
      <c r="A56" s="27" t="n">
        <v>1.6</v>
      </c>
      <c r="B56" s="27">
        <f>$B$9+A56</f>
        <v/>
      </c>
      <c r="C56" s="5">
        <f>IF(A56&lt;=0,0,IF(A56&lt;0.95*$B$7,1.811*(PI()*($B$7/2)^2)*SQRT($B$7)*IF($B$17*$B$7&lt;=0,0,(A56/($B$17*$B$7))^(1/$B$18)),IF(A56&gt;1.2*$B$7,1.811*(PI()*($B$7/2)^2)*SQRT($B$7)*SQRT(MAX(0,(A56/$B$7-$B$20)/$B$19)),(1-(MIN(1,MAX(0,(A56/$B$7-0.95)/(1.2-0.95)))))*(1.811*(PI()*($B$7/2)^2)*SQRT($B$7)*IF($B$17*$B$7&lt;=0,0,(A56/($B$17*$B$7))^(1/$B$18)))+(MIN(1,MAX(0,(A56/$B$7-0.95)/(1.2-0.95))))*(1.811*(PI()*($B$7/2)^2)*SQRT($B$7)*SQRT(MAX(0,(A56/$B$7-$B$20)/$B$19))))))</f>
        <v/>
      </c>
      <c r="D56" s="5">
        <f>IF(A56&lt;$B$7,IF($B$6&lt;=0,0,(1/$B$6)*((($B$7/2)^2/2)*((2*ACOS(1-2*(MIN(0.999,MAX(1E-6,A56/$B$7)))))-SIN(2*ACOS(1-2*(MIN(0.999,MAX(1E-6,A56/$B$7)))))))*IF((IF((($B$7/2)*(2*ACOS(1-2*(MIN(0.999,MAX(1E-6,A56/$B$7))))))&lt;=0,0,((($B$7/2)^2/2)*((2*ACOS(1-2*(MIN(0.999,MAX(1E-6,A56/$B$7)))))-SIN(2*ACOS(1-2*(MIN(0.999,MAX(1E-6,A56/$B$7)))))))/(($B$7/2)*(2*ACOS(1-2*(MIN(0.999,MAX(1E-6,A56/$B$7))))))))&lt;=0,0,(IF((($B$7/2)*(2*ACOS(1-2*(MIN(0.999,MAX(1E-6,A56/$B$7))))))&lt;=0,0,((($B$7/2)^2/2)*((2*ACOS(1-2*(MIN(0.999,MAX(1E-6,A56/$B$7)))))-SIN(2*ACOS(1-2*(MIN(0.999,MAX(1E-6,A56/$B$7)))))))/(($B$7/2)*(2*ACOS(1-2*(MIN(0.999,MAX(1E-6,A56/$B$7))))))))^(2/3))*SQRT($B$11)),IF((A56-$B$12+$B$11*$B$8)&lt;=0,0,(PI()*($B$7/2)^2)*SQRT((A56-$B$12+$B$11*$B$8)/((1+$B$21)/(2*9.81)+($B$6^2)*$B$8/(($B$7/4)^(4/3))))))</f>
        <v/>
      </c>
      <c r="E56" s="15">
        <f>MIN(C56,D56)</f>
        <v/>
      </c>
      <c r="F56" s="4">
        <f>IF(A56&lt;=0,"—",IF(C56&lt;=D56,"inlet","outlet"))</f>
        <v/>
      </c>
    </row>
    <row r="57">
      <c r="A57" s="27" t="n">
        <v>1.65</v>
      </c>
      <c r="B57" s="27">
        <f>$B$9+A57</f>
        <v/>
      </c>
      <c r="C57" s="5">
        <f>IF(A57&lt;=0,0,IF(A57&lt;0.95*$B$7,1.811*(PI()*($B$7/2)^2)*SQRT($B$7)*IF($B$17*$B$7&lt;=0,0,(A57/($B$17*$B$7))^(1/$B$18)),IF(A57&gt;1.2*$B$7,1.811*(PI()*($B$7/2)^2)*SQRT($B$7)*SQRT(MAX(0,(A57/$B$7-$B$20)/$B$19)),(1-(MIN(1,MAX(0,(A57/$B$7-0.95)/(1.2-0.95)))))*(1.811*(PI()*($B$7/2)^2)*SQRT($B$7)*IF($B$17*$B$7&lt;=0,0,(A57/($B$17*$B$7))^(1/$B$18)))+(MIN(1,MAX(0,(A57/$B$7-0.95)/(1.2-0.95))))*(1.811*(PI()*($B$7/2)^2)*SQRT($B$7)*SQRT(MAX(0,(A57/$B$7-$B$20)/$B$19))))))</f>
        <v/>
      </c>
      <c r="D57" s="5">
        <f>IF(A57&lt;$B$7,IF($B$6&lt;=0,0,(1/$B$6)*((($B$7/2)^2/2)*((2*ACOS(1-2*(MIN(0.999,MAX(1E-6,A57/$B$7)))))-SIN(2*ACOS(1-2*(MIN(0.999,MAX(1E-6,A57/$B$7)))))))*IF((IF((($B$7/2)*(2*ACOS(1-2*(MIN(0.999,MAX(1E-6,A57/$B$7))))))&lt;=0,0,((($B$7/2)^2/2)*((2*ACOS(1-2*(MIN(0.999,MAX(1E-6,A57/$B$7)))))-SIN(2*ACOS(1-2*(MIN(0.999,MAX(1E-6,A57/$B$7)))))))/(($B$7/2)*(2*ACOS(1-2*(MIN(0.999,MAX(1E-6,A57/$B$7))))))))&lt;=0,0,(IF((($B$7/2)*(2*ACOS(1-2*(MIN(0.999,MAX(1E-6,A57/$B$7))))))&lt;=0,0,((($B$7/2)^2/2)*((2*ACOS(1-2*(MIN(0.999,MAX(1E-6,A57/$B$7)))))-SIN(2*ACOS(1-2*(MIN(0.999,MAX(1E-6,A57/$B$7)))))))/(($B$7/2)*(2*ACOS(1-2*(MIN(0.999,MAX(1E-6,A57/$B$7))))))))^(2/3))*SQRT($B$11)),IF((A57-$B$12+$B$11*$B$8)&lt;=0,0,(PI()*($B$7/2)^2)*SQRT((A57-$B$12+$B$11*$B$8)/((1+$B$21)/(2*9.81)+($B$6^2)*$B$8/(($B$7/4)^(4/3))))))</f>
        <v/>
      </c>
      <c r="E57" s="15">
        <f>MIN(C57,D57)</f>
        <v/>
      </c>
      <c r="F57" s="4">
        <f>IF(A57&lt;=0,"—",IF(C57&lt;=D57,"inlet","outlet"))</f>
        <v/>
      </c>
    </row>
    <row r="58">
      <c r="A58" s="27" t="n">
        <v>1.7</v>
      </c>
      <c r="B58" s="27">
        <f>$B$9+A58</f>
        <v/>
      </c>
      <c r="C58" s="5">
        <f>IF(A58&lt;=0,0,IF(A58&lt;0.95*$B$7,1.811*(PI()*($B$7/2)^2)*SQRT($B$7)*IF($B$17*$B$7&lt;=0,0,(A58/($B$17*$B$7))^(1/$B$18)),IF(A58&gt;1.2*$B$7,1.811*(PI()*($B$7/2)^2)*SQRT($B$7)*SQRT(MAX(0,(A58/$B$7-$B$20)/$B$19)),(1-(MIN(1,MAX(0,(A58/$B$7-0.95)/(1.2-0.95)))))*(1.811*(PI()*($B$7/2)^2)*SQRT($B$7)*IF($B$17*$B$7&lt;=0,0,(A58/($B$17*$B$7))^(1/$B$18)))+(MIN(1,MAX(0,(A58/$B$7-0.95)/(1.2-0.95))))*(1.811*(PI()*($B$7/2)^2)*SQRT($B$7)*SQRT(MAX(0,(A58/$B$7-$B$20)/$B$19))))))</f>
        <v/>
      </c>
      <c r="D58" s="5">
        <f>IF(A58&lt;$B$7,IF($B$6&lt;=0,0,(1/$B$6)*((($B$7/2)^2/2)*((2*ACOS(1-2*(MIN(0.999,MAX(1E-6,A58/$B$7)))))-SIN(2*ACOS(1-2*(MIN(0.999,MAX(1E-6,A58/$B$7)))))))*IF((IF((($B$7/2)*(2*ACOS(1-2*(MIN(0.999,MAX(1E-6,A58/$B$7))))))&lt;=0,0,((($B$7/2)^2/2)*((2*ACOS(1-2*(MIN(0.999,MAX(1E-6,A58/$B$7)))))-SIN(2*ACOS(1-2*(MIN(0.999,MAX(1E-6,A58/$B$7)))))))/(($B$7/2)*(2*ACOS(1-2*(MIN(0.999,MAX(1E-6,A58/$B$7))))))))&lt;=0,0,(IF((($B$7/2)*(2*ACOS(1-2*(MIN(0.999,MAX(1E-6,A58/$B$7))))))&lt;=0,0,((($B$7/2)^2/2)*((2*ACOS(1-2*(MIN(0.999,MAX(1E-6,A58/$B$7)))))-SIN(2*ACOS(1-2*(MIN(0.999,MAX(1E-6,A58/$B$7)))))))/(($B$7/2)*(2*ACOS(1-2*(MIN(0.999,MAX(1E-6,A58/$B$7))))))))^(2/3))*SQRT($B$11)),IF((A58-$B$12+$B$11*$B$8)&lt;=0,0,(PI()*($B$7/2)^2)*SQRT((A58-$B$12+$B$11*$B$8)/((1+$B$21)/(2*9.81)+($B$6^2)*$B$8/(($B$7/4)^(4/3))))))</f>
        <v/>
      </c>
      <c r="E58" s="15">
        <f>MIN(C58,D58)</f>
        <v/>
      </c>
      <c r="F58" s="4">
        <f>IF(A58&lt;=0,"—",IF(C58&lt;=D58,"inlet","outlet"))</f>
        <v/>
      </c>
    </row>
    <row r="59">
      <c r="A59" s="27" t="n">
        <v>1.75</v>
      </c>
      <c r="B59" s="27">
        <f>$B$9+A59</f>
        <v/>
      </c>
      <c r="C59" s="5">
        <f>IF(A59&lt;=0,0,IF(A59&lt;0.95*$B$7,1.811*(PI()*($B$7/2)^2)*SQRT($B$7)*IF($B$17*$B$7&lt;=0,0,(A59/($B$17*$B$7))^(1/$B$18)),IF(A59&gt;1.2*$B$7,1.811*(PI()*($B$7/2)^2)*SQRT($B$7)*SQRT(MAX(0,(A59/$B$7-$B$20)/$B$19)),(1-(MIN(1,MAX(0,(A59/$B$7-0.95)/(1.2-0.95)))))*(1.811*(PI()*($B$7/2)^2)*SQRT($B$7)*IF($B$17*$B$7&lt;=0,0,(A59/($B$17*$B$7))^(1/$B$18)))+(MIN(1,MAX(0,(A59/$B$7-0.95)/(1.2-0.95))))*(1.811*(PI()*($B$7/2)^2)*SQRT($B$7)*SQRT(MAX(0,(A59/$B$7-$B$20)/$B$19))))))</f>
        <v/>
      </c>
      <c r="D59" s="5">
        <f>IF(A59&lt;$B$7,IF($B$6&lt;=0,0,(1/$B$6)*((($B$7/2)^2/2)*((2*ACOS(1-2*(MIN(0.999,MAX(1E-6,A59/$B$7)))))-SIN(2*ACOS(1-2*(MIN(0.999,MAX(1E-6,A59/$B$7)))))))*IF((IF((($B$7/2)*(2*ACOS(1-2*(MIN(0.999,MAX(1E-6,A59/$B$7))))))&lt;=0,0,((($B$7/2)^2/2)*((2*ACOS(1-2*(MIN(0.999,MAX(1E-6,A59/$B$7)))))-SIN(2*ACOS(1-2*(MIN(0.999,MAX(1E-6,A59/$B$7)))))))/(($B$7/2)*(2*ACOS(1-2*(MIN(0.999,MAX(1E-6,A59/$B$7))))))))&lt;=0,0,(IF((($B$7/2)*(2*ACOS(1-2*(MIN(0.999,MAX(1E-6,A59/$B$7))))))&lt;=0,0,((($B$7/2)^2/2)*((2*ACOS(1-2*(MIN(0.999,MAX(1E-6,A59/$B$7)))))-SIN(2*ACOS(1-2*(MIN(0.999,MAX(1E-6,A59/$B$7)))))))/(($B$7/2)*(2*ACOS(1-2*(MIN(0.999,MAX(1E-6,A59/$B$7))))))))^(2/3))*SQRT($B$11)),IF((A59-$B$12+$B$11*$B$8)&lt;=0,0,(PI()*($B$7/2)^2)*SQRT((A59-$B$12+$B$11*$B$8)/((1+$B$21)/(2*9.81)+($B$6^2)*$B$8/(($B$7/4)^(4/3))))))</f>
        <v/>
      </c>
      <c r="E59" s="15">
        <f>MIN(C59,D59)</f>
        <v/>
      </c>
      <c r="F59" s="4">
        <f>IF(A59&lt;=0,"—",IF(C59&lt;=D59,"inlet","outlet"))</f>
        <v/>
      </c>
    </row>
    <row r="60">
      <c r="A60" s="27" t="n">
        <v>1.8</v>
      </c>
      <c r="B60" s="27">
        <f>$B$9+A60</f>
        <v/>
      </c>
      <c r="C60" s="5">
        <f>IF(A60&lt;=0,0,IF(A60&lt;0.95*$B$7,1.811*(PI()*($B$7/2)^2)*SQRT($B$7)*IF($B$17*$B$7&lt;=0,0,(A60/($B$17*$B$7))^(1/$B$18)),IF(A60&gt;1.2*$B$7,1.811*(PI()*($B$7/2)^2)*SQRT($B$7)*SQRT(MAX(0,(A60/$B$7-$B$20)/$B$19)),(1-(MIN(1,MAX(0,(A60/$B$7-0.95)/(1.2-0.95)))))*(1.811*(PI()*($B$7/2)^2)*SQRT($B$7)*IF($B$17*$B$7&lt;=0,0,(A60/($B$17*$B$7))^(1/$B$18)))+(MIN(1,MAX(0,(A60/$B$7-0.95)/(1.2-0.95))))*(1.811*(PI()*($B$7/2)^2)*SQRT($B$7)*SQRT(MAX(0,(A60/$B$7-$B$20)/$B$19))))))</f>
        <v/>
      </c>
      <c r="D60" s="5">
        <f>IF(A60&lt;$B$7,IF($B$6&lt;=0,0,(1/$B$6)*((($B$7/2)^2/2)*((2*ACOS(1-2*(MIN(0.999,MAX(1E-6,A60/$B$7)))))-SIN(2*ACOS(1-2*(MIN(0.999,MAX(1E-6,A60/$B$7)))))))*IF((IF((($B$7/2)*(2*ACOS(1-2*(MIN(0.999,MAX(1E-6,A60/$B$7))))))&lt;=0,0,((($B$7/2)^2/2)*((2*ACOS(1-2*(MIN(0.999,MAX(1E-6,A60/$B$7)))))-SIN(2*ACOS(1-2*(MIN(0.999,MAX(1E-6,A60/$B$7)))))))/(($B$7/2)*(2*ACOS(1-2*(MIN(0.999,MAX(1E-6,A60/$B$7))))))))&lt;=0,0,(IF((($B$7/2)*(2*ACOS(1-2*(MIN(0.999,MAX(1E-6,A60/$B$7))))))&lt;=0,0,((($B$7/2)^2/2)*((2*ACOS(1-2*(MIN(0.999,MAX(1E-6,A60/$B$7)))))-SIN(2*ACOS(1-2*(MIN(0.999,MAX(1E-6,A60/$B$7)))))))/(($B$7/2)*(2*ACOS(1-2*(MIN(0.999,MAX(1E-6,A60/$B$7))))))))^(2/3))*SQRT($B$11)),IF((A60-$B$12+$B$11*$B$8)&lt;=0,0,(PI()*($B$7/2)^2)*SQRT((A60-$B$12+$B$11*$B$8)/((1+$B$21)/(2*9.81)+($B$6^2)*$B$8/(($B$7/4)^(4/3))))))</f>
        <v/>
      </c>
      <c r="E60" s="15">
        <f>MIN(C60,D60)</f>
        <v/>
      </c>
      <c r="F60" s="4">
        <f>IF(A60&lt;=0,"—",IF(C60&lt;=D60,"inlet","outlet"))</f>
        <v/>
      </c>
    </row>
    <row r="61">
      <c r="A61" s="27" t="n">
        <v>1.85</v>
      </c>
      <c r="B61" s="27">
        <f>$B$9+A61</f>
        <v/>
      </c>
      <c r="C61" s="5">
        <f>IF(A61&lt;=0,0,IF(A61&lt;0.95*$B$7,1.811*(PI()*($B$7/2)^2)*SQRT($B$7)*IF($B$17*$B$7&lt;=0,0,(A61/($B$17*$B$7))^(1/$B$18)),IF(A61&gt;1.2*$B$7,1.811*(PI()*($B$7/2)^2)*SQRT($B$7)*SQRT(MAX(0,(A61/$B$7-$B$20)/$B$19)),(1-(MIN(1,MAX(0,(A61/$B$7-0.95)/(1.2-0.95)))))*(1.811*(PI()*($B$7/2)^2)*SQRT($B$7)*IF($B$17*$B$7&lt;=0,0,(A61/($B$17*$B$7))^(1/$B$18)))+(MIN(1,MAX(0,(A61/$B$7-0.95)/(1.2-0.95))))*(1.811*(PI()*($B$7/2)^2)*SQRT($B$7)*SQRT(MAX(0,(A61/$B$7-$B$20)/$B$19))))))</f>
        <v/>
      </c>
      <c r="D61" s="5">
        <f>IF(A61&lt;$B$7,IF($B$6&lt;=0,0,(1/$B$6)*((($B$7/2)^2/2)*((2*ACOS(1-2*(MIN(0.999,MAX(1E-6,A61/$B$7)))))-SIN(2*ACOS(1-2*(MIN(0.999,MAX(1E-6,A61/$B$7)))))))*IF((IF((($B$7/2)*(2*ACOS(1-2*(MIN(0.999,MAX(1E-6,A61/$B$7))))))&lt;=0,0,((($B$7/2)^2/2)*((2*ACOS(1-2*(MIN(0.999,MAX(1E-6,A61/$B$7)))))-SIN(2*ACOS(1-2*(MIN(0.999,MAX(1E-6,A61/$B$7)))))))/(($B$7/2)*(2*ACOS(1-2*(MIN(0.999,MAX(1E-6,A61/$B$7))))))))&lt;=0,0,(IF((($B$7/2)*(2*ACOS(1-2*(MIN(0.999,MAX(1E-6,A61/$B$7))))))&lt;=0,0,((($B$7/2)^2/2)*((2*ACOS(1-2*(MIN(0.999,MAX(1E-6,A61/$B$7)))))-SIN(2*ACOS(1-2*(MIN(0.999,MAX(1E-6,A61/$B$7)))))))/(($B$7/2)*(2*ACOS(1-2*(MIN(0.999,MAX(1E-6,A61/$B$7))))))))^(2/3))*SQRT($B$11)),IF((A61-$B$12+$B$11*$B$8)&lt;=0,0,(PI()*($B$7/2)^2)*SQRT((A61-$B$12+$B$11*$B$8)/((1+$B$21)/(2*9.81)+($B$6^2)*$B$8/(($B$7/4)^(4/3))))))</f>
        <v/>
      </c>
      <c r="E61" s="15">
        <f>MIN(C61,D61)</f>
        <v/>
      </c>
      <c r="F61" s="4">
        <f>IF(A61&lt;=0,"—",IF(C61&lt;=D61,"inlet","outlet"))</f>
        <v/>
      </c>
    </row>
    <row r="62">
      <c r="A62" s="27" t="n">
        <v>1.9</v>
      </c>
      <c r="B62" s="27">
        <f>$B$9+A62</f>
        <v/>
      </c>
      <c r="C62" s="5">
        <f>IF(A62&lt;=0,0,IF(A62&lt;0.95*$B$7,1.811*(PI()*($B$7/2)^2)*SQRT($B$7)*IF($B$17*$B$7&lt;=0,0,(A62/($B$17*$B$7))^(1/$B$18)),IF(A62&gt;1.2*$B$7,1.811*(PI()*($B$7/2)^2)*SQRT($B$7)*SQRT(MAX(0,(A62/$B$7-$B$20)/$B$19)),(1-(MIN(1,MAX(0,(A62/$B$7-0.95)/(1.2-0.95)))))*(1.811*(PI()*($B$7/2)^2)*SQRT($B$7)*IF($B$17*$B$7&lt;=0,0,(A62/($B$17*$B$7))^(1/$B$18)))+(MIN(1,MAX(0,(A62/$B$7-0.95)/(1.2-0.95))))*(1.811*(PI()*($B$7/2)^2)*SQRT($B$7)*SQRT(MAX(0,(A62/$B$7-$B$20)/$B$19))))))</f>
        <v/>
      </c>
      <c r="D62" s="5">
        <f>IF(A62&lt;$B$7,IF($B$6&lt;=0,0,(1/$B$6)*((($B$7/2)^2/2)*((2*ACOS(1-2*(MIN(0.999,MAX(1E-6,A62/$B$7)))))-SIN(2*ACOS(1-2*(MIN(0.999,MAX(1E-6,A62/$B$7)))))))*IF((IF((($B$7/2)*(2*ACOS(1-2*(MIN(0.999,MAX(1E-6,A62/$B$7))))))&lt;=0,0,((($B$7/2)^2/2)*((2*ACOS(1-2*(MIN(0.999,MAX(1E-6,A62/$B$7)))))-SIN(2*ACOS(1-2*(MIN(0.999,MAX(1E-6,A62/$B$7)))))))/(($B$7/2)*(2*ACOS(1-2*(MIN(0.999,MAX(1E-6,A62/$B$7))))))))&lt;=0,0,(IF((($B$7/2)*(2*ACOS(1-2*(MIN(0.999,MAX(1E-6,A62/$B$7))))))&lt;=0,0,((($B$7/2)^2/2)*((2*ACOS(1-2*(MIN(0.999,MAX(1E-6,A62/$B$7)))))-SIN(2*ACOS(1-2*(MIN(0.999,MAX(1E-6,A62/$B$7)))))))/(($B$7/2)*(2*ACOS(1-2*(MIN(0.999,MAX(1E-6,A62/$B$7))))))))^(2/3))*SQRT($B$11)),IF((A62-$B$12+$B$11*$B$8)&lt;=0,0,(PI()*($B$7/2)^2)*SQRT((A62-$B$12+$B$11*$B$8)/((1+$B$21)/(2*9.81)+($B$6^2)*$B$8/(($B$7/4)^(4/3))))))</f>
        <v/>
      </c>
      <c r="E62" s="15">
        <f>MIN(C62,D62)</f>
        <v/>
      </c>
      <c r="F62" s="4">
        <f>IF(A62&lt;=0,"—",IF(C62&lt;=D62,"inlet","outlet"))</f>
        <v/>
      </c>
    </row>
    <row r="63">
      <c r="A63" s="27" t="n">
        <v>1.95</v>
      </c>
      <c r="B63" s="27">
        <f>$B$9+A63</f>
        <v/>
      </c>
      <c r="C63" s="5">
        <f>IF(A63&lt;=0,0,IF(A63&lt;0.95*$B$7,1.811*(PI()*($B$7/2)^2)*SQRT($B$7)*IF($B$17*$B$7&lt;=0,0,(A63/($B$17*$B$7))^(1/$B$18)),IF(A63&gt;1.2*$B$7,1.811*(PI()*($B$7/2)^2)*SQRT($B$7)*SQRT(MAX(0,(A63/$B$7-$B$20)/$B$19)),(1-(MIN(1,MAX(0,(A63/$B$7-0.95)/(1.2-0.95)))))*(1.811*(PI()*($B$7/2)^2)*SQRT($B$7)*IF($B$17*$B$7&lt;=0,0,(A63/($B$17*$B$7))^(1/$B$18)))+(MIN(1,MAX(0,(A63/$B$7-0.95)/(1.2-0.95))))*(1.811*(PI()*($B$7/2)^2)*SQRT($B$7)*SQRT(MAX(0,(A63/$B$7-$B$20)/$B$19))))))</f>
        <v/>
      </c>
      <c r="D63" s="5">
        <f>IF(A63&lt;$B$7,IF($B$6&lt;=0,0,(1/$B$6)*((($B$7/2)^2/2)*((2*ACOS(1-2*(MIN(0.999,MAX(1E-6,A63/$B$7)))))-SIN(2*ACOS(1-2*(MIN(0.999,MAX(1E-6,A63/$B$7)))))))*IF((IF((($B$7/2)*(2*ACOS(1-2*(MIN(0.999,MAX(1E-6,A63/$B$7))))))&lt;=0,0,((($B$7/2)^2/2)*((2*ACOS(1-2*(MIN(0.999,MAX(1E-6,A63/$B$7)))))-SIN(2*ACOS(1-2*(MIN(0.999,MAX(1E-6,A63/$B$7)))))))/(($B$7/2)*(2*ACOS(1-2*(MIN(0.999,MAX(1E-6,A63/$B$7))))))))&lt;=0,0,(IF((($B$7/2)*(2*ACOS(1-2*(MIN(0.999,MAX(1E-6,A63/$B$7))))))&lt;=0,0,((($B$7/2)^2/2)*((2*ACOS(1-2*(MIN(0.999,MAX(1E-6,A63/$B$7)))))-SIN(2*ACOS(1-2*(MIN(0.999,MAX(1E-6,A63/$B$7)))))))/(($B$7/2)*(2*ACOS(1-2*(MIN(0.999,MAX(1E-6,A63/$B$7))))))))^(2/3))*SQRT($B$11)),IF((A63-$B$12+$B$11*$B$8)&lt;=0,0,(PI()*($B$7/2)^2)*SQRT((A63-$B$12+$B$11*$B$8)/((1+$B$21)/(2*9.81)+($B$6^2)*$B$8/(($B$7/4)^(4/3))))))</f>
        <v/>
      </c>
      <c r="E63" s="15">
        <f>MIN(C63,D63)</f>
        <v/>
      </c>
      <c r="F63" s="4">
        <f>IF(A63&lt;=0,"—",IF(C63&lt;=D63,"inlet","outlet"))</f>
        <v/>
      </c>
    </row>
    <row r="64">
      <c r="A64" s="27" t="n">
        <v>2</v>
      </c>
      <c r="B64" s="27">
        <f>$B$9+A64</f>
        <v/>
      </c>
      <c r="C64" s="5">
        <f>IF(A64&lt;=0,0,IF(A64&lt;0.95*$B$7,1.811*(PI()*($B$7/2)^2)*SQRT($B$7)*IF($B$17*$B$7&lt;=0,0,(A64/($B$17*$B$7))^(1/$B$18)),IF(A64&gt;1.2*$B$7,1.811*(PI()*($B$7/2)^2)*SQRT($B$7)*SQRT(MAX(0,(A64/$B$7-$B$20)/$B$19)),(1-(MIN(1,MAX(0,(A64/$B$7-0.95)/(1.2-0.95)))))*(1.811*(PI()*($B$7/2)^2)*SQRT($B$7)*IF($B$17*$B$7&lt;=0,0,(A64/($B$17*$B$7))^(1/$B$18)))+(MIN(1,MAX(0,(A64/$B$7-0.95)/(1.2-0.95))))*(1.811*(PI()*($B$7/2)^2)*SQRT($B$7)*SQRT(MAX(0,(A64/$B$7-$B$20)/$B$19))))))</f>
        <v/>
      </c>
      <c r="D64" s="5">
        <f>IF(A64&lt;$B$7,IF($B$6&lt;=0,0,(1/$B$6)*((($B$7/2)^2/2)*((2*ACOS(1-2*(MIN(0.999,MAX(1E-6,A64/$B$7)))))-SIN(2*ACOS(1-2*(MIN(0.999,MAX(1E-6,A64/$B$7)))))))*IF((IF((($B$7/2)*(2*ACOS(1-2*(MIN(0.999,MAX(1E-6,A64/$B$7))))))&lt;=0,0,((($B$7/2)^2/2)*((2*ACOS(1-2*(MIN(0.999,MAX(1E-6,A64/$B$7)))))-SIN(2*ACOS(1-2*(MIN(0.999,MAX(1E-6,A64/$B$7)))))))/(($B$7/2)*(2*ACOS(1-2*(MIN(0.999,MAX(1E-6,A64/$B$7))))))))&lt;=0,0,(IF((($B$7/2)*(2*ACOS(1-2*(MIN(0.999,MAX(1E-6,A64/$B$7))))))&lt;=0,0,((($B$7/2)^2/2)*((2*ACOS(1-2*(MIN(0.999,MAX(1E-6,A64/$B$7)))))-SIN(2*ACOS(1-2*(MIN(0.999,MAX(1E-6,A64/$B$7)))))))/(($B$7/2)*(2*ACOS(1-2*(MIN(0.999,MAX(1E-6,A64/$B$7))))))))^(2/3))*SQRT($B$11)),IF((A64-$B$12+$B$11*$B$8)&lt;=0,0,(PI()*($B$7/2)^2)*SQRT((A64-$B$12+$B$11*$B$8)/((1+$B$21)/(2*9.81)+($B$6^2)*$B$8/(($B$7/4)^(4/3))))))</f>
        <v/>
      </c>
      <c r="E64" s="15">
        <f>MIN(C64,D64)</f>
        <v/>
      </c>
      <c r="F64" s="4">
        <f>IF(A64&lt;=0,"—",IF(C64&lt;=D64,"inlet","outlet"))</f>
        <v/>
      </c>
    </row>
    <row r="65">
      <c r="A65" s="27" t="n">
        <v>2.05</v>
      </c>
      <c r="B65" s="27">
        <f>$B$9+A65</f>
        <v/>
      </c>
      <c r="C65" s="5">
        <f>IF(A65&lt;=0,0,IF(A65&lt;0.95*$B$7,1.811*(PI()*($B$7/2)^2)*SQRT($B$7)*IF($B$17*$B$7&lt;=0,0,(A65/($B$17*$B$7))^(1/$B$18)),IF(A65&gt;1.2*$B$7,1.811*(PI()*($B$7/2)^2)*SQRT($B$7)*SQRT(MAX(0,(A65/$B$7-$B$20)/$B$19)),(1-(MIN(1,MAX(0,(A65/$B$7-0.95)/(1.2-0.95)))))*(1.811*(PI()*($B$7/2)^2)*SQRT($B$7)*IF($B$17*$B$7&lt;=0,0,(A65/($B$17*$B$7))^(1/$B$18)))+(MIN(1,MAX(0,(A65/$B$7-0.95)/(1.2-0.95))))*(1.811*(PI()*($B$7/2)^2)*SQRT($B$7)*SQRT(MAX(0,(A65/$B$7-$B$20)/$B$19))))))</f>
        <v/>
      </c>
      <c r="D65" s="5">
        <f>IF(A65&lt;$B$7,IF($B$6&lt;=0,0,(1/$B$6)*((($B$7/2)^2/2)*((2*ACOS(1-2*(MIN(0.999,MAX(1E-6,A65/$B$7)))))-SIN(2*ACOS(1-2*(MIN(0.999,MAX(1E-6,A65/$B$7)))))))*IF((IF((($B$7/2)*(2*ACOS(1-2*(MIN(0.999,MAX(1E-6,A65/$B$7))))))&lt;=0,0,((($B$7/2)^2/2)*((2*ACOS(1-2*(MIN(0.999,MAX(1E-6,A65/$B$7)))))-SIN(2*ACOS(1-2*(MIN(0.999,MAX(1E-6,A65/$B$7)))))))/(($B$7/2)*(2*ACOS(1-2*(MIN(0.999,MAX(1E-6,A65/$B$7))))))))&lt;=0,0,(IF((($B$7/2)*(2*ACOS(1-2*(MIN(0.999,MAX(1E-6,A65/$B$7))))))&lt;=0,0,((($B$7/2)^2/2)*((2*ACOS(1-2*(MIN(0.999,MAX(1E-6,A65/$B$7)))))-SIN(2*ACOS(1-2*(MIN(0.999,MAX(1E-6,A65/$B$7)))))))/(($B$7/2)*(2*ACOS(1-2*(MIN(0.999,MAX(1E-6,A65/$B$7))))))))^(2/3))*SQRT($B$11)),IF((A65-$B$12+$B$11*$B$8)&lt;=0,0,(PI()*($B$7/2)^2)*SQRT((A65-$B$12+$B$11*$B$8)/((1+$B$21)/(2*9.81)+($B$6^2)*$B$8/(($B$7/4)^(4/3))))))</f>
        <v/>
      </c>
      <c r="E65" s="15">
        <f>MIN(C65,D65)</f>
        <v/>
      </c>
      <c r="F65" s="4">
        <f>IF(A65&lt;=0,"—",IF(C65&lt;=D65,"inlet","outlet"))</f>
        <v/>
      </c>
    </row>
    <row r="66">
      <c r="A66" s="27" t="n">
        <v>2.1</v>
      </c>
      <c r="B66" s="27">
        <f>$B$9+A66</f>
        <v/>
      </c>
      <c r="C66" s="5">
        <f>IF(A66&lt;=0,0,IF(A66&lt;0.95*$B$7,1.811*(PI()*($B$7/2)^2)*SQRT($B$7)*IF($B$17*$B$7&lt;=0,0,(A66/($B$17*$B$7))^(1/$B$18)),IF(A66&gt;1.2*$B$7,1.811*(PI()*($B$7/2)^2)*SQRT($B$7)*SQRT(MAX(0,(A66/$B$7-$B$20)/$B$19)),(1-(MIN(1,MAX(0,(A66/$B$7-0.95)/(1.2-0.95)))))*(1.811*(PI()*($B$7/2)^2)*SQRT($B$7)*IF($B$17*$B$7&lt;=0,0,(A66/($B$17*$B$7))^(1/$B$18)))+(MIN(1,MAX(0,(A66/$B$7-0.95)/(1.2-0.95))))*(1.811*(PI()*($B$7/2)^2)*SQRT($B$7)*SQRT(MAX(0,(A66/$B$7-$B$20)/$B$19))))))</f>
        <v/>
      </c>
      <c r="D66" s="5">
        <f>IF(A66&lt;$B$7,IF($B$6&lt;=0,0,(1/$B$6)*((($B$7/2)^2/2)*((2*ACOS(1-2*(MIN(0.999,MAX(1E-6,A66/$B$7)))))-SIN(2*ACOS(1-2*(MIN(0.999,MAX(1E-6,A66/$B$7)))))))*IF((IF((($B$7/2)*(2*ACOS(1-2*(MIN(0.999,MAX(1E-6,A66/$B$7))))))&lt;=0,0,((($B$7/2)^2/2)*((2*ACOS(1-2*(MIN(0.999,MAX(1E-6,A66/$B$7)))))-SIN(2*ACOS(1-2*(MIN(0.999,MAX(1E-6,A66/$B$7)))))))/(($B$7/2)*(2*ACOS(1-2*(MIN(0.999,MAX(1E-6,A66/$B$7))))))))&lt;=0,0,(IF((($B$7/2)*(2*ACOS(1-2*(MIN(0.999,MAX(1E-6,A66/$B$7))))))&lt;=0,0,((($B$7/2)^2/2)*((2*ACOS(1-2*(MIN(0.999,MAX(1E-6,A66/$B$7)))))-SIN(2*ACOS(1-2*(MIN(0.999,MAX(1E-6,A66/$B$7)))))))/(($B$7/2)*(2*ACOS(1-2*(MIN(0.999,MAX(1E-6,A66/$B$7))))))))^(2/3))*SQRT($B$11)),IF((A66-$B$12+$B$11*$B$8)&lt;=0,0,(PI()*($B$7/2)^2)*SQRT((A66-$B$12+$B$11*$B$8)/((1+$B$21)/(2*9.81)+($B$6^2)*$B$8/(($B$7/4)^(4/3))))))</f>
        <v/>
      </c>
      <c r="E66" s="15">
        <f>MIN(C66,D66)</f>
        <v/>
      </c>
      <c r="F66" s="4">
        <f>IF(A66&lt;=0,"—",IF(C66&lt;=D66,"inlet","outlet"))</f>
        <v/>
      </c>
    </row>
    <row r="67">
      <c r="A67" s="27" t="n">
        <v>2.15</v>
      </c>
      <c r="B67" s="27">
        <f>$B$9+A67</f>
        <v/>
      </c>
      <c r="C67" s="5">
        <f>IF(A67&lt;=0,0,IF(A67&lt;0.95*$B$7,1.811*(PI()*($B$7/2)^2)*SQRT($B$7)*IF($B$17*$B$7&lt;=0,0,(A67/($B$17*$B$7))^(1/$B$18)),IF(A67&gt;1.2*$B$7,1.811*(PI()*($B$7/2)^2)*SQRT($B$7)*SQRT(MAX(0,(A67/$B$7-$B$20)/$B$19)),(1-(MIN(1,MAX(0,(A67/$B$7-0.95)/(1.2-0.95)))))*(1.811*(PI()*($B$7/2)^2)*SQRT($B$7)*IF($B$17*$B$7&lt;=0,0,(A67/($B$17*$B$7))^(1/$B$18)))+(MIN(1,MAX(0,(A67/$B$7-0.95)/(1.2-0.95))))*(1.811*(PI()*($B$7/2)^2)*SQRT($B$7)*SQRT(MAX(0,(A67/$B$7-$B$20)/$B$19))))))</f>
        <v/>
      </c>
      <c r="D67" s="5">
        <f>IF(A67&lt;$B$7,IF($B$6&lt;=0,0,(1/$B$6)*((($B$7/2)^2/2)*((2*ACOS(1-2*(MIN(0.999,MAX(1E-6,A67/$B$7)))))-SIN(2*ACOS(1-2*(MIN(0.999,MAX(1E-6,A67/$B$7)))))))*IF((IF((($B$7/2)*(2*ACOS(1-2*(MIN(0.999,MAX(1E-6,A67/$B$7))))))&lt;=0,0,((($B$7/2)^2/2)*((2*ACOS(1-2*(MIN(0.999,MAX(1E-6,A67/$B$7)))))-SIN(2*ACOS(1-2*(MIN(0.999,MAX(1E-6,A67/$B$7)))))))/(($B$7/2)*(2*ACOS(1-2*(MIN(0.999,MAX(1E-6,A67/$B$7))))))))&lt;=0,0,(IF((($B$7/2)*(2*ACOS(1-2*(MIN(0.999,MAX(1E-6,A67/$B$7))))))&lt;=0,0,((($B$7/2)^2/2)*((2*ACOS(1-2*(MIN(0.999,MAX(1E-6,A67/$B$7)))))-SIN(2*ACOS(1-2*(MIN(0.999,MAX(1E-6,A67/$B$7)))))))/(($B$7/2)*(2*ACOS(1-2*(MIN(0.999,MAX(1E-6,A67/$B$7))))))))^(2/3))*SQRT($B$11)),IF((A67-$B$12+$B$11*$B$8)&lt;=0,0,(PI()*($B$7/2)^2)*SQRT((A67-$B$12+$B$11*$B$8)/((1+$B$21)/(2*9.81)+($B$6^2)*$B$8/(($B$7/4)^(4/3))))))</f>
        <v/>
      </c>
      <c r="E67" s="15">
        <f>MIN(C67,D67)</f>
        <v/>
      </c>
      <c r="F67" s="4">
        <f>IF(A67&lt;=0,"—",IF(C67&lt;=D67,"inlet","outlet"))</f>
        <v/>
      </c>
    </row>
    <row r="68">
      <c r="A68" s="27" t="n">
        <v>2.2</v>
      </c>
      <c r="B68" s="27">
        <f>$B$9+A68</f>
        <v/>
      </c>
      <c r="C68" s="5">
        <f>IF(A68&lt;=0,0,IF(A68&lt;0.95*$B$7,1.811*(PI()*($B$7/2)^2)*SQRT($B$7)*IF($B$17*$B$7&lt;=0,0,(A68/($B$17*$B$7))^(1/$B$18)),IF(A68&gt;1.2*$B$7,1.811*(PI()*($B$7/2)^2)*SQRT($B$7)*SQRT(MAX(0,(A68/$B$7-$B$20)/$B$19)),(1-(MIN(1,MAX(0,(A68/$B$7-0.95)/(1.2-0.95)))))*(1.811*(PI()*($B$7/2)^2)*SQRT($B$7)*IF($B$17*$B$7&lt;=0,0,(A68/($B$17*$B$7))^(1/$B$18)))+(MIN(1,MAX(0,(A68/$B$7-0.95)/(1.2-0.95))))*(1.811*(PI()*($B$7/2)^2)*SQRT($B$7)*SQRT(MAX(0,(A68/$B$7-$B$20)/$B$19))))))</f>
        <v/>
      </c>
      <c r="D68" s="5">
        <f>IF(A68&lt;$B$7,IF($B$6&lt;=0,0,(1/$B$6)*((($B$7/2)^2/2)*((2*ACOS(1-2*(MIN(0.999,MAX(1E-6,A68/$B$7)))))-SIN(2*ACOS(1-2*(MIN(0.999,MAX(1E-6,A68/$B$7)))))))*IF((IF((($B$7/2)*(2*ACOS(1-2*(MIN(0.999,MAX(1E-6,A68/$B$7))))))&lt;=0,0,((($B$7/2)^2/2)*((2*ACOS(1-2*(MIN(0.999,MAX(1E-6,A68/$B$7)))))-SIN(2*ACOS(1-2*(MIN(0.999,MAX(1E-6,A68/$B$7)))))))/(($B$7/2)*(2*ACOS(1-2*(MIN(0.999,MAX(1E-6,A68/$B$7))))))))&lt;=0,0,(IF((($B$7/2)*(2*ACOS(1-2*(MIN(0.999,MAX(1E-6,A68/$B$7))))))&lt;=0,0,((($B$7/2)^2/2)*((2*ACOS(1-2*(MIN(0.999,MAX(1E-6,A68/$B$7)))))-SIN(2*ACOS(1-2*(MIN(0.999,MAX(1E-6,A68/$B$7)))))))/(($B$7/2)*(2*ACOS(1-2*(MIN(0.999,MAX(1E-6,A68/$B$7))))))))^(2/3))*SQRT($B$11)),IF((A68-$B$12+$B$11*$B$8)&lt;=0,0,(PI()*($B$7/2)^2)*SQRT((A68-$B$12+$B$11*$B$8)/((1+$B$21)/(2*9.81)+($B$6^2)*$B$8/(($B$7/4)^(4/3))))))</f>
        <v/>
      </c>
      <c r="E68" s="15">
        <f>MIN(C68,D68)</f>
        <v/>
      </c>
      <c r="F68" s="4">
        <f>IF(A68&lt;=0,"—",IF(C68&lt;=D68,"inlet","outlet"))</f>
        <v/>
      </c>
    </row>
    <row r="69">
      <c r="A69" s="27" t="n">
        <v>2.25</v>
      </c>
      <c r="B69" s="27">
        <f>$B$9+A69</f>
        <v/>
      </c>
      <c r="C69" s="5">
        <f>IF(A69&lt;=0,0,IF(A69&lt;0.95*$B$7,1.811*(PI()*($B$7/2)^2)*SQRT($B$7)*IF($B$17*$B$7&lt;=0,0,(A69/($B$17*$B$7))^(1/$B$18)),IF(A69&gt;1.2*$B$7,1.811*(PI()*($B$7/2)^2)*SQRT($B$7)*SQRT(MAX(0,(A69/$B$7-$B$20)/$B$19)),(1-(MIN(1,MAX(0,(A69/$B$7-0.95)/(1.2-0.95)))))*(1.811*(PI()*($B$7/2)^2)*SQRT($B$7)*IF($B$17*$B$7&lt;=0,0,(A69/($B$17*$B$7))^(1/$B$18)))+(MIN(1,MAX(0,(A69/$B$7-0.95)/(1.2-0.95))))*(1.811*(PI()*($B$7/2)^2)*SQRT($B$7)*SQRT(MAX(0,(A69/$B$7-$B$20)/$B$19))))))</f>
        <v/>
      </c>
      <c r="D69" s="5">
        <f>IF(A69&lt;$B$7,IF($B$6&lt;=0,0,(1/$B$6)*((($B$7/2)^2/2)*((2*ACOS(1-2*(MIN(0.999,MAX(1E-6,A69/$B$7)))))-SIN(2*ACOS(1-2*(MIN(0.999,MAX(1E-6,A69/$B$7)))))))*IF((IF((($B$7/2)*(2*ACOS(1-2*(MIN(0.999,MAX(1E-6,A69/$B$7))))))&lt;=0,0,((($B$7/2)^2/2)*((2*ACOS(1-2*(MIN(0.999,MAX(1E-6,A69/$B$7)))))-SIN(2*ACOS(1-2*(MIN(0.999,MAX(1E-6,A69/$B$7)))))))/(($B$7/2)*(2*ACOS(1-2*(MIN(0.999,MAX(1E-6,A69/$B$7))))))))&lt;=0,0,(IF((($B$7/2)*(2*ACOS(1-2*(MIN(0.999,MAX(1E-6,A69/$B$7))))))&lt;=0,0,((($B$7/2)^2/2)*((2*ACOS(1-2*(MIN(0.999,MAX(1E-6,A69/$B$7)))))-SIN(2*ACOS(1-2*(MIN(0.999,MAX(1E-6,A69/$B$7)))))))/(($B$7/2)*(2*ACOS(1-2*(MIN(0.999,MAX(1E-6,A69/$B$7))))))))^(2/3))*SQRT($B$11)),IF((A69-$B$12+$B$11*$B$8)&lt;=0,0,(PI()*($B$7/2)^2)*SQRT((A69-$B$12+$B$11*$B$8)/((1+$B$21)/(2*9.81)+($B$6^2)*$B$8/(($B$7/4)^(4/3))))))</f>
        <v/>
      </c>
      <c r="E69" s="15">
        <f>MIN(C69,D69)</f>
        <v/>
      </c>
      <c r="F69" s="4">
        <f>IF(A69&lt;=0,"—",IF(C69&lt;=D69,"inlet","outlet"))</f>
        <v/>
      </c>
    </row>
    <row r="70">
      <c r="A70" s="27" t="n">
        <v>2.3</v>
      </c>
      <c r="B70" s="27">
        <f>$B$9+A70</f>
        <v/>
      </c>
      <c r="C70" s="5">
        <f>IF(A70&lt;=0,0,IF(A70&lt;0.95*$B$7,1.811*(PI()*($B$7/2)^2)*SQRT($B$7)*IF($B$17*$B$7&lt;=0,0,(A70/($B$17*$B$7))^(1/$B$18)),IF(A70&gt;1.2*$B$7,1.811*(PI()*($B$7/2)^2)*SQRT($B$7)*SQRT(MAX(0,(A70/$B$7-$B$20)/$B$19)),(1-(MIN(1,MAX(0,(A70/$B$7-0.95)/(1.2-0.95)))))*(1.811*(PI()*($B$7/2)^2)*SQRT($B$7)*IF($B$17*$B$7&lt;=0,0,(A70/($B$17*$B$7))^(1/$B$18)))+(MIN(1,MAX(0,(A70/$B$7-0.95)/(1.2-0.95))))*(1.811*(PI()*($B$7/2)^2)*SQRT($B$7)*SQRT(MAX(0,(A70/$B$7-$B$20)/$B$19))))))</f>
        <v/>
      </c>
      <c r="D70" s="5">
        <f>IF(A70&lt;$B$7,IF($B$6&lt;=0,0,(1/$B$6)*((($B$7/2)^2/2)*((2*ACOS(1-2*(MIN(0.999,MAX(1E-6,A70/$B$7)))))-SIN(2*ACOS(1-2*(MIN(0.999,MAX(1E-6,A70/$B$7)))))))*IF((IF((($B$7/2)*(2*ACOS(1-2*(MIN(0.999,MAX(1E-6,A70/$B$7))))))&lt;=0,0,((($B$7/2)^2/2)*((2*ACOS(1-2*(MIN(0.999,MAX(1E-6,A70/$B$7)))))-SIN(2*ACOS(1-2*(MIN(0.999,MAX(1E-6,A70/$B$7)))))))/(($B$7/2)*(2*ACOS(1-2*(MIN(0.999,MAX(1E-6,A70/$B$7))))))))&lt;=0,0,(IF((($B$7/2)*(2*ACOS(1-2*(MIN(0.999,MAX(1E-6,A70/$B$7))))))&lt;=0,0,((($B$7/2)^2/2)*((2*ACOS(1-2*(MIN(0.999,MAX(1E-6,A70/$B$7)))))-SIN(2*ACOS(1-2*(MIN(0.999,MAX(1E-6,A70/$B$7)))))))/(($B$7/2)*(2*ACOS(1-2*(MIN(0.999,MAX(1E-6,A70/$B$7))))))))^(2/3))*SQRT($B$11)),IF((A70-$B$12+$B$11*$B$8)&lt;=0,0,(PI()*($B$7/2)^2)*SQRT((A70-$B$12+$B$11*$B$8)/((1+$B$21)/(2*9.81)+($B$6^2)*$B$8/(($B$7/4)^(4/3))))))</f>
        <v/>
      </c>
      <c r="E70" s="15">
        <f>MIN(C70,D70)</f>
        <v/>
      </c>
      <c r="F70" s="4">
        <f>IF(A70&lt;=0,"—",IF(C70&lt;=D70,"inlet","outlet"))</f>
        <v/>
      </c>
    </row>
    <row r="71">
      <c r="A71" s="27" t="n">
        <v>2.35</v>
      </c>
      <c r="B71" s="27">
        <f>$B$9+A71</f>
        <v/>
      </c>
      <c r="C71" s="5">
        <f>IF(A71&lt;=0,0,IF(A71&lt;0.95*$B$7,1.811*(PI()*($B$7/2)^2)*SQRT($B$7)*IF($B$17*$B$7&lt;=0,0,(A71/($B$17*$B$7))^(1/$B$18)),IF(A71&gt;1.2*$B$7,1.811*(PI()*($B$7/2)^2)*SQRT($B$7)*SQRT(MAX(0,(A71/$B$7-$B$20)/$B$19)),(1-(MIN(1,MAX(0,(A71/$B$7-0.95)/(1.2-0.95)))))*(1.811*(PI()*($B$7/2)^2)*SQRT($B$7)*IF($B$17*$B$7&lt;=0,0,(A71/($B$17*$B$7))^(1/$B$18)))+(MIN(1,MAX(0,(A71/$B$7-0.95)/(1.2-0.95))))*(1.811*(PI()*($B$7/2)^2)*SQRT($B$7)*SQRT(MAX(0,(A71/$B$7-$B$20)/$B$19))))))</f>
        <v/>
      </c>
      <c r="D71" s="5">
        <f>IF(A71&lt;$B$7,IF($B$6&lt;=0,0,(1/$B$6)*((($B$7/2)^2/2)*((2*ACOS(1-2*(MIN(0.999,MAX(1E-6,A71/$B$7)))))-SIN(2*ACOS(1-2*(MIN(0.999,MAX(1E-6,A71/$B$7)))))))*IF((IF((($B$7/2)*(2*ACOS(1-2*(MIN(0.999,MAX(1E-6,A71/$B$7))))))&lt;=0,0,((($B$7/2)^2/2)*((2*ACOS(1-2*(MIN(0.999,MAX(1E-6,A71/$B$7)))))-SIN(2*ACOS(1-2*(MIN(0.999,MAX(1E-6,A71/$B$7)))))))/(($B$7/2)*(2*ACOS(1-2*(MIN(0.999,MAX(1E-6,A71/$B$7))))))))&lt;=0,0,(IF((($B$7/2)*(2*ACOS(1-2*(MIN(0.999,MAX(1E-6,A71/$B$7))))))&lt;=0,0,((($B$7/2)^2/2)*((2*ACOS(1-2*(MIN(0.999,MAX(1E-6,A71/$B$7)))))-SIN(2*ACOS(1-2*(MIN(0.999,MAX(1E-6,A71/$B$7)))))))/(($B$7/2)*(2*ACOS(1-2*(MIN(0.999,MAX(1E-6,A71/$B$7))))))))^(2/3))*SQRT($B$11)),IF((A71-$B$12+$B$11*$B$8)&lt;=0,0,(PI()*($B$7/2)^2)*SQRT((A71-$B$12+$B$11*$B$8)/((1+$B$21)/(2*9.81)+($B$6^2)*$B$8/(($B$7/4)^(4/3))))))</f>
        <v/>
      </c>
      <c r="E71" s="15">
        <f>MIN(C71,D71)</f>
        <v/>
      </c>
      <c r="F71" s="4">
        <f>IF(A71&lt;=0,"—",IF(C71&lt;=D71,"inlet","outlet"))</f>
        <v/>
      </c>
    </row>
    <row r="72">
      <c r="A72" s="35" t="n">
        <v>2.4</v>
      </c>
      <c r="B72" s="35">
        <f>$B$9+A72</f>
        <v/>
      </c>
      <c r="C72" s="8">
        <f>IF(A72&lt;=0,0,IF(A72&lt;0.95*$B$7,1.811*(PI()*($B$7/2)^2)*SQRT($B$7)*IF($B$17*$B$7&lt;=0,0,(A72/($B$17*$B$7))^(1/$B$18)),IF(A72&gt;1.2*$B$7,1.811*(PI()*($B$7/2)^2)*SQRT($B$7)*SQRT(MAX(0,(A72/$B$7-$B$20)/$B$19)),(1-(MIN(1,MAX(0,(A72/$B$7-0.95)/(1.2-0.95)))))*(1.811*(PI()*($B$7/2)^2)*SQRT($B$7)*IF($B$17*$B$7&lt;=0,0,(A72/($B$17*$B$7))^(1/$B$18)))+(MIN(1,MAX(0,(A72/$B$7-0.95)/(1.2-0.95))))*(1.811*(PI()*($B$7/2)^2)*SQRT($B$7)*SQRT(MAX(0,(A72/$B$7-$B$20)/$B$19))))))</f>
        <v/>
      </c>
      <c r="D72" s="8">
        <f>IF(A72&lt;$B$7,IF($B$6&lt;=0,0,(1/$B$6)*((($B$7/2)^2/2)*((2*ACOS(1-2*(MIN(0.999,MAX(1E-6,A72/$B$7)))))-SIN(2*ACOS(1-2*(MIN(0.999,MAX(1E-6,A72/$B$7)))))))*IF((IF((($B$7/2)*(2*ACOS(1-2*(MIN(0.999,MAX(1E-6,A72/$B$7))))))&lt;=0,0,((($B$7/2)^2/2)*((2*ACOS(1-2*(MIN(0.999,MAX(1E-6,A72/$B$7)))))-SIN(2*ACOS(1-2*(MIN(0.999,MAX(1E-6,A72/$B$7)))))))/(($B$7/2)*(2*ACOS(1-2*(MIN(0.999,MAX(1E-6,A72/$B$7))))))))&lt;=0,0,(IF((($B$7/2)*(2*ACOS(1-2*(MIN(0.999,MAX(1E-6,A72/$B$7))))))&lt;=0,0,((($B$7/2)^2/2)*((2*ACOS(1-2*(MIN(0.999,MAX(1E-6,A72/$B$7)))))-SIN(2*ACOS(1-2*(MIN(0.999,MAX(1E-6,A72/$B$7)))))))/(($B$7/2)*(2*ACOS(1-2*(MIN(0.999,MAX(1E-6,A72/$B$7))))))))^(2/3))*SQRT($B$11)),IF((A72-$B$12+$B$11*$B$8)&lt;=0,0,(PI()*($B$7/2)^2)*SQRT((A72-$B$12+$B$11*$B$8)/((1+$B$21)/(2*9.81)+($B$6^2)*$B$8/(($B$7/4)^(4/3))))))</f>
        <v/>
      </c>
      <c r="E72" s="8">
        <f>MIN(C72,D72)</f>
        <v/>
      </c>
      <c r="F72" s="7">
        <f>IF(A72&lt;=0,"—",IF(C72&lt;=D72,"inlet","outlet"))</f>
        <v/>
      </c>
    </row>
    <row r="73">
      <c r="A73" s="27" t="n">
        <v>2.45</v>
      </c>
      <c r="B73" s="27">
        <f>$B$9+A73</f>
        <v/>
      </c>
      <c r="C73" s="5">
        <f>IF(A73&lt;=0,0,IF(A73&lt;0.95*$B$7,1.811*(PI()*($B$7/2)^2)*SQRT($B$7)*IF($B$17*$B$7&lt;=0,0,(A73/($B$17*$B$7))^(1/$B$18)),IF(A73&gt;1.2*$B$7,1.811*(PI()*($B$7/2)^2)*SQRT($B$7)*SQRT(MAX(0,(A73/$B$7-$B$20)/$B$19)),(1-(MIN(1,MAX(0,(A73/$B$7-0.95)/(1.2-0.95)))))*(1.811*(PI()*($B$7/2)^2)*SQRT($B$7)*IF($B$17*$B$7&lt;=0,0,(A73/($B$17*$B$7))^(1/$B$18)))+(MIN(1,MAX(0,(A73/$B$7-0.95)/(1.2-0.95))))*(1.811*(PI()*($B$7/2)^2)*SQRT($B$7)*SQRT(MAX(0,(A73/$B$7-$B$20)/$B$19))))))</f>
        <v/>
      </c>
      <c r="D73" s="5">
        <f>IF(A73&lt;$B$7,IF($B$6&lt;=0,0,(1/$B$6)*((($B$7/2)^2/2)*((2*ACOS(1-2*(MIN(0.999,MAX(1E-6,A73/$B$7)))))-SIN(2*ACOS(1-2*(MIN(0.999,MAX(1E-6,A73/$B$7)))))))*IF((IF((($B$7/2)*(2*ACOS(1-2*(MIN(0.999,MAX(1E-6,A73/$B$7))))))&lt;=0,0,((($B$7/2)^2/2)*((2*ACOS(1-2*(MIN(0.999,MAX(1E-6,A73/$B$7)))))-SIN(2*ACOS(1-2*(MIN(0.999,MAX(1E-6,A73/$B$7)))))))/(($B$7/2)*(2*ACOS(1-2*(MIN(0.999,MAX(1E-6,A73/$B$7))))))))&lt;=0,0,(IF((($B$7/2)*(2*ACOS(1-2*(MIN(0.999,MAX(1E-6,A73/$B$7))))))&lt;=0,0,((($B$7/2)^2/2)*((2*ACOS(1-2*(MIN(0.999,MAX(1E-6,A73/$B$7)))))-SIN(2*ACOS(1-2*(MIN(0.999,MAX(1E-6,A73/$B$7)))))))/(($B$7/2)*(2*ACOS(1-2*(MIN(0.999,MAX(1E-6,A73/$B$7))))))))^(2/3))*SQRT($B$11)),IF((A73-$B$12+$B$11*$B$8)&lt;=0,0,(PI()*($B$7/2)^2)*SQRT((A73-$B$12+$B$11*$B$8)/((1+$B$21)/(2*9.81)+($B$6^2)*$B$8/(($B$7/4)^(4/3))))))</f>
        <v/>
      </c>
      <c r="E73" s="15">
        <f>MIN(C73,D73)</f>
        <v/>
      </c>
      <c r="F73" s="4">
        <f>IF(A73&lt;=0,"—",IF(C73&lt;=D73,"inlet","outlet"))</f>
        <v/>
      </c>
    </row>
    <row r="74">
      <c r="A74" s="27" t="n">
        <v>2.5</v>
      </c>
      <c r="B74" s="27">
        <f>$B$9+A74</f>
        <v/>
      </c>
      <c r="C74" s="5">
        <f>IF(A74&lt;=0,0,IF(A74&lt;0.95*$B$7,1.811*(PI()*($B$7/2)^2)*SQRT($B$7)*IF($B$17*$B$7&lt;=0,0,(A74/($B$17*$B$7))^(1/$B$18)),IF(A74&gt;1.2*$B$7,1.811*(PI()*($B$7/2)^2)*SQRT($B$7)*SQRT(MAX(0,(A74/$B$7-$B$20)/$B$19)),(1-(MIN(1,MAX(0,(A74/$B$7-0.95)/(1.2-0.95)))))*(1.811*(PI()*($B$7/2)^2)*SQRT($B$7)*IF($B$17*$B$7&lt;=0,0,(A74/($B$17*$B$7))^(1/$B$18)))+(MIN(1,MAX(0,(A74/$B$7-0.95)/(1.2-0.95))))*(1.811*(PI()*($B$7/2)^2)*SQRT($B$7)*SQRT(MAX(0,(A74/$B$7-$B$20)/$B$19))))))</f>
        <v/>
      </c>
      <c r="D74" s="5">
        <f>IF(A74&lt;$B$7,IF($B$6&lt;=0,0,(1/$B$6)*((($B$7/2)^2/2)*((2*ACOS(1-2*(MIN(0.999,MAX(1E-6,A74/$B$7)))))-SIN(2*ACOS(1-2*(MIN(0.999,MAX(1E-6,A74/$B$7)))))))*IF((IF((($B$7/2)*(2*ACOS(1-2*(MIN(0.999,MAX(1E-6,A74/$B$7))))))&lt;=0,0,((($B$7/2)^2/2)*((2*ACOS(1-2*(MIN(0.999,MAX(1E-6,A74/$B$7)))))-SIN(2*ACOS(1-2*(MIN(0.999,MAX(1E-6,A74/$B$7)))))))/(($B$7/2)*(2*ACOS(1-2*(MIN(0.999,MAX(1E-6,A74/$B$7))))))))&lt;=0,0,(IF((($B$7/2)*(2*ACOS(1-2*(MIN(0.999,MAX(1E-6,A74/$B$7))))))&lt;=0,0,((($B$7/2)^2/2)*((2*ACOS(1-2*(MIN(0.999,MAX(1E-6,A74/$B$7)))))-SIN(2*ACOS(1-2*(MIN(0.999,MAX(1E-6,A74/$B$7)))))))/(($B$7/2)*(2*ACOS(1-2*(MIN(0.999,MAX(1E-6,A74/$B$7))))))))^(2/3))*SQRT($B$11)),IF((A74-$B$12+$B$11*$B$8)&lt;=0,0,(PI()*($B$7/2)^2)*SQRT((A74-$B$12+$B$11*$B$8)/((1+$B$21)/(2*9.81)+($B$6^2)*$B$8/(($B$7/4)^(4/3))))))</f>
        <v/>
      </c>
      <c r="E74" s="15">
        <f>MIN(C74,D74)</f>
        <v/>
      </c>
      <c r="F74" s="4">
        <f>IF(A74&lt;=0,"—",IF(C74&lt;=D74,"inlet","outlet"))</f>
        <v/>
      </c>
    </row>
    <row r="75">
      <c r="A75" s="27" t="n">
        <v>2.55</v>
      </c>
      <c r="B75" s="27">
        <f>$B$9+A75</f>
        <v/>
      </c>
      <c r="C75" s="5">
        <f>IF(A75&lt;=0,0,IF(A75&lt;0.95*$B$7,1.811*(PI()*($B$7/2)^2)*SQRT($B$7)*IF($B$17*$B$7&lt;=0,0,(A75/($B$17*$B$7))^(1/$B$18)),IF(A75&gt;1.2*$B$7,1.811*(PI()*($B$7/2)^2)*SQRT($B$7)*SQRT(MAX(0,(A75/$B$7-$B$20)/$B$19)),(1-(MIN(1,MAX(0,(A75/$B$7-0.95)/(1.2-0.95)))))*(1.811*(PI()*($B$7/2)^2)*SQRT($B$7)*IF($B$17*$B$7&lt;=0,0,(A75/($B$17*$B$7))^(1/$B$18)))+(MIN(1,MAX(0,(A75/$B$7-0.95)/(1.2-0.95))))*(1.811*(PI()*($B$7/2)^2)*SQRT($B$7)*SQRT(MAX(0,(A75/$B$7-$B$20)/$B$19))))))</f>
        <v/>
      </c>
      <c r="D75" s="5">
        <f>IF(A75&lt;$B$7,IF($B$6&lt;=0,0,(1/$B$6)*((($B$7/2)^2/2)*((2*ACOS(1-2*(MIN(0.999,MAX(1E-6,A75/$B$7)))))-SIN(2*ACOS(1-2*(MIN(0.999,MAX(1E-6,A75/$B$7)))))))*IF((IF((($B$7/2)*(2*ACOS(1-2*(MIN(0.999,MAX(1E-6,A75/$B$7))))))&lt;=0,0,((($B$7/2)^2/2)*((2*ACOS(1-2*(MIN(0.999,MAX(1E-6,A75/$B$7)))))-SIN(2*ACOS(1-2*(MIN(0.999,MAX(1E-6,A75/$B$7)))))))/(($B$7/2)*(2*ACOS(1-2*(MIN(0.999,MAX(1E-6,A75/$B$7))))))))&lt;=0,0,(IF((($B$7/2)*(2*ACOS(1-2*(MIN(0.999,MAX(1E-6,A75/$B$7))))))&lt;=0,0,((($B$7/2)^2/2)*((2*ACOS(1-2*(MIN(0.999,MAX(1E-6,A75/$B$7)))))-SIN(2*ACOS(1-2*(MIN(0.999,MAX(1E-6,A75/$B$7)))))))/(($B$7/2)*(2*ACOS(1-2*(MIN(0.999,MAX(1E-6,A75/$B$7))))))))^(2/3))*SQRT($B$11)),IF((A75-$B$12+$B$11*$B$8)&lt;=0,0,(PI()*($B$7/2)^2)*SQRT((A75-$B$12+$B$11*$B$8)/((1+$B$21)/(2*9.81)+($B$6^2)*$B$8/(($B$7/4)^(4/3))))))</f>
        <v/>
      </c>
      <c r="E75" s="15">
        <f>MIN(C75,D75)</f>
        <v/>
      </c>
      <c r="F75" s="4">
        <f>IF(A75&lt;=0,"—",IF(C75&lt;=D75,"inlet","outlet"))</f>
        <v/>
      </c>
    </row>
    <row r="76">
      <c r="A76" s="27" t="n">
        <v>2.6</v>
      </c>
      <c r="B76" s="27">
        <f>$B$9+A76</f>
        <v/>
      </c>
      <c r="C76" s="5">
        <f>IF(A76&lt;=0,0,IF(A76&lt;0.95*$B$7,1.811*(PI()*($B$7/2)^2)*SQRT($B$7)*IF($B$17*$B$7&lt;=0,0,(A76/($B$17*$B$7))^(1/$B$18)),IF(A76&gt;1.2*$B$7,1.811*(PI()*($B$7/2)^2)*SQRT($B$7)*SQRT(MAX(0,(A76/$B$7-$B$20)/$B$19)),(1-(MIN(1,MAX(0,(A76/$B$7-0.95)/(1.2-0.95)))))*(1.811*(PI()*($B$7/2)^2)*SQRT($B$7)*IF($B$17*$B$7&lt;=0,0,(A76/($B$17*$B$7))^(1/$B$18)))+(MIN(1,MAX(0,(A76/$B$7-0.95)/(1.2-0.95))))*(1.811*(PI()*($B$7/2)^2)*SQRT($B$7)*SQRT(MAX(0,(A76/$B$7-$B$20)/$B$19))))))</f>
        <v/>
      </c>
      <c r="D76" s="5">
        <f>IF(A76&lt;$B$7,IF($B$6&lt;=0,0,(1/$B$6)*((($B$7/2)^2/2)*((2*ACOS(1-2*(MIN(0.999,MAX(1E-6,A76/$B$7)))))-SIN(2*ACOS(1-2*(MIN(0.999,MAX(1E-6,A76/$B$7)))))))*IF((IF((($B$7/2)*(2*ACOS(1-2*(MIN(0.999,MAX(1E-6,A76/$B$7))))))&lt;=0,0,((($B$7/2)^2/2)*((2*ACOS(1-2*(MIN(0.999,MAX(1E-6,A76/$B$7)))))-SIN(2*ACOS(1-2*(MIN(0.999,MAX(1E-6,A76/$B$7)))))))/(($B$7/2)*(2*ACOS(1-2*(MIN(0.999,MAX(1E-6,A76/$B$7))))))))&lt;=0,0,(IF((($B$7/2)*(2*ACOS(1-2*(MIN(0.999,MAX(1E-6,A76/$B$7))))))&lt;=0,0,((($B$7/2)^2/2)*((2*ACOS(1-2*(MIN(0.999,MAX(1E-6,A76/$B$7)))))-SIN(2*ACOS(1-2*(MIN(0.999,MAX(1E-6,A76/$B$7)))))))/(($B$7/2)*(2*ACOS(1-2*(MIN(0.999,MAX(1E-6,A76/$B$7))))))))^(2/3))*SQRT($B$11)),IF((A76-$B$12+$B$11*$B$8)&lt;=0,0,(PI()*($B$7/2)^2)*SQRT((A76-$B$12+$B$11*$B$8)/((1+$B$21)/(2*9.81)+($B$6^2)*$B$8/(($B$7/4)^(4/3))))))</f>
        <v/>
      </c>
      <c r="E76" s="15">
        <f>MIN(C76,D76)</f>
        <v/>
      </c>
      <c r="F76" s="4">
        <f>IF(A76&lt;=0,"—",IF(C76&lt;=D76,"inlet","outlet"))</f>
        <v/>
      </c>
    </row>
    <row r="77">
      <c r="A77" s="27" t="n">
        <v>2.65</v>
      </c>
      <c r="B77" s="27">
        <f>$B$9+A77</f>
        <v/>
      </c>
      <c r="C77" s="5">
        <f>IF(A77&lt;=0,0,IF(A77&lt;0.95*$B$7,1.811*(PI()*($B$7/2)^2)*SQRT($B$7)*IF($B$17*$B$7&lt;=0,0,(A77/($B$17*$B$7))^(1/$B$18)),IF(A77&gt;1.2*$B$7,1.811*(PI()*($B$7/2)^2)*SQRT($B$7)*SQRT(MAX(0,(A77/$B$7-$B$20)/$B$19)),(1-(MIN(1,MAX(0,(A77/$B$7-0.95)/(1.2-0.95)))))*(1.811*(PI()*($B$7/2)^2)*SQRT($B$7)*IF($B$17*$B$7&lt;=0,0,(A77/($B$17*$B$7))^(1/$B$18)))+(MIN(1,MAX(0,(A77/$B$7-0.95)/(1.2-0.95))))*(1.811*(PI()*($B$7/2)^2)*SQRT($B$7)*SQRT(MAX(0,(A77/$B$7-$B$20)/$B$19))))))</f>
        <v/>
      </c>
      <c r="D77" s="5">
        <f>IF(A77&lt;$B$7,IF($B$6&lt;=0,0,(1/$B$6)*((($B$7/2)^2/2)*((2*ACOS(1-2*(MIN(0.999,MAX(1E-6,A77/$B$7)))))-SIN(2*ACOS(1-2*(MIN(0.999,MAX(1E-6,A77/$B$7)))))))*IF((IF((($B$7/2)*(2*ACOS(1-2*(MIN(0.999,MAX(1E-6,A77/$B$7))))))&lt;=0,0,((($B$7/2)^2/2)*((2*ACOS(1-2*(MIN(0.999,MAX(1E-6,A77/$B$7)))))-SIN(2*ACOS(1-2*(MIN(0.999,MAX(1E-6,A77/$B$7)))))))/(($B$7/2)*(2*ACOS(1-2*(MIN(0.999,MAX(1E-6,A77/$B$7))))))))&lt;=0,0,(IF((($B$7/2)*(2*ACOS(1-2*(MIN(0.999,MAX(1E-6,A77/$B$7))))))&lt;=0,0,((($B$7/2)^2/2)*((2*ACOS(1-2*(MIN(0.999,MAX(1E-6,A77/$B$7)))))-SIN(2*ACOS(1-2*(MIN(0.999,MAX(1E-6,A77/$B$7)))))))/(($B$7/2)*(2*ACOS(1-2*(MIN(0.999,MAX(1E-6,A77/$B$7))))))))^(2/3))*SQRT($B$11)),IF((A77-$B$12+$B$11*$B$8)&lt;=0,0,(PI()*($B$7/2)^2)*SQRT((A77-$B$12+$B$11*$B$8)/((1+$B$21)/(2*9.81)+($B$6^2)*$B$8/(($B$7/4)^(4/3))))))</f>
        <v/>
      </c>
      <c r="E77" s="15">
        <f>MIN(C77,D77)</f>
        <v/>
      </c>
      <c r="F77" s="4">
        <f>IF(A77&lt;=0,"—",IF(C77&lt;=D77,"inlet","outlet"))</f>
        <v/>
      </c>
    </row>
    <row r="78">
      <c r="A78" s="27" t="n">
        <v>2.7</v>
      </c>
      <c r="B78" s="27">
        <f>$B$9+A78</f>
        <v/>
      </c>
      <c r="C78" s="5">
        <f>IF(A78&lt;=0,0,IF(A78&lt;0.95*$B$7,1.811*(PI()*($B$7/2)^2)*SQRT($B$7)*IF($B$17*$B$7&lt;=0,0,(A78/($B$17*$B$7))^(1/$B$18)),IF(A78&gt;1.2*$B$7,1.811*(PI()*($B$7/2)^2)*SQRT($B$7)*SQRT(MAX(0,(A78/$B$7-$B$20)/$B$19)),(1-(MIN(1,MAX(0,(A78/$B$7-0.95)/(1.2-0.95)))))*(1.811*(PI()*($B$7/2)^2)*SQRT($B$7)*IF($B$17*$B$7&lt;=0,0,(A78/($B$17*$B$7))^(1/$B$18)))+(MIN(1,MAX(0,(A78/$B$7-0.95)/(1.2-0.95))))*(1.811*(PI()*($B$7/2)^2)*SQRT($B$7)*SQRT(MAX(0,(A78/$B$7-$B$20)/$B$19))))))</f>
        <v/>
      </c>
      <c r="D78" s="5">
        <f>IF(A78&lt;$B$7,IF($B$6&lt;=0,0,(1/$B$6)*((($B$7/2)^2/2)*((2*ACOS(1-2*(MIN(0.999,MAX(1E-6,A78/$B$7)))))-SIN(2*ACOS(1-2*(MIN(0.999,MAX(1E-6,A78/$B$7)))))))*IF((IF((($B$7/2)*(2*ACOS(1-2*(MIN(0.999,MAX(1E-6,A78/$B$7))))))&lt;=0,0,((($B$7/2)^2/2)*((2*ACOS(1-2*(MIN(0.999,MAX(1E-6,A78/$B$7)))))-SIN(2*ACOS(1-2*(MIN(0.999,MAX(1E-6,A78/$B$7)))))))/(($B$7/2)*(2*ACOS(1-2*(MIN(0.999,MAX(1E-6,A78/$B$7))))))))&lt;=0,0,(IF((($B$7/2)*(2*ACOS(1-2*(MIN(0.999,MAX(1E-6,A78/$B$7))))))&lt;=0,0,((($B$7/2)^2/2)*((2*ACOS(1-2*(MIN(0.999,MAX(1E-6,A78/$B$7)))))-SIN(2*ACOS(1-2*(MIN(0.999,MAX(1E-6,A78/$B$7)))))))/(($B$7/2)*(2*ACOS(1-2*(MIN(0.999,MAX(1E-6,A78/$B$7))))))))^(2/3))*SQRT($B$11)),IF((A78-$B$12+$B$11*$B$8)&lt;=0,0,(PI()*($B$7/2)^2)*SQRT((A78-$B$12+$B$11*$B$8)/((1+$B$21)/(2*9.81)+($B$6^2)*$B$8/(($B$7/4)^(4/3))))))</f>
        <v/>
      </c>
      <c r="E78" s="15">
        <f>MIN(C78,D78)</f>
        <v/>
      </c>
      <c r="F78" s="4">
        <f>IF(A78&lt;=0,"—",IF(C78&lt;=D78,"inlet","outlet"))</f>
        <v/>
      </c>
    </row>
    <row r="79">
      <c r="A79" s="27" t="n">
        <v>2.75</v>
      </c>
      <c r="B79" s="27">
        <f>$B$9+A79</f>
        <v/>
      </c>
      <c r="C79" s="5">
        <f>IF(A79&lt;=0,0,IF(A79&lt;0.95*$B$7,1.811*(PI()*($B$7/2)^2)*SQRT($B$7)*IF($B$17*$B$7&lt;=0,0,(A79/($B$17*$B$7))^(1/$B$18)),IF(A79&gt;1.2*$B$7,1.811*(PI()*($B$7/2)^2)*SQRT($B$7)*SQRT(MAX(0,(A79/$B$7-$B$20)/$B$19)),(1-(MIN(1,MAX(0,(A79/$B$7-0.95)/(1.2-0.95)))))*(1.811*(PI()*($B$7/2)^2)*SQRT($B$7)*IF($B$17*$B$7&lt;=0,0,(A79/($B$17*$B$7))^(1/$B$18)))+(MIN(1,MAX(0,(A79/$B$7-0.95)/(1.2-0.95))))*(1.811*(PI()*($B$7/2)^2)*SQRT($B$7)*SQRT(MAX(0,(A79/$B$7-$B$20)/$B$19))))))</f>
        <v/>
      </c>
      <c r="D79" s="5">
        <f>IF(A79&lt;$B$7,IF($B$6&lt;=0,0,(1/$B$6)*((($B$7/2)^2/2)*((2*ACOS(1-2*(MIN(0.999,MAX(1E-6,A79/$B$7)))))-SIN(2*ACOS(1-2*(MIN(0.999,MAX(1E-6,A79/$B$7)))))))*IF((IF((($B$7/2)*(2*ACOS(1-2*(MIN(0.999,MAX(1E-6,A79/$B$7))))))&lt;=0,0,((($B$7/2)^2/2)*((2*ACOS(1-2*(MIN(0.999,MAX(1E-6,A79/$B$7)))))-SIN(2*ACOS(1-2*(MIN(0.999,MAX(1E-6,A79/$B$7)))))))/(($B$7/2)*(2*ACOS(1-2*(MIN(0.999,MAX(1E-6,A79/$B$7))))))))&lt;=0,0,(IF((($B$7/2)*(2*ACOS(1-2*(MIN(0.999,MAX(1E-6,A79/$B$7))))))&lt;=0,0,((($B$7/2)^2/2)*((2*ACOS(1-2*(MIN(0.999,MAX(1E-6,A79/$B$7)))))-SIN(2*ACOS(1-2*(MIN(0.999,MAX(1E-6,A79/$B$7)))))))/(($B$7/2)*(2*ACOS(1-2*(MIN(0.999,MAX(1E-6,A79/$B$7))))))))^(2/3))*SQRT($B$11)),IF((A79-$B$12+$B$11*$B$8)&lt;=0,0,(PI()*($B$7/2)^2)*SQRT((A79-$B$12+$B$11*$B$8)/((1+$B$21)/(2*9.81)+($B$6^2)*$B$8/(($B$7/4)^(4/3))))))</f>
        <v/>
      </c>
      <c r="E79" s="15">
        <f>MIN(C79,D79)</f>
        <v/>
      </c>
      <c r="F79" s="4">
        <f>IF(A79&lt;=0,"—",IF(C79&lt;=D79,"inlet","outlet"))</f>
        <v/>
      </c>
    </row>
    <row r="80">
      <c r="A80" s="27" t="n">
        <v>2.8</v>
      </c>
      <c r="B80" s="27">
        <f>$B$9+A80</f>
        <v/>
      </c>
      <c r="C80" s="5">
        <f>IF(A80&lt;=0,0,IF(A80&lt;0.95*$B$7,1.811*(PI()*($B$7/2)^2)*SQRT($B$7)*IF($B$17*$B$7&lt;=0,0,(A80/($B$17*$B$7))^(1/$B$18)),IF(A80&gt;1.2*$B$7,1.811*(PI()*($B$7/2)^2)*SQRT($B$7)*SQRT(MAX(0,(A80/$B$7-$B$20)/$B$19)),(1-(MIN(1,MAX(0,(A80/$B$7-0.95)/(1.2-0.95)))))*(1.811*(PI()*($B$7/2)^2)*SQRT($B$7)*IF($B$17*$B$7&lt;=0,0,(A80/($B$17*$B$7))^(1/$B$18)))+(MIN(1,MAX(0,(A80/$B$7-0.95)/(1.2-0.95))))*(1.811*(PI()*($B$7/2)^2)*SQRT($B$7)*SQRT(MAX(0,(A80/$B$7-$B$20)/$B$19))))))</f>
        <v/>
      </c>
      <c r="D80" s="5">
        <f>IF(A80&lt;$B$7,IF($B$6&lt;=0,0,(1/$B$6)*((($B$7/2)^2/2)*((2*ACOS(1-2*(MIN(0.999,MAX(1E-6,A80/$B$7)))))-SIN(2*ACOS(1-2*(MIN(0.999,MAX(1E-6,A80/$B$7)))))))*IF((IF((($B$7/2)*(2*ACOS(1-2*(MIN(0.999,MAX(1E-6,A80/$B$7))))))&lt;=0,0,((($B$7/2)^2/2)*((2*ACOS(1-2*(MIN(0.999,MAX(1E-6,A80/$B$7)))))-SIN(2*ACOS(1-2*(MIN(0.999,MAX(1E-6,A80/$B$7)))))))/(($B$7/2)*(2*ACOS(1-2*(MIN(0.999,MAX(1E-6,A80/$B$7))))))))&lt;=0,0,(IF((($B$7/2)*(2*ACOS(1-2*(MIN(0.999,MAX(1E-6,A80/$B$7))))))&lt;=0,0,((($B$7/2)^2/2)*((2*ACOS(1-2*(MIN(0.999,MAX(1E-6,A80/$B$7)))))-SIN(2*ACOS(1-2*(MIN(0.999,MAX(1E-6,A80/$B$7)))))))/(($B$7/2)*(2*ACOS(1-2*(MIN(0.999,MAX(1E-6,A80/$B$7))))))))^(2/3))*SQRT($B$11)),IF((A80-$B$12+$B$11*$B$8)&lt;=0,0,(PI()*($B$7/2)^2)*SQRT((A80-$B$12+$B$11*$B$8)/((1+$B$21)/(2*9.81)+($B$6^2)*$B$8/(($B$7/4)^(4/3))))))</f>
        <v/>
      </c>
      <c r="E80" s="15">
        <f>MIN(C80,D80)</f>
        <v/>
      </c>
      <c r="F80" s="4">
        <f>IF(A80&lt;=0,"—",IF(C80&lt;=D80,"inlet","outlet"))</f>
        <v/>
      </c>
    </row>
    <row r="81">
      <c r="A81" s="27" t="n">
        <v>2.85</v>
      </c>
      <c r="B81" s="27">
        <f>$B$9+A81</f>
        <v/>
      </c>
      <c r="C81" s="5">
        <f>IF(A81&lt;=0,0,IF(A81&lt;0.95*$B$7,1.811*(PI()*($B$7/2)^2)*SQRT($B$7)*IF($B$17*$B$7&lt;=0,0,(A81/($B$17*$B$7))^(1/$B$18)),IF(A81&gt;1.2*$B$7,1.811*(PI()*($B$7/2)^2)*SQRT($B$7)*SQRT(MAX(0,(A81/$B$7-$B$20)/$B$19)),(1-(MIN(1,MAX(0,(A81/$B$7-0.95)/(1.2-0.95)))))*(1.811*(PI()*($B$7/2)^2)*SQRT($B$7)*IF($B$17*$B$7&lt;=0,0,(A81/($B$17*$B$7))^(1/$B$18)))+(MIN(1,MAX(0,(A81/$B$7-0.95)/(1.2-0.95))))*(1.811*(PI()*($B$7/2)^2)*SQRT($B$7)*SQRT(MAX(0,(A81/$B$7-$B$20)/$B$19))))))</f>
        <v/>
      </c>
      <c r="D81" s="5">
        <f>IF(A81&lt;$B$7,IF($B$6&lt;=0,0,(1/$B$6)*((($B$7/2)^2/2)*((2*ACOS(1-2*(MIN(0.999,MAX(1E-6,A81/$B$7)))))-SIN(2*ACOS(1-2*(MIN(0.999,MAX(1E-6,A81/$B$7)))))))*IF((IF((($B$7/2)*(2*ACOS(1-2*(MIN(0.999,MAX(1E-6,A81/$B$7))))))&lt;=0,0,((($B$7/2)^2/2)*((2*ACOS(1-2*(MIN(0.999,MAX(1E-6,A81/$B$7)))))-SIN(2*ACOS(1-2*(MIN(0.999,MAX(1E-6,A81/$B$7)))))))/(($B$7/2)*(2*ACOS(1-2*(MIN(0.999,MAX(1E-6,A81/$B$7))))))))&lt;=0,0,(IF((($B$7/2)*(2*ACOS(1-2*(MIN(0.999,MAX(1E-6,A81/$B$7))))))&lt;=0,0,((($B$7/2)^2/2)*((2*ACOS(1-2*(MIN(0.999,MAX(1E-6,A81/$B$7)))))-SIN(2*ACOS(1-2*(MIN(0.999,MAX(1E-6,A81/$B$7)))))))/(($B$7/2)*(2*ACOS(1-2*(MIN(0.999,MAX(1E-6,A81/$B$7))))))))^(2/3))*SQRT($B$11)),IF((A81-$B$12+$B$11*$B$8)&lt;=0,0,(PI()*($B$7/2)^2)*SQRT((A81-$B$12+$B$11*$B$8)/((1+$B$21)/(2*9.81)+($B$6^2)*$B$8/(($B$7/4)^(4/3))))))</f>
        <v/>
      </c>
      <c r="E81" s="15">
        <f>MIN(C81,D81)</f>
        <v/>
      </c>
      <c r="F81" s="4">
        <f>IF(A81&lt;=0,"—",IF(C81&lt;=D81,"inlet","outlet"))</f>
        <v/>
      </c>
    </row>
    <row r="82">
      <c r="A82" s="27" t="n">
        <v>2.9</v>
      </c>
      <c r="B82" s="27">
        <f>$B$9+A82</f>
        <v/>
      </c>
      <c r="C82" s="5">
        <f>IF(A82&lt;=0,0,IF(A82&lt;0.95*$B$7,1.811*(PI()*($B$7/2)^2)*SQRT($B$7)*IF($B$17*$B$7&lt;=0,0,(A82/($B$17*$B$7))^(1/$B$18)),IF(A82&gt;1.2*$B$7,1.811*(PI()*($B$7/2)^2)*SQRT($B$7)*SQRT(MAX(0,(A82/$B$7-$B$20)/$B$19)),(1-(MIN(1,MAX(0,(A82/$B$7-0.95)/(1.2-0.95)))))*(1.811*(PI()*($B$7/2)^2)*SQRT($B$7)*IF($B$17*$B$7&lt;=0,0,(A82/($B$17*$B$7))^(1/$B$18)))+(MIN(1,MAX(0,(A82/$B$7-0.95)/(1.2-0.95))))*(1.811*(PI()*($B$7/2)^2)*SQRT($B$7)*SQRT(MAX(0,(A82/$B$7-$B$20)/$B$19))))))</f>
        <v/>
      </c>
      <c r="D82" s="5">
        <f>IF(A82&lt;$B$7,IF($B$6&lt;=0,0,(1/$B$6)*((($B$7/2)^2/2)*((2*ACOS(1-2*(MIN(0.999,MAX(1E-6,A82/$B$7)))))-SIN(2*ACOS(1-2*(MIN(0.999,MAX(1E-6,A82/$B$7)))))))*IF((IF((($B$7/2)*(2*ACOS(1-2*(MIN(0.999,MAX(1E-6,A82/$B$7))))))&lt;=0,0,((($B$7/2)^2/2)*((2*ACOS(1-2*(MIN(0.999,MAX(1E-6,A82/$B$7)))))-SIN(2*ACOS(1-2*(MIN(0.999,MAX(1E-6,A82/$B$7)))))))/(($B$7/2)*(2*ACOS(1-2*(MIN(0.999,MAX(1E-6,A82/$B$7))))))))&lt;=0,0,(IF((($B$7/2)*(2*ACOS(1-2*(MIN(0.999,MAX(1E-6,A82/$B$7))))))&lt;=0,0,((($B$7/2)^2/2)*((2*ACOS(1-2*(MIN(0.999,MAX(1E-6,A82/$B$7)))))-SIN(2*ACOS(1-2*(MIN(0.999,MAX(1E-6,A82/$B$7)))))))/(($B$7/2)*(2*ACOS(1-2*(MIN(0.999,MAX(1E-6,A82/$B$7))))))))^(2/3))*SQRT($B$11)),IF((A82-$B$12+$B$11*$B$8)&lt;=0,0,(PI()*($B$7/2)^2)*SQRT((A82-$B$12+$B$11*$B$8)/((1+$B$21)/(2*9.81)+($B$6^2)*$B$8/(($B$7/4)^(4/3))))))</f>
        <v/>
      </c>
      <c r="E82" s="15">
        <f>MIN(C82,D82)</f>
        <v/>
      </c>
      <c r="F82" s="4">
        <f>IF(A82&lt;=0,"—",IF(C82&lt;=D82,"inlet","outlet"))</f>
        <v/>
      </c>
    </row>
    <row r="83">
      <c r="A83" s="27" t="n">
        <v>2.95</v>
      </c>
      <c r="B83" s="27">
        <f>$B$9+A83</f>
        <v/>
      </c>
      <c r="C83" s="5">
        <f>IF(A83&lt;=0,0,IF(A83&lt;0.95*$B$7,1.811*(PI()*($B$7/2)^2)*SQRT($B$7)*IF($B$17*$B$7&lt;=0,0,(A83/($B$17*$B$7))^(1/$B$18)),IF(A83&gt;1.2*$B$7,1.811*(PI()*($B$7/2)^2)*SQRT($B$7)*SQRT(MAX(0,(A83/$B$7-$B$20)/$B$19)),(1-(MIN(1,MAX(0,(A83/$B$7-0.95)/(1.2-0.95)))))*(1.811*(PI()*($B$7/2)^2)*SQRT($B$7)*IF($B$17*$B$7&lt;=0,0,(A83/($B$17*$B$7))^(1/$B$18)))+(MIN(1,MAX(0,(A83/$B$7-0.95)/(1.2-0.95))))*(1.811*(PI()*($B$7/2)^2)*SQRT($B$7)*SQRT(MAX(0,(A83/$B$7-$B$20)/$B$19))))))</f>
        <v/>
      </c>
      <c r="D83" s="5">
        <f>IF(A83&lt;$B$7,IF($B$6&lt;=0,0,(1/$B$6)*((($B$7/2)^2/2)*((2*ACOS(1-2*(MIN(0.999,MAX(1E-6,A83/$B$7)))))-SIN(2*ACOS(1-2*(MIN(0.999,MAX(1E-6,A83/$B$7)))))))*IF((IF((($B$7/2)*(2*ACOS(1-2*(MIN(0.999,MAX(1E-6,A83/$B$7))))))&lt;=0,0,((($B$7/2)^2/2)*((2*ACOS(1-2*(MIN(0.999,MAX(1E-6,A83/$B$7)))))-SIN(2*ACOS(1-2*(MIN(0.999,MAX(1E-6,A83/$B$7)))))))/(($B$7/2)*(2*ACOS(1-2*(MIN(0.999,MAX(1E-6,A83/$B$7))))))))&lt;=0,0,(IF((($B$7/2)*(2*ACOS(1-2*(MIN(0.999,MAX(1E-6,A83/$B$7))))))&lt;=0,0,((($B$7/2)^2/2)*((2*ACOS(1-2*(MIN(0.999,MAX(1E-6,A83/$B$7)))))-SIN(2*ACOS(1-2*(MIN(0.999,MAX(1E-6,A83/$B$7)))))))/(($B$7/2)*(2*ACOS(1-2*(MIN(0.999,MAX(1E-6,A83/$B$7))))))))^(2/3))*SQRT($B$11)),IF((A83-$B$12+$B$11*$B$8)&lt;=0,0,(PI()*($B$7/2)^2)*SQRT((A83-$B$12+$B$11*$B$8)/((1+$B$21)/(2*9.81)+($B$6^2)*$B$8/(($B$7/4)^(4/3))))))</f>
        <v/>
      </c>
      <c r="E83" s="15">
        <f>MIN(C83,D83)</f>
        <v/>
      </c>
      <c r="F83" s="4">
        <f>IF(A83&lt;=0,"—",IF(C83&lt;=D83,"inlet","outlet"))</f>
        <v/>
      </c>
    </row>
    <row r="84">
      <c r="A84" s="27" t="n">
        <v>3</v>
      </c>
      <c r="B84" s="27">
        <f>$B$9+A84</f>
        <v/>
      </c>
      <c r="C84" s="5">
        <f>IF(A84&lt;=0,0,IF(A84&lt;0.95*$B$7,1.811*(PI()*($B$7/2)^2)*SQRT($B$7)*IF($B$17*$B$7&lt;=0,0,(A84/($B$17*$B$7))^(1/$B$18)),IF(A84&gt;1.2*$B$7,1.811*(PI()*($B$7/2)^2)*SQRT($B$7)*SQRT(MAX(0,(A84/$B$7-$B$20)/$B$19)),(1-(MIN(1,MAX(0,(A84/$B$7-0.95)/(1.2-0.95)))))*(1.811*(PI()*($B$7/2)^2)*SQRT($B$7)*IF($B$17*$B$7&lt;=0,0,(A84/($B$17*$B$7))^(1/$B$18)))+(MIN(1,MAX(0,(A84/$B$7-0.95)/(1.2-0.95))))*(1.811*(PI()*($B$7/2)^2)*SQRT($B$7)*SQRT(MAX(0,(A84/$B$7-$B$20)/$B$19))))))</f>
        <v/>
      </c>
      <c r="D84" s="5">
        <f>IF(A84&lt;$B$7,IF($B$6&lt;=0,0,(1/$B$6)*((($B$7/2)^2/2)*((2*ACOS(1-2*(MIN(0.999,MAX(1E-6,A84/$B$7)))))-SIN(2*ACOS(1-2*(MIN(0.999,MAX(1E-6,A84/$B$7)))))))*IF((IF((($B$7/2)*(2*ACOS(1-2*(MIN(0.999,MAX(1E-6,A84/$B$7))))))&lt;=0,0,((($B$7/2)^2/2)*((2*ACOS(1-2*(MIN(0.999,MAX(1E-6,A84/$B$7)))))-SIN(2*ACOS(1-2*(MIN(0.999,MAX(1E-6,A84/$B$7)))))))/(($B$7/2)*(2*ACOS(1-2*(MIN(0.999,MAX(1E-6,A84/$B$7))))))))&lt;=0,0,(IF((($B$7/2)*(2*ACOS(1-2*(MIN(0.999,MAX(1E-6,A84/$B$7))))))&lt;=0,0,((($B$7/2)^2/2)*((2*ACOS(1-2*(MIN(0.999,MAX(1E-6,A84/$B$7)))))-SIN(2*ACOS(1-2*(MIN(0.999,MAX(1E-6,A84/$B$7)))))))/(($B$7/2)*(2*ACOS(1-2*(MIN(0.999,MAX(1E-6,A84/$B$7))))))))^(2/3))*SQRT($B$11)),IF((A84-$B$12+$B$11*$B$8)&lt;=0,0,(PI()*($B$7/2)^2)*SQRT((A84-$B$12+$B$11*$B$8)/((1+$B$21)/(2*9.81)+($B$6^2)*$B$8/(($B$7/4)^(4/3))))))</f>
        <v/>
      </c>
      <c r="E84" s="15">
        <f>MIN(C84,D84)</f>
        <v/>
      </c>
      <c r="F84" s="4">
        <f>IF(A84&lt;=0,"—",IF(C84&lt;=D84,"inlet","outlet"))</f>
        <v/>
      </c>
    </row>
  </sheetData>
  <mergeCells count="1">
    <mergeCell ref="A2:G3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</cols>
  <sheetData>
    <row r="1">
      <c r="A1" s="20" t="inlineStr">
        <is>
          <t>Méthode B — routage avec Qout = f(H) depuis Courbe_QH_900 (FHWA)</t>
        </is>
      </c>
    </row>
    <row r="2">
      <c r="A2" s="36" t="inlineStr">
        <is>
          <t>H = V / Aire_bassin. Qout interpolé sur Courbe_QH_900!E (Q gouvernant). Si V≈0, Qout = MIN(Qin, Q_plein). ΔV = (Qin_moy - Qout)*Δt. La courbe Courbe_QH_900 est en formules live (changer n/L/entrée/TW).</t>
        </is>
      </c>
    </row>
    <row r="3"/>
    <row r="5">
      <c r="A5" t="inlineStr">
        <is>
          <t>Aire (m²)</t>
        </is>
      </c>
      <c r="B5" s="37">
        <f>Parametres!B24</f>
        <v/>
      </c>
    </row>
    <row r="6">
      <c r="A6" t="inlineStr">
        <is>
          <t>Q_plein réf. (m³/s)</t>
        </is>
      </c>
      <c r="B6" s="37">
        <f>Parametres!B22</f>
        <v/>
      </c>
    </row>
    <row r="7">
      <c r="A7" t="inlineStr">
        <is>
          <t>Vmax_B (m³)</t>
        </is>
      </c>
      <c r="B7" s="26">
        <f>MAX(G12:G26)</f>
        <v/>
      </c>
    </row>
    <row r="8">
      <c r="A8" t="inlineStr">
        <is>
          <t>Hmax_B (m)</t>
        </is>
      </c>
      <c r="B8" s="19">
        <f>IF(B5&gt;0,B7/B5,0)</f>
        <v/>
      </c>
    </row>
    <row r="11">
      <c r="A11" s="3" t="inlineStr">
        <is>
          <t>t (min)</t>
        </is>
      </c>
      <c r="B11" s="3" t="inlineStr">
        <is>
          <t>Qin</t>
        </is>
      </c>
      <c r="C11" s="3" t="inlineStr">
        <is>
          <t>H (m)</t>
        </is>
      </c>
      <c r="D11" s="3" t="inlineStr">
        <is>
          <t>Q_courbe</t>
        </is>
      </c>
      <c r="E11" s="3" t="inlineStr">
        <is>
          <t>Qout</t>
        </is>
      </c>
      <c r="F11" s="3" t="inlineStr">
        <is>
          <t>Δt (s)</t>
        </is>
      </c>
      <c r="G11" s="3" t="inlineStr">
        <is>
          <t>V (m³)</t>
        </is>
      </c>
    </row>
    <row r="12">
      <c r="A12" s="4">
        <f>Hydrogramme!A4</f>
        <v/>
      </c>
      <c r="B12" s="5">
        <f>Hydrogramme!B4</f>
        <v/>
      </c>
      <c r="C12" s="5" t="n">
        <v>0</v>
      </c>
      <c r="D12" s="5" t="n">
        <v>0</v>
      </c>
      <c r="E12" s="5">
        <f>MIN(B12,$B$6)</f>
        <v/>
      </c>
      <c r="F12" s="21" t="n">
        <v>0</v>
      </c>
      <c r="G12" s="29" t="n">
        <v>0</v>
      </c>
    </row>
    <row r="13">
      <c r="A13" s="4">
        <f>Hydrogramme!A5</f>
        <v/>
      </c>
      <c r="B13" s="5">
        <f>Hydrogramme!B5</f>
        <v/>
      </c>
      <c r="C13" s="5">
        <f>IF($B$5&gt;0,G12/$B$5,0)</f>
        <v/>
      </c>
      <c r="D13" s="5">
        <f>IF(C13&lt;=0,0,IF(C13&gt;=INDEX(Courbe_QH_900!$A$24:$A$84,ROWS(Courbe_QH_900!$A$24:$A$84)),INDEX(Courbe_QH_900!$E$24:$E$84,ROWS(Courbe_QH_900!$E$24:$E$84)),INDEX(Courbe_QH_900!$E$24:$E$84,MATCH(C13,Courbe_QH_900!$A$24:$A$84,1))+(C13-INDEX(Courbe_QH_900!$A$24:$A$84,MATCH(C13,Courbe_QH_900!$A$24:$A$84,1)))/(INDEX(Courbe_QH_900!$A$24:$A$84,MATCH(C13,Courbe_QH_900!$A$24:$A$84,1)+1)-INDEX(Courbe_QH_900!$A$24:$A$84,MATCH(C13,Courbe_QH_900!$A$24:$A$84,1)))*(INDEX(Courbe_QH_900!$E$24:$E$84,MATCH(C13,Courbe_QH_900!$A$24:$A$84,1)+1)-INDEX(Courbe_QH_900!$E$24:$E$84,MATCH(C13,Courbe_QH_900!$A$24:$A$84,1)))))</f>
        <v/>
      </c>
      <c r="E13" s="5">
        <f>IF(G12&lt;=0.01,MIN(0.5*(B12+B13),$B$6),D13)</f>
        <v/>
      </c>
      <c r="F13" s="21">
        <f>(A13-A12)*60</f>
        <v/>
      </c>
      <c r="G13" s="29">
        <f>MAX(0,G12+(0.5*(B12+B13)-E13)*F13)</f>
        <v/>
      </c>
    </row>
    <row r="14">
      <c r="A14" s="4">
        <f>Hydrogramme!A6</f>
        <v/>
      </c>
      <c r="B14" s="5">
        <f>Hydrogramme!B6</f>
        <v/>
      </c>
      <c r="C14" s="5">
        <f>IF($B$5&gt;0,G13/$B$5,0)</f>
        <v/>
      </c>
      <c r="D14" s="5">
        <f>IF(C14&lt;=0,0,IF(C14&gt;=INDEX(Courbe_QH_900!$A$24:$A$84,ROWS(Courbe_QH_900!$A$24:$A$84)),INDEX(Courbe_QH_900!$E$24:$E$84,ROWS(Courbe_QH_900!$E$24:$E$84)),INDEX(Courbe_QH_900!$E$24:$E$84,MATCH(C14,Courbe_QH_900!$A$24:$A$84,1))+(C14-INDEX(Courbe_QH_900!$A$24:$A$84,MATCH(C14,Courbe_QH_900!$A$24:$A$84,1)))/(INDEX(Courbe_QH_900!$A$24:$A$84,MATCH(C14,Courbe_QH_900!$A$24:$A$84,1)+1)-INDEX(Courbe_QH_900!$A$24:$A$84,MATCH(C14,Courbe_QH_900!$A$24:$A$84,1)))*(INDEX(Courbe_QH_900!$E$24:$E$84,MATCH(C14,Courbe_QH_900!$A$24:$A$84,1)+1)-INDEX(Courbe_QH_900!$E$24:$E$84,MATCH(C14,Courbe_QH_900!$A$24:$A$84,1)))))</f>
        <v/>
      </c>
      <c r="E14" s="5">
        <f>IF(G13&lt;=0.01,MIN(0.5*(B13+B14),$B$6),D14)</f>
        <v/>
      </c>
      <c r="F14" s="21">
        <f>(A14-A13)*60</f>
        <v/>
      </c>
      <c r="G14" s="29">
        <f>MAX(0,G13+(0.5*(B13+B14)-E14)*F14)</f>
        <v/>
      </c>
    </row>
    <row r="15">
      <c r="A15" s="4">
        <f>Hydrogramme!A7</f>
        <v/>
      </c>
      <c r="B15" s="5">
        <f>Hydrogramme!B7</f>
        <v/>
      </c>
      <c r="C15" s="5">
        <f>IF($B$5&gt;0,G14/$B$5,0)</f>
        <v/>
      </c>
      <c r="D15" s="5">
        <f>IF(C15&lt;=0,0,IF(C15&gt;=INDEX(Courbe_QH_900!$A$24:$A$84,ROWS(Courbe_QH_900!$A$24:$A$84)),INDEX(Courbe_QH_900!$E$24:$E$84,ROWS(Courbe_QH_900!$E$24:$E$84)),INDEX(Courbe_QH_900!$E$24:$E$84,MATCH(C15,Courbe_QH_900!$A$24:$A$84,1))+(C15-INDEX(Courbe_QH_900!$A$24:$A$84,MATCH(C15,Courbe_QH_900!$A$24:$A$84,1)))/(INDEX(Courbe_QH_900!$A$24:$A$84,MATCH(C15,Courbe_QH_900!$A$24:$A$84,1)+1)-INDEX(Courbe_QH_900!$A$24:$A$84,MATCH(C15,Courbe_QH_900!$A$24:$A$84,1)))*(INDEX(Courbe_QH_900!$E$24:$E$84,MATCH(C15,Courbe_QH_900!$A$24:$A$84,1)+1)-INDEX(Courbe_QH_900!$E$24:$E$84,MATCH(C15,Courbe_QH_900!$A$24:$A$84,1)))))</f>
        <v/>
      </c>
      <c r="E15" s="5">
        <f>IF(G14&lt;=0.01,MIN(0.5*(B14+B15),$B$6),D15)</f>
        <v/>
      </c>
      <c r="F15" s="21">
        <f>(A15-A14)*60</f>
        <v/>
      </c>
      <c r="G15" s="29">
        <f>MAX(0,G14+(0.5*(B14+B15)-E15)*F15)</f>
        <v/>
      </c>
    </row>
    <row r="16">
      <c r="A16" s="4">
        <f>Hydrogramme!A8</f>
        <v/>
      </c>
      <c r="B16" s="5">
        <f>Hydrogramme!B8</f>
        <v/>
      </c>
      <c r="C16" s="5">
        <f>IF($B$5&gt;0,G15/$B$5,0)</f>
        <v/>
      </c>
      <c r="D16" s="5">
        <f>IF(C16&lt;=0,0,IF(C16&gt;=INDEX(Courbe_QH_900!$A$24:$A$84,ROWS(Courbe_QH_900!$A$24:$A$84)),INDEX(Courbe_QH_900!$E$24:$E$84,ROWS(Courbe_QH_900!$E$24:$E$84)),INDEX(Courbe_QH_900!$E$24:$E$84,MATCH(C16,Courbe_QH_900!$A$24:$A$84,1))+(C16-INDEX(Courbe_QH_900!$A$24:$A$84,MATCH(C16,Courbe_QH_900!$A$24:$A$84,1)))/(INDEX(Courbe_QH_900!$A$24:$A$84,MATCH(C16,Courbe_QH_900!$A$24:$A$84,1)+1)-INDEX(Courbe_QH_900!$A$24:$A$84,MATCH(C16,Courbe_QH_900!$A$24:$A$84,1)))*(INDEX(Courbe_QH_900!$E$24:$E$84,MATCH(C16,Courbe_QH_900!$A$24:$A$84,1)+1)-INDEX(Courbe_QH_900!$E$24:$E$84,MATCH(C16,Courbe_QH_900!$A$24:$A$84,1)))))</f>
        <v/>
      </c>
      <c r="E16" s="5">
        <f>IF(G15&lt;=0.01,MIN(0.5*(B15+B16),$B$6),D16)</f>
        <v/>
      </c>
      <c r="F16" s="21">
        <f>(A16-A15)*60</f>
        <v/>
      </c>
      <c r="G16" s="29">
        <f>MAX(0,G15+(0.5*(B15+B16)-E16)*F16)</f>
        <v/>
      </c>
    </row>
    <row r="17">
      <c r="A17" s="4">
        <f>Hydrogramme!A9</f>
        <v/>
      </c>
      <c r="B17" s="5">
        <f>Hydrogramme!B9</f>
        <v/>
      </c>
      <c r="C17" s="5">
        <f>IF($B$5&gt;0,G16/$B$5,0)</f>
        <v/>
      </c>
      <c r="D17" s="5">
        <f>IF(C17&lt;=0,0,IF(C17&gt;=INDEX(Courbe_QH_900!$A$24:$A$84,ROWS(Courbe_QH_900!$A$24:$A$84)),INDEX(Courbe_QH_900!$E$24:$E$84,ROWS(Courbe_QH_900!$E$24:$E$84)),INDEX(Courbe_QH_900!$E$24:$E$84,MATCH(C17,Courbe_QH_900!$A$24:$A$84,1))+(C17-INDEX(Courbe_QH_900!$A$24:$A$84,MATCH(C17,Courbe_QH_900!$A$24:$A$84,1)))/(INDEX(Courbe_QH_900!$A$24:$A$84,MATCH(C17,Courbe_QH_900!$A$24:$A$84,1)+1)-INDEX(Courbe_QH_900!$A$24:$A$84,MATCH(C17,Courbe_QH_900!$A$24:$A$84,1)))*(INDEX(Courbe_QH_900!$E$24:$E$84,MATCH(C17,Courbe_QH_900!$A$24:$A$84,1)+1)-INDEX(Courbe_QH_900!$E$24:$E$84,MATCH(C17,Courbe_QH_900!$A$24:$A$84,1)))))</f>
        <v/>
      </c>
      <c r="E17" s="5">
        <f>IF(G16&lt;=0.01,MIN(0.5*(B16+B17),$B$6),D17)</f>
        <v/>
      </c>
      <c r="F17" s="21">
        <f>(A17-A16)*60</f>
        <v/>
      </c>
      <c r="G17" s="29">
        <f>MAX(0,G16+(0.5*(B16+B17)-E17)*F17)</f>
        <v/>
      </c>
    </row>
    <row r="18">
      <c r="A18" s="4">
        <f>Hydrogramme!A10</f>
        <v/>
      </c>
      <c r="B18" s="5">
        <f>Hydrogramme!B10</f>
        <v/>
      </c>
      <c r="C18" s="5">
        <f>IF($B$5&gt;0,G17/$B$5,0)</f>
        <v/>
      </c>
      <c r="D18" s="5">
        <f>IF(C18&lt;=0,0,IF(C18&gt;=INDEX(Courbe_QH_900!$A$24:$A$84,ROWS(Courbe_QH_900!$A$24:$A$84)),INDEX(Courbe_QH_900!$E$24:$E$84,ROWS(Courbe_QH_900!$E$24:$E$84)),INDEX(Courbe_QH_900!$E$24:$E$84,MATCH(C18,Courbe_QH_900!$A$24:$A$84,1))+(C18-INDEX(Courbe_QH_900!$A$24:$A$84,MATCH(C18,Courbe_QH_900!$A$24:$A$84,1)))/(INDEX(Courbe_QH_900!$A$24:$A$84,MATCH(C18,Courbe_QH_900!$A$24:$A$84,1)+1)-INDEX(Courbe_QH_900!$A$24:$A$84,MATCH(C18,Courbe_QH_900!$A$24:$A$84,1)))*(INDEX(Courbe_QH_900!$E$24:$E$84,MATCH(C18,Courbe_QH_900!$A$24:$A$84,1)+1)-INDEX(Courbe_QH_900!$E$24:$E$84,MATCH(C18,Courbe_QH_900!$A$24:$A$84,1)))))</f>
        <v/>
      </c>
      <c r="E18" s="5">
        <f>IF(G17&lt;=0.01,MIN(0.5*(B17+B18),$B$6),D18)</f>
        <v/>
      </c>
      <c r="F18" s="21">
        <f>(A18-A17)*60</f>
        <v/>
      </c>
      <c r="G18" s="29">
        <f>MAX(0,G17+(0.5*(B17+B18)-E18)*F18)</f>
        <v/>
      </c>
    </row>
    <row r="19">
      <c r="A19" s="4">
        <f>Hydrogramme!A11</f>
        <v/>
      </c>
      <c r="B19" s="5">
        <f>Hydrogramme!B11</f>
        <v/>
      </c>
      <c r="C19" s="5">
        <f>IF($B$5&gt;0,G18/$B$5,0)</f>
        <v/>
      </c>
      <c r="D19" s="5">
        <f>IF(C19&lt;=0,0,IF(C19&gt;=INDEX(Courbe_QH_900!$A$24:$A$84,ROWS(Courbe_QH_900!$A$24:$A$84)),INDEX(Courbe_QH_900!$E$24:$E$84,ROWS(Courbe_QH_900!$E$24:$E$84)),INDEX(Courbe_QH_900!$E$24:$E$84,MATCH(C19,Courbe_QH_900!$A$24:$A$84,1))+(C19-INDEX(Courbe_QH_900!$A$24:$A$84,MATCH(C19,Courbe_QH_900!$A$24:$A$84,1)))/(INDEX(Courbe_QH_900!$A$24:$A$84,MATCH(C19,Courbe_QH_900!$A$24:$A$84,1)+1)-INDEX(Courbe_QH_900!$A$24:$A$84,MATCH(C19,Courbe_QH_900!$A$24:$A$84,1)))*(INDEX(Courbe_QH_900!$E$24:$E$84,MATCH(C19,Courbe_QH_900!$A$24:$A$84,1)+1)-INDEX(Courbe_QH_900!$E$24:$E$84,MATCH(C19,Courbe_QH_900!$A$24:$A$84,1)))))</f>
        <v/>
      </c>
      <c r="E19" s="5">
        <f>IF(G18&lt;=0.01,MIN(0.5*(B18+B19),$B$6),D19)</f>
        <v/>
      </c>
      <c r="F19" s="21">
        <f>(A19-A18)*60</f>
        <v/>
      </c>
      <c r="G19" s="29">
        <f>MAX(0,G18+(0.5*(B18+B19)-E19)*F19)</f>
        <v/>
      </c>
    </row>
    <row r="20">
      <c r="A20" s="4">
        <f>Hydrogramme!A12</f>
        <v/>
      </c>
      <c r="B20" s="5">
        <f>Hydrogramme!B12</f>
        <v/>
      </c>
      <c r="C20" s="5">
        <f>IF($B$5&gt;0,G19/$B$5,0)</f>
        <v/>
      </c>
      <c r="D20" s="5">
        <f>IF(C20&lt;=0,0,IF(C20&gt;=INDEX(Courbe_QH_900!$A$24:$A$84,ROWS(Courbe_QH_900!$A$24:$A$84)),INDEX(Courbe_QH_900!$E$24:$E$84,ROWS(Courbe_QH_900!$E$24:$E$84)),INDEX(Courbe_QH_900!$E$24:$E$84,MATCH(C20,Courbe_QH_900!$A$24:$A$84,1))+(C20-INDEX(Courbe_QH_900!$A$24:$A$84,MATCH(C20,Courbe_QH_900!$A$24:$A$84,1)))/(INDEX(Courbe_QH_900!$A$24:$A$84,MATCH(C20,Courbe_QH_900!$A$24:$A$84,1)+1)-INDEX(Courbe_QH_900!$A$24:$A$84,MATCH(C20,Courbe_QH_900!$A$24:$A$84,1)))*(INDEX(Courbe_QH_900!$E$24:$E$84,MATCH(C20,Courbe_QH_900!$A$24:$A$84,1)+1)-INDEX(Courbe_QH_900!$E$24:$E$84,MATCH(C20,Courbe_QH_900!$A$24:$A$84,1)))))</f>
        <v/>
      </c>
      <c r="E20" s="5">
        <f>IF(G19&lt;=0.01,MIN(0.5*(B19+B20),$B$6),D20)</f>
        <v/>
      </c>
      <c r="F20" s="21">
        <f>(A20-A19)*60</f>
        <v/>
      </c>
      <c r="G20" s="29">
        <f>MAX(0,G19+(0.5*(B19+B20)-E20)*F20)</f>
        <v/>
      </c>
    </row>
    <row r="21">
      <c r="A21" s="4">
        <f>Hydrogramme!A13</f>
        <v/>
      </c>
      <c r="B21" s="5">
        <f>Hydrogramme!B13</f>
        <v/>
      </c>
      <c r="C21" s="5">
        <f>IF($B$5&gt;0,G20/$B$5,0)</f>
        <v/>
      </c>
      <c r="D21" s="5">
        <f>IF(C21&lt;=0,0,IF(C21&gt;=INDEX(Courbe_QH_900!$A$24:$A$84,ROWS(Courbe_QH_900!$A$24:$A$84)),INDEX(Courbe_QH_900!$E$24:$E$84,ROWS(Courbe_QH_900!$E$24:$E$84)),INDEX(Courbe_QH_900!$E$24:$E$84,MATCH(C21,Courbe_QH_900!$A$24:$A$84,1))+(C21-INDEX(Courbe_QH_900!$A$24:$A$84,MATCH(C21,Courbe_QH_900!$A$24:$A$84,1)))/(INDEX(Courbe_QH_900!$A$24:$A$84,MATCH(C21,Courbe_QH_900!$A$24:$A$84,1)+1)-INDEX(Courbe_QH_900!$A$24:$A$84,MATCH(C21,Courbe_QH_900!$A$24:$A$84,1)))*(INDEX(Courbe_QH_900!$E$24:$E$84,MATCH(C21,Courbe_QH_900!$A$24:$A$84,1)+1)-INDEX(Courbe_QH_900!$E$24:$E$84,MATCH(C21,Courbe_QH_900!$A$24:$A$84,1)))))</f>
        <v/>
      </c>
      <c r="E21" s="5">
        <f>IF(G20&lt;=0.01,MIN(0.5*(B20+B21),$B$6),D21)</f>
        <v/>
      </c>
      <c r="F21" s="21">
        <f>(A21-A20)*60</f>
        <v/>
      </c>
      <c r="G21" s="29">
        <f>MAX(0,G20+(0.5*(B20+B21)-E21)*F21)</f>
        <v/>
      </c>
    </row>
    <row r="22">
      <c r="A22" s="4">
        <f>Hydrogramme!A14</f>
        <v/>
      </c>
      <c r="B22" s="5">
        <f>Hydrogramme!B14</f>
        <v/>
      </c>
      <c r="C22" s="5">
        <f>IF($B$5&gt;0,G21/$B$5,0)</f>
        <v/>
      </c>
      <c r="D22" s="5">
        <f>IF(C22&lt;=0,0,IF(C22&gt;=INDEX(Courbe_QH_900!$A$24:$A$84,ROWS(Courbe_QH_900!$A$24:$A$84)),INDEX(Courbe_QH_900!$E$24:$E$84,ROWS(Courbe_QH_900!$E$24:$E$84)),INDEX(Courbe_QH_900!$E$24:$E$84,MATCH(C22,Courbe_QH_900!$A$24:$A$84,1))+(C22-INDEX(Courbe_QH_900!$A$24:$A$84,MATCH(C22,Courbe_QH_900!$A$24:$A$84,1)))/(INDEX(Courbe_QH_900!$A$24:$A$84,MATCH(C22,Courbe_QH_900!$A$24:$A$84,1)+1)-INDEX(Courbe_QH_900!$A$24:$A$84,MATCH(C22,Courbe_QH_900!$A$24:$A$84,1)))*(INDEX(Courbe_QH_900!$E$24:$E$84,MATCH(C22,Courbe_QH_900!$A$24:$A$84,1)+1)-INDEX(Courbe_QH_900!$E$24:$E$84,MATCH(C22,Courbe_QH_900!$A$24:$A$84,1)))))</f>
        <v/>
      </c>
      <c r="E22" s="5">
        <f>IF(G21&lt;=0.01,MIN(0.5*(B21+B22),$B$6),D22)</f>
        <v/>
      </c>
      <c r="F22" s="21">
        <f>(A22-A21)*60</f>
        <v/>
      </c>
      <c r="G22" s="29">
        <f>MAX(0,G21+(0.5*(B21+B22)-E22)*F22)</f>
        <v/>
      </c>
    </row>
    <row r="23">
      <c r="A23" s="4">
        <f>Hydrogramme!A15</f>
        <v/>
      </c>
      <c r="B23" s="5">
        <f>Hydrogramme!B15</f>
        <v/>
      </c>
      <c r="C23" s="5">
        <f>IF($B$5&gt;0,G22/$B$5,0)</f>
        <v/>
      </c>
      <c r="D23" s="5">
        <f>IF(C23&lt;=0,0,IF(C23&gt;=INDEX(Courbe_QH_900!$A$24:$A$84,ROWS(Courbe_QH_900!$A$24:$A$84)),INDEX(Courbe_QH_900!$E$24:$E$84,ROWS(Courbe_QH_900!$E$24:$E$84)),INDEX(Courbe_QH_900!$E$24:$E$84,MATCH(C23,Courbe_QH_900!$A$24:$A$84,1))+(C23-INDEX(Courbe_QH_900!$A$24:$A$84,MATCH(C23,Courbe_QH_900!$A$24:$A$84,1)))/(INDEX(Courbe_QH_900!$A$24:$A$84,MATCH(C23,Courbe_QH_900!$A$24:$A$84,1)+1)-INDEX(Courbe_QH_900!$A$24:$A$84,MATCH(C23,Courbe_QH_900!$A$24:$A$84,1)))*(INDEX(Courbe_QH_900!$E$24:$E$84,MATCH(C23,Courbe_QH_900!$A$24:$A$84,1)+1)-INDEX(Courbe_QH_900!$E$24:$E$84,MATCH(C23,Courbe_QH_900!$A$24:$A$84,1)))))</f>
        <v/>
      </c>
      <c r="E23" s="5">
        <f>IF(G22&lt;=0.01,MIN(0.5*(B22+B23),$B$6),D23)</f>
        <v/>
      </c>
      <c r="F23" s="21">
        <f>(A23-A22)*60</f>
        <v/>
      </c>
      <c r="G23" s="29">
        <f>MAX(0,G22+(0.5*(B22+B23)-E23)*F23)</f>
        <v/>
      </c>
    </row>
    <row r="24">
      <c r="A24" s="4">
        <f>Hydrogramme!A16</f>
        <v/>
      </c>
      <c r="B24" s="5">
        <f>Hydrogramme!B16</f>
        <v/>
      </c>
      <c r="C24" s="5">
        <f>IF($B$5&gt;0,G23/$B$5,0)</f>
        <v/>
      </c>
      <c r="D24" s="5">
        <f>IF(C24&lt;=0,0,IF(C24&gt;=INDEX(Courbe_QH_900!$A$24:$A$84,ROWS(Courbe_QH_900!$A$24:$A$84)),INDEX(Courbe_QH_900!$E$24:$E$84,ROWS(Courbe_QH_900!$E$24:$E$84)),INDEX(Courbe_QH_900!$E$24:$E$84,MATCH(C24,Courbe_QH_900!$A$24:$A$84,1))+(C24-INDEX(Courbe_QH_900!$A$24:$A$84,MATCH(C24,Courbe_QH_900!$A$24:$A$84,1)))/(INDEX(Courbe_QH_900!$A$24:$A$84,MATCH(C24,Courbe_QH_900!$A$24:$A$84,1)+1)-INDEX(Courbe_QH_900!$A$24:$A$84,MATCH(C24,Courbe_QH_900!$A$24:$A$84,1)))*(INDEX(Courbe_QH_900!$E$24:$E$84,MATCH(C24,Courbe_QH_900!$A$24:$A$84,1)+1)-INDEX(Courbe_QH_900!$E$24:$E$84,MATCH(C24,Courbe_QH_900!$A$24:$A$84,1)))))</f>
        <v/>
      </c>
      <c r="E24" s="5">
        <f>IF(G23&lt;=0.01,MIN(0.5*(B23+B24),$B$6),D24)</f>
        <v/>
      </c>
      <c r="F24" s="21">
        <f>(A24-A23)*60</f>
        <v/>
      </c>
      <c r="G24" s="29">
        <f>MAX(0,G23+(0.5*(B23+B24)-E24)*F24)</f>
        <v/>
      </c>
    </row>
    <row r="25">
      <c r="A25" s="4">
        <f>Hydrogramme!A17</f>
        <v/>
      </c>
      <c r="B25" s="5">
        <f>Hydrogramme!B17</f>
        <v/>
      </c>
      <c r="C25" s="5">
        <f>IF($B$5&gt;0,G24/$B$5,0)</f>
        <v/>
      </c>
      <c r="D25" s="5">
        <f>IF(C25&lt;=0,0,IF(C25&gt;=INDEX(Courbe_QH_900!$A$24:$A$84,ROWS(Courbe_QH_900!$A$24:$A$84)),INDEX(Courbe_QH_900!$E$24:$E$84,ROWS(Courbe_QH_900!$E$24:$E$84)),INDEX(Courbe_QH_900!$E$24:$E$84,MATCH(C25,Courbe_QH_900!$A$24:$A$84,1))+(C25-INDEX(Courbe_QH_900!$A$24:$A$84,MATCH(C25,Courbe_QH_900!$A$24:$A$84,1)))/(INDEX(Courbe_QH_900!$A$24:$A$84,MATCH(C25,Courbe_QH_900!$A$24:$A$84,1)+1)-INDEX(Courbe_QH_900!$A$24:$A$84,MATCH(C25,Courbe_QH_900!$A$24:$A$84,1)))*(INDEX(Courbe_QH_900!$E$24:$E$84,MATCH(C25,Courbe_QH_900!$A$24:$A$84,1)+1)-INDEX(Courbe_QH_900!$E$24:$E$84,MATCH(C25,Courbe_QH_900!$A$24:$A$84,1)))))</f>
        <v/>
      </c>
      <c r="E25" s="5">
        <f>IF(G24&lt;=0.01,MIN(0.5*(B24+B25),$B$6),D25)</f>
        <v/>
      </c>
      <c r="F25" s="21">
        <f>(A25-A24)*60</f>
        <v/>
      </c>
      <c r="G25" s="29">
        <f>MAX(0,G24+(0.5*(B24+B25)-E25)*F25)</f>
        <v/>
      </c>
    </row>
    <row r="26">
      <c r="A26" s="4">
        <f>Hydrogramme!A18</f>
        <v/>
      </c>
      <c r="B26" s="5">
        <f>Hydrogramme!B18</f>
        <v/>
      </c>
      <c r="C26" s="5">
        <f>IF($B$5&gt;0,G25/$B$5,0)</f>
        <v/>
      </c>
      <c r="D26" s="5">
        <f>IF(C26&lt;=0,0,IF(C26&gt;=INDEX(Courbe_QH_900!$A$24:$A$84,ROWS(Courbe_QH_900!$A$24:$A$84)),INDEX(Courbe_QH_900!$E$24:$E$84,ROWS(Courbe_QH_900!$E$24:$E$84)),INDEX(Courbe_QH_900!$E$24:$E$84,MATCH(C26,Courbe_QH_900!$A$24:$A$84,1))+(C26-INDEX(Courbe_QH_900!$A$24:$A$84,MATCH(C26,Courbe_QH_900!$A$24:$A$84,1)))/(INDEX(Courbe_QH_900!$A$24:$A$84,MATCH(C26,Courbe_QH_900!$A$24:$A$84,1)+1)-INDEX(Courbe_QH_900!$A$24:$A$84,MATCH(C26,Courbe_QH_900!$A$24:$A$84,1)))*(INDEX(Courbe_QH_900!$E$24:$E$84,MATCH(C26,Courbe_QH_900!$A$24:$A$84,1)+1)-INDEX(Courbe_QH_900!$E$24:$E$84,MATCH(C26,Courbe_QH_900!$A$24:$A$84,1)))))</f>
        <v/>
      </c>
      <c r="E26" s="5">
        <f>IF(G25&lt;=0.01,MIN(0.5*(B25+B26),$B$6),D26)</f>
        <v/>
      </c>
      <c r="F26" s="21">
        <f>(A26-A25)*60</f>
        <v/>
      </c>
      <c r="G26" s="29">
        <f>MAX(0,G25+(0.5*(B25+B26)-E26)*F26)</f>
        <v/>
      </c>
    </row>
  </sheetData>
  <mergeCells count="1">
    <mergeCell ref="A2:G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38" t="inlineStr">
        <is>
          <t>Où sont les fichiers HY-8 / capacité ?</t>
        </is>
      </c>
    </row>
    <row r="2">
      <c r="A2" t="inlineStr"/>
    </row>
    <row r="3">
      <c r="A3" t="inlineStr">
        <is>
          <t>Ce classeur (rétention Ø900) :</t>
        </is>
      </c>
    </row>
    <row r="4">
      <c r="A4" t="inlineStr">
        <is>
          <t xml:space="preserve">  engineering/drainage-design/retention_volume/Volume_Retention_Ponceau_900.xlsx</t>
        </is>
      </c>
    </row>
    <row r="5">
      <c r="A5" t="inlineStr"/>
    </row>
    <row r="6">
      <c r="A6" t="inlineStr">
        <is>
          <t>Courbe Q=f(H) FHWA pour CE Ø900 : feuille Courbe_QH_900 (ci-dessus).</t>
        </is>
      </c>
    </row>
    <row r="7">
      <c r="A7" t="inlineStr"/>
    </row>
    <row r="8">
      <c r="A8" t="inlineStr">
        <is>
          <t>Ancien Excel « type HY-8 / inlet-outlet » (autre projet / Ste-Thérèse) :</t>
        </is>
      </c>
    </row>
    <row r="9">
      <c r="A9" t="inlineStr">
        <is>
          <t xml:space="preserve">  engineering/drainage-design/Ponceau_Capacite_Inlet_Outlet.xlsx</t>
        </is>
      </c>
    </row>
    <row r="10">
      <c r="A10" t="inlineStr">
        <is>
          <t xml:space="preserve">  Branche git: cursor/culvert-excel-capacity-model-d87f</t>
        </is>
      </c>
    </row>
    <row r="11">
      <c r="A11" t="inlineStr"/>
    </row>
    <row r="12">
      <c r="A12" t="inlineStr">
        <is>
          <t>Modèle composé ponceau Ø1050 + fossé (FHWA + remblai) — PAS le Ø900 de rétention :</t>
        </is>
      </c>
    </row>
    <row r="13">
      <c r="A13" t="inlineStr">
        <is>
          <t xml:space="preserve">  engineering/drainage-design/ponceau_fosse_model/Ponceau_Fosse_Modele_Hydraulique.xlsx</t>
        </is>
      </c>
    </row>
    <row r="14">
      <c r="A14" t="inlineStr">
        <is>
          <t xml:space="preserve">  Branche git: cursor/ponceau-fosse-hydraulic-model-d87f</t>
        </is>
      </c>
    </row>
    <row r="15">
      <c r="A15" t="inlineStr"/>
    </row>
    <row r="16">
      <c r="A16" t="inlineStr">
        <is>
          <t>HEC-RAS : pas de projet .ras/.hdf pour ce Ø900. Un DEM Ste-Thérèse est dans</t>
        </is>
      </c>
    </row>
    <row r="17">
      <c r="A17" t="inlineStr">
        <is>
          <t xml:space="preserve">  engineering/hec-ras-data/ (données topo seulement).</t>
        </is>
      </c>
    </row>
    <row r="18">
      <c r="A18" t="inlineStr"/>
    </row>
    <row r="19">
      <c r="A19" t="inlineStr">
        <is>
          <t>Donc: on n'avait pas perdu un HY-8 pour ce bassin Ø900 — on avait des outils</t>
        </is>
      </c>
    </row>
    <row r="20">
      <c r="A20" t="inlineStr">
        <is>
          <t>similaires pour d'autres sites. La courbe de CE classeur remplace ça pour le Ø900.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9" t="inlineStr">
        <is>
          <t>Méthode — volume de rétention</t>
        </is>
      </c>
    </row>
    <row r="2">
      <c r="A2" t="inlineStr"/>
    </row>
    <row r="3">
      <c r="A3" t="inlineStr">
        <is>
          <t>1. Hydrogramme Qin(t) à l'entrée de la zone de rétention.</t>
        </is>
      </c>
    </row>
    <row r="4">
      <c r="A4" t="inlineStr">
        <is>
          <t>2. Débit sortant contrôlé par le Ø900 (en série avant le Ø1200).</t>
        </is>
      </c>
    </row>
    <row r="5">
      <c r="A5" t="inlineStr">
        <is>
          <t>3. Capacité Ø900 — deux niveaux:</t>
        </is>
      </c>
    </row>
    <row r="6">
      <c r="A6" t="inlineStr">
        <is>
          <t xml:space="preserve">   A) Q_plein Manning (n=0.013) ≈ 1.668 m³/s → Méthode A (constant).</t>
        </is>
      </c>
    </row>
    <row r="7">
      <c r="A7" t="inlineStr">
        <is>
          <t xml:space="preserve">   B) Courbe Q=f(H) FHWA HDS-5 (inlet + outlet) → feuille Courbe_QH_900 + Calcul_B.</t>
        </is>
      </c>
    </row>
    <row r="8">
      <c r="A8" t="inlineStr">
        <is>
          <t>4. Méthode A: Qout = constante = Q_plein (jaune Parametres). Bon pour 1re estimation.</t>
        </is>
      </c>
    </row>
    <row r="9">
      <c r="A9" t="inlineStr">
        <is>
          <t>5. Méthode B: Qout lu sur la courbe selon H=V/Aire (charge amont).</t>
        </is>
      </c>
    </row>
    <row r="10">
      <c r="A10" t="inlineStr">
        <is>
          <t>6. Sur ce Ø900 (L/D≈56), le calcul FHWA indique surtout un contrôle outlet.</t>
        </is>
      </c>
    </row>
    <row r="11">
      <c r="A11" t="inlineStr">
        <is>
          <t>7. Le Ø1200 est aval: n'augmente pas la sortie de la rétention.</t>
        </is>
      </c>
    </row>
    <row r="12">
      <c r="A12" t="inlineStr"/>
    </row>
    <row r="13">
      <c r="A13" t="inlineStr">
        <is>
          <t>Fichiers liés / anciens Excel: voir feuille Fichiers_lies.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2026-09-11T00:57:54Z</dcterms:created>
  <dcterms:modified xsi:type="dcterms:W3CDTF">2026-09-11T00:57:54Z</dcterms:modified>
</cp:coreProperties>
</file>