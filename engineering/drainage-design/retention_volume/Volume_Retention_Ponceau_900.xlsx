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alcul_B" sheetId="4" state="visible" r:id="rId4"/>
    <sheet name="Metho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00"/>
    <numFmt numFmtId="166" formatCode="0.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2" fontId="0" fillId="4" borderId="1" pivotButton="0" quotePrefix="0" xfId="0"/>
    <xf numFmtId="1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0" fontId="4" fillId="0" borderId="0" pivotButton="0" quotePrefix="0" xfId="0"/>
    <xf numFmtId="166" fontId="0" fillId="0" borderId="1" pivotButton="0" quotePrefix="0" xfId="0"/>
    <xf numFmtId="164" fontId="0" fillId="6" borderId="1" pivotButton="0" quotePrefix="0" xfId="0"/>
    <xf numFmtId="0" fontId="0" fillId="5" borderId="0" pivotButton="0" quotePrefix="0" xfId="0"/>
    <xf numFmtId="166" fontId="0" fillId="0" borderId="0" pivotButton="0" quotePrefix="0" xfId="0"/>
    <xf numFmtId="2" fontId="0" fillId="4" borderId="0" pivotButton="0" quotePrefix="0" xfId="0"/>
    <xf numFmtId="166" fontId="0" fillId="5" borderId="0" pivotButton="0" quotePrefix="0" xfId="0"/>
    <xf numFmtId="2" fontId="0" fillId="0" borderId="1" pivotButton="0" quotePrefix="0" xfId="0"/>
    <xf numFmtId="0" fontId="0" fillId="5" borderId="1" pivotButton="0" quotePrefix="0" xfId="0"/>
    <xf numFmtId="166" fontId="0" fillId="5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'Hydrogramme'!$A$4:$A$18</f>
            </numRef>
          </cat>
          <val>
            <numRef>
              <f>'Hydrogramme'!$B$4:$B$18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'Calcul_A'!$H$8:$H$22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'Calcul_A'!$B$8:$B$22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'Calcul_A'!$C$8:$C$22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1.77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Entrées de calcul (jaune)</t>
        </is>
      </c>
    </row>
    <row r="13">
      <c r="A13" t="inlineStr">
        <is>
          <t>Qout_cap_900 (m³/s)</t>
        </is>
      </c>
      <c r="B13" s="11" t="n">
        <v>1.77</v>
      </c>
      <c r="C13" t="inlineStr">
        <is>
          <t>Débit sortant constant — Méthode A (capacité Ø900)</t>
        </is>
      </c>
    </row>
    <row r="14">
      <c r="A14" t="inlineStr">
        <is>
          <t>Facteur_securite (-)</t>
        </is>
      </c>
      <c r="B14" s="11" t="n">
        <v>1.2</v>
      </c>
      <c r="C14" t="inlineStr">
        <is>
          <t>Marge sur Vmax (ex. 1.20 = +20%)</t>
        </is>
      </c>
    </row>
    <row r="15">
      <c r="A15" t="inlineStr">
        <is>
          <t>Aire_bassin_m2</t>
        </is>
      </c>
      <c r="B15" s="12" t="n">
        <v>2500</v>
      </c>
      <c r="C15" t="inlineStr">
        <is>
          <t>Aire plan d'eau approximative pour estimer H = V/A (Méthode B / niveau)</t>
        </is>
      </c>
    </row>
    <row r="17">
      <c r="A17" s="2" t="inlineStr">
        <is>
          <t>Résultats (formules — feuille Calcul_A)</t>
        </is>
      </c>
    </row>
    <row r="18">
      <c r="A18" t="inlineStr">
        <is>
          <t>Vmax (m³)</t>
        </is>
      </c>
      <c r="B18" s="13">
        <f>Calcul_A!B3</f>
        <v/>
      </c>
    </row>
    <row r="19">
      <c r="A19" t="inlineStr">
        <is>
          <t>V_dimensionnement = Vmax × facteur (m³)</t>
        </is>
      </c>
      <c r="B19" s="13">
        <f>B18*B14</f>
        <v/>
      </c>
    </row>
    <row r="20">
      <c r="A20" t="inlineStr">
        <is>
          <t>Hmax approx (m) = Vmax / Aire</t>
        </is>
      </c>
      <c r="B20" s="14">
        <f>IF(B15&gt;0,B18/B15,0)</f>
        <v/>
      </c>
      <c r="C20" t="inlineStr">
        <is>
          <t>Estimation grossière si l'aire de bassin est constante</t>
        </is>
      </c>
    </row>
    <row r="22">
      <c r="A22" s="2" t="inlineStr">
        <is>
          <t>Notes</t>
        </is>
      </c>
    </row>
    <row r="23">
      <c r="A23" t="inlineStr">
        <is>
          <t>• Méthode A: Qout fixe = capacité Ø900. Valable comme estimation prudente / enveloppe basse de sortie.</t>
        </is>
      </c>
    </row>
    <row r="24">
      <c r="A24" t="inlineStr">
        <is>
          <t>• Le stockage commence quand Qin dépasse Qout; Vmax est le maximum du volume cumulé (pas (Qp-Qout)×durée).</t>
        </is>
      </c>
    </row>
    <row r="25">
      <c r="A25" t="inlineStr">
        <is>
          <t>• Méthode B (feuille Calcul_B): Qout augmente un peu avec la charge H (orifice plafonné), plus réaliste si disponible.</t>
        </is>
      </c>
    </row>
    <row r="26">
      <c r="A26" t="inlineStr">
        <is>
          <t>• Les capacités 1.77 et 4.93 m³/s sont prises comme données; idéalement remplacer par une courbe Q=f(H) calibrée.</t>
        </is>
      </c>
    </row>
    <row r="27">
      <c r="A27" t="inlineStr">
        <is>
          <t>• Vérifier que le radier amont Ø900 (34.88) est bien le fond de la zone de rétention étudiée.</t>
        </is>
      </c>
    </row>
  </sheetData>
  <mergeCells count="7">
    <mergeCell ref="A9:H10"/>
    <mergeCell ref="A26:H26"/>
    <mergeCell ref="A25:H25"/>
    <mergeCell ref="A24:H24"/>
    <mergeCell ref="A1:F1"/>
    <mergeCell ref="A23:H23"/>
    <mergeCell ref="A27:H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</cols>
  <sheetData>
    <row r="1">
      <c r="A1" s="15" t="inlineStr">
        <is>
          <t>Hydrogramme d'entrée (point Ø1500 / entrée rétention)</t>
        </is>
      </c>
    </row>
    <row r="3">
      <c r="A3" s="3" t="inlineStr">
        <is>
          <t>t (min)</t>
        </is>
      </c>
      <c r="B3" s="3" t="inlineStr">
        <is>
          <t>Qin (m³/s)</t>
        </is>
      </c>
      <c r="C3" s="3" t="inlineStr">
        <is>
          <t>Remarque</t>
        </is>
      </c>
    </row>
    <row r="4">
      <c r="A4" s="16" t="n">
        <v>0</v>
      </c>
      <c r="B4" s="5" t="n">
        <v>0.778</v>
      </c>
      <c r="C4" s="4" t="inlineStr"/>
    </row>
    <row r="5">
      <c r="A5" s="16" t="n">
        <v>5</v>
      </c>
      <c r="B5" s="5" t="n">
        <v>1.17</v>
      </c>
      <c r="C5" s="4" t="inlineStr"/>
    </row>
    <row r="6">
      <c r="A6" s="16" t="n">
        <v>9.369999999999999</v>
      </c>
      <c r="B6" s="17" t="n">
        <v>1.77</v>
      </c>
      <c r="C6" s="4" t="inlineStr">
        <is>
          <t>Qin = Qcap (croisement)</t>
        </is>
      </c>
    </row>
    <row r="7">
      <c r="A7" s="16" t="n">
        <v>10</v>
      </c>
      <c r="B7" s="5" t="n">
        <v>1.857</v>
      </c>
      <c r="C7" s="4" t="inlineStr"/>
    </row>
    <row r="8">
      <c r="A8" s="16" t="n">
        <v>15</v>
      </c>
      <c r="B8" s="5" t="n">
        <v>3.202</v>
      </c>
      <c r="C8" s="4" t="inlineStr"/>
    </row>
    <row r="9">
      <c r="A9" s="16" t="n">
        <v>20</v>
      </c>
      <c r="B9" s="5" t="n">
        <v>6.309</v>
      </c>
      <c r="C9" s="4" t="inlineStr"/>
    </row>
    <row r="10">
      <c r="A10" s="16" t="n">
        <v>22.5</v>
      </c>
      <c r="B10" s="8" t="n">
        <v>9.6</v>
      </c>
      <c r="C10" s="4" t="inlineStr">
        <is>
          <t>Pointe</t>
        </is>
      </c>
    </row>
    <row r="11">
      <c r="A11" s="16" t="n">
        <v>27.5</v>
      </c>
      <c r="B11" s="5" t="n">
        <v>5.846</v>
      </c>
      <c r="C11" s="4" t="inlineStr"/>
    </row>
    <row r="12">
      <c r="A12" s="16" t="n">
        <v>32.5</v>
      </c>
      <c r="B12" s="5" t="n">
        <v>3.857</v>
      </c>
      <c r="C12" s="4" t="inlineStr"/>
    </row>
    <row r="13">
      <c r="A13" s="16" t="n">
        <v>37.5</v>
      </c>
      <c r="B13" s="5" t="n">
        <v>2.689</v>
      </c>
      <c r="C13" s="4" t="inlineStr"/>
    </row>
    <row r="14">
      <c r="A14" s="16" t="n">
        <v>42.5</v>
      </c>
      <c r="B14" s="5" t="n">
        <v>1.953</v>
      </c>
      <c r="C14" s="4" t="inlineStr"/>
    </row>
    <row r="15">
      <c r="A15" s="16" t="n">
        <v>44.4</v>
      </c>
      <c r="B15" s="17" t="n">
        <v>1.77</v>
      </c>
      <c r="C15" s="4" t="inlineStr">
        <is>
          <t>Qin = Qcap (croisement)</t>
        </is>
      </c>
    </row>
    <row r="16">
      <c r="A16" s="16" t="n">
        <v>47.5</v>
      </c>
      <c r="B16" s="5" t="n">
        <v>1.462</v>
      </c>
      <c r="C16" s="4" t="inlineStr"/>
    </row>
    <row r="17">
      <c r="A17" s="16" t="n">
        <v>52.5</v>
      </c>
      <c r="B17" s="5" t="n">
        <v>1.121</v>
      </c>
      <c r="C17" s="4" t="inlineStr"/>
    </row>
    <row r="18">
      <c r="A18" s="16" t="n">
        <v>57.5</v>
      </c>
      <c r="B18" s="5" t="n">
        <v>0.875</v>
      </c>
      <c r="C18" s="4" t="inlineStr"/>
    </row>
    <row r="20">
      <c r="A20" t="inlineStr">
        <is>
          <t>Qpointe (m³/s)</t>
        </is>
      </c>
      <c r="B20" s="18">
        <f>MAX(B4:B18)</f>
        <v/>
      </c>
    </row>
    <row r="21">
      <c r="A21" t="inlineStr">
        <is>
          <t>t pointe (min)</t>
        </is>
      </c>
      <c r="B21" s="19" t="n">
        <v>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15" t="inlineStr">
        <is>
          <t>Méthode A — Qout constant = capacité Ø900</t>
        </is>
      </c>
    </row>
    <row r="2">
      <c r="A2" t="inlineStr">
        <is>
          <t>Qout (m³/s)</t>
        </is>
      </c>
      <c r="B2" s="20">
        <f>Parametres!B13</f>
        <v/>
      </c>
    </row>
    <row r="3">
      <c r="A3" t="inlineStr">
        <is>
          <t>Vmax (m³)</t>
        </is>
      </c>
      <c r="B3" s="21">
        <f>MAX(H8:H22)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voir courbe / entre 5 et 10 min (~9.4 min)</t>
        </is>
      </c>
    </row>
    <row r="6">
      <c r="A6" t="inlineStr">
        <is>
          <t>t fin stockage approx (min)</t>
        </is>
      </c>
      <c r="B6" t="inlineStr">
        <is>
          <t>entre 42.5 et 47.5 min (~44.4 min)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16">
        <f>Hydrogramme!A4</f>
        <v/>
      </c>
      <c r="B8" s="5">
        <f>Hydrogramme!B4</f>
        <v/>
      </c>
      <c r="C8" s="22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23" t="n">
        <v>0</v>
      </c>
      <c r="I8" s="4">
        <f>IF(H8&gt;0.5,"oui","non")</f>
        <v/>
      </c>
    </row>
    <row r="9">
      <c r="A9" s="16">
        <f>Hydrogramme!A5</f>
        <v/>
      </c>
      <c r="B9" s="5">
        <f>Hydrogramme!B5</f>
        <v/>
      </c>
      <c r="C9" s="22">
        <f>$B$2</f>
        <v/>
      </c>
      <c r="D9" s="5">
        <f>B9-C9</f>
        <v/>
      </c>
      <c r="E9" s="16">
        <f>(A9-A8)*60</f>
        <v/>
      </c>
      <c r="F9" s="16">
        <f>0.5*(B8+B9)*E9</f>
        <v/>
      </c>
      <c r="G9" s="16">
        <f>F9-(H9-H8)</f>
        <v/>
      </c>
      <c r="H9" s="24">
        <f>MAX(0,H8+0.5*(D8+D9)*E9)</f>
        <v/>
      </c>
      <c r="I9" s="4">
        <f>IF(H9&gt;0.5,"oui","non")</f>
        <v/>
      </c>
    </row>
    <row r="10">
      <c r="A10" s="16">
        <f>Hydrogramme!A6</f>
        <v/>
      </c>
      <c r="B10" s="5">
        <f>Hydrogramme!B6</f>
        <v/>
      </c>
      <c r="C10" s="22">
        <f>$B$2</f>
        <v/>
      </c>
      <c r="D10" s="5">
        <f>B10-C10</f>
        <v/>
      </c>
      <c r="E10" s="16">
        <f>(A10-A9)*60</f>
        <v/>
      </c>
      <c r="F10" s="16">
        <f>0.5*(B9+B10)*E10</f>
        <v/>
      </c>
      <c r="G10" s="16">
        <f>F10-(H10-H9)</f>
        <v/>
      </c>
      <c r="H10" s="24">
        <f>MAX(0,H9+0.5*(D9+D10)*E10)</f>
        <v/>
      </c>
      <c r="I10" s="4">
        <f>IF(H10&gt;0.5,"oui","non")</f>
        <v/>
      </c>
    </row>
    <row r="11">
      <c r="A11" s="16">
        <f>Hydrogramme!A7</f>
        <v/>
      </c>
      <c r="B11" s="5">
        <f>Hydrogramme!B7</f>
        <v/>
      </c>
      <c r="C11" s="22">
        <f>$B$2</f>
        <v/>
      </c>
      <c r="D11" s="5">
        <f>B11-C11</f>
        <v/>
      </c>
      <c r="E11" s="16">
        <f>(A11-A10)*60</f>
        <v/>
      </c>
      <c r="F11" s="16">
        <f>0.5*(B10+B11)*E11</f>
        <v/>
      </c>
      <c r="G11" s="16">
        <f>F11-(H11-H10)</f>
        <v/>
      </c>
      <c r="H11" s="24">
        <f>MAX(0,H10+0.5*(D10+D11)*E11)</f>
        <v/>
      </c>
      <c r="I11" s="4">
        <f>IF(H11&gt;0.5,"oui","non")</f>
        <v/>
      </c>
    </row>
    <row r="12">
      <c r="A12" s="16">
        <f>Hydrogramme!A8</f>
        <v/>
      </c>
      <c r="B12" s="5">
        <f>Hydrogramme!B8</f>
        <v/>
      </c>
      <c r="C12" s="22">
        <f>$B$2</f>
        <v/>
      </c>
      <c r="D12" s="5">
        <f>B12-C12</f>
        <v/>
      </c>
      <c r="E12" s="16">
        <f>(A12-A11)*60</f>
        <v/>
      </c>
      <c r="F12" s="16">
        <f>0.5*(B11+B12)*E12</f>
        <v/>
      </c>
      <c r="G12" s="16">
        <f>F12-(H12-H11)</f>
        <v/>
      </c>
      <c r="H12" s="24">
        <f>MAX(0,H11+0.5*(D11+D12)*E12)</f>
        <v/>
      </c>
      <c r="I12" s="4">
        <f>IF(H12&gt;0.5,"oui","non")</f>
        <v/>
      </c>
    </row>
    <row r="13">
      <c r="A13" s="16">
        <f>Hydrogramme!A9</f>
        <v/>
      </c>
      <c r="B13" s="5">
        <f>Hydrogramme!B9</f>
        <v/>
      </c>
      <c r="C13" s="22">
        <f>$B$2</f>
        <v/>
      </c>
      <c r="D13" s="5">
        <f>B13-C13</f>
        <v/>
      </c>
      <c r="E13" s="16">
        <f>(A13-A12)*60</f>
        <v/>
      </c>
      <c r="F13" s="16">
        <f>0.5*(B12+B13)*E13</f>
        <v/>
      </c>
      <c r="G13" s="16">
        <f>F13-(H13-H12)</f>
        <v/>
      </c>
      <c r="H13" s="24">
        <f>MAX(0,H12+0.5*(D12+D13)*E13)</f>
        <v/>
      </c>
      <c r="I13" s="4">
        <f>IF(H13&gt;0.5,"oui","non")</f>
        <v/>
      </c>
    </row>
    <row r="14">
      <c r="A14" s="16">
        <f>Hydrogramme!A10</f>
        <v/>
      </c>
      <c r="B14" s="5">
        <f>Hydrogramme!B10</f>
        <v/>
      </c>
      <c r="C14" s="22">
        <f>$B$2</f>
        <v/>
      </c>
      <c r="D14" s="5">
        <f>B14-C14</f>
        <v/>
      </c>
      <c r="E14" s="16">
        <f>(A14-A13)*60</f>
        <v/>
      </c>
      <c r="F14" s="16">
        <f>0.5*(B13+B14)*E14</f>
        <v/>
      </c>
      <c r="G14" s="16">
        <f>F14-(H14-H13)</f>
        <v/>
      </c>
      <c r="H14" s="24">
        <f>MAX(0,H13+0.5*(D13+D14)*E14)</f>
        <v/>
      </c>
      <c r="I14" s="4">
        <f>IF(H14&gt;0.5,"oui","non")</f>
        <v/>
      </c>
    </row>
    <row r="15">
      <c r="A15" s="16">
        <f>Hydrogramme!A11</f>
        <v/>
      </c>
      <c r="B15" s="5">
        <f>Hydrogramme!B11</f>
        <v/>
      </c>
      <c r="C15" s="22">
        <f>$B$2</f>
        <v/>
      </c>
      <c r="D15" s="5">
        <f>B15-C15</f>
        <v/>
      </c>
      <c r="E15" s="16">
        <f>(A15-A14)*60</f>
        <v/>
      </c>
      <c r="F15" s="16">
        <f>0.5*(B14+B15)*E15</f>
        <v/>
      </c>
      <c r="G15" s="16">
        <f>F15-(H15-H14)</f>
        <v/>
      </c>
      <c r="H15" s="24">
        <f>MAX(0,H14+0.5*(D14+D15)*E15)</f>
        <v/>
      </c>
      <c r="I15" s="4">
        <f>IF(H15&gt;0.5,"oui","non")</f>
        <v/>
      </c>
    </row>
    <row r="16">
      <c r="A16" s="16">
        <f>Hydrogramme!A12</f>
        <v/>
      </c>
      <c r="B16" s="5">
        <f>Hydrogramme!B12</f>
        <v/>
      </c>
      <c r="C16" s="22">
        <f>$B$2</f>
        <v/>
      </c>
      <c r="D16" s="5">
        <f>B16-C16</f>
        <v/>
      </c>
      <c r="E16" s="16">
        <f>(A16-A15)*60</f>
        <v/>
      </c>
      <c r="F16" s="16">
        <f>0.5*(B15+B16)*E16</f>
        <v/>
      </c>
      <c r="G16" s="16">
        <f>F16-(H16-H15)</f>
        <v/>
      </c>
      <c r="H16" s="24">
        <f>MAX(0,H15+0.5*(D15+D16)*E16)</f>
        <v/>
      </c>
      <c r="I16" s="4">
        <f>IF(H16&gt;0.5,"oui","non")</f>
        <v/>
      </c>
    </row>
    <row r="17">
      <c r="A17" s="16">
        <f>Hydrogramme!A13</f>
        <v/>
      </c>
      <c r="B17" s="5">
        <f>Hydrogramme!B13</f>
        <v/>
      </c>
      <c r="C17" s="22">
        <f>$B$2</f>
        <v/>
      </c>
      <c r="D17" s="5">
        <f>B17-C17</f>
        <v/>
      </c>
      <c r="E17" s="16">
        <f>(A17-A16)*60</f>
        <v/>
      </c>
      <c r="F17" s="16">
        <f>0.5*(B16+B17)*E17</f>
        <v/>
      </c>
      <c r="G17" s="16">
        <f>F17-(H17-H16)</f>
        <v/>
      </c>
      <c r="H17" s="24">
        <f>MAX(0,H16+0.5*(D16+D17)*E17)</f>
        <v/>
      </c>
      <c r="I17" s="4">
        <f>IF(H17&gt;0.5,"oui","non")</f>
        <v/>
      </c>
    </row>
    <row r="18">
      <c r="A18" s="16">
        <f>Hydrogramme!A14</f>
        <v/>
      </c>
      <c r="B18" s="5">
        <f>Hydrogramme!B14</f>
        <v/>
      </c>
      <c r="C18" s="22">
        <f>$B$2</f>
        <v/>
      </c>
      <c r="D18" s="5">
        <f>B18-C18</f>
        <v/>
      </c>
      <c r="E18" s="16">
        <f>(A18-A17)*60</f>
        <v/>
      </c>
      <c r="F18" s="16">
        <f>0.5*(B17+B18)*E18</f>
        <v/>
      </c>
      <c r="G18" s="16">
        <f>F18-(H18-H17)</f>
        <v/>
      </c>
      <c r="H18" s="24">
        <f>MAX(0,H17+0.5*(D17+D18)*E18)</f>
        <v/>
      </c>
      <c r="I18" s="4">
        <f>IF(H18&gt;0.5,"oui","non")</f>
        <v/>
      </c>
    </row>
    <row r="19">
      <c r="A19" s="16">
        <f>Hydrogramme!A15</f>
        <v/>
      </c>
      <c r="B19" s="5">
        <f>Hydrogramme!B15</f>
        <v/>
      </c>
      <c r="C19" s="22">
        <f>$B$2</f>
        <v/>
      </c>
      <c r="D19" s="5">
        <f>B19-C19</f>
        <v/>
      </c>
      <c r="E19" s="16">
        <f>(A19-A18)*60</f>
        <v/>
      </c>
      <c r="F19" s="16">
        <f>0.5*(B18+B19)*E19</f>
        <v/>
      </c>
      <c r="G19" s="16">
        <f>F19-(H19-H18)</f>
        <v/>
      </c>
      <c r="H19" s="24">
        <f>MAX(0,H18+0.5*(D18+D19)*E19)</f>
        <v/>
      </c>
      <c r="I19" s="4">
        <f>IF(H19&gt;0.5,"oui","non")</f>
        <v/>
      </c>
    </row>
    <row r="20">
      <c r="A20" s="16">
        <f>Hydrogramme!A16</f>
        <v/>
      </c>
      <c r="B20" s="5">
        <f>Hydrogramme!B16</f>
        <v/>
      </c>
      <c r="C20" s="22">
        <f>$B$2</f>
        <v/>
      </c>
      <c r="D20" s="5">
        <f>B20-C20</f>
        <v/>
      </c>
      <c r="E20" s="16">
        <f>(A20-A19)*60</f>
        <v/>
      </c>
      <c r="F20" s="16">
        <f>0.5*(B19+B20)*E20</f>
        <v/>
      </c>
      <c r="G20" s="16">
        <f>F20-(H20-H19)</f>
        <v/>
      </c>
      <c r="H20" s="24">
        <f>MAX(0,H19+0.5*(D19+D20)*E20)</f>
        <v/>
      </c>
      <c r="I20" s="4">
        <f>IF(H20&gt;0.5,"oui","non")</f>
        <v/>
      </c>
    </row>
    <row r="21">
      <c r="A21" s="16">
        <f>Hydrogramme!A17</f>
        <v/>
      </c>
      <c r="B21" s="5">
        <f>Hydrogramme!B17</f>
        <v/>
      </c>
      <c r="C21" s="22">
        <f>$B$2</f>
        <v/>
      </c>
      <c r="D21" s="5">
        <f>B21-C21</f>
        <v/>
      </c>
      <c r="E21" s="16">
        <f>(A21-A20)*60</f>
        <v/>
      </c>
      <c r="F21" s="16">
        <f>0.5*(B20+B21)*E21</f>
        <v/>
      </c>
      <c r="G21" s="16">
        <f>F21-(H21-H20)</f>
        <v/>
      </c>
      <c r="H21" s="24">
        <f>MAX(0,H20+0.5*(D20+D21)*E21)</f>
        <v/>
      </c>
      <c r="I21" s="4">
        <f>IF(H21&gt;0.5,"oui","non")</f>
        <v/>
      </c>
    </row>
    <row r="22">
      <c r="A22" s="16">
        <f>Hydrogramme!A18</f>
        <v/>
      </c>
      <c r="B22" s="5">
        <f>Hydrogramme!B18</f>
        <v/>
      </c>
      <c r="C22" s="22">
        <f>$B$2</f>
        <v/>
      </c>
      <c r="D22" s="5">
        <f>B22-C22</f>
        <v/>
      </c>
      <c r="E22" s="16">
        <f>(A22-A21)*60</f>
        <v/>
      </c>
      <c r="F22" s="16">
        <f>0.5*(B21+B22)*E22</f>
        <v/>
      </c>
      <c r="G22" s="16">
        <f>F22-(H22-H21)</f>
        <v/>
      </c>
      <c r="H22" s="24">
        <f>MAX(0,H21+0.5*(D21+D22)*E22)</f>
        <v/>
      </c>
      <c r="I22" s="4">
        <f>IF(H22&gt;0.5,"oui","non")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15" t="inlineStr">
        <is>
          <t>Méthode B — routage simplifié Qout = f(H) (orifice Ø900 plafonné à Qcap)</t>
        </is>
      </c>
    </row>
    <row r="2">
      <c r="A2" s="25" t="inlineStr">
        <is>
          <t>H = V / Aire_bassin.  Qorifice = Cd·(πD²/4)·√(2gH).  Qout = MIN(Qcap, Qorifice) si V&gt;0; si V≈0, Qout = MIN(Qin, Qcap).  ΔV = (Qin_moyenne − Qout)·Δt.  Ajuster Cd, Aire, Qcap (jaune).</t>
        </is>
      </c>
    </row>
    <row r="3"/>
    <row r="5">
      <c r="A5" t="inlineStr">
        <is>
          <t>Cd</t>
        </is>
      </c>
      <c r="B5" s="26" t="n">
        <v>0.62</v>
      </c>
    </row>
    <row r="6">
      <c r="A6" t="inlineStr">
        <is>
          <t>D (m)</t>
        </is>
      </c>
      <c r="B6" s="26" t="n">
        <v>0.9</v>
      </c>
    </row>
    <row r="7">
      <c r="A7" t="inlineStr">
        <is>
          <t>Qcap (m³/s)</t>
        </is>
      </c>
      <c r="B7" s="26">
        <f>Parametres!B13</f>
        <v/>
      </c>
    </row>
    <row r="8">
      <c r="A8" t="inlineStr">
        <is>
          <t>Aire (m²)</t>
        </is>
      </c>
      <c r="B8" s="26">
        <f>Parametres!B15</f>
        <v/>
      </c>
    </row>
    <row r="9">
      <c r="A9" t="inlineStr">
        <is>
          <t>Vmax_B (m³)</t>
        </is>
      </c>
      <c r="B9" s="21">
        <f>MAX(G14:G28)</f>
        <v/>
      </c>
    </row>
    <row r="10">
      <c r="A10" t="inlineStr">
        <is>
          <t>Hmax_B (m)</t>
        </is>
      </c>
      <c r="B10" s="14">
        <f>IF(B8&gt;0,B9/B8,0)</f>
        <v/>
      </c>
    </row>
    <row r="13">
      <c r="A13" s="3" t="inlineStr">
        <is>
          <t>t (min)</t>
        </is>
      </c>
      <c r="B13" s="3" t="inlineStr">
        <is>
          <t>Qin</t>
        </is>
      </c>
      <c r="C13" s="3" t="inlineStr">
        <is>
          <t>H (m)</t>
        </is>
      </c>
      <c r="D13" s="3" t="inlineStr">
        <is>
          <t>Qorifice</t>
        </is>
      </c>
      <c r="E13" s="3" t="inlineStr">
        <is>
          <t>Qout</t>
        </is>
      </c>
      <c r="F13" s="3" t="inlineStr">
        <is>
          <t>Δt (s)</t>
        </is>
      </c>
      <c r="G13" s="3" t="inlineStr">
        <is>
          <t>V (m³)</t>
        </is>
      </c>
    </row>
    <row r="14">
      <c r="A14" s="4">
        <f>Hydrogramme!A4</f>
        <v/>
      </c>
      <c r="B14" s="5">
        <f>Hydrogramme!B4</f>
        <v/>
      </c>
      <c r="C14" s="5" t="n">
        <v>0</v>
      </c>
      <c r="D14" s="5" t="n">
        <v>0</v>
      </c>
      <c r="E14" s="5">
        <f>MIN(B14,$B$7)</f>
        <v/>
      </c>
      <c r="F14" s="16" t="n">
        <v>0</v>
      </c>
      <c r="G14" s="24" t="n">
        <v>0</v>
      </c>
    </row>
    <row r="15">
      <c r="A15" s="4">
        <f>Hydrogramme!A5</f>
        <v/>
      </c>
      <c r="B15" s="5">
        <f>Hydrogramme!B5</f>
        <v/>
      </c>
      <c r="C15" s="5">
        <f>IF($B$8&gt;0,G14/$B$8,0)</f>
        <v/>
      </c>
      <c r="D15" s="5">
        <f>IF(C15&lt;=0,0,$B$5*(PI()*($B$6^2)/4)*SQRT(2*9.81*C15))</f>
        <v/>
      </c>
      <c r="E15" s="5">
        <f>IF(G14&lt;=0.01,MIN(0.5*(B14+B15),$B$7),MIN($B$7,D15))</f>
        <v/>
      </c>
      <c r="F15" s="16">
        <f>(A15-A14)*60</f>
        <v/>
      </c>
      <c r="G15" s="24">
        <f>MAX(0,G14+(0.5*(B14+B15)-E15)*F15)</f>
        <v/>
      </c>
    </row>
    <row r="16">
      <c r="A16" s="4">
        <f>Hydrogramme!A6</f>
        <v/>
      </c>
      <c r="B16" s="5">
        <f>Hydrogramme!B6</f>
        <v/>
      </c>
      <c r="C16" s="5">
        <f>IF($B$8&gt;0,G15/$B$8,0)</f>
        <v/>
      </c>
      <c r="D16" s="5">
        <f>IF(C16&lt;=0,0,$B$5*(PI()*($B$6^2)/4)*SQRT(2*9.81*C16))</f>
        <v/>
      </c>
      <c r="E16" s="5">
        <f>IF(G15&lt;=0.01,MIN(0.5*(B15+B16),$B$7),MIN($B$7,D16))</f>
        <v/>
      </c>
      <c r="F16" s="16">
        <f>(A16-A15)*60</f>
        <v/>
      </c>
      <c r="G16" s="24">
        <f>MAX(0,G15+(0.5*(B15+B16)-E16)*F16)</f>
        <v/>
      </c>
    </row>
    <row r="17">
      <c r="A17" s="4">
        <f>Hydrogramme!A7</f>
        <v/>
      </c>
      <c r="B17" s="5">
        <f>Hydrogramme!B7</f>
        <v/>
      </c>
      <c r="C17" s="5">
        <f>IF($B$8&gt;0,G16/$B$8,0)</f>
        <v/>
      </c>
      <c r="D17" s="5">
        <f>IF(C17&lt;=0,0,$B$5*(PI()*($B$6^2)/4)*SQRT(2*9.81*C17))</f>
        <v/>
      </c>
      <c r="E17" s="5">
        <f>IF(G16&lt;=0.01,MIN(0.5*(B16+B17),$B$7),MIN($B$7,D17))</f>
        <v/>
      </c>
      <c r="F17" s="16">
        <f>(A17-A16)*60</f>
        <v/>
      </c>
      <c r="G17" s="24">
        <f>MAX(0,G16+(0.5*(B16+B17)-E17)*F17)</f>
        <v/>
      </c>
    </row>
    <row r="18">
      <c r="A18" s="4">
        <f>Hydrogramme!A8</f>
        <v/>
      </c>
      <c r="B18" s="5">
        <f>Hydrogramme!B8</f>
        <v/>
      </c>
      <c r="C18" s="5">
        <f>IF($B$8&gt;0,G17/$B$8,0)</f>
        <v/>
      </c>
      <c r="D18" s="5">
        <f>IF(C18&lt;=0,0,$B$5*(PI()*($B$6^2)/4)*SQRT(2*9.81*C18))</f>
        <v/>
      </c>
      <c r="E18" s="5">
        <f>IF(G17&lt;=0.01,MIN(0.5*(B17+B18),$B$7),MIN($B$7,D18))</f>
        <v/>
      </c>
      <c r="F18" s="16">
        <f>(A18-A17)*60</f>
        <v/>
      </c>
      <c r="G18" s="24">
        <f>MAX(0,G17+(0.5*(B17+B18)-E18)*F18)</f>
        <v/>
      </c>
    </row>
    <row r="19">
      <c r="A19" s="4">
        <f>Hydrogramme!A9</f>
        <v/>
      </c>
      <c r="B19" s="5">
        <f>Hydrogramme!B9</f>
        <v/>
      </c>
      <c r="C19" s="5">
        <f>IF($B$8&gt;0,G18/$B$8,0)</f>
        <v/>
      </c>
      <c r="D19" s="5">
        <f>IF(C19&lt;=0,0,$B$5*(PI()*($B$6^2)/4)*SQRT(2*9.81*C19))</f>
        <v/>
      </c>
      <c r="E19" s="5">
        <f>IF(G18&lt;=0.01,MIN(0.5*(B18+B19),$B$7),MIN($B$7,D19))</f>
        <v/>
      </c>
      <c r="F19" s="16">
        <f>(A19-A18)*60</f>
        <v/>
      </c>
      <c r="G19" s="24">
        <f>MAX(0,G18+(0.5*(B18+B19)-E19)*F19)</f>
        <v/>
      </c>
    </row>
    <row r="20">
      <c r="A20" s="4">
        <f>Hydrogramme!A10</f>
        <v/>
      </c>
      <c r="B20" s="5">
        <f>Hydrogramme!B10</f>
        <v/>
      </c>
      <c r="C20" s="5">
        <f>IF($B$8&gt;0,G19/$B$8,0)</f>
        <v/>
      </c>
      <c r="D20" s="5">
        <f>IF(C20&lt;=0,0,$B$5*(PI()*($B$6^2)/4)*SQRT(2*9.81*C20))</f>
        <v/>
      </c>
      <c r="E20" s="5">
        <f>IF(G19&lt;=0.01,MIN(0.5*(B19+B20),$B$7),MIN($B$7,D20))</f>
        <v/>
      </c>
      <c r="F20" s="16">
        <f>(A20-A19)*60</f>
        <v/>
      </c>
      <c r="G20" s="24">
        <f>MAX(0,G19+(0.5*(B19+B20)-E20)*F20)</f>
        <v/>
      </c>
    </row>
    <row r="21">
      <c r="A21" s="4">
        <f>Hydrogramme!A11</f>
        <v/>
      </c>
      <c r="B21" s="5">
        <f>Hydrogramme!B11</f>
        <v/>
      </c>
      <c r="C21" s="5">
        <f>IF($B$8&gt;0,G20/$B$8,0)</f>
        <v/>
      </c>
      <c r="D21" s="5">
        <f>IF(C21&lt;=0,0,$B$5*(PI()*($B$6^2)/4)*SQRT(2*9.81*C21))</f>
        <v/>
      </c>
      <c r="E21" s="5">
        <f>IF(G20&lt;=0.01,MIN(0.5*(B20+B21),$B$7),MIN($B$7,D21))</f>
        <v/>
      </c>
      <c r="F21" s="16">
        <f>(A21-A20)*60</f>
        <v/>
      </c>
      <c r="G21" s="24">
        <f>MAX(0,G20+(0.5*(B20+B21)-E21)*F21)</f>
        <v/>
      </c>
    </row>
    <row r="22">
      <c r="A22" s="4">
        <f>Hydrogramme!A12</f>
        <v/>
      </c>
      <c r="B22" s="5">
        <f>Hydrogramme!B12</f>
        <v/>
      </c>
      <c r="C22" s="5">
        <f>IF($B$8&gt;0,G21/$B$8,0)</f>
        <v/>
      </c>
      <c r="D22" s="5">
        <f>IF(C22&lt;=0,0,$B$5*(PI()*($B$6^2)/4)*SQRT(2*9.81*C22))</f>
        <v/>
      </c>
      <c r="E22" s="5">
        <f>IF(G21&lt;=0.01,MIN(0.5*(B21+B22),$B$7),MIN($B$7,D22))</f>
        <v/>
      </c>
      <c r="F22" s="16">
        <f>(A22-A21)*60</f>
        <v/>
      </c>
      <c r="G22" s="24">
        <f>MAX(0,G21+(0.5*(B21+B22)-E22)*F22)</f>
        <v/>
      </c>
    </row>
    <row r="23">
      <c r="A23" s="4">
        <f>Hydrogramme!A13</f>
        <v/>
      </c>
      <c r="B23" s="5">
        <f>Hydrogramme!B13</f>
        <v/>
      </c>
      <c r="C23" s="5">
        <f>IF($B$8&gt;0,G22/$B$8,0)</f>
        <v/>
      </c>
      <c r="D23" s="5">
        <f>IF(C23&lt;=0,0,$B$5*(PI()*($B$6^2)/4)*SQRT(2*9.81*C23))</f>
        <v/>
      </c>
      <c r="E23" s="5">
        <f>IF(G22&lt;=0.01,MIN(0.5*(B22+B23),$B$7),MIN($B$7,D23))</f>
        <v/>
      </c>
      <c r="F23" s="16">
        <f>(A23-A22)*60</f>
        <v/>
      </c>
      <c r="G23" s="24">
        <f>MAX(0,G22+(0.5*(B22+B23)-E23)*F23)</f>
        <v/>
      </c>
    </row>
    <row r="24">
      <c r="A24" s="4">
        <f>Hydrogramme!A14</f>
        <v/>
      </c>
      <c r="B24" s="5">
        <f>Hydrogramme!B14</f>
        <v/>
      </c>
      <c r="C24" s="5">
        <f>IF($B$8&gt;0,G23/$B$8,0)</f>
        <v/>
      </c>
      <c r="D24" s="5">
        <f>IF(C24&lt;=0,0,$B$5*(PI()*($B$6^2)/4)*SQRT(2*9.81*C24))</f>
        <v/>
      </c>
      <c r="E24" s="5">
        <f>IF(G23&lt;=0.01,MIN(0.5*(B23+B24),$B$7),MIN($B$7,D24))</f>
        <v/>
      </c>
      <c r="F24" s="16">
        <f>(A24-A23)*60</f>
        <v/>
      </c>
      <c r="G24" s="24">
        <f>MAX(0,G23+(0.5*(B23+B24)-E24)*F24)</f>
        <v/>
      </c>
    </row>
    <row r="25">
      <c r="A25" s="4">
        <f>Hydrogramme!A15</f>
        <v/>
      </c>
      <c r="B25" s="5">
        <f>Hydrogramme!B15</f>
        <v/>
      </c>
      <c r="C25" s="5">
        <f>IF($B$8&gt;0,G24/$B$8,0)</f>
        <v/>
      </c>
      <c r="D25" s="5">
        <f>IF(C25&lt;=0,0,$B$5*(PI()*($B$6^2)/4)*SQRT(2*9.81*C25))</f>
        <v/>
      </c>
      <c r="E25" s="5">
        <f>IF(G24&lt;=0.01,MIN(0.5*(B24+B25),$B$7),MIN($B$7,D25))</f>
        <v/>
      </c>
      <c r="F25" s="16">
        <f>(A25-A24)*60</f>
        <v/>
      </c>
      <c r="G25" s="24">
        <f>MAX(0,G24+(0.5*(B24+B25)-E25)*F25)</f>
        <v/>
      </c>
    </row>
    <row r="26">
      <c r="A26" s="4">
        <f>Hydrogramme!A16</f>
        <v/>
      </c>
      <c r="B26" s="5">
        <f>Hydrogramme!B16</f>
        <v/>
      </c>
      <c r="C26" s="5">
        <f>IF($B$8&gt;0,G25/$B$8,0)</f>
        <v/>
      </c>
      <c r="D26" s="5">
        <f>IF(C26&lt;=0,0,$B$5*(PI()*($B$6^2)/4)*SQRT(2*9.81*C26))</f>
        <v/>
      </c>
      <c r="E26" s="5">
        <f>IF(G25&lt;=0.01,MIN(0.5*(B25+B26),$B$7),MIN($B$7,D26))</f>
        <v/>
      </c>
      <c r="F26" s="16">
        <f>(A26-A25)*60</f>
        <v/>
      </c>
      <c r="G26" s="24">
        <f>MAX(0,G25+(0.5*(B25+B26)-E26)*F26)</f>
        <v/>
      </c>
    </row>
    <row r="27">
      <c r="A27" s="4">
        <f>Hydrogramme!A17</f>
        <v/>
      </c>
      <c r="B27" s="5">
        <f>Hydrogramme!B17</f>
        <v/>
      </c>
      <c r="C27" s="5">
        <f>IF($B$8&gt;0,G26/$B$8,0)</f>
        <v/>
      </c>
      <c r="D27" s="5">
        <f>IF(C27&lt;=0,0,$B$5*(PI()*($B$6^2)/4)*SQRT(2*9.81*C27))</f>
        <v/>
      </c>
      <c r="E27" s="5">
        <f>IF(G26&lt;=0.01,MIN(0.5*(B26+B27),$B$7),MIN($B$7,D27))</f>
        <v/>
      </c>
      <c r="F27" s="16">
        <f>(A27-A26)*60</f>
        <v/>
      </c>
      <c r="G27" s="24">
        <f>MAX(0,G26+(0.5*(B26+B27)-E27)*F27)</f>
        <v/>
      </c>
    </row>
    <row r="28">
      <c r="A28" s="4">
        <f>Hydrogramme!A18</f>
        <v/>
      </c>
      <c r="B28" s="5">
        <f>Hydrogramme!B18</f>
        <v/>
      </c>
      <c r="C28" s="5">
        <f>IF($B$8&gt;0,G27/$B$8,0)</f>
        <v/>
      </c>
      <c r="D28" s="5">
        <f>IF(C28&lt;=0,0,$B$5*(PI()*($B$6^2)/4)*SQRT(2*9.81*C28))</f>
        <v/>
      </c>
      <c r="E28" s="5">
        <f>IF(G27&lt;=0.01,MIN(0.5*(B27+B28),$B$7),MIN($B$7,D28))</f>
        <v/>
      </c>
      <c r="F28" s="16">
        <f>(A28-A27)*60</f>
        <v/>
      </c>
      <c r="G28" s="24">
        <f>MAX(0,G27+(0.5*(B27+B28)-E28)*F28)</f>
        <v/>
      </c>
    </row>
  </sheetData>
  <mergeCells count="1">
    <mergeCell ref="A2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7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Méthode A: Qout = constante = capacité Ø900.</t>
        </is>
      </c>
    </row>
    <row r="6">
      <c r="A6" t="inlineStr">
        <is>
          <t xml:space="preserve">   Pendant chaque pas Δt:  ΔV = 0.5 * ((Qin−Qout)_i + (Qin−Qout)_{i+1}) * Δt</t>
        </is>
      </c>
    </row>
    <row r="7">
      <c r="A7" t="inlineStr">
        <is>
          <t xml:space="preserve">   (excès signé: positif = remplissage, négatif = vidange).</t>
        </is>
      </c>
    </row>
    <row r="8">
      <c r="A8" t="inlineStr">
        <is>
          <t xml:space="preserve">   V(t) = max(0, V(t−Δt) + ΔV).   Vmax = max V(t).</t>
        </is>
      </c>
    </row>
    <row r="9">
      <c r="A9" t="inlineStr">
        <is>
          <t>4. Volume de dimensionnement ≈ Vmax × facteur de sécurité (Parametres).</t>
        </is>
      </c>
    </row>
    <row r="10">
      <c r="A10" t="inlineStr">
        <is>
          <t>5. Méthode B: même bilan, mais Qout dépend de H = V/Aire (orifice plafonné).</t>
        </is>
      </c>
    </row>
    <row r="11">
      <c r="A11" t="inlineStr">
        <is>
          <t>6. Le Ø1200 à 4.93 m³/s est aval: il ne augmente pas la capacité de sortie de la rétention.</t>
        </is>
      </c>
    </row>
    <row r="12">
      <c r="A12" t="inlineStr"/>
    </row>
    <row r="13">
      <c r="A13" t="inlineStr">
        <is>
          <t>Limites: Q=f(H) réelle du ponceau (entrée/sortie, longueur, n) préférable à Qcap constant;</t>
        </is>
      </c>
    </row>
    <row r="14">
      <c r="A14" t="inlineStr">
        <is>
          <t>aire de bassin rarement constante — remplacer par une courbe V(H) de site si disponible.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2026-09-02T02:01:03Z</dcterms:created>
  <dcterms:modified xsi:type="dcterms:W3CDTF">2026-09-02T02:01:03Z</dcterms:modified>
</cp:coreProperties>
</file>