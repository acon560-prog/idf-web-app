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Fichiers_lies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'Courbe_QH_900'!$E$10:$E$70</f>
            </numRef>
          </val>
        </ser>
        <ser>
          <idx val="1"/>
          <order val="1"/>
          <tx>
            <strRef>
              <f>'Courbe_QH_900'!C9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'Courbe_QH_900'!$C$10:$C$70</f>
            </numRef>
          </val>
        </ser>
        <ser>
          <idx val="2"/>
          <order val="2"/>
          <tx>
            <strRef>
              <f>'Courbe_QH_900'!D9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'Courbe_QH_900'!$A$10:$A$70</f>
            </numRef>
          </cat>
          <val>
            <numRef>
              <f>'Courbe_QH_900'!$D$10:$D$70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Qout = f(H) depuis feuille Courbe_QH_900 (FHWA inlet+outlet).</t>
        </is>
      </c>
    </row>
    <row r="45">
      <c r="A45" t="inlineStr">
        <is>
          <t>• Voir feuille Fichiers_lies pour les anciens Excel HY-8 / ponceau+fossé.</t>
        </is>
      </c>
    </row>
    <row r="46">
      <c r="A46" t="inlineStr">
        <is>
          <t>• Vérifier que le radier amont Ø900 (34.88) est bien le fond de la zone de rétention étudiée.</t>
        </is>
      </c>
    </row>
    <row r="47">
      <c r="A47" t="inlineStr">
        <is>
          <t>Vmax_B courbe FHWA (m³)</t>
        </is>
      </c>
      <c r="B47" s="18">
        <f>Calcul_B!B7</f>
        <v/>
      </c>
      <c r="C47" t="inlineStr">
        <is>
          <t>Routage avec Q=f(H) — dépend de Aire_bassin (B24)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20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21" t="n">
        <v>0</v>
      </c>
      <c r="B4" s="5" t="n">
        <v>0.778</v>
      </c>
      <c r="C4" s="4" t="inlineStr"/>
    </row>
    <row r="5">
      <c r="A5" s="21" t="n">
        <v>5</v>
      </c>
      <c r="B5" s="5" t="n">
        <v>1.17</v>
      </c>
      <c r="C5" s="4" t="inlineStr"/>
    </row>
    <row r="6">
      <c r="A6" s="21" t="n">
        <v>8.619999999999999</v>
      </c>
      <c r="B6" s="22" t="n">
        <v>1.668</v>
      </c>
      <c r="C6" s="4" t="inlineStr">
        <is>
          <t>Qin = Qcap (croisement)</t>
        </is>
      </c>
    </row>
    <row r="7">
      <c r="A7" s="21" t="n">
        <v>10</v>
      </c>
      <c r="B7" s="5" t="n">
        <v>1.857</v>
      </c>
      <c r="C7" s="4" t="inlineStr"/>
    </row>
    <row r="8">
      <c r="A8" s="21" t="n">
        <v>15</v>
      </c>
      <c r="B8" s="5" t="n">
        <v>3.202</v>
      </c>
      <c r="C8" s="4" t="inlineStr"/>
    </row>
    <row r="9">
      <c r="A9" s="21" t="n">
        <v>20</v>
      </c>
      <c r="B9" s="5" t="n">
        <v>6.309</v>
      </c>
      <c r="C9" s="4" t="inlineStr"/>
    </row>
    <row r="10">
      <c r="A10" s="21" t="n">
        <v>22.5</v>
      </c>
      <c r="B10" s="8" t="n">
        <v>9.6</v>
      </c>
      <c r="C10" s="4" t="inlineStr">
        <is>
          <t>Pointe</t>
        </is>
      </c>
    </row>
    <row r="11">
      <c r="A11" s="21" t="n">
        <v>27.5</v>
      </c>
      <c r="B11" s="5" t="n">
        <v>5.846</v>
      </c>
      <c r="C11" s="4" t="inlineStr"/>
    </row>
    <row r="12">
      <c r="A12" s="21" t="n">
        <v>32.5</v>
      </c>
      <c r="B12" s="5" t="n">
        <v>3.857</v>
      </c>
      <c r="C12" s="4" t="inlineStr"/>
    </row>
    <row r="13">
      <c r="A13" s="21" t="n">
        <v>37.5</v>
      </c>
      <c r="B13" s="5" t="n">
        <v>2.689</v>
      </c>
      <c r="C13" s="4" t="inlineStr"/>
    </row>
    <row r="14">
      <c r="A14" s="21" t="n">
        <v>42.5</v>
      </c>
      <c r="B14" s="5" t="n">
        <v>1.953</v>
      </c>
      <c r="C14" s="4" t="inlineStr"/>
    </row>
    <row r="15">
      <c r="A15" s="21" t="n">
        <v>45.4</v>
      </c>
      <c r="B15" s="22" t="n">
        <v>1.668</v>
      </c>
      <c r="C15" s="4" t="inlineStr">
        <is>
          <t>Qin = Qcap (croisement)</t>
        </is>
      </c>
    </row>
    <row r="16">
      <c r="A16" s="21" t="n">
        <v>47.5</v>
      </c>
      <c r="B16" s="5" t="n">
        <v>1.462</v>
      </c>
      <c r="C16" s="4" t="inlineStr"/>
    </row>
    <row r="17">
      <c r="A17" s="21" t="n">
        <v>52.5</v>
      </c>
      <c r="B17" s="5" t="n">
        <v>1.121</v>
      </c>
      <c r="C17" s="4" t="inlineStr"/>
    </row>
    <row r="18">
      <c r="A18" s="21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23">
        <f>MAX(B4:B18)</f>
        <v/>
      </c>
    </row>
    <row r="21">
      <c r="A21" t="inlineStr">
        <is>
          <t>t pointe (min)</t>
        </is>
      </c>
      <c r="B21" s="24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croisement Qin=Qcap dans Hydrogramme (~8.6 min si Q=1.668)</t>
        </is>
      </c>
    </row>
    <row r="6">
      <c r="A6" t="inlineStr">
        <is>
          <t>t fin accumulation nette (min)</t>
        </is>
      </c>
      <c r="B6" t="inlineStr">
        <is>
          <t>croisement descendant (~45.4 min si Q=1.668)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1">
        <f>Hydrogramme!A4</f>
        <v/>
      </c>
      <c r="B8" s="5">
        <f>Hydrogramme!B4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1">
        <f>Hydrogramme!A5</f>
        <v/>
      </c>
      <c r="B9" s="5">
        <f>Hydrogramme!B5</f>
        <v/>
      </c>
      <c r="C9" s="27">
        <f>$B$2</f>
        <v/>
      </c>
      <c r="D9" s="5">
        <f>B9-C9</f>
        <v/>
      </c>
      <c r="E9" s="21">
        <f>(A9-A8)*60</f>
        <v/>
      </c>
      <c r="F9" s="21">
        <f>0.5*(B8+B9)*E9</f>
        <v/>
      </c>
      <c r="G9" s="21">
        <f>F9-(H9-H8)</f>
        <v/>
      </c>
      <c r="H9" s="29">
        <f>MAX(0,H8+0.5*(D8+D9)*E9)</f>
        <v/>
      </c>
      <c r="I9" s="4">
        <f>IF(H9&gt;0.5,"oui","non")</f>
        <v/>
      </c>
    </row>
    <row r="10">
      <c r="A10" s="21">
        <f>Hydrogramme!A6</f>
        <v/>
      </c>
      <c r="B10" s="5">
        <f>Hydrogramme!B6</f>
        <v/>
      </c>
      <c r="C10" s="27">
        <f>$B$2</f>
        <v/>
      </c>
      <c r="D10" s="5">
        <f>B10-C10</f>
        <v/>
      </c>
      <c r="E10" s="21">
        <f>(A10-A9)*60</f>
        <v/>
      </c>
      <c r="F10" s="21">
        <f>0.5*(B9+B10)*E10</f>
        <v/>
      </c>
      <c r="G10" s="21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1">
        <f>Hydrogramme!A7</f>
        <v/>
      </c>
      <c r="B11" s="5">
        <f>Hydrogramme!B7</f>
        <v/>
      </c>
      <c r="C11" s="27">
        <f>$B$2</f>
        <v/>
      </c>
      <c r="D11" s="5">
        <f>B11-C11</f>
        <v/>
      </c>
      <c r="E11" s="21">
        <f>(A11-A10)*60</f>
        <v/>
      </c>
      <c r="F11" s="21">
        <f>0.5*(B10+B11)*E11</f>
        <v/>
      </c>
      <c r="G11" s="21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1">
        <f>Hydrogramme!A8</f>
        <v/>
      </c>
      <c r="B12" s="5">
        <f>Hydrogramme!B8</f>
        <v/>
      </c>
      <c r="C12" s="27">
        <f>$B$2</f>
        <v/>
      </c>
      <c r="D12" s="5">
        <f>B12-C12</f>
        <v/>
      </c>
      <c r="E12" s="21">
        <f>(A12-A11)*60</f>
        <v/>
      </c>
      <c r="F12" s="21">
        <f>0.5*(B11+B12)*E12</f>
        <v/>
      </c>
      <c r="G12" s="21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1">
        <f>Hydrogramme!A9</f>
        <v/>
      </c>
      <c r="B13" s="5">
        <f>Hydrogramme!B9</f>
        <v/>
      </c>
      <c r="C13" s="27">
        <f>$B$2</f>
        <v/>
      </c>
      <c r="D13" s="5">
        <f>B13-C13</f>
        <v/>
      </c>
      <c r="E13" s="21">
        <f>(A13-A12)*60</f>
        <v/>
      </c>
      <c r="F13" s="21">
        <f>0.5*(B12+B13)*E13</f>
        <v/>
      </c>
      <c r="G13" s="21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1">
        <f>Hydrogramme!A10</f>
        <v/>
      </c>
      <c r="B14" s="5">
        <f>Hydrogramme!B10</f>
        <v/>
      </c>
      <c r="C14" s="27">
        <f>$B$2</f>
        <v/>
      </c>
      <c r="D14" s="5">
        <f>B14-C14</f>
        <v/>
      </c>
      <c r="E14" s="21">
        <f>(A14-A13)*60</f>
        <v/>
      </c>
      <c r="F14" s="21">
        <f>0.5*(B13+B14)*E14</f>
        <v/>
      </c>
      <c r="G14" s="21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1">
        <f>Hydrogramme!A11</f>
        <v/>
      </c>
      <c r="B15" s="5">
        <f>Hydrogramme!B11</f>
        <v/>
      </c>
      <c r="C15" s="27">
        <f>$B$2</f>
        <v/>
      </c>
      <c r="D15" s="5">
        <f>B15-C15</f>
        <v/>
      </c>
      <c r="E15" s="21">
        <f>(A15-A14)*60</f>
        <v/>
      </c>
      <c r="F15" s="21">
        <f>0.5*(B14+B15)*E15</f>
        <v/>
      </c>
      <c r="G15" s="21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1">
        <f>Hydrogramme!A12</f>
        <v/>
      </c>
      <c r="B16" s="5">
        <f>Hydrogramme!B12</f>
        <v/>
      </c>
      <c r="C16" s="27">
        <f>$B$2</f>
        <v/>
      </c>
      <c r="D16" s="5">
        <f>B16-C16</f>
        <v/>
      </c>
      <c r="E16" s="21">
        <f>(A16-A15)*60</f>
        <v/>
      </c>
      <c r="F16" s="21">
        <f>0.5*(B15+B16)*E16</f>
        <v/>
      </c>
      <c r="G16" s="21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1">
        <f>Hydrogramme!A13</f>
        <v/>
      </c>
      <c r="B17" s="5">
        <f>Hydrogramme!B13</f>
        <v/>
      </c>
      <c r="C17" s="27">
        <f>$B$2</f>
        <v/>
      </c>
      <c r="D17" s="5">
        <f>B17-C17</f>
        <v/>
      </c>
      <c r="E17" s="21">
        <f>(A17-A16)*60</f>
        <v/>
      </c>
      <c r="F17" s="21">
        <f>0.5*(B16+B17)*E17</f>
        <v/>
      </c>
      <c r="G17" s="21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1">
        <f>Hydrogramme!A14</f>
        <v/>
      </c>
      <c r="B18" s="5">
        <f>Hydrogramme!B14</f>
        <v/>
      </c>
      <c r="C18" s="27">
        <f>$B$2</f>
        <v/>
      </c>
      <c r="D18" s="5">
        <f>B18-C18</f>
        <v/>
      </c>
      <c r="E18" s="21">
        <f>(A18-A17)*60</f>
        <v/>
      </c>
      <c r="F18" s="21">
        <f>0.5*(B17+B18)*E18</f>
        <v/>
      </c>
      <c r="G18" s="21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1">
        <f>Hydrogramme!A15</f>
        <v/>
      </c>
      <c r="B19" s="5">
        <f>Hydrogramme!B15</f>
        <v/>
      </c>
      <c r="C19" s="27">
        <f>$B$2</f>
        <v/>
      </c>
      <c r="D19" s="5">
        <f>B19-C19</f>
        <v/>
      </c>
      <c r="E19" s="21">
        <f>(A19-A18)*60</f>
        <v/>
      </c>
      <c r="F19" s="21">
        <f>0.5*(B18+B19)*E19</f>
        <v/>
      </c>
      <c r="G19" s="21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1">
        <f>Hydrogramme!A16</f>
        <v/>
      </c>
      <c r="B20" s="5">
        <f>Hydrogramme!B16</f>
        <v/>
      </c>
      <c r="C20" s="27">
        <f>$B$2</f>
        <v/>
      </c>
      <c r="D20" s="5">
        <f>B20-C20</f>
        <v/>
      </c>
      <c r="E20" s="21">
        <f>(A20-A19)*60</f>
        <v/>
      </c>
      <c r="F20" s="21">
        <f>0.5*(B19+B20)*E20</f>
        <v/>
      </c>
      <c r="G20" s="21">
        <f>F20-(H20-H19)</f>
        <v/>
      </c>
      <c r="H20" s="29">
        <f>MAX(0,H19+0.5*(D19+D20)*E20)</f>
        <v/>
      </c>
      <c r="I20" s="4">
        <f>IF(H20&gt;0.5,"oui","non")</f>
        <v/>
      </c>
    </row>
    <row r="21">
      <c r="A21" s="21">
        <f>Hydrogramme!A17</f>
        <v/>
      </c>
      <c r="B21" s="5">
        <f>Hydrogramme!B17</f>
        <v/>
      </c>
      <c r="C21" s="27">
        <f>$B$2</f>
        <v/>
      </c>
      <c r="D21" s="5">
        <f>B21-C21</f>
        <v/>
      </c>
      <c r="E21" s="21">
        <f>(A21-A20)*60</f>
        <v/>
      </c>
      <c r="F21" s="21">
        <f>0.5*(B20+B21)*E21</f>
        <v/>
      </c>
      <c r="G21" s="21">
        <f>F21-(H21-H20)</f>
        <v/>
      </c>
      <c r="H21" s="29">
        <f>MAX(0,H20+0.5*(D20+D21)*E21)</f>
        <v/>
      </c>
      <c r="I21" s="4">
        <f>IF(H21&gt;0.5,"oui","non")</f>
        <v/>
      </c>
    </row>
    <row r="22">
      <c r="A22" s="21">
        <f>Hydrogramme!A18</f>
        <v/>
      </c>
      <c r="B22" s="5">
        <f>Hydrogramme!B18</f>
        <v/>
      </c>
      <c r="C22" s="27">
        <f>$B$2</f>
        <v/>
      </c>
      <c r="D22" s="5">
        <f>B22-C22</f>
        <v/>
      </c>
      <c r="E22" s="21">
        <f>(A22-A21)*60</f>
        <v/>
      </c>
      <c r="F22" s="21">
        <f>0.5*(B21+B22)*E22</f>
        <v/>
      </c>
      <c r="G22" s="21">
        <f>F22-(H22-H21)</f>
        <v/>
      </c>
      <c r="H22" s="29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2" customWidth="1" min="6" max="6"/>
  </cols>
  <sheetData>
    <row r="1">
      <c r="A1" s="20" t="inlineStr">
        <is>
          <t>Courbe de capacité Ø900 — Q = f(H) (FHWA HDS-5 inlet + outlet)</t>
        </is>
      </c>
    </row>
    <row r="2">
      <c r="A2" s="10" t="inlineStr">
        <is>
          <t>Hypothèses: n=0.013, entrée=square_edge (Ke=0.5, inconnu → conservateur), TW=0 (exutoire libre), L=50.65 m, S0=0.00849. Q_gouvernant = min(Qinlet, Qoutlet). Sur ce tuyau long, le contrôle outlet domine.</t>
        </is>
      </c>
    </row>
    <row r="3"/>
    <row r="5">
      <c r="A5" t="inlineStr">
        <is>
          <t>Q_plein Manning (réf.)</t>
        </is>
      </c>
      <c r="B5" s="14" t="n">
        <v>1.668006465155198</v>
      </c>
      <c r="C5" t="inlineStr">
        <is>
          <t>m³/s — section pleine, pente S0 seulement</t>
        </is>
      </c>
    </row>
    <row r="6">
      <c r="A6" t="inlineStr">
        <is>
          <t>Entrée (hypothèse)</t>
        </is>
      </c>
      <c r="B6" s="30" t="inlineStr">
        <is>
          <t>square_edge</t>
        </is>
      </c>
      <c r="C6" t="inlineStr">
        <is>
          <t>square_edge | beveled | groove_headwall — régénérer le xlsx si changé</t>
        </is>
      </c>
    </row>
    <row r="7">
      <c r="A7" t="inlineStr">
        <is>
          <t>TW (m au-dessus radier aval)</t>
        </is>
      </c>
      <c r="B7" s="30" t="n">
        <v>0</v>
      </c>
      <c r="C7" t="inlineStr">
        <is>
          <t>0 = libre; si TW connu, régénérer avec build_retention_excel.py</t>
        </is>
      </c>
    </row>
    <row r="9">
      <c r="A9" s="3" t="inlineStr">
        <is>
          <t>HW (m)</t>
        </is>
      </c>
      <c r="B9" s="3" t="inlineStr">
        <is>
          <t>WSE (m)</t>
        </is>
      </c>
      <c r="C9" s="3" t="inlineStr">
        <is>
          <t>Qinlet</t>
        </is>
      </c>
      <c r="D9" s="3" t="inlineStr">
        <is>
          <t>Qoutlet</t>
        </is>
      </c>
      <c r="E9" s="3" t="inlineStr">
        <is>
          <t>Q gouvernant</t>
        </is>
      </c>
      <c r="F9" s="3" t="inlineStr">
        <is>
          <t>Contrôle</t>
        </is>
      </c>
    </row>
    <row r="10">
      <c r="A10" s="27" t="n">
        <v>0</v>
      </c>
      <c r="B10" s="27" t="n">
        <v>34.88</v>
      </c>
      <c r="C10" s="5" t="n">
        <v>0</v>
      </c>
      <c r="D10" s="5" t="n">
        <v>0</v>
      </c>
      <c r="E10" s="15" t="n">
        <v>0</v>
      </c>
      <c r="F10" s="4" t="inlineStr">
        <is>
          <t>—</t>
        </is>
      </c>
    </row>
    <row r="11">
      <c r="A11" s="27" t="n">
        <v>0.05</v>
      </c>
      <c r="B11" s="27" t="n">
        <v>34.93</v>
      </c>
      <c r="C11" s="5" t="n">
        <v>2.6023476558891</v>
      </c>
      <c r="D11" s="5" t="n">
        <v>0.01002863087169758</v>
      </c>
      <c r="E11" s="15" t="n">
        <v>0.01002863087169758</v>
      </c>
      <c r="F11" s="4" t="inlineStr">
        <is>
          <t>outlet</t>
        </is>
      </c>
    </row>
    <row r="12">
      <c r="A12" s="27" t="n">
        <v>0.1</v>
      </c>
      <c r="B12" s="27" t="n">
        <v>34.98</v>
      </c>
      <c r="C12" s="5" t="n">
        <v>3.680275348968197</v>
      </c>
      <c r="D12" s="5" t="n">
        <v>0.04343590696816653</v>
      </c>
      <c r="E12" s="15" t="n">
        <v>0.04343590696816653</v>
      </c>
      <c r="F12" s="4" t="inlineStr">
        <is>
          <t>outlet</t>
        </is>
      </c>
    </row>
    <row r="13">
      <c r="A13" s="27" t="n">
        <v>0.15</v>
      </c>
      <c r="B13" s="27" t="n">
        <v>35.03</v>
      </c>
      <c r="C13" s="5" t="n">
        <v>4.507398358957689</v>
      </c>
      <c r="D13" s="5" t="n">
        <v>0.100717292251984</v>
      </c>
      <c r="E13" s="15" t="n">
        <v>0.100717292251984</v>
      </c>
      <c r="F13" s="4" t="inlineStr">
        <is>
          <t>outlet</t>
        </is>
      </c>
    </row>
    <row r="14">
      <c r="A14" s="27" t="n">
        <v>0.2</v>
      </c>
      <c r="B14" s="27" t="n">
        <v>35.08000000000001</v>
      </c>
      <c r="C14" s="5" t="n">
        <v>5.204695311778201</v>
      </c>
      <c r="D14" s="5" t="n">
        <v>0.1806404003717619</v>
      </c>
      <c r="E14" s="15" t="n">
        <v>0.1806404003717619</v>
      </c>
      <c r="F14" s="4" t="inlineStr">
        <is>
          <t>outlet</t>
        </is>
      </c>
    </row>
    <row r="15">
      <c r="A15" s="27" t="n">
        <v>0.25</v>
      </c>
      <c r="B15" s="27" t="n">
        <v>35.13</v>
      </c>
      <c r="C15" s="5" t="n">
        <v>5.819026259655258</v>
      </c>
      <c r="D15" s="5" t="n">
        <v>0.281196921681494</v>
      </c>
      <c r="E15" s="15" t="n">
        <v>0.281196921681494</v>
      </c>
      <c r="F15" s="4" t="inlineStr">
        <is>
          <t>outlet</t>
        </is>
      </c>
    </row>
    <row r="16">
      <c r="A16" s="27" t="n">
        <v>0.3</v>
      </c>
      <c r="B16" s="27" t="n">
        <v>35.18</v>
      </c>
      <c r="C16" s="5" t="n">
        <v>6.374423890256198</v>
      </c>
      <c r="D16" s="5" t="n">
        <v>0.3998735226147597</v>
      </c>
      <c r="E16" s="15" t="n">
        <v>0.3998735226147597</v>
      </c>
      <c r="F16" s="4" t="inlineStr">
        <is>
          <t>outlet</t>
        </is>
      </c>
    </row>
    <row r="17">
      <c r="A17" s="27" t="n">
        <v>0.35</v>
      </c>
      <c r="B17" s="27" t="n">
        <v>35.23</v>
      </c>
      <c r="C17" s="5" t="n">
        <v>6.88516472241445</v>
      </c>
      <c r="D17" s="5" t="n">
        <v>0.5337705973187848</v>
      </c>
      <c r="E17" s="15" t="n">
        <v>0.5337705973187848</v>
      </c>
      <c r="F17" s="4" t="inlineStr">
        <is>
          <t>outlet</t>
        </is>
      </c>
    </row>
    <row r="18">
      <c r="A18" s="27" t="n">
        <v>0.4</v>
      </c>
      <c r="B18" s="27" t="n">
        <v>35.28</v>
      </c>
      <c r="C18" s="5" t="n">
        <v>7.360550697936395</v>
      </c>
      <c r="D18" s="5" t="n">
        <v>0.6796591745176915</v>
      </c>
      <c r="E18" s="15" t="n">
        <v>0.6796591745176915</v>
      </c>
      <c r="F18" s="4" t="inlineStr">
        <is>
          <t>outlet</t>
        </is>
      </c>
    </row>
    <row r="19">
      <c r="A19" s="27" t="n">
        <v>0.45</v>
      </c>
      <c r="B19" s="27" t="n">
        <v>35.33000000000001</v>
      </c>
      <c r="C19" s="5" t="n">
        <v>7.807042967667298</v>
      </c>
      <c r="D19" s="5" t="n">
        <v>0.8340032325775992</v>
      </c>
      <c r="E19" s="15" t="n">
        <v>0.8340032325775992</v>
      </c>
      <c r="F19" s="4" t="inlineStr">
        <is>
          <t>outlet</t>
        </is>
      </c>
    </row>
    <row r="20">
      <c r="A20" s="27" t="n">
        <v>0.5</v>
      </c>
      <c r="B20" s="27" t="n">
        <v>35.38</v>
      </c>
      <c r="C20" s="5" t="n">
        <v>8.229345856209648</v>
      </c>
      <c r="D20" s="5" t="n">
        <v>0.9929557763009054</v>
      </c>
      <c r="E20" s="15" t="n">
        <v>0.9929557763009054</v>
      </c>
      <c r="F20" s="4" t="inlineStr">
        <is>
          <t>outlet</t>
        </is>
      </c>
    </row>
    <row r="21">
      <c r="A21" s="27" t="n">
        <v>0.55</v>
      </c>
      <c r="B21" s="27" t="n">
        <v>35.43</v>
      </c>
      <c r="C21" s="5" t="n">
        <v>8.63101074864505</v>
      </c>
      <c r="D21" s="5" t="n">
        <v>1.152327657120539</v>
      </c>
      <c r="E21" s="15" t="n">
        <v>1.152327657120539</v>
      </c>
      <c r="F21" s="4" t="inlineStr">
        <is>
          <t>outlet</t>
        </is>
      </c>
    </row>
    <row r="22">
      <c r="A22" s="27" t="n">
        <v>0.6</v>
      </c>
      <c r="B22" s="27" t="n">
        <v>35.48</v>
      </c>
      <c r="C22" s="5" t="n">
        <v>9.014796717915377</v>
      </c>
      <c r="D22" s="5" t="n">
        <v>1.307519216598689</v>
      </c>
      <c r="E22" s="15" t="n">
        <v>1.307519216598689</v>
      </c>
      <c r="F22" s="4" t="inlineStr">
        <is>
          <t>outlet</t>
        </is>
      </c>
    </row>
    <row r="23">
      <c r="A23" s="27" t="n">
        <v>0.65</v>
      </c>
      <c r="B23" s="27" t="n">
        <v>35.53</v>
      </c>
      <c r="C23" s="5" t="n">
        <v>9.382897909891664</v>
      </c>
      <c r="D23" s="5" t="n">
        <v>1.453389853296119</v>
      </c>
      <c r="E23" s="15" t="n">
        <v>1.453389853296119</v>
      </c>
      <c r="F23" s="4" t="inlineStr">
        <is>
          <t>outlet</t>
        </is>
      </c>
    </row>
    <row r="24">
      <c r="A24" s="27" t="n">
        <v>0.7</v>
      </c>
      <c r="B24" s="27" t="n">
        <v>35.58000000000001</v>
      </c>
      <c r="C24" s="5" t="n">
        <v>9.737093329611298</v>
      </c>
      <c r="D24" s="5" t="n">
        <v>1.584005967433924</v>
      </c>
      <c r="E24" s="15" t="n">
        <v>1.584005967433924</v>
      </c>
      <c r="F24" s="4" t="inlineStr">
        <is>
          <t>outlet</t>
        </is>
      </c>
    </row>
    <row r="25">
      <c r="A25" s="27" t="n">
        <v>0.75</v>
      </c>
      <c r="B25" s="27" t="n">
        <v>35.63</v>
      </c>
      <c r="C25" s="5" t="n">
        <v>10.07884913230039</v>
      </c>
      <c r="D25" s="5" t="n">
        <v>1.692108486639005</v>
      </c>
      <c r="E25" s="15" t="n">
        <v>1.692108486639005</v>
      </c>
      <c r="F25" s="4" t="inlineStr">
        <is>
          <t>outlet</t>
        </is>
      </c>
    </row>
    <row r="26">
      <c r="A26" s="27" t="n">
        <v>0.8</v>
      </c>
      <c r="B26" s="27" t="n">
        <v>35.68</v>
      </c>
      <c r="C26" s="5" t="n">
        <v>10.4093906235564</v>
      </c>
      <c r="D26" s="5" t="n">
        <v>1.767776830483624</v>
      </c>
      <c r="E26" s="15" t="n">
        <v>1.767776830483624</v>
      </c>
      <c r="F26" s="4" t="inlineStr">
        <is>
          <t>outlet</t>
        </is>
      </c>
    </row>
    <row r="27">
      <c r="A27" s="27" t="n">
        <v>0.85</v>
      </c>
      <c r="B27" s="27" t="n">
        <v>35.73</v>
      </c>
      <c r="C27" s="5" t="n">
        <v>10.72975425980928</v>
      </c>
      <c r="D27" s="5" t="n">
        <v>1.793744127901133</v>
      </c>
      <c r="E27" s="15" t="n">
        <v>1.793744127901133</v>
      </c>
      <c r="F27" s="4" t="inlineStr">
        <is>
          <t>outlet</t>
        </is>
      </c>
    </row>
    <row r="28">
      <c r="A28" s="27" t="n">
        <v>0.9</v>
      </c>
      <c r="B28" s="27" t="n">
        <v>35.78</v>
      </c>
      <c r="C28" s="5" t="n">
        <v>10.76126608759892</v>
      </c>
      <c r="D28" s="5" t="n">
        <v>1.967842229450993</v>
      </c>
      <c r="E28" s="15" t="n">
        <v>1.967842229450993</v>
      </c>
      <c r="F28" s="4" t="inlineStr">
        <is>
          <t>outlet</t>
        </is>
      </c>
    </row>
    <row r="29">
      <c r="A29" s="27" t="n">
        <v>0.95</v>
      </c>
      <c r="B29" s="27" t="n">
        <v>35.83000000000001</v>
      </c>
      <c r="C29" s="5" t="n">
        <v>10.76126608759892</v>
      </c>
      <c r="D29" s="5" t="n">
        <v>2.004490484303977</v>
      </c>
      <c r="E29" s="15" t="n">
        <v>2.004490484303977</v>
      </c>
      <c r="F29" s="4" t="inlineStr">
        <is>
          <t>outlet</t>
        </is>
      </c>
    </row>
    <row r="30">
      <c r="A30" s="27" t="n">
        <v>1</v>
      </c>
      <c r="B30" s="27" t="n">
        <v>35.88</v>
      </c>
      <c r="C30" s="5" t="n">
        <v>10.76126608759892</v>
      </c>
      <c r="D30" s="5" t="n">
        <v>2.040480620667524</v>
      </c>
      <c r="E30" s="15" t="n">
        <v>2.040480620667524</v>
      </c>
      <c r="F30" s="4" t="inlineStr">
        <is>
          <t>outlet</t>
        </is>
      </c>
    </row>
    <row r="31">
      <c r="A31" s="27" t="n">
        <v>1.05</v>
      </c>
      <c r="B31" s="27" t="n">
        <v>35.93</v>
      </c>
      <c r="C31" s="5" t="n">
        <v>10.76126608759892</v>
      </c>
      <c r="D31" s="5" t="n">
        <v>2.075846869346162</v>
      </c>
      <c r="E31" s="15" t="n">
        <v>2.075846869346162</v>
      </c>
      <c r="F31" s="4" t="inlineStr">
        <is>
          <t>outlet</t>
        </is>
      </c>
    </row>
    <row r="32">
      <c r="A32" s="27" t="n">
        <v>1.1</v>
      </c>
      <c r="B32" s="27" t="n">
        <v>35.98</v>
      </c>
      <c r="C32" s="5" t="n">
        <v>10.76126608759892</v>
      </c>
      <c r="D32" s="5" t="n">
        <v>2.11062059277095</v>
      </c>
      <c r="E32" s="15" t="n">
        <v>2.11062059277095</v>
      </c>
      <c r="F32" s="4" t="inlineStr">
        <is>
          <t>outlet</t>
        </is>
      </c>
    </row>
    <row r="33">
      <c r="A33" s="27" t="n">
        <v>1.15</v>
      </c>
      <c r="B33" s="27" t="n">
        <v>36.03</v>
      </c>
      <c r="C33" s="5" t="n">
        <v>10.76126608759892</v>
      </c>
      <c r="D33" s="5" t="n">
        <v>2.144830610627173</v>
      </c>
      <c r="E33" s="15" t="n">
        <v>2.144830610627173</v>
      </c>
      <c r="F33" s="4" t="inlineStr">
        <is>
          <t>outlet</t>
        </is>
      </c>
    </row>
    <row r="34">
      <c r="A34" s="27" t="n">
        <v>1.2</v>
      </c>
      <c r="B34" s="27" t="n">
        <v>36.08000000000001</v>
      </c>
      <c r="C34" s="5" t="n">
        <v>10.76126608759892</v>
      </c>
      <c r="D34" s="5" t="n">
        <v>2.178503479441304</v>
      </c>
      <c r="E34" s="15" t="n">
        <v>2.178503479441304</v>
      </c>
      <c r="F34" s="4" t="inlineStr">
        <is>
          <t>outlet</t>
        </is>
      </c>
    </row>
    <row r="35">
      <c r="A35" s="27" t="n">
        <v>1.25</v>
      </c>
      <c r="B35" s="27" t="n">
        <v>36.13</v>
      </c>
      <c r="C35" s="5" t="n">
        <v>10.76126608759892</v>
      </c>
      <c r="D35" s="5" t="n">
        <v>2.211663733842106</v>
      </c>
      <c r="E35" s="15" t="n">
        <v>2.211663733842106</v>
      </c>
      <c r="F35" s="4" t="inlineStr">
        <is>
          <t>outlet</t>
        </is>
      </c>
    </row>
    <row r="36">
      <c r="A36" s="27" t="n">
        <v>1.3</v>
      </c>
      <c r="B36" s="27" t="n">
        <v>36.18</v>
      </c>
      <c r="C36" s="5" t="n">
        <v>10.76126608759892</v>
      </c>
      <c r="D36" s="5" t="n">
        <v>2.244334095727938</v>
      </c>
      <c r="E36" s="15" t="n">
        <v>2.244334095727938</v>
      </c>
      <c r="F36" s="4" t="inlineStr">
        <is>
          <t>outlet</t>
        </is>
      </c>
    </row>
    <row r="37">
      <c r="A37" s="27" t="n">
        <v>1.35</v>
      </c>
      <c r="B37" s="27" t="n">
        <v>36.23</v>
      </c>
      <c r="C37" s="5" t="n">
        <v>10.76126608759892</v>
      </c>
      <c r="D37" s="5" t="n">
        <v>2.276535656408983</v>
      </c>
      <c r="E37" s="15" t="n">
        <v>2.276535656408983</v>
      </c>
      <c r="F37" s="4" t="inlineStr">
        <is>
          <t>outlet</t>
        </is>
      </c>
    </row>
    <row r="38">
      <c r="A38" s="27" t="n">
        <v>1.4</v>
      </c>
      <c r="B38" s="27" t="n">
        <v>36.28</v>
      </c>
      <c r="C38" s="5" t="n">
        <v>10.76126608759892</v>
      </c>
      <c r="D38" s="5" t="n">
        <v>2.308288035873342</v>
      </c>
      <c r="E38" s="15" t="n">
        <v>2.308288035873342</v>
      </c>
      <c r="F38" s="4" t="inlineStr">
        <is>
          <t>outlet</t>
        </is>
      </c>
    </row>
    <row r="39">
      <c r="A39" s="27" t="n">
        <v>1.45</v>
      </c>
      <c r="B39" s="27" t="n">
        <v>36.33000000000001</v>
      </c>
      <c r="C39" s="5" t="n">
        <v>10.76126608759892</v>
      </c>
      <c r="D39" s="5" t="n">
        <v>2.339609522593578</v>
      </c>
      <c r="E39" s="15" t="n">
        <v>2.339609522593578</v>
      </c>
      <c r="F39" s="4" t="inlineStr">
        <is>
          <t>outlet</t>
        </is>
      </c>
    </row>
    <row r="40">
      <c r="A40" s="27" t="n">
        <v>1.5</v>
      </c>
      <c r="B40" s="27" t="n">
        <v>36.38</v>
      </c>
      <c r="C40" s="5" t="n">
        <v>10.76126608759892</v>
      </c>
      <c r="D40" s="5" t="n">
        <v>2.370517196703092</v>
      </c>
      <c r="E40" s="15" t="n">
        <v>2.370517196703092</v>
      </c>
      <c r="F40" s="4" t="inlineStr">
        <is>
          <t>outlet</t>
        </is>
      </c>
    </row>
    <row r="41">
      <c r="A41" s="27" t="n">
        <v>1.55</v>
      </c>
      <c r="B41" s="27" t="n">
        <v>36.43</v>
      </c>
      <c r="C41" s="5" t="n">
        <v>10.76126608759892</v>
      </c>
      <c r="D41" s="5" t="n">
        <v>2.401027038898067</v>
      </c>
      <c r="E41" s="15" t="n">
        <v>2.401027038898067</v>
      </c>
      <c r="F41" s="4" t="inlineStr">
        <is>
          <t>outlet</t>
        </is>
      </c>
    </row>
    <row r="42">
      <c r="A42" s="27" t="n">
        <v>1.6</v>
      </c>
      <c r="B42" s="27" t="n">
        <v>36.48</v>
      </c>
      <c r="C42" s="5" t="n">
        <v>10.76126608759892</v>
      </c>
      <c r="D42" s="5" t="n">
        <v>2.431154027036164</v>
      </c>
      <c r="E42" s="15" t="n">
        <v>2.431154027036164</v>
      </c>
      <c r="F42" s="4" t="inlineStr">
        <is>
          <t>outlet</t>
        </is>
      </c>
    </row>
    <row r="43">
      <c r="A43" s="27" t="n">
        <v>1.65</v>
      </c>
      <c r="B43" s="27" t="n">
        <v>36.53</v>
      </c>
      <c r="C43" s="5" t="n">
        <v>10.76126608759892</v>
      </c>
      <c r="D43" s="5" t="n">
        <v>2.46091222208934</v>
      </c>
      <c r="E43" s="15" t="n">
        <v>2.46091222208934</v>
      </c>
      <c r="F43" s="4" t="inlineStr">
        <is>
          <t>outlet</t>
        </is>
      </c>
    </row>
    <row r="44">
      <c r="A44" s="27" t="n">
        <v>1.7</v>
      </c>
      <c r="B44" s="27" t="n">
        <v>36.58000000000001</v>
      </c>
      <c r="C44" s="5" t="n">
        <v>10.76126608759892</v>
      </c>
      <c r="D44" s="5" t="n">
        <v>2.490314844850592</v>
      </c>
      <c r="E44" s="15" t="n">
        <v>2.490314844850592</v>
      </c>
      <c r="F44" s="4" t="inlineStr">
        <is>
          <t>outlet</t>
        </is>
      </c>
    </row>
    <row r="45">
      <c r="A45" s="27" t="n">
        <v>1.75</v>
      </c>
      <c r="B45" s="27" t="n">
        <v>36.63</v>
      </c>
      <c r="C45" s="5" t="n">
        <v>10.76126608759892</v>
      </c>
      <c r="D45" s="5" t="n">
        <v>2.519374344581957</v>
      </c>
      <c r="E45" s="15" t="n">
        <v>2.519374344581957</v>
      </c>
      <c r="F45" s="4" t="inlineStr">
        <is>
          <t>outlet</t>
        </is>
      </c>
    </row>
    <row r="46">
      <c r="A46" s="27" t="n">
        <v>1.8</v>
      </c>
      <c r="B46" s="27" t="n">
        <v>36.68</v>
      </c>
      <c r="C46" s="5" t="n">
        <v>10.76126608759892</v>
      </c>
      <c r="D46" s="5" t="n">
        <v>2.548102460615016</v>
      </c>
      <c r="E46" s="15" t="n">
        <v>2.548102460615016</v>
      </c>
      <c r="F46" s="4" t="inlineStr">
        <is>
          <t>outlet</t>
        </is>
      </c>
    </row>
    <row r="47">
      <c r="A47" s="27" t="n">
        <v>1.85</v>
      </c>
      <c r="B47" s="27" t="n">
        <v>36.73</v>
      </c>
      <c r="C47" s="5" t="n">
        <v>10.76126608759892</v>
      </c>
      <c r="D47" s="5" t="n">
        <v>2.576510277768524</v>
      </c>
      <c r="E47" s="15" t="n">
        <v>2.576510277768524</v>
      </c>
      <c r="F47" s="4" t="inlineStr">
        <is>
          <t>outlet</t>
        </is>
      </c>
    </row>
    <row r="48">
      <c r="A48" s="27" t="n">
        <v>1.9</v>
      </c>
      <c r="B48" s="27" t="n">
        <v>36.78</v>
      </c>
      <c r="C48" s="5" t="n">
        <v>10.76126608759892</v>
      </c>
      <c r="D48" s="5" t="n">
        <v>2.604608276325131</v>
      </c>
      <c r="E48" s="15" t="n">
        <v>2.604608276325131</v>
      </c>
      <c r="F48" s="4" t="inlineStr">
        <is>
          <t>outlet</t>
        </is>
      </c>
    </row>
    <row r="49">
      <c r="A49" s="27" t="n">
        <v>1.95</v>
      </c>
      <c r="B49" s="27" t="n">
        <v>36.83000000000001</v>
      </c>
      <c r="C49" s="5" t="n">
        <v>10.76126608759892</v>
      </c>
      <c r="D49" s="5" t="n">
        <v>2.632406377206207</v>
      </c>
      <c r="E49" s="15" t="n">
        <v>2.632406377206207</v>
      </c>
      <c r="F49" s="4" t="inlineStr">
        <is>
          <t>outlet</t>
        </is>
      </c>
    </row>
    <row r="50">
      <c r="A50" s="27" t="n">
        <v>2</v>
      </c>
      <c r="B50" s="27" t="n">
        <v>36.88</v>
      </c>
      <c r="C50" s="5" t="n">
        <v>10.76126608759892</v>
      </c>
      <c r="D50" s="5" t="n">
        <v>2.659913982896899</v>
      </c>
      <c r="E50" s="15" t="n">
        <v>2.659913982896899</v>
      </c>
      <c r="F50" s="4" t="inlineStr">
        <is>
          <t>outlet</t>
        </is>
      </c>
    </row>
    <row r="51">
      <c r="A51" s="27" t="n">
        <v>2.05</v>
      </c>
      <c r="B51" s="27" t="n">
        <v>36.93</v>
      </c>
      <c r="C51" s="5" t="n">
        <v>10.76126608759892</v>
      </c>
      <c r="D51" s="5" t="n">
        <v>2.687140014600091</v>
      </c>
      <c r="E51" s="15" t="n">
        <v>2.687140014600091</v>
      </c>
      <c r="F51" s="4" t="inlineStr">
        <is>
          <t>outlet</t>
        </is>
      </c>
    </row>
    <row r="52">
      <c r="A52" s="27" t="n">
        <v>2.1</v>
      </c>
      <c r="B52" s="27" t="n">
        <v>36.98</v>
      </c>
      <c r="C52" s="5" t="n">
        <v>10.76126608759892</v>
      </c>
      <c r="D52" s="5" t="n">
        <v>2.714092946035473</v>
      </c>
      <c r="E52" s="15" t="n">
        <v>2.714092946035473</v>
      </c>
      <c r="F52" s="4" t="inlineStr">
        <is>
          <t>outlet</t>
        </is>
      </c>
    </row>
    <row r="53">
      <c r="A53" s="27" t="n">
        <v>2.15</v>
      </c>
      <c r="B53" s="27" t="n">
        <v>37.03</v>
      </c>
      <c r="C53" s="5" t="n">
        <v>10.76126608759892</v>
      </c>
      <c r="D53" s="5" t="n">
        <v>2.740780834246703</v>
      </c>
      <c r="E53" s="15" t="n">
        <v>2.740780834246703</v>
      </c>
      <c r="F53" s="4" t="inlineStr">
        <is>
          <t>outlet</t>
        </is>
      </c>
    </row>
    <row r="54">
      <c r="A54" s="27" t="n">
        <v>2.2</v>
      </c>
      <c r="B54" s="27" t="n">
        <v>37.08000000000001</v>
      </c>
      <c r="C54" s="5" t="n">
        <v>10.76126608759892</v>
      </c>
      <c r="D54" s="5" t="n">
        <v>2.767211347734138</v>
      </c>
      <c r="E54" s="15" t="n">
        <v>2.767211347734138</v>
      </c>
      <c r="F54" s="4" t="inlineStr">
        <is>
          <t>outlet</t>
        </is>
      </c>
    </row>
    <row r="55">
      <c r="A55" s="27" t="n">
        <v>2.25</v>
      </c>
      <c r="B55" s="27" t="n">
        <v>37.13</v>
      </c>
      <c r="C55" s="5" t="n">
        <v>10.76126608759892</v>
      </c>
      <c r="D55" s="5" t="n">
        <v>2.79339179219155</v>
      </c>
      <c r="E55" s="15" t="n">
        <v>2.79339179219155</v>
      </c>
      <c r="F55" s="4" t="inlineStr">
        <is>
          <t>outlet</t>
        </is>
      </c>
    </row>
    <row r="56">
      <c r="A56" s="27" t="n">
        <v>2.3</v>
      </c>
      <c r="B56" s="27" t="n">
        <v>37.18</v>
      </c>
      <c r="C56" s="5" t="n">
        <v>10.76126608759892</v>
      </c>
      <c r="D56" s="5" t="n">
        <v>2.819329134091594</v>
      </c>
      <c r="E56" s="15" t="n">
        <v>2.819329134091594</v>
      </c>
      <c r="F56" s="4" t="inlineStr">
        <is>
          <t>outlet</t>
        </is>
      </c>
    </row>
    <row r="57">
      <c r="A57" s="27" t="n">
        <v>2.35</v>
      </c>
      <c r="B57" s="27" t="n">
        <v>37.23</v>
      </c>
      <c r="C57" s="5" t="n">
        <v>10.76126608759892</v>
      </c>
      <c r="D57" s="5" t="n">
        <v>2.845030022335827</v>
      </c>
      <c r="E57" s="15" t="n">
        <v>2.845030022335827</v>
      </c>
      <c r="F57" s="4" t="inlineStr">
        <is>
          <t>outlet</t>
        </is>
      </c>
    </row>
    <row r="58">
      <c r="A58" s="27" t="n">
        <v>2.4</v>
      </c>
      <c r="B58" s="27" t="n">
        <v>37.28</v>
      </c>
      <c r="C58" s="5" t="n">
        <v>10.76126608759892</v>
      </c>
      <c r="D58" s="5" t="n">
        <v>2.870500808159916</v>
      </c>
      <c r="E58" s="15" t="n">
        <v>2.870500808159916</v>
      </c>
      <c r="F58" s="4" t="inlineStr">
        <is>
          <t>outlet</t>
        </is>
      </c>
    </row>
    <row r="59">
      <c r="A59" s="27" t="n">
        <v>2.45</v>
      </c>
      <c r="B59" s="27" t="n">
        <v>37.33000000000001</v>
      </c>
      <c r="C59" s="5" t="n">
        <v>10.76126608759892</v>
      </c>
      <c r="D59" s="5" t="n">
        <v>2.89574756346289</v>
      </c>
      <c r="E59" s="15" t="n">
        <v>2.89574756346289</v>
      </c>
      <c r="F59" s="4" t="inlineStr">
        <is>
          <t>outlet</t>
        </is>
      </c>
    </row>
    <row r="60">
      <c r="A60" s="27" t="n">
        <v>2.5</v>
      </c>
      <c r="B60" s="27" t="n">
        <v>37.38</v>
      </c>
      <c r="C60" s="5" t="n">
        <v>10.76126608759892</v>
      </c>
      <c r="D60" s="5" t="n">
        <v>2.920776097710299</v>
      </c>
      <c r="E60" s="15" t="n">
        <v>2.920776097710299</v>
      </c>
      <c r="F60" s="4" t="inlineStr">
        <is>
          <t>outlet</t>
        </is>
      </c>
    </row>
    <row r="61">
      <c r="A61" s="27" t="n">
        <v>2.55</v>
      </c>
      <c r="B61" s="27" t="n">
        <v>37.43</v>
      </c>
      <c r="C61" s="5" t="n">
        <v>10.76126608759892</v>
      </c>
      <c r="D61" s="5" t="n">
        <v>2.945591973544595</v>
      </c>
      <c r="E61" s="15" t="n">
        <v>2.945591973544595</v>
      </c>
      <c r="F61" s="4" t="inlineStr">
        <is>
          <t>outlet</t>
        </is>
      </c>
    </row>
    <row r="62">
      <c r="A62" s="27" t="n">
        <v>2.6</v>
      </c>
      <c r="B62" s="27" t="n">
        <v>37.48</v>
      </c>
      <c r="C62" s="5" t="n">
        <v>10.76126608759892</v>
      </c>
      <c r="D62" s="5" t="n">
        <v>2.970200521221568</v>
      </c>
      <c r="E62" s="15" t="n">
        <v>2.970200521221568</v>
      </c>
      <c r="F62" s="4" t="inlineStr">
        <is>
          <t>outlet</t>
        </is>
      </c>
    </row>
    <row r="63">
      <c r="A63" s="27" t="n">
        <v>2.65</v>
      </c>
      <c r="B63" s="27" t="n">
        <v>37.53</v>
      </c>
      <c r="C63" s="5" t="n">
        <v>10.76126608759892</v>
      </c>
      <c r="D63" s="5" t="n">
        <v>2.994606851978972</v>
      </c>
      <c r="E63" s="15" t="n">
        <v>2.994606851978972</v>
      </c>
      <c r="F63" s="4" t="inlineStr">
        <is>
          <t>outlet</t>
        </is>
      </c>
    </row>
    <row r="64">
      <c r="A64" s="27" t="n">
        <v>2.7</v>
      </c>
      <c r="B64" s="27" t="n">
        <v>37.58000000000001</v>
      </c>
      <c r="C64" s="5" t="n">
        <v>10.76126608759892</v>
      </c>
      <c r="D64" s="5" t="n">
        <v>3.018815870432304</v>
      </c>
      <c r="E64" s="15" t="n">
        <v>3.018815870432304</v>
      </c>
      <c r="F64" s="4" t="inlineStr">
        <is>
          <t>outlet</t>
        </is>
      </c>
    </row>
    <row r="65">
      <c r="A65" s="27" t="n">
        <v>2.75</v>
      </c>
      <c r="B65" s="27" t="n">
        <v>37.63</v>
      </c>
      <c r="C65" s="5" t="n">
        <v>10.76126608759892</v>
      </c>
      <c r="D65" s="5" t="n">
        <v>3.042832286082899</v>
      </c>
      <c r="E65" s="15" t="n">
        <v>3.042832286082899</v>
      </c>
      <c r="F65" s="4" t="inlineStr">
        <is>
          <t>outlet</t>
        </is>
      </c>
    </row>
    <row r="66">
      <c r="A66" s="27" t="n">
        <v>2.8</v>
      </c>
      <c r="B66" s="27" t="n">
        <v>37.68</v>
      </c>
      <c r="C66" s="5" t="n">
        <v>10.76126608759892</v>
      </c>
      <c r="D66" s="5" t="n">
        <v>3.066660624014829</v>
      </c>
      <c r="E66" s="15" t="n">
        <v>3.066660624014829</v>
      </c>
      <c r="F66" s="4" t="inlineStr">
        <is>
          <t>outlet</t>
        </is>
      </c>
    </row>
    <row r="67">
      <c r="A67" s="27" t="n">
        <v>2.85</v>
      </c>
      <c r="B67" s="27" t="n">
        <v>37.73</v>
      </c>
      <c r="C67" s="5" t="n">
        <v>10.76126608759892</v>
      </c>
      <c r="D67" s="5" t="n">
        <v>3.090305234849392</v>
      </c>
      <c r="E67" s="15" t="n">
        <v>3.090305234849392</v>
      </c>
      <c r="F67" s="4" t="inlineStr">
        <is>
          <t>outlet</t>
        </is>
      </c>
    </row>
    <row r="68">
      <c r="A68" s="27" t="n">
        <v>2.9</v>
      </c>
      <c r="B68" s="27" t="n">
        <v>37.78</v>
      </c>
      <c r="C68" s="5" t="n">
        <v>10.76126608759892</v>
      </c>
      <c r="D68" s="5" t="n">
        <v>3.113770304019243</v>
      </c>
      <c r="E68" s="15" t="n">
        <v>3.113770304019243</v>
      </c>
      <c r="F68" s="4" t="inlineStr">
        <is>
          <t>outlet</t>
        </is>
      </c>
    </row>
    <row r="69">
      <c r="A69" s="27" t="n">
        <v>2.95</v>
      </c>
      <c r="B69" s="27" t="n">
        <v>37.83000000000001</v>
      </c>
      <c r="C69" s="5" t="n">
        <v>10.76126608759892</v>
      </c>
      <c r="D69" s="5" t="n">
        <v>3.137059860418132</v>
      </c>
      <c r="E69" s="15" t="n">
        <v>3.137059860418132</v>
      </c>
      <c r="F69" s="4" t="inlineStr">
        <is>
          <t>outlet</t>
        </is>
      </c>
    </row>
    <row r="70">
      <c r="A70" s="27" t="n">
        <v>3</v>
      </c>
      <c r="B70" s="27" t="n">
        <v>37.88</v>
      </c>
      <c r="C70" s="5" t="n">
        <v>10.76126608759892</v>
      </c>
      <c r="D70" s="5" t="n">
        <v>3.160177784476874</v>
      </c>
      <c r="E70" s="15" t="n">
        <v>3.160177784476874</v>
      </c>
      <c r="F70" s="4" t="inlineStr">
        <is>
          <t>outlet</t>
        </is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avec Qout = f(H) depuis Courbe_QH_900 (FHWA)</t>
        </is>
      </c>
    </row>
    <row r="2">
      <c r="A2" s="31" t="inlineStr">
        <is>
          <t>H = V / Aire_bassin. Qout interpolé sur Courbe_QH_900!E (Q gouvernant). Si V≈0, Qout = MIN(Qin, Q_plein). ΔV = (Qin_moy − Qout)·Δt.</t>
        </is>
      </c>
    </row>
    <row r="3"/>
    <row r="5">
      <c r="A5" t="inlineStr">
        <is>
          <t>Aire (m²)</t>
        </is>
      </c>
      <c r="B5" s="30">
        <f>Parametres!B24</f>
        <v/>
      </c>
    </row>
    <row r="6">
      <c r="A6" t="inlineStr">
        <is>
          <t>Q_plein réf. (m³/s)</t>
        </is>
      </c>
      <c r="B6" s="30">
        <f>Parametres!B22</f>
        <v/>
      </c>
    </row>
    <row r="7">
      <c r="A7" t="inlineStr">
        <is>
          <t>Vmax_B (m³)</t>
        </is>
      </c>
      <c r="B7" s="26">
        <f>MAX(G12:G26)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Hydrogramme!A4</f>
        <v/>
      </c>
      <c r="B12" s="5">
        <f>Hydrogramme!B4</f>
        <v/>
      </c>
      <c r="C12" s="5" t="n">
        <v>0</v>
      </c>
      <c r="D12" s="5" t="n">
        <v>0</v>
      </c>
      <c r="E12" s="5">
        <f>MIN(B12,$B$6)</f>
        <v/>
      </c>
      <c r="F12" s="21" t="n">
        <v>0</v>
      </c>
      <c r="G12" s="29" t="n">
        <v>0</v>
      </c>
    </row>
    <row r="13">
      <c r="A13" s="4">
        <f>Hydrogramme!A5</f>
        <v/>
      </c>
      <c r="B13" s="5">
        <f>Hydrogramme!B5</f>
        <v/>
      </c>
      <c r="C13" s="5">
        <f>IF($B$5&gt;0,G12/$B$5,0)</f>
        <v/>
      </c>
      <c r="D13" s="5">
        <f>IF(C13&lt;=0,0,IF(C13&gt;=INDEX(Courbe_QH_900!$A$10:$A$70,ROWS(Courbe_QH_900!$A$10:$A$70)),INDEX(Courbe_QH_900!$E$10:$E$70,ROWS(Courbe_QH_900!$E$10:$E$70)),INDEX(Courbe_QH_900!$E$10:$E$70,MATCH(C13,Courbe_QH_900!$A$10:$A$70,1))+(C13-INDEX(Courbe_QH_900!$A$10:$A$70,MATCH(C13,Courbe_QH_900!$A$10:$A$70,1)))/(INDEX(Courbe_QH_900!$A$10:$A$70,MATCH(C13,Courbe_QH_900!$A$10:$A$70,1)+1)-INDEX(Courbe_QH_900!$A$10:$A$70,MATCH(C13,Courbe_QH_900!$A$10:$A$70,1)))*(INDEX(Courbe_QH_900!$E$10:$E$70,MATCH(C13,Courbe_QH_900!$A$10:$A$70,1)+1)-INDEX(Courbe_QH_900!$E$10:$E$70,MATCH(C13,Courbe_QH_900!$A$10:$A$70,1)))))</f>
        <v/>
      </c>
      <c r="E13" s="5">
        <f>IF(G12&lt;=0.01,MIN(0.5*(B12+B13),$B$6),D13)</f>
        <v/>
      </c>
      <c r="F13" s="21">
        <f>(A13-A12)*60</f>
        <v/>
      </c>
      <c r="G13" s="29">
        <f>MAX(0,G12+(0.5*(B12+B13)-E13)*F13)</f>
        <v/>
      </c>
    </row>
    <row r="14">
      <c r="A14" s="4">
        <f>Hydrogramme!A6</f>
        <v/>
      </c>
      <c r="B14" s="5">
        <f>Hydrogramme!B6</f>
        <v/>
      </c>
      <c r="C14" s="5">
        <f>IF($B$5&gt;0,G13/$B$5,0)</f>
        <v/>
      </c>
      <c r="D14" s="5">
        <f>IF(C14&lt;=0,0,IF(C14&gt;=INDEX(Courbe_QH_900!$A$10:$A$70,ROWS(Courbe_QH_900!$A$10:$A$70)),INDEX(Courbe_QH_900!$E$10:$E$70,ROWS(Courbe_QH_900!$E$10:$E$70)),INDEX(Courbe_QH_900!$E$10:$E$70,MATCH(C14,Courbe_QH_900!$A$10:$A$70,1))+(C14-INDEX(Courbe_QH_900!$A$10:$A$70,MATCH(C14,Courbe_QH_900!$A$10:$A$70,1)))/(INDEX(Courbe_QH_900!$A$10:$A$70,MATCH(C14,Courbe_QH_900!$A$10:$A$70,1)+1)-INDEX(Courbe_QH_900!$A$10:$A$70,MATCH(C14,Courbe_QH_900!$A$10:$A$70,1)))*(INDEX(Courbe_QH_900!$E$10:$E$70,MATCH(C14,Courbe_QH_900!$A$10:$A$70,1)+1)-INDEX(Courbe_QH_900!$E$10:$E$70,MATCH(C14,Courbe_QH_900!$A$10:$A$70,1)))))</f>
        <v/>
      </c>
      <c r="E14" s="5">
        <f>IF(G13&lt;=0.01,MIN(0.5*(B13+B14),$B$6),D14)</f>
        <v/>
      </c>
      <c r="F14" s="21">
        <f>(A14-A13)*60</f>
        <v/>
      </c>
      <c r="G14" s="29">
        <f>MAX(0,G13+(0.5*(B13+B14)-E14)*F14)</f>
        <v/>
      </c>
    </row>
    <row r="15">
      <c r="A15" s="4">
        <f>Hydrogramme!A7</f>
        <v/>
      </c>
      <c r="B15" s="5">
        <f>Hydrogramme!B7</f>
        <v/>
      </c>
      <c r="C15" s="5">
        <f>IF($B$5&gt;0,G14/$B$5,0)</f>
        <v/>
      </c>
      <c r="D15" s="5">
        <f>IF(C15&lt;=0,0,IF(C15&gt;=INDEX(Courbe_QH_900!$A$10:$A$70,ROWS(Courbe_QH_900!$A$10:$A$70)),INDEX(Courbe_QH_900!$E$10:$E$70,ROWS(Courbe_QH_900!$E$10:$E$70)),INDEX(Courbe_QH_900!$E$10:$E$70,MATCH(C15,Courbe_QH_900!$A$10:$A$70,1))+(C15-INDEX(Courbe_QH_900!$A$10:$A$70,MATCH(C15,Courbe_QH_900!$A$10:$A$70,1)))/(INDEX(Courbe_QH_900!$A$10:$A$70,MATCH(C15,Courbe_QH_900!$A$10:$A$70,1)+1)-INDEX(Courbe_QH_900!$A$10:$A$70,MATCH(C15,Courbe_QH_900!$A$10:$A$70,1)))*(INDEX(Courbe_QH_900!$E$10:$E$70,MATCH(C15,Courbe_QH_900!$A$10:$A$70,1)+1)-INDEX(Courbe_QH_900!$E$10:$E$70,MATCH(C15,Courbe_QH_900!$A$10:$A$70,1)))))</f>
        <v/>
      </c>
      <c r="E15" s="5">
        <f>IF(G14&lt;=0.01,MIN(0.5*(B14+B15),$B$6),D15)</f>
        <v/>
      </c>
      <c r="F15" s="21">
        <f>(A15-A14)*60</f>
        <v/>
      </c>
      <c r="G15" s="29">
        <f>MAX(0,G14+(0.5*(B14+B15)-E15)*F15)</f>
        <v/>
      </c>
    </row>
    <row r="16">
      <c r="A16" s="4">
        <f>Hydrogramme!A8</f>
        <v/>
      </c>
      <c r="B16" s="5">
        <f>Hydrogramme!B8</f>
        <v/>
      </c>
      <c r="C16" s="5">
        <f>IF($B$5&gt;0,G15/$B$5,0)</f>
        <v/>
      </c>
      <c r="D16" s="5">
        <f>IF(C16&lt;=0,0,IF(C16&gt;=INDEX(Courbe_QH_900!$A$10:$A$70,ROWS(Courbe_QH_900!$A$10:$A$70)),INDEX(Courbe_QH_900!$E$10:$E$70,ROWS(Courbe_QH_900!$E$10:$E$70)),INDEX(Courbe_QH_900!$E$10:$E$70,MATCH(C16,Courbe_QH_900!$A$10:$A$70,1))+(C16-INDEX(Courbe_QH_900!$A$10:$A$70,MATCH(C16,Courbe_QH_900!$A$10:$A$70,1)))/(INDEX(Courbe_QH_900!$A$10:$A$70,MATCH(C16,Courbe_QH_900!$A$10:$A$70,1)+1)-INDEX(Courbe_QH_900!$A$10:$A$70,MATCH(C16,Courbe_QH_900!$A$10:$A$70,1)))*(INDEX(Courbe_QH_900!$E$10:$E$70,MATCH(C16,Courbe_QH_900!$A$10:$A$70,1)+1)-INDEX(Courbe_QH_900!$E$10:$E$70,MATCH(C16,Courbe_QH_900!$A$10:$A$70,1)))))</f>
        <v/>
      </c>
      <c r="E16" s="5">
        <f>IF(G15&lt;=0.01,MIN(0.5*(B15+B16),$B$6),D16)</f>
        <v/>
      </c>
      <c r="F16" s="21">
        <f>(A16-A15)*60</f>
        <v/>
      </c>
      <c r="G16" s="29">
        <f>MAX(0,G15+(0.5*(B15+B16)-E16)*F16)</f>
        <v/>
      </c>
    </row>
    <row r="17">
      <c r="A17" s="4">
        <f>Hydrogramme!A9</f>
        <v/>
      </c>
      <c r="B17" s="5">
        <f>Hydrogramme!B9</f>
        <v/>
      </c>
      <c r="C17" s="5">
        <f>IF($B$5&gt;0,G16/$B$5,0)</f>
        <v/>
      </c>
      <c r="D17" s="5">
        <f>IF(C17&lt;=0,0,IF(C17&gt;=INDEX(Courbe_QH_900!$A$10:$A$70,ROWS(Courbe_QH_900!$A$10:$A$70)),INDEX(Courbe_QH_900!$E$10:$E$70,ROWS(Courbe_QH_900!$E$10:$E$70)),INDEX(Courbe_QH_900!$E$10:$E$70,MATCH(C17,Courbe_QH_900!$A$10:$A$70,1))+(C17-INDEX(Courbe_QH_900!$A$10:$A$70,MATCH(C17,Courbe_QH_900!$A$10:$A$70,1)))/(INDEX(Courbe_QH_900!$A$10:$A$70,MATCH(C17,Courbe_QH_900!$A$10:$A$70,1)+1)-INDEX(Courbe_QH_900!$A$10:$A$70,MATCH(C17,Courbe_QH_900!$A$10:$A$70,1)))*(INDEX(Courbe_QH_900!$E$10:$E$70,MATCH(C17,Courbe_QH_900!$A$10:$A$70,1)+1)-INDEX(Courbe_QH_900!$E$10:$E$70,MATCH(C17,Courbe_QH_900!$A$10:$A$70,1)))))</f>
        <v/>
      </c>
      <c r="E17" s="5">
        <f>IF(G16&lt;=0.01,MIN(0.5*(B16+B17),$B$6),D17)</f>
        <v/>
      </c>
      <c r="F17" s="21">
        <f>(A17-A16)*60</f>
        <v/>
      </c>
      <c r="G17" s="29">
        <f>MAX(0,G16+(0.5*(B16+B17)-E17)*F17)</f>
        <v/>
      </c>
    </row>
    <row r="18">
      <c r="A18" s="4">
        <f>Hydrogramme!A10</f>
        <v/>
      </c>
      <c r="B18" s="5">
        <f>Hydrogramme!B10</f>
        <v/>
      </c>
      <c r="C18" s="5">
        <f>IF($B$5&gt;0,G17/$B$5,0)</f>
        <v/>
      </c>
      <c r="D18" s="5">
        <f>IF(C18&lt;=0,0,IF(C18&gt;=INDEX(Courbe_QH_900!$A$10:$A$70,ROWS(Courbe_QH_900!$A$10:$A$70)),INDEX(Courbe_QH_900!$E$10:$E$70,ROWS(Courbe_QH_900!$E$10:$E$70)),INDEX(Courbe_QH_900!$E$10:$E$70,MATCH(C18,Courbe_QH_900!$A$10:$A$70,1))+(C18-INDEX(Courbe_QH_900!$A$10:$A$70,MATCH(C18,Courbe_QH_900!$A$10:$A$70,1)))/(INDEX(Courbe_QH_900!$A$10:$A$70,MATCH(C18,Courbe_QH_900!$A$10:$A$70,1)+1)-INDEX(Courbe_QH_900!$A$10:$A$70,MATCH(C18,Courbe_QH_900!$A$10:$A$70,1)))*(INDEX(Courbe_QH_900!$E$10:$E$70,MATCH(C18,Courbe_QH_900!$A$10:$A$70,1)+1)-INDEX(Courbe_QH_900!$E$10:$E$70,MATCH(C18,Courbe_QH_900!$A$10:$A$70,1)))))</f>
        <v/>
      </c>
      <c r="E18" s="5">
        <f>IF(G17&lt;=0.01,MIN(0.5*(B17+B18),$B$6),D18)</f>
        <v/>
      </c>
      <c r="F18" s="21">
        <f>(A18-A17)*60</f>
        <v/>
      </c>
      <c r="G18" s="29">
        <f>MAX(0,G17+(0.5*(B17+B18)-E18)*F18)</f>
        <v/>
      </c>
    </row>
    <row r="19">
      <c r="A19" s="4">
        <f>Hydrogramme!A11</f>
        <v/>
      </c>
      <c r="B19" s="5">
        <f>Hydrogramme!B11</f>
        <v/>
      </c>
      <c r="C19" s="5">
        <f>IF($B$5&gt;0,G18/$B$5,0)</f>
        <v/>
      </c>
      <c r="D19" s="5">
        <f>IF(C19&lt;=0,0,IF(C19&gt;=INDEX(Courbe_QH_900!$A$10:$A$70,ROWS(Courbe_QH_900!$A$10:$A$70)),INDEX(Courbe_QH_900!$E$10:$E$70,ROWS(Courbe_QH_900!$E$10:$E$70)),INDEX(Courbe_QH_900!$E$10:$E$70,MATCH(C19,Courbe_QH_900!$A$10:$A$70,1))+(C19-INDEX(Courbe_QH_900!$A$10:$A$70,MATCH(C19,Courbe_QH_900!$A$10:$A$70,1)))/(INDEX(Courbe_QH_900!$A$10:$A$70,MATCH(C19,Courbe_QH_900!$A$10:$A$70,1)+1)-INDEX(Courbe_QH_900!$A$10:$A$70,MATCH(C19,Courbe_QH_900!$A$10:$A$70,1)))*(INDEX(Courbe_QH_900!$E$10:$E$70,MATCH(C19,Courbe_QH_900!$A$10:$A$70,1)+1)-INDEX(Courbe_QH_900!$E$10:$E$70,MATCH(C19,Courbe_QH_900!$A$10:$A$70,1)))))</f>
        <v/>
      </c>
      <c r="E19" s="5">
        <f>IF(G18&lt;=0.01,MIN(0.5*(B18+B19),$B$6),D19)</f>
        <v/>
      </c>
      <c r="F19" s="21">
        <f>(A19-A18)*60</f>
        <v/>
      </c>
      <c r="G19" s="29">
        <f>MAX(0,G18+(0.5*(B18+B19)-E19)*F19)</f>
        <v/>
      </c>
    </row>
    <row r="20">
      <c r="A20" s="4">
        <f>Hydrogramme!A12</f>
        <v/>
      </c>
      <c r="B20" s="5">
        <f>Hydrogramme!B12</f>
        <v/>
      </c>
      <c r="C20" s="5">
        <f>IF($B$5&gt;0,G19/$B$5,0)</f>
        <v/>
      </c>
      <c r="D20" s="5">
        <f>IF(C20&lt;=0,0,IF(C20&gt;=INDEX(Courbe_QH_900!$A$10:$A$70,ROWS(Courbe_QH_900!$A$10:$A$70)),INDEX(Courbe_QH_900!$E$10:$E$70,ROWS(Courbe_QH_900!$E$10:$E$70)),INDEX(Courbe_QH_900!$E$10:$E$70,MATCH(C20,Courbe_QH_900!$A$10:$A$70,1))+(C20-INDEX(Courbe_QH_900!$A$10:$A$70,MATCH(C20,Courbe_QH_900!$A$10:$A$70,1)))/(INDEX(Courbe_QH_900!$A$10:$A$70,MATCH(C20,Courbe_QH_900!$A$10:$A$70,1)+1)-INDEX(Courbe_QH_900!$A$10:$A$70,MATCH(C20,Courbe_QH_900!$A$10:$A$70,1)))*(INDEX(Courbe_QH_900!$E$10:$E$70,MATCH(C20,Courbe_QH_900!$A$10:$A$70,1)+1)-INDEX(Courbe_QH_900!$E$10:$E$70,MATCH(C20,Courbe_QH_900!$A$10:$A$70,1)))))</f>
        <v/>
      </c>
      <c r="E20" s="5">
        <f>IF(G19&lt;=0.01,MIN(0.5*(B19+B20),$B$6),D20)</f>
        <v/>
      </c>
      <c r="F20" s="21">
        <f>(A20-A19)*60</f>
        <v/>
      </c>
      <c r="G20" s="29">
        <f>MAX(0,G19+(0.5*(B19+B20)-E20)*F20)</f>
        <v/>
      </c>
    </row>
    <row r="21">
      <c r="A21" s="4">
        <f>Hydrogramme!A13</f>
        <v/>
      </c>
      <c r="B21" s="5">
        <f>Hydrogramme!B13</f>
        <v/>
      </c>
      <c r="C21" s="5">
        <f>IF($B$5&gt;0,G20/$B$5,0)</f>
        <v/>
      </c>
      <c r="D21" s="5">
        <f>IF(C21&lt;=0,0,IF(C21&gt;=INDEX(Courbe_QH_900!$A$10:$A$70,ROWS(Courbe_QH_900!$A$10:$A$70)),INDEX(Courbe_QH_900!$E$10:$E$70,ROWS(Courbe_QH_900!$E$10:$E$70)),INDEX(Courbe_QH_900!$E$10:$E$70,MATCH(C21,Courbe_QH_900!$A$10:$A$70,1))+(C21-INDEX(Courbe_QH_900!$A$10:$A$70,MATCH(C21,Courbe_QH_900!$A$10:$A$70,1)))/(INDEX(Courbe_QH_900!$A$10:$A$70,MATCH(C21,Courbe_QH_900!$A$10:$A$70,1)+1)-INDEX(Courbe_QH_900!$A$10:$A$70,MATCH(C21,Courbe_QH_900!$A$10:$A$70,1)))*(INDEX(Courbe_QH_900!$E$10:$E$70,MATCH(C21,Courbe_QH_900!$A$10:$A$70,1)+1)-INDEX(Courbe_QH_900!$E$10:$E$70,MATCH(C21,Courbe_QH_900!$A$10:$A$70,1)))))</f>
        <v/>
      </c>
      <c r="E21" s="5">
        <f>IF(G20&lt;=0.01,MIN(0.5*(B20+B21),$B$6),D21)</f>
        <v/>
      </c>
      <c r="F21" s="21">
        <f>(A21-A20)*60</f>
        <v/>
      </c>
      <c r="G21" s="29">
        <f>MAX(0,G20+(0.5*(B20+B21)-E21)*F21)</f>
        <v/>
      </c>
    </row>
    <row r="22">
      <c r="A22" s="4">
        <f>Hydrogramme!A14</f>
        <v/>
      </c>
      <c r="B22" s="5">
        <f>Hydrogramme!B14</f>
        <v/>
      </c>
      <c r="C22" s="5">
        <f>IF($B$5&gt;0,G21/$B$5,0)</f>
        <v/>
      </c>
      <c r="D22" s="5">
        <f>IF(C22&lt;=0,0,IF(C22&gt;=INDEX(Courbe_QH_900!$A$10:$A$70,ROWS(Courbe_QH_900!$A$10:$A$70)),INDEX(Courbe_QH_900!$E$10:$E$70,ROWS(Courbe_QH_900!$E$10:$E$70)),INDEX(Courbe_QH_900!$E$10:$E$70,MATCH(C22,Courbe_QH_900!$A$10:$A$70,1))+(C22-INDEX(Courbe_QH_900!$A$10:$A$70,MATCH(C22,Courbe_QH_900!$A$10:$A$70,1)))/(INDEX(Courbe_QH_900!$A$10:$A$70,MATCH(C22,Courbe_QH_900!$A$10:$A$70,1)+1)-INDEX(Courbe_QH_900!$A$10:$A$70,MATCH(C22,Courbe_QH_900!$A$10:$A$70,1)))*(INDEX(Courbe_QH_900!$E$10:$E$70,MATCH(C22,Courbe_QH_900!$A$10:$A$70,1)+1)-INDEX(Courbe_QH_900!$E$10:$E$70,MATCH(C22,Courbe_QH_900!$A$10:$A$70,1)))))</f>
        <v/>
      </c>
      <c r="E22" s="5">
        <f>IF(G21&lt;=0.01,MIN(0.5*(B21+B22),$B$6),D22)</f>
        <v/>
      </c>
      <c r="F22" s="21">
        <f>(A22-A21)*60</f>
        <v/>
      </c>
      <c r="G22" s="29">
        <f>MAX(0,G21+(0.5*(B21+B22)-E22)*F22)</f>
        <v/>
      </c>
    </row>
    <row r="23">
      <c r="A23" s="4">
        <f>Hydrogramme!A15</f>
        <v/>
      </c>
      <c r="B23" s="5">
        <f>Hydrogramme!B15</f>
        <v/>
      </c>
      <c r="C23" s="5">
        <f>IF($B$5&gt;0,G22/$B$5,0)</f>
        <v/>
      </c>
      <c r="D23" s="5">
        <f>IF(C23&lt;=0,0,IF(C23&gt;=INDEX(Courbe_QH_900!$A$10:$A$70,ROWS(Courbe_QH_900!$A$10:$A$70)),INDEX(Courbe_QH_900!$E$10:$E$70,ROWS(Courbe_QH_900!$E$10:$E$70)),INDEX(Courbe_QH_900!$E$10:$E$70,MATCH(C23,Courbe_QH_900!$A$10:$A$70,1))+(C23-INDEX(Courbe_QH_900!$A$10:$A$70,MATCH(C23,Courbe_QH_900!$A$10:$A$70,1)))/(INDEX(Courbe_QH_900!$A$10:$A$70,MATCH(C23,Courbe_QH_900!$A$10:$A$70,1)+1)-INDEX(Courbe_QH_900!$A$10:$A$70,MATCH(C23,Courbe_QH_900!$A$10:$A$70,1)))*(INDEX(Courbe_QH_900!$E$10:$E$70,MATCH(C23,Courbe_QH_900!$A$10:$A$70,1)+1)-INDEX(Courbe_QH_900!$E$10:$E$70,MATCH(C23,Courbe_QH_900!$A$10:$A$70,1)))))</f>
        <v/>
      </c>
      <c r="E23" s="5">
        <f>IF(G22&lt;=0.01,MIN(0.5*(B22+B23),$B$6),D23)</f>
        <v/>
      </c>
      <c r="F23" s="21">
        <f>(A23-A22)*60</f>
        <v/>
      </c>
      <c r="G23" s="29">
        <f>MAX(0,G22+(0.5*(B22+B23)-E23)*F23)</f>
        <v/>
      </c>
    </row>
    <row r="24">
      <c r="A24" s="4">
        <f>Hydrogramme!A16</f>
        <v/>
      </c>
      <c r="B24" s="5">
        <f>Hydrogramme!B16</f>
        <v/>
      </c>
      <c r="C24" s="5">
        <f>IF($B$5&gt;0,G23/$B$5,0)</f>
        <v/>
      </c>
      <c r="D24" s="5">
        <f>IF(C24&lt;=0,0,IF(C24&gt;=INDEX(Courbe_QH_900!$A$10:$A$70,ROWS(Courbe_QH_900!$A$10:$A$70)),INDEX(Courbe_QH_900!$E$10:$E$70,ROWS(Courbe_QH_900!$E$10:$E$70)),INDEX(Courbe_QH_900!$E$10:$E$70,MATCH(C24,Courbe_QH_900!$A$10:$A$70,1))+(C24-INDEX(Courbe_QH_900!$A$10:$A$70,MATCH(C24,Courbe_QH_900!$A$10:$A$70,1)))/(INDEX(Courbe_QH_900!$A$10:$A$70,MATCH(C24,Courbe_QH_900!$A$10:$A$70,1)+1)-INDEX(Courbe_QH_900!$A$10:$A$70,MATCH(C24,Courbe_QH_900!$A$10:$A$70,1)))*(INDEX(Courbe_QH_900!$E$10:$E$70,MATCH(C24,Courbe_QH_900!$A$10:$A$70,1)+1)-INDEX(Courbe_QH_900!$E$10:$E$70,MATCH(C24,Courbe_QH_900!$A$10:$A$70,1)))))</f>
        <v/>
      </c>
      <c r="E24" s="5">
        <f>IF(G23&lt;=0.01,MIN(0.5*(B23+B24),$B$6),D24)</f>
        <v/>
      </c>
      <c r="F24" s="21">
        <f>(A24-A23)*60</f>
        <v/>
      </c>
      <c r="G24" s="29">
        <f>MAX(0,G23+(0.5*(B23+B24)-E24)*F24)</f>
        <v/>
      </c>
    </row>
    <row r="25">
      <c r="A25" s="4">
        <f>Hydrogramme!A17</f>
        <v/>
      </c>
      <c r="B25" s="5">
        <f>Hydrogramme!B17</f>
        <v/>
      </c>
      <c r="C25" s="5">
        <f>IF($B$5&gt;0,G24/$B$5,0)</f>
        <v/>
      </c>
      <c r="D25" s="5">
        <f>IF(C25&lt;=0,0,IF(C25&gt;=INDEX(Courbe_QH_900!$A$10:$A$70,ROWS(Courbe_QH_900!$A$10:$A$70)),INDEX(Courbe_QH_900!$E$10:$E$70,ROWS(Courbe_QH_900!$E$10:$E$70)),INDEX(Courbe_QH_900!$E$10:$E$70,MATCH(C25,Courbe_QH_900!$A$10:$A$70,1))+(C25-INDEX(Courbe_QH_900!$A$10:$A$70,MATCH(C25,Courbe_QH_900!$A$10:$A$70,1)))/(INDEX(Courbe_QH_900!$A$10:$A$70,MATCH(C25,Courbe_QH_900!$A$10:$A$70,1)+1)-INDEX(Courbe_QH_900!$A$10:$A$70,MATCH(C25,Courbe_QH_900!$A$10:$A$70,1)))*(INDEX(Courbe_QH_900!$E$10:$E$70,MATCH(C25,Courbe_QH_900!$A$10:$A$70,1)+1)-INDEX(Courbe_QH_900!$E$10:$E$70,MATCH(C25,Courbe_QH_900!$A$10:$A$70,1)))))</f>
        <v/>
      </c>
      <c r="E25" s="5">
        <f>IF(G24&lt;=0.01,MIN(0.5*(B24+B25),$B$6),D25)</f>
        <v/>
      </c>
      <c r="F25" s="21">
        <f>(A25-A24)*60</f>
        <v/>
      </c>
      <c r="G25" s="29">
        <f>MAX(0,G24+(0.5*(B24+B25)-E25)*F25)</f>
        <v/>
      </c>
    </row>
    <row r="26">
      <c r="A26" s="4">
        <f>Hydrogramme!A18</f>
        <v/>
      </c>
      <c r="B26" s="5">
        <f>Hydrogramme!B18</f>
        <v/>
      </c>
      <c r="C26" s="5">
        <f>IF($B$5&gt;0,G25/$B$5,0)</f>
        <v/>
      </c>
      <c r="D26" s="5">
        <f>IF(C26&lt;=0,0,IF(C26&gt;=INDEX(Courbe_QH_900!$A$10:$A$70,ROWS(Courbe_QH_900!$A$10:$A$70)),INDEX(Courbe_QH_900!$E$10:$E$70,ROWS(Courbe_QH_900!$E$10:$E$70)),INDEX(Courbe_QH_900!$E$10:$E$70,MATCH(C26,Courbe_QH_900!$A$10:$A$70,1))+(C26-INDEX(Courbe_QH_900!$A$10:$A$70,MATCH(C26,Courbe_QH_900!$A$10:$A$70,1)))/(INDEX(Courbe_QH_900!$A$10:$A$70,MATCH(C26,Courbe_QH_900!$A$10:$A$70,1)+1)-INDEX(Courbe_QH_900!$A$10:$A$70,MATCH(C26,Courbe_QH_900!$A$10:$A$70,1)))*(INDEX(Courbe_QH_900!$E$10:$E$70,MATCH(C26,Courbe_QH_900!$A$10:$A$70,1)+1)-INDEX(Courbe_QH_900!$E$10:$E$70,MATCH(C26,Courbe_QH_900!$A$10:$A$70,1)))))</f>
        <v/>
      </c>
      <c r="E26" s="5">
        <f>IF(G25&lt;=0.01,MIN(0.5*(B25+B26),$B$6),D26)</f>
        <v/>
      </c>
      <c r="F26" s="21">
        <f>(A26-A25)*60</f>
        <v/>
      </c>
      <c r="G26" s="29">
        <f>MAX(0,G25+(0.5*(B25+B26)-E26)*F26)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2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3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2026-09-07T22:59:14Z</dcterms:created>
  <dcterms:modified xsi:type="dcterms:W3CDTF">2026-09-07T22:59:14Z</dcterms:modified>
</cp:coreProperties>
</file>