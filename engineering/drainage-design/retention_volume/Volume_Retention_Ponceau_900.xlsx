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Hydrogramme" sheetId="2" state="visible" r:id="rId2"/>
    <sheet name="Calcul_A" sheetId="3" state="visible" r:id="rId3"/>
    <sheet name="Courbe_QH_900" sheetId="4" state="visible" r:id="rId4"/>
    <sheet name="Calcul_B" sheetId="5" state="visible" r:id="rId5"/>
    <sheet name="Compose_900" sheetId="6" state="visible" r:id="rId6"/>
    <sheet name="Calcul_C" sheetId="7" state="visible" r:id="rId7"/>
    <sheet name="Stage_Storage" sheetId="8" state="visible" r:id="rId8"/>
    <sheet name="Fichiers_lies" sheetId="9" state="visible" r:id="rId9"/>
    <sheet name="Metho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7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FFFFFF"/>
    </font>
    <font>
      <b val="1"/>
      <color rgb="000F5C5C"/>
      <sz val="12"/>
    </font>
    <font>
      <b val="1"/>
      <color rgb="000F5C5C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0F5C5C"/>
      </patternFill>
    </fill>
    <fill>
      <patternFill patternType="solid">
        <fgColor rgb="00FCE4D6"/>
      </patternFill>
    </fill>
    <fill>
      <patternFill patternType="solid">
        <fgColor rgb="00FFF59D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0" applyAlignment="1" pivotButton="0" quotePrefix="0" xfId="0">
      <alignment vertical="top" wrapText="1"/>
    </xf>
    <xf numFmtId="164" fontId="0" fillId="4" borderId="1" pivotButton="0" quotePrefix="0" xfId="0"/>
    <xf numFmtId="2" fontId="0" fillId="4" borderId="1" pivotButton="0" quotePrefix="0" xfId="0"/>
    <xf numFmtId="165" fontId="0" fillId="5" borderId="0" pivotButton="0" quotePrefix="0" xfId="0"/>
    <xf numFmtId="164" fontId="0" fillId="5" borderId="0" pivotButton="0" quotePrefix="0" xfId="0"/>
    <xf numFmtId="164" fontId="0" fillId="6" borderId="1" pivotButton="0" quotePrefix="0" xfId="0"/>
    <xf numFmtId="2" fontId="0" fillId="0" borderId="0" pivotButton="0" quotePrefix="0" xfId="0"/>
    <xf numFmtId="1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1" fontId="0" fillId="6" borderId="0" pivotButton="0" quotePrefix="0" xfId="0"/>
    <xf numFmtId="2" fontId="0" fillId="5" borderId="0" pivotButton="0" quotePrefix="0" xfId="0"/>
    <xf numFmtId="2" fontId="0" fillId="6" borderId="0" pivotButton="0" quotePrefix="0" xfId="0"/>
    <xf numFmtId="0" fontId="4" fillId="0" borderId="0" pivotButton="0" quotePrefix="0" xfId="0"/>
    <xf numFmtId="166" fontId="0" fillId="4" borderId="0" pivotButton="0" quotePrefix="0" xfId="0"/>
    <xf numFmtId="166" fontId="0" fillId="0" borderId="1" pivotButton="0" quotePrefix="0" xfId="0"/>
    <xf numFmtId="164" fontId="0" fillId="5" borderId="1" pivotButton="0" quotePrefix="0" xfId="0"/>
    <xf numFmtId="164" fontId="0" fillId="6" borderId="0" pivotButton="0" quotePrefix="0" xfId="0"/>
    <xf numFmtId="164" fontId="0" fillId="0" borderId="0" pivotButton="0" quotePrefix="0" xfId="0"/>
    <xf numFmtId="2" fontId="0" fillId="4" borderId="0" pivotButton="0" quotePrefix="0" xfId="0"/>
    <xf numFmtId="166" fontId="0" fillId="6" borderId="0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3" fillId="2" borderId="0" pivotButton="0" quotePrefix="0" xfId="0"/>
    <xf numFmtId="165" fontId="0" fillId="4" borderId="1" pivotButton="0" quotePrefix="0" xfId="0"/>
    <xf numFmtId="0" fontId="0" fillId="4" borderId="1" pivotButton="0" quotePrefix="0" xfId="0"/>
    <xf numFmtId="167" fontId="0" fillId="5" borderId="0" pivotButton="0" quotePrefix="0" xfId="0"/>
    <xf numFmtId="2" fontId="0" fillId="3" borderId="1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166" fontId="0" fillId="3" borderId="1" pivotButton="0" quotePrefix="0" xfId="0"/>
    <xf numFmtId="0" fontId="0" fillId="6" borderId="0" pivotButton="0" quotePrefix="0" xfId="0"/>
    <xf numFmtId="1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Hydrogramme Qin (scalé par Qpointe)</a:t>
            </a:r>
          </a:p>
        </rich>
      </tx>
    </title>
    <plotArea>
      <lineChart>
        <grouping val="standard"/>
        <ser>
          <idx val="0"/>
          <order val="0"/>
          <tx>
            <strRef>
              <f>'Hydrogramme'!C7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'Hydrogramme'!$A$8:$A$20</f>
            </numRef>
          </cat>
          <val>
            <numRef>
              <f>'Hydrogramme'!$C$8:$C$20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stocké cumulé (Méthode A)</a:t>
            </a:r>
          </a:p>
        </rich>
      </tx>
    </title>
    <plotArea>
      <lineChart>
        <grouping val="standard"/>
        <ser>
          <idx val="0"/>
          <order val="0"/>
          <tx>
            <strRef>
              <f>'Calcul_A'!H7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'Calcul_A'!$H$8:$H$20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Qin vs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'Calcul_A'!B7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'Calcul_A'!$B$8:$B$20</f>
            </numRef>
          </val>
        </ser>
        <ser>
          <idx val="1"/>
          <order val="1"/>
          <tx>
            <strRef>
              <f>'Calcul_A'!C7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'Calcul_A'!$C$8:$C$20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gouvernant vs HW (Ø900) — live</a:t>
            </a:r>
          </a:p>
        </rich>
      </tx>
    </title>
    <plotArea>
      <lineChart>
        <grouping val="standard"/>
        <ser>
          <idx val="0"/>
          <order val="0"/>
          <tx>
            <strRef>
              <f>'Courbe_QH_900'!E23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'Courbe_QH_900'!$A$24:$A$84</f>
            </numRef>
          </cat>
          <val>
            <numRef>
              <f>'Courbe_QH_900'!$E$24:$E$84</f>
            </numRef>
          </val>
        </ser>
        <ser>
          <idx val="1"/>
          <order val="1"/>
          <tx>
            <strRef>
              <f>'Courbe_QH_900'!C23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'Courbe_QH_900'!$A$24:$A$84</f>
            </numRef>
          </cat>
          <val>
            <numRef>
              <f>'Courbe_QH_900'!$C$24:$C$84</f>
            </numRef>
          </val>
        </ser>
        <ser>
          <idx val="2"/>
          <order val="2"/>
          <tx>
            <strRef>
              <f>'Courbe_QH_900'!D23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'Courbe_QH_900'!$A$24:$A$84</f>
            </numRef>
          </cat>
          <val>
            <numRef>
              <f>'Courbe_QH_900'!$D$24:$D$84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HW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Qout composé vs WSE</a:t>
            </a:r>
          </a:p>
        </rich>
      </tx>
    </title>
    <plotArea>
      <lineChart>
        <grouping val="standard"/>
        <ser>
          <idx val="0"/>
          <order val="0"/>
          <tx>
            <strRef>
              <f>'Compose_900'!J14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'Compose_900'!$A$15:$A$107</f>
            </numRef>
          </cat>
          <val>
            <numRef>
              <f>'Compose_900'!$J$15:$J$107</f>
            </numRef>
          </val>
        </ser>
        <ser>
          <idx val="1"/>
          <order val="1"/>
          <tx>
            <strRef>
              <f>'Compose_900'!H14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'Compose_900'!$A$15:$A$107</f>
            </numRef>
          </cat>
          <val>
            <numRef>
              <f>'Compose_900'!$H$15:$H$107</f>
            </numRef>
          </val>
        </ser>
        <ser>
          <idx val="2"/>
          <order val="2"/>
          <tx>
            <strRef>
              <f>'Compose_900'!I14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'Compose_900'!$A$15:$A$107</f>
            </numRef>
          </cat>
          <val>
            <numRef>
              <f>'Compose_900'!$I$15:$I$107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 cumulé vs WSE (levé)</a:t>
            </a:r>
          </a:p>
        </rich>
      </tx>
    </title>
    <plotArea>
      <lineChart>
        <grouping val="standard"/>
        <ser>
          <idx val="0"/>
          <order val="0"/>
          <tx>
            <strRef>
              <f>'Stage_Storage'!E10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'Stage_Storage'!$A$11:$A$18</f>
            </numRef>
          </cat>
          <val>
            <numRef>
              <f>'Stage_Storage'!$E$11:$E$18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55" customWidth="1" min="3" max="3"/>
    <col width="16" customWidth="1" min="4" max="4"/>
    <col width="16" customWidth="1" min="5" max="5"/>
    <col width="14" customWidth="1" min="6" max="6"/>
    <col width="12" customWidth="1" min="7" max="7"/>
    <col width="26" customWidth="1" min="8" max="8"/>
  </cols>
  <sheetData>
    <row r="1">
      <c r="A1" s="1" t="inlineStr">
        <is>
          <t>Volume de rétention — ponceau Ø900 contrôlant</t>
        </is>
      </c>
    </row>
    <row r="3">
      <c r="A3" s="2" t="inlineStr">
        <is>
          <t>Configuration (série)</t>
        </is>
      </c>
    </row>
    <row r="4">
      <c r="A4" s="3" t="inlineStr">
        <is>
          <t>Ouvrage</t>
        </is>
      </c>
      <c r="B4" s="3" t="inlineStr">
        <is>
          <t>Rôle</t>
        </is>
      </c>
      <c r="C4" s="3" t="inlineStr">
        <is>
          <t>D (mm)</t>
        </is>
      </c>
      <c r="D4" s="3" t="inlineStr">
        <is>
          <t>Radier amont (m)</t>
        </is>
      </c>
      <c r="E4" s="3" t="inlineStr">
        <is>
          <t>Radier aval (m)</t>
        </is>
      </c>
      <c r="F4" s="3" t="inlineStr">
        <is>
          <t>Longueur (m)</t>
        </is>
      </c>
      <c r="G4" s="3" t="inlineStr">
        <is>
          <t>S0 (-)</t>
        </is>
      </c>
      <c r="H4" s="3" t="inlineStr">
        <is>
          <t>Q capacité donnée (m³/s)</t>
        </is>
      </c>
    </row>
    <row r="5">
      <c r="A5" s="4" t="inlineStr">
        <is>
          <t>Ø1500</t>
        </is>
      </c>
      <c r="B5" s="4" t="inlineStr">
        <is>
          <t>Entrée / amont</t>
        </is>
      </c>
      <c r="C5" s="4" t="n">
        <v>1500</v>
      </c>
      <c r="D5" s="5" t="n">
        <v>36.1</v>
      </c>
      <c r="E5" s="5" t="n">
        <v>35.05</v>
      </c>
      <c r="F5" s="5" t="n">
        <v>57</v>
      </c>
      <c r="G5" s="6" t="n">
        <v>0.01842105263157902</v>
      </c>
      <c r="H5" s="5" t="n">
        <v>9.6</v>
      </c>
    </row>
    <row r="6">
      <c r="A6" s="7" t="inlineStr">
        <is>
          <t>Ø900</t>
        </is>
      </c>
      <c r="B6" s="7" t="inlineStr">
        <is>
          <t>Contrôle sortie rétention</t>
        </is>
      </c>
      <c r="C6" s="7" t="n">
        <v>900</v>
      </c>
      <c r="D6" s="8" t="n">
        <v>34.88</v>
      </c>
      <c r="E6" s="8" t="n">
        <v>34.45</v>
      </c>
      <c r="F6" s="8" t="n">
        <v>50.65</v>
      </c>
      <c r="G6" s="9" t="n">
        <v>0.008489634748272452</v>
      </c>
      <c r="H6" s="8" t="n">
        <v>0.986</v>
      </c>
    </row>
    <row r="7">
      <c r="A7" s="4" t="inlineStr">
        <is>
          <t>Ø1200</t>
        </is>
      </c>
      <c r="B7" s="4" t="inlineStr">
        <is>
          <t>Aval du Ø900</t>
        </is>
      </c>
      <c r="C7" s="4" t="n">
        <v>1200</v>
      </c>
      <c r="D7" s="5" t="n">
        <v>33.6</v>
      </c>
      <c r="E7" s="5" t="n">
        <v>33.1</v>
      </c>
      <c r="F7" s="5" t="n">
        <v>31.3</v>
      </c>
      <c r="G7" s="6" t="n">
        <v>0.01597444089456869</v>
      </c>
      <c r="H7" s="5" t="n">
        <v>4.93</v>
      </c>
    </row>
    <row r="9">
      <c r="A9" s="10" t="inlineStr">
        <is>
          <t>Chaîne: Ø1500 → zone de rétention → Ø900 (contrôle) → Ø1200 → exutoire. Le Ø1200 ne peut pas évacuer plus que ce que le Ø900 lui livre.</t>
        </is>
      </c>
    </row>
    <row r="10"/>
    <row r="12">
      <c r="A12" s="2" t="inlineStr">
        <is>
          <t>Capacité Ø900 — Manning pleine section (TOG n = 0,022)</t>
        </is>
      </c>
    </row>
    <row r="13">
      <c r="A13" t="inlineStr">
        <is>
          <t>n Manning (-)</t>
        </is>
      </c>
      <c r="B13" s="11" t="n">
        <v>0.022</v>
      </c>
      <c r="C13" t="inlineStr">
        <is>
          <t>TOG (tuyau ondulé galvanisé) n=0,022 — pas béton</t>
        </is>
      </c>
    </row>
    <row r="14">
      <c r="A14" t="inlineStr">
        <is>
          <t>D (m)</t>
        </is>
      </c>
      <c r="B14" s="12" t="n">
        <v>0.9</v>
      </c>
    </row>
    <row r="15">
      <c r="A15" t="inlineStr">
        <is>
          <t>S0 = (Zamont-Zaval)/L</t>
        </is>
      </c>
      <c r="B15" s="13">
        <f>(D6-E6)/F6</f>
        <v/>
      </c>
      <c r="C15" t="inlineStr">
        <is>
          <t>Formule live depuis tableau géométrie Ø900</t>
        </is>
      </c>
    </row>
    <row r="16">
      <c r="A16" t="inlineStr">
        <is>
          <t>A = πD²/4 (m²)</t>
        </is>
      </c>
      <c r="B16" s="14">
        <f>PI()*B14^2/4</f>
        <v/>
      </c>
    </row>
    <row r="17">
      <c r="A17" t="inlineStr">
        <is>
          <t>R = D/4 (m)</t>
        </is>
      </c>
      <c r="B17" s="14">
        <f>B14/4</f>
        <v/>
      </c>
    </row>
    <row r="18">
      <c r="A18" t="inlineStr">
        <is>
          <t>Q_plein = (1/n)·A·R^(2/3)·√S0</t>
        </is>
      </c>
      <c r="B18" s="15">
        <f>(1/B13)*B16*(B17^(2/3))*SQRT(B15)</f>
        <v/>
      </c>
      <c r="C18" t="inlineStr">
        <is>
          <t>m³/s — formule live (changez n ou géométrie → Q se met à jour)</t>
        </is>
      </c>
    </row>
    <row r="19">
      <c r="A19" t="inlineStr">
        <is>
          <t>Q utilisé avant (m³/s)</t>
        </is>
      </c>
      <c r="B19" s="16" t="n">
        <v>1.77</v>
      </c>
      <c r="C19" t="inlineStr">
        <is>
          <t>Ancienne valeur bureau (~6% plus haute; même méthode)</t>
        </is>
      </c>
    </row>
    <row r="21">
      <c r="A21" s="2" t="inlineStr">
        <is>
          <t>Entrées de calcul rétention (jaune)</t>
        </is>
      </c>
    </row>
    <row r="22">
      <c r="A22" t="inlineStr">
        <is>
          <t>Qout_cap_900 (m³/s)</t>
        </is>
      </c>
      <c r="B22" s="11">
        <f>B18</f>
        <v/>
      </c>
      <c r="C22" t="inlineStr">
        <is>
          <t>Par défaut = Q_plein (B18). Écraser par 1.77 si besoin (ancien calcul).</t>
        </is>
      </c>
    </row>
    <row r="23">
      <c r="A23" t="inlineStr">
        <is>
          <t>Facteur_securite (-)</t>
        </is>
      </c>
      <c r="B23" s="12" t="n">
        <v>1.2</v>
      </c>
      <c r="C23" t="inlineStr">
        <is>
          <t>Marge sur Vmax (ex. 1.20 = +20%)</t>
        </is>
      </c>
    </row>
    <row r="24">
      <c r="A24" t="inlineStr">
        <is>
          <t>Aire_constante_B (m²) — PAS le levé</t>
        </is>
      </c>
      <c r="B24" s="17" t="n">
        <v>2500</v>
      </c>
      <c r="C24" t="inlineStr">
        <is>
          <t>Raccourci Méthode B seulement: H≈V/B24 pour lire Q=f(H). Ce n'est PAS un 2e bassin. Le vrai étang = feuille Stage_Storage (surfaces vs WSE).</t>
        </is>
      </c>
    </row>
    <row r="26">
      <c r="A26" s="2" t="inlineStr">
        <is>
          <t>Débordement Méthode C — fossé trapèze au-dessus du crown (jaune)</t>
        </is>
      </c>
    </row>
    <row r="27">
      <c r="A27" t="inlineStr">
        <is>
          <t>Crest = crown Ø900 (m)</t>
        </is>
      </c>
      <c r="B27" s="12" t="n">
        <v>35.78</v>
      </c>
      <c r="C27" t="inlineStr">
        <is>
          <t>34.88+0.90 — overflow starts when WSE &gt;= crest</t>
        </is>
      </c>
    </row>
    <row r="28">
      <c r="A28" t="inlineStr">
        <is>
          <t>b fond fossé (m)</t>
        </is>
      </c>
      <c r="B28" s="12" t="n">
        <v>2</v>
      </c>
    </row>
    <row r="29">
      <c r="A29" t="inlineStr">
        <is>
          <t>n fossé Manning (-)</t>
        </is>
      </c>
      <c r="B29" s="11" t="n">
        <v>0.035</v>
      </c>
    </row>
    <row r="30">
      <c r="A30" t="inlineStr">
        <is>
          <t>z pente talus (H:V)</t>
        </is>
      </c>
      <c r="B30" s="18" t="n">
        <v>2</v>
      </c>
      <c r="C30" t="inlineStr">
        <is>
          <t>z=2 → 2H:1V</t>
        </is>
      </c>
    </row>
    <row r="31">
      <c r="A31" t="inlineStr">
        <is>
          <t>S pente fossé (-)</t>
        </is>
      </c>
      <c r="B31" s="19" t="n">
        <v>0.008500000000000001</v>
      </c>
      <c r="C31" t="inlineStr">
        <is>
          <t>≈0.0085 (corrigé; pente type lit Ø900 — pas 0.085)</t>
        </is>
      </c>
    </row>
    <row r="32">
      <c r="A32" t="inlineStr">
        <is>
          <t>L fossé (m)</t>
        </is>
      </c>
      <c r="B32" s="18" t="n">
        <v>50.1</v>
      </c>
      <c r="C32" t="inlineStr">
        <is>
          <t>Longueur pour V_ditch = A × L et Manning</t>
        </is>
      </c>
    </row>
    <row r="33">
      <c r="A33" t="inlineStr">
        <is>
          <t>Qout_C (débit sortie)</t>
        </is>
      </c>
      <c r="B33" t="inlineStr">
        <is>
          <t>Q_900(WSE) + Q_overflow(WSE)</t>
        </is>
      </c>
      <c r="C33" t="inlineStr">
        <is>
          <t>Débit = pipe + fossé (Compose_900). Ceci n'est PAS un volume.</t>
        </is>
      </c>
    </row>
    <row r="34">
      <c r="A34" t="inlineStr">
        <is>
          <t>Stockage_C (volume)</t>
        </is>
      </c>
      <c r="B34" t="inlineStr">
        <is>
          <t>V_pond(levé) + V_ditch</t>
        </is>
      </c>
      <c r="C34" t="inlineStr">
        <is>
          <t>Volume = bassin (levé) + fossé — Compose_900 + Calcul_C</t>
        </is>
      </c>
    </row>
    <row r="35">
      <c r="A35" s="2" t="inlineStr">
        <is>
          <t>Résultats Méthode A — Qout constant (feuille Calcul_A)</t>
        </is>
      </c>
    </row>
    <row r="36">
      <c r="A36" t="inlineStr">
        <is>
          <t>Vmax_A (m³)</t>
        </is>
      </c>
      <c r="B36" s="20">
        <f>Calcul_A!B3</f>
        <v/>
      </c>
      <c r="C36" t="inlineStr">
        <is>
          <t>Volume max stocké avec Qout fixe (Parametres B22)</t>
        </is>
      </c>
    </row>
    <row r="37">
      <c r="A37" t="inlineStr">
        <is>
          <t>V_dimensionnement_A = Vmax_A × facteur (m³)</t>
        </is>
      </c>
      <c r="B37" s="20">
        <f>B36*B23</f>
        <v/>
      </c>
    </row>
    <row r="38">
      <c r="A38" t="inlineStr">
        <is>
          <t>Hmax approx_A (m) = Vmax_A / Aire</t>
        </is>
      </c>
      <c r="B38" s="21">
        <f>IF(B24&gt;0,B36/B24,0)</f>
        <v/>
      </c>
      <c r="C38" t="inlineStr">
        <is>
          <t>Estimation grossière si l'aire de bassin est constante (pas le levé)</t>
        </is>
      </c>
    </row>
    <row r="39">
      <c r="A39" t="inlineStr">
        <is>
          <t>WSEmax_A depuis levé (m) — feuille Stage_Storage</t>
        </is>
      </c>
      <c r="B39" s="22">
        <f>IF(B36&lt;=Stage_Storage!E11,Stage_Storage!A11,IF(B36&gt;=Stage_Storage!E18,"Hors table (&gt;=40.0 m — étendre levé)",INDEX(Stage_Storage!$A$11:$A$18,MATCH(B36,Stage_Storage!$E$11:$E$18,1))+(B36-INDEX(Stage_Storage!$E$11:$E$18,MATCH(B36,Stage_Storage!$E$11:$E$18,1)))/(INDEX(Stage_Storage!$E$11:$E$18,MATCH(B36,Stage_Storage!$E$11:$E$18,1)+1)-INDEX(Stage_Storage!$E$11:$E$18,MATCH(B36,Stage_Storage!$E$11:$E$18,1)))*(INDEX(Stage_Storage!$A$11:$A$18,MATCH(B36,Stage_Storage!$E$11:$E$18,1)+1)-INDEX(Stage_Storage!$A$11:$A$18,MATCH(B36,Stage_Storage!$E$11:$E$18,1)))))</f>
        <v/>
      </c>
      <c r="C39" t="inlineStr">
        <is>
          <t>Cote d'eau max pour le Vmax_A: on lit sur Stage_Storage quelle WSE donne ce volume (courbe volume–cote du levé)</t>
        </is>
      </c>
    </row>
    <row r="40">
      <c r="A40" t="inlineStr">
        <is>
          <t>HW max_A = WSEmax_A − radier Ø900 (m)</t>
        </is>
      </c>
      <c r="B40" s="22">
        <f>IF(ISNUMBER(B39),B39-34.88,"")</f>
        <v/>
      </c>
      <c r="C40" t="inlineStr">
        <is>
          <t>Comparer à 2.40 m (limite patron = +1.5 m au-dessus du crown)</t>
        </is>
      </c>
    </row>
    <row r="42">
      <c r="A42" s="2" t="inlineStr">
        <is>
          <t>Résultats Méthode B — Qout = f(H) FHWA pipe seul (feuille Calcul_B)</t>
        </is>
      </c>
    </row>
    <row r="43">
      <c r="A43" t="inlineStr">
        <is>
          <t>Vmax_B (m³)</t>
        </is>
      </c>
      <c r="B43" s="20">
        <f>Calcul_B!B7</f>
        <v/>
      </c>
      <c r="C43" t="inlineStr">
        <is>
          <t>Volume max stocké avec Q lu sur Courbe_QH_900 (dépend de Aire B24)</t>
        </is>
      </c>
    </row>
    <row r="44">
      <c r="A44" t="inlineStr">
        <is>
          <t>V_dimensionnement_B = Vmax_B × facteur (m³)</t>
        </is>
      </c>
      <c r="B44" s="20">
        <f>B43*B23</f>
        <v/>
      </c>
    </row>
    <row r="45">
      <c r="A45" t="inlineStr">
        <is>
          <t>WSEmax_B depuis levé (m) — feuille Stage_Storage</t>
        </is>
      </c>
      <c r="B45" s="22">
        <f>IF(B43&lt;=Stage_Storage!E11,Stage_Storage!A11,IF(B43&gt;=Stage_Storage!E18,"Hors table (&gt;=40.0 m — étendre levé)",INDEX(Stage_Storage!$A$11:$A$18,MATCH(B43,Stage_Storage!$E$11:$E$18,1))+(B43-INDEX(Stage_Storage!$E$11:$E$18,MATCH(B43,Stage_Storage!$E$11:$E$18,1)))/(INDEX(Stage_Storage!$E$11:$E$18,MATCH(B43,Stage_Storage!$E$11:$E$18,1)+1)-INDEX(Stage_Storage!$E$11:$E$18,MATCH(B43,Stage_Storage!$E$11:$E$18,1)))*(INDEX(Stage_Storage!$A$11:$A$18,MATCH(B43,Stage_Storage!$E$11:$E$18,1)+1)-INDEX(Stage_Storage!$A$11:$A$18,MATCH(B43,Stage_Storage!$E$11:$E$18,1)))))</f>
        <v/>
      </c>
      <c r="C45" t="inlineStr">
        <is>
          <t>Même lecture volume→cote que B39, mais avec Vmax_B</t>
        </is>
      </c>
    </row>
    <row r="46">
      <c r="A46" t="inlineStr">
        <is>
          <t>HW max_B = WSEmax_B − radier Ø900 (m)</t>
        </is>
      </c>
      <c r="B46" s="22">
        <f>IF(ISNUMBER(B45),B45-34.88,"")</f>
        <v/>
      </c>
      <c r="C46" t="inlineStr">
        <is>
          <t>Comparer à 2.40 m (limite patron)</t>
        </is>
      </c>
    </row>
    <row r="48">
      <c r="A48" s="2" t="inlineStr">
        <is>
          <t>Résultats Méthode C — Ø900 + fossé trapèze (Compose_900 + Calcul_C)</t>
        </is>
      </c>
    </row>
    <row r="49">
      <c r="A49" t="inlineStr">
        <is>
          <t>Vmax_C (m³) = max(V_pond + V_ditch)</t>
        </is>
      </c>
      <c r="B49" s="20">
        <f>Calcul_C!B7</f>
        <v/>
      </c>
      <c r="C49" t="inlineStr">
        <is>
          <t>Stockage total routé (levé + fossé)</t>
        </is>
      </c>
    </row>
    <row r="50">
      <c r="A50" t="inlineStr">
        <is>
          <t>V_dimensionnement_C = Vmax_C × facteur (m³)</t>
        </is>
      </c>
      <c r="B50" s="20">
        <f>B49*B23</f>
        <v/>
      </c>
    </row>
    <row r="51">
      <c r="A51" t="inlineStr">
        <is>
          <t>WSEmax_C (m) — du routage Calcul_C</t>
        </is>
      </c>
      <c r="B51" s="22">
        <f>Calcul_C!B8</f>
        <v/>
      </c>
      <c r="C51" t="inlineStr">
        <is>
          <t>Directement du niveau dans Calcul_C (V inclut le fossé)</t>
        </is>
      </c>
    </row>
    <row r="52">
      <c r="A52" t="inlineStr">
        <is>
          <t>HW max_C = WSEmax_C − radier Ø900 (m)</t>
        </is>
      </c>
      <c r="B52" s="22">
        <f>IF(ISNUMBER(B51),B51-34.88,"")</f>
        <v/>
      </c>
      <c r="C52" t="inlineStr">
        <is>
          <t>Comparer à 2.40 m (limite patron); overflow actif si WSE&gt;crest</t>
        </is>
      </c>
    </row>
    <row r="54">
      <c r="A54" s="2" t="inlineStr">
        <is>
          <t>Comment lire WSEmax (A / B / C)</t>
        </is>
      </c>
    </row>
    <row r="55">
      <c r="A55" t="inlineStr">
        <is>
          <t>1) A et B: Vmax = volume pondé; WSEmax lu sur Stage_Storage (levé seul).</t>
        </is>
      </c>
    </row>
    <row r="56">
      <c r="A56" t="inlineStr">
        <is>
          <t>2) C: Qout = Q_900(WSE) + Q_overflow(WSE); V = V_pond + V_ditch; WSEmax_C vient de Calcul_C.</t>
        </is>
      </c>
    </row>
    <row r="57">
      <c r="A57" t="inlineStr">
        <is>
          <t>3) Crest = crown = 35.78 m → au-dessus, le fossé trapèze (b, n, z, S, L) ajoute débit et volume.</t>
        </is>
      </c>
    </row>
    <row r="58">
      <c r="A58" t="inlineStr">
        <is>
          <t>4) Ne pas comparer Vmax_C à V_pond seul sans retirer V_ditch; comparer plutôt les WSEmax.</t>
        </is>
      </c>
    </row>
    <row r="60">
      <c r="A60" s="2" t="inlineStr">
        <is>
          <t>Inlet control vs outlet control — qu'est-ce que ça veut dire?</t>
        </is>
      </c>
    </row>
    <row r="61">
      <c r="A61" t="inlineStr">
        <is>
          <t>• Inlet control (contrôle à l'entrée): le débit est limité par l'entrée du ponceau (forme d'entrée, HW/D).</t>
        </is>
      </c>
    </row>
    <row r="62">
      <c r="A62" t="inlineStr">
        <is>
          <t xml:space="preserve">  Le tuyau aval « n'aspire » pas assez pour influencer — Q dépend surtout de la charge amont H, pas de L ni de n.</t>
        </is>
      </c>
    </row>
    <row r="63">
      <c r="A63" t="inlineStr">
        <is>
          <t>• Outlet control (contrôle à la sortie / frottement): le débit dépend de la longueur, de n, de la pente et de la charge</t>
        </is>
      </c>
    </row>
    <row r="64">
      <c r="A64" t="inlineStr">
        <is>
          <t xml:space="preserve">  (énergie amont → aval). Manning pleine section est une hypothèse de type outlet/frottement à section pleine.</t>
        </is>
      </c>
    </row>
    <row r="65">
      <c r="A65" t="inlineStr">
        <is>
          <t>• Ici L/D = 56 (tuyau assez long) → le contrôle par frottement (outlet) est souvent plausible,</t>
        </is>
      </c>
    </row>
    <row r="66">
      <c r="A66" t="inlineStr">
        <is>
          <t xml:space="preserve">  mais sans analyse FHWA/HY-8 on ne peut pas l'affirmer. Pour dimensionner la rétention, Q_plein constant est</t>
        </is>
      </c>
    </row>
    <row r="67">
      <c r="A67" t="inlineStr">
        <is>
          <t xml:space="preserve">  en général prudent (si la charge monte, le débit réel peut être un peu plus élevé → Vmax un peu plus bas).</t>
        </is>
      </c>
    </row>
    <row r="68">
      <c r="A68" t="inlineStr">
        <is>
          <t>• On n'a pas besoin de trancher IC/OC pour utiliser ce classeur: garder Qout = Q_plein (ou 1.77) suffit pour une 1re estimation.</t>
        </is>
      </c>
    </row>
    <row r="70">
      <c r="A70" s="2" t="inlineStr">
        <is>
          <t>Notes</t>
        </is>
      </c>
    </row>
    <row r="71">
      <c r="A71" t="inlineStr">
        <is>
          <t>• Méthode A: Qout fixe = Q_plein Manning Ø900 (TOG n=0,022).</t>
        </is>
      </c>
    </row>
    <row r="72">
      <c r="A72" t="inlineStr">
        <is>
          <t>• Méthode B: Qout = f(H) pipe seul (Courbe_QH_900) — résultats B43–B46.</t>
        </is>
      </c>
    </row>
    <row r="73">
      <c r="A73" t="inlineStr">
        <is>
          <t>• Méthode C: Qout = Q_900 + Q_overflow; V = V_pond + V_ditch — Compose_900 + Calcul_C (B49–B52).</t>
        </is>
      </c>
    </row>
    <row r="74">
      <c r="A74" t="inlineStr">
        <is>
          <t>• Le stockage commence quand Qin dépasse Qout; Vmax = max du volume stocké.</t>
        </is>
      </c>
    </row>
    <row r="75">
      <c r="A75" t="inlineStr">
        <is>
          <t>• Vérifier que le radier amont Ø900 (34.88) est bien le fond de la zone de rétention étudiée.</t>
        </is>
      </c>
    </row>
  </sheetData>
  <mergeCells count="19">
    <mergeCell ref="A67:H67"/>
    <mergeCell ref="A73:H73"/>
    <mergeCell ref="A64:H64"/>
    <mergeCell ref="A61:H61"/>
    <mergeCell ref="A65:H65"/>
    <mergeCell ref="A66:H66"/>
    <mergeCell ref="A75:H75"/>
    <mergeCell ref="A74:H74"/>
    <mergeCell ref="A56:H56"/>
    <mergeCell ref="A9:H10"/>
    <mergeCell ref="A55:H55"/>
    <mergeCell ref="A57:H57"/>
    <mergeCell ref="A71:H71"/>
    <mergeCell ref="A62:H62"/>
    <mergeCell ref="A1:F1"/>
    <mergeCell ref="A63:H63"/>
    <mergeCell ref="A72:H72"/>
    <mergeCell ref="A68:H68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8" customWidth="1" min="4" max="4"/>
  </cols>
  <sheetData>
    <row r="1">
      <c r="A1" s="23" t="inlineStr">
        <is>
          <t>Hydrogramme d'entrée (point Ø1500 / entrée rétention) — FORMULES LIVE</t>
        </is>
      </c>
    </row>
    <row r="2">
      <c r="A2" s="10" t="inlineStr">
        <is>
          <t>Qin(t) = ratio(t) × Qpointe. Changez Qpointe (jaune B4) : toute la colonne Qin et Calcul_A/B/C se mettent à jour. Les ratios viennent de votre hydrogramme d'origine (pointe 9,6). À t=0, ratio≈0,081 → Qin=0,778 si Qpointe=9,6 (débit de départ du projet, pas zéro).</t>
        </is>
      </c>
    </row>
    <row r="3"/>
    <row r="4">
      <c r="A4" t="inlineStr">
        <is>
          <t>Qpointe (m³/s) ← ÉDITER</t>
        </is>
      </c>
      <c r="B4" s="11" t="n">
        <v>9.6</v>
      </c>
      <c r="C4" t="inlineStr">
        <is>
          <t>Ex. 9.6 = pointe projet / capacité Ø1500</t>
        </is>
      </c>
    </row>
    <row r="5">
      <c r="A5" t="inlineStr">
        <is>
          <t>t pointe (min)</t>
        </is>
      </c>
      <c r="B5" s="24" t="n">
        <v>22.5</v>
      </c>
      <c r="C5" t="inlineStr">
        <is>
          <t>Forme temporelle inchangée si vous changez seulement Qpointe</t>
        </is>
      </c>
    </row>
    <row r="7">
      <c r="A7" s="3" t="inlineStr">
        <is>
          <t>t (min)</t>
        </is>
      </c>
      <c r="B7" s="3" t="inlineStr">
        <is>
          <t>ratio Q/Qp_ref</t>
        </is>
      </c>
      <c r="C7" s="3" t="inlineStr">
        <is>
          <t>Qin (m³/s)</t>
        </is>
      </c>
      <c r="D7" s="3" t="inlineStr">
        <is>
          <t>Remarque</t>
        </is>
      </c>
    </row>
    <row r="8">
      <c r="A8" s="25" t="n">
        <v>0</v>
      </c>
      <c r="B8" s="26" t="n">
        <v>0.081042</v>
      </c>
      <c r="C8" s="5">
        <f>B8*$B$4</f>
        <v/>
      </c>
      <c r="D8" s="4" t="inlineStr">
        <is>
          <t>Départ: ≈0.081 × Qpointe (0.778 si Qp=9.6)</t>
        </is>
      </c>
    </row>
    <row r="9">
      <c r="A9" s="25" t="n">
        <v>5</v>
      </c>
      <c r="B9" s="26" t="n">
        <v>0.121875</v>
      </c>
      <c r="C9" s="5">
        <f>B9*$B$4</f>
        <v/>
      </c>
      <c r="D9" s="4" t="inlineStr"/>
    </row>
    <row r="10">
      <c r="A10" s="25" t="n">
        <v>10</v>
      </c>
      <c r="B10" s="26" t="n">
        <v>0.193438</v>
      </c>
      <c r="C10" s="5">
        <f>B10*$B$4</f>
        <v/>
      </c>
      <c r="D10" s="4" t="inlineStr"/>
    </row>
    <row r="11">
      <c r="A11" s="25" t="n">
        <v>15</v>
      </c>
      <c r="B11" s="26" t="n">
        <v>0.333542</v>
      </c>
      <c r="C11" s="5">
        <f>B11*$B$4</f>
        <v/>
      </c>
      <c r="D11" s="4" t="inlineStr"/>
    </row>
    <row r="12">
      <c r="A12" s="25" t="n">
        <v>20</v>
      </c>
      <c r="B12" s="26" t="n">
        <v>0.657188</v>
      </c>
      <c r="C12" s="5">
        <f>B12*$B$4</f>
        <v/>
      </c>
      <c r="D12" s="4" t="inlineStr"/>
    </row>
    <row r="13">
      <c r="A13" s="25" t="n">
        <v>22.5</v>
      </c>
      <c r="B13" s="26" t="n">
        <v>1</v>
      </c>
      <c r="C13" s="8">
        <f>B13*$B$4</f>
        <v/>
      </c>
      <c r="D13" s="4" t="inlineStr">
        <is>
          <t>Pointe (ratio = 1)</t>
        </is>
      </c>
    </row>
    <row r="14">
      <c r="A14" s="25" t="n">
        <v>27.5</v>
      </c>
      <c r="B14" s="26" t="n">
        <v>0.608958</v>
      </c>
      <c r="C14" s="5">
        <f>B14*$B$4</f>
        <v/>
      </c>
      <c r="D14" s="4" t="inlineStr"/>
    </row>
    <row r="15">
      <c r="A15" s="25" t="n">
        <v>32.5</v>
      </c>
      <c r="B15" s="26" t="n">
        <v>0.401771</v>
      </c>
      <c r="C15" s="5">
        <f>B15*$B$4</f>
        <v/>
      </c>
      <c r="D15" s="4" t="inlineStr"/>
    </row>
    <row r="16">
      <c r="A16" s="25" t="n">
        <v>37.5</v>
      </c>
      <c r="B16" s="26" t="n">
        <v>0.280104</v>
      </c>
      <c r="C16" s="5">
        <f>B16*$B$4</f>
        <v/>
      </c>
      <c r="D16" s="4" t="inlineStr"/>
    </row>
    <row r="17">
      <c r="A17" s="25" t="n">
        <v>42.5</v>
      </c>
      <c r="B17" s="26" t="n">
        <v>0.203438</v>
      </c>
      <c r="C17" s="5">
        <f>B17*$B$4</f>
        <v/>
      </c>
      <c r="D17" s="4" t="inlineStr"/>
    </row>
    <row r="18">
      <c r="A18" s="25" t="n">
        <v>47.5</v>
      </c>
      <c r="B18" s="26" t="n">
        <v>0.152292</v>
      </c>
      <c r="C18" s="5">
        <f>B18*$B$4</f>
        <v/>
      </c>
      <c r="D18" s="4" t="inlineStr"/>
    </row>
    <row r="19">
      <c r="A19" s="25" t="n">
        <v>52.5</v>
      </c>
      <c r="B19" s="26" t="n">
        <v>0.116771</v>
      </c>
      <c r="C19" s="5">
        <f>B19*$B$4</f>
        <v/>
      </c>
      <c r="D19" s="4" t="inlineStr"/>
    </row>
    <row r="20">
      <c r="A20" s="25" t="n">
        <v>57.5</v>
      </c>
      <c r="B20" s="26" t="n">
        <v>0.091146</v>
      </c>
      <c r="C20" s="5">
        <f>B20*$B$4</f>
        <v/>
      </c>
      <c r="D20" s="4" t="inlineStr"/>
    </row>
    <row r="22">
      <c r="A22" t="inlineStr">
        <is>
          <t>Qin max (contrôle)</t>
        </is>
      </c>
      <c r="B22" s="27">
        <f>MAX(C8:C20)</f>
        <v/>
      </c>
      <c r="C22" t="inlineStr">
        <is>
          <t>doit égaler Qpointe</t>
        </is>
      </c>
    </row>
    <row r="23">
      <c r="A23" t="inlineStr">
        <is>
          <t>Qcap Ø900 (réf.)</t>
        </is>
      </c>
      <c r="B23" s="28">
        <f>Parametres!B22</f>
        <v/>
      </c>
    </row>
  </sheetData>
  <mergeCells count="1">
    <mergeCell ref="A2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>
      <c r="A1" s="23" t="inlineStr">
        <is>
          <t>Méthode A — Qout constant = capacité Ø900</t>
        </is>
      </c>
    </row>
    <row r="2">
      <c r="A2" t="inlineStr">
        <is>
          <t>Qout (m³/s)</t>
        </is>
      </c>
      <c r="B2" s="29">
        <f>Parametres!B22</f>
        <v/>
      </c>
    </row>
    <row r="3">
      <c r="A3" t="inlineStr">
        <is>
          <t>Vmax (m³)</t>
        </is>
      </c>
      <c r="B3" s="30">
        <f>MAX(H8:H20)</f>
        <v/>
      </c>
      <c r="C3" t="inlineStr">
        <is>
          <t>Maximum du volume stocké cumulé</t>
        </is>
      </c>
    </row>
    <row r="5">
      <c r="A5" t="inlineStr">
        <is>
          <t>t début stockage approx (min)</t>
        </is>
      </c>
      <c r="B5" t="inlineStr">
        <is>
          <t>quand Qin dépasse Qout (dépend de Qpointe et Qcap)</t>
        </is>
      </c>
    </row>
    <row r="6">
      <c r="A6" t="inlineStr">
        <is>
          <t>t fin accumulation nette (min)</t>
        </is>
      </c>
      <c r="B6" t="inlineStr">
        <is>
          <t>quand Qin redescend sous Qout</t>
        </is>
      </c>
    </row>
    <row r="7">
      <c r="A7" s="3" t="inlineStr">
        <is>
          <t>t (min)</t>
        </is>
      </c>
      <c r="B7" s="3" t="inlineStr">
        <is>
          <t>Qin (m³/s)</t>
        </is>
      </c>
      <c r="C7" s="3" t="inlineStr">
        <is>
          <t>Qout (m³/s)</t>
        </is>
      </c>
      <c r="D7" s="3" t="inlineStr">
        <is>
          <t>Qin−Qout (m³/s)</t>
        </is>
      </c>
      <c r="E7" s="3" t="inlineStr">
        <is>
          <t>Δt (s)</t>
        </is>
      </c>
      <c r="F7" s="3" t="inlineStr">
        <is>
          <t>ΔVin (m³)</t>
        </is>
      </c>
      <c r="G7" s="3" t="inlineStr">
        <is>
          <t>ΔVout (m³)</t>
        </is>
      </c>
      <c r="H7" s="3" t="inlineStr">
        <is>
          <t>V stocké (m³)</t>
        </is>
      </c>
      <c r="I7" s="3" t="inlineStr">
        <is>
          <t>Stockage?</t>
        </is>
      </c>
    </row>
    <row r="8">
      <c r="A8" s="25">
        <f>Hydrogramme!A8</f>
        <v/>
      </c>
      <c r="B8" s="5">
        <f>Hydrogramme!C8</f>
        <v/>
      </c>
      <c r="C8" s="31">
        <f>$B$2</f>
        <v/>
      </c>
      <c r="D8" s="5">
        <f>B8-C8</f>
        <v/>
      </c>
      <c r="E8" s="4" t="n">
        <v>0</v>
      </c>
      <c r="F8" s="4" t="n">
        <v>0</v>
      </c>
      <c r="G8" s="4" t="n">
        <v>0</v>
      </c>
      <c r="H8" s="32" t="n">
        <v>0</v>
      </c>
      <c r="I8" s="4">
        <f>IF(H8&gt;0.5,"oui","non")</f>
        <v/>
      </c>
    </row>
    <row r="9">
      <c r="A9" s="25">
        <f>Hydrogramme!A9</f>
        <v/>
      </c>
      <c r="B9" s="5">
        <f>Hydrogramme!C9</f>
        <v/>
      </c>
      <c r="C9" s="31">
        <f>$B$2</f>
        <v/>
      </c>
      <c r="D9" s="5">
        <f>B9-C9</f>
        <v/>
      </c>
      <c r="E9" s="25">
        <f>(A9-A8)*60</f>
        <v/>
      </c>
      <c r="F9" s="25">
        <f>0.5*(B8+B9)*E9</f>
        <v/>
      </c>
      <c r="G9" s="25">
        <f>F9-(H9-H8)</f>
        <v/>
      </c>
      <c r="H9" s="33">
        <f>MAX(0,H8+0.5*(D8+D9)*E9)</f>
        <v/>
      </c>
      <c r="I9" s="4">
        <f>IF(H9&gt;0.5,"oui","non")</f>
        <v/>
      </c>
    </row>
    <row r="10">
      <c r="A10" s="25">
        <f>Hydrogramme!A10</f>
        <v/>
      </c>
      <c r="B10" s="5">
        <f>Hydrogramme!C10</f>
        <v/>
      </c>
      <c r="C10" s="31">
        <f>$B$2</f>
        <v/>
      </c>
      <c r="D10" s="5">
        <f>B10-C10</f>
        <v/>
      </c>
      <c r="E10" s="25">
        <f>(A10-A9)*60</f>
        <v/>
      </c>
      <c r="F10" s="25">
        <f>0.5*(B9+B10)*E10</f>
        <v/>
      </c>
      <c r="G10" s="25">
        <f>F10-(H10-H9)</f>
        <v/>
      </c>
      <c r="H10" s="33">
        <f>MAX(0,H9+0.5*(D9+D10)*E10)</f>
        <v/>
      </c>
      <c r="I10" s="4">
        <f>IF(H10&gt;0.5,"oui","non")</f>
        <v/>
      </c>
    </row>
    <row r="11">
      <c r="A11" s="25">
        <f>Hydrogramme!A11</f>
        <v/>
      </c>
      <c r="B11" s="5">
        <f>Hydrogramme!C11</f>
        <v/>
      </c>
      <c r="C11" s="31">
        <f>$B$2</f>
        <v/>
      </c>
      <c r="D11" s="5">
        <f>B11-C11</f>
        <v/>
      </c>
      <c r="E11" s="25">
        <f>(A11-A10)*60</f>
        <v/>
      </c>
      <c r="F11" s="25">
        <f>0.5*(B10+B11)*E11</f>
        <v/>
      </c>
      <c r="G11" s="25">
        <f>F11-(H11-H10)</f>
        <v/>
      </c>
      <c r="H11" s="33">
        <f>MAX(0,H10+0.5*(D10+D11)*E11)</f>
        <v/>
      </c>
      <c r="I11" s="4">
        <f>IF(H11&gt;0.5,"oui","non")</f>
        <v/>
      </c>
    </row>
    <row r="12">
      <c r="A12" s="25">
        <f>Hydrogramme!A12</f>
        <v/>
      </c>
      <c r="B12" s="5">
        <f>Hydrogramme!C12</f>
        <v/>
      </c>
      <c r="C12" s="31">
        <f>$B$2</f>
        <v/>
      </c>
      <c r="D12" s="5">
        <f>B12-C12</f>
        <v/>
      </c>
      <c r="E12" s="25">
        <f>(A12-A11)*60</f>
        <v/>
      </c>
      <c r="F12" s="25">
        <f>0.5*(B11+B12)*E12</f>
        <v/>
      </c>
      <c r="G12" s="25">
        <f>F12-(H12-H11)</f>
        <v/>
      </c>
      <c r="H12" s="33">
        <f>MAX(0,H11+0.5*(D11+D12)*E12)</f>
        <v/>
      </c>
      <c r="I12" s="4">
        <f>IF(H12&gt;0.5,"oui","non")</f>
        <v/>
      </c>
    </row>
    <row r="13">
      <c r="A13" s="25">
        <f>Hydrogramme!A13</f>
        <v/>
      </c>
      <c r="B13" s="5">
        <f>Hydrogramme!C13</f>
        <v/>
      </c>
      <c r="C13" s="31">
        <f>$B$2</f>
        <v/>
      </c>
      <c r="D13" s="5">
        <f>B13-C13</f>
        <v/>
      </c>
      <c r="E13" s="25">
        <f>(A13-A12)*60</f>
        <v/>
      </c>
      <c r="F13" s="25">
        <f>0.5*(B12+B13)*E13</f>
        <v/>
      </c>
      <c r="G13" s="25">
        <f>F13-(H13-H12)</f>
        <v/>
      </c>
      <c r="H13" s="33">
        <f>MAX(0,H12+0.5*(D12+D13)*E13)</f>
        <v/>
      </c>
      <c r="I13" s="4">
        <f>IF(H13&gt;0.5,"oui","non")</f>
        <v/>
      </c>
    </row>
    <row r="14">
      <c r="A14" s="25">
        <f>Hydrogramme!A14</f>
        <v/>
      </c>
      <c r="B14" s="5">
        <f>Hydrogramme!C14</f>
        <v/>
      </c>
      <c r="C14" s="31">
        <f>$B$2</f>
        <v/>
      </c>
      <c r="D14" s="5">
        <f>B14-C14</f>
        <v/>
      </c>
      <c r="E14" s="25">
        <f>(A14-A13)*60</f>
        <v/>
      </c>
      <c r="F14" s="25">
        <f>0.5*(B13+B14)*E14</f>
        <v/>
      </c>
      <c r="G14" s="25">
        <f>F14-(H14-H13)</f>
        <v/>
      </c>
      <c r="H14" s="33">
        <f>MAX(0,H13+0.5*(D13+D14)*E14)</f>
        <v/>
      </c>
      <c r="I14" s="4">
        <f>IF(H14&gt;0.5,"oui","non")</f>
        <v/>
      </c>
    </row>
    <row r="15">
      <c r="A15" s="25">
        <f>Hydrogramme!A15</f>
        <v/>
      </c>
      <c r="B15" s="5">
        <f>Hydrogramme!C15</f>
        <v/>
      </c>
      <c r="C15" s="31">
        <f>$B$2</f>
        <v/>
      </c>
      <c r="D15" s="5">
        <f>B15-C15</f>
        <v/>
      </c>
      <c r="E15" s="25">
        <f>(A15-A14)*60</f>
        <v/>
      </c>
      <c r="F15" s="25">
        <f>0.5*(B14+B15)*E15</f>
        <v/>
      </c>
      <c r="G15" s="25">
        <f>F15-(H15-H14)</f>
        <v/>
      </c>
      <c r="H15" s="33">
        <f>MAX(0,H14+0.5*(D14+D15)*E15)</f>
        <v/>
      </c>
      <c r="I15" s="4">
        <f>IF(H15&gt;0.5,"oui","non")</f>
        <v/>
      </c>
    </row>
    <row r="16">
      <c r="A16" s="25">
        <f>Hydrogramme!A16</f>
        <v/>
      </c>
      <c r="B16" s="5">
        <f>Hydrogramme!C16</f>
        <v/>
      </c>
      <c r="C16" s="31">
        <f>$B$2</f>
        <v/>
      </c>
      <c r="D16" s="5">
        <f>B16-C16</f>
        <v/>
      </c>
      <c r="E16" s="25">
        <f>(A16-A15)*60</f>
        <v/>
      </c>
      <c r="F16" s="25">
        <f>0.5*(B15+B16)*E16</f>
        <v/>
      </c>
      <c r="G16" s="25">
        <f>F16-(H16-H15)</f>
        <v/>
      </c>
      <c r="H16" s="33">
        <f>MAX(0,H15+0.5*(D15+D16)*E16)</f>
        <v/>
      </c>
      <c r="I16" s="4">
        <f>IF(H16&gt;0.5,"oui","non")</f>
        <v/>
      </c>
    </row>
    <row r="17">
      <c r="A17" s="25">
        <f>Hydrogramme!A17</f>
        <v/>
      </c>
      <c r="B17" s="5">
        <f>Hydrogramme!C17</f>
        <v/>
      </c>
      <c r="C17" s="31">
        <f>$B$2</f>
        <v/>
      </c>
      <c r="D17" s="5">
        <f>B17-C17</f>
        <v/>
      </c>
      <c r="E17" s="25">
        <f>(A17-A16)*60</f>
        <v/>
      </c>
      <c r="F17" s="25">
        <f>0.5*(B16+B17)*E17</f>
        <v/>
      </c>
      <c r="G17" s="25">
        <f>F17-(H17-H16)</f>
        <v/>
      </c>
      <c r="H17" s="33">
        <f>MAX(0,H16+0.5*(D16+D17)*E17)</f>
        <v/>
      </c>
      <c r="I17" s="4">
        <f>IF(H17&gt;0.5,"oui","non")</f>
        <v/>
      </c>
    </row>
    <row r="18">
      <c r="A18" s="25">
        <f>Hydrogramme!A18</f>
        <v/>
      </c>
      <c r="B18" s="5">
        <f>Hydrogramme!C18</f>
        <v/>
      </c>
      <c r="C18" s="31">
        <f>$B$2</f>
        <v/>
      </c>
      <c r="D18" s="5">
        <f>B18-C18</f>
        <v/>
      </c>
      <c r="E18" s="25">
        <f>(A18-A17)*60</f>
        <v/>
      </c>
      <c r="F18" s="25">
        <f>0.5*(B17+B18)*E18</f>
        <v/>
      </c>
      <c r="G18" s="25">
        <f>F18-(H18-H17)</f>
        <v/>
      </c>
      <c r="H18" s="33">
        <f>MAX(0,H17+0.5*(D17+D18)*E18)</f>
        <v/>
      </c>
      <c r="I18" s="4">
        <f>IF(H18&gt;0.5,"oui","non")</f>
        <v/>
      </c>
    </row>
    <row r="19">
      <c r="A19" s="25">
        <f>Hydrogramme!A19</f>
        <v/>
      </c>
      <c r="B19" s="5">
        <f>Hydrogramme!C19</f>
        <v/>
      </c>
      <c r="C19" s="31">
        <f>$B$2</f>
        <v/>
      </c>
      <c r="D19" s="5">
        <f>B19-C19</f>
        <v/>
      </c>
      <c r="E19" s="25">
        <f>(A19-A18)*60</f>
        <v/>
      </c>
      <c r="F19" s="25">
        <f>0.5*(B18+B19)*E19</f>
        <v/>
      </c>
      <c r="G19" s="25">
        <f>F19-(H19-H18)</f>
        <v/>
      </c>
      <c r="H19" s="33">
        <f>MAX(0,H18+0.5*(D18+D19)*E19)</f>
        <v/>
      </c>
      <c r="I19" s="4">
        <f>IF(H19&gt;0.5,"oui","non")</f>
        <v/>
      </c>
    </row>
    <row r="20">
      <c r="A20" s="25">
        <f>Hydrogramme!A20</f>
        <v/>
      </c>
      <c r="B20" s="5">
        <f>Hydrogramme!C20</f>
        <v/>
      </c>
      <c r="C20" s="31">
        <f>$B$2</f>
        <v/>
      </c>
      <c r="D20" s="5">
        <f>B20-C20</f>
        <v/>
      </c>
      <c r="E20" s="25">
        <f>(A20-A19)*60</f>
        <v/>
      </c>
      <c r="F20" s="25">
        <f>0.5*(B19+B20)*E20</f>
        <v/>
      </c>
      <c r="G20" s="25">
        <f>F20-(H20-H19)</f>
        <v/>
      </c>
      <c r="H20" s="33">
        <f>MAX(0,H19+0.5*(D19+D20)*E20)</f>
        <v/>
      </c>
      <c r="I20" s="4">
        <f>IF(H20&gt;0.5,"oui","non")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2" customWidth="1" min="4" max="4"/>
    <col width="14" customWidth="1" min="5" max="5"/>
    <col width="12" customWidth="1" min="6" max="6"/>
    <col width="8" customWidth="1" min="10" max="10"/>
  </cols>
  <sheetData>
    <row r="1">
      <c r="A1" s="23" t="inlineStr">
        <is>
          <t>Courbe de capacité Ø900 — Q = f(H) (FHWA HDS-5 inlet + outlet) — FORMULES LIVE</t>
        </is>
      </c>
    </row>
    <row r="2">
      <c r="A2" s="10" t="inlineStr">
        <is>
          <t>Changez les cellules JAUNES (n, D, L, radiers, entrée, TW) : toute la table se recalcule. Q_gouvernant = MIN(Qinlet, Qoutlet) = debit retenu pour le design. Sur ce tuyau long, Q_gouvernant suit Qoutlet (courbe verte). Qinlet (rouge) est seulement la capacite d'entree — souvent plus haute.</t>
        </is>
      </c>
    </row>
    <row r="3"/>
    <row r="5">
      <c r="A5" s="2" t="inlineStr">
        <is>
          <t>Paramètres Ø900 (jaune = éditable)</t>
        </is>
      </c>
      <c r="E5" s="2" t="inlineStr">
        <is>
          <t>Coeffs HDS-5 (table)</t>
        </is>
      </c>
    </row>
    <row r="6">
      <c r="A6" t="inlineStr">
        <is>
          <t>n Manning (-)</t>
        </is>
      </c>
      <c r="B6" s="11" t="n">
        <v>0.022</v>
      </c>
      <c r="C6" t="inlineStr">
        <is>
          <t>TOG n=0,022 (ondulé galvanisé)</t>
        </is>
      </c>
      <c r="E6" s="34" t="inlineStr">
        <is>
          <t>entrée</t>
        </is>
      </c>
      <c r="F6" s="34" t="inlineStr">
        <is>
          <t>K</t>
        </is>
      </c>
      <c r="G6" s="34" t="inlineStr">
        <is>
          <t>M</t>
        </is>
      </c>
      <c r="H6" s="34" t="inlineStr">
        <is>
          <t>c</t>
        </is>
      </c>
      <c r="I6" s="34" t="inlineStr">
        <is>
          <t>Y</t>
        </is>
      </c>
      <c r="J6" s="34" t="inlineStr">
        <is>
          <t>Ke</t>
        </is>
      </c>
    </row>
    <row r="7">
      <c r="A7" t="inlineStr">
        <is>
          <t>D (m)</t>
        </is>
      </c>
      <c r="B7" s="12" t="n">
        <v>0.9</v>
      </c>
      <c r="C7" t="inlineStr"/>
      <c r="E7" s="4" t="inlineStr">
        <is>
          <t>square_edge</t>
        </is>
      </c>
      <c r="F7" s="4" t="n">
        <v>0.0098</v>
      </c>
      <c r="G7" s="4" t="n">
        <v>2</v>
      </c>
      <c r="H7" s="4" t="n">
        <v>0.0398</v>
      </c>
      <c r="I7" s="4" t="n">
        <v>0.67</v>
      </c>
      <c r="J7" s="4" t="n">
        <v>0.5</v>
      </c>
    </row>
    <row r="8">
      <c r="A8" t="inlineStr">
        <is>
          <t>L (m)</t>
        </is>
      </c>
      <c r="B8" s="12" t="n">
        <v>50.65</v>
      </c>
      <c r="C8" t="inlineStr"/>
      <c r="E8" s="4" t="inlineStr">
        <is>
          <t>beveled</t>
        </is>
      </c>
      <c r="F8" s="4" t="n">
        <v>0.0018</v>
      </c>
      <c r="G8" s="4" t="n">
        <v>2.5</v>
      </c>
      <c r="H8" s="4" t="n">
        <v>0.03</v>
      </c>
      <c r="I8" s="4" t="n">
        <v>0.74</v>
      </c>
      <c r="J8" s="4" t="n">
        <v>0.2</v>
      </c>
    </row>
    <row r="9">
      <c r="A9" t="inlineStr">
        <is>
          <t>Radier amont Zin (m)</t>
        </is>
      </c>
      <c r="B9" s="12" t="n">
        <v>34.88</v>
      </c>
      <c r="C9" t="inlineStr"/>
      <c r="E9" s="4" t="inlineStr">
        <is>
          <t>groove_headwall</t>
        </is>
      </c>
      <c r="F9" s="4" t="n">
        <v>0.0078</v>
      </c>
      <c r="G9" s="4" t="n">
        <v>2</v>
      </c>
      <c r="H9" s="4" t="n">
        <v>0.0292</v>
      </c>
      <c r="I9" s="4" t="n">
        <v>0.74</v>
      </c>
      <c r="J9" s="4" t="n">
        <v>0.2</v>
      </c>
    </row>
    <row r="10">
      <c r="A10" t="inlineStr">
        <is>
          <t>Radier aval Zout (m)</t>
        </is>
      </c>
      <c r="B10" s="12" t="n">
        <v>34.45</v>
      </c>
      <c r="C10" t="inlineStr"/>
    </row>
    <row r="11">
      <c r="A11" t="inlineStr">
        <is>
          <t>S0 = (Zin-Zout)/L</t>
        </is>
      </c>
      <c r="B11" s="35">
        <f>(B9-B10)/B8</f>
        <v/>
      </c>
      <c r="C11" t="inlineStr">
        <is>
          <t>ASCII minus; LibreOffice FR: OK</t>
        </is>
      </c>
    </row>
    <row r="12">
      <c r="A12" t="inlineStr">
        <is>
          <t>TW (m au-dessus Zout)</t>
        </is>
      </c>
      <c r="B12" s="12" t="n">
        <v>0</v>
      </c>
      <c r="C12" t="inlineStr">
        <is>
          <t>0 = exutoire libre</t>
        </is>
      </c>
    </row>
    <row r="13">
      <c r="A13" t="inlineStr">
        <is>
          <t>Entrée (texte exact)</t>
        </is>
      </c>
      <c r="B13" s="36" t="inlineStr">
        <is>
          <t>square_edge</t>
        </is>
      </c>
      <c r="C13" t="inlineStr">
        <is>
          <t>square_edge | beveled | groove_headwall</t>
        </is>
      </c>
    </row>
    <row r="15">
      <c r="A15" t="inlineStr">
        <is>
          <t>Q_plein Manning (réf.)</t>
        </is>
      </c>
      <c r="B15" s="27">
        <f>(1/B6)*(PI()*B7^2/4)*((B7/4)^(2/3))*SQRT(B11)</f>
        <v/>
      </c>
      <c r="C15" t="inlineStr">
        <is>
          <t>m³/s — se met à jour avec n, D, S0</t>
        </is>
      </c>
    </row>
    <row r="17">
      <c r="A17" t="inlineStr">
        <is>
          <t>K (lu)</t>
        </is>
      </c>
      <c r="B17" s="37">
        <f>IFERROR(VLOOKUP(B13,$E$7:$J$9,2,FALSE),0.0098)</f>
        <v/>
      </c>
    </row>
    <row r="18">
      <c r="A18" t="inlineStr">
        <is>
          <t>M (lu)</t>
        </is>
      </c>
      <c r="B18" s="37">
        <f>IFERROR(VLOOKUP(B13,$E$7:$J$9,3,FALSE),2)</f>
        <v/>
      </c>
    </row>
    <row r="19">
      <c r="A19" t="inlineStr">
        <is>
          <t>c (lu)</t>
        </is>
      </c>
      <c r="B19" s="37">
        <f>IFERROR(VLOOKUP(B13,$E$7:$J$9,4,FALSE),0.0398)</f>
        <v/>
      </c>
    </row>
    <row r="20">
      <c r="A20" t="inlineStr">
        <is>
          <t>Y (lu)</t>
        </is>
      </c>
      <c r="B20" s="37">
        <f>IFERROR(VLOOKUP(B13,$E$7:$J$9,5,FALSE),0.67)</f>
        <v/>
      </c>
    </row>
    <row r="21">
      <c r="A21" t="inlineStr">
        <is>
          <t>Ke (lu)</t>
        </is>
      </c>
      <c r="B21" s="37">
        <f>IFERROR(VLOOKUP(B13,$E$7:$J$9,6,FALSE),0.5)</f>
        <v/>
      </c>
    </row>
    <row r="23">
      <c r="A23" s="3" t="inlineStr">
        <is>
          <t>HW (m)</t>
        </is>
      </c>
      <c r="B23" s="3" t="inlineStr">
        <is>
          <t>WSE (m)</t>
        </is>
      </c>
      <c r="C23" s="3" t="inlineStr">
        <is>
          <t>Qinlet</t>
        </is>
      </c>
      <c r="D23" s="3" t="inlineStr">
        <is>
          <t>Qoutlet</t>
        </is>
      </c>
      <c r="E23" s="3" t="inlineStr">
        <is>
          <t>Q gouvernant</t>
        </is>
      </c>
      <c r="F23" s="3" t="inlineStr">
        <is>
          <t>Contrôle</t>
        </is>
      </c>
    </row>
    <row r="24">
      <c r="A24" s="31" t="n">
        <v>0</v>
      </c>
      <c r="B24" s="31">
        <f>$B$9+A24</f>
        <v/>
      </c>
      <c r="C24" s="5">
        <f>IF(A24&lt;=0,0,IF(A24&lt;=1.2*$B$7,1.811*(PI()*($B$7/2)^2)*SQRT($B$7)*IF($B$17*$B$7&lt;=0,0,(A24/($B$17*$B$7))^(1/$B$18)),MAX(1.811*(PI()*($B$7/2)^2)*SQRT($B$7)*IF($B$17*$B$7&lt;=0,0,((1.2*$B$7)/($B$17*$B$7))^(1/$B$18)),1.811*(PI()*($B$7/2)^2)*SQRT($B$7)*SQRT(MAX(0,(A24/$B$7-$B$20)/$B$19)))))</f>
        <v/>
      </c>
      <c r="D24" s="5">
        <f>IF(A24&lt;$B$7,IF($B$6&lt;=0,0,(1/$B$6)*((($B$7/2)^2/2)*((2*ACOS(1-2*(MIN(0.999,MAX(1E-6,A24/$B$7)))))-SIN(2*ACOS(1-2*(MIN(0.999,MAX(1E-6,A24/$B$7)))))))*IF((IF((($B$7/2)*(2*ACOS(1-2*(MIN(0.999,MAX(1E-6,A24/$B$7))))))&lt;=0,0,((($B$7/2)^2/2)*((2*ACOS(1-2*(MIN(0.999,MAX(1E-6,A24/$B$7)))))-SIN(2*ACOS(1-2*(MIN(0.999,MAX(1E-6,A24/$B$7)))))))/(($B$7/2)*(2*ACOS(1-2*(MIN(0.999,MAX(1E-6,A24/$B$7))))))))&lt;=0,0,(IF((($B$7/2)*(2*ACOS(1-2*(MIN(0.999,MAX(1E-6,A24/$B$7))))))&lt;=0,0,((($B$7/2)^2/2)*((2*ACOS(1-2*(MIN(0.999,MAX(1E-6,A24/$B$7)))))-SIN(2*ACOS(1-2*(MIN(0.999,MAX(1E-6,A24/$B$7)))))))/(($B$7/2)*(2*ACOS(1-2*(MIN(0.999,MAX(1E-6,A24/$B$7))))))))^(2/3))*SQRT($B$11)),IF((A24-$B$12+$B$11*$B$8)&lt;=0,0,(PI()*($B$7/2)^2)*SQRT((A24-$B$12+$B$11*$B$8)/((1+$B$21)/(2*9.81)+($B$6^2)*$B$8/(($B$7/4)^(4/3))))))</f>
        <v/>
      </c>
      <c r="E24" s="15">
        <f>MIN(C24,D24)</f>
        <v/>
      </c>
      <c r="F24" s="4">
        <f>IF(A24&lt;=0,"—",IF(C24&lt;=D24,"inlet","outlet"))</f>
        <v/>
      </c>
    </row>
    <row r="25">
      <c r="A25" s="31" t="n">
        <v>0.05</v>
      </c>
      <c r="B25" s="31">
        <f>$B$9+A25</f>
        <v/>
      </c>
      <c r="C25" s="5">
        <f>IF(A25&lt;=0,0,IF(A25&lt;=1.2*$B$7,1.811*(PI()*($B$7/2)^2)*SQRT($B$7)*IF($B$17*$B$7&lt;=0,0,(A25/($B$17*$B$7))^(1/$B$18)),MAX(1.811*(PI()*($B$7/2)^2)*SQRT($B$7)*IF($B$17*$B$7&lt;=0,0,((1.2*$B$7)/($B$17*$B$7))^(1/$B$18)),1.811*(PI()*($B$7/2)^2)*SQRT($B$7)*SQRT(MAX(0,(A25/$B$7-$B$20)/$B$19)))))</f>
        <v/>
      </c>
      <c r="D25" s="5">
        <f>IF(A25&lt;$B$7,IF($B$6&lt;=0,0,(1/$B$6)*((($B$7/2)^2/2)*((2*ACOS(1-2*(MIN(0.999,MAX(1E-6,A25/$B$7)))))-SIN(2*ACOS(1-2*(MIN(0.999,MAX(1E-6,A25/$B$7)))))))*IF((IF((($B$7/2)*(2*ACOS(1-2*(MIN(0.999,MAX(1E-6,A25/$B$7))))))&lt;=0,0,((($B$7/2)^2/2)*((2*ACOS(1-2*(MIN(0.999,MAX(1E-6,A25/$B$7)))))-SIN(2*ACOS(1-2*(MIN(0.999,MAX(1E-6,A25/$B$7)))))))/(($B$7/2)*(2*ACOS(1-2*(MIN(0.999,MAX(1E-6,A25/$B$7))))))))&lt;=0,0,(IF((($B$7/2)*(2*ACOS(1-2*(MIN(0.999,MAX(1E-6,A25/$B$7))))))&lt;=0,0,((($B$7/2)^2/2)*((2*ACOS(1-2*(MIN(0.999,MAX(1E-6,A25/$B$7)))))-SIN(2*ACOS(1-2*(MIN(0.999,MAX(1E-6,A25/$B$7)))))))/(($B$7/2)*(2*ACOS(1-2*(MIN(0.999,MAX(1E-6,A25/$B$7))))))))^(2/3))*SQRT($B$11)),IF((A25-$B$12+$B$11*$B$8)&lt;=0,0,(PI()*($B$7/2)^2)*SQRT((A25-$B$12+$B$11*$B$8)/((1+$B$21)/(2*9.81)+($B$6^2)*$B$8/(($B$7/4)^(4/3))))))</f>
        <v/>
      </c>
      <c r="E25" s="15">
        <f>MIN(C25,D25)</f>
        <v/>
      </c>
      <c r="F25" s="4">
        <f>IF(A25&lt;=0,"—",IF(C25&lt;=D25,"inlet","outlet"))</f>
        <v/>
      </c>
    </row>
    <row r="26">
      <c r="A26" s="31" t="n">
        <v>0.1</v>
      </c>
      <c r="B26" s="31">
        <f>$B$9+A26</f>
        <v/>
      </c>
      <c r="C26" s="5">
        <f>IF(A26&lt;=0,0,IF(A26&lt;=1.2*$B$7,1.811*(PI()*($B$7/2)^2)*SQRT($B$7)*IF($B$17*$B$7&lt;=0,0,(A26/($B$17*$B$7))^(1/$B$18)),MAX(1.811*(PI()*($B$7/2)^2)*SQRT($B$7)*IF($B$17*$B$7&lt;=0,0,((1.2*$B$7)/($B$17*$B$7))^(1/$B$18)),1.811*(PI()*($B$7/2)^2)*SQRT($B$7)*SQRT(MAX(0,(A26/$B$7-$B$20)/$B$19)))))</f>
        <v/>
      </c>
      <c r="D26" s="5">
        <f>IF(A26&lt;$B$7,IF($B$6&lt;=0,0,(1/$B$6)*((($B$7/2)^2/2)*((2*ACOS(1-2*(MIN(0.999,MAX(1E-6,A26/$B$7)))))-SIN(2*ACOS(1-2*(MIN(0.999,MAX(1E-6,A26/$B$7)))))))*IF((IF((($B$7/2)*(2*ACOS(1-2*(MIN(0.999,MAX(1E-6,A26/$B$7))))))&lt;=0,0,((($B$7/2)^2/2)*((2*ACOS(1-2*(MIN(0.999,MAX(1E-6,A26/$B$7)))))-SIN(2*ACOS(1-2*(MIN(0.999,MAX(1E-6,A26/$B$7)))))))/(($B$7/2)*(2*ACOS(1-2*(MIN(0.999,MAX(1E-6,A26/$B$7))))))))&lt;=0,0,(IF((($B$7/2)*(2*ACOS(1-2*(MIN(0.999,MAX(1E-6,A26/$B$7))))))&lt;=0,0,((($B$7/2)^2/2)*((2*ACOS(1-2*(MIN(0.999,MAX(1E-6,A26/$B$7)))))-SIN(2*ACOS(1-2*(MIN(0.999,MAX(1E-6,A26/$B$7)))))))/(($B$7/2)*(2*ACOS(1-2*(MIN(0.999,MAX(1E-6,A26/$B$7))))))))^(2/3))*SQRT($B$11)),IF((A26-$B$12+$B$11*$B$8)&lt;=0,0,(PI()*($B$7/2)^2)*SQRT((A26-$B$12+$B$11*$B$8)/((1+$B$21)/(2*9.81)+($B$6^2)*$B$8/(($B$7/4)^(4/3))))))</f>
        <v/>
      </c>
      <c r="E26" s="15">
        <f>MIN(C26,D26)</f>
        <v/>
      </c>
      <c r="F26" s="4">
        <f>IF(A26&lt;=0,"—",IF(C26&lt;=D26,"inlet","outlet"))</f>
        <v/>
      </c>
    </row>
    <row r="27">
      <c r="A27" s="31" t="n">
        <v>0.15</v>
      </c>
      <c r="B27" s="31">
        <f>$B$9+A27</f>
        <v/>
      </c>
      <c r="C27" s="5">
        <f>IF(A27&lt;=0,0,IF(A27&lt;=1.2*$B$7,1.811*(PI()*($B$7/2)^2)*SQRT($B$7)*IF($B$17*$B$7&lt;=0,0,(A27/($B$17*$B$7))^(1/$B$18)),MAX(1.811*(PI()*($B$7/2)^2)*SQRT($B$7)*IF($B$17*$B$7&lt;=0,0,((1.2*$B$7)/($B$17*$B$7))^(1/$B$18)),1.811*(PI()*($B$7/2)^2)*SQRT($B$7)*SQRT(MAX(0,(A27/$B$7-$B$20)/$B$19)))))</f>
        <v/>
      </c>
      <c r="D27" s="5">
        <f>IF(A27&lt;$B$7,IF($B$6&lt;=0,0,(1/$B$6)*((($B$7/2)^2/2)*((2*ACOS(1-2*(MIN(0.999,MAX(1E-6,A27/$B$7)))))-SIN(2*ACOS(1-2*(MIN(0.999,MAX(1E-6,A27/$B$7)))))))*IF((IF((($B$7/2)*(2*ACOS(1-2*(MIN(0.999,MAX(1E-6,A27/$B$7))))))&lt;=0,0,((($B$7/2)^2/2)*((2*ACOS(1-2*(MIN(0.999,MAX(1E-6,A27/$B$7)))))-SIN(2*ACOS(1-2*(MIN(0.999,MAX(1E-6,A27/$B$7)))))))/(($B$7/2)*(2*ACOS(1-2*(MIN(0.999,MAX(1E-6,A27/$B$7))))))))&lt;=0,0,(IF((($B$7/2)*(2*ACOS(1-2*(MIN(0.999,MAX(1E-6,A27/$B$7))))))&lt;=0,0,((($B$7/2)^2/2)*((2*ACOS(1-2*(MIN(0.999,MAX(1E-6,A27/$B$7)))))-SIN(2*ACOS(1-2*(MIN(0.999,MAX(1E-6,A27/$B$7)))))))/(($B$7/2)*(2*ACOS(1-2*(MIN(0.999,MAX(1E-6,A27/$B$7))))))))^(2/3))*SQRT($B$11)),IF((A27-$B$12+$B$11*$B$8)&lt;=0,0,(PI()*($B$7/2)^2)*SQRT((A27-$B$12+$B$11*$B$8)/((1+$B$21)/(2*9.81)+($B$6^2)*$B$8/(($B$7/4)^(4/3))))))</f>
        <v/>
      </c>
      <c r="E27" s="15">
        <f>MIN(C27,D27)</f>
        <v/>
      </c>
      <c r="F27" s="4">
        <f>IF(A27&lt;=0,"—",IF(C27&lt;=D27,"inlet","outlet"))</f>
        <v/>
      </c>
    </row>
    <row r="28">
      <c r="A28" s="31" t="n">
        <v>0.2</v>
      </c>
      <c r="B28" s="31">
        <f>$B$9+A28</f>
        <v/>
      </c>
      <c r="C28" s="5">
        <f>IF(A28&lt;=0,0,IF(A28&lt;=1.2*$B$7,1.811*(PI()*($B$7/2)^2)*SQRT($B$7)*IF($B$17*$B$7&lt;=0,0,(A28/($B$17*$B$7))^(1/$B$18)),MAX(1.811*(PI()*($B$7/2)^2)*SQRT($B$7)*IF($B$17*$B$7&lt;=0,0,((1.2*$B$7)/($B$17*$B$7))^(1/$B$18)),1.811*(PI()*($B$7/2)^2)*SQRT($B$7)*SQRT(MAX(0,(A28/$B$7-$B$20)/$B$19)))))</f>
        <v/>
      </c>
      <c r="D28" s="5">
        <f>IF(A28&lt;$B$7,IF($B$6&lt;=0,0,(1/$B$6)*((($B$7/2)^2/2)*((2*ACOS(1-2*(MIN(0.999,MAX(1E-6,A28/$B$7)))))-SIN(2*ACOS(1-2*(MIN(0.999,MAX(1E-6,A28/$B$7)))))))*IF((IF((($B$7/2)*(2*ACOS(1-2*(MIN(0.999,MAX(1E-6,A28/$B$7))))))&lt;=0,0,((($B$7/2)^2/2)*((2*ACOS(1-2*(MIN(0.999,MAX(1E-6,A28/$B$7)))))-SIN(2*ACOS(1-2*(MIN(0.999,MAX(1E-6,A28/$B$7)))))))/(($B$7/2)*(2*ACOS(1-2*(MIN(0.999,MAX(1E-6,A28/$B$7))))))))&lt;=0,0,(IF((($B$7/2)*(2*ACOS(1-2*(MIN(0.999,MAX(1E-6,A28/$B$7))))))&lt;=0,0,((($B$7/2)^2/2)*((2*ACOS(1-2*(MIN(0.999,MAX(1E-6,A28/$B$7)))))-SIN(2*ACOS(1-2*(MIN(0.999,MAX(1E-6,A28/$B$7)))))))/(($B$7/2)*(2*ACOS(1-2*(MIN(0.999,MAX(1E-6,A28/$B$7))))))))^(2/3))*SQRT($B$11)),IF((A28-$B$12+$B$11*$B$8)&lt;=0,0,(PI()*($B$7/2)^2)*SQRT((A28-$B$12+$B$11*$B$8)/((1+$B$21)/(2*9.81)+($B$6^2)*$B$8/(($B$7/4)^(4/3))))))</f>
        <v/>
      </c>
      <c r="E28" s="15">
        <f>MIN(C28,D28)</f>
        <v/>
      </c>
      <c r="F28" s="4">
        <f>IF(A28&lt;=0,"—",IF(C28&lt;=D28,"inlet","outlet"))</f>
        <v/>
      </c>
    </row>
    <row r="29">
      <c r="A29" s="31" t="n">
        <v>0.25</v>
      </c>
      <c r="B29" s="31">
        <f>$B$9+A29</f>
        <v/>
      </c>
      <c r="C29" s="5">
        <f>IF(A29&lt;=0,0,IF(A29&lt;=1.2*$B$7,1.811*(PI()*($B$7/2)^2)*SQRT($B$7)*IF($B$17*$B$7&lt;=0,0,(A29/($B$17*$B$7))^(1/$B$18)),MAX(1.811*(PI()*($B$7/2)^2)*SQRT($B$7)*IF($B$17*$B$7&lt;=0,0,((1.2*$B$7)/($B$17*$B$7))^(1/$B$18)),1.811*(PI()*($B$7/2)^2)*SQRT($B$7)*SQRT(MAX(0,(A29/$B$7-$B$20)/$B$19)))))</f>
        <v/>
      </c>
      <c r="D29" s="5">
        <f>IF(A29&lt;$B$7,IF($B$6&lt;=0,0,(1/$B$6)*((($B$7/2)^2/2)*((2*ACOS(1-2*(MIN(0.999,MAX(1E-6,A29/$B$7)))))-SIN(2*ACOS(1-2*(MIN(0.999,MAX(1E-6,A29/$B$7)))))))*IF((IF((($B$7/2)*(2*ACOS(1-2*(MIN(0.999,MAX(1E-6,A29/$B$7))))))&lt;=0,0,((($B$7/2)^2/2)*((2*ACOS(1-2*(MIN(0.999,MAX(1E-6,A29/$B$7)))))-SIN(2*ACOS(1-2*(MIN(0.999,MAX(1E-6,A29/$B$7)))))))/(($B$7/2)*(2*ACOS(1-2*(MIN(0.999,MAX(1E-6,A29/$B$7))))))))&lt;=0,0,(IF((($B$7/2)*(2*ACOS(1-2*(MIN(0.999,MAX(1E-6,A29/$B$7))))))&lt;=0,0,((($B$7/2)^2/2)*((2*ACOS(1-2*(MIN(0.999,MAX(1E-6,A29/$B$7)))))-SIN(2*ACOS(1-2*(MIN(0.999,MAX(1E-6,A29/$B$7)))))))/(($B$7/2)*(2*ACOS(1-2*(MIN(0.999,MAX(1E-6,A29/$B$7))))))))^(2/3))*SQRT($B$11)),IF((A29-$B$12+$B$11*$B$8)&lt;=0,0,(PI()*($B$7/2)^2)*SQRT((A29-$B$12+$B$11*$B$8)/((1+$B$21)/(2*9.81)+($B$6^2)*$B$8/(($B$7/4)^(4/3))))))</f>
        <v/>
      </c>
      <c r="E29" s="15">
        <f>MIN(C29,D29)</f>
        <v/>
      </c>
      <c r="F29" s="4">
        <f>IF(A29&lt;=0,"—",IF(C29&lt;=D29,"inlet","outlet"))</f>
        <v/>
      </c>
    </row>
    <row r="30">
      <c r="A30" s="31" t="n">
        <v>0.3</v>
      </c>
      <c r="B30" s="31">
        <f>$B$9+A30</f>
        <v/>
      </c>
      <c r="C30" s="5">
        <f>IF(A30&lt;=0,0,IF(A30&lt;=1.2*$B$7,1.811*(PI()*($B$7/2)^2)*SQRT($B$7)*IF($B$17*$B$7&lt;=0,0,(A30/($B$17*$B$7))^(1/$B$18)),MAX(1.811*(PI()*($B$7/2)^2)*SQRT($B$7)*IF($B$17*$B$7&lt;=0,0,((1.2*$B$7)/($B$17*$B$7))^(1/$B$18)),1.811*(PI()*($B$7/2)^2)*SQRT($B$7)*SQRT(MAX(0,(A30/$B$7-$B$20)/$B$19)))))</f>
        <v/>
      </c>
      <c r="D30" s="5">
        <f>IF(A30&lt;$B$7,IF($B$6&lt;=0,0,(1/$B$6)*((($B$7/2)^2/2)*((2*ACOS(1-2*(MIN(0.999,MAX(1E-6,A30/$B$7)))))-SIN(2*ACOS(1-2*(MIN(0.999,MAX(1E-6,A30/$B$7)))))))*IF((IF((($B$7/2)*(2*ACOS(1-2*(MIN(0.999,MAX(1E-6,A30/$B$7))))))&lt;=0,0,((($B$7/2)^2/2)*((2*ACOS(1-2*(MIN(0.999,MAX(1E-6,A30/$B$7)))))-SIN(2*ACOS(1-2*(MIN(0.999,MAX(1E-6,A30/$B$7)))))))/(($B$7/2)*(2*ACOS(1-2*(MIN(0.999,MAX(1E-6,A30/$B$7))))))))&lt;=0,0,(IF((($B$7/2)*(2*ACOS(1-2*(MIN(0.999,MAX(1E-6,A30/$B$7))))))&lt;=0,0,((($B$7/2)^2/2)*((2*ACOS(1-2*(MIN(0.999,MAX(1E-6,A30/$B$7)))))-SIN(2*ACOS(1-2*(MIN(0.999,MAX(1E-6,A30/$B$7)))))))/(($B$7/2)*(2*ACOS(1-2*(MIN(0.999,MAX(1E-6,A30/$B$7))))))))^(2/3))*SQRT($B$11)),IF((A30-$B$12+$B$11*$B$8)&lt;=0,0,(PI()*($B$7/2)^2)*SQRT((A30-$B$12+$B$11*$B$8)/((1+$B$21)/(2*9.81)+($B$6^2)*$B$8/(($B$7/4)^(4/3))))))</f>
        <v/>
      </c>
      <c r="E30" s="15">
        <f>MIN(C30,D30)</f>
        <v/>
      </c>
      <c r="F30" s="4">
        <f>IF(A30&lt;=0,"—",IF(C30&lt;=D30,"inlet","outlet"))</f>
        <v/>
      </c>
    </row>
    <row r="31">
      <c r="A31" s="31" t="n">
        <v>0.35</v>
      </c>
      <c r="B31" s="31">
        <f>$B$9+A31</f>
        <v/>
      </c>
      <c r="C31" s="5">
        <f>IF(A31&lt;=0,0,IF(A31&lt;=1.2*$B$7,1.811*(PI()*($B$7/2)^2)*SQRT($B$7)*IF($B$17*$B$7&lt;=0,0,(A31/($B$17*$B$7))^(1/$B$18)),MAX(1.811*(PI()*($B$7/2)^2)*SQRT($B$7)*IF($B$17*$B$7&lt;=0,0,((1.2*$B$7)/($B$17*$B$7))^(1/$B$18)),1.811*(PI()*($B$7/2)^2)*SQRT($B$7)*SQRT(MAX(0,(A31/$B$7-$B$20)/$B$19)))))</f>
        <v/>
      </c>
      <c r="D31" s="5">
        <f>IF(A31&lt;$B$7,IF($B$6&lt;=0,0,(1/$B$6)*((($B$7/2)^2/2)*((2*ACOS(1-2*(MIN(0.999,MAX(1E-6,A31/$B$7)))))-SIN(2*ACOS(1-2*(MIN(0.999,MAX(1E-6,A31/$B$7)))))))*IF((IF((($B$7/2)*(2*ACOS(1-2*(MIN(0.999,MAX(1E-6,A31/$B$7))))))&lt;=0,0,((($B$7/2)^2/2)*((2*ACOS(1-2*(MIN(0.999,MAX(1E-6,A31/$B$7)))))-SIN(2*ACOS(1-2*(MIN(0.999,MAX(1E-6,A31/$B$7)))))))/(($B$7/2)*(2*ACOS(1-2*(MIN(0.999,MAX(1E-6,A31/$B$7))))))))&lt;=0,0,(IF((($B$7/2)*(2*ACOS(1-2*(MIN(0.999,MAX(1E-6,A31/$B$7))))))&lt;=0,0,((($B$7/2)^2/2)*((2*ACOS(1-2*(MIN(0.999,MAX(1E-6,A31/$B$7)))))-SIN(2*ACOS(1-2*(MIN(0.999,MAX(1E-6,A31/$B$7)))))))/(($B$7/2)*(2*ACOS(1-2*(MIN(0.999,MAX(1E-6,A31/$B$7))))))))^(2/3))*SQRT($B$11)),IF((A31-$B$12+$B$11*$B$8)&lt;=0,0,(PI()*($B$7/2)^2)*SQRT((A31-$B$12+$B$11*$B$8)/((1+$B$21)/(2*9.81)+($B$6^2)*$B$8/(($B$7/4)^(4/3))))))</f>
        <v/>
      </c>
      <c r="E31" s="15">
        <f>MIN(C31,D31)</f>
        <v/>
      </c>
      <c r="F31" s="4">
        <f>IF(A31&lt;=0,"—",IF(C31&lt;=D31,"inlet","outlet"))</f>
        <v/>
      </c>
    </row>
    <row r="32">
      <c r="A32" s="31" t="n">
        <v>0.4</v>
      </c>
      <c r="B32" s="31">
        <f>$B$9+A32</f>
        <v/>
      </c>
      <c r="C32" s="5">
        <f>IF(A32&lt;=0,0,IF(A32&lt;=1.2*$B$7,1.811*(PI()*($B$7/2)^2)*SQRT($B$7)*IF($B$17*$B$7&lt;=0,0,(A32/($B$17*$B$7))^(1/$B$18)),MAX(1.811*(PI()*($B$7/2)^2)*SQRT($B$7)*IF($B$17*$B$7&lt;=0,0,((1.2*$B$7)/($B$17*$B$7))^(1/$B$18)),1.811*(PI()*($B$7/2)^2)*SQRT($B$7)*SQRT(MAX(0,(A32/$B$7-$B$20)/$B$19)))))</f>
        <v/>
      </c>
      <c r="D32" s="5">
        <f>IF(A32&lt;$B$7,IF($B$6&lt;=0,0,(1/$B$6)*((($B$7/2)^2/2)*((2*ACOS(1-2*(MIN(0.999,MAX(1E-6,A32/$B$7)))))-SIN(2*ACOS(1-2*(MIN(0.999,MAX(1E-6,A32/$B$7)))))))*IF((IF((($B$7/2)*(2*ACOS(1-2*(MIN(0.999,MAX(1E-6,A32/$B$7))))))&lt;=0,0,((($B$7/2)^2/2)*((2*ACOS(1-2*(MIN(0.999,MAX(1E-6,A32/$B$7)))))-SIN(2*ACOS(1-2*(MIN(0.999,MAX(1E-6,A32/$B$7)))))))/(($B$7/2)*(2*ACOS(1-2*(MIN(0.999,MAX(1E-6,A32/$B$7))))))))&lt;=0,0,(IF((($B$7/2)*(2*ACOS(1-2*(MIN(0.999,MAX(1E-6,A32/$B$7))))))&lt;=0,0,((($B$7/2)^2/2)*((2*ACOS(1-2*(MIN(0.999,MAX(1E-6,A32/$B$7)))))-SIN(2*ACOS(1-2*(MIN(0.999,MAX(1E-6,A32/$B$7)))))))/(($B$7/2)*(2*ACOS(1-2*(MIN(0.999,MAX(1E-6,A32/$B$7))))))))^(2/3))*SQRT($B$11)),IF((A32-$B$12+$B$11*$B$8)&lt;=0,0,(PI()*($B$7/2)^2)*SQRT((A32-$B$12+$B$11*$B$8)/((1+$B$21)/(2*9.81)+($B$6^2)*$B$8/(($B$7/4)^(4/3))))))</f>
        <v/>
      </c>
      <c r="E32" s="15">
        <f>MIN(C32,D32)</f>
        <v/>
      </c>
      <c r="F32" s="4">
        <f>IF(A32&lt;=0,"—",IF(C32&lt;=D32,"inlet","outlet"))</f>
        <v/>
      </c>
    </row>
    <row r="33">
      <c r="A33" s="31" t="n">
        <v>0.45</v>
      </c>
      <c r="B33" s="31">
        <f>$B$9+A33</f>
        <v/>
      </c>
      <c r="C33" s="5">
        <f>IF(A33&lt;=0,0,IF(A33&lt;=1.2*$B$7,1.811*(PI()*($B$7/2)^2)*SQRT($B$7)*IF($B$17*$B$7&lt;=0,0,(A33/($B$17*$B$7))^(1/$B$18)),MAX(1.811*(PI()*($B$7/2)^2)*SQRT($B$7)*IF($B$17*$B$7&lt;=0,0,((1.2*$B$7)/($B$17*$B$7))^(1/$B$18)),1.811*(PI()*($B$7/2)^2)*SQRT($B$7)*SQRT(MAX(0,(A33/$B$7-$B$20)/$B$19)))))</f>
        <v/>
      </c>
      <c r="D33" s="5">
        <f>IF(A33&lt;$B$7,IF($B$6&lt;=0,0,(1/$B$6)*((($B$7/2)^2/2)*((2*ACOS(1-2*(MIN(0.999,MAX(1E-6,A33/$B$7)))))-SIN(2*ACOS(1-2*(MIN(0.999,MAX(1E-6,A33/$B$7)))))))*IF((IF((($B$7/2)*(2*ACOS(1-2*(MIN(0.999,MAX(1E-6,A33/$B$7))))))&lt;=0,0,((($B$7/2)^2/2)*((2*ACOS(1-2*(MIN(0.999,MAX(1E-6,A33/$B$7)))))-SIN(2*ACOS(1-2*(MIN(0.999,MAX(1E-6,A33/$B$7)))))))/(($B$7/2)*(2*ACOS(1-2*(MIN(0.999,MAX(1E-6,A33/$B$7))))))))&lt;=0,0,(IF((($B$7/2)*(2*ACOS(1-2*(MIN(0.999,MAX(1E-6,A33/$B$7))))))&lt;=0,0,((($B$7/2)^2/2)*((2*ACOS(1-2*(MIN(0.999,MAX(1E-6,A33/$B$7)))))-SIN(2*ACOS(1-2*(MIN(0.999,MAX(1E-6,A33/$B$7)))))))/(($B$7/2)*(2*ACOS(1-2*(MIN(0.999,MAX(1E-6,A33/$B$7))))))))^(2/3))*SQRT($B$11)),IF((A33-$B$12+$B$11*$B$8)&lt;=0,0,(PI()*($B$7/2)^2)*SQRT((A33-$B$12+$B$11*$B$8)/((1+$B$21)/(2*9.81)+($B$6^2)*$B$8/(($B$7/4)^(4/3))))))</f>
        <v/>
      </c>
      <c r="E33" s="15">
        <f>MIN(C33,D33)</f>
        <v/>
      </c>
      <c r="F33" s="4">
        <f>IF(A33&lt;=0,"—",IF(C33&lt;=D33,"inlet","outlet"))</f>
        <v/>
      </c>
    </row>
    <row r="34">
      <c r="A34" s="31" t="n">
        <v>0.5</v>
      </c>
      <c r="B34" s="31">
        <f>$B$9+A34</f>
        <v/>
      </c>
      <c r="C34" s="5">
        <f>IF(A34&lt;=0,0,IF(A34&lt;=1.2*$B$7,1.811*(PI()*($B$7/2)^2)*SQRT($B$7)*IF($B$17*$B$7&lt;=0,0,(A34/($B$17*$B$7))^(1/$B$18)),MAX(1.811*(PI()*($B$7/2)^2)*SQRT($B$7)*IF($B$17*$B$7&lt;=0,0,((1.2*$B$7)/($B$17*$B$7))^(1/$B$18)),1.811*(PI()*($B$7/2)^2)*SQRT($B$7)*SQRT(MAX(0,(A34/$B$7-$B$20)/$B$19)))))</f>
        <v/>
      </c>
      <c r="D34" s="5">
        <f>IF(A34&lt;$B$7,IF($B$6&lt;=0,0,(1/$B$6)*((($B$7/2)^2/2)*((2*ACOS(1-2*(MIN(0.999,MAX(1E-6,A34/$B$7)))))-SIN(2*ACOS(1-2*(MIN(0.999,MAX(1E-6,A34/$B$7)))))))*IF((IF((($B$7/2)*(2*ACOS(1-2*(MIN(0.999,MAX(1E-6,A34/$B$7))))))&lt;=0,0,((($B$7/2)^2/2)*((2*ACOS(1-2*(MIN(0.999,MAX(1E-6,A34/$B$7)))))-SIN(2*ACOS(1-2*(MIN(0.999,MAX(1E-6,A34/$B$7)))))))/(($B$7/2)*(2*ACOS(1-2*(MIN(0.999,MAX(1E-6,A34/$B$7))))))))&lt;=0,0,(IF((($B$7/2)*(2*ACOS(1-2*(MIN(0.999,MAX(1E-6,A34/$B$7))))))&lt;=0,0,((($B$7/2)^2/2)*((2*ACOS(1-2*(MIN(0.999,MAX(1E-6,A34/$B$7)))))-SIN(2*ACOS(1-2*(MIN(0.999,MAX(1E-6,A34/$B$7)))))))/(($B$7/2)*(2*ACOS(1-2*(MIN(0.999,MAX(1E-6,A34/$B$7))))))))^(2/3))*SQRT($B$11)),IF((A34-$B$12+$B$11*$B$8)&lt;=0,0,(PI()*($B$7/2)^2)*SQRT((A34-$B$12+$B$11*$B$8)/((1+$B$21)/(2*9.81)+($B$6^2)*$B$8/(($B$7/4)^(4/3))))))</f>
        <v/>
      </c>
      <c r="E34" s="15">
        <f>MIN(C34,D34)</f>
        <v/>
      </c>
      <c r="F34" s="4">
        <f>IF(A34&lt;=0,"—",IF(C34&lt;=D34,"inlet","outlet"))</f>
        <v/>
      </c>
    </row>
    <row r="35">
      <c r="A35" s="31" t="n">
        <v>0.55</v>
      </c>
      <c r="B35" s="31">
        <f>$B$9+A35</f>
        <v/>
      </c>
      <c r="C35" s="5">
        <f>IF(A35&lt;=0,0,IF(A35&lt;=1.2*$B$7,1.811*(PI()*($B$7/2)^2)*SQRT($B$7)*IF($B$17*$B$7&lt;=0,0,(A35/($B$17*$B$7))^(1/$B$18)),MAX(1.811*(PI()*($B$7/2)^2)*SQRT($B$7)*IF($B$17*$B$7&lt;=0,0,((1.2*$B$7)/($B$17*$B$7))^(1/$B$18)),1.811*(PI()*($B$7/2)^2)*SQRT($B$7)*SQRT(MAX(0,(A35/$B$7-$B$20)/$B$19)))))</f>
        <v/>
      </c>
      <c r="D35" s="5">
        <f>IF(A35&lt;$B$7,IF($B$6&lt;=0,0,(1/$B$6)*((($B$7/2)^2/2)*((2*ACOS(1-2*(MIN(0.999,MAX(1E-6,A35/$B$7)))))-SIN(2*ACOS(1-2*(MIN(0.999,MAX(1E-6,A35/$B$7)))))))*IF((IF((($B$7/2)*(2*ACOS(1-2*(MIN(0.999,MAX(1E-6,A35/$B$7))))))&lt;=0,0,((($B$7/2)^2/2)*((2*ACOS(1-2*(MIN(0.999,MAX(1E-6,A35/$B$7)))))-SIN(2*ACOS(1-2*(MIN(0.999,MAX(1E-6,A35/$B$7)))))))/(($B$7/2)*(2*ACOS(1-2*(MIN(0.999,MAX(1E-6,A35/$B$7))))))))&lt;=0,0,(IF((($B$7/2)*(2*ACOS(1-2*(MIN(0.999,MAX(1E-6,A35/$B$7))))))&lt;=0,0,((($B$7/2)^2/2)*((2*ACOS(1-2*(MIN(0.999,MAX(1E-6,A35/$B$7)))))-SIN(2*ACOS(1-2*(MIN(0.999,MAX(1E-6,A35/$B$7)))))))/(($B$7/2)*(2*ACOS(1-2*(MIN(0.999,MAX(1E-6,A35/$B$7))))))))^(2/3))*SQRT($B$11)),IF((A35-$B$12+$B$11*$B$8)&lt;=0,0,(PI()*($B$7/2)^2)*SQRT((A35-$B$12+$B$11*$B$8)/((1+$B$21)/(2*9.81)+($B$6^2)*$B$8/(($B$7/4)^(4/3))))))</f>
        <v/>
      </c>
      <c r="E35" s="15">
        <f>MIN(C35,D35)</f>
        <v/>
      </c>
      <c r="F35" s="4">
        <f>IF(A35&lt;=0,"—",IF(C35&lt;=D35,"inlet","outlet"))</f>
        <v/>
      </c>
    </row>
    <row r="36">
      <c r="A36" s="31" t="n">
        <v>0.6</v>
      </c>
      <c r="B36" s="31">
        <f>$B$9+A36</f>
        <v/>
      </c>
      <c r="C36" s="5">
        <f>IF(A36&lt;=0,0,IF(A36&lt;=1.2*$B$7,1.811*(PI()*($B$7/2)^2)*SQRT($B$7)*IF($B$17*$B$7&lt;=0,0,(A36/($B$17*$B$7))^(1/$B$18)),MAX(1.811*(PI()*($B$7/2)^2)*SQRT($B$7)*IF($B$17*$B$7&lt;=0,0,((1.2*$B$7)/($B$17*$B$7))^(1/$B$18)),1.811*(PI()*($B$7/2)^2)*SQRT($B$7)*SQRT(MAX(0,(A36/$B$7-$B$20)/$B$19)))))</f>
        <v/>
      </c>
      <c r="D36" s="5">
        <f>IF(A36&lt;$B$7,IF($B$6&lt;=0,0,(1/$B$6)*((($B$7/2)^2/2)*((2*ACOS(1-2*(MIN(0.999,MAX(1E-6,A36/$B$7)))))-SIN(2*ACOS(1-2*(MIN(0.999,MAX(1E-6,A36/$B$7)))))))*IF((IF((($B$7/2)*(2*ACOS(1-2*(MIN(0.999,MAX(1E-6,A36/$B$7))))))&lt;=0,0,((($B$7/2)^2/2)*((2*ACOS(1-2*(MIN(0.999,MAX(1E-6,A36/$B$7)))))-SIN(2*ACOS(1-2*(MIN(0.999,MAX(1E-6,A36/$B$7)))))))/(($B$7/2)*(2*ACOS(1-2*(MIN(0.999,MAX(1E-6,A36/$B$7))))))))&lt;=0,0,(IF((($B$7/2)*(2*ACOS(1-2*(MIN(0.999,MAX(1E-6,A36/$B$7))))))&lt;=0,0,((($B$7/2)^2/2)*((2*ACOS(1-2*(MIN(0.999,MAX(1E-6,A36/$B$7)))))-SIN(2*ACOS(1-2*(MIN(0.999,MAX(1E-6,A36/$B$7)))))))/(($B$7/2)*(2*ACOS(1-2*(MIN(0.999,MAX(1E-6,A36/$B$7))))))))^(2/3))*SQRT($B$11)),IF((A36-$B$12+$B$11*$B$8)&lt;=0,0,(PI()*($B$7/2)^2)*SQRT((A36-$B$12+$B$11*$B$8)/((1+$B$21)/(2*9.81)+($B$6^2)*$B$8/(($B$7/4)^(4/3))))))</f>
        <v/>
      </c>
      <c r="E36" s="15">
        <f>MIN(C36,D36)</f>
        <v/>
      </c>
      <c r="F36" s="4">
        <f>IF(A36&lt;=0,"—",IF(C36&lt;=D36,"inlet","outlet"))</f>
        <v/>
      </c>
    </row>
    <row r="37">
      <c r="A37" s="31" t="n">
        <v>0.65</v>
      </c>
      <c r="B37" s="31">
        <f>$B$9+A37</f>
        <v/>
      </c>
      <c r="C37" s="5">
        <f>IF(A37&lt;=0,0,IF(A37&lt;=1.2*$B$7,1.811*(PI()*($B$7/2)^2)*SQRT($B$7)*IF($B$17*$B$7&lt;=0,0,(A37/($B$17*$B$7))^(1/$B$18)),MAX(1.811*(PI()*($B$7/2)^2)*SQRT($B$7)*IF($B$17*$B$7&lt;=0,0,((1.2*$B$7)/($B$17*$B$7))^(1/$B$18)),1.811*(PI()*($B$7/2)^2)*SQRT($B$7)*SQRT(MAX(0,(A37/$B$7-$B$20)/$B$19)))))</f>
        <v/>
      </c>
      <c r="D37" s="5">
        <f>IF(A37&lt;$B$7,IF($B$6&lt;=0,0,(1/$B$6)*((($B$7/2)^2/2)*((2*ACOS(1-2*(MIN(0.999,MAX(1E-6,A37/$B$7)))))-SIN(2*ACOS(1-2*(MIN(0.999,MAX(1E-6,A37/$B$7)))))))*IF((IF((($B$7/2)*(2*ACOS(1-2*(MIN(0.999,MAX(1E-6,A37/$B$7))))))&lt;=0,0,((($B$7/2)^2/2)*((2*ACOS(1-2*(MIN(0.999,MAX(1E-6,A37/$B$7)))))-SIN(2*ACOS(1-2*(MIN(0.999,MAX(1E-6,A37/$B$7)))))))/(($B$7/2)*(2*ACOS(1-2*(MIN(0.999,MAX(1E-6,A37/$B$7))))))))&lt;=0,0,(IF((($B$7/2)*(2*ACOS(1-2*(MIN(0.999,MAX(1E-6,A37/$B$7))))))&lt;=0,0,((($B$7/2)^2/2)*((2*ACOS(1-2*(MIN(0.999,MAX(1E-6,A37/$B$7)))))-SIN(2*ACOS(1-2*(MIN(0.999,MAX(1E-6,A37/$B$7)))))))/(($B$7/2)*(2*ACOS(1-2*(MIN(0.999,MAX(1E-6,A37/$B$7))))))))^(2/3))*SQRT($B$11)),IF((A37-$B$12+$B$11*$B$8)&lt;=0,0,(PI()*($B$7/2)^2)*SQRT((A37-$B$12+$B$11*$B$8)/((1+$B$21)/(2*9.81)+($B$6^2)*$B$8/(($B$7/4)^(4/3))))))</f>
        <v/>
      </c>
      <c r="E37" s="15">
        <f>MIN(C37,D37)</f>
        <v/>
      </c>
      <c r="F37" s="4">
        <f>IF(A37&lt;=0,"—",IF(C37&lt;=D37,"inlet","outlet"))</f>
        <v/>
      </c>
    </row>
    <row r="38">
      <c r="A38" s="31" t="n">
        <v>0.7</v>
      </c>
      <c r="B38" s="31">
        <f>$B$9+A38</f>
        <v/>
      </c>
      <c r="C38" s="5">
        <f>IF(A38&lt;=0,0,IF(A38&lt;=1.2*$B$7,1.811*(PI()*($B$7/2)^2)*SQRT($B$7)*IF($B$17*$B$7&lt;=0,0,(A38/($B$17*$B$7))^(1/$B$18)),MAX(1.811*(PI()*($B$7/2)^2)*SQRT($B$7)*IF($B$17*$B$7&lt;=0,0,((1.2*$B$7)/($B$17*$B$7))^(1/$B$18)),1.811*(PI()*($B$7/2)^2)*SQRT($B$7)*SQRT(MAX(0,(A38/$B$7-$B$20)/$B$19)))))</f>
        <v/>
      </c>
      <c r="D38" s="5">
        <f>IF(A38&lt;$B$7,IF($B$6&lt;=0,0,(1/$B$6)*((($B$7/2)^2/2)*((2*ACOS(1-2*(MIN(0.999,MAX(1E-6,A38/$B$7)))))-SIN(2*ACOS(1-2*(MIN(0.999,MAX(1E-6,A38/$B$7)))))))*IF((IF((($B$7/2)*(2*ACOS(1-2*(MIN(0.999,MAX(1E-6,A38/$B$7))))))&lt;=0,0,((($B$7/2)^2/2)*((2*ACOS(1-2*(MIN(0.999,MAX(1E-6,A38/$B$7)))))-SIN(2*ACOS(1-2*(MIN(0.999,MAX(1E-6,A38/$B$7)))))))/(($B$7/2)*(2*ACOS(1-2*(MIN(0.999,MAX(1E-6,A38/$B$7))))))))&lt;=0,0,(IF((($B$7/2)*(2*ACOS(1-2*(MIN(0.999,MAX(1E-6,A38/$B$7))))))&lt;=0,0,((($B$7/2)^2/2)*((2*ACOS(1-2*(MIN(0.999,MAX(1E-6,A38/$B$7)))))-SIN(2*ACOS(1-2*(MIN(0.999,MAX(1E-6,A38/$B$7)))))))/(($B$7/2)*(2*ACOS(1-2*(MIN(0.999,MAX(1E-6,A38/$B$7))))))))^(2/3))*SQRT($B$11)),IF((A38-$B$12+$B$11*$B$8)&lt;=0,0,(PI()*($B$7/2)^2)*SQRT((A38-$B$12+$B$11*$B$8)/((1+$B$21)/(2*9.81)+($B$6^2)*$B$8/(($B$7/4)^(4/3))))))</f>
        <v/>
      </c>
      <c r="E38" s="15">
        <f>MIN(C38,D38)</f>
        <v/>
      </c>
      <c r="F38" s="4">
        <f>IF(A38&lt;=0,"—",IF(C38&lt;=D38,"inlet","outlet"))</f>
        <v/>
      </c>
    </row>
    <row r="39">
      <c r="A39" s="31" t="n">
        <v>0.75</v>
      </c>
      <c r="B39" s="31">
        <f>$B$9+A39</f>
        <v/>
      </c>
      <c r="C39" s="5">
        <f>IF(A39&lt;=0,0,IF(A39&lt;=1.2*$B$7,1.811*(PI()*($B$7/2)^2)*SQRT($B$7)*IF($B$17*$B$7&lt;=0,0,(A39/($B$17*$B$7))^(1/$B$18)),MAX(1.811*(PI()*($B$7/2)^2)*SQRT($B$7)*IF($B$17*$B$7&lt;=0,0,((1.2*$B$7)/($B$17*$B$7))^(1/$B$18)),1.811*(PI()*($B$7/2)^2)*SQRT($B$7)*SQRT(MAX(0,(A39/$B$7-$B$20)/$B$19)))))</f>
        <v/>
      </c>
      <c r="D39" s="5">
        <f>IF(A39&lt;$B$7,IF($B$6&lt;=0,0,(1/$B$6)*((($B$7/2)^2/2)*((2*ACOS(1-2*(MIN(0.999,MAX(1E-6,A39/$B$7)))))-SIN(2*ACOS(1-2*(MIN(0.999,MAX(1E-6,A39/$B$7)))))))*IF((IF((($B$7/2)*(2*ACOS(1-2*(MIN(0.999,MAX(1E-6,A39/$B$7))))))&lt;=0,0,((($B$7/2)^2/2)*((2*ACOS(1-2*(MIN(0.999,MAX(1E-6,A39/$B$7)))))-SIN(2*ACOS(1-2*(MIN(0.999,MAX(1E-6,A39/$B$7)))))))/(($B$7/2)*(2*ACOS(1-2*(MIN(0.999,MAX(1E-6,A39/$B$7))))))))&lt;=0,0,(IF((($B$7/2)*(2*ACOS(1-2*(MIN(0.999,MAX(1E-6,A39/$B$7))))))&lt;=0,0,((($B$7/2)^2/2)*((2*ACOS(1-2*(MIN(0.999,MAX(1E-6,A39/$B$7)))))-SIN(2*ACOS(1-2*(MIN(0.999,MAX(1E-6,A39/$B$7)))))))/(($B$7/2)*(2*ACOS(1-2*(MIN(0.999,MAX(1E-6,A39/$B$7))))))))^(2/3))*SQRT($B$11)),IF((A39-$B$12+$B$11*$B$8)&lt;=0,0,(PI()*($B$7/2)^2)*SQRT((A39-$B$12+$B$11*$B$8)/((1+$B$21)/(2*9.81)+($B$6^2)*$B$8/(($B$7/4)^(4/3))))))</f>
        <v/>
      </c>
      <c r="E39" s="15">
        <f>MIN(C39,D39)</f>
        <v/>
      </c>
      <c r="F39" s="4">
        <f>IF(A39&lt;=0,"—",IF(C39&lt;=D39,"inlet","outlet"))</f>
        <v/>
      </c>
    </row>
    <row r="40">
      <c r="A40" s="31" t="n">
        <v>0.8</v>
      </c>
      <c r="B40" s="31">
        <f>$B$9+A40</f>
        <v/>
      </c>
      <c r="C40" s="5">
        <f>IF(A40&lt;=0,0,IF(A40&lt;=1.2*$B$7,1.811*(PI()*($B$7/2)^2)*SQRT($B$7)*IF($B$17*$B$7&lt;=0,0,(A40/($B$17*$B$7))^(1/$B$18)),MAX(1.811*(PI()*($B$7/2)^2)*SQRT($B$7)*IF($B$17*$B$7&lt;=0,0,((1.2*$B$7)/($B$17*$B$7))^(1/$B$18)),1.811*(PI()*($B$7/2)^2)*SQRT($B$7)*SQRT(MAX(0,(A40/$B$7-$B$20)/$B$19)))))</f>
        <v/>
      </c>
      <c r="D40" s="5">
        <f>IF(A40&lt;$B$7,IF($B$6&lt;=0,0,(1/$B$6)*((($B$7/2)^2/2)*((2*ACOS(1-2*(MIN(0.999,MAX(1E-6,A40/$B$7)))))-SIN(2*ACOS(1-2*(MIN(0.999,MAX(1E-6,A40/$B$7)))))))*IF((IF((($B$7/2)*(2*ACOS(1-2*(MIN(0.999,MAX(1E-6,A40/$B$7))))))&lt;=0,0,((($B$7/2)^2/2)*((2*ACOS(1-2*(MIN(0.999,MAX(1E-6,A40/$B$7)))))-SIN(2*ACOS(1-2*(MIN(0.999,MAX(1E-6,A40/$B$7)))))))/(($B$7/2)*(2*ACOS(1-2*(MIN(0.999,MAX(1E-6,A40/$B$7))))))))&lt;=0,0,(IF((($B$7/2)*(2*ACOS(1-2*(MIN(0.999,MAX(1E-6,A40/$B$7))))))&lt;=0,0,((($B$7/2)^2/2)*((2*ACOS(1-2*(MIN(0.999,MAX(1E-6,A40/$B$7)))))-SIN(2*ACOS(1-2*(MIN(0.999,MAX(1E-6,A40/$B$7)))))))/(($B$7/2)*(2*ACOS(1-2*(MIN(0.999,MAX(1E-6,A40/$B$7))))))))^(2/3))*SQRT($B$11)),IF((A40-$B$12+$B$11*$B$8)&lt;=0,0,(PI()*($B$7/2)^2)*SQRT((A40-$B$12+$B$11*$B$8)/((1+$B$21)/(2*9.81)+($B$6^2)*$B$8/(($B$7/4)^(4/3))))))</f>
        <v/>
      </c>
      <c r="E40" s="15">
        <f>MIN(C40,D40)</f>
        <v/>
      </c>
      <c r="F40" s="4">
        <f>IF(A40&lt;=0,"—",IF(C40&lt;=D40,"inlet","outlet"))</f>
        <v/>
      </c>
    </row>
    <row r="41">
      <c r="A41" s="31" t="n">
        <v>0.85</v>
      </c>
      <c r="B41" s="31">
        <f>$B$9+A41</f>
        <v/>
      </c>
      <c r="C41" s="5">
        <f>IF(A41&lt;=0,0,IF(A41&lt;=1.2*$B$7,1.811*(PI()*($B$7/2)^2)*SQRT($B$7)*IF($B$17*$B$7&lt;=0,0,(A41/($B$17*$B$7))^(1/$B$18)),MAX(1.811*(PI()*($B$7/2)^2)*SQRT($B$7)*IF($B$17*$B$7&lt;=0,0,((1.2*$B$7)/($B$17*$B$7))^(1/$B$18)),1.811*(PI()*($B$7/2)^2)*SQRT($B$7)*SQRT(MAX(0,(A41/$B$7-$B$20)/$B$19)))))</f>
        <v/>
      </c>
      <c r="D41" s="5">
        <f>IF(A41&lt;$B$7,IF($B$6&lt;=0,0,(1/$B$6)*((($B$7/2)^2/2)*((2*ACOS(1-2*(MIN(0.999,MAX(1E-6,A41/$B$7)))))-SIN(2*ACOS(1-2*(MIN(0.999,MAX(1E-6,A41/$B$7)))))))*IF((IF((($B$7/2)*(2*ACOS(1-2*(MIN(0.999,MAX(1E-6,A41/$B$7))))))&lt;=0,0,((($B$7/2)^2/2)*((2*ACOS(1-2*(MIN(0.999,MAX(1E-6,A41/$B$7)))))-SIN(2*ACOS(1-2*(MIN(0.999,MAX(1E-6,A41/$B$7)))))))/(($B$7/2)*(2*ACOS(1-2*(MIN(0.999,MAX(1E-6,A41/$B$7))))))))&lt;=0,0,(IF((($B$7/2)*(2*ACOS(1-2*(MIN(0.999,MAX(1E-6,A41/$B$7))))))&lt;=0,0,((($B$7/2)^2/2)*((2*ACOS(1-2*(MIN(0.999,MAX(1E-6,A41/$B$7)))))-SIN(2*ACOS(1-2*(MIN(0.999,MAX(1E-6,A41/$B$7)))))))/(($B$7/2)*(2*ACOS(1-2*(MIN(0.999,MAX(1E-6,A41/$B$7))))))))^(2/3))*SQRT($B$11)),IF((A41-$B$12+$B$11*$B$8)&lt;=0,0,(PI()*($B$7/2)^2)*SQRT((A41-$B$12+$B$11*$B$8)/((1+$B$21)/(2*9.81)+($B$6^2)*$B$8/(($B$7/4)^(4/3))))))</f>
        <v/>
      </c>
      <c r="E41" s="15">
        <f>MIN(C41,D41)</f>
        <v/>
      </c>
      <c r="F41" s="4">
        <f>IF(A41&lt;=0,"—",IF(C41&lt;=D41,"inlet","outlet"))</f>
        <v/>
      </c>
    </row>
    <row r="42">
      <c r="A42" s="31" t="n">
        <v>0.9</v>
      </c>
      <c r="B42" s="31">
        <f>$B$9+A42</f>
        <v/>
      </c>
      <c r="C42" s="5">
        <f>IF(A42&lt;=0,0,IF(A42&lt;=1.2*$B$7,1.811*(PI()*($B$7/2)^2)*SQRT($B$7)*IF($B$17*$B$7&lt;=0,0,(A42/($B$17*$B$7))^(1/$B$18)),MAX(1.811*(PI()*($B$7/2)^2)*SQRT($B$7)*IF($B$17*$B$7&lt;=0,0,((1.2*$B$7)/($B$17*$B$7))^(1/$B$18)),1.811*(PI()*($B$7/2)^2)*SQRT($B$7)*SQRT(MAX(0,(A42/$B$7-$B$20)/$B$19)))))</f>
        <v/>
      </c>
      <c r="D42" s="5">
        <f>IF(A42&lt;$B$7,IF($B$6&lt;=0,0,(1/$B$6)*((($B$7/2)^2/2)*((2*ACOS(1-2*(MIN(0.999,MAX(1E-6,A42/$B$7)))))-SIN(2*ACOS(1-2*(MIN(0.999,MAX(1E-6,A42/$B$7)))))))*IF((IF((($B$7/2)*(2*ACOS(1-2*(MIN(0.999,MAX(1E-6,A42/$B$7))))))&lt;=0,0,((($B$7/2)^2/2)*((2*ACOS(1-2*(MIN(0.999,MAX(1E-6,A42/$B$7)))))-SIN(2*ACOS(1-2*(MIN(0.999,MAX(1E-6,A42/$B$7)))))))/(($B$7/2)*(2*ACOS(1-2*(MIN(0.999,MAX(1E-6,A42/$B$7))))))))&lt;=0,0,(IF((($B$7/2)*(2*ACOS(1-2*(MIN(0.999,MAX(1E-6,A42/$B$7))))))&lt;=0,0,((($B$7/2)^2/2)*((2*ACOS(1-2*(MIN(0.999,MAX(1E-6,A42/$B$7)))))-SIN(2*ACOS(1-2*(MIN(0.999,MAX(1E-6,A42/$B$7)))))))/(($B$7/2)*(2*ACOS(1-2*(MIN(0.999,MAX(1E-6,A42/$B$7))))))))^(2/3))*SQRT($B$11)),IF((A42-$B$12+$B$11*$B$8)&lt;=0,0,(PI()*($B$7/2)^2)*SQRT((A42-$B$12+$B$11*$B$8)/((1+$B$21)/(2*9.81)+($B$6^2)*$B$8/(($B$7/4)^(4/3))))))</f>
        <v/>
      </c>
      <c r="E42" s="15">
        <f>MIN(C42,D42)</f>
        <v/>
      </c>
      <c r="F42" s="4">
        <f>IF(A42&lt;=0,"—",IF(C42&lt;=D42,"inlet","outlet"))</f>
        <v/>
      </c>
    </row>
    <row r="43">
      <c r="A43" s="31" t="n">
        <v>0.95</v>
      </c>
      <c r="B43" s="31">
        <f>$B$9+A43</f>
        <v/>
      </c>
      <c r="C43" s="5">
        <f>IF(A43&lt;=0,0,IF(A43&lt;=1.2*$B$7,1.811*(PI()*($B$7/2)^2)*SQRT($B$7)*IF($B$17*$B$7&lt;=0,0,(A43/($B$17*$B$7))^(1/$B$18)),MAX(1.811*(PI()*($B$7/2)^2)*SQRT($B$7)*IF($B$17*$B$7&lt;=0,0,((1.2*$B$7)/($B$17*$B$7))^(1/$B$18)),1.811*(PI()*($B$7/2)^2)*SQRT($B$7)*SQRT(MAX(0,(A43/$B$7-$B$20)/$B$19)))))</f>
        <v/>
      </c>
      <c r="D43" s="5">
        <f>IF(A43&lt;$B$7,IF($B$6&lt;=0,0,(1/$B$6)*((($B$7/2)^2/2)*((2*ACOS(1-2*(MIN(0.999,MAX(1E-6,A43/$B$7)))))-SIN(2*ACOS(1-2*(MIN(0.999,MAX(1E-6,A43/$B$7)))))))*IF((IF((($B$7/2)*(2*ACOS(1-2*(MIN(0.999,MAX(1E-6,A43/$B$7))))))&lt;=0,0,((($B$7/2)^2/2)*((2*ACOS(1-2*(MIN(0.999,MAX(1E-6,A43/$B$7)))))-SIN(2*ACOS(1-2*(MIN(0.999,MAX(1E-6,A43/$B$7)))))))/(($B$7/2)*(2*ACOS(1-2*(MIN(0.999,MAX(1E-6,A43/$B$7))))))))&lt;=0,0,(IF((($B$7/2)*(2*ACOS(1-2*(MIN(0.999,MAX(1E-6,A43/$B$7))))))&lt;=0,0,((($B$7/2)^2/2)*((2*ACOS(1-2*(MIN(0.999,MAX(1E-6,A43/$B$7)))))-SIN(2*ACOS(1-2*(MIN(0.999,MAX(1E-6,A43/$B$7)))))))/(($B$7/2)*(2*ACOS(1-2*(MIN(0.999,MAX(1E-6,A43/$B$7))))))))^(2/3))*SQRT($B$11)),IF((A43-$B$12+$B$11*$B$8)&lt;=0,0,(PI()*($B$7/2)^2)*SQRT((A43-$B$12+$B$11*$B$8)/((1+$B$21)/(2*9.81)+($B$6^2)*$B$8/(($B$7/4)^(4/3))))))</f>
        <v/>
      </c>
      <c r="E43" s="15">
        <f>MIN(C43,D43)</f>
        <v/>
      </c>
      <c r="F43" s="4">
        <f>IF(A43&lt;=0,"—",IF(C43&lt;=D43,"inlet","outlet"))</f>
        <v/>
      </c>
    </row>
    <row r="44">
      <c r="A44" s="31" t="n">
        <v>1</v>
      </c>
      <c r="B44" s="31">
        <f>$B$9+A44</f>
        <v/>
      </c>
      <c r="C44" s="5">
        <f>IF(A44&lt;=0,0,IF(A44&lt;=1.2*$B$7,1.811*(PI()*($B$7/2)^2)*SQRT($B$7)*IF($B$17*$B$7&lt;=0,0,(A44/($B$17*$B$7))^(1/$B$18)),MAX(1.811*(PI()*($B$7/2)^2)*SQRT($B$7)*IF($B$17*$B$7&lt;=0,0,((1.2*$B$7)/($B$17*$B$7))^(1/$B$18)),1.811*(PI()*($B$7/2)^2)*SQRT($B$7)*SQRT(MAX(0,(A44/$B$7-$B$20)/$B$19)))))</f>
        <v/>
      </c>
      <c r="D44" s="5">
        <f>IF(A44&lt;$B$7,IF($B$6&lt;=0,0,(1/$B$6)*((($B$7/2)^2/2)*((2*ACOS(1-2*(MIN(0.999,MAX(1E-6,A44/$B$7)))))-SIN(2*ACOS(1-2*(MIN(0.999,MAX(1E-6,A44/$B$7)))))))*IF((IF((($B$7/2)*(2*ACOS(1-2*(MIN(0.999,MAX(1E-6,A44/$B$7))))))&lt;=0,0,((($B$7/2)^2/2)*((2*ACOS(1-2*(MIN(0.999,MAX(1E-6,A44/$B$7)))))-SIN(2*ACOS(1-2*(MIN(0.999,MAX(1E-6,A44/$B$7)))))))/(($B$7/2)*(2*ACOS(1-2*(MIN(0.999,MAX(1E-6,A44/$B$7))))))))&lt;=0,0,(IF((($B$7/2)*(2*ACOS(1-2*(MIN(0.999,MAX(1E-6,A44/$B$7))))))&lt;=0,0,((($B$7/2)^2/2)*((2*ACOS(1-2*(MIN(0.999,MAX(1E-6,A44/$B$7)))))-SIN(2*ACOS(1-2*(MIN(0.999,MAX(1E-6,A44/$B$7)))))))/(($B$7/2)*(2*ACOS(1-2*(MIN(0.999,MAX(1E-6,A44/$B$7))))))))^(2/3))*SQRT($B$11)),IF((A44-$B$12+$B$11*$B$8)&lt;=0,0,(PI()*($B$7/2)^2)*SQRT((A44-$B$12+$B$11*$B$8)/((1+$B$21)/(2*9.81)+($B$6^2)*$B$8/(($B$7/4)^(4/3))))))</f>
        <v/>
      </c>
      <c r="E44" s="15">
        <f>MIN(C44,D44)</f>
        <v/>
      </c>
      <c r="F44" s="4">
        <f>IF(A44&lt;=0,"—",IF(C44&lt;=D44,"inlet","outlet"))</f>
        <v/>
      </c>
    </row>
    <row r="45">
      <c r="A45" s="31" t="n">
        <v>1.05</v>
      </c>
      <c r="B45" s="31">
        <f>$B$9+A45</f>
        <v/>
      </c>
      <c r="C45" s="5">
        <f>IF(A45&lt;=0,0,IF(A45&lt;=1.2*$B$7,1.811*(PI()*($B$7/2)^2)*SQRT($B$7)*IF($B$17*$B$7&lt;=0,0,(A45/($B$17*$B$7))^(1/$B$18)),MAX(1.811*(PI()*($B$7/2)^2)*SQRT($B$7)*IF($B$17*$B$7&lt;=0,0,((1.2*$B$7)/($B$17*$B$7))^(1/$B$18)),1.811*(PI()*($B$7/2)^2)*SQRT($B$7)*SQRT(MAX(0,(A45/$B$7-$B$20)/$B$19)))))</f>
        <v/>
      </c>
      <c r="D45" s="5">
        <f>IF(A45&lt;$B$7,IF($B$6&lt;=0,0,(1/$B$6)*((($B$7/2)^2/2)*((2*ACOS(1-2*(MIN(0.999,MAX(1E-6,A45/$B$7)))))-SIN(2*ACOS(1-2*(MIN(0.999,MAX(1E-6,A45/$B$7)))))))*IF((IF((($B$7/2)*(2*ACOS(1-2*(MIN(0.999,MAX(1E-6,A45/$B$7))))))&lt;=0,0,((($B$7/2)^2/2)*((2*ACOS(1-2*(MIN(0.999,MAX(1E-6,A45/$B$7)))))-SIN(2*ACOS(1-2*(MIN(0.999,MAX(1E-6,A45/$B$7)))))))/(($B$7/2)*(2*ACOS(1-2*(MIN(0.999,MAX(1E-6,A45/$B$7))))))))&lt;=0,0,(IF((($B$7/2)*(2*ACOS(1-2*(MIN(0.999,MAX(1E-6,A45/$B$7))))))&lt;=0,0,((($B$7/2)^2/2)*((2*ACOS(1-2*(MIN(0.999,MAX(1E-6,A45/$B$7)))))-SIN(2*ACOS(1-2*(MIN(0.999,MAX(1E-6,A45/$B$7)))))))/(($B$7/2)*(2*ACOS(1-2*(MIN(0.999,MAX(1E-6,A45/$B$7))))))))^(2/3))*SQRT($B$11)),IF((A45-$B$12+$B$11*$B$8)&lt;=0,0,(PI()*($B$7/2)^2)*SQRT((A45-$B$12+$B$11*$B$8)/((1+$B$21)/(2*9.81)+($B$6^2)*$B$8/(($B$7/4)^(4/3))))))</f>
        <v/>
      </c>
      <c r="E45" s="15">
        <f>MIN(C45,D45)</f>
        <v/>
      </c>
      <c r="F45" s="4">
        <f>IF(A45&lt;=0,"—",IF(C45&lt;=D45,"inlet","outlet"))</f>
        <v/>
      </c>
    </row>
    <row r="46">
      <c r="A46" s="31" t="n">
        <v>1.1</v>
      </c>
      <c r="B46" s="31">
        <f>$B$9+A46</f>
        <v/>
      </c>
      <c r="C46" s="5">
        <f>IF(A46&lt;=0,0,IF(A46&lt;=1.2*$B$7,1.811*(PI()*($B$7/2)^2)*SQRT($B$7)*IF($B$17*$B$7&lt;=0,0,(A46/($B$17*$B$7))^(1/$B$18)),MAX(1.811*(PI()*($B$7/2)^2)*SQRT($B$7)*IF($B$17*$B$7&lt;=0,0,((1.2*$B$7)/($B$17*$B$7))^(1/$B$18)),1.811*(PI()*($B$7/2)^2)*SQRT($B$7)*SQRT(MAX(0,(A46/$B$7-$B$20)/$B$19)))))</f>
        <v/>
      </c>
      <c r="D46" s="5">
        <f>IF(A46&lt;$B$7,IF($B$6&lt;=0,0,(1/$B$6)*((($B$7/2)^2/2)*((2*ACOS(1-2*(MIN(0.999,MAX(1E-6,A46/$B$7)))))-SIN(2*ACOS(1-2*(MIN(0.999,MAX(1E-6,A46/$B$7)))))))*IF((IF((($B$7/2)*(2*ACOS(1-2*(MIN(0.999,MAX(1E-6,A46/$B$7))))))&lt;=0,0,((($B$7/2)^2/2)*((2*ACOS(1-2*(MIN(0.999,MAX(1E-6,A46/$B$7)))))-SIN(2*ACOS(1-2*(MIN(0.999,MAX(1E-6,A46/$B$7)))))))/(($B$7/2)*(2*ACOS(1-2*(MIN(0.999,MAX(1E-6,A46/$B$7))))))))&lt;=0,0,(IF((($B$7/2)*(2*ACOS(1-2*(MIN(0.999,MAX(1E-6,A46/$B$7))))))&lt;=0,0,((($B$7/2)^2/2)*((2*ACOS(1-2*(MIN(0.999,MAX(1E-6,A46/$B$7)))))-SIN(2*ACOS(1-2*(MIN(0.999,MAX(1E-6,A46/$B$7)))))))/(($B$7/2)*(2*ACOS(1-2*(MIN(0.999,MAX(1E-6,A46/$B$7))))))))^(2/3))*SQRT($B$11)),IF((A46-$B$12+$B$11*$B$8)&lt;=0,0,(PI()*($B$7/2)^2)*SQRT((A46-$B$12+$B$11*$B$8)/((1+$B$21)/(2*9.81)+($B$6^2)*$B$8/(($B$7/4)^(4/3))))))</f>
        <v/>
      </c>
      <c r="E46" s="15">
        <f>MIN(C46,D46)</f>
        <v/>
      </c>
      <c r="F46" s="4">
        <f>IF(A46&lt;=0,"—",IF(C46&lt;=D46,"inlet","outlet"))</f>
        <v/>
      </c>
    </row>
    <row r="47">
      <c r="A47" s="31" t="n">
        <v>1.15</v>
      </c>
      <c r="B47" s="31">
        <f>$B$9+A47</f>
        <v/>
      </c>
      <c r="C47" s="5">
        <f>IF(A47&lt;=0,0,IF(A47&lt;=1.2*$B$7,1.811*(PI()*($B$7/2)^2)*SQRT($B$7)*IF($B$17*$B$7&lt;=0,0,(A47/($B$17*$B$7))^(1/$B$18)),MAX(1.811*(PI()*($B$7/2)^2)*SQRT($B$7)*IF($B$17*$B$7&lt;=0,0,((1.2*$B$7)/($B$17*$B$7))^(1/$B$18)),1.811*(PI()*($B$7/2)^2)*SQRT($B$7)*SQRT(MAX(0,(A47/$B$7-$B$20)/$B$19)))))</f>
        <v/>
      </c>
      <c r="D47" s="5">
        <f>IF(A47&lt;$B$7,IF($B$6&lt;=0,0,(1/$B$6)*((($B$7/2)^2/2)*((2*ACOS(1-2*(MIN(0.999,MAX(1E-6,A47/$B$7)))))-SIN(2*ACOS(1-2*(MIN(0.999,MAX(1E-6,A47/$B$7)))))))*IF((IF((($B$7/2)*(2*ACOS(1-2*(MIN(0.999,MAX(1E-6,A47/$B$7))))))&lt;=0,0,((($B$7/2)^2/2)*((2*ACOS(1-2*(MIN(0.999,MAX(1E-6,A47/$B$7)))))-SIN(2*ACOS(1-2*(MIN(0.999,MAX(1E-6,A47/$B$7)))))))/(($B$7/2)*(2*ACOS(1-2*(MIN(0.999,MAX(1E-6,A47/$B$7))))))))&lt;=0,0,(IF((($B$7/2)*(2*ACOS(1-2*(MIN(0.999,MAX(1E-6,A47/$B$7))))))&lt;=0,0,((($B$7/2)^2/2)*((2*ACOS(1-2*(MIN(0.999,MAX(1E-6,A47/$B$7)))))-SIN(2*ACOS(1-2*(MIN(0.999,MAX(1E-6,A47/$B$7)))))))/(($B$7/2)*(2*ACOS(1-2*(MIN(0.999,MAX(1E-6,A47/$B$7))))))))^(2/3))*SQRT($B$11)),IF((A47-$B$12+$B$11*$B$8)&lt;=0,0,(PI()*($B$7/2)^2)*SQRT((A47-$B$12+$B$11*$B$8)/((1+$B$21)/(2*9.81)+($B$6^2)*$B$8/(($B$7/4)^(4/3))))))</f>
        <v/>
      </c>
      <c r="E47" s="15">
        <f>MIN(C47,D47)</f>
        <v/>
      </c>
      <c r="F47" s="4">
        <f>IF(A47&lt;=0,"—",IF(C47&lt;=D47,"inlet","outlet"))</f>
        <v/>
      </c>
    </row>
    <row r="48">
      <c r="A48" s="31" t="n">
        <v>1.2</v>
      </c>
      <c r="B48" s="31">
        <f>$B$9+A48</f>
        <v/>
      </c>
      <c r="C48" s="5">
        <f>IF(A48&lt;=0,0,IF(A48&lt;=1.2*$B$7,1.811*(PI()*($B$7/2)^2)*SQRT($B$7)*IF($B$17*$B$7&lt;=0,0,(A48/($B$17*$B$7))^(1/$B$18)),MAX(1.811*(PI()*($B$7/2)^2)*SQRT($B$7)*IF($B$17*$B$7&lt;=0,0,((1.2*$B$7)/($B$17*$B$7))^(1/$B$18)),1.811*(PI()*($B$7/2)^2)*SQRT($B$7)*SQRT(MAX(0,(A48/$B$7-$B$20)/$B$19)))))</f>
        <v/>
      </c>
      <c r="D48" s="5">
        <f>IF(A48&lt;$B$7,IF($B$6&lt;=0,0,(1/$B$6)*((($B$7/2)^2/2)*((2*ACOS(1-2*(MIN(0.999,MAX(1E-6,A48/$B$7)))))-SIN(2*ACOS(1-2*(MIN(0.999,MAX(1E-6,A48/$B$7)))))))*IF((IF((($B$7/2)*(2*ACOS(1-2*(MIN(0.999,MAX(1E-6,A48/$B$7))))))&lt;=0,0,((($B$7/2)^2/2)*((2*ACOS(1-2*(MIN(0.999,MAX(1E-6,A48/$B$7)))))-SIN(2*ACOS(1-2*(MIN(0.999,MAX(1E-6,A48/$B$7)))))))/(($B$7/2)*(2*ACOS(1-2*(MIN(0.999,MAX(1E-6,A48/$B$7))))))))&lt;=0,0,(IF((($B$7/2)*(2*ACOS(1-2*(MIN(0.999,MAX(1E-6,A48/$B$7))))))&lt;=0,0,((($B$7/2)^2/2)*((2*ACOS(1-2*(MIN(0.999,MAX(1E-6,A48/$B$7)))))-SIN(2*ACOS(1-2*(MIN(0.999,MAX(1E-6,A48/$B$7)))))))/(($B$7/2)*(2*ACOS(1-2*(MIN(0.999,MAX(1E-6,A48/$B$7))))))))^(2/3))*SQRT($B$11)),IF((A48-$B$12+$B$11*$B$8)&lt;=0,0,(PI()*($B$7/2)^2)*SQRT((A48-$B$12+$B$11*$B$8)/((1+$B$21)/(2*9.81)+($B$6^2)*$B$8/(($B$7/4)^(4/3))))))</f>
        <v/>
      </c>
      <c r="E48" s="15">
        <f>MIN(C48,D48)</f>
        <v/>
      </c>
      <c r="F48" s="4">
        <f>IF(A48&lt;=0,"—",IF(C48&lt;=D48,"inlet","outlet"))</f>
        <v/>
      </c>
    </row>
    <row r="49">
      <c r="A49" s="31" t="n">
        <v>1.25</v>
      </c>
      <c r="B49" s="31">
        <f>$B$9+A49</f>
        <v/>
      </c>
      <c r="C49" s="5">
        <f>IF(A49&lt;=0,0,IF(A49&lt;=1.2*$B$7,1.811*(PI()*($B$7/2)^2)*SQRT($B$7)*IF($B$17*$B$7&lt;=0,0,(A49/($B$17*$B$7))^(1/$B$18)),MAX(1.811*(PI()*($B$7/2)^2)*SQRT($B$7)*IF($B$17*$B$7&lt;=0,0,((1.2*$B$7)/($B$17*$B$7))^(1/$B$18)),1.811*(PI()*($B$7/2)^2)*SQRT($B$7)*SQRT(MAX(0,(A49/$B$7-$B$20)/$B$19)))))</f>
        <v/>
      </c>
      <c r="D49" s="5">
        <f>IF(A49&lt;$B$7,IF($B$6&lt;=0,0,(1/$B$6)*((($B$7/2)^2/2)*((2*ACOS(1-2*(MIN(0.999,MAX(1E-6,A49/$B$7)))))-SIN(2*ACOS(1-2*(MIN(0.999,MAX(1E-6,A49/$B$7)))))))*IF((IF((($B$7/2)*(2*ACOS(1-2*(MIN(0.999,MAX(1E-6,A49/$B$7))))))&lt;=0,0,((($B$7/2)^2/2)*((2*ACOS(1-2*(MIN(0.999,MAX(1E-6,A49/$B$7)))))-SIN(2*ACOS(1-2*(MIN(0.999,MAX(1E-6,A49/$B$7)))))))/(($B$7/2)*(2*ACOS(1-2*(MIN(0.999,MAX(1E-6,A49/$B$7))))))))&lt;=0,0,(IF((($B$7/2)*(2*ACOS(1-2*(MIN(0.999,MAX(1E-6,A49/$B$7))))))&lt;=0,0,((($B$7/2)^2/2)*((2*ACOS(1-2*(MIN(0.999,MAX(1E-6,A49/$B$7)))))-SIN(2*ACOS(1-2*(MIN(0.999,MAX(1E-6,A49/$B$7)))))))/(($B$7/2)*(2*ACOS(1-2*(MIN(0.999,MAX(1E-6,A49/$B$7))))))))^(2/3))*SQRT($B$11)),IF((A49-$B$12+$B$11*$B$8)&lt;=0,0,(PI()*($B$7/2)^2)*SQRT((A49-$B$12+$B$11*$B$8)/((1+$B$21)/(2*9.81)+($B$6^2)*$B$8/(($B$7/4)^(4/3))))))</f>
        <v/>
      </c>
      <c r="E49" s="15">
        <f>MIN(C49,D49)</f>
        <v/>
      </c>
      <c r="F49" s="4">
        <f>IF(A49&lt;=0,"—",IF(C49&lt;=D49,"inlet","outlet"))</f>
        <v/>
      </c>
    </row>
    <row r="50">
      <c r="A50" s="31" t="n">
        <v>1.3</v>
      </c>
      <c r="B50" s="31">
        <f>$B$9+A50</f>
        <v/>
      </c>
      <c r="C50" s="5">
        <f>IF(A50&lt;=0,0,IF(A50&lt;=1.2*$B$7,1.811*(PI()*($B$7/2)^2)*SQRT($B$7)*IF($B$17*$B$7&lt;=0,0,(A50/($B$17*$B$7))^(1/$B$18)),MAX(1.811*(PI()*($B$7/2)^2)*SQRT($B$7)*IF($B$17*$B$7&lt;=0,0,((1.2*$B$7)/($B$17*$B$7))^(1/$B$18)),1.811*(PI()*($B$7/2)^2)*SQRT($B$7)*SQRT(MAX(0,(A50/$B$7-$B$20)/$B$19)))))</f>
        <v/>
      </c>
      <c r="D50" s="5">
        <f>IF(A50&lt;$B$7,IF($B$6&lt;=0,0,(1/$B$6)*((($B$7/2)^2/2)*((2*ACOS(1-2*(MIN(0.999,MAX(1E-6,A50/$B$7)))))-SIN(2*ACOS(1-2*(MIN(0.999,MAX(1E-6,A50/$B$7)))))))*IF((IF((($B$7/2)*(2*ACOS(1-2*(MIN(0.999,MAX(1E-6,A50/$B$7))))))&lt;=0,0,((($B$7/2)^2/2)*((2*ACOS(1-2*(MIN(0.999,MAX(1E-6,A50/$B$7)))))-SIN(2*ACOS(1-2*(MIN(0.999,MAX(1E-6,A50/$B$7)))))))/(($B$7/2)*(2*ACOS(1-2*(MIN(0.999,MAX(1E-6,A50/$B$7))))))))&lt;=0,0,(IF((($B$7/2)*(2*ACOS(1-2*(MIN(0.999,MAX(1E-6,A50/$B$7))))))&lt;=0,0,((($B$7/2)^2/2)*((2*ACOS(1-2*(MIN(0.999,MAX(1E-6,A50/$B$7)))))-SIN(2*ACOS(1-2*(MIN(0.999,MAX(1E-6,A50/$B$7)))))))/(($B$7/2)*(2*ACOS(1-2*(MIN(0.999,MAX(1E-6,A50/$B$7))))))))^(2/3))*SQRT($B$11)),IF((A50-$B$12+$B$11*$B$8)&lt;=0,0,(PI()*($B$7/2)^2)*SQRT((A50-$B$12+$B$11*$B$8)/((1+$B$21)/(2*9.81)+($B$6^2)*$B$8/(($B$7/4)^(4/3))))))</f>
        <v/>
      </c>
      <c r="E50" s="15">
        <f>MIN(C50,D50)</f>
        <v/>
      </c>
      <c r="F50" s="4">
        <f>IF(A50&lt;=0,"—",IF(C50&lt;=D50,"inlet","outlet"))</f>
        <v/>
      </c>
    </row>
    <row r="51">
      <c r="A51" s="31" t="n">
        <v>1.35</v>
      </c>
      <c r="B51" s="31">
        <f>$B$9+A51</f>
        <v/>
      </c>
      <c r="C51" s="5">
        <f>IF(A51&lt;=0,0,IF(A51&lt;=1.2*$B$7,1.811*(PI()*($B$7/2)^2)*SQRT($B$7)*IF($B$17*$B$7&lt;=0,0,(A51/($B$17*$B$7))^(1/$B$18)),MAX(1.811*(PI()*($B$7/2)^2)*SQRT($B$7)*IF($B$17*$B$7&lt;=0,0,((1.2*$B$7)/($B$17*$B$7))^(1/$B$18)),1.811*(PI()*($B$7/2)^2)*SQRT($B$7)*SQRT(MAX(0,(A51/$B$7-$B$20)/$B$19)))))</f>
        <v/>
      </c>
      <c r="D51" s="5">
        <f>IF(A51&lt;$B$7,IF($B$6&lt;=0,0,(1/$B$6)*((($B$7/2)^2/2)*((2*ACOS(1-2*(MIN(0.999,MAX(1E-6,A51/$B$7)))))-SIN(2*ACOS(1-2*(MIN(0.999,MAX(1E-6,A51/$B$7)))))))*IF((IF((($B$7/2)*(2*ACOS(1-2*(MIN(0.999,MAX(1E-6,A51/$B$7))))))&lt;=0,0,((($B$7/2)^2/2)*((2*ACOS(1-2*(MIN(0.999,MAX(1E-6,A51/$B$7)))))-SIN(2*ACOS(1-2*(MIN(0.999,MAX(1E-6,A51/$B$7)))))))/(($B$7/2)*(2*ACOS(1-2*(MIN(0.999,MAX(1E-6,A51/$B$7))))))))&lt;=0,0,(IF((($B$7/2)*(2*ACOS(1-2*(MIN(0.999,MAX(1E-6,A51/$B$7))))))&lt;=0,0,((($B$7/2)^2/2)*((2*ACOS(1-2*(MIN(0.999,MAX(1E-6,A51/$B$7)))))-SIN(2*ACOS(1-2*(MIN(0.999,MAX(1E-6,A51/$B$7)))))))/(($B$7/2)*(2*ACOS(1-2*(MIN(0.999,MAX(1E-6,A51/$B$7))))))))^(2/3))*SQRT($B$11)),IF((A51-$B$12+$B$11*$B$8)&lt;=0,0,(PI()*($B$7/2)^2)*SQRT((A51-$B$12+$B$11*$B$8)/((1+$B$21)/(2*9.81)+($B$6^2)*$B$8/(($B$7/4)^(4/3))))))</f>
        <v/>
      </c>
      <c r="E51" s="15">
        <f>MIN(C51,D51)</f>
        <v/>
      </c>
      <c r="F51" s="4">
        <f>IF(A51&lt;=0,"—",IF(C51&lt;=D51,"inlet","outlet"))</f>
        <v/>
      </c>
    </row>
    <row r="52">
      <c r="A52" s="31" t="n">
        <v>1.4</v>
      </c>
      <c r="B52" s="31">
        <f>$B$9+A52</f>
        <v/>
      </c>
      <c r="C52" s="5">
        <f>IF(A52&lt;=0,0,IF(A52&lt;=1.2*$B$7,1.811*(PI()*($B$7/2)^2)*SQRT($B$7)*IF($B$17*$B$7&lt;=0,0,(A52/($B$17*$B$7))^(1/$B$18)),MAX(1.811*(PI()*($B$7/2)^2)*SQRT($B$7)*IF($B$17*$B$7&lt;=0,0,((1.2*$B$7)/($B$17*$B$7))^(1/$B$18)),1.811*(PI()*($B$7/2)^2)*SQRT($B$7)*SQRT(MAX(0,(A52/$B$7-$B$20)/$B$19)))))</f>
        <v/>
      </c>
      <c r="D52" s="5">
        <f>IF(A52&lt;$B$7,IF($B$6&lt;=0,0,(1/$B$6)*((($B$7/2)^2/2)*((2*ACOS(1-2*(MIN(0.999,MAX(1E-6,A52/$B$7)))))-SIN(2*ACOS(1-2*(MIN(0.999,MAX(1E-6,A52/$B$7)))))))*IF((IF((($B$7/2)*(2*ACOS(1-2*(MIN(0.999,MAX(1E-6,A52/$B$7))))))&lt;=0,0,((($B$7/2)^2/2)*((2*ACOS(1-2*(MIN(0.999,MAX(1E-6,A52/$B$7)))))-SIN(2*ACOS(1-2*(MIN(0.999,MAX(1E-6,A52/$B$7)))))))/(($B$7/2)*(2*ACOS(1-2*(MIN(0.999,MAX(1E-6,A52/$B$7))))))))&lt;=0,0,(IF((($B$7/2)*(2*ACOS(1-2*(MIN(0.999,MAX(1E-6,A52/$B$7))))))&lt;=0,0,((($B$7/2)^2/2)*((2*ACOS(1-2*(MIN(0.999,MAX(1E-6,A52/$B$7)))))-SIN(2*ACOS(1-2*(MIN(0.999,MAX(1E-6,A52/$B$7)))))))/(($B$7/2)*(2*ACOS(1-2*(MIN(0.999,MAX(1E-6,A52/$B$7))))))))^(2/3))*SQRT($B$11)),IF((A52-$B$12+$B$11*$B$8)&lt;=0,0,(PI()*($B$7/2)^2)*SQRT((A52-$B$12+$B$11*$B$8)/((1+$B$21)/(2*9.81)+($B$6^2)*$B$8/(($B$7/4)^(4/3))))))</f>
        <v/>
      </c>
      <c r="E52" s="15">
        <f>MIN(C52,D52)</f>
        <v/>
      </c>
      <c r="F52" s="4">
        <f>IF(A52&lt;=0,"—",IF(C52&lt;=D52,"inlet","outlet"))</f>
        <v/>
      </c>
    </row>
    <row r="53">
      <c r="A53" s="31" t="n">
        <v>1.45</v>
      </c>
      <c r="B53" s="31">
        <f>$B$9+A53</f>
        <v/>
      </c>
      <c r="C53" s="5">
        <f>IF(A53&lt;=0,0,IF(A53&lt;=1.2*$B$7,1.811*(PI()*($B$7/2)^2)*SQRT($B$7)*IF($B$17*$B$7&lt;=0,0,(A53/($B$17*$B$7))^(1/$B$18)),MAX(1.811*(PI()*($B$7/2)^2)*SQRT($B$7)*IF($B$17*$B$7&lt;=0,0,((1.2*$B$7)/($B$17*$B$7))^(1/$B$18)),1.811*(PI()*($B$7/2)^2)*SQRT($B$7)*SQRT(MAX(0,(A53/$B$7-$B$20)/$B$19)))))</f>
        <v/>
      </c>
      <c r="D53" s="5">
        <f>IF(A53&lt;$B$7,IF($B$6&lt;=0,0,(1/$B$6)*((($B$7/2)^2/2)*((2*ACOS(1-2*(MIN(0.999,MAX(1E-6,A53/$B$7)))))-SIN(2*ACOS(1-2*(MIN(0.999,MAX(1E-6,A53/$B$7)))))))*IF((IF((($B$7/2)*(2*ACOS(1-2*(MIN(0.999,MAX(1E-6,A53/$B$7))))))&lt;=0,0,((($B$7/2)^2/2)*((2*ACOS(1-2*(MIN(0.999,MAX(1E-6,A53/$B$7)))))-SIN(2*ACOS(1-2*(MIN(0.999,MAX(1E-6,A53/$B$7)))))))/(($B$7/2)*(2*ACOS(1-2*(MIN(0.999,MAX(1E-6,A53/$B$7))))))))&lt;=0,0,(IF((($B$7/2)*(2*ACOS(1-2*(MIN(0.999,MAX(1E-6,A53/$B$7))))))&lt;=0,0,((($B$7/2)^2/2)*((2*ACOS(1-2*(MIN(0.999,MAX(1E-6,A53/$B$7)))))-SIN(2*ACOS(1-2*(MIN(0.999,MAX(1E-6,A53/$B$7)))))))/(($B$7/2)*(2*ACOS(1-2*(MIN(0.999,MAX(1E-6,A53/$B$7))))))))^(2/3))*SQRT($B$11)),IF((A53-$B$12+$B$11*$B$8)&lt;=0,0,(PI()*($B$7/2)^2)*SQRT((A53-$B$12+$B$11*$B$8)/((1+$B$21)/(2*9.81)+($B$6^2)*$B$8/(($B$7/4)^(4/3))))))</f>
        <v/>
      </c>
      <c r="E53" s="15">
        <f>MIN(C53,D53)</f>
        <v/>
      </c>
      <c r="F53" s="4">
        <f>IF(A53&lt;=0,"—",IF(C53&lt;=D53,"inlet","outlet"))</f>
        <v/>
      </c>
    </row>
    <row r="54">
      <c r="A54" s="31" t="n">
        <v>1.5</v>
      </c>
      <c r="B54" s="31">
        <f>$B$9+A54</f>
        <v/>
      </c>
      <c r="C54" s="5">
        <f>IF(A54&lt;=0,0,IF(A54&lt;=1.2*$B$7,1.811*(PI()*($B$7/2)^2)*SQRT($B$7)*IF($B$17*$B$7&lt;=0,0,(A54/($B$17*$B$7))^(1/$B$18)),MAX(1.811*(PI()*($B$7/2)^2)*SQRT($B$7)*IF($B$17*$B$7&lt;=0,0,((1.2*$B$7)/($B$17*$B$7))^(1/$B$18)),1.811*(PI()*($B$7/2)^2)*SQRT($B$7)*SQRT(MAX(0,(A54/$B$7-$B$20)/$B$19)))))</f>
        <v/>
      </c>
      <c r="D54" s="5">
        <f>IF(A54&lt;$B$7,IF($B$6&lt;=0,0,(1/$B$6)*((($B$7/2)^2/2)*((2*ACOS(1-2*(MIN(0.999,MAX(1E-6,A54/$B$7)))))-SIN(2*ACOS(1-2*(MIN(0.999,MAX(1E-6,A54/$B$7)))))))*IF((IF((($B$7/2)*(2*ACOS(1-2*(MIN(0.999,MAX(1E-6,A54/$B$7))))))&lt;=0,0,((($B$7/2)^2/2)*((2*ACOS(1-2*(MIN(0.999,MAX(1E-6,A54/$B$7)))))-SIN(2*ACOS(1-2*(MIN(0.999,MAX(1E-6,A54/$B$7)))))))/(($B$7/2)*(2*ACOS(1-2*(MIN(0.999,MAX(1E-6,A54/$B$7))))))))&lt;=0,0,(IF((($B$7/2)*(2*ACOS(1-2*(MIN(0.999,MAX(1E-6,A54/$B$7))))))&lt;=0,0,((($B$7/2)^2/2)*((2*ACOS(1-2*(MIN(0.999,MAX(1E-6,A54/$B$7)))))-SIN(2*ACOS(1-2*(MIN(0.999,MAX(1E-6,A54/$B$7)))))))/(($B$7/2)*(2*ACOS(1-2*(MIN(0.999,MAX(1E-6,A54/$B$7))))))))^(2/3))*SQRT($B$11)),IF((A54-$B$12+$B$11*$B$8)&lt;=0,0,(PI()*($B$7/2)^2)*SQRT((A54-$B$12+$B$11*$B$8)/((1+$B$21)/(2*9.81)+($B$6^2)*$B$8/(($B$7/4)^(4/3))))))</f>
        <v/>
      </c>
      <c r="E54" s="15">
        <f>MIN(C54,D54)</f>
        <v/>
      </c>
      <c r="F54" s="4">
        <f>IF(A54&lt;=0,"—",IF(C54&lt;=D54,"inlet","outlet"))</f>
        <v/>
      </c>
    </row>
    <row r="55">
      <c r="A55" s="31" t="n">
        <v>1.55</v>
      </c>
      <c r="B55" s="31">
        <f>$B$9+A55</f>
        <v/>
      </c>
      <c r="C55" s="5">
        <f>IF(A55&lt;=0,0,IF(A55&lt;=1.2*$B$7,1.811*(PI()*($B$7/2)^2)*SQRT($B$7)*IF($B$17*$B$7&lt;=0,0,(A55/($B$17*$B$7))^(1/$B$18)),MAX(1.811*(PI()*($B$7/2)^2)*SQRT($B$7)*IF($B$17*$B$7&lt;=0,0,((1.2*$B$7)/($B$17*$B$7))^(1/$B$18)),1.811*(PI()*($B$7/2)^2)*SQRT($B$7)*SQRT(MAX(0,(A55/$B$7-$B$20)/$B$19)))))</f>
        <v/>
      </c>
      <c r="D55" s="5">
        <f>IF(A55&lt;$B$7,IF($B$6&lt;=0,0,(1/$B$6)*((($B$7/2)^2/2)*((2*ACOS(1-2*(MIN(0.999,MAX(1E-6,A55/$B$7)))))-SIN(2*ACOS(1-2*(MIN(0.999,MAX(1E-6,A55/$B$7)))))))*IF((IF((($B$7/2)*(2*ACOS(1-2*(MIN(0.999,MAX(1E-6,A55/$B$7))))))&lt;=0,0,((($B$7/2)^2/2)*((2*ACOS(1-2*(MIN(0.999,MAX(1E-6,A55/$B$7)))))-SIN(2*ACOS(1-2*(MIN(0.999,MAX(1E-6,A55/$B$7)))))))/(($B$7/2)*(2*ACOS(1-2*(MIN(0.999,MAX(1E-6,A55/$B$7))))))))&lt;=0,0,(IF((($B$7/2)*(2*ACOS(1-2*(MIN(0.999,MAX(1E-6,A55/$B$7))))))&lt;=0,0,((($B$7/2)^2/2)*((2*ACOS(1-2*(MIN(0.999,MAX(1E-6,A55/$B$7)))))-SIN(2*ACOS(1-2*(MIN(0.999,MAX(1E-6,A55/$B$7)))))))/(($B$7/2)*(2*ACOS(1-2*(MIN(0.999,MAX(1E-6,A55/$B$7))))))))^(2/3))*SQRT($B$11)),IF((A55-$B$12+$B$11*$B$8)&lt;=0,0,(PI()*($B$7/2)^2)*SQRT((A55-$B$12+$B$11*$B$8)/((1+$B$21)/(2*9.81)+($B$6^2)*$B$8/(($B$7/4)^(4/3))))))</f>
        <v/>
      </c>
      <c r="E55" s="15">
        <f>MIN(C55,D55)</f>
        <v/>
      </c>
      <c r="F55" s="4">
        <f>IF(A55&lt;=0,"—",IF(C55&lt;=D55,"inlet","outlet"))</f>
        <v/>
      </c>
    </row>
    <row r="56">
      <c r="A56" s="31" t="n">
        <v>1.6</v>
      </c>
      <c r="B56" s="31">
        <f>$B$9+A56</f>
        <v/>
      </c>
      <c r="C56" s="5">
        <f>IF(A56&lt;=0,0,IF(A56&lt;=1.2*$B$7,1.811*(PI()*($B$7/2)^2)*SQRT($B$7)*IF($B$17*$B$7&lt;=0,0,(A56/($B$17*$B$7))^(1/$B$18)),MAX(1.811*(PI()*($B$7/2)^2)*SQRT($B$7)*IF($B$17*$B$7&lt;=0,0,((1.2*$B$7)/($B$17*$B$7))^(1/$B$18)),1.811*(PI()*($B$7/2)^2)*SQRT($B$7)*SQRT(MAX(0,(A56/$B$7-$B$20)/$B$19)))))</f>
        <v/>
      </c>
      <c r="D56" s="5">
        <f>IF(A56&lt;$B$7,IF($B$6&lt;=0,0,(1/$B$6)*((($B$7/2)^2/2)*((2*ACOS(1-2*(MIN(0.999,MAX(1E-6,A56/$B$7)))))-SIN(2*ACOS(1-2*(MIN(0.999,MAX(1E-6,A56/$B$7)))))))*IF((IF((($B$7/2)*(2*ACOS(1-2*(MIN(0.999,MAX(1E-6,A56/$B$7))))))&lt;=0,0,((($B$7/2)^2/2)*((2*ACOS(1-2*(MIN(0.999,MAX(1E-6,A56/$B$7)))))-SIN(2*ACOS(1-2*(MIN(0.999,MAX(1E-6,A56/$B$7)))))))/(($B$7/2)*(2*ACOS(1-2*(MIN(0.999,MAX(1E-6,A56/$B$7))))))))&lt;=0,0,(IF((($B$7/2)*(2*ACOS(1-2*(MIN(0.999,MAX(1E-6,A56/$B$7))))))&lt;=0,0,((($B$7/2)^2/2)*((2*ACOS(1-2*(MIN(0.999,MAX(1E-6,A56/$B$7)))))-SIN(2*ACOS(1-2*(MIN(0.999,MAX(1E-6,A56/$B$7)))))))/(($B$7/2)*(2*ACOS(1-2*(MIN(0.999,MAX(1E-6,A56/$B$7))))))))^(2/3))*SQRT($B$11)),IF((A56-$B$12+$B$11*$B$8)&lt;=0,0,(PI()*($B$7/2)^2)*SQRT((A56-$B$12+$B$11*$B$8)/((1+$B$21)/(2*9.81)+($B$6^2)*$B$8/(($B$7/4)^(4/3))))))</f>
        <v/>
      </c>
      <c r="E56" s="15">
        <f>MIN(C56,D56)</f>
        <v/>
      </c>
      <c r="F56" s="4">
        <f>IF(A56&lt;=0,"—",IF(C56&lt;=D56,"inlet","outlet"))</f>
        <v/>
      </c>
    </row>
    <row r="57">
      <c r="A57" s="31" t="n">
        <v>1.65</v>
      </c>
      <c r="B57" s="31">
        <f>$B$9+A57</f>
        <v/>
      </c>
      <c r="C57" s="5">
        <f>IF(A57&lt;=0,0,IF(A57&lt;=1.2*$B$7,1.811*(PI()*($B$7/2)^2)*SQRT($B$7)*IF($B$17*$B$7&lt;=0,0,(A57/($B$17*$B$7))^(1/$B$18)),MAX(1.811*(PI()*($B$7/2)^2)*SQRT($B$7)*IF($B$17*$B$7&lt;=0,0,((1.2*$B$7)/($B$17*$B$7))^(1/$B$18)),1.811*(PI()*($B$7/2)^2)*SQRT($B$7)*SQRT(MAX(0,(A57/$B$7-$B$20)/$B$19)))))</f>
        <v/>
      </c>
      <c r="D57" s="5">
        <f>IF(A57&lt;$B$7,IF($B$6&lt;=0,0,(1/$B$6)*((($B$7/2)^2/2)*((2*ACOS(1-2*(MIN(0.999,MAX(1E-6,A57/$B$7)))))-SIN(2*ACOS(1-2*(MIN(0.999,MAX(1E-6,A57/$B$7)))))))*IF((IF((($B$7/2)*(2*ACOS(1-2*(MIN(0.999,MAX(1E-6,A57/$B$7))))))&lt;=0,0,((($B$7/2)^2/2)*((2*ACOS(1-2*(MIN(0.999,MAX(1E-6,A57/$B$7)))))-SIN(2*ACOS(1-2*(MIN(0.999,MAX(1E-6,A57/$B$7)))))))/(($B$7/2)*(2*ACOS(1-2*(MIN(0.999,MAX(1E-6,A57/$B$7))))))))&lt;=0,0,(IF((($B$7/2)*(2*ACOS(1-2*(MIN(0.999,MAX(1E-6,A57/$B$7))))))&lt;=0,0,((($B$7/2)^2/2)*((2*ACOS(1-2*(MIN(0.999,MAX(1E-6,A57/$B$7)))))-SIN(2*ACOS(1-2*(MIN(0.999,MAX(1E-6,A57/$B$7)))))))/(($B$7/2)*(2*ACOS(1-2*(MIN(0.999,MAX(1E-6,A57/$B$7))))))))^(2/3))*SQRT($B$11)),IF((A57-$B$12+$B$11*$B$8)&lt;=0,0,(PI()*($B$7/2)^2)*SQRT((A57-$B$12+$B$11*$B$8)/((1+$B$21)/(2*9.81)+($B$6^2)*$B$8/(($B$7/4)^(4/3))))))</f>
        <v/>
      </c>
      <c r="E57" s="15">
        <f>MIN(C57,D57)</f>
        <v/>
      </c>
      <c r="F57" s="4">
        <f>IF(A57&lt;=0,"—",IF(C57&lt;=D57,"inlet","outlet"))</f>
        <v/>
      </c>
    </row>
    <row r="58">
      <c r="A58" s="31" t="n">
        <v>1.7</v>
      </c>
      <c r="B58" s="31">
        <f>$B$9+A58</f>
        <v/>
      </c>
      <c r="C58" s="5">
        <f>IF(A58&lt;=0,0,IF(A58&lt;=1.2*$B$7,1.811*(PI()*($B$7/2)^2)*SQRT($B$7)*IF($B$17*$B$7&lt;=0,0,(A58/($B$17*$B$7))^(1/$B$18)),MAX(1.811*(PI()*($B$7/2)^2)*SQRT($B$7)*IF($B$17*$B$7&lt;=0,0,((1.2*$B$7)/($B$17*$B$7))^(1/$B$18)),1.811*(PI()*($B$7/2)^2)*SQRT($B$7)*SQRT(MAX(0,(A58/$B$7-$B$20)/$B$19)))))</f>
        <v/>
      </c>
      <c r="D58" s="5">
        <f>IF(A58&lt;$B$7,IF($B$6&lt;=0,0,(1/$B$6)*((($B$7/2)^2/2)*((2*ACOS(1-2*(MIN(0.999,MAX(1E-6,A58/$B$7)))))-SIN(2*ACOS(1-2*(MIN(0.999,MAX(1E-6,A58/$B$7)))))))*IF((IF((($B$7/2)*(2*ACOS(1-2*(MIN(0.999,MAX(1E-6,A58/$B$7))))))&lt;=0,0,((($B$7/2)^2/2)*((2*ACOS(1-2*(MIN(0.999,MAX(1E-6,A58/$B$7)))))-SIN(2*ACOS(1-2*(MIN(0.999,MAX(1E-6,A58/$B$7)))))))/(($B$7/2)*(2*ACOS(1-2*(MIN(0.999,MAX(1E-6,A58/$B$7))))))))&lt;=0,0,(IF((($B$7/2)*(2*ACOS(1-2*(MIN(0.999,MAX(1E-6,A58/$B$7))))))&lt;=0,0,((($B$7/2)^2/2)*((2*ACOS(1-2*(MIN(0.999,MAX(1E-6,A58/$B$7)))))-SIN(2*ACOS(1-2*(MIN(0.999,MAX(1E-6,A58/$B$7)))))))/(($B$7/2)*(2*ACOS(1-2*(MIN(0.999,MAX(1E-6,A58/$B$7))))))))^(2/3))*SQRT($B$11)),IF((A58-$B$12+$B$11*$B$8)&lt;=0,0,(PI()*($B$7/2)^2)*SQRT((A58-$B$12+$B$11*$B$8)/((1+$B$21)/(2*9.81)+($B$6^2)*$B$8/(($B$7/4)^(4/3))))))</f>
        <v/>
      </c>
      <c r="E58" s="15">
        <f>MIN(C58,D58)</f>
        <v/>
      </c>
      <c r="F58" s="4">
        <f>IF(A58&lt;=0,"—",IF(C58&lt;=D58,"inlet","outlet"))</f>
        <v/>
      </c>
    </row>
    <row r="59">
      <c r="A59" s="31" t="n">
        <v>1.75</v>
      </c>
      <c r="B59" s="31">
        <f>$B$9+A59</f>
        <v/>
      </c>
      <c r="C59" s="5">
        <f>IF(A59&lt;=0,0,IF(A59&lt;=1.2*$B$7,1.811*(PI()*($B$7/2)^2)*SQRT($B$7)*IF($B$17*$B$7&lt;=0,0,(A59/($B$17*$B$7))^(1/$B$18)),MAX(1.811*(PI()*($B$7/2)^2)*SQRT($B$7)*IF($B$17*$B$7&lt;=0,0,((1.2*$B$7)/($B$17*$B$7))^(1/$B$18)),1.811*(PI()*($B$7/2)^2)*SQRT($B$7)*SQRT(MAX(0,(A59/$B$7-$B$20)/$B$19)))))</f>
        <v/>
      </c>
      <c r="D59" s="5">
        <f>IF(A59&lt;$B$7,IF($B$6&lt;=0,0,(1/$B$6)*((($B$7/2)^2/2)*((2*ACOS(1-2*(MIN(0.999,MAX(1E-6,A59/$B$7)))))-SIN(2*ACOS(1-2*(MIN(0.999,MAX(1E-6,A59/$B$7)))))))*IF((IF((($B$7/2)*(2*ACOS(1-2*(MIN(0.999,MAX(1E-6,A59/$B$7))))))&lt;=0,0,((($B$7/2)^2/2)*((2*ACOS(1-2*(MIN(0.999,MAX(1E-6,A59/$B$7)))))-SIN(2*ACOS(1-2*(MIN(0.999,MAX(1E-6,A59/$B$7)))))))/(($B$7/2)*(2*ACOS(1-2*(MIN(0.999,MAX(1E-6,A59/$B$7))))))))&lt;=0,0,(IF((($B$7/2)*(2*ACOS(1-2*(MIN(0.999,MAX(1E-6,A59/$B$7))))))&lt;=0,0,((($B$7/2)^2/2)*((2*ACOS(1-2*(MIN(0.999,MAX(1E-6,A59/$B$7)))))-SIN(2*ACOS(1-2*(MIN(0.999,MAX(1E-6,A59/$B$7)))))))/(($B$7/2)*(2*ACOS(1-2*(MIN(0.999,MAX(1E-6,A59/$B$7))))))))^(2/3))*SQRT($B$11)),IF((A59-$B$12+$B$11*$B$8)&lt;=0,0,(PI()*($B$7/2)^2)*SQRT((A59-$B$12+$B$11*$B$8)/((1+$B$21)/(2*9.81)+($B$6^2)*$B$8/(($B$7/4)^(4/3))))))</f>
        <v/>
      </c>
      <c r="E59" s="15">
        <f>MIN(C59,D59)</f>
        <v/>
      </c>
      <c r="F59" s="4">
        <f>IF(A59&lt;=0,"—",IF(C59&lt;=D59,"inlet","outlet"))</f>
        <v/>
      </c>
    </row>
    <row r="60">
      <c r="A60" s="31" t="n">
        <v>1.8</v>
      </c>
      <c r="B60" s="31">
        <f>$B$9+A60</f>
        <v/>
      </c>
      <c r="C60" s="5">
        <f>IF(A60&lt;=0,0,IF(A60&lt;=1.2*$B$7,1.811*(PI()*($B$7/2)^2)*SQRT($B$7)*IF($B$17*$B$7&lt;=0,0,(A60/($B$17*$B$7))^(1/$B$18)),MAX(1.811*(PI()*($B$7/2)^2)*SQRT($B$7)*IF($B$17*$B$7&lt;=0,0,((1.2*$B$7)/($B$17*$B$7))^(1/$B$18)),1.811*(PI()*($B$7/2)^2)*SQRT($B$7)*SQRT(MAX(0,(A60/$B$7-$B$20)/$B$19)))))</f>
        <v/>
      </c>
      <c r="D60" s="5">
        <f>IF(A60&lt;$B$7,IF($B$6&lt;=0,0,(1/$B$6)*((($B$7/2)^2/2)*((2*ACOS(1-2*(MIN(0.999,MAX(1E-6,A60/$B$7)))))-SIN(2*ACOS(1-2*(MIN(0.999,MAX(1E-6,A60/$B$7)))))))*IF((IF((($B$7/2)*(2*ACOS(1-2*(MIN(0.999,MAX(1E-6,A60/$B$7))))))&lt;=0,0,((($B$7/2)^2/2)*((2*ACOS(1-2*(MIN(0.999,MAX(1E-6,A60/$B$7)))))-SIN(2*ACOS(1-2*(MIN(0.999,MAX(1E-6,A60/$B$7)))))))/(($B$7/2)*(2*ACOS(1-2*(MIN(0.999,MAX(1E-6,A60/$B$7))))))))&lt;=0,0,(IF((($B$7/2)*(2*ACOS(1-2*(MIN(0.999,MAX(1E-6,A60/$B$7))))))&lt;=0,0,((($B$7/2)^2/2)*((2*ACOS(1-2*(MIN(0.999,MAX(1E-6,A60/$B$7)))))-SIN(2*ACOS(1-2*(MIN(0.999,MAX(1E-6,A60/$B$7)))))))/(($B$7/2)*(2*ACOS(1-2*(MIN(0.999,MAX(1E-6,A60/$B$7))))))))^(2/3))*SQRT($B$11)),IF((A60-$B$12+$B$11*$B$8)&lt;=0,0,(PI()*($B$7/2)^2)*SQRT((A60-$B$12+$B$11*$B$8)/((1+$B$21)/(2*9.81)+($B$6^2)*$B$8/(($B$7/4)^(4/3))))))</f>
        <v/>
      </c>
      <c r="E60" s="15">
        <f>MIN(C60,D60)</f>
        <v/>
      </c>
      <c r="F60" s="4">
        <f>IF(A60&lt;=0,"—",IF(C60&lt;=D60,"inlet","outlet"))</f>
        <v/>
      </c>
    </row>
    <row r="61">
      <c r="A61" s="31" t="n">
        <v>1.85</v>
      </c>
      <c r="B61" s="31">
        <f>$B$9+A61</f>
        <v/>
      </c>
      <c r="C61" s="5">
        <f>IF(A61&lt;=0,0,IF(A61&lt;=1.2*$B$7,1.811*(PI()*($B$7/2)^2)*SQRT($B$7)*IF($B$17*$B$7&lt;=0,0,(A61/($B$17*$B$7))^(1/$B$18)),MAX(1.811*(PI()*($B$7/2)^2)*SQRT($B$7)*IF($B$17*$B$7&lt;=0,0,((1.2*$B$7)/($B$17*$B$7))^(1/$B$18)),1.811*(PI()*($B$7/2)^2)*SQRT($B$7)*SQRT(MAX(0,(A61/$B$7-$B$20)/$B$19)))))</f>
        <v/>
      </c>
      <c r="D61" s="5">
        <f>IF(A61&lt;$B$7,IF($B$6&lt;=0,0,(1/$B$6)*((($B$7/2)^2/2)*((2*ACOS(1-2*(MIN(0.999,MAX(1E-6,A61/$B$7)))))-SIN(2*ACOS(1-2*(MIN(0.999,MAX(1E-6,A61/$B$7)))))))*IF((IF((($B$7/2)*(2*ACOS(1-2*(MIN(0.999,MAX(1E-6,A61/$B$7))))))&lt;=0,0,((($B$7/2)^2/2)*((2*ACOS(1-2*(MIN(0.999,MAX(1E-6,A61/$B$7)))))-SIN(2*ACOS(1-2*(MIN(0.999,MAX(1E-6,A61/$B$7)))))))/(($B$7/2)*(2*ACOS(1-2*(MIN(0.999,MAX(1E-6,A61/$B$7))))))))&lt;=0,0,(IF((($B$7/2)*(2*ACOS(1-2*(MIN(0.999,MAX(1E-6,A61/$B$7))))))&lt;=0,0,((($B$7/2)^2/2)*((2*ACOS(1-2*(MIN(0.999,MAX(1E-6,A61/$B$7)))))-SIN(2*ACOS(1-2*(MIN(0.999,MAX(1E-6,A61/$B$7)))))))/(($B$7/2)*(2*ACOS(1-2*(MIN(0.999,MAX(1E-6,A61/$B$7))))))))^(2/3))*SQRT($B$11)),IF((A61-$B$12+$B$11*$B$8)&lt;=0,0,(PI()*($B$7/2)^2)*SQRT((A61-$B$12+$B$11*$B$8)/((1+$B$21)/(2*9.81)+($B$6^2)*$B$8/(($B$7/4)^(4/3))))))</f>
        <v/>
      </c>
      <c r="E61" s="15">
        <f>MIN(C61,D61)</f>
        <v/>
      </c>
      <c r="F61" s="4">
        <f>IF(A61&lt;=0,"—",IF(C61&lt;=D61,"inlet","outlet"))</f>
        <v/>
      </c>
    </row>
    <row r="62">
      <c r="A62" s="31" t="n">
        <v>1.9</v>
      </c>
      <c r="B62" s="31">
        <f>$B$9+A62</f>
        <v/>
      </c>
      <c r="C62" s="5">
        <f>IF(A62&lt;=0,0,IF(A62&lt;=1.2*$B$7,1.811*(PI()*($B$7/2)^2)*SQRT($B$7)*IF($B$17*$B$7&lt;=0,0,(A62/($B$17*$B$7))^(1/$B$18)),MAX(1.811*(PI()*($B$7/2)^2)*SQRT($B$7)*IF($B$17*$B$7&lt;=0,0,((1.2*$B$7)/($B$17*$B$7))^(1/$B$18)),1.811*(PI()*($B$7/2)^2)*SQRT($B$7)*SQRT(MAX(0,(A62/$B$7-$B$20)/$B$19)))))</f>
        <v/>
      </c>
      <c r="D62" s="5">
        <f>IF(A62&lt;$B$7,IF($B$6&lt;=0,0,(1/$B$6)*((($B$7/2)^2/2)*((2*ACOS(1-2*(MIN(0.999,MAX(1E-6,A62/$B$7)))))-SIN(2*ACOS(1-2*(MIN(0.999,MAX(1E-6,A62/$B$7)))))))*IF((IF((($B$7/2)*(2*ACOS(1-2*(MIN(0.999,MAX(1E-6,A62/$B$7))))))&lt;=0,0,((($B$7/2)^2/2)*((2*ACOS(1-2*(MIN(0.999,MAX(1E-6,A62/$B$7)))))-SIN(2*ACOS(1-2*(MIN(0.999,MAX(1E-6,A62/$B$7)))))))/(($B$7/2)*(2*ACOS(1-2*(MIN(0.999,MAX(1E-6,A62/$B$7))))))))&lt;=0,0,(IF((($B$7/2)*(2*ACOS(1-2*(MIN(0.999,MAX(1E-6,A62/$B$7))))))&lt;=0,0,((($B$7/2)^2/2)*((2*ACOS(1-2*(MIN(0.999,MAX(1E-6,A62/$B$7)))))-SIN(2*ACOS(1-2*(MIN(0.999,MAX(1E-6,A62/$B$7)))))))/(($B$7/2)*(2*ACOS(1-2*(MIN(0.999,MAX(1E-6,A62/$B$7))))))))^(2/3))*SQRT($B$11)),IF((A62-$B$12+$B$11*$B$8)&lt;=0,0,(PI()*($B$7/2)^2)*SQRT((A62-$B$12+$B$11*$B$8)/((1+$B$21)/(2*9.81)+($B$6^2)*$B$8/(($B$7/4)^(4/3))))))</f>
        <v/>
      </c>
      <c r="E62" s="15">
        <f>MIN(C62,D62)</f>
        <v/>
      </c>
      <c r="F62" s="4">
        <f>IF(A62&lt;=0,"—",IF(C62&lt;=D62,"inlet","outlet"))</f>
        <v/>
      </c>
    </row>
    <row r="63">
      <c r="A63" s="31" t="n">
        <v>1.95</v>
      </c>
      <c r="B63" s="31">
        <f>$B$9+A63</f>
        <v/>
      </c>
      <c r="C63" s="5">
        <f>IF(A63&lt;=0,0,IF(A63&lt;=1.2*$B$7,1.811*(PI()*($B$7/2)^2)*SQRT($B$7)*IF($B$17*$B$7&lt;=0,0,(A63/($B$17*$B$7))^(1/$B$18)),MAX(1.811*(PI()*($B$7/2)^2)*SQRT($B$7)*IF($B$17*$B$7&lt;=0,0,((1.2*$B$7)/($B$17*$B$7))^(1/$B$18)),1.811*(PI()*($B$7/2)^2)*SQRT($B$7)*SQRT(MAX(0,(A63/$B$7-$B$20)/$B$19)))))</f>
        <v/>
      </c>
      <c r="D63" s="5">
        <f>IF(A63&lt;$B$7,IF($B$6&lt;=0,0,(1/$B$6)*((($B$7/2)^2/2)*((2*ACOS(1-2*(MIN(0.999,MAX(1E-6,A63/$B$7)))))-SIN(2*ACOS(1-2*(MIN(0.999,MAX(1E-6,A63/$B$7)))))))*IF((IF((($B$7/2)*(2*ACOS(1-2*(MIN(0.999,MAX(1E-6,A63/$B$7))))))&lt;=0,0,((($B$7/2)^2/2)*((2*ACOS(1-2*(MIN(0.999,MAX(1E-6,A63/$B$7)))))-SIN(2*ACOS(1-2*(MIN(0.999,MAX(1E-6,A63/$B$7)))))))/(($B$7/2)*(2*ACOS(1-2*(MIN(0.999,MAX(1E-6,A63/$B$7))))))))&lt;=0,0,(IF((($B$7/2)*(2*ACOS(1-2*(MIN(0.999,MAX(1E-6,A63/$B$7))))))&lt;=0,0,((($B$7/2)^2/2)*((2*ACOS(1-2*(MIN(0.999,MAX(1E-6,A63/$B$7)))))-SIN(2*ACOS(1-2*(MIN(0.999,MAX(1E-6,A63/$B$7)))))))/(($B$7/2)*(2*ACOS(1-2*(MIN(0.999,MAX(1E-6,A63/$B$7))))))))^(2/3))*SQRT($B$11)),IF((A63-$B$12+$B$11*$B$8)&lt;=0,0,(PI()*($B$7/2)^2)*SQRT((A63-$B$12+$B$11*$B$8)/((1+$B$21)/(2*9.81)+($B$6^2)*$B$8/(($B$7/4)^(4/3))))))</f>
        <v/>
      </c>
      <c r="E63" s="15">
        <f>MIN(C63,D63)</f>
        <v/>
      </c>
      <c r="F63" s="4">
        <f>IF(A63&lt;=0,"—",IF(C63&lt;=D63,"inlet","outlet"))</f>
        <v/>
      </c>
    </row>
    <row r="64">
      <c r="A64" s="31" t="n">
        <v>2</v>
      </c>
      <c r="B64" s="31">
        <f>$B$9+A64</f>
        <v/>
      </c>
      <c r="C64" s="5">
        <f>IF(A64&lt;=0,0,IF(A64&lt;=1.2*$B$7,1.811*(PI()*($B$7/2)^2)*SQRT($B$7)*IF($B$17*$B$7&lt;=0,0,(A64/($B$17*$B$7))^(1/$B$18)),MAX(1.811*(PI()*($B$7/2)^2)*SQRT($B$7)*IF($B$17*$B$7&lt;=0,0,((1.2*$B$7)/($B$17*$B$7))^(1/$B$18)),1.811*(PI()*($B$7/2)^2)*SQRT($B$7)*SQRT(MAX(0,(A64/$B$7-$B$20)/$B$19)))))</f>
        <v/>
      </c>
      <c r="D64" s="5">
        <f>IF(A64&lt;$B$7,IF($B$6&lt;=0,0,(1/$B$6)*((($B$7/2)^2/2)*((2*ACOS(1-2*(MIN(0.999,MAX(1E-6,A64/$B$7)))))-SIN(2*ACOS(1-2*(MIN(0.999,MAX(1E-6,A64/$B$7)))))))*IF((IF((($B$7/2)*(2*ACOS(1-2*(MIN(0.999,MAX(1E-6,A64/$B$7))))))&lt;=0,0,((($B$7/2)^2/2)*((2*ACOS(1-2*(MIN(0.999,MAX(1E-6,A64/$B$7)))))-SIN(2*ACOS(1-2*(MIN(0.999,MAX(1E-6,A64/$B$7)))))))/(($B$7/2)*(2*ACOS(1-2*(MIN(0.999,MAX(1E-6,A64/$B$7))))))))&lt;=0,0,(IF((($B$7/2)*(2*ACOS(1-2*(MIN(0.999,MAX(1E-6,A64/$B$7))))))&lt;=0,0,((($B$7/2)^2/2)*((2*ACOS(1-2*(MIN(0.999,MAX(1E-6,A64/$B$7)))))-SIN(2*ACOS(1-2*(MIN(0.999,MAX(1E-6,A64/$B$7)))))))/(($B$7/2)*(2*ACOS(1-2*(MIN(0.999,MAX(1E-6,A64/$B$7))))))))^(2/3))*SQRT($B$11)),IF((A64-$B$12+$B$11*$B$8)&lt;=0,0,(PI()*($B$7/2)^2)*SQRT((A64-$B$12+$B$11*$B$8)/((1+$B$21)/(2*9.81)+($B$6^2)*$B$8/(($B$7/4)^(4/3))))))</f>
        <v/>
      </c>
      <c r="E64" s="15">
        <f>MIN(C64,D64)</f>
        <v/>
      </c>
      <c r="F64" s="4">
        <f>IF(A64&lt;=0,"—",IF(C64&lt;=D64,"inlet","outlet"))</f>
        <v/>
      </c>
    </row>
    <row r="65">
      <c r="A65" s="31" t="n">
        <v>2.05</v>
      </c>
      <c r="B65" s="31">
        <f>$B$9+A65</f>
        <v/>
      </c>
      <c r="C65" s="5">
        <f>IF(A65&lt;=0,0,IF(A65&lt;=1.2*$B$7,1.811*(PI()*($B$7/2)^2)*SQRT($B$7)*IF($B$17*$B$7&lt;=0,0,(A65/($B$17*$B$7))^(1/$B$18)),MAX(1.811*(PI()*($B$7/2)^2)*SQRT($B$7)*IF($B$17*$B$7&lt;=0,0,((1.2*$B$7)/($B$17*$B$7))^(1/$B$18)),1.811*(PI()*($B$7/2)^2)*SQRT($B$7)*SQRT(MAX(0,(A65/$B$7-$B$20)/$B$19)))))</f>
        <v/>
      </c>
      <c r="D65" s="5">
        <f>IF(A65&lt;$B$7,IF($B$6&lt;=0,0,(1/$B$6)*((($B$7/2)^2/2)*((2*ACOS(1-2*(MIN(0.999,MAX(1E-6,A65/$B$7)))))-SIN(2*ACOS(1-2*(MIN(0.999,MAX(1E-6,A65/$B$7)))))))*IF((IF((($B$7/2)*(2*ACOS(1-2*(MIN(0.999,MAX(1E-6,A65/$B$7))))))&lt;=0,0,((($B$7/2)^2/2)*((2*ACOS(1-2*(MIN(0.999,MAX(1E-6,A65/$B$7)))))-SIN(2*ACOS(1-2*(MIN(0.999,MAX(1E-6,A65/$B$7)))))))/(($B$7/2)*(2*ACOS(1-2*(MIN(0.999,MAX(1E-6,A65/$B$7))))))))&lt;=0,0,(IF((($B$7/2)*(2*ACOS(1-2*(MIN(0.999,MAX(1E-6,A65/$B$7))))))&lt;=0,0,((($B$7/2)^2/2)*((2*ACOS(1-2*(MIN(0.999,MAX(1E-6,A65/$B$7)))))-SIN(2*ACOS(1-2*(MIN(0.999,MAX(1E-6,A65/$B$7)))))))/(($B$7/2)*(2*ACOS(1-2*(MIN(0.999,MAX(1E-6,A65/$B$7))))))))^(2/3))*SQRT($B$11)),IF((A65-$B$12+$B$11*$B$8)&lt;=0,0,(PI()*($B$7/2)^2)*SQRT((A65-$B$12+$B$11*$B$8)/((1+$B$21)/(2*9.81)+($B$6^2)*$B$8/(($B$7/4)^(4/3))))))</f>
        <v/>
      </c>
      <c r="E65" s="15">
        <f>MIN(C65,D65)</f>
        <v/>
      </c>
      <c r="F65" s="4">
        <f>IF(A65&lt;=0,"—",IF(C65&lt;=D65,"inlet","outlet"))</f>
        <v/>
      </c>
    </row>
    <row r="66">
      <c r="A66" s="31" t="n">
        <v>2.1</v>
      </c>
      <c r="B66" s="31">
        <f>$B$9+A66</f>
        <v/>
      </c>
      <c r="C66" s="5">
        <f>IF(A66&lt;=0,0,IF(A66&lt;=1.2*$B$7,1.811*(PI()*($B$7/2)^2)*SQRT($B$7)*IF($B$17*$B$7&lt;=0,0,(A66/($B$17*$B$7))^(1/$B$18)),MAX(1.811*(PI()*($B$7/2)^2)*SQRT($B$7)*IF($B$17*$B$7&lt;=0,0,((1.2*$B$7)/($B$17*$B$7))^(1/$B$18)),1.811*(PI()*($B$7/2)^2)*SQRT($B$7)*SQRT(MAX(0,(A66/$B$7-$B$20)/$B$19)))))</f>
        <v/>
      </c>
      <c r="D66" s="5">
        <f>IF(A66&lt;$B$7,IF($B$6&lt;=0,0,(1/$B$6)*((($B$7/2)^2/2)*((2*ACOS(1-2*(MIN(0.999,MAX(1E-6,A66/$B$7)))))-SIN(2*ACOS(1-2*(MIN(0.999,MAX(1E-6,A66/$B$7)))))))*IF((IF((($B$7/2)*(2*ACOS(1-2*(MIN(0.999,MAX(1E-6,A66/$B$7))))))&lt;=0,0,((($B$7/2)^2/2)*((2*ACOS(1-2*(MIN(0.999,MAX(1E-6,A66/$B$7)))))-SIN(2*ACOS(1-2*(MIN(0.999,MAX(1E-6,A66/$B$7)))))))/(($B$7/2)*(2*ACOS(1-2*(MIN(0.999,MAX(1E-6,A66/$B$7))))))))&lt;=0,0,(IF((($B$7/2)*(2*ACOS(1-2*(MIN(0.999,MAX(1E-6,A66/$B$7))))))&lt;=0,0,((($B$7/2)^2/2)*((2*ACOS(1-2*(MIN(0.999,MAX(1E-6,A66/$B$7)))))-SIN(2*ACOS(1-2*(MIN(0.999,MAX(1E-6,A66/$B$7)))))))/(($B$7/2)*(2*ACOS(1-2*(MIN(0.999,MAX(1E-6,A66/$B$7))))))))^(2/3))*SQRT($B$11)),IF((A66-$B$12+$B$11*$B$8)&lt;=0,0,(PI()*($B$7/2)^2)*SQRT((A66-$B$12+$B$11*$B$8)/((1+$B$21)/(2*9.81)+($B$6^2)*$B$8/(($B$7/4)^(4/3))))))</f>
        <v/>
      </c>
      <c r="E66" s="15">
        <f>MIN(C66,D66)</f>
        <v/>
      </c>
      <c r="F66" s="4">
        <f>IF(A66&lt;=0,"—",IF(C66&lt;=D66,"inlet","outlet"))</f>
        <v/>
      </c>
    </row>
    <row r="67">
      <c r="A67" s="31" t="n">
        <v>2.15</v>
      </c>
      <c r="B67" s="31">
        <f>$B$9+A67</f>
        <v/>
      </c>
      <c r="C67" s="5">
        <f>IF(A67&lt;=0,0,IF(A67&lt;=1.2*$B$7,1.811*(PI()*($B$7/2)^2)*SQRT($B$7)*IF($B$17*$B$7&lt;=0,0,(A67/($B$17*$B$7))^(1/$B$18)),MAX(1.811*(PI()*($B$7/2)^2)*SQRT($B$7)*IF($B$17*$B$7&lt;=0,0,((1.2*$B$7)/($B$17*$B$7))^(1/$B$18)),1.811*(PI()*($B$7/2)^2)*SQRT($B$7)*SQRT(MAX(0,(A67/$B$7-$B$20)/$B$19)))))</f>
        <v/>
      </c>
      <c r="D67" s="5">
        <f>IF(A67&lt;$B$7,IF($B$6&lt;=0,0,(1/$B$6)*((($B$7/2)^2/2)*((2*ACOS(1-2*(MIN(0.999,MAX(1E-6,A67/$B$7)))))-SIN(2*ACOS(1-2*(MIN(0.999,MAX(1E-6,A67/$B$7)))))))*IF((IF((($B$7/2)*(2*ACOS(1-2*(MIN(0.999,MAX(1E-6,A67/$B$7))))))&lt;=0,0,((($B$7/2)^2/2)*((2*ACOS(1-2*(MIN(0.999,MAX(1E-6,A67/$B$7)))))-SIN(2*ACOS(1-2*(MIN(0.999,MAX(1E-6,A67/$B$7)))))))/(($B$7/2)*(2*ACOS(1-2*(MIN(0.999,MAX(1E-6,A67/$B$7))))))))&lt;=0,0,(IF((($B$7/2)*(2*ACOS(1-2*(MIN(0.999,MAX(1E-6,A67/$B$7))))))&lt;=0,0,((($B$7/2)^2/2)*((2*ACOS(1-2*(MIN(0.999,MAX(1E-6,A67/$B$7)))))-SIN(2*ACOS(1-2*(MIN(0.999,MAX(1E-6,A67/$B$7)))))))/(($B$7/2)*(2*ACOS(1-2*(MIN(0.999,MAX(1E-6,A67/$B$7))))))))^(2/3))*SQRT($B$11)),IF((A67-$B$12+$B$11*$B$8)&lt;=0,0,(PI()*($B$7/2)^2)*SQRT((A67-$B$12+$B$11*$B$8)/((1+$B$21)/(2*9.81)+($B$6^2)*$B$8/(($B$7/4)^(4/3))))))</f>
        <v/>
      </c>
      <c r="E67" s="15">
        <f>MIN(C67,D67)</f>
        <v/>
      </c>
      <c r="F67" s="4">
        <f>IF(A67&lt;=0,"—",IF(C67&lt;=D67,"inlet","outlet"))</f>
        <v/>
      </c>
    </row>
    <row r="68">
      <c r="A68" s="31" t="n">
        <v>2.2</v>
      </c>
      <c r="B68" s="31">
        <f>$B$9+A68</f>
        <v/>
      </c>
      <c r="C68" s="5">
        <f>IF(A68&lt;=0,0,IF(A68&lt;=1.2*$B$7,1.811*(PI()*($B$7/2)^2)*SQRT($B$7)*IF($B$17*$B$7&lt;=0,0,(A68/($B$17*$B$7))^(1/$B$18)),MAX(1.811*(PI()*($B$7/2)^2)*SQRT($B$7)*IF($B$17*$B$7&lt;=0,0,((1.2*$B$7)/($B$17*$B$7))^(1/$B$18)),1.811*(PI()*($B$7/2)^2)*SQRT($B$7)*SQRT(MAX(0,(A68/$B$7-$B$20)/$B$19)))))</f>
        <v/>
      </c>
      <c r="D68" s="5">
        <f>IF(A68&lt;$B$7,IF($B$6&lt;=0,0,(1/$B$6)*((($B$7/2)^2/2)*((2*ACOS(1-2*(MIN(0.999,MAX(1E-6,A68/$B$7)))))-SIN(2*ACOS(1-2*(MIN(0.999,MAX(1E-6,A68/$B$7)))))))*IF((IF((($B$7/2)*(2*ACOS(1-2*(MIN(0.999,MAX(1E-6,A68/$B$7))))))&lt;=0,0,((($B$7/2)^2/2)*((2*ACOS(1-2*(MIN(0.999,MAX(1E-6,A68/$B$7)))))-SIN(2*ACOS(1-2*(MIN(0.999,MAX(1E-6,A68/$B$7)))))))/(($B$7/2)*(2*ACOS(1-2*(MIN(0.999,MAX(1E-6,A68/$B$7))))))))&lt;=0,0,(IF((($B$7/2)*(2*ACOS(1-2*(MIN(0.999,MAX(1E-6,A68/$B$7))))))&lt;=0,0,((($B$7/2)^2/2)*((2*ACOS(1-2*(MIN(0.999,MAX(1E-6,A68/$B$7)))))-SIN(2*ACOS(1-2*(MIN(0.999,MAX(1E-6,A68/$B$7)))))))/(($B$7/2)*(2*ACOS(1-2*(MIN(0.999,MAX(1E-6,A68/$B$7))))))))^(2/3))*SQRT($B$11)),IF((A68-$B$12+$B$11*$B$8)&lt;=0,0,(PI()*($B$7/2)^2)*SQRT((A68-$B$12+$B$11*$B$8)/((1+$B$21)/(2*9.81)+($B$6^2)*$B$8/(($B$7/4)^(4/3))))))</f>
        <v/>
      </c>
      <c r="E68" s="15">
        <f>MIN(C68,D68)</f>
        <v/>
      </c>
      <c r="F68" s="4">
        <f>IF(A68&lt;=0,"—",IF(C68&lt;=D68,"inlet","outlet"))</f>
        <v/>
      </c>
    </row>
    <row r="69">
      <c r="A69" s="31" t="n">
        <v>2.25</v>
      </c>
      <c r="B69" s="31">
        <f>$B$9+A69</f>
        <v/>
      </c>
      <c r="C69" s="5">
        <f>IF(A69&lt;=0,0,IF(A69&lt;=1.2*$B$7,1.811*(PI()*($B$7/2)^2)*SQRT($B$7)*IF($B$17*$B$7&lt;=0,0,(A69/($B$17*$B$7))^(1/$B$18)),MAX(1.811*(PI()*($B$7/2)^2)*SQRT($B$7)*IF($B$17*$B$7&lt;=0,0,((1.2*$B$7)/($B$17*$B$7))^(1/$B$18)),1.811*(PI()*($B$7/2)^2)*SQRT($B$7)*SQRT(MAX(0,(A69/$B$7-$B$20)/$B$19)))))</f>
        <v/>
      </c>
      <c r="D69" s="5">
        <f>IF(A69&lt;$B$7,IF($B$6&lt;=0,0,(1/$B$6)*((($B$7/2)^2/2)*((2*ACOS(1-2*(MIN(0.999,MAX(1E-6,A69/$B$7)))))-SIN(2*ACOS(1-2*(MIN(0.999,MAX(1E-6,A69/$B$7)))))))*IF((IF((($B$7/2)*(2*ACOS(1-2*(MIN(0.999,MAX(1E-6,A69/$B$7))))))&lt;=0,0,((($B$7/2)^2/2)*((2*ACOS(1-2*(MIN(0.999,MAX(1E-6,A69/$B$7)))))-SIN(2*ACOS(1-2*(MIN(0.999,MAX(1E-6,A69/$B$7)))))))/(($B$7/2)*(2*ACOS(1-2*(MIN(0.999,MAX(1E-6,A69/$B$7))))))))&lt;=0,0,(IF((($B$7/2)*(2*ACOS(1-2*(MIN(0.999,MAX(1E-6,A69/$B$7))))))&lt;=0,0,((($B$7/2)^2/2)*((2*ACOS(1-2*(MIN(0.999,MAX(1E-6,A69/$B$7)))))-SIN(2*ACOS(1-2*(MIN(0.999,MAX(1E-6,A69/$B$7)))))))/(($B$7/2)*(2*ACOS(1-2*(MIN(0.999,MAX(1E-6,A69/$B$7))))))))^(2/3))*SQRT($B$11)),IF((A69-$B$12+$B$11*$B$8)&lt;=0,0,(PI()*($B$7/2)^2)*SQRT((A69-$B$12+$B$11*$B$8)/((1+$B$21)/(2*9.81)+($B$6^2)*$B$8/(($B$7/4)^(4/3))))))</f>
        <v/>
      </c>
      <c r="E69" s="15">
        <f>MIN(C69,D69)</f>
        <v/>
      </c>
      <c r="F69" s="4">
        <f>IF(A69&lt;=0,"—",IF(C69&lt;=D69,"inlet","outlet"))</f>
        <v/>
      </c>
    </row>
    <row r="70">
      <c r="A70" s="31" t="n">
        <v>2.3</v>
      </c>
      <c r="B70" s="31">
        <f>$B$9+A70</f>
        <v/>
      </c>
      <c r="C70" s="5">
        <f>IF(A70&lt;=0,0,IF(A70&lt;=1.2*$B$7,1.811*(PI()*($B$7/2)^2)*SQRT($B$7)*IF($B$17*$B$7&lt;=0,0,(A70/($B$17*$B$7))^(1/$B$18)),MAX(1.811*(PI()*($B$7/2)^2)*SQRT($B$7)*IF($B$17*$B$7&lt;=0,0,((1.2*$B$7)/($B$17*$B$7))^(1/$B$18)),1.811*(PI()*($B$7/2)^2)*SQRT($B$7)*SQRT(MAX(0,(A70/$B$7-$B$20)/$B$19)))))</f>
        <v/>
      </c>
      <c r="D70" s="5">
        <f>IF(A70&lt;$B$7,IF($B$6&lt;=0,0,(1/$B$6)*((($B$7/2)^2/2)*((2*ACOS(1-2*(MIN(0.999,MAX(1E-6,A70/$B$7)))))-SIN(2*ACOS(1-2*(MIN(0.999,MAX(1E-6,A70/$B$7)))))))*IF((IF((($B$7/2)*(2*ACOS(1-2*(MIN(0.999,MAX(1E-6,A70/$B$7))))))&lt;=0,0,((($B$7/2)^2/2)*((2*ACOS(1-2*(MIN(0.999,MAX(1E-6,A70/$B$7)))))-SIN(2*ACOS(1-2*(MIN(0.999,MAX(1E-6,A70/$B$7)))))))/(($B$7/2)*(2*ACOS(1-2*(MIN(0.999,MAX(1E-6,A70/$B$7))))))))&lt;=0,0,(IF((($B$7/2)*(2*ACOS(1-2*(MIN(0.999,MAX(1E-6,A70/$B$7))))))&lt;=0,0,((($B$7/2)^2/2)*((2*ACOS(1-2*(MIN(0.999,MAX(1E-6,A70/$B$7)))))-SIN(2*ACOS(1-2*(MIN(0.999,MAX(1E-6,A70/$B$7)))))))/(($B$7/2)*(2*ACOS(1-2*(MIN(0.999,MAX(1E-6,A70/$B$7))))))))^(2/3))*SQRT($B$11)),IF((A70-$B$12+$B$11*$B$8)&lt;=0,0,(PI()*($B$7/2)^2)*SQRT((A70-$B$12+$B$11*$B$8)/((1+$B$21)/(2*9.81)+($B$6^2)*$B$8/(($B$7/4)^(4/3))))))</f>
        <v/>
      </c>
      <c r="E70" s="15">
        <f>MIN(C70,D70)</f>
        <v/>
      </c>
      <c r="F70" s="4">
        <f>IF(A70&lt;=0,"—",IF(C70&lt;=D70,"inlet","outlet"))</f>
        <v/>
      </c>
    </row>
    <row r="71">
      <c r="A71" s="31" t="n">
        <v>2.35</v>
      </c>
      <c r="B71" s="31">
        <f>$B$9+A71</f>
        <v/>
      </c>
      <c r="C71" s="5">
        <f>IF(A71&lt;=0,0,IF(A71&lt;=1.2*$B$7,1.811*(PI()*($B$7/2)^2)*SQRT($B$7)*IF($B$17*$B$7&lt;=0,0,(A71/($B$17*$B$7))^(1/$B$18)),MAX(1.811*(PI()*($B$7/2)^2)*SQRT($B$7)*IF($B$17*$B$7&lt;=0,0,((1.2*$B$7)/($B$17*$B$7))^(1/$B$18)),1.811*(PI()*($B$7/2)^2)*SQRT($B$7)*SQRT(MAX(0,(A71/$B$7-$B$20)/$B$19)))))</f>
        <v/>
      </c>
      <c r="D71" s="5">
        <f>IF(A71&lt;$B$7,IF($B$6&lt;=0,0,(1/$B$6)*((($B$7/2)^2/2)*((2*ACOS(1-2*(MIN(0.999,MAX(1E-6,A71/$B$7)))))-SIN(2*ACOS(1-2*(MIN(0.999,MAX(1E-6,A71/$B$7)))))))*IF((IF((($B$7/2)*(2*ACOS(1-2*(MIN(0.999,MAX(1E-6,A71/$B$7))))))&lt;=0,0,((($B$7/2)^2/2)*((2*ACOS(1-2*(MIN(0.999,MAX(1E-6,A71/$B$7)))))-SIN(2*ACOS(1-2*(MIN(0.999,MAX(1E-6,A71/$B$7)))))))/(($B$7/2)*(2*ACOS(1-2*(MIN(0.999,MAX(1E-6,A71/$B$7))))))))&lt;=0,0,(IF((($B$7/2)*(2*ACOS(1-2*(MIN(0.999,MAX(1E-6,A71/$B$7))))))&lt;=0,0,((($B$7/2)^2/2)*((2*ACOS(1-2*(MIN(0.999,MAX(1E-6,A71/$B$7)))))-SIN(2*ACOS(1-2*(MIN(0.999,MAX(1E-6,A71/$B$7)))))))/(($B$7/2)*(2*ACOS(1-2*(MIN(0.999,MAX(1E-6,A71/$B$7))))))))^(2/3))*SQRT($B$11)),IF((A71-$B$12+$B$11*$B$8)&lt;=0,0,(PI()*($B$7/2)^2)*SQRT((A71-$B$12+$B$11*$B$8)/((1+$B$21)/(2*9.81)+($B$6^2)*$B$8/(($B$7/4)^(4/3))))))</f>
        <v/>
      </c>
      <c r="E71" s="15">
        <f>MIN(C71,D71)</f>
        <v/>
      </c>
      <c r="F71" s="4">
        <f>IF(A71&lt;=0,"—",IF(C71&lt;=D71,"inlet","outlet"))</f>
        <v/>
      </c>
    </row>
    <row r="72">
      <c r="A72" s="38" t="n">
        <v>2.4</v>
      </c>
      <c r="B72" s="38">
        <f>$B$9+A72</f>
        <v/>
      </c>
      <c r="C72" s="8">
        <f>IF(A72&lt;=0,0,IF(A72&lt;=1.2*$B$7,1.811*(PI()*($B$7/2)^2)*SQRT($B$7)*IF($B$17*$B$7&lt;=0,0,(A72/($B$17*$B$7))^(1/$B$18)),MAX(1.811*(PI()*($B$7/2)^2)*SQRT($B$7)*IF($B$17*$B$7&lt;=0,0,((1.2*$B$7)/($B$17*$B$7))^(1/$B$18)),1.811*(PI()*($B$7/2)^2)*SQRT($B$7)*SQRT(MAX(0,(A72/$B$7-$B$20)/$B$19)))))</f>
        <v/>
      </c>
      <c r="D72" s="8">
        <f>IF(A72&lt;$B$7,IF($B$6&lt;=0,0,(1/$B$6)*((($B$7/2)^2/2)*((2*ACOS(1-2*(MIN(0.999,MAX(1E-6,A72/$B$7)))))-SIN(2*ACOS(1-2*(MIN(0.999,MAX(1E-6,A72/$B$7)))))))*IF((IF((($B$7/2)*(2*ACOS(1-2*(MIN(0.999,MAX(1E-6,A72/$B$7))))))&lt;=0,0,((($B$7/2)^2/2)*((2*ACOS(1-2*(MIN(0.999,MAX(1E-6,A72/$B$7)))))-SIN(2*ACOS(1-2*(MIN(0.999,MAX(1E-6,A72/$B$7)))))))/(($B$7/2)*(2*ACOS(1-2*(MIN(0.999,MAX(1E-6,A72/$B$7))))))))&lt;=0,0,(IF((($B$7/2)*(2*ACOS(1-2*(MIN(0.999,MAX(1E-6,A72/$B$7))))))&lt;=0,0,((($B$7/2)^2/2)*((2*ACOS(1-2*(MIN(0.999,MAX(1E-6,A72/$B$7)))))-SIN(2*ACOS(1-2*(MIN(0.999,MAX(1E-6,A72/$B$7)))))))/(($B$7/2)*(2*ACOS(1-2*(MIN(0.999,MAX(1E-6,A72/$B$7))))))))^(2/3))*SQRT($B$11)),IF((A72-$B$12+$B$11*$B$8)&lt;=0,0,(PI()*($B$7/2)^2)*SQRT((A72-$B$12+$B$11*$B$8)/((1+$B$21)/(2*9.81)+($B$6^2)*$B$8/(($B$7/4)^(4/3))))))</f>
        <v/>
      </c>
      <c r="E72" s="8">
        <f>MIN(C72,D72)</f>
        <v/>
      </c>
      <c r="F72" s="7">
        <f>IF(A72&lt;=0,"—",IF(C72&lt;=D72,"inlet","outlet"))</f>
        <v/>
      </c>
    </row>
    <row r="73">
      <c r="A73" s="31" t="n">
        <v>2.45</v>
      </c>
      <c r="B73" s="31">
        <f>$B$9+A73</f>
        <v/>
      </c>
      <c r="C73" s="5">
        <f>IF(A73&lt;=0,0,IF(A73&lt;=1.2*$B$7,1.811*(PI()*($B$7/2)^2)*SQRT($B$7)*IF($B$17*$B$7&lt;=0,0,(A73/($B$17*$B$7))^(1/$B$18)),MAX(1.811*(PI()*($B$7/2)^2)*SQRT($B$7)*IF($B$17*$B$7&lt;=0,0,((1.2*$B$7)/($B$17*$B$7))^(1/$B$18)),1.811*(PI()*($B$7/2)^2)*SQRT($B$7)*SQRT(MAX(0,(A73/$B$7-$B$20)/$B$19)))))</f>
        <v/>
      </c>
      <c r="D73" s="5">
        <f>IF(A73&lt;$B$7,IF($B$6&lt;=0,0,(1/$B$6)*((($B$7/2)^2/2)*((2*ACOS(1-2*(MIN(0.999,MAX(1E-6,A73/$B$7)))))-SIN(2*ACOS(1-2*(MIN(0.999,MAX(1E-6,A73/$B$7)))))))*IF((IF((($B$7/2)*(2*ACOS(1-2*(MIN(0.999,MAX(1E-6,A73/$B$7))))))&lt;=0,0,((($B$7/2)^2/2)*((2*ACOS(1-2*(MIN(0.999,MAX(1E-6,A73/$B$7)))))-SIN(2*ACOS(1-2*(MIN(0.999,MAX(1E-6,A73/$B$7)))))))/(($B$7/2)*(2*ACOS(1-2*(MIN(0.999,MAX(1E-6,A73/$B$7))))))))&lt;=0,0,(IF((($B$7/2)*(2*ACOS(1-2*(MIN(0.999,MAX(1E-6,A73/$B$7))))))&lt;=0,0,((($B$7/2)^2/2)*((2*ACOS(1-2*(MIN(0.999,MAX(1E-6,A73/$B$7)))))-SIN(2*ACOS(1-2*(MIN(0.999,MAX(1E-6,A73/$B$7)))))))/(($B$7/2)*(2*ACOS(1-2*(MIN(0.999,MAX(1E-6,A73/$B$7))))))))^(2/3))*SQRT($B$11)),IF((A73-$B$12+$B$11*$B$8)&lt;=0,0,(PI()*($B$7/2)^2)*SQRT((A73-$B$12+$B$11*$B$8)/((1+$B$21)/(2*9.81)+($B$6^2)*$B$8/(($B$7/4)^(4/3))))))</f>
        <v/>
      </c>
      <c r="E73" s="15">
        <f>MIN(C73,D73)</f>
        <v/>
      </c>
      <c r="F73" s="4">
        <f>IF(A73&lt;=0,"—",IF(C73&lt;=D73,"inlet","outlet"))</f>
        <v/>
      </c>
    </row>
    <row r="74">
      <c r="A74" s="31" t="n">
        <v>2.5</v>
      </c>
      <c r="B74" s="31">
        <f>$B$9+A74</f>
        <v/>
      </c>
      <c r="C74" s="5">
        <f>IF(A74&lt;=0,0,IF(A74&lt;=1.2*$B$7,1.811*(PI()*($B$7/2)^2)*SQRT($B$7)*IF($B$17*$B$7&lt;=0,0,(A74/($B$17*$B$7))^(1/$B$18)),MAX(1.811*(PI()*($B$7/2)^2)*SQRT($B$7)*IF($B$17*$B$7&lt;=0,0,((1.2*$B$7)/($B$17*$B$7))^(1/$B$18)),1.811*(PI()*($B$7/2)^2)*SQRT($B$7)*SQRT(MAX(0,(A74/$B$7-$B$20)/$B$19)))))</f>
        <v/>
      </c>
      <c r="D74" s="5">
        <f>IF(A74&lt;$B$7,IF($B$6&lt;=0,0,(1/$B$6)*((($B$7/2)^2/2)*((2*ACOS(1-2*(MIN(0.999,MAX(1E-6,A74/$B$7)))))-SIN(2*ACOS(1-2*(MIN(0.999,MAX(1E-6,A74/$B$7)))))))*IF((IF((($B$7/2)*(2*ACOS(1-2*(MIN(0.999,MAX(1E-6,A74/$B$7))))))&lt;=0,0,((($B$7/2)^2/2)*((2*ACOS(1-2*(MIN(0.999,MAX(1E-6,A74/$B$7)))))-SIN(2*ACOS(1-2*(MIN(0.999,MAX(1E-6,A74/$B$7)))))))/(($B$7/2)*(2*ACOS(1-2*(MIN(0.999,MAX(1E-6,A74/$B$7))))))))&lt;=0,0,(IF((($B$7/2)*(2*ACOS(1-2*(MIN(0.999,MAX(1E-6,A74/$B$7))))))&lt;=0,0,((($B$7/2)^2/2)*((2*ACOS(1-2*(MIN(0.999,MAX(1E-6,A74/$B$7)))))-SIN(2*ACOS(1-2*(MIN(0.999,MAX(1E-6,A74/$B$7)))))))/(($B$7/2)*(2*ACOS(1-2*(MIN(0.999,MAX(1E-6,A74/$B$7))))))))^(2/3))*SQRT($B$11)),IF((A74-$B$12+$B$11*$B$8)&lt;=0,0,(PI()*($B$7/2)^2)*SQRT((A74-$B$12+$B$11*$B$8)/((1+$B$21)/(2*9.81)+($B$6^2)*$B$8/(($B$7/4)^(4/3))))))</f>
        <v/>
      </c>
      <c r="E74" s="15">
        <f>MIN(C74,D74)</f>
        <v/>
      </c>
      <c r="F74" s="4">
        <f>IF(A74&lt;=0,"—",IF(C74&lt;=D74,"inlet","outlet"))</f>
        <v/>
      </c>
    </row>
    <row r="75">
      <c r="A75" s="31" t="n">
        <v>2.55</v>
      </c>
      <c r="B75" s="31">
        <f>$B$9+A75</f>
        <v/>
      </c>
      <c r="C75" s="5">
        <f>IF(A75&lt;=0,0,IF(A75&lt;=1.2*$B$7,1.811*(PI()*($B$7/2)^2)*SQRT($B$7)*IF($B$17*$B$7&lt;=0,0,(A75/($B$17*$B$7))^(1/$B$18)),MAX(1.811*(PI()*($B$7/2)^2)*SQRT($B$7)*IF($B$17*$B$7&lt;=0,0,((1.2*$B$7)/($B$17*$B$7))^(1/$B$18)),1.811*(PI()*($B$7/2)^2)*SQRT($B$7)*SQRT(MAX(0,(A75/$B$7-$B$20)/$B$19)))))</f>
        <v/>
      </c>
      <c r="D75" s="5">
        <f>IF(A75&lt;$B$7,IF($B$6&lt;=0,0,(1/$B$6)*((($B$7/2)^2/2)*((2*ACOS(1-2*(MIN(0.999,MAX(1E-6,A75/$B$7)))))-SIN(2*ACOS(1-2*(MIN(0.999,MAX(1E-6,A75/$B$7)))))))*IF((IF((($B$7/2)*(2*ACOS(1-2*(MIN(0.999,MAX(1E-6,A75/$B$7))))))&lt;=0,0,((($B$7/2)^2/2)*((2*ACOS(1-2*(MIN(0.999,MAX(1E-6,A75/$B$7)))))-SIN(2*ACOS(1-2*(MIN(0.999,MAX(1E-6,A75/$B$7)))))))/(($B$7/2)*(2*ACOS(1-2*(MIN(0.999,MAX(1E-6,A75/$B$7))))))))&lt;=0,0,(IF((($B$7/2)*(2*ACOS(1-2*(MIN(0.999,MAX(1E-6,A75/$B$7))))))&lt;=0,0,((($B$7/2)^2/2)*((2*ACOS(1-2*(MIN(0.999,MAX(1E-6,A75/$B$7)))))-SIN(2*ACOS(1-2*(MIN(0.999,MAX(1E-6,A75/$B$7)))))))/(($B$7/2)*(2*ACOS(1-2*(MIN(0.999,MAX(1E-6,A75/$B$7))))))))^(2/3))*SQRT($B$11)),IF((A75-$B$12+$B$11*$B$8)&lt;=0,0,(PI()*($B$7/2)^2)*SQRT((A75-$B$12+$B$11*$B$8)/((1+$B$21)/(2*9.81)+($B$6^2)*$B$8/(($B$7/4)^(4/3))))))</f>
        <v/>
      </c>
      <c r="E75" s="15">
        <f>MIN(C75,D75)</f>
        <v/>
      </c>
      <c r="F75" s="4">
        <f>IF(A75&lt;=0,"—",IF(C75&lt;=D75,"inlet","outlet"))</f>
        <v/>
      </c>
    </row>
    <row r="76">
      <c r="A76" s="31" t="n">
        <v>2.6</v>
      </c>
      <c r="B76" s="31">
        <f>$B$9+A76</f>
        <v/>
      </c>
      <c r="C76" s="5">
        <f>IF(A76&lt;=0,0,IF(A76&lt;=1.2*$B$7,1.811*(PI()*($B$7/2)^2)*SQRT($B$7)*IF($B$17*$B$7&lt;=0,0,(A76/($B$17*$B$7))^(1/$B$18)),MAX(1.811*(PI()*($B$7/2)^2)*SQRT($B$7)*IF($B$17*$B$7&lt;=0,0,((1.2*$B$7)/($B$17*$B$7))^(1/$B$18)),1.811*(PI()*($B$7/2)^2)*SQRT($B$7)*SQRT(MAX(0,(A76/$B$7-$B$20)/$B$19)))))</f>
        <v/>
      </c>
      <c r="D76" s="5">
        <f>IF(A76&lt;$B$7,IF($B$6&lt;=0,0,(1/$B$6)*((($B$7/2)^2/2)*((2*ACOS(1-2*(MIN(0.999,MAX(1E-6,A76/$B$7)))))-SIN(2*ACOS(1-2*(MIN(0.999,MAX(1E-6,A76/$B$7)))))))*IF((IF((($B$7/2)*(2*ACOS(1-2*(MIN(0.999,MAX(1E-6,A76/$B$7))))))&lt;=0,0,((($B$7/2)^2/2)*((2*ACOS(1-2*(MIN(0.999,MAX(1E-6,A76/$B$7)))))-SIN(2*ACOS(1-2*(MIN(0.999,MAX(1E-6,A76/$B$7)))))))/(($B$7/2)*(2*ACOS(1-2*(MIN(0.999,MAX(1E-6,A76/$B$7))))))))&lt;=0,0,(IF((($B$7/2)*(2*ACOS(1-2*(MIN(0.999,MAX(1E-6,A76/$B$7))))))&lt;=0,0,((($B$7/2)^2/2)*((2*ACOS(1-2*(MIN(0.999,MAX(1E-6,A76/$B$7)))))-SIN(2*ACOS(1-2*(MIN(0.999,MAX(1E-6,A76/$B$7)))))))/(($B$7/2)*(2*ACOS(1-2*(MIN(0.999,MAX(1E-6,A76/$B$7))))))))^(2/3))*SQRT($B$11)),IF((A76-$B$12+$B$11*$B$8)&lt;=0,0,(PI()*($B$7/2)^2)*SQRT((A76-$B$12+$B$11*$B$8)/((1+$B$21)/(2*9.81)+($B$6^2)*$B$8/(($B$7/4)^(4/3))))))</f>
        <v/>
      </c>
      <c r="E76" s="15">
        <f>MIN(C76,D76)</f>
        <v/>
      </c>
      <c r="F76" s="4">
        <f>IF(A76&lt;=0,"—",IF(C76&lt;=D76,"inlet","outlet"))</f>
        <v/>
      </c>
    </row>
    <row r="77">
      <c r="A77" s="31" t="n">
        <v>2.65</v>
      </c>
      <c r="B77" s="31">
        <f>$B$9+A77</f>
        <v/>
      </c>
      <c r="C77" s="5">
        <f>IF(A77&lt;=0,0,IF(A77&lt;=1.2*$B$7,1.811*(PI()*($B$7/2)^2)*SQRT($B$7)*IF($B$17*$B$7&lt;=0,0,(A77/($B$17*$B$7))^(1/$B$18)),MAX(1.811*(PI()*($B$7/2)^2)*SQRT($B$7)*IF($B$17*$B$7&lt;=0,0,((1.2*$B$7)/($B$17*$B$7))^(1/$B$18)),1.811*(PI()*($B$7/2)^2)*SQRT($B$7)*SQRT(MAX(0,(A77/$B$7-$B$20)/$B$19)))))</f>
        <v/>
      </c>
      <c r="D77" s="5">
        <f>IF(A77&lt;$B$7,IF($B$6&lt;=0,0,(1/$B$6)*((($B$7/2)^2/2)*((2*ACOS(1-2*(MIN(0.999,MAX(1E-6,A77/$B$7)))))-SIN(2*ACOS(1-2*(MIN(0.999,MAX(1E-6,A77/$B$7)))))))*IF((IF((($B$7/2)*(2*ACOS(1-2*(MIN(0.999,MAX(1E-6,A77/$B$7))))))&lt;=0,0,((($B$7/2)^2/2)*((2*ACOS(1-2*(MIN(0.999,MAX(1E-6,A77/$B$7)))))-SIN(2*ACOS(1-2*(MIN(0.999,MAX(1E-6,A77/$B$7)))))))/(($B$7/2)*(2*ACOS(1-2*(MIN(0.999,MAX(1E-6,A77/$B$7))))))))&lt;=0,0,(IF((($B$7/2)*(2*ACOS(1-2*(MIN(0.999,MAX(1E-6,A77/$B$7))))))&lt;=0,0,((($B$7/2)^2/2)*((2*ACOS(1-2*(MIN(0.999,MAX(1E-6,A77/$B$7)))))-SIN(2*ACOS(1-2*(MIN(0.999,MAX(1E-6,A77/$B$7)))))))/(($B$7/2)*(2*ACOS(1-2*(MIN(0.999,MAX(1E-6,A77/$B$7))))))))^(2/3))*SQRT($B$11)),IF((A77-$B$12+$B$11*$B$8)&lt;=0,0,(PI()*($B$7/2)^2)*SQRT((A77-$B$12+$B$11*$B$8)/((1+$B$21)/(2*9.81)+($B$6^2)*$B$8/(($B$7/4)^(4/3))))))</f>
        <v/>
      </c>
      <c r="E77" s="15">
        <f>MIN(C77,D77)</f>
        <v/>
      </c>
      <c r="F77" s="4">
        <f>IF(A77&lt;=0,"—",IF(C77&lt;=D77,"inlet","outlet"))</f>
        <v/>
      </c>
    </row>
    <row r="78">
      <c r="A78" s="31" t="n">
        <v>2.7</v>
      </c>
      <c r="B78" s="31">
        <f>$B$9+A78</f>
        <v/>
      </c>
      <c r="C78" s="5">
        <f>IF(A78&lt;=0,0,IF(A78&lt;=1.2*$B$7,1.811*(PI()*($B$7/2)^2)*SQRT($B$7)*IF($B$17*$B$7&lt;=0,0,(A78/($B$17*$B$7))^(1/$B$18)),MAX(1.811*(PI()*($B$7/2)^2)*SQRT($B$7)*IF($B$17*$B$7&lt;=0,0,((1.2*$B$7)/($B$17*$B$7))^(1/$B$18)),1.811*(PI()*($B$7/2)^2)*SQRT($B$7)*SQRT(MAX(0,(A78/$B$7-$B$20)/$B$19)))))</f>
        <v/>
      </c>
      <c r="D78" s="5">
        <f>IF(A78&lt;$B$7,IF($B$6&lt;=0,0,(1/$B$6)*((($B$7/2)^2/2)*((2*ACOS(1-2*(MIN(0.999,MAX(1E-6,A78/$B$7)))))-SIN(2*ACOS(1-2*(MIN(0.999,MAX(1E-6,A78/$B$7)))))))*IF((IF((($B$7/2)*(2*ACOS(1-2*(MIN(0.999,MAX(1E-6,A78/$B$7))))))&lt;=0,0,((($B$7/2)^2/2)*((2*ACOS(1-2*(MIN(0.999,MAX(1E-6,A78/$B$7)))))-SIN(2*ACOS(1-2*(MIN(0.999,MAX(1E-6,A78/$B$7)))))))/(($B$7/2)*(2*ACOS(1-2*(MIN(0.999,MAX(1E-6,A78/$B$7))))))))&lt;=0,0,(IF((($B$7/2)*(2*ACOS(1-2*(MIN(0.999,MAX(1E-6,A78/$B$7))))))&lt;=0,0,((($B$7/2)^2/2)*((2*ACOS(1-2*(MIN(0.999,MAX(1E-6,A78/$B$7)))))-SIN(2*ACOS(1-2*(MIN(0.999,MAX(1E-6,A78/$B$7)))))))/(($B$7/2)*(2*ACOS(1-2*(MIN(0.999,MAX(1E-6,A78/$B$7))))))))^(2/3))*SQRT($B$11)),IF((A78-$B$12+$B$11*$B$8)&lt;=0,0,(PI()*($B$7/2)^2)*SQRT((A78-$B$12+$B$11*$B$8)/((1+$B$21)/(2*9.81)+($B$6^2)*$B$8/(($B$7/4)^(4/3))))))</f>
        <v/>
      </c>
      <c r="E78" s="15">
        <f>MIN(C78,D78)</f>
        <v/>
      </c>
      <c r="F78" s="4">
        <f>IF(A78&lt;=0,"—",IF(C78&lt;=D78,"inlet","outlet"))</f>
        <v/>
      </c>
    </row>
    <row r="79">
      <c r="A79" s="31" t="n">
        <v>2.75</v>
      </c>
      <c r="B79" s="31">
        <f>$B$9+A79</f>
        <v/>
      </c>
      <c r="C79" s="5">
        <f>IF(A79&lt;=0,0,IF(A79&lt;=1.2*$B$7,1.811*(PI()*($B$7/2)^2)*SQRT($B$7)*IF($B$17*$B$7&lt;=0,0,(A79/($B$17*$B$7))^(1/$B$18)),MAX(1.811*(PI()*($B$7/2)^2)*SQRT($B$7)*IF($B$17*$B$7&lt;=0,0,((1.2*$B$7)/($B$17*$B$7))^(1/$B$18)),1.811*(PI()*($B$7/2)^2)*SQRT($B$7)*SQRT(MAX(0,(A79/$B$7-$B$20)/$B$19)))))</f>
        <v/>
      </c>
      <c r="D79" s="5">
        <f>IF(A79&lt;$B$7,IF($B$6&lt;=0,0,(1/$B$6)*((($B$7/2)^2/2)*((2*ACOS(1-2*(MIN(0.999,MAX(1E-6,A79/$B$7)))))-SIN(2*ACOS(1-2*(MIN(0.999,MAX(1E-6,A79/$B$7)))))))*IF((IF((($B$7/2)*(2*ACOS(1-2*(MIN(0.999,MAX(1E-6,A79/$B$7))))))&lt;=0,0,((($B$7/2)^2/2)*((2*ACOS(1-2*(MIN(0.999,MAX(1E-6,A79/$B$7)))))-SIN(2*ACOS(1-2*(MIN(0.999,MAX(1E-6,A79/$B$7)))))))/(($B$7/2)*(2*ACOS(1-2*(MIN(0.999,MAX(1E-6,A79/$B$7))))))))&lt;=0,0,(IF((($B$7/2)*(2*ACOS(1-2*(MIN(0.999,MAX(1E-6,A79/$B$7))))))&lt;=0,0,((($B$7/2)^2/2)*((2*ACOS(1-2*(MIN(0.999,MAX(1E-6,A79/$B$7)))))-SIN(2*ACOS(1-2*(MIN(0.999,MAX(1E-6,A79/$B$7)))))))/(($B$7/2)*(2*ACOS(1-2*(MIN(0.999,MAX(1E-6,A79/$B$7))))))))^(2/3))*SQRT($B$11)),IF((A79-$B$12+$B$11*$B$8)&lt;=0,0,(PI()*($B$7/2)^2)*SQRT((A79-$B$12+$B$11*$B$8)/((1+$B$21)/(2*9.81)+($B$6^2)*$B$8/(($B$7/4)^(4/3))))))</f>
        <v/>
      </c>
      <c r="E79" s="15">
        <f>MIN(C79,D79)</f>
        <v/>
      </c>
      <c r="F79" s="4">
        <f>IF(A79&lt;=0,"—",IF(C79&lt;=D79,"inlet","outlet"))</f>
        <v/>
      </c>
    </row>
    <row r="80">
      <c r="A80" s="31" t="n">
        <v>2.8</v>
      </c>
      <c r="B80" s="31">
        <f>$B$9+A80</f>
        <v/>
      </c>
      <c r="C80" s="5">
        <f>IF(A80&lt;=0,0,IF(A80&lt;=1.2*$B$7,1.811*(PI()*($B$7/2)^2)*SQRT($B$7)*IF($B$17*$B$7&lt;=0,0,(A80/($B$17*$B$7))^(1/$B$18)),MAX(1.811*(PI()*($B$7/2)^2)*SQRT($B$7)*IF($B$17*$B$7&lt;=0,0,((1.2*$B$7)/($B$17*$B$7))^(1/$B$18)),1.811*(PI()*($B$7/2)^2)*SQRT($B$7)*SQRT(MAX(0,(A80/$B$7-$B$20)/$B$19)))))</f>
        <v/>
      </c>
      <c r="D80" s="5">
        <f>IF(A80&lt;$B$7,IF($B$6&lt;=0,0,(1/$B$6)*((($B$7/2)^2/2)*((2*ACOS(1-2*(MIN(0.999,MAX(1E-6,A80/$B$7)))))-SIN(2*ACOS(1-2*(MIN(0.999,MAX(1E-6,A80/$B$7)))))))*IF((IF((($B$7/2)*(2*ACOS(1-2*(MIN(0.999,MAX(1E-6,A80/$B$7))))))&lt;=0,0,((($B$7/2)^2/2)*((2*ACOS(1-2*(MIN(0.999,MAX(1E-6,A80/$B$7)))))-SIN(2*ACOS(1-2*(MIN(0.999,MAX(1E-6,A80/$B$7)))))))/(($B$7/2)*(2*ACOS(1-2*(MIN(0.999,MAX(1E-6,A80/$B$7))))))))&lt;=0,0,(IF((($B$7/2)*(2*ACOS(1-2*(MIN(0.999,MAX(1E-6,A80/$B$7))))))&lt;=0,0,((($B$7/2)^2/2)*((2*ACOS(1-2*(MIN(0.999,MAX(1E-6,A80/$B$7)))))-SIN(2*ACOS(1-2*(MIN(0.999,MAX(1E-6,A80/$B$7)))))))/(($B$7/2)*(2*ACOS(1-2*(MIN(0.999,MAX(1E-6,A80/$B$7))))))))^(2/3))*SQRT($B$11)),IF((A80-$B$12+$B$11*$B$8)&lt;=0,0,(PI()*($B$7/2)^2)*SQRT((A80-$B$12+$B$11*$B$8)/((1+$B$21)/(2*9.81)+($B$6^2)*$B$8/(($B$7/4)^(4/3))))))</f>
        <v/>
      </c>
      <c r="E80" s="15">
        <f>MIN(C80,D80)</f>
        <v/>
      </c>
      <c r="F80" s="4">
        <f>IF(A80&lt;=0,"—",IF(C80&lt;=D80,"inlet","outlet"))</f>
        <v/>
      </c>
    </row>
    <row r="81">
      <c r="A81" s="31" t="n">
        <v>2.85</v>
      </c>
      <c r="B81" s="31">
        <f>$B$9+A81</f>
        <v/>
      </c>
      <c r="C81" s="5">
        <f>IF(A81&lt;=0,0,IF(A81&lt;=1.2*$B$7,1.811*(PI()*($B$7/2)^2)*SQRT($B$7)*IF($B$17*$B$7&lt;=0,0,(A81/($B$17*$B$7))^(1/$B$18)),MAX(1.811*(PI()*($B$7/2)^2)*SQRT($B$7)*IF($B$17*$B$7&lt;=0,0,((1.2*$B$7)/($B$17*$B$7))^(1/$B$18)),1.811*(PI()*($B$7/2)^2)*SQRT($B$7)*SQRT(MAX(0,(A81/$B$7-$B$20)/$B$19)))))</f>
        <v/>
      </c>
      <c r="D81" s="5">
        <f>IF(A81&lt;$B$7,IF($B$6&lt;=0,0,(1/$B$6)*((($B$7/2)^2/2)*((2*ACOS(1-2*(MIN(0.999,MAX(1E-6,A81/$B$7)))))-SIN(2*ACOS(1-2*(MIN(0.999,MAX(1E-6,A81/$B$7)))))))*IF((IF((($B$7/2)*(2*ACOS(1-2*(MIN(0.999,MAX(1E-6,A81/$B$7))))))&lt;=0,0,((($B$7/2)^2/2)*((2*ACOS(1-2*(MIN(0.999,MAX(1E-6,A81/$B$7)))))-SIN(2*ACOS(1-2*(MIN(0.999,MAX(1E-6,A81/$B$7)))))))/(($B$7/2)*(2*ACOS(1-2*(MIN(0.999,MAX(1E-6,A81/$B$7))))))))&lt;=0,0,(IF((($B$7/2)*(2*ACOS(1-2*(MIN(0.999,MAX(1E-6,A81/$B$7))))))&lt;=0,0,((($B$7/2)^2/2)*((2*ACOS(1-2*(MIN(0.999,MAX(1E-6,A81/$B$7)))))-SIN(2*ACOS(1-2*(MIN(0.999,MAX(1E-6,A81/$B$7)))))))/(($B$7/2)*(2*ACOS(1-2*(MIN(0.999,MAX(1E-6,A81/$B$7))))))))^(2/3))*SQRT($B$11)),IF((A81-$B$12+$B$11*$B$8)&lt;=0,0,(PI()*($B$7/2)^2)*SQRT((A81-$B$12+$B$11*$B$8)/((1+$B$21)/(2*9.81)+($B$6^2)*$B$8/(($B$7/4)^(4/3))))))</f>
        <v/>
      </c>
      <c r="E81" s="15">
        <f>MIN(C81,D81)</f>
        <v/>
      </c>
      <c r="F81" s="4">
        <f>IF(A81&lt;=0,"—",IF(C81&lt;=D81,"inlet","outlet"))</f>
        <v/>
      </c>
    </row>
    <row r="82">
      <c r="A82" s="31" t="n">
        <v>2.9</v>
      </c>
      <c r="B82" s="31">
        <f>$B$9+A82</f>
        <v/>
      </c>
      <c r="C82" s="5">
        <f>IF(A82&lt;=0,0,IF(A82&lt;=1.2*$B$7,1.811*(PI()*($B$7/2)^2)*SQRT($B$7)*IF($B$17*$B$7&lt;=0,0,(A82/($B$17*$B$7))^(1/$B$18)),MAX(1.811*(PI()*($B$7/2)^2)*SQRT($B$7)*IF($B$17*$B$7&lt;=0,0,((1.2*$B$7)/($B$17*$B$7))^(1/$B$18)),1.811*(PI()*($B$7/2)^2)*SQRT($B$7)*SQRT(MAX(0,(A82/$B$7-$B$20)/$B$19)))))</f>
        <v/>
      </c>
      <c r="D82" s="5">
        <f>IF(A82&lt;$B$7,IF($B$6&lt;=0,0,(1/$B$6)*((($B$7/2)^2/2)*((2*ACOS(1-2*(MIN(0.999,MAX(1E-6,A82/$B$7)))))-SIN(2*ACOS(1-2*(MIN(0.999,MAX(1E-6,A82/$B$7)))))))*IF((IF((($B$7/2)*(2*ACOS(1-2*(MIN(0.999,MAX(1E-6,A82/$B$7))))))&lt;=0,0,((($B$7/2)^2/2)*((2*ACOS(1-2*(MIN(0.999,MAX(1E-6,A82/$B$7)))))-SIN(2*ACOS(1-2*(MIN(0.999,MAX(1E-6,A82/$B$7)))))))/(($B$7/2)*(2*ACOS(1-2*(MIN(0.999,MAX(1E-6,A82/$B$7))))))))&lt;=0,0,(IF((($B$7/2)*(2*ACOS(1-2*(MIN(0.999,MAX(1E-6,A82/$B$7))))))&lt;=0,0,((($B$7/2)^2/2)*((2*ACOS(1-2*(MIN(0.999,MAX(1E-6,A82/$B$7)))))-SIN(2*ACOS(1-2*(MIN(0.999,MAX(1E-6,A82/$B$7)))))))/(($B$7/2)*(2*ACOS(1-2*(MIN(0.999,MAX(1E-6,A82/$B$7))))))))^(2/3))*SQRT($B$11)),IF((A82-$B$12+$B$11*$B$8)&lt;=0,0,(PI()*($B$7/2)^2)*SQRT((A82-$B$12+$B$11*$B$8)/((1+$B$21)/(2*9.81)+($B$6^2)*$B$8/(($B$7/4)^(4/3))))))</f>
        <v/>
      </c>
      <c r="E82" s="15">
        <f>MIN(C82,D82)</f>
        <v/>
      </c>
      <c r="F82" s="4">
        <f>IF(A82&lt;=0,"—",IF(C82&lt;=D82,"inlet","outlet"))</f>
        <v/>
      </c>
    </row>
    <row r="83">
      <c r="A83" s="31" t="n">
        <v>2.95</v>
      </c>
      <c r="B83" s="31">
        <f>$B$9+A83</f>
        <v/>
      </c>
      <c r="C83" s="5">
        <f>IF(A83&lt;=0,0,IF(A83&lt;=1.2*$B$7,1.811*(PI()*($B$7/2)^2)*SQRT($B$7)*IF($B$17*$B$7&lt;=0,0,(A83/($B$17*$B$7))^(1/$B$18)),MAX(1.811*(PI()*($B$7/2)^2)*SQRT($B$7)*IF($B$17*$B$7&lt;=0,0,((1.2*$B$7)/($B$17*$B$7))^(1/$B$18)),1.811*(PI()*($B$7/2)^2)*SQRT($B$7)*SQRT(MAX(0,(A83/$B$7-$B$20)/$B$19)))))</f>
        <v/>
      </c>
      <c r="D83" s="5">
        <f>IF(A83&lt;$B$7,IF($B$6&lt;=0,0,(1/$B$6)*((($B$7/2)^2/2)*((2*ACOS(1-2*(MIN(0.999,MAX(1E-6,A83/$B$7)))))-SIN(2*ACOS(1-2*(MIN(0.999,MAX(1E-6,A83/$B$7)))))))*IF((IF((($B$7/2)*(2*ACOS(1-2*(MIN(0.999,MAX(1E-6,A83/$B$7))))))&lt;=0,0,((($B$7/2)^2/2)*((2*ACOS(1-2*(MIN(0.999,MAX(1E-6,A83/$B$7)))))-SIN(2*ACOS(1-2*(MIN(0.999,MAX(1E-6,A83/$B$7)))))))/(($B$7/2)*(2*ACOS(1-2*(MIN(0.999,MAX(1E-6,A83/$B$7))))))))&lt;=0,0,(IF((($B$7/2)*(2*ACOS(1-2*(MIN(0.999,MAX(1E-6,A83/$B$7))))))&lt;=0,0,((($B$7/2)^2/2)*((2*ACOS(1-2*(MIN(0.999,MAX(1E-6,A83/$B$7)))))-SIN(2*ACOS(1-2*(MIN(0.999,MAX(1E-6,A83/$B$7)))))))/(($B$7/2)*(2*ACOS(1-2*(MIN(0.999,MAX(1E-6,A83/$B$7))))))))^(2/3))*SQRT($B$11)),IF((A83-$B$12+$B$11*$B$8)&lt;=0,0,(PI()*($B$7/2)^2)*SQRT((A83-$B$12+$B$11*$B$8)/((1+$B$21)/(2*9.81)+($B$6^2)*$B$8/(($B$7/4)^(4/3))))))</f>
        <v/>
      </c>
      <c r="E83" s="15">
        <f>MIN(C83,D83)</f>
        <v/>
      </c>
      <c r="F83" s="4">
        <f>IF(A83&lt;=0,"—",IF(C83&lt;=D83,"inlet","outlet"))</f>
        <v/>
      </c>
    </row>
    <row r="84">
      <c r="A84" s="31" t="n">
        <v>3</v>
      </c>
      <c r="B84" s="31">
        <f>$B$9+A84</f>
        <v/>
      </c>
      <c r="C84" s="5">
        <f>IF(A84&lt;=0,0,IF(A84&lt;=1.2*$B$7,1.811*(PI()*($B$7/2)^2)*SQRT($B$7)*IF($B$17*$B$7&lt;=0,0,(A84/($B$17*$B$7))^(1/$B$18)),MAX(1.811*(PI()*($B$7/2)^2)*SQRT($B$7)*IF($B$17*$B$7&lt;=0,0,((1.2*$B$7)/($B$17*$B$7))^(1/$B$18)),1.811*(PI()*($B$7/2)^2)*SQRT($B$7)*SQRT(MAX(0,(A84/$B$7-$B$20)/$B$19)))))</f>
        <v/>
      </c>
      <c r="D84" s="5">
        <f>IF(A84&lt;$B$7,IF($B$6&lt;=0,0,(1/$B$6)*((($B$7/2)^2/2)*((2*ACOS(1-2*(MIN(0.999,MAX(1E-6,A84/$B$7)))))-SIN(2*ACOS(1-2*(MIN(0.999,MAX(1E-6,A84/$B$7)))))))*IF((IF((($B$7/2)*(2*ACOS(1-2*(MIN(0.999,MAX(1E-6,A84/$B$7))))))&lt;=0,0,((($B$7/2)^2/2)*((2*ACOS(1-2*(MIN(0.999,MAX(1E-6,A84/$B$7)))))-SIN(2*ACOS(1-2*(MIN(0.999,MAX(1E-6,A84/$B$7)))))))/(($B$7/2)*(2*ACOS(1-2*(MIN(0.999,MAX(1E-6,A84/$B$7))))))))&lt;=0,0,(IF((($B$7/2)*(2*ACOS(1-2*(MIN(0.999,MAX(1E-6,A84/$B$7))))))&lt;=0,0,((($B$7/2)^2/2)*((2*ACOS(1-2*(MIN(0.999,MAX(1E-6,A84/$B$7)))))-SIN(2*ACOS(1-2*(MIN(0.999,MAX(1E-6,A84/$B$7)))))))/(($B$7/2)*(2*ACOS(1-2*(MIN(0.999,MAX(1E-6,A84/$B$7))))))))^(2/3))*SQRT($B$11)),IF((A84-$B$12+$B$11*$B$8)&lt;=0,0,(PI()*($B$7/2)^2)*SQRT((A84-$B$12+$B$11*$B$8)/((1+$B$21)/(2*9.81)+($B$6^2)*$B$8/(($B$7/4)^(4/3))))))</f>
        <v/>
      </c>
      <c r="E84" s="15">
        <f>MIN(C84,D84)</f>
        <v/>
      </c>
      <c r="F84" s="4">
        <f>IF(A84&lt;=0,"—",IF(C84&lt;=D84,"inlet","outlet"))</f>
        <v/>
      </c>
    </row>
  </sheetData>
  <mergeCells count="1">
    <mergeCell ref="A2:G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>
      <c r="A1" s="23" t="inlineStr">
        <is>
          <t>Méthode B — routage avec Qout = f(H) depuis Courbe_QH_900 (FHWA)</t>
        </is>
      </c>
    </row>
    <row r="2">
      <c r="A2" s="39" t="inlineStr">
        <is>
          <t>H = V / Aire_constante (Parametres!B24) — raccourci, PAS le levé Stage_Storage. Qout interpolé sur Courbe_QH_900!E (Q gouvernant). Si V≈0, Qout = MIN(Qin, Q_plein). ΔV = (Qin_moy - Qout)*Δt. Après routage, WSEmax_B réel est lu sur Stage_Storage via Vmax_B (Parametres B45).</t>
        </is>
      </c>
    </row>
    <row r="3"/>
    <row r="5">
      <c r="A5" t="inlineStr">
        <is>
          <t>Aire (m²)</t>
        </is>
      </c>
      <c r="B5" s="40">
        <f>Parametres!B24</f>
        <v/>
      </c>
    </row>
    <row r="6">
      <c r="A6" t="inlineStr">
        <is>
          <t>Q_plein réf. (m³/s)</t>
        </is>
      </c>
      <c r="B6" s="40">
        <f>Parametres!B22</f>
        <v/>
      </c>
    </row>
    <row r="7">
      <c r="A7" t="inlineStr">
        <is>
          <t>Vmax_B (m³)</t>
        </is>
      </c>
      <c r="B7" s="30">
        <f>MAX(G12:G24)</f>
        <v/>
      </c>
    </row>
    <row r="8">
      <c r="A8" t="inlineStr">
        <is>
          <t>Hmax_B (m)</t>
        </is>
      </c>
      <c r="B8" s="21">
        <f>IF(B5&gt;0,B7/B5,0)</f>
        <v/>
      </c>
    </row>
    <row r="11">
      <c r="A11" s="3" t="inlineStr">
        <is>
          <t>t (min)</t>
        </is>
      </c>
      <c r="B11" s="3" t="inlineStr">
        <is>
          <t>Qin</t>
        </is>
      </c>
      <c r="C11" s="3" t="inlineStr">
        <is>
          <t>H (m)</t>
        </is>
      </c>
      <c r="D11" s="3" t="inlineStr">
        <is>
          <t>Q_courbe</t>
        </is>
      </c>
      <c r="E11" s="3" t="inlineStr">
        <is>
          <t>Qout</t>
        </is>
      </c>
      <c r="F11" s="3" t="inlineStr">
        <is>
          <t>Δt (s)</t>
        </is>
      </c>
      <c r="G11" s="3" t="inlineStr">
        <is>
          <t>V (m³)</t>
        </is>
      </c>
    </row>
    <row r="12">
      <c r="A12" s="4">
        <f>Hydrogramme!A8</f>
        <v/>
      </c>
      <c r="B12" s="5">
        <f>Hydrogramme!C8</f>
        <v/>
      </c>
      <c r="C12" s="5" t="n">
        <v>0</v>
      </c>
      <c r="D12" s="5" t="n">
        <v>0</v>
      </c>
      <c r="E12" s="5">
        <f>MIN(B12,$B$6)</f>
        <v/>
      </c>
      <c r="F12" s="25" t="n">
        <v>0</v>
      </c>
      <c r="G12" s="33" t="n">
        <v>0</v>
      </c>
    </row>
    <row r="13">
      <c r="A13" s="4">
        <f>Hydrogramme!A9</f>
        <v/>
      </c>
      <c r="B13" s="5">
        <f>Hydrogramme!C9</f>
        <v/>
      </c>
      <c r="C13" s="5">
        <f>IF($B$5&gt;0,G12/$B$5,0)</f>
        <v/>
      </c>
      <c r="D13" s="5">
        <f>IF(C13&lt;=0,0,IF(C13&gt;=INDEX(Courbe_QH_900!$A$24:$A$84,ROWS(Courbe_QH_900!$A$24:$A$84)),INDEX(Courbe_QH_900!$E$24:$E$84,ROWS(Courbe_QH_900!$E$24:$E$84)),INDEX(Courbe_QH_900!$E$24:$E$84,MATCH(C13,Courbe_QH_900!$A$24:$A$84,1))+(C13-INDEX(Courbe_QH_900!$A$24:$A$84,MATCH(C13,Courbe_QH_900!$A$24:$A$84,1)))/(INDEX(Courbe_QH_900!$A$24:$A$84,MATCH(C13,Courbe_QH_900!$A$24:$A$84,1)+1)-INDEX(Courbe_QH_900!$A$24:$A$84,MATCH(C13,Courbe_QH_900!$A$24:$A$84,1)))*(INDEX(Courbe_QH_900!$E$24:$E$84,MATCH(C13,Courbe_QH_900!$A$24:$A$84,1)+1)-INDEX(Courbe_QH_900!$E$24:$E$84,MATCH(C13,Courbe_QH_900!$A$24:$A$84,1)))))</f>
        <v/>
      </c>
      <c r="E13" s="5">
        <f>IF(G12&lt;=0.01,MIN(0.5*(B12+B13),$B$6),D13)</f>
        <v/>
      </c>
      <c r="F13" s="25">
        <f>(A13-A12)*60</f>
        <v/>
      </c>
      <c r="G13" s="33">
        <f>MAX(0,G12+(0.5*(B12+B13)-E13)*F13)</f>
        <v/>
      </c>
    </row>
    <row r="14">
      <c r="A14" s="4">
        <f>Hydrogramme!A10</f>
        <v/>
      </c>
      <c r="B14" s="5">
        <f>Hydrogramme!C10</f>
        <v/>
      </c>
      <c r="C14" s="5">
        <f>IF($B$5&gt;0,G13/$B$5,0)</f>
        <v/>
      </c>
      <c r="D14" s="5">
        <f>IF(C14&lt;=0,0,IF(C14&gt;=INDEX(Courbe_QH_900!$A$24:$A$84,ROWS(Courbe_QH_900!$A$24:$A$84)),INDEX(Courbe_QH_900!$E$24:$E$84,ROWS(Courbe_QH_900!$E$24:$E$84)),INDEX(Courbe_QH_900!$E$24:$E$84,MATCH(C14,Courbe_QH_900!$A$24:$A$84,1))+(C14-INDEX(Courbe_QH_900!$A$24:$A$84,MATCH(C14,Courbe_QH_900!$A$24:$A$84,1)))/(INDEX(Courbe_QH_900!$A$24:$A$84,MATCH(C14,Courbe_QH_900!$A$24:$A$84,1)+1)-INDEX(Courbe_QH_900!$A$24:$A$84,MATCH(C14,Courbe_QH_900!$A$24:$A$84,1)))*(INDEX(Courbe_QH_900!$E$24:$E$84,MATCH(C14,Courbe_QH_900!$A$24:$A$84,1)+1)-INDEX(Courbe_QH_900!$E$24:$E$84,MATCH(C14,Courbe_QH_900!$A$24:$A$84,1)))))</f>
        <v/>
      </c>
      <c r="E14" s="5">
        <f>IF(G13&lt;=0.01,MIN(0.5*(B13+B14),$B$6),D14)</f>
        <v/>
      </c>
      <c r="F14" s="25">
        <f>(A14-A13)*60</f>
        <v/>
      </c>
      <c r="G14" s="33">
        <f>MAX(0,G13+(0.5*(B13+B14)-E14)*F14)</f>
        <v/>
      </c>
    </row>
    <row r="15">
      <c r="A15" s="4">
        <f>Hydrogramme!A11</f>
        <v/>
      </c>
      <c r="B15" s="5">
        <f>Hydrogramme!C11</f>
        <v/>
      </c>
      <c r="C15" s="5">
        <f>IF($B$5&gt;0,G14/$B$5,0)</f>
        <v/>
      </c>
      <c r="D15" s="5">
        <f>IF(C15&lt;=0,0,IF(C15&gt;=INDEX(Courbe_QH_900!$A$24:$A$84,ROWS(Courbe_QH_900!$A$24:$A$84)),INDEX(Courbe_QH_900!$E$24:$E$84,ROWS(Courbe_QH_900!$E$24:$E$84)),INDEX(Courbe_QH_900!$E$24:$E$84,MATCH(C15,Courbe_QH_900!$A$24:$A$84,1))+(C15-INDEX(Courbe_QH_900!$A$24:$A$84,MATCH(C15,Courbe_QH_900!$A$24:$A$84,1)))/(INDEX(Courbe_QH_900!$A$24:$A$84,MATCH(C15,Courbe_QH_900!$A$24:$A$84,1)+1)-INDEX(Courbe_QH_900!$A$24:$A$84,MATCH(C15,Courbe_QH_900!$A$24:$A$84,1)))*(INDEX(Courbe_QH_900!$E$24:$E$84,MATCH(C15,Courbe_QH_900!$A$24:$A$84,1)+1)-INDEX(Courbe_QH_900!$E$24:$E$84,MATCH(C15,Courbe_QH_900!$A$24:$A$84,1)))))</f>
        <v/>
      </c>
      <c r="E15" s="5">
        <f>IF(G14&lt;=0.01,MIN(0.5*(B14+B15),$B$6),D15)</f>
        <v/>
      </c>
      <c r="F15" s="25">
        <f>(A15-A14)*60</f>
        <v/>
      </c>
      <c r="G15" s="33">
        <f>MAX(0,G14+(0.5*(B14+B15)-E15)*F15)</f>
        <v/>
      </c>
    </row>
    <row r="16">
      <c r="A16" s="4">
        <f>Hydrogramme!A12</f>
        <v/>
      </c>
      <c r="B16" s="5">
        <f>Hydrogramme!C12</f>
        <v/>
      </c>
      <c r="C16" s="5">
        <f>IF($B$5&gt;0,G15/$B$5,0)</f>
        <v/>
      </c>
      <c r="D16" s="5">
        <f>IF(C16&lt;=0,0,IF(C16&gt;=INDEX(Courbe_QH_900!$A$24:$A$84,ROWS(Courbe_QH_900!$A$24:$A$84)),INDEX(Courbe_QH_900!$E$24:$E$84,ROWS(Courbe_QH_900!$E$24:$E$84)),INDEX(Courbe_QH_900!$E$24:$E$84,MATCH(C16,Courbe_QH_900!$A$24:$A$84,1))+(C16-INDEX(Courbe_QH_900!$A$24:$A$84,MATCH(C16,Courbe_QH_900!$A$24:$A$84,1)))/(INDEX(Courbe_QH_900!$A$24:$A$84,MATCH(C16,Courbe_QH_900!$A$24:$A$84,1)+1)-INDEX(Courbe_QH_900!$A$24:$A$84,MATCH(C16,Courbe_QH_900!$A$24:$A$84,1)))*(INDEX(Courbe_QH_900!$E$24:$E$84,MATCH(C16,Courbe_QH_900!$A$24:$A$84,1)+1)-INDEX(Courbe_QH_900!$E$24:$E$84,MATCH(C16,Courbe_QH_900!$A$24:$A$84,1)))))</f>
        <v/>
      </c>
      <c r="E16" s="5">
        <f>IF(G15&lt;=0.01,MIN(0.5*(B15+B16),$B$6),D16)</f>
        <v/>
      </c>
      <c r="F16" s="25">
        <f>(A16-A15)*60</f>
        <v/>
      </c>
      <c r="G16" s="33">
        <f>MAX(0,G15+(0.5*(B15+B16)-E16)*F16)</f>
        <v/>
      </c>
    </row>
    <row r="17">
      <c r="A17" s="4">
        <f>Hydrogramme!A13</f>
        <v/>
      </c>
      <c r="B17" s="5">
        <f>Hydrogramme!C13</f>
        <v/>
      </c>
      <c r="C17" s="5">
        <f>IF($B$5&gt;0,G16/$B$5,0)</f>
        <v/>
      </c>
      <c r="D17" s="5">
        <f>IF(C17&lt;=0,0,IF(C17&gt;=INDEX(Courbe_QH_900!$A$24:$A$84,ROWS(Courbe_QH_900!$A$24:$A$84)),INDEX(Courbe_QH_900!$E$24:$E$84,ROWS(Courbe_QH_900!$E$24:$E$84)),INDEX(Courbe_QH_900!$E$24:$E$84,MATCH(C17,Courbe_QH_900!$A$24:$A$84,1))+(C17-INDEX(Courbe_QH_900!$A$24:$A$84,MATCH(C17,Courbe_QH_900!$A$24:$A$84,1)))/(INDEX(Courbe_QH_900!$A$24:$A$84,MATCH(C17,Courbe_QH_900!$A$24:$A$84,1)+1)-INDEX(Courbe_QH_900!$A$24:$A$84,MATCH(C17,Courbe_QH_900!$A$24:$A$84,1)))*(INDEX(Courbe_QH_900!$E$24:$E$84,MATCH(C17,Courbe_QH_900!$A$24:$A$84,1)+1)-INDEX(Courbe_QH_900!$E$24:$E$84,MATCH(C17,Courbe_QH_900!$A$24:$A$84,1)))))</f>
        <v/>
      </c>
      <c r="E17" s="5">
        <f>IF(G16&lt;=0.01,MIN(0.5*(B16+B17),$B$6),D17)</f>
        <v/>
      </c>
      <c r="F17" s="25">
        <f>(A17-A16)*60</f>
        <v/>
      </c>
      <c r="G17" s="33">
        <f>MAX(0,G16+(0.5*(B16+B17)-E17)*F17)</f>
        <v/>
      </c>
    </row>
    <row r="18">
      <c r="A18" s="4">
        <f>Hydrogramme!A14</f>
        <v/>
      </c>
      <c r="B18" s="5">
        <f>Hydrogramme!C14</f>
        <v/>
      </c>
      <c r="C18" s="5">
        <f>IF($B$5&gt;0,G17/$B$5,0)</f>
        <v/>
      </c>
      <c r="D18" s="5">
        <f>IF(C18&lt;=0,0,IF(C18&gt;=INDEX(Courbe_QH_900!$A$24:$A$84,ROWS(Courbe_QH_900!$A$24:$A$84)),INDEX(Courbe_QH_900!$E$24:$E$84,ROWS(Courbe_QH_900!$E$24:$E$84)),INDEX(Courbe_QH_900!$E$24:$E$84,MATCH(C18,Courbe_QH_900!$A$24:$A$84,1))+(C18-INDEX(Courbe_QH_900!$A$24:$A$84,MATCH(C18,Courbe_QH_900!$A$24:$A$84,1)))/(INDEX(Courbe_QH_900!$A$24:$A$84,MATCH(C18,Courbe_QH_900!$A$24:$A$84,1)+1)-INDEX(Courbe_QH_900!$A$24:$A$84,MATCH(C18,Courbe_QH_900!$A$24:$A$84,1)))*(INDEX(Courbe_QH_900!$E$24:$E$84,MATCH(C18,Courbe_QH_900!$A$24:$A$84,1)+1)-INDEX(Courbe_QH_900!$E$24:$E$84,MATCH(C18,Courbe_QH_900!$A$24:$A$84,1)))))</f>
        <v/>
      </c>
      <c r="E18" s="5">
        <f>IF(G17&lt;=0.01,MIN(0.5*(B17+B18),$B$6),D18)</f>
        <v/>
      </c>
      <c r="F18" s="25">
        <f>(A18-A17)*60</f>
        <v/>
      </c>
      <c r="G18" s="33">
        <f>MAX(0,G17+(0.5*(B17+B18)-E18)*F18)</f>
        <v/>
      </c>
    </row>
    <row r="19">
      <c r="A19" s="4">
        <f>Hydrogramme!A15</f>
        <v/>
      </c>
      <c r="B19" s="5">
        <f>Hydrogramme!C15</f>
        <v/>
      </c>
      <c r="C19" s="5">
        <f>IF($B$5&gt;0,G18/$B$5,0)</f>
        <v/>
      </c>
      <c r="D19" s="5">
        <f>IF(C19&lt;=0,0,IF(C19&gt;=INDEX(Courbe_QH_900!$A$24:$A$84,ROWS(Courbe_QH_900!$A$24:$A$84)),INDEX(Courbe_QH_900!$E$24:$E$84,ROWS(Courbe_QH_900!$E$24:$E$84)),INDEX(Courbe_QH_900!$E$24:$E$84,MATCH(C19,Courbe_QH_900!$A$24:$A$84,1))+(C19-INDEX(Courbe_QH_900!$A$24:$A$84,MATCH(C19,Courbe_QH_900!$A$24:$A$84,1)))/(INDEX(Courbe_QH_900!$A$24:$A$84,MATCH(C19,Courbe_QH_900!$A$24:$A$84,1)+1)-INDEX(Courbe_QH_900!$A$24:$A$84,MATCH(C19,Courbe_QH_900!$A$24:$A$84,1)))*(INDEX(Courbe_QH_900!$E$24:$E$84,MATCH(C19,Courbe_QH_900!$A$24:$A$84,1)+1)-INDEX(Courbe_QH_900!$E$24:$E$84,MATCH(C19,Courbe_QH_900!$A$24:$A$84,1)))))</f>
        <v/>
      </c>
      <c r="E19" s="5">
        <f>IF(G18&lt;=0.01,MIN(0.5*(B18+B19),$B$6),D19)</f>
        <v/>
      </c>
      <c r="F19" s="25">
        <f>(A19-A18)*60</f>
        <v/>
      </c>
      <c r="G19" s="33">
        <f>MAX(0,G18+(0.5*(B18+B19)-E19)*F19)</f>
        <v/>
      </c>
    </row>
    <row r="20">
      <c r="A20" s="4">
        <f>Hydrogramme!A16</f>
        <v/>
      </c>
      <c r="B20" s="5">
        <f>Hydrogramme!C16</f>
        <v/>
      </c>
      <c r="C20" s="5">
        <f>IF($B$5&gt;0,G19/$B$5,0)</f>
        <v/>
      </c>
      <c r="D20" s="5">
        <f>IF(C20&lt;=0,0,IF(C20&gt;=INDEX(Courbe_QH_900!$A$24:$A$84,ROWS(Courbe_QH_900!$A$24:$A$84)),INDEX(Courbe_QH_900!$E$24:$E$84,ROWS(Courbe_QH_900!$E$24:$E$84)),INDEX(Courbe_QH_900!$E$24:$E$84,MATCH(C20,Courbe_QH_900!$A$24:$A$84,1))+(C20-INDEX(Courbe_QH_900!$A$24:$A$84,MATCH(C20,Courbe_QH_900!$A$24:$A$84,1)))/(INDEX(Courbe_QH_900!$A$24:$A$84,MATCH(C20,Courbe_QH_900!$A$24:$A$84,1)+1)-INDEX(Courbe_QH_900!$A$24:$A$84,MATCH(C20,Courbe_QH_900!$A$24:$A$84,1)))*(INDEX(Courbe_QH_900!$E$24:$E$84,MATCH(C20,Courbe_QH_900!$A$24:$A$84,1)+1)-INDEX(Courbe_QH_900!$E$24:$E$84,MATCH(C20,Courbe_QH_900!$A$24:$A$84,1)))))</f>
        <v/>
      </c>
      <c r="E20" s="5">
        <f>IF(G19&lt;=0.01,MIN(0.5*(B19+B20),$B$6),D20)</f>
        <v/>
      </c>
      <c r="F20" s="25">
        <f>(A20-A19)*60</f>
        <v/>
      </c>
      <c r="G20" s="33">
        <f>MAX(0,G19+(0.5*(B19+B20)-E20)*F20)</f>
        <v/>
      </c>
    </row>
    <row r="21">
      <c r="A21" s="4">
        <f>Hydrogramme!A17</f>
        <v/>
      </c>
      <c r="B21" s="5">
        <f>Hydrogramme!C17</f>
        <v/>
      </c>
      <c r="C21" s="5">
        <f>IF($B$5&gt;0,G20/$B$5,0)</f>
        <v/>
      </c>
      <c r="D21" s="5">
        <f>IF(C21&lt;=0,0,IF(C21&gt;=INDEX(Courbe_QH_900!$A$24:$A$84,ROWS(Courbe_QH_900!$A$24:$A$84)),INDEX(Courbe_QH_900!$E$24:$E$84,ROWS(Courbe_QH_900!$E$24:$E$84)),INDEX(Courbe_QH_900!$E$24:$E$84,MATCH(C21,Courbe_QH_900!$A$24:$A$84,1))+(C21-INDEX(Courbe_QH_900!$A$24:$A$84,MATCH(C21,Courbe_QH_900!$A$24:$A$84,1)))/(INDEX(Courbe_QH_900!$A$24:$A$84,MATCH(C21,Courbe_QH_900!$A$24:$A$84,1)+1)-INDEX(Courbe_QH_900!$A$24:$A$84,MATCH(C21,Courbe_QH_900!$A$24:$A$84,1)))*(INDEX(Courbe_QH_900!$E$24:$E$84,MATCH(C21,Courbe_QH_900!$A$24:$A$84,1)+1)-INDEX(Courbe_QH_900!$E$24:$E$84,MATCH(C21,Courbe_QH_900!$A$24:$A$84,1)))))</f>
        <v/>
      </c>
      <c r="E21" s="5">
        <f>IF(G20&lt;=0.01,MIN(0.5*(B20+B21),$B$6),D21)</f>
        <v/>
      </c>
      <c r="F21" s="25">
        <f>(A21-A20)*60</f>
        <v/>
      </c>
      <c r="G21" s="33">
        <f>MAX(0,G20+(0.5*(B20+B21)-E21)*F21)</f>
        <v/>
      </c>
    </row>
    <row r="22">
      <c r="A22" s="4">
        <f>Hydrogramme!A18</f>
        <v/>
      </c>
      <c r="B22" s="5">
        <f>Hydrogramme!C18</f>
        <v/>
      </c>
      <c r="C22" s="5">
        <f>IF($B$5&gt;0,G21/$B$5,0)</f>
        <v/>
      </c>
      <c r="D22" s="5">
        <f>IF(C22&lt;=0,0,IF(C22&gt;=INDEX(Courbe_QH_900!$A$24:$A$84,ROWS(Courbe_QH_900!$A$24:$A$84)),INDEX(Courbe_QH_900!$E$24:$E$84,ROWS(Courbe_QH_900!$E$24:$E$84)),INDEX(Courbe_QH_900!$E$24:$E$84,MATCH(C22,Courbe_QH_900!$A$24:$A$84,1))+(C22-INDEX(Courbe_QH_900!$A$24:$A$84,MATCH(C22,Courbe_QH_900!$A$24:$A$84,1)))/(INDEX(Courbe_QH_900!$A$24:$A$84,MATCH(C22,Courbe_QH_900!$A$24:$A$84,1)+1)-INDEX(Courbe_QH_900!$A$24:$A$84,MATCH(C22,Courbe_QH_900!$A$24:$A$84,1)))*(INDEX(Courbe_QH_900!$E$24:$E$84,MATCH(C22,Courbe_QH_900!$A$24:$A$84,1)+1)-INDEX(Courbe_QH_900!$E$24:$E$84,MATCH(C22,Courbe_QH_900!$A$24:$A$84,1)))))</f>
        <v/>
      </c>
      <c r="E22" s="5">
        <f>IF(G21&lt;=0.01,MIN(0.5*(B21+B22),$B$6),D22)</f>
        <v/>
      </c>
      <c r="F22" s="25">
        <f>(A22-A21)*60</f>
        <v/>
      </c>
      <c r="G22" s="33">
        <f>MAX(0,G21+(0.5*(B21+B22)-E22)*F22)</f>
        <v/>
      </c>
    </row>
    <row r="23">
      <c r="A23" s="4">
        <f>Hydrogramme!A19</f>
        <v/>
      </c>
      <c r="B23" s="5">
        <f>Hydrogramme!C19</f>
        <v/>
      </c>
      <c r="C23" s="5">
        <f>IF($B$5&gt;0,G22/$B$5,0)</f>
        <v/>
      </c>
      <c r="D23" s="5">
        <f>IF(C23&lt;=0,0,IF(C23&gt;=INDEX(Courbe_QH_900!$A$24:$A$84,ROWS(Courbe_QH_900!$A$24:$A$84)),INDEX(Courbe_QH_900!$E$24:$E$84,ROWS(Courbe_QH_900!$E$24:$E$84)),INDEX(Courbe_QH_900!$E$24:$E$84,MATCH(C23,Courbe_QH_900!$A$24:$A$84,1))+(C23-INDEX(Courbe_QH_900!$A$24:$A$84,MATCH(C23,Courbe_QH_900!$A$24:$A$84,1)))/(INDEX(Courbe_QH_900!$A$24:$A$84,MATCH(C23,Courbe_QH_900!$A$24:$A$84,1)+1)-INDEX(Courbe_QH_900!$A$24:$A$84,MATCH(C23,Courbe_QH_900!$A$24:$A$84,1)))*(INDEX(Courbe_QH_900!$E$24:$E$84,MATCH(C23,Courbe_QH_900!$A$24:$A$84,1)+1)-INDEX(Courbe_QH_900!$E$24:$E$84,MATCH(C23,Courbe_QH_900!$A$24:$A$84,1)))))</f>
        <v/>
      </c>
      <c r="E23" s="5">
        <f>IF(G22&lt;=0.01,MIN(0.5*(B22+B23),$B$6),D23)</f>
        <v/>
      </c>
      <c r="F23" s="25">
        <f>(A23-A22)*60</f>
        <v/>
      </c>
      <c r="G23" s="33">
        <f>MAX(0,G22+(0.5*(B22+B23)-E23)*F23)</f>
        <v/>
      </c>
    </row>
    <row r="24">
      <c r="A24" s="4">
        <f>Hydrogramme!A20</f>
        <v/>
      </c>
      <c r="B24" s="5">
        <f>Hydrogramme!C20</f>
        <v/>
      </c>
      <c r="C24" s="5">
        <f>IF($B$5&gt;0,G23/$B$5,0)</f>
        <v/>
      </c>
      <c r="D24" s="5">
        <f>IF(C24&lt;=0,0,IF(C24&gt;=INDEX(Courbe_QH_900!$A$24:$A$84,ROWS(Courbe_QH_900!$A$24:$A$84)),INDEX(Courbe_QH_900!$E$24:$E$84,ROWS(Courbe_QH_900!$E$24:$E$84)),INDEX(Courbe_QH_900!$E$24:$E$84,MATCH(C24,Courbe_QH_900!$A$24:$A$84,1))+(C24-INDEX(Courbe_QH_900!$A$24:$A$84,MATCH(C24,Courbe_QH_900!$A$24:$A$84,1)))/(INDEX(Courbe_QH_900!$A$24:$A$84,MATCH(C24,Courbe_QH_900!$A$24:$A$84,1)+1)-INDEX(Courbe_QH_900!$A$24:$A$84,MATCH(C24,Courbe_QH_900!$A$24:$A$84,1)))*(INDEX(Courbe_QH_900!$E$24:$E$84,MATCH(C24,Courbe_QH_900!$A$24:$A$84,1)+1)-INDEX(Courbe_QH_900!$E$24:$E$84,MATCH(C24,Courbe_QH_900!$A$24:$A$84,1)))))</f>
        <v/>
      </c>
      <c r="E24" s="5">
        <f>IF(G23&lt;=0.01,MIN(0.5*(B23+B24),$B$6),D24)</f>
        <v/>
      </c>
      <c r="F24" s="25">
        <f>(A24-A23)*60</f>
        <v/>
      </c>
      <c r="G24" s="33">
        <f>MAX(0,G23+(0.5*(B23+B24)-E24)*F24)</f>
        <v/>
      </c>
    </row>
  </sheetData>
  <mergeCells count="1">
    <mergeCell ref="A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>
      <c r="A1" s="23" t="inlineStr">
        <is>
          <t>Méthode C — courbe composée Ø900 + fossé trapèze (crest = crown)</t>
        </is>
      </c>
    </row>
    <row r="2">
      <c r="A2" s="10" t="inlineStr">
        <is>
          <t>Qout = Q_900(WSE) + Q_overflow(WSE). V_total = V_pond(Stage_Storage) + V_ditch. Overflow: trapèze au-dessus du crown, Manning. Paramètres jaunes = Parametres!B27–B32.</t>
        </is>
      </c>
    </row>
    <row r="3"/>
    <row r="5">
      <c r="A5" s="2" t="inlineStr">
        <is>
          <t>Paramètres (liés à Parametres)</t>
        </is>
      </c>
    </row>
    <row r="6">
      <c r="A6" t="inlineStr">
        <is>
          <t>Crest (m)</t>
        </is>
      </c>
      <c r="B6" s="12">
        <f>Parametres!B27</f>
        <v/>
      </c>
    </row>
    <row r="7">
      <c r="A7" t="inlineStr">
        <is>
          <t>b (m)</t>
        </is>
      </c>
      <c r="B7" s="12">
        <f>Parametres!B28</f>
        <v/>
      </c>
    </row>
    <row r="8">
      <c r="A8" t="inlineStr">
        <is>
          <t>n fossé</t>
        </is>
      </c>
      <c r="B8" s="11">
        <f>Parametres!B29</f>
        <v/>
      </c>
    </row>
    <row r="9">
      <c r="A9" t="inlineStr">
        <is>
          <t>z (-)</t>
        </is>
      </c>
      <c r="B9" s="18">
        <f>Parametres!B30</f>
        <v/>
      </c>
    </row>
    <row r="10">
      <c r="A10" t="inlineStr">
        <is>
          <t>S fossé</t>
        </is>
      </c>
      <c r="B10" s="11">
        <f>Parametres!B31</f>
        <v/>
      </c>
    </row>
    <row r="11">
      <c r="A11" t="inlineStr">
        <is>
          <t>L fossé (m)</t>
        </is>
      </c>
      <c r="B11" s="18">
        <f>Parametres!B32</f>
        <v/>
      </c>
    </row>
    <row r="12">
      <c r="A12" t="inlineStr">
        <is>
          <t>Zin Ø900 (m)</t>
        </is>
      </c>
      <c r="B12" s="12">
        <f>34.88</f>
        <v/>
      </c>
    </row>
    <row r="14">
      <c r="A14" s="3" t="inlineStr">
        <is>
          <t>WSE (m)</t>
        </is>
      </c>
      <c r="B14" s="3" t="inlineStr">
        <is>
          <t>HW (m)</t>
        </is>
      </c>
      <c r="C14" s="3" t="inlineStr">
        <is>
          <t>y_ov (m)</t>
        </is>
      </c>
      <c r="D14" s="3" t="inlineStr">
        <is>
          <t>A_ditch (m²)</t>
        </is>
      </c>
      <c r="E14" s="3" t="inlineStr">
        <is>
          <t>V_ditch (m³)</t>
        </is>
      </c>
      <c r="F14" s="3" t="inlineStr">
        <is>
          <t>V_pond (m³)</t>
        </is>
      </c>
      <c r="G14" s="3" t="inlineStr">
        <is>
          <t>V_total (m³)</t>
        </is>
      </c>
      <c r="H14" s="3" t="inlineStr">
        <is>
          <t>Q_900</t>
        </is>
      </c>
      <c r="I14" s="3" t="inlineStr">
        <is>
          <t>Q_overflow</t>
        </is>
      </c>
      <c r="J14" s="3" t="inlineStr">
        <is>
          <t>Qout</t>
        </is>
      </c>
      <c r="K14" s="3" t="inlineStr">
        <is>
          <t>Overflow?</t>
        </is>
      </c>
    </row>
    <row r="15">
      <c r="A15" s="31" t="n">
        <v>34.88</v>
      </c>
      <c r="B15" s="31">
        <f>A15-$B$12</f>
        <v/>
      </c>
      <c r="C15" s="31">
        <f>MAX(0,A15-$B$6)</f>
        <v/>
      </c>
      <c r="D15" s="5">
        <f>IF(C15&lt;=0,0,($B$7+$B$9*C15)*C15)</f>
        <v/>
      </c>
      <c r="E15" s="25">
        <f>D15*$B$11</f>
        <v/>
      </c>
      <c r="F15" s="25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33">
        <f>E15+F15</f>
        <v/>
      </c>
      <c r="H15" s="5">
        <f>IF(B15&lt;=0,0,IF(B15&gt;=INDEX(Courbe_QH_900!$A$24:$A$84,ROWS(Courbe_QH_900!$A$24:$A$84)),INDEX(Courbe_QH_900!$E$24:$E$84,ROWS(Courbe_QH_900!$E$24:$E$84)),INDEX(Courbe_QH_900!$E$24:$E$84,MATCH(B15,Courbe_QH_900!$A$24:$A$84,1))+(B15-INDEX(Courbe_QH_900!$A$24:$A$84,MATCH(B15,Courbe_QH_900!$A$24:$A$84,1)))/(INDEX(Courbe_QH_900!$A$24:$A$84,MATCH(B15,Courbe_QH_900!$A$24:$A$84,1)+1)-INDEX(Courbe_QH_900!$A$24:$A$84,MATCH(B15,Courbe_QH_900!$A$24:$A$84,1)))*(INDEX(Courbe_QH_900!$E$24:$E$84,MATCH(B15,Courbe_QH_900!$A$24:$A$84,1)+1)-INDEX(Courbe_QH_900!$E$24:$E$84,MATCH(B15,Courbe_QH_900!$A$24:$A$84,1)))))</f>
        <v/>
      </c>
      <c r="I15" s="5">
        <f>IF(C15&lt;=0,0,IF($B$8&lt;=0,0,(1/$B$8)*D15*IF(($B$7+2*C15*SQRT(1+$B$9^2))&lt;=0,0,((D15/($B$7+2*C15*SQRT(1+$B$9^2)))^(2/3)))*SQRT($B$10)))</f>
        <v/>
      </c>
      <c r="J15" s="15">
        <f>H15+I15</f>
        <v/>
      </c>
      <c r="K15" s="4">
        <f>IF(C15&gt;0,"oui","non")</f>
        <v/>
      </c>
    </row>
    <row r="16">
      <c r="A16" s="31" t="n">
        <v>34.93</v>
      </c>
      <c r="B16" s="31">
        <f>A16-$B$12</f>
        <v/>
      </c>
      <c r="C16" s="31">
        <f>MAX(0,A16-$B$6)</f>
        <v/>
      </c>
      <c r="D16" s="5">
        <f>IF(C16&lt;=0,0,($B$7+$B$9*C16)*C16)</f>
        <v/>
      </c>
      <c r="E16" s="25">
        <f>D16*$B$11</f>
        <v/>
      </c>
      <c r="F16" s="25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33">
        <f>E16+F16</f>
        <v/>
      </c>
      <c r="H16" s="5">
        <f>IF(B16&lt;=0,0,IF(B16&gt;=INDEX(Courbe_QH_900!$A$24:$A$84,ROWS(Courbe_QH_900!$A$24:$A$84)),INDEX(Courbe_QH_900!$E$24:$E$84,ROWS(Courbe_QH_900!$E$24:$E$84)),INDEX(Courbe_QH_900!$E$24:$E$84,MATCH(B16,Courbe_QH_900!$A$24:$A$84,1))+(B16-INDEX(Courbe_QH_900!$A$24:$A$84,MATCH(B16,Courbe_QH_900!$A$24:$A$84,1)))/(INDEX(Courbe_QH_900!$A$24:$A$84,MATCH(B16,Courbe_QH_900!$A$24:$A$84,1)+1)-INDEX(Courbe_QH_900!$A$24:$A$84,MATCH(B16,Courbe_QH_900!$A$24:$A$84,1)))*(INDEX(Courbe_QH_900!$E$24:$E$84,MATCH(B16,Courbe_QH_900!$A$24:$A$84,1)+1)-INDEX(Courbe_QH_900!$E$24:$E$84,MATCH(B16,Courbe_QH_900!$A$24:$A$84,1)))))</f>
        <v/>
      </c>
      <c r="I16" s="5">
        <f>IF(C16&lt;=0,0,IF($B$8&lt;=0,0,(1/$B$8)*D16*IF(($B$7+2*C16*SQRT(1+$B$9^2))&lt;=0,0,((D16/($B$7+2*C16*SQRT(1+$B$9^2)))^(2/3)))*SQRT($B$10)))</f>
        <v/>
      </c>
      <c r="J16" s="15">
        <f>H16+I16</f>
        <v/>
      </c>
      <c r="K16" s="4">
        <f>IF(C16&gt;0,"oui","non")</f>
        <v/>
      </c>
    </row>
    <row r="17">
      <c r="A17" s="31" t="n">
        <v>34.98</v>
      </c>
      <c r="B17" s="31">
        <f>A17-$B$12</f>
        <v/>
      </c>
      <c r="C17" s="31">
        <f>MAX(0,A17-$B$6)</f>
        <v/>
      </c>
      <c r="D17" s="5">
        <f>IF(C17&lt;=0,0,($B$7+$B$9*C17)*C17)</f>
        <v/>
      </c>
      <c r="E17" s="25">
        <f>D17*$B$11</f>
        <v/>
      </c>
      <c r="F17" s="25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33">
        <f>E17+F17</f>
        <v/>
      </c>
      <c r="H17" s="5">
        <f>IF(B17&lt;=0,0,IF(B17&gt;=INDEX(Courbe_QH_900!$A$24:$A$84,ROWS(Courbe_QH_900!$A$24:$A$84)),INDEX(Courbe_QH_900!$E$24:$E$84,ROWS(Courbe_QH_900!$E$24:$E$84)),INDEX(Courbe_QH_900!$E$24:$E$84,MATCH(B17,Courbe_QH_900!$A$24:$A$84,1))+(B17-INDEX(Courbe_QH_900!$A$24:$A$84,MATCH(B17,Courbe_QH_900!$A$24:$A$84,1)))/(INDEX(Courbe_QH_900!$A$24:$A$84,MATCH(B17,Courbe_QH_900!$A$24:$A$84,1)+1)-INDEX(Courbe_QH_900!$A$24:$A$84,MATCH(B17,Courbe_QH_900!$A$24:$A$84,1)))*(INDEX(Courbe_QH_900!$E$24:$E$84,MATCH(B17,Courbe_QH_900!$A$24:$A$84,1)+1)-INDEX(Courbe_QH_900!$E$24:$E$84,MATCH(B17,Courbe_QH_900!$A$24:$A$84,1)))))</f>
        <v/>
      </c>
      <c r="I17" s="5">
        <f>IF(C17&lt;=0,0,IF($B$8&lt;=0,0,(1/$B$8)*D17*IF(($B$7+2*C17*SQRT(1+$B$9^2))&lt;=0,0,((D17/($B$7+2*C17*SQRT(1+$B$9^2)))^(2/3)))*SQRT($B$10)))</f>
        <v/>
      </c>
      <c r="J17" s="15">
        <f>H17+I17</f>
        <v/>
      </c>
      <c r="K17" s="4">
        <f>IF(C17&gt;0,"oui","non")</f>
        <v/>
      </c>
    </row>
    <row r="18">
      <c r="A18" s="31" t="n">
        <v>35.03</v>
      </c>
      <c r="B18" s="31">
        <f>A18-$B$12</f>
        <v/>
      </c>
      <c r="C18" s="31">
        <f>MAX(0,A18-$B$6)</f>
        <v/>
      </c>
      <c r="D18" s="5">
        <f>IF(C18&lt;=0,0,($B$7+$B$9*C18)*C18)</f>
        <v/>
      </c>
      <c r="E18" s="25">
        <f>D18*$B$11</f>
        <v/>
      </c>
      <c r="F18" s="25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33">
        <f>E18+F18</f>
        <v/>
      </c>
      <c r="H18" s="5">
        <f>IF(B18&lt;=0,0,IF(B18&gt;=INDEX(Courbe_QH_900!$A$24:$A$84,ROWS(Courbe_QH_900!$A$24:$A$84)),INDEX(Courbe_QH_900!$E$24:$E$84,ROWS(Courbe_QH_900!$E$24:$E$84)),INDEX(Courbe_QH_900!$E$24:$E$84,MATCH(B18,Courbe_QH_900!$A$24:$A$84,1))+(B18-INDEX(Courbe_QH_900!$A$24:$A$84,MATCH(B18,Courbe_QH_900!$A$24:$A$84,1)))/(INDEX(Courbe_QH_900!$A$24:$A$84,MATCH(B18,Courbe_QH_900!$A$24:$A$84,1)+1)-INDEX(Courbe_QH_900!$A$24:$A$84,MATCH(B18,Courbe_QH_900!$A$24:$A$84,1)))*(INDEX(Courbe_QH_900!$E$24:$E$84,MATCH(B18,Courbe_QH_900!$A$24:$A$84,1)+1)-INDEX(Courbe_QH_900!$E$24:$E$84,MATCH(B18,Courbe_QH_900!$A$24:$A$84,1)))))</f>
        <v/>
      </c>
      <c r="I18" s="5">
        <f>IF(C18&lt;=0,0,IF($B$8&lt;=0,0,(1/$B$8)*D18*IF(($B$7+2*C18*SQRT(1+$B$9^2))&lt;=0,0,((D18/($B$7+2*C18*SQRT(1+$B$9^2)))^(2/3)))*SQRT($B$10)))</f>
        <v/>
      </c>
      <c r="J18" s="15">
        <f>H18+I18</f>
        <v/>
      </c>
      <c r="K18" s="4">
        <f>IF(C18&gt;0,"oui","non")</f>
        <v/>
      </c>
    </row>
    <row r="19">
      <c r="A19" s="31" t="n">
        <v>35.08</v>
      </c>
      <c r="B19" s="31">
        <f>A19-$B$12</f>
        <v/>
      </c>
      <c r="C19" s="31">
        <f>MAX(0,A19-$B$6)</f>
        <v/>
      </c>
      <c r="D19" s="5">
        <f>IF(C19&lt;=0,0,($B$7+$B$9*C19)*C19)</f>
        <v/>
      </c>
      <c r="E19" s="25">
        <f>D19*$B$11</f>
        <v/>
      </c>
      <c r="F19" s="25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33">
        <f>E19+F19</f>
        <v/>
      </c>
      <c r="H19" s="5">
        <f>IF(B19&lt;=0,0,IF(B19&gt;=INDEX(Courbe_QH_900!$A$24:$A$84,ROWS(Courbe_QH_900!$A$24:$A$84)),INDEX(Courbe_QH_900!$E$24:$E$84,ROWS(Courbe_QH_900!$E$24:$E$84)),INDEX(Courbe_QH_900!$E$24:$E$84,MATCH(B19,Courbe_QH_900!$A$24:$A$84,1))+(B19-INDEX(Courbe_QH_900!$A$24:$A$84,MATCH(B19,Courbe_QH_900!$A$24:$A$84,1)))/(INDEX(Courbe_QH_900!$A$24:$A$84,MATCH(B19,Courbe_QH_900!$A$24:$A$84,1)+1)-INDEX(Courbe_QH_900!$A$24:$A$84,MATCH(B19,Courbe_QH_900!$A$24:$A$84,1)))*(INDEX(Courbe_QH_900!$E$24:$E$84,MATCH(B19,Courbe_QH_900!$A$24:$A$84,1)+1)-INDEX(Courbe_QH_900!$E$24:$E$84,MATCH(B19,Courbe_QH_900!$A$24:$A$84,1)))))</f>
        <v/>
      </c>
      <c r="I19" s="5">
        <f>IF(C19&lt;=0,0,IF($B$8&lt;=0,0,(1/$B$8)*D19*IF(($B$7+2*C19*SQRT(1+$B$9^2))&lt;=0,0,((D19/($B$7+2*C19*SQRT(1+$B$9^2)))^(2/3)))*SQRT($B$10)))</f>
        <v/>
      </c>
      <c r="J19" s="15">
        <f>H19+I19</f>
        <v/>
      </c>
      <c r="K19" s="4">
        <f>IF(C19&gt;0,"oui","non")</f>
        <v/>
      </c>
    </row>
    <row r="20">
      <c r="A20" s="31" t="n">
        <v>35.13</v>
      </c>
      <c r="B20" s="31">
        <f>A20-$B$12</f>
        <v/>
      </c>
      <c r="C20" s="31">
        <f>MAX(0,A20-$B$6)</f>
        <v/>
      </c>
      <c r="D20" s="5">
        <f>IF(C20&lt;=0,0,($B$7+$B$9*C20)*C20)</f>
        <v/>
      </c>
      <c r="E20" s="25">
        <f>D20*$B$11</f>
        <v/>
      </c>
      <c r="F20" s="25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33">
        <f>E20+F20</f>
        <v/>
      </c>
      <c r="H20" s="5">
        <f>IF(B20&lt;=0,0,IF(B20&gt;=INDEX(Courbe_QH_900!$A$24:$A$84,ROWS(Courbe_QH_900!$A$24:$A$84)),INDEX(Courbe_QH_900!$E$24:$E$84,ROWS(Courbe_QH_900!$E$24:$E$84)),INDEX(Courbe_QH_900!$E$24:$E$84,MATCH(B20,Courbe_QH_900!$A$24:$A$84,1))+(B20-INDEX(Courbe_QH_900!$A$24:$A$84,MATCH(B20,Courbe_QH_900!$A$24:$A$84,1)))/(INDEX(Courbe_QH_900!$A$24:$A$84,MATCH(B20,Courbe_QH_900!$A$24:$A$84,1)+1)-INDEX(Courbe_QH_900!$A$24:$A$84,MATCH(B20,Courbe_QH_900!$A$24:$A$84,1)))*(INDEX(Courbe_QH_900!$E$24:$E$84,MATCH(B20,Courbe_QH_900!$A$24:$A$84,1)+1)-INDEX(Courbe_QH_900!$E$24:$E$84,MATCH(B20,Courbe_QH_900!$A$24:$A$84,1)))))</f>
        <v/>
      </c>
      <c r="I20" s="5">
        <f>IF(C20&lt;=0,0,IF($B$8&lt;=0,0,(1/$B$8)*D20*IF(($B$7+2*C20*SQRT(1+$B$9^2))&lt;=0,0,((D20/($B$7+2*C20*SQRT(1+$B$9^2)))^(2/3)))*SQRT($B$10)))</f>
        <v/>
      </c>
      <c r="J20" s="15">
        <f>H20+I20</f>
        <v/>
      </c>
      <c r="K20" s="4">
        <f>IF(C20&gt;0,"oui","non")</f>
        <v/>
      </c>
    </row>
    <row r="21">
      <c r="A21" s="31" t="n">
        <v>35.18</v>
      </c>
      <c r="B21" s="31">
        <f>A21-$B$12</f>
        <v/>
      </c>
      <c r="C21" s="31">
        <f>MAX(0,A21-$B$6)</f>
        <v/>
      </c>
      <c r="D21" s="5">
        <f>IF(C21&lt;=0,0,($B$7+$B$9*C21)*C21)</f>
        <v/>
      </c>
      <c r="E21" s="25">
        <f>D21*$B$11</f>
        <v/>
      </c>
      <c r="F21" s="25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33">
        <f>E21+F21</f>
        <v/>
      </c>
      <c r="H21" s="5">
        <f>IF(B21&lt;=0,0,IF(B21&gt;=INDEX(Courbe_QH_900!$A$24:$A$84,ROWS(Courbe_QH_900!$A$24:$A$84)),INDEX(Courbe_QH_900!$E$24:$E$84,ROWS(Courbe_QH_900!$E$24:$E$84)),INDEX(Courbe_QH_900!$E$24:$E$84,MATCH(B21,Courbe_QH_900!$A$24:$A$84,1))+(B21-INDEX(Courbe_QH_900!$A$24:$A$84,MATCH(B21,Courbe_QH_900!$A$24:$A$84,1)))/(INDEX(Courbe_QH_900!$A$24:$A$84,MATCH(B21,Courbe_QH_900!$A$24:$A$84,1)+1)-INDEX(Courbe_QH_900!$A$24:$A$84,MATCH(B21,Courbe_QH_900!$A$24:$A$84,1)))*(INDEX(Courbe_QH_900!$E$24:$E$84,MATCH(B21,Courbe_QH_900!$A$24:$A$84,1)+1)-INDEX(Courbe_QH_900!$E$24:$E$84,MATCH(B21,Courbe_QH_900!$A$24:$A$84,1)))))</f>
        <v/>
      </c>
      <c r="I21" s="5">
        <f>IF(C21&lt;=0,0,IF($B$8&lt;=0,0,(1/$B$8)*D21*IF(($B$7+2*C21*SQRT(1+$B$9^2))&lt;=0,0,((D21/($B$7+2*C21*SQRT(1+$B$9^2)))^(2/3)))*SQRT($B$10)))</f>
        <v/>
      </c>
      <c r="J21" s="15">
        <f>H21+I21</f>
        <v/>
      </c>
      <c r="K21" s="4">
        <f>IF(C21&gt;0,"oui","non")</f>
        <v/>
      </c>
    </row>
    <row r="22">
      <c r="A22" s="31" t="n">
        <v>35.23</v>
      </c>
      <c r="B22" s="31">
        <f>A22-$B$12</f>
        <v/>
      </c>
      <c r="C22" s="31">
        <f>MAX(0,A22-$B$6)</f>
        <v/>
      </c>
      <c r="D22" s="5">
        <f>IF(C22&lt;=0,0,($B$7+$B$9*C22)*C22)</f>
        <v/>
      </c>
      <c r="E22" s="25">
        <f>D22*$B$11</f>
        <v/>
      </c>
      <c r="F22" s="25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33">
        <f>E22+F22</f>
        <v/>
      </c>
      <c r="H22" s="5">
        <f>IF(B22&lt;=0,0,IF(B22&gt;=INDEX(Courbe_QH_900!$A$24:$A$84,ROWS(Courbe_QH_900!$A$24:$A$84)),INDEX(Courbe_QH_900!$E$24:$E$84,ROWS(Courbe_QH_900!$E$24:$E$84)),INDEX(Courbe_QH_900!$E$24:$E$84,MATCH(B22,Courbe_QH_900!$A$24:$A$84,1))+(B22-INDEX(Courbe_QH_900!$A$24:$A$84,MATCH(B22,Courbe_QH_900!$A$24:$A$84,1)))/(INDEX(Courbe_QH_900!$A$24:$A$84,MATCH(B22,Courbe_QH_900!$A$24:$A$84,1)+1)-INDEX(Courbe_QH_900!$A$24:$A$84,MATCH(B22,Courbe_QH_900!$A$24:$A$84,1)))*(INDEX(Courbe_QH_900!$E$24:$E$84,MATCH(B22,Courbe_QH_900!$A$24:$A$84,1)+1)-INDEX(Courbe_QH_900!$E$24:$E$84,MATCH(B22,Courbe_QH_900!$A$24:$A$84,1)))))</f>
        <v/>
      </c>
      <c r="I22" s="5">
        <f>IF(C22&lt;=0,0,IF($B$8&lt;=0,0,(1/$B$8)*D22*IF(($B$7+2*C22*SQRT(1+$B$9^2))&lt;=0,0,((D22/($B$7+2*C22*SQRT(1+$B$9^2)))^(2/3)))*SQRT($B$10)))</f>
        <v/>
      </c>
      <c r="J22" s="15">
        <f>H22+I22</f>
        <v/>
      </c>
      <c r="K22" s="4">
        <f>IF(C22&gt;0,"oui","non")</f>
        <v/>
      </c>
    </row>
    <row r="23">
      <c r="A23" s="31" t="n">
        <v>35.28</v>
      </c>
      <c r="B23" s="31">
        <f>A23-$B$12</f>
        <v/>
      </c>
      <c r="C23" s="31">
        <f>MAX(0,A23-$B$6)</f>
        <v/>
      </c>
      <c r="D23" s="5">
        <f>IF(C23&lt;=0,0,($B$7+$B$9*C23)*C23)</f>
        <v/>
      </c>
      <c r="E23" s="25">
        <f>D23*$B$11</f>
        <v/>
      </c>
      <c r="F23" s="25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33">
        <f>E23+F23</f>
        <v/>
      </c>
      <c r="H23" s="5">
        <f>IF(B23&lt;=0,0,IF(B23&gt;=INDEX(Courbe_QH_900!$A$24:$A$84,ROWS(Courbe_QH_900!$A$24:$A$84)),INDEX(Courbe_QH_900!$E$24:$E$84,ROWS(Courbe_QH_900!$E$24:$E$84)),INDEX(Courbe_QH_900!$E$24:$E$84,MATCH(B23,Courbe_QH_900!$A$24:$A$84,1))+(B23-INDEX(Courbe_QH_900!$A$24:$A$84,MATCH(B23,Courbe_QH_900!$A$24:$A$84,1)))/(INDEX(Courbe_QH_900!$A$24:$A$84,MATCH(B23,Courbe_QH_900!$A$24:$A$84,1)+1)-INDEX(Courbe_QH_900!$A$24:$A$84,MATCH(B23,Courbe_QH_900!$A$24:$A$84,1)))*(INDEX(Courbe_QH_900!$E$24:$E$84,MATCH(B23,Courbe_QH_900!$A$24:$A$84,1)+1)-INDEX(Courbe_QH_900!$E$24:$E$84,MATCH(B23,Courbe_QH_900!$A$24:$A$84,1)))))</f>
        <v/>
      </c>
      <c r="I23" s="5">
        <f>IF(C23&lt;=0,0,IF($B$8&lt;=0,0,(1/$B$8)*D23*IF(($B$7+2*C23*SQRT(1+$B$9^2))&lt;=0,0,((D23/($B$7+2*C23*SQRT(1+$B$9^2)))^(2/3)))*SQRT($B$10)))</f>
        <v/>
      </c>
      <c r="J23" s="15">
        <f>H23+I23</f>
        <v/>
      </c>
      <c r="K23" s="4">
        <f>IF(C23&gt;0,"oui","non")</f>
        <v/>
      </c>
    </row>
    <row r="24">
      <c r="A24" s="31" t="n">
        <v>35.33</v>
      </c>
      <c r="B24" s="31">
        <f>A24-$B$12</f>
        <v/>
      </c>
      <c r="C24" s="31">
        <f>MAX(0,A24-$B$6)</f>
        <v/>
      </c>
      <c r="D24" s="5">
        <f>IF(C24&lt;=0,0,($B$7+$B$9*C24)*C24)</f>
        <v/>
      </c>
      <c r="E24" s="25">
        <f>D24*$B$11</f>
        <v/>
      </c>
      <c r="F24" s="25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33">
        <f>E24+F24</f>
        <v/>
      </c>
      <c r="H24" s="5">
        <f>IF(B24&lt;=0,0,IF(B24&gt;=INDEX(Courbe_QH_900!$A$24:$A$84,ROWS(Courbe_QH_900!$A$24:$A$84)),INDEX(Courbe_QH_900!$E$24:$E$84,ROWS(Courbe_QH_900!$E$24:$E$84)),INDEX(Courbe_QH_900!$E$24:$E$84,MATCH(B24,Courbe_QH_900!$A$24:$A$84,1))+(B24-INDEX(Courbe_QH_900!$A$24:$A$84,MATCH(B24,Courbe_QH_900!$A$24:$A$84,1)))/(INDEX(Courbe_QH_900!$A$24:$A$84,MATCH(B24,Courbe_QH_900!$A$24:$A$84,1)+1)-INDEX(Courbe_QH_900!$A$24:$A$84,MATCH(B24,Courbe_QH_900!$A$24:$A$84,1)))*(INDEX(Courbe_QH_900!$E$24:$E$84,MATCH(B24,Courbe_QH_900!$A$24:$A$84,1)+1)-INDEX(Courbe_QH_900!$E$24:$E$84,MATCH(B24,Courbe_QH_900!$A$24:$A$84,1)))))</f>
        <v/>
      </c>
      <c r="I24" s="5">
        <f>IF(C24&lt;=0,0,IF($B$8&lt;=0,0,(1/$B$8)*D24*IF(($B$7+2*C24*SQRT(1+$B$9^2))&lt;=0,0,((D24/($B$7+2*C24*SQRT(1+$B$9^2)))^(2/3)))*SQRT($B$10)))</f>
        <v/>
      </c>
      <c r="J24" s="15">
        <f>H24+I24</f>
        <v/>
      </c>
      <c r="K24" s="4">
        <f>IF(C24&gt;0,"oui","non")</f>
        <v/>
      </c>
    </row>
    <row r="25">
      <c r="A25" s="31" t="n">
        <v>35.38</v>
      </c>
      <c r="B25" s="31">
        <f>A25-$B$12</f>
        <v/>
      </c>
      <c r="C25" s="31">
        <f>MAX(0,A25-$B$6)</f>
        <v/>
      </c>
      <c r="D25" s="5">
        <f>IF(C25&lt;=0,0,($B$7+$B$9*C25)*C25)</f>
        <v/>
      </c>
      <c r="E25" s="25">
        <f>D25*$B$11</f>
        <v/>
      </c>
      <c r="F25" s="25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33">
        <f>E25+F25</f>
        <v/>
      </c>
      <c r="H25" s="5">
        <f>IF(B25&lt;=0,0,IF(B25&gt;=INDEX(Courbe_QH_900!$A$24:$A$84,ROWS(Courbe_QH_900!$A$24:$A$84)),INDEX(Courbe_QH_900!$E$24:$E$84,ROWS(Courbe_QH_900!$E$24:$E$84)),INDEX(Courbe_QH_900!$E$24:$E$84,MATCH(B25,Courbe_QH_900!$A$24:$A$84,1))+(B25-INDEX(Courbe_QH_900!$A$24:$A$84,MATCH(B25,Courbe_QH_900!$A$24:$A$84,1)))/(INDEX(Courbe_QH_900!$A$24:$A$84,MATCH(B25,Courbe_QH_900!$A$24:$A$84,1)+1)-INDEX(Courbe_QH_900!$A$24:$A$84,MATCH(B25,Courbe_QH_900!$A$24:$A$84,1)))*(INDEX(Courbe_QH_900!$E$24:$E$84,MATCH(B25,Courbe_QH_900!$A$24:$A$84,1)+1)-INDEX(Courbe_QH_900!$E$24:$E$84,MATCH(B25,Courbe_QH_900!$A$24:$A$84,1)))))</f>
        <v/>
      </c>
      <c r="I25" s="5">
        <f>IF(C25&lt;=0,0,IF($B$8&lt;=0,0,(1/$B$8)*D25*IF(($B$7+2*C25*SQRT(1+$B$9^2))&lt;=0,0,((D25/($B$7+2*C25*SQRT(1+$B$9^2)))^(2/3)))*SQRT($B$10)))</f>
        <v/>
      </c>
      <c r="J25" s="15">
        <f>H25+I25</f>
        <v/>
      </c>
      <c r="K25" s="4">
        <f>IF(C25&gt;0,"oui","non")</f>
        <v/>
      </c>
    </row>
    <row r="26">
      <c r="A26" s="31" t="n">
        <v>35.43</v>
      </c>
      <c r="B26" s="31">
        <f>A26-$B$12</f>
        <v/>
      </c>
      <c r="C26" s="31">
        <f>MAX(0,A26-$B$6)</f>
        <v/>
      </c>
      <c r="D26" s="5">
        <f>IF(C26&lt;=0,0,($B$7+$B$9*C26)*C26)</f>
        <v/>
      </c>
      <c r="E26" s="25">
        <f>D26*$B$11</f>
        <v/>
      </c>
      <c r="F26" s="25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33">
        <f>E26+F26</f>
        <v/>
      </c>
      <c r="H26" s="5">
        <f>IF(B26&lt;=0,0,IF(B26&gt;=INDEX(Courbe_QH_900!$A$24:$A$84,ROWS(Courbe_QH_900!$A$24:$A$84)),INDEX(Courbe_QH_900!$E$24:$E$84,ROWS(Courbe_QH_900!$E$24:$E$84)),INDEX(Courbe_QH_900!$E$24:$E$84,MATCH(B26,Courbe_QH_900!$A$24:$A$84,1))+(B26-INDEX(Courbe_QH_900!$A$24:$A$84,MATCH(B26,Courbe_QH_900!$A$24:$A$84,1)))/(INDEX(Courbe_QH_900!$A$24:$A$84,MATCH(B26,Courbe_QH_900!$A$24:$A$84,1)+1)-INDEX(Courbe_QH_900!$A$24:$A$84,MATCH(B26,Courbe_QH_900!$A$24:$A$84,1)))*(INDEX(Courbe_QH_900!$E$24:$E$84,MATCH(B26,Courbe_QH_900!$A$24:$A$84,1)+1)-INDEX(Courbe_QH_900!$E$24:$E$84,MATCH(B26,Courbe_QH_900!$A$24:$A$84,1)))))</f>
        <v/>
      </c>
      <c r="I26" s="5">
        <f>IF(C26&lt;=0,0,IF($B$8&lt;=0,0,(1/$B$8)*D26*IF(($B$7+2*C26*SQRT(1+$B$9^2))&lt;=0,0,((D26/($B$7+2*C26*SQRT(1+$B$9^2)))^(2/3)))*SQRT($B$10)))</f>
        <v/>
      </c>
      <c r="J26" s="15">
        <f>H26+I26</f>
        <v/>
      </c>
      <c r="K26" s="4">
        <f>IF(C26&gt;0,"oui","non")</f>
        <v/>
      </c>
    </row>
    <row r="27">
      <c r="A27" s="31" t="n">
        <v>35.48</v>
      </c>
      <c r="B27" s="31">
        <f>A27-$B$12</f>
        <v/>
      </c>
      <c r="C27" s="31">
        <f>MAX(0,A27-$B$6)</f>
        <v/>
      </c>
      <c r="D27" s="5">
        <f>IF(C27&lt;=0,0,($B$7+$B$9*C27)*C27)</f>
        <v/>
      </c>
      <c r="E27" s="25">
        <f>D27*$B$11</f>
        <v/>
      </c>
      <c r="F27" s="25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33">
        <f>E27+F27</f>
        <v/>
      </c>
      <c r="H27" s="5">
        <f>IF(B27&lt;=0,0,IF(B27&gt;=INDEX(Courbe_QH_900!$A$24:$A$84,ROWS(Courbe_QH_900!$A$24:$A$84)),INDEX(Courbe_QH_900!$E$24:$E$84,ROWS(Courbe_QH_900!$E$24:$E$84)),INDEX(Courbe_QH_900!$E$24:$E$84,MATCH(B27,Courbe_QH_900!$A$24:$A$84,1))+(B27-INDEX(Courbe_QH_900!$A$24:$A$84,MATCH(B27,Courbe_QH_900!$A$24:$A$84,1)))/(INDEX(Courbe_QH_900!$A$24:$A$84,MATCH(B27,Courbe_QH_900!$A$24:$A$84,1)+1)-INDEX(Courbe_QH_900!$A$24:$A$84,MATCH(B27,Courbe_QH_900!$A$24:$A$84,1)))*(INDEX(Courbe_QH_900!$E$24:$E$84,MATCH(B27,Courbe_QH_900!$A$24:$A$84,1)+1)-INDEX(Courbe_QH_900!$E$24:$E$84,MATCH(B27,Courbe_QH_900!$A$24:$A$84,1)))))</f>
        <v/>
      </c>
      <c r="I27" s="5">
        <f>IF(C27&lt;=0,0,IF($B$8&lt;=0,0,(1/$B$8)*D27*IF(($B$7+2*C27*SQRT(1+$B$9^2))&lt;=0,0,((D27/($B$7+2*C27*SQRT(1+$B$9^2)))^(2/3)))*SQRT($B$10)))</f>
        <v/>
      </c>
      <c r="J27" s="15">
        <f>H27+I27</f>
        <v/>
      </c>
      <c r="K27" s="4">
        <f>IF(C27&gt;0,"oui","non")</f>
        <v/>
      </c>
    </row>
    <row r="28">
      <c r="A28" s="31" t="n">
        <v>35.53</v>
      </c>
      <c r="B28" s="31">
        <f>A28-$B$12</f>
        <v/>
      </c>
      <c r="C28" s="31">
        <f>MAX(0,A28-$B$6)</f>
        <v/>
      </c>
      <c r="D28" s="5">
        <f>IF(C28&lt;=0,0,($B$7+$B$9*C28)*C28)</f>
        <v/>
      </c>
      <c r="E28" s="25">
        <f>D28*$B$11</f>
        <v/>
      </c>
      <c r="F28" s="25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33">
        <f>E28+F28</f>
        <v/>
      </c>
      <c r="H28" s="5">
        <f>IF(B28&lt;=0,0,IF(B28&gt;=INDEX(Courbe_QH_900!$A$24:$A$84,ROWS(Courbe_QH_900!$A$24:$A$84)),INDEX(Courbe_QH_900!$E$24:$E$84,ROWS(Courbe_QH_900!$E$24:$E$84)),INDEX(Courbe_QH_900!$E$24:$E$84,MATCH(B28,Courbe_QH_900!$A$24:$A$84,1))+(B28-INDEX(Courbe_QH_900!$A$24:$A$84,MATCH(B28,Courbe_QH_900!$A$24:$A$84,1)))/(INDEX(Courbe_QH_900!$A$24:$A$84,MATCH(B28,Courbe_QH_900!$A$24:$A$84,1)+1)-INDEX(Courbe_QH_900!$A$24:$A$84,MATCH(B28,Courbe_QH_900!$A$24:$A$84,1)))*(INDEX(Courbe_QH_900!$E$24:$E$84,MATCH(B28,Courbe_QH_900!$A$24:$A$84,1)+1)-INDEX(Courbe_QH_900!$E$24:$E$84,MATCH(B28,Courbe_QH_900!$A$24:$A$84,1)))))</f>
        <v/>
      </c>
      <c r="I28" s="5">
        <f>IF(C28&lt;=0,0,IF($B$8&lt;=0,0,(1/$B$8)*D28*IF(($B$7+2*C28*SQRT(1+$B$9^2))&lt;=0,0,((D28/($B$7+2*C28*SQRT(1+$B$9^2)))^(2/3)))*SQRT($B$10)))</f>
        <v/>
      </c>
      <c r="J28" s="15">
        <f>H28+I28</f>
        <v/>
      </c>
      <c r="K28" s="4">
        <f>IF(C28&gt;0,"oui","non")</f>
        <v/>
      </c>
    </row>
    <row r="29">
      <c r="A29" s="31" t="n">
        <v>35.58</v>
      </c>
      <c r="B29" s="31">
        <f>A29-$B$12</f>
        <v/>
      </c>
      <c r="C29" s="31">
        <f>MAX(0,A29-$B$6)</f>
        <v/>
      </c>
      <c r="D29" s="5">
        <f>IF(C29&lt;=0,0,($B$7+$B$9*C29)*C29)</f>
        <v/>
      </c>
      <c r="E29" s="25">
        <f>D29*$B$11</f>
        <v/>
      </c>
      <c r="F29" s="25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33">
        <f>E29+F29</f>
        <v/>
      </c>
      <c r="H29" s="5">
        <f>IF(B29&lt;=0,0,IF(B29&gt;=INDEX(Courbe_QH_900!$A$24:$A$84,ROWS(Courbe_QH_900!$A$24:$A$84)),INDEX(Courbe_QH_900!$E$24:$E$84,ROWS(Courbe_QH_900!$E$24:$E$84)),INDEX(Courbe_QH_900!$E$24:$E$84,MATCH(B29,Courbe_QH_900!$A$24:$A$84,1))+(B29-INDEX(Courbe_QH_900!$A$24:$A$84,MATCH(B29,Courbe_QH_900!$A$24:$A$84,1)))/(INDEX(Courbe_QH_900!$A$24:$A$84,MATCH(B29,Courbe_QH_900!$A$24:$A$84,1)+1)-INDEX(Courbe_QH_900!$A$24:$A$84,MATCH(B29,Courbe_QH_900!$A$24:$A$84,1)))*(INDEX(Courbe_QH_900!$E$24:$E$84,MATCH(B29,Courbe_QH_900!$A$24:$A$84,1)+1)-INDEX(Courbe_QH_900!$E$24:$E$84,MATCH(B29,Courbe_QH_900!$A$24:$A$84,1)))))</f>
        <v/>
      </c>
      <c r="I29" s="5">
        <f>IF(C29&lt;=0,0,IF($B$8&lt;=0,0,(1/$B$8)*D29*IF(($B$7+2*C29*SQRT(1+$B$9^2))&lt;=0,0,((D29/($B$7+2*C29*SQRT(1+$B$9^2)))^(2/3)))*SQRT($B$10)))</f>
        <v/>
      </c>
      <c r="J29" s="15">
        <f>H29+I29</f>
        <v/>
      </c>
      <c r="K29" s="4">
        <f>IF(C29&gt;0,"oui","non")</f>
        <v/>
      </c>
    </row>
    <row r="30">
      <c r="A30" s="31" t="n">
        <v>35.63</v>
      </c>
      <c r="B30" s="31">
        <f>A30-$B$12</f>
        <v/>
      </c>
      <c r="C30" s="31">
        <f>MAX(0,A30-$B$6)</f>
        <v/>
      </c>
      <c r="D30" s="5">
        <f>IF(C30&lt;=0,0,($B$7+$B$9*C30)*C30)</f>
        <v/>
      </c>
      <c r="E30" s="25">
        <f>D30*$B$11</f>
        <v/>
      </c>
      <c r="F30" s="25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33">
        <f>E30+F30</f>
        <v/>
      </c>
      <c r="H30" s="5">
        <f>IF(B30&lt;=0,0,IF(B30&gt;=INDEX(Courbe_QH_900!$A$24:$A$84,ROWS(Courbe_QH_900!$A$24:$A$84)),INDEX(Courbe_QH_900!$E$24:$E$84,ROWS(Courbe_QH_900!$E$24:$E$84)),INDEX(Courbe_QH_900!$E$24:$E$84,MATCH(B30,Courbe_QH_900!$A$24:$A$84,1))+(B30-INDEX(Courbe_QH_900!$A$24:$A$84,MATCH(B30,Courbe_QH_900!$A$24:$A$84,1)))/(INDEX(Courbe_QH_900!$A$24:$A$84,MATCH(B30,Courbe_QH_900!$A$24:$A$84,1)+1)-INDEX(Courbe_QH_900!$A$24:$A$84,MATCH(B30,Courbe_QH_900!$A$24:$A$84,1)))*(INDEX(Courbe_QH_900!$E$24:$E$84,MATCH(B30,Courbe_QH_900!$A$24:$A$84,1)+1)-INDEX(Courbe_QH_900!$E$24:$E$84,MATCH(B30,Courbe_QH_900!$A$24:$A$84,1)))))</f>
        <v/>
      </c>
      <c r="I30" s="5">
        <f>IF(C30&lt;=0,0,IF($B$8&lt;=0,0,(1/$B$8)*D30*IF(($B$7+2*C30*SQRT(1+$B$9^2))&lt;=0,0,((D30/($B$7+2*C30*SQRT(1+$B$9^2)))^(2/3)))*SQRT($B$10)))</f>
        <v/>
      </c>
      <c r="J30" s="15">
        <f>H30+I30</f>
        <v/>
      </c>
      <c r="K30" s="4">
        <f>IF(C30&gt;0,"oui","non")</f>
        <v/>
      </c>
    </row>
    <row r="31">
      <c r="A31" s="31" t="n">
        <v>35.68</v>
      </c>
      <c r="B31" s="31">
        <f>A31-$B$12</f>
        <v/>
      </c>
      <c r="C31" s="31">
        <f>MAX(0,A31-$B$6)</f>
        <v/>
      </c>
      <c r="D31" s="5">
        <f>IF(C31&lt;=0,0,($B$7+$B$9*C31)*C31)</f>
        <v/>
      </c>
      <c r="E31" s="25">
        <f>D31*$B$11</f>
        <v/>
      </c>
      <c r="F31" s="25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33">
        <f>E31+F31</f>
        <v/>
      </c>
      <c r="H31" s="5">
        <f>IF(B31&lt;=0,0,IF(B31&gt;=INDEX(Courbe_QH_900!$A$24:$A$84,ROWS(Courbe_QH_900!$A$24:$A$84)),INDEX(Courbe_QH_900!$E$24:$E$84,ROWS(Courbe_QH_900!$E$24:$E$84)),INDEX(Courbe_QH_900!$E$24:$E$84,MATCH(B31,Courbe_QH_900!$A$24:$A$84,1))+(B31-INDEX(Courbe_QH_900!$A$24:$A$84,MATCH(B31,Courbe_QH_900!$A$24:$A$84,1)))/(INDEX(Courbe_QH_900!$A$24:$A$84,MATCH(B31,Courbe_QH_900!$A$24:$A$84,1)+1)-INDEX(Courbe_QH_900!$A$24:$A$84,MATCH(B31,Courbe_QH_900!$A$24:$A$84,1)))*(INDEX(Courbe_QH_900!$E$24:$E$84,MATCH(B31,Courbe_QH_900!$A$24:$A$84,1)+1)-INDEX(Courbe_QH_900!$E$24:$E$84,MATCH(B31,Courbe_QH_900!$A$24:$A$84,1)))))</f>
        <v/>
      </c>
      <c r="I31" s="5">
        <f>IF(C31&lt;=0,0,IF($B$8&lt;=0,0,(1/$B$8)*D31*IF(($B$7+2*C31*SQRT(1+$B$9^2))&lt;=0,0,((D31/($B$7+2*C31*SQRT(1+$B$9^2)))^(2/3)))*SQRT($B$10)))</f>
        <v/>
      </c>
      <c r="J31" s="15">
        <f>H31+I31</f>
        <v/>
      </c>
      <c r="K31" s="4">
        <f>IF(C31&gt;0,"oui","non")</f>
        <v/>
      </c>
    </row>
    <row r="32">
      <c r="A32" s="31" t="n">
        <v>35.73</v>
      </c>
      <c r="B32" s="31">
        <f>A32-$B$12</f>
        <v/>
      </c>
      <c r="C32" s="31">
        <f>MAX(0,A32-$B$6)</f>
        <v/>
      </c>
      <c r="D32" s="5">
        <f>IF(C32&lt;=0,0,($B$7+$B$9*C32)*C32)</f>
        <v/>
      </c>
      <c r="E32" s="25">
        <f>D32*$B$11</f>
        <v/>
      </c>
      <c r="F32" s="25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33">
        <f>E32+F32</f>
        <v/>
      </c>
      <c r="H32" s="5">
        <f>IF(B32&lt;=0,0,IF(B32&gt;=INDEX(Courbe_QH_900!$A$24:$A$84,ROWS(Courbe_QH_900!$A$24:$A$84)),INDEX(Courbe_QH_900!$E$24:$E$84,ROWS(Courbe_QH_900!$E$24:$E$84)),INDEX(Courbe_QH_900!$E$24:$E$84,MATCH(B32,Courbe_QH_900!$A$24:$A$84,1))+(B32-INDEX(Courbe_QH_900!$A$24:$A$84,MATCH(B32,Courbe_QH_900!$A$24:$A$84,1)))/(INDEX(Courbe_QH_900!$A$24:$A$84,MATCH(B32,Courbe_QH_900!$A$24:$A$84,1)+1)-INDEX(Courbe_QH_900!$A$24:$A$84,MATCH(B32,Courbe_QH_900!$A$24:$A$84,1)))*(INDEX(Courbe_QH_900!$E$24:$E$84,MATCH(B32,Courbe_QH_900!$A$24:$A$84,1)+1)-INDEX(Courbe_QH_900!$E$24:$E$84,MATCH(B32,Courbe_QH_900!$A$24:$A$84,1)))))</f>
        <v/>
      </c>
      <c r="I32" s="5">
        <f>IF(C32&lt;=0,0,IF($B$8&lt;=0,0,(1/$B$8)*D32*IF(($B$7+2*C32*SQRT(1+$B$9^2))&lt;=0,0,((D32/($B$7+2*C32*SQRT(1+$B$9^2)))^(2/3)))*SQRT($B$10)))</f>
        <v/>
      </c>
      <c r="J32" s="15">
        <f>H32+I32</f>
        <v/>
      </c>
      <c r="K32" s="4">
        <f>IF(C32&gt;0,"oui","non")</f>
        <v/>
      </c>
    </row>
    <row r="33">
      <c r="A33" s="38" t="n">
        <v>35.78</v>
      </c>
      <c r="B33" s="38">
        <f>A33-$B$12</f>
        <v/>
      </c>
      <c r="C33" s="38">
        <f>MAX(0,A33-$B$6)</f>
        <v/>
      </c>
      <c r="D33" s="8">
        <f>IF(C33&lt;=0,0,($B$7+$B$9*C33)*C33)</f>
        <v/>
      </c>
      <c r="E33" s="41">
        <f>D33*$B$11</f>
        <v/>
      </c>
      <c r="F33" s="41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33">
        <f>E33+F33</f>
        <v/>
      </c>
      <c r="H33" s="8">
        <f>IF(B33&lt;=0,0,IF(B33&gt;=INDEX(Courbe_QH_900!$A$24:$A$84,ROWS(Courbe_QH_900!$A$24:$A$84)),INDEX(Courbe_QH_900!$E$24:$E$84,ROWS(Courbe_QH_900!$E$24:$E$84)),INDEX(Courbe_QH_900!$E$24:$E$84,MATCH(B33,Courbe_QH_900!$A$24:$A$84,1))+(B33-INDEX(Courbe_QH_900!$A$24:$A$84,MATCH(B33,Courbe_QH_900!$A$24:$A$84,1)))/(INDEX(Courbe_QH_900!$A$24:$A$84,MATCH(B33,Courbe_QH_900!$A$24:$A$84,1)+1)-INDEX(Courbe_QH_900!$A$24:$A$84,MATCH(B33,Courbe_QH_900!$A$24:$A$84,1)))*(INDEX(Courbe_QH_900!$E$24:$E$84,MATCH(B33,Courbe_QH_900!$A$24:$A$84,1)+1)-INDEX(Courbe_QH_900!$E$24:$E$84,MATCH(B33,Courbe_QH_900!$A$24:$A$84,1)))))</f>
        <v/>
      </c>
      <c r="I33" s="8">
        <f>IF(C33&lt;=0,0,IF($B$8&lt;=0,0,(1/$B$8)*D33*IF(($B$7+2*C33*SQRT(1+$B$9^2))&lt;=0,0,((D33/($B$7+2*C33*SQRT(1+$B$9^2)))^(2/3)))*SQRT($B$10)))</f>
        <v/>
      </c>
      <c r="J33" s="15">
        <f>H33+I33</f>
        <v/>
      </c>
      <c r="K33" s="7">
        <f>IF(C33&gt;0,"oui","non")</f>
        <v/>
      </c>
    </row>
    <row r="34">
      <c r="A34" s="31" t="n">
        <v>35.83</v>
      </c>
      <c r="B34" s="31">
        <f>A34-$B$12</f>
        <v/>
      </c>
      <c r="C34" s="31">
        <f>MAX(0,A34-$B$6)</f>
        <v/>
      </c>
      <c r="D34" s="5">
        <f>IF(C34&lt;=0,0,($B$7+$B$9*C34)*C34)</f>
        <v/>
      </c>
      <c r="E34" s="25">
        <f>D34*$B$11</f>
        <v/>
      </c>
      <c r="F34" s="25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33">
        <f>E34+F34</f>
        <v/>
      </c>
      <c r="H34" s="5">
        <f>IF(B34&lt;=0,0,IF(B34&gt;=INDEX(Courbe_QH_900!$A$24:$A$84,ROWS(Courbe_QH_900!$A$24:$A$84)),INDEX(Courbe_QH_900!$E$24:$E$84,ROWS(Courbe_QH_900!$E$24:$E$84)),INDEX(Courbe_QH_900!$E$24:$E$84,MATCH(B34,Courbe_QH_900!$A$24:$A$84,1))+(B34-INDEX(Courbe_QH_900!$A$24:$A$84,MATCH(B34,Courbe_QH_900!$A$24:$A$84,1)))/(INDEX(Courbe_QH_900!$A$24:$A$84,MATCH(B34,Courbe_QH_900!$A$24:$A$84,1)+1)-INDEX(Courbe_QH_900!$A$24:$A$84,MATCH(B34,Courbe_QH_900!$A$24:$A$84,1)))*(INDEX(Courbe_QH_900!$E$24:$E$84,MATCH(B34,Courbe_QH_900!$A$24:$A$84,1)+1)-INDEX(Courbe_QH_900!$E$24:$E$84,MATCH(B34,Courbe_QH_900!$A$24:$A$84,1)))))</f>
        <v/>
      </c>
      <c r="I34" s="5">
        <f>IF(C34&lt;=0,0,IF($B$8&lt;=0,0,(1/$B$8)*D34*IF(($B$7+2*C34*SQRT(1+$B$9^2))&lt;=0,0,((D34/($B$7+2*C34*SQRT(1+$B$9^2)))^(2/3)))*SQRT($B$10)))</f>
        <v/>
      </c>
      <c r="J34" s="15">
        <f>H34+I34</f>
        <v/>
      </c>
      <c r="K34" s="4">
        <f>IF(C34&gt;0,"oui","non")</f>
        <v/>
      </c>
    </row>
    <row r="35">
      <c r="A35" s="31" t="n">
        <v>35.88</v>
      </c>
      <c r="B35" s="31">
        <f>A35-$B$12</f>
        <v/>
      </c>
      <c r="C35" s="31">
        <f>MAX(0,A35-$B$6)</f>
        <v/>
      </c>
      <c r="D35" s="5">
        <f>IF(C35&lt;=0,0,($B$7+$B$9*C35)*C35)</f>
        <v/>
      </c>
      <c r="E35" s="25">
        <f>D35*$B$11</f>
        <v/>
      </c>
      <c r="F35" s="25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33">
        <f>E35+F35</f>
        <v/>
      </c>
      <c r="H35" s="5">
        <f>IF(B35&lt;=0,0,IF(B35&gt;=INDEX(Courbe_QH_900!$A$24:$A$84,ROWS(Courbe_QH_900!$A$24:$A$84)),INDEX(Courbe_QH_900!$E$24:$E$84,ROWS(Courbe_QH_900!$E$24:$E$84)),INDEX(Courbe_QH_900!$E$24:$E$84,MATCH(B35,Courbe_QH_900!$A$24:$A$84,1))+(B35-INDEX(Courbe_QH_900!$A$24:$A$84,MATCH(B35,Courbe_QH_900!$A$24:$A$84,1)))/(INDEX(Courbe_QH_900!$A$24:$A$84,MATCH(B35,Courbe_QH_900!$A$24:$A$84,1)+1)-INDEX(Courbe_QH_900!$A$24:$A$84,MATCH(B35,Courbe_QH_900!$A$24:$A$84,1)))*(INDEX(Courbe_QH_900!$E$24:$E$84,MATCH(B35,Courbe_QH_900!$A$24:$A$84,1)+1)-INDEX(Courbe_QH_900!$E$24:$E$84,MATCH(B35,Courbe_QH_900!$A$24:$A$84,1)))))</f>
        <v/>
      </c>
      <c r="I35" s="5">
        <f>IF(C35&lt;=0,0,IF($B$8&lt;=0,0,(1/$B$8)*D35*IF(($B$7+2*C35*SQRT(1+$B$9^2))&lt;=0,0,((D35/($B$7+2*C35*SQRT(1+$B$9^2)))^(2/3)))*SQRT($B$10)))</f>
        <v/>
      </c>
      <c r="J35" s="15">
        <f>H35+I35</f>
        <v/>
      </c>
      <c r="K35" s="4">
        <f>IF(C35&gt;0,"oui","non")</f>
        <v/>
      </c>
    </row>
    <row r="36">
      <c r="A36" s="31" t="n">
        <v>35.93</v>
      </c>
      <c r="B36" s="31">
        <f>A36-$B$12</f>
        <v/>
      </c>
      <c r="C36" s="31">
        <f>MAX(0,A36-$B$6)</f>
        <v/>
      </c>
      <c r="D36" s="5">
        <f>IF(C36&lt;=0,0,($B$7+$B$9*C36)*C36)</f>
        <v/>
      </c>
      <c r="E36" s="25">
        <f>D36*$B$11</f>
        <v/>
      </c>
      <c r="F36" s="25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33">
        <f>E36+F36</f>
        <v/>
      </c>
      <c r="H36" s="5">
        <f>IF(B36&lt;=0,0,IF(B36&gt;=INDEX(Courbe_QH_900!$A$24:$A$84,ROWS(Courbe_QH_900!$A$24:$A$84)),INDEX(Courbe_QH_900!$E$24:$E$84,ROWS(Courbe_QH_900!$E$24:$E$84)),INDEX(Courbe_QH_900!$E$24:$E$84,MATCH(B36,Courbe_QH_900!$A$24:$A$84,1))+(B36-INDEX(Courbe_QH_900!$A$24:$A$84,MATCH(B36,Courbe_QH_900!$A$24:$A$84,1)))/(INDEX(Courbe_QH_900!$A$24:$A$84,MATCH(B36,Courbe_QH_900!$A$24:$A$84,1)+1)-INDEX(Courbe_QH_900!$A$24:$A$84,MATCH(B36,Courbe_QH_900!$A$24:$A$84,1)))*(INDEX(Courbe_QH_900!$E$24:$E$84,MATCH(B36,Courbe_QH_900!$A$24:$A$84,1)+1)-INDEX(Courbe_QH_900!$E$24:$E$84,MATCH(B36,Courbe_QH_900!$A$24:$A$84,1)))))</f>
        <v/>
      </c>
      <c r="I36" s="5">
        <f>IF(C36&lt;=0,0,IF($B$8&lt;=0,0,(1/$B$8)*D36*IF(($B$7+2*C36*SQRT(1+$B$9^2))&lt;=0,0,((D36/($B$7+2*C36*SQRT(1+$B$9^2)))^(2/3)))*SQRT($B$10)))</f>
        <v/>
      </c>
      <c r="J36" s="15">
        <f>H36+I36</f>
        <v/>
      </c>
      <c r="K36" s="4">
        <f>IF(C36&gt;0,"oui","non")</f>
        <v/>
      </c>
    </row>
    <row r="37">
      <c r="A37" s="31" t="n">
        <v>35.98</v>
      </c>
      <c r="B37" s="31">
        <f>A37-$B$12</f>
        <v/>
      </c>
      <c r="C37" s="31">
        <f>MAX(0,A37-$B$6)</f>
        <v/>
      </c>
      <c r="D37" s="5">
        <f>IF(C37&lt;=0,0,($B$7+$B$9*C37)*C37)</f>
        <v/>
      </c>
      <c r="E37" s="25">
        <f>D37*$B$11</f>
        <v/>
      </c>
      <c r="F37" s="25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33">
        <f>E37+F37</f>
        <v/>
      </c>
      <c r="H37" s="5">
        <f>IF(B37&lt;=0,0,IF(B37&gt;=INDEX(Courbe_QH_900!$A$24:$A$84,ROWS(Courbe_QH_900!$A$24:$A$84)),INDEX(Courbe_QH_900!$E$24:$E$84,ROWS(Courbe_QH_900!$E$24:$E$84)),INDEX(Courbe_QH_900!$E$24:$E$84,MATCH(B37,Courbe_QH_900!$A$24:$A$84,1))+(B37-INDEX(Courbe_QH_900!$A$24:$A$84,MATCH(B37,Courbe_QH_900!$A$24:$A$84,1)))/(INDEX(Courbe_QH_900!$A$24:$A$84,MATCH(B37,Courbe_QH_900!$A$24:$A$84,1)+1)-INDEX(Courbe_QH_900!$A$24:$A$84,MATCH(B37,Courbe_QH_900!$A$24:$A$84,1)))*(INDEX(Courbe_QH_900!$E$24:$E$84,MATCH(B37,Courbe_QH_900!$A$24:$A$84,1)+1)-INDEX(Courbe_QH_900!$E$24:$E$84,MATCH(B37,Courbe_QH_900!$A$24:$A$84,1)))))</f>
        <v/>
      </c>
      <c r="I37" s="5">
        <f>IF(C37&lt;=0,0,IF($B$8&lt;=0,0,(1/$B$8)*D37*IF(($B$7+2*C37*SQRT(1+$B$9^2))&lt;=0,0,((D37/($B$7+2*C37*SQRT(1+$B$9^2)))^(2/3)))*SQRT($B$10)))</f>
        <v/>
      </c>
      <c r="J37" s="15">
        <f>H37+I37</f>
        <v/>
      </c>
      <c r="K37" s="4">
        <f>IF(C37&gt;0,"oui","non")</f>
        <v/>
      </c>
    </row>
    <row r="38">
      <c r="A38" s="31" t="n">
        <v>36.03</v>
      </c>
      <c r="B38" s="31">
        <f>A38-$B$12</f>
        <v/>
      </c>
      <c r="C38" s="31">
        <f>MAX(0,A38-$B$6)</f>
        <v/>
      </c>
      <c r="D38" s="5">
        <f>IF(C38&lt;=0,0,($B$7+$B$9*C38)*C38)</f>
        <v/>
      </c>
      <c r="E38" s="25">
        <f>D38*$B$11</f>
        <v/>
      </c>
      <c r="F38" s="25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33">
        <f>E38+F38</f>
        <v/>
      </c>
      <c r="H38" s="5">
        <f>IF(B38&lt;=0,0,IF(B38&gt;=INDEX(Courbe_QH_900!$A$24:$A$84,ROWS(Courbe_QH_900!$A$24:$A$84)),INDEX(Courbe_QH_900!$E$24:$E$84,ROWS(Courbe_QH_900!$E$24:$E$84)),INDEX(Courbe_QH_900!$E$24:$E$84,MATCH(B38,Courbe_QH_900!$A$24:$A$84,1))+(B38-INDEX(Courbe_QH_900!$A$24:$A$84,MATCH(B38,Courbe_QH_900!$A$24:$A$84,1)))/(INDEX(Courbe_QH_900!$A$24:$A$84,MATCH(B38,Courbe_QH_900!$A$24:$A$84,1)+1)-INDEX(Courbe_QH_900!$A$24:$A$84,MATCH(B38,Courbe_QH_900!$A$24:$A$84,1)))*(INDEX(Courbe_QH_900!$E$24:$E$84,MATCH(B38,Courbe_QH_900!$A$24:$A$84,1)+1)-INDEX(Courbe_QH_900!$E$24:$E$84,MATCH(B38,Courbe_QH_900!$A$24:$A$84,1)))))</f>
        <v/>
      </c>
      <c r="I38" s="5">
        <f>IF(C38&lt;=0,0,IF($B$8&lt;=0,0,(1/$B$8)*D38*IF(($B$7+2*C38*SQRT(1+$B$9^2))&lt;=0,0,((D38/($B$7+2*C38*SQRT(1+$B$9^2)))^(2/3)))*SQRT($B$10)))</f>
        <v/>
      </c>
      <c r="J38" s="15">
        <f>H38+I38</f>
        <v/>
      </c>
      <c r="K38" s="4">
        <f>IF(C38&gt;0,"oui","non")</f>
        <v/>
      </c>
    </row>
    <row r="39">
      <c r="A39" s="31" t="n">
        <v>36.08</v>
      </c>
      <c r="B39" s="31">
        <f>A39-$B$12</f>
        <v/>
      </c>
      <c r="C39" s="31">
        <f>MAX(0,A39-$B$6)</f>
        <v/>
      </c>
      <c r="D39" s="5">
        <f>IF(C39&lt;=0,0,($B$7+$B$9*C39)*C39)</f>
        <v/>
      </c>
      <c r="E39" s="25">
        <f>D39*$B$11</f>
        <v/>
      </c>
      <c r="F39" s="25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33">
        <f>E39+F39</f>
        <v/>
      </c>
      <c r="H39" s="5">
        <f>IF(B39&lt;=0,0,IF(B39&gt;=INDEX(Courbe_QH_900!$A$24:$A$84,ROWS(Courbe_QH_900!$A$24:$A$84)),INDEX(Courbe_QH_900!$E$24:$E$84,ROWS(Courbe_QH_900!$E$24:$E$84)),INDEX(Courbe_QH_900!$E$24:$E$84,MATCH(B39,Courbe_QH_900!$A$24:$A$84,1))+(B39-INDEX(Courbe_QH_900!$A$24:$A$84,MATCH(B39,Courbe_QH_900!$A$24:$A$84,1)))/(INDEX(Courbe_QH_900!$A$24:$A$84,MATCH(B39,Courbe_QH_900!$A$24:$A$84,1)+1)-INDEX(Courbe_QH_900!$A$24:$A$84,MATCH(B39,Courbe_QH_900!$A$24:$A$84,1)))*(INDEX(Courbe_QH_900!$E$24:$E$84,MATCH(B39,Courbe_QH_900!$A$24:$A$84,1)+1)-INDEX(Courbe_QH_900!$E$24:$E$84,MATCH(B39,Courbe_QH_900!$A$24:$A$84,1)))))</f>
        <v/>
      </c>
      <c r="I39" s="5">
        <f>IF(C39&lt;=0,0,IF($B$8&lt;=0,0,(1/$B$8)*D39*IF(($B$7+2*C39*SQRT(1+$B$9^2))&lt;=0,0,((D39/($B$7+2*C39*SQRT(1+$B$9^2)))^(2/3)))*SQRT($B$10)))</f>
        <v/>
      </c>
      <c r="J39" s="15">
        <f>H39+I39</f>
        <v/>
      </c>
      <c r="K39" s="4">
        <f>IF(C39&gt;0,"oui","non")</f>
        <v/>
      </c>
    </row>
    <row r="40">
      <c r="A40" s="31" t="n">
        <v>36.13</v>
      </c>
      <c r="B40" s="31">
        <f>A40-$B$12</f>
        <v/>
      </c>
      <c r="C40" s="31">
        <f>MAX(0,A40-$B$6)</f>
        <v/>
      </c>
      <c r="D40" s="5">
        <f>IF(C40&lt;=0,0,($B$7+$B$9*C40)*C40)</f>
        <v/>
      </c>
      <c r="E40" s="25">
        <f>D40*$B$11</f>
        <v/>
      </c>
      <c r="F40" s="25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33">
        <f>E40+F40</f>
        <v/>
      </c>
      <c r="H40" s="5">
        <f>IF(B40&lt;=0,0,IF(B40&gt;=INDEX(Courbe_QH_900!$A$24:$A$84,ROWS(Courbe_QH_900!$A$24:$A$84)),INDEX(Courbe_QH_900!$E$24:$E$84,ROWS(Courbe_QH_900!$E$24:$E$84)),INDEX(Courbe_QH_900!$E$24:$E$84,MATCH(B40,Courbe_QH_900!$A$24:$A$84,1))+(B40-INDEX(Courbe_QH_900!$A$24:$A$84,MATCH(B40,Courbe_QH_900!$A$24:$A$84,1)))/(INDEX(Courbe_QH_900!$A$24:$A$84,MATCH(B40,Courbe_QH_900!$A$24:$A$84,1)+1)-INDEX(Courbe_QH_900!$A$24:$A$84,MATCH(B40,Courbe_QH_900!$A$24:$A$84,1)))*(INDEX(Courbe_QH_900!$E$24:$E$84,MATCH(B40,Courbe_QH_900!$A$24:$A$84,1)+1)-INDEX(Courbe_QH_900!$E$24:$E$84,MATCH(B40,Courbe_QH_900!$A$24:$A$84,1)))))</f>
        <v/>
      </c>
      <c r="I40" s="5">
        <f>IF(C40&lt;=0,0,IF($B$8&lt;=0,0,(1/$B$8)*D40*IF(($B$7+2*C40*SQRT(1+$B$9^2))&lt;=0,0,((D40/($B$7+2*C40*SQRT(1+$B$9^2)))^(2/3)))*SQRT($B$10)))</f>
        <v/>
      </c>
      <c r="J40" s="15">
        <f>H40+I40</f>
        <v/>
      </c>
      <c r="K40" s="4">
        <f>IF(C40&gt;0,"oui","non")</f>
        <v/>
      </c>
    </row>
    <row r="41">
      <c r="A41" s="31" t="n">
        <v>36.18</v>
      </c>
      <c r="B41" s="31">
        <f>A41-$B$12</f>
        <v/>
      </c>
      <c r="C41" s="31">
        <f>MAX(0,A41-$B$6)</f>
        <v/>
      </c>
      <c r="D41" s="5">
        <f>IF(C41&lt;=0,0,($B$7+$B$9*C41)*C41)</f>
        <v/>
      </c>
      <c r="E41" s="25">
        <f>D41*$B$11</f>
        <v/>
      </c>
      <c r="F41" s="25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33">
        <f>E41+F41</f>
        <v/>
      </c>
      <c r="H41" s="5">
        <f>IF(B41&lt;=0,0,IF(B41&gt;=INDEX(Courbe_QH_900!$A$24:$A$84,ROWS(Courbe_QH_900!$A$24:$A$84)),INDEX(Courbe_QH_900!$E$24:$E$84,ROWS(Courbe_QH_900!$E$24:$E$84)),INDEX(Courbe_QH_900!$E$24:$E$84,MATCH(B41,Courbe_QH_900!$A$24:$A$84,1))+(B41-INDEX(Courbe_QH_900!$A$24:$A$84,MATCH(B41,Courbe_QH_900!$A$24:$A$84,1)))/(INDEX(Courbe_QH_900!$A$24:$A$84,MATCH(B41,Courbe_QH_900!$A$24:$A$84,1)+1)-INDEX(Courbe_QH_900!$A$24:$A$84,MATCH(B41,Courbe_QH_900!$A$24:$A$84,1)))*(INDEX(Courbe_QH_900!$E$24:$E$84,MATCH(B41,Courbe_QH_900!$A$24:$A$84,1)+1)-INDEX(Courbe_QH_900!$E$24:$E$84,MATCH(B41,Courbe_QH_900!$A$24:$A$84,1)))))</f>
        <v/>
      </c>
      <c r="I41" s="5">
        <f>IF(C41&lt;=0,0,IF($B$8&lt;=0,0,(1/$B$8)*D41*IF(($B$7+2*C41*SQRT(1+$B$9^2))&lt;=0,0,((D41/($B$7+2*C41*SQRT(1+$B$9^2)))^(2/3)))*SQRT($B$10)))</f>
        <v/>
      </c>
      <c r="J41" s="15">
        <f>H41+I41</f>
        <v/>
      </c>
      <c r="K41" s="4">
        <f>IF(C41&gt;0,"oui","non")</f>
        <v/>
      </c>
    </row>
    <row r="42">
      <c r="A42" s="31" t="n">
        <v>36.23</v>
      </c>
      <c r="B42" s="31">
        <f>A42-$B$12</f>
        <v/>
      </c>
      <c r="C42" s="31">
        <f>MAX(0,A42-$B$6)</f>
        <v/>
      </c>
      <c r="D42" s="5">
        <f>IF(C42&lt;=0,0,($B$7+$B$9*C42)*C42)</f>
        <v/>
      </c>
      <c r="E42" s="25">
        <f>D42*$B$11</f>
        <v/>
      </c>
      <c r="F42" s="25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33">
        <f>E42+F42</f>
        <v/>
      </c>
      <c r="H42" s="5">
        <f>IF(B42&lt;=0,0,IF(B42&gt;=INDEX(Courbe_QH_900!$A$24:$A$84,ROWS(Courbe_QH_900!$A$24:$A$84)),INDEX(Courbe_QH_900!$E$24:$E$84,ROWS(Courbe_QH_900!$E$24:$E$84)),INDEX(Courbe_QH_900!$E$24:$E$84,MATCH(B42,Courbe_QH_900!$A$24:$A$84,1))+(B42-INDEX(Courbe_QH_900!$A$24:$A$84,MATCH(B42,Courbe_QH_900!$A$24:$A$84,1)))/(INDEX(Courbe_QH_900!$A$24:$A$84,MATCH(B42,Courbe_QH_900!$A$24:$A$84,1)+1)-INDEX(Courbe_QH_900!$A$24:$A$84,MATCH(B42,Courbe_QH_900!$A$24:$A$84,1)))*(INDEX(Courbe_QH_900!$E$24:$E$84,MATCH(B42,Courbe_QH_900!$A$24:$A$84,1)+1)-INDEX(Courbe_QH_900!$E$24:$E$84,MATCH(B42,Courbe_QH_900!$A$24:$A$84,1)))))</f>
        <v/>
      </c>
      <c r="I42" s="5">
        <f>IF(C42&lt;=0,0,IF($B$8&lt;=0,0,(1/$B$8)*D42*IF(($B$7+2*C42*SQRT(1+$B$9^2))&lt;=0,0,((D42/($B$7+2*C42*SQRT(1+$B$9^2)))^(2/3)))*SQRT($B$10)))</f>
        <v/>
      </c>
      <c r="J42" s="15">
        <f>H42+I42</f>
        <v/>
      </c>
      <c r="K42" s="4">
        <f>IF(C42&gt;0,"oui","non")</f>
        <v/>
      </c>
    </row>
    <row r="43">
      <c r="A43" s="31" t="n">
        <v>36.28</v>
      </c>
      <c r="B43" s="31">
        <f>A43-$B$12</f>
        <v/>
      </c>
      <c r="C43" s="31">
        <f>MAX(0,A43-$B$6)</f>
        <v/>
      </c>
      <c r="D43" s="5">
        <f>IF(C43&lt;=0,0,($B$7+$B$9*C43)*C43)</f>
        <v/>
      </c>
      <c r="E43" s="25">
        <f>D43*$B$11</f>
        <v/>
      </c>
      <c r="F43" s="25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33">
        <f>E43+F43</f>
        <v/>
      </c>
      <c r="H43" s="5">
        <f>IF(B43&lt;=0,0,IF(B43&gt;=INDEX(Courbe_QH_900!$A$24:$A$84,ROWS(Courbe_QH_900!$A$24:$A$84)),INDEX(Courbe_QH_900!$E$24:$E$84,ROWS(Courbe_QH_900!$E$24:$E$84)),INDEX(Courbe_QH_900!$E$24:$E$84,MATCH(B43,Courbe_QH_900!$A$24:$A$84,1))+(B43-INDEX(Courbe_QH_900!$A$24:$A$84,MATCH(B43,Courbe_QH_900!$A$24:$A$84,1)))/(INDEX(Courbe_QH_900!$A$24:$A$84,MATCH(B43,Courbe_QH_900!$A$24:$A$84,1)+1)-INDEX(Courbe_QH_900!$A$24:$A$84,MATCH(B43,Courbe_QH_900!$A$24:$A$84,1)))*(INDEX(Courbe_QH_900!$E$24:$E$84,MATCH(B43,Courbe_QH_900!$A$24:$A$84,1)+1)-INDEX(Courbe_QH_900!$E$24:$E$84,MATCH(B43,Courbe_QH_900!$A$24:$A$84,1)))))</f>
        <v/>
      </c>
      <c r="I43" s="5">
        <f>IF(C43&lt;=0,0,IF($B$8&lt;=0,0,(1/$B$8)*D43*IF(($B$7+2*C43*SQRT(1+$B$9^2))&lt;=0,0,((D43/($B$7+2*C43*SQRT(1+$B$9^2)))^(2/3)))*SQRT($B$10)))</f>
        <v/>
      </c>
      <c r="J43" s="15">
        <f>H43+I43</f>
        <v/>
      </c>
      <c r="K43" s="4">
        <f>IF(C43&gt;0,"oui","non")</f>
        <v/>
      </c>
    </row>
    <row r="44">
      <c r="A44" s="31" t="n">
        <v>36.33</v>
      </c>
      <c r="B44" s="31">
        <f>A44-$B$12</f>
        <v/>
      </c>
      <c r="C44" s="31">
        <f>MAX(0,A44-$B$6)</f>
        <v/>
      </c>
      <c r="D44" s="5">
        <f>IF(C44&lt;=0,0,($B$7+$B$9*C44)*C44)</f>
        <v/>
      </c>
      <c r="E44" s="25">
        <f>D44*$B$11</f>
        <v/>
      </c>
      <c r="F44" s="25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33">
        <f>E44+F44</f>
        <v/>
      </c>
      <c r="H44" s="5">
        <f>IF(B44&lt;=0,0,IF(B44&gt;=INDEX(Courbe_QH_900!$A$24:$A$84,ROWS(Courbe_QH_900!$A$24:$A$84)),INDEX(Courbe_QH_900!$E$24:$E$84,ROWS(Courbe_QH_900!$E$24:$E$84)),INDEX(Courbe_QH_900!$E$24:$E$84,MATCH(B44,Courbe_QH_900!$A$24:$A$84,1))+(B44-INDEX(Courbe_QH_900!$A$24:$A$84,MATCH(B44,Courbe_QH_900!$A$24:$A$84,1)))/(INDEX(Courbe_QH_900!$A$24:$A$84,MATCH(B44,Courbe_QH_900!$A$24:$A$84,1)+1)-INDEX(Courbe_QH_900!$A$24:$A$84,MATCH(B44,Courbe_QH_900!$A$24:$A$84,1)))*(INDEX(Courbe_QH_900!$E$24:$E$84,MATCH(B44,Courbe_QH_900!$A$24:$A$84,1)+1)-INDEX(Courbe_QH_900!$E$24:$E$84,MATCH(B44,Courbe_QH_900!$A$24:$A$84,1)))))</f>
        <v/>
      </c>
      <c r="I44" s="5">
        <f>IF(C44&lt;=0,0,IF($B$8&lt;=0,0,(1/$B$8)*D44*IF(($B$7+2*C44*SQRT(1+$B$9^2))&lt;=0,0,((D44/($B$7+2*C44*SQRT(1+$B$9^2)))^(2/3)))*SQRT($B$10)))</f>
        <v/>
      </c>
      <c r="J44" s="15">
        <f>H44+I44</f>
        <v/>
      </c>
      <c r="K44" s="4">
        <f>IF(C44&gt;0,"oui","non")</f>
        <v/>
      </c>
    </row>
    <row r="45">
      <c r="A45" s="31" t="n">
        <v>36.38</v>
      </c>
      <c r="B45" s="31">
        <f>A45-$B$12</f>
        <v/>
      </c>
      <c r="C45" s="31">
        <f>MAX(0,A45-$B$6)</f>
        <v/>
      </c>
      <c r="D45" s="5">
        <f>IF(C45&lt;=0,0,($B$7+$B$9*C45)*C45)</f>
        <v/>
      </c>
      <c r="E45" s="25">
        <f>D45*$B$11</f>
        <v/>
      </c>
      <c r="F45" s="25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33">
        <f>E45+F45</f>
        <v/>
      </c>
      <c r="H45" s="5">
        <f>IF(B45&lt;=0,0,IF(B45&gt;=INDEX(Courbe_QH_900!$A$24:$A$84,ROWS(Courbe_QH_900!$A$24:$A$84)),INDEX(Courbe_QH_900!$E$24:$E$84,ROWS(Courbe_QH_900!$E$24:$E$84)),INDEX(Courbe_QH_900!$E$24:$E$84,MATCH(B45,Courbe_QH_900!$A$24:$A$84,1))+(B45-INDEX(Courbe_QH_900!$A$24:$A$84,MATCH(B45,Courbe_QH_900!$A$24:$A$84,1)))/(INDEX(Courbe_QH_900!$A$24:$A$84,MATCH(B45,Courbe_QH_900!$A$24:$A$84,1)+1)-INDEX(Courbe_QH_900!$A$24:$A$84,MATCH(B45,Courbe_QH_900!$A$24:$A$84,1)))*(INDEX(Courbe_QH_900!$E$24:$E$84,MATCH(B45,Courbe_QH_900!$A$24:$A$84,1)+1)-INDEX(Courbe_QH_900!$E$24:$E$84,MATCH(B45,Courbe_QH_900!$A$24:$A$84,1)))))</f>
        <v/>
      </c>
      <c r="I45" s="5">
        <f>IF(C45&lt;=0,0,IF($B$8&lt;=0,0,(1/$B$8)*D45*IF(($B$7+2*C45*SQRT(1+$B$9^2))&lt;=0,0,((D45/($B$7+2*C45*SQRT(1+$B$9^2)))^(2/3)))*SQRT($B$10)))</f>
        <v/>
      </c>
      <c r="J45" s="15">
        <f>H45+I45</f>
        <v/>
      </c>
      <c r="K45" s="4">
        <f>IF(C45&gt;0,"oui","non")</f>
        <v/>
      </c>
    </row>
    <row r="46">
      <c r="A46" s="31" t="n">
        <v>36.43</v>
      </c>
      <c r="B46" s="31">
        <f>A46-$B$12</f>
        <v/>
      </c>
      <c r="C46" s="31">
        <f>MAX(0,A46-$B$6)</f>
        <v/>
      </c>
      <c r="D46" s="5">
        <f>IF(C46&lt;=0,0,($B$7+$B$9*C46)*C46)</f>
        <v/>
      </c>
      <c r="E46" s="25">
        <f>D46*$B$11</f>
        <v/>
      </c>
      <c r="F46" s="25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33">
        <f>E46+F46</f>
        <v/>
      </c>
      <c r="H46" s="5">
        <f>IF(B46&lt;=0,0,IF(B46&gt;=INDEX(Courbe_QH_900!$A$24:$A$84,ROWS(Courbe_QH_900!$A$24:$A$84)),INDEX(Courbe_QH_900!$E$24:$E$84,ROWS(Courbe_QH_900!$E$24:$E$84)),INDEX(Courbe_QH_900!$E$24:$E$84,MATCH(B46,Courbe_QH_900!$A$24:$A$84,1))+(B46-INDEX(Courbe_QH_900!$A$24:$A$84,MATCH(B46,Courbe_QH_900!$A$24:$A$84,1)))/(INDEX(Courbe_QH_900!$A$24:$A$84,MATCH(B46,Courbe_QH_900!$A$24:$A$84,1)+1)-INDEX(Courbe_QH_900!$A$24:$A$84,MATCH(B46,Courbe_QH_900!$A$24:$A$84,1)))*(INDEX(Courbe_QH_900!$E$24:$E$84,MATCH(B46,Courbe_QH_900!$A$24:$A$84,1)+1)-INDEX(Courbe_QH_900!$E$24:$E$84,MATCH(B46,Courbe_QH_900!$A$24:$A$84,1)))))</f>
        <v/>
      </c>
      <c r="I46" s="5">
        <f>IF(C46&lt;=0,0,IF($B$8&lt;=0,0,(1/$B$8)*D46*IF(($B$7+2*C46*SQRT(1+$B$9^2))&lt;=0,0,((D46/($B$7+2*C46*SQRT(1+$B$9^2)))^(2/3)))*SQRT($B$10)))</f>
        <v/>
      </c>
      <c r="J46" s="15">
        <f>H46+I46</f>
        <v/>
      </c>
      <c r="K46" s="4">
        <f>IF(C46&gt;0,"oui","non")</f>
        <v/>
      </c>
    </row>
    <row r="47">
      <c r="A47" s="31" t="n">
        <v>36.48</v>
      </c>
      <c r="B47" s="31">
        <f>A47-$B$12</f>
        <v/>
      </c>
      <c r="C47" s="31">
        <f>MAX(0,A47-$B$6)</f>
        <v/>
      </c>
      <c r="D47" s="5">
        <f>IF(C47&lt;=0,0,($B$7+$B$9*C47)*C47)</f>
        <v/>
      </c>
      <c r="E47" s="25">
        <f>D47*$B$11</f>
        <v/>
      </c>
      <c r="F47" s="25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33">
        <f>E47+F47</f>
        <v/>
      </c>
      <c r="H47" s="5">
        <f>IF(B47&lt;=0,0,IF(B47&gt;=INDEX(Courbe_QH_900!$A$24:$A$84,ROWS(Courbe_QH_900!$A$24:$A$84)),INDEX(Courbe_QH_900!$E$24:$E$84,ROWS(Courbe_QH_900!$E$24:$E$84)),INDEX(Courbe_QH_900!$E$24:$E$84,MATCH(B47,Courbe_QH_900!$A$24:$A$84,1))+(B47-INDEX(Courbe_QH_900!$A$24:$A$84,MATCH(B47,Courbe_QH_900!$A$24:$A$84,1)))/(INDEX(Courbe_QH_900!$A$24:$A$84,MATCH(B47,Courbe_QH_900!$A$24:$A$84,1)+1)-INDEX(Courbe_QH_900!$A$24:$A$84,MATCH(B47,Courbe_QH_900!$A$24:$A$84,1)))*(INDEX(Courbe_QH_900!$E$24:$E$84,MATCH(B47,Courbe_QH_900!$A$24:$A$84,1)+1)-INDEX(Courbe_QH_900!$E$24:$E$84,MATCH(B47,Courbe_QH_900!$A$24:$A$84,1)))))</f>
        <v/>
      </c>
      <c r="I47" s="5">
        <f>IF(C47&lt;=0,0,IF($B$8&lt;=0,0,(1/$B$8)*D47*IF(($B$7+2*C47*SQRT(1+$B$9^2))&lt;=0,0,((D47/($B$7+2*C47*SQRT(1+$B$9^2)))^(2/3)))*SQRT($B$10)))</f>
        <v/>
      </c>
      <c r="J47" s="15">
        <f>H47+I47</f>
        <v/>
      </c>
      <c r="K47" s="4">
        <f>IF(C47&gt;0,"oui","non")</f>
        <v/>
      </c>
    </row>
    <row r="48">
      <c r="A48" s="31" t="n">
        <v>36.53</v>
      </c>
      <c r="B48" s="31">
        <f>A48-$B$12</f>
        <v/>
      </c>
      <c r="C48" s="31">
        <f>MAX(0,A48-$B$6)</f>
        <v/>
      </c>
      <c r="D48" s="5">
        <f>IF(C48&lt;=0,0,($B$7+$B$9*C48)*C48)</f>
        <v/>
      </c>
      <c r="E48" s="25">
        <f>D48*$B$11</f>
        <v/>
      </c>
      <c r="F48" s="25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33">
        <f>E48+F48</f>
        <v/>
      </c>
      <c r="H48" s="5">
        <f>IF(B48&lt;=0,0,IF(B48&gt;=INDEX(Courbe_QH_900!$A$24:$A$84,ROWS(Courbe_QH_900!$A$24:$A$84)),INDEX(Courbe_QH_900!$E$24:$E$84,ROWS(Courbe_QH_900!$E$24:$E$84)),INDEX(Courbe_QH_900!$E$24:$E$84,MATCH(B48,Courbe_QH_900!$A$24:$A$84,1))+(B48-INDEX(Courbe_QH_900!$A$24:$A$84,MATCH(B48,Courbe_QH_900!$A$24:$A$84,1)))/(INDEX(Courbe_QH_900!$A$24:$A$84,MATCH(B48,Courbe_QH_900!$A$24:$A$84,1)+1)-INDEX(Courbe_QH_900!$A$24:$A$84,MATCH(B48,Courbe_QH_900!$A$24:$A$84,1)))*(INDEX(Courbe_QH_900!$E$24:$E$84,MATCH(B48,Courbe_QH_900!$A$24:$A$84,1)+1)-INDEX(Courbe_QH_900!$E$24:$E$84,MATCH(B48,Courbe_QH_900!$A$24:$A$84,1)))))</f>
        <v/>
      </c>
      <c r="I48" s="5">
        <f>IF(C48&lt;=0,0,IF($B$8&lt;=0,0,(1/$B$8)*D48*IF(($B$7+2*C48*SQRT(1+$B$9^2))&lt;=0,0,((D48/($B$7+2*C48*SQRT(1+$B$9^2)))^(2/3)))*SQRT($B$10)))</f>
        <v/>
      </c>
      <c r="J48" s="15">
        <f>H48+I48</f>
        <v/>
      </c>
      <c r="K48" s="4">
        <f>IF(C48&gt;0,"oui","non")</f>
        <v/>
      </c>
    </row>
    <row r="49">
      <c r="A49" s="31" t="n">
        <v>36.58</v>
      </c>
      <c r="B49" s="31">
        <f>A49-$B$12</f>
        <v/>
      </c>
      <c r="C49" s="31">
        <f>MAX(0,A49-$B$6)</f>
        <v/>
      </c>
      <c r="D49" s="5">
        <f>IF(C49&lt;=0,0,($B$7+$B$9*C49)*C49)</f>
        <v/>
      </c>
      <c r="E49" s="25">
        <f>D49*$B$11</f>
        <v/>
      </c>
      <c r="F49" s="25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33">
        <f>E49+F49</f>
        <v/>
      </c>
      <c r="H49" s="5">
        <f>IF(B49&lt;=0,0,IF(B49&gt;=INDEX(Courbe_QH_900!$A$24:$A$84,ROWS(Courbe_QH_900!$A$24:$A$84)),INDEX(Courbe_QH_900!$E$24:$E$84,ROWS(Courbe_QH_900!$E$24:$E$84)),INDEX(Courbe_QH_900!$E$24:$E$84,MATCH(B49,Courbe_QH_900!$A$24:$A$84,1))+(B49-INDEX(Courbe_QH_900!$A$24:$A$84,MATCH(B49,Courbe_QH_900!$A$24:$A$84,1)))/(INDEX(Courbe_QH_900!$A$24:$A$84,MATCH(B49,Courbe_QH_900!$A$24:$A$84,1)+1)-INDEX(Courbe_QH_900!$A$24:$A$84,MATCH(B49,Courbe_QH_900!$A$24:$A$84,1)))*(INDEX(Courbe_QH_900!$E$24:$E$84,MATCH(B49,Courbe_QH_900!$A$24:$A$84,1)+1)-INDEX(Courbe_QH_900!$E$24:$E$84,MATCH(B49,Courbe_QH_900!$A$24:$A$84,1)))))</f>
        <v/>
      </c>
      <c r="I49" s="5">
        <f>IF(C49&lt;=0,0,IF($B$8&lt;=0,0,(1/$B$8)*D49*IF(($B$7+2*C49*SQRT(1+$B$9^2))&lt;=0,0,((D49/($B$7+2*C49*SQRT(1+$B$9^2)))^(2/3)))*SQRT($B$10)))</f>
        <v/>
      </c>
      <c r="J49" s="15">
        <f>H49+I49</f>
        <v/>
      </c>
      <c r="K49" s="4">
        <f>IF(C49&gt;0,"oui","non")</f>
        <v/>
      </c>
    </row>
    <row r="50">
      <c r="A50" s="31" t="n">
        <v>36.63</v>
      </c>
      <c r="B50" s="31">
        <f>A50-$B$12</f>
        <v/>
      </c>
      <c r="C50" s="31">
        <f>MAX(0,A50-$B$6)</f>
        <v/>
      </c>
      <c r="D50" s="5">
        <f>IF(C50&lt;=0,0,($B$7+$B$9*C50)*C50)</f>
        <v/>
      </c>
      <c r="E50" s="25">
        <f>D50*$B$11</f>
        <v/>
      </c>
      <c r="F50" s="25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33">
        <f>E50+F50</f>
        <v/>
      </c>
      <c r="H50" s="5">
        <f>IF(B50&lt;=0,0,IF(B50&gt;=INDEX(Courbe_QH_900!$A$24:$A$84,ROWS(Courbe_QH_900!$A$24:$A$84)),INDEX(Courbe_QH_900!$E$24:$E$84,ROWS(Courbe_QH_900!$E$24:$E$84)),INDEX(Courbe_QH_900!$E$24:$E$84,MATCH(B50,Courbe_QH_900!$A$24:$A$84,1))+(B50-INDEX(Courbe_QH_900!$A$24:$A$84,MATCH(B50,Courbe_QH_900!$A$24:$A$84,1)))/(INDEX(Courbe_QH_900!$A$24:$A$84,MATCH(B50,Courbe_QH_900!$A$24:$A$84,1)+1)-INDEX(Courbe_QH_900!$A$24:$A$84,MATCH(B50,Courbe_QH_900!$A$24:$A$84,1)))*(INDEX(Courbe_QH_900!$E$24:$E$84,MATCH(B50,Courbe_QH_900!$A$24:$A$84,1)+1)-INDEX(Courbe_QH_900!$E$24:$E$84,MATCH(B50,Courbe_QH_900!$A$24:$A$84,1)))))</f>
        <v/>
      </c>
      <c r="I50" s="5">
        <f>IF(C50&lt;=0,0,IF($B$8&lt;=0,0,(1/$B$8)*D50*IF(($B$7+2*C50*SQRT(1+$B$9^2))&lt;=0,0,((D50/($B$7+2*C50*SQRT(1+$B$9^2)))^(2/3)))*SQRT($B$10)))</f>
        <v/>
      </c>
      <c r="J50" s="15">
        <f>H50+I50</f>
        <v/>
      </c>
      <c r="K50" s="4">
        <f>IF(C50&gt;0,"oui","non")</f>
        <v/>
      </c>
    </row>
    <row r="51">
      <c r="A51" s="31" t="n">
        <v>36.68</v>
      </c>
      <c r="B51" s="31">
        <f>A51-$B$12</f>
        <v/>
      </c>
      <c r="C51" s="31">
        <f>MAX(0,A51-$B$6)</f>
        <v/>
      </c>
      <c r="D51" s="5">
        <f>IF(C51&lt;=0,0,($B$7+$B$9*C51)*C51)</f>
        <v/>
      </c>
      <c r="E51" s="25">
        <f>D51*$B$11</f>
        <v/>
      </c>
      <c r="F51" s="25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33">
        <f>E51+F51</f>
        <v/>
      </c>
      <c r="H51" s="5">
        <f>IF(B51&lt;=0,0,IF(B51&gt;=INDEX(Courbe_QH_900!$A$24:$A$84,ROWS(Courbe_QH_900!$A$24:$A$84)),INDEX(Courbe_QH_900!$E$24:$E$84,ROWS(Courbe_QH_900!$E$24:$E$84)),INDEX(Courbe_QH_900!$E$24:$E$84,MATCH(B51,Courbe_QH_900!$A$24:$A$84,1))+(B51-INDEX(Courbe_QH_900!$A$24:$A$84,MATCH(B51,Courbe_QH_900!$A$24:$A$84,1)))/(INDEX(Courbe_QH_900!$A$24:$A$84,MATCH(B51,Courbe_QH_900!$A$24:$A$84,1)+1)-INDEX(Courbe_QH_900!$A$24:$A$84,MATCH(B51,Courbe_QH_900!$A$24:$A$84,1)))*(INDEX(Courbe_QH_900!$E$24:$E$84,MATCH(B51,Courbe_QH_900!$A$24:$A$84,1)+1)-INDEX(Courbe_QH_900!$E$24:$E$84,MATCH(B51,Courbe_QH_900!$A$24:$A$84,1)))))</f>
        <v/>
      </c>
      <c r="I51" s="5">
        <f>IF(C51&lt;=0,0,IF($B$8&lt;=0,0,(1/$B$8)*D51*IF(($B$7+2*C51*SQRT(1+$B$9^2))&lt;=0,0,((D51/($B$7+2*C51*SQRT(1+$B$9^2)))^(2/3)))*SQRT($B$10)))</f>
        <v/>
      </c>
      <c r="J51" s="15">
        <f>H51+I51</f>
        <v/>
      </c>
      <c r="K51" s="4">
        <f>IF(C51&gt;0,"oui","non")</f>
        <v/>
      </c>
    </row>
    <row r="52">
      <c r="A52" s="31" t="n">
        <v>36.73</v>
      </c>
      <c r="B52" s="31">
        <f>A52-$B$12</f>
        <v/>
      </c>
      <c r="C52" s="31">
        <f>MAX(0,A52-$B$6)</f>
        <v/>
      </c>
      <c r="D52" s="5">
        <f>IF(C52&lt;=0,0,($B$7+$B$9*C52)*C52)</f>
        <v/>
      </c>
      <c r="E52" s="25">
        <f>D52*$B$11</f>
        <v/>
      </c>
      <c r="F52" s="25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33">
        <f>E52+F52</f>
        <v/>
      </c>
      <c r="H52" s="5">
        <f>IF(B52&lt;=0,0,IF(B52&gt;=INDEX(Courbe_QH_900!$A$24:$A$84,ROWS(Courbe_QH_900!$A$24:$A$84)),INDEX(Courbe_QH_900!$E$24:$E$84,ROWS(Courbe_QH_900!$E$24:$E$84)),INDEX(Courbe_QH_900!$E$24:$E$84,MATCH(B52,Courbe_QH_900!$A$24:$A$84,1))+(B52-INDEX(Courbe_QH_900!$A$24:$A$84,MATCH(B52,Courbe_QH_900!$A$24:$A$84,1)))/(INDEX(Courbe_QH_900!$A$24:$A$84,MATCH(B52,Courbe_QH_900!$A$24:$A$84,1)+1)-INDEX(Courbe_QH_900!$A$24:$A$84,MATCH(B52,Courbe_QH_900!$A$24:$A$84,1)))*(INDEX(Courbe_QH_900!$E$24:$E$84,MATCH(B52,Courbe_QH_900!$A$24:$A$84,1)+1)-INDEX(Courbe_QH_900!$E$24:$E$84,MATCH(B52,Courbe_QH_900!$A$24:$A$84,1)))))</f>
        <v/>
      </c>
      <c r="I52" s="5">
        <f>IF(C52&lt;=0,0,IF($B$8&lt;=0,0,(1/$B$8)*D52*IF(($B$7+2*C52*SQRT(1+$B$9^2))&lt;=0,0,((D52/($B$7+2*C52*SQRT(1+$B$9^2)))^(2/3)))*SQRT($B$10)))</f>
        <v/>
      </c>
      <c r="J52" s="15">
        <f>H52+I52</f>
        <v/>
      </c>
      <c r="K52" s="4">
        <f>IF(C52&gt;0,"oui","non")</f>
        <v/>
      </c>
    </row>
    <row r="53">
      <c r="A53" s="31" t="n">
        <v>36.78</v>
      </c>
      <c r="B53" s="31">
        <f>A53-$B$12</f>
        <v/>
      </c>
      <c r="C53" s="31">
        <f>MAX(0,A53-$B$6)</f>
        <v/>
      </c>
      <c r="D53" s="5">
        <f>IF(C53&lt;=0,0,($B$7+$B$9*C53)*C53)</f>
        <v/>
      </c>
      <c r="E53" s="25">
        <f>D53*$B$11</f>
        <v/>
      </c>
      <c r="F53" s="25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33">
        <f>E53+F53</f>
        <v/>
      </c>
      <c r="H53" s="5">
        <f>IF(B53&lt;=0,0,IF(B53&gt;=INDEX(Courbe_QH_900!$A$24:$A$84,ROWS(Courbe_QH_900!$A$24:$A$84)),INDEX(Courbe_QH_900!$E$24:$E$84,ROWS(Courbe_QH_900!$E$24:$E$84)),INDEX(Courbe_QH_900!$E$24:$E$84,MATCH(B53,Courbe_QH_900!$A$24:$A$84,1))+(B53-INDEX(Courbe_QH_900!$A$24:$A$84,MATCH(B53,Courbe_QH_900!$A$24:$A$84,1)))/(INDEX(Courbe_QH_900!$A$24:$A$84,MATCH(B53,Courbe_QH_900!$A$24:$A$84,1)+1)-INDEX(Courbe_QH_900!$A$24:$A$84,MATCH(B53,Courbe_QH_900!$A$24:$A$84,1)))*(INDEX(Courbe_QH_900!$E$24:$E$84,MATCH(B53,Courbe_QH_900!$A$24:$A$84,1)+1)-INDEX(Courbe_QH_900!$E$24:$E$84,MATCH(B53,Courbe_QH_900!$A$24:$A$84,1)))))</f>
        <v/>
      </c>
      <c r="I53" s="5">
        <f>IF(C53&lt;=0,0,IF($B$8&lt;=0,0,(1/$B$8)*D53*IF(($B$7+2*C53*SQRT(1+$B$9^2))&lt;=0,0,((D53/($B$7+2*C53*SQRT(1+$B$9^2)))^(2/3)))*SQRT($B$10)))</f>
        <v/>
      </c>
      <c r="J53" s="15">
        <f>H53+I53</f>
        <v/>
      </c>
      <c r="K53" s="4">
        <f>IF(C53&gt;0,"oui","non")</f>
        <v/>
      </c>
    </row>
    <row r="54">
      <c r="A54" s="31" t="n">
        <v>36.83</v>
      </c>
      <c r="B54" s="31">
        <f>A54-$B$12</f>
        <v/>
      </c>
      <c r="C54" s="31">
        <f>MAX(0,A54-$B$6)</f>
        <v/>
      </c>
      <c r="D54" s="5">
        <f>IF(C54&lt;=0,0,($B$7+$B$9*C54)*C54)</f>
        <v/>
      </c>
      <c r="E54" s="25">
        <f>D54*$B$11</f>
        <v/>
      </c>
      <c r="F54" s="25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33">
        <f>E54+F54</f>
        <v/>
      </c>
      <c r="H54" s="5">
        <f>IF(B54&lt;=0,0,IF(B54&gt;=INDEX(Courbe_QH_900!$A$24:$A$84,ROWS(Courbe_QH_900!$A$24:$A$84)),INDEX(Courbe_QH_900!$E$24:$E$84,ROWS(Courbe_QH_900!$E$24:$E$84)),INDEX(Courbe_QH_900!$E$24:$E$84,MATCH(B54,Courbe_QH_900!$A$24:$A$84,1))+(B54-INDEX(Courbe_QH_900!$A$24:$A$84,MATCH(B54,Courbe_QH_900!$A$24:$A$84,1)))/(INDEX(Courbe_QH_900!$A$24:$A$84,MATCH(B54,Courbe_QH_900!$A$24:$A$84,1)+1)-INDEX(Courbe_QH_900!$A$24:$A$84,MATCH(B54,Courbe_QH_900!$A$24:$A$84,1)))*(INDEX(Courbe_QH_900!$E$24:$E$84,MATCH(B54,Courbe_QH_900!$A$24:$A$84,1)+1)-INDEX(Courbe_QH_900!$E$24:$E$84,MATCH(B54,Courbe_QH_900!$A$24:$A$84,1)))))</f>
        <v/>
      </c>
      <c r="I54" s="5">
        <f>IF(C54&lt;=0,0,IF($B$8&lt;=0,0,(1/$B$8)*D54*IF(($B$7+2*C54*SQRT(1+$B$9^2))&lt;=0,0,((D54/($B$7+2*C54*SQRT(1+$B$9^2)))^(2/3)))*SQRT($B$10)))</f>
        <v/>
      </c>
      <c r="J54" s="15">
        <f>H54+I54</f>
        <v/>
      </c>
      <c r="K54" s="4">
        <f>IF(C54&gt;0,"oui","non")</f>
        <v/>
      </c>
    </row>
    <row r="55">
      <c r="A55" s="31" t="n">
        <v>36.88</v>
      </c>
      <c r="B55" s="31">
        <f>A55-$B$12</f>
        <v/>
      </c>
      <c r="C55" s="31">
        <f>MAX(0,A55-$B$6)</f>
        <v/>
      </c>
      <c r="D55" s="5">
        <f>IF(C55&lt;=0,0,($B$7+$B$9*C55)*C55)</f>
        <v/>
      </c>
      <c r="E55" s="25">
        <f>D55*$B$11</f>
        <v/>
      </c>
      <c r="F55" s="25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33">
        <f>E55+F55</f>
        <v/>
      </c>
      <c r="H55" s="5">
        <f>IF(B55&lt;=0,0,IF(B55&gt;=INDEX(Courbe_QH_900!$A$24:$A$84,ROWS(Courbe_QH_900!$A$24:$A$84)),INDEX(Courbe_QH_900!$E$24:$E$84,ROWS(Courbe_QH_900!$E$24:$E$84)),INDEX(Courbe_QH_900!$E$24:$E$84,MATCH(B55,Courbe_QH_900!$A$24:$A$84,1))+(B55-INDEX(Courbe_QH_900!$A$24:$A$84,MATCH(B55,Courbe_QH_900!$A$24:$A$84,1)))/(INDEX(Courbe_QH_900!$A$24:$A$84,MATCH(B55,Courbe_QH_900!$A$24:$A$84,1)+1)-INDEX(Courbe_QH_900!$A$24:$A$84,MATCH(B55,Courbe_QH_900!$A$24:$A$84,1)))*(INDEX(Courbe_QH_900!$E$24:$E$84,MATCH(B55,Courbe_QH_900!$A$24:$A$84,1)+1)-INDEX(Courbe_QH_900!$E$24:$E$84,MATCH(B55,Courbe_QH_900!$A$24:$A$84,1)))))</f>
        <v/>
      </c>
      <c r="I55" s="5">
        <f>IF(C55&lt;=0,0,IF($B$8&lt;=0,0,(1/$B$8)*D55*IF(($B$7+2*C55*SQRT(1+$B$9^2))&lt;=0,0,((D55/($B$7+2*C55*SQRT(1+$B$9^2)))^(2/3)))*SQRT($B$10)))</f>
        <v/>
      </c>
      <c r="J55" s="15">
        <f>H55+I55</f>
        <v/>
      </c>
      <c r="K55" s="4">
        <f>IF(C55&gt;0,"oui","non")</f>
        <v/>
      </c>
    </row>
    <row r="56">
      <c r="A56" s="31" t="n">
        <v>36.93</v>
      </c>
      <c r="B56" s="31">
        <f>A56-$B$12</f>
        <v/>
      </c>
      <c r="C56" s="31">
        <f>MAX(0,A56-$B$6)</f>
        <v/>
      </c>
      <c r="D56" s="5">
        <f>IF(C56&lt;=0,0,($B$7+$B$9*C56)*C56)</f>
        <v/>
      </c>
      <c r="E56" s="25">
        <f>D56*$B$11</f>
        <v/>
      </c>
      <c r="F56" s="25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33">
        <f>E56+F56</f>
        <v/>
      </c>
      <c r="H56" s="5">
        <f>IF(B56&lt;=0,0,IF(B56&gt;=INDEX(Courbe_QH_900!$A$24:$A$84,ROWS(Courbe_QH_900!$A$24:$A$84)),INDEX(Courbe_QH_900!$E$24:$E$84,ROWS(Courbe_QH_900!$E$24:$E$84)),INDEX(Courbe_QH_900!$E$24:$E$84,MATCH(B56,Courbe_QH_900!$A$24:$A$84,1))+(B56-INDEX(Courbe_QH_900!$A$24:$A$84,MATCH(B56,Courbe_QH_900!$A$24:$A$84,1)))/(INDEX(Courbe_QH_900!$A$24:$A$84,MATCH(B56,Courbe_QH_900!$A$24:$A$84,1)+1)-INDEX(Courbe_QH_900!$A$24:$A$84,MATCH(B56,Courbe_QH_900!$A$24:$A$84,1)))*(INDEX(Courbe_QH_900!$E$24:$E$84,MATCH(B56,Courbe_QH_900!$A$24:$A$84,1)+1)-INDEX(Courbe_QH_900!$E$24:$E$84,MATCH(B56,Courbe_QH_900!$A$24:$A$84,1)))))</f>
        <v/>
      </c>
      <c r="I56" s="5">
        <f>IF(C56&lt;=0,0,IF($B$8&lt;=0,0,(1/$B$8)*D56*IF(($B$7+2*C56*SQRT(1+$B$9^2))&lt;=0,0,((D56/($B$7+2*C56*SQRT(1+$B$9^2)))^(2/3)))*SQRT($B$10)))</f>
        <v/>
      </c>
      <c r="J56" s="15">
        <f>H56+I56</f>
        <v/>
      </c>
      <c r="K56" s="4">
        <f>IF(C56&gt;0,"oui","non")</f>
        <v/>
      </c>
    </row>
    <row r="57">
      <c r="A57" s="31" t="n">
        <v>36.98</v>
      </c>
      <c r="B57" s="31">
        <f>A57-$B$12</f>
        <v/>
      </c>
      <c r="C57" s="31">
        <f>MAX(0,A57-$B$6)</f>
        <v/>
      </c>
      <c r="D57" s="5">
        <f>IF(C57&lt;=0,0,($B$7+$B$9*C57)*C57)</f>
        <v/>
      </c>
      <c r="E57" s="25">
        <f>D57*$B$11</f>
        <v/>
      </c>
      <c r="F57" s="25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33">
        <f>E57+F57</f>
        <v/>
      </c>
      <c r="H57" s="5">
        <f>IF(B57&lt;=0,0,IF(B57&gt;=INDEX(Courbe_QH_900!$A$24:$A$84,ROWS(Courbe_QH_900!$A$24:$A$84)),INDEX(Courbe_QH_900!$E$24:$E$84,ROWS(Courbe_QH_900!$E$24:$E$84)),INDEX(Courbe_QH_900!$E$24:$E$84,MATCH(B57,Courbe_QH_900!$A$24:$A$84,1))+(B57-INDEX(Courbe_QH_900!$A$24:$A$84,MATCH(B57,Courbe_QH_900!$A$24:$A$84,1)))/(INDEX(Courbe_QH_900!$A$24:$A$84,MATCH(B57,Courbe_QH_900!$A$24:$A$84,1)+1)-INDEX(Courbe_QH_900!$A$24:$A$84,MATCH(B57,Courbe_QH_900!$A$24:$A$84,1)))*(INDEX(Courbe_QH_900!$E$24:$E$84,MATCH(B57,Courbe_QH_900!$A$24:$A$84,1)+1)-INDEX(Courbe_QH_900!$E$24:$E$84,MATCH(B57,Courbe_QH_900!$A$24:$A$84,1)))))</f>
        <v/>
      </c>
      <c r="I57" s="5">
        <f>IF(C57&lt;=0,0,IF($B$8&lt;=0,0,(1/$B$8)*D57*IF(($B$7+2*C57*SQRT(1+$B$9^2))&lt;=0,0,((D57/($B$7+2*C57*SQRT(1+$B$9^2)))^(2/3)))*SQRT($B$10)))</f>
        <v/>
      </c>
      <c r="J57" s="15">
        <f>H57+I57</f>
        <v/>
      </c>
      <c r="K57" s="4">
        <f>IF(C57&gt;0,"oui","non")</f>
        <v/>
      </c>
    </row>
    <row r="58">
      <c r="A58" s="31" t="n">
        <v>37.03</v>
      </c>
      <c r="B58" s="31">
        <f>A58-$B$12</f>
        <v/>
      </c>
      <c r="C58" s="31">
        <f>MAX(0,A58-$B$6)</f>
        <v/>
      </c>
      <c r="D58" s="5">
        <f>IF(C58&lt;=0,0,($B$7+$B$9*C58)*C58)</f>
        <v/>
      </c>
      <c r="E58" s="25">
        <f>D58*$B$11</f>
        <v/>
      </c>
      <c r="F58" s="25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33">
        <f>E58+F58</f>
        <v/>
      </c>
      <c r="H58" s="5">
        <f>IF(B58&lt;=0,0,IF(B58&gt;=INDEX(Courbe_QH_900!$A$24:$A$84,ROWS(Courbe_QH_900!$A$24:$A$84)),INDEX(Courbe_QH_900!$E$24:$E$84,ROWS(Courbe_QH_900!$E$24:$E$84)),INDEX(Courbe_QH_900!$E$24:$E$84,MATCH(B58,Courbe_QH_900!$A$24:$A$84,1))+(B58-INDEX(Courbe_QH_900!$A$24:$A$84,MATCH(B58,Courbe_QH_900!$A$24:$A$84,1)))/(INDEX(Courbe_QH_900!$A$24:$A$84,MATCH(B58,Courbe_QH_900!$A$24:$A$84,1)+1)-INDEX(Courbe_QH_900!$A$24:$A$84,MATCH(B58,Courbe_QH_900!$A$24:$A$84,1)))*(INDEX(Courbe_QH_900!$E$24:$E$84,MATCH(B58,Courbe_QH_900!$A$24:$A$84,1)+1)-INDEX(Courbe_QH_900!$E$24:$E$84,MATCH(B58,Courbe_QH_900!$A$24:$A$84,1)))))</f>
        <v/>
      </c>
      <c r="I58" s="5">
        <f>IF(C58&lt;=0,0,IF($B$8&lt;=0,0,(1/$B$8)*D58*IF(($B$7+2*C58*SQRT(1+$B$9^2))&lt;=0,0,((D58/($B$7+2*C58*SQRT(1+$B$9^2)))^(2/3)))*SQRT($B$10)))</f>
        <v/>
      </c>
      <c r="J58" s="15">
        <f>H58+I58</f>
        <v/>
      </c>
      <c r="K58" s="4">
        <f>IF(C58&gt;0,"oui","non")</f>
        <v/>
      </c>
    </row>
    <row r="59">
      <c r="A59" s="31" t="n">
        <v>37.08</v>
      </c>
      <c r="B59" s="31">
        <f>A59-$B$12</f>
        <v/>
      </c>
      <c r="C59" s="31">
        <f>MAX(0,A59-$B$6)</f>
        <v/>
      </c>
      <c r="D59" s="5">
        <f>IF(C59&lt;=0,0,($B$7+$B$9*C59)*C59)</f>
        <v/>
      </c>
      <c r="E59" s="25">
        <f>D59*$B$11</f>
        <v/>
      </c>
      <c r="F59" s="25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33">
        <f>E59+F59</f>
        <v/>
      </c>
      <c r="H59" s="5">
        <f>IF(B59&lt;=0,0,IF(B59&gt;=INDEX(Courbe_QH_900!$A$24:$A$84,ROWS(Courbe_QH_900!$A$24:$A$84)),INDEX(Courbe_QH_900!$E$24:$E$84,ROWS(Courbe_QH_900!$E$24:$E$84)),INDEX(Courbe_QH_900!$E$24:$E$84,MATCH(B59,Courbe_QH_900!$A$24:$A$84,1))+(B59-INDEX(Courbe_QH_900!$A$24:$A$84,MATCH(B59,Courbe_QH_900!$A$24:$A$84,1)))/(INDEX(Courbe_QH_900!$A$24:$A$84,MATCH(B59,Courbe_QH_900!$A$24:$A$84,1)+1)-INDEX(Courbe_QH_900!$A$24:$A$84,MATCH(B59,Courbe_QH_900!$A$24:$A$84,1)))*(INDEX(Courbe_QH_900!$E$24:$E$84,MATCH(B59,Courbe_QH_900!$A$24:$A$84,1)+1)-INDEX(Courbe_QH_900!$E$24:$E$84,MATCH(B59,Courbe_QH_900!$A$24:$A$84,1)))))</f>
        <v/>
      </c>
      <c r="I59" s="5">
        <f>IF(C59&lt;=0,0,IF($B$8&lt;=0,0,(1/$B$8)*D59*IF(($B$7+2*C59*SQRT(1+$B$9^2))&lt;=0,0,((D59/($B$7+2*C59*SQRT(1+$B$9^2)))^(2/3)))*SQRT($B$10)))</f>
        <v/>
      </c>
      <c r="J59" s="15">
        <f>H59+I59</f>
        <v/>
      </c>
      <c r="K59" s="4">
        <f>IF(C59&gt;0,"oui","non")</f>
        <v/>
      </c>
    </row>
    <row r="60">
      <c r="A60" s="31" t="n">
        <v>37.13</v>
      </c>
      <c r="B60" s="31">
        <f>A60-$B$12</f>
        <v/>
      </c>
      <c r="C60" s="31">
        <f>MAX(0,A60-$B$6)</f>
        <v/>
      </c>
      <c r="D60" s="5">
        <f>IF(C60&lt;=0,0,($B$7+$B$9*C60)*C60)</f>
        <v/>
      </c>
      <c r="E60" s="25">
        <f>D60*$B$11</f>
        <v/>
      </c>
      <c r="F60" s="25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33">
        <f>E60+F60</f>
        <v/>
      </c>
      <c r="H60" s="5">
        <f>IF(B60&lt;=0,0,IF(B60&gt;=INDEX(Courbe_QH_900!$A$24:$A$84,ROWS(Courbe_QH_900!$A$24:$A$84)),INDEX(Courbe_QH_900!$E$24:$E$84,ROWS(Courbe_QH_900!$E$24:$E$84)),INDEX(Courbe_QH_900!$E$24:$E$84,MATCH(B60,Courbe_QH_900!$A$24:$A$84,1))+(B60-INDEX(Courbe_QH_900!$A$24:$A$84,MATCH(B60,Courbe_QH_900!$A$24:$A$84,1)))/(INDEX(Courbe_QH_900!$A$24:$A$84,MATCH(B60,Courbe_QH_900!$A$24:$A$84,1)+1)-INDEX(Courbe_QH_900!$A$24:$A$84,MATCH(B60,Courbe_QH_900!$A$24:$A$84,1)))*(INDEX(Courbe_QH_900!$E$24:$E$84,MATCH(B60,Courbe_QH_900!$A$24:$A$84,1)+1)-INDEX(Courbe_QH_900!$E$24:$E$84,MATCH(B60,Courbe_QH_900!$A$24:$A$84,1)))))</f>
        <v/>
      </c>
      <c r="I60" s="5">
        <f>IF(C60&lt;=0,0,IF($B$8&lt;=0,0,(1/$B$8)*D60*IF(($B$7+2*C60*SQRT(1+$B$9^2))&lt;=0,0,((D60/($B$7+2*C60*SQRT(1+$B$9^2)))^(2/3)))*SQRT($B$10)))</f>
        <v/>
      </c>
      <c r="J60" s="15">
        <f>H60+I60</f>
        <v/>
      </c>
      <c r="K60" s="4">
        <f>IF(C60&gt;0,"oui","non")</f>
        <v/>
      </c>
    </row>
    <row r="61">
      <c r="A61" s="31" t="n">
        <v>37.18</v>
      </c>
      <c r="B61" s="31">
        <f>A61-$B$12</f>
        <v/>
      </c>
      <c r="C61" s="31">
        <f>MAX(0,A61-$B$6)</f>
        <v/>
      </c>
      <c r="D61" s="5">
        <f>IF(C61&lt;=0,0,($B$7+$B$9*C61)*C61)</f>
        <v/>
      </c>
      <c r="E61" s="25">
        <f>D61*$B$11</f>
        <v/>
      </c>
      <c r="F61" s="25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33">
        <f>E61+F61</f>
        <v/>
      </c>
      <c r="H61" s="5">
        <f>IF(B61&lt;=0,0,IF(B61&gt;=INDEX(Courbe_QH_900!$A$24:$A$84,ROWS(Courbe_QH_900!$A$24:$A$84)),INDEX(Courbe_QH_900!$E$24:$E$84,ROWS(Courbe_QH_900!$E$24:$E$84)),INDEX(Courbe_QH_900!$E$24:$E$84,MATCH(B61,Courbe_QH_900!$A$24:$A$84,1))+(B61-INDEX(Courbe_QH_900!$A$24:$A$84,MATCH(B61,Courbe_QH_900!$A$24:$A$84,1)))/(INDEX(Courbe_QH_900!$A$24:$A$84,MATCH(B61,Courbe_QH_900!$A$24:$A$84,1)+1)-INDEX(Courbe_QH_900!$A$24:$A$84,MATCH(B61,Courbe_QH_900!$A$24:$A$84,1)))*(INDEX(Courbe_QH_900!$E$24:$E$84,MATCH(B61,Courbe_QH_900!$A$24:$A$84,1)+1)-INDEX(Courbe_QH_900!$E$24:$E$84,MATCH(B61,Courbe_QH_900!$A$24:$A$84,1)))))</f>
        <v/>
      </c>
      <c r="I61" s="5">
        <f>IF(C61&lt;=0,0,IF($B$8&lt;=0,0,(1/$B$8)*D61*IF(($B$7+2*C61*SQRT(1+$B$9^2))&lt;=0,0,((D61/($B$7+2*C61*SQRT(1+$B$9^2)))^(2/3)))*SQRT($B$10)))</f>
        <v/>
      </c>
      <c r="J61" s="15">
        <f>H61+I61</f>
        <v/>
      </c>
      <c r="K61" s="4">
        <f>IF(C61&gt;0,"oui","non")</f>
        <v/>
      </c>
    </row>
    <row r="62">
      <c r="A62" s="31" t="n">
        <v>37.23</v>
      </c>
      <c r="B62" s="31">
        <f>A62-$B$12</f>
        <v/>
      </c>
      <c r="C62" s="31">
        <f>MAX(0,A62-$B$6)</f>
        <v/>
      </c>
      <c r="D62" s="5">
        <f>IF(C62&lt;=0,0,($B$7+$B$9*C62)*C62)</f>
        <v/>
      </c>
      <c r="E62" s="25">
        <f>D62*$B$11</f>
        <v/>
      </c>
      <c r="F62" s="25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33">
        <f>E62+F62</f>
        <v/>
      </c>
      <c r="H62" s="5">
        <f>IF(B62&lt;=0,0,IF(B62&gt;=INDEX(Courbe_QH_900!$A$24:$A$84,ROWS(Courbe_QH_900!$A$24:$A$84)),INDEX(Courbe_QH_900!$E$24:$E$84,ROWS(Courbe_QH_900!$E$24:$E$84)),INDEX(Courbe_QH_900!$E$24:$E$84,MATCH(B62,Courbe_QH_900!$A$24:$A$84,1))+(B62-INDEX(Courbe_QH_900!$A$24:$A$84,MATCH(B62,Courbe_QH_900!$A$24:$A$84,1)))/(INDEX(Courbe_QH_900!$A$24:$A$84,MATCH(B62,Courbe_QH_900!$A$24:$A$84,1)+1)-INDEX(Courbe_QH_900!$A$24:$A$84,MATCH(B62,Courbe_QH_900!$A$24:$A$84,1)))*(INDEX(Courbe_QH_900!$E$24:$E$84,MATCH(B62,Courbe_QH_900!$A$24:$A$84,1)+1)-INDEX(Courbe_QH_900!$E$24:$E$84,MATCH(B62,Courbe_QH_900!$A$24:$A$84,1)))))</f>
        <v/>
      </c>
      <c r="I62" s="5">
        <f>IF(C62&lt;=0,0,IF($B$8&lt;=0,0,(1/$B$8)*D62*IF(($B$7+2*C62*SQRT(1+$B$9^2))&lt;=0,0,((D62/($B$7+2*C62*SQRT(1+$B$9^2)))^(2/3)))*SQRT($B$10)))</f>
        <v/>
      </c>
      <c r="J62" s="15">
        <f>H62+I62</f>
        <v/>
      </c>
      <c r="K62" s="4">
        <f>IF(C62&gt;0,"oui","non")</f>
        <v/>
      </c>
    </row>
    <row r="63">
      <c r="A63" s="31" t="n">
        <v>37.28</v>
      </c>
      <c r="B63" s="31">
        <f>A63-$B$12</f>
        <v/>
      </c>
      <c r="C63" s="31">
        <f>MAX(0,A63-$B$6)</f>
        <v/>
      </c>
      <c r="D63" s="5">
        <f>IF(C63&lt;=0,0,($B$7+$B$9*C63)*C63)</f>
        <v/>
      </c>
      <c r="E63" s="25">
        <f>D63*$B$11</f>
        <v/>
      </c>
      <c r="F63" s="25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33">
        <f>E63+F63</f>
        <v/>
      </c>
      <c r="H63" s="5">
        <f>IF(B63&lt;=0,0,IF(B63&gt;=INDEX(Courbe_QH_900!$A$24:$A$84,ROWS(Courbe_QH_900!$A$24:$A$84)),INDEX(Courbe_QH_900!$E$24:$E$84,ROWS(Courbe_QH_900!$E$24:$E$84)),INDEX(Courbe_QH_900!$E$24:$E$84,MATCH(B63,Courbe_QH_900!$A$24:$A$84,1))+(B63-INDEX(Courbe_QH_900!$A$24:$A$84,MATCH(B63,Courbe_QH_900!$A$24:$A$84,1)))/(INDEX(Courbe_QH_900!$A$24:$A$84,MATCH(B63,Courbe_QH_900!$A$24:$A$84,1)+1)-INDEX(Courbe_QH_900!$A$24:$A$84,MATCH(B63,Courbe_QH_900!$A$24:$A$84,1)))*(INDEX(Courbe_QH_900!$E$24:$E$84,MATCH(B63,Courbe_QH_900!$A$24:$A$84,1)+1)-INDEX(Courbe_QH_900!$E$24:$E$84,MATCH(B63,Courbe_QH_900!$A$24:$A$84,1)))))</f>
        <v/>
      </c>
      <c r="I63" s="5">
        <f>IF(C63&lt;=0,0,IF($B$8&lt;=0,0,(1/$B$8)*D63*IF(($B$7+2*C63*SQRT(1+$B$9^2))&lt;=0,0,((D63/($B$7+2*C63*SQRT(1+$B$9^2)))^(2/3)))*SQRT($B$10)))</f>
        <v/>
      </c>
      <c r="J63" s="15">
        <f>H63+I63</f>
        <v/>
      </c>
      <c r="K63" s="4">
        <f>IF(C63&gt;0,"oui","non")</f>
        <v/>
      </c>
    </row>
    <row r="64">
      <c r="A64" s="31" t="n">
        <v>37.33</v>
      </c>
      <c r="B64" s="31">
        <f>A64-$B$12</f>
        <v/>
      </c>
      <c r="C64" s="31">
        <f>MAX(0,A64-$B$6)</f>
        <v/>
      </c>
      <c r="D64" s="5">
        <f>IF(C64&lt;=0,0,($B$7+$B$9*C64)*C64)</f>
        <v/>
      </c>
      <c r="E64" s="25">
        <f>D64*$B$11</f>
        <v/>
      </c>
      <c r="F64" s="25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33">
        <f>E64+F64</f>
        <v/>
      </c>
      <c r="H64" s="5">
        <f>IF(B64&lt;=0,0,IF(B64&gt;=INDEX(Courbe_QH_900!$A$24:$A$84,ROWS(Courbe_QH_900!$A$24:$A$84)),INDEX(Courbe_QH_900!$E$24:$E$84,ROWS(Courbe_QH_900!$E$24:$E$84)),INDEX(Courbe_QH_900!$E$24:$E$84,MATCH(B64,Courbe_QH_900!$A$24:$A$84,1))+(B64-INDEX(Courbe_QH_900!$A$24:$A$84,MATCH(B64,Courbe_QH_900!$A$24:$A$84,1)))/(INDEX(Courbe_QH_900!$A$24:$A$84,MATCH(B64,Courbe_QH_900!$A$24:$A$84,1)+1)-INDEX(Courbe_QH_900!$A$24:$A$84,MATCH(B64,Courbe_QH_900!$A$24:$A$84,1)))*(INDEX(Courbe_QH_900!$E$24:$E$84,MATCH(B64,Courbe_QH_900!$A$24:$A$84,1)+1)-INDEX(Courbe_QH_900!$E$24:$E$84,MATCH(B64,Courbe_QH_900!$A$24:$A$84,1)))))</f>
        <v/>
      </c>
      <c r="I64" s="5">
        <f>IF(C64&lt;=0,0,IF($B$8&lt;=0,0,(1/$B$8)*D64*IF(($B$7+2*C64*SQRT(1+$B$9^2))&lt;=0,0,((D64/($B$7+2*C64*SQRT(1+$B$9^2)))^(2/3)))*SQRT($B$10)))</f>
        <v/>
      </c>
      <c r="J64" s="15">
        <f>H64+I64</f>
        <v/>
      </c>
      <c r="K64" s="4">
        <f>IF(C64&gt;0,"oui","non")</f>
        <v/>
      </c>
    </row>
    <row r="65">
      <c r="A65" s="31" t="n">
        <v>37.38</v>
      </c>
      <c r="B65" s="31">
        <f>A65-$B$12</f>
        <v/>
      </c>
      <c r="C65" s="31">
        <f>MAX(0,A65-$B$6)</f>
        <v/>
      </c>
      <c r="D65" s="5">
        <f>IF(C65&lt;=0,0,($B$7+$B$9*C65)*C65)</f>
        <v/>
      </c>
      <c r="E65" s="25">
        <f>D65*$B$11</f>
        <v/>
      </c>
      <c r="F65" s="25">
        <f>IF(A65&lt;=INDEX(Stage_Storage!$A$11:$A$18,1),INDEX(Stage_Storage!$E$11:$E$18,1),IF(A65&gt;=INDEX(Stage_Storage!$A$11:$A$18,ROWS(Stage_Storage!$A$11:$A$18)),INDEX(Stage_Storage!$E$11:$E$18,ROWS(Stage_Storage!$E$11:$E$18)),INDEX(Stage_Storage!$E$11:$E$18,MATCH(A65,Stage_Storage!$A$11:$A$18,1))+(A65-INDEX(Stage_Storage!$A$11:$A$18,MATCH(A65,Stage_Storage!$A$11:$A$18,1)))/(INDEX(Stage_Storage!$A$11:$A$18,MATCH(A65,Stage_Storage!$A$11:$A$18,1)+1)-INDEX(Stage_Storage!$A$11:$A$18,MATCH(A65,Stage_Storage!$A$11:$A$18,1)))*(INDEX(Stage_Storage!$E$11:$E$18,MATCH(A65,Stage_Storage!$A$11:$A$18,1)+1)-INDEX(Stage_Storage!$E$11:$E$18,MATCH(A65,Stage_Storage!$A$11:$A$18,1)))))</f>
        <v/>
      </c>
      <c r="G65" s="33">
        <f>E65+F65</f>
        <v/>
      </c>
      <c r="H65" s="5">
        <f>IF(B65&lt;=0,0,IF(B65&gt;=INDEX(Courbe_QH_900!$A$24:$A$84,ROWS(Courbe_QH_900!$A$24:$A$84)),INDEX(Courbe_QH_900!$E$24:$E$84,ROWS(Courbe_QH_900!$E$24:$E$84)),INDEX(Courbe_QH_900!$E$24:$E$84,MATCH(B65,Courbe_QH_900!$A$24:$A$84,1))+(B65-INDEX(Courbe_QH_900!$A$24:$A$84,MATCH(B65,Courbe_QH_900!$A$24:$A$84,1)))/(INDEX(Courbe_QH_900!$A$24:$A$84,MATCH(B65,Courbe_QH_900!$A$24:$A$84,1)+1)-INDEX(Courbe_QH_900!$A$24:$A$84,MATCH(B65,Courbe_QH_900!$A$24:$A$84,1)))*(INDEX(Courbe_QH_900!$E$24:$E$84,MATCH(B65,Courbe_QH_900!$A$24:$A$84,1)+1)-INDEX(Courbe_QH_900!$E$24:$E$84,MATCH(B65,Courbe_QH_900!$A$24:$A$84,1)))))</f>
        <v/>
      </c>
      <c r="I65" s="5">
        <f>IF(C65&lt;=0,0,IF($B$8&lt;=0,0,(1/$B$8)*D65*IF(($B$7+2*C65*SQRT(1+$B$9^2))&lt;=0,0,((D65/($B$7+2*C65*SQRT(1+$B$9^2)))^(2/3)))*SQRT($B$10)))</f>
        <v/>
      </c>
      <c r="J65" s="15">
        <f>H65+I65</f>
        <v/>
      </c>
      <c r="K65" s="4">
        <f>IF(C65&gt;0,"oui","non")</f>
        <v/>
      </c>
    </row>
    <row r="66">
      <c r="A66" s="31" t="n">
        <v>37.43</v>
      </c>
      <c r="B66" s="31">
        <f>A66-$B$12</f>
        <v/>
      </c>
      <c r="C66" s="31">
        <f>MAX(0,A66-$B$6)</f>
        <v/>
      </c>
      <c r="D66" s="5">
        <f>IF(C66&lt;=0,0,($B$7+$B$9*C66)*C66)</f>
        <v/>
      </c>
      <c r="E66" s="25">
        <f>D66*$B$11</f>
        <v/>
      </c>
      <c r="F66" s="25">
        <f>IF(A66&lt;=INDEX(Stage_Storage!$A$11:$A$18,1),INDEX(Stage_Storage!$E$11:$E$18,1),IF(A66&gt;=INDEX(Stage_Storage!$A$11:$A$18,ROWS(Stage_Storage!$A$11:$A$18)),INDEX(Stage_Storage!$E$11:$E$18,ROWS(Stage_Storage!$E$11:$E$18)),INDEX(Stage_Storage!$E$11:$E$18,MATCH(A66,Stage_Storage!$A$11:$A$18,1))+(A66-INDEX(Stage_Storage!$A$11:$A$18,MATCH(A66,Stage_Storage!$A$11:$A$18,1)))/(INDEX(Stage_Storage!$A$11:$A$18,MATCH(A66,Stage_Storage!$A$11:$A$18,1)+1)-INDEX(Stage_Storage!$A$11:$A$18,MATCH(A66,Stage_Storage!$A$11:$A$18,1)))*(INDEX(Stage_Storage!$E$11:$E$18,MATCH(A66,Stage_Storage!$A$11:$A$18,1)+1)-INDEX(Stage_Storage!$E$11:$E$18,MATCH(A66,Stage_Storage!$A$11:$A$18,1)))))</f>
        <v/>
      </c>
      <c r="G66" s="33">
        <f>E66+F66</f>
        <v/>
      </c>
      <c r="H66" s="5">
        <f>IF(B66&lt;=0,0,IF(B66&gt;=INDEX(Courbe_QH_900!$A$24:$A$84,ROWS(Courbe_QH_900!$A$24:$A$84)),INDEX(Courbe_QH_900!$E$24:$E$84,ROWS(Courbe_QH_900!$E$24:$E$84)),INDEX(Courbe_QH_900!$E$24:$E$84,MATCH(B66,Courbe_QH_900!$A$24:$A$84,1))+(B66-INDEX(Courbe_QH_900!$A$24:$A$84,MATCH(B66,Courbe_QH_900!$A$24:$A$84,1)))/(INDEX(Courbe_QH_900!$A$24:$A$84,MATCH(B66,Courbe_QH_900!$A$24:$A$84,1)+1)-INDEX(Courbe_QH_900!$A$24:$A$84,MATCH(B66,Courbe_QH_900!$A$24:$A$84,1)))*(INDEX(Courbe_QH_900!$E$24:$E$84,MATCH(B66,Courbe_QH_900!$A$24:$A$84,1)+1)-INDEX(Courbe_QH_900!$E$24:$E$84,MATCH(B66,Courbe_QH_900!$A$24:$A$84,1)))))</f>
        <v/>
      </c>
      <c r="I66" s="5">
        <f>IF(C66&lt;=0,0,IF($B$8&lt;=0,0,(1/$B$8)*D66*IF(($B$7+2*C66*SQRT(1+$B$9^2))&lt;=0,0,((D66/($B$7+2*C66*SQRT(1+$B$9^2)))^(2/3)))*SQRT($B$10)))</f>
        <v/>
      </c>
      <c r="J66" s="15">
        <f>H66+I66</f>
        <v/>
      </c>
      <c r="K66" s="4">
        <f>IF(C66&gt;0,"oui","non")</f>
        <v/>
      </c>
    </row>
    <row r="67">
      <c r="A67" s="31" t="n">
        <v>37.48</v>
      </c>
      <c r="B67" s="31">
        <f>A67-$B$12</f>
        <v/>
      </c>
      <c r="C67" s="31">
        <f>MAX(0,A67-$B$6)</f>
        <v/>
      </c>
      <c r="D67" s="5">
        <f>IF(C67&lt;=0,0,($B$7+$B$9*C67)*C67)</f>
        <v/>
      </c>
      <c r="E67" s="25">
        <f>D67*$B$11</f>
        <v/>
      </c>
      <c r="F67" s="25">
        <f>IF(A67&lt;=INDEX(Stage_Storage!$A$11:$A$18,1),INDEX(Stage_Storage!$E$11:$E$18,1),IF(A67&gt;=INDEX(Stage_Storage!$A$11:$A$18,ROWS(Stage_Storage!$A$11:$A$18)),INDEX(Stage_Storage!$E$11:$E$18,ROWS(Stage_Storage!$E$11:$E$18)),INDEX(Stage_Storage!$E$11:$E$18,MATCH(A67,Stage_Storage!$A$11:$A$18,1))+(A67-INDEX(Stage_Storage!$A$11:$A$18,MATCH(A67,Stage_Storage!$A$11:$A$18,1)))/(INDEX(Stage_Storage!$A$11:$A$18,MATCH(A67,Stage_Storage!$A$11:$A$18,1)+1)-INDEX(Stage_Storage!$A$11:$A$18,MATCH(A67,Stage_Storage!$A$11:$A$18,1)))*(INDEX(Stage_Storage!$E$11:$E$18,MATCH(A67,Stage_Storage!$A$11:$A$18,1)+1)-INDEX(Stage_Storage!$E$11:$E$18,MATCH(A67,Stage_Storage!$A$11:$A$18,1)))))</f>
        <v/>
      </c>
      <c r="G67" s="33">
        <f>E67+F67</f>
        <v/>
      </c>
      <c r="H67" s="5">
        <f>IF(B67&lt;=0,0,IF(B67&gt;=INDEX(Courbe_QH_900!$A$24:$A$84,ROWS(Courbe_QH_900!$A$24:$A$84)),INDEX(Courbe_QH_900!$E$24:$E$84,ROWS(Courbe_QH_900!$E$24:$E$84)),INDEX(Courbe_QH_900!$E$24:$E$84,MATCH(B67,Courbe_QH_900!$A$24:$A$84,1))+(B67-INDEX(Courbe_QH_900!$A$24:$A$84,MATCH(B67,Courbe_QH_900!$A$24:$A$84,1)))/(INDEX(Courbe_QH_900!$A$24:$A$84,MATCH(B67,Courbe_QH_900!$A$24:$A$84,1)+1)-INDEX(Courbe_QH_900!$A$24:$A$84,MATCH(B67,Courbe_QH_900!$A$24:$A$84,1)))*(INDEX(Courbe_QH_900!$E$24:$E$84,MATCH(B67,Courbe_QH_900!$A$24:$A$84,1)+1)-INDEX(Courbe_QH_900!$E$24:$E$84,MATCH(B67,Courbe_QH_900!$A$24:$A$84,1)))))</f>
        <v/>
      </c>
      <c r="I67" s="5">
        <f>IF(C67&lt;=0,0,IF($B$8&lt;=0,0,(1/$B$8)*D67*IF(($B$7+2*C67*SQRT(1+$B$9^2))&lt;=0,0,((D67/($B$7+2*C67*SQRT(1+$B$9^2)))^(2/3)))*SQRT($B$10)))</f>
        <v/>
      </c>
      <c r="J67" s="15">
        <f>H67+I67</f>
        <v/>
      </c>
      <c r="K67" s="4">
        <f>IF(C67&gt;0,"oui","non")</f>
        <v/>
      </c>
    </row>
    <row r="68">
      <c r="A68" s="31" t="n">
        <v>37.53</v>
      </c>
      <c r="B68" s="31">
        <f>A68-$B$12</f>
        <v/>
      </c>
      <c r="C68" s="31">
        <f>MAX(0,A68-$B$6)</f>
        <v/>
      </c>
      <c r="D68" s="5">
        <f>IF(C68&lt;=0,0,($B$7+$B$9*C68)*C68)</f>
        <v/>
      </c>
      <c r="E68" s="25">
        <f>D68*$B$11</f>
        <v/>
      </c>
      <c r="F68" s="25">
        <f>IF(A68&lt;=INDEX(Stage_Storage!$A$11:$A$18,1),INDEX(Stage_Storage!$E$11:$E$18,1),IF(A68&gt;=INDEX(Stage_Storage!$A$11:$A$18,ROWS(Stage_Storage!$A$11:$A$18)),INDEX(Stage_Storage!$E$11:$E$18,ROWS(Stage_Storage!$E$11:$E$18)),INDEX(Stage_Storage!$E$11:$E$18,MATCH(A68,Stage_Storage!$A$11:$A$18,1))+(A68-INDEX(Stage_Storage!$A$11:$A$18,MATCH(A68,Stage_Storage!$A$11:$A$18,1)))/(INDEX(Stage_Storage!$A$11:$A$18,MATCH(A68,Stage_Storage!$A$11:$A$18,1)+1)-INDEX(Stage_Storage!$A$11:$A$18,MATCH(A68,Stage_Storage!$A$11:$A$18,1)))*(INDEX(Stage_Storage!$E$11:$E$18,MATCH(A68,Stage_Storage!$A$11:$A$18,1)+1)-INDEX(Stage_Storage!$E$11:$E$18,MATCH(A68,Stage_Storage!$A$11:$A$18,1)))))</f>
        <v/>
      </c>
      <c r="G68" s="33">
        <f>E68+F68</f>
        <v/>
      </c>
      <c r="H68" s="5">
        <f>IF(B68&lt;=0,0,IF(B68&gt;=INDEX(Courbe_QH_900!$A$24:$A$84,ROWS(Courbe_QH_900!$A$24:$A$84)),INDEX(Courbe_QH_900!$E$24:$E$84,ROWS(Courbe_QH_900!$E$24:$E$84)),INDEX(Courbe_QH_900!$E$24:$E$84,MATCH(B68,Courbe_QH_900!$A$24:$A$84,1))+(B68-INDEX(Courbe_QH_900!$A$24:$A$84,MATCH(B68,Courbe_QH_900!$A$24:$A$84,1)))/(INDEX(Courbe_QH_900!$A$24:$A$84,MATCH(B68,Courbe_QH_900!$A$24:$A$84,1)+1)-INDEX(Courbe_QH_900!$A$24:$A$84,MATCH(B68,Courbe_QH_900!$A$24:$A$84,1)))*(INDEX(Courbe_QH_900!$E$24:$E$84,MATCH(B68,Courbe_QH_900!$A$24:$A$84,1)+1)-INDEX(Courbe_QH_900!$E$24:$E$84,MATCH(B68,Courbe_QH_900!$A$24:$A$84,1)))))</f>
        <v/>
      </c>
      <c r="I68" s="5">
        <f>IF(C68&lt;=0,0,IF($B$8&lt;=0,0,(1/$B$8)*D68*IF(($B$7+2*C68*SQRT(1+$B$9^2))&lt;=0,0,((D68/($B$7+2*C68*SQRT(1+$B$9^2)))^(2/3)))*SQRT($B$10)))</f>
        <v/>
      </c>
      <c r="J68" s="15">
        <f>H68+I68</f>
        <v/>
      </c>
      <c r="K68" s="4">
        <f>IF(C68&gt;0,"oui","non")</f>
        <v/>
      </c>
    </row>
    <row r="69">
      <c r="A69" s="31" t="n">
        <v>37.58</v>
      </c>
      <c r="B69" s="31">
        <f>A69-$B$12</f>
        <v/>
      </c>
      <c r="C69" s="31">
        <f>MAX(0,A69-$B$6)</f>
        <v/>
      </c>
      <c r="D69" s="5">
        <f>IF(C69&lt;=0,0,($B$7+$B$9*C69)*C69)</f>
        <v/>
      </c>
      <c r="E69" s="25">
        <f>D69*$B$11</f>
        <v/>
      </c>
      <c r="F69" s="25">
        <f>IF(A69&lt;=INDEX(Stage_Storage!$A$11:$A$18,1),INDEX(Stage_Storage!$E$11:$E$18,1),IF(A69&gt;=INDEX(Stage_Storage!$A$11:$A$18,ROWS(Stage_Storage!$A$11:$A$18)),INDEX(Stage_Storage!$E$11:$E$18,ROWS(Stage_Storage!$E$11:$E$18)),INDEX(Stage_Storage!$E$11:$E$18,MATCH(A69,Stage_Storage!$A$11:$A$18,1))+(A69-INDEX(Stage_Storage!$A$11:$A$18,MATCH(A69,Stage_Storage!$A$11:$A$18,1)))/(INDEX(Stage_Storage!$A$11:$A$18,MATCH(A69,Stage_Storage!$A$11:$A$18,1)+1)-INDEX(Stage_Storage!$A$11:$A$18,MATCH(A69,Stage_Storage!$A$11:$A$18,1)))*(INDEX(Stage_Storage!$E$11:$E$18,MATCH(A69,Stage_Storage!$A$11:$A$18,1)+1)-INDEX(Stage_Storage!$E$11:$E$18,MATCH(A69,Stage_Storage!$A$11:$A$18,1)))))</f>
        <v/>
      </c>
      <c r="G69" s="33">
        <f>E69+F69</f>
        <v/>
      </c>
      <c r="H69" s="5">
        <f>IF(B69&lt;=0,0,IF(B69&gt;=INDEX(Courbe_QH_900!$A$24:$A$84,ROWS(Courbe_QH_900!$A$24:$A$84)),INDEX(Courbe_QH_900!$E$24:$E$84,ROWS(Courbe_QH_900!$E$24:$E$84)),INDEX(Courbe_QH_900!$E$24:$E$84,MATCH(B69,Courbe_QH_900!$A$24:$A$84,1))+(B69-INDEX(Courbe_QH_900!$A$24:$A$84,MATCH(B69,Courbe_QH_900!$A$24:$A$84,1)))/(INDEX(Courbe_QH_900!$A$24:$A$84,MATCH(B69,Courbe_QH_900!$A$24:$A$84,1)+1)-INDEX(Courbe_QH_900!$A$24:$A$84,MATCH(B69,Courbe_QH_900!$A$24:$A$84,1)))*(INDEX(Courbe_QH_900!$E$24:$E$84,MATCH(B69,Courbe_QH_900!$A$24:$A$84,1)+1)-INDEX(Courbe_QH_900!$E$24:$E$84,MATCH(B69,Courbe_QH_900!$A$24:$A$84,1)))))</f>
        <v/>
      </c>
      <c r="I69" s="5">
        <f>IF(C69&lt;=0,0,IF($B$8&lt;=0,0,(1/$B$8)*D69*IF(($B$7+2*C69*SQRT(1+$B$9^2))&lt;=0,0,((D69/($B$7+2*C69*SQRT(1+$B$9^2)))^(2/3)))*SQRT($B$10)))</f>
        <v/>
      </c>
      <c r="J69" s="15">
        <f>H69+I69</f>
        <v/>
      </c>
      <c r="K69" s="4">
        <f>IF(C69&gt;0,"oui","non")</f>
        <v/>
      </c>
    </row>
    <row r="70">
      <c r="A70" s="31" t="n">
        <v>37.63</v>
      </c>
      <c r="B70" s="31">
        <f>A70-$B$12</f>
        <v/>
      </c>
      <c r="C70" s="31">
        <f>MAX(0,A70-$B$6)</f>
        <v/>
      </c>
      <c r="D70" s="5">
        <f>IF(C70&lt;=0,0,($B$7+$B$9*C70)*C70)</f>
        <v/>
      </c>
      <c r="E70" s="25">
        <f>D70*$B$11</f>
        <v/>
      </c>
      <c r="F70" s="25">
        <f>IF(A70&lt;=INDEX(Stage_Storage!$A$11:$A$18,1),INDEX(Stage_Storage!$E$11:$E$18,1),IF(A70&gt;=INDEX(Stage_Storage!$A$11:$A$18,ROWS(Stage_Storage!$A$11:$A$18)),INDEX(Stage_Storage!$E$11:$E$18,ROWS(Stage_Storage!$E$11:$E$18)),INDEX(Stage_Storage!$E$11:$E$18,MATCH(A70,Stage_Storage!$A$11:$A$18,1))+(A70-INDEX(Stage_Storage!$A$11:$A$18,MATCH(A70,Stage_Storage!$A$11:$A$18,1)))/(INDEX(Stage_Storage!$A$11:$A$18,MATCH(A70,Stage_Storage!$A$11:$A$18,1)+1)-INDEX(Stage_Storage!$A$11:$A$18,MATCH(A70,Stage_Storage!$A$11:$A$18,1)))*(INDEX(Stage_Storage!$E$11:$E$18,MATCH(A70,Stage_Storage!$A$11:$A$18,1)+1)-INDEX(Stage_Storage!$E$11:$E$18,MATCH(A70,Stage_Storage!$A$11:$A$18,1)))))</f>
        <v/>
      </c>
      <c r="G70" s="33">
        <f>E70+F70</f>
        <v/>
      </c>
      <c r="H70" s="5">
        <f>IF(B70&lt;=0,0,IF(B70&gt;=INDEX(Courbe_QH_900!$A$24:$A$84,ROWS(Courbe_QH_900!$A$24:$A$84)),INDEX(Courbe_QH_900!$E$24:$E$84,ROWS(Courbe_QH_900!$E$24:$E$84)),INDEX(Courbe_QH_900!$E$24:$E$84,MATCH(B70,Courbe_QH_900!$A$24:$A$84,1))+(B70-INDEX(Courbe_QH_900!$A$24:$A$84,MATCH(B70,Courbe_QH_900!$A$24:$A$84,1)))/(INDEX(Courbe_QH_900!$A$24:$A$84,MATCH(B70,Courbe_QH_900!$A$24:$A$84,1)+1)-INDEX(Courbe_QH_900!$A$24:$A$84,MATCH(B70,Courbe_QH_900!$A$24:$A$84,1)))*(INDEX(Courbe_QH_900!$E$24:$E$84,MATCH(B70,Courbe_QH_900!$A$24:$A$84,1)+1)-INDEX(Courbe_QH_900!$E$24:$E$84,MATCH(B70,Courbe_QH_900!$A$24:$A$84,1)))))</f>
        <v/>
      </c>
      <c r="I70" s="5">
        <f>IF(C70&lt;=0,0,IF($B$8&lt;=0,0,(1/$B$8)*D70*IF(($B$7+2*C70*SQRT(1+$B$9^2))&lt;=0,0,((D70/($B$7+2*C70*SQRT(1+$B$9^2)))^(2/3)))*SQRT($B$10)))</f>
        <v/>
      </c>
      <c r="J70" s="15">
        <f>H70+I70</f>
        <v/>
      </c>
      <c r="K70" s="4">
        <f>IF(C70&gt;0,"oui","non")</f>
        <v/>
      </c>
    </row>
    <row r="71">
      <c r="A71" s="31" t="n">
        <v>37.68</v>
      </c>
      <c r="B71" s="31">
        <f>A71-$B$12</f>
        <v/>
      </c>
      <c r="C71" s="31">
        <f>MAX(0,A71-$B$6)</f>
        <v/>
      </c>
      <c r="D71" s="5">
        <f>IF(C71&lt;=0,0,($B$7+$B$9*C71)*C71)</f>
        <v/>
      </c>
      <c r="E71" s="25">
        <f>D71*$B$11</f>
        <v/>
      </c>
      <c r="F71" s="25">
        <f>IF(A71&lt;=INDEX(Stage_Storage!$A$11:$A$18,1),INDEX(Stage_Storage!$E$11:$E$18,1),IF(A71&gt;=INDEX(Stage_Storage!$A$11:$A$18,ROWS(Stage_Storage!$A$11:$A$18)),INDEX(Stage_Storage!$E$11:$E$18,ROWS(Stage_Storage!$E$11:$E$18)),INDEX(Stage_Storage!$E$11:$E$18,MATCH(A71,Stage_Storage!$A$11:$A$18,1))+(A71-INDEX(Stage_Storage!$A$11:$A$18,MATCH(A71,Stage_Storage!$A$11:$A$18,1)))/(INDEX(Stage_Storage!$A$11:$A$18,MATCH(A71,Stage_Storage!$A$11:$A$18,1)+1)-INDEX(Stage_Storage!$A$11:$A$18,MATCH(A71,Stage_Storage!$A$11:$A$18,1)))*(INDEX(Stage_Storage!$E$11:$E$18,MATCH(A71,Stage_Storage!$A$11:$A$18,1)+1)-INDEX(Stage_Storage!$E$11:$E$18,MATCH(A71,Stage_Storage!$A$11:$A$18,1)))))</f>
        <v/>
      </c>
      <c r="G71" s="33">
        <f>E71+F71</f>
        <v/>
      </c>
      <c r="H71" s="5">
        <f>IF(B71&lt;=0,0,IF(B71&gt;=INDEX(Courbe_QH_900!$A$24:$A$84,ROWS(Courbe_QH_900!$A$24:$A$84)),INDEX(Courbe_QH_900!$E$24:$E$84,ROWS(Courbe_QH_900!$E$24:$E$84)),INDEX(Courbe_QH_900!$E$24:$E$84,MATCH(B71,Courbe_QH_900!$A$24:$A$84,1))+(B71-INDEX(Courbe_QH_900!$A$24:$A$84,MATCH(B71,Courbe_QH_900!$A$24:$A$84,1)))/(INDEX(Courbe_QH_900!$A$24:$A$84,MATCH(B71,Courbe_QH_900!$A$24:$A$84,1)+1)-INDEX(Courbe_QH_900!$A$24:$A$84,MATCH(B71,Courbe_QH_900!$A$24:$A$84,1)))*(INDEX(Courbe_QH_900!$E$24:$E$84,MATCH(B71,Courbe_QH_900!$A$24:$A$84,1)+1)-INDEX(Courbe_QH_900!$E$24:$E$84,MATCH(B71,Courbe_QH_900!$A$24:$A$84,1)))))</f>
        <v/>
      </c>
      <c r="I71" s="5">
        <f>IF(C71&lt;=0,0,IF($B$8&lt;=0,0,(1/$B$8)*D71*IF(($B$7+2*C71*SQRT(1+$B$9^2))&lt;=0,0,((D71/($B$7+2*C71*SQRT(1+$B$9^2)))^(2/3)))*SQRT($B$10)))</f>
        <v/>
      </c>
      <c r="J71" s="15">
        <f>H71+I71</f>
        <v/>
      </c>
      <c r="K71" s="4">
        <f>IF(C71&gt;0,"oui","non")</f>
        <v/>
      </c>
    </row>
    <row r="72">
      <c r="A72" s="31" t="n">
        <v>37.73</v>
      </c>
      <c r="B72" s="31">
        <f>A72-$B$12</f>
        <v/>
      </c>
      <c r="C72" s="31">
        <f>MAX(0,A72-$B$6)</f>
        <v/>
      </c>
      <c r="D72" s="5">
        <f>IF(C72&lt;=0,0,($B$7+$B$9*C72)*C72)</f>
        <v/>
      </c>
      <c r="E72" s="25">
        <f>D72*$B$11</f>
        <v/>
      </c>
      <c r="F72" s="25">
        <f>IF(A72&lt;=INDEX(Stage_Storage!$A$11:$A$18,1),INDEX(Stage_Storage!$E$11:$E$18,1),IF(A72&gt;=INDEX(Stage_Storage!$A$11:$A$18,ROWS(Stage_Storage!$A$11:$A$18)),INDEX(Stage_Storage!$E$11:$E$18,ROWS(Stage_Storage!$E$11:$E$18)),INDEX(Stage_Storage!$E$11:$E$18,MATCH(A72,Stage_Storage!$A$11:$A$18,1))+(A72-INDEX(Stage_Storage!$A$11:$A$18,MATCH(A72,Stage_Storage!$A$11:$A$18,1)))/(INDEX(Stage_Storage!$A$11:$A$18,MATCH(A72,Stage_Storage!$A$11:$A$18,1)+1)-INDEX(Stage_Storage!$A$11:$A$18,MATCH(A72,Stage_Storage!$A$11:$A$18,1)))*(INDEX(Stage_Storage!$E$11:$E$18,MATCH(A72,Stage_Storage!$A$11:$A$18,1)+1)-INDEX(Stage_Storage!$E$11:$E$18,MATCH(A72,Stage_Storage!$A$11:$A$18,1)))))</f>
        <v/>
      </c>
      <c r="G72" s="33">
        <f>E72+F72</f>
        <v/>
      </c>
      <c r="H72" s="5">
        <f>IF(B72&lt;=0,0,IF(B72&gt;=INDEX(Courbe_QH_900!$A$24:$A$84,ROWS(Courbe_QH_900!$A$24:$A$84)),INDEX(Courbe_QH_900!$E$24:$E$84,ROWS(Courbe_QH_900!$E$24:$E$84)),INDEX(Courbe_QH_900!$E$24:$E$84,MATCH(B72,Courbe_QH_900!$A$24:$A$84,1))+(B72-INDEX(Courbe_QH_900!$A$24:$A$84,MATCH(B72,Courbe_QH_900!$A$24:$A$84,1)))/(INDEX(Courbe_QH_900!$A$24:$A$84,MATCH(B72,Courbe_QH_900!$A$24:$A$84,1)+1)-INDEX(Courbe_QH_900!$A$24:$A$84,MATCH(B72,Courbe_QH_900!$A$24:$A$84,1)))*(INDEX(Courbe_QH_900!$E$24:$E$84,MATCH(B72,Courbe_QH_900!$A$24:$A$84,1)+1)-INDEX(Courbe_QH_900!$E$24:$E$84,MATCH(B72,Courbe_QH_900!$A$24:$A$84,1)))))</f>
        <v/>
      </c>
      <c r="I72" s="5">
        <f>IF(C72&lt;=0,0,IF($B$8&lt;=0,0,(1/$B$8)*D72*IF(($B$7+2*C72*SQRT(1+$B$9^2))&lt;=0,0,((D72/($B$7+2*C72*SQRT(1+$B$9^2)))^(2/3)))*SQRT($B$10)))</f>
        <v/>
      </c>
      <c r="J72" s="15">
        <f>H72+I72</f>
        <v/>
      </c>
      <c r="K72" s="4">
        <f>IF(C72&gt;0,"oui","non")</f>
        <v/>
      </c>
    </row>
    <row r="73">
      <c r="A73" s="31" t="n">
        <v>37.78</v>
      </c>
      <c r="B73" s="31">
        <f>A73-$B$12</f>
        <v/>
      </c>
      <c r="C73" s="31">
        <f>MAX(0,A73-$B$6)</f>
        <v/>
      </c>
      <c r="D73" s="5">
        <f>IF(C73&lt;=0,0,($B$7+$B$9*C73)*C73)</f>
        <v/>
      </c>
      <c r="E73" s="25">
        <f>D73*$B$11</f>
        <v/>
      </c>
      <c r="F73" s="25">
        <f>IF(A73&lt;=INDEX(Stage_Storage!$A$11:$A$18,1),INDEX(Stage_Storage!$E$11:$E$18,1),IF(A73&gt;=INDEX(Stage_Storage!$A$11:$A$18,ROWS(Stage_Storage!$A$11:$A$18)),INDEX(Stage_Storage!$E$11:$E$18,ROWS(Stage_Storage!$E$11:$E$18)),INDEX(Stage_Storage!$E$11:$E$18,MATCH(A73,Stage_Storage!$A$11:$A$18,1))+(A73-INDEX(Stage_Storage!$A$11:$A$18,MATCH(A73,Stage_Storage!$A$11:$A$18,1)))/(INDEX(Stage_Storage!$A$11:$A$18,MATCH(A73,Stage_Storage!$A$11:$A$18,1)+1)-INDEX(Stage_Storage!$A$11:$A$18,MATCH(A73,Stage_Storage!$A$11:$A$18,1)))*(INDEX(Stage_Storage!$E$11:$E$18,MATCH(A73,Stage_Storage!$A$11:$A$18,1)+1)-INDEX(Stage_Storage!$E$11:$E$18,MATCH(A73,Stage_Storage!$A$11:$A$18,1)))))</f>
        <v/>
      </c>
      <c r="G73" s="33">
        <f>E73+F73</f>
        <v/>
      </c>
      <c r="H73" s="5">
        <f>IF(B73&lt;=0,0,IF(B73&gt;=INDEX(Courbe_QH_900!$A$24:$A$84,ROWS(Courbe_QH_900!$A$24:$A$84)),INDEX(Courbe_QH_900!$E$24:$E$84,ROWS(Courbe_QH_900!$E$24:$E$84)),INDEX(Courbe_QH_900!$E$24:$E$84,MATCH(B73,Courbe_QH_900!$A$24:$A$84,1))+(B73-INDEX(Courbe_QH_900!$A$24:$A$84,MATCH(B73,Courbe_QH_900!$A$24:$A$84,1)))/(INDEX(Courbe_QH_900!$A$24:$A$84,MATCH(B73,Courbe_QH_900!$A$24:$A$84,1)+1)-INDEX(Courbe_QH_900!$A$24:$A$84,MATCH(B73,Courbe_QH_900!$A$24:$A$84,1)))*(INDEX(Courbe_QH_900!$E$24:$E$84,MATCH(B73,Courbe_QH_900!$A$24:$A$84,1)+1)-INDEX(Courbe_QH_900!$E$24:$E$84,MATCH(B73,Courbe_QH_900!$A$24:$A$84,1)))))</f>
        <v/>
      </c>
      <c r="I73" s="5">
        <f>IF(C73&lt;=0,0,IF($B$8&lt;=0,0,(1/$B$8)*D73*IF(($B$7+2*C73*SQRT(1+$B$9^2))&lt;=0,0,((D73/($B$7+2*C73*SQRT(1+$B$9^2)))^(2/3)))*SQRT($B$10)))</f>
        <v/>
      </c>
      <c r="J73" s="15">
        <f>H73+I73</f>
        <v/>
      </c>
      <c r="K73" s="4">
        <f>IF(C73&gt;0,"oui","non")</f>
        <v/>
      </c>
    </row>
    <row r="74">
      <c r="A74" s="31" t="n">
        <v>37.83</v>
      </c>
      <c r="B74" s="31">
        <f>A74-$B$12</f>
        <v/>
      </c>
      <c r="C74" s="31">
        <f>MAX(0,A74-$B$6)</f>
        <v/>
      </c>
      <c r="D74" s="5">
        <f>IF(C74&lt;=0,0,($B$7+$B$9*C74)*C74)</f>
        <v/>
      </c>
      <c r="E74" s="25">
        <f>D74*$B$11</f>
        <v/>
      </c>
      <c r="F74" s="25">
        <f>IF(A74&lt;=INDEX(Stage_Storage!$A$11:$A$18,1),INDEX(Stage_Storage!$E$11:$E$18,1),IF(A74&gt;=INDEX(Stage_Storage!$A$11:$A$18,ROWS(Stage_Storage!$A$11:$A$18)),INDEX(Stage_Storage!$E$11:$E$18,ROWS(Stage_Storage!$E$11:$E$18)),INDEX(Stage_Storage!$E$11:$E$18,MATCH(A74,Stage_Storage!$A$11:$A$18,1))+(A74-INDEX(Stage_Storage!$A$11:$A$18,MATCH(A74,Stage_Storage!$A$11:$A$18,1)))/(INDEX(Stage_Storage!$A$11:$A$18,MATCH(A74,Stage_Storage!$A$11:$A$18,1)+1)-INDEX(Stage_Storage!$A$11:$A$18,MATCH(A74,Stage_Storage!$A$11:$A$18,1)))*(INDEX(Stage_Storage!$E$11:$E$18,MATCH(A74,Stage_Storage!$A$11:$A$18,1)+1)-INDEX(Stage_Storage!$E$11:$E$18,MATCH(A74,Stage_Storage!$A$11:$A$18,1)))))</f>
        <v/>
      </c>
      <c r="G74" s="33">
        <f>E74+F74</f>
        <v/>
      </c>
      <c r="H74" s="5">
        <f>IF(B74&lt;=0,0,IF(B74&gt;=INDEX(Courbe_QH_900!$A$24:$A$84,ROWS(Courbe_QH_900!$A$24:$A$84)),INDEX(Courbe_QH_900!$E$24:$E$84,ROWS(Courbe_QH_900!$E$24:$E$84)),INDEX(Courbe_QH_900!$E$24:$E$84,MATCH(B74,Courbe_QH_900!$A$24:$A$84,1))+(B74-INDEX(Courbe_QH_900!$A$24:$A$84,MATCH(B74,Courbe_QH_900!$A$24:$A$84,1)))/(INDEX(Courbe_QH_900!$A$24:$A$84,MATCH(B74,Courbe_QH_900!$A$24:$A$84,1)+1)-INDEX(Courbe_QH_900!$A$24:$A$84,MATCH(B74,Courbe_QH_900!$A$24:$A$84,1)))*(INDEX(Courbe_QH_900!$E$24:$E$84,MATCH(B74,Courbe_QH_900!$A$24:$A$84,1)+1)-INDEX(Courbe_QH_900!$E$24:$E$84,MATCH(B74,Courbe_QH_900!$A$24:$A$84,1)))))</f>
        <v/>
      </c>
      <c r="I74" s="5">
        <f>IF(C74&lt;=0,0,IF($B$8&lt;=0,0,(1/$B$8)*D74*IF(($B$7+2*C74*SQRT(1+$B$9^2))&lt;=0,0,((D74/($B$7+2*C74*SQRT(1+$B$9^2)))^(2/3)))*SQRT($B$10)))</f>
        <v/>
      </c>
      <c r="J74" s="15">
        <f>H74+I74</f>
        <v/>
      </c>
      <c r="K74" s="4">
        <f>IF(C74&gt;0,"oui","non")</f>
        <v/>
      </c>
    </row>
    <row r="75">
      <c r="A75" s="31" t="n">
        <v>37.88</v>
      </c>
      <c r="B75" s="31">
        <f>A75-$B$12</f>
        <v/>
      </c>
      <c r="C75" s="31">
        <f>MAX(0,A75-$B$6)</f>
        <v/>
      </c>
      <c r="D75" s="5">
        <f>IF(C75&lt;=0,0,($B$7+$B$9*C75)*C75)</f>
        <v/>
      </c>
      <c r="E75" s="25">
        <f>D75*$B$11</f>
        <v/>
      </c>
      <c r="F75" s="25">
        <f>IF(A75&lt;=INDEX(Stage_Storage!$A$11:$A$18,1),INDEX(Stage_Storage!$E$11:$E$18,1),IF(A75&gt;=INDEX(Stage_Storage!$A$11:$A$18,ROWS(Stage_Storage!$A$11:$A$18)),INDEX(Stage_Storage!$E$11:$E$18,ROWS(Stage_Storage!$E$11:$E$18)),INDEX(Stage_Storage!$E$11:$E$18,MATCH(A75,Stage_Storage!$A$11:$A$18,1))+(A75-INDEX(Stage_Storage!$A$11:$A$18,MATCH(A75,Stage_Storage!$A$11:$A$18,1)))/(INDEX(Stage_Storage!$A$11:$A$18,MATCH(A75,Stage_Storage!$A$11:$A$18,1)+1)-INDEX(Stage_Storage!$A$11:$A$18,MATCH(A75,Stage_Storage!$A$11:$A$18,1)))*(INDEX(Stage_Storage!$E$11:$E$18,MATCH(A75,Stage_Storage!$A$11:$A$18,1)+1)-INDEX(Stage_Storage!$E$11:$E$18,MATCH(A75,Stage_Storage!$A$11:$A$18,1)))))</f>
        <v/>
      </c>
      <c r="G75" s="33">
        <f>E75+F75</f>
        <v/>
      </c>
      <c r="H75" s="5">
        <f>IF(B75&lt;=0,0,IF(B75&gt;=INDEX(Courbe_QH_900!$A$24:$A$84,ROWS(Courbe_QH_900!$A$24:$A$84)),INDEX(Courbe_QH_900!$E$24:$E$84,ROWS(Courbe_QH_900!$E$24:$E$84)),INDEX(Courbe_QH_900!$E$24:$E$84,MATCH(B75,Courbe_QH_900!$A$24:$A$84,1))+(B75-INDEX(Courbe_QH_900!$A$24:$A$84,MATCH(B75,Courbe_QH_900!$A$24:$A$84,1)))/(INDEX(Courbe_QH_900!$A$24:$A$84,MATCH(B75,Courbe_QH_900!$A$24:$A$84,1)+1)-INDEX(Courbe_QH_900!$A$24:$A$84,MATCH(B75,Courbe_QH_900!$A$24:$A$84,1)))*(INDEX(Courbe_QH_900!$E$24:$E$84,MATCH(B75,Courbe_QH_900!$A$24:$A$84,1)+1)-INDEX(Courbe_QH_900!$E$24:$E$84,MATCH(B75,Courbe_QH_900!$A$24:$A$84,1)))))</f>
        <v/>
      </c>
      <c r="I75" s="5">
        <f>IF(C75&lt;=0,0,IF($B$8&lt;=0,0,(1/$B$8)*D75*IF(($B$7+2*C75*SQRT(1+$B$9^2))&lt;=0,0,((D75/($B$7+2*C75*SQRT(1+$B$9^2)))^(2/3)))*SQRT($B$10)))</f>
        <v/>
      </c>
      <c r="J75" s="15">
        <f>H75+I75</f>
        <v/>
      </c>
      <c r="K75" s="4">
        <f>IF(C75&gt;0,"oui","non")</f>
        <v/>
      </c>
    </row>
    <row r="76">
      <c r="A76" s="31" t="n">
        <v>37.93</v>
      </c>
      <c r="B76" s="31">
        <f>A76-$B$12</f>
        <v/>
      </c>
      <c r="C76" s="31">
        <f>MAX(0,A76-$B$6)</f>
        <v/>
      </c>
      <c r="D76" s="5">
        <f>IF(C76&lt;=0,0,($B$7+$B$9*C76)*C76)</f>
        <v/>
      </c>
      <c r="E76" s="25">
        <f>D76*$B$11</f>
        <v/>
      </c>
      <c r="F76" s="25">
        <f>IF(A76&lt;=INDEX(Stage_Storage!$A$11:$A$18,1),INDEX(Stage_Storage!$E$11:$E$18,1),IF(A76&gt;=INDEX(Stage_Storage!$A$11:$A$18,ROWS(Stage_Storage!$A$11:$A$18)),INDEX(Stage_Storage!$E$11:$E$18,ROWS(Stage_Storage!$E$11:$E$18)),INDEX(Stage_Storage!$E$11:$E$18,MATCH(A76,Stage_Storage!$A$11:$A$18,1))+(A76-INDEX(Stage_Storage!$A$11:$A$18,MATCH(A76,Stage_Storage!$A$11:$A$18,1)))/(INDEX(Stage_Storage!$A$11:$A$18,MATCH(A76,Stage_Storage!$A$11:$A$18,1)+1)-INDEX(Stage_Storage!$A$11:$A$18,MATCH(A76,Stage_Storage!$A$11:$A$18,1)))*(INDEX(Stage_Storage!$E$11:$E$18,MATCH(A76,Stage_Storage!$A$11:$A$18,1)+1)-INDEX(Stage_Storage!$E$11:$E$18,MATCH(A76,Stage_Storage!$A$11:$A$18,1)))))</f>
        <v/>
      </c>
      <c r="G76" s="33">
        <f>E76+F76</f>
        <v/>
      </c>
      <c r="H76" s="5">
        <f>IF(B76&lt;=0,0,IF(B76&gt;=INDEX(Courbe_QH_900!$A$24:$A$84,ROWS(Courbe_QH_900!$A$24:$A$84)),INDEX(Courbe_QH_900!$E$24:$E$84,ROWS(Courbe_QH_900!$E$24:$E$84)),INDEX(Courbe_QH_900!$E$24:$E$84,MATCH(B76,Courbe_QH_900!$A$24:$A$84,1))+(B76-INDEX(Courbe_QH_900!$A$24:$A$84,MATCH(B76,Courbe_QH_900!$A$24:$A$84,1)))/(INDEX(Courbe_QH_900!$A$24:$A$84,MATCH(B76,Courbe_QH_900!$A$24:$A$84,1)+1)-INDEX(Courbe_QH_900!$A$24:$A$84,MATCH(B76,Courbe_QH_900!$A$24:$A$84,1)))*(INDEX(Courbe_QH_900!$E$24:$E$84,MATCH(B76,Courbe_QH_900!$A$24:$A$84,1)+1)-INDEX(Courbe_QH_900!$E$24:$E$84,MATCH(B76,Courbe_QH_900!$A$24:$A$84,1)))))</f>
        <v/>
      </c>
      <c r="I76" s="5">
        <f>IF(C76&lt;=0,0,IF($B$8&lt;=0,0,(1/$B$8)*D76*IF(($B$7+2*C76*SQRT(1+$B$9^2))&lt;=0,0,((D76/($B$7+2*C76*SQRT(1+$B$9^2)))^(2/3)))*SQRT($B$10)))</f>
        <v/>
      </c>
      <c r="J76" s="15">
        <f>H76+I76</f>
        <v/>
      </c>
      <c r="K76" s="4">
        <f>IF(C76&gt;0,"oui","non")</f>
        <v/>
      </c>
    </row>
    <row r="77">
      <c r="A77" s="31" t="n">
        <v>37.98</v>
      </c>
      <c r="B77" s="31">
        <f>A77-$B$12</f>
        <v/>
      </c>
      <c r="C77" s="31">
        <f>MAX(0,A77-$B$6)</f>
        <v/>
      </c>
      <c r="D77" s="5">
        <f>IF(C77&lt;=0,0,($B$7+$B$9*C77)*C77)</f>
        <v/>
      </c>
      <c r="E77" s="25">
        <f>D77*$B$11</f>
        <v/>
      </c>
      <c r="F77" s="25">
        <f>IF(A77&lt;=INDEX(Stage_Storage!$A$11:$A$18,1),INDEX(Stage_Storage!$E$11:$E$18,1),IF(A77&gt;=INDEX(Stage_Storage!$A$11:$A$18,ROWS(Stage_Storage!$A$11:$A$18)),INDEX(Stage_Storage!$E$11:$E$18,ROWS(Stage_Storage!$E$11:$E$18)),INDEX(Stage_Storage!$E$11:$E$18,MATCH(A77,Stage_Storage!$A$11:$A$18,1))+(A77-INDEX(Stage_Storage!$A$11:$A$18,MATCH(A77,Stage_Storage!$A$11:$A$18,1)))/(INDEX(Stage_Storage!$A$11:$A$18,MATCH(A77,Stage_Storage!$A$11:$A$18,1)+1)-INDEX(Stage_Storage!$A$11:$A$18,MATCH(A77,Stage_Storage!$A$11:$A$18,1)))*(INDEX(Stage_Storage!$E$11:$E$18,MATCH(A77,Stage_Storage!$A$11:$A$18,1)+1)-INDEX(Stage_Storage!$E$11:$E$18,MATCH(A77,Stage_Storage!$A$11:$A$18,1)))))</f>
        <v/>
      </c>
      <c r="G77" s="33">
        <f>E77+F77</f>
        <v/>
      </c>
      <c r="H77" s="5">
        <f>IF(B77&lt;=0,0,IF(B77&gt;=INDEX(Courbe_QH_900!$A$24:$A$84,ROWS(Courbe_QH_900!$A$24:$A$84)),INDEX(Courbe_QH_900!$E$24:$E$84,ROWS(Courbe_QH_900!$E$24:$E$84)),INDEX(Courbe_QH_900!$E$24:$E$84,MATCH(B77,Courbe_QH_900!$A$24:$A$84,1))+(B77-INDEX(Courbe_QH_900!$A$24:$A$84,MATCH(B77,Courbe_QH_900!$A$24:$A$84,1)))/(INDEX(Courbe_QH_900!$A$24:$A$84,MATCH(B77,Courbe_QH_900!$A$24:$A$84,1)+1)-INDEX(Courbe_QH_900!$A$24:$A$84,MATCH(B77,Courbe_QH_900!$A$24:$A$84,1)))*(INDEX(Courbe_QH_900!$E$24:$E$84,MATCH(B77,Courbe_QH_900!$A$24:$A$84,1)+1)-INDEX(Courbe_QH_900!$E$24:$E$84,MATCH(B77,Courbe_QH_900!$A$24:$A$84,1)))))</f>
        <v/>
      </c>
      <c r="I77" s="5">
        <f>IF(C77&lt;=0,0,IF($B$8&lt;=0,0,(1/$B$8)*D77*IF(($B$7+2*C77*SQRT(1+$B$9^2))&lt;=0,0,((D77/($B$7+2*C77*SQRT(1+$B$9^2)))^(2/3)))*SQRT($B$10)))</f>
        <v/>
      </c>
      <c r="J77" s="15">
        <f>H77+I77</f>
        <v/>
      </c>
      <c r="K77" s="4">
        <f>IF(C77&gt;0,"oui","non")</f>
        <v/>
      </c>
    </row>
    <row r="78">
      <c r="A78" s="31" t="n">
        <v>38.03</v>
      </c>
      <c r="B78" s="31">
        <f>A78-$B$12</f>
        <v/>
      </c>
      <c r="C78" s="31">
        <f>MAX(0,A78-$B$6)</f>
        <v/>
      </c>
      <c r="D78" s="5">
        <f>IF(C78&lt;=0,0,($B$7+$B$9*C78)*C78)</f>
        <v/>
      </c>
      <c r="E78" s="25">
        <f>D78*$B$11</f>
        <v/>
      </c>
      <c r="F78" s="25">
        <f>IF(A78&lt;=INDEX(Stage_Storage!$A$11:$A$18,1),INDEX(Stage_Storage!$E$11:$E$18,1),IF(A78&gt;=INDEX(Stage_Storage!$A$11:$A$18,ROWS(Stage_Storage!$A$11:$A$18)),INDEX(Stage_Storage!$E$11:$E$18,ROWS(Stage_Storage!$E$11:$E$18)),INDEX(Stage_Storage!$E$11:$E$18,MATCH(A78,Stage_Storage!$A$11:$A$18,1))+(A78-INDEX(Stage_Storage!$A$11:$A$18,MATCH(A78,Stage_Storage!$A$11:$A$18,1)))/(INDEX(Stage_Storage!$A$11:$A$18,MATCH(A78,Stage_Storage!$A$11:$A$18,1)+1)-INDEX(Stage_Storage!$A$11:$A$18,MATCH(A78,Stage_Storage!$A$11:$A$18,1)))*(INDEX(Stage_Storage!$E$11:$E$18,MATCH(A78,Stage_Storage!$A$11:$A$18,1)+1)-INDEX(Stage_Storage!$E$11:$E$18,MATCH(A78,Stage_Storage!$A$11:$A$18,1)))))</f>
        <v/>
      </c>
      <c r="G78" s="33">
        <f>E78+F78</f>
        <v/>
      </c>
      <c r="H78" s="5">
        <f>IF(B78&lt;=0,0,IF(B78&gt;=INDEX(Courbe_QH_900!$A$24:$A$84,ROWS(Courbe_QH_900!$A$24:$A$84)),INDEX(Courbe_QH_900!$E$24:$E$84,ROWS(Courbe_QH_900!$E$24:$E$84)),INDEX(Courbe_QH_900!$E$24:$E$84,MATCH(B78,Courbe_QH_900!$A$24:$A$84,1))+(B78-INDEX(Courbe_QH_900!$A$24:$A$84,MATCH(B78,Courbe_QH_900!$A$24:$A$84,1)))/(INDEX(Courbe_QH_900!$A$24:$A$84,MATCH(B78,Courbe_QH_900!$A$24:$A$84,1)+1)-INDEX(Courbe_QH_900!$A$24:$A$84,MATCH(B78,Courbe_QH_900!$A$24:$A$84,1)))*(INDEX(Courbe_QH_900!$E$24:$E$84,MATCH(B78,Courbe_QH_900!$A$24:$A$84,1)+1)-INDEX(Courbe_QH_900!$E$24:$E$84,MATCH(B78,Courbe_QH_900!$A$24:$A$84,1)))))</f>
        <v/>
      </c>
      <c r="I78" s="5">
        <f>IF(C78&lt;=0,0,IF($B$8&lt;=0,0,(1/$B$8)*D78*IF(($B$7+2*C78*SQRT(1+$B$9^2))&lt;=0,0,((D78/($B$7+2*C78*SQRT(1+$B$9^2)))^(2/3)))*SQRT($B$10)))</f>
        <v/>
      </c>
      <c r="J78" s="15">
        <f>H78+I78</f>
        <v/>
      </c>
      <c r="K78" s="4">
        <f>IF(C78&gt;0,"oui","non")</f>
        <v/>
      </c>
    </row>
    <row r="79">
      <c r="A79" s="31" t="n">
        <v>38.08</v>
      </c>
      <c r="B79" s="31">
        <f>A79-$B$12</f>
        <v/>
      </c>
      <c r="C79" s="31">
        <f>MAX(0,A79-$B$6)</f>
        <v/>
      </c>
      <c r="D79" s="5">
        <f>IF(C79&lt;=0,0,($B$7+$B$9*C79)*C79)</f>
        <v/>
      </c>
      <c r="E79" s="25">
        <f>D79*$B$11</f>
        <v/>
      </c>
      <c r="F79" s="25">
        <f>IF(A79&lt;=INDEX(Stage_Storage!$A$11:$A$18,1),INDEX(Stage_Storage!$E$11:$E$18,1),IF(A79&gt;=INDEX(Stage_Storage!$A$11:$A$18,ROWS(Stage_Storage!$A$11:$A$18)),INDEX(Stage_Storage!$E$11:$E$18,ROWS(Stage_Storage!$E$11:$E$18)),INDEX(Stage_Storage!$E$11:$E$18,MATCH(A79,Stage_Storage!$A$11:$A$18,1))+(A79-INDEX(Stage_Storage!$A$11:$A$18,MATCH(A79,Stage_Storage!$A$11:$A$18,1)))/(INDEX(Stage_Storage!$A$11:$A$18,MATCH(A79,Stage_Storage!$A$11:$A$18,1)+1)-INDEX(Stage_Storage!$A$11:$A$18,MATCH(A79,Stage_Storage!$A$11:$A$18,1)))*(INDEX(Stage_Storage!$E$11:$E$18,MATCH(A79,Stage_Storage!$A$11:$A$18,1)+1)-INDEX(Stage_Storage!$E$11:$E$18,MATCH(A79,Stage_Storage!$A$11:$A$18,1)))))</f>
        <v/>
      </c>
      <c r="G79" s="33">
        <f>E79+F79</f>
        <v/>
      </c>
      <c r="H79" s="5">
        <f>IF(B79&lt;=0,0,IF(B79&gt;=INDEX(Courbe_QH_900!$A$24:$A$84,ROWS(Courbe_QH_900!$A$24:$A$84)),INDEX(Courbe_QH_900!$E$24:$E$84,ROWS(Courbe_QH_900!$E$24:$E$84)),INDEX(Courbe_QH_900!$E$24:$E$84,MATCH(B79,Courbe_QH_900!$A$24:$A$84,1))+(B79-INDEX(Courbe_QH_900!$A$24:$A$84,MATCH(B79,Courbe_QH_900!$A$24:$A$84,1)))/(INDEX(Courbe_QH_900!$A$24:$A$84,MATCH(B79,Courbe_QH_900!$A$24:$A$84,1)+1)-INDEX(Courbe_QH_900!$A$24:$A$84,MATCH(B79,Courbe_QH_900!$A$24:$A$84,1)))*(INDEX(Courbe_QH_900!$E$24:$E$84,MATCH(B79,Courbe_QH_900!$A$24:$A$84,1)+1)-INDEX(Courbe_QH_900!$E$24:$E$84,MATCH(B79,Courbe_QH_900!$A$24:$A$84,1)))))</f>
        <v/>
      </c>
      <c r="I79" s="5">
        <f>IF(C79&lt;=0,0,IF($B$8&lt;=0,0,(1/$B$8)*D79*IF(($B$7+2*C79*SQRT(1+$B$9^2))&lt;=0,0,((D79/($B$7+2*C79*SQRT(1+$B$9^2)))^(2/3)))*SQRT($B$10)))</f>
        <v/>
      </c>
      <c r="J79" s="15">
        <f>H79+I79</f>
        <v/>
      </c>
      <c r="K79" s="4">
        <f>IF(C79&gt;0,"oui","non")</f>
        <v/>
      </c>
    </row>
    <row r="80">
      <c r="A80" s="31" t="n">
        <v>38.13</v>
      </c>
      <c r="B80" s="31">
        <f>A80-$B$12</f>
        <v/>
      </c>
      <c r="C80" s="31">
        <f>MAX(0,A80-$B$6)</f>
        <v/>
      </c>
      <c r="D80" s="5">
        <f>IF(C80&lt;=0,0,($B$7+$B$9*C80)*C80)</f>
        <v/>
      </c>
      <c r="E80" s="25">
        <f>D80*$B$11</f>
        <v/>
      </c>
      <c r="F80" s="25">
        <f>IF(A80&lt;=INDEX(Stage_Storage!$A$11:$A$18,1),INDEX(Stage_Storage!$E$11:$E$18,1),IF(A80&gt;=INDEX(Stage_Storage!$A$11:$A$18,ROWS(Stage_Storage!$A$11:$A$18)),INDEX(Stage_Storage!$E$11:$E$18,ROWS(Stage_Storage!$E$11:$E$18)),INDEX(Stage_Storage!$E$11:$E$18,MATCH(A80,Stage_Storage!$A$11:$A$18,1))+(A80-INDEX(Stage_Storage!$A$11:$A$18,MATCH(A80,Stage_Storage!$A$11:$A$18,1)))/(INDEX(Stage_Storage!$A$11:$A$18,MATCH(A80,Stage_Storage!$A$11:$A$18,1)+1)-INDEX(Stage_Storage!$A$11:$A$18,MATCH(A80,Stage_Storage!$A$11:$A$18,1)))*(INDEX(Stage_Storage!$E$11:$E$18,MATCH(A80,Stage_Storage!$A$11:$A$18,1)+1)-INDEX(Stage_Storage!$E$11:$E$18,MATCH(A80,Stage_Storage!$A$11:$A$18,1)))))</f>
        <v/>
      </c>
      <c r="G80" s="33">
        <f>E80+F80</f>
        <v/>
      </c>
      <c r="H80" s="5">
        <f>IF(B80&lt;=0,0,IF(B80&gt;=INDEX(Courbe_QH_900!$A$24:$A$84,ROWS(Courbe_QH_900!$A$24:$A$84)),INDEX(Courbe_QH_900!$E$24:$E$84,ROWS(Courbe_QH_900!$E$24:$E$84)),INDEX(Courbe_QH_900!$E$24:$E$84,MATCH(B80,Courbe_QH_900!$A$24:$A$84,1))+(B80-INDEX(Courbe_QH_900!$A$24:$A$84,MATCH(B80,Courbe_QH_900!$A$24:$A$84,1)))/(INDEX(Courbe_QH_900!$A$24:$A$84,MATCH(B80,Courbe_QH_900!$A$24:$A$84,1)+1)-INDEX(Courbe_QH_900!$A$24:$A$84,MATCH(B80,Courbe_QH_900!$A$24:$A$84,1)))*(INDEX(Courbe_QH_900!$E$24:$E$84,MATCH(B80,Courbe_QH_900!$A$24:$A$84,1)+1)-INDEX(Courbe_QH_900!$E$24:$E$84,MATCH(B80,Courbe_QH_900!$A$24:$A$84,1)))))</f>
        <v/>
      </c>
      <c r="I80" s="5">
        <f>IF(C80&lt;=0,0,IF($B$8&lt;=0,0,(1/$B$8)*D80*IF(($B$7+2*C80*SQRT(1+$B$9^2))&lt;=0,0,((D80/($B$7+2*C80*SQRT(1+$B$9^2)))^(2/3)))*SQRT($B$10)))</f>
        <v/>
      </c>
      <c r="J80" s="15">
        <f>H80+I80</f>
        <v/>
      </c>
      <c r="K80" s="4">
        <f>IF(C80&gt;0,"oui","non")</f>
        <v/>
      </c>
    </row>
    <row r="81">
      <c r="A81" s="31" t="n">
        <v>38.18</v>
      </c>
      <c r="B81" s="31">
        <f>A81-$B$12</f>
        <v/>
      </c>
      <c r="C81" s="31">
        <f>MAX(0,A81-$B$6)</f>
        <v/>
      </c>
      <c r="D81" s="5">
        <f>IF(C81&lt;=0,0,($B$7+$B$9*C81)*C81)</f>
        <v/>
      </c>
      <c r="E81" s="25">
        <f>D81*$B$11</f>
        <v/>
      </c>
      <c r="F81" s="25">
        <f>IF(A81&lt;=INDEX(Stage_Storage!$A$11:$A$18,1),INDEX(Stage_Storage!$E$11:$E$18,1),IF(A81&gt;=INDEX(Stage_Storage!$A$11:$A$18,ROWS(Stage_Storage!$A$11:$A$18)),INDEX(Stage_Storage!$E$11:$E$18,ROWS(Stage_Storage!$E$11:$E$18)),INDEX(Stage_Storage!$E$11:$E$18,MATCH(A81,Stage_Storage!$A$11:$A$18,1))+(A81-INDEX(Stage_Storage!$A$11:$A$18,MATCH(A81,Stage_Storage!$A$11:$A$18,1)))/(INDEX(Stage_Storage!$A$11:$A$18,MATCH(A81,Stage_Storage!$A$11:$A$18,1)+1)-INDEX(Stage_Storage!$A$11:$A$18,MATCH(A81,Stage_Storage!$A$11:$A$18,1)))*(INDEX(Stage_Storage!$E$11:$E$18,MATCH(A81,Stage_Storage!$A$11:$A$18,1)+1)-INDEX(Stage_Storage!$E$11:$E$18,MATCH(A81,Stage_Storage!$A$11:$A$18,1)))))</f>
        <v/>
      </c>
      <c r="G81" s="33">
        <f>E81+F81</f>
        <v/>
      </c>
      <c r="H81" s="5">
        <f>IF(B81&lt;=0,0,IF(B81&gt;=INDEX(Courbe_QH_900!$A$24:$A$84,ROWS(Courbe_QH_900!$A$24:$A$84)),INDEX(Courbe_QH_900!$E$24:$E$84,ROWS(Courbe_QH_900!$E$24:$E$84)),INDEX(Courbe_QH_900!$E$24:$E$84,MATCH(B81,Courbe_QH_900!$A$24:$A$84,1))+(B81-INDEX(Courbe_QH_900!$A$24:$A$84,MATCH(B81,Courbe_QH_900!$A$24:$A$84,1)))/(INDEX(Courbe_QH_900!$A$24:$A$84,MATCH(B81,Courbe_QH_900!$A$24:$A$84,1)+1)-INDEX(Courbe_QH_900!$A$24:$A$84,MATCH(B81,Courbe_QH_900!$A$24:$A$84,1)))*(INDEX(Courbe_QH_900!$E$24:$E$84,MATCH(B81,Courbe_QH_900!$A$24:$A$84,1)+1)-INDEX(Courbe_QH_900!$E$24:$E$84,MATCH(B81,Courbe_QH_900!$A$24:$A$84,1)))))</f>
        <v/>
      </c>
      <c r="I81" s="5">
        <f>IF(C81&lt;=0,0,IF($B$8&lt;=0,0,(1/$B$8)*D81*IF(($B$7+2*C81*SQRT(1+$B$9^2))&lt;=0,0,((D81/($B$7+2*C81*SQRT(1+$B$9^2)))^(2/3)))*SQRT($B$10)))</f>
        <v/>
      </c>
      <c r="J81" s="15">
        <f>H81+I81</f>
        <v/>
      </c>
      <c r="K81" s="4">
        <f>IF(C81&gt;0,"oui","non")</f>
        <v/>
      </c>
    </row>
    <row r="82">
      <c r="A82" s="31" t="n">
        <v>38.23</v>
      </c>
      <c r="B82" s="31">
        <f>A82-$B$12</f>
        <v/>
      </c>
      <c r="C82" s="31">
        <f>MAX(0,A82-$B$6)</f>
        <v/>
      </c>
      <c r="D82" s="5">
        <f>IF(C82&lt;=0,0,($B$7+$B$9*C82)*C82)</f>
        <v/>
      </c>
      <c r="E82" s="25">
        <f>D82*$B$11</f>
        <v/>
      </c>
      <c r="F82" s="25">
        <f>IF(A82&lt;=INDEX(Stage_Storage!$A$11:$A$18,1),INDEX(Stage_Storage!$E$11:$E$18,1),IF(A82&gt;=INDEX(Stage_Storage!$A$11:$A$18,ROWS(Stage_Storage!$A$11:$A$18)),INDEX(Stage_Storage!$E$11:$E$18,ROWS(Stage_Storage!$E$11:$E$18)),INDEX(Stage_Storage!$E$11:$E$18,MATCH(A82,Stage_Storage!$A$11:$A$18,1))+(A82-INDEX(Stage_Storage!$A$11:$A$18,MATCH(A82,Stage_Storage!$A$11:$A$18,1)))/(INDEX(Stage_Storage!$A$11:$A$18,MATCH(A82,Stage_Storage!$A$11:$A$18,1)+1)-INDEX(Stage_Storage!$A$11:$A$18,MATCH(A82,Stage_Storage!$A$11:$A$18,1)))*(INDEX(Stage_Storage!$E$11:$E$18,MATCH(A82,Stage_Storage!$A$11:$A$18,1)+1)-INDEX(Stage_Storage!$E$11:$E$18,MATCH(A82,Stage_Storage!$A$11:$A$18,1)))))</f>
        <v/>
      </c>
      <c r="G82" s="33">
        <f>E82+F82</f>
        <v/>
      </c>
      <c r="H82" s="5">
        <f>IF(B82&lt;=0,0,IF(B82&gt;=INDEX(Courbe_QH_900!$A$24:$A$84,ROWS(Courbe_QH_900!$A$24:$A$84)),INDEX(Courbe_QH_900!$E$24:$E$84,ROWS(Courbe_QH_900!$E$24:$E$84)),INDEX(Courbe_QH_900!$E$24:$E$84,MATCH(B82,Courbe_QH_900!$A$24:$A$84,1))+(B82-INDEX(Courbe_QH_900!$A$24:$A$84,MATCH(B82,Courbe_QH_900!$A$24:$A$84,1)))/(INDEX(Courbe_QH_900!$A$24:$A$84,MATCH(B82,Courbe_QH_900!$A$24:$A$84,1)+1)-INDEX(Courbe_QH_900!$A$24:$A$84,MATCH(B82,Courbe_QH_900!$A$24:$A$84,1)))*(INDEX(Courbe_QH_900!$E$24:$E$84,MATCH(B82,Courbe_QH_900!$A$24:$A$84,1)+1)-INDEX(Courbe_QH_900!$E$24:$E$84,MATCH(B82,Courbe_QH_900!$A$24:$A$84,1)))))</f>
        <v/>
      </c>
      <c r="I82" s="5">
        <f>IF(C82&lt;=0,0,IF($B$8&lt;=0,0,(1/$B$8)*D82*IF(($B$7+2*C82*SQRT(1+$B$9^2))&lt;=0,0,((D82/($B$7+2*C82*SQRT(1+$B$9^2)))^(2/3)))*SQRT($B$10)))</f>
        <v/>
      </c>
      <c r="J82" s="15">
        <f>H82+I82</f>
        <v/>
      </c>
      <c r="K82" s="4">
        <f>IF(C82&gt;0,"oui","non")</f>
        <v/>
      </c>
    </row>
    <row r="83">
      <c r="A83" s="31" t="n">
        <v>38.28</v>
      </c>
      <c r="B83" s="31">
        <f>A83-$B$12</f>
        <v/>
      </c>
      <c r="C83" s="31">
        <f>MAX(0,A83-$B$6)</f>
        <v/>
      </c>
      <c r="D83" s="5">
        <f>IF(C83&lt;=0,0,($B$7+$B$9*C83)*C83)</f>
        <v/>
      </c>
      <c r="E83" s="25">
        <f>D83*$B$11</f>
        <v/>
      </c>
      <c r="F83" s="25">
        <f>IF(A83&lt;=INDEX(Stage_Storage!$A$11:$A$18,1),INDEX(Stage_Storage!$E$11:$E$18,1),IF(A83&gt;=INDEX(Stage_Storage!$A$11:$A$18,ROWS(Stage_Storage!$A$11:$A$18)),INDEX(Stage_Storage!$E$11:$E$18,ROWS(Stage_Storage!$E$11:$E$18)),INDEX(Stage_Storage!$E$11:$E$18,MATCH(A83,Stage_Storage!$A$11:$A$18,1))+(A83-INDEX(Stage_Storage!$A$11:$A$18,MATCH(A83,Stage_Storage!$A$11:$A$18,1)))/(INDEX(Stage_Storage!$A$11:$A$18,MATCH(A83,Stage_Storage!$A$11:$A$18,1)+1)-INDEX(Stage_Storage!$A$11:$A$18,MATCH(A83,Stage_Storage!$A$11:$A$18,1)))*(INDEX(Stage_Storage!$E$11:$E$18,MATCH(A83,Stage_Storage!$A$11:$A$18,1)+1)-INDEX(Stage_Storage!$E$11:$E$18,MATCH(A83,Stage_Storage!$A$11:$A$18,1)))))</f>
        <v/>
      </c>
      <c r="G83" s="33">
        <f>E83+F83</f>
        <v/>
      </c>
      <c r="H83" s="5">
        <f>IF(B83&lt;=0,0,IF(B83&gt;=INDEX(Courbe_QH_900!$A$24:$A$84,ROWS(Courbe_QH_900!$A$24:$A$84)),INDEX(Courbe_QH_900!$E$24:$E$84,ROWS(Courbe_QH_900!$E$24:$E$84)),INDEX(Courbe_QH_900!$E$24:$E$84,MATCH(B83,Courbe_QH_900!$A$24:$A$84,1))+(B83-INDEX(Courbe_QH_900!$A$24:$A$84,MATCH(B83,Courbe_QH_900!$A$24:$A$84,1)))/(INDEX(Courbe_QH_900!$A$24:$A$84,MATCH(B83,Courbe_QH_900!$A$24:$A$84,1)+1)-INDEX(Courbe_QH_900!$A$24:$A$84,MATCH(B83,Courbe_QH_900!$A$24:$A$84,1)))*(INDEX(Courbe_QH_900!$E$24:$E$84,MATCH(B83,Courbe_QH_900!$A$24:$A$84,1)+1)-INDEX(Courbe_QH_900!$E$24:$E$84,MATCH(B83,Courbe_QH_900!$A$24:$A$84,1)))))</f>
        <v/>
      </c>
      <c r="I83" s="5">
        <f>IF(C83&lt;=0,0,IF($B$8&lt;=0,0,(1/$B$8)*D83*IF(($B$7+2*C83*SQRT(1+$B$9^2))&lt;=0,0,((D83/($B$7+2*C83*SQRT(1+$B$9^2)))^(2/3)))*SQRT($B$10)))</f>
        <v/>
      </c>
      <c r="J83" s="15">
        <f>H83+I83</f>
        <v/>
      </c>
      <c r="K83" s="4">
        <f>IF(C83&gt;0,"oui","non")</f>
        <v/>
      </c>
    </row>
    <row r="84">
      <c r="A84" s="31" t="n">
        <v>38.33</v>
      </c>
      <c r="B84" s="31">
        <f>A84-$B$12</f>
        <v/>
      </c>
      <c r="C84" s="31">
        <f>MAX(0,A84-$B$6)</f>
        <v/>
      </c>
      <c r="D84" s="5">
        <f>IF(C84&lt;=0,0,($B$7+$B$9*C84)*C84)</f>
        <v/>
      </c>
      <c r="E84" s="25">
        <f>D84*$B$11</f>
        <v/>
      </c>
      <c r="F84" s="25">
        <f>IF(A84&lt;=INDEX(Stage_Storage!$A$11:$A$18,1),INDEX(Stage_Storage!$E$11:$E$18,1),IF(A84&gt;=INDEX(Stage_Storage!$A$11:$A$18,ROWS(Stage_Storage!$A$11:$A$18)),INDEX(Stage_Storage!$E$11:$E$18,ROWS(Stage_Storage!$E$11:$E$18)),INDEX(Stage_Storage!$E$11:$E$18,MATCH(A84,Stage_Storage!$A$11:$A$18,1))+(A84-INDEX(Stage_Storage!$A$11:$A$18,MATCH(A84,Stage_Storage!$A$11:$A$18,1)))/(INDEX(Stage_Storage!$A$11:$A$18,MATCH(A84,Stage_Storage!$A$11:$A$18,1)+1)-INDEX(Stage_Storage!$A$11:$A$18,MATCH(A84,Stage_Storage!$A$11:$A$18,1)))*(INDEX(Stage_Storage!$E$11:$E$18,MATCH(A84,Stage_Storage!$A$11:$A$18,1)+1)-INDEX(Stage_Storage!$E$11:$E$18,MATCH(A84,Stage_Storage!$A$11:$A$18,1)))))</f>
        <v/>
      </c>
      <c r="G84" s="33">
        <f>E84+F84</f>
        <v/>
      </c>
      <c r="H84" s="5">
        <f>IF(B84&lt;=0,0,IF(B84&gt;=INDEX(Courbe_QH_900!$A$24:$A$84,ROWS(Courbe_QH_900!$A$24:$A$84)),INDEX(Courbe_QH_900!$E$24:$E$84,ROWS(Courbe_QH_900!$E$24:$E$84)),INDEX(Courbe_QH_900!$E$24:$E$84,MATCH(B84,Courbe_QH_900!$A$24:$A$84,1))+(B84-INDEX(Courbe_QH_900!$A$24:$A$84,MATCH(B84,Courbe_QH_900!$A$24:$A$84,1)))/(INDEX(Courbe_QH_900!$A$24:$A$84,MATCH(B84,Courbe_QH_900!$A$24:$A$84,1)+1)-INDEX(Courbe_QH_900!$A$24:$A$84,MATCH(B84,Courbe_QH_900!$A$24:$A$84,1)))*(INDEX(Courbe_QH_900!$E$24:$E$84,MATCH(B84,Courbe_QH_900!$A$24:$A$84,1)+1)-INDEX(Courbe_QH_900!$E$24:$E$84,MATCH(B84,Courbe_QH_900!$A$24:$A$84,1)))))</f>
        <v/>
      </c>
      <c r="I84" s="5">
        <f>IF(C84&lt;=0,0,IF($B$8&lt;=0,0,(1/$B$8)*D84*IF(($B$7+2*C84*SQRT(1+$B$9^2))&lt;=0,0,((D84/($B$7+2*C84*SQRT(1+$B$9^2)))^(2/3)))*SQRT($B$10)))</f>
        <v/>
      </c>
      <c r="J84" s="15">
        <f>H84+I84</f>
        <v/>
      </c>
      <c r="K84" s="4">
        <f>IF(C84&gt;0,"oui","non")</f>
        <v/>
      </c>
    </row>
    <row r="85">
      <c r="A85" s="31" t="n">
        <v>38.38</v>
      </c>
      <c r="B85" s="31">
        <f>A85-$B$12</f>
        <v/>
      </c>
      <c r="C85" s="31">
        <f>MAX(0,A85-$B$6)</f>
        <v/>
      </c>
      <c r="D85" s="5">
        <f>IF(C85&lt;=0,0,($B$7+$B$9*C85)*C85)</f>
        <v/>
      </c>
      <c r="E85" s="25">
        <f>D85*$B$11</f>
        <v/>
      </c>
      <c r="F85" s="25">
        <f>IF(A85&lt;=INDEX(Stage_Storage!$A$11:$A$18,1),INDEX(Stage_Storage!$E$11:$E$18,1),IF(A85&gt;=INDEX(Stage_Storage!$A$11:$A$18,ROWS(Stage_Storage!$A$11:$A$18)),INDEX(Stage_Storage!$E$11:$E$18,ROWS(Stage_Storage!$E$11:$E$18)),INDEX(Stage_Storage!$E$11:$E$18,MATCH(A85,Stage_Storage!$A$11:$A$18,1))+(A85-INDEX(Stage_Storage!$A$11:$A$18,MATCH(A85,Stage_Storage!$A$11:$A$18,1)))/(INDEX(Stage_Storage!$A$11:$A$18,MATCH(A85,Stage_Storage!$A$11:$A$18,1)+1)-INDEX(Stage_Storage!$A$11:$A$18,MATCH(A85,Stage_Storage!$A$11:$A$18,1)))*(INDEX(Stage_Storage!$E$11:$E$18,MATCH(A85,Stage_Storage!$A$11:$A$18,1)+1)-INDEX(Stage_Storage!$E$11:$E$18,MATCH(A85,Stage_Storage!$A$11:$A$18,1)))))</f>
        <v/>
      </c>
      <c r="G85" s="33">
        <f>E85+F85</f>
        <v/>
      </c>
      <c r="H85" s="5">
        <f>IF(B85&lt;=0,0,IF(B85&gt;=INDEX(Courbe_QH_900!$A$24:$A$84,ROWS(Courbe_QH_900!$A$24:$A$84)),INDEX(Courbe_QH_900!$E$24:$E$84,ROWS(Courbe_QH_900!$E$24:$E$84)),INDEX(Courbe_QH_900!$E$24:$E$84,MATCH(B85,Courbe_QH_900!$A$24:$A$84,1))+(B85-INDEX(Courbe_QH_900!$A$24:$A$84,MATCH(B85,Courbe_QH_900!$A$24:$A$84,1)))/(INDEX(Courbe_QH_900!$A$24:$A$84,MATCH(B85,Courbe_QH_900!$A$24:$A$84,1)+1)-INDEX(Courbe_QH_900!$A$24:$A$84,MATCH(B85,Courbe_QH_900!$A$24:$A$84,1)))*(INDEX(Courbe_QH_900!$E$24:$E$84,MATCH(B85,Courbe_QH_900!$A$24:$A$84,1)+1)-INDEX(Courbe_QH_900!$E$24:$E$84,MATCH(B85,Courbe_QH_900!$A$24:$A$84,1)))))</f>
        <v/>
      </c>
      <c r="I85" s="5">
        <f>IF(C85&lt;=0,0,IF($B$8&lt;=0,0,(1/$B$8)*D85*IF(($B$7+2*C85*SQRT(1+$B$9^2))&lt;=0,0,((D85/($B$7+2*C85*SQRT(1+$B$9^2)))^(2/3)))*SQRT($B$10)))</f>
        <v/>
      </c>
      <c r="J85" s="15">
        <f>H85+I85</f>
        <v/>
      </c>
      <c r="K85" s="4">
        <f>IF(C85&gt;0,"oui","non")</f>
        <v/>
      </c>
    </row>
    <row r="86">
      <c r="A86" s="31" t="n">
        <v>38.43</v>
      </c>
      <c r="B86" s="31">
        <f>A86-$B$12</f>
        <v/>
      </c>
      <c r="C86" s="31">
        <f>MAX(0,A86-$B$6)</f>
        <v/>
      </c>
      <c r="D86" s="5">
        <f>IF(C86&lt;=0,0,($B$7+$B$9*C86)*C86)</f>
        <v/>
      </c>
      <c r="E86" s="25">
        <f>D86*$B$11</f>
        <v/>
      </c>
      <c r="F86" s="25">
        <f>IF(A86&lt;=INDEX(Stage_Storage!$A$11:$A$18,1),INDEX(Stage_Storage!$E$11:$E$18,1),IF(A86&gt;=INDEX(Stage_Storage!$A$11:$A$18,ROWS(Stage_Storage!$A$11:$A$18)),INDEX(Stage_Storage!$E$11:$E$18,ROWS(Stage_Storage!$E$11:$E$18)),INDEX(Stage_Storage!$E$11:$E$18,MATCH(A86,Stage_Storage!$A$11:$A$18,1))+(A86-INDEX(Stage_Storage!$A$11:$A$18,MATCH(A86,Stage_Storage!$A$11:$A$18,1)))/(INDEX(Stage_Storage!$A$11:$A$18,MATCH(A86,Stage_Storage!$A$11:$A$18,1)+1)-INDEX(Stage_Storage!$A$11:$A$18,MATCH(A86,Stage_Storage!$A$11:$A$18,1)))*(INDEX(Stage_Storage!$E$11:$E$18,MATCH(A86,Stage_Storage!$A$11:$A$18,1)+1)-INDEX(Stage_Storage!$E$11:$E$18,MATCH(A86,Stage_Storage!$A$11:$A$18,1)))))</f>
        <v/>
      </c>
      <c r="G86" s="33">
        <f>E86+F86</f>
        <v/>
      </c>
      <c r="H86" s="5">
        <f>IF(B86&lt;=0,0,IF(B86&gt;=INDEX(Courbe_QH_900!$A$24:$A$84,ROWS(Courbe_QH_900!$A$24:$A$84)),INDEX(Courbe_QH_900!$E$24:$E$84,ROWS(Courbe_QH_900!$E$24:$E$84)),INDEX(Courbe_QH_900!$E$24:$E$84,MATCH(B86,Courbe_QH_900!$A$24:$A$84,1))+(B86-INDEX(Courbe_QH_900!$A$24:$A$84,MATCH(B86,Courbe_QH_900!$A$24:$A$84,1)))/(INDEX(Courbe_QH_900!$A$24:$A$84,MATCH(B86,Courbe_QH_900!$A$24:$A$84,1)+1)-INDEX(Courbe_QH_900!$A$24:$A$84,MATCH(B86,Courbe_QH_900!$A$24:$A$84,1)))*(INDEX(Courbe_QH_900!$E$24:$E$84,MATCH(B86,Courbe_QH_900!$A$24:$A$84,1)+1)-INDEX(Courbe_QH_900!$E$24:$E$84,MATCH(B86,Courbe_QH_900!$A$24:$A$84,1)))))</f>
        <v/>
      </c>
      <c r="I86" s="5">
        <f>IF(C86&lt;=0,0,IF($B$8&lt;=0,0,(1/$B$8)*D86*IF(($B$7+2*C86*SQRT(1+$B$9^2))&lt;=0,0,((D86/($B$7+2*C86*SQRT(1+$B$9^2)))^(2/3)))*SQRT($B$10)))</f>
        <v/>
      </c>
      <c r="J86" s="15">
        <f>H86+I86</f>
        <v/>
      </c>
      <c r="K86" s="4">
        <f>IF(C86&gt;0,"oui","non")</f>
        <v/>
      </c>
    </row>
    <row r="87">
      <c r="A87" s="31" t="n">
        <v>38.48</v>
      </c>
      <c r="B87" s="31">
        <f>A87-$B$12</f>
        <v/>
      </c>
      <c r="C87" s="31">
        <f>MAX(0,A87-$B$6)</f>
        <v/>
      </c>
      <c r="D87" s="5">
        <f>IF(C87&lt;=0,0,($B$7+$B$9*C87)*C87)</f>
        <v/>
      </c>
      <c r="E87" s="25">
        <f>D87*$B$11</f>
        <v/>
      </c>
      <c r="F87" s="25">
        <f>IF(A87&lt;=INDEX(Stage_Storage!$A$11:$A$18,1),INDEX(Stage_Storage!$E$11:$E$18,1),IF(A87&gt;=INDEX(Stage_Storage!$A$11:$A$18,ROWS(Stage_Storage!$A$11:$A$18)),INDEX(Stage_Storage!$E$11:$E$18,ROWS(Stage_Storage!$E$11:$E$18)),INDEX(Stage_Storage!$E$11:$E$18,MATCH(A87,Stage_Storage!$A$11:$A$18,1))+(A87-INDEX(Stage_Storage!$A$11:$A$18,MATCH(A87,Stage_Storage!$A$11:$A$18,1)))/(INDEX(Stage_Storage!$A$11:$A$18,MATCH(A87,Stage_Storage!$A$11:$A$18,1)+1)-INDEX(Stage_Storage!$A$11:$A$18,MATCH(A87,Stage_Storage!$A$11:$A$18,1)))*(INDEX(Stage_Storage!$E$11:$E$18,MATCH(A87,Stage_Storage!$A$11:$A$18,1)+1)-INDEX(Stage_Storage!$E$11:$E$18,MATCH(A87,Stage_Storage!$A$11:$A$18,1)))))</f>
        <v/>
      </c>
      <c r="G87" s="33">
        <f>E87+F87</f>
        <v/>
      </c>
      <c r="H87" s="5">
        <f>IF(B87&lt;=0,0,IF(B87&gt;=INDEX(Courbe_QH_900!$A$24:$A$84,ROWS(Courbe_QH_900!$A$24:$A$84)),INDEX(Courbe_QH_900!$E$24:$E$84,ROWS(Courbe_QH_900!$E$24:$E$84)),INDEX(Courbe_QH_900!$E$24:$E$84,MATCH(B87,Courbe_QH_900!$A$24:$A$84,1))+(B87-INDEX(Courbe_QH_900!$A$24:$A$84,MATCH(B87,Courbe_QH_900!$A$24:$A$84,1)))/(INDEX(Courbe_QH_900!$A$24:$A$84,MATCH(B87,Courbe_QH_900!$A$24:$A$84,1)+1)-INDEX(Courbe_QH_900!$A$24:$A$84,MATCH(B87,Courbe_QH_900!$A$24:$A$84,1)))*(INDEX(Courbe_QH_900!$E$24:$E$84,MATCH(B87,Courbe_QH_900!$A$24:$A$84,1)+1)-INDEX(Courbe_QH_900!$E$24:$E$84,MATCH(B87,Courbe_QH_900!$A$24:$A$84,1)))))</f>
        <v/>
      </c>
      <c r="I87" s="5">
        <f>IF(C87&lt;=0,0,IF($B$8&lt;=0,0,(1/$B$8)*D87*IF(($B$7+2*C87*SQRT(1+$B$9^2))&lt;=0,0,((D87/($B$7+2*C87*SQRT(1+$B$9^2)))^(2/3)))*SQRT($B$10)))</f>
        <v/>
      </c>
      <c r="J87" s="15">
        <f>H87+I87</f>
        <v/>
      </c>
      <c r="K87" s="4">
        <f>IF(C87&gt;0,"oui","non")</f>
        <v/>
      </c>
    </row>
    <row r="88">
      <c r="A88" s="31" t="n">
        <v>38.53</v>
      </c>
      <c r="B88" s="31">
        <f>A88-$B$12</f>
        <v/>
      </c>
      <c r="C88" s="31">
        <f>MAX(0,A88-$B$6)</f>
        <v/>
      </c>
      <c r="D88" s="5">
        <f>IF(C88&lt;=0,0,($B$7+$B$9*C88)*C88)</f>
        <v/>
      </c>
      <c r="E88" s="25">
        <f>D88*$B$11</f>
        <v/>
      </c>
      <c r="F88" s="25">
        <f>IF(A88&lt;=INDEX(Stage_Storage!$A$11:$A$18,1),INDEX(Stage_Storage!$E$11:$E$18,1),IF(A88&gt;=INDEX(Stage_Storage!$A$11:$A$18,ROWS(Stage_Storage!$A$11:$A$18)),INDEX(Stage_Storage!$E$11:$E$18,ROWS(Stage_Storage!$E$11:$E$18)),INDEX(Stage_Storage!$E$11:$E$18,MATCH(A88,Stage_Storage!$A$11:$A$18,1))+(A88-INDEX(Stage_Storage!$A$11:$A$18,MATCH(A88,Stage_Storage!$A$11:$A$18,1)))/(INDEX(Stage_Storage!$A$11:$A$18,MATCH(A88,Stage_Storage!$A$11:$A$18,1)+1)-INDEX(Stage_Storage!$A$11:$A$18,MATCH(A88,Stage_Storage!$A$11:$A$18,1)))*(INDEX(Stage_Storage!$E$11:$E$18,MATCH(A88,Stage_Storage!$A$11:$A$18,1)+1)-INDEX(Stage_Storage!$E$11:$E$18,MATCH(A88,Stage_Storage!$A$11:$A$18,1)))))</f>
        <v/>
      </c>
      <c r="G88" s="33">
        <f>E88+F88</f>
        <v/>
      </c>
      <c r="H88" s="5">
        <f>IF(B88&lt;=0,0,IF(B88&gt;=INDEX(Courbe_QH_900!$A$24:$A$84,ROWS(Courbe_QH_900!$A$24:$A$84)),INDEX(Courbe_QH_900!$E$24:$E$84,ROWS(Courbe_QH_900!$E$24:$E$84)),INDEX(Courbe_QH_900!$E$24:$E$84,MATCH(B88,Courbe_QH_900!$A$24:$A$84,1))+(B88-INDEX(Courbe_QH_900!$A$24:$A$84,MATCH(B88,Courbe_QH_900!$A$24:$A$84,1)))/(INDEX(Courbe_QH_900!$A$24:$A$84,MATCH(B88,Courbe_QH_900!$A$24:$A$84,1)+1)-INDEX(Courbe_QH_900!$A$24:$A$84,MATCH(B88,Courbe_QH_900!$A$24:$A$84,1)))*(INDEX(Courbe_QH_900!$E$24:$E$84,MATCH(B88,Courbe_QH_900!$A$24:$A$84,1)+1)-INDEX(Courbe_QH_900!$E$24:$E$84,MATCH(B88,Courbe_QH_900!$A$24:$A$84,1)))))</f>
        <v/>
      </c>
      <c r="I88" s="5">
        <f>IF(C88&lt;=0,0,IF($B$8&lt;=0,0,(1/$B$8)*D88*IF(($B$7+2*C88*SQRT(1+$B$9^2))&lt;=0,0,((D88/($B$7+2*C88*SQRT(1+$B$9^2)))^(2/3)))*SQRT($B$10)))</f>
        <v/>
      </c>
      <c r="J88" s="15">
        <f>H88+I88</f>
        <v/>
      </c>
      <c r="K88" s="4">
        <f>IF(C88&gt;0,"oui","non")</f>
        <v/>
      </c>
    </row>
    <row r="89">
      <c r="A89" s="31" t="n">
        <v>38.58</v>
      </c>
      <c r="B89" s="31">
        <f>A89-$B$12</f>
        <v/>
      </c>
      <c r="C89" s="31">
        <f>MAX(0,A89-$B$6)</f>
        <v/>
      </c>
      <c r="D89" s="5">
        <f>IF(C89&lt;=0,0,($B$7+$B$9*C89)*C89)</f>
        <v/>
      </c>
      <c r="E89" s="25">
        <f>D89*$B$11</f>
        <v/>
      </c>
      <c r="F89" s="25">
        <f>IF(A89&lt;=INDEX(Stage_Storage!$A$11:$A$18,1),INDEX(Stage_Storage!$E$11:$E$18,1),IF(A89&gt;=INDEX(Stage_Storage!$A$11:$A$18,ROWS(Stage_Storage!$A$11:$A$18)),INDEX(Stage_Storage!$E$11:$E$18,ROWS(Stage_Storage!$E$11:$E$18)),INDEX(Stage_Storage!$E$11:$E$18,MATCH(A89,Stage_Storage!$A$11:$A$18,1))+(A89-INDEX(Stage_Storage!$A$11:$A$18,MATCH(A89,Stage_Storage!$A$11:$A$18,1)))/(INDEX(Stage_Storage!$A$11:$A$18,MATCH(A89,Stage_Storage!$A$11:$A$18,1)+1)-INDEX(Stage_Storage!$A$11:$A$18,MATCH(A89,Stage_Storage!$A$11:$A$18,1)))*(INDEX(Stage_Storage!$E$11:$E$18,MATCH(A89,Stage_Storage!$A$11:$A$18,1)+1)-INDEX(Stage_Storage!$E$11:$E$18,MATCH(A89,Stage_Storage!$A$11:$A$18,1)))))</f>
        <v/>
      </c>
      <c r="G89" s="33">
        <f>E89+F89</f>
        <v/>
      </c>
      <c r="H89" s="5">
        <f>IF(B89&lt;=0,0,IF(B89&gt;=INDEX(Courbe_QH_900!$A$24:$A$84,ROWS(Courbe_QH_900!$A$24:$A$84)),INDEX(Courbe_QH_900!$E$24:$E$84,ROWS(Courbe_QH_900!$E$24:$E$84)),INDEX(Courbe_QH_900!$E$24:$E$84,MATCH(B89,Courbe_QH_900!$A$24:$A$84,1))+(B89-INDEX(Courbe_QH_900!$A$24:$A$84,MATCH(B89,Courbe_QH_900!$A$24:$A$84,1)))/(INDEX(Courbe_QH_900!$A$24:$A$84,MATCH(B89,Courbe_QH_900!$A$24:$A$84,1)+1)-INDEX(Courbe_QH_900!$A$24:$A$84,MATCH(B89,Courbe_QH_900!$A$24:$A$84,1)))*(INDEX(Courbe_QH_900!$E$24:$E$84,MATCH(B89,Courbe_QH_900!$A$24:$A$84,1)+1)-INDEX(Courbe_QH_900!$E$24:$E$84,MATCH(B89,Courbe_QH_900!$A$24:$A$84,1)))))</f>
        <v/>
      </c>
      <c r="I89" s="5">
        <f>IF(C89&lt;=0,0,IF($B$8&lt;=0,0,(1/$B$8)*D89*IF(($B$7+2*C89*SQRT(1+$B$9^2))&lt;=0,0,((D89/($B$7+2*C89*SQRT(1+$B$9^2)))^(2/3)))*SQRT($B$10)))</f>
        <v/>
      </c>
      <c r="J89" s="15">
        <f>H89+I89</f>
        <v/>
      </c>
      <c r="K89" s="4">
        <f>IF(C89&gt;0,"oui","non")</f>
        <v/>
      </c>
    </row>
    <row r="90">
      <c r="A90" s="31" t="n">
        <v>38.63</v>
      </c>
      <c r="B90" s="31">
        <f>A90-$B$12</f>
        <v/>
      </c>
      <c r="C90" s="31">
        <f>MAX(0,A90-$B$6)</f>
        <v/>
      </c>
      <c r="D90" s="5">
        <f>IF(C90&lt;=0,0,($B$7+$B$9*C90)*C90)</f>
        <v/>
      </c>
      <c r="E90" s="25">
        <f>D90*$B$11</f>
        <v/>
      </c>
      <c r="F90" s="25">
        <f>IF(A90&lt;=INDEX(Stage_Storage!$A$11:$A$18,1),INDEX(Stage_Storage!$E$11:$E$18,1),IF(A90&gt;=INDEX(Stage_Storage!$A$11:$A$18,ROWS(Stage_Storage!$A$11:$A$18)),INDEX(Stage_Storage!$E$11:$E$18,ROWS(Stage_Storage!$E$11:$E$18)),INDEX(Stage_Storage!$E$11:$E$18,MATCH(A90,Stage_Storage!$A$11:$A$18,1))+(A90-INDEX(Stage_Storage!$A$11:$A$18,MATCH(A90,Stage_Storage!$A$11:$A$18,1)))/(INDEX(Stage_Storage!$A$11:$A$18,MATCH(A90,Stage_Storage!$A$11:$A$18,1)+1)-INDEX(Stage_Storage!$A$11:$A$18,MATCH(A90,Stage_Storage!$A$11:$A$18,1)))*(INDEX(Stage_Storage!$E$11:$E$18,MATCH(A90,Stage_Storage!$A$11:$A$18,1)+1)-INDEX(Stage_Storage!$E$11:$E$18,MATCH(A90,Stage_Storage!$A$11:$A$18,1)))))</f>
        <v/>
      </c>
      <c r="G90" s="33">
        <f>E90+F90</f>
        <v/>
      </c>
      <c r="H90" s="5">
        <f>IF(B90&lt;=0,0,IF(B90&gt;=INDEX(Courbe_QH_900!$A$24:$A$84,ROWS(Courbe_QH_900!$A$24:$A$84)),INDEX(Courbe_QH_900!$E$24:$E$84,ROWS(Courbe_QH_900!$E$24:$E$84)),INDEX(Courbe_QH_900!$E$24:$E$84,MATCH(B90,Courbe_QH_900!$A$24:$A$84,1))+(B90-INDEX(Courbe_QH_900!$A$24:$A$84,MATCH(B90,Courbe_QH_900!$A$24:$A$84,1)))/(INDEX(Courbe_QH_900!$A$24:$A$84,MATCH(B90,Courbe_QH_900!$A$24:$A$84,1)+1)-INDEX(Courbe_QH_900!$A$24:$A$84,MATCH(B90,Courbe_QH_900!$A$24:$A$84,1)))*(INDEX(Courbe_QH_900!$E$24:$E$84,MATCH(B90,Courbe_QH_900!$A$24:$A$84,1)+1)-INDEX(Courbe_QH_900!$E$24:$E$84,MATCH(B90,Courbe_QH_900!$A$24:$A$84,1)))))</f>
        <v/>
      </c>
      <c r="I90" s="5">
        <f>IF(C90&lt;=0,0,IF($B$8&lt;=0,0,(1/$B$8)*D90*IF(($B$7+2*C90*SQRT(1+$B$9^2))&lt;=0,0,((D90/($B$7+2*C90*SQRT(1+$B$9^2)))^(2/3)))*SQRT($B$10)))</f>
        <v/>
      </c>
      <c r="J90" s="15">
        <f>H90+I90</f>
        <v/>
      </c>
      <c r="K90" s="4">
        <f>IF(C90&gt;0,"oui","non")</f>
        <v/>
      </c>
    </row>
    <row r="91">
      <c r="A91" s="31" t="n">
        <v>38.68</v>
      </c>
      <c r="B91" s="31">
        <f>A91-$B$12</f>
        <v/>
      </c>
      <c r="C91" s="31">
        <f>MAX(0,A91-$B$6)</f>
        <v/>
      </c>
      <c r="D91" s="5">
        <f>IF(C91&lt;=0,0,($B$7+$B$9*C91)*C91)</f>
        <v/>
      </c>
      <c r="E91" s="25">
        <f>D91*$B$11</f>
        <v/>
      </c>
      <c r="F91" s="25">
        <f>IF(A91&lt;=INDEX(Stage_Storage!$A$11:$A$18,1),INDEX(Stage_Storage!$E$11:$E$18,1),IF(A91&gt;=INDEX(Stage_Storage!$A$11:$A$18,ROWS(Stage_Storage!$A$11:$A$18)),INDEX(Stage_Storage!$E$11:$E$18,ROWS(Stage_Storage!$E$11:$E$18)),INDEX(Stage_Storage!$E$11:$E$18,MATCH(A91,Stage_Storage!$A$11:$A$18,1))+(A91-INDEX(Stage_Storage!$A$11:$A$18,MATCH(A91,Stage_Storage!$A$11:$A$18,1)))/(INDEX(Stage_Storage!$A$11:$A$18,MATCH(A91,Stage_Storage!$A$11:$A$18,1)+1)-INDEX(Stage_Storage!$A$11:$A$18,MATCH(A91,Stage_Storage!$A$11:$A$18,1)))*(INDEX(Stage_Storage!$E$11:$E$18,MATCH(A91,Stage_Storage!$A$11:$A$18,1)+1)-INDEX(Stage_Storage!$E$11:$E$18,MATCH(A91,Stage_Storage!$A$11:$A$18,1)))))</f>
        <v/>
      </c>
      <c r="G91" s="33">
        <f>E91+F91</f>
        <v/>
      </c>
      <c r="H91" s="5">
        <f>IF(B91&lt;=0,0,IF(B91&gt;=INDEX(Courbe_QH_900!$A$24:$A$84,ROWS(Courbe_QH_900!$A$24:$A$84)),INDEX(Courbe_QH_900!$E$24:$E$84,ROWS(Courbe_QH_900!$E$24:$E$84)),INDEX(Courbe_QH_900!$E$24:$E$84,MATCH(B91,Courbe_QH_900!$A$24:$A$84,1))+(B91-INDEX(Courbe_QH_900!$A$24:$A$84,MATCH(B91,Courbe_QH_900!$A$24:$A$84,1)))/(INDEX(Courbe_QH_900!$A$24:$A$84,MATCH(B91,Courbe_QH_900!$A$24:$A$84,1)+1)-INDEX(Courbe_QH_900!$A$24:$A$84,MATCH(B91,Courbe_QH_900!$A$24:$A$84,1)))*(INDEX(Courbe_QH_900!$E$24:$E$84,MATCH(B91,Courbe_QH_900!$A$24:$A$84,1)+1)-INDEX(Courbe_QH_900!$E$24:$E$84,MATCH(B91,Courbe_QH_900!$A$24:$A$84,1)))))</f>
        <v/>
      </c>
      <c r="I91" s="5">
        <f>IF(C91&lt;=0,0,IF($B$8&lt;=0,0,(1/$B$8)*D91*IF(($B$7+2*C91*SQRT(1+$B$9^2))&lt;=0,0,((D91/($B$7+2*C91*SQRT(1+$B$9^2)))^(2/3)))*SQRT($B$10)))</f>
        <v/>
      </c>
      <c r="J91" s="15">
        <f>H91+I91</f>
        <v/>
      </c>
      <c r="K91" s="4">
        <f>IF(C91&gt;0,"oui","non")</f>
        <v/>
      </c>
    </row>
    <row r="92">
      <c r="A92" s="31" t="n">
        <v>38.73</v>
      </c>
      <c r="B92" s="31">
        <f>A92-$B$12</f>
        <v/>
      </c>
      <c r="C92" s="31">
        <f>MAX(0,A92-$B$6)</f>
        <v/>
      </c>
      <c r="D92" s="5">
        <f>IF(C92&lt;=0,0,($B$7+$B$9*C92)*C92)</f>
        <v/>
      </c>
      <c r="E92" s="25">
        <f>D92*$B$11</f>
        <v/>
      </c>
      <c r="F92" s="25">
        <f>IF(A92&lt;=INDEX(Stage_Storage!$A$11:$A$18,1),INDEX(Stage_Storage!$E$11:$E$18,1),IF(A92&gt;=INDEX(Stage_Storage!$A$11:$A$18,ROWS(Stage_Storage!$A$11:$A$18)),INDEX(Stage_Storage!$E$11:$E$18,ROWS(Stage_Storage!$E$11:$E$18)),INDEX(Stage_Storage!$E$11:$E$18,MATCH(A92,Stage_Storage!$A$11:$A$18,1))+(A92-INDEX(Stage_Storage!$A$11:$A$18,MATCH(A92,Stage_Storage!$A$11:$A$18,1)))/(INDEX(Stage_Storage!$A$11:$A$18,MATCH(A92,Stage_Storage!$A$11:$A$18,1)+1)-INDEX(Stage_Storage!$A$11:$A$18,MATCH(A92,Stage_Storage!$A$11:$A$18,1)))*(INDEX(Stage_Storage!$E$11:$E$18,MATCH(A92,Stage_Storage!$A$11:$A$18,1)+1)-INDEX(Stage_Storage!$E$11:$E$18,MATCH(A92,Stage_Storage!$A$11:$A$18,1)))))</f>
        <v/>
      </c>
      <c r="G92" s="33">
        <f>E92+F92</f>
        <v/>
      </c>
      <c r="H92" s="5">
        <f>IF(B92&lt;=0,0,IF(B92&gt;=INDEX(Courbe_QH_900!$A$24:$A$84,ROWS(Courbe_QH_900!$A$24:$A$84)),INDEX(Courbe_QH_900!$E$24:$E$84,ROWS(Courbe_QH_900!$E$24:$E$84)),INDEX(Courbe_QH_900!$E$24:$E$84,MATCH(B92,Courbe_QH_900!$A$24:$A$84,1))+(B92-INDEX(Courbe_QH_900!$A$24:$A$84,MATCH(B92,Courbe_QH_900!$A$24:$A$84,1)))/(INDEX(Courbe_QH_900!$A$24:$A$84,MATCH(B92,Courbe_QH_900!$A$24:$A$84,1)+1)-INDEX(Courbe_QH_900!$A$24:$A$84,MATCH(B92,Courbe_QH_900!$A$24:$A$84,1)))*(INDEX(Courbe_QH_900!$E$24:$E$84,MATCH(B92,Courbe_QH_900!$A$24:$A$84,1)+1)-INDEX(Courbe_QH_900!$E$24:$E$84,MATCH(B92,Courbe_QH_900!$A$24:$A$84,1)))))</f>
        <v/>
      </c>
      <c r="I92" s="5">
        <f>IF(C92&lt;=0,0,IF($B$8&lt;=0,0,(1/$B$8)*D92*IF(($B$7+2*C92*SQRT(1+$B$9^2))&lt;=0,0,((D92/($B$7+2*C92*SQRT(1+$B$9^2)))^(2/3)))*SQRT($B$10)))</f>
        <v/>
      </c>
      <c r="J92" s="15">
        <f>H92+I92</f>
        <v/>
      </c>
      <c r="K92" s="4">
        <f>IF(C92&gt;0,"oui","non")</f>
        <v/>
      </c>
    </row>
    <row r="93">
      <c r="A93" s="31" t="n">
        <v>38.78</v>
      </c>
      <c r="B93" s="31">
        <f>A93-$B$12</f>
        <v/>
      </c>
      <c r="C93" s="31">
        <f>MAX(0,A93-$B$6)</f>
        <v/>
      </c>
      <c r="D93" s="5">
        <f>IF(C93&lt;=0,0,($B$7+$B$9*C93)*C93)</f>
        <v/>
      </c>
      <c r="E93" s="25">
        <f>D93*$B$11</f>
        <v/>
      </c>
      <c r="F93" s="25">
        <f>IF(A93&lt;=INDEX(Stage_Storage!$A$11:$A$18,1),INDEX(Stage_Storage!$E$11:$E$18,1),IF(A93&gt;=INDEX(Stage_Storage!$A$11:$A$18,ROWS(Stage_Storage!$A$11:$A$18)),INDEX(Stage_Storage!$E$11:$E$18,ROWS(Stage_Storage!$E$11:$E$18)),INDEX(Stage_Storage!$E$11:$E$18,MATCH(A93,Stage_Storage!$A$11:$A$18,1))+(A93-INDEX(Stage_Storage!$A$11:$A$18,MATCH(A93,Stage_Storage!$A$11:$A$18,1)))/(INDEX(Stage_Storage!$A$11:$A$18,MATCH(A93,Stage_Storage!$A$11:$A$18,1)+1)-INDEX(Stage_Storage!$A$11:$A$18,MATCH(A93,Stage_Storage!$A$11:$A$18,1)))*(INDEX(Stage_Storage!$E$11:$E$18,MATCH(A93,Stage_Storage!$A$11:$A$18,1)+1)-INDEX(Stage_Storage!$E$11:$E$18,MATCH(A93,Stage_Storage!$A$11:$A$18,1)))))</f>
        <v/>
      </c>
      <c r="G93" s="33">
        <f>E93+F93</f>
        <v/>
      </c>
      <c r="H93" s="5">
        <f>IF(B93&lt;=0,0,IF(B93&gt;=INDEX(Courbe_QH_900!$A$24:$A$84,ROWS(Courbe_QH_900!$A$24:$A$84)),INDEX(Courbe_QH_900!$E$24:$E$84,ROWS(Courbe_QH_900!$E$24:$E$84)),INDEX(Courbe_QH_900!$E$24:$E$84,MATCH(B93,Courbe_QH_900!$A$24:$A$84,1))+(B93-INDEX(Courbe_QH_900!$A$24:$A$84,MATCH(B93,Courbe_QH_900!$A$24:$A$84,1)))/(INDEX(Courbe_QH_900!$A$24:$A$84,MATCH(B93,Courbe_QH_900!$A$24:$A$84,1)+1)-INDEX(Courbe_QH_900!$A$24:$A$84,MATCH(B93,Courbe_QH_900!$A$24:$A$84,1)))*(INDEX(Courbe_QH_900!$E$24:$E$84,MATCH(B93,Courbe_QH_900!$A$24:$A$84,1)+1)-INDEX(Courbe_QH_900!$E$24:$E$84,MATCH(B93,Courbe_QH_900!$A$24:$A$84,1)))))</f>
        <v/>
      </c>
      <c r="I93" s="5">
        <f>IF(C93&lt;=0,0,IF($B$8&lt;=0,0,(1/$B$8)*D93*IF(($B$7+2*C93*SQRT(1+$B$9^2))&lt;=0,0,((D93/($B$7+2*C93*SQRT(1+$B$9^2)))^(2/3)))*SQRT($B$10)))</f>
        <v/>
      </c>
      <c r="J93" s="15">
        <f>H93+I93</f>
        <v/>
      </c>
      <c r="K93" s="4">
        <f>IF(C93&gt;0,"oui","non")</f>
        <v/>
      </c>
    </row>
    <row r="94">
      <c r="A94" s="31" t="n">
        <v>38.83</v>
      </c>
      <c r="B94" s="31">
        <f>A94-$B$12</f>
        <v/>
      </c>
      <c r="C94" s="31">
        <f>MAX(0,A94-$B$6)</f>
        <v/>
      </c>
      <c r="D94" s="5">
        <f>IF(C94&lt;=0,0,($B$7+$B$9*C94)*C94)</f>
        <v/>
      </c>
      <c r="E94" s="25">
        <f>D94*$B$11</f>
        <v/>
      </c>
      <c r="F94" s="25">
        <f>IF(A94&lt;=INDEX(Stage_Storage!$A$11:$A$18,1),INDEX(Stage_Storage!$E$11:$E$18,1),IF(A94&gt;=INDEX(Stage_Storage!$A$11:$A$18,ROWS(Stage_Storage!$A$11:$A$18)),INDEX(Stage_Storage!$E$11:$E$18,ROWS(Stage_Storage!$E$11:$E$18)),INDEX(Stage_Storage!$E$11:$E$18,MATCH(A94,Stage_Storage!$A$11:$A$18,1))+(A94-INDEX(Stage_Storage!$A$11:$A$18,MATCH(A94,Stage_Storage!$A$11:$A$18,1)))/(INDEX(Stage_Storage!$A$11:$A$18,MATCH(A94,Stage_Storage!$A$11:$A$18,1)+1)-INDEX(Stage_Storage!$A$11:$A$18,MATCH(A94,Stage_Storage!$A$11:$A$18,1)))*(INDEX(Stage_Storage!$E$11:$E$18,MATCH(A94,Stage_Storage!$A$11:$A$18,1)+1)-INDEX(Stage_Storage!$E$11:$E$18,MATCH(A94,Stage_Storage!$A$11:$A$18,1)))))</f>
        <v/>
      </c>
      <c r="G94" s="33">
        <f>E94+F94</f>
        <v/>
      </c>
      <c r="H94" s="5">
        <f>IF(B94&lt;=0,0,IF(B94&gt;=INDEX(Courbe_QH_900!$A$24:$A$84,ROWS(Courbe_QH_900!$A$24:$A$84)),INDEX(Courbe_QH_900!$E$24:$E$84,ROWS(Courbe_QH_900!$E$24:$E$84)),INDEX(Courbe_QH_900!$E$24:$E$84,MATCH(B94,Courbe_QH_900!$A$24:$A$84,1))+(B94-INDEX(Courbe_QH_900!$A$24:$A$84,MATCH(B94,Courbe_QH_900!$A$24:$A$84,1)))/(INDEX(Courbe_QH_900!$A$24:$A$84,MATCH(B94,Courbe_QH_900!$A$24:$A$84,1)+1)-INDEX(Courbe_QH_900!$A$24:$A$84,MATCH(B94,Courbe_QH_900!$A$24:$A$84,1)))*(INDEX(Courbe_QH_900!$E$24:$E$84,MATCH(B94,Courbe_QH_900!$A$24:$A$84,1)+1)-INDEX(Courbe_QH_900!$E$24:$E$84,MATCH(B94,Courbe_QH_900!$A$24:$A$84,1)))))</f>
        <v/>
      </c>
      <c r="I94" s="5">
        <f>IF(C94&lt;=0,0,IF($B$8&lt;=0,0,(1/$B$8)*D94*IF(($B$7+2*C94*SQRT(1+$B$9^2))&lt;=0,0,((D94/($B$7+2*C94*SQRT(1+$B$9^2)))^(2/3)))*SQRT($B$10)))</f>
        <v/>
      </c>
      <c r="J94" s="15">
        <f>H94+I94</f>
        <v/>
      </c>
      <c r="K94" s="4">
        <f>IF(C94&gt;0,"oui","non")</f>
        <v/>
      </c>
    </row>
    <row r="95">
      <c r="A95" s="31" t="n">
        <v>38.88</v>
      </c>
      <c r="B95" s="31">
        <f>A95-$B$12</f>
        <v/>
      </c>
      <c r="C95" s="31">
        <f>MAX(0,A95-$B$6)</f>
        <v/>
      </c>
      <c r="D95" s="5">
        <f>IF(C95&lt;=0,0,($B$7+$B$9*C95)*C95)</f>
        <v/>
      </c>
      <c r="E95" s="25">
        <f>D95*$B$11</f>
        <v/>
      </c>
      <c r="F95" s="25">
        <f>IF(A95&lt;=INDEX(Stage_Storage!$A$11:$A$18,1),INDEX(Stage_Storage!$E$11:$E$18,1),IF(A95&gt;=INDEX(Stage_Storage!$A$11:$A$18,ROWS(Stage_Storage!$A$11:$A$18)),INDEX(Stage_Storage!$E$11:$E$18,ROWS(Stage_Storage!$E$11:$E$18)),INDEX(Stage_Storage!$E$11:$E$18,MATCH(A95,Stage_Storage!$A$11:$A$18,1))+(A95-INDEX(Stage_Storage!$A$11:$A$18,MATCH(A95,Stage_Storage!$A$11:$A$18,1)))/(INDEX(Stage_Storage!$A$11:$A$18,MATCH(A95,Stage_Storage!$A$11:$A$18,1)+1)-INDEX(Stage_Storage!$A$11:$A$18,MATCH(A95,Stage_Storage!$A$11:$A$18,1)))*(INDEX(Stage_Storage!$E$11:$E$18,MATCH(A95,Stage_Storage!$A$11:$A$18,1)+1)-INDEX(Stage_Storage!$E$11:$E$18,MATCH(A95,Stage_Storage!$A$11:$A$18,1)))))</f>
        <v/>
      </c>
      <c r="G95" s="33">
        <f>E95+F95</f>
        <v/>
      </c>
      <c r="H95" s="5">
        <f>IF(B95&lt;=0,0,IF(B95&gt;=INDEX(Courbe_QH_900!$A$24:$A$84,ROWS(Courbe_QH_900!$A$24:$A$84)),INDEX(Courbe_QH_900!$E$24:$E$84,ROWS(Courbe_QH_900!$E$24:$E$84)),INDEX(Courbe_QH_900!$E$24:$E$84,MATCH(B95,Courbe_QH_900!$A$24:$A$84,1))+(B95-INDEX(Courbe_QH_900!$A$24:$A$84,MATCH(B95,Courbe_QH_900!$A$24:$A$84,1)))/(INDEX(Courbe_QH_900!$A$24:$A$84,MATCH(B95,Courbe_QH_900!$A$24:$A$84,1)+1)-INDEX(Courbe_QH_900!$A$24:$A$84,MATCH(B95,Courbe_QH_900!$A$24:$A$84,1)))*(INDEX(Courbe_QH_900!$E$24:$E$84,MATCH(B95,Courbe_QH_900!$A$24:$A$84,1)+1)-INDEX(Courbe_QH_900!$E$24:$E$84,MATCH(B95,Courbe_QH_900!$A$24:$A$84,1)))))</f>
        <v/>
      </c>
      <c r="I95" s="5">
        <f>IF(C95&lt;=0,0,IF($B$8&lt;=0,0,(1/$B$8)*D95*IF(($B$7+2*C95*SQRT(1+$B$9^2))&lt;=0,0,((D95/($B$7+2*C95*SQRT(1+$B$9^2)))^(2/3)))*SQRT($B$10)))</f>
        <v/>
      </c>
      <c r="J95" s="15">
        <f>H95+I95</f>
        <v/>
      </c>
      <c r="K95" s="4">
        <f>IF(C95&gt;0,"oui","non")</f>
        <v/>
      </c>
    </row>
    <row r="96">
      <c r="A96" s="31" t="n">
        <v>38.93</v>
      </c>
      <c r="B96" s="31">
        <f>A96-$B$12</f>
        <v/>
      </c>
      <c r="C96" s="31">
        <f>MAX(0,A96-$B$6)</f>
        <v/>
      </c>
      <c r="D96" s="5">
        <f>IF(C96&lt;=0,0,($B$7+$B$9*C96)*C96)</f>
        <v/>
      </c>
      <c r="E96" s="25">
        <f>D96*$B$11</f>
        <v/>
      </c>
      <c r="F96" s="25">
        <f>IF(A96&lt;=INDEX(Stage_Storage!$A$11:$A$18,1),INDEX(Stage_Storage!$E$11:$E$18,1),IF(A96&gt;=INDEX(Stage_Storage!$A$11:$A$18,ROWS(Stage_Storage!$A$11:$A$18)),INDEX(Stage_Storage!$E$11:$E$18,ROWS(Stage_Storage!$E$11:$E$18)),INDEX(Stage_Storage!$E$11:$E$18,MATCH(A96,Stage_Storage!$A$11:$A$18,1))+(A96-INDEX(Stage_Storage!$A$11:$A$18,MATCH(A96,Stage_Storage!$A$11:$A$18,1)))/(INDEX(Stage_Storage!$A$11:$A$18,MATCH(A96,Stage_Storage!$A$11:$A$18,1)+1)-INDEX(Stage_Storage!$A$11:$A$18,MATCH(A96,Stage_Storage!$A$11:$A$18,1)))*(INDEX(Stage_Storage!$E$11:$E$18,MATCH(A96,Stage_Storage!$A$11:$A$18,1)+1)-INDEX(Stage_Storage!$E$11:$E$18,MATCH(A96,Stage_Storage!$A$11:$A$18,1)))))</f>
        <v/>
      </c>
      <c r="G96" s="33">
        <f>E96+F96</f>
        <v/>
      </c>
      <c r="H96" s="5">
        <f>IF(B96&lt;=0,0,IF(B96&gt;=INDEX(Courbe_QH_900!$A$24:$A$84,ROWS(Courbe_QH_900!$A$24:$A$84)),INDEX(Courbe_QH_900!$E$24:$E$84,ROWS(Courbe_QH_900!$E$24:$E$84)),INDEX(Courbe_QH_900!$E$24:$E$84,MATCH(B96,Courbe_QH_900!$A$24:$A$84,1))+(B96-INDEX(Courbe_QH_900!$A$24:$A$84,MATCH(B96,Courbe_QH_900!$A$24:$A$84,1)))/(INDEX(Courbe_QH_900!$A$24:$A$84,MATCH(B96,Courbe_QH_900!$A$24:$A$84,1)+1)-INDEX(Courbe_QH_900!$A$24:$A$84,MATCH(B96,Courbe_QH_900!$A$24:$A$84,1)))*(INDEX(Courbe_QH_900!$E$24:$E$84,MATCH(B96,Courbe_QH_900!$A$24:$A$84,1)+1)-INDEX(Courbe_QH_900!$E$24:$E$84,MATCH(B96,Courbe_QH_900!$A$24:$A$84,1)))))</f>
        <v/>
      </c>
      <c r="I96" s="5">
        <f>IF(C96&lt;=0,0,IF($B$8&lt;=0,0,(1/$B$8)*D96*IF(($B$7+2*C96*SQRT(1+$B$9^2))&lt;=0,0,((D96/($B$7+2*C96*SQRT(1+$B$9^2)))^(2/3)))*SQRT($B$10)))</f>
        <v/>
      </c>
      <c r="J96" s="15">
        <f>H96+I96</f>
        <v/>
      </c>
      <c r="K96" s="4">
        <f>IF(C96&gt;0,"oui","non")</f>
        <v/>
      </c>
    </row>
    <row r="97">
      <c r="A97" s="31" t="n">
        <v>38.98</v>
      </c>
      <c r="B97" s="31">
        <f>A97-$B$12</f>
        <v/>
      </c>
      <c r="C97" s="31">
        <f>MAX(0,A97-$B$6)</f>
        <v/>
      </c>
      <c r="D97" s="5">
        <f>IF(C97&lt;=0,0,($B$7+$B$9*C97)*C97)</f>
        <v/>
      </c>
      <c r="E97" s="25">
        <f>D97*$B$11</f>
        <v/>
      </c>
      <c r="F97" s="25">
        <f>IF(A97&lt;=INDEX(Stage_Storage!$A$11:$A$18,1),INDEX(Stage_Storage!$E$11:$E$18,1),IF(A97&gt;=INDEX(Stage_Storage!$A$11:$A$18,ROWS(Stage_Storage!$A$11:$A$18)),INDEX(Stage_Storage!$E$11:$E$18,ROWS(Stage_Storage!$E$11:$E$18)),INDEX(Stage_Storage!$E$11:$E$18,MATCH(A97,Stage_Storage!$A$11:$A$18,1))+(A97-INDEX(Stage_Storage!$A$11:$A$18,MATCH(A97,Stage_Storage!$A$11:$A$18,1)))/(INDEX(Stage_Storage!$A$11:$A$18,MATCH(A97,Stage_Storage!$A$11:$A$18,1)+1)-INDEX(Stage_Storage!$A$11:$A$18,MATCH(A97,Stage_Storage!$A$11:$A$18,1)))*(INDEX(Stage_Storage!$E$11:$E$18,MATCH(A97,Stage_Storage!$A$11:$A$18,1)+1)-INDEX(Stage_Storage!$E$11:$E$18,MATCH(A97,Stage_Storage!$A$11:$A$18,1)))))</f>
        <v/>
      </c>
      <c r="G97" s="33">
        <f>E97+F97</f>
        <v/>
      </c>
      <c r="H97" s="5">
        <f>IF(B97&lt;=0,0,IF(B97&gt;=INDEX(Courbe_QH_900!$A$24:$A$84,ROWS(Courbe_QH_900!$A$24:$A$84)),INDEX(Courbe_QH_900!$E$24:$E$84,ROWS(Courbe_QH_900!$E$24:$E$84)),INDEX(Courbe_QH_900!$E$24:$E$84,MATCH(B97,Courbe_QH_900!$A$24:$A$84,1))+(B97-INDEX(Courbe_QH_900!$A$24:$A$84,MATCH(B97,Courbe_QH_900!$A$24:$A$84,1)))/(INDEX(Courbe_QH_900!$A$24:$A$84,MATCH(B97,Courbe_QH_900!$A$24:$A$84,1)+1)-INDEX(Courbe_QH_900!$A$24:$A$84,MATCH(B97,Courbe_QH_900!$A$24:$A$84,1)))*(INDEX(Courbe_QH_900!$E$24:$E$84,MATCH(B97,Courbe_QH_900!$A$24:$A$84,1)+1)-INDEX(Courbe_QH_900!$E$24:$E$84,MATCH(B97,Courbe_QH_900!$A$24:$A$84,1)))))</f>
        <v/>
      </c>
      <c r="I97" s="5">
        <f>IF(C97&lt;=0,0,IF($B$8&lt;=0,0,(1/$B$8)*D97*IF(($B$7+2*C97*SQRT(1+$B$9^2))&lt;=0,0,((D97/($B$7+2*C97*SQRT(1+$B$9^2)))^(2/3)))*SQRT($B$10)))</f>
        <v/>
      </c>
      <c r="J97" s="15">
        <f>H97+I97</f>
        <v/>
      </c>
      <c r="K97" s="4">
        <f>IF(C97&gt;0,"oui","non")</f>
        <v/>
      </c>
    </row>
    <row r="98">
      <c r="A98" s="31" t="n">
        <v>39.03</v>
      </c>
      <c r="B98" s="31">
        <f>A98-$B$12</f>
        <v/>
      </c>
      <c r="C98" s="31">
        <f>MAX(0,A98-$B$6)</f>
        <v/>
      </c>
      <c r="D98" s="5">
        <f>IF(C98&lt;=0,0,($B$7+$B$9*C98)*C98)</f>
        <v/>
      </c>
      <c r="E98" s="25">
        <f>D98*$B$11</f>
        <v/>
      </c>
      <c r="F98" s="25">
        <f>IF(A98&lt;=INDEX(Stage_Storage!$A$11:$A$18,1),INDEX(Stage_Storage!$E$11:$E$18,1),IF(A98&gt;=INDEX(Stage_Storage!$A$11:$A$18,ROWS(Stage_Storage!$A$11:$A$18)),INDEX(Stage_Storage!$E$11:$E$18,ROWS(Stage_Storage!$E$11:$E$18)),INDEX(Stage_Storage!$E$11:$E$18,MATCH(A98,Stage_Storage!$A$11:$A$18,1))+(A98-INDEX(Stage_Storage!$A$11:$A$18,MATCH(A98,Stage_Storage!$A$11:$A$18,1)))/(INDEX(Stage_Storage!$A$11:$A$18,MATCH(A98,Stage_Storage!$A$11:$A$18,1)+1)-INDEX(Stage_Storage!$A$11:$A$18,MATCH(A98,Stage_Storage!$A$11:$A$18,1)))*(INDEX(Stage_Storage!$E$11:$E$18,MATCH(A98,Stage_Storage!$A$11:$A$18,1)+1)-INDEX(Stage_Storage!$E$11:$E$18,MATCH(A98,Stage_Storage!$A$11:$A$18,1)))))</f>
        <v/>
      </c>
      <c r="G98" s="33">
        <f>E98+F98</f>
        <v/>
      </c>
      <c r="H98" s="5">
        <f>IF(B98&lt;=0,0,IF(B98&gt;=INDEX(Courbe_QH_900!$A$24:$A$84,ROWS(Courbe_QH_900!$A$24:$A$84)),INDEX(Courbe_QH_900!$E$24:$E$84,ROWS(Courbe_QH_900!$E$24:$E$84)),INDEX(Courbe_QH_900!$E$24:$E$84,MATCH(B98,Courbe_QH_900!$A$24:$A$84,1))+(B98-INDEX(Courbe_QH_900!$A$24:$A$84,MATCH(B98,Courbe_QH_900!$A$24:$A$84,1)))/(INDEX(Courbe_QH_900!$A$24:$A$84,MATCH(B98,Courbe_QH_900!$A$24:$A$84,1)+1)-INDEX(Courbe_QH_900!$A$24:$A$84,MATCH(B98,Courbe_QH_900!$A$24:$A$84,1)))*(INDEX(Courbe_QH_900!$E$24:$E$84,MATCH(B98,Courbe_QH_900!$A$24:$A$84,1)+1)-INDEX(Courbe_QH_900!$E$24:$E$84,MATCH(B98,Courbe_QH_900!$A$24:$A$84,1)))))</f>
        <v/>
      </c>
      <c r="I98" s="5">
        <f>IF(C98&lt;=0,0,IF($B$8&lt;=0,0,(1/$B$8)*D98*IF(($B$7+2*C98*SQRT(1+$B$9^2))&lt;=0,0,((D98/($B$7+2*C98*SQRT(1+$B$9^2)))^(2/3)))*SQRT($B$10)))</f>
        <v/>
      </c>
      <c r="J98" s="15">
        <f>H98+I98</f>
        <v/>
      </c>
      <c r="K98" s="4">
        <f>IF(C98&gt;0,"oui","non")</f>
        <v/>
      </c>
    </row>
    <row r="99">
      <c r="A99" s="31" t="n">
        <v>39.08</v>
      </c>
      <c r="B99" s="31">
        <f>A99-$B$12</f>
        <v/>
      </c>
      <c r="C99" s="31">
        <f>MAX(0,A99-$B$6)</f>
        <v/>
      </c>
      <c r="D99" s="5">
        <f>IF(C99&lt;=0,0,($B$7+$B$9*C99)*C99)</f>
        <v/>
      </c>
      <c r="E99" s="25">
        <f>D99*$B$11</f>
        <v/>
      </c>
      <c r="F99" s="25">
        <f>IF(A99&lt;=INDEX(Stage_Storage!$A$11:$A$18,1),INDEX(Stage_Storage!$E$11:$E$18,1),IF(A99&gt;=INDEX(Stage_Storage!$A$11:$A$18,ROWS(Stage_Storage!$A$11:$A$18)),INDEX(Stage_Storage!$E$11:$E$18,ROWS(Stage_Storage!$E$11:$E$18)),INDEX(Stage_Storage!$E$11:$E$18,MATCH(A99,Stage_Storage!$A$11:$A$18,1))+(A99-INDEX(Stage_Storage!$A$11:$A$18,MATCH(A99,Stage_Storage!$A$11:$A$18,1)))/(INDEX(Stage_Storage!$A$11:$A$18,MATCH(A99,Stage_Storage!$A$11:$A$18,1)+1)-INDEX(Stage_Storage!$A$11:$A$18,MATCH(A99,Stage_Storage!$A$11:$A$18,1)))*(INDEX(Stage_Storage!$E$11:$E$18,MATCH(A99,Stage_Storage!$A$11:$A$18,1)+1)-INDEX(Stage_Storage!$E$11:$E$18,MATCH(A99,Stage_Storage!$A$11:$A$18,1)))))</f>
        <v/>
      </c>
      <c r="G99" s="33">
        <f>E99+F99</f>
        <v/>
      </c>
      <c r="H99" s="5">
        <f>IF(B99&lt;=0,0,IF(B99&gt;=INDEX(Courbe_QH_900!$A$24:$A$84,ROWS(Courbe_QH_900!$A$24:$A$84)),INDEX(Courbe_QH_900!$E$24:$E$84,ROWS(Courbe_QH_900!$E$24:$E$84)),INDEX(Courbe_QH_900!$E$24:$E$84,MATCH(B99,Courbe_QH_900!$A$24:$A$84,1))+(B99-INDEX(Courbe_QH_900!$A$24:$A$84,MATCH(B99,Courbe_QH_900!$A$24:$A$84,1)))/(INDEX(Courbe_QH_900!$A$24:$A$84,MATCH(B99,Courbe_QH_900!$A$24:$A$84,1)+1)-INDEX(Courbe_QH_900!$A$24:$A$84,MATCH(B99,Courbe_QH_900!$A$24:$A$84,1)))*(INDEX(Courbe_QH_900!$E$24:$E$84,MATCH(B99,Courbe_QH_900!$A$24:$A$84,1)+1)-INDEX(Courbe_QH_900!$E$24:$E$84,MATCH(B99,Courbe_QH_900!$A$24:$A$84,1)))))</f>
        <v/>
      </c>
      <c r="I99" s="5">
        <f>IF(C99&lt;=0,0,IF($B$8&lt;=0,0,(1/$B$8)*D99*IF(($B$7+2*C99*SQRT(1+$B$9^2))&lt;=0,0,((D99/($B$7+2*C99*SQRT(1+$B$9^2)))^(2/3)))*SQRT($B$10)))</f>
        <v/>
      </c>
      <c r="J99" s="15">
        <f>H99+I99</f>
        <v/>
      </c>
      <c r="K99" s="4">
        <f>IF(C99&gt;0,"oui","non")</f>
        <v/>
      </c>
    </row>
    <row r="100">
      <c r="A100" s="31" t="n">
        <v>39.13</v>
      </c>
      <c r="B100" s="31">
        <f>A100-$B$12</f>
        <v/>
      </c>
      <c r="C100" s="31">
        <f>MAX(0,A100-$B$6)</f>
        <v/>
      </c>
      <c r="D100" s="5">
        <f>IF(C100&lt;=0,0,($B$7+$B$9*C100)*C100)</f>
        <v/>
      </c>
      <c r="E100" s="25">
        <f>D100*$B$11</f>
        <v/>
      </c>
      <c r="F100" s="25">
        <f>IF(A100&lt;=INDEX(Stage_Storage!$A$11:$A$18,1),INDEX(Stage_Storage!$E$11:$E$18,1),IF(A100&gt;=INDEX(Stage_Storage!$A$11:$A$18,ROWS(Stage_Storage!$A$11:$A$18)),INDEX(Stage_Storage!$E$11:$E$18,ROWS(Stage_Storage!$E$11:$E$18)),INDEX(Stage_Storage!$E$11:$E$18,MATCH(A100,Stage_Storage!$A$11:$A$18,1))+(A100-INDEX(Stage_Storage!$A$11:$A$18,MATCH(A100,Stage_Storage!$A$11:$A$18,1)))/(INDEX(Stage_Storage!$A$11:$A$18,MATCH(A100,Stage_Storage!$A$11:$A$18,1)+1)-INDEX(Stage_Storage!$A$11:$A$18,MATCH(A100,Stage_Storage!$A$11:$A$18,1)))*(INDEX(Stage_Storage!$E$11:$E$18,MATCH(A100,Stage_Storage!$A$11:$A$18,1)+1)-INDEX(Stage_Storage!$E$11:$E$18,MATCH(A100,Stage_Storage!$A$11:$A$18,1)))))</f>
        <v/>
      </c>
      <c r="G100" s="33">
        <f>E100+F100</f>
        <v/>
      </c>
      <c r="H100" s="5">
        <f>IF(B100&lt;=0,0,IF(B100&gt;=INDEX(Courbe_QH_900!$A$24:$A$84,ROWS(Courbe_QH_900!$A$24:$A$84)),INDEX(Courbe_QH_900!$E$24:$E$84,ROWS(Courbe_QH_900!$E$24:$E$84)),INDEX(Courbe_QH_900!$E$24:$E$84,MATCH(B100,Courbe_QH_900!$A$24:$A$84,1))+(B100-INDEX(Courbe_QH_900!$A$24:$A$84,MATCH(B100,Courbe_QH_900!$A$24:$A$84,1)))/(INDEX(Courbe_QH_900!$A$24:$A$84,MATCH(B100,Courbe_QH_900!$A$24:$A$84,1)+1)-INDEX(Courbe_QH_900!$A$24:$A$84,MATCH(B100,Courbe_QH_900!$A$24:$A$84,1)))*(INDEX(Courbe_QH_900!$E$24:$E$84,MATCH(B100,Courbe_QH_900!$A$24:$A$84,1)+1)-INDEX(Courbe_QH_900!$E$24:$E$84,MATCH(B100,Courbe_QH_900!$A$24:$A$84,1)))))</f>
        <v/>
      </c>
      <c r="I100" s="5">
        <f>IF(C100&lt;=0,0,IF($B$8&lt;=0,0,(1/$B$8)*D100*IF(($B$7+2*C100*SQRT(1+$B$9^2))&lt;=0,0,((D100/($B$7+2*C100*SQRT(1+$B$9^2)))^(2/3)))*SQRT($B$10)))</f>
        <v/>
      </c>
      <c r="J100" s="15">
        <f>H100+I100</f>
        <v/>
      </c>
      <c r="K100" s="4">
        <f>IF(C100&gt;0,"oui","non")</f>
        <v/>
      </c>
    </row>
    <row r="101">
      <c r="A101" s="31" t="n">
        <v>39.18</v>
      </c>
      <c r="B101" s="31">
        <f>A101-$B$12</f>
        <v/>
      </c>
      <c r="C101" s="31">
        <f>MAX(0,A101-$B$6)</f>
        <v/>
      </c>
      <c r="D101" s="5">
        <f>IF(C101&lt;=0,0,($B$7+$B$9*C101)*C101)</f>
        <v/>
      </c>
      <c r="E101" s="25">
        <f>D101*$B$11</f>
        <v/>
      </c>
      <c r="F101" s="25">
        <f>IF(A101&lt;=INDEX(Stage_Storage!$A$11:$A$18,1),INDEX(Stage_Storage!$E$11:$E$18,1),IF(A101&gt;=INDEX(Stage_Storage!$A$11:$A$18,ROWS(Stage_Storage!$A$11:$A$18)),INDEX(Stage_Storage!$E$11:$E$18,ROWS(Stage_Storage!$E$11:$E$18)),INDEX(Stage_Storage!$E$11:$E$18,MATCH(A101,Stage_Storage!$A$11:$A$18,1))+(A101-INDEX(Stage_Storage!$A$11:$A$18,MATCH(A101,Stage_Storage!$A$11:$A$18,1)))/(INDEX(Stage_Storage!$A$11:$A$18,MATCH(A101,Stage_Storage!$A$11:$A$18,1)+1)-INDEX(Stage_Storage!$A$11:$A$18,MATCH(A101,Stage_Storage!$A$11:$A$18,1)))*(INDEX(Stage_Storage!$E$11:$E$18,MATCH(A101,Stage_Storage!$A$11:$A$18,1)+1)-INDEX(Stage_Storage!$E$11:$E$18,MATCH(A101,Stage_Storage!$A$11:$A$18,1)))))</f>
        <v/>
      </c>
      <c r="G101" s="33">
        <f>E101+F101</f>
        <v/>
      </c>
      <c r="H101" s="5">
        <f>IF(B101&lt;=0,0,IF(B101&gt;=INDEX(Courbe_QH_900!$A$24:$A$84,ROWS(Courbe_QH_900!$A$24:$A$84)),INDEX(Courbe_QH_900!$E$24:$E$84,ROWS(Courbe_QH_900!$E$24:$E$84)),INDEX(Courbe_QH_900!$E$24:$E$84,MATCH(B101,Courbe_QH_900!$A$24:$A$84,1))+(B101-INDEX(Courbe_QH_900!$A$24:$A$84,MATCH(B101,Courbe_QH_900!$A$24:$A$84,1)))/(INDEX(Courbe_QH_900!$A$24:$A$84,MATCH(B101,Courbe_QH_900!$A$24:$A$84,1)+1)-INDEX(Courbe_QH_900!$A$24:$A$84,MATCH(B101,Courbe_QH_900!$A$24:$A$84,1)))*(INDEX(Courbe_QH_900!$E$24:$E$84,MATCH(B101,Courbe_QH_900!$A$24:$A$84,1)+1)-INDEX(Courbe_QH_900!$E$24:$E$84,MATCH(B101,Courbe_QH_900!$A$24:$A$84,1)))))</f>
        <v/>
      </c>
      <c r="I101" s="5">
        <f>IF(C101&lt;=0,0,IF($B$8&lt;=0,0,(1/$B$8)*D101*IF(($B$7+2*C101*SQRT(1+$B$9^2))&lt;=0,0,((D101/($B$7+2*C101*SQRT(1+$B$9^2)))^(2/3)))*SQRT($B$10)))</f>
        <v/>
      </c>
      <c r="J101" s="15">
        <f>H101+I101</f>
        <v/>
      </c>
      <c r="K101" s="4">
        <f>IF(C101&gt;0,"oui","non")</f>
        <v/>
      </c>
    </row>
    <row r="102">
      <c r="A102" s="31" t="n">
        <v>39.23</v>
      </c>
      <c r="B102" s="31">
        <f>A102-$B$12</f>
        <v/>
      </c>
      <c r="C102" s="31">
        <f>MAX(0,A102-$B$6)</f>
        <v/>
      </c>
      <c r="D102" s="5">
        <f>IF(C102&lt;=0,0,($B$7+$B$9*C102)*C102)</f>
        <v/>
      </c>
      <c r="E102" s="25">
        <f>D102*$B$11</f>
        <v/>
      </c>
      <c r="F102" s="25">
        <f>IF(A102&lt;=INDEX(Stage_Storage!$A$11:$A$18,1),INDEX(Stage_Storage!$E$11:$E$18,1),IF(A102&gt;=INDEX(Stage_Storage!$A$11:$A$18,ROWS(Stage_Storage!$A$11:$A$18)),INDEX(Stage_Storage!$E$11:$E$18,ROWS(Stage_Storage!$E$11:$E$18)),INDEX(Stage_Storage!$E$11:$E$18,MATCH(A102,Stage_Storage!$A$11:$A$18,1))+(A102-INDEX(Stage_Storage!$A$11:$A$18,MATCH(A102,Stage_Storage!$A$11:$A$18,1)))/(INDEX(Stage_Storage!$A$11:$A$18,MATCH(A102,Stage_Storage!$A$11:$A$18,1)+1)-INDEX(Stage_Storage!$A$11:$A$18,MATCH(A102,Stage_Storage!$A$11:$A$18,1)))*(INDEX(Stage_Storage!$E$11:$E$18,MATCH(A102,Stage_Storage!$A$11:$A$18,1)+1)-INDEX(Stage_Storage!$E$11:$E$18,MATCH(A102,Stage_Storage!$A$11:$A$18,1)))))</f>
        <v/>
      </c>
      <c r="G102" s="33">
        <f>E102+F102</f>
        <v/>
      </c>
      <c r="H102" s="5">
        <f>IF(B102&lt;=0,0,IF(B102&gt;=INDEX(Courbe_QH_900!$A$24:$A$84,ROWS(Courbe_QH_900!$A$24:$A$84)),INDEX(Courbe_QH_900!$E$24:$E$84,ROWS(Courbe_QH_900!$E$24:$E$84)),INDEX(Courbe_QH_900!$E$24:$E$84,MATCH(B102,Courbe_QH_900!$A$24:$A$84,1))+(B102-INDEX(Courbe_QH_900!$A$24:$A$84,MATCH(B102,Courbe_QH_900!$A$24:$A$84,1)))/(INDEX(Courbe_QH_900!$A$24:$A$84,MATCH(B102,Courbe_QH_900!$A$24:$A$84,1)+1)-INDEX(Courbe_QH_900!$A$24:$A$84,MATCH(B102,Courbe_QH_900!$A$24:$A$84,1)))*(INDEX(Courbe_QH_900!$E$24:$E$84,MATCH(B102,Courbe_QH_900!$A$24:$A$84,1)+1)-INDEX(Courbe_QH_900!$E$24:$E$84,MATCH(B102,Courbe_QH_900!$A$24:$A$84,1)))))</f>
        <v/>
      </c>
      <c r="I102" s="5">
        <f>IF(C102&lt;=0,0,IF($B$8&lt;=0,0,(1/$B$8)*D102*IF(($B$7+2*C102*SQRT(1+$B$9^2))&lt;=0,0,((D102/($B$7+2*C102*SQRT(1+$B$9^2)))^(2/3)))*SQRT($B$10)))</f>
        <v/>
      </c>
      <c r="J102" s="15">
        <f>H102+I102</f>
        <v/>
      </c>
      <c r="K102" s="4">
        <f>IF(C102&gt;0,"oui","non")</f>
        <v/>
      </c>
    </row>
    <row r="103">
      <c r="A103" s="31" t="n">
        <v>39.28</v>
      </c>
      <c r="B103" s="31">
        <f>A103-$B$12</f>
        <v/>
      </c>
      <c r="C103" s="31">
        <f>MAX(0,A103-$B$6)</f>
        <v/>
      </c>
      <c r="D103" s="5">
        <f>IF(C103&lt;=0,0,($B$7+$B$9*C103)*C103)</f>
        <v/>
      </c>
      <c r="E103" s="25">
        <f>D103*$B$11</f>
        <v/>
      </c>
      <c r="F103" s="25">
        <f>IF(A103&lt;=INDEX(Stage_Storage!$A$11:$A$18,1),INDEX(Stage_Storage!$E$11:$E$18,1),IF(A103&gt;=INDEX(Stage_Storage!$A$11:$A$18,ROWS(Stage_Storage!$A$11:$A$18)),INDEX(Stage_Storage!$E$11:$E$18,ROWS(Stage_Storage!$E$11:$E$18)),INDEX(Stage_Storage!$E$11:$E$18,MATCH(A103,Stage_Storage!$A$11:$A$18,1))+(A103-INDEX(Stage_Storage!$A$11:$A$18,MATCH(A103,Stage_Storage!$A$11:$A$18,1)))/(INDEX(Stage_Storage!$A$11:$A$18,MATCH(A103,Stage_Storage!$A$11:$A$18,1)+1)-INDEX(Stage_Storage!$A$11:$A$18,MATCH(A103,Stage_Storage!$A$11:$A$18,1)))*(INDEX(Stage_Storage!$E$11:$E$18,MATCH(A103,Stage_Storage!$A$11:$A$18,1)+1)-INDEX(Stage_Storage!$E$11:$E$18,MATCH(A103,Stage_Storage!$A$11:$A$18,1)))))</f>
        <v/>
      </c>
      <c r="G103" s="33">
        <f>E103+F103</f>
        <v/>
      </c>
      <c r="H103" s="5">
        <f>IF(B103&lt;=0,0,IF(B103&gt;=INDEX(Courbe_QH_900!$A$24:$A$84,ROWS(Courbe_QH_900!$A$24:$A$84)),INDEX(Courbe_QH_900!$E$24:$E$84,ROWS(Courbe_QH_900!$E$24:$E$84)),INDEX(Courbe_QH_900!$E$24:$E$84,MATCH(B103,Courbe_QH_900!$A$24:$A$84,1))+(B103-INDEX(Courbe_QH_900!$A$24:$A$84,MATCH(B103,Courbe_QH_900!$A$24:$A$84,1)))/(INDEX(Courbe_QH_900!$A$24:$A$84,MATCH(B103,Courbe_QH_900!$A$24:$A$84,1)+1)-INDEX(Courbe_QH_900!$A$24:$A$84,MATCH(B103,Courbe_QH_900!$A$24:$A$84,1)))*(INDEX(Courbe_QH_900!$E$24:$E$84,MATCH(B103,Courbe_QH_900!$A$24:$A$84,1)+1)-INDEX(Courbe_QH_900!$E$24:$E$84,MATCH(B103,Courbe_QH_900!$A$24:$A$84,1)))))</f>
        <v/>
      </c>
      <c r="I103" s="5">
        <f>IF(C103&lt;=0,0,IF($B$8&lt;=0,0,(1/$B$8)*D103*IF(($B$7+2*C103*SQRT(1+$B$9^2))&lt;=0,0,((D103/($B$7+2*C103*SQRT(1+$B$9^2)))^(2/3)))*SQRT($B$10)))</f>
        <v/>
      </c>
      <c r="J103" s="15">
        <f>H103+I103</f>
        <v/>
      </c>
      <c r="K103" s="4">
        <f>IF(C103&gt;0,"oui","non")</f>
        <v/>
      </c>
    </row>
    <row r="104">
      <c r="A104" s="31" t="n">
        <v>39.33</v>
      </c>
      <c r="B104" s="31">
        <f>A104-$B$12</f>
        <v/>
      </c>
      <c r="C104" s="31">
        <f>MAX(0,A104-$B$6)</f>
        <v/>
      </c>
      <c r="D104" s="5">
        <f>IF(C104&lt;=0,0,($B$7+$B$9*C104)*C104)</f>
        <v/>
      </c>
      <c r="E104" s="25">
        <f>D104*$B$11</f>
        <v/>
      </c>
      <c r="F104" s="25">
        <f>IF(A104&lt;=INDEX(Stage_Storage!$A$11:$A$18,1),INDEX(Stage_Storage!$E$11:$E$18,1),IF(A104&gt;=INDEX(Stage_Storage!$A$11:$A$18,ROWS(Stage_Storage!$A$11:$A$18)),INDEX(Stage_Storage!$E$11:$E$18,ROWS(Stage_Storage!$E$11:$E$18)),INDEX(Stage_Storage!$E$11:$E$18,MATCH(A104,Stage_Storage!$A$11:$A$18,1))+(A104-INDEX(Stage_Storage!$A$11:$A$18,MATCH(A104,Stage_Storage!$A$11:$A$18,1)))/(INDEX(Stage_Storage!$A$11:$A$18,MATCH(A104,Stage_Storage!$A$11:$A$18,1)+1)-INDEX(Stage_Storage!$A$11:$A$18,MATCH(A104,Stage_Storage!$A$11:$A$18,1)))*(INDEX(Stage_Storage!$E$11:$E$18,MATCH(A104,Stage_Storage!$A$11:$A$18,1)+1)-INDEX(Stage_Storage!$E$11:$E$18,MATCH(A104,Stage_Storage!$A$11:$A$18,1)))))</f>
        <v/>
      </c>
      <c r="G104" s="33">
        <f>E104+F104</f>
        <v/>
      </c>
      <c r="H104" s="5">
        <f>IF(B104&lt;=0,0,IF(B104&gt;=INDEX(Courbe_QH_900!$A$24:$A$84,ROWS(Courbe_QH_900!$A$24:$A$84)),INDEX(Courbe_QH_900!$E$24:$E$84,ROWS(Courbe_QH_900!$E$24:$E$84)),INDEX(Courbe_QH_900!$E$24:$E$84,MATCH(B104,Courbe_QH_900!$A$24:$A$84,1))+(B104-INDEX(Courbe_QH_900!$A$24:$A$84,MATCH(B104,Courbe_QH_900!$A$24:$A$84,1)))/(INDEX(Courbe_QH_900!$A$24:$A$84,MATCH(B104,Courbe_QH_900!$A$24:$A$84,1)+1)-INDEX(Courbe_QH_900!$A$24:$A$84,MATCH(B104,Courbe_QH_900!$A$24:$A$84,1)))*(INDEX(Courbe_QH_900!$E$24:$E$84,MATCH(B104,Courbe_QH_900!$A$24:$A$84,1)+1)-INDEX(Courbe_QH_900!$E$24:$E$84,MATCH(B104,Courbe_QH_900!$A$24:$A$84,1)))))</f>
        <v/>
      </c>
      <c r="I104" s="5">
        <f>IF(C104&lt;=0,0,IF($B$8&lt;=0,0,(1/$B$8)*D104*IF(($B$7+2*C104*SQRT(1+$B$9^2))&lt;=0,0,((D104/($B$7+2*C104*SQRT(1+$B$9^2)))^(2/3)))*SQRT($B$10)))</f>
        <v/>
      </c>
      <c r="J104" s="15">
        <f>H104+I104</f>
        <v/>
      </c>
      <c r="K104" s="4">
        <f>IF(C104&gt;0,"oui","non")</f>
        <v/>
      </c>
    </row>
    <row r="105">
      <c r="A105" s="31" t="n">
        <v>39.38</v>
      </c>
      <c r="B105" s="31">
        <f>A105-$B$12</f>
        <v/>
      </c>
      <c r="C105" s="31">
        <f>MAX(0,A105-$B$6)</f>
        <v/>
      </c>
      <c r="D105" s="5">
        <f>IF(C105&lt;=0,0,($B$7+$B$9*C105)*C105)</f>
        <v/>
      </c>
      <c r="E105" s="25">
        <f>D105*$B$11</f>
        <v/>
      </c>
      <c r="F105" s="25">
        <f>IF(A105&lt;=INDEX(Stage_Storage!$A$11:$A$18,1),INDEX(Stage_Storage!$E$11:$E$18,1),IF(A105&gt;=INDEX(Stage_Storage!$A$11:$A$18,ROWS(Stage_Storage!$A$11:$A$18)),INDEX(Stage_Storage!$E$11:$E$18,ROWS(Stage_Storage!$E$11:$E$18)),INDEX(Stage_Storage!$E$11:$E$18,MATCH(A105,Stage_Storage!$A$11:$A$18,1))+(A105-INDEX(Stage_Storage!$A$11:$A$18,MATCH(A105,Stage_Storage!$A$11:$A$18,1)))/(INDEX(Stage_Storage!$A$11:$A$18,MATCH(A105,Stage_Storage!$A$11:$A$18,1)+1)-INDEX(Stage_Storage!$A$11:$A$18,MATCH(A105,Stage_Storage!$A$11:$A$18,1)))*(INDEX(Stage_Storage!$E$11:$E$18,MATCH(A105,Stage_Storage!$A$11:$A$18,1)+1)-INDEX(Stage_Storage!$E$11:$E$18,MATCH(A105,Stage_Storage!$A$11:$A$18,1)))))</f>
        <v/>
      </c>
      <c r="G105" s="33">
        <f>E105+F105</f>
        <v/>
      </c>
      <c r="H105" s="5">
        <f>IF(B105&lt;=0,0,IF(B105&gt;=INDEX(Courbe_QH_900!$A$24:$A$84,ROWS(Courbe_QH_900!$A$24:$A$84)),INDEX(Courbe_QH_900!$E$24:$E$84,ROWS(Courbe_QH_900!$E$24:$E$84)),INDEX(Courbe_QH_900!$E$24:$E$84,MATCH(B105,Courbe_QH_900!$A$24:$A$84,1))+(B105-INDEX(Courbe_QH_900!$A$24:$A$84,MATCH(B105,Courbe_QH_900!$A$24:$A$84,1)))/(INDEX(Courbe_QH_900!$A$24:$A$84,MATCH(B105,Courbe_QH_900!$A$24:$A$84,1)+1)-INDEX(Courbe_QH_900!$A$24:$A$84,MATCH(B105,Courbe_QH_900!$A$24:$A$84,1)))*(INDEX(Courbe_QH_900!$E$24:$E$84,MATCH(B105,Courbe_QH_900!$A$24:$A$84,1)+1)-INDEX(Courbe_QH_900!$E$24:$E$84,MATCH(B105,Courbe_QH_900!$A$24:$A$84,1)))))</f>
        <v/>
      </c>
      <c r="I105" s="5">
        <f>IF(C105&lt;=0,0,IF($B$8&lt;=0,0,(1/$B$8)*D105*IF(($B$7+2*C105*SQRT(1+$B$9^2))&lt;=0,0,((D105/($B$7+2*C105*SQRT(1+$B$9^2)))^(2/3)))*SQRT($B$10)))</f>
        <v/>
      </c>
      <c r="J105" s="15">
        <f>H105+I105</f>
        <v/>
      </c>
      <c r="K105" s="4">
        <f>IF(C105&gt;0,"oui","non")</f>
        <v/>
      </c>
    </row>
    <row r="106">
      <c r="A106" s="31" t="n">
        <v>39.43</v>
      </c>
      <c r="B106" s="31">
        <f>A106-$B$12</f>
        <v/>
      </c>
      <c r="C106" s="31">
        <f>MAX(0,A106-$B$6)</f>
        <v/>
      </c>
      <c r="D106" s="5">
        <f>IF(C106&lt;=0,0,($B$7+$B$9*C106)*C106)</f>
        <v/>
      </c>
      <c r="E106" s="25">
        <f>D106*$B$11</f>
        <v/>
      </c>
      <c r="F106" s="25">
        <f>IF(A106&lt;=INDEX(Stage_Storage!$A$11:$A$18,1),INDEX(Stage_Storage!$E$11:$E$18,1),IF(A106&gt;=INDEX(Stage_Storage!$A$11:$A$18,ROWS(Stage_Storage!$A$11:$A$18)),INDEX(Stage_Storage!$E$11:$E$18,ROWS(Stage_Storage!$E$11:$E$18)),INDEX(Stage_Storage!$E$11:$E$18,MATCH(A106,Stage_Storage!$A$11:$A$18,1))+(A106-INDEX(Stage_Storage!$A$11:$A$18,MATCH(A106,Stage_Storage!$A$11:$A$18,1)))/(INDEX(Stage_Storage!$A$11:$A$18,MATCH(A106,Stage_Storage!$A$11:$A$18,1)+1)-INDEX(Stage_Storage!$A$11:$A$18,MATCH(A106,Stage_Storage!$A$11:$A$18,1)))*(INDEX(Stage_Storage!$E$11:$E$18,MATCH(A106,Stage_Storage!$A$11:$A$18,1)+1)-INDEX(Stage_Storage!$E$11:$E$18,MATCH(A106,Stage_Storage!$A$11:$A$18,1)))))</f>
        <v/>
      </c>
      <c r="G106" s="33">
        <f>E106+F106</f>
        <v/>
      </c>
      <c r="H106" s="5">
        <f>IF(B106&lt;=0,0,IF(B106&gt;=INDEX(Courbe_QH_900!$A$24:$A$84,ROWS(Courbe_QH_900!$A$24:$A$84)),INDEX(Courbe_QH_900!$E$24:$E$84,ROWS(Courbe_QH_900!$E$24:$E$84)),INDEX(Courbe_QH_900!$E$24:$E$84,MATCH(B106,Courbe_QH_900!$A$24:$A$84,1))+(B106-INDEX(Courbe_QH_900!$A$24:$A$84,MATCH(B106,Courbe_QH_900!$A$24:$A$84,1)))/(INDEX(Courbe_QH_900!$A$24:$A$84,MATCH(B106,Courbe_QH_900!$A$24:$A$84,1)+1)-INDEX(Courbe_QH_900!$A$24:$A$84,MATCH(B106,Courbe_QH_900!$A$24:$A$84,1)))*(INDEX(Courbe_QH_900!$E$24:$E$84,MATCH(B106,Courbe_QH_900!$A$24:$A$84,1)+1)-INDEX(Courbe_QH_900!$E$24:$E$84,MATCH(B106,Courbe_QH_900!$A$24:$A$84,1)))))</f>
        <v/>
      </c>
      <c r="I106" s="5">
        <f>IF(C106&lt;=0,0,IF($B$8&lt;=0,0,(1/$B$8)*D106*IF(($B$7+2*C106*SQRT(1+$B$9^2))&lt;=0,0,((D106/($B$7+2*C106*SQRT(1+$B$9^2)))^(2/3)))*SQRT($B$10)))</f>
        <v/>
      </c>
      <c r="J106" s="15">
        <f>H106+I106</f>
        <v/>
      </c>
      <c r="K106" s="4">
        <f>IF(C106&gt;0,"oui","non")</f>
        <v/>
      </c>
    </row>
    <row r="107">
      <c r="A107" s="31" t="n">
        <v>39.48</v>
      </c>
      <c r="B107" s="31">
        <f>A107-$B$12</f>
        <v/>
      </c>
      <c r="C107" s="31">
        <f>MAX(0,A107-$B$6)</f>
        <v/>
      </c>
      <c r="D107" s="5">
        <f>IF(C107&lt;=0,0,($B$7+$B$9*C107)*C107)</f>
        <v/>
      </c>
      <c r="E107" s="25">
        <f>D107*$B$11</f>
        <v/>
      </c>
      <c r="F107" s="25">
        <f>IF(A107&lt;=INDEX(Stage_Storage!$A$11:$A$18,1),INDEX(Stage_Storage!$E$11:$E$18,1),IF(A107&gt;=INDEX(Stage_Storage!$A$11:$A$18,ROWS(Stage_Storage!$A$11:$A$18)),INDEX(Stage_Storage!$E$11:$E$18,ROWS(Stage_Storage!$E$11:$E$18)),INDEX(Stage_Storage!$E$11:$E$18,MATCH(A107,Stage_Storage!$A$11:$A$18,1))+(A107-INDEX(Stage_Storage!$A$11:$A$18,MATCH(A107,Stage_Storage!$A$11:$A$18,1)))/(INDEX(Stage_Storage!$A$11:$A$18,MATCH(A107,Stage_Storage!$A$11:$A$18,1)+1)-INDEX(Stage_Storage!$A$11:$A$18,MATCH(A107,Stage_Storage!$A$11:$A$18,1)))*(INDEX(Stage_Storage!$E$11:$E$18,MATCH(A107,Stage_Storage!$A$11:$A$18,1)+1)-INDEX(Stage_Storage!$E$11:$E$18,MATCH(A107,Stage_Storage!$A$11:$A$18,1)))))</f>
        <v/>
      </c>
      <c r="G107" s="33">
        <f>E107+F107</f>
        <v/>
      </c>
      <c r="H107" s="5">
        <f>IF(B107&lt;=0,0,IF(B107&gt;=INDEX(Courbe_QH_900!$A$24:$A$84,ROWS(Courbe_QH_900!$A$24:$A$84)),INDEX(Courbe_QH_900!$E$24:$E$84,ROWS(Courbe_QH_900!$E$24:$E$84)),INDEX(Courbe_QH_900!$E$24:$E$84,MATCH(B107,Courbe_QH_900!$A$24:$A$84,1))+(B107-INDEX(Courbe_QH_900!$A$24:$A$84,MATCH(B107,Courbe_QH_900!$A$24:$A$84,1)))/(INDEX(Courbe_QH_900!$A$24:$A$84,MATCH(B107,Courbe_QH_900!$A$24:$A$84,1)+1)-INDEX(Courbe_QH_900!$A$24:$A$84,MATCH(B107,Courbe_QH_900!$A$24:$A$84,1)))*(INDEX(Courbe_QH_900!$E$24:$E$84,MATCH(B107,Courbe_QH_900!$A$24:$A$84,1)+1)-INDEX(Courbe_QH_900!$E$24:$E$84,MATCH(B107,Courbe_QH_900!$A$24:$A$84,1)))))</f>
        <v/>
      </c>
      <c r="I107" s="5">
        <f>IF(C107&lt;=0,0,IF($B$8&lt;=0,0,(1/$B$8)*D107*IF(($B$7+2*C107*SQRT(1+$B$9^2))&lt;=0,0,((D107/($B$7+2*C107*SQRT(1+$B$9^2)))^(2/3)))*SQRT($B$10)))</f>
        <v/>
      </c>
      <c r="J107" s="15">
        <f>H107+I107</f>
        <v/>
      </c>
      <c r="K107" s="4">
        <f>IF(C107&gt;0,"oui","non")</f>
        <v/>
      </c>
    </row>
  </sheetData>
  <mergeCells count="1">
    <mergeCell ref="A2:L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</cols>
  <sheetData>
    <row r="1">
      <c r="A1" s="23" t="inlineStr">
        <is>
          <t>Méthode C — routage avec Qout composé + V = V_pond + V_ditch</t>
        </is>
      </c>
    </row>
    <row r="2">
      <c r="A2" s="39" t="inlineStr">
        <is>
          <t>À chaque pas: WSE lu sur Compose_900!V_total → Qout sur Compose_900. ΔV = (Qin_moy − Qout)×Δt. Si V≈0, Qout = MIN(Qin, Q_plein).</t>
        </is>
      </c>
    </row>
    <row r="3"/>
    <row r="5">
      <c r="A5" t="inlineStr">
        <is>
          <t>Q_plein réf. (m³/s)</t>
        </is>
      </c>
      <c r="B5" s="40">
        <f>Parametres!B22</f>
        <v/>
      </c>
    </row>
    <row r="6">
      <c r="A6" t="inlineStr">
        <is>
          <t>Crest (m)</t>
        </is>
      </c>
      <c r="B6" s="40">
        <f>Parametres!B27</f>
        <v/>
      </c>
    </row>
    <row r="7">
      <c r="A7" t="inlineStr">
        <is>
          <t>Vmax_C (m³)</t>
        </is>
      </c>
      <c r="B7" s="30">
        <f>MAX(F12:F24)</f>
        <v/>
      </c>
    </row>
    <row r="8">
      <c r="A8" t="inlineStr">
        <is>
          <t>WSEmax_C (m)</t>
        </is>
      </c>
      <c r="B8" s="22">
        <f>MAX(C12:C24)</f>
        <v/>
      </c>
    </row>
    <row r="9">
      <c r="A9" t="inlineStr">
        <is>
          <t>Overflow atteint?</t>
        </is>
      </c>
      <c r="B9">
        <f>IF(B8&gt;$B$6,"oui — WSE &gt; crest","non — pipe seul")</f>
        <v/>
      </c>
    </row>
    <row r="11">
      <c r="A11" s="3" t="inlineStr">
        <is>
          <t>t (min)</t>
        </is>
      </c>
      <c r="B11" s="3" t="inlineStr">
        <is>
          <t>Qin</t>
        </is>
      </c>
      <c r="C11" s="3" t="inlineStr">
        <is>
          <t>WSE (m)</t>
        </is>
      </c>
      <c r="D11" s="3" t="inlineStr">
        <is>
          <t>Qout</t>
        </is>
      </c>
      <c r="E11" s="3" t="inlineStr">
        <is>
          <t>Δt (s)</t>
        </is>
      </c>
      <c r="F11" s="3" t="inlineStr">
        <is>
          <t>V (m³)</t>
        </is>
      </c>
      <c r="G11" s="3" t="inlineStr">
        <is>
          <t>Overflow?</t>
        </is>
      </c>
    </row>
    <row r="12">
      <c r="A12" s="4">
        <f>Hydrogramme!A8</f>
        <v/>
      </c>
      <c r="B12" s="5">
        <f>Hydrogramme!C8</f>
        <v/>
      </c>
      <c r="C12" s="5">
        <f>34.88</f>
        <v/>
      </c>
      <c r="D12" s="5">
        <f>MIN(B12,$B$5)</f>
        <v/>
      </c>
      <c r="E12" s="25" t="n">
        <v>0</v>
      </c>
      <c r="F12" s="33" t="n">
        <v>0</v>
      </c>
      <c r="G12" s="4" t="inlineStr">
        <is>
          <t>non</t>
        </is>
      </c>
    </row>
    <row r="13">
      <c r="A13" s="4">
        <f>Hydrogramme!A9</f>
        <v/>
      </c>
      <c r="B13" s="5">
        <f>Hydrogramme!C9</f>
        <v/>
      </c>
      <c r="C13" s="5">
        <f>IF(F12&lt;=INDEX(Compose_900!$G$15:$G$107,1),INDEX(Compose_900!$A$15:$A$107,1),IF(F12&gt;=INDEX(Compose_900!$G$15:$G$107,ROWS(Compose_900!$G$15:$G$107)),INDEX(Compose_900!$A$15:$A$107,ROWS(Compose_900!$A$15:$A$107)),INDEX(Compose_900!$A$15:$A$107,MATCH(F12,Compose_900!$G$15:$G$107,1))+(F12-INDEX(Compose_900!$G$15:$G$107,MATCH(F12,Compose_900!$G$15:$G$107,1)))/(INDEX(Compose_900!$G$15:$G$107,MATCH(F12,Compose_900!$G$15:$G$107,1)+1)-INDEX(Compose_900!$G$15:$G$107,MATCH(F12,Compose_900!$G$15:$G$107,1)))*(INDEX(Compose_900!$A$15:$A$107,MATCH(F12,Compose_900!$G$15:$G$107,1)+1)-INDEX(Compose_900!$A$15:$A$107,MATCH(F12,Compose_900!$G$15:$G$107,1)))))</f>
        <v/>
      </c>
      <c r="D13" s="5">
        <f>IF(F12&lt;=0.01,MIN(0.5*(B12+B13),$B$5),IF(C13&lt;=INDEX(Compose_900!$A$15:$A$107,1),INDEX(Compose_900!$J$15:$J$107,1),IF(C13&gt;=INDEX(Compose_900!$A$15:$A$107,ROWS(Compose_900!$A$15:$A$107)),INDEX(Compose_900!$J$15:$J$107,ROWS(Compose_900!$J$15:$J$107)),INDEX(Compose_900!$J$15:$J$107,MATCH(C13,Compose_900!$A$15:$A$107,1))+(C13-INDEX(Compose_900!$A$15:$A$107,MATCH(C13,Compose_900!$A$15:$A$107,1)))/(INDEX(Compose_900!$A$15:$A$107,MATCH(C13,Compose_900!$A$15:$A$107,1)+1)-INDEX(Compose_900!$A$15:$A$107,MATCH(C13,Compose_900!$A$15:$A$107,1)))*(INDEX(Compose_900!$J$15:$J$107,MATCH(C13,Compose_900!$A$15:$A$107,1)+1)-INDEX(Compose_900!$J$15:$J$107,MATCH(C13,Compose_900!$A$15:$A$107,1))))))</f>
        <v/>
      </c>
      <c r="E13" s="25">
        <f>(A13-A12)*60</f>
        <v/>
      </c>
      <c r="F13" s="33">
        <f>MAX(0,F12+(0.5*(B12+B13)-D13)*E13)</f>
        <v/>
      </c>
      <c r="G13" s="4">
        <f>IF(C13&gt;$B$6,"oui","non")</f>
        <v/>
      </c>
    </row>
    <row r="14">
      <c r="A14" s="4">
        <f>Hydrogramme!A10</f>
        <v/>
      </c>
      <c r="B14" s="5">
        <f>Hydrogramme!C10</f>
        <v/>
      </c>
      <c r="C14" s="5">
        <f>IF(F13&lt;=INDEX(Compose_900!$G$15:$G$107,1),INDEX(Compose_900!$A$15:$A$107,1),IF(F13&gt;=INDEX(Compose_900!$G$15:$G$107,ROWS(Compose_900!$G$15:$G$107)),INDEX(Compose_900!$A$15:$A$107,ROWS(Compose_900!$A$15:$A$107)),INDEX(Compose_900!$A$15:$A$107,MATCH(F13,Compose_900!$G$15:$G$107,1))+(F13-INDEX(Compose_900!$G$15:$G$107,MATCH(F13,Compose_900!$G$15:$G$107,1)))/(INDEX(Compose_900!$G$15:$G$107,MATCH(F13,Compose_900!$G$15:$G$107,1)+1)-INDEX(Compose_900!$G$15:$G$107,MATCH(F13,Compose_900!$G$15:$G$107,1)))*(INDEX(Compose_900!$A$15:$A$107,MATCH(F13,Compose_900!$G$15:$G$107,1)+1)-INDEX(Compose_900!$A$15:$A$107,MATCH(F13,Compose_900!$G$15:$G$107,1)))))</f>
        <v/>
      </c>
      <c r="D14" s="5">
        <f>IF(F13&lt;=0.01,MIN(0.5*(B13+B14),$B$5),IF(C14&lt;=INDEX(Compose_900!$A$15:$A$107,1),INDEX(Compose_900!$J$15:$J$107,1),IF(C14&gt;=INDEX(Compose_900!$A$15:$A$107,ROWS(Compose_900!$A$15:$A$107)),INDEX(Compose_900!$J$15:$J$107,ROWS(Compose_900!$J$15:$J$107)),INDEX(Compose_900!$J$15:$J$107,MATCH(C14,Compose_900!$A$15:$A$107,1))+(C14-INDEX(Compose_900!$A$15:$A$107,MATCH(C14,Compose_900!$A$15:$A$107,1)))/(INDEX(Compose_900!$A$15:$A$107,MATCH(C14,Compose_900!$A$15:$A$107,1)+1)-INDEX(Compose_900!$A$15:$A$107,MATCH(C14,Compose_900!$A$15:$A$107,1)))*(INDEX(Compose_900!$J$15:$J$107,MATCH(C14,Compose_900!$A$15:$A$107,1)+1)-INDEX(Compose_900!$J$15:$J$107,MATCH(C14,Compose_900!$A$15:$A$107,1))))))</f>
        <v/>
      </c>
      <c r="E14" s="25">
        <f>(A14-A13)*60</f>
        <v/>
      </c>
      <c r="F14" s="33">
        <f>MAX(0,F13+(0.5*(B13+B14)-D14)*E14)</f>
        <v/>
      </c>
      <c r="G14" s="4">
        <f>IF(C14&gt;$B$6,"oui","non")</f>
        <v/>
      </c>
    </row>
    <row r="15">
      <c r="A15" s="4">
        <f>Hydrogramme!A11</f>
        <v/>
      </c>
      <c r="B15" s="5">
        <f>Hydrogramme!C11</f>
        <v/>
      </c>
      <c r="C15" s="5">
        <f>IF(F14&lt;=INDEX(Compose_900!$G$15:$G$107,1),INDEX(Compose_900!$A$15:$A$107,1),IF(F14&gt;=INDEX(Compose_900!$G$15:$G$107,ROWS(Compose_900!$G$15:$G$107)),INDEX(Compose_900!$A$15:$A$107,ROWS(Compose_900!$A$15:$A$107)),INDEX(Compose_900!$A$15:$A$107,MATCH(F14,Compose_900!$G$15:$G$107,1))+(F14-INDEX(Compose_900!$G$15:$G$107,MATCH(F14,Compose_900!$G$15:$G$107,1)))/(INDEX(Compose_900!$G$15:$G$107,MATCH(F14,Compose_900!$G$15:$G$107,1)+1)-INDEX(Compose_900!$G$15:$G$107,MATCH(F14,Compose_900!$G$15:$G$107,1)))*(INDEX(Compose_900!$A$15:$A$107,MATCH(F14,Compose_900!$G$15:$G$107,1)+1)-INDEX(Compose_900!$A$15:$A$107,MATCH(F14,Compose_900!$G$15:$G$107,1)))))</f>
        <v/>
      </c>
      <c r="D15" s="5">
        <f>IF(F14&lt;=0.01,MIN(0.5*(B14+B15),$B$5),IF(C15&lt;=INDEX(Compose_900!$A$15:$A$107,1),INDEX(Compose_900!$J$15:$J$107,1),IF(C15&gt;=INDEX(Compose_900!$A$15:$A$107,ROWS(Compose_900!$A$15:$A$107)),INDEX(Compose_900!$J$15:$J$107,ROWS(Compose_900!$J$15:$J$107)),INDEX(Compose_900!$J$15:$J$107,MATCH(C15,Compose_900!$A$15:$A$107,1))+(C15-INDEX(Compose_900!$A$15:$A$107,MATCH(C15,Compose_900!$A$15:$A$107,1)))/(INDEX(Compose_900!$A$15:$A$107,MATCH(C15,Compose_900!$A$15:$A$107,1)+1)-INDEX(Compose_900!$A$15:$A$107,MATCH(C15,Compose_900!$A$15:$A$107,1)))*(INDEX(Compose_900!$J$15:$J$107,MATCH(C15,Compose_900!$A$15:$A$107,1)+1)-INDEX(Compose_900!$J$15:$J$107,MATCH(C15,Compose_900!$A$15:$A$107,1))))))</f>
        <v/>
      </c>
      <c r="E15" s="25">
        <f>(A15-A14)*60</f>
        <v/>
      </c>
      <c r="F15" s="33">
        <f>MAX(0,F14+(0.5*(B14+B15)-D15)*E15)</f>
        <v/>
      </c>
      <c r="G15" s="4">
        <f>IF(C15&gt;$B$6,"oui","non")</f>
        <v/>
      </c>
    </row>
    <row r="16">
      <c r="A16" s="4">
        <f>Hydrogramme!A12</f>
        <v/>
      </c>
      <c r="B16" s="5">
        <f>Hydrogramme!C12</f>
        <v/>
      </c>
      <c r="C16" s="5">
        <f>IF(F15&lt;=INDEX(Compose_900!$G$15:$G$107,1),INDEX(Compose_900!$A$15:$A$107,1),IF(F15&gt;=INDEX(Compose_900!$G$15:$G$107,ROWS(Compose_900!$G$15:$G$107)),INDEX(Compose_900!$A$15:$A$107,ROWS(Compose_900!$A$15:$A$107)),INDEX(Compose_900!$A$15:$A$107,MATCH(F15,Compose_900!$G$15:$G$107,1))+(F15-INDEX(Compose_900!$G$15:$G$107,MATCH(F15,Compose_900!$G$15:$G$107,1)))/(INDEX(Compose_900!$G$15:$G$107,MATCH(F15,Compose_900!$G$15:$G$107,1)+1)-INDEX(Compose_900!$G$15:$G$107,MATCH(F15,Compose_900!$G$15:$G$107,1)))*(INDEX(Compose_900!$A$15:$A$107,MATCH(F15,Compose_900!$G$15:$G$107,1)+1)-INDEX(Compose_900!$A$15:$A$107,MATCH(F15,Compose_900!$G$15:$G$107,1)))))</f>
        <v/>
      </c>
      <c r="D16" s="5">
        <f>IF(F15&lt;=0.01,MIN(0.5*(B15+B16),$B$5),IF(C16&lt;=INDEX(Compose_900!$A$15:$A$107,1),INDEX(Compose_900!$J$15:$J$107,1),IF(C16&gt;=INDEX(Compose_900!$A$15:$A$107,ROWS(Compose_900!$A$15:$A$107)),INDEX(Compose_900!$J$15:$J$107,ROWS(Compose_900!$J$15:$J$107)),INDEX(Compose_900!$J$15:$J$107,MATCH(C16,Compose_900!$A$15:$A$107,1))+(C16-INDEX(Compose_900!$A$15:$A$107,MATCH(C16,Compose_900!$A$15:$A$107,1)))/(INDEX(Compose_900!$A$15:$A$107,MATCH(C16,Compose_900!$A$15:$A$107,1)+1)-INDEX(Compose_900!$A$15:$A$107,MATCH(C16,Compose_900!$A$15:$A$107,1)))*(INDEX(Compose_900!$J$15:$J$107,MATCH(C16,Compose_900!$A$15:$A$107,1)+1)-INDEX(Compose_900!$J$15:$J$107,MATCH(C16,Compose_900!$A$15:$A$107,1))))))</f>
        <v/>
      </c>
      <c r="E16" s="25">
        <f>(A16-A15)*60</f>
        <v/>
      </c>
      <c r="F16" s="33">
        <f>MAX(0,F15+(0.5*(B15+B16)-D16)*E16)</f>
        <v/>
      </c>
      <c r="G16" s="4">
        <f>IF(C16&gt;$B$6,"oui","non")</f>
        <v/>
      </c>
    </row>
    <row r="17">
      <c r="A17" s="4">
        <f>Hydrogramme!A13</f>
        <v/>
      </c>
      <c r="B17" s="5">
        <f>Hydrogramme!C13</f>
        <v/>
      </c>
      <c r="C17" s="5">
        <f>IF(F16&lt;=INDEX(Compose_900!$G$15:$G$107,1),INDEX(Compose_900!$A$15:$A$107,1),IF(F16&gt;=INDEX(Compose_900!$G$15:$G$107,ROWS(Compose_900!$G$15:$G$107)),INDEX(Compose_900!$A$15:$A$107,ROWS(Compose_900!$A$15:$A$107)),INDEX(Compose_900!$A$15:$A$107,MATCH(F16,Compose_900!$G$15:$G$107,1))+(F16-INDEX(Compose_900!$G$15:$G$107,MATCH(F16,Compose_900!$G$15:$G$107,1)))/(INDEX(Compose_900!$G$15:$G$107,MATCH(F16,Compose_900!$G$15:$G$107,1)+1)-INDEX(Compose_900!$G$15:$G$107,MATCH(F16,Compose_900!$G$15:$G$107,1)))*(INDEX(Compose_900!$A$15:$A$107,MATCH(F16,Compose_900!$G$15:$G$107,1)+1)-INDEX(Compose_900!$A$15:$A$107,MATCH(F16,Compose_900!$G$15:$G$107,1)))))</f>
        <v/>
      </c>
      <c r="D17" s="5">
        <f>IF(F16&lt;=0.01,MIN(0.5*(B16+B17),$B$5),IF(C17&lt;=INDEX(Compose_900!$A$15:$A$107,1),INDEX(Compose_900!$J$15:$J$107,1),IF(C17&gt;=INDEX(Compose_900!$A$15:$A$107,ROWS(Compose_900!$A$15:$A$107)),INDEX(Compose_900!$J$15:$J$107,ROWS(Compose_900!$J$15:$J$107)),INDEX(Compose_900!$J$15:$J$107,MATCH(C17,Compose_900!$A$15:$A$107,1))+(C17-INDEX(Compose_900!$A$15:$A$107,MATCH(C17,Compose_900!$A$15:$A$107,1)))/(INDEX(Compose_900!$A$15:$A$107,MATCH(C17,Compose_900!$A$15:$A$107,1)+1)-INDEX(Compose_900!$A$15:$A$107,MATCH(C17,Compose_900!$A$15:$A$107,1)))*(INDEX(Compose_900!$J$15:$J$107,MATCH(C17,Compose_900!$A$15:$A$107,1)+1)-INDEX(Compose_900!$J$15:$J$107,MATCH(C17,Compose_900!$A$15:$A$107,1))))))</f>
        <v/>
      </c>
      <c r="E17" s="25">
        <f>(A17-A16)*60</f>
        <v/>
      </c>
      <c r="F17" s="33">
        <f>MAX(0,F16+(0.5*(B16+B17)-D17)*E17)</f>
        <v/>
      </c>
      <c r="G17" s="4">
        <f>IF(C17&gt;$B$6,"oui","non")</f>
        <v/>
      </c>
    </row>
    <row r="18">
      <c r="A18" s="4">
        <f>Hydrogramme!A14</f>
        <v/>
      </c>
      <c r="B18" s="5">
        <f>Hydrogramme!C14</f>
        <v/>
      </c>
      <c r="C18" s="5">
        <f>IF(F17&lt;=INDEX(Compose_900!$G$15:$G$107,1),INDEX(Compose_900!$A$15:$A$107,1),IF(F17&gt;=INDEX(Compose_900!$G$15:$G$107,ROWS(Compose_900!$G$15:$G$107)),INDEX(Compose_900!$A$15:$A$107,ROWS(Compose_900!$A$15:$A$107)),INDEX(Compose_900!$A$15:$A$107,MATCH(F17,Compose_900!$G$15:$G$107,1))+(F17-INDEX(Compose_900!$G$15:$G$107,MATCH(F17,Compose_900!$G$15:$G$107,1)))/(INDEX(Compose_900!$G$15:$G$107,MATCH(F17,Compose_900!$G$15:$G$107,1)+1)-INDEX(Compose_900!$G$15:$G$107,MATCH(F17,Compose_900!$G$15:$G$107,1)))*(INDEX(Compose_900!$A$15:$A$107,MATCH(F17,Compose_900!$G$15:$G$107,1)+1)-INDEX(Compose_900!$A$15:$A$107,MATCH(F17,Compose_900!$G$15:$G$107,1)))))</f>
        <v/>
      </c>
      <c r="D18" s="5">
        <f>IF(F17&lt;=0.01,MIN(0.5*(B17+B18),$B$5),IF(C18&lt;=INDEX(Compose_900!$A$15:$A$107,1),INDEX(Compose_900!$J$15:$J$107,1),IF(C18&gt;=INDEX(Compose_900!$A$15:$A$107,ROWS(Compose_900!$A$15:$A$107)),INDEX(Compose_900!$J$15:$J$107,ROWS(Compose_900!$J$15:$J$107)),INDEX(Compose_900!$J$15:$J$107,MATCH(C18,Compose_900!$A$15:$A$107,1))+(C18-INDEX(Compose_900!$A$15:$A$107,MATCH(C18,Compose_900!$A$15:$A$107,1)))/(INDEX(Compose_900!$A$15:$A$107,MATCH(C18,Compose_900!$A$15:$A$107,1)+1)-INDEX(Compose_900!$A$15:$A$107,MATCH(C18,Compose_900!$A$15:$A$107,1)))*(INDEX(Compose_900!$J$15:$J$107,MATCH(C18,Compose_900!$A$15:$A$107,1)+1)-INDEX(Compose_900!$J$15:$J$107,MATCH(C18,Compose_900!$A$15:$A$107,1))))))</f>
        <v/>
      </c>
      <c r="E18" s="25">
        <f>(A18-A17)*60</f>
        <v/>
      </c>
      <c r="F18" s="33">
        <f>MAX(0,F17+(0.5*(B17+B18)-D18)*E18)</f>
        <v/>
      </c>
      <c r="G18" s="4">
        <f>IF(C18&gt;$B$6,"oui","non")</f>
        <v/>
      </c>
    </row>
    <row r="19">
      <c r="A19" s="4">
        <f>Hydrogramme!A15</f>
        <v/>
      </c>
      <c r="B19" s="5">
        <f>Hydrogramme!C15</f>
        <v/>
      </c>
      <c r="C19" s="5">
        <f>IF(F18&lt;=INDEX(Compose_900!$G$15:$G$107,1),INDEX(Compose_900!$A$15:$A$107,1),IF(F18&gt;=INDEX(Compose_900!$G$15:$G$107,ROWS(Compose_900!$G$15:$G$107)),INDEX(Compose_900!$A$15:$A$107,ROWS(Compose_900!$A$15:$A$107)),INDEX(Compose_900!$A$15:$A$107,MATCH(F18,Compose_900!$G$15:$G$107,1))+(F18-INDEX(Compose_900!$G$15:$G$107,MATCH(F18,Compose_900!$G$15:$G$107,1)))/(INDEX(Compose_900!$G$15:$G$107,MATCH(F18,Compose_900!$G$15:$G$107,1)+1)-INDEX(Compose_900!$G$15:$G$107,MATCH(F18,Compose_900!$G$15:$G$107,1)))*(INDEX(Compose_900!$A$15:$A$107,MATCH(F18,Compose_900!$G$15:$G$107,1)+1)-INDEX(Compose_900!$A$15:$A$107,MATCH(F18,Compose_900!$G$15:$G$107,1)))))</f>
        <v/>
      </c>
      <c r="D19" s="5">
        <f>IF(F18&lt;=0.01,MIN(0.5*(B18+B19),$B$5),IF(C19&lt;=INDEX(Compose_900!$A$15:$A$107,1),INDEX(Compose_900!$J$15:$J$107,1),IF(C19&gt;=INDEX(Compose_900!$A$15:$A$107,ROWS(Compose_900!$A$15:$A$107)),INDEX(Compose_900!$J$15:$J$107,ROWS(Compose_900!$J$15:$J$107)),INDEX(Compose_900!$J$15:$J$107,MATCH(C19,Compose_900!$A$15:$A$107,1))+(C19-INDEX(Compose_900!$A$15:$A$107,MATCH(C19,Compose_900!$A$15:$A$107,1)))/(INDEX(Compose_900!$A$15:$A$107,MATCH(C19,Compose_900!$A$15:$A$107,1)+1)-INDEX(Compose_900!$A$15:$A$107,MATCH(C19,Compose_900!$A$15:$A$107,1)))*(INDEX(Compose_900!$J$15:$J$107,MATCH(C19,Compose_900!$A$15:$A$107,1)+1)-INDEX(Compose_900!$J$15:$J$107,MATCH(C19,Compose_900!$A$15:$A$107,1))))))</f>
        <v/>
      </c>
      <c r="E19" s="25">
        <f>(A19-A18)*60</f>
        <v/>
      </c>
      <c r="F19" s="33">
        <f>MAX(0,F18+(0.5*(B18+B19)-D19)*E19)</f>
        <v/>
      </c>
      <c r="G19" s="4">
        <f>IF(C19&gt;$B$6,"oui","non")</f>
        <v/>
      </c>
    </row>
    <row r="20">
      <c r="A20" s="4">
        <f>Hydrogramme!A16</f>
        <v/>
      </c>
      <c r="B20" s="5">
        <f>Hydrogramme!C16</f>
        <v/>
      </c>
      <c r="C20" s="5">
        <f>IF(F19&lt;=INDEX(Compose_900!$G$15:$G$107,1),INDEX(Compose_900!$A$15:$A$107,1),IF(F19&gt;=INDEX(Compose_900!$G$15:$G$107,ROWS(Compose_900!$G$15:$G$107)),INDEX(Compose_900!$A$15:$A$107,ROWS(Compose_900!$A$15:$A$107)),INDEX(Compose_900!$A$15:$A$107,MATCH(F19,Compose_900!$G$15:$G$107,1))+(F19-INDEX(Compose_900!$G$15:$G$107,MATCH(F19,Compose_900!$G$15:$G$107,1)))/(INDEX(Compose_900!$G$15:$G$107,MATCH(F19,Compose_900!$G$15:$G$107,1)+1)-INDEX(Compose_900!$G$15:$G$107,MATCH(F19,Compose_900!$G$15:$G$107,1)))*(INDEX(Compose_900!$A$15:$A$107,MATCH(F19,Compose_900!$G$15:$G$107,1)+1)-INDEX(Compose_900!$A$15:$A$107,MATCH(F19,Compose_900!$G$15:$G$107,1)))))</f>
        <v/>
      </c>
      <c r="D20" s="5">
        <f>IF(F19&lt;=0.01,MIN(0.5*(B19+B20),$B$5),IF(C20&lt;=INDEX(Compose_900!$A$15:$A$107,1),INDEX(Compose_900!$J$15:$J$107,1),IF(C20&gt;=INDEX(Compose_900!$A$15:$A$107,ROWS(Compose_900!$A$15:$A$107)),INDEX(Compose_900!$J$15:$J$107,ROWS(Compose_900!$J$15:$J$107)),INDEX(Compose_900!$J$15:$J$107,MATCH(C20,Compose_900!$A$15:$A$107,1))+(C20-INDEX(Compose_900!$A$15:$A$107,MATCH(C20,Compose_900!$A$15:$A$107,1)))/(INDEX(Compose_900!$A$15:$A$107,MATCH(C20,Compose_900!$A$15:$A$107,1)+1)-INDEX(Compose_900!$A$15:$A$107,MATCH(C20,Compose_900!$A$15:$A$107,1)))*(INDEX(Compose_900!$J$15:$J$107,MATCH(C20,Compose_900!$A$15:$A$107,1)+1)-INDEX(Compose_900!$J$15:$J$107,MATCH(C20,Compose_900!$A$15:$A$107,1))))))</f>
        <v/>
      </c>
      <c r="E20" s="25">
        <f>(A20-A19)*60</f>
        <v/>
      </c>
      <c r="F20" s="33">
        <f>MAX(0,F19+(0.5*(B19+B20)-D20)*E20)</f>
        <v/>
      </c>
      <c r="G20" s="4">
        <f>IF(C20&gt;$B$6,"oui","non")</f>
        <v/>
      </c>
    </row>
    <row r="21">
      <c r="A21" s="4">
        <f>Hydrogramme!A17</f>
        <v/>
      </c>
      <c r="B21" s="5">
        <f>Hydrogramme!C17</f>
        <v/>
      </c>
      <c r="C21" s="5">
        <f>IF(F20&lt;=INDEX(Compose_900!$G$15:$G$107,1),INDEX(Compose_900!$A$15:$A$107,1),IF(F20&gt;=INDEX(Compose_900!$G$15:$G$107,ROWS(Compose_900!$G$15:$G$107)),INDEX(Compose_900!$A$15:$A$107,ROWS(Compose_900!$A$15:$A$107)),INDEX(Compose_900!$A$15:$A$107,MATCH(F20,Compose_900!$G$15:$G$107,1))+(F20-INDEX(Compose_900!$G$15:$G$107,MATCH(F20,Compose_900!$G$15:$G$107,1)))/(INDEX(Compose_900!$G$15:$G$107,MATCH(F20,Compose_900!$G$15:$G$107,1)+1)-INDEX(Compose_900!$G$15:$G$107,MATCH(F20,Compose_900!$G$15:$G$107,1)))*(INDEX(Compose_900!$A$15:$A$107,MATCH(F20,Compose_900!$G$15:$G$107,1)+1)-INDEX(Compose_900!$A$15:$A$107,MATCH(F20,Compose_900!$G$15:$G$107,1)))))</f>
        <v/>
      </c>
      <c r="D21" s="5">
        <f>IF(F20&lt;=0.01,MIN(0.5*(B20+B21),$B$5),IF(C21&lt;=INDEX(Compose_900!$A$15:$A$107,1),INDEX(Compose_900!$J$15:$J$107,1),IF(C21&gt;=INDEX(Compose_900!$A$15:$A$107,ROWS(Compose_900!$A$15:$A$107)),INDEX(Compose_900!$J$15:$J$107,ROWS(Compose_900!$J$15:$J$107)),INDEX(Compose_900!$J$15:$J$107,MATCH(C21,Compose_900!$A$15:$A$107,1))+(C21-INDEX(Compose_900!$A$15:$A$107,MATCH(C21,Compose_900!$A$15:$A$107,1)))/(INDEX(Compose_900!$A$15:$A$107,MATCH(C21,Compose_900!$A$15:$A$107,1)+1)-INDEX(Compose_900!$A$15:$A$107,MATCH(C21,Compose_900!$A$15:$A$107,1)))*(INDEX(Compose_900!$J$15:$J$107,MATCH(C21,Compose_900!$A$15:$A$107,1)+1)-INDEX(Compose_900!$J$15:$J$107,MATCH(C21,Compose_900!$A$15:$A$107,1))))))</f>
        <v/>
      </c>
      <c r="E21" s="25">
        <f>(A21-A20)*60</f>
        <v/>
      </c>
      <c r="F21" s="33">
        <f>MAX(0,F20+(0.5*(B20+B21)-D21)*E21)</f>
        <v/>
      </c>
      <c r="G21" s="4">
        <f>IF(C21&gt;$B$6,"oui","non")</f>
        <v/>
      </c>
    </row>
    <row r="22">
      <c r="A22" s="4">
        <f>Hydrogramme!A18</f>
        <v/>
      </c>
      <c r="B22" s="5">
        <f>Hydrogramme!C18</f>
        <v/>
      </c>
      <c r="C22" s="5">
        <f>IF(F21&lt;=INDEX(Compose_900!$G$15:$G$107,1),INDEX(Compose_900!$A$15:$A$107,1),IF(F21&gt;=INDEX(Compose_900!$G$15:$G$107,ROWS(Compose_900!$G$15:$G$107)),INDEX(Compose_900!$A$15:$A$107,ROWS(Compose_900!$A$15:$A$107)),INDEX(Compose_900!$A$15:$A$107,MATCH(F21,Compose_900!$G$15:$G$107,1))+(F21-INDEX(Compose_900!$G$15:$G$107,MATCH(F21,Compose_900!$G$15:$G$107,1)))/(INDEX(Compose_900!$G$15:$G$107,MATCH(F21,Compose_900!$G$15:$G$107,1)+1)-INDEX(Compose_900!$G$15:$G$107,MATCH(F21,Compose_900!$G$15:$G$107,1)))*(INDEX(Compose_900!$A$15:$A$107,MATCH(F21,Compose_900!$G$15:$G$107,1)+1)-INDEX(Compose_900!$A$15:$A$107,MATCH(F21,Compose_900!$G$15:$G$107,1)))))</f>
        <v/>
      </c>
      <c r="D22" s="5">
        <f>IF(F21&lt;=0.01,MIN(0.5*(B21+B22),$B$5),IF(C22&lt;=INDEX(Compose_900!$A$15:$A$107,1),INDEX(Compose_900!$J$15:$J$107,1),IF(C22&gt;=INDEX(Compose_900!$A$15:$A$107,ROWS(Compose_900!$A$15:$A$107)),INDEX(Compose_900!$J$15:$J$107,ROWS(Compose_900!$J$15:$J$107)),INDEX(Compose_900!$J$15:$J$107,MATCH(C22,Compose_900!$A$15:$A$107,1))+(C22-INDEX(Compose_900!$A$15:$A$107,MATCH(C22,Compose_900!$A$15:$A$107,1)))/(INDEX(Compose_900!$A$15:$A$107,MATCH(C22,Compose_900!$A$15:$A$107,1)+1)-INDEX(Compose_900!$A$15:$A$107,MATCH(C22,Compose_900!$A$15:$A$107,1)))*(INDEX(Compose_900!$J$15:$J$107,MATCH(C22,Compose_900!$A$15:$A$107,1)+1)-INDEX(Compose_900!$J$15:$J$107,MATCH(C22,Compose_900!$A$15:$A$107,1))))))</f>
        <v/>
      </c>
      <c r="E22" s="25">
        <f>(A22-A21)*60</f>
        <v/>
      </c>
      <c r="F22" s="33">
        <f>MAX(0,F21+(0.5*(B21+B22)-D22)*E22)</f>
        <v/>
      </c>
      <c r="G22" s="4">
        <f>IF(C22&gt;$B$6,"oui","non")</f>
        <v/>
      </c>
    </row>
    <row r="23">
      <c r="A23" s="4">
        <f>Hydrogramme!A19</f>
        <v/>
      </c>
      <c r="B23" s="5">
        <f>Hydrogramme!C19</f>
        <v/>
      </c>
      <c r="C23" s="5">
        <f>IF(F22&lt;=INDEX(Compose_900!$G$15:$G$107,1),INDEX(Compose_900!$A$15:$A$107,1),IF(F22&gt;=INDEX(Compose_900!$G$15:$G$107,ROWS(Compose_900!$G$15:$G$107)),INDEX(Compose_900!$A$15:$A$107,ROWS(Compose_900!$A$15:$A$107)),INDEX(Compose_900!$A$15:$A$107,MATCH(F22,Compose_900!$G$15:$G$107,1))+(F22-INDEX(Compose_900!$G$15:$G$107,MATCH(F22,Compose_900!$G$15:$G$107,1)))/(INDEX(Compose_900!$G$15:$G$107,MATCH(F22,Compose_900!$G$15:$G$107,1)+1)-INDEX(Compose_900!$G$15:$G$107,MATCH(F22,Compose_900!$G$15:$G$107,1)))*(INDEX(Compose_900!$A$15:$A$107,MATCH(F22,Compose_900!$G$15:$G$107,1)+1)-INDEX(Compose_900!$A$15:$A$107,MATCH(F22,Compose_900!$G$15:$G$107,1)))))</f>
        <v/>
      </c>
      <c r="D23" s="5">
        <f>IF(F22&lt;=0.01,MIN(0.5*(B22+B23),$B$5),IF(C23&lt;=INDEX(Compose_900!$A$15:$A$107,1),INDEX(Compose_900!$J$15:$J$107,1),IF(C23&gt;=INDEX(Compose_900!$A$15:$A$107,ROWS(Compose_900!$A$15:$A$107)),INDEX(Compose_900!$J$15:$J$107,ROWS(Compose_900!$J$15:$J$107)),INDEX(Compose_900!$J$15:$J$107,MATCH(C23,Compose_900!$A$15:$A$107,1))+(C23-INDEX(Compose_900!$A$15:$A$107,MATCH(C23,Compose_900!$A$15:$A$107,1)))/(INDEX(Compose_900!$A$15:$A$107,MATCH(C23,Compose_900!$A$15:$A$107,1)+1)-INDEX(Compose_900!$A$15:$A$107,MATCH(C23,Compose_900!$A$15:$A$107,1)))*(INDEX(Compose_900!$J$15:$J$107,MATCH(C23,Compose_900!$A$15:$A$107,1)+1)-INDEX(Compose_900!$J$15:$J$107,MATCH(C23,Compose_900!$A$15:$A$107,1))))))</f>
        <v/>
      </c>
      <c r="E23" s="25">
        <f>(A23-A22)*60</f>
        <v/>
      </c>
      <c r="F23" s="33">
        <f>MAX(0,F22+(0.5*(B22+B23)-D23)*E23)</f>
        <v/>
      </c>
      <c r="G23" s="4">
        <f>IF(C23&gt;$B$6,"oui","non")</f>
        <v/>
      </c>
    </row>
    <row r="24">
      <c r="A24" s="4">
        <f>Hydrogramme!A20</f>
        <v/>
      </c>
      <c r="B24" s="5">
        <f>Hydrogramme!C20</f>
        <v/>
      </c>
      <c r="C24" s="5">
        <f>IF(F23&lt;=INDEX(Compose_900!$G$15:$G$107,1),INDEX(Compose_900!$A$15:$A$107,1),IF(F23&gt;=INDEX(Compose_900!$G$15:$G$107,ROWS(Compose_900!$G$15:$G$107)),INDEX(Compose_900!$A$15:$A$107,ROWS(Compose_900!$A$15:$A$107)),INDEX(Compose_900!$A$15:$A$107,MATCH(F23,Compose_900!$G$15:$G$107,1))+(F23-INDEX(Compose_900!$G$15:$G$107,MATCH(F23,Compose_900!$G$15:$G$107,1)))/(INDEX(Compose_900!$G$15:$G$107,MATCH(F23,Compose_900!$G$15:$G$107,1)+1)-INDEX(Compose_900!$G$15:$G$107,MATCH(F23,Compose_900!$G$15:$G$107,1)))*(INDEX(Compose_900!$A$15:$A$107,MATCH(F23,Compose_900!$G$15:$G$107,1)+1)-INDEX(Compose_900!$A$15:$A$107,MATCH(F23,Compose_900!$G$15:$G$107,1)))))</f>
        <v/>
      </c>
      <c r="D24" s="5">
        <f>IF(F23&lt;=0.01,MIN(0.5*(B23+B24),$B$5),IF(C24&lt;=INDEX(Compose_900!$A$15:$A$107,1),INDEX(Compose_900!$J$15:$J$107,1),IF(C24&gt;=INDEX(Compose_900!$A$15:$A$107,ROWS(Compose_900!$A$15:$A$107)),INDEX(Compose_900!$J$15:$J$107,ROWS(Compose_900!$J$15:$J$107)),INDEX(Compose_900!$J$15:$J$107,MATCH(C24,Compose_900!$A$15:$A$107,1))+(C24-INDEX(Compose_900!$A$15:$A$107,MATCH(C24,Compose_900!$A$15:$A$107,1)))/(INDEX(Compose_900!$A$15:$A$107,MATCH(C24,Compose_900!$A$15:$A$107,1)+1)-INDEX(Compose_900!$A$15:$A$107,MATCH(C24,Compose_900!$A$15:$A$107,1)))*(INDEX(Compose_900!$J$15:$J$107,MATCH(C24,Compose_900!$A$15:$A$107,1)+1)-INDEX(Compose_900!$J$15:$J$107,MATCH(C24,Compose_900!$A$15:$A$107,1))))))</f>
        <v/>
      </c>
      <c r="E24" s="25">
        <f>(A24-A23)*60</f>
        <v/>
      </c>
      <c r="F24" s="33">
        <f>MAX(0,F23+(0.5*(B23+B24)-D24)*E24)</f>
        <v/>
      </c>
      <c r="G24" s="4">
        <f>IF(C24&gt;$B$6,"oui","non")</f>
        <v/>
      </c>
    </row>
  </sheetData>
  <mergeCells count="1">
    <mergeCell ref="A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6" customWidth="1" min="5" max="5"/>
    <col width="55" customWidth="1" min="6" max="6"/>
  </cols>
  <sheetData>
    <row r="1">
      <c r="A1" s="23" t="inlineStr">
        <is>
          <t>Stage–storage du levé — V = f(WSE) → lire le niveau max</t>
        </is>
      </c>
    </row>
    <row r="2">
      <c r="A2" s="10" t="inlineStr">
        <is>
          <t>PROCÉDURE (dans CE fichier): 1) Routage → Vmax_A / Vmax_B / Vmax_C sur Parametres. 2) Cette feuille = V_pond vs WSE (levé topographique — le vrai bassin). 3) Parametres!B39 = WSEmax_A; B45 = WSEmax_B (lus sur CE tableau). 4) Méthode C: V_pond + V_ditch et WSEmax_C sur Compose_900 / Calcul_C (B51). 5) Parametres!B24 (2500 m²) n'est PAS ici: c'est seulement le raccourci H=V/A de Méthode B. Surfaces ci-dessous = votre levé (pas des placeholders).</t>
        </is>
      </c>
    </row>
    <row r="3"/>
    <row r="4"/>
    <row r="6">
      <c r="A6" s="2" t="inlineStr">
        <is>
          <t>Formule d'un pas</t>
        </is>
      </c>
    </row>
    <row r="7">
      <c r="A7" s="42" t="inlineStr">
        <is>
          <t>V_pas (m³) = (A_basse + A_haute) / 2 × (WSE_haute − WSE_basse)</t>
        </is>
      </c>
    </row>
    <row r="8">
      <c r="A8" t="inlineStr">
        <is>
          <t>V_cumulatif = somme des V_pas depuis le radier</t>
        </is>
      </c>
    </row>
    <row r="10">
      <c r="A10" s="3" t="inlineStr">
        <is>
          <t>WSE / NSE (m)</t>
        </is>
      </c>
      <c r="B10" s="3" t="inlineStr">
        <is>
          <t>Surface A (m²) ← ÉDITER</t>
        </is>
      </c>
      <c r="C10" s="3" t="inlineStr">
        <is>
          <t>ΔWSE (m)</t>
        </is>
      </c>
      <c r="D10" s="3" t="inlineStr">
        <is>
          <t>V_pas (m³)</t>
        </is>
      </c>
      <c r="E10" s="3" t="inlineStr">
        <is>
          <t>V_cumulatif (m³)</t>
        </is>
      </c>
      <c r="F10" s="3" t="inlineStr">
        <is>
          <t>Rôle</t>
        </is>
      </c>
    </row>
    <row r="11">
      <c r="A11" s="31" t="n">
        <v>34.88</v>
      </c>
      <c r="B11" s="17" t="n">
        <v>0</v>
      </c>
      <c r="C11" s="4" t="n">
        <v>0</v>
      </c>
      <c r="D11" s="4" t="n">
        <v>0</v>
      </c>
      <c r="E11" s="4" t="n">
        <v>0</v>
      </c>
      <c r="F11" s="4" t="inlineStr">
        <is>
          <t>Fond bassin / radier Ø900</t>
        </is>
      </c>
    </row>
    <row r="12">
      <c r="A12" s="31" t="n">
        <v>35.5</v>
      </c>
      <c r="B12" s="17" t="n">
        <v>120</v>
      </c>
      <c r="C12" s="31">
        <f>A12-A11</f>
        <v/>
      </c>
      <c r="D12" s="25">
        <f>0.5*(B11+B12)*C12</f>
        <v/>
      </c>
      <c r="E12" s="33">
        <f>E11+D12</f>
        <v/>
      </c>
      <c r="F12" s="4" t="inlineStr">
        <is>
          <t>Levé</t>
        </is>
      </c>
    </row>
    <row r="13">
      <c r="A13" s="31" t="n">
        <v>36.01</v>
      </c>
      <c r="B13" s="17" t="n">
        <v>419</v>
      </c>
      <c r="C13" s="31">
        <f>A13-A12</f>
        <v/>
      </c>
      <c r="D13" s="25">
        <f>0.5*(B12+B13)*C13</f>
        <v/>
      </c>
      <c r="E13" s="33">
        <f>E12+D13</f>
        <v/>
      </c>
      <c r="F13" s="4" t="inlineStr">
        <is>
          <t>Levé</t>
        </is>
      </c>
    </row>
    <row r="14">
      <c r="A14" s="31" t="n">
        <v>36.5</v>
      </c>
      <c r="B14" s="17" t="n">
        <v>480</v>
      </c>
      <c r="C14" s="31">
        <f>A14-A13</f>
        <v/>
      </c>
      <c r="D14" s="25">
        <f>0.5*(B13+B14)*C14</f>
        <v/>
      </c>
      <c r="E14" s="33">
        <f>E13+D14</f>
        <v/>
      </c>
      <c r="F14" s="4" t="inlineStr">
        <is>
          <t>Levé</t>
        </is>
      </c>
    </row>
    <row r="15">
      <c r="A15" s="31" t="n">
        <v>37</v>
      </c>
      <c r="B15" s="17" t="n">
        <v>720</v>
      </c>
      <c r="C15" s="31">
        <f>A15-A14</f>
        <v/>
      </c>
      <c r="D15" s="25">
        <f>0.5*(B14+B15)*C15</f>
        <v/>
      </c>
      <c r="E15" s="33">
        <f>E14+D15</f>
        <v/>
      </c>
      <c r="F15" s="4" t="inlineStr">
        <is>
          <t>Levé</t>
        </is>
      </c>
    </row>
    <row r="16">
      <c r="A16" s="38" t="n">
        <v>37.28</v>
      </c>
      <c r="B16" s="17" t="n">
        <v>2198</v>
      </c>
      <c r="C16" s="38">
        <f>A16-A15</f>
        <v/>
      </c>
      <c r="D16" s="41">
        <f>0.5*(B15+B16)*C16</f>
        <v/>
      </c>
      <c r="E16" s="41">
        <f>E15+D16</f>
        <v/>
      </c>
      <c r="F16" s="7" t="inlineStr">
        <is>
          <t>LIMITE PATRON (+1.5 m crown) — levé</t>
        </is>
      </c>
    </row>
    <row r="17">
      <c r="A17" s="31" t="n">
        <v>37.4</v>
      </c>
      <c r="B17" s="17" t="n">
        <v>1516</v>
      </c>
      <c r="C17" s="31">
        <f>A17-A16</f>
        <v/>
      </c>
      <c r="D17" s="25">
        <f>0.5*(B16+B17)*C17</f>
        <v/>
      </c>
      <c r="E17" s="33">
        <f>E16+D17</f>
        <v/>
      </c>
      <c r="F17" s="4" t="inlineStr">
        <is>
          <t>Levé (A↓ vs 37.28 — vérifier si voulu)</t>
        </is>
      </c>
    </row>
    <row r="18">
      <c r="A18" s="31" t="n">
        <v>40</v>
      </c>
      <c r="B18" s="17" t="n">
        <v>3746</v>
      </c>
      <c r="C18" s="31">
        <f>A18-A17</f>
        <v/>
      </c>
      <c r="D18" s="25">
        <f>0.5*(B17+B18)*C18</f>
        <v/>
      </c>
      <c r="E18" s="33">
        <f>E17+D18</f>
        <v/>
      </c>
      <c r="F18" s="4" t="inlineStr">
        <is>
          <t>Levé — sommet table</t>
        </is>
      </c>
    </row>
    <row r="21">
      <c r="A21" t="inlineStr">
        <is>
          <t>Vmax_A (Calcul_A)</t>
        </is>
      </c>
      <c r="B21" s="20">
        <f>Parametres!B36</f>
        <v/>
      </c>
    </row>
    <row r="22">
      <c r="A22" t="inlineStr">
        <is>
          <t>WSEmax_A (m)</t>
        </is>
      </c>
      <c r="B22" s="42">
        <f>Parametres!B39</f>
        <v/>
      </c>
    </row>
    <row r="23">
      <c r="A23" t="inlineStr">
        <is>
          <t>Vmax_B (Calcul_B)</t>
        </is>
      </c>
      <c r="B23" s="20">
        <f>Parametres!B43</f>
        <v/>
      </c>
    </row>
    <row r="24">
      <c r="A24" t="inlineStr">
        <is>
          <t>WSEmax_B (m)</t>
        </is>
      </c>
      <c r="B24" s="42">
        <f>Parametres!B45</f>
        <v/>
      </c>
    </row>
    <row r="25">
      <c r="A25" t="inlineStr">
        <is>
          <t>Vmax_C / WSEmax_C</t>
        </is>
      </c>
      <c r="B25" s="20">
        <f>Parametres!B49</f>
        <v/>
      </c>
      <c r="C25">
        <f>Parametres!B51</f>
        <v/>
      </c>
      <c r="D25" t="inlineStr">
        <is>
          <t>Vmax_C inclut V_ditch — WSEmax_C = Parametres B51</t>
        </is>
      </c>
    </row>
    <row r="26">
      <c r="A26" t="inlineStr">
        <is>
          <t>V disponible à 37.28 m (m³)</t>
        </is>
      </c>
      <c r="B26" s="43">
        <f>E16</f>
        <v/>
      </c>
      <c r="C26" t="inlineStr">
        <is>
          <t>Si Vmax_A ou Vmax_B &gt; cette valeur → le niveau dépasse la limite patron</t>
        </is>
      </c>
    </row>
    <row r="28">
      <c r="A28" s="2" t="inlineStr">
        <is>
          <t>Comment lire le résultat</t>
        </is>
      </c>
    </row>
    <row r="29">
      <c r="A29" s="39" t="inlineStr">
        <is>
          <t>Exemple: si Vmax_A &gt; V_cumul @ 37.28 (colonne E, ligne orange), alors WSEmax_A &gt; 37.28 m (la table monte vers 37.40 / 40.00 ou 'Hors table'). Jaune = surfaces du levé (éditables). Méthode C: Parametres B49–B52 et Calcul_C (fossé inclus). Note: A(37.40)=1516 &lt; A(37.28)=2198 — inhabituel; confirmer sur plan.</t>
        </is>
      </c>
    </row>
    <row r="30"/>
    <row r="31"/>
  </sheetData>
  <mergeCells count="4">
    <mergeCell ref="A8:F8"/>
    <mergeCell ref="A2:G4"/>
    <mergeCell ref="A29:F3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4" t="inlineStr">
        <is>
          <t>Où sont les fichiers HY-8 / capacité ?</t>
        </is>
      </c>
    </row>
    <row r="2">
      <c r="A2" t="inlineStr"/>
    </row>
    <row r="3">
      <c r="A3" t="inlineStr">
        <is>
          <t>Ce classeur (rétention Ø900) :</t>
        </is>
      </c>
    </row>
    <row r="4">
      <c r="A4" t="inlineStr">
        <is>
          <t xml:space="preserve">  engineering/drainage-design/retention_volume/Volume_Retention_Ponceau_900.xlsx</t>
        </is>
      </c>
    </row>
    <row r="5">
      <c r="A5" t="inlineStr"/>
    </row>
    <row r="6">
      <c r="A6" t="inlineStr">
        <is>
          <t>Courbe Q=f(H) FHWA pour CE Ø900 : feuille Courbe_QH_900 (ci-dessus).</t>
        </is>
      </c>
    </row>
    <row r="7">
      <c r="A7" t="inlineStr"/>
    </row>
    <row r="8">
      <c r="A8" t="inlineStr">
        <is>
          <t>Ancien Excel « type HY-8 / inlet-outlet » (autre projet / Ste-Thérèse) :</t>
        </is>
      </c>
    </row>
    <row r="9">
      <c r="A9" t="inlineStr">
        <is>
          <t xml:space="preserve">  engineering/drainage-design/Ponceau_Capacite_Inlet_Outlet.xlsx</t>
        </is>
      </c>
    </row>
    <row r="10">
      <c r="A10" t="inlineStr">
        <is>
          <t xml:space="preserve">  Branche git: cursor/culvert-excel-capacity-model-d87f</t>
        </is>
      </c>
    </row>
    <row r="11">
      <c r="A11" t="inlineStr"/>
    </row>
    <row r="12">
      <c r="A12" t="inlineStr">
        <is>
          <t>Modèle composé ponceau Ø1050 + fossé (FHWA + remblai) — PAS le Ø900 de rétention :</t>
        </is>
      </c>
    </row>
    <row r="13">
      <c r="A13" t="inlineStr">
        <is>
          <t xml:space="preserve">  engineering/drainage-design/ponceau_fosse_model/Ponceau_Fosse_Modele_Hydraulique.xlsx</t>
        </is>
      </c>
    </row>
    <row r="14">
      <c r="A14" t="inlineStr">
        <is>
          <t xml:space="preserve">  Branche git: cursor/ponceau-fosse-hydraulic-model-d87f</t>
        </is>
      </c>
    </row>
    <row r="15">
      <c r="A15" t="inlineStr"/>
    </row>
    <row r="16">
      <c r="A16" t="inlineStr">
        <is>
          <t>HEC-RAS : pas de projet .ras/.hdf pour ce Ø900. Un DEM Ste-Thérèse est dans</t>
        </is>
      </c>
    </row>
    <row r="17">
      <c r="A17" t="inlineStr">
        <is>
          <t xml:space="preserve">  engineering/hec-ras-data/ (données topo seulement).</t>
        </is>
      </c>
    </row>
    <row r="18">
      <c r="A18" t="inlineStr"/>
    </row>
    <row r="19">
      <c r="A19" t="inlineStr">
        <is>
          <t>Donc: on n'avait pas perdu un HY-8 pour ce bassin Ø900 — on avait des outils</t>
        </is>
      </c>
    </row>
    <row r="20">
      <c r="A20" t="inlineStr">
        <is>
          <t>similaires pour d'autres sites. La courbe de CE classeur remplace ça pour le Ø900.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5" t="inlineStr">
        <is>
          <t>Méthode — volume de rétention</t>
        </is>
      </c>
    </row>
    <row r="2">
      <c r="A2" t="inlineStr"/>
    </row>
    <row r="3">
      <c r="A3" t="inlineStr">
        <is>
          <t>1. Hydrogramme Qin(t) à l'entrée de la zone de rétention.</t>
        </is>
      </c>
    </row>
    <row r="4">
      <c r="A4" t="inlineStr">
        <is>
          <t>2. Débit sortant contrôlé par le Ø900 (en série avant le Ø1200).</t>
        </is>
      </c>
    </row>
    <row r="5">
      <c r="A5" t="inlineStr">
        <is>
          <t>3. Capacité Ø900 — trois niveaux:</t>
        </is>
      </c>
    </row>
    <row r="6">
      <c r="A6" t="inlineStr">
        <is>
          <t xml:space="preserve">   A) Q_plein Manning (TOG n=0.022) ≈ 0.986 m³/s → Méthode A (constant).</t>
        </is>
      </c>
    </row>
    <row r="7">
      <c r="A7" t="inlineStr">
        <is>
          <t xml:space="preserve">   B) Courbe Q=f(H) FHWA HDS-5 (inlet + outlet) → feuille Courbe_QH_900 + Calcul_B.</t>
        </is>
      </c>
    </row>
    <row r="8">
      <c r="A8" t="inlineStr">
        <is>
          <t xml:space="preserve">   C) Qout = Q_900(WSE) + Q_overflow(WSE); V = V_pond + V_ditch → Compose_900 + Calcul_C.</t>
        </is>
      </c>
    </row>
    <row r="9">
      <c r="A9" t="inlineStr">
        <is>
          <t>4. Méthode A: Qout = constante = Q_plein (jaune Parametres). Bon pour 1re estimation.</t>
        </is>
      </c>
    </row>
    <row r="10">
      <c r="A10" t="inlineStr">
        <is>
          <t>5. Méthode B: Qout lu sur la courbe selon H=V/Aire (charge amont), pipe seul.</t>
        </is>
      </c>
    </row>
    <row r="11">
      <c r="A11" t="inlineStr">
        <is>
          <t>6. Méthode C: crest = crown; fossé trapèze (b,n,z,S,L) au-dessus; stockage levé + fossé.</t>
        </is>
      </c>
    </row>
    <row r="12">
      <c r="A12" t="inlineStr">
        <is>
          <t>7. Sur ce Ø900 (L/D≈56), le calcul FHWA indique surtout un contrôle outlet.</t>
        </is>
      </c>
    </row>
    <row r="13">
      <c r="A13" t="inlineStr">
        <is>
          <t>8. Le Ø1200 est aval: n'augmente pas la sortie de la rétention.</t>
        </is>
      </c>
    </row>
    <row r="14">
      <c r="A14" t="inlineStr"/>
    </row>
    <row r="15">
      <c r="A15" t="inlineStr">
        <is>
          <t>9. Niveau d'eau max: A/B via Stage_Storage; C via Calcul_C (Parametres B39 / B45 / B51).</t>
        </is>
      </c>
    </row>
    <row r="16">
      <c r="A16" t="inlineStr"/>
    </row>
    <row r="17">
      <c r="A17" t="inlineStr">
        <is>
          <t>Fichiers liés / anciens Excel: voir feuille Fichiers_lies.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2026-10-20T05:19:31Z</dcterms:created>
  <dcterms:modified xsi:type="dcterms:W3CDTF">2026-10-20T05:19:31Z</dcterms:modified>
</cp:coreProperties>
</file>