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tage_Storage" sheetId="8" state="visible" r:id="rId8"/>
    <sheet name="Fichiers_lies" sheetId="9" state="visible" r:id="rId9"/>
    <sheet name="Metho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BEAFE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5" borderId="0" pivotButton="0" quotePrefix="0" xfId="0"/>
    <xf numFmtId="164" fontId="0" fillId="5" borderId="0" pivotButton="0" quotePrefix="0" xfId="0"/>
    <xf numFmtId="164" fontId="0" fillId="6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6" borderId="0" pivotButton="0" quotePrefix="0" xfId="0"/>
    <xf numFmtId="2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5" borderId="1" pivotButton="0" quotePrefix="0" xfId="0"/>
    <xf numFmtId="164" fontId="0" fillId="6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6" borderId="0" pivotButton="0" quotePrefix="0" xfId="0"/>
    <xf numFmtId="2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5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6" borderId="0" pivotButton="0" quotePrefix="0" xfId="0"/>
    <xf numFmtId="1" fontId="0" fillId="5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 seulement)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 t="inlineStr">
        <is>
          <t>V_pond(levé) + V_ditch</t>
        </is>
      </c>
      <c r="C34" t="inlineStr">
        <is>
          <t>Volume = bassin (levé) + fossé —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(m) — feuille Stage_Storage</t>
        </is>
      </c>
      <c r="B39" s="22">
        <f>IF(B36&lt;=Stage_Storage!E11,Stage_Storage!A11,IF(B36&gt;=Stage_Storage!E18,"Hors table (&gt;=39.5 m — étendre levé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  <c r="C39" t="inlineStr">
        <is>
          <t>Cote d'eau max pour le Vmax_A: on lit sur Stage_Storage quelle WSE donne ce volume (courbe volume–cote du levé)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(m) — feuille Stage_Storage</t>
        </is>
      </c>
      <c r="B45" s="22">
        <f>IF(B43&lt;=Stage_Storage!E11,Stage_Storage!A11,IF(B43&gt;=Stage_Storage!E18,"Hors table (&gt;=39.5 m — étendre levé)",INDEX(Stage_Storage!$A$11:$A$18,MATCH(B43,Stage_Storage!$E$11:$E$18,1))+(B43-INDEX(Stage_Storage!$E$11:$E$18,MATCH(B43,Stage_Storage!$E$11:$E$18,1)))/(INDEX(Stage_Storage!$E$11:$E$18,MATCH(B43,Stage_Storage!$E$11:$E$18,1)+1)-INDEX(Stage_Storage!$E$11:$E$18,MATCH(B43,Stage_Storage!$E$11:$E$18,1)))*(INDEX(Stage_Storage!$A$11:$A$18,MATCH(B43,Stage_Storage!$E$11:$E$18,1)+1)-INDEX(Stage_Storage!$A$11:$A$18,MATCH(B43,Stage_Storage!$E$11:$E$18,1)))))</f>
        <v/>
      </c>
      <c r="C45" t="inlineStr">
        <is>
          <t>Même lecture volume→cote que B39, mais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20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Comment lire WSEmax (A / B / C)</t>
        </is>
      </c>
    </row>
    <row r="55">
      <c r="A55" t="inlineStr">
        <is>
          <t>1) A et B: Vmax = volume pondé; WSEmax lu sur Stage_Storage (levé seul).</t>
        </is>
      </c>
    </row>
    <row r="56">
      <c r="A56" t="inlineStr">
        <is>
          <t>2) C: Qout = Q_900(WSE) + Q_overflow(WSE); V = V_pond + V_ditch; WSEmax_C vient de Calcul_C.</t>
        </is>
      </c>
    </row>
    <row r="57">
      <c r="A57" t="inlineStr">
        <is>
          <t>3) Crest = crown = 35.78 m → au-dessus, le fossé trapèze (b, n, z, S, L) ajoute débit et volume.</t>
        </is>
      </c>
    </row>
    <row r="58">
      <c r="A58" t="inlineStr">
        <is>
          <t>4) Ne pas comparer Vmax_C à V_pond seul sans retirer V_ditch; comparer plutôt les WSEmax.</t>
        </is>
      </c>
    </row>
    <row r="60">
      <c r="A60" s="2" t="inlineStr">
        <is>
          <t>Inlet control vs outlet control — qu'est-ce que ça veut dire?</t>
        </is>
      </c>
    </row>
    <row r="61">
      <c r="A61" t="inlineStr">
        <is>
          <t>• Inlet control (contrôle à l'entrée): le débit est limité par l'entrée du ponceau (forme d'entrée, HW/D).</t>
        </is>
      </c>
    </row>
    <row r="62">
      <c r="A62" t="inlineStr">
        <is>
          <t xml:space="preserve">  Le tuyau aval « n'aspire » pas assez pour influencer — Q dépend surtout de la charge amont H, pas de L ni de n.</t>
        </is>
      </c>
    </row>
    <row r="63">
      <c r="A63" t="inlineStr">
        <is>
          <t>• Outlet control (contrôle à la sortie / frottement): le débit dépend de la longueur, de n, de la pente et de la charge</t>
        </is>
      </c>
    </row>
    <row r="64">
      <c r="A64" t="inlineStr">
        <is>
          <t xml:space="preserve">  (énergie amont → aval). Manning pleine section est une hypothèse de type outlet/frottement à section pleine.</t>
        </is>
      </c>
    </row>
    <row r="65">
      <c r="A65" t="inlineStr">
        <is>
          <t>• Ici L/D = 56 (tuyau assez long) → le contrôle par frottement (outlet) est souvent plausible,</t>
        </is>
      </c>
    </row>
    <row r="66">
      <c r="A66" t="inlineStr">
        <is>
          <t xml:space="preserve">  mais sans analyse FHWA/HY-8 on ne peut pas l'affirmer. Pour dimensionner la rétention, Q_plein constant est</t>
        </is>
      </c>
    </row>
    <row r="67">
      <c r="A67" t="inlineStr">
        <is>
          <t xml:space="preserve">  en général prudent (si la charge monte, le débit réel peut être un peu plus élevé → Vmax un peu plus bas).</t>
        </is>
      </c>
    </row>
    <row r="68">
      <c r="A68" t="inlineStr">
        <is>
          <t>• On n'a pas besoin de trancher IC/OC pour utiliser ce classeur: garder Qout = Q_plein (ou 1.77) suffit pour une 1re estimation.</t>
        </is>
      </c>
    </row>
    <row r="70">
      <c r="A70" s="2" t="inlineStr">
        <is>
          <t>Notes</t>
        </is>
      </c>
    </row>
    <row r="71">
      <c r="A71" t="inlineStr">
        <is>
          <t>• Méthode A: Qout fixe = Q_plein Manning Ø900 (n=0,013).</t>
        </is>
      </c>
    </row>
    <row r="72">
      <c r="A72" t="inlineStr">
        <is>
          <t>• Méthode B: Qout = f(H) pipe seul (Courbe_QH_900) — résultats B43–B46.</t>
        </is>
      </c>
    </row>
    <row r="73">
      <c r="A73" t="inlineStr">
        <is>
          <t>• Méthode C: Qout = Q_900 + Q_overflow; V = V_pond + V_ditch — Compose_900 + Calcul_C (B49–B52).</t>
        </is>
      </c>
    </row>
    <row r="74">
      <c r="A74" t="inlineStr">
        <is>
          <t>• Le stockage commence quand Qin dépasse Qout; Vmax = max du volume stocké.</t>
        </is>
      </c>
    </row>
    <row r="75">
      <c r="A75" t="inlineStr">
        <is>
          <t>• Vérifier que le radier amont Ø900 (34.88) est bien le fond de la zone de rétention étudiée.</t>
        </is>
      </c>
    </row>
  </sheetData>
  <mergeCells count="19">
    <mergeCell ref="A67:H67"/>
    <mergeCell ref="A73:H73"/>
    <mergeCell ref="A64:H64"/>
    <mergeCell ref="A61:H61"/>
    <mergeCell ref="A65:H65"/>
    <mergeCell ref="A66:H66"/>
    <mergeCell ref="A75:H75"/>
    <mergeCell ref="A74:H74"/>
    <mergeCell ref="A56:H56"/>
    <mergeCell ref="A9:H10"/>
    <mergeCell ref="A55:H55"/>
    <mergeCell ref="A57:H57"/>
    <mergeCell ref="A71:H71"/>
    <mergeCell ref="A62:H62"/>
    <mergeCell ref="A1:F1"/>
    <mergeCell ref="A63:H63"/>
    <mergeCell ref="A72:H72"/>
    <mergeCell ref="A68:H68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3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4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5" t="n">
        <v>0</v>
      </c>
      <c r="B8" s="26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5" t="n">
        <v>5</v>
      </c>
      <c r="B9" s="26" t="n">
        <v>0.121875</v>
      </c>
      <c r="C9" s="5">
        <f>B9*$B$4</f>
        <v/>
      </c>
      <c r="D9" s="4" t="inlineStr"/>
    </row>
    <row r="10">
      <c r="A10" s="25" t="n">
        <v>10</v>
      </c>
      <c r="B10" s="26" t="n">
        <v>0.193438</v>
      </c>
      <c r="C10" s="5">
        <f>B10*$B$4</f>
        <v/>
      </c>
      <c r="D10" s="4" t="inlineStr"/>
    </row>
    <row r="11">
      <c r="A11" s="25" t="n">
        <v>15</v>
      </c>
      <c r="B11" s="26" t="n">
        <v>0.333542</v>
      </c>
      <c r="C11" s="5">
        <f>B11*$B$4</f>
        <v/>
      </c>
      <c r="D11" s="4" t="inlineStr"/>
    </row>
    <row r="12">
      <c r="A12" s="25" t="n">
        <v>20</v>
      </c>
      <c r="B12" s="26" t="n">
        <v>0.657188</v>
      </c>
      <c r="C12" s="5">
        <f>B12*$B$4</f>
        <v/>
      </c>
      <c r="D12" s="4" t="inlineStr"/>
    </row>
    <row r="13">
      <c r="A13" s="25" t="n">
        <v>22.5</v>
      </c>
      <c r="B13" s="26" t="n">
        <v>1</v>
      </c>
      <c r="C13" s="8">
        <f>B13*$B$4</f>
        <v/>
      </c>
      <c r="D13" s="4" t="inlineStr">
        <is>
          <t>Pointe (ratio = 1)</t>
        </is>
      </c>
    </row>
    <row r="14">
      <c r="A14" s="25" t="n">
        <v>27.5</v>
      </c>
      <c r="B14" s="26" t="n">
        <v>0.608958</v>
      </c>
      <c r="C14" s="5">
        <f>B14*$B$4</f>
        <v/>
      </c>
      <c r="D14" s="4" t="inlineStr"/>
    </row>
    <row r="15">
      <c r="A15" s="25" t="n">
        <v>32.5</v>
      </c>
      <c r="B15" s="26" t="n">
        <v>0.401771</v>
      </c>
      <c r="C15" s="5">
        <f>B15*$B$4</f>
        <v/>
      </c>
      <c r="D15" s="4" t="inlineStr"/>
    </row>
    <row r="16">
      <c r="A16" s="25" t="n">
        <v>37.5</v>
      </c>
      <c r="B16" s="26" t="n">
        <v>0.280104</v>
      </c>
      <c r="C16" s="5">
        <f>B16*$B$4</f>
        <v/>
      </c>
      <c r="D16" s="4" t="inlineStr"/>
    </row>
    <row r="17">
      <c r="A17" s="25" t="n">
        <v>42.5</v>
      </c>
      <c r="B17" s="26" t="n">
        <v>0.203438</v>
      </c>
      <c r="C17" s="5">
        <f>B17*$B$4</f>
        <v/>
      </c>
      <c r="D17" s="4" t="inlineStr"/>
    </row>
    <row r="18">
      <c r="A18" s="25" t="n">
        <v>47.5</v>
      </c>
      <c r="B18" s="26" t="n">
        <v>0.152292</v>
      </c>
      <c r="C18" s="5">
        <f>B18*$B$4</f>
        <v/>
      </c>
      <c r="D18" s="4" t="inlineStr"/>
    </row>
    <row r="19">
      <c r="A19" s="25" t="n">
        <v>52.5</v>
      </c>
      <c r="B19" s="26" t="n">
        <v>0.116771</v>
      </c>
      <c r="C19" s="5">
        <f>B19*$B$4</f>
        <v/>
      </c>
      <c r="D19" s="4" t="inlineStr"/>
    </row>
    <row r="20">
      <c r="A20" s="25" t="n">
        <v>57.5</v>
      </c>
      <c r="B20" s="26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7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28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3" t="inlineStr">
        <is>
          <t>Méthode A — Qout constant = capacité Ø900</t>
        </is>
      </c>
    </row>
    <row r="2">
      <c r="A2" t="inlineStr">
        <is>
          <t>Qout (m³/s)</t>
        </is>
      </c>
      <c r="B2" s="29">
        <f>Parametres!B22</f>
        <v/>
      </c>
    </row>
    <row r="3">
      <c r="A3" t="inlineStr">
        <is>
          <t>Vmax (m³)</t>
        </is>
      </c>
      <c r="B3" s="30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5">
        <f>Hydrogramme!A8</f>
        <v/>
      </c>
      <c r="B8" s="5">
        <f>Hydrogramme!C8</f>
        <v/>
      </c>
      <c r="C8" s="31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2" t="n">
        <v>0</v>
      </c>
      <c r="I8" s="4">
        <f>IF(H8&gt;0.5,"oui","non")</f>
        <v/>
      </c>
    </row>
    <row r="9">
      <c r="A9" s="25">
        <f>Hydrogramme!A9</f>
        <v/>
      </c>
      <c r="B9" s="5">
        <f>Hydrogramme!C9</f>
        <v/>
      </c>
      <c r="C9" s="31">
        <f>$B$2</f>
        <v/>
      </c>
      <c r="D9" s="5">
        <f>B9-C9</f>
        <v/>
      </c>
      <c r="E9" s="25">
        <f>(A9-A8)*60</f>
        <v/>
      </c>
      <c r="F9" s="25">
        <f>0.5*(B8+B9)*E9</f>
        <v/>
      </c>
      <c r="G9" s="25">
        <f>F9-(H9-H8)</f>
        <v/>
      </c>
      <c r="H9" s="33">
        <f>MAX(0,H8+0.5*(D8+D9)*E9)</f>
        <v/>
      </c>
      <c r="I9" s="4">
        <f>IF(H9&gt;0.5,"oui","non")</f>
        <v/>
      </c>
    </row>
    <row r="10">
      <c r="A10" s="25">
        <f>Hydrogramme!A10</f>
        <v/>
      </c>
      <c r="B10" s="5">
        <f>Hydrogramme!C10</f>
        <v/>
      </c>
      <c r="C10" s="31">
        <f>$B$2</f>
        <v/>
      </c>
      <c r="D10" s="5">
        <f>B10-C10</f>
        <v/>
      </c>
      <c r="E10" s="25">
        <f>(A10-A9)*60</f>
        <v/>
      </c>
      <c r="F10" s="25">
        <f>0.5*(B9+B10)*E10</f>
        <v/>
      </c>
      <c r="G10" s="25">
        <f>F10-(H10-H9)</f>
        <v/>
      </c>
      <c r="H10" s="33">
        <f>MAX(0,H9+0.5*(D9+D10)*E10)</f>
        <v/>
      </c>
      <c r="I10" s="4">
        <f>IF(H10&gt;0.5,"oui","non")</f>
        <v/>
      </c>
    </row>
    <row r="11">
      <c r="A11" s="25">
        <f>Hydrogramme!A11</f>
        <v/>
      </c>
      <c r="B11" s="5">
        <f>Hydrogramme!C11</f>
        <v/>
      </c>
      <c r="C11" s="31">
        <f>$B$2</f>
        <v/>
      </c>
      <c r="D11" s="5">
        <f>B11-C11</f>
        <v/>
      </c>
      <c r="E11" s="25">
        <f>(A11-A10)*60</f>
        <v/>
      </c>
      <c r="F11" s="25">
        <f>0.5*(B10+B11)*E11</f>
        <v/>
      </c>
      <c r="G11" s="25">
        <f>F11-(H11-H10)</f>
        <v/>
      </c>
      <c r="H11" s="33">
        <f>MAX(0,H10+0.5*(D10+D11)*E11)</f>
        <v/>
      </c>
      <c r="I11" s="4">
        <f>IF(H11&gt;0.5,"oui","non")</f>
        <v/>
      </c>
    </row>
    <row r="12">
      <c r="A12" s="25">
        <f>Hydrogramme!A12</f>
        <v/>
      </c>
      <c r="B12" s="5">
        <f>Hydrogramme!C12</f>
        <v/>
      </c>
      <c r="C12" s="31">
        <f>$B$2</f>
        <v/>
      </c>
      <c r="D12" s="5">
        <f>B12-C12</f>
        <v/>
      </c>
      <c r="E12" s="25">
        <f>(A12-A11)*60</f>
        <v/>
      </c>
      <c r="F12" s="25">
        <f>0.5*(B11+B12)*E12</f>
        <v/>
      </c>
      <c r="G12" s="25">
        <f>F12-(H12-H11)</f>
        <v/>
      </c>
      <c r="H12" s="33">
        <f>MAX(0,H11+0.5*(D11+D12)*E12)</f>
        <v/>
      </c>
      <c r="I12" s="4">
        <f>IF(H12&gt;0.5,"oui","non")</f>
        <v/>
      </c>
    </row>
    <row r="13">
      <c r="A13" s="25">
        <f>Hydrogramme!A13</f>
        <v/>
      </c>
      <c r="B13" s="5">
        <f>Hydrogramme!C13</f>
        <v/>
      </c>
      <c r="C13" s="31">
        <f>$B$2</f>
        <v/>
      </c>
      <c r="D13" s="5">
        <f>B13-C13</f>
        <v/>
      </c>
      <c r="E13" s="25">
        <f>(A13-A12)*60</f>
        <v/>
      </c>
      <c r="F13" s="25">
        <f>0.5*(B12+B13)*E13</f>
        <v/>
      </c>
      <c r="G13" s="25">
        <f>F13-(H13-H12)</f>
        <v/>
      </c>
      <c r="H13" s="33">
        <f>MAX(0,H12+0.5*(D12+D13)*E13)</f>
        <v/>
      </c>
      <c r="I13" s="4">
        <f>IF(H13&gt;0.5,"oui","non")</f>
        <v/>
      </c>
    </row>
    <row r="14">
      <c r="A14" s="25">
        <f>Hydrogramme!A14</f>
        <v/>
      </c>
      <c r="B14" s="5">
        <f>Hydrogramme!C14</f>
        <v/>
      </c>
      <c r="C14" s="31">
        <f>$B$2</f>
        <v/>
      </c>
      <c r="D14" s="5">
        <f>B14-C14</f>
        <v/>
      </c>
      <c r="E14" s="25">
        <f>(A14-A13)*60</f>
        <v/>
      </c>
      <c r="F14" s="25">
        <f>0.5*(B13+B14)*E14</f>
        <v/>
      </c>
      <c r="G14" s="25">
        <f>F14-(H14-H13)</f>
        <v/>
      </c>
      <c r="H14" s="33">
        <f>MAX(0,H13+0.5*(D13+D14)*E14)</f>
        <v/>
      </c>
      <c r="I14" s="4">
        <f>IF(H14&gt;0.5,"oui","non")</f>
        <v/>
      </c>
    </row>
    <row r="15">
      <c r="A15" s="25">
        <f>Hydrogramme!A15</f>
        <v/>
      </c>
      <c r="B15" s="5">
        <f>Hydrogramme!C15</f>
        <v/>
      </c>
      <c r="C15" s="31">
        <f>$B$2</f>
        <v/>
      </c>
      <c r="D15" s="5">
        <f>B15-C15</f>
        <v/>
      </c>
      <c r="E15" s="25">
        <f>(A15-A14)*60</f>
        <v/>
      </c>
      <c r="F15" s="25">
        <f>0.5*(B14+B15)*E15</f>
        <v/>
      </c>
      <c r="G15" s="25">
        <f>F15-(H15-H14)</f>
        <v/>
      </c>
      <c r="H15" s="33">
        <f>MAX(0,H14+0.5*(D14+D15)*E15)</f>
        <v/>
      </c>
      <c r="I15" s="4">
        <f>IF(H15&gt;0.5,"oui","non")</f>
        <v/>
      </c>
    </row>
    <row r="16">
      <c r="A16" s="25">
        <f>Hydrogramme!A16</f>
        <v/>
      </c>
      <c r="B16" s="5">
        <f>Hydrogramme!C16</f>
        <v/>
      </c>
      <c r="C16" s="31">
        <f>$B$2</f>
        <v/>
      </c>
      <c r="D16" s="5">
        <f>B16-C16</f>
        <v/>
      </c>
      <c r="E16" s="25">
        <f>(A16-A15)*60</f>
        <v/>
      </c>
      <c r="F16" s="25">
        <f>0.5*(B15+B16)*E16</f>
        <v/>
      </c>
      <c r="G16" s="25">
        <f>F16-(H16-H15)</f>
        <v/>
      </c>
      <c r="H16" s="33">
        <f>MAX(0,H15+0.5*(D15+D16)*E16)</f>
        <v/>
      </c>
      <c r="I16" s="4">
        <f>IF(H16&gt;0.5,"oui","non")</f>
        <v/>
      </c>
    </row>
    <row r="17">
      <c r="A17" s="25">
        <f>Hydrogramme!A17</f>
        <v/>
      </c>
      <c r="B17" s="5">
        <f>Hydrogramme!C17</f>
        <v/>
      </c>
      <c r="C17" s="31">
        <f>$B$2</f>
        <v/>
      </c>
      <c r="D17" s="5">
        <f>B17-C17</f>
        <v/>
      </c>
      <c r="E17" s="25">
        <f>(A17-A16)*60</f>
        <v/>
      </c>
      <c r="F17" s="25">
        <f>0.5*(B16+B17)*E17</f>
        <v/>
      </c>
      <c r="G17" s="25">
        <f>F17-(H17-H16)</f>
        <v/>
      </c>
      <c r="H17" s="33">
        <f>MAX(0,H16+0.5*(D16+D17)*E17)</f>
        <v/>
      </c>
      <c r="I17" s="4">
        <f>IF(H17&gt;0.5,"oui","non")</f>
        <v/>
      </c>
    </row>
    <row r="18">
      <c r="A18" s="25">
        <f>Hydrogramme!A18</f>
        <v/>
      </c>
      <c r="B18" s="5">
        <f>Hydrogramme!C18</f>
        <v/>
      </c>
      <c r="C18" s="31">
        <f>$B$2</f>
        <v/>
      </c>
      <c r="D18" s="5">
        <f>B18-C18</f>
        <v/>
      </c>
      <c r="E18" s="25">
        <f>(A18-A17)*60</f>
        <v/>
      </c>
      <c r="F18" s="25">
        <f>0.5*(B17+B18)*E18</f>
        <v/>
      </c>
      <c r="G18" s="25">
        <f>F18-(H18-H17)</f>
        <v/>
      </c>
      <c r="H18" s="33">
        <f>MAX(0,H17+0.5*(D17+D18)*E18)</f>
        <v/>
      </c>
      <c r="I18" s="4">
        <f>IF(H18&gt;0.5,"oui","non")</f>
        <v/>
      </c>
    </row>
    <row r="19">
      <c r="A19" s="25">
        <f>Hydrogramme!A19</f>
        <v/>
      </c>
      <c r="B19" s="5">
        <f>Hydrogramme!C19</f>
        <v/>
      </c>
      <c r="C19" s="31">
        <f>$B$2</f>
        <v/>
      </c>
      <c r="D19" s="5">
        <f>B19-C19</f>
        <v/>
      </c>
      <c r="E19" s="25">
        <f>(A19-A18)*60</f>
        <v/>
      </c>
      <c r="F19" s="25">
        <f>0.5*(B18+B19)*E19</f>
        <v/>
      </c>
      <c r="G19" s="25">
        <f>F19-(H19-H18)</f>
        <v/>
      </c>
      <c r="H19" s="33">
        <f>MAX(0,H18+0.5*(D18+D19)*E19)</f>
        <v/>
      </c>
      <c r="I19" s="4">
        <f>IF(H19&gt;0.5,"oui","non")</f>
        <v/>
      </c>
    </row>
    <row r="20">
      <c r="A20" s="25">
        <f>Hydrogramme!A20</f>
        <v/>
      </c>
      <c r="B20" s="5">
        <f>Hydrogramme!C20</f>
        <v/>
      </c>
      <c r="C20" s="31">
        <f>$B$2</f>
        <v/>
      </c>
      <c r="D20" s="5">
        <f>B20-C20</f>
        <v/>
      </c>
      <c r="E20" s="25">
        <f>(A20-A19)*60</f>
        <v/>
      </c>
      <c r="F20" s="25">
        <f>0.5*(B19+B20)*E20</f>
        <v/>
      </c>
      <c r="G20" s="25">
        <f>F20-(H20-H19)</f>
        <v/>
      </c>
      <c r="H20" s="33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3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4" t="inlineStr">
        <is>
          <t>entrée</t>
        </is>
      </c>
      <c r="F6" s="34" t="inlineStr">
        <is>
          <t>K</t>
        </is>
      </c>
      <c r="G6" s="34" t="inlineStr">
        <is>
          <t>M</t>
        </is>
      </c>
      <c r="H6" s="34" t="inlineStr">
        <is>
          <t>c</t>
        </is>
      </c>
      <c r="I6" s="34" t="inlineStr">
        <is>
          <t>Y</t>
        </is>
      </c>
      <c r="J6" s="34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5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6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7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7">
        <f>IFERROR(VLOOKUP(B13,$E$7:$J$9,2,FALSE),0.0098)</f>
        <v/>
      </c>
    </row>
    <row r="18">
      <c r="A18" t="inlineStr">
        <is>
          <t>M (lu)</t>
        </is>
      </c>
      <c r="B18" s="37">
        <f>IFERROR(VLOOKUP(B13,$E$7:$J$9,3,FALSE),2)</f>
        <v/>
      </c>
    </row>
    <row r="19">
      <c r="A19" t="inlineStr">
        <is>
          <t>c (lu)</t>
        </is>
      </c>
      <c r="B19" s="37">
        <f>IFERROR(VLOOKUP(B13,$E$7:$J$9,4,FALSE),0.0398)</f>
        <v/>
      </c>
    </row>
    <row r="20">
      <c r="A20" t="inlineStr">
        <is>
          <t>Y (lu)</t>
        </is>
      </c>
      <c r="B20" s="37">
        <f>IFERROR(VLOOKUP(B13,$E$7:$J$9,5,FALSE),0.67)</f>
        <v/>
      </c>
    </row>
    <row r="21">
      <c r="A21" t="inlineStr">
        <is>
          <t>Ke (lu)</t>
        </is>
      </c>
      <c r="B21" s="37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31" t="n">
        <v>0</v>
      </c>
      <c r="B24" s="31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31" t="n">
        <v>0.05</v>
      </c>
      <c r="B25" s="31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31" t="n">
        <v>0.1</v>
      </c>
      <c r="B26" s="31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31" t="n">
        <v>0.15</v>
      </c>
      <c r="B27" s="31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31" t="n">
        <v>0.2</v>
      </c>
      <c r="B28" s="31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31" t="n">
        <v>0.25</v>
      </c>
      <c r="B29" s="31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31" t="n">
        <v>0.3</v>
      </c>
      <c r="B30" s="31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31" t="n">
        <v>0.35</v>
      </c>
      <c r="B31" s="31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31" t="n">
        <v>0.4</v>
      </c>
      <c r="B32" s="31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31" t="n">
        <v>0.45</v>
      </c>
      <c r="B33" s="31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31" t="n">
        <v>0.5</v>
      </c>
      <c r="B34" s="31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31" t="n">
        <v>0.55</v>
      </c>
      <c r="B35" s="31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31" t="n">
        <v>0.6</v>
      </c>
      <c r="B36" s="31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31" t="n">
        <v>0.65</v>
      </c>
      <c r="B37" s="31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31" t="n">
        <v>0.7</v>
      </c>
      <c r="B38" s="31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31" t="n">
        <v>0.75</v>
      </c>
      <c r="B39" s="31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31" t="n">
        <v>0.8</v>
      </c>
      <c r="B40" s="31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31" t="n">
        <v>0.85</v>
      </c>
      <c r="B41" s="31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31" t="n">
        <v>0.9</v>
      </c>
      <c r="B42" s="31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31" t="n">
        <v>0.95</v>
      </c>
      <c r="B43" s="31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31" t="n">
        <v>1</v>
      </c>
      <c r="B44" s="31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31" t="n">
        <v>1.05</v>
      </c>
      <c r="B45" s="31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31" t="n">
        <v>1.1</v>
      </c>
      <c r="B46" s="31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31" t="n">
        <v>1.15</v>
      </c>
      <c r="B47" s="31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31" t="n">
        <v>1.2</v>
      </c>
      <c r="B48" s="31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31" t="n">
        <v>1.25</v>
      </c>
      <c r="B49" s="31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31" t="n">
        <v>1.3</v>
      </c>
      <c r="B50" s="31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31" t="n">
        <v>1.35</v>
      </c>
      <c r="B51" s="31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31" t="n">
        <v>1.4</v>
      </c>
      <c r="B52" s="31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31" t="n">
        <v>1.45</v>
      </c>
      <c r="B53" s="31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31" t="n">
        <v>1.5</v>
      </c>
      <c r="B54" s="31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31" t="n">
        <v>1.55</v>
      </c>
      <c r="B55" s="31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31" t="n">
        <v>1.6</v>
      </c>
      <c r="B56" s="31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31" t="n">
        <v>1.65</v>
      </c>
      <c r="B57" s="31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31" t="n">
        <v>1.7</v>
      </c>
      <c r="B58" s="31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31" t="n">
        <v>1.75</v>
      </c>
      <c r="B59" s="31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31" t="n">
        <v>1.8</v>
      </c>
      <c r="B60" s="31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31" t="n">
        <v>1.85</v>
      </c>
      <c r="B61" s="31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31" t="n">
        <v>1.9</v>
      </c>
      <c r="B62" s="31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31" t="n">
        <v>1.95</v>
      </c>
      <c r="B63" s="31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31" t="n">
        <v>2</v>
      </c>
      <c r="B64" s="31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31" t="n">
        <v>2.05</v>
      </c>
      <c r="B65" s="31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31" t="n">
        <v>2.1</v>
      </c>
      <c r="B66" s="31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31" t="n">
        <v>2.15</v>
      </c>
      <c r="B67" s="31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31" t="n">
        <v>2.2</v>
      </c>
      <c r="B68" s="31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31" t="n">
        <v>2.25</v>
      </c>
      <c r="B69" s="31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31" t="n">
        <v>2.3</v>
      </c>
      <c r="B70" s="31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31" t="n">
        <v>2.35</v>
      </c>
      <c r="B71" s="31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8" t="n">
        <v>2.4</v>
      </c>
      <c r="B72" s="38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31" t="n">
        <v>2.45</v>
      </c>
      <c r="B73" s="31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31" t="n">
        <v>2.5</v>
      </c>
      <c r="B74" s="31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31" t="n">
        <v>2.55</v>
      </c>
      <c r="B75" s="31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31" t="n">
        <v>2.6</v>
      </c>
      <c r="B76" s="31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31" t="n">
        <v>2.65</v>
      </c>
      <c r="B77" s="31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31" t="n">
        <v>2.7</v>
      </c>
      <c r="B78" s="31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31" t="n">
        <v>2.75</v>
      </c>
      <c r="B79" s="31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31" t="n">
        <v>2.8</v>
      </c>
      <c r="B80" s="31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31" t="n">
        <v>2.85</v>
      </c>
      <c r="B81" s="31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31" t="n">
        <v>2.9</v>
      </c>
      <c r="B82" s="31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31" t="n">
        <v>2.95</v>
      </c>
      <c r="B83" s="31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31" t="n">
        <v>3</v>
      </c>
      <c r="B84" s="31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3" t="inlineStr">
        <is>
          <t>Méthode B — routage avec Qout = f(H) depuis Courbe_QH_900 (FHWA)</t>
        </is>
      </c>
    </row>
    <row r="2">
      <c r="A2" s="39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40">
        <f>Parametres!B24</f>
        <v/>
      </c>
    </row>
    <row r="6">
      <c r="A6" t="inlineStr">
        <is>
          <t>Q_plein réf. (m³/s)</t>
        </is>
      </c>
      <c r="B6" s="40">
        <f>Parametres!B22</f>
        <v/>
      </c>
    </row>
    <row r="7">
      <c r="A7" t="inlineStr">
        <is>
          <t>Vmax_B (m³)</t>
        </is>
      </c>
      <c r="B7" s="30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5" t="n">
        <v>0</v>
      </c>
      <c r="G12" s="33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5">
        <f>(A13-A12)*60</f>
        <v/>
      </c>
      <c r="G13" s="33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5">
        <f>(A14-A13)*60</f>
        <v/>
      </c>
      <c r="G14" s="33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5">
        <f>(A15-A14)*60</f>
        <v/>
      </c>
      <c r="G15" s="33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5">
        <f>(A16-A15)*60</f>
        <v/>
      </c>
      <c r="G16" s="33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5">
        <f>(A17-A16)*60</f>
        <v/>
      </c>
      <c r="G17" s="33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5">
        <f>(A18-A17)*60</f>
        <v/>
      </c>
      <c r="G18" s="33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5">
        <f>(A19-A18)*60</f>
        <v/>
      </c>
      <c r="G19" s="33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5">
        <f>(A20-A19)*60</f>
        <v/>
      </c>
      <c r="G20" s="33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5">
        <f>(A21-A20)*60</f>
        <v/>
      </c>
      <c r="G21" s="33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5">
        <f>(A22-A21)*60</f>
        <v/>
      </c>
      <c r="G22" s="33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5">
        <f>(A23-A22)*60</f>
        <v/>
      </c>
      <c r="G23" s="33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5">
        <f>(A24-A23)*60</f>
        <v/>
      </c>
      <c r="G24" s="33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3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V_pond(Stage_Storage)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31" t="n">
        <v>34.88</v>
      </c>
      <c r="B15" s="31">
        <f>A15-$B$12</f>
        <v/>
      </c>
      <c r="C15" s="31">
        <f>MAX(0,A15-$B$6)</f>
        <v/>
      </c>
      <c r="D15" s="5">
        <f>IF(C15&lt;=0,0,($B$7+$B$9*C15)*C15)</f>
        <v/>
      </c>
      <c r="E15" s="25">
        <f>D15*$B$11</f>
        <v/>
      </c>
      <c r="F15" s="2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33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31" t="n">
        <v>34.93</v>
      </c>
      <c r="B16" s="31">
        <f>A16-$B$12</f>
        <v/>
      </c>
      <c r="C16" s="31">
        <f>MAX(0,A16-$B$6)</f>
        <v/>
      </c>
      <c r="D16" s="5">
        <f>IF(C16&lt;=0,0,($B$7+$B$9*C16)*C16)</f>
        <v/>
      </c>
      <c r="E16" s="25">
        <f>D16*$B$11</f>
        <v/>
      </c>
      <c r="F16" s="2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33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31" t="n">
        <v>34.98</v>
      </c>
      <c r="B17" s="31">
        <f>A17-$B$12</f>
        <v/>
      </c>
      <c r="C17" s="31">
        <f>MAX(0,A17-$B$6)</f>
        <v/>
      </c>
      <c r="D17" s="5">
        <f>IF(C17&lt;=0,0,($B$7+$B$9*C17)*C17)</f>
        <v/>
      </c>
      <c r="E17" s="25">
        <f>D17*$B$11</f>
        <v/>
      </c>
      <c r="F17" s="2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33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31" t="n">
        <v>35.03</v>
      </c>
      <c r="B18" s="31">
        <f>A18-$B$12</f>
        <v/>
      </c>
      <c r="C18" s="31">
        <f>MAX(0,A18-$B$6)</f>
        <v/>
      </c>
      <c r="D18" s="5">
        <f>IF(C18&lt;=0,0,($B$7+$B$9*C18)*C18)</f>
        <v/>
      </c>
      <c r="E18" s="25">
        <f>D18*$B$11</f>
        <v/>
      </c>
      <c r="F18" s="2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33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31" t="n">
        <v>35.08</v>
      </c>
      <c r="B19" s="31">
        <f>A19-$B$12</f>
        <v/>
      </c>
      <c r="C19" s="31">
        <f>MAX(0,A19-$B$6)</f>
        <v/>
      </c>
      <c r="D19" s="5">
        <f>IF(C19&lt;=0,0,($B$7+$B$9*C19)*C19)</f>
        <v/>
      </c>
      <c r="E19" s="25">
        <f>D19*$B$11</f>
        <v/>
      </c>
      <c r="F19" s="2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33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31" t="n">
        <v>35.13</v>
      </c>
      <c r="B20" s="31">
        <f>A20-$B$12</f>
        <v/>
      </c>
      <c r="C20" s="31">
        <f>MAX(0,A20-$B$6)</f>
        <v/>
      </c>
      <c r="D20" s="5">
        <f>IF(C20&lt;=0,0,($B$7+$B$9*C20)*C20)</f>
        <v/>
      </c>
      <c r="E20" s="25">
        <f>D20*$B$11</f>
        <v/>
      </c>
      <c r="F20" s="2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33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31" t="n">
        <v>35.18</v>
      </c>
      <c r="B21" s="31">
        <f>A21-$B$12</f>
        <v/>
      </c>
      <c r="C21" s="31">
        <f>MAX(0,A21-$B$6)</f>
        <v/>
      </c>
      <c r="D21" s="5">
        <f>IF(C21&lt;=0,0,($B$7+$B$9*C21)*C21)</f>
        <v/>
      </c>
      <c r="E21" s="25">
        <f>D21*$B$11</f>
        <v/>
      </c>
      <c r="F21" s="2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33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31" t="n">
        <v>35.23</v>
      </c>
      <c r="B22" s="31">
        <f>A22-$B$12</f>
        <v/>
      </c>
      <c r="C22" s="31">
        <f>MAX(0,A22-$B$6)</f>
        <v/>
      </c>
      <c r="D22" s="5">
        <f>IF(C22&lt;=0,0,($B$7+$B$9*C22)*C22)</f>
        <v/>
      </c>
      <c r="E22" s="25">
        <f>D22*$B$11</f>
        <v/>
      </c>
      <c r="F22" s="2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33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31" t="n">
        <v>35.28</v>
      </c>
      <c r="B23" s="31">
        <f>A23-$B$12</f>
        <v/>
      </c>
      <c r="C23" s="31">
        <f>MAX(0,A23-$B$6)</f>
        <v/>
      </c>
      <c r="D23" s="5">
        <f>IF(C23&lt;=0,0,($B$7+$B$9*C23)*C23)</f>
        <v/>
      </c>
      <c r="E23" s="25">
        <f>D23*$B$11</f>
        <v/>
      </c>
      <c r="F23" s="2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33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31" t="n">
        <v>35.33</v>
      </c>
      <c r="B24" s="31">
        <f>A24-$B$12</f>
        <v/>
      </c>
      <c r="C24" s="31">
        <f>MAX(0,A24-$B$6)</f>
        <v/>
      </c>
      <c r="D24" s="5">
        <f>IF(C24&lt;=0,0,($B$7+$B$9*C24)*C24)</f>
        <v/>
      </c>
      <c r="E24" s="25">
        <f>D24*$B$11</f>
        <v/>
      </c>
      <c r="F24" s="2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33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31" t="n">
        <v>35.38</v>
      </c>
      <c r="B25" s="31">
        <f>A25-$B$12</f>
        <v/>
      </c>
      <c r="C25" s="31">
        <f>MAX(0,A25-$B$6)</f>
        <v/>
      </c>
      <c r="D25" s="5">
        <f>IF(C25&lt;=0,0,($B$7+$B$9*C25)*C25)</f>
        <v/>
      </c>
      <c r="E25" s="25">
        <f>D25*$B$11</f>
        <v/>
      </c>
      <c r="F25" s="2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33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31" t="n">
        <v>35.43</v>
      </c>
      <c r="B26" s="31">
        <f>A26-$B$12</f>
        <v/>
      </c>
      <c r="C26" s="31">
        <f>MAX(0,A26-$B$6)</f>
        <v/>
      </c>
      <c r="D26" s="5">
        <f>IF(C26&lt;=0,0,($B$7+$B$9*C26)*C26)</f>
        <v/>
      </c>
      <c r="E26" s="25">
        <f>D26*$B$11</f>
        <v/>
      </c>
      <c r="F26" s="2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33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31" t="n">
        <v>35.48</v>
      </c>
      <c r="B27" s="31">
        <f>A27-$B$12</f>
        <v/>
      </c>
      <c r="C27" s="31">
        <f>MAX(0,A27-$B$6)</f>
        <v/>
      </c>
      <c r="D27" s="5">
        <f>IF(C27&lt;=0,0,($B$7+$B$9*C27)*C27)</f>
        <v/>
      </c>
      <c r="E27" s="25">
        <f>D27*$B$11</f>
        <v/>
      </c>
      <c r="F27" s="2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33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31" t="n">
        <v>35.53</v>
      </c>
      <c r="B28" s="31">
        <f>A28-$B$12</f>
        <v/>
      </c>
      <c r="C28" s="31">
        <f>MAX(0,A28-$B$6)</f>
        <v/>
      </c>
      <c r="D28" s="5">
        <f>IF(C28&lt;=0,0,($B$7+$B$9*C28)*C28)</f>
        <v/>
      </c>
      <c r="E28" s="25">
        <f>D28*$B$11</f>
        <v/>
      </c>
      <c r="F28" s="2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33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31" t="n">
        <v>35.58</v>
      </c>
      <c r="B29" s="31">
        <f>A29-$B$12</f>
        <v/>
      </c>
      <c r="C29" s="31">
        <f>MAX(0,A29-$B$6)</f>
        <v/>
      </c>
      <c r="D29" s="5">
        <f>IF(C29&lt;=0,0,($B$7+$B$9*C29)*C29)</f>
        <v/>
      </c>
      <c r="E29" s="25">
        <f>D29*$B$11</f>
        <v/>
      </c>
      <c r="F29" s="2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33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31" t="n">
        <v>35.63</v>
      </c>
      <c r="B30" s="31">
        <f>A30-$B$12</f>
        <v/>
      </c>
      <c r="C30" s="31">
        <f>MAX(0,A30-$B$6)</f>
        <v/>
      </c>
      <c r="D30" s="5">
        <f>IF(C30&lt;=0,0,($B$7+$B$9*C30)*C30)</f>
        <v/>
      </c>
      <c r="E30" s="25">
        <f>D30*$B$11</f>
        <v/>
      </c>
      <c r="F30" s="2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33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31" t="n">
        <v>35.68</v>
      </c>
      <c r="B31" s="31">
        <f>A31-$B$12</f>
        <v/>
      </c>
      <c r="C31" s="31">
        <f>MAX(0,A31-$B$6)</f>
        <v/>
      </c>
      <c r="D31" s="5">
        <f>IF(C31&lt;=0,0,($B$7+$B$9*C31)*C31)</f>
        <v/>
      </c>
      <c r="E31" s="25">
        <f>D31*$B$11</f>
        <v/>
      </c>
      <c r="F31" s="2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33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31" t="n">
        <v>35.73</v>
      </c>
      <c r="B32" s="31">
        <f>A32-$B$12</f>
        <v/>
      </c>
      <c r="C32" s="31">
        <f>MAX(0,A32-$B$6)</f>
        <v/>
      </c>
      <c r="D32" s="5">
        <f>IF(C32&lt;=0,0,($B$7+$B$9*C32)*C32)</f>
        <v/>
      </c>
      <c r="E32" s="25">
        <f>D32*$B$11</f>
        <v/>
      </c>
      <c r="F32" s="2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33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8" t="n">
        <v>35.78</v>
      </c>
      <c r="B33" s="38">
        <f>A33-$B$12</f>
        <v/>
      </c>
      <c r="C33" s="38">
        <f>MAX(0,A33-$B$6)</f>
        <v/>
      </c>
      <c r="D33" s="8">
        <f>IF(C33&lt;=0,0,($B$7+$B$9*C33)*C33)</f>
        <v/>
      </c>
      <c r="E33" s="41">
        <f>D33*$B$11</f>
        <v/>
      </c>
      <c r="F33" s="41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33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31" t="n">
        <v>35.83</v>
      </c>
      <c r="B34" s="31">
        <f>A34-$B$12</f>
        <v/>
      </c>
      <c r="C34" s="31">
        <f>MAX(0,A34-$B$6)</f>
        <v/>
      </c>
      <c r="D34" s="5">
        <f>IF(C34&lt;=0,0,($B$7+$B$9*C34)*C34)</f>
        <v/>
      </c>
      <c r="E34" s="25">
        <f>D34*$B$11</f>
        <v/>
      </c>
      <c r="F34" s="2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33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31" t="n">
        <v>35.88</v>
      </c>
      <c r="B35" s="31">
        <f>A35-$B$12</f>
        <v/>
      </c>
      <c r="C35" s="31">
        <f>MAX(0,A35-$B$6)</f>
        <v/>
      </c>
      <c r="D35" s="5">
        <f>IF(C35&lt;=0,0,($B$7+$B$9*C35)*C35)</f>
        <v/>
      </c>
      <c r="E35" s="25">
        <f>D35*$B$11</f>
        <v/>
      </c>
      <c r="F35" s="2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33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31" t="n">
        <v>35.93</v>
      </c>
      <c r="B36" s="31">
        <f>A36-$B$12</f>
        <v/>
      </c>
      <c r="C36" s="31">
        <f>MAX(0,A36-$B$6)</f>
        <v/>
      </c>
      <c r="D36" s="5">
        <f>IF(C36&lt;=0,0,($B$7+$B$9*C36)*C36)</f>
        <v/>
      </c>
      <c r="E36" s="25">
        <f>D36*$B$11</f>
        <v/>
      </c>
      <c r="F36" s="2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33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31" t="n">
        <v>35.98</v>
      </c>
      <c r="B37" s="31">
        <f>A37-$B$12</f>
        <v/>
      </c>
      <c r="C37" s="31">
        <f>MAX(0,A37-$B$6)</f>
        <v/>
      </c>
      <c r="D37" s="5">
        <f>IF(C37&lt;=0,0,($B$7+$B$9*C37)*C37)</f>
        <v/>
      </c>
      <c r="E37" s="25">
        <f>D37*$B$11</f>
        <v/>
      </c>
      <c r="F37" s="2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33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31" t="n">
        <v>36.03</v>
      </c>
      <c r="B38" s="31">
        <f>A38-$B$12</f>
        <v/>
      </c>
      <c r="C38" s="31">
        <f>MAX(0,A38-$B$6)</f>
        <v/>
      </c>
      <c r="D38" s="5">
        <f>IF(C38&lt;=0,0,($B$7+$B$9*C38)*C38)</f>
        <v/>
      </c>
      <c r="E38" s="25">
        <f>D38*$B$11</f>
        <v/>
      </c>
      <c r="F38" s="2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33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31" t="n">
        <v>36.08</v>
      </c>
      <c r="B39" s="31">
        <f>A39-$B$12</f>
        <v/>
      </c>
      <c r="C39" s="31">
        <f>MAX(0,A39-$B$6)</f>
        <v/>
      </c>
      <c r="D39" s="5">
        <f>IF(C39&lt;=0,0,($B$7+$B$9*C39)*C39)</f>
        <v/>
      </c>
      <c r="E39" s="25">
        <f>D39*$B$11</f>
        <v/>
      </c>
      <c r="F39" s="2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33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31" t="n">
        <v>36.13</v>
      </c>
      <c r="B40" s="31">
        <f>A40-$B$12</f>
        <v/>
      </c>
      <c r="C40" s="31">
        <f>MAX(0,A40-$B$6)</f>
        <v/>
      </c>
      <c r="D40" s="5">
        <f>IF(C40&lt;=0,0,($B$7+$B$9*C40)*C40)</f>
        <v/>
      </c>
      <c r="E40" s="25">
        <f>D40*$B$11</f>
        <v/>
      </c>
      <c r="F40" s="2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33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31" t="n">
        <v>36.18</v>
      </c>
      <c r="B41" s="31">
        <f>A41-$B$12</f>
        <v/>
      </c>
      <c r="C41" s="31">
        <f>MAX(0,A41-$B$6)</f>
        <v/>
      </c>
      <c r="D41" s="5">
        <f>IF(C41&lt;=0,0,($B$7+$B$9*C41)*C41)</f>
        <v/>
      </c>
      <c r="E41" s="25">
        <f>D41*$B$11</f>
        <v/>
      </c>
      <c r="F41" s="2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33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31" t="n">
        <v>36.23</v>
      </c>
      <c r="B42" s="31">
        <f>A42-$B$12</f>
        <v/>
      </c>
      <c r="C42" s="31">
        <f>MAX(0,A42-$B$6)</f>
        <v/>
      </c>
      <c r="D42" s="5">
        <f>IF(C42&lt;=0,0,($B$7+$B$9*C42)*C42)</f>
        <v/>
      </c>
      <c r="E42" s="25">
        <f>D42*$B$11</f>
        <v/>
      </c>
      <c r="F42" s="2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33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31" t="n">
        <v>36.28</v>
      </c>
      <c r="B43" s="31">
        <f>A43-$B$12</f>
        <v/>
      </c>
      <c r="C43" s="31">
        <f>MAX(0,A43-$B$6)</f>
        <v/>
      </c>
      <c r="D43" s="5">
        <f>IF(C43&lt;=0,0,($B$7+$B$9*C43)*C43)</f>
        <v/>
      </c>
      <c r="E43" s="25">
        <f>D43*$B$11</f>
        <v/>
      </c>
      <c r="F43" s="2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33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31" t="n">
        <v>36.33</v>
      </c>
      <c r="B44" s="31">
        <f>A44-$B$12</f>
        <v/>
      </c>
      <c r="C44" s="31">
        <f>MAX(0,A44-$B$6)</f>
        <v/>
      </c>
      <c r="D44" s="5">
        <f>IF(C44&lt;=0,0,($B$7+$B$9*C44)*C44)</f>
        <v/>
      </c>
      <c r="E44" s="25">
        <f>D44*$B$11</f>
        <v/>
      </c>
      <c r="F44" s="2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33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31" t="n">
        <v>36.38</v>
      </c>
      <c r="B45" s="31">
        <f>A45-$B$12</f>
        <v/>
      </c>
      <c r="C45" s="31">
        <f>MAX(0,A45-$B$6)</f>
        <v/>
      </c>
      <c r="D45" s="5">
        <f>IF(C45&lt;=0,0,($B$7+$B$9*C45)*C45)</f>
        <v/>
      </c>
      <c r="E45" s="25">
        <f>D45*$B$11</f>
        <v/>
      </c>
      <c r="F45" s="2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33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31" t="n">
        <v>36.43</v>
      </c>
      <c r="B46" s="31">
        <f>A46-$B$12</f>
        <v/>
      </c>
      <c r="C46" s="31">
        <f>MAX(0,A46-$B$6)</f>
        <v/>
      </c>
      <c r="D46" s="5">
        <f>IF(C46&lt;=0,0,($B$7+$B$9*C46)*C46)</f>
        <v/>
      </c>
      <c r="E46" s="25">
        <f>D46*$B$11</f>
        <v/>
      </c>
      <c r="F46" s="2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33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31" t="n">
        <v>36.48</v>
      </c>
      <c r="B47" s="31">
        <f>A47-$B$12</f>
        <v/>
      </c>
      <c r="C47" s="31">
        <f>MAX(0,A47-$B$6)</f>
        <v/>
      </c>
      <c r="D47" s="5">
        <f>IF(C47&lt;=0,0,($B$7+$B$9*C47)*C47)</f>
        <v/>
      </c>
      <c r="E47" s="25">
        <f>D47*$B$11</f>
        <v/>
      </c>
      <c r="F47" s="2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33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31" t="n">
        <v>36.53</v>
      </c>
      <c r="B48" s="31">
        <f>A48-$B$12</f>
        <v/>
      </c>
      <c r="C48" s="31">
        <f>MAX(0,A48-$B$6)</f>
        <v/>
      </c>
      <c r="D48" s="5">
        <f>IF(C48&lt;=0,0,($B$7+$B$9*C48)*C48)</f>
        <v/>
      </c>
      <c r="E48" s="25">
        <f>D48*$B$11</f>
        <v/>
      </c>
      <c r="F48" s="2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33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31" t="n">
        <v>36.58</v>
      </c>
      <c r="B49" s="31">
        <f>A49-$B$12</f>
        <v/>
      </c>
      <c r="C49" s="31">
        <f>MAX(0,A49-$B$6)</f>
        <v/>
      </c>
      <c r="D49" s="5">
        <f>IF(C49&lt;=0,0,($B$7+$B$9*C49)*C49)</f>
        <v/>
      </c>
      <c r="E49" s="25">
        <f>D49*$B$11</f>
        <v/>
      </c>
      <c r="F49" s="2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33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31" t="n">
        <v>36.63</v>
      </c>
      <c r="B50" s="31">
        <f>A50-$B$12</f>
        <v/>
      </c>
      <c r="C50" s="31">
        <f>MAX(0,A50-$B$6)</f>
        <v/>
      </c>
      <c r="D50" s="5">
        <f>IF(C50&lt;=0,0,($B$7+$B$9*C50)*C50)</f>
        <v/>
      </c>
      <c r="E50" s="25">
        <f>D50*$B$11</f>
        <v/>
      </c>
      <c r="F50" s="2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33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31" t="n">
        <v>36.68</v>
      </c>
      <c r="B51" s="31">
        <f>A51-$B$12</f>
        <v/>
      </c>
      <c r="C51" s="31">
        <f>MAX(0,A51-$B$6)</f>
        <v/>
      </c>
      <c r="D51" s="5">
        <f>IF(C51&lt;=0,0,($B$7+$B$9*C51)*C51)</f>
        <v/>
      </c>
      <c r="E51" s="25">
        <f>D51*$B$11</f>
        <v/>
      </c>
      <c r="F51" s="2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33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31" t="n">
        <v>36.73</v>
      </c>
      <c r="B52" s="31">
        <f>A52-$B$12</f>
        <v/>
      </c>
      <c r="C52" s="31">
        <f>MAX(0,A52-$B$6)</f>
        <v/>
      </c>
      <c r="D52" s="5">
        <f>IF(C52&lt;=0,0,($B$7+$B$9*C52)*C52)</f>
        <v/>
      </c>
      <c r="E52" s="25">
        <f>D52*$B$11</f>
        <v/>
      </c>
      <c r="F52" s="2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33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31" t="n">
        <v>36.78</v>
      </c>
      <c r="B53" s="31">
        <f>A53-$B$12</f>
        <v/>
      </c>
      <c r="C53" s="31">
        <f>MAX(0,A53-$B$6)</f>
        <v/>
      </c>
      <c r="D53" s="5">
        <f>IF(C53&lt;=0,0,($B$7+$B$9*C53)*C53)</f>
        <v/>
      </c>
      <c r="E53" s="25">
        <f>D53*$B$11</f>
        <v/>
      </c>
      <c r="F53" s="2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33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31" t="n">
        <v>36.83</v>
      </c>
      <c r="B54" s="31">
        <f>A54-$B$12</f>
        <v/>
      </c>
      <c r="C54" s="31">
        <f>MAX(0,A54-$B$6)</f>
        <v/>
      </c>
      <c r="D54" s="5">
        <f>IF(C54&lt;=0,0,($B$7+$B$9*C54)*C54)</f>
        <v/>
      </c>
      <c r="E54" s="25">
        <f>D54*$B$11</f>
        <v/>
      </c>
      <c r="F54" s="2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33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31" t="n">
        <v>36.88</v>
      </c>
      <c r="B55" s="31">
        <f>A55-$B$12</f>
        <v/>
      </c>
      <c r="C55" s="31">
        <f>MAX(0,A55-$B$6)</f>
        <v/>
      </c>
      <c r="D55" s="5">
        <f>IF(C55&lt;=0,0,($B$7+$B$9*C55)*C55)</f>
        <v/>
      </c>
      <c r="E55" s="25">
        <f>D55*$B$11</f>
        <v/>
      </c>
      <c r="F55" s="2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33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31" t="n">
        <v>36.93</v>
      </c>
      <c r="B56" s="31">
        <f>A56-$B$12</f>
        <v/>
      </c>
      <c r="C56" s="31">
        <f>MAX(0,A56-$B$6)</f>
        <v/>
      </c>
      <c r="D56" s="5">
        <f>IF(C56&lt;=0,0,($B$7+$B$9*C56)*C56)</f>
        <v/>
      </c>
      <c r="E56" s="25">
        <f>D56*$B$11</f>
        <v/>
      </c>
      <c r="F56" s="2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33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31" t="n">
        <v>36.98</v>
      </c>
      <c r="B57" s="31">
        <f>A57-$B$12</f>
        <v/>
      </c>
      <c r="C57" s="31">
        <f>MAX(0,A57-$B$6)</f>
        <v/>
      </c>
      <c r="D57" s="5">
        <f>IF(C57&lt;=0,0,($B$7+$B$9*C57)*C57)</f>
        <v/>
      </c>
      <c r="E57" s="25">
        <f>D57*$B$11</f>
        <v/>
      </c>
      <c r="F57" s="2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33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31" t="n">
        <v>37.03</v>
      </c>
      <c r="B58" s="31">
        <f>A58-$B$12</f>
        <v/>
      </c>
      <c r="C58" s="31">
        <f>MAX(0,A58-$B$6)</f>
        <v/>
      </c>
      <c r="D58" s="5">
        <f>IF(C58&lt;=0,0,($B$7+$B$9*C58)*C58)</f>
        <v/>
      </c>
      <c r="E58" s="25">
        <f>D58*$B$11</f>
        <v/>
      </c>
      <c r="F58" s="2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33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31" t="n">
        <v>37.08</v>
      </c>
      <c r="B59" s="31">
        <f>A59-$B$12</f>
        <v/>
      </c>
      <c r="C59" s="31">
        <f>MAX(0,A59-$B$6)</f>
        <v/>
      </c>
      <c r="D59" s="5">
        <f>IF(C59&lt;=0,0,($B$7+$B$9*C59)*C59)</f>
        <v/>
      </c>
      <c r="E59" s="25">
        <f>D59*$B$11</f>
        <v/>
      </c>
      <c r="F59" s="2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33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31" t="n">
        <v>37.13</v>
      </c>
      <c r="B60" s="31">
        <f>A60-$B$12</f>
        <v/>
      </c>
      <c r="C60" s="31">
        <f>MAX(0,A60-$B$6)</f>
        <v/>
      </c>
      <c r="D60" s="5">
        <f>IF(C60&lt;=0,0,($B$7+$B$9*C60)*C60)</f>
        <v/>
      </c>
      <c r="E60" s="25">
        <f>D60*$B$11</f>
        <v/>
      </c>
      <c r="F60" s="2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33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31" t="n">
        <v>37.18</v>
      </c>
      <c r="B61" s="31">
        <f>A61-$B$12</f>
        <v/>
      </c>
      <c r="C61" s="31">
        <f>MAX(0,A61-$B$6)</f>
        <v/>
      </c>
      <c r="D61" s="5">
        <f>IF(C61&lt;=0,0,($B$7+$B$9*C61)*C61)</f>
        <v/>
      </c>
      <c r="E61" s="25">
        <f>D61*$B$11</f>
        <v/>
      </c>
      <c r="F61" s="2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33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31" t="n">
        <v>37.23</v>
      </c>
      <c r="B62" s="31">
        <f>A62-$B$12</f>
        <v/>
      </c>
      <c r="C62" s="31">
        <f>MAX(0,A62-$B$6)</f>
        <v/>
      </c>
      <c r="D62" s="5">
        <f>IF(C62&lt;=0,0,($B$7+$B$9*C62)*C62)</f>
        <v/>
      </c>
      <c r="E62" s="25">
        <f>D62*$B$11</f>
        <v/>
      </c>
      <c r="F62" s="2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33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31" t="n">
        <v>37.28</v>
      </c>
      <c r="B63" s="31">
        <f>A63-$B$12</f>
        <v/>
      </c>
      <c r="C63" s="31">
        <f>MAX(0,A63-$B$6)</f>
        <v/>
      </c>
      <c r="D63" s="5">
        <f>IF(C63&lt;=0,0,($B$7+$B$9*C63)*C63)</f>
        <v/>
      </c>
      <c r="E63" s="25">
        <f>D63*$B$11</f>
        <v/>
      </c>
      <c r="F63" s="2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33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31" t="n">
        <v>37.33</v>
      </c>
      <c r="B64" s="31">
        <f>A64-$B$12</f>
        <v/>
      </c>
      <c r="C64" s="31">
        <f>MAX(0,A64-$B$6)</f>
        <v/>
      </c>
      <c r="D64" s="5">
        <f>IF(C64&lt;=0,0,($B$7+$B$9*C64)*C64)</f>
        <v/>
      </c>
      <c r="E64" s="25">
        <f>D64*$B$11</f>
        <v/>
      </c>
      <c r="F64" s="2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33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31" t="n">
        <v>37.38</v>
      </c>
      <c r="B65" s="31">
        <f>A65-$B$12</f>
        <v/>
      </c>
      <c r="C65" s="31">
        <f>MAX(0,A65-$B$6)</f>
        <v/>
      </c>
      <c r="D65" s="5">
        <f>IF(C65&lt;=0,0,($B$7+$B$9*C65)*C65)</f>
        <v/>
      </c>
      <c r="E65" s="25">
        <f>D65*$B$11</f>
        <v/>
      </c>
      <c r="F65" s="25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33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31" t="n">
        <v>37.43</v>
      </c>
      <c r="B66" s="31">
        <f>A66-$B$12</f>
        <v/>
      </c>
      <c r="C66" s="31">
        <f>MAX(0,A66-$B$6)</f>
        <v/>
      </c>
      <c r="D66" s="5">
        <f>IF(C66&lt;=0,0,($B$7+$B$9*C66)*C66)</f>
        <v/>
      </c>
      <c r="E66" s="25">
        <f>D66*$B$11</f>
        <v/>
      </c>
      <c r="F66" s="25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33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31" t="n">
        <v>37.48</v>
      </c>
      <c r="B67" s="31">
        <f>A67-$B$12</f>
        <v/>
      </c>
      <c r="C67" s="31">
        <f>MAX(0,A67-$B$6)</f>
        <v/>
      </c>
      <c r="D67" s="5">
        <f>IF(C67&lt;=0,0,($B$7+$B$9*C67)*C67)</f>
        <v/>
      </c>
      <c r="E67" s="25">
        <f>D67*$B$11</f>
        <v/>
      </c>
      <c r="F67" s="25">
        <f>IF(A67&lt;=INDEX(Stage_Storage!$A$11:$A$18,1),INDEX(Stage_Storage!$E$11:$E$18,1),IF(A67&gt;=INDEX(Stage_Storage!$A$11:$A$18,ROWS(Stage_Storage!$A$11:$A$18)),INDEX(Stage_Storage!$E$11:$E$18,ROWS(Stage_Storage!$E$11:$E$18)),INDEX(Stage_Storage!$E$11:$E$18,MATCH(A67,Stage_Storage!$A$11:$A$18,1))+(A67-INDEX(Stage_Storage!$A$11:$A$18,MATCH(A67,Stage_Storage!$A$11:$A$18,1)))/(INDEX(Stage_Storage!$A$11:$A$18,MATCH(A67,Stage_Storage!$A$11:$A$18,1)+1)-INDEX(Stage_Storage!$A$11:$A$18,MATCH(A67,Stage_Storage!$A$11:$A$18,1)))*(INDEX(Stage_Storage!$E$11:$E$18,MATCH(A67,Stage_Storage!$A$11:$A$18,1)+1)-INDEX(Stage_Storage!$E$11:$E$18,MATCH(A67,Stage_Storage!$A$11:$A$18,1)))))</f>
        <v/>
      </c>
      <c r="G67" s="33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31" t="n">
        <v>37.53</v>
      </c>
      <c r="B68" s="31">
        <f>A68-$B$12</f>
        <v/>
      </c>
      <c r="C68" s="31">
        <f>MAX(0,A68-$B$6)</f>
        <v/>
      </c>
      <c r="D68" s="5">
        <f>IF(C68&lt;=0,0,($B$7+$B$9*C68)*C68)</f>
        <v/>
      </c>
      <c r="E68" s="25">
        <f>D68*$B$11</f>
        <v/>
      </c>
      <c r="F68" s="25">
        <f>IF(A68&lt;=INDEX(Stage_Storage!$A$11:$A$18,1),INDEX(Stage_Storage!$E$11:$E$18,1),IF(A68&gt;=INDEX(Stage_Storage!$A$11:$A$18,ROWS(Stage_Storage!$A$11:$A$18)),INDEX(Stage_Storage!$E$11:$E$18,ROWS(Stage_Storage!$E$11:$E$18)),INDEX(Stage_Storage!$E$11:$E$18,MATCH(A68,Stage_Storage!$A$11:$A$18,1))+(A68-INDEX(Stage_Storage!$A$11:$A$18,MATCH(A68,Stage_Storage!$A$11:$A$18,1)))/(INDEX(Stage_Storage!$A$11:$A$18,MATCH(A68,Stage_Storage!$A$11:$A$18,1)+1)-INDEX(Stage_Storage!$A$11:$A$18,MATCH(A68,Stage_Storage!$A$11:$A$18,1)))*(INDEX(Stage_Storage!$E$11:$E$18,MATCH(A68,Stage_Storage!$A$11:$A$18,1)+1)-INDEX(Stage_Storage!$E$11:$E$18,MATCH(A68,Stage_Storage!$A$11:$A$18,1)))))</f>
        <v/>
      </c>
      <c r="G68" s="33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31" t="n">
        <v>37.58</v>
      </c>
      <c r="B69" s="31">
        <f>A69-$B$12</f>
        <v/>
      </c>
      <c r="C69" s="31">
        <f>MAX(0,A69-$B$6)</f>
        <v/>
      </c>
      <c r="D69" s="5">
        <f>IF(C69&lt;=0,0,($B$7+$B$9*C69)*C69)</f>
        <v/>
      </c>
      <c r="E69" s="25">
        <f>D69*$B$11</f>
        <v/>
      </c>
      <c r="F69" s="25">
        <f>IF(A69&lt;=INDEX(Stage_Storage!$A$11:$A$18,1),INDEX(Stage_Storage!$E$11:$E$18,1),IF(A69&gt;=INDEX(Stage_Storage!$A$11:$A$18,ROWS(Stage_Storage!$A$11:$A$18)),INDEX(Stage_Storage!$E$11:$E$18,ROWS(Stage_Storage!$E$11:$E$18)),INDEX(Stage_Storage!$E$11:$E$18,MATCH(A69,Stage_Storage!$A$11:$A$18,1))+(A69-INDEX(Stage_Storage!$A$11:$A$18,MATCH(A69,Stage_Storage!$A$11:$A$18,1)))/(INDEX(Stage_Storage!$A$11:$A$18,MATCH(A69,Stage_Storage!$A$11:$A$18,1)+1)-INDEX(Stage_Storage!$A$11:$A$18,MATCH(A69,Stage_Storage!$A$11:$A$18,1)))*(INDEX(Stage_Storage!$E$11:$E$18,MATCH(A69,Stage_Storage!$A$11:$A$18,1)+1)-INDEX(Stage_Storage!$E$11:$E$18,MATCH(A69,Stage_Storage!$A$11:$A$18,1)))))</f>
        <v/>
      </c>
      <c r="G69" s="33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31" t="n">
        <v>37.63</v>
      </c>
      <c r="B70" s="31">
        <f>A70-$B$12</f>
        <v/>
      </c>
      <c r="C70" s="31">
        <f>MAX(0,A70-$B$6)</f>
        <v/>
      </c>
      <c r="D70" s="5">
        <f>IF(C70&lt;=0,0,($B$7+$B$9*C70)*C70)</f>
        <v/>
      </c>
      <c r="E70" s="25">
        <f>D70*$B$11</f>
        <v/>
      </c>
      <c r="F70" s="25">
        <f>IF(A70&lt;=INDEX(Stage_Storage!$A$11:$A$18,1),INDEX(Stage_Storage!$E$11:$E$18,1),IF(A70&gt;=INDEX(Stage_Storage!$A$11:$A$18,ROWS(Stage_Storage!$A$11:$A$18)),INDEX(Stage_Storage!$E$11:$E$18,ROWS(Stage_Storage!$E$11:$E$18)),INDEX(Stage_Storage!$E$11:$E$18,MATCH(A70,Stage_Storage!$A$11:$A$18,1))+(A70-INDEX(Stage_Storage!$A$11:$A$18,MATCH(A70,Stage_Storage!$A$11:$A$18,1)))/(INDEX(Stage_Storage!$A$11:$A$18,MATCH(A70,Stage_Storage!$A$11:$A$18,1)+1)-INDEX(Stage_Storage!$A$11:$A$18,MATCH(A70,Stage_Storage!$A$11:$A$18,1)))*(INDEX(Stage_Storage!$E$11:$E$18,MATCH(A70,Stage_Storage!$A$11:$A$18,1)+1)-INDEX(Stage_Storage!$E$11:$E$18,MATCH(A70,Stage_Storage!$A$11:$A$18,1)))))</f>
        <v/>
      </c>
      <c r="G70" s="33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31" t="n">
        <v>37.68</v>
      </c>
      <c r="B71" s="31">
        <f>A71-$B$12</f>
        <v/>
      </c>
      <c r="C71" s="31">
        <f>MAX(0,A71-$B$6)</f>
        <v/>
      </c>
      <c r="D71" s="5">
        <f>IF(C71&lt;=0,0,($B$7+$B$9*C71)*C71)</f>
        <v/>
      </c>
      <c r="E71" s="25">
        <f>D71*$B$11</f>
        <v/>
      </c>
      <c r="F71" s="25">
        <f>IF(A71&lt;=INDEX(Stage_Storage!$A$11:$A$18,1),INDEX(Stage_Storage!$E$11:$E$18,1),IF(A71&gt;=INDEX(Stage_Storage!$A$11:$A$18,ROWS(Stage_Storage!$A$11:$A$18)),INDEX(Stage_Storage!$E$11:$E$18,ROWS(Stage_Storage!$E$11:$E$18)),INDEX(Stage_Storage!$E$11:$E$18,MATCH(A71,Stage_Storage!$A$11:$A$18,1))+(A71-INDEX(Stage_Storage!$A$11:$A$18,MATCH(A71,Stage_Storage!$A$11:$A$18,1)))/(INDEX(Stage_Storage!$A$11:$A$18,MATCH(A71,Stage_Storage!$A$11:$A$18,1)+1)-INDEX(Stage_Storage!$A$11:$A$18,MATCH(A71,Stage_Storage!$A$11:$A$18,1)))*(INDEX(Stage_Storage!$E$11:$E$18,MATCH(A71,Stage_Storage!$A$11:$A$18,1)+1)-INDEX(Stage_Storage!$E$11:$E$18,MATCH(A71,Stage_Storage!$A$11:$A$18,1)))))</f>
        <v/>
      </c>
      <c r="G71" s="33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31" t="n">
        <v>37.73</v>
      </c>
      <c r="B72" s="31">
        <f>A72-$B$12</f>
        <v/>
      </c>
      <c r="C72" s="31">
        <f>MAX(0,A72-$B$6)</f>
        <v/>
      </c>
      <c r="D72" s="5">
        <f>IF(C72&lt;=0,0,($B$7+$B$9*C72)*C72)</f>
        <v/>
      </c>
      <c r="E72" s="25">
        <f>D72*$B$11</f>
        <v/>
      </c>
      <c r="F72" s="25">
        <f>IF(A72&lt;=INDEX(Stage_Storage!$A$11:$A$18,1),INDEX(Stage_Storage!$E$11:$E$18,1),IF(A72&gt;=INDEX(Stage_Storage!$A$11:$A$18,ROWS(Stage_Storage!$A$11:$A$18)),INDEX(Stage_Storage!$E$11:$E$18,ROWS(Stage_Storage!$E$11:$E$18)),INDEX(Stage_Storage!$E$11:$E$18,MATCH(A72,Stage_Storage!$A$11:$A$18,1))+(A72-INDEX(Stage_Storage!$A$11:$A$18,MATCH(A72,Stage_Storage!$A$11:$A$18,1)))/(INDEX(Stage_Storage!$A$11:$A$18,MATCH(A72,Stage_Storage!$A$11:$A$18,1)+1)-INDEX(Stage_Storage!$A$11:$A$18,MATCH(A72,Stage_Storage!$A$11:$A$18,1)))*(INDEX(Stage_Storage!$E$11:$E$18,MATCH(A72,Stage_Storage!$A$11:$A$18,1)+1)-INDEX(Stage_Storage!$E$11:$E$18,MATCH(A72,Stage_Storage!$A$11:$A$18,1)))))</f>
        <v/>
      </c>
      <c r="G72" s="33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31" t="n">
        <v>37.78</v>
      </c>
      <c r="B73" s="31">
        <f>A73-$B$12</f>
        <v/>
      </c>
      <c r="C73" s="31">
        <f>MAX(0,A73-$B$6)</f>
        <v/>
      </c>
      <c r="D73" s="5">
        <f>IF(C73&lt;=0,0,($B$7+$B$9*C73)*C73)</f>
        <v/>
      </c>
      <c r="E73" s="25">
        <f>D73*$B$11</f>
        <v/>
      </c>
      <c r="F73" s="25">
        <f>IF(A73&lt;=INDEX(Stage_Storage!$A$11:$A$18,1),INDEX(Stage_Storage!$E$11:$E$18,1),IF(A73&gt;=INDEX(Stage_Storage!$A$11:$A$18,ROWS(Stage_Storage!$A$11:$A$18)),INDEX(Stage_Storage!$E$11:$E$18,ROWS(Stage_Storage!$E$11:$E$18)),INDEX(Stage_Storage!$E$11:$E$18,MATCH(A73,Stage_Storage!$A$11:$A$18,1))+(A73-INDEX(Stage_Storage!$A$11:$A$18,MATCH(A73,Stage_Storage!$A$11:$A$18,1)))/(INDEX(Stage_Storage!$A$11:$A$18,MATCH(A73,Stage_Storage!$A$11:$A$18,1)+1)-INDEX(Stage_Storage!$A$11:$A$18,MATCH(A73,Stage_Storage!$A$11:$A$18,1)))*(INDEX(Stage_Storage!$E$11:$E$18,MATCH(A73,Stage_Storage!$A$11:$A$18,1)+1)-INDEX(Stage_Storage!$E$11:$E$18,MATCH(A73,Stage_Storage!$A$11:$A$18,1)))))</f>
        <v/>
      </c>
      <c r="G73" s="33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31" t="n">
        <v>37.83</v>
      </c>
      <c r="B74" s="31">
        <f>A74-$B$12</f>
        <v/>
      </c>
      <c r="C74" s="31">
        <f>MAX(0,A74-$B$6)</f>
        <v/>
      </c>
      <c r="D74" s="5">
        <f>IF(C74&lt;=0,0,($B$7+$B$9*C74)*C74)</f>
        <v/>
      </c>
      <c r="E74" s="25">
        <f>D74*$B$11</f>
        <v/>
      </c>
      <c r="F74" s="25">
        <f>IF(A74&lt;=INDEX(Stage_Storage!$A$11:$A$18,1),INDEX(Stage_Storage!$E$11:$E$18,1),IF(A74&gt;=INDEX(Stage_Storage!$A$11:$A$18,ROWS(Stage_Storage!$A$11:$A$18)),INDEX(Stage_Storage!$E$11:$E$18,ROWS(Stage_Storage!$E$11:$E$18)),INDEX(Stage_Storage!$E$11:$E$18,MATCH(A74,Stage_Storage!$A$11:$A$18,1))+(A74-INDEX(Stage_Storage!$A$11:$A$18,MATCH(A74,Stage_Storage!$A$11:$A$18,1)))/(INDEX(Stage_Storage!$A$11:$A$18,MATCH(A74,Stage_Storage!$A$11:$A$18,1)+1)-INDEX(Stage_Storage!$A$11:$A$18,MATCH(A74,Stage_Storage!$A$11:$A$18,1)))*(INDEX(Stage_Storage!$E$11:$E$18,MATCH(A74,Stage_Storage!$A$11:$A$18,1)+1)-INDEX(Stage_Storage!$E$11:$E$18,MATCH(A74,Stage_Storage!$A$11:$A$18,1)))))</f>
        <v/>
      </c>
      <c r="G74" s="33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31" t="n">
        <v>37.88</v>
      </c>
      <c r="B75" s="31">
        <f>A75-$B$12</f>
        <v/>
      </c>
      <c r="C75" s="31">
        <f>MAX(0,A75-$B$6)</f>
        <v/>
      </c>
      <c r="D75" s="5">
        <f>IF(C75&lt;=0,0,($B$7+$B$9*C75)*C75)</f>
        <v/>
      </c>
      <c r="E75" s="25">
        <f>D75*$B$11</f>
        <v/>
      </c>
      <c r="F75" s="25">
        <f>IF(A75&lt;=INDEX(Stage_Storage!$A$11:$A$18,1),INDEX(Stage_Storage!$E$11:$E$18,1),IF(A75&gt;=INDEX(Stage_Storage!$A$11:$A$18,ROWS(Stage_Storage!$A$11:$A$18)),INDEX(Stage_Storage!$E$11:$E$18,ROWS(Stage_Storage!$E$11:$E$18)),INDEX(Stage_Storage!$E$11:$E$18,MATCH(A75,Stage_Storage!$A$11:$A$18,1))+(A75-INDEX(Stage_Storage!$A$11:$A$18,MATCH(A75,Stage_Storage!$A$11:$A$18,1)))/(INDEX(Stage_Storage!$A$11:$A$18,MATCH(A75,Stage_Storage!$A$11:$A$18,1)+1)-INDEX(Stage_Storage!$A$11:$A$18,MATCH(A75,Stage_Storage!$A$11:$A$18,1)))*(INDEX(Stage_Storage!$E$11:$E$18,MATCH(A75,Stage_Storage!$A$11:$A$18,1)+1)-INDEX(Stage_Storage!$E$11:$E$18,MATCH(A75,Stage_Storage!$A$11:$A$18,1)))))</f>
        <v/>
      </c>
      <c r="G75" s="33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31" t="n">
        <v>37.93</v>
      </c>
      <c r="B76" s="31">
        <f>A76-$B$12</f>
        <v/>
      </c>
      <c r="C76" s="31">
        <f>MAX(0,A76-$B$6)</f>
        <v/>
      </c>
      <c r="D76" s="5">
        <f>IF(C76&lt;=0,0,($B$7+$B$9*C76)*C76)</f>
        <v/>
      </c>
      <c r="E76" s="25">
        <f>D76*$B$11</f>
        <v/>
      </c>
      <c r="F76" s="25">
        <f>IF(A76&lt;=INDEX(Stage_Storage!$A$11:$A$18,1),INDEX(Stage_Storage!$E$11:$E$18,1),IF(A76&gt;=INDEX(Stage_Storage!$A$11:$A$18,ROWS(Stage_Storage!$A$11:$A$18)),INDEX(Stage_Storage!$E$11:$E$18,ROWS(Stage_Storage!$E$11:$E$18)),INDEX(Stage_Storage!$E$11:$E$18,MATCH(A76,Stage_Storage!$A$11:$A$18,1))+(A76-INDEX(Stage_Storage!$A$11:$A$18,MATCH(A76,Stage_Storage!$A$11:$A$18,1)))/(INDEX(Stage_Storage!$A$11:$A$18,MATCH(A76,Stage_Storage!$A$11:$A$18,1)+1)-INDEX(Stage_Storage!$A$11:$A$18,MATCH(A76,Stage_Storage!$A$11:$A$18,1)))*(INDEX(Stage_Storage!$E$11:$E$18,MATCH(A76,Stage_Storage!$A$11:$A$18,1)+1)-INDEX(Stage_Storage!$E$11:$E$18,MATCH(A76,Stage_Storage!$A$11:$A$18,1)))))</f>
        <v/>
      </c>
      <c r="G76" s="33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31" t="n">
        <v>37.98</v>
      </c>
      <c r="B77" s="31">
        <f>A77-$B$12</f>
        <v/>
      </c>
      <c r="C77" s="31">
        <f>MAX(0,A77-$B$6)</f>
        <v/>
      </c>
      <c r="D77" s="5">
        <f>IF(C77&lt;=0,0,($B$7+$B$9*C77)*C77)</f>
        <v/>
      </c>
      <c r="E77" s="25">
        <f>D77*$B$11</f>
        <v/>
      </c>
      <c r="F77" s="25">
        <f>IF(A77&lt;=INDEX(Stage_Storage!$A$11:$A$18,1),INDEX(Stage_Storage!$E$11:$E$18,1),IF(A77&gt;=INDEX(Stage_Storage!$A$11:$A$18,ROWS(Stage_Storage!$A$11:$A$18)),INDEX(Stage_Storage!$E$11:$E$18,ROWS(Stage_Storage!$E$11:$E$18)),INDEX(Stage_Storage!$E$11:$E$18,MATCH(A77,Stage_Storage!$A$11:$A$18,1))+(A77-INDEX(Stage_Storage!$A$11:$A$18,MATCH(A77,Stage_Storage!$A$11:$A$18,1)))/(INDEX(Stage_Storage!$A$11:$A$18,MATCH(A77,Stage_Storage!$A$11:$A$18,1)+1)-INDEX(Stage_Storage!$A$11:$A$18,MATCH(A77,Stage_Storage!$A$11:$A$18,1)))*(INDEX(Stage_Storage!$E$11:$E$18,MATCH(A77,Stage_Storage!$A$11:$A$18,1)+1)-INDEX(Stage_Storage!$E$11:$E$18,MATCH(A77,Stage_Storage!$A$11:$A$18,1)))))</f>
        <v/>
      </c>
      <c r="G77" s="33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31" t="n">
        <v>38.03</v>
      </c>
      <c r="B78" s="31">
        <f>A78-$B$12</f>
        <v/>
      </c>
      <c r="C78" s="31">
        <f>MAX(0,A78-$B$6)</f>
        <v/>
      </c>
      <c r="D78" s="5">
        <f>IF(C78&lt;=0,0,($B$7+$B$9*C78)*C78)</f>
        <v/>
      </c>
      <c r="E78" s="25">
        <f>D78*$B$11</f>
        <v/>
      </c>
      <c r="F78" s="25">
        <f>IF(A78&lt;=INDEX(Stage_Storage!$A$11:$A$18,1),INDEX(Stage_Storage!$E$11:$E$18,1),IF(A78&gt;=INDEX(Stage_Storage!$A$11:$A$18,ROWS(Stage_Storage!$A$11:$A$18)),INDEX(Stage_Storage!$E$11:$E$18,ROWS(Stage_Storage!$E$11:$E$18)),INDEX(Stage_Storage!$E$11:$E$18,MATCH(A78,Stage_Storage!$A$11:$A$18,1))+(A78-INDEX(Stage_Storage!$A$11:$A$18,MATCH(A78,Stage_Storage!$A$11:$A$18,1)))/(INDEX(Stage_Storage!$A$11:$A$18,MATCH(A78,Stage_Storage!$A$11:$A$18,1)+1)-INDEX(Stage_Storage!$A$11:$A$18,MATCH(A78,Stage_Storage!$A$11:$A$18,1)))*(INDEX(Stage_Storage!$E$11:$E$18,MATCH(A78,Stage_Storage!$A$11:$A$18,1)+1)-INDEX(Stage_Storage!$E$11:$E$18,MATCH(A78,Stage_Storage!$A$11:$A$18,1)))))</f>
        <v/>
      </c>
      <c r="G78" s="33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31" t="n">
        <v>38.08</v>
      </c>
      <c r="B79" s="31">
        <f>A79-$B$12</f>
        <v/>
      </c>
      <c r="C79" s="31">
        <f>MAX(0,A79-$B$6)</f>
        <v/>
      </c>
      <c r="D79" s="5">
        <f>IF(C79&lt;=0,0,($B$7+$B$9*C79)*C79)</f>
        <v/>
      </c>
      <c r="E79" s="25">
        <f>D79*$B$11</f>
        <v/>
      </c>
      <c r="F79" s="25">
        <f>IF(A79&lt;=INDEX(Stage_Storage!$A$11:$A$18,1),INDEX(Stage_Storage!$E$11:$E$18,1),IF(A79&gt;=INDEX(Stage_Storage!$A$11:$A$18,ROWS(Stage_Storage!$A$11:$A$18)),INDEX(Stage_Storage!$E$11:$E$18,ROWS(Stage_Storage!$E$11:$E$18)),INDEX(Stage_Storage!$E$11:$E$18,MATCH(A79,Stage_Storage!$A$11:$A$18,1))+(A79-INDEX(Stage_Storage!$A$11:$A$18,MATCH(A79,Stage_Storage!$A$11:$A$18,1)))/(INDEX(Stage_Storage!$A$11:$A$18,MATCH(A79,Stage_Storage!$A$11:$A$18,1)+1)-INDEX(Stage_Storage!$A$11:$A$18,MATCH(A79,Stage_Storage!$A$11:$A$18,1)))*(INDEX(Stage_Storage!$E$11:$E$18,MATCH(A79,Stage_Storage!$A$11:$A$18,1)+1)-INDEX(Stage_Storage!$E$11:$E$18,MATCH(A79,Stage_Storage!$A$11:$A$18,1)))))</f>
        <v/>
      </c>
      <c r="G79" s="33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31" t="n">
        <v>38.13</v>
      </c>
      <c r="B80" s="31">
        <f>A80-$B$12</f>
        <v/>
      </c>
      <c r="C80" s="31">
        <f>MAX(0,A80-$B$6)</f>
        <v/>
      </c>
      <c r="D80" s="5">
        <f>IF(C80&lt;=0,0,($B$7+$B$9*C80)*C80)</f>
        <v/>
      </c>
      <c r="E80" s="25">
        <f>D80*$B$11</f>
        <v/>
      </c>
      <c r="F80" s="25">
        <f>IF(A80&lt;=INDEX(Stage_Storage!$A$11:$A$18,1),INDEX(Stage_Storage!$E$11:$E$18,1),IF(A80&gt;=INDEX(Stage_Storage!$A$11:$A$18,ROWS(Stage_Storage!$A$11:$A$18)),INDEX(Stage_Storage!$E$11:$E$18,ROWS(Stage_Storage!$E$11:$E$18)),INDEX(Stage_Storage!$E$11:$E$18,MATCH(A80,Stage_Storage!$A$11:$A$18,1))+(A80-INDEX(Stage_Storage!$A$11:$A$18,MATCH(A80,Stage_Storage!$A$11:$A$18,1)))/(INDEX(Stage_Storage!$A$11:$A$18,MATCH(A80,Stage_Storage!$A$11:$A$18,1)+1)-INDEX(Stage_Storage!$A$11:$A$18,MATCH(A80,Stage_Storage!$A$11:$A$18,1)))*(INDEX(Stage_Storage!$E$11:$E$18,MATCH(A80,Stage_Storage!$A$11:$A$18,1)+1)-INDEX(Stage_Storage!$E$11:$E$18,MATCH(A80,Stage_Storage!$A$11:$A$18,1)))))</f>
        <v/>
      </c>
      <c r="G80" s="33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31" t="n">
        <v>38.18</v>
      </c>
      <c r="B81" s="31">
        <f>A81-$B$12</f>
        <v/>
      </c>
      <c r="C81" s="31">
        <f>MAX(0,A81-$B$6)</f>
        <v/>
      </c>
      <c r="D81" s="5">
        <f>IF(C81&lt;=0,0,($B$7+$B$9*C81)*C81)</f>
        <v/>
      </c>
      <c r="E81" s="25">
        <f>D81*$B$11</f>
        <v/>
      </c>
      <c r="F81" s="25">
        <f>IF(A81&lt;=INDEX(Stage_Storage!$A$11:$A$18,1),INDEX(Stage_Storage!$E$11:$E$18,1),IF(A81&gt;=INDEX(Stage_Storage!$A$11:$A$18,ROWS(Stage_Storage!$A$11:$A$18)),INDEX(Stage_Storage!$E$11:$E$18,ROWS(Stage_Storage!$E$11:$E$18)),INDEX(Stage_Storage!$E$11:$E$18,MATCH(A81,Stage_Storage!$A$11:$A$18,1))+(A81-INDEX(Stage_Storage!$A$11:$A$18,MATCH(A81,Stage_Storage!$A$11:$A$18,1)))/(INDEX(Stage_Storage!$A$11:$A$18,MATCH(A81,Stage_Storage!$A$11:$A$18,1)+1)-INDEX(Stage_Storage!$A$11:$A$18,MATCH(A81,Stage_Storage!$A$11:$A$18,1)))*(INDEX(Stage_Storage!$E$11:$E$18,MATCH(A81,Stage_Storage!$A$11:$A$18,1)+1)-INDEX(Stage_Storage!$E$11:$E$18,MATCH(A81,Stage_Storage!$A$11:$A$18,1)))))</f>
        <v/>
      </c>
      <c r="G81" s="33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31" t="n">
        <v>38.23</v>
      </c>
      <c r="B82" s="31">
        <f>A82-$B$12</f>
        <v/>
      </c>
      <c r="C82" s="31">
        <f>MAX(0,A82-$B$6)</f>
        <v/>
      </c>
      <c r="D82" s="5">
        <f>IF(C82&lt;=0,0,($B$7+$B$9*C82)*C82)</f>
        <v/>
      </c>
      <c r="E82" s="25">
        <f>D82*$B$11</f>
        <v/>
      </c>
      <c r="F82" s="25">
        <f>IF(A82&lt;=INDEX(Stage_Storage!$A$11:$A$18,1),INDEX(Stage_Storage!$E$11:$E$18,1),IF(A82&gt;=INDEX(Stage_Storage!$A$11:$A$18,ROWS(Stage_Storage!$A$11:$A$18)),INDEX(Stage_Storage!$E$11:$E$18,ROWS(Stage_Storage!$E$11:$E$18)),INDEX(Stage_Storage!$E$11:$E$18,MATCH(A82,Stage_Storage!$A$11:$A$18,1))+(A82-INDEX(Stage_Storage!$A$11:$A$18,MATCH(A82,Stage_Storage!$A$11:$A$18,1)))/(INDEX(Stage_Storage!$A$11:$A$18,MATCH(A82,Stage_Storage!$A$11:$A$18,1)+1)-INDEX(Stage_Storage!$A$11:$A$18,MATCH(A82,Stage_Storage!$A$11:$A$18,1)))*(INDEX(Stage_Storage!$E$11:$E$18,MATCH(A82,Stage_Storage!$A$11:$A$18,1)+1)-INDEX(Stage_Storage!$E$11:$E$18,MATCH(A82,Stage_Storage!$A$11:$A$18,1)))))</f>
        <v/>
      </c>
      <c r="G82" s="33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31" t="n">
        <v>38.28</v>
      </c>
      <c r="B83" s="31">
        <f>A83-$B$12</f>
        <v/>
      </c>
      <c r="C83" s="31">
        <f>MAX(0,A83-$B$6)</f>
        <v/>
      </c>
      <c r="D83" s="5">
        <f>IF(C83&lt;=0,0,($B$7+$B$9*C83)*C83)</f>
        <v/>
      </c>
      <c r="E83" s="25">
        <f>D83*$B$11</f>
        <v/>
      </c>
      <c r="F83" s="25">
        <f>IF(A83&lt;=INDEX(Stage_Storage!$A$11:$A$18,1),INDEX(Stage_Storage!$E$11:$E$18,1),IF(A83&gt;=INDEX(Stage_Storage!$A$11:$A$18,ROWS(Stage_Storage!$A$11:$A$18)),INDEX(Stage_Storage!$E$11:$E$18,ROWS(Stage_Storage!$E$11:$E$18)),INDEX(Stage_Storage!$E$11:$E$18,MATCH(A83,Stage_Storage!$A$11:$A$18,1))+(A83-INDEX(Stage_Storage!$A$11:$A$18,MATCH(A83,Stage_Storage!$A$11:$A$18,1)))/(INDEX(Stage_Storage!$A$11:$A$18,MATCH(A83,Stage_Storage!$A$11:$A$18,1)+1)-INDEX(Stage_Storage!$A$11:$A$18,MATCH(A83,Stage_Storage!$A$11:$A$18,1)))*(INDEX(Stage_Storage!$E$11:$E$18,MATCH(A83,Stage_Storage!$A$11:$A$18,1)+1)-INDEX(Stage_Storage!$E$11:$E$18,MATCH(A83,Stage_Storage!$A$11:$A$18,1)))))</f>
        <v/>
      </c>
      <c r="G83" s="33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31" t="n">
        <v>38.33</v>
      </c>
      <c r="B84" s="31">
        <f>A84-$B$12</f>
        <v/>
      </c>
      <c r="C84" s="31">
        <f>MAX(0,A84-$B$6)</f>
        <v/>
      </c>
      <c r="D84" s="5">
        <f>IF(C84&lt;=0,0,($B$7+$B$9*C84)*C84)</f>
        <v/>
      </c>
      <c r="E84" s="25">
        <f>D84*$B$11</f>
        <v/>
      </c>
      <c r="F84" s="25">
        <f>IF(A84&lt;=INDEX(Stage_Storage!$A$11:$A$18,1),INDEX(Stage_Storage!$E$11:$E$18,1),IF(A84&gt;=INDEX(Stage_Storage!$A$11:$A$18,ROWS(Stage_Storage!$A$11:$A$18)),INDEX(Stage_Storage!$E$11:$E$18,ROWS(Stage_Storage!$E$11:$E$18)),INDEX(Stage_Storage!$E$11:$E$18,MATCH(A84,Stage_Storage!$A$11:$A$18,1))+(A84-INDEX(Stage_Storage!$A$11:$A$18,MATCH(A84,Stage_Storage!$A$11:$A$18,1)))/(INDEX(Stage_Storage!$A$11:$A$18,MATCH(A84,Stage_Storage!$A$11:$A$18,1)+1)-INDEX(Stage_Storage!$A$11:$A$18,MATCH(A84,Stage_Storage!$A$11:$A$18,1)))*(INDEX(Stage_Storage!$E$11:$E$18,MATCH(A84,Stage_Storage!$A$11:$A$18,1)+1)-INDEX(Stage_Storage!$E$11:$E$18,MATCH(A84,Stage_Storage!$A$11:$A$18,1)))))</f>
        <v/>
      </c>
      <c r="G84" s="33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31" t="n">
        <v>38.38</v>
      </c>
      <c r="B85" s="31">
        <f>A85-$B$12</f>
        <v/>
      </c>
      <c r="C85" s="31">
        <f>MAX(0,A85-$B$6)</f>
        <v/>
      </c>
      <c r="D85" s="5">
        <f>IF(C85&lt;=0,0,($B$7+$B$9*C85)*C85)</f>
        <v/>
      </c>
      <c r="E85" s="25">
        <f>D85*$B$11</f>
        <v/>
      </c>
      <c r="F85" s="25">
        <f>IF(A85&lt;=INDEX(Stage_Storage!$A$11:$A$18,1),INDEX(Stage_Storage!$E$11:$E$18,1),IF(A85&gt;=INDEX(Stage_Storage!$A$11:$A$18,ROWS(Stage_Storage!$A$11:$A$18)),INDEX(Stage_Storage!$E$11:$E$18,ROWS(Stage_Storage!$E$11:$E$18)),INDEX(Stage_Storage!$E$11:$E$18,MATCH(A85,Stage_Storage!$A$11:$A$18,1))+(A85-INDEX(Stage_Storage!$A$11:$A$18,MATCH(A85,Stage_Storage!$A$11:$A$18,1)))/(INDEX(Stage_Storage!$A$11:$A$18,MATCH(A85,Stage_Storage!$A$11:$A$18,1)+1)-INDEX(Stage_Storage!$A$11:$A$18,MATCH(A85,Stage_Storage!$A$11:$A$18,1)))*(INDEX(Stage_Storage!$E$11:$E$18,MATCH(A85,Stage_Storage!$A$11:$A$18,1)+1)-INDEX(Stage_Storage!$E$11:$E$18,MATCH(A85,Stage_Storage!$A$11:$A$18,1)))))</f>
        <v/>
      </c>
      <c r="G85" s="33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31" t="n">
        <v>38.43</v>
      </c>
      <c r="B86" s="31">
        <f>A86-$B$12</f>
        <v/>
      </c>
      <c r="C86" s="31">
        <f>MAX(0,A86-$B$6)</f>
        <v/>
      </c>
      <c r="D86" s="5">
        <f>IF(C86&lt;=0,0,($B$7+$B$9*C86)*C86)</f>
        <v/>
      </c>
      <c r="E86" s="25">
        <f>D86*$B$11</f>
        <v/>
      </c>
      <c r="F86" s="25">
        <f>IF(A86&lt;=INDEX(Stage_Storage!$A$11:$A$18,1),INDEX(Stage_Storage!$E$11:$E$18,1),IF(A86&gt;=INDEX(Stage_Storage!$A$11:$A$18,ROWS(Stage_Storage!$A$11:$A$18)),INDEX(Stage_Storage!$E$11:$E$18,ROWS(Stage_Storage!$E$11:$E$18)),INDEX(Stage_Storage!$E$11:$E$18,MATCH(A86,Stage_Storage!$A$11:$A$18,1))+(A86-INDEX(Stage_Storage!$A$11:$A$18,MATCH(A86,Stage_Storage!$A$11:$A$18,1)))/(INDEX(Stage_Storage!$A$11:$A$18,MATCH(A86,Stage_Storage!$A$11:$A$18,1)+1)-INDEX(Stage_Storage!$A$11:$A$18,MATCH(A86,Stage_Storage!$A$11:$A$18,1)))*(INDEX(Stage_Storage!$E$11:$E$18,MATCH(A86,Stage_Storage!$A$11:$A$18,1)+1)-INDEX(Stage_Storage!$E$11:$E$18,MATCH(A86,Stage_Storage!$A$11:$A$18,1)))))</f>
        <v/>
      </c>
      <c r="G86" s="33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31" t="n">
        <v>38.48</v>
      </c>
      <c r="B87" s="31">
        <f>A87-$B$12</f>
        <v/>
      </c>
      <c r="C87" s="31">
        <f>MAX(0,A87-$B$6)</f>
        <v/>
      </c>
      <c r="D87" s="5">
        <f>IF(C87&lt;=0,0,($B$7+$B$9*C87)*C87)</f>
        <v/>
      </c>
      <c r="E87" s="25">
        <f>D87*$B$11</f>
        <v/>
      </c>
      <c r="F87" s="25">
        <f>IF(A87&lt;=INDEX(Stage_Storage!$A$11:$A$18,1),INDEX(Stage_Storage!$E$11:$E$18,1),IF(A87&gt;=INDEX(Stage_Storage!$A$11:$A$18,ROWS(Stage_Storage!$A$11:$A$18)),INDEX(Stage_Storage!$E$11:$E$18,ROWS(Stage_Storage!$E$11:$E$18)),INDEX(Stage_Storage!$E$11:$E$18,MATCH(A87,Stage_Storage!$A$11:$A$18,1))+(A87-INDEX(Stage_Storage!$A$11:$A$18,MATCH(A87,Stage_Storage!$A$11:$A$18,1)))/(INDEX(Stage_Storage!$A$11:$A$18,MATCH(A87,Stage_Storage!$A$11:$A$18,1)+1)-INDEX(Stage_Storage!$A$11:$A$18,MATCH(A87,Stage_Storage!$A$11:$A$18,1)))*(INDEX(Stage_Storage!$E$11:$E$18,MATCH(A87,Stage_Storage!$A$11:$A$18,1)+1)-INDEX(Stage_Storage!$E$11:$E$18,MATCH(A87,Stage_Storage!$A$11:$A$18,1)))))</f>
        <v/>
      </c>
      <c r="G87" s="33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31" t="n">
        <v>38.53</v>
      </c>
      <c r="B88" s="31">
        <f>A88-$B$12</f>
        <v/>
      </c>
      <c r="C88" s="31">
        <f>MAX(0,A88-$B$6)</f>
        <v/>
      </c>
      <c r="D88" s="5">
        <f>IF(C88&lt;=0,0,($B$7+$B$9*C88)*C88)</f>
        <v/>
      </c>
      <c r="E88" s="25">
        <f>D88*$B$11</f>
        <v/>
      </c>
      <c r="F88" s="25">
        <f>IF(A88&lt;=INDEX(Stage_Storage!$A$11:$A$18,1),INDEX(Stage_Storage!$E$11:$E$18,1),IF(A88&gt;=INDEX(Stage_Storage!$A$11:$A$18,ROWS(Stage_Storage!$A$11:$A$18)),INDEX(Stage_Storage!$E$11:$E$18,ROWS(Stage_Storage!$E$11:$E$18)),INDEX(Stage_Storage!$E$11:$E$18,MATCH(A88,Stage_Storage!$A$11:$A$18,1))+(A88-INDEX(Stage_Storage!$A$11:$A$18,MATCH(A88,Stage_Storage!$A$11:$A$18,1)))/(INDEX(Stage_Storage!$A$11:$A$18,MATCH(A88,Stage_Storage!$A$11:$A$18,1)+1)-INDEX(Stage_Storage!$A$11:$A$18,MATCH(A88,Stage_Storage!$A$11:$A$18,1)))*(INDEX(Stage_Storage!$E$11:$E$18,MATCH(A88,Stage_Storage!$A$11:$A$18,1)+1)-INDEX(Stage_Storage!$E$11:$E$18,MATCH(A88,Stage_Storage!$A$11:$A$18,1)))))</f>
        <v/>
      </c>
      <c r="G88" s="33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31" t="n">
        <v>38.58</v>
      </c>
      <c r="B89" s="31">
        <f>A89-$B$12</f>
        <v/>
      </c>
      <c r="C89" s="31">
        <f>MAX(0,A89-$B$6)</f>
        <v/>
      </c>
      <c r="D89" s="5">
        <f>IF(C89&lt;=0,0,($B$7+$B$9*C89)*C89)</f>
        <v/>
      </c>
      <c r="E89" s="25">
        <f>D89*$B$11</f>
        <v/>
      </c>
      <c r="F89" s="25">
        <f>IF(A89&lt;=INDEX(Stage_Storage!$A$11:$A$18,1),INDEX(Stage_Storage!$E$11:$E$18,1),IF(A89&gt;=INDEX(Stage_Storage!$A$11:$A$18,ROWS(Stage_Storage!$A$11:$A$18)),INDEX(Stage_Storage!$E$11:$E$18,ROWS(Stage_Storage!$E$11:$E$18)),INDEX(Stage_Storage!$E$11:$E$18,MATCH(A89,Stage_Storage!$A$11:$A$18,1))+(A89-INDEX(Stage_Storage!$A$11:$A$18,MATCH(A89,Stage_Storage!$A$11:$A$18,1)))/(INDEX(Stage_Storage!$A$11:$A$18,MATCH(A89,Stage_Storage!$A$11:$A$18,1)+1)-INDEX(Stage_Storage!$A$11:$A$18,MATCH(A89,Stage_Storage!$A$11:$A$18,1)))*(INDEX(Stage_Storage!$E$11:$E$18,MATCH(A89,Stage_Storage!$A$11:$A$18,1)+1)-INDEX(Stage_Storage!$E$11:$E$18,MATCH(A89,Stage_Storage!$A$11:$A$18,1)))))</f>
        <v/>
      </c>
      <c r="G89" s="33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31" t="n">
        <v>38.63</v>
      </c>
      <c r="B90" s="31">
        <f>A90-$B$12</f>
        <v/>
      </c>
      <c r="C90" s="31">
        <f>MAX(0,A90-$B$6)</f>
        <v/>
      </c>
      <c r="D90" s="5">
        <f>IF(C90&lt;=0,0,($B$7+$B$9*C90)*C90)</f>
        <v/>
      </c>
      <c r="E90" s="25">
        <f>D90*$B$11</f>
        <v/>
      </c>
      <c r="F90" s="25">
        <f>IF(A90&lt;=INDEX(Stage_Storage!$A$11:$A$18,1),INDEX(Stage_Storage!$E$11:$E$18,1),IF(A90&gt;=INDEX(Stage_Storage!$A$11:$A$18,ROWS(Stage_Storage!$A$11:$A$18)),INDEX(Stage_Storage!$E$11:$E$18,ROWS(Stage_Storage!$E$11:$E$18)),INDEX(Stage_Storage!$E$11:$E$18,MATCH(A90,Stage_Storage!$A$11:$A$18,1))+(A90-INDEX(Stage_Storage!$A$11:$A$18,MATCH(A90,Stage_Storage!$A$11:$A$18,1)))/(INDEX(Stage_Storage!$A$11:$A$18,MATCH(A90,Stage_Storage!$A$11:$A$18,1)+1)-INDEX(Stage_Storage!$A$11:$A$18,MATCH(A90,Stage_Storage!$A$11:$A$18,1)))*(INDEX(Stage_Storage!$E$11:$E$18,MATCH(A90,Stage_Storage!$A$11:$A$18,1)+1)-INDEX(Stage_Storage!$E$11:$E$18,MATCH(A90,Stage_Storage!$A$11:$A$18,1)))))</f>
        <v/>
      </c>
      <c r="G90" s="33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31" t="n">
        <v>38.68</v>
      </c>
      <c r="B91" s="31">
        <f>A91-$B$12</f>
        <v/>
      </c>
      <c r="C91" s="31">
        <f>MAX(0,A91-$B$6)</f>
        <v/>
      </c>
      <c r="D91" s="5">
        <f>IF(C91&lt;=0,0,($B$7+$B$9*C91)*C91)</f>
        <v/>
      </c>
      <c r="E91" s="25">
        <f>D91*$B$11</f>
        <v/>
      </c>
      <c r="F91" s="25">
        <f>IF(A91&lt;=INDEX(Stage_Storage!$A$11:$A$18,1),INDEX(Stage_Storage!$E$11:$E$18,1),IF(A91&gt;=INDEX(Stage_Storage!$A$11:$A$18,ROWS(Stage_Storage!$A$11:$A$18)),INDEX(Stage_Storage!$E$11:$E$18,ROWS(Stage_Storage!$E$11:$E$18)),INDEX(Stage_Storage!$E$11:$E$18,MATCH(A91,Stage_Storage!$A$11:$A$18,1))+(A91-INDEX(Stage_Storage!$A$11:$A$18,MATCH(A91,Stage_Storage!$A$11:$A$18,1)))/(INDEX(Stage_Storage!$A$11:$A$18,MATCH(A91,Stage_Storage!$A$11:$A$18,1)+1)-INDEX(Stage_Storage!$A$11:$A$18,MATCH(A91,Stage_Storage!$A$11:$A$18,1)))*(INDEX(Stage_Storage!$E$11:$E$18,MATCH(A91,Stage_Storage!$A$11:$A$18,1)+1)-INDEX(Stage_Storage!$E$11:$E$18,MATCH(A91,Stage_Storage!$A$11:$A$18,1)))))</f>
        <v/>
      </c>
      <c r="G91" s="33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31" t="n">
        <v>38.73</v>
      </c>
      <c r="B92" s="31">
        <f>A92-$B$12</f>
        <v/>
      </c>
      <c r="C92" s="31">
        <f>MAX(0,A92-$B$6)</f>
        <v/>
      </c>
      <c r="D92" s="5">
        <f>IF(C92&lt;=0,0,($B$7+$B$9*C92)*C92)</f>
        <v/>
      </c>
      <c r="E92" s="25">
        <f>D92*$B$11</f>
        <v/>
      </c>
      <c r="F92" s="25">
        <f>IF(A92&lt;=INDEX(Stage_Storage!$A$11:$A$18,1),INDEX(Stage_Storage!$E$11:$E$18,1),IF(A92&gt;=INDEX(Stage_Storage!$A$11:$A$18,ROWS(Stage_Storage!$A$11:$A$18)),INDEX(Stage_Storage!$E$11:$E$18,ROWS(Stage_Storage!$E$11:$E$18)),INDEX(Stage_Storage!$E$11:$E$18,MATCH(A92,Stage_Storage!$A$11:$A$18,1))+(A92-INDEX(Stage_Storage!$A$11:$A$18,MATCH(A92,Stage_Storage!$A$11:$A$18,1)))/(INDEX(Stage_Storage!$A$11:$A$18,MATCH(A92,Stage_Storage!$A$11:$A$18,1)+1)-INDEX(Stage_Storage!$A$11:$A$18,MATCH(A92,Stage_Storage!$A$11:$A$18,1)))*(INDEX(Stage_Storage!$E$11:$E$18,MATCH(A92,Stage_Storage!$A$11:$A$18,1)+1)-INDEX(Stage_Storage!$E$11:$E$18,MATCH(A92,Stage_Storage!$A$11:$A$18,1)))))</f>
        <v/>
      </c>
      <c r="G92" s="33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31" t="n">
        <v>38.78</v>
      </c>
      <c r="B93" s="31">
        <f>A93-$B$12</f>
        <v/>
      </c>
      <c r="C93" s="31">
        <f>MAX(0,A93-$B$6)</f>
        <v/>
      </c>
      <c r="D93" s="5">
        <f>IF(C93&lt;=0,0,($B$7+$B$9*C93)*C93)</f>
        <v/>
      </c>
      <c r="E93" s="25">
        <f>D93*$B$11</f>
        <v/>
      </c>
      <c r="F93" s="25">
        <f>IF(A93&lt;=INDEX(Stage_Storage!$A$11:$A$18,1),INDEX(Stage_Storage!$E$11:$E$18,1),IF(A93&gt;=INDEX(Stage_Storage!$A$11:$A$18,ROWS(Stage_Storage!$A$11:$A$18)),INDEX(Stage_Storage!$E$11:$E$18,ROWS(Stage_Storage!$E$11:$E$18)),INDEX(Stage_Storage!$E$11:$E$18,MATCH(A93,Stage_Storage!$A$11:$A$18,1))+(A93-INDEX(Stage_Storage!$A$11:$A$18,MATCH(A93,Stage_Storage!$A$11:$A$18,1)))/(INDEX(Stage_Storage!$A$11:$A$18,MATCH(A93,Stage_Storage!$A$11:$A$18,1)+1)-INDEX(Stage_Storage!$A$11:$A$18,MATCH(A93,Stage_Storage!$A$11:$A$18,1)))*(INDEX(Stage_Storage!$E$11:$E$18,MATCH(A93,Stage_Storage!$A$11:$A$18,1)+1)-INDEX(Stage_Storage!$E$11:$E$18,MATCH(A93,Stage_Storage!$A$11:$A$18,1)))))</f>
        <v/>
      </c>
      <c r="G93" s="33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31" t="n">
        <v>38.83</v>
      </c>
      <c r="B94" s="31">
        <f>A94-$B$12</f>
        <v/>
      </c>
      <c r="C94" s="31">
        <f>MAX(0,A94-$B$6)</f>
        <v/>
      </c>
      <c r="D94" s="5">
        <f>IF(C94&lt;=0,0,($B$7+$B$9*C94)*C94)</f>
        <v/>
      </c>
      <c r="E94" s="25">
        <f>D94*$B$11</f>
        <v/>
      </c>
      <c r="F94" s="25">
        <f>IF(A94&lt;=INDEX(Stage_Storage!$A$11:$A$18,1),INDEX(Stage_Storage!$E$11:$E$18,1),IF(A94&gt;=INDEX(Stage_Storage!$A$11:$A$18,ROWS(Stage_Storage!$A$11:$A$18)),INDEX(Stage_Storage!$E$11:$E$18,ROWS(Stage_Storage!$E$11:$E$18)),INDEX(Stage_Storage!$E$11:$E$18,MATCH(A94,Stage_Storage!$A$11:$A$18,1))+(A94-INDEX(Stage_Storage!$A$11:$A$18,MATCH(A94,Stage_Storage!$A$11:$A$18,1)))/(INDEX(Stage_Storage!$A$11:$A$18,MATCH(A94,Stage_Storage!$A$11:$A$18,1)+1)-INDEX(Stage_Storage!$A$11:$A$18,MATCH(A94,Stage_Storage!$A$11:$A$18,1)))*(INDEX(Stage_Storage!$E$11:$E$18,MATCH(A94,Stage_Storage!$A$11:$A$18,1)+1)-INDEX(Stage_Storage!$E$11:$E$18,MATCH(A94,Stage_Storage!$A$11:$A$18,1)))))</f>
        <v/>
      </c>
      <c r="G94" s="33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31" t="n">
        <v>38.88</v>
      </c>
      <c r="B95" s="31">
        <f>A95-$B$12</f>
        <v/>
      </c>
      <c r="C95" s="31">
        <f>MAX(0,A95-$B$6)</f>
        <v/>
      </c>
      <c r="D95" s="5">
        <f>IF(C95&lt;=0,0,($B$7+$B$9*C95)*C95)</f>
        <v/>
      </c>
      <c r="E95" s="25">
        <f>D95*$B$11</f>
        <v/>
      </c>
      <c r="F95" s="25">
        <f>IF(A95&lt;=INDEX(Stage_Storage!$A$11:$A$18,1),INDEX(Stage_Storage!$E$11:$E$18,1),IF(A95&gt;=INDEX(Stage_Storage!$A$11:$A$18,ROWS(Stage_Storage!$A$11:$A$18)),INDEX(Stage_Storage!$E$11:$E$18,ROWS(Stage_Storage!$E$11:$E$18)),INDEX(Stage_Storage!$E$11:$E$18,MATCH(A95,Stage_Storage!$A$11:$A$18,1))+(A95-INDEX(Stage_Storage!$A$11:$A$18,MATCH(A95,Stage_Storage!$A$11:$A$18,1)))/(INDEX(Stage_Storage!$A$11:$A$18,MATCH(A95,Stage_Storage!$A$11:$A$18,1)+1)-INDEX(Stage_Storage!$A$11:$A$18,MATCH(A95,Stage_Storage!$A$11:$A$18,1)))*(INDEX(Stage_Storage!$E$11:$E$18,MATCH(A95,Stage_Storage!$A$11:$A$18,1)+1)-INDEX(Stage_Storage!$E$11:$E$18,MATCH(A95,Stage_Storage!$A$11:$A$18,1)))))</f>
        <v/>
      </c>
      <c r="G95" s="33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31" t="n">
        <v>38.93</v>
      </c>
      <c r="B96" s="31">
        <f>A96-$B$12</f>
        <v/>
      </c>
      <c r="C96" s="31">
        <f>MAX(0,A96-$B$6)</f>
        <v/>
      </c>
      <c r="D96" s="5">
        <f>IF(C96&lt;=0,0,($B$7+$B$9*C96)*C96)</f>
        <v/>
      </c>
      <c r="E96" s="25">
        <f>D96*$B$11</f>
        <v/>
      </c>
      <c r="F96" s="25">
        <f>IF(A96&lt;=INDEX(Stage_Storage!$A$11:$A$18,1),INDEX(Stage_Storage!$E$11:$E$18,1),IF(A96&gt;=INDEX(Stage_Storage!$A$11:$A$18,ROWS(Stage_Storage!$A$11:$A$18)),INDEX(Stage_Storage!$E$11:$E$18,ROWS(Stage_Storage!$E$11:$E$18)),INDEX(Stage_Storage!$E$11:$E$18,MATCH(A96,Stage_Storage!$A$11:$A$18,1))+(A96-INDEX(Stage_Storage!$A$11:$A$18,MATCH(A96,Stage_Storage!$A$11:$A$18,1)))/(INDEX(Stage_Storage!$A$11:$A$18,MATCH(A96,Stage_Storage!$A$11:$A$18,1)+1)-INDEX(Stage_Storage!$A$11:$A$18,MATCH(A96,Stage_Storage!$A$11:$A$18,1)))*(INDEX(Stage_Storage!$E$11:$E$18,MATCH(A96,Stage_Storage!$A$11:$A$18,1)+1)-INDEX(Stage_Storage!$E$11:$E$18,MATCH(A96,Stage_Storage!$A$11:$A$18,1)))))</f>
        <v/>
      </c>
      <c r="G96" s="33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31" t="n">
        <v>38.98</v>
      </c>
      <c r="B97" s="31">
        <f>A97-$B$12</f>
        <v/>
      </c>
      <c r="C97" s="31">
        <f>MAX(0,A97-$B$6)</f>
        <v/>
      </c>
      <c r="D97" s="5">
        <f>IF(C97&lt;=0,0,($B$7+$B$9*C97)*C97)</f>
        <v/>
      </c>
      <c r="E97" s="25">
        <f>D97*$B$11</f>
        <v/>
      </c>
      <c r="F97" s="25">
        <f>IF(A97&lt;=INDEX(Stage_Storage!$A$11:$A$18,1),INDEX(Stage_Storage!$E$11:$E$18,1),IF(A97&gt;=INDEX(Stage_Storage!$A$11:$A$18,ROWS(Stage_Storage!$A$11:$A$18)),INDEX(Stage_Storage!$E$11:$E$18,ROWS(Stage_Storage!$E$11:$E$18)),INDEX(Stage_Storage!$E$11:$E$18,MATCH(A97,Stage_Storage!$A$11:$A$18,1))+(A97-INDEX(Stage_Storage!$A$11:$A$18,MATCH(A97,Stage_Storage!$A$11:$A$18,1)))/(INDEX(Stage_Storage!$A$11:$A$18,MATCH(A97,Stage_Storage!$A$11:$A$18,1)+1)-INDEX(Stage_Storage!$A$11:$A$18,MATCH(A97,Stage_Storage!$A$11:$A$18,1)))*(INDEX(Stage_Storage!$E$11:$E$18,MATCH(A97,Stage_Storage!$A$11:$A$18,1)+1)-INDEX(Stage_Storage!$E$11:$E$18,MATCH(A97,Stage_Storage!$A$11:$A$18,1)))))</f>
        <v/>
      </c>
      <c r="G97" s="33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31" t="n">
        <v>39.03</v>
      </c>
      <c r="B98" s="31">
        <f>A98-$B$12</f>
        <v/>
      </c>
      <c r="C98" s="31">
        <f>MAX(0,A98-$B$6)</f>
        <v/>
      </c>
      <c r="D98" s="5">
        <f>IF(C98&lt;=0,0,($B$7+$B$9*C98)*C98)</f>
        <v/>
      </c>
      <c r="E98" s="25">
        <f>D98*$B$11</f>
        <v/>
      </c>
      <c r="F98" s="25">
        <f>IF(A98&lt;=INDEX(Stage_Storage!$A$11:$A$18,1),INDEX(Stage_Storage!$E$11:$E$18,1),IF(A98&gt;=INDEX(Stage_Storage!$A$11:$A$18,ROWS(Stage_Storage!$A$11:$A$18)),INDEX(Stage_Storage!$E$11:$E$18,ROWS(Stage_Storage!$E$11:$E$18)),INDEX(Stage_Storage!$E$11:$E$18,MATCH(A98,Stage_Storage!$A$11:$A$18,1))+(A98-INDEX(Stage_Storage!$A$11:$A$18,MATCH(A98,Stage_Storage!$A$11:$A$18,1)))/(INDEX(Stage_Storage!$A$11:$A$18,MATCH(A98,Stage_Storage!$A$11:$A$18,1)+1)-INDEX(Stage_Storage!$A$11:$A$18,MATCH(A98,Stage_Storage!$A$11:$A$18,1)))*(INDEX(Stage_Storage!$E$11:$E$18,MATCH(A98,Stage_Storage!$A$11:$A$18,1)+1)-INDEX(Stage_Storage!$E$11:$E$18,MATCH(A98,Stage_Storage!$A$11:$A$18,1)))))</f>
        <v/>
      </c>
      <c r="G98" s="33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31" t="n">
        <v>39.08</v>
      </c>
      <c r="B99" s="31">
        <f>A99-$B$12</f>
        <v/>
      </c>
      <c r="C99" s="31">
        <f>MAX(0,A99-$B$6)</f>
        <v/>
      </c>
      <c r="D99" s="5">
        <f>IF(C99&lt;=0,0,($B$7+$B$9*C99)*C99)</f>
        <v/>
      </c>
      <c r="E99" s="25">
        <f>D99*$B$11</f>
        <v/>
      </c>
      <c r="F99" s="25">
        <f>IF(A99&lt;=INDEX(Stage_Storage!$A$11:$A$18,1),INDEX(Stage_Storage!$E$11:$E$18,1),IF(A99&gt;=INDEX(Stage_Storage!$A$11:$A$18,ROWS(Stage_Storage!$A$11:$A$18)),INDEX(Stage_Storage!$E$11:$E$18,ROWS(Stage_Storage!$E$11:$E$18)),INDEX(Stage_Storage!$E$11:$E$18,MATCH(A99,Stage_Storage!$A$11:$A$18,1))+(A99-INDEX(Stage_Storage!$A$11:$A$18,MATCH(A99,Stage_Storage!$A$11:$A$18,1)))/(INDEX(Stage_Storage!$A$11:$A$18,MATCH(A99,Stage_Storage!$A$11:$A$18,1)+1)-INDEX(Stage_Storage!$A$11:$A$18,MATCH(A99,Stage_Storage!$A$11:$A$18,1)))*(INDEX(Stage_Storage!$E$11:$E$18,MATCH(A99,Stage_Storage!$A$11:$A$18,1)+1)-INDEX(Stage_Storage!$E$11:$E$18,MATCH(A99,Stage_Storage!$A$11:$A$18,1)))))</f>
        <v/>
      </c>
      <c r="G99" s="33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31" t="n">
        <v>39.13</v>
      </c>
      <c r="B100" s="31">
        <f>A100-$B$12</f>
        <v/>
      </c>
      <c r="C100" s="31">
        <f>MAX(0,A100-$B$6)</f>
        <v/>
      </c>
      <c r="D100" s="5">
        <f>IF(C100&lt;=0,0,($B$7+$B$9*C100)*C100)</f>
        <v/>
      </c>
      <c r="E100" s="25">
        <f>D100*$B$11</f>
        <v/>
      </c>
      <c r="F100" s="25">
        <f>IF(A100&lt;=INDEX(Stage_Storage!$A$11:$A$18,1),INDEX(Stage_Storage!$E$11:$E$18,1),IF(A100&gt;=INDEX(Stage_Storage!$A$11:$A$18,ROWS(Stage_Storage!$A$11:$A$18)),INDEX(Stage_Storage!$E$11:$E$18,ROWS(Stage_Storage!$E$11:$E$18)),INDEX(Stage_Storage!$E$11:$E$18,MATCH(A100,Stage_Storage!$A$11:$A$18,1))+(A100-INDEX(Stage_Storage!$A$11:$A$18,MATCH(A100,Stage_Storage!$A$11:$A$18,1)))/(INDEX(Stage_Storage!$A$11:$A$18,MATCH(A100,Stage_Storage!$A$11:$A$18,1)+1)-INDEX(Stage_Storage!$A$11:$A$18,MATCH(A100,Stage_Storage!$A$11:$A$18,1)))*(INDEX(Stage_Storage!$E$11:$E$18,MATCH(A100,Stage_Storage!$A$11:$A$18,1)+1)-INDEX(Stage_Storage!$E$11:$E$18,MATCH(A100,Stage_Storage!$A$11:$A$18,1)))))</f>
        <v/>
      </c>
      <c r="G100" s="33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31" t="n">
        <v>39.18</v>
      </c>
      <c r="B101" s="31">
        <f>A101-$B$12</f>
        <v/>
      </c>
      <c r="C101" s="31">
        <f>MAX(0,A101-$B$6)</f>
        <v/>
      </c>
      <c r="D101" s="5">
        <f>IF(C101&lt;=0,0,($B$7+$B$9*C101)*C101)</f>
        <v/>
      </c>
      <c r="E101" s="25">
        <f>D101*$B$11</f>
        <v/>
      </c>
      <c r="F101" s="25">
        <f>IF(A101&lt;=INDEX(Stage_Storage!$A$11:$A$18,1),INDEX(Stage_Storage!$E$11:$E$18,1),IF(A101&gt;=INDEX(Stage_Storage!$A$11:$A$18,ROWS(Stage_Storage!$A$11:$A$18)),INDEX(Stage_Storage!$E$11:$E$18,ROWS(Stage_Storage!$E$11:$E$18)),INDEX(Stage_Storage!$E$11:$E$18,MATCH(A101,Stage_Storage!$A$11:$A$18,1))+(A101-INDEX(Stage_Storage!$A$11:$A$18,MATCH(A101,Stage_Storage!$A$11:$A$18,1)))/(INDEX(Stage_Storage!$A$11:$A$18,MATCH(A101,Stage_Storage!$A$11:$A$18,1)+1)-INDEX(Stage_Storage!$A$11:$A$18,MATCH(A101,Stage_Storage!$A$11:$A$18,1)))*(INDEX(Stage_Storage!$E$11:$E$18,MATCH(A101,Stage_Storage!$A$11:$A$18,1)+1)-INDEX(Stage_Storage!$E$11:$E$18,MATCH(A101,Stage_Storage!$A$11:$A$18,1)))))</f>
        <v/>
      </c>
      <c r="G101" s="33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31" t="n">
        <v>39.23</v>
      </c>
      <c r="B102" s="31">
        <f>A102-$B$12</f>
        <v/>
      </c>
      <c r="C102" s="31">
        <f>MAX(0,A102-$B$6)</f>
        <v/>
      </c>
      <c r="D102" s="5">
        <f>IF(C102&lt;=0,0,($B$7+$B$9*C102)*C102)</f>
        <v/>
      </c>
      <c r="E102" s="25">
        <f>D102*$B$11</f>
        <v/>
      </c>
      <c r="F102" s="25">
        <f>IF(A102&lt;=INDEX(Stage_Storage!$A$11:$A$18,1),INDEX(Stage_Storage!$E$11:$E$18,1),IF(A102&gt;=INDEX(Stage_Storage!$A$11:$A$18,ROWS(Stage_Storage!$A$11:$A$18)),INDEX(Stage_Storage!$E$11:$E$18,ROWS(Stage_Storage!$E$11:$E$18)),INDEX(Stage_Storage!$E$11:$E$18,MATCH(A102,Stage_Storage!$A$11:$A$18,1))+(A102-INDEX(Stage_Storage!$A$11:$A$18,MATCH(A102,Stage_Storage!$A$11:$A$18,1)))/(INDEX(Stage_Storage!$A$11:$A$18,MATCH(A102,Stage_Storage!$A$11:$A$18,1)+1)-INDEX(Stage_Storage!$A$11:$A$18,MATCH(A102,Stage_Storage!$A$11:$A$18,1)))*(INDEX(Stage_Storage!$E$11:$E$18,MATCH(A102,Stage_Storage!$A$11:$A$18,1)+1)-INDEX(Stage_Storage!$E$11:$E$18,MATCH(A102,Stage_Storage!$A$11:$A$18,1)))))</f>
        <v/>
      </c>
      <c r="G102" s="33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31" t="n">
        <v>39.28</v>
      </c>
      <c r="B103" s="31">
        <f>A103-$B$12</f>
        <v/>
      </c>
      <c r="C103" s="31">
        <f>MAX(0,A103-$B$6)</f>
        <v/>
      </c>
      <c r="D103" s="5">
        <f>IF(C103&lt;=0,0,($B$7+$B$9*C103)*C103)</f>
        <v/>
      </c>
      <c r="E103" s="25">
        <f>D103*$B$11</f>
        <v/>
      </c>
      <c r="F103" s="25">
        <f>IF(A103&lt;=INDEX(Stage_Storage!$A$11:$A$18,1),INDEX(Stage_Storage!$E$11:$E$18,1),IF(A103&gt;=INDEX(Stage_Storage!$A$11:$A$18,ROWS(Stage_Storage!$A$11:$A$18)),INDEX(Stage_Storage!$E$11:$E$18,ROWS(Stage_Storage!$E$11:$E$18)),INDEX(Stage_Storage!$E$11:$E$18,MATCH(A103,Stage_Storage!$A$11:$A$18,1))+(A103-INDEX(Stage_Storage!$A$11:$A$18,MATCH(A103,Stage_Storage!$A$11:$A$18,1)))/(INDEX(Stage_Storage!$A$11:$A$18,MATCH(A103,Stage_Storage!$A$11:$A$18,1)+1)-INDEX(Stage_Storage!$A$11:$A$18,MATCH(A103,Stage_Storage!$A$11:$A$18,1)))*(INDEX(Stage_Storage!$E$11:$E$18,MATCH(A103,Stage_Storage!$A$11:$A$18,1)+1)-INDEX(Stage_Storage!$E$11:$E$18,MATCH(A103,Stage_Storage!$A$11:$A$18,1)))))</f>
        <v/>
      </c>
      <c r="G103" s="33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31" t="n">
        <v>39.33</v>
      </c>
      <c r="B104" s="31">
        <f>A104-$B$12</f>
        <v/>
      </c>
      <c r="C104" s="31">
        <f>MAX(0,A104-$B$6)</f>
        <v/>
      </c>
      <c r="D104" s="5">
        <f>IF(C104&lt;=0,0,($B$7+$B$9*C104)*C104)</f>
        <v/>
      </c>
      <c r="E104" s="25">
        <f>D104*$B$11</f>
        <v/>
      </c>
      <c r="F104" s="25">
        <f>IF(A104&lt;=INDEX(Stage_Storage!$A$11:$A$18,1),INDEX(Stage_Storage!$E$11:$E$18,1),IF(A104&gt;=INDEX(Stage_Storage!$A$11:$A$18,ROWS(Stage_Storage!$A$11:$A$18)),INDEX(Stage_Storage!$E$11:$E$18,ROWS(Stage_Storage!$E$11:$E$18)),INDEX(Stage_Storage!$E$11:$E$18,MATCH(A104,Stage_Storage!$A$11:$A$18,1))+(A104-INDEX(Stage_Storage!$A$11:$A$18,MATCH(A104,Stage_Storage!$A$11:$A$18,1)))/(INDEX(Stage_Storage!$A$11:$A$18,MATCH(A104,Stage_Storage!$A$11:$A$18,1)+1)-INDEX(Stage_Storage!$A$11:$A$18,MATCH(A104,Stage_Storage!$A$11:$A$18,1)))*(INDEX(Stage_Storage!$E$11:$E$18,MATCH(A104,Stage_Storage!$A$11:$A$18,1)+1)-INDEX(Stage_Storage!$E$11:$E$18,MATCH(A104,Stage_Storage!$A$11:$A$18,1)))))</f>
        <v/>
      </c>
      <c r="G104" s="33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31" t="n">
        <v>39.38</v>
      </c>
      <c r="B105" s="31">
        <f>A105-$B$12</f>
        <v/>
      </c>
      <c r="C105" s="31">
        <f>MAX(0,A105-$B$6)</f>
        <v/>
      </c>
      <c r="D105" s="5">
        <f>IF(C105&lt;=0,0,($B$7+$B$9*C105)*C105)</f>
        <v/>
      </c>
      <c r="E105" s="25">
        <f>D105*$B$11</f>
        <v/>
      </c>
      <c r="F105" s="25">
        <f>IF(A105&lt;=INDEX(Stage_Storage!$A$11:$A$18,1),INDEX(Stage_Storage!$E$11:$E$18,1),IF(A105&gt;=INDEX(Stage_Storage!$A$11:$A$18,ROWS(Stage_Storage!$A$11:$A$18)),INDEX(Stage_Storage!$E$11:$E$18,ROWS(Stage_Storage!$E$11:$E$18)),INDEX(Stage_Storage!$E$11:$E$18,MATCH(A105,Stage_Storage!$A$11:$A$18,1))+(A105-INDEX(Stage_Storage!$A$11:$A$18,MATCH(A105,Stage_Storage!$A$11:$A$18,1)))/(INDEX(Stage_Storage!$A$11:$A$18,MATCH(A105,Stage_Storage!$A$11:$A$18,1)+1)-INDEX(Stage_Storage!$A$11:$A$18,MATCH(A105,Stage_Storage!$A$11:$A$18,1)))*(INDEX(Stage_Storage!$E$11:$E$18,MATCH(A105,Stage_Storage!$A$11:$A$18,1)+1)-INDEX(Stage_Storage!$E$11:$E$18,MATCH(A105,Stage_Storage!$A$11:$A$18,1)))))</f>
        <v/>
      </c>
      <c r="G105" s="33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31" t="n">
        <v>39.43</v>
      </c>
      <c r="B106" s="31">
        <f>A106-$B$12</f>
        <v/>
      </c>
      <c r="C106" s="31">
        <f>MAX(0,A106-$B$6)</f>
        <v/>
      </c>
      <c r="D106" s="5">
        <f>IF(C106&lt;=0,0,($B$7+$B$9*C106)*C106)</f>
        <v/>
      </c>
      <c r="E106" s="25">
        <f>D106*$B$11</f>
        <v/>
      </c>
      <c r="F106" s="25">
        <f>IF(A106&lt;=INDEX(Stage_Storage!$A$11:$A$18,1),INDEX(Stage_Storage!$E$11:$E$18,1),IF(A106&gt;=INDEX(Stage_Storage!$A$11:$A$18,ROWS(Stage_Storage!$A$11:$A$18)),INDEX(Stage_Storage!$E$11:$E$18,ROWS(Stage_Storage!$E$11:$E$18)),INDEX(Stage_Storage!$E$11:$E$18,MATCH(A106,Stage_Storage!$A$11:$A$18,1))+(A106-INDEX(Stage_Storage!$A$11:$A$18,MATCH(A106,Stage_Storage!$A$11:$A$18,1)))/(INDEX(Stage_Storage!$A$11:$A$18,MATCH(A106,Stage_Storage!$A$11:$A$18,1)+1)-INDEX(Stage_Storage!$A$11:$A$18,MATCH(A106,Stage_Storage!$A$11:$A$18,1)))*(INDEX(Stage_Storage!$E$11:$E$18,MATCH(A106,Stage_Storage!$A$11:$A$18,1)+1)-INDEX(Stage_Storage!$E$11:$E$18,MATCH(A106,Stage_Storage!$A$11:$A$18,1)))))</f>
        <v/>
      </c>
      <c r="G106" s="33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31" t="n">
        <v>39.48</v>
      </c>
      <c r="B107" s="31">
        <f>A107-$B$12</f>
        <v/>
      </c>
      <c r="C107" s="31">
        <f>MAX(0,A107-$B$6)</f>
        <v/>
      </c>
      <c r="D107" s="5">
        <f>IF(C107&lt;=0,0,($B$7+$B$9*C107)*C107)</f>
        <v/>
      </c>
      <c r="E107" s="25">
        <f>D107*$B$11</f>
        <v/>
      </c>
      <c r="F107" s="25">
        <f>IF(A107&lt;=INDEX(Stage_Storage!$A$11:$A$18,1),INDEX(Stage_Storage!$E$11:$E$18,1),IF(A107&gt;=INDEX(Stage_Storage!$A$11:$A$18,ROWS(Stage_Storage!$A$11:$A$18)),INDEX(Stage_Storage!$E$11:$E$18,ROWS(Stage_Storage!$E$11:$E$18)),INDEX(Stage_Storage!$E$11:$E$18,MATCH(A107,Stage_Storage!$A$11:$A$18,1))+(A107-INDEX(Stage_Storage!$A$11:$A$18,MATCH(A107,Stage_Storage!$A$11:$A$18,1)))/(INDEX(Stage_Storage!$A$11:$A$18,MATCH(A107,Stage_Storage!$A$11:$A$18,1)+1)-INDEX(Stage_Storage!$A$11:$A$18,MATCH(A107,Stage_Storage!$A$11:$A$18,1)))*(INDEX(Stage_Storage!$E$11:$E$18,MATCH(A107,Stage_Storage!$A$11:$A$18,1)+1)-INDEX(Stage_Storage!$E$11:$E$18,MATCH(A107,Stage_Storage!$A$11:$A$18,1)))))</f>
        <v/>
      </c>
      <c r="G107" s="33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3" t="inlineStr">
        <is>
          <t>Méthode C — routage avec Qout composé + V = V_pond + V_ditch</t>
        </is>
      </c>
    </row>
    <row r="2">
      <c r="A2" s="39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40">
        <f>Parametres!B22</f>
        <v/>
      </c>
    </row>
    <row r="6">
      <c r="A6" t="inlineStr">
        <is>
          <t>Crest (m)</t>
        </is>
      </c>
      <c r="B6" s="40">
        <f>Parametres!B27</f>
        <v/>
      </c>
    </row>
    <row r="7">
      <c r="A7" t="inlineStr">
        <is>
          <t>Vmax_C (m³)</t>
        </is>
      </c>
      <c r="B7" s="30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5" t="n">
        <v>0</v>
      </c>
      <c r="F12" s="33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5">
        <f>(A13-A12)*60</f>
        <v/>
      </c>
      <c r="F13" s="33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5">
        <f>(A14-A13)*60</f>
        <v/>
      </c>
      <c r="F14" s="33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5">
        <f>(A15-A14)*60</f>
        <v/>
      </c>
      <c r="F15" s="33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5">
        <f>(A16-A15)*60</f>
        <v/>
      </c>
      <c r="F16" s="33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5">
        <f>(A17-A16)*60</f>
        <v/>
      </c>
      <c r="F17" s="33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5">
        <f>(A18-A17)*60</f>
        <v/>
      </c>
      <c r="F18" s="33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5">
        <f>(A19-A18)*60</f>
        <v/>
      </c>
      <c r="F19" s="33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5">
        <f>(A20-A19)*60</f>
        <v/>
      </c>
      <c r="F20" s="33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5">
        <f>(A21-A20)*60</f>
        <v/>
      </c>
      <c r="F21" s="33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5">
        <f>(A22-A21)*60</f>
        <v/>
      </c>
      <c r="F22" s="33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5">
        <f>(A23-A22)*60</f>
        <v/>
      </c>
      <c r="F23" s="33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5">
        <f>(A24-A23)*60</f>
        <v/>
      </c>
      <c r="F24" s="33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3" t="inlineStr">
        <is>
          <t>Stage–storage du levé — V = f(WSE) → lire le niveau max</t>
        </is>
      </c>
    </row>
    <row r="2">
      <c r="A2" s="10" t="inlineStr">
        <is>
          <t>PROCÉDURE (dans CE fichier): 1) Routage → Vmax_A / Vmax_B / Vmax_C sur Parametres. 2) Cette feuille = V_pond vs WSE (levé seul). 3) Parametres!B39 = WSEmax_A; B45 = WSEmax_B (levé). 4) Méthode C: V_pond + V_ditch et WSEmax_C sont sur Compose_900 / Calcul_C (B51). Remplacez les surfaces jaunes; 543 m² @ 37.28 et 1932 m² @ 39.5 sont vos mesures.</t>
        </is>
      </c>
    </row>
    <row r="3"/>
    <row r="4"/>
    <row r="6">
      <c r="A6" s="2" t="inlineStr">
        <is>
          <t>Formule d'un pas</t>
        </is>
      </c>
    </row>
    <row r="7">
      <c r="A7" s="42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31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Radier Ø900 — départ</t>
        </is>
      </c>
    </row>
    <row r="12">
      <c r="A12" s="31" t="n">
        <v>35.5</v>
      </c>
      <c r="B12" s="17" t="n">
        <v>80</v>
      </c>
      <c r="C12" s="31">
        <f>A12-A11</f>
        <v/>
      </c>
      <c r="D12" s="25">
        <f>0.5*(B11+B12)*C12</f>
        <v/>
      </c>
      <c r="E12" s="33">
        <f>E11+D12</f>
        <v/>
      </c>
      <c r="F12" s="4" t="inlineStr">
        <is>
          <t>Placeholder — remplacer par levé</t>
        </is>
      </c>
    </row>
    <row r="13">
      <c r="A13" s="31" t="n">
        <v>36</v>
      </c>
      <c r="B13" s="17" t="n">
        <v>180</v>
      </c>
      <c r="C13" s="31">
        <f>A13-A12</f>
        <v/>
      </c>
      <c r="D13" s="25">
        <f>0.5*(B12+B13)*C13</f>
        <v/>
      </c>
      <c r="E13" s="33">
        <f>E12+D13</f>
        <v/>
      </c>
      <c r="F13" s="4" t="inlineStr">
        <is>
          <t>Placeholder — remplacer par levé</t>
        </is>
      </c>
    </row>
    <row r="14">
      <c r="A14" s="31" t="n">
        <v>36.5</v>
      </c>
      <c r="B14" s="17" t="n">
        <v>320</v>
      </c>
      <c r="C14" s="31">
        <f>A14-A13</f>
        <v/>
      </c>
      <c r="D14" s="25">
        <f>0.5*(B13+B14)*C14</f>
        <v/>
      </c>
      <c r="E14" s="33">
        <f>E13+D14</f>
        <v/>
      </c>
      <c r="F14" s="4" t="inlineStr">
        <is>
          <t>Placeholder — remplacer par levé</t>
        </is>
      </c>
    </row>
    <row r="15">
      <c r="A15" s="31" t="n">
        <v>37</v>
      </c>
      <c r="B15" s="17" t="n">
        <v>480</v>
      </c>
      <c r="C15" s="31">
        <f>A15-A14</f>
        <v/>
      </c>
      <c r="D15" s="25">
        <f>0.5*(B14+B15)*C15</f>
        <v/>
      </c>
      <c r="E15" s="33">
        <f>E14+D15</f>
        <v/>
      </c>
      <c r="F15" s="4" t="inlineStr">
        <is>
          <t>Placeholder — remplacer par levé</t>
        </is>
      </c>
    </row>
    <row r="16">
      <c r="A16" s="38" t="n">
        <v>37.28</v>
      </c>
      <c r="B16" s="17" t="n">
        <v>543</v>
      </c>
      <c r="C16" s="38">
        <f>A16-A15</f>
        <v/>
      </c>
      <c r="D16" s="41">
        <f>0.5*(B15+B16)*C16</f>
        <v/>
      </c>
      <c r="E16" s="41">
        <f>E15+D16</f>
        <v/>
      </c>
      <c r="F16" s="7" t="inlineStr">
        <is>
          <t>LIMITE PATRON (+1.5 m crown) — votre levé</t>
        </is>
      </c>
    </row>
    <row r="17">
      <c r="A17" s="31" t="n">
        <v>37.5</v>
      </c>
      <c r="B17" s="17" t="n">
        <v>700</v>
      </c>
      <c r="C17" s="31">
        <f>A17-A16</f>
        <v/>
      </c>
      <c r="D17" s="25">
        <f>0.5*(B16+B17)*C17</f>
        <v/>
      </c>
      <c r="E17" s="33">
        <f>E16+D17</f>
        <v/>
      </c>
      <c r="F17" s="4" t="inlineStr">
        <is>
          <t>Placeholder — remplacer par levé</t>
        </is>
      </c>
    </row>
    <row r="18">
      <c r="A18" s="31" t="n">
        <v>39.5</v>
      </c>
      <c r="B18" s="17" t="n">
        <v>1932</v>
      </c>
      <c r="C18" s="31">
        <f>A18-A17</f>
        <v/>
      </c>
      <c r="D18" s="25">
        <f>0.5*(B17+B18)*C18</f>
        <v/>
      </c>
      <c r="E18" s="33">
        <f>E17+D18</f>
        <v/>
      </c>
      <c r="F18" s="4" t="inlineStr">
        <is>
          <t>Votre levé 1932 m² — niveau optionnel plus haut</t>
        </is>
      </c>
    </row>
    <row r="21">
      <c r="A21" t="inlineStr">
        <is>
          <t>Vmax_A (Calcul_A)</t>
        </is>
      </c>
      <c r="B21" s="20">
        <f>Parametres!B36</f>
        <v/>
      </c>
    </row>
    <row r="22">
      <c r="A22" t="inlineStr">
        <is>
          <t>WSEmax_A (m)</t>
        </is>
      </c>
      <c r="B22" s="42">
        <f>Parametres!B39</f>
        <v/>
      </c>
    </row>
    <row r="23">
      <c r="A23" t="inlineStr">
        <is>
          <t>Vmax_B (Calcul_B)</t>
        </is>
      </c>
      <c r="B23" s="20">
        <f>Parametres!B43</f>
        <v/>
      </c>
    </row>
    <row r="24">
      <c r="A24" t="inlineStr">
        <is>
          <t>WSEmax_B (m)</t>
        </is>
      </c>
      <c r="B24" s="42">
        <f>Parametres!B45</f>
        <v/>
      </c>
    </row>
    <row r="25">
      <c r="A25" t="inlineStr">
        <is>
          <t>Vmax_C / WSEmax_C</t>
        </is>
      </c>
      <c r="B25" s="20">
        <f>Parametres!B49</f>
        <v/>
      </c>
      <c r="C25">
        <f>Parametres!B51</f>
        <v/>
      </c>
      <c r="D25" t="inlineStr">
        <is>
          <t>Vmax_C inclut V_ditch — WSEmax_C = Parametres B51</t>
        </is>
      </c>
    </row>
    <row r="26">
      <c r="A26" t="inlineStr">
        <is>
          <t>V disponible à 37.28 m (m³)</t>
        </is>
      </c>
      <c r="B26" s="43">
        <f>E16</f>
        <v/>
      </c>
      <c r="C26" t="inlineStr">
        <is>
          <t>Si Vmax_A ou Vmax_B &gt; cette valeur → le niveau dépasse la limite patron</t>
        </is>
      </c>
    </row>
    <row r="28">
      <c r="A28" s="2" t="inlineStr">
        <is>
          <t>Comment lire le résultat</t>
        </is>
      </c>
    </row>
    <row r="29">
      <c r="A29" s="39" t="inlineStr">
        <is>
          <t>Exemple: si Vmax_A = 5609 m³ et V(37.28)≈558 m³, alors WSEmax_A est au-dessus de 37.28 m (la table ira vers 39.5 m ou 'Hors table'). Affinez en entrant les vraies surfaces aux cotes intermédiaires (jaune). Méthode C: voir Parametres B49–B52 et Calcul_C (fossé inclus).</t>
        </is>
      </c>
    </row>
    <row r="30"/>
    <row r="31"/>
  </sheetData>
  <mergeCells count="4">
    <mergeCell ref="A8:F8"/>
    <mergeCell ref="A2:G4"/>
    <mergeCell ref="A29:F31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4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5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max: A/B via Stage_Storage; C via Calcul_C (Parametres B39 / B45 / B51).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2026-10-17T16:45:30Z</dcterms:created>
  <dcterms:modified xsi:type="dcterms:W3CDTF">2026-10-17T16:45:30Z</dcterms:modified>
</cp:coreProperties>
</file>