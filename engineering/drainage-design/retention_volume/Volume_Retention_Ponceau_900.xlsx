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Stage_Storage" sheetId="6" state="visible" r:id="rId6"/>
    <sheet name="Fichiers_lies" sheetId="7" state="visible" r:id="rId7"/>
    <sheet name="Method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2" fontId="0" fillId="5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0" fillId="5" borderId="0" pivotButton="0" quotePrefix="0" xfId="0"/>
    <xf numFmtId="166" fontId="0" fillId="3" borderId="1" pivotButton="0" quotePrefix="0" xfId="0"/>
    <xf numFmtId="1" fontId="0" fillId="6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cumulé vs WSE (levé)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(D6-E6)/F6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Méthode A — Qout constant (feuille Calcul_A)</t>
        </is>
      </c>
    </row>
    <row r="27">
      <c r="A27" t="inlineStr">
        <is>
          <t>Vmax_A (m³)</t>
        </is>
      </c>
      <c r="B27" s="18">
        <f>Calcul_A!B3</f>
        <v/>
      </c>
      <c r="C27" t="inlineStr">
        <is>
          <t>Volume max stocké avec Qout fixe (Parametres B22)</t>
        </is>
      </c>
    </row>
    <row r="28">
      <c r="A28" t="inlineStr">
        <is>
          <t>V_dimensionnement_A = Vmax_A × facteur (m³)</t>
        </is>
      </c>
      <c r="B28" s="18">
        <f>B27*B23</f>
        <v/>
      </c>
    </row>
    <row r="29">
      <c r="A29" t="inlineStr">
        <is>
          <t>Hmax approx_A (m) = Vmax_A / Aire</t>
        </is>
      </c>
      <c r="B29" s="19">
        <f>IF(B24&gt;0,B27/B24,0)</f>
        <v/>
      </c>
      <c r="C29" t="inlineStr">
        <is>
          <t>Estimation grossière si l'aire de bassin est constante (pas le levé)</t>
        </is>
      </c>
    </row>
    <row r="30">
      <c r="A30" t="inlineStr">
        <is>
          <t>WSEmax_A depuis levé (m) — feuille Stage_Storage</t>
        </is>
      </c>
      <c r="B30" s="20">
        <f>IF(B27&lt;=Stage_Storage!E11,Stage_Storage!A11,IF(B27&gt;=Stage_Storage!E18,"Hors table (&gt;=39.5 m — étendre levé)",INDEX(Stage_Storage!$A$11:$A$18,MATCH(B27,Stage_Storage!$E$11:$E$18,1))+(B27-INDEX(Stage_Storage!$E$11:$E$18,MATCH(B27,Stage_Storage!$E$11:$E$18,1)))/(INDEX(Stage_Storage!$E$11:$E$18,MATCH(B27,Stage_Storage!$E$11:$E$18,1)+1)-INDEX(Stage_Storage!$E$11:$E$18,MATCH(B27,Stage_Storage!$E$11:$E$18,1)))*(INDEX(Stage_Storage!$A$11:$A$18,MATCH(B27,Stage_Storage!$E$11:$E$18,1)+1)-INDEX(Stage_Storage!$A$11:$A$18,MATCH(B27,Stage_Storage!$E$11:$E$18,1)))))</f>
        <v/>
      </c>
      <c r="C30" t="inlineStr">
        <is>
          <t>Cote d'eau max pour le Vmax_A: on lit sur Stage_Storage quelle WSE donne ce volume (courbe volume–cote du levé)</t>
        </is>
      </c>
    </row>
    <row r="31">
      <c r="A31" t="inlineStr">
        <is>
          <t>HW max_A = WSEmax_A − radier Ø900 (m)</t>
        </is>
      </c>
      <c r="B31" s="20">
        <f>IF(ISNUMBER(B30),B30-34.88,"")</f>
        <v/>
      </c>
      <c r="C31" t="inlineStr">
        <is>
          <t>Comparer à 2.40 m (limite patron = +1.5 m au-dessus du crown)</t>
        </is>
      </c>
    </row>
    <row r="33">
      <c r="A33" s="2" t="inlineStr">
        <is>
          <t>Résultats Méthode B — Qout = f(H) FHWA (feuille Calcul_B)</t>
        </is>
      </c>
    </row>
    <row r="34">
      <c r="A34" t="inlineStr">
        <is>
          <t>Vmax_B (m³)</t>
        </is>
      </c>
      <c r="B34" s="18">
        <f>Calcul_B!B7</f>
        <v/>
      </c>
      <c r="C34" t="inlineStr">
        <is>
          <t>Volume max stocké avec Q lu sur Courbe_QH_900 (dépend de Aire B24)</t>
        </is>
      </c>
    </row>
    <row r="35">
      <c r="A35" t="inlineStr">
        <is>
          <t>V_dimensionnement_B = Vmax_B × facteur (m³)</t>
        </is>
      </c>
      <c r="B35" s="18">
        <f>B34*B23</f>
        <v/>
      </c>
    </row>
    <row r="36">
      <c r="A36" t="inlineStr">
        <is>
          <t>WSEmax_B depuis levé (m) — feuille Stage_Storage</t>
        </is>
      </c>
      <c r="B36" s="20">
        <f>IF(B34&lt;=Stage_Storage!E11,Stage_Storage!A11,IF(B34&gt;=Stage_Storage!E18,"Hors table (&gt;=39.5 m — étendre levé)",INDEX(Stage_Storage!$A$11:$A$18,MATCH(B34,Stage_Storage!$E$11:$E$18,1))+(B34-INDEX(Stage_Storage!$E$11:$E$18,MATCH(B34,Stage_Storage!$E$11:$E$18,1)))/(INDEX(Stage_Storage!$E$11:$E$18,MATCH(B34,Stage_Storage!$E$11:$E$18,1)+1)-INDEX(Stage_Storage!$E$11:$E$18,MATCH(B34,Stage_Storage!$E$11:$E$18,1)))*(INDEX(Stage_Storage!$A$11:$A$18,MATCH(B34,Stage_Storage!$E$11:$E$18,1)+1)-INDEX(Stage_Storage!$A$11:$A$18,MATCH(B34,Stage_Storage!$E$11:$E$18,1)))))</f>
        <v/>
      </c>
      <c r="C36" t="inlineStr">
        <is>
          <t>Même lecture volume→cote que B30, mais avec Vmax_B au lieu de Vmax_A</t>
        </is>
      </c>
    </row>
    <row r="37">
      <c r="A37" t="inlineStr">
        <is>
          <t>HW max_B = WSEmax_B − radier Ø900 (m)</t>
        </is>
      </c>
      <c r="B37" s="20">
        <f>IF(ISNUMBER(B36),B36-34.88,"")</f>
        <v/>
      </c>
      <c r="C37" t="inlineStr">
        <is>
          <t>Comparer à 2.40 m (limite patron)</t>
        </is>
      </c>
    </row>
    <row r="39">
      <c r="A39" s="2" t="inlineStr">
        <is>
          <t>Comment lire WSEmax (A ou B)</t>
        </is>
      </c>
    </row>
    <row r="40">
      <c r="A40" t="inlineStr">
        <is>
          <t>1) Calcul_A (ou B) donne un volume max stocké Vmax pendant l'orage.</t>
        </is>
      </c>
    </row>
    <row r="41">
      <c r="A41" t="inlineStr">
        <is>
          <t>2) La feuille Stage_Storage convertit vos surfaces de levé en courbe: volume cumulé ↔ cote d'eau (WSE).</t>
        </is>
      </c>
    </row>
    <row r="42">
      <c r="A42" t="inlineStr">
        <is>
          <t>3) WSEmax = la cote sur cette courbe qui correspond à ce Vmax (interpolation).</t>
        </is>
      </c>
    </row>
    <row r="43">
      <c r="A43" t="inlineStr">
        <is>
          <t xml:space="preserve">   Exemple: si Vmax_A ≈ volume entre 37.28 m et 39.5 m sur le levé → WSEmax_A ≈ 38.75 m.</t>
        </is>
      </c>
    </row>
    <row r="44">
      <c r="A44" t="inlineStr">
        <is>
          <t>4) Ce n'est PAS une cote saisie à la main: c'est Vmax lu sur le levé. Hmax≈V/Aire (B29) est plus grossier.</t>
        </is>
      </c>
    </row>
    <row r="46">
      <c r="A46" s="2" t="inlineStr">
        <is>
          <t>Inlet control vs outlet control — qu'est-ce que ça veut dire?</t>
        </is>
      </c>
    </row>
    <row r="47">
      <c r="A47" t="inlineStr">
        <is>
          <t>• Inlet control (contrôle à l'entrée): le débit est limité par l'entrée du ponceau (forme d'entrée, HW/D).</t>
        </is>
      </c>
    </row>
    <row r="48">
      <c r="A48" t="inlineStr">
        <is>
          <t xml:space="preserve">  Le tuyau aval « n'aspire » pas assez pour influencer — Q dépend surtout de la charge amont H, pas de L ni de n.</t>
        </is>
      </c>
    </row>
    <row r="49">
      <c r="A49" t="inlineStr">
        <is>
          <t>• Outlet control (contrôle à la sortie / frottement): le débit dépend de la longueur, de n, de la pente et de la charge</t>
        </is>
      </c>
    </row>
    <row r="50">
      <c r="A50" t="inlineStr">
        <is>
          <t xml:space="preserve">  (énergie amont → aval). Manning pleine section est une hypothèse de type outlet/frottement à section pleine.</t>
        </is>
      </c>
    </row>
    <row r="51">
      <c r="A51" t="inlineStr">
        <is>
          <t>• Ici L/D = 56 (tuyau assez long) → le contrôle par frottement (outlet) est souvent plausible,</t>
        </is>
      </c>
    </row>
    <row r="52">
      <c r="A52" t="inlineStr">
        <is>
          <t xml:space="preserve">  mais sans analyse FHWA/HY-8 on ne peut pas l'affirmer. Pour dimensionner la rétention, Q_plein constant est</t>
        </is>
      </c>
    </row>
    <row r="53">
      <c r="A53" t="inlineStr">
        <is>
          <t xml:space="preserve">  en général prudent (si la charge monte, le débit réel peut être un peu plus élevé → Vmax un peu plus bas).</t>
        </is>
      </c>
    </row>
    <row r="54">
      <c r="A54" t="inlineStr">
        <is>
          <t>• On n'a pas besoin de trancher IC/OC pour utiliser ce classeur: garder Qout = Q_plein (ou 1.77) suffit pour une 1re estimation.</t>
        </is>
      </c>
    </row>
    <row r="56">
      <c r="A56" s="2" t="inlineStr">
        <is>
          <t>Notes</t>
        </is>
      </c>
    </row>
    <row r="57">
      <c r="A57" t="inlineStr">
        <is>
          <t>• Méthode A: Qout fixe = Q_plein Manning Ø900 (n=0,013). Pas un jugement IC/OC complet.</t>
        </is>
      </c>
    </row>
    <row r="58">
      <c r="A58" t="inlineStr">
        <is>
          <t>• Le stockage commence quand Qin dépasse Qout; Vmax = max du volume stocké (pas (Qp−Qout)×durée).</t>
        </is>
      </c>
    </row>
    <row r="59">
      <c r="A59" t="inlineStr">
        <is>
          <t>• Méthode B: Qout = f(H) depuis feuille Courbe_QH_900 (FHWA inlet+outlet) — résultats en B34–B37.</t>
        </is>
      </c>
    </row>
    <row r="60">
      <c r="A60" t="inlineStr">
        <is>
          <t>• Voir feuille Fichiers_lies pour les anciens Excel HY-8 / ponceau+fossé.</t>
        </is>
      </c>
    </row>
    <row r="61">
      <c r="A61" t="inlineStr">
        <is>
          <t>• Vérifier que le radier amont Ø900 (34.88) est bien le fond de la zone de rétention étudiée.</t>
        </is>
      </c>
    </row>
    <row r="62">
      <c r="A62" t="inlineStr">
        <is>
          <t>• WSEmax_A = B30 (depuis Vmax_A); WSEmax_B = B36 (depuis Vmax_B); les deux lisent Stage_Storage.</t>
        </is>
      </c>
    </row>
  </sheetData>
  <mergeCells count="21">
    <mergeCell ref="A48:H48"/>
    <mergeCell ref="A59:H59"/>
    <mergeCell ref="A51:H51"/>
    <mergeCell ref="A60:H60"/>
    <mergeCell ref="A49:H49"/>
    <mergeCell ref="A61:H61"/>
    <mergeCell ref="A54:H54"/>
    <mergeCell ref="A41:H41"/>
    <mergeCell ref="A50:H50"/>
    <mergeCell ref="A9:H10"/>
    <mergeCell ref="A57:H57"/>
    <mergeCell ref="A42:H42"/>
    <mergeCell ref="A47:H47"/>
    <mergeCell ref="A62:H62"/>
    <mergeCell ref="A53:H53"/>
    <mergeCell ref="A43:H43"/>
    <mergeCell ref="A1:F1"/>
    <mergeCell ref="A52:H52"/>
    <mergeCell ref="A44:H44"/>
    <mergeCell ref="A58:H58"/>
    <mergeCell ref="A40:H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1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2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3" t="n">
        <v>0</v>
      </c>
      <c r="B8" s="24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3" t="n">
        <v>5</v>
      </c>
      <c r="B9" s="24" t="n">
        <v>0.121875</v>
      </c>
      <c r="C9" s="5">
        <f>B9*$B$4</f>
        <v/>
      </c>
      <c r="D9" s="4" t="inlineStr"/>
    </row>
    <row r="10">
      <c r="A10" s="23" t="n">
        <v>10</v>
      </c>
      <c r="B10" s="24" t="n">
        <v>0.193438</v>
      </c>
      <c r="C10" s="5">
        <f>B10*$B$4</f>
        <v/>
      </c>
      <c r="D10" s="4" t="inlineStr"/>
    </row>
    <row r="11">
      <c r="A11" s="23" t="n">
        <v>15</v>
      </c>
      <c r="B11" s="24" t="n">
        <v>0.333542</v>
      </c>
      <c r="C11" s="5">
        <f>B11*$B$4</f>
        <v/>
      </c>
      <c r="D11" s="4" t="inlineStr"/>
    </row>
    <row r="12">
      <c r="A12" s="23" t="n">
        <v>20</v>
      </c>
      <c r="B12" s="24" t="n">
        <v>0.657188</v>
      </c>
      <c r="C12" s="5">
        <f>B12*$B$4</f>
        <v/>
      </c>
      <c r="D12" s="4" t="inlineStr"/>
    </row>
    <row r="13">
      <c r="A13" s="23" t="n">
        <v>22.5</v>
      </c>
      <c r="B13" s="24" t="n">
        <v>1</v>
      </c>
      <c r="C13" s="8">
        <f>B13*$B$4</f>
        <v/>
      </c>
      <c r="D13" s="4" t="inlineStr">
        <is>
          <t>Pointe (ratio = 1)</t>
        </is>
      </c>
    </row>
    <row r="14">
      <c r="A14" s="23" t="n">
        <v>27.5</v>
      </c>
      <c r="B14" s="24" t="n">
        <v>0.608958</v>
      </c>
      <c r="C14" s="5">
        <f>B14*$B$4</f>
        <v/>
      </c>
      <c r="D14" s="4" t="inlineStr"/>
    </row>
    <row r="15">
      <c r="A15" s="23" t="n">
        <v>32.5</v>
      </c>
      <c r="B15" s="24" t="n">
        <v>0.401771</v>
      </c>
      <c r="C15" s="5">
        <f>B15*$B$4</f>
        <v/>
      </c>
      <c r="D15" s="4" t="inlineStr"/>
    </row>
    <row r="16">
      <c r="A16" s="23" t="n">
        <v>37.5</v>
      </c>
      <c r="B16" s="24" t="n">
        <v>0.280104</v>
      </c>
      <c r="C16" s="5">
        <f>B16*$B$4</f>
        <v/>
      </c>
      <c r="D16" s="4" t="inlineStr"/>
    </row>
    <row r="17">
      <c r="A17" s="23" t="n">
        <v>42.5</v>
      </c>
      <c r="B17" s="24" t="n">
        <v>0.203438</v>
      </c>
      <c r="C17" s="5">
        <f>B17*$B$4</f>
        <v/>
      </c>
      <c r="D17" s="4" t="inlineStr"/>
    </row>
    <row r="18">
      <c r="A18" s="23" t="n">
        <v>47.5</v>
      </c>
      <c r="B18" s="24" t="n">
        <v>0.152292</v>
      </c>
      <c r="C18" s="5">
        <f>B18*$B$4</f>
        <v/>
      </c>
      <c r="D18" s="4" t="inlineStr"/>
    </row>
    <row r="19">
      <c r="A19" s="23" t="n">
        <v>52.5</v>
      </c>
      <c r="B19" s="24" t="n">
        <v>0.116771</v>
      </c>
      <c r="C19" s="5">
        <f>B19*$B$4</f>
        <v/>
      </c>
      <c r="D19" s="4" t="inlineStr"/>
    </row>
    <row r="20">
      <c r="A20" s="23" t="n">
        <v>57.5</v>
      </c>
      <c r="B20" s="24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5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14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1" t="inlineStr">
        <is>
          <t>Méthode A — Qout constant = capacité Ø900</t>
        </is>
      </c>
    </row>
    <row r="2">
      <c r="A2" t="inlineStr">
        <is>
          <t>Qout (m³/s)</t>
        </is>
      </c>
      <c r="B2" s="26">
        <f>Parametres!B22</f>
        <v/>
      </c>
    </row>
    <row r="3">
      <c r="A3" t="inlineStr">
        <is>
          <t>Vmax (m³)</t>
        </is>
      </c>
      <c r="B3" s="27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3">
        <f>Hydrogramme!A8</f>
        <v/>
      </c>
      <c r="B8" s="5">
        <f>Hydrogramme!C8</f>
        <v/>
      </c>
      <c r="C8" s="28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9" t="n">
        <v>0</v>
      </c>
      <c r="I8" s="4">
        <f>IF(H8&gt;0.5,"oui","non")</f>
        <v/>
      </c>
    </row>
    <row r="9">
      <c r="A9" s="23">
        <f>Hydrogramme!A9</f>
        <v/>
      </c>
      <c r="B9" s="5">
        <f>Hydrogramme!C9</f>
        <v/>
      </c>
      <c r="C9" s="28">
        <f>$B$2</f>
        <v/>
      </c>
      <c r="D9" s="5">
        <f>B9-C9</f>
        <v/>
      </c>
      <c r="E9" s="23">
        <f>(A9-A8)*60</f>
        <v/>
      </c>
      <c r="F9" s="23">
        <f>0.5*(B8+B9)*E9</f>
        <v/>
      </c>
      <c r="G9" s="23">
        <f>F9-(H9-H8)</f>
        <v/>
      </c>
      <c r="H9" s="30">
        <f>MAX(0,H8+0.5*(D8+D9)*E9)</f>
        <v/>
      </c>
      <c r="I9" s="4">
        <f>IF(H9&gt;0.5,"oui","non")</f>
        <v/>
      </c>
    </row>
    <row r="10">
      <c r="A10" s="23">
        <f>Hydrogramme!A10</f>
        <v/>
      </c>
      <c r="B10" s="5">
        <f>Hydrogramme!C10</f>
        <v/>
      </c>
      <c r="C10" s="28">
        <f>$B$2</f>
        <v/>
      </c>
      <c r="D10" s="5">
        <f>B10-C10</f>
        <v/>
      </c>
      <c r="E10" s="23">
        <f>(A10-A9)*60</f>
        <v/>
      </c>
      <c r="F10" s="23">
        <f>0.5*(B9+B10)*E10</f>
        <v/>
      </c>
      <c r="G10" s="23">
        <f>F10-(H10-H9)</f>
        <v/>
      </c>
      <c r="H10" s="30">
        <f>MAX(0,H9+0.5*(D9+D10)*E10)</f>
        <v/>
      </c>
      <c r="I10" s="4">
        <f>IF(H10&gt;0.5,"oui","non")</f>
        <v/>
      </c>
    </row>
    <row r="11">
      <c r="A11" s="23">
        <f>Hydrogramme!A11</f>
        <v/>
      </c>
      <c r="B11" s="5">
        <f>Hydrogramme!C11</f>
        <v/>
      </c>
      <c r="C11" s="28">
        <f>$B$2</f>
        <v/>
      </c>
      <c r="D11" s="5">
        <f>B11-C11</f>
        <v/>
      </c>
      <c r="E11" s="23">
        <f>(A11-A10)*60</f>
        <v/>
      </c>
      <c r="F11" s="23">
        <f>0.5*(B10+B11)*E11</f>
        <v/>
      </c>
      <c r="G11" s="23">
        <f>F11-(H11-H10)</f>
        <v/>
      </c>
      <c r="H11" s="30">
        <f>MAX(0,H10+0.5*(D10+D11)*E11)</f>
        <v/>
      </c>
      <c r="I11" s="4">
        <f>IF(H11&gt;0.5,"oui","non")</f>
        <v/>
      </c>
    </row>
    <row r="12">
      <c r="A12" s="23">
        <f>Hydrogramme!A12</f>
        <v/>
      </c>
      <c r="B12" s="5">
        <f>Hydrogramme!C12</f>
        <v/>
      </c>
      <c r="C12" s="28">
        <f>$B$2</f>
        <v/>
      </c>
      <c r="D12" s="5">
        <f>B12-C12</f>
        <v/>
      </c>
      <c r="E12" s="23">
        <f>(A12-A11)*60</f>
        <v/>
      </c>
      <c r="F12" s="23">
        <f>0.5*(B11+B12)*E12</f>
        <v/>
      </c>
      <c r="G12" s="23">
        <f>F12-(H12-H11)</f>
        <v/>
      </c>
      <c r="H12" s="30">
        <f>MAX(0,H11+0.5*(D11+D12)*E12)</f>
        <v/>
      </c>
      <c r="I12" s="4">
        <f>IF(H12&gt;0.5,"oui","non")</f>
        <v/>
      </c>
    </row>
    <row r="13">
      <c r="A13" s="23">
        <f>Hydrogramme!A13</f>
        <v/>
      </c>
      <c r="B13" s="5">
        <f>Hydrogramme!C13</f>
        <v/>
      </c>
      <c r="C13" s="28">
        <f>$B$2</f>
        <v/>
      </c>
      <c r="D13" s="5">
        <f>B13-C13</f>
        <v/>
      </c>
      <c r="E13" s="23">
        <f>(A13-A12)*60</f>
        <v/>
      </c>
      <c r="F13" s="23">
        <f>0.5*(B12+B13)*E13</f>
        <v/>
      </c>
      <c r="G13" s="23">
        <f>F13-(H13-H12)</f>
        <v/>
      </c>
      <c r="H13" s="30">
        <f>MAX(0,H12+0.5*(D12+D13)*E13)</f>
        <v/>
      </c>
      <c r="I13" s="4">
        <f>IF(H13&gt;0.5,"oui","non")</f>
        <v/>
      </c>
    </row>
    <row r="14">
      <c r="A14" s="23">
        <f>Hydrogramme!A14</f>
        <v/>
      </c>
      <c r="B14" s="5">
        <f>Hydrogramme!C14</f>
        <v/>
      </c>
      <c r="C14" s="28">
        <f>$B$2</f>
        <v/>
      </c>
      <c r="D14" s="5">
        <f>B14-C14</f>
        <v/>
      </c>
      <c r="E14" s="23">
        <f>(A14-A13)*60</f>
        <v/>
      </c>
      <c r="F14" s="23">
        <f>0.5*(B13+B14)*E14</f>
        <v/>
      </c>
      <c r="G14" s="23">
        <f>F14-(H14-H13)</f>
        <v/>
      </c>
      <c r="H14" s="30">
        <f>MAX(0,H13+0.5*(D13+D14)*E14)</f>
        <v/>
      </c>
      <c r="I14" s="4">
        <f>IF(H14&gt;0.5,"oui","non")</f>
        <v/>
      </c>
    </row>
    <row r="15">
      <c r="A15" s="23">
        <f>Hydrogramme!A15</f>
        <v/>
      </c>
      <c r="B15" s="5">
        <f>Hydrogramme!C15</f>
        <v/>
      </c>
      <c r="C15" s="28">
        <f>$B$2</f>
        <v/>
      </c>
      <c r="D15" s="5">
        <f>B15-C15</f>
        <v/>
      </c>
      <c r="E15" s="23">
        <f>(A15-A14)*60</f>
        <v/>
      </c>
      <c r="F15" s="23">
        <f>0.5*(B14+B15)*E15</f>
        <v/>
      </c>
      <c r="G15" s="23">
        <f>F15-(H15-H14)</f>
        <v/>
      </c>
      <c r="H15" s="30">
        <f>MAX(0,H14+0.5*(D14+D15)*E15)</f>
        <v/>
      </c>
      <c r="I15" s="4">
        <f>IF(H15&gt;0.5,"oui","non")</f>
        <v/>
      </c>
    </row>
    <row r="16">
      <c r="A16" s="23">
        <f>Hydrogramme!A16</f>
        <v/>
      </c>
      <c r="B16" s="5">
        <f>Hydrogramme!C16</f>
        <v/>
      </c>
      <c r="C16" s="28">
        <f>$B$2</f>
        <v/>
      </c>
      <c r="D16" s="5">
        <f>B16-C16</f>
        <v/>
      </c>
      <c r="E16" s="23">
        <f>(A16-A15)*60</f>
        <v/>
      </c>
      <c r="F16" s="23">
        <f>0.5*(B15+B16)*E16</f>
        <v/>
      </c>
      <c r="G16" s="23">
        <f>F16-(H16-H15)</f>
        <v/>
      </c>
      <c r="H16" s="30">
        <f>MAX(0,H15+0.5*(D15+D16)*E16)</f>
        <v/>
      </c>
      <c r="I16" s="4">
        <f>IF(H16&gt;0.5,"oui","non")</f>
        <v/>
      </c>
    </row>
    <row r="17">
      <c r="A17" s="23">
        <f>Hydrogramme!A17</f>
        <v/>
      </c>
      <c r="B17" s="5">
        <f>Hydrogramme!C17</f>
        <v/>
      </c>
      <c r="C17" s="28">
        <f>$B$2</f>
        <v/>
      </c>
      <c r="D17" s="5">
        <f>B17-C17</f>
        <v/>
      </c>
      <c r="E17" s="23">
        <f>(A17-A16)*60</f>
        <v/>
      </c>
      <c r="F17" s="23">
        <f>0.5*(B16+B17)*E17</f>
        <v/>
      </c>
      <c r="G17" s="23">
        <f>F17-(H17-H16)</f>
        <v/>
      </c>
      <c r="H17" s="30">
        <f>MAX(0,H16+0.5*(D16+D17)*E17)</f>
        <v/>
      </c>
      <c r="I17" s="4">
        <f>IF(H17&gt;0.5,"oui","non")</f>
        <v/>
      </c>
    </row>
    <row r="18">
      <c r="A18" s="23">
        <f>Hydrogramme!A18</f>
        <v/>
      </c>
      <c r="B18" s="5">
        <f>Hydrogramme!C18</f>
        <v/>
      </c>
      <c r="C18" s="28">
        <f>$B$2</f>
        <v/>
      </c>
      <c r="D18" s="5">
        <f>B18-C18</f>
        <v/>
      </c>
      <c r="E18" s="23">
        <f>(A18-A17)*60</f>
        <v/>
      </c>
      <c r="F18" s="23">
        <f>0.5*(B17+B18)*E18</f>
        <v/>
      </c>
      <c r="G18" s="23">
        <f>F18-(H18-H17)</f>
        <v/>
      </c>
      <c r="H18" s="30">
        <f>MAX(0,H17+0.5*(D17+D18)*E18)</f>
        <v/>
      </c>
      <c r="I18" s="4">
        <f>IF(H18&gt;0.5,"oui","non")</f>
        <v/>
      </c>
    </row>
    <row r="19">
      <c r="A19" s="23">
        <f>Hydrogramme!A19</f>
        <v/>
      </c>
      <c r="B19" s="5">
        <f>Hydrogramme!C19</f>
        <v/>
      </c>
      <c r="C19" s="28">
        <f>$B$2</f>
        <v/>
      </c>
      <c r="D19" s="5">
        <f>B19-C19</f>
        <v/>
      </c>
      <c r="E19" s="23">
        <f>(A19-A18)*60</f>
        <v/>
      </c>
      <c r="F19" s="23">
        <f>0.5*(B18+B19)*E19</f>
        <v/>
      </c>
      <c r="G19" s="23">
        <f>F19-(H19-H18)</f>
        <v/>
      </c>
      <c r="H19" s="30">
        <f>MAX(0,H18+0.5*(D18+D19)*E19)</f>
        <v/>
      </c>
      <c r="I19" s="4">
        <f>IF(H19&gt;0.5,"oui","non")</f>
        <v/>
      </c>
    </row>
    <row r="20">
      <c r="A20" s="23">
        <f>Hydrogramme!A20</f>
        <v/>
      </c>
      <c r="B20" s="5">
        <f>Hydrogramme!C20</f>
        <v/>
      </c>
      <c r="C20" s="28">
        <f>$B$2</f>
        <v/>
      </c>
      <c r="D20" s="5">
        <f>B20-C20</f>
        <v/>
      </c>
      <c r="E20" s="23">
        <f>(A20-A19)*60</f>
        <v/>
      </c>
      <c r="F20" s="23">
        <f>0.5*(B19+B20)*E20</f>
        <v/>
      </c>
      <c r="G20" s="23">
        <f>F20-(H20-H19)</f>
        <v/>
      </c>
      <c r="H20" s="30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1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1" t="inlineStr">
        <is>
          <t>entrée</t>
        </is>
      </c>
      <c r="F6" s="31" t="inlineStr">
        <is>
          <t>K</t>
        </is>
      </c>
      <c r="G6" s="31" t="inlineStr">
        <is>
          <t>M</t>
        </is>
      </c>
      <c r="H6" s="31" t="inlineStr">
        <is>
          <t>c</t>
        </is>
      </c>
      <c r="I6" s="31" t="inlineStr">
        <is>
          <t>Y</t>
        </is>
      </c>
      <c r="J6" s="31" t="inlineStr">
        <is>
          <t>Ke</t>
        </is>
      </c>
    </row>
    <row r="7">
      <c r="A7" t="inlineStr">
        <is>
          <t>D (m)</t>
        </is>
      </c>
      <c r="B7" s="16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6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6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6" t="n">
        <v>34.45</v>
      </c>
      <c r="C10" t="inlineStr"/>
    </row>
    <row r="11">
      <c r="A11" t="inlineStr">
        <is>
          <t>S0 = (Zin-Zout)/L</t>
        </is>
      </c>
      <c r="B11" s="32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6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3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5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4">
        <f>IFERROR(VLOOKUP(B13,$E$7:$J$9,2,FALSE),0.0098)</f>
        <v/>
      </c>
    </row>
    <row r="18">
      <c r="A18" t="inlineStr">
        <is>
          <t>M (lu)</t>
        </is>
      </c>
      <c r="B18" s="34">
        <f>IFERROR(VLOOKUP(B13,$E$7:$J$9,3,FALSE),2)</f>
        <v/>
      </c>
    </row>
    <row r="19">
      <c r="A19" t="inlineStr">
        <is>
          <t>c (lu)</t>
        </is>
      </c>
      <c r="B19" s="34">
        <f>IFERROR(VLOOKUP(B13,$E$7:$J$9,4,FALSE),0.0398)</f>
        <v/>
      </c>
    </row>
    <row r="20">
      <c r="A20" t="inlineStr">
        <is>
          <t>Y (lu)</t>
        </is>
      </c>
      <c r="B20" s="34">
        <f>IFERROR(VLOOKUP(B13,$E$7:$J$9,5,FALSE),0.67)</f>
        <v/>
      </c>
    </row>
    <row r="21">
      <c r="A21" t="inlineStr">
        <is>
          <t>Ke (lu)</t>
        </is>
      </c>
      <c r="B21" s="34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28" t="n">
        <v>0</v>
      </c>
      <c r="B24" s="28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28" t="n">
        <v>0.05</v>
      </c>
      <c r="B25" s="28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28" t="n">
        <v>0.1</v>
      </c>
      <c r="B26" s="28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28" t="n">
        <v>0.15</v>
      </c>
      <c r="B27" s="28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28" t="n">
        <v>0.2</v>
      </c>
      <c r="B28" s="28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28" t="n">
        <v>0.25</v>
      </c>
      <c r="B29" s="28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28" t="n">
        <v>0.3</v>
      </c>
      <c r="B30" s="28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28" t="n">
        <v>0.35</v>
      </c>
      <c r="B31" s="28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28" t="n">
        <v>0.4</v>
      </c>
      <c r="B32" s="28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28" t="n">
        <v>0.45</v>
      </c>
      <c r="B33" s="28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28" t="n">
        <v>0.5</v>
      </c>
      <c r="B34" s="28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28" t="n">
        <v>0.55</v>
      </c>
      <c r="B35" s="28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28" t="n">
        <v>0.6</v>
      </c>
      <c r="B36" s="28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28" t="n">
        <v>0.65</v>
      </c>
      <c r="B37" s="28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28" t="n">
        <v>0.7</v>
      </c>
      <c r="B38" s="28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28" t="n">
        <v>0.75</v>
      </c>
      <c r="B39" s="28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28" t="n">
        <v>0.8</v>
      </c>
      <c r="B40" s="28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28" t="n">
        <v>0.85</v>
      </c>
      <c r="B41" s="28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28" t="n">
        <v>0.9</v>
      </c>
      <c r="B42" s="28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28" t="n">
        <v>0.95</v>
      </c>
      <c r="B43" s="28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28" t="n">
        <v>1</v>
      </c>
      <c r="B44" s="28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28" t="n">
        <v>1.05</v>
      </c>
      <c r="B45" s="28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28" t="n">
        <v>1.1</v>
      </c>
      <c r="B46" s="28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28" t="n">
        <v>1.15</v>
      </c>
      <c r="B47" s="28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28" t="n">
        <v>1.2</v>
      </c>
      <c r="B48" s="28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28" t="n">
        <v>1.25</v>
      </c>
      <c r="B49" s="28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28" t="n">
        <v>1.3</v>
      </c>
      <c r="B50" s="28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28" t="n">
        <v>1.35</v>
      </c>
      <c r="B51" s="28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28" t="n">
        <v>1.4</v>
      </c>
      <c r="B52" s="28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28" t="n">
        <v>1.45</v>
      </c>
      <c r="B53" s="28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28" t="n">
        <v>1.5</v>
      </c>
      <c r="B54" s="28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28" t="n">
        <v>1.55</v>
      </c>
      <c r="B55" s="28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28" t="n">
        <v>1.6</v>
      </c>
      <c r="B56" s="28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28" t="n">
        <v>1.65</v>
      </c>
      <c r="B57" s="28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28" t="n">
        <v>1.7</v>
      </c>
      <c r="B58" s="28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28" t="n">
        <v>1.75</v>
      </c>
      <c r="B59" s="28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28" t="n">
        <v>1.8</v>
      </c>
      <c r="B60" s="28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28" t="n">
        <v>1.85</v>
      </c>
      <c r="B61" s="28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28" t="n">
        <v>1.9</v>
      </c>
      <c r="B62" s="28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28" t="n">
        <v>1.95</v>
      </c>
      <c r="B63" s="28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28" t="n">
        <v>2</v>
      </c>
      <c r="B64" s="28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28" t="n">
        <v>2.05</v>
      </c>
      <c r="B65" s="28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28" t="n">
        <v>2.1</v>
      </c>
      <c r="B66" s="28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28" t="n">
        <v>2.15</v>
      </c>
      <c r="B67" s="28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28" t="n">
        <v>2.2</v>
      </c>
      <c r="B68" s="28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28" t="n">
        <v>2.25</v>
      </c>
      <c r="B69" s="28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28" t="n">
        <v>2.3</v>
      </c>
      <c r="B70" s="28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28" t="n">
        <v>2.35</v>
      </c>
      <c r="B71" s="28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5" t="n">
        <v>2.4</v>
      </c>
      <c r="B72" s="35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28" t="n">
        <v>2.45</v>
      </c>
      <c r="B73" s="28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28" t="n">
        <v>2.5</v>
      </c>
      <c r="B74" s="28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28" t="n">
        <v>2.55</v>
      </c>
      <c r="B75" s="28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28" t="n">
        <v>2.6</v>
      </c>
      <c r="B76" s="28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28" t="n">
        <v>2.65</v>
      </c>
      <c r="B77" s="28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28" t="n">
        <v>2.7</v>
      </c>
      <c r="B78" s="28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28" t="n">
        <v>2.75</v>
      </c>
      <c r="B79" s="28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28" t="n">
        <v>2.8</v>
      </c>
      <c r="B80" s="28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28" t="n">
        <v>2.85</v>
      </c>
      <c r="B81" s="28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28" t="n">
        <v>2.9</v>
      </c>
      <c r="B82" s="28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28" t="n">
        <v>2.95</v>
      </c>
      <c r="B83" s="28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28" t="n">
        <v>3</v>
      </c>
      <c r="B84" s="28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1" t="inlineStr">
        <is>
          <t>Méthode B — routage avec Qout = f(H) depuis Courbe_QH_900 (FHWA)</t>
        </is>
      </c>
    </row>
    <row r="2">
      <c r="A2" s="36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37">
        <f>Parametres!B24</f>
        <v/>
      </c>
    </row>
    <row r="6">
      <c r="A6" t="inlineStr">
        <is>
          <t>Q_plein réf. (m³/s)</t>
        </is>
      </c>
      <c r="B6" s="37">
        <f>Parametres!B22</f>
        <v/>
      </c>
    </row>
    <row r="7">
      <c r="A7" t="inlineStr">
        <is>
          <t>Vmax_B (m³)</t>
        </is>
      </c>
      <c r="B7" s="27">
        <f>MAX(G12:G24)</f>
        <v/>
      </c>
    </row>
    <row r="8">
      <c r="A8" t="inlineStr">
        <is>
          <t>Hmax_B (m)</t>
        </is>
      </c>
      <c r="B8" s="19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3" t="n">
        <v>0</v>
      </c>
      <c r="G12" s="30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3">
        <f>(A13-A12)*60</f>
        <v/>
      </c>
      <c r="G13" s="30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3">
        <f>(A14-A13)*60</f>
        <v/>
      </c>
      <c r="G14" s="30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3">
        <f>(A15-A14)*60</f>
        <v/>
      </c>
      <c r="G15" s="30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3">
        <f>(A16-A15)*60</f>
        <v/>
      </c>
      <c r="G16" s="30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3">
        <f>(A17-A16)*60</f>
        <v/>
      </c>
      <c r="G17" s="30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3">
        <f>(A18-A17)*60</f>
        <v/>
      </c>
      <c r="G18" s="30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3">
        <f>(A19-A18)*60</f>
        <v/>
      </c>
      <c r="G19" s="30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3">
        <f>(A20-A19)*60</f>
        <v/>
      </c>
      <c r="G20" s="30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3">
        <f>(A21-A20)*60</f>
        <v/>
      </c>
      <c r="G21" s="30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3">
        <f>(A22-A21)*60</f>
        <v/>
      </c>
      <c r="G22" s="30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3">
        <f>(A23-A22)*60</f>
        <v/>
      </c>
      <c r="G23" s="30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3">
        <f>(A24-A23)*60</f>
        <v/>
      </c>
      <c r="G24" s="30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55" customWidth="1" min="6" max="6"/>
  </cols>
  <sheetData>
    <row r="1">
      <c r="A1" s="21" t="inlineStr">
        <is>
          <t>Stage–storage du levé — V = f(WSE) → lire le niveau max</t>
        </is>
      </c>
    </row>
    <row r="2">
      <c r="A2" s="10" t="inlineStr">
        <is>
          <t>PROCÉDURE (dans CE fichier): 1) Routage → Vmax_A / Vmax_B sur Parametres (Calcul_A et Calcul_B). 2) Cette feuille calcule V cumulé vs NSE/WSE à partir des surfaces du levé (jaune). 3) Parametres!B30 = WSEmax_A (depuis Vmax_A); B36 = WSEmax_B (depuis Vmax_B). Remplacez les surfaces jaunes par vos polygones; 543 m² @ 37.28 et 1932 m² @ 39.5 sont vos mesures.</t>
        </is>
      </c>
    </row>
    <row r="3"/>
    <row r="4"/>
    <row r="6">
      <c r="A6" s="2" t="inlineStr">
        <is>
          <t>Formule d'un pas</t>
        </is>
      </c>
    </row>
    <row r="7">
      <c r="A7" s="38" t="inlineStr">
        <is>
          <t>V_pas (m³) = (A_basse + A_haute) / 2 × (WSE_haute − WSE_basse)</t>
        </is>
      </c>
    </row>
    <row r="8">
      <c r="A8" t="inlineStr">
        <is>
          <t>V_cumulatif = somme des V_pas depuis le radier</t>
        </is>
      </c>
    </row>
    <row r="10">
      <c r="A10" s="3" t="inlineStr">
        <is>
          <t>WSE / NSE (m)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28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Radier Ø900 — départ</t>
        </is>
      </c>
    </row>
    <row r="12">
      <c r="A12" s="28" t="n">
        <v>35.5</v>
      </c>
      <c r="B12" s="17" t="n">
        <v>80</v>
      </c>
      <c r="C12" s="28">
        <f>A12-A11</f>
        <v/>
      </c>
      <c r="D12" s="23">
        <f>0.5*(B11+B12)*C12</f>
        <v/>
      </c>
      <c r="E12" s="30">
        <f>E11+D12</f>
        <v/>
      </c>
      <c r="F12" s="4" t="inlineStr">
        <is>
          <t>Placeholder — remplacer par levé</t>
        </is>
      </c>
    </row>
    <row r="13">
      <c r="A13" s="28" t="n">
        <v>36</v>
      </c>
      <c r="B13" s="17" t="n">
        <v>180</v>
      </c>
      <c r="C13" s="28">
        <f>A13-A12</f>
        <v/>
      </c>
      <c r="D13" s="23">
        <f>0.5*(B12+B13)*C13</f>
        <v/>
      </c>
      <c r="E13" s="30">
        <f>E12+D13</f>
        <v/>
      </c>
      <c r="F13" s="4" t="inlineStr">
        <is>
          <t>Placeholder — remplacer par levé</t>
        </is>
      </c>
    </row>
    <row r="14">
      <c r="A14" s="28" t="n">
        <v>36.5</v>
      </c>
      <c r="B14" s="17" t="n">
        <v>320</v>
      </c>
      <c r="C14" s="28">
        <f>A14-A13</f>
        <v/>
      </c>
      <c r="D14" s="23">
        <f>0.5*(B13+B14)*C14</f>
        <v/>
      </c>
      <c r="E14" s="30">
        <f>E13+D14</f>
        <v/>
      </c>
      <c r="F14" s="4" t="inlineStr">
        <is>
          <t>Placeholder — remplacer par levé</t>
        </is>
      </c>
    </row>
    <row r="15">
      <c r="A15" s="28" t="n">
        <v>37</v>
      </c>
      <c r="B15" s="17" t="n">
        <v>480</v>
      </c>
      <c r="C15" s="28">
        <f>A15-A14</f>
        <v/>
      </c>
      <c r="D15" s="23">
        <f>0.5*(B14+B15)*C15</f>
        <v/>
      </c>
      <c r="E15" s="30">
        <f>E14+D15</f>
        <v/>
      </c>
      <c r="F15" s="4" t="inlineStr">
        <is>
          <t>Placeholder — remplacer par levé</t>
        </is>
      </c>
    </row>
    <row r="16">
      <c r="A16" s="35" t="n">
        <v>37.28</v>
      </c>
      <c r="B16" s="17" t="n">
        <v>543</v>
      </c>
      <c r="C16" s="35">
        <f>A16-A15</f>
        <v/>
      </c>
      <c r="D16" s="39">
        <f>0.5*(B15+B16)*C16</f>
        <v/>
      </c>
      <c r="E16" s="39">
        <f>E15+D16</f>
        <v/>
      </c>
      <c r="F16" s="7" t="inlineStr">
        <is>
          <t>LIMITE PATRON (+1.5 m crown) — votre levé</t>
        </is>
      </c>
    </row>
    <row r="17">
      <c r="A17" s="28" t="n">
        <v>37.5</v>
      </c>
      <c r="B17" s="17" t="n">
        <v>700</v>
      </c>
      <c r="C17" s="28">
        <f>A17-A16</f>
        <v/>
      </c>
      <c r="D17" s="23">
        <f>0.5*(B16+B17)*C17</f>
        <v/>
      </c>
      <c r="E17" s="30">
        <f>E16+D17</f>
        <v/>
      </c>
      <c r="F17" s="4" t="inlineStr">
        <is>
          <t>Placeholder — remplacer par levé</t>
        </is>
      </c>
    </row>
    <row r="18">
      <c r="A18" s="28" t="n">
        <v>39.5</v>
      </c>
      <c r="B18" s="17" t="n">
        <v>1932</v>
      </c>
      <c r="C18" s="28">
        <f>A18-A17</f>
        <v/>
      </c>
      <c r="D18" s="23">
        <f>0.5*(B17+B18)*C18</f>
        <v/>
      </c>
      <c r="E18" s="30">
        <f>E17+D18</f>
        <v/>
      </c>
      <c r="F18" s="4" t="inlineStr">
        <is>
          <t>Votre levé 1932 m² — niveau optionnel plus haut</t>
        </is>
      </c>
    </row>
    <row r="21">
      <c r="A21" t="inlineStr">
        <is>
          <t>Vmax_A (Calcul_A)</t>
        </is>
      </c>
      <c r="B21" s="18">
        <f>Parametres!B27</f>
        <v/>
      </c>
    </row>
    <row r="22">
      <c r="A22" t="inlineStr">
        <is>
          <t>WSEmax_A (m)</t>
        </is>
      </c>
      <c r="B22" s="38">
        <f>Parametres!B30</f>
        <v/>
      </c>
    </row>
    <row r="23">
      <c r="A23" t="inlineStr">
        <is>
          <t>Vmax_B (Calcul_B)</t>
        </is>
      </c>
      <c r="B23" s="18">
        <f>Parametres!B34</f>
        <v/>
      </c>
    </row>
    <row r="24">
      <c r="A24" t="inlineStr">
        <is>
          <t>WSEmax_B (m)</t>
        </is>
      </c>
      <c r="B24" s="38">
        <f>Parametres!B36</f>
        <v/>
      </c>
    </row>
    <row r="25">
      <c r="A25" t="inlineStr">
        <is>
          <t>V disponible à 37.28 m (m³)</t>
        </is>
      </c>
      <c r="B25" s="40">
        <f>E16</f>
        <v/>
      </c>
      <c r="C25" t="inlineStr">
        <is>
          <t>Si Vmax_A ou Vmax_B &gt; cette valeur → le niveau dépasse la limite patron</t>
        </is>
      </c>
    </row>
    <row r="27">
      <c r="A27" s="2" t="inlineStr">
        <is>
          <t>Comment lire le résultat</t>
        </is>
      </c>
    </row>
    <row r="28">
      <c r="A28" s="36" t="inlineStr">
        <is>
          <t>Exemple: si Vmax_A = 5609 m³ et V(37.28)≈558 m³, alors WSEmax_A est au-dessus de 37.28 m (la table ira vers 39.5 m ou 'Hors table'). Affinez en entrant les vraies surfaces aux cotes intermédiaires (jaune). Parametres montre WSEmax_A (B30) et WSEmax_B (B36) séparément.</t>
        </is>
      </c>
    </row>
    <row r="29"/>
    <row r="30"/>
  </sheetData>
  <mergeCells count="4">
    <mergeCell ref="A8:F8"/>
    <mergeCell ref="A2:G4"/>
    <mergeCell ref="A28:F30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1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2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deux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>4. Méthode A: Qout = constante = Q_plein (jaune Parametres). Bon pour 1re estimation.</t>
        </is>
      </c>
    </row>
    <row r="9">
      <c r="A9" t="inlineStr">
        <is>
          <t>5. Méthode B: Qout lu sur la courbe selon H=V/Aire (charge amont).</t>
        </is>
      </c>
    </row>
    <row r="10">
      <c r="A10" t="inlineStr">
        <is>
          <t>6. Sur ce Ø900 (L/D≈56), le calcul FHWA indique surtout un contrôle outlet.</t>
        </is>
      </c>
    </row>
    <row r="11">
      <c r="A11" t="inlineStr">
        <is>
          <t>7. Le Ø1200 est aval: n'augmente pas la sortie de la rétention.</t>
        </is>
      </c>
    </row>
    <row r="12">
      <c r="A12" t="inlineStr"/>
    </row>
    <row r="13">
      <c r="A13" t="inlineStr">
        <is>
          <t>8. Niveau d'eau max: Stage_Storage + Parametres!B30 (WSEmax_A) et B36 (WSEmax_B).</t>
        </is>
      </c>
    </row>
    <row r="14">
      <c r="A14" t="inlineStr"/>
    </row>
    <row r="15">
      <c r="A15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2026-09-13T12:12:18Z</dcterms:created>
  <dcterms:modified xsi:type="dcterms:W3CDTF">2026-09-13T12:12:18Z</dcterms:modified>
</cp:coreProperties>
</file>