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ison" sheetId="1" state="visible" r:id="rId1"/>
    <sheet name="Detail_PipeSeul" sheetId="2" state="visible" r:id="rId2"/>
    <sheet name="Detail_Composite" sheetId="3" state="visible" r:id="rId3"/>
    <sheet name="Metho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  <color rgb="00FFFFFF"/>
    </font>
    <font>
      <b val="1"/>
    </font>
    <font>
      <b val="1"/>
      <color rgb="000F5C5C"/>
    </font>
    <font>
      <b val="1"/>
      <color rgb="000F5C5C"/>
      <sz val="13"/>
    </font>
  </fonts>
  <fills count="7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FFE0B2"/>
      </patternFill>
    </fill>
    <fill>
      <patternFill patternType="solid">
        <fgColor rgb="000F5C5C"/>
      </patternFill>
    </fill>
    <fill>
      <patternFill patternType="solid">
        <fgColor rgb="00BBDEFB"/>
      </patternFill>
    </fill>
    <fill>
      <patternFill patternType="solid">
        <fgColor rgb="00C8E6C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64" fontId="0" fillId="2" borderId="1" pivotButton="0" quotePrefix="0" xfId="0"/>
    <xf numFmtId="0" fontId="0" fillId="3" borderId="0" pivotButton="0" quotePrefix="0" xfId="0"/>
    <xf numFmtId="2" fontId="0" fillId="2" borderId="1" pivotButton="0" quotePrefix="0" xfId="0"/>
    <xf numFmtId="0" fontId="2" fillId="4" borderId="1" pivotButton="0" quotePrefix="0" xfId="0"/>
    <xf numFmtId="165" fontId="0" fillId="5" borderId="1" pivotButton="0" quotePrefix="0" xfId="0"/>
    <xf numFmtId="165" fontId="0" fillId="6" borderId="1" pivotButton="0" quotePrefix="0" xfId="0"/>
    <xf numFmtId="165" fontId="0" fillId="0" borderId="1" pivotButton="0" quotePrefix="0" xfId="0"/>
    <xf numFmtId="2" fontId="0" fillId="5" borderId="1" pivotButton="0" quotePrefix="0" xfId="0"/>
    <xf numFmtId="2" fontId="0" fillId="6" borderId="1" pivotButton="0" quotePrefix="0" xfId="0"/>
    <xf numFmtId="2" fontId="0" fillId="0" borderId="1" pivotButton="0" quotePrefix="0" xfId="0"/>
    <xf numFmtId="164" fontId="0" fillId="5" borderId="1" pivotButton="0" quotePrefix="0" xfId="0"/>
    <xf numFmtId="164" fontId="0" fillId="6" borderId="1" pivotButton="0" quotePrefix="0" xfId="0"/>
    <xf numFmtId="164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1" fontId="0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Cas C — WSE et Q_down</a:t>
            </a:r>
          </a:p>
        </rich>
      </tx>
    </title>
    <plotArea>
      <lineChart>
        <grouping val="standard"/>
        <ser>
          <idx val="0"/>
          <order val="0"/>
          <tx>
            <strRef>
              <f>'Detail_Composite'!C10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'Detail_Composite'!$A$11:$A$23</f>
            </numRef>
          </cat>
          <val>
            <numRef>
              <f>'Detail_Composite'!$C$11:$C$23</f>
            </numRef>
          </val>
        </ser>
        <ser>
          <idx val="1"/>
          <order val="1"/>
          <tx>
            <strRef>
              <f>'Detail_Composite'!F10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'Detail_Composite'!$A$11:$A$23</f>
            </numRef>
          </cat>
          <val>
            <numRef>
              <f>'Detail_Composite'!$F$11:$F$23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2" customWidth="1" min="4" max="4"/>
    <col width="12" customWidth="1" min="5" max="5"/>
  </cols>
  <sheetData>
    <row r="1">
      <c r="A1" s="1" t="inlineStr">
        <is>
          <t>FILE 2 — Comparaison: pipe seul vs pipe + fosse (Idee 2)</t>
        </is>
      </c>
    </row>
    <row r="2">
      <c r="A2" s="2" t="inlineStr">
        <is>
          <t>Meme orage et meme bassin. Cas A = Ø1200 seul. Cas C = Ø1200 + overflow trapèze si WSE ≥ crest.</t>
        </is>
      </c>
    </row>
    <row r="3"/>
    <row r="5">
      <c r="A5" t="inlineStr">
        <is>
          <t>Qpointe (m3/s)</t>
        </is>
      </c>
      <c r="B5" s="3" t="n">
        <v>9.6</v>
      </c>
      <c r="C5" s="4" t="inlineStr">
        <is>
          <t>Apres changement: python3 build_retention_files_2_to_5.py</t>
        </is>
      </c>
    </row>
    <row r="6">
      <c r="A6" t="inlineStr">
        <is>
          <t>Crest (m)</t>
        </is>
      </c>
      <c r="B6" s="5" t="n">
        <v>37.28</v>
      </c>
    </row>
    <row r="7">
      <c r="A7" t="inlineStr">
        <is>
          <t>Facteur securite (-)</t>
        </is>
      </c>
      <c r="B7" s="5" t="n">
        <v>1.2</v>
      </c>
    </row>
    <row r="9">
      <c r="A9" s="6" t="inlineStr">
        <is>
          <t>Indicateur</t>
        </is>
      </c>
      <c r="B9" s="6" t="inlineStr">
        <is>
          <t>Cas A — pipe seul</t>
        </is>
      </c>
      <c r="C9" s="6" t="inlineStr">
        <is>
          <t>Cas C — composite</t>
        </is>
      </c>
      <c r="D9" s="6" t="inlineStr">
        <is>
          <t>Ecart C−A</t>
        </is>
      </c>
    </row>
    <row r="10">
      <c r="A10" t="inlineStr">
        <is>
          <t>V_hold (m3)</t>
        </is>
      </c>
      <c r="B10" s="7" t="n">
        <v>791.9172087208271</v>
      </c>
      <c r="C10" s="8" t="n">
        <v>791.9172087208271</v>
      </c>
      <c r="D10" s="9" t="n">
        <v>0</v>
      </c>
    </row>
    <row r="11">
      <c r="A11" t="inlineStr">
        <is>
          <t>V_dim = V_hold × facteur</t>
        </is>
      </c>
      <c r="B11" s="7" t="n">
        <v>950.3006504649925</v>
      </c>
      <c r="C11" s="8" t="n">
        <v>950.3006504649925</v>
      </c>
      <c r="D11" s="9" t="n">
        <v>0</v>
      </c>
    </row>
    <row r="12">
      <c r="A12" t="inlineStr">
        <is>
          <t>WSEmax (m)</t>
        </is>
      </c>
      <c r="B12" s="10" t="n">
        <v>37.06649568795122</v>
      </c>
      <c r="C12" s="11" t="n">
        <v>37.06649568795122</v>
      </c>
      <c r="D12" s="12" t="n">
        <v>0</v>
      </c>
    </row>
    <row r="13">
      <c r="A13" t="inlineStr">
        <is>
          <t>Q_down max (m3/s)</t>
        </is>
      </c>
      <c r="B13" s="13" t="n">
        <v>7.025489948227896</v>
      </c>
      <c r="C13" s="14" t="n">
        <v>7.025489948227896</v>
      </c>
      <c r="D13" s="15" t="n">
        <v>0</v>
      </c>
    </row>
    <row r="14">
      <c r="A14" t="inlineStr">
        <is>
          <t>Q_1200 a la pointe</t>
        </is>
      </c>
      <c r="B14" s="13" t="n">
        <v>7.025489948227896</v>
      </c>
      <c r="C14" s="14" t="n">
        <v>7.025489948227896</v>
      </c>
      <c r="D14" s="15" t="n">
        <v>0</v>
      </c>
    </row>
    <row r="15">
      <c r="A15" t="inlineStr">
        <is>
          <t>Q_overflow a la pointe</t>
        </is>
      </c>
      <c r="B15" s="13" t="n">
        <v>0</v>
      </c>
      <c r="C15" s="14" t="n">
        <v>0</v>
      </c>
      <c r="D15" s="15" t="n">
        <v>0</v>
      </c>
    </row>
    <row r="16">
      <c r="A16" t="inlineStr">
        <is>
          <t>V_overflow (m3)</t>
        </is>
      </c>
      <c r="B16" s="7" t="n">
        <v>0</v>
      </c>
      <c r="C16" s="8" t="n">
        <v>0</v>
      </c>
      <c r="D16" s="9" t="n">
        <v>0</v>
      </c>
    </row>
    <row r="18">
      <c r="A18" s="16" t="inlineStr">
        <is>
          <t>Lecture</t>
        </is>
      </c>
    </row>
    <row r="19">
      <c r="A19" s="2" t="inlineStr">
        <is>
          <t>Si C a WSEmax plus bas et Q_down plus haut: overflow protege l'amont mais augmente la pointe aval. V_hold = volume a retenir a l'entree Ø1200.</t>
        </is>
      </c>
    </row>
    <row r="20"/>
  </sheetData>
  <mergeCells count="3">
    <mergeCell ref="A19:E20"/>
    <mergeCell ref="A1:E1"/>
    <mergeCell ref="A2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Cas A — pipe seul</t>
        </is>
      </c>
    </row>
    <row r="10">
      <c r="A10" s="6" t="inlineStr">
        <is>
          <t>t (min)</t>
        </is>
      </c>
      <c r="B10" s="6" t="inlineStr">
        <is>
          <t>Qin</t>
        </is>
      </c>
      <c r="C10" s="6" t="inlineStr">
        <is>
          <t>WSE</t>
        </is>
      </c>
      <c r="D10" s="6" t="inlineStr">
        <is>
          <t>Q_1200</t>
        </is>
      </c>
      <c r="E10" s="6" t="inlineStr">
        <is>
          <t>Q_overflow</t>
        </is>
      </c>
      <c r="F10" s="6" t="inlineStr">
        <is>
          <t>Q_down</t>
        </is>
      </c>
      <c r="G10" s="6" t="inlineStr">
        <is>
          <t>V (m3)</t>
        </is>
      </c>
      <c r="H10" s="6" t="inlineStr">
        <is>
          <t>dt (s)</t>
        </is>
      </c>
      <c r="I10" s="6" t="inlineStr">
        <is>
          <t>dV_ov (m3)</t>
        </is>
      </c>
    </row>
    <row r="11">
      <c r="A11" s="9" t="n">
        <v>0</v>
      </c>
      <c r="B11" s="15" t="n">
        <v>0.7780000000000001</v>
      </c>
      <c r="C11" s="12" t="n">
        <v>34.88</v>
      </c>
      <c r="D11" s="15" t="n">
        <v>0.7780000000000001</v>
      </c>
      <c r="E11" s="15" t="n">
        <v>0</v>
      </c>
      <c r="F11" s="15" t="n">
        <v>0.7780000000000001</v>
      </c>
      <c r="G11" s="8" t="n">
        <v>0</v>
      </c>
      <c r="H11" s="18" t="n">
        <v>0</v>
      </c>
      <c r="I11" s="9" t="n">
        <v>0</v>
      </c>
    </row>
    <row r="12">
      <c r="A12" s="9" t="n">
        <v>5</v>
      </c>
      <c r="B12" s="15" t="n">
        <v>1.17</v>
      </c>
      <c r="C12" s="12" t="n">
        <v>34.88</v>
      </c>
      <c r="D12" s="15" t="n">
        <v>4.706338113931656</v>
      </c>
      <c r="E12" s="15" t="n">
        <v>0</v>
      </c>
      <c r="F12" s="15" t="n">
        <v>4.706338113931656</v>
      </c>
      <c r="G12" s="8" t="n">
        <v>0</v>
      </c>
      <c r="H12" s="18" t="n">
        <v>300</v>
      </c>
      <c r="I12" s="9" t="n">
        <v>0</v>
      </c>
    </row>
    <row r="13">
      <c r="A13" s="9" t="n">
        <v>10</v>
      </c>
      <c r="B13" s="15" t="n">
        <v>1.857</v>
      </c>
      <c r="C13" s="12" t="n">
        <v>34.88</v>
      </c>
      <c r="D13" s="15" t="n">
        <v>4.706338113931656</v>
      </c>
      <c r="E13" s="15" t="n">
        <v>0</v>
      </c>
      <c r="F13" s="15" t="n">
        <v>4.706338113931656</v>
      </c>
      <c r="G13" s="8" t="n">
        <v>0</v>
      </c>
      <c r="H13" s="18" t="n">
        <v>300</v>
      </c>
      <c r="I13" s="9" t="n">
        <v>0</v>
      </c>
    </row>
    <row r="14">
      <c r="A14" s="9" t="n">
        <v>15</v>
      </c>
      <c r="B14" s="15" t="n">
        <v>3.202</v>
      </c>
      <c r="C14" s="12" t="n">
        <v>34.88</v>
      </c>
      <c r="D14" s="15" t="n">
        <v>4.706338113931656</v>
      </c>
      <c r="E14" s="15" t="n">
        <v>0</v>
      </c>
      <c r="F14" s="15" t="n">
        <v>4.706338113931656</v>
      </c>
      <c r="G14" s="8" t="n">
        <v>0</v>
      </c>
      <c r="H14" s="18" t="n">
        <v>300</v>
      </c>
      <c r="I14" s="9" t="n">
        <v>0</v>
      </c>
    </row>
    <row r="15">
      <c r="A15" s="9" t="n">
        <v>20</v>
      </c>
      <c r="B15" s="15" t="n">
        <v>6.309</v>
      </c>
      <c r="C15" s="12" t="n">
        <v>35.12580943034172</v>
      </c>
      <c r="D15" s="15" t="n">
        <v>5.020794171455852</v>
      </c>
      <c r="E15" s="15" t="n">
        <v>0</v>
      </c>
      <c r="F15" s="15" t="n">
        <v>5.020794171455852</v>
      </c>
      <c r="G15" s="8" t="n">
        <v>14.74856582050315</v>
      </c>
      <c r="H15" s="18" t="n">
        <v>300</v>
      </c>
      <c r="I15" s="9" t="n">
        <v>0</v>
      </c>
    </row>
    <row r="16">
      <c r="A16" s="9" t="n">
        <v>22.5</v>
      </c>
      <c r="B16" s="15" t="n">
        <v>9.6</v>
      </c>
      <c r="C16" s="12" t="n">
        <v>36.59984073350354</v>
      </c>
      <c r="D16" s="15" t="n">
        <v>6.599290771270994</v>
      </c>
      <c r="E16" s="15" t="n">
        <v>0</v>
      </c>
      <c r="F16" s="15" t="n">
        <v>6.599290771270994</v>
      </c>
      <c r="G16" s="8" t="n">
        <v>454.8044401021253</v>
      </c>
      <c r="H16" s="18" t="n">
        <v>150</v>
      </c>
      <c r="I16" s="9" t="n">
        <v>0</v>
      </c>
    </row>
    <row r="17">
      <c r="A17" s="9" t="n">
        <v>27.5</v>
      </c>
      <c r="B17" s="15" t="n">
        <v>5.846</v>
      </c>
      <c r="C17" s="12" t="n">
        <v>37.06649568795122</v>
      </c>
      <c r="D17" s="15" t="n">
        <v>7.025489948227896</v>
      </c>
      <c r="E17" s="15" t="n">
        <v>0</v>
      </c>
      <c r="F17" s="15" t="n">
        <v>7.025489948227896</v>
      </c>
      <c r="G17" s="8" t="n">
        <v>791.9172087208271</v>
      </c>
      <c r="H17" s="18" t="n">
        <v>300</v>
      </c>
      <c r="I17" s="9" t="n">
        <v>0</v>
      </c>
    </row>
    <row r="18">
      <c r="A18" s="9" t="n">
        <v>32.5</v>
      </c>
      <c r="B18" s="15" t="n">
        <v>3.857</v>
      </c>
      <c r="C18" s="12" t="n">
        <v>35.88040899537091</v>
      </c>
      <c r="D18" s="15" t="n">
        <v>5.882033125246534</v>
      </c>
      <c r="E18" s="15" t="n">
        <v>0</v>
      </c>
      <c r="F18" s="15" t="n">
        <v>5.882033125246534</v>
      </c>
      <c r="G18" s="8" t="n">
        <v>139.7202242524584</v>
      </c>
      <c r="H18" s="18" t="n">
        <v>300</v>
      </c>
      <c r="I18" s="9" t="n">
        <v>0</v>
      </c>
    </row>
    <row r="19">
      <c r="A19" s="9" t="n">
        <v>37.5</v>
      </c>
      <c r="B19" s="15" t="n">
        <v>2.689000000000001</v>
      </c>
      <c r="C19" s="12" t="n">
        <v>34.88</v>
      </c>
      <c r="D19" s="15" t="n">
        <v>4.706338113931656</v>
      </c>
      <c r="E19" s="15" t="n">
        <v>0</v>
      </c>
      <c r="F19" s="15" t="n">
        <v>4.706338113931656</v>
      </c>
      <c r="G19" s="8" t="n">
        <v>0</v>
      </c>
      <c r="H19" s="18" t="n">
        <v>300</v>
      </c>
      <c r="I19" s="9" t="n">
        <v>0</v>
      </c>
    </row>
    <row r="20">
      <c r="A20" s="9" t="n">
        <v>42.5</v>
      </c>
      <c r="B20" s="15" t="n">
        <v>1.953</v>
      </c>
      <c r="C20" s="12" t="n">
        <v>34.88</v>
      </c>
      <c r="D20" s="15" t="n">
        <v>4.706338113931656</v>
      </c>
      <c r="E20" s="15" t="n">
        <v>0</v>
      </c>
      <c r="F20" s="15" t="n">
        <v>4.706338113931656</v>
      </c>
      <c r="G20" s="8" t="n">
        <v>0</v>
      </c>
      <c r="H20" s="18" t="n">
        <v>300</v>
      </c>
      <c r="I20" s="9" t="n">
        <v>0</v>
      </c>
    </row>
    <row r="21">
      <c r="A21" s="9" t="n">
        <v>47.5</v>
      </c>
      <c r="B21" s="15" t="n">
        <v>1.462</v>
      </c>
      <c r="C21" s="12" t="n">
        <v>34.88</v>
      </c>
      <c r="D21" s="15" t="n">
        <v>4.706338113931656</v>
      </c>
      <c r="E21" s="15" t="n">
        <v>0</v>
      </c>
      <c r="F21" s="15" t="n">
        <v>4.706338113931656</v>
      </c>
      <c r="G21" s="8" t="n">
        <v>0</v>
      </c>
      <c r="H21" s="18" t="n">
        <v>300</v>
      </c>
      <c r="I21" s="9" t="n">
        <v>0</v>
      </c>
    </row>
    <row r="22">
      <c r="A22" s="9" t="n">
        <v>52.5</v>
      </c>
      <c r="B22" s="15" t="n">
        <v>1.121</v>
      </c>
      <c r="C22" s="12" t="n">
        <v>34.88</v>
      </c>
      <c r="D22" s="15" t="n">
        <v>4.706338113931656</v>
      </c>
      <c r="E22" s="15" t="n">
        <v>0</v>
      </c>
      <c r="F22" s="15" t="n">
        <v>4.706338113931656</v>
      </c>
      <c r="G22" s="8" t="n">
        <v>0</v>
      </c>
      <c r="H22" s="18" t="n">
        <v>300</v>
      </c>
      <c r="I22" s="9" t="n">
        <v>0</v>
      </c>
    </row>
    <row r="23">
      <c r="A23" s="9" t="n">
        <v>57.5</v>
      </c>
      <c r="B23" s="15" t="n">
        <v>0.8750000000000001</v>
      </c>
      <c r="C23" s="12" t="n">
        <v>34.88</v>
      </c>
      <c r="D23" s="15" t="n">
        <v>4.706338113931656</v>
      </c>
      <c r="E23" s="15" t="n">
        <v>0</v>
      </c>
      <c r="F23" s="15" t="n">
        <v>4.706338113931656</v>
      </c>
      <c r="G23" s="8" t="n">
        <v>0</v>
      </c>
      <c r="H23" s="18" t="n">
        <v>300</v>
      </c>
      <c r="I23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Cas C — composite</t>
        </is>
      </c>
    </row>
    <row r="10">
      <c r="A10" s="6" t="inlineStr">
        <is>
          <t>t (min)</t>
        </is>
      </c>
      <c r="B10" s="6" t="inlineStr">
        <is>
          <t>Qin</t>
        </is>
      </c>
      <c r="C10" s="6" t="inlineStr">
        <is>
          <t>WSE</t>
        </is>
      </c>
      <c r="D10" s="6" t="inlineStr">
        <is>
          <t>Q_1200</t>
        </is>
      </c>
      <c r="E10" s="6" t="inlineStr">
        <is>
          <t>Q_overflow</t>
        </is>
      </c>
      <c r="F10" s="6" t="inlineStr">
        <is>
          <t>Q_down</t>
        </is>
      </c>
      <c r="G10" s="6" t="inlineStr">
        <is>
          <t>V (m3)</t>
        </is>
      </c>
      <c r="H10" s="6" t="inlineStr">
        <is>
          <t>dt (s)</t>
        </is>
      </c>
      <c r="I10" s="6" t="inlineStr">
        <is>
          <t>dV_ov (m3)</t>
        </is>
      </c>
    </row>
    <row r="11">
      <c r="A11" s="9" t="n">
        <v>0</v>
      </c>
      <c r="B11" s="15" t="n">
        <v>0.7780000000000001</v>
      </c>
      <c r="C11" s="12" t="n">
        <v>34.88</v>
      </c>
      <c r="D11" s="15" t="n">
        <v>0.7780000000000001</v>
      </c>
      <c r="E11" s="15" t="n">
        <v>0</v>
      </c>
      <c r="F11" s="15" t="n">
        <v>0.7780000000000001</v>
      </c>
      <c r="G11" s="8" t="n">
        <v>0</v>
      </c>
      <c r="H11" s="18" t="n">
        <v>0</v>
      </c>
      <c r="I11" s="9" t="n">
        <v>0</v>
      </c>
    </row>
    <row r="12">
      <c r="A12" s="9" t="n">
        <v>5</v>
      </c>
      <c r="B12" s="15" t="n">
        <v>1.17</v>
      </c>
      <c r="C12" s="12" t="n">
        <v>34.88</v>
      </c>
      <c r="D12" s="15" t="n">
        <v>4.706338113931656</v>
      </c>
      <c r="E12" s="15" t="n">
        <v>0</v>
      </c>
      <c r="F12" s="15" t="n">
        <v>4.706338113931656</v>
      </c>
      <c r="G12" s="8" t="n">
        <v>0</v>
      </c>
      <c r="H12" s="18" t="n">
        <v>300</v>
      </c>
      <c r="I12" s="9" t="n">
        <v>0</v>
      </c>
    </row>
    <row r="13">
      <c r="A13" s="9" t="n">
        <v>10</v>
      </c>
      <c r="B13" s="15" t="n">
        <v>1.857</v>
      </c>
      <c r="C13" s="12" t="n">
        <v>34.88</v>
      </c>
      <c r="D13" s="15" t="n">
        <v>4.706338113931656</v>
      </c>
      <c r="E13" s="15" t="n">
        <v>0</v>
      </c>
      <c r="F13" s="15" t="n">
        <v>4.706338113931656</v>
      </c>
      <c r="G13" s="8" t="n">
        <v>0</v>
      </c>
      <c r="H13" s="18" t="n">
        <v>300</v>
      </c>
      <c r="I13" s="9" t="n">
        <v>0</v>
      </c>
    </row>
    <row r="14">
      <c r="A14" s="9" t="n">
        <v>15</v>
      </c>
      <c r="B14" s="15" t="n">
        <v>3.202</v>
      </c>
      <c r="C14" s="12" t="n">
        <v>34.88</v>
      </c>
      <c r="D14" s="15" t="n">
        <v>4.706338113931656</v>
      </c>
      <c r="E14" s="15" t="n">
        <v>0</v>
      </c>
      <c r="F14" s="15" t="n">
        <v>4.706338113931656</v>
      </c>
      <c r="G14" s="8" t="n">
        <v>0</v>
      </c>
      <c r="H14" s="18" t="n">
        <v>300</v>
      </c>
      <c r="I14" s="9" t="n">
        <v>0</v>
      </c>
    </row>
    <row r="15">
      <c r="A15" s="9" t="n">
        <v>20</v>
      </c>
      <c r="B15" s="15" t="n">
        <v>6.309</v>
      </c>
      <c r="C15" s="12" t="n">
        <v>35.12580943034172</v>
      </c>
      <c r="D15" s="15" t="n">
        <v>5.020794171455852</v>
      </c>
      <c r="E15" s="15" t="n">
        <v>0</v>
      </c>
      <c r="F15" s="15" t="n">
        <v>5.020794171455852</v>
      </c>
      <c r="G15" s="8" t="n">
        <v>14.74856582050315</v>
      </c>
      <c r="H15" s="18" t="n">
        <v>300</v>
      </c>
      <c r="I15" s="9" t="n">
        <v>0</v>
      </c>
    </row>
    <row r="16">
      <c r="A16" s="9" t="n">
        <v>22.5</v>
      </c>
      <c r="B16" s="15" t="n">
        <v>9.6</v>
      </c>
      <c r="C16" s="12" t="n">
        <v>36.59984073350354</v>
      </c>
      <c r="D16" s="15" t="n">
        <v>6.599290771270994</v>
      </c>
      <c r="E16" s="15" t="n">
        <v>0</v>
      </c>
      <c r="F16" s="15" t="n">
        <v>6.599290771270994</v>
      </c>
      <c r="G16" s="8" t="n">
        <v>454.8044401021253</v>
      </c>
      <c r="H16" s="18" t="n">
        <v>150</v>
      </c>
      <c r="I16" s="9" t="n">
        <v>0</v>
      </c>
    </row>
    <row r="17">
      <c r="A17" s="9" t="n">
        <v>27.5</v>
      </c>
      <c r="B17" s="15" t="n">
        <v>5.846</v>
      </c>
      <c r="C17" s="12" t="n">
        <v>37.06649568795122</v>
      </c>
      <c r="D17" s="15" t="n">
        <v>7.025489948227896</v>
      </c>
      <c r="E17" s="15" t="n">
        <v>0</v>
      </c>
      <c r="F17" s="15" t="n">
        <v>7.025489948227896</v>
      </c>
      <c r="G17" s="8" t="n">
        <v>791.9172087208271</v>
      </c>
      <c r="H17" s="18" t="n">
        <v>300</v>
      </c>
      <c r="I17" s="9" t="n">
        <v>0</v>
      </c>
    </row>
    <row r="18">
      <c r="A18" s="9" t="n">
        <v>32.5</v>
      </c>
      <c r="B18" s="15" t="n">
        <v>3.857</v>
      </c>
      <c r="C18" s="12" t="n">
        <v>35.88040899537091</v>
      </c>
      <c r="D18" s="15" t="n">
        <v>5.882033125246534</v>
      </c>
      <c r="E18" s="15" t="n">
        <v>0</v>
      </c>
      <c r="F18" s="15" t="n">
        <v>5.882033125246534</v>
      </c>
      <c r="G18" s="8" t="n">
        <v>139.7202242524584</v>
      </c>
      <c r="H18" s="18" t="n">
        <v>300</v>
      </c>
      <c r="I18" s="9" t="n">
        <v>0</v>
      </c>
    </row>
    <row r="19">
      <c r="A19" s="9" t="n">
        <v>37.5</v>
      </c>
      <c r="B19" s="15" t="n">
        <v>2.689000000000001</v>
      </c>
      <c r="C19" s="12" t="n">
        <v>34.88</v>
      </c>
      <c r="D19" s="15" t="n">
        <v>4.706338113931656</v>
      </c>
      <c r="E19" s="15" t="n">
        <v>0</v>
      </c>
      <c r="F19" s="15" t="n">
        <v>4.706338113931656</v>
      </c>
      <c r="G19" s="8" t="n">
        <v>0</v>
      </c>
      <c r="H19" s="18" t="n">
        <v>300</v>
      </c>
      <c r="I19" s="9" t="n">
        <v>0</v>
      </c>
    </row>
    <row r="20">
      <c r="A20" s="9" t="n">
        <v>42.5</v>
      </c>
      <c r="B20" s="15" t="n">
        <v>1.953</v>
      </c>
      <c r="C20" s="12" t="n">
        <v>34.88</v>
      </c>
      <c r="D20" s="15" t="n">
        <v>4.706338113931656</v>
      </c>
      <c r="E20" s="15" t="n">
        <v>0</v>
      </c>
      <c r="F20" s="15" t="n">
        <v>4.706338113931656</v>
      </c>
      <c r="G20" s="8" t="n">
        <v>0</v>
      </c>
      <c r="H20" s="18" t="n">
        <v>300</v>
      </c>
      <c r="I20" s="9" t="n">
        <v>0</v>
      </c>
    </row>
    <row r="21">
      <c r="A21" s="9" t="n">
        <v>47.5</v>
      </c>
      <c r="B21" s="15" t="n">
        <v>1.462</v>
      </c>
      <c r="C21" s="12" t="n">
        <v>34.88</v>
      </c>
      <c r="D21" s="15" t="n">
        <v>4.706338113931656</v>
      </c>
      <c r="E21" s="15" t="n">
        <v>0</v>
      </c>
      <c r="F21" s="15" t="n">
        <v>4.706338113931656</v>
      </c>
      <c r="G21" s="8" t="n">
        <v>0</v>
      </c>
      <c r="H21" s="18" t="n">
        <v>300</v>
      </c>
      <c r="I21" s="9" t="n">
        <v>0</v>
      </c>
    </row>
    <row r="22">
      <c r="A22" s="9" t="n">
        <v>52.5</v>
      </c>
      <c r="B22" s="15" t="n">
        <v>1.121</v>
      </c>
      <c r="C22" s="12" t="n">
        <v>34.88</v>
      </c>
      <c r="D22" s="15" t="n">
        <v>4.706338113931656</v>
      </c>
      <c r="E22" s="15" t="n">
        <v>0</v>
      </c>
      <c r="F22" s="15" t="n">
        <v>4.706338113931656</v>
      </c>
      <c r="G22" s="8" t="n">
        <v>0</v>
      </c>
      <c r="H22" s="18" t="n">
        <v>300</v>
      </c>
      <c r="I22" s="9" t="n">
        <v>0</v>
      </c>
    </row>
    <row r="23">
      <c r="A23" s="9" t="n">
        <v>57.5</v>
      </c>
      <c r="B23" s="15" t="n">
        <v>0.8750000000000001</v>
      </c>
      <c r="C23" s="12" t="n">
        <v>34.88</v>
      </c>
      <c r="D23" s="15" t="n">
        <v>4.706338113931656</v>
      </c>
      <c r="E23" s="15" t="n">
        <v>0</v>
      </c>
      <c r="F23" s="15" t="n">
        <v>4.706338113931656</v>
      </c>
      <c r="G23" s="8" t="n">
        <v>0</v>
      </c>
      <c r="H23" s="18" t="n">
        <v>300</v>
      </c>
      <c r="I23" s="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9" t="inlineStr">
        <is>
          <t>FILE 2 — Methode</t>
        </is>
      </c>
    </row>
    <row r="3">
      <c r="A3" t="inlineStr">
        <is>
          <t>Idee 2: comparer deux sorties pour le meme bassin / orage.</t>
        </is>
      </c>
    </row>
    <row r="4">
      <c r="A4" t="inlineStr">
        <is>
          <t xml:space="preserve">  A) Qout = Q_1200 seulement</t>
        </is>
      </c>
    </row>
    <row r="5">
      <c r="A5" t="inlineStr">
        <is>
          <t xml:space="preserve">  C) Qout = Q_1200 + Q_overflow (si WSE ≥ crest)</t>
        </is>
      </c>
    </row>
    <row r="6">
      <c r="A6" t="inlineStr"/>
    </row>
    <row r="7">
      <c r="A7" t="inlineStr">
        <is>
          <t>V_hold = volume max stocke a l'entree du Ø1200.</t>
        </is>
      </c>
    </row>
    <row r="8">
      <c r="A8" t="inlineStr">
        <is>
          <t>V_overflow = volume cumule parti par la fosse.</t>
        </is>
      </c>
    </row>
    <row r="9">
      <c r="A9" t="inlineStr"/>
    </row>
    <row r="10">
      <c r="A10" t="inlineStr">
        <is>
          <t>Editez Qpointe/Crest (jaune) puis: python3 build_retention_files_2_to_5.py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2026-09-21T09:25:55Z</dcterms:created>
  <dcterms:modified xsi:type="dcterms:W3CDTF">2026-09-21T09:25:55Z</dcterms:modified>
</cp:coreProperties>
</file>