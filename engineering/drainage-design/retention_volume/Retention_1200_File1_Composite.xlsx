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Hydrogramme" sheetId="2" state="visible" r:id="rId2"/>
    <sheet name="Stage_Storage" sheetId="3" state="visible" r:id="rId3"/>
    <sheet name="Courbe_QH_1200" sheetId="4" state="visible" r:id="rId4"/>
    <sheet name="Compose" sheetId="5" state="visible" r:id="rId5"/>
    <sheet name="Calcul_Composite" sheetId="6" state="visible" r:id="rId6"/>
    <sheet name="Metho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6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0F5C5C"/>
      <sz val="12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0F5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164" fontId="0" fillId="2" borderId="1" pivotButton="0" quotePrefix="0" xfId="0"/>
    <xf numFmtId="2" fontId="0" fillId="2" borderId="1" pivotButton="0" quotePrefix="0" xfId="0"/>
    <xf numFmtId="165" fontId="0" fillId="3" borderId="0" pivotButton="0" quotePrefix="0" xfId="0"/>
    <xf numFmtId="164" fontId="0" fillId="3" borderId="0" pivotButton="0" quotePrefix="0" xfId="0"/>
    <xf numFmtId="164" fontId="0" fillId="4" borderId="1" pivotButton="0" quotePrefix="0" xfId="0"/>
    <xf numFmtId="166" fontId="0" fillId="2" borderId="1" pivotButton="0" quotePrefix="0" xfId="0"/>
    <xf numFmtId="167" fontId="0" fillId="2" borderId="1" pivotButton="0" quotePrefix="0" xfId="0"/>
    <xf numFmtId="0" fontId="3" fillId="0" borderId="0" pivotButton="0" quotePrefix="0" xfId="0"/>
    <xf numFmtId="166" fontId="0" fillId="4" borderId="0" pivotButton="0" quotePrefix="0" xfId="0"/>
    <xf numFmtId="2" fontId="0" fillId="4" borderId="0" pivotButton="0" quotePrefix="0" xfId="0"/>
    <xf numFmtId="0" fontId="0" fillId="5" borderId="0" pivotButton="0" quotePrefix="0" xfId="0"/>
    <xf numFmtId="164" fontId="0" fillId="4" borderId="0" pivotButton="0" quotePrefix="0" xfId="0"/>
    <xf numFmtId="0" fontId="4" fillId="6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5" borderId="1" pivotButton="0" quotePrefix="0" xfId="0"/>
    <xf numFmtId="2" fontId="0" fillId="0" borderId="1" pivotButton="0" quotePrefix="0" xfId="0"/>
    <xf numFmtId="1" fontId="0" fillId="2" borderId="1" pivotButton="0" quotePrefix="0" xfId="0"/>
    <xf numFmtId="0" fontId="0" fillId="0" borderId="1" pivotButton="0" quotePrefix="0" xfId="0"/>
    <xf numFmtId="166" fontId="0" fillId="4" borderId="1" pivotButton="0" quotePrefix="0" xfId="0"/>
    <xf numFmtId="2" fontId="0" fillId="5" borderId="1" pivotButton="0" quotePrefix="0" xfId="0"/>
    <xf numFmtId="166" fontId="0" fillId="5" borderId="1" pivotButton="0" quotePrefix="0" xfId="0"/>
    <xf numFmtId="0" fontId="0" fillId="5" borderId="1" pivotButton="0" quotePrefix="0" xfId="0"/>
    <xf numFmtId="0" fontId="0" fillId="3" borderId="0" pivotButton="0" quotePrefix="0" xfId="0"/>
    <xf numFmtId="0" fontId="4" fillId="6" borderId="0" pivotButton="0" quotePrefix="0" xfId="0"/>
    <xf numFmtId="0" fontId="0" fillId="2" borderId="1" pivotButton="0" quotePrefix="0" xfId="0"/>
    <xf numFmtId="0" fontId="0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Qin(t)</a:t>
            </a:r>
          </a:p>
        </rich>
      </tx>
    </title>
    <plotArea>
      <lineChart>
        <grouping val="standard"/>
        <ser>
          <idx val="0"/>
          <order val="0"/>
          <tx>
            <strRef>
              <f>'Hydrogramme'!C6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'Hydrogramme'!$A$7:$A$19</f>
            </numRef>
          </cat>
          <val>
            <numRef>
              <f>'Hydrogramme'!$C$7:$C$19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Qin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 cumul vs WSE</a:t>
            </a:r>
          </a:p>
        </rich>
      </tx>
    </title>
    <plotArea>
      <lineChart>
        <grouping val="standard"/>
        <ser>
          <idx val="0"/>
          <order val="0"/>
          <tx>
            <strRef>
              <f>'Stage_Storage'!E10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'Stage_Storage'!$A$11:$A$18</f>
            </numRef>
          </cat>
          <val>
            <numRef>
              <f>'Stage_Storage'!$E$11:$E$18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gouvernant vs HW (Ø1200)</a:t>
            </a:r>
          </a:p>
        </rich>
      </tx>
    </title>
    <plotArea>
      <lineChart>
        <grouping val="standard"/>
        <ser>
          <idx val="0"/>
          <order val="0"/>
          <tx>
            <strRef>
              <f>'Courbe_QH_1200'!E19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'Courbe_QH_1200'!$A$20:$A$80</f>
            </numRef>
          </cat>
          <val>
            <numRef>
              <f>'Courbe_QH_1200'!$E$20:$E$80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HW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Qout = Q_1200 + Q_overflow vs WSE</a:t>
            </a:r>
          </a:p>
        </rich>
      </tx>
    </title>
    <plotArea>
      <lineChart>
        <grouping val="standard"/>
        <ser>
          <idx val="0"/>
          <order val="0"/>
          <tx>
            <strRef>
              <f>'Compose'!J12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'Compose'!$A$13:$A$64</f>
            </numRef>
          </cat>
          <val>
            <numRef>
              <f>'Compose'!$J$13:$J$64</f>
            </numRef>
          </val>
        </ser>
        <ser>
          <idx val="1"/>
          <order val="1"/>
          <tx>
            <strRef>
              <f>'Compose'!H12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'Compose'!$A$13:$A$64</f>
            </numRef>
          </cat>
          <val>
            <numRef>
              <f>'Compose'!$H$13:$H$64</f>
            </numRef>
          </val>
        </ser>
        <ser>
          <idx val="2"/>
          <order val="2"/>
          <tx>
            <strRef>
              <f>'Compose'!I12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'Compose'!$A$13:$A$64</f>
            </numRef>
          </cat>
          <val>
            <numRef>
              <f>'Compose'!$I$13:$I$64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FILE 1 — WSE(t) et Qout(t)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'Calcul_Composite'!C13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'Calcul_Composite'!$A$14:$A$26</f>
            </numRef>
          </cat>
          <val>
            <numRef>
              <f>'Calcul_Composite'!$C$14:$C$26</f>
            </numRef>
          </val>
        </ser>
        <ser>
          <idx val="1"/>
          <order val="1"/>
          <tx>
            <strRef>
              <f>'Calcul_Composite'!D13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'Calcul_Composite'!$A$14:$A$26</f>
            </numRef>
          </cat>
          <val>
            <numRef>
              <f>'Calcul_Composite'!$D$14:$D$26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Split aval: Q_1200 vs Q_overflow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'Calcul_Composite'!G13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'Calcul_Composite'!$A$14:$A$26</f>
            </numRef>
          </cat>
          <val>
            <numRef>
              <f>'Calcul_Composite'!$G$14:$G$26</f>
            </numRef>
          </val>
        </ser>
        <ser>
          <idx val="1"/>
          <order val="1"/>
          <tx>
            <strRef>
              <f>'Calcul_Composite'!H13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'Calcul_Composite'!$A$14:$A$26</f>
            </numRef>
          </cat>
          <val>
            <numRef>
              <f>'Calcul_Composite'!$H$14:$H$26</f>
            </numRef>
          </val>
        </ser>
        <ser>
          <idx val="2"/>
          <order val="2"/>
          <tx>
            <strRef>
              <f>'Calcul_Composite'!D13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'Calcul_Composite'!$A$14:$A$26</f>
            </numRef>
          </cat>
          <val>
            <numRef>
              <f>'Calcul_Composite'!$D$14:$D$26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FILE 1 — Composite: Ø1200 + fosse trapezoidale (overflow)</t>
        </is>
      </c>
    </row>
    <row r="2">
      <c r="A2" s="2" t="inlineStr">
        <is>
          <t>But: WSE amont du Ø1200 si overflow actif, et pointe aval = Q_1200 + Q_overflow. Jaune = entrees. Autres fichiers (comparaison, series temporelles, sensibilite) = separes.</t>
        </is>
      </c>
    </row>
    <row r="3"/>
    <row r="5">
      <c r="A5" s="3" t="inlineStr">
        <is>
          <t>Schema</t>
        </is>
      </c>
    </row>
    <row r="6">
      <c r="A6" t="inlineStr">
        <is>
          <t>Qin → bassin (Stage_Storage) → Q_1200(WSE) + Q_fossé(WSE si WSE≥crest) → aval</t>
        </is>
      </c>
    </row>
    <row r="8">
      <c r="A8" s="3" t="inlineStr">
        <is>
          <t>Ø1200 (jaune)</t>
        </is>
      </c>
    </row>
    <row r="9">
      <c r="A9" t="inlineStr">
        <is>
          <t>n Manning (-)</t>
        </is>
      </c>
      <c r="B9" s="4" t="n">
        <v>0.013</v>
      </c>
    </row>
    <row r="10">
      <c r="A10" t="inlineStr">
        <is>
          <t>D (m)</t>
        </is>
      </c>
      <c r="B10" s="5" t="n">
        <v>1.2</v>
      </c>
    </row>
    <row r="11">
      <c r="A11" t="inlineStr">
        <is>
          <t>L (m)</t>
        </is>
      </c>
      <c r="B11" s="5" t="n">
        <v>31.3</v>
      </c>
    </row>
    <row r="12">
      <c r="A12" t="inlineStr">
        <is>
          <t>Zin (m)</t>
        </is>
      </c>
      <c r="B12" s="5" t="n">
        <v>33.6</v>
      </c>
    </row>
    <row r="13">
      <c r="A13" t="inlineStr">
        <is>
          <t>Zout (m)</t>
        </is>
      </c>
      <c r="B13" s="5" t="n">
        <v>33.1</v>
      </c>
    </row>
    <row r="14">
      <c r="A14" t="inlineStr">
        <is>
          <t>S0 = (Zin-Zout)/L</t>
        </is>
      </c>
      <c r="B14" s="6">
        <f>(B12-B13)/B11</f>
        <v/>
      </c>
    </row>
    <row r="15">
      <c r="A15" t="inlineStr">
        <is>
          <t>A plein (m2)</t>
        </is>
      </c>
      <c r="B15" s="7">
        <f>PI()*B10^2/4</f>
        <v/>
      </c>
    </row>
    <row r="16">
      <c r="A16" t="inlineStr">
        <is>
          <t>R plein = D/4 (m)</t>
        </is>
      </c>
      <c r="B16" s="7">
        <f>B10/4</f>
        <v/>
      </c>
    </row>
    <row r="17">
      <c r="A17" t="inlineStr">
        <is>
          <t>Q_plein Manning (m3/s)</t>
        </is>
      </c>
      <c r="B17" s="8">
        <f>(1/B9)*B15*(B16^(2/3))*SQRT(B14)</f>
        <v/>
      </c>
    </row>
    <row r="18">
      <c r="A18" t="inlineStr">
        <is>
          <t>Fond bassin WSE min (m)</t>
        </is>
      </c>
      <c r="B18" s="5" t="n">
        <v>34.88</v>
      </c>
    </row>
    <row r="20">
      <c r="A20" s="3" t="inlineStr">
        <is>
          <t>Overflow fosse trapezoidale (jaune)</t>
        </is>
      </c>
    </row>
    <row r="21">
      <c r="A21" t="inlineStr">
        <is>
          <t>Crest (m)</t>
        </is>
      </c>
      <c r="B21" s="5" t="n">
        <v>37.28</v>
      </c>
      <c r="C21" t="inlineStr">
        <is>
          <t>Q_overflow = 0 si WSE &lt; crest</t>
        </is>
      </c>
    </row>
    <row r="22">
      <c r="A22" t="inlineStr">
        <is>
          <t>b fond (m)</t>
        </is>
      </c>
      <c r="B22" s="5" t="n">
        <v>2</v>
      </c>
    </row>
    <row r="23">
      <c r="A23" t="inlineStr">
        <is>
          <t>n fosse (-)</t>
        </is>
      </c>
      <c r="B23" s="4" t="n">
        <v>0.035</v>
      </c>
    </row>
    <row r="24">
      <c r="A24" t="inlineStr">
        <is>
          <t>z (H:V)</t>
        </is>
      </c>
      <c r="B24" s="9" t="n">
        <v>2</v>
      </c>
    </row>
    <row r="25">
      <c r="A25" t="inlineStr">
        <is>
          <t>S fosse (-)</t>
        </is>
      </c>
      <c r="B25" s="10" t="n">
        <v>0.008500000000000001</v>
      </c>
      <c r="C25" t="inlineStr">
        <is>
          <t>Pente fosse (ex. 0.0085)</t>
        </is>
      </c>
    </row>
    <row r="26">
      <c r="A26" t="inlineStr">
        <is>
          <t>L fosse (m)</t>
        </is>
      </c>
      <c r="B26" s="9" t="n">
        <v>50.1</v>
      </c>
    </row>
    <row r="28">
      <c r="A28" t="inlineStr">
        <is>
          <t>Facteur securite (-)</t>
        </is>
      </c>
      <c r="B28" s="5" t="n">
        <v>1.2</v>
      </c>
    </row>
    <row r="30">
      <c r="A30" s="11" t="inlineStr">
        <is>
          <t>RESULTATS FILE 1 (Calcul_Composite)</t>
        </is>
      </c>
    </row>
    <row r="31">
      <c r="A31" t="inlineStr">
        <is>
          <t>Vmax (m3) = max(V_pond + V_ditch)</t>
        </is>
      </c>
      <c r="B31" s="12">
        <f>Calcul_Composite!B7</f>
        <v/>
      </c>
    </row>
    <row r="32">
      <c r="A32" t="inlineStr">
        <is>
          <t>V_dimensionnement = Vmax × facteur</t>
        </is>
      </c>
      <c r="B32" s="12">
        <f>B31*B28</f>
        <v/>
      </c>
    </row>
    <row r="33">
      <c r="A33" t="inlineStr">
        <is>
          <t>WSEmax (m)</t>
        </is>
      </c>
      <c r="B33" s="13">
        <f>Calcul_Composite!B8</f>
        <v/>
      </c>
      <c r="C33" t="inlineStr">
        <is>
          <t>Niveau max amont Ø1200</t>
        </is>
      </c>
    </row>
    <row r="34">
      <c r="A34" t="inlineStr">
        <is>
          <t>Overflow atteint?</t>
        </is>
      </c>
      <c r="B34" s="14">
        <f>IF(B33&gt;B21,"OUI — WSE &gt; crest","NON — pipe seul")</f>
        <v/>
      </c>
    </row>
    <row r="35">
      <c r="A35" t="inlineStr">
        <is>
          <t>Q_1200 a la pointe de Qout (m3/s)</t>
        </is>
      </c>
      <c r="B35" s="15">
        <f>Calcul_Composite!B10</f>
        <v/>
      </c>
    </row>
    <row r="36">
      <c r="A36" t="inlineStr">
        <is>
          <t>Q_overflow a la pointe de Qout (m3/s)</t>
        </is>
      </c>
      <c r="B36" s="15">
        <f>Calcul_Composite!B11</f>
        <v/>
      </c>
    </row>
    <row r="37">
      <c r="A37" t="inlineStr">
        <is>
          <t>Q_down max = Q_1200 + Q_overflow (m3/s)</t>
        </is>
      </c>
      <c r="B37" s="8">
        <f>Calcul_Composite!B9</f>
        <v/>
      </c>
      <c r="C37" t="inlineStr">
        <is>
          <t>Pointe vue a l'aval</t>
        </is>
      </c>
    </row>
    <row r="38">
      <c r="A38" t="inlineStr">
        <is>
          <t>HW max = WSEmax − Zin (m)</t>
        </is>
      </c>
      <c r="B38" s="13">
        <f>IF(ISNUMBER(B33),B33-B12,"")</f>
        <v/>
      </c>
    </row>
    <row r="40">
      <c r="A40" s="3" t="inlineStr">
        <is>
          <t>Message cle</t>
        </is>
      </c>
    </row>
    <row r="41">
      <c r="A41" s="2" t="inlineStr">
        <is>
          <t>Si overflow OUI: l'aval recoit la somme pipe + fosse. WSEmax est le niveau dans le bassin amont du Ø1200 (eau retenue a l'entree).</t>
        </is>
      </c>
    </row>
    <row r="42"/>
  </sheetData>
  <mergeCells count="3">
    <mergeCell ref="A2:F3"/>
    <mergeCell ref="A41:F4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Hydrogramme d'entree — FILE 1</t>
        </is>
      </c>
    </row>
    <row r="2">
      <c r="A2" t="inlineStr">
        <is>
          <t>Qin = ratio × Qpointe (jaune B4).</t>
        </is>
      </c>
    </row>
    <row r="4">
      <c r="A4" t="inlineStr">
        <is>
          <t>Qpointe (m3/s)</t>
        </is>
      </c>
      <c r="B4" s="4" t="n">
        <v>9.6</v>
      </c>
    </row>
    <row r="6">
      <c r="A6" s="16" t="inlineStr">
        <is>
          <t>t (min)</t>
        </is>
      </c>
      <c r="B6" s="16" t="inlineStr">
        <is>
          <t>ratio</t>
        </is>
      </c>
      <c r="C6" s="16" t="inlineStr">
        <is>
          <t>Qin (m3/s)</t>
        </is>
      </c>
    </row>
    <row r="7">
      <c r="A7" s="17" t="n">
        <v>0</v>
      </c>
      <c r="B7" s="18" t="n">
        <v>0.081042</v>
      </c>
      <c r="C7" s="18">
        <f>B7*$B$4</f>
        <v/>
      </c>
    </row>
    <row r="8">
      <c r="A8" s="17" t="n">
        <v>5</v>
      </c>
      <c r="B8" s="18" t="n">
        <v>0.121875</v>
      </c>
      <c r="C8" s="18">
        <f>B8*$B$4</f>
        <v/>
      </c>
    </row>
    <row r="9">
      <c r="A9" s="17" t="n">
        <v>10</v>
      </c>
      <c r="B9" s="18" t="n">
        <v>0.193438</v>
      </c>
      <c r="C9" s="18">
        <f>B9*$B$4</f>
        <v/>
      </c>
    </row>
    <row r="10">
      <c r="A10" s="17" t="n">
        <v>15</v>
      </c>
      <c r="B10" s="18" t="n">
        <v>0.333542</v>
      </c>
      <c r="C10" s="18">
        <f>B10*$B$4</f>
        <v/>
      </c>
    </row>
    <row r="11">
      <c r="A11" s="17" t="n">
        <v>20</v>
      </c>
      <c r="B11" s="18" t="n">
        <v>0.657188</v>
      </c>
      <c r="C11" s="18">
        <f>B11*$B$4</f>
        <v/>
      </c>
    </row>
    <row r="12">
      <c r="A12" s="17" t="n">
        <v>22.5</v>
      </c>
      <c r="B12" s="18" t="n">
        <v>1</v>
      </c>
      <c r="C12" s="19">
        <f>B12*$B$4</f>
        <v/>
      </c>
    </row>
    <row r="13">
      <c r="A13" s="17" t="n">
        <v>27.5</v>
      </c>
      <c r="B13" s="18" t="n">
        <v>0.608958</v>
      </c>
      <c r="C13" s="18">
        <f>B13*$B$4</f>
        <v/>
      </c>
    </row>
    <row r="14">
      <c r="A14" s="17" t="n">
        <v>32.5</v>
      </c>
      <c r="B14" s="18" t="n">
        <v>0.401771</v>
      </c>
      <c r="C14" s="18">
        <f>B14*$B$4</f>
        <v/>
      </c>
    </row>
    <row r="15">
      <c r="A15" s="17" t="n">
        <v>37.5</v>
      </c>
      <c r="B15" s="18" t="n">
        <v>0.280104</v>
      </c>
      <c r="C15" s="18">
        <f>B15*$B$4</f>
        <v/>
      </c>
    </row>
    <row r="16">
      <c r="A16" s="17" t="n">
        <v>42.5</v>
      </c>
      <c r="B16" s="18" t="n">
        <v>0.203438</v>
      </c>
      <c r="C16" s="18">
        <f>B16*$B$4</f>
        <v/>
      </c>
    </row>
    <row r="17">
      <c r="A17" s="17" t="n">
        <v>47.5</v>
      </c>
      <c r="B17" s="18" t="n">
        <v>0.152292</v>
      </c>
      <c r="C17" s="18">
        <f>B17*$B$4</f>
        <v/>
      </c>
    </row>
    <row r="18">
      <c r="A18" s="17" t="n">
        <v>52.5</v>
      </c>
      <c r="B18" s="18" t="n">
        <v>0.116771</v>
      </c>
      <c r="C18" s="18">
        <f>B18*$B$4</f>
        <v/>
      </c>
    </row>
    <row r="19">
      <c r="A19" s="17" t="n">
        <v>57.5</v>
      </c>
      <c r="B19" s="18" t="n">
        <v>0.091146</v>
      </c>
      <c r="C19" s="18">
        <f>B19*$B$4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36" customWidth="1" min="6" max="6"/>
  </cols>
  <sheetData>
    <row r="1">
      <c r="A1" s="11" t="inlineStr">
        <is>
          <t>Stage–storage amont Ø1200 — editer surfaces jaunes</t>
        </is>
      </c>
    </row>
    <row r="2">
      <c r="A2" s="2" t="inlineStr">
        <is>
          <t>V_pas = 0.5*(A_bas+A_haut)*dWSE. Aires synchronisees avec votre leve local. Role a 37.28 m laisse vide.</t>
        </is>
      </c>
    </row>
    <row r="3"/>
    <row r="10">
      <c r="A10" s="16" t="inlineStr">
        <is>
          <t>WSE (m)</t>
        </is>
      </c>
      <c r="B10" s="16" t="inlineStr">
        <is>
          <t>Surface A (m2) EDIT</t>
        </is>
      </c>
      <c r="C10" s="16" t="inlineStr">
        <is>
          <t>dWSE (m)</t>
        </is>
      </c>
      <c r="D10" s="16" t="inlineStr">
        <is>
          <t>V_pas (m3)</t>
        </is>
      </c>
      <c r="E10" s="16" t="inlineStr">
        <is>
          <t>V_cumul (m3)</t>
        </is>
      </c>
      <c r="F10" s="16" t="inlineStr">
        <is>
          <t>Role</t>
        </is>
      </c>
    </row>
    <row r="11">
      <c r="A11" s="20" t="n">
        <v>34.88</v>
      </c>
      <c r="B11" s="21" t="n">
        <v>0</v>
      </c>
      <c r="C11" s="22" t="n">
        <v>0</v>
      </c>
      <c r="D11" s="22" t="n">
        <v>0</v>
      </c>
      <c r="E11" s="22" t="n">
        <v>0</v>
      </c>
      <c r="F11" s="22" t="inlineStr">
        <is>
          <t>Fond bassin</t>
        </is>
      </c>
    </row>
    <row r="12">
      <c r="A12" s="20" t="n">
        <v>35.5</v>
      </c>
      <c r="B12" s="21" t="n">
        <v>120</v>
      </c>
      <c r="C12" s="20">
        <f>A12-A11</f>
        <v/>
      </c>
      <c r="D12" s="17">
        <f>0.5*(B11+B12)*C12</f>
        <v/>
      </c>
      <c r="E12" s="23">
        <f>E11+D12</f>
        <v/>
      </c>
      <c r="F12" s="22" t="inlineStr">
        <is>
          <t>Placeholder — remplacer</t>
        </is>
      </c>
    </row>
    <row r="13">
      <c r="A13" s="20" t="n">
        <v>36.01</v>
      </c>
      <c r="B13" s="21" t="n">
        <v>419</v>
      </c>
      <c r="C13" s="20">
        <f>A13-A12</f>
        <v/>
      </c>
      <c r="D13" s="17">
        <f>0.5*(B12+B13)*C13</f>
        <v/>
      </c>
      <c r="E13" s="23">
        <f>E12+D13</f>
        <v/>
      </c>
      <c r="F13" s="22" t="inlineStr">
        <is>
          <t>Placeholder — remplacer</t>
        </is>
      </c>
    </row>
    <row r="14">
      <c r="A14" s="20" t="n">
        <v>36.5</v>
      </c>
      <c r="B14" s="21" t="n">
        <v>480</v>
      </c>
      <c r="C14" s="20">
        <f>A14-A13</f>
        <v/>
      </c>
      <c r="D14" s="17">
        <f>0.5*(B13+B14)*C14</f>
        <v/>
      </c>
      <c r="E14" s="23">
        <f>E13+D14</f>
        <v/>
      </c>
      <c r="F14" s="22" t="inlineStr">
        <is>
          <t>Placeholder — remplacer</t>
        </is>
      </c>
    </row>
    <row r="15">
      <c r="A15" s="20" t="n">
        <v>37</v>
      </c>
      <c r="B15" s="21" t="n">
        <v>720</v>
      </c>
      <c r="C15" s="20">
        <f>A15-A14</f>
        <v/>
      </c>
      <c r="D15" s="17">
        <f>0.5*(B14+B15)*C15</f>
        <v/>
      </c>
      <c r="E15" s="23">
        <f>E14+D15</f>
        <v/>
      </c>
      <c r="F15" s="22" t="inlineStr">
        <is>
          <t>Placeholder — remplacer</t>
        </is>
      </c>
    </row>
    <row r="16">
      <c r="A16" s="24" t="n">
        <v>37.28</v>
      </c>
      <c r="B16" s="21" t="n">
        <v>2198</v>
      </c>
      <c r="C16" s="24">
        <f>A16-A15</f>
        <v/>
      </c>
      <c r="D16" s="25">
        <f>0.5*(B15+B16)*C16</f>
        <v/>
      </c>
      <c r="E16" s="25">
        <f>E15+D16</f>
        <v/>
      </c>
      <c r="F16" s="26" t="inlineStr"/>
    </row>
    <row r="17">
      <c r="A17" s="20" t="n">
        <v>37.4</v>
      </c>
      <c r="B17" s="21" t="n">
        <v>1516</v>
      </c>
      <c r="C17" s="20">
        <f>A17-A16</f>
        <v/>
      </c>
      <c r="D17" s="17">
        <f>0.5*(B16+B17)*C17</f>
        <v/>
      </c>
      <c r="E17" s="23">
        <f>E16+D17</f>
        <v/>
      </c>
      <c r="F17" s="22" t="inlineStr">
        <is>
          <t>Placeholder — remplacer</t>
        </is>
      </c>
    </row>
    <row r="18">
      <c r="A18" s="20" t="n">
        <v>40</v>
      </c>
      <c r="B18" s="21" t="n">
        <v>3746</v>
      </c>
      <c r="C18" s="20">
        <f>A18-A17</f>
        <v/>
      </c>
      <c r="D18" s="17">
        <f>0.5*(B17+B18)*C18</f>
        <v/>
      </c>
      <c r="E18" s="23">
        <f>E17+D18</f>
        <v/>
      </c>
      <c r="F18" s="22" t="inlineStr">
        <is>
          <t>Placeholder haut — remplacer</t>
        </is>
      </c>
    </row>
    <row r="21">
      <c r="A21" t="inlineStr">
        <is>
          <t>Vmax / WSEmax (FILE 1)</t>
        </is>
      </c>
      <c r="B21">
        <f>Parametres!B31</f>
        <v/>
      </c>
      <c r="C21">
        <f>Parametres!B33</f>
        <v/>
      </c>
    </row>
    <row r="22">
      <c r="A22" t="inlineStr">
        <is>
          <t>V @ 37.28 m</t>
        </is>
      </c>
      <c r="B22" s="27">
        <f>E16</f>
        <v/>
      </c>
    </row>
  </sheetData>
  <mergeCells count="1">
    <mergeCell ref="A2:F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Courbe Q=f(H) Ø1200 — FHWA inlet + outlet (LIVE)</t>
        </is>
      </c>
    </row>
    <row r="2">
      <c r="A2" t="inlineStr">
        <is>
          <t>Lie a Parametres. Q_gouvernant = MIN(Qinlet, Qoutlet). Facteur 1.811 = conversion SI FHWA.</t>
        </is>
      </c>
    </row>
    <row r="4">
      <c r="A4" t="inlineStr">
        <is>
          <t>n</t>
        </is>
      </c>
      <c r="B4">
        <f>Parametres!B9</f>
        <v/>
      </c>
      <c r="E4" s="28" t="inlineStr">
        <is>
          <t>entree</t>
        </is>
      </c>
      <c r="F4" s="28" t="inlineStr">
        <is>
          <t>K</t>
        </is>
      </c>
      <c r="G4" s="28" t="inlineStr">
        <is>
          <t>M</t>
        </is>
      </c>
      <c r="H4" s="28" t="inlineStr">
        <is>
          <t>c</t>
        </is>
      </c>
      <c r="I4" s="28" t="inlineStr">
        <is>
          <t>Y</t>
        </is>
      </c>
      <c r="J4" s="28" t="inlineStr">
        <is>
          <t>Ke</t>
        </is>
      </c>
    </row>
    <row r="5">
      <c r="A5" t="inlineStr">
        <is>
          <t>D (m)</t>
        </is>
      </c>
      <c r="B5">
        <f>Parametres!B10</f>
        <v/>
      </c>
      <c r="E5" s="22" t="inlineStr">
        <is>
          <t>square_edge</t>
        </is>
      </c>
      <c r="F5" s="22" t="n">
        <v>0.0098</v>
      </c>
      <c r="G5" s="22" t="n">
        <v>2</v>
      </c>
      <c r="H5" s="22" t="n">
        <v>0.0398</v>
      </c>
      <c r="I5" s="22" t="n">
        <v>0.67</v>
      </c>
      <c r="J5" s="22" t="n">
        <v>0.5</v>
      </c>
    </row>
    <row r="6">
      <c r="A6" t="inlineStr">
        <is>
          <t>L (m)</t>
        </is>
      </c>
      <c r="B6">
        <f>Parametres!B11</f>
        <v/>
      </c>
      <c r="E6" s="22" t="inlineStr">
        <is>
          <t>beveled</t>
        </is>
      </c>
      <c r="F6" s="22" t="n">
        <v>0.0018</v>
      </c>
      <c r="G6" s="22" t="n">
        <v>2.5</v>
      </c>
      <c r="H6" s="22" t="n">
        <v>0.03</v>
      </c>
      <c r="I6" s="22" t="n">
        <v>0.74</v>
      </c>
      <c r="J6" s="22" t="n">
        <v>0.2</v>
      </c>
    </row>
    <row r="7">
      <c r="A7" t="inlineStr">
        <is>
          <t>Zin (m)</t>
        </is>
      </c>
      <c r="B7">
        <f>Parametres!B12</f>
        <v/>
      </c>
      <c r="E7" s="22" t="inlineStr">
        <is>
          <t>groove_headwall</t>
        </is>
      </c>
      <c r="F7" s="22" t="n">
        <v>0.0078</v>
      </c>
      <c r="G7" s="22" t="n">
        <v>2</v>
      </c>
      <c r="H7" s="22" t="n">
        <v>0.0292</v>
      </c>
      <c r="I7" s="22" t="n">
        <v>0.74</v>
      </c>
      <c r="J7" s="22" t="n">
        <v>0.2</v>
      </c>
    </row>
    <row r="8">
      <c r="A8" t="inlineStr">
        <is>
          <t>Zout (m)</t>
        </is>
      </c>
      <c r="B8">
        <f>Parametres!B13</f>
        <v/>
      </c>
    </row>
    <row r="9">
      <c r="A9" t="inlineStr">
        <is>
          <t>S0</t>
        </is>
      </c>
      <c r="B9">
        <f>Parametres!B14</f>
        <v/>
      </c>
    </row>
    <row r="10">
      <c r="A10" t="inlineStr">
        <is>
          <t>TW au-dessus Zout (m)</t>
        </is>
      </c>
      <c r="B10" s="29" t="n">
        <v>0</v>
      </c>
    </row>
    <row r="11">
      <c r="A11" t="inlineStr">
        <is>
          <t>Entree</t>
        </is>
      </c>
      <c r="B11" s="29" t="inlineStr">
        <is>
          <t>square_edge</t>
        </is>
      </c>
    </row>
    <row r="13">
      <c r="A13" t="inlineStr">
        <is>
          <t>K</t>
        </is>
      </c>
      <c r="B13">
        <f>IFERROR(VLOOKUP(B11,$E$5:$J$7,2,FALSE),0.0098)</f>
        <v/>
      </c>
    </row>
    <row r="14">
      <c r="A14" t="inlineStr">
        <is>
          <t>M</t>
        </is>
      </c>
      <c r="B14">
        <f>IFERROR(VLOOKUP(B11,$E$5:$J$7,3,FALSE),2)</f>
        <v/>
      </c>
    </row>
    <row r="15">
      <c r="A15" t="inlineStr">
        <is>
          <t>c</t>
        </is>
      </c>
      <c r="B15">
        <f>IFERROR(VLOOKUP(B11,$E$5:$J$7,4,FALSE),0.0398)</f>
        <v/>
      </c>
    </row>
    <row r="16">
      <c r="A16" t="inlineStr">
        <is>
          <t>Y</t>
        </is>
      </c>
      <c r="B16">
        <f>IFERROR(VLOOKUP(B11,$E$5:$J$7,5,FALSE),0.67)</f>
        <v/>
      </c>
    </row>
    <row r="17">
      <c r="A17" t="inlineStr">
        <is>
          <t>Ke</t>
        </is>
      </c>
      <c r="B17">
        <f>IFERROR(VLOOKUP(B11,$E$5:$J$7,6,FALSE),0.5)</f>
        <v/>
      </c>
    </row>
    <row r="19">
      <c r="A19" s="16" t="inlineStr">
        <is>
          <t>HW (m)</t>
        </is>
      </c>
      <c r="B19" s="16" t="inlineStr">
        <is>
          <t>WSE (m)</t>
        </is>
      </c>
      <c r="C19" s="16" t="inlineStr">
        <is>
          <t>Qinlet</t>
        </is>
      </c>
      <c r="D19" s="16" t="inlineStr">
        <is>
          <t>Qoutlet</t>
        </is>
      </c>
      <c r="E19" s="16" t="inlineStr">
        <is>
          <t>Q gouvernant</t>
        </is>
      </c>
    </row>
    <row r="20">
      <c r="A20" s="20" t="n">
        <v>0</v>
      </c>
      <c r="B20" s="20">
        <f>$B$7+A20</f>
        <v/>
      </c>
      <c r="C20" s="18">
        <f>IF(A20&lt;=0,0,IF(A20&lt;=1.2*$B$5,1.811*(PI()*($B$5/2)^2)*SQRT($B$5)*IF($B$13*$B$5&lt;=0,0,(A20/($B$13*$B$5))^(1/$B$14)),MAX(1.811*(PI()*($B$5/2)^2)*SQRT($B$5)*IF($B$13*$B$5&lt;=0,0,((1.2*$B$5)/($B$13*$B$5))^(1/$B$14)),1.811*(PI()*($B$5/2)^2)*SQRT($B$5)*SQRT(MAX(0,(A20/$B$5-$B$16)/$B$15)))))</f>
        <v/>
      </c>
      <c r="D20" s="18">
        <f>IF(A20&lt;$B$5,IF($B$4&lt;=0,0,(1/$B$4)*((($B$5/2)^2/2)*((2*ACOS(1-2*(MIN(0.999,MAX(1E-6,A20/$B$5)))))-SIN(2*ACOS(1-2*(MIN(0.999,MAX(1E-6,A20/$B$5)))))))*IF((IF((($B$5/2)*(2*ACOS(1-2*(MIN(0.999,MAX(1E-6,A20/$B$5))))))&lt;=0,0,((($B$5/2)^2/2)*((2*ACOS(1-2*(MIN(0.999,MAX(1E-6,A20/$B$5)))))-SIN(2*ACOS(1-2*(MIN(0.999,MAX(1E-6,A20/$B$5)))))))/(($B$5/2)*(2*ACOS(1-2*(MIN(0.999,MAX(1E-6,A20/$B$5))))))))&lt;=0,0,(IF((($B$5/2)*(2*ACOS(1-2*(MIN(0.999,MAX(1E-6,A20/$B$5))))))&lt;=0,0,((($B$5/2)^2/2)*((2*ACOS(1-2*(MIN(0.999,MAX(1E-6,A20/$B$5)))))-SIN(2*ACOS(1-2*(MIN(0.999,MAX(1E-6,A20/$B$5)))))))/(($B$5/2)*(2*ACOS(1-2*(MIN(0.999,MAX(1E-6,A20/$B$5))))))))^(2/3))*SQRT($B$9)),IF((A20-$B$10+$B$9*$B$6)&lt;=0,0,(PI()*($B$5/2)^2)*SQRT((A20-$B$10+$B$9*$B$6)/((1+$B$17)/(2*9.81)+($B$4^2)*$B$6/(($B$5/4)^(4/3))))))</f>
        <v/>
      </c>
      <c r="E20" s="8">
        <f>MIN(C20,D20)</f>
        <v/>
      </c>
    </row>
    <row r="21">
      <c r="A21" s="20" t="n">
        <v>0.05</v>
      </c>
      <c r="B21" s="20">
        <f>$B$7+A21</f>
        <v/>
      </c>
      <c r="C21" s="18">
        <f>IF(A21&lt;=0,0,IF(A21&lt;=1.2*$B$5,1.811*(PI()*($B$5/2)^2)*SQRT($B$5)*IF($B$13*$B$5&lt;=0,0,(A21/($B$13*$B$5))^(1/$B$14)),MAX(1.811*(PI()*($B$5/2)^2)*SQRT($B$5)*IF($B$13*$B$5&lt;=0,0,((1.2*$B$5)/($B$13*$B$5))^(1/$B$14)),1.811*(PI()*($B$5/2)^2)*SQRT($B$5)*SQRT(MAX(0,(A21/$B$5-$B$16)/5)))))</f>
        <v/>
      </c>
      <c r="D21" s="18">
        <f>IF(A21&lt;$B$5,IF($B$4&lt;=0,0,(1/$B$4)*((($B$5/2)^2/2)*((2*ACOS(1-2*(MIN(0.999,MAX(1E-6,A21/$B$5)))))-SIN(2*ACOS(1-2*(MIN(0.999,MAX(1E-6,A21/$B$5)))))))*IF((IF((($B$5/2)*(2*ACOS(1-2*(MIN(0.999,MAX(1E-6,A21/$B$5))))))&lt;=0,0,((($B$5/2)^2/2)*((2*ACOS(1-2*(MIN(0.999,MAX(1E-6,A21/$B$5)))))-SIN(2*ACOS(1-2*(MIN(0.999,MAX(1E-6,A21/$B$5)))))))/(($B$5/2)*(2*ACOS(1-2*(MIN(0.999,MAX(1E-6,A21/$B$5))))))))&lt;=0,0,(IF((($B$5/2)*(2*ACOS(1-2*(MIN(0.999,MAX(1E-6,A21/$B$5))))))&lt;=0,0,((($B$5/2)^2/2)*((2*ACOS(1-2*(MIN(0.999,MAX(1E-6,A21/$B$5)))))-SIN(2*ACOS(1-2*(MIN(0.999,MAX(1E-6,A21/$B$5)))))))/(($B$5/2)*(2*ACOS(1-2*(MIN(0.999,MAX(1E-6,A21/$B$5))))))))^(2/3))*SQRT($B$9)),IF((A21-$B$10+$B$9*$B$6)&lt;=0,0,(PI()*($B$5/2)^2)*SQRT((A21-$B$10+$B$9*$B$6)/((1+$B$17)/(2*9.81)+($B$4^2)*$B$6/(($B$5/4)^(4/3))))))</f>
        <v/>
      </c>
      <c r="E21" s="8">
        <f>MIN(C21,D21)</f>
        <v/>
      </c>
    </row>
    <row r="22">
      <c r="A22" s="20" t="n">
        <v>0.1</v>
      </c>
      <c r="B22" s="20">
        <f>$B$7+A22</f>
        <v/>
      </c>
      <c r="C22" s="18">
        <f>IF(A22&lt;=0,0,IF(A22&lt;=1.2*$B$5,1.811*(PI()*($B$5/2)^2)*SQRT($B$5)*IF($B$13*$B$5&lt;=0,0,(A22/($B$13*$B$5))^(1/$B$14)),MAX(1.811*(PI()*($B$5/2)^2)*SQRT($B$5)*IF($B$13*$B$5&lt;=0,0,((1.2*$B$5)/($B$13*$B$5))^(1/$B$14)),1.811*(PI()*($B$5/2)^2)*SQRT($B$5)*SQRT(MAX(0,(A22/$B$5-$B$16)/5)))))</f>
        <v/>
      </c>
      <c r="D22" s="18">
        <f>IF(A22&lt;$B$5,IF($B$4&lt;=0,0,(1/$B$4)*((($B$5/2)^2/2)*((2*ACOS(1-2*(MIN(0.999,MAX(1E-6,A22/$B$5)))))-SIN(2*ACOS(1-2*(MIN(0.999,MAX(1E-6,A22/$B$5)))))))*IF((IF((($B$5/2)*(2*ACOS(1-2*(MIN(0.999,MAX(1E-6,A22/$B$5))))))&lt;=0,0,((($B$5/2)^2/2)*((2*ACOS(1-2*(MIN(0.999,MAX(1E-6,A22/$B$5)))))-SIN(2*ACOS(1-2*(MIN(0.999,MAX(1E-6,A22/$B$5)))))))/(($B$5/2)*(2*ACOS(1-2*(MIN(0.999,MAX(1E-6,A22/$B$5))))))))&lt;=0,0,(IF((($B$5/2)*(2*ACOS(1-2*(MIN(0.999,MAX(1E-6,A22/$B$5))))))&lt;=0,0,((($B$5/2)^2/2)*((2*ACOS(1-2*(MIN(0.999,MAX(1E-6,A22/$B$5)))))-SIN(2*ACOS(1-2*(MIN(0.999,MAX(1E-6,A22/$B$5)))))))/(($B$5/2)*(2*ACOS(1-2*(MIN(0.999,MAX(1E-6,A22/$B$5))))))))^(2/3))*SQRT($B$9)),IF((A22-$B$10+$B$9*$B$6)&lt;=0,0,(PI()*($B$5/2)^2)*SQRT((A22-$B$10+$B$9*$B$6)/((1+$B$17)/(2*9.81)+($B$4^2)*$B$6/(($B$5/4)^(4/3))))))</f>
        <v/>
      </c>
      <c r="E22" s="8">
        <f>MIN(C22,D22)</f>
        <v/>
      </c>
    </row>
    <row r="23">
      <c r="A23" s="20" t="n">
        <v>0.15</v>
      </c>
      <c r="B23" s="20">
        <f>$B$7+A23</f>
        <v/>
      </c>
      <c r="C23" s="18">
        <f>IF(A23&lt;=0,0,IF(A23&lt;=1.2*$B$5,1.811*(PI()*($B$5/2)^2)*SQRT($B$5)*IF($B$13*$B$5&lt;=0,0,(A23/($B$13*$B$5))^(1/$B$14)),MAX(1.811*(PI()*($B$5/2)^2)*SQRT($B$5)*IF($B$13*$B$5&lt;=0,0,((1.2*$B$5)/($B$13*$B$5))^(1/$B$14)),1.811*(PI()*($B$5/2)^2)*SQRT($B$5)*SQRT(MAX(0,(A23/$B$5-$B$16)/5)))))</f>
        <v/>
      </c>
      <c r="D23" s="18">
        <f>IF(A23&lt;$B$5,IF($B$4&lt;=0,0,(1/$B$4)*((($B$5/2)^2/2)*((2*ACOS(1-2*(MIN(0.999,MAX(1E-6,A23/$B$5)))))-SIN(2*ACOS(1-2*(MIN(0.999,MAX(1E-6,A23/$B$5)))))))*IF((IF((($B$5/2)*(2*ACOS(1-2*(MIN(0.999,MAX(1E-6,A23/$B$5))))))&lt;=0,0,((($B$5/2)^2/2)*((2*ACOS(1-2*(MIN(0.999,MAX(1E-6,A23/$B$5)))))-SIN(2*ACOS(1-2*(MIN(0.999,MAX(1E-6,A23/$B$5)))))))/(($B$5/2)*(2*ACOS(1-2*(MIN(0.999,MAX(1E-6,A23/$B$5))))))))&lt;=0,0,(IF((($B$5/2)*(2*ACOS(1-2*(MIN(0.999,MAX(1E-6,A23/$B$5))))))&lt;=0,0,((($B$5/2)^2/2)*((2*ACOS(1-2*(MIN(0.999,MAX(1E-6,A23/$B$5)))))-SIN(2*ACOS(1-2*(MIN(0.999,MAX(1E-6,A23/$B$5)))))))/(($B$5/2)*(2*ACOS(1-2*(MIN(0.999,MAX(1E-6,A23/$B$5))))))))^(2/3))*SQRT($B$9)),IF((A23-$B$10+$B$9*$B$6)&lt;=0,0,(PI()*($B$5/2)^2)*SQRT((A23-$B$10+$B$9*$B$6)/((1+$B$17)/(2*9.81)+($B$4^2)*$B$6/(($B$5/4)^(4/3))))))</f>
        <v/>
      </c>
      <c r="E23" s="8">
        <f>MIN(C23,D23)</f>
        <v/>
      </c>
    </row>
    <row r="24">
      <c r="A24" s="20" t="n">
        <v>0.2</v>
      </c>
      <c r="B24" s="20">
        <f>$B$7+A24</f>
        <v/>
      </c>
      <c r="C24" s="18">
        <f>IF(A24&lt;=0,0,IF(A24&lt;=1.2*$B$5,1.811*(PI()*($B$5/2)^2)*SQRT($B$5)*IF($B$13*$B$5&lt;=0,0,(A24/($B$13*$B$5))^(1/$B$14)),MAX(1.811*(PI()*($B$5/2)^2)*SQRT($B$5)*IF($B$13*$B$5&lt;=0,0,((1.2*$B$5)/($B$13*$B$5))^(1/$B$14)),1.811*(PI()*($B$5/2)^2)*SQRT($B$5)*SQRT(MAX(0,(A24/$B$5-$B$16)/5)))))</f>
        <v/>
      </c>
      <c r="D24" s="18">
        <f>IF(A24&lt;$B$5,IF($B$4&lt;=0,0,(1/$B$4)*((($B$5/2)^2/2)*((2*ACOS(1-2*(MIN(0.999,MAX(1E-6,A24/$B$5)))))-SIN(2*ACOS(1-2*(MIN(0.999,MAX(1E-6,A24/$B$5)))))))*IF((IF((($B$5/2)*(2*ACOS(1-2*(MIN(0.999,MAX(1E-6,A24/$B$5))))))&lt;=0,0,((($B$5/2)^2/2)*((2*ACOS(1-2*(MIN(0.999,MAX(1E-6,A24/$B$5)))))-SIN(2*ACOS(1-2*(MIN(0.999,MAX(1E-6,A24/$B$5)))))))/(($B$5/2)*(2*ACOS(1-2*(MIN(0.999,MAX(1E-6,A24/$B$5))))))))&lt;=0,0,(IF((($B$5/2)*(2*ACOS(1-2*(MIN(0.999,MAX(1E-6,A24/$B$5))))))&lt;=0,0,((($B$5/2)^2/2)*((2*ACOS(1-2*(MIN(0.999,MAX(1E-6,A24/$B$5)))))-SIN(2*ACOS(1-2*(MIN(0.999,MAX(1E-6,A24/$B$5)))))))/(($B$5/2)*(2*ACOS(1-2*(MIN(0.999,MAX(1E-6,A24/$B$5))))))))^(2/3))*SQRT($B$9)),IF((A24-$B$10+$B$9*$B$6)&lt;=0,0,(PI()*($B$5/2)^2)*SQRT((A24-$B$10+$B$9*$B$6)/((1+$B$17)/(2*9.81)+($B$4^2)*$B$6/(($B$5/4)^(4/3))))))</f>
        <v/>
      </c>
      <c r="E24" s="8">
        <f>MIN(C24,D24)</f>
        <v/>
      </c>
    </row>
    <row r="25">
      <c r="A25" s="20" t="n">
        <v>0.25</v>
      </c>
      <c r="B25" s="20">
        <f>$B$7+A25</f>
        <v/>
      </c>
      <c r="C25" s="18">
        <f>IF(A25&lt;=0,0,IF(A25&lt;=1.2*$B$5,1.811*(PI()*($B$5/2)^2)*SQRT($B$5)*IF($B$13*$B$5&lt;=0,0,(A25/($B$13*$B$5))^(1/$B$14)),MAX(1.811*(PI()*($B$5/2)^2)*SQRT($B$5)*IF($B$13*$B$5&lt;=0,0,((1.2*$B$5)/($B$13*$B$5))^(1/$B$14)),1.811*(PI()*($B$5/2)^2)*SQRT($B$5)*SQRT(MAX(0,(A25/$B$5-$B$16)/5)))))</f>
        <v/>
      </c>
      <c r="D25" s="18">
        <f>IF(A25&lt;$B$5,IF($B$4&lt;=0,0,(1/$B$4)*((($B$5/2)^2/2)*((2*ACOS(1-2*(MIN(0.999,MAX(1E-6,A25/$B$5)))))-SIN(2*ACOS(1-2*(MIN(0.999,MAX(1E-6,A25/$B$5)))))))*IF((IF((($B$5/2)*(2*ACOS(1-2*(MIN(0.999,MAX(1E-6,A25/$B$5))))))&lt;=0,0,((($B$5/2)^2/2)*((2*ACOS(1-2*(MIN(0.999,MAX(1E-6,A25/$B$5)))))-SIN(2*ACOS(1-2*(MIN(0.999,MAX(1E-6,A25/$B$5)))))))/(($B$5/2)*(2*ACOS(1-2*(MIN(0.999,MAX(1E-6,A25/$B$5))))))))&lt;=0,0,(IF((($B$5/2)*(2*ACOS(1-2*(MIN(0.999,MAX(1E-6,A25/$B$5))))))&lt;=0,0,((($B$5/2)^2/2)*((2*ACOS(1-2*(MIN(0.999,MAX(1E-6,A25/$B$5)))))-SIN(2*ACOS(1-2*(MIN(0.999,MAX(1E-6,A25/$B$5)))))))/(($B$5/2)*(2*ACOS(1-2*(MIN(0.999,MAX(1E-6,A25/$B$5))))))))^(2/3))*SQRT($B$9)),IF((A25-$B$10+$B$9*$B$6)&lt;=0,0,(PI()*($B$5/2)^2)*SQRT((A25-$B$10+$B$9*$B$6)/((1+$B$17)/(2*9.81)+($B$4^2)*$B$6/(($B$5/4)^(4/3))))))</f>
        <v/>
      </c>
      <c r="E25" s="8">
        <f>MIN(C25,D25)</f>
        <v/>
      </c>
    </row>
    <row r="26">
      <c r="A26" s="20" t="n">
        <v>0.3</v>
      </c>
      <c r="B26" s="20">
        <f>$B$7+A26</f>
        <v/>
      </c>
      <c r="C26" s="18">
        <f>IF(A26&lt;=0,0,IF(A26&lt;=1.2*$B$5,1.811*(PI()*($B$5/2)^2)*SQRT($B$5)*IF($B$13*$B$5&lt;=0,0,(A26/($B$13*$B$5))^(1/$B$14)),MAX(1.811*(PI()*($B$5/2)^2)*SQRT($B$5)*IF($B$13*$B$5&lt;=0,0,((1.2*$B$5)/($B$13*$B$5))^(1/$B$14)),1.811*(PI()*($B$5/2)^2)*SQRT($B$5)*SQRT(MAX(0,(A26/$B$5-$B$16)/5)))))</f>
        <v/>
      </c>
      <c r="D26" s="18">
        <f>IF(A26&lt;$B$5,IF($B$4&lt;=0,0,(1/$B$4)*((($B$5/2)^2/2)*((2*ACOS(1-2*(MIN(0.999,MAX(1E-6,A26/$B$5)))))-SIN(2*ACOS(1-2*(MIN(0.999,MAX(1E-6,A26/$B$5)))))))*IF((IF((($B$5/2)*(2*ACOS(1-2*(MIN(0.999,MAX(1E-6,A26/$B$5))))))&lt;=0,0,((($B$5/2)^2/2)*((2*ACOS(1-2*(MIN(0.999,MAX(1E-6,A26/$B$5)))))-SIN(2*ACOS(1-2*(MIN(0.999,MAX(1E-6,A26/$B$5)))))))/(($B$5/2)*(2*ACOS(1-2*(MIN(0.999,MAX(1E-6,A26/$B$5))))))))&lt;=0,0,(IF((($B$5/2)*(2*ACOS(1-2*(MIN(0.999,MAX(1E-6,A26/$B$5))))))&lt;=0,0,((($B$5/2)^2/2)*((2*ACOS(1-2*(MIN(0.999,MAX(1E-6,A26/$B$5)))))-SIN(2*ACOS(1-2*(MIN(0.999,MAX(1E-6,A26/$B$5)))))))/(($B$5/2)*(2*ACOS(1-2*(MIN(0.999,MAX(1E-6,A26/$B$5))))))))^(2/3))*SQRT($B$9)),IF((A26-$B$10+$B$9*$B$6)&lt;=0,0,(PI()*($B$5/2)^2)*SQRT((A26-$B$10+$B$9*$B$6)/((1+$B$17)/(2*9.81)+($B$4^2)*$B$6/(($B$5/4)^(4/3))))))</f>
        <v/>
      </c>
      <c r="E26" s="8">
        <f>MIN(C26,D26)</f>
        <v/>
      </c>
    </row>
    <row r="27">
      <c r="A27" s="20" t="n">
        <v>0.35</v>
      </c>
      <c r="B27" s="20">
        <f>$B$7+A27</f>
        <v/>
      </c>
      <c r="C27" s="18">
        <f>IF(A27&lt;=0,0,IF(A27&lt;=1.2*$B$5,1.811*(PI()*($B$5/2)^2)*SQRT($B$5)*IF($B$13*$B$5&lt;=0,0,(A27/($B$13*$B$5))^(1/$B$14)),MAX(1.811*(PI()*($B$5/2)^2)*SQRT($B$5)*IF($B$13*$B$5&lt;=0,0,((1.2*$B$5)/($B$13*$B$5))^(1/$B$14)),1.811*(PI()*($B$5/2)^2)*SQRT($B$5)*SQRT(MAX(0,(A27/$B$5-$B$16)/5)))))</f>
        <v/>
      </c>
      <c r="D27" s="18">
        <f>IF(A27&lt;$B$5,IF($B$4&lt;=0,0,(1/$B$4)*((($B$5/2)^2/2)*((2*ACOS(1-2*(MIN(0.999,MAX(1E-6,A27/$B$5)))))-SIN(2*ACOS(1-2*(MIN(0.999,MAX(1E-6,A27/$B$5)))))))*IF((IF((($B$5/2)*(2*ACOS(1-2*(MIN(0.999,MAX(1E-6,A27/$B$5))))))&lt;=0,0,((($B$5/2)^2/2)*((2*ACOS(1-2*(MIN(0.999,MAX(1E-6,A27/$B$5)))))-SIN(2*ACOS(1-2*(MIN(0.999,MAX(1E-6,A27/$B$5)))))))/(($B$5/2)*(2*ACOS(1-2*(MIN(0.999,MAX(1E-6,A27/$B$5))))))))&lt;=0,0,(IF((($B$5/2)*(2*ACOS(1-2*(MIN(0.999,MAX(1E-6,A27/$B$5))))))&lt;=0,0,((($B$5/2)^2/2)*((2*ACOS(1-2*(MIN(0.999,MAX(1E-6,A27/$B$5)))))-SIN(2*ACOS(1-2*(MIN(0.999,MAX(1E-6,A27/$B$5)))))))/(($B$5/2)*(2*ACOS(1-2*(MIN(0.999,MAX(1E-6,A27/$B$5))))))))^(2/3))*SQRT($B$9)),IF((A27-$B$10+$B$9*$B$6)&lt;=0,0,(PI()*($B$5/2)^2)*SQRT((A27-$B$10+$B$9*$B$6)/((1+$B$17)/(2*9.81)+($B$4^2)*$B$6/(($B$5/4)^(4/3))))))</f>
        <v/>
      </c>
      <c r="E27" s="8">
        <f>MIN(C27,D27)</f>
        <v/>
      </c>
    </row>
    <row r="28">
      <c r="A28" s="20" t="n">
        <v>0.4</v>
      </c>
      <c r="B28" s="20">
        <f>$B$7+A28</f>
        <v/>
      </c>
      <c r="C28" s="18">
        <f>IF(A28&lt;=0,0,IF(A28&lt;=1.2*$B$5,1.811*(PI()*($B$5/2)^2)*SQRT($B$5)*IF($B$13*$B$5&lt;=0,0,(A28/($B$13*$B$5))^(1/$B$14)),MAX(1.811*(PI()*($B$5/2)^2)*SQRT($B$5)*IF($B$13*$B$5&lt;=0,0,((1.2*$B$5)/($B$13*$B$5))^(1/$B$14)),1.811*(PI()*($B$5/2)^2)*SQRT($B$5)*SQRT(MAX(0,(A28/$B$5-$B$16)/5)))))</f>
        <v/>
      </c>
      <c r="D28" s="18">
        <f>IF(A28&lt;$B$5,IF($B$4&lt;=0,0,(1/$B$4)*((($B$5/2)^2/2)*((2*ACOS(1-2*(MIN(0.999,MAX(1E-6,A28/$B$5)))))-SIN(2*ACOS(1-2*(MIN(0.999,MAX(1E-6,A28/$B$5)))))))*IF((IF((($B$5/2)*(2*ACOS(1-2*(MIN(0.999,MAX(1E-6,A28/$B$5))))))&lt;=0,0,((($B$5/2)^2/2)*((2*ACOS(1-2*(MIN(0.999,MAX(1E-6,A28/$B$5)))))-SIN(2*ACOS(1-2*(MIN(0.999,MAX(1E-6,A28/$B$5)))))))/(($B$5/2)*(2*ACOS(1-2*(MIN(0.999,MAX(1E-6,A28/$B$5))))))))&lt;=0,0,(IF((($B$5/2)*(2*ACOS(1-2*(MIN(0.999,MAX(1E-6,A28/$B$5))))))&lt;=0,0,((($B$5/2)^2/2)*((2*ACOS(1-2*(MIN(0.999,MAX(1E-6,A28/$B$5)))))-SIN(2*ACOS(1-2*(MIN(0.999,MAX(1E-6,A28/$B$5)))))))/(($B$5/2)*(2*ACOS(1-2*(MIN(0.999,MAX(1E-6,A28/$B$5))))))))^(2/3))*SQRT($B$9)),IF((A28-$B$10+$B$9*$B$6)&lt;=0,0,(PI()*($B$5/2)^2)*SQRT((A28-$B$10+$B$9*$B$6)/((1+$B$17)/(2*9.81)+($B$4^2)*$B$6/(($B$5/4)^(4/3))))))</f>
        <v/>
      </c>
      <c r="E28" s="8">
        <f>MIN(C28,D28)</f>
        <v/>
      </c>
    </row>
    <row r="29">
      <c r="A29" s="20" t="n">
        <v>0.45</v>
      </c>
      <c r="B29" s="20">
        <f>$B$7+A29</f>
        <v/>
      </c>
      <c r="C29" s="18">
        <f>IF(A29&lt;=0,0,IF(A29&lt;=1.2*$B$5,1.811*(PI()*($B$5/2)^2)*SQRT($B$5)*IF($B$13*$B$5&lt;=0,0,(A29/($B$13*$B$5))^(1/$B$14)),MAX(1.811*(PI()*($B$5/2)^2)*SQRT($B$5)*IF($B$13*$B$5&lt;=0,0,((1.2*$B$5)/($B$13*$B$5))^(1/$B$14)),1.811*(PI()*($B$5/2)^2)*SQRT($B$5)*SQRT(MAX(0,(A29/$B$5-$B$16)/5)))))</f>
        <v/>
      </c>
      <c r="D29" s="18">
        <f>IF(A29&lt;$B$5,IF($B$4&lt;=0,0,(1/$B$4)*((($B$5/2)^2/2)*((2*ACOS(1-2*(MIN(0.999,MAX(1E-6,A29/$B$5)))))-SIN(2*ACOS(1-2*(MIN(0.999,MAX(1E-6,A29/$B$5)))))))*IF((IF((($B$5/2)*(2*ACOS(1-2*(MIN(0.999,MAX(1E-6,A29/$B$5))))))&lt;=0,0,((($B$5/2)^2/2)*((2*ACOS(1-2*(MIN(0.999,MAX(1E-6,A29/$B$5)))))-SIN(2*ACOS(1-2*(MIN(0.999,MAX(1E-6,A29/$B$5)))))))/(($B$5/2)*(2*ACOS(1-2*(MIN(0.999,MAX(1E-6,A29/$B$5))))))))&lt;=0,0,(IF((($B$5/2)*(2*ACOS(1-2*(MIN(0.999,MAX(1E-6,A29/$B$5))))))&lt;=0,0,((($B$5/2)^2/2)*((2*ACOS(1-2*(MIN(0.999,MAX(1E-6,A29/$B$5)))))-SIN(2*ACOS(1-2*(MIN(0.999,MAX(1E-6,A29/$B$5)))))))/(($B$5/2)*(2*ACOS(1-2*(MIN(0.999,MAX(1E-6,A29/$B$5))))))))^(2/3))*SQRT($B$9)),IF((A29-$B$10+$B$9*$B$6)&lt;=0,0,(PI()*($B$5/2)^2)*SQRT((A29-$B$10+$B$9*$B$6)/((1+$B$17)/(2*9.81)+($B$4^2)*$B$6/(($B$5/4)^(4/3))))))</f>
        <v/>
      </c>
      <c r="E29" s="8">
        <f>MIN(C29,D29)</f>
        <v/>
      </c>
    </row>
    <row r="30">
      <c r="A30" s="20" t="n">
        <v>0.5</v>
      </c>
      <c r="B30" s="20">
        <f>$B$7+A30</f>
        <v/>
      </c>
      <c r="C30" s="18">
        <f>IF(A30&lt;=0,0,IF(A30&lt;=1.2*$B$5,1.811*(PI()*($B$5/2)^2)*SQRT($B$5)*IF($B$13*$B$5&lt;=0,0,(A30/($B$13*$B$5))^(1/$B$14)),MAX(1.811*(PI()*($B$5/2)^2)*SQRT($B$5)*IF($B$13*$B$5&lt;=0,0,((1.2*$B$5)/($B$13*$B$5))^(1/$B$14)),1.811*(PI()*($B$5/2)^2)*SQRT($B$5)*SQRT(MAX(0,(A30/$B$5-$B$16)/5)))))</f>
        <v/>
      </c>
      <c r="D30" s="18">
        <f>IF(A30&lt;$B$5,IF($B$4&lt;=0,0,(1/$B$4)*((($B$5/2)^2/2)*((2*ACOS(1-2*(MIN(0.999,MAX(1E-6,A30/$B$5)))))-SIN(2*ACOS(1-2*(MIN(0.999,MAX(1E-6,A30/$B$5)))))))*IF((IF((($B$5/2)*(2*ACOS(1-2*(MIN(0.999,MAX(1E-6,A30/$B$5))))))&lt;=0,0,((($B$5/2)^2/2)*((2*ACOS(1-2*(MIN(0.999,MAX(1E-6,A30/$B$5)))))-SIN(2*ACOS(1-2*(MIN(0.999,MAX(1E-6,A30/$B$5)))))))/(($B$5/2)*(2*ACOS(1-2*(MIN(0.999,MAX(1E-6,A30/$B$5))))))))&lt;=0,0,(IF((($B$5/2)*(2*ACOS(1-2*(MIN(0.999,MAX(1E-6,A30/$B$5))))))&lt;=0,0,((($B$5/2)^2/2)*((2*ACOS(1-2*(MIN(0.999,MAX(1E-6,A30/$B$5)))))-SIN(2*ACOS(1-2*(MIN(0.999,MAX(1E-6,A30/$B$5)))))))/(($B$5/2)*(2*ACOS(1-2*(MIN(0.999,MAX(1E-6,A30/$B$5))))))))^(2/3))*SQRT($B$9)),IF((A30-$B$10+$B$9*$B$6)&lt;=0,0,(PI()*($B$5/2)^2)*SQRT((A30-$B$10+$B$9*$B$6)/((1+$B$17)/(2*9.81)+($B$4^2)*$B$6/(($B$5/4)^(4/3))))))</f>
        <v/>
      </c>
      <c r="E30" s="8">
        <f>MIN(C30,D30)</f>
        <v/>
      </c>
    </row>
    <row r="31">
      <c r="A31" s="20" t="n">
        <v>0.55</v>
      </c>
      <c r="B31" s="20">
        <f>$B$7+A31</f>
        <v/>
      </c>
      <c r="C31" s="18">
        <f>IF(A31&lt;=0,0,IF(A31&lt;=1.2*$B$5,1.811*(PI()*($B$5/2)^2)*SQRT($B$5)*IF($B$13*$B$5&lt;=0,0,(A31/($B$13*$B$5))^(1/$B$14)),MAX(1.811*(PI()*($B$5/2)^2)*SQRT($B$5)*IF($B$13*$B$5&lt;=0,0,((1.2*$B$5)/($B$13*$B$5))^(1/$B$14)),1.811*(PI()*($B$5/2)^2)*SQRT($B$5)*SQRT(MAX(0,(A31/$B$5-$B$16)/5)))))</f>
        <v/>
      </c>
      <c r="D31" s="18">
        <f>IF(A31&lt;$B$5,IF($B$4&lt;=0,0,(1/$B$4)*((($B$5/2)^2/2)*((2*ACOS(1-2*(MIN(0.999,MAX(1E-6,A31/$B$5)))))-SIN(2*ACOS(1-2*(MIN(0.999,MAX(1E-6,A31/$B$5)))))))*IF((IF((($B$5/2)*(2*ACOS(1-2*(MIN(0.999,MAX(1E-6,A31/$B$5))))))&lt;=0,0,((($B$5/2)^2/2)*((2*ACOS(1-2*(MIN(0.999,MAX(1E-6,A31/$B$5)))))-SIN(2*ACOS(1-2*(MIN(0.999,MAX(1E-6,A31/$B$5)))))))/(($B$5/2)*(2*ACOS(1-2*(MIN(0.999,MAX(1E-6,A31/$B$5))))))))&lt;=0,0,(IF((($B$5/2)*(2*ACOS(1-2*(MIN(0.999,MAX(1E-6,A31/$B$5))))))&lt;=0,0,((($B$5/2)^2/2)*((2*ACOS(1-2*(MIN(0.999,MAX(1E-6,A31/$B$5)))))-SIN(2*ACOS(1-2*(MIN(0.999,MAX(1E-6,A31/$B$5)))))))/(($B$5/2)*(2*ACOS(1-2*(MIN(0.999,MAX(1E-6,A31/$B$5))))))))^(2/3))*SQRT($B$9)),IF((A31-$B$10+$B$9*$B$6)&lt;=0,0,(PI()*($B$5/2)^2)*SQRT((A31-$B$10+$B$9*$B$6)/((1+$B$17)/(2*9.81)+($B$4^2)*$B$6/(($B$5/4)^(4/3))))))</f>
        <v/>
      </c>
      <c r="E31" s="8">
        <f>MIN(C31,D31)</f>
        <v/>
      </c>
    </row>
    <row r="32">
      <c r="A32" s="20" t="n">
        <v>0.6</v>
      </c>
      <c r="B32" s="20">
        <f>$B$7+A32</f>
        <v/>
      </c>
      <c r="C32" s="18">
        <f>IF(A32&lt;=0,0,IF(A32&lt;=1.2*$B$5,1.811*(PI()*($B$5/2)^2)*SQRT($B$5)*IF($B$13*$B$5&lt;=0,0,(A32/($B$13*$B$5))^(1/$B$14)),MAX(1.811*(PI()*($B$5/2)^2)*SQRT($B$5)*IF($B$13*$B$5&lt;=0,0,((1.2*$B$5)/($B$13*$B$5))^(1/$B$14)),1.811*(PI()*($B$5/2)^2)*SQRT($B$5)*SQRT(MAX(0,(A32/$B$5-$B$16)/5)))))</f>
        <v/>
      </c>
      <c r="D32" s="18">
        <f>IF(A32&lt;$B$5,IF($B$4&lt;=0,0,(1/$B$4)*((($B$5/2)^2/2)*((2*ACOS(1-2*(MIN(0.999,MAX(1E-6,A32/$B$5)))))-SIN(2*ACOS(1-2*(MIN(0.999,MAX(1E-6,A32/$B$5)))))))*IF((IF((($B$5/2)*(2*ACOS(1-2*(MIN(0.999,MAX(1E-6,A32/$B$5))))))&lt;=0,0,((($B$5/2)^2/2)*((2*ACOS(1-2*(MIN(0.999,MAX(1E-6,A32/$B$5)))))-SIN(2*ACOS(1-2*(MIN(0.999,MAX(1E-6,A32/$B$5)))))))/(($B$5/2)*(2*ACOS(1-2*(MIN(0.999,MAX(1E-6,A32/$B$5))))))))&lt;=0,0,(IF((($B$5/2)*(2*ACOS(1-2*(MIN(0.999,MAX(1E-6,A32/$B$5))))))&lt;=0,0,((($B$5/2)^2/2)*((2*ACOS(1-2*(MIN(0.999,MAX(1E-6,A32/$B$5)))))-SIN(2*ACOS(1-2*(MIN(0.999,MAX(1E-6,A32/$B$5)))))))/(($B$5/2)*(2*ACOS(1-2*(MIN(0.999,MAX(1E-6,A32/$B$5))))))))^(2/3))*SQRT($B$9)),IF((A32-$B$10+$B$9*$B$6)&lt;=0,0,(PI()*($B$5/2)^2)*SQRT((A32-$B$10+$B$9*$B$6)/((1+$B$17)/(2*9.81)+($B$4^2)*$B$6/(($B$5/4)^(4/3))))))</f>
        <v/>
      </c>
      <c r="E32" s="8">
        <f>MIN(C32,D32)</f>
        <v/>
      </c>
    </row>
    <row r="33">
      <c r="A33" s="20" t="n">
        <v>0.65</v>
      </c>
      <c r="B33" s="20">
        <f>$B$7+A33</f>
        <v/>
      </c>
      <c r="C33" s="18">
        <f>IF(A33&lt;=0,0,IF(A33&lt;=1.2*$B$5,1.811*(PI()*($B$5/2)^2)*SQRT($B$5)*IF($B$13*$B$5&lt;=0,0,(A33/($B$13*$B$5))^(1/$B$14)),MAX(1.811*(PI()*($B$5/2)^2)*SQRT($B$5)*IF($B$13*$B$5&lt;=0,0,((1.2*$B$5)/($B$13*$B$5))^(1/$B$14)),1.811*(PI()*($B$5/2)^2)*SQRT($B$5)*SQRT(MAX(0,(A33/$B$5-$B$16)/5)))))</f>
        <v/>
      </c>
      <c r="D33" s="18">
        <f>IF(A33&lt;$B$5,IF($B$4&lt;=0,0,(1/$B$4)*((($B$5/2)^2/2)*((2*ACOS(1-2*(MIN(0.999,MAX(1E-6,A33/$B$5)))))-SIN(2*ACOS(1-2*(MIN(0.999,MAX(1E-6,A33/$B$5)))))))*IF((IF((($B$5/2)*(2*ACOS(1-2*(MIN(0.999,MAX(1E-6,A33/$B$5))))))&lt;=0,0,((($B$5/2)^2/2)*((2*ACOS(1-2*(MIN(0.999,MAX(1E-6,A33/$B$5)))))-SIN(2*ACOS(1-2*(MIN(0.999,MAX(1E-6,A33/$B$5)))))))/(($B$5/2)*(2*ACOS(1-2*(MIN(0.999,MAX(1E-6,A33/$B$5))))))))&lt;=0,0,(IF((($B$5/2)*(2*ACOS(1-2*(MIN(0.999,MAX(1E-6,A33/$B$5))))))&lt;=0,0,((($B$5/2)^2/2)*((2*ACOS(1-2*(MIN(0.999,MAX(1E-6,A33/$B$5)))))-SIN(2*ACOS(1-2*(MIN(0.999,MAX(1E-6,A33/$B$5)))))))/(($B$5/2)*(2*ACOS(1-2*(MIN(0.999,MAX(1E-6,A33/$B$5))))))))^(2/3))*SQRT($B$9)),IF((A33-$B$10+$B$9*$B$6)&lt;=0,0,(PI()*($B$5/2)^2)*SQRT((A33-$B$10+$B$9*$B$6)/((1+$B$17)/(2*9.81)+($B$4^2)*$B$6/(($B$5/4)^(4/3))))))</f>
        <v/>
      </c>
      <c r="E33" s="8">
        <f>MIN(C33,D33)</f>
        <v/>
      </c>
    </row>
    <row r="34">
      <c r="A34" s="20" t="n">
        <v>0.7</v>
      </c>
      <c r="B34" s="20">
        <f>$B$7+A34</f>
        <v/>
      </c>
      <c r="C34" s="18">
        <f>IF(A34&lt;=0,0,IF(A34&lt;=1.2*$B$5,1.811*(PI()*($B$5/2)^2)*SQRT($B$5)*IF($B$13*$B$5&lt;=0,0,(A34/($B$13*$B$5))^(1/$B$14)),MAX(1.811*(PI()*($B$5/2)^2)*SQRT($B$5)*IF($B$13*$B$5&lt;=0,0,((1.2*$B$5)/($B$13*$B$5))^(1/$B$14)),1.811*(PI()*($B$5/2)^2)*SQRT($B$5)*SQRT(MAX(0,(A34/$B$5-$B$16)/5)))))</f>
        <v/>
      </c>
      <c r="D34" s="18">
        <f>IF(A34&lt;$B$5,IF($B$4&lt;=0,0,(1/$B$4)*((($B$5/2)^2/2)*((2*ACOS(1-2*(MIN(0.999,MAX(1E-6,A34/$B$5)))))-SIN(2*ACOS(1-2*(MIN(0.999,MAX(1E-6,A34/$B$5)))))))*IF((IF((($B$5/2)*(2*ACOS(1-2*(MIN(0.999,MAX(1E-6,A34/$B$5))))))&lt;=0,0,((($B$5/2)^2/2)*((2*ACOS(1-2*(MIN(0.999,MAX(1E-6,A34/$B$5)))))-SIN(2*ACOS(1-2*(MIN(0.999,MAX(1E-6,A34/$B$5)))))))/(($B$5/2)*(2*ACOS(1-2*(MIN(0.999,MAX(1E-6,A34/$B$5))))))))&lt;=0,0,(IF((($B$5/2)*(2*ACOS(1-2*(MIN(0.999,MAX(1E-6,A34/$B$5))))))&lt;=0,0,((($B$5/2)^2/2)*((2*ACOS(1-2*(MIN(0.999,MAX(1E-6,A34/$B$5)))))-SIN(2*ACOS(1-2*(MIN(0.999,MAX(1E-6,A34/$B$5)))))))/(($B$5/2)*(2*ACOS(1-2*(MIN(0.999,MAX(1E-6,A34/$B$5))))))))^(2/3))*SQRT($B$9)),IF((A34-$B$10+$B$9*$B$6)&lt;=0,0,(PI()*($B$5/2)^2)*SQRT((A34-$B$10+$B$9*$B$6)/((1+$B$17)/(2*9.81)+($B$4^2)*$B$6/(($B$5/4)^(4/3))))))</f>
        <v/>
      </c>
      <c r="E34" s="8">
        <f>MIN(C34,D34)</f>
        <v/>
      </c>
    </row>
    <row r="35">
      <c r="A35" s="20" t="n">
        <v>0.75</v>
      </c>
      <c r="B35" s="20">
        <f>$B$7+A35</f>
        <v/>
      </c>
      <c r="C35" s="18">
        <f>IF(A35&lt;=0,0,IF(A35&lt;=1.2*$B$5,1.811*(PI()*($B$5/2)^2)*SQRT($B$5)*IF($B$13*$B$5&lt;=0,0,(A35/($B$13*$B$5))^(1/$B$14)),MAX(1.811*(PI()*($B$5/2)^2)*SQRT($B$5)*IF($B$13*$B$5&lt;=0,0,((1.2*$B$5)/($B$13*$B$5))^(1/$B$14)),1.811*(PI()*($B$5/2)^2)*SQRT($B$5)*SQRT(MAX(0,(A35/$B$5-$B$16)/5)))))</f>
        <v/>
      </c>
      <c r="D35" s="18">
        <f>IF(A35&lt;$B$5,IF($B$4&lt;=0,0,(1/$B$4)*((($B$5/2)^2/2)*((2*ACOS(1-2*(MIN(0.999,MAX(1E-6,A35/$B$5)))))-SIN(2*ACOS(1-2*(MIN(0.999,MAX(1E-6,A35/$B$5)))))))*IF((IF((($B$5/2)*(2*ACOS(1-2*(MIN(0.999,MAX(1E-6,A35/$B$5))))))&lt;=0,0,((($B$5/2)^2/2)*((2*ACOS(1-2*(MIN(0.999,MAX(1E-6,A35/$B$5)))))-SIN(2*ACOS(1-2*(MIN(0.999,MAX(1E-6,A35/$B$5)))))))/(($B$5/2)*(2*ACOS(1-2*(MIN(0.999,MAX(1E-6,A35/$B$5))))))))&lt;=0,0,(IF((($B$5/2)*(2*ACOS(1-2*(MIN(0.999,MAX(1E-6,A35/$B$5))))))&lt;=0,0,((($B$5/2)^2/2)*((2*ACOS(1-2*(MIN(0.999,MAX(1E-6,A35/$B$5)))))-SIN(2*ACOS(1-2*(MIN(0.999,MAX(1E-6,A35/$B$5)))))))/(($B$5/2)*(2*ACOS(1-2*(MIN(0.999,MAX(1E-6,A35/$B$5))))))))^(2/3))*SQRT($B$9)),IF((A35-$B$10+$B$9*$B$6)&lt;=0,0,(PI()*($B$5/2)^2)*SQRT((A35-$B$10+$B$9*$B$6)/((1+$B$17)/(2*9.81)+($B$4^2)*$B$6/(($B$5/4)^(4/3))))))</f>
        <v/>
      </c>
      <c r="E35" s="8">
        <f>MIN(C35,D35)</f>
        <v/>
      </c>
    </row>
    <row r="36">
      <c r="A36" s="20" t="n">
        <v>0.8</v>
      </c>
      <c r="B36" s="20">
        <f>$B$7+A36</f>
        <v/>
      </c>
      <c r="C36" s="18">
        <f>IF(A36&lt;=0,0,IF(A36&lt;=1.2*$B$5,1.811*(PI()*($B$5/2)^2)*SQRT($B$5)*IF($B$13*$B$5&lt;=0,0,(A36/($B$13*$B$5))^(1/$B$14)),MAX(1.811*(PI()*($B$5/2)^2)*SQRT($B$5)*IF($B$13*$B$5&lt;=0,0,((1.2*$B$5)/($B$13*$B$5))^(1/$B$14)),1.811*(PI()*($B$5/2)^2)*SQRT($B$5)*SQRT(MAX(0,(A36/$B$5-$B$16)/5)))))</f>
        <v/>
      </c>
      <c r="D36" s="18">
        <f>IF(A36&lt;$B$5,IF($B$4&lt;=0,0,(1/$B$4)*((($B$5/2)^2/2)*((2*ACOS(1-2*(MIN(0.999,MAX(1E-6,A36/$B$5)))))-SIN(2*ACOS(1-2*(MIN(0.999,MAX(1E-6,A36/$B$5)))))))*IF((IF((($B$5/2)*(2*ACOS(1-2*(MIN(0.999,MAX(1E-6,A36/$B$5))))))&lt;=0,0,((($B$5/2)^2/2)*((2*ACOS(1-2*(MIN(0.999,MAX(1E-6,A36/$B$5)))))-SIN(2*ACOS(1-2*(MIN(0.999,MAX(1E-6,A36/$B$5)))))))/(($B$5/2)*(2*ACOS(1-2*(MIN(0.999,MAX(1E-6,A36/$B$5))))))))&lt;=0,0,(IF((($B$5/2)*(2*ACOS(1-2*(MIN(0.999,MAX(1E-6,A36/$B$5))))))&lt;=0,0,((($B$5/2)^2/2)*((2*ACOS(1-2*(MIN(0.999,MAX(1E-6,A36/$B$5)))))-SIN(2*ACOS(1-2*(MIN(0.999,MAX(1E-6,A36/$B$5)))))))/(($B$5/2)*(2*ACOS(1-2*(MIN(0.999,MAX(1E-6,A36/$B$5))))))))^(2/3))*SQRT($B$9)),IF((A36-$B$10+$B$9*$B$6)&lt;=0,0,(PI()*($B$5/2)^2)*SQRT((A36-$B$10+$B$9*$B$6)/((1+$B$17)/(2*9.81)+($B$4^2)*$B$6/(($B$5/4)^(4/3))))))</f>
        <v/>
      </c>
      <c r="E36" s="8">
        <f>MIN(C36,D36)</f>
        <v/>
      </c>
    </row>
    <row r="37">
      <c r="A37" s="20" t="n">
        <v>0.85</v>
      </c>
      <c r="B37" s="20">
        <f>$B$7+A37</f>
        <v/>
      </c>
      <c r="C37" s="18">
        <f>IF(A37&lt;=0,0,IF(A37&lt;=1.2*$B$5,1.811*(PI()*($B$5/2)^2)*SQRT($B$5)*IF($B$13*$B$5&lt;=0,0,(A37/($B$13*$B$5))^(1/$B$14)),MAX(1.811*(PI()*($B$5/2)^2)*SQRT($B$5)*IF($B$13*$B$5&lt;=0,0,((1.2*$B$5)/($B$13*$B$5))^(1/$B$14)),1.811*(PI()*($B$5/2)^2)*SQRT($B$5)*SQRT(MAX(0,(A37/$B$5-$B$16)/5)))))</f>
        <v/>
      </c>
      <c r="D37" s="18">
        <f>IF(A37&lt;$B$5,IF($B$4&lt;=0,0,(1/$B$4)*((($B$5/2)^2/2)*((2*ACOS(1-2*(MIN(0.999,MAX(1E-6,A37/$B$5)))))-SIN(2*ACOS(1-2*(MIN(0.999,MAX(1E-6,A37/$B$5)))))))*IF((IF((($B$5/2)*(2*ACOS(1-2*(MIN(0.999,MAX(1E-6,A37/$B$5))))))&lt;=0,0,((($B$5/2)^2/2)*((2*ACOS(1-2*(MIN(0.999,MAX(1E-6,A37/$B$5)))))-SIN(2*ACOS(1-2*(MIN(0.999,MAX(1E-6,A37/$B$5)))))))/(($B$5/2)*(2*ACOS(1-2*(MIN(0.999,MAX(1E-6,A37/$B$5))))))))&lt;=0,0,(IF((($B$5/2)*(2*ACOS(1-2*(MIN(0.999,MAX(1E-6,A37/$B$5))))))&lt;=0,0,((($B$5/2)^2/2)*((2*ACOS(1-2*(MIN(0.999,MAX(1E-6,A37/$B$5)))))-SIN(2*ACOS(1-2*(MIN(0.999,MAX(1E-6,A37/$B$5)))))))/(($B$5/2)*(2*ACOS(1-2*(MIN(0.999,MAX(1E-6,A37/$B$5))))))))^(2/3))*SQRT($B$9)),IF((A37-$B$10+$B$9*$B$6)&lt;=0,0,(PI()*($B$5/2)^2)*SQRT((A37-$B$10+$B$9*$B$6)/((1+$B$17)/(2*9.81)+($B$4^2)*$B$6/(($B$5/4)^(4/3))))))</f>
        <v/>
      </c>
      <c r="E37" s="8">
        <f>MIN(C37,D37)</f>
        <v/>
      </c>
    </row>
    <row r="38">
      <c r="A38" s="20" t="n">
        <v>0.9</v>
      </c>
      <c r="B38" s="20">
        <f>$B$7+A38</f>
        <v/>
      </c>
      <c r="C38" s="18">
        <f>IF(A38&lt;=0,0,IF(A38&lt;=1.2*$B$5,1.811*(PI()*($B$5/2)^2)*SQRT($B$5)*IF($B$13*$B$5&lt;=0,0,(A38/($B$13*$B$5))^(1/$B$14)),MAX(1.811*(PI()*($B$5/2)^2)*SQRT($B$5)*IF($B$13*$B$5&lt;=0,0,((1.2*$B$5)/($B$13*$B$5))^(1/$B$14)),1.811*(PI()*($B$5/2)^2)*SQRT($B$5)*SQRT(MAX(0,(A38/$B$5-$B$16)/5)))))</f>
        <v/>
      </c>
      <c r="D38" s="18">
        <f>IF(A38&lt;$B$5,IF($B$4&lt;=0,0,(1/$B$4)*((($B$5/2)^2/2)*((2*ACOS(1-2*(MIN(0.999,MAX(1E-6,A38/$B$5)))))-SIN(2*ACOS(1-2*(MIN(0.999,MAX(1E-6,A38/$B$5)))))))*IF((IF((($B$5/2)*(2*ACOS(1-2*(MIN(0.999,MAX(1E-6,A38/$B$5))))))&lt;=0,0,((($B$5/2)^2/2)*((2*ACOS(1-2*(MIN(0.999,MAX(1E-6,A38/$B$5)))))-SIN(2*ACOS(1-2*(MIN(0.999,MAX(1E-6,A38/$B$5)))))))/(($B$5/2)*(2*ACOS(1-2*(MIN(0.999,MAX(1E-6,A38/$B$5))))))))&lt;=0,0,(IF((($B$5/2)*(2*ACOS(1-2*(MIN(0.999,MAX(1E-6,A38/$B$5))))))&lt;=0,0,((($B$5/2)^2/2)*((2*ACOS(1-2*(MIN(0.999,MAX(1E-6,A38/$B$5)))))-SIN(2*ACOS(1-2*(MIN(0.999,MAX(1E-6,A38/$B$5)))))))/(($B$5/2)*(2*ACOS(1-2*(MIN(0.999,MAX(1E-6,A38/$B$5))))))))^(2/3))*SQRT($B$9)),IF((A38-$B$10+$B$9*$B$6)&lt;=0,0,(PI()*($B$5/2)^2)*SQRT((A38-$B$10+$B$9*$B$6)/((1+$B$17)/(2*9.81)+($B$4^2)*$B$6/(($B$5/4)^(4/3))))))</f>
        <v/>
      </c>
      <c r="E38" s="8">
        <f>MIN(C38,D38)</f>
        <v/>
      </c>
    </row>
    <row r="39">
      <c r="A39" s="20" t="n">
        <v>0.95</v>
      </c>
      <c r="B39" s="20">
        <f>$B$7+A39</f>
        <v/>
      </c>
      <c r="C39" s="18">
        <f>IF(A39&lt;=0,0,IF(A39&lt;=1.2*$B$5,1.811*(PI()*($B$5/2)^2)*SQRT($B$5)*IF($B$13*$B$5&lt;=0,0,(A39/($B$13*$B$5))^(1/$B$14)),MAX(1.811*(PI()*($B$5/2)^2)*SQRT($B$5)*IF($B$13*$B$5&lt;=0,0,((1.2*$B$5)/($B$13*$B$5))^(1/$B$14)),1.811*(PI()*($B$5/2)^2)*SQRT($B$5)*SQRT(MAX(0,(A39/$B$5-$B$16)/5)))))</f>
        <v/>
      </c>
      <c r="D39" s="18">
        <f>IF(A39&lt;$B$5,IF($B$4&lt;=0,0,(1/$B$4)*((($B$5/2)^2/2)*((2*ACOS(1-2*(MIN(0.999,MAX(1E-6,A39/$B$5)))))-SIN(2*ACOS(1-2*(MIN(0.999,MAX(1E-6,A39/$B$5)))))))*IF((IF((($B$5/2)*(2*ACOS(1-2*(MIN(0.999,MAX(1E-6,A39/$B$5))))))&lt;=0,0,((($B$5/2)^2/2)*((2*ACOS(1-2*(MIN(0.999,MAX(1E-6,A39/$B$5)))))-SIN(2*ACOS(1-2*(MIN(0.999,MAX(1E-6,A39/$B$5)))))))/(($B$5/2)*(2*ACOS(1-2*(MIN(0.999,MAX(1E-6,A39/$B$5))))))))&lt;=0,0,(IF((($B$5/2)*(2*ACOS(1-2*(MIN(0.999,MAX(1E-6,A39/$B$5))))))&lt;=0,0,((($B$5/2)^2/2)*((2*ACOS(1-2*(MIN(0.999,MAX(1E-6,A39/$B$5)))))-SIN(2*ACOS(1-2*(MIN(0.999,MAX(1E-6,A39/$B$5)))))))/(($B$5/2)*(2*ACOS(1-2*(MIN(0.999,MAX(1E-6,A39/$B$5))))))))^(2/3))*SQRT($B$9)),IF((A39-$B$10+$B$9*$B$6)&lt;=0,0,(PI()*($B$5/2)^2)*SQRT((A39-$B$10+$B$9*$B$6)/((1+$B$17)/(2*9.81)+($B$4^2)*$B$6/(($B$5/4)^(4/3))))))</f>
        <v/>
      </c>
      <c r="E39" s="8">
        <f>MIN(C39,D39)</f>
        <v/>
      </c>
    </row>
    <row r="40">
      <c r="A40" s="20" t="n">
        <v>1</v>
      </c>
      <c r="B40" s="20">
        <f>$B$7+A40</f>
        <v/>
      </c>
      <c r="C40" s="18">
        <f>IF(A40&lt;=0,0,IF(A40&lt;=1.2*$B$5,1.811*(PI()*($B$5/2)^2)*SQRT($B$5)*IF($B$13*$B$5&lt;=0,0,(A40/($B$13*$B$5))^(1/$B$14)),MAX(1.811*(PI()*($B$5/2)^2)*SQRT($B$5)*IF($B$13*$B$5&lt;=0,0,((1.2*$B$5)/($B$13*$B$5))^(1/$B$14)),1.811*(PI()*($B$5/2)^2)*SQRT($B$5)*SQRT(MAX(0,(A40/$B$5-$B$16)/5)))))</f>
        <v/>
      </c>
      <c r="D40" s="18">
        <f>IF(A40&lt;$B$5,IF($B$4&lt;=0,0,(1/$B$4)*((($B$5/2)^2/2)*((2*ACOS(1-2*(MIN(0.999,MAX(1E-6,A40/$B$5)))))-SIN(2*ACOS(1-2*(MIN(0.999,MAX(1E-6,A40/$B$5)))))))*IF((IF((($B$5/2)*(2*ACOS(1-2*(MIN(0.999,MAX(1E-6,A40/$B$5))))))&lt;=0,0,((($B$5/2)^2/2)*((2*ACOS(1-2*(MIN(0.999,MAX(1E-6,A40/$B$5)))))-SIN(2*ACOS(1-2*(MIN(0.999,MAX(1E-6,A40/$B$5)))))))/(($B$5/2)*(2*ACOS(1-2*(MIN(0.999,MAX(1E-6,A40/$B$5))))))))&lt;=0,0,(IF((($B$5/2)*(2*ACOS(1-2*(MIN(0.999,MAX(1E-6,A40/$B$5))))))&lt;=0,0,((($B$5/2)^2/2)*((2*ACOS(1-2*(MIN(0.999,MAX(1E-6,A40/$B$5)))))-SIN(2*ACOS(1-2*(MIN(0.999,MAX(1E-6,A40/$B$5)))))))/(($B$5/2)*(2*ACOS(1-2*(MIN(0.999,MAX(1E-6,A40/$B$5))))))))^(2/3))*SQRT($B$9)),IF((A40-$B$10+$B$9*$B$6)&lt;=0,0,(PI()*($B$5/2)^2)*SQRT((A40-$B$10+$B$9*$B$6)/((1+$B$17)/(2*9.81)+($B$4^2)*$B$6/(($B$5/4)^(4/3))))))</f>
        <v/>
      </c>
      <c r="E40" s="8">
        <f>MIN(C40,D40)</f>
        <v/>
      </c>
    </row>
    <row r="41">
      <c r="A41" s="20" t="n">
        <v>1.05</v>
      </c>
      <c r="B41" s="20">
        <f>$B$7+A41</f>
        <v/>
      </c>
      <c r="C41" s="18">
        <f>IF(A41&lt;=0,0,IF(A41&lt;=1.2*$B$5,1.811*(PI()*($B$5/2)^2)*SQRT($B$5)*IF($B$13*$B$5&lt;=0,0,(A41/($B$13*$B$5))^(1/$B$14)),MAX(1.811*(PI()*($B$5/2)^2)*SQRT($B$5)*IF($B$13*$B$5&lt;=0,0,((1.2*$B$5)/($B$13*$B$5))^(1/$B$14)),1.811*(PI()*($B$5/2)^2)*SQRT($B$5)*SQRT(MAX(0,(A41/$B$5-$B$16)/5)))))</f>
        <v/>
      </c>
      <c r="D41" s="18">
        <f>IF(A41&lt;$B$5,IF($B$4&lt;=0,0,(1/$B$4)*((($B$5/2)^2/2)*((2*ACOS(1-2*(MIN(0.999,MAX(1E-6,A41/$B$5)))))-SIN(2*ACOS(1-2*(MIN(0.999,MAX(1E-6,A41/$B$5)))))))*IF((IF((($B$5/2)*(2*ACOS(1-2*(MIN(0.999,MAX(1E-6,A41/$B$5))))))&lt;=0,0,((($B$5/2)^2/2)*((2*ACOS(1-2*(MIN(0.999,MAX(1E-6,A41/$B$5)))))-SIN(2*ACOS(1-2*(MIN(0.999,MAX(1E-6,A41/$B$5)))))))/(($B$5/2)*(2*ACOS(1-2*(MIN(0.999,MAX(1E-6,A41/$B$5))))))))&lt;=0,0,(IF((($B$5/2)*(2*ACOS(1-2*(MIN(0.999,MAX(1E-6,A41/$B$5))))))&lt;=0,0,((($B$5/2)^2/2)*((2*ACOS(1-2*(MIN(0.999,MAX(1E-6,A41/$B$5)))))-SIN(2*ACOS(1-2*(MIN(0.999,MAX(1E-6,A41/$B$5)))))))/(($B$5/2)*(2*ACOS(1-2*(MIN(0.999,MAX(1E-6,A41/$B$5))))))))^(2/3))*SQRT($B$9)),IF((A41-$B$10+$B$9*$B$6)&lt;=0,0,(PI()*($B$5/2)^2)*SQRT((A41-$B$10+$B$9*$B$6)/((1+$B$17)/(2*9.81)+($B$4^2)*$B$6/(($B$5/4)^(4/3))))))</f>
        <v/>
      </c>
      <c r="E41" s="8">
        <f>MIN(C41,D41)</f>
        <v/>
      </c>
    </row>
    <row r="42">
      <c r="A42" s="20" t="n">
        <v>1.1</v>
      </c>
      <c r="B42" s="20">
        <f>$B$7+A42</f>
        <v/>
      </c>
      <c r="C42" s="18">
        <f>IF(A42&lt;=0,0,IF(A42&lt;=1.2*$B$5,1.811*(PI()*($B$5/2)^2)*SQRT($B$5)*IF($B$13*$B$5&lt;=0,0,(A42/($B$13*$B$5))^(1/$B$14)),MAX(1.811*(PI()*($B$5/2)^2)*SQRT($B$5)*IF($B$13*$B$5&lt;=0,0,((1.2*$B$5)/($B$13*$B$5))^(1/$B$14)),1.811*(PI()*($B$5/2)^2)*SQRT($B$5)*SQRT(MAX(0,(A42/$B$5-$B$16)/5)))))</f>
        <v/>
      </c>
      <c r="D42" s="18">
        <f>IF(A42&lt;$B$5,IF($B$4&lt;=0,0,(1/$B$4)*((($B$5/2)^2/2)*((2*ACOS(1-2*(MIN(0.999,MAX(1E-6,A42/$B$5)))))-SIN(2*ACOS(1-2*(MIN(0.999,MAX(1E-6,A42/$B$5)))))))*IF((IF((($B$5/2)*(2*ACOS(1-2*(MIN(0.999,MAX(1E-6,A42/$B$5))))))&lt;=0,0,((($B$5/2)^2/2)*((2*ACOS(1-2*(MIN(0.999,MAX(1E-6,A42/$B$5)))))-SIN(2*ACOS(1-2*(MIN(0.999,MAX(1E-6,A42/$B$5)))))))/(($B$5/2)*(2*ACOS(1-2*(MIN(0.999,MAX(1E-6,A42/$B$5))))))))&lt;=0,0,(IF((($B$5/2)*(2*ACOS(1-2*(MIN(0.999,MAX(1E-6,A42/$B$5))))))&lt;=0,0,((($B$5/2)^2/2)*((2*ACOS(1-2*(MIN(0.999,MAX(1E-6,A42/$B$5)))))-SIN(2*ACOS(1-2*(MIN(0.999,MAX(1E-6,A42/$B$5)))))))/(($B$5/2)*(2*ACOS(1-2*(MIN(0.999,MAX(1E-6,A42/$B$5))))))))^(2/3))*SQRT($B$9)),IF((A42-$B$10+$B$9*$B$6)&lt;=0,0,(PI()*($B$5/2)^2)*SQRT((A42-$B$10+$B$9*$B$6)/((1+$B$17)/(2*9.81)+($B$4^2)*$B$6/(($B$5/4)^(4/3))))))</f>
        <v/>
      </c>
      <c r="E42" s="8">
        <f>MIN(C42,D42)</f>
        <v/>
      </c>
    </row>
    <row r="43">
      <c r="A43" s="20" t="n">
        <v>1.15</v>
      </c>
      <c r="B43" s="20">
        <f>$B$7+A43</f>
        <v/>
      </c>
      <c r="C43" s="18">
        <f>IF(A43&lt;=0,0,IF(A43&lt;=1.2*$B$5,1.811*(PI()*($B$5/2)^2)*SQRT($B$5)*IF($B$13*$B$5&lt;=0,0,(A43/($B$13*$B$5))^(1/$B$14)),MAX(1.811*(PI()*($B$5/2)^2)*SQRT($B$5)*IF($B$13*$B$5&lt;=0,0,((1.2*$B$5)/($B$13*$B$5))^(1/$B$14)),1.811*(PI()*($B$5/2)^2)*SQRT($B$5)*SQRT(MAX(0,(A43/$B$5-$B$16)/5)))))</f>
        <v/>
      </c>
      <c r="D43" s="18">
        <f>IF(A43&lt;$B$5,IF($B$4&lt;=0,0,(1/$B$4)*((($B$5/2)^2/2)*((2*ACOS(1-2*(MIN(0.999,MAX(1E-6,A43/$B$5)))))-SIN(2*ACOS(1-2*(MIN(0.999,MAX(1E-6,A43/$B$5)))))))*IF((IF((($B$5/2)*(2*ACOS(1-2*(MIN(0.999,MAX(1E-6,A43/$B$5))))))&lt;=0,0,((($B$5/2)^2/2)*((2*ACOS(1-2*(MIN(0.999,MAX(1E-6,A43/$B$5)))))-SIN(2*ACOS(1-2*(MIN(0.999,MAX(1E-6,A43/$B$5)))))))/(($B$5/2)*(2*ACOS(1-2*(MIN(0.999,MAX(1E-6,A43/$B$5))))))))&lt;=0,0,(IF((($B$5/2)*(2*ACOS(1-2*(MIN(0.999,MAX(1E-6,A43/$B$5))))))&lt;=0,0,((($B$5/2)^2/2)*((2*ACOS(1-2*(MIN(0.999,MAX(1E-6,A43/$B$5)))))-SIN(2*ACOS(1-2*(MIN(0.999,MAX(1E-6,A43/$B$5)))))))/(($B$5/2)*(2*ACOS(1-2*(MIN(0.999,MAX(1E-6,A43/$B$5))))))))^(2/3))*SQRT($B$9)),IF((A43-$B$10+$B$9*$B$6)&lt;=0,0,(PI()*($B$5/2)^2)*SQRT((A43-$B$10+$B$9*$B$6)/((1+$B$17)/(2*9.81)+($B$4^2)*$B$6/(($B$5/4)^(4/3))))))</f>
        <v/>
      </c>
      <c r="E43" s="8">
        <f>MIN(C43,D43)</f>
        <v/>
      </c>
    </row>
    <row r="44">
      <c r="A44" s="20" t="n">
        <v>1.2</v>
      </c>
      <c r="B44" s="20">
        <f>$B$7+A44</f>
        <v/>
      </c>
      <c r="C44" s="18">
        <f>IF(A44&lt;=0,0,IF(A44&lt;=1.2*$B$5,1.811*(PI()*($B$5/2)^2)*SQRT($B$5)*IF($B$13*$B$5&lt;=0,0,(A44/($B$13*$B$5))^(1/$B$14)),MAX(1.811*(PI()*($B$5/2)^2)*SQRT($B$5)*IF($B$13*$B$5&lt;=0,0,((1.2*$B$5)/($B$13*$B$5))^(1/$B$14)),1.811*(PI()*($B$5/2)^2)*SQRT($B$5)*SQRT(MAX(0,(A44/$B$5-$B$16)/5)))))</f>
        <v/>
      </c>
      <c r="D44" s="18">
        <f>IF(A44&lt;$B$5,IF($B$4&lt;=0,0,(1/$B$4)*((($B$5/2)^2/2)*((2*ACOS(1-2*(MIN(0.999,MAX(1E-6,A44/$B$5)))))-SIN(2*ACOS(1-2*(MIN(0.999,MAX(1E-6,A44/$B$5)))))))*IF((IF((($B$5/2)*(2*ACOS(1-2*(MIN(0.999,MAX(1E-6,A44/$B$5))))))&lt;=0,0,((($B$5/2)^2/2)*((2*ACOS(1-2*(MIN(0.999,MAX(1E-6,A44/$B$5)))))-SIN(2*ACOS(1-2*(MIN(0.999,MAX(1E-6,A44/$B$5)))))))/(($B$5/2)*(2*ACOS(1-2*(MIN(0.999,MAX(1E-6,A44/$B$5))))))))&lt;=0,0,(IF((($B$5/2)*(2*ACOS(1-2*(MIN(0.999,MAX(1E-6,A44/$B$5))))))&lt;=0,0,((($B$5/2)^2/2)*((2*ACOS(1-2*(MIN(0.999,MAX(1E-6,A44/$B$5)))))-SIN(2*ACOS(1-2*(MIN(0.999,MAX(1E-6,A44/$B$5)))))))/(($B$5/2)*(2*ACOS(1-2*(MIN(0.999,MAX(1E-6,A44/$B$5))))))))^(2/3))*SQRT($B$9)),IF((A44-$B$10+$B$9*$B$6)&lt;=0,0,(PI()*($B$5/2)^2)*SQRT((A44-$B$10+$B$9*$B$6)/((1+$B$17)/(2*9.81)+($B$4^2)*$B$6/(($B$5/4)^(4/3))))))</f>
        <v/>
      </c>
      <c r="E44" s="8">
        <f>MIN(C44,D44)</f>
        <v/>
      </c>
    </row>
    <row r="45">
      <c r="A45" s="20" t="n">
        <v>1.25</v>
      </c>
      <c r="B45" s="20">
        <f>$B$7+A45</f>
        <v/>
      </c>
      <c r="C45" s="18">
        <f>IF(A45&lt;=0,0,IF(A45&lt;=1.2*$B$5,1.811*(PI()*($B$5/2)^2)*SQRT($B$5)*IF($B$13*$B$5&lt;=0,0,(A45/($B$13*$B$5))^(1/$B$14)),MAX(1.811*(PI()*($B$5/2)^2)*SQRT($B$5)*IF($B$13*$B$5&lt;=0,0,((1.2*$B$5)/($B$13*$B$5))^(1/$B$14)),1.811*(PI()*($B$5/2)^2)*SQRT($B$5)*SQRT(MAX(0,(A45/$B$5-$B$16)/5)))))</f>
        <v/>
      </c>
      <c r="D45" s="18">
        <f>IF(A45&lt;$B$5,IF($B$4&lt;=0,0,(1/$B$4)*((($B$5/2)^2/2)*((2*ACOS(1-2*(MIN(0.999,MAX(1E-6,A45/$B$5)))))-SIN(2*ACOS(1-2*(MIN(0.999,MAX(1E-6,A45/$B$5)))))))*IF((IF((($B$5/2)*(2*ACOS(1-2*(MIN(0.999,MAX(1E-6,A45/$B$5))))))&lt;=0,0,((($B$5/2)^2/2)*((2*ACOS(1-2*(MIN(0.999,MAX(1E-6,A45/$B$5)))))-SIN(2*ACOS(1-2*(MIN(0.999,MAX(1E-6,A45/$B$5)))))))/(($B$5/2)*(2*ACOS(1-2*(MIN(0.999,MAX(1E-6,A45/$B$5))))))))&lt;=0,0,(IF((($B$5/2)*(2*ACOS(1-2*(MIN(0.999,MAX(1E-6,A45/$B$5))))))&lt;=0,0,((($B$5/2)^2/2)*((2*ACOS(1-2*(MIN(0.999,MAX(1E-6,A45/$B$5)))))-SIN(2*ACOS(1-2*(MIN(0.999,MAX(1E-6,A45/$B$5)))))))/(($B$5/2)*(2*ACOS(1-2*(MIN(0.999,MAX(1E-6,A45/$B$5))))))))^(2/3))*SQRT($B$9)),IF((A45-$B$10+$B$9*$B$6)&lt;=0,0,(PI()*($B$5/2)^2)*SQRT((A45-$B$10+$B$9*$B$6)/((1+$B$17)/(2*9.81)+($B$4^2)*$B$6/(($B$5/4)^(4/3))))))</f>
        <v/>
      </c>
      <c r="E45" s="8">
        <f>MIN(C45,D45)</f>
        <v/>
      </c>
    </row>
    <row r="46">
      <c r="A46" s="20" t="n">
        <v>1.3</v>
      </c>
      <c r="B46" s="20">
        <f>$B$7+A46</f>
        <v/>
      </c>
      <c r="C46" s="18">
        <f>IF(A46&lt;=0,0,IF(A46&lt;=1.2*$B$5,1.811*(PI()*($B$5/2)^2)*SQRT($B$5)*IF($B$13*$B$5&lt;=0,0,(A46/($B$13*$B$5))^(1/$B$14)),MAX(1.811*(PI()*($B$5/2)^2)*SQRT($B$5)*IF($B$13*$B$5&lt;=0,0,((1.2*$B$5)/($B$13*$B$5))^(1/$B$14)),1.811*(PI()*($B$5/2)^2)*SQRT($B$5)*SQRT(MAX(0,(A46/$B$5-$B$16)/5)))))</f>
        <v/>
      </c>
      <c r="D46" s="18">
        <f>IF(A46&lt;$B$5,IF($B$4&lt;=0,0,(1/$B$4)*((($B$5/2)^2/2)*((2*ACOS(1-2*(MIN(0.999,MAX(1E-6,A46/$B$5)))))-SIN(2*ACOS(1-2*(MIN(0.999,MAX(1E-6,A46/$B$5)))))))*IF((IF((($B$5/2)*(2*ACOS(1-2*(MIN(0.999,MAX(1E-6,A46/$B$5))))))&lt;=0,0,((($B$5/2)^2/2)*((2*ACOS(1-2*(MIN(0.999,MAX(1E-6,A46/$B$5)))))-SIN(2*ACOS(1-2*(MIN(0.999,MAX(1E-6,A46/$B$5)))))))/(($B$5/2)*(2*ACOS(1-2*(MIN(0.999,MAX(1E-6,A46/$B$5))))))))&lt;=0,0,(IF((($B$5/2)*(2*ACOS(1-2*(MIN(0.999,MAX(1E-6,A46/$B$5))))))&lt;=0,0,((($B$5/2)^2/2)*((2*ACOS(1-2*(MIN(0.999,MAX(1E-6,A46/$B$5)))))-SIN(2*ACOS(1-2*(MIN(0.999,MAX(1E-6,A46/$B$5)))))))/(($B$5/2)*(2*ACOS(1-2*(MIN(0.999,MAX(1E-6,A46/$B$5))))))))^(2/3))*SQRT($B$9)),IF((A46-$B$10+$B$9*$B$6)&lt;=0,0,(PI()*($B$5/2)^2)*SQRT((A46-$B$10+$B$9*$B$6)/((1+$B$17)/(2*9.81)+($B$4^2)*$B$6/(($B$5/4)^(4/3))))))</f>
        <v/>
      </c>
      <c r="E46" s="8">
        <f>MIN(C46,D46)</f>
        <v/>
      </c>
    </row>
    <row r="47">
      <c r="A47" s="20" t="n">
        <v>1.35</v>
      </c>
      <c r="B47" s="20">
        <f>$B$7+A47</f>
        <v/>
      </c>
      <c r="C47" s="18">
        <f>IF(A47&lt;=0,0,IF(A47&lt;=1.2*$B$5,1.811*(PI()*($B$5/2)^2)*SQRT($B$5)*IF($B$13*$B$5&lt;=0,0,(A47/($B$13*$B$5))^(1/$B$14)),MAX(1.811*(PI()*($B$5/2)^2)*SQRT($B$5)*IF($B$13*$B$5&lt;=0,0,((1.2*$B$5)/($B$13*$B$5))^(1/$B$14)),1.811*(PI()*($B$5/2)^2)*SQRT($B$5)*SQRT(MAX(0,(A47/$B$5-$B$16)/5)))))</f>
        <v/>
      </c>
      <c r="D47" s="18">
        <f>IF(A47&lt;$B$5,IF($B$4&lt;=0,0,(1/$B$4)*((($B$5/2)^2/2)*((2*ACOS(1-2*(MIN(0.999,MAX(1E-6,A47/$B$5)))))-SIN(2*ACOS(1-2*(MIN(0.999,MAX(1E-6,A47/$B$5)))))))*IF((IF((($B$5/2)*(2*ACOS(1-2*(MIN(0.999,MAX(1E-6,A47/$B$5))))))&lt;=0,0,((($B$5/2)^2/2)*((2*ACOS(1-2*(MIN(0.999,MAX(1E-6,A47/$B$5)))))-SIN(2*ACOS(1-2*(MIN(0.999,MAX(1E-6,A47/$B$5)))))))/(($B$5/2)*(2*ACOS(1-2*(MIN(0.999,MAX(1E-6,A47/$B$5))))))))&lt;=0,0,(IF((($B$5/2)*(2*ACOS(1-2*(MIN(0.999,MAX(1E-6,A47/$B$5))))))&lt;=0,0,((($B$5/2)^2/2)*((2*ACOS(1-2*(MIN(0.999,MAX(1E-6,A47/$B$5)))))-SIN(2*ACOS(1-2*(MIN(0.999,MAX(1E-6,A47/$B$5)))))))/(($B$5/2)*(2*ACOS(1-2*(MIN(0.999,MAX(1E-6,A47/$B$5))))))))^(2/3))*SQRT($B$9)),IF((A47-$B$10+$B$9*$B$6)&lt;=0,0,(PI()*($B$5/2)^2)*SQRT((A47-$B$10+$B$9*$B$6)/((1+$B$17)/(2*9.81)+($B$4^2)*$B$6/(($B$5/4)^(4/3))))))</f>
        <v/>
      </c>
      <c r="E47" s="8">
        <f>MIN(C47,D47)</f>
        <v/>
      </c>
    </row>
    <row r="48">
      <c r="A48" s="20" t="n">
        <v>1.4</v>
      </c>
      <c r="B48" s="20">
        <f>$B$7+A48</f>
        <v/>
      </c>
      <c r="C48" s="18">
        <f>IF(A48&lt;=0,0,IF(A48&lt;=1.2*$B$5,1.811*(PI()*($B$5/2)^2)*SQRT($B$5)*IF($B$13*$B$5&lt;=0,0,(A48/($B$13*$B$5))^(1/$B$14)),MAX(1.811*(PI()*($B$5/2)^2)*SQRT($B$5)*IF($B$13*$B$5&lt;=0,0,((1.2*$B$5)/($B$13*$B$5))^(1/$B$14)),1.811*(PI()*($B$5/2)^2)*SQRT($B$5)*SQRT(MAX(0,(A48/$B$5-$B$16)/5)))))</f>
        <v/>
      </c>
      <c r="D48" s="18">
        <f>IF(A48&lt;$B$5,IF($B$4&lt;=0,0,(1/$B$4)*((($B$5/2)^2/2)*((2*ACOS(1-2*(MIN(0.999,MAX(1E-6,A48/$B$5)))))-SIN(2*ACOS(1-2*(MIN(0.999,MAX(1E-6,A48/$B$5)))))))*IF((IF((($B$5/2)*(2*ACOS(1-2*(MIN(0.999,MAX(1E-6,A48/$B$5))))))&lt;=0,0,((($B$5/2)^2/2)*((2*ACOS(1-2*(MIN(0.999,MAX(1E-6,A48/$B$5)))))-SIN(2*ACOS(1-2*(MIN(0.999,MAX(1E-6,A48/$B$5)))))))/(($B$5/2)*(2*ACOS(1-2*(MIN(0.999,MAX(1E-6,A48/$B$5))))))))&lt;=0,0,(IF((($B$5/2)*(2*ACOS(1-2*(MIN(0.999,MAX(1E-6,A48/$B$5))))))&lt;=0,0,((($B$5/2)^2/2)*((2*ACOS(1-2*(MIN(0.999,MAX(1E-6,A48/$B$5)))))-SIN(2*ACOS(1-2*(MIN(0.999,MAX(1E-6,A48/$B$5)))))))/(($B$5/2)*(2*ACOS(1-2*(MIN(0.999,MAX(1E-6,A48/$B$5))))))))^(2/3))*SQRT($B$9)),IF((A48-$B$10+$B$9*$B$6)&lt;=0,0,(PI()*($B$5/2)^2)*SQRT((A48-$B$10+$B$9*$B$6)/((1+$B$17)/(2*9.81)+($B$4^2)*$B$6/(($B$5/4)^(4/3))))))</f>
        <v/>
      </c>
      <c r="E48" s="8">
        <f>MIN(C48,D48)</f>
        <v/>
      </c>
    </row>
    <row r="49">
      <c r="A49" s="20" t="n">
        <v>1.45</v>
      </c>
      <c r="B49" s="20">
        <f>$B$7+A49</f>
        <v/>
      </c>
      <c r="C49" s="18">
        <f>IF(A49&lt;=0,0,IF(A49&lt;=1.2*$B$5,1.811*(PI()*($B$5/2)^2)*SQRT($B$5)*IF($B$13*$B$5&lt;=0,0,(A49/($B$13*$B$5))^(1/$B$14)),MAX(1.811*(PI()*($B$5/2)^2)*SQRT($B$5)*IF($B$13*$B$5&lt;=0,0,((1.2*$B$5)/($B$13*$B$5))^(1/$B$14)),1.811*(PI()*($B$5/2)^2)*SQRT($B$5)*SQRT(MAX(0,(A49/$B$5-$B$16)/5)))))</f>
        <v/>
      </c>
      <c r="D49" s="18">
        <f>IF(A49&lt;$B$5,IF($B$4&lt;=0,0,(1/$B$4)*((($B$5/2)^2/2)*((2*ACOS(1-2*(MIN(0.999,MAX(1E-6,A49/$B$5)))))-SIN(2*ACOS(1-2*(MIN(0.999,MAX(1E-6,A49/$B$5)))))))*IF((IF((($B$5/2)*(2*ACOS(1-2*(MIN(0.999,MAX(1E-6,A49/$B$5))))))&lt;=0,0,((($B$5/2)^2/2)*((2*ACOS(1-2*(MIN(0.999,MAX(1E-6,A49/$B$5)))))-SIN(2*ACOS(1-2*(MIN(0.999,MAX(1E-6,A49/$B$5)))))))/(($B$5/2)*(2*ACOS(1-2*(MIN(0.999,MAX(1E-6,A49/$B$5))))))))&lt;=0,0,(IF((($B$5/2)*(2*ACOS(1-2*(MIN(0.999,MAX(1E-6,A49/$B$5))))))&lt;=0,0,((($B$5/2)^2/2)*((2*ACOS(1-2*(MIN(0.999,MAX(1E-6,A49/$B$5)))))-SIN(2*ACOS(1-2*(MIN(0.999,MAX(1E-6,A49/$B$5)))))))/(($B$5/2)*(2*ACOS(1-2*(MIN(0.999,MAX(1E-6,A49/$B$5))))))))^(2/3))*SQRT($B$9)),IF((A49-$B$10+$B$9*$B$6)&lt;=0,0,(PI()*($B$5/2)^2)*SQRT((A49-$B$10+$B$9*$B$6)/((1+$B$17)/(2*9.81)+($B$4^2)*$B$6/(($B$5/4)^(4/3))))))</f>
        <v/>
      </c>
      <c r="E49" s="8">
        <f>MIN(C49,D49)</f>
        <v/>
      </c>
    </row>
    <row r="50">
      <c r="A50" s="20" t="n">
        <v>1.5</v>
      </c>
      <c r="B50" s="20">
        <f>$B$7+A50</f>
        <v/>
      </c>
      <c r="C50" s="18">
        <f>IF(A50&lt;=0,0,IF(A50&lt;=1.2*$B$5,1.811*(PI()*($B$5/2)^2)*SQRT($B$5)*IF($B$13*$B$5&lt;=0,0,(A50/($B$13*$B$5))^(1/$B$14)),MAX(1.811*(PI()*($B$5/2)^2)*SQRT($B$5)*IF($B$13*$B$5&lt;=0,0,((1.2*$B$5)/($B$13*$B$5))^(1/$B$14)),1.811*(PI()*($B$5/2)^2)*SQRT($B$5)*SQRT(MAX(0,(A50/$B$5-$B$16)/5)))))</f>
        <v/>
      </c>
      <c r="D50" s="18">
        <f>IF(A50&lt;$B$5,IF($B$4&lt;=0,0,(1/$B$4)*((($B$5/2)^2/2)*((2*ACOS(1-2*(MIN(0.999,MAX(1E-6,A50/$B$5)))))-SIN(2*ACOS(1-2*(MIN(0.999,MAX(1E-6,A50/$B$5)))))))*IF((IF((($B$5/2)*(2*ACOS(1-2*(MIN(0.999,MAX(1E-6,A50/$B$5))))))&lt;=0,0,((($B$5/2)^2/2)*((2*ACOS(1-2*(MIN(0.999,MAX(1E-6,A50/$B$5)))))-SIN(2*ACOS(1-2*(MIN(0.999,MAX(1E-6,A50/$B$5)))))))/(($B$5/2)*(2*ACOS(1-2*(MIN(0.999,MAX(1E-6,A50/$B$5))))))))&lt;=0,0,(IF((($B$5/2)*(2*ACOS(1-2*(MIN(0.999,MAX(1E-6,A50/$B$5))))))&lt;=0,0,((($B$5/2)^2/2)*((2*ACOS(1-2*(MIN(0.999,MAX(1E-6,A50/$B$5)))))-SIN(2*ACOS(1-2*(MIN(0.999,MAX(1E-6,A50/$B$5)))))))/(($B$5/2)*(2*ACOS(1-2*(MIN(0.999,MAX(1E-6,A50/$B$5))))))))^(2/3))*SQRT($B$9)),IF((A50-$B$10+$B$9*$B$6)&lt;=0,0,(PI()*($B$5/2)^2)*SQRT((A50-$B$10+$B$9*$B$6)/((1+$B$17)/(2*9.81)+($B$4^2)*$B$6/(($B$5/4)^(4/3))))))</f>
        <v/>
      </c>
      <c r="E50" s="8">
        <f>MIN(C50,D50)</f>
        <v/>
      </c>
    </row>
    <row r="51">
      <c r="A51" s="20" t="n">
        <v>1.55</v>
      </c>
      <c r="B51" s="20">
        <f>$B$7+A51</f>
        <v/>
      </c>
      <c r="C51" s="18">
        <f>IF(A51&lt;=0,0,IF(A51&lt;=1.2*$B$5,1.811*(PI()*($B$5/2)^2)*SQRT($B$5)*IF($B$13*$B$5&lt;=0,0,(A51/($B$13*$B$5))^(1/$B$14)),MAX(1.811*(PI()*($B$5/2)^2)*SQRT($B$5)*IF($B$13*$B$5&lt;=0,0,((1.2*$B$5)/($B$13*$B$5))^(1/$B$14)),1.811*(PI()*($B$5/2)^2)*SQRT($B$5)*SQRT(MAX(0,(A51/$B$5-$B$16)/5)))))</f>
        <v/>
      </c>
      <c r="D51" s="18">
        <f>IF(A51&lt;$B$5,IF($B$4&lt;=0,0,(1/$B$4)*((($B$5/2)^2/2)*((2*ACOS(1-2*(MIN(0.999,MAX(1E-6,A51/$B$5)))))-SIN(2*ACOS(1-2*(MIN(0.999,MAX(1E-6,A51/$B$5)))))))*IF((IF((($B$5/2)*(2*ACOS(1-2*(MIN(0.999,MAX(1E-6,A51/$B$5))))))&lt;=0,0,((($B$5/2)^2/2)*((2*ACOS(1-2*(MIN(0.999,MAX(1E-6,A51/$B$5)))))-SIN(2*ACOS(1-2*(MIN(0.999,MAX(1E-6,A51/$B$5)))))))/(($B$5/2)*(2*ACOS(1-2*(MIN(0.999,MAX(1E-6,A51/$B$5))))))))&lt;=0,0,(IF((($B$5/2)*(2*ACOS(1-2*(MIN(0.999,MAX(1E-6,A51/$B$5))))))&lt;=0,0,((($B$5/2)^2/2)*((2*ACOS(1-2*(MIN(0.999,MAX(1E-6,A51/$B$5)))))-SIN(2*ACOS(1-2*(MIN(0.999,MAX(1E-6,A51/$B$5)))))))/(($B$5/2)*(2*ACOS(1-2*(MIN(0.999,MAX(1E-6,A51/$B$5))))))))^(2/3))*SQRT($B$9)),IF((A51-$B$10+$B$9*$B$6)&lt;=0,0,(PI()*($B$5/2)^2)*SQRT((A51-$B$10+$B$9*$B$6)/((1+$B$17)/(2*9.81)+($B$4^2)*$B$6/(($B$5/4)^(4/3))))))</f>
        <v/>
      </c>
      <c r="E51" s="8">
        <f>MIN(C51,D51)</f>
        <v/>
      </c>
    </row>
    <row r="52">
      <c r="A52" s="20" t="n">
        <v>1.6</v>
      </c>
      <c r="B52" s="20">
        <f>$B$7+A52</f>
        <v/>
      </c>
      <c r="C52" s="18">
        <f>IF(A52&lt;=0,0,IF(A52&lt;=1.2*$B$5,1.811*(PI()*($B$5/2)^2)*SQRT($B$5)*IF($B$13*$B$5&lt;=0,0,(A52/($B$13*$B$5))^(1/$B$14)),MAX(1.811*(PI()*($B$5/2)^2)*SQRT($B$5)*IF($B$13*$B$5&lt;=0,0,((1.2*$B$5)/($B$13*$B$5))^(1/$B$14)),1.811*(PI()*($B$5/2)^2)*SQRT($B$5)*SQRT(MAX(0,(A52/$B$5-$B$16)/5)))))</f>
        <v/>
      </c>
      <c r="D52" s="18">
        <f>IF(A52&lt;$B$5,IF($B$4&lt;=0,0,(1/$B$4)*((($B$5/2)^2/2)*((2*ACOS(1-2*(MIN(0.999,MAX(1E-6,A52/$B$5)))))-SIN(2*ACOS(1-2*(MIN(0.999,MAX(1E-6,A52/$B$5)))))))*IF((IF((($B$5/2)*(2*ACOS(1-2*(MIN(0.999,MAX(1E-6,A52/$B$5))))))&lt;=0,0,((($B$5/2)^2/2)*((2*ACOS(1-2*(MIN(0.999,MAX(1E-6,A52/$B$5)))))-SIN(2*ACOS(1-2*(MIN(0.999,MAX(1E-6,A52/$B$5)))))))/(($B$5/2)*(2*ACOS(1-2*(MIN(0.999,MAX(1E-6,A52/$B$5))))))))&lt;=0,0,(IF((($B$5/2)*(2*ACOS(1-2*(MIN(0.999,MAX(1E-6,A52/$B$5))))))&lt;=0,0,((($B$5/2)^2/2)*((2*ACOS(1-2*(MIN(0.999,MAX(1E-6,A52/$B$5)))))-SIN(2*ACOS(1-2*(MIN(0.999,MAX(1E-6,A52/$B$5)))))))/(($B$5/2)*(2*ACOS(1-2*(MIN(0.999,MAX(1E-6,A52/$B$5))))))))^(2/3))*SQRT($B$9)),IF((A52-$B$10+$B$9*$B$6)&lt;=0,0,(PI()*($B$5/2)^2)*SQRT((A52-$B$10+$B$9*$B$6)/((1+$B$17)/(2*9.81)+($B$4^2)*$B$6/(($B$5/4)^(4/3))))))</f>
        <v/>
      </c>
      <c r="E52" s="8">
        <f>MIN(C52,D52)</f>
        <v/>
      </c>
    </row>
    <row r="53">
      <c r="A53" s="20" t="n">
        <v>1.65</v>
      </c>
      <c r="B53" s="20">
        <f>$B$7+A53</f>
        <v/>
      </c>
      <c r="C53" s="18">
        <f>IF(A53&lt;=0,0,IF(A53&lt;=1.2*$B$5,1.811*(PI()*($B$5/2)^2)*SQRT($B$5)*IF($B$13*$B$5&lt;=0,0,(A53/($B$13*$B$5))^(1/$B$14)),MAX(1.811*(PI()*($B$5/2)^2)*SQRT($B$5)*IF($B$13*$B$5&lt;=0,0,((1.2*$B$5)/($B$13*$B$5))^(1/$B$14)),1.811*(PI()*($B$5/2)^2)*SQRT($B$5)*SQRT(MAX(0,(A53/$B$5-$B$16)/5)))))</f>
        <v/>
      </c>
      <c r="D53" s="18">
        <f>IF(A53&lt;$B$5,IF($B$4&lt;=0,0,(1/$B$4)*((($B$5/2)^2/2)*((2*ACOS(1-2*(MIN(0.999,MAX(1E-6,A53/$B$5)))))-SIN(2*ACOS(1-2*(MIN(0.999,MAX(1E-6,A53/$B$5)))))))*IF((IF((($B$5/2)*(2*ACOS(1-2*(MIN(0.999,MAX(1E-6,A53/$B$5))))))&lt;=0,0,((($B$5/2)^2/2)*((2*ACOS(1-2*(MIN(0.999,MAX(1E-6,A53/$B$5)))))-SIN(2*ACOS(1-2*(MIN(0.999,MAX(1E-6,A53/$B$5)))))))/(($B$5/2)*(2*ACOS(1-2*(MIN(0.999,MAX(1E-6,A53/$B$5))))))))&lt;=0,0,(IF((($B$5/2)*(2*ACOS(1-2*(MIN(0.999,MAX(1E-6,A53/$B$5))))))&lt;=0,0,((($B$5/2)^2/2)*((2*ACOS(1-2*(MIN(0.999,MAX(1E-6,A53/$B$5)))))-SIN(2*ACOS(1-2*(MIN(0.999,MAX(1E-6,A53/$B$5)))))))/(($B$5/2)*(2*ACOS(1-2*(MIN(0.999,MAX(1E-6,A53/$B$5))))))))^(2/3))*SQRT($B$9)),IF((A53-$B$10+$B$9*$B$6)&lt;=0,0,(PI()*($B$5/2)^2)*SQRT((A53-$B$10+$B$9*$B$6)/((1+$B$17)/(2*9.81)+($B$4^2)*$B$6/(($B$5/4)^(4/3))))))</f>
        <v/>
      </c>
      <c r="E53" s="8">
        <f>MIN(C53,D53)</f>
        <v/>
      </c>
    </row>
    <row r="54">
      <c r="A54" s="20" t="n">
        <v>1.7</v>
      </c>
      <c r="B54" s="20">
        <f>$B$7+A54</f>
        <v/>
      </c>
      <c r="C54" s="18">
        <f>IF(A54&lt;=0,0,IF(A54&lt;=1.2*$B$5,1.811*(PI()*($B$5/2)^2)*SQRT($B$5)*IF($B$13*$B$5&lt;=0,0,(A54/($B$13*$B$5))^(1/$B$14)),MAX(1.811*(PI()*($B$5/2)^2)*SQRT($B$5)*IF($B$13*$B$5&lt;=0,0,((1.2*$B$5)/($B$13*$B$5))^(1/$B$14)),1.811*(PI()*($B$5/2)^2)*SQRT($B$5)*SQRT(MAX(0,(A54/$B$5-$B$16)/5)))))</f>
        <v/>
      </c>
      <c r="D54" s="18">
        <f>IF(A54&lt;$B$5,IF($B$4&lt;=0,0,(1/$B$4)*((($B$5/2)^2/2)*((2*ACOS(1-2*(MIN(0.999,MAX(1E-6,A54/$B$5)))))-SIN(2*ACOS(1-2*(MIN(0.999,MAX(1E-6,A54/$B$5)))))))*IF((IF((($B$5/2)*(2*ACOS(1-2*(MIN(0.999,MAX(1E-6,A54/$B$5))))))&lt;=0,0,((($B$5/2)^2/2)*((2*ACOS(1-2*(MIN(0.999,MAX(1E-6,A54/$B$5)))))-SIN(2*ACOS(1-2*(MIN(0.999,MAX(1E-6,A54/$B$5)))))))/(($B$5/2)*(2*ACOS(1-2*(MIN(0.999,MAX(1E-6,A54/$B$5))))))))&lt;=0,0,(IF((($B$5/2)*(2*ACOS(1-2*(MIN(0.999,MAX(1E-6,A54/$B$5))))))&lt;=0,0,((($B$5/2)^2/2)*((2*ACOS(1-2*(MIN(0.999,MAX(1E-6,A54/$B$5)))))-SIN(2*ACOS(1-2*(MIN(0.999,MAX(1E-6,A54/$B$5)))))))/(($B$5/2)*(2*ACOS(1-2*(MIN(0.999,MAX(1E-6,A54/$B$5))))))))^(2/3))*SQRT($B$9)),IF((A54-$B$10+$B$9*$B$6)&lt;=0,0,(PI()*($B$5/2)^2)*SQRT((A54-$B$10+$B$9*$B$6)/((1+$B$17)/(2*9.81)+($B$4^2)*$B$6/(($B$5/4)^(4/3))))))</f>
        <v/>
      </c>
      <c r="E54" s="8">
        <f>MIN(C54,D54)</f>
        <v/>
      </c>
    </row>
    <row r="55">
      <c r="A55" s="20" t="n">
        <v>1.75</v>
      </c>
      <c r="B55" s="20">
        <f>$B$7+A55</f>
        <v/>
      </c>
      <c r="C55" s="18">
        <f>IF(A55&lt;=0,0,IF(A55&lt;=1.2*$B$5,1.811*(PI()*($B$5/2)^2)*SQRT($B$5)*IF($B$13*$B$5&lt;=0,0,(A55/($B$13*$B$5))^(1/$B$14)),MAX(1.811*(PI()*($B$5/2)^2)*SQRT($B$5)*IF($B$13*$B$5&lt;=0,0,((1.2*$B$5)/($B$13*$B$5))^(1/$B$14)),1.811*(PI()*($B$5/2)^2)*SQRT($B$5)*SQRT(MAX(0,(A55/$B$5-$B$16)/5)))))</f>
        <v/>
      </c>
      <c r="D55" s="18">
        <f>IF(A55&lt;$B$5,IF($B$4&lt;=0,0,(1/$B$4)*((($B$5/2)^2/2)*((2*ACOS(1-2*(MIN(0.999,MAX(1E-6,A55/$B$5)))))-SIN(2*ACOS(1-2*(MIN(0.999,MAX(1E-6,A55/$B$5)))))))*IF((IF((($B$5/2)*(2*ACOS(1-2*(MIN(0.999,MAX(1E-6,A55/$B$5))))))&lt;=0,0,((($B$5/2)^2/2)*((2*ACOS(1-2*(MIN(0.999,MAX(1E-6,A55/$B$5)))))-SIN(2*ACOS(1-2*(MIN(0.999,MAX(1E-6,A55/$B$5)))))))/(($B$5/2)*(2*ACOS(1-2*(MIN(0.999,MAX(1E-6,A55/$B$5))))))))&lt;=0,0,(IF((($B$5/2)*(2*ACOS(1-2*(MIN(0.999,MAX(1E-6,A55/$B$5))))))&lt;=0,0,((($B$5/2)^2/2)*((2*ACOS(1-2*(MIN(0.999,MAX(1E-6,A55/$B$5)))))-SIN(2*ACOS(1-2*(MIN(0.999,MAX(1E-6,A55/$B$5)))))))/(($B$5/2)*(2*ACOS(1-2*(MIN(0.999,MAX(1E-6,A55/$B$5))))))))^(2/3))*SQRT($B$9)),IF((A55-$B$10+$B$9*$B$6)&lt;=0,0,(PI()*($B$5/2)^2)*SQRT((A55-$B$10+$B$9*$B$6)/((1+$B$17)/(2*9.81)+($B$4^2)*$B$6/(($B$5/4)^(4/3))))))</f>
        <v/>
      </c>
      <c r="E55" s="8">
        <f>MIN(C55,D55)</f>
        <v/>
      </c>
    </row>
    <row r="56">
      <c r="A56" s="20" t="n">
        <v>1.8</v>
      </c>
      <c r="B56" s="20">
        <f>$B$7+A56</f>
        <v/>
      </c>
      <c r="C56" s="18">
        <f>IF(A56&lt;=0,0,IF(A56&lt;=1.2*$B$5,1.811*(PI()*($B$5/2)^2)*SQRT($B$5)*IF($B$13*$B$5&lt;=0,0,(A56/($B$13*$B$5))^(1/$B$14)),MAX(1.811*(PI()*($B$5/2)^2)*SQRT($B$5)*IF($B$13*$B$5&lt;=0,0,((1.2*$B$5)/($B$13*$B$5))^(1/$B$14)),1.811*(PI()*($B$5/2)^2)*SQRT($B$5)*SQRT(MAX(0,(A56/$B$5-$B$16)/5)))))</f>
        <v/>
      </c>
      <c r="D56" s="18">
        <f>IF(A56&lt;$B$5,IF($B$4&lt;=0,0,(1/$B$4)*((($B$5/2)^2/2)*((2*ACOS(1-2*(MIN(0.999,MAX(1E-6,A56/$B$5)))))-SIN(2*ACOS(1-2*(MIN(0.999,MAX(1E-6,A56/$B$5)))))))*IF((IF((($B$5/2)*(2*ACOS(1-2*(MIN(0.999,MAX(1E-6,A56/$B$5))))))&lt;=0,0,((($B$5/2)^2/2)*((2*ACOS(1-2*(MIN(0.999,MAX(1E-6,A56/$B$5)))))-SIN(2*ACOS(1-2*(MIN(0.999,MAX(1E-6,A56/$B$5)))))))/(($B$5/2)*(2*ACOS(1-2*(MIN(0.999,MAX(1E-6,A56/$B$5))))))))&lt;=0,0,(IF((($B$5/2)*(2*ACOS(1-2*(MIN(0.999,MAX(1E-6,A56/$B$5))))))&lt;=0,0,((($B$5/2)^2/2)*((2*ACOS(1-2*(MIN(0.999,MAX(1E-6,A56/$B$5)))))-SIN(2*ACOS(1-2*(MIN(0.999,MAX(1E-6,A56/$B$5)))))))/(($B$5/2)*(2*ACOS(1-2*(MIN(0.999,MAX(1E-6,A56/$B$5))))))))^(2/3))*SQRT($B$9)),IF((A56-$B$10+$B$9*$B$6)&lt;=0,0,(PI()*($B$5/2)^2)*SQRT((A56-$B$10+$B$9*$B$6)/((1+$B$17)/(2*9.81)+($B$4^2)*$B$6/(($B$5/4)^(4/3))))))</f>
        <v/>
      </c>
      <c r="E56" s="8">
        <f>MIN(C56,D56)</f>
        <v/>
      </c>
    </row>
    <row r="57">
      <c r="A57" s="20" t="n">
        <v>1.85</v>
      </c>
      <c r="B57" s="20">
        <f>$B$7+A57</f>
        <v/>
      </c>
      <c r="C57" s="18">
        <f>IF(A57&lt;=0,0,IF(A57&lt;=1.2*$B$5,1.811*(PI()*($B$5/2)^2)*SQRT($B$5)*IF($B$13*$B$5&lt;=0,0,(A57/($B$13*$B$5))^(1/$B$14)),MAX(1.811*(PI()*($B$5/2)^2)*SQRT($B$5)*IF($B$13*$B$5&lt;=0,0,((1.2*$B$5)/($B$13*$B$5))^(1/$B$14)),1.811*(PI()*($B$5/2)^2)*SQRT($B$5)*SQRT(MAX(0,(A57/$B$5-$B$16)/5)))))</f>
        <v/>
      </c>
      <c r="D57" s="18">
        <f>IF(A57&lt;$B$5,IF($B$4&lt;=0,0,(1/$B$4)*((($B$5/2)^2/2)*((2*ACOS(1-2*(MIN(0.999,MAX(1E-6,A57/$B$5)))))-SIN(2*ACOS(1-2*(MIN(0.999,MAX(1E-6,A57/$B$5)))))))*IF((IF((($B$5/2)*(2*ACOS(1-2*(MIN(0.999,MAX(1E-6,A57/$B$5))))))&lt;=0,0,((($B$5/2)^2/2)*((2*ACOS(1-2*(MIN(0.999,MAX(1E-6,A57/$B$5)))))-SIN(2*ACOS(1-2*(MIN(0.999,MAX(1E-6,A57/$B$5)))))))/(($B$5/2)*(2*ACOS(1-2*(MIN(0.999,MAX(1E-6,A57/$B$5))))))))&lt;=0,0,(IF((($B$5/2)*(2*ACOS(1-2*(MIN(0.999,MAX(1E-6,A57/$B$5))))))&lt;=0,0,((($B$5/2)^2/2)*((2*ACOS(1-2*(MIN(0.999,MAX(1E-6,A57/$B$5)))))-SIN(2*ACOS(1-2*(MIN(0.999,MAX(1E-6,A57/$B$5)))))))/(($B$5/2)*(2*ACOS(1-2*(MIN(0.999,MAX(1E-6,A57/$B$5))))))))^(2/3))*SQRT($B$9)),IF((A57-$B$10+$B$9*$B$6)&lt;=0,0,(PI()*($B$5/2)^2)*SQRT((A57-$B$10+$B$9*$B$6)/((1+$B$17)/(2*9.81)+($B$4^2)*$B$6/(($B$5/4)^(4/3))))))</f>
        <v/>
      </c>
      <c r="E57" s="8">
        <f>MIN(C57,D57)</f>
        <v/>
      </c>
    </row>
    <row r="58">
      <c r="A58" s="20" t="n">
        <v>1.9</v>
      </c>
      <c r="B58" s="20">
        <f>$B$7+A58</f>
        <v/>
      </c>
      <c r="C58" s="18">
        <f>IF(A58&lt;=0,0,IF(A58&lt;=1.2*$B$5,1.811*(PI()*($B$5/2)^2)*SQRT($B$5)*IF($B$13*$B$5&lt;=0,0,(A58/($B$13*$B$5))^(1/$B$14)),MAX(1.811*(PI()*($B$5/2)^2)*SQRT($B$5)*IF($B$13*$B$5&lt;=0,0,((1.2*$B$5)/($B$13*$B$5))^(1/$B$14)),1.811*(PI()*($B$5/2)^2)*SQRT($B$5)*SQRT(MAX(0,(A58/$B$5-$B$16)/5)))))</f>
        <v/>
      </c>
      <c r="D58" s="18">
        <f>IF(A58&lt;$B$5,IF($B$4&lt;=0,0,(1/$B$4)*((($B$5/2)^2/2)*((2*ACOS(1-2*(MIN(0.999,MAX(1E-6,A58/$B$5)))))-SIN(2*ACOS(1-2*(MIN(0.999,MAX(1E-6,A58/$B$5)))))))*IF((IF((($B$5/2)*(2*ACOS(1-2*(MIN(0.999,MAX(1E-6,A58/$B$5))))))&lt;=0,0,((($B$5/2)^2/2)*((2*ACOS(1-2*(MIN(0.999,MAX(1E-6,A58/$B$5)))))-SIN(2*ACOS(1-2*(MIN(0.999,MAX(1E-6,A58/$B$5)))))))/(($B$5/2)*(2*ACOS(1-2*(MIN(0.999,MAX(1E-6,A58/$B$5))))))))&lt;=0,0,(IF((($B$5/2)*(2*ACOS(1-2*(MIN(0.999,MAX(1E-6,A58/$B$5))))))&lt;=0,0,((($B$5/2)^2/2)*((2*ACOS(1-2*(MIN(0.999,MAX(1E-6,A58/$B$5)))))-SIN(2*ACOS(1-2*(MIN(0.999,MAX(1E-6,A58/$B$5)))))))/(($B$5/2)*(2*ACOS(1-2*(MIN(0.999,MAX(1E-6,A58/$B$5))))))))^(2/3))*SQRT($B$9)),IF((A58-$B$10+$B$9*$B$6)&lt;=0,0,(PI()*($B$5/2)^2)*SQRT((A58-$B$10+$B$9*$B$6)/((1+$B$17)/(2*9.81)+($B$4^2)*$B$6/(($B$5/4)^(4/3))))))</f>
        <v/>
      </c>
      <c r="E58" s="8">
        <f>MIN(C58,D58)</f>
        <v/>
      </c>
    </row>
    <row r="59">
      <c r="A59" s="20" t="n">
        <v>1.95</v>
      </c>
      <c r="B59" s="20">
        <f>$B$7+A59</f>
        <v/>
      </c>
      <c r="C59" s="18">
        <f>IF(A59&lt;=0,0,IF(A59&lt;=1.2*$B$5,1.811*(PI()*($B$5/2)^2)*SQRT($B$5)*IF($B$13*$B$5&lt;=0,0,(A59/($B$13*$B$5))^(1/$B$14)),MAX(1.811*(PI()*($B$5/2)^2)*SQRT($B$5)*IF($B$13*$B$5&lt;=0,0,((1.2*$B$5)/($B$13*$B$5))^(1/$B$14)),1.811*(PI()*($B$5/2)^2)*SQRT($B$5)*SQRT(MAX(0,(A59/$B$5-$B$16)/5)))))</f>
        <v/>
      </c>
      <c r="D59" s="18">
        <f>IF(A59&lt;$B$5,IF($B$4&lt;=0,0,(1/$B$4)*((($B$5/2)^2/2)*((2*ACOS(1-2*(MIN(0.999,MAX(1E-6,A59/$B$5)))))-SIN(2*ACOS(1-2*(MIN(0.999,MAX(1E-6,A59/$B$5)))))))*IF((IF((($B$5/2)*(2*ACOS(1-2*(MIN(0.999,MAX(1E-6,A59/$B$5))))))&lt;=0,0,((($B$5/2)^2/2)*((2*ACOS(1-2*(MIN(0.999,MAX(1E-6,A59/$B$5)))))-SIN(2*ACOS(1-2*(MIN(0.999,MAX(1E-6,A59/$B$5)))))))/(($B$5/2)*(2*ACOS(1-2*(MIN(0.999,MAX(1E-6,A59/$B$5))))))))&lt;=0,0,(IF((($B$5/2)*(2*ACOS(1-2*(MIN(0.999,MAX(1E-6,A59/$B$5))))))&lt;=0,0,((($B$5/2)^2/2)*((2*ACOS(1-2*(MIN(0.999,MAX(1E-6,A59/$B$5)))))-SIN(2*ACOS(1-2*(MIN(0.999,MAX(1E-6,A59/$B$5)))))))/(($B$5/2)*(2*ACOS(1-2*(MIN(0.999,MAX(1E-6,A59/$B$5))))))))^(2/3))*SQRT($B$9)),IF((A59-$B$10+$B$9*$B$6)&lt;=0,0,(PI()*($B$5/2)^2)*SQRT((A59-$B$10+$B$9*$B$6)/((1+$B$17)/(2*9.81)+($B$4^2)*$B$6/(($B$5/4)^(4/3))))))</f>
        <v/>
      </c>
      <c r="E59" s="8">
        <f>MIN(C59,D59)</f>
        <v/>
      </c>
    </row>
    <row r="60">
      <c r="A60" s="20" t="n">
        <v>2</v>
      </c>
      <c r="B60" s="20">
        <f>$B$7+A60</f>
        <v/>
      </c>
      <c r="C60" s="18">
        <f>IF(A60&lt;=0,0,IF(A60&lt;=1.2*$B$5,1.811*(PI()*($B$5/2)^2)*SQRT($B$5)*IF($B$13*$B$5&lt;=0,0,(A60/($B$13*$B$5))^(1/$B$14)),MAX(1.811*(PI()*($B$5/2)^2)*SQRT($B$5)*IF($B$13*$B$5&lt;=0,0,((1.2*$B$5)/($B$13*$B$5))^(1/$B$14)),1.811*(PI()*($B$5/2)^2)*SQRT($B$5)*SQRT(MAX(0,(A60/$B$5-$B$16)/5)))))</f>
        <v/>
      </c>
      <c r="D60" s="18">
        <f>IF(A60&lt;$B$5,IF($B$4&lt;=0,0,(1/$B$4)*((($B$5/2)^2/2)*((2*ACOS(1-2*(MIN(0.999,MAX(1E-6,A60/$B$5)))))-SIN(2*ACOS(1-2*(MIN(0.999,MAX(1E-6,A60/$B$5)))))))*IF((IF((($B$5/2)*(2*ACOS(1-2*(MIN(0.999,MAX(1E-6,A60/$B$5))))))&lt;=0,0,((($B$5/2)^2/2)*((2*ACOS(1-2*(MIN(0.999,MAX(1E-6,A60/$B$5)))))-SIN(2*ACOS(1-2*(MIN(0.999,MAX(1E-6,A60/$B$5)))))))/(($B$5/2)*(2*ACOS(1-2*(MIN(0.999,MAX(1E-6,A60/$B$5))))))))&lt;=0,0,(IF((($B$5/2)*(2*ACOS(1-2*(MIN(0.999,MAX(1E-6,A60/$B$5))))))&lt;=0,0,((($B$5/2)^2/2)*((2*ACOS(1-2*(MIN(0.999,MAX(1E-6,A60/$B$5)))))-SIN(2*ACOS(1-2*(MIN(0.999,MAX(1E-6,A60/$B$5)))))))/(($B$5/2)*(2*ACOS(1-2*(MIN(0.999,MAX(1E-6,A60/$B$5))))))))^(2/3))*SQRT($B$9)),IF((A60-$B$10+$B$9*$B$6)&lt;=0,0,(PI()*($B$5/2)^2)*SQRT((A60-$B$10+$B$9*$B$6)/((1+$B$17)/(2*9.81)+($B$4^2)*$B$6/(($B$5/4)^(4/3))))))</f>
        <v/>
      </c>
      <c r="E60" s="8">
        <f>MIN(C60,D60)</f>
        <v/>
      </c>
    </row>
    <row r="61">
      <c r="A61" s="20" t="n">
        <v>2.05</v>
      </c>
      <c r="B61" s="20">
        <f>$B$7+A61</f>
        <v/>
      </c>
      <c r="C61" s="18">
        <f>IF(A61&lt;=0,0,IF(A61&lt;=1.2*$B$5,1.811*(PI()*($B$5/2)^2)*SQRT($B$5)*IF($B$13*$B$5&lt;=0,0,(A61/($B$13*$B$5))^(1/$B$14)),MAX(1.811*(PI()*($B$5/2)^2)*SQRT($B$5)*IF($B$13*$B$5&lt;=0,0,((1.2*$B$5)/($B$13*$B$5))^(1/$B$14)),1.811*(PI()*($B$5/2)^2)*SQRT($B$5)*SQRT(MAX(0,(A61/$B$5-$B$16)/5)))))</f>
        <v/>
      </c>
      <c r="D61" s="18">
        <f>IF(A61&lt;$B$5,IF($B$4&lt;=0,0,(1/$B$4)*((($B$5/2)^2/2)*((2*ACOS(1-2*(MIN(0.999,MAX(1E-6,A61/$B$5)))))-SIN(2*ACOS(1-2*(MIN(0.999,MAX(1E-6,A61/$B$5)))))))*IF((IF((($B$5/2)*(2*ACOS(1-2*(MIN(0.999,MAX(1E-6,A61/$B$5))))))&lt;=0,0,((($B$5/2)^2/2)*((2*ACOS(1-2*(MIN(0.999,MAX(1E-6,A61/$B$5)))))-SIN(2*ACOS(1-2*(MIN(0.999,MAX(1E-6,A61/$B$5)))))))/(($B$5/2)*(2*ACOS(1-2*(MIN(0.999,MAX(1E-6,A61/$B$5))))))))&lt;=0,0,(IF((($B$5/2)*(2*ACOS(1-2*(MIN(0.999,MAX(1E-6,A61/$B$5))))))&lt;=0,0,((($B$5/2)^2/2)*((2*ACOS(1-2*(MIN(0.999,MAX(1E-6,A61/$B$5)))))-SIN(2*ACOS(1-2*(MIN(0.999,MAX(1E-6,A61/$B$5)))))))/(($B$5/2)*(2*ACOS(1-2*(MIN(0.999,MAX(1E-6,A61/$B$5))))))))^(2/3))*SQRT($B$9)),IF((A61-$B$10+$B$9*$B$6)&lt;=0,0,(PI()*($B$5/2)^2)*SQRT((A61-$B$10+$B$9*$B$6)/((1+$B$17)/(2*9.81)+($B$4^2)*$B$6/(($B$5/4)^(4/3))))))</f>
        <v/>
      </c>
      <c r="E61" s="8">
        <f>MIN(C61,D61)</f>
        <v/>
      </c>
    </row>
    <row r="62">
      <c r="A62" s="20" t="n">
        <v>2.1</v>
      </c>
      <c r="B62" s="20">
        <f>$B$7+A62</f>
        <v/>
      </c>
      <c r="C62" s="18">
        <f>IF(A62&lt;=0,0,IF(A62&lt;=1.2*$B$5,1.811*(PI()*($B$5/2)^2)*SQRT($B$5)*IF($B$13*$B$5&lt;=0,0,(A62/($B$13*$B$5))^(1/$B$14)),MAX(1.811*(PI()*($B$5/2)^2)*SQRT($B$5)*IF($B$13*$B$5&lt;=0,0,((1.2*$B$5)/($B$13*$B$5))^(1/$B$14)),1.811*(PI()*($B$5/2)^2)*SQRT($B$5)*SQRT(MAX(0,(A62/$B$5-$B$16)/5)))))</f>
        <v/>
      </c>
      <c r="D62" s="18">
        <f>IF(A62&lt;$B$5,IF($B$4&lt;=0,0,(1/$B$4)*((($B$5/2)^2/2)*((2*ACOS(1-2*(MIN(0.999,MAX(1E-6,A62/$B$5)))))-SIN(2*ACOS(1-2*(MIN(0.999,MAX(1E-6,A62/$B$5)))))))*IF((IF((($B$5/2)*(2*ACOS(1-2*(MIN(0.999,MAX(1E-6,A62/$B$5))))))&lt;=0,0,((($B$5/2)^2/2)*((2*ACOS(1-2*(MIN(0.999,MAX(1E-6,A62/$B$5)))))-SIN(2*ACOS(1-2*(MIN(0.999,MAX(1E-6,A62/$B$5)))))))/(($B$5/2)*(2*ACOS(1-2*(MIN(0.999,MAX(1E-6,A62/$B$5))))))))&lt;=0,0,(IF((($B$5/2)*(2*ACOS(1-2*(MIN(0.999,MAX(1E-6,A62/$B$5))))))&lt;=0,0,((($B$5/2)^2/2)*((2*ACOS(1-2*(MIN(0.999,MAX(1E-6,A62/$B$5)))))-SIN(2*ACOS(1-2*(MIN(0.999,MAX(1E-6,A62/$B$5)))))))/(($B$5/2)*(2*ACOS(1-2*(MIN(0.999,MAX(1E-6,A62/$B$5))))))))^(2/3))*SQRT($B$9)),IF((A62-$B$10+$B$9*$B$6)&lt;=0,0,(PI()*($B$5/2)^2)*SQRT((A62-$B$10+$B$9*$B$6)/((1+$B$17)/(2*9.81)+($B$4^2)*$B$6/(($B$5/4)^(4/3))))))</f>
        <v/>
      </c>
      <c r="E62" s="8">
        <f>MIN(C62,D62)</f>
        <v/>
      </c>
    </row>
    <row r="63">
      <c r="A63" s="20" t="n">
        <v>2.15</v>
      </c>
      <c r="B63" s="20">
        <f>$B$7+A63</f>
        <v/>
      </c>
      <c r="C63" s="18">
        <f>IF(A63&lt;=0,0,IF(A63&lt;=1.2*$B$5,1.811*(PI()*($B$5/2)^2)*SQRT($B$5)*IF($B$13*$B$5&lt;=0,0,(A63/($B$13*$B$5))^(1/$B$14)),MAX(1.811*(PI()*($B$5/2)^2)*SQRT($B$5)*IF($B$13*$B$5&lt;=0,0,((1.2*$B$5)/($B$13*$B$5))^(1/$B$14)),1.811*(PI()*($B$5/2)^2)*SQRT($B$5)*SQRT(MAX(0,(A63/$B$5-$B$16)/5)))))</f>
        <v/>
      </c>
      <c r="D63" s="18">
        <f>IF(A63&lt;$B$5,IF($B$4&lt;=0,0,(1/$B$4)*((($B$5/2)^2/2)*((2*ACOS(1-2*(MIN(0.999,MAX(1E-6,A63/$B$5)))))-SIN(2*ACOS(1-2*(MIN(0.999,MAX(1E-6,A63/$B$5)))))))*IF((IF((($B$5/2)*(2*ACOS(1-2*(MIN(0.999,MAX(1E-6,A63/$B$5))))))&lt;=0,0,((($B$5/2)^2/2)*((2*ACOS(1-2*(MIN(0.999,MAX(1E-6,A63/$B$5)))))-SIN(2*ACOS(1-2*(MIN(0.999,MAX(1E-6,A63/$B$5)))))))/(($B$5/2)*(2*ACOS(1-2*(MIN(0.999,MAX(1E-6,A63/$B$5))))))))&lt;=0,0,(IF((($B$5/2)*(2*ACOS(1-2*(MIN(0.999,MAX(1E-6,A63/$B$5))))))&lt;=0,0,((($B$5/2)^2/2)*((2*ACOS(1-2*(MIN(0.999,MAX(1E-6,A63/$B$5)))))-SIN(2*ACOS(1-2*(MIN(0.999,MAX(1E-6,A63/$B$5)))))))/(($B$5/2)*(2*ACOS(1-2*(MIN(0.999,MAX(1E-6,A63/$B$5))))))))^(2/3))*SQRT($B$9)),IF((A63-$B$10+$B$9*$B$6)&lt;=0,0,(PI()*($B$5/2)^2)*SQRT((A63-$B$10+$B$9*$B$6)/((1+$B$17)/(2*9.81)+($B$4^2)*$B$6/(($B$5/4)^(4/3))))))</f>
        <v/>
      </c>
      <c r="E63" s="8">
        <f>MIN(C63,D63)</f>
        <v/>
      </c>
    </row>
    <row r="64">
      <c r="A64" s="20" t="n">
        <v>2.2</v>
      </c>
      <c r="B64" s="20">
        <f>$B$7+A64</f>
        <v/>
      </c>
      <c r="C64" s="18">
        <f>IF(A64&lt;=0,0,IF(A64&lt;=1.2*$B$5,1.811*(PI()*($B$5/2)^2)*SQRT($B$5)*IF($B$13*$B$5&lt;=0,0,(A64/($B$13*$B$5))^(1/$B$14)),MAX(1.811*(PI()*($B$5/2)^2)*SQRT($B$5)*IF($B$13*$B$5&lt;=0,0,((1.2*$B$5)/($B$13*$B$5))^(1/$B$14)),1.811*(PI()*($B$5/2)^2)*SQRT($B$5)*SQRT(MAX(0,(A64/$B$5-$B$16)/5)))))</f>
        <v/>
      </c>
      <c r="D64" s="18">
        <f>IF(A64&lt;$B$5,IF($B$4&lt;=0,0,(1/$B$4)*((($B$5/2)^2/2)*((2*ACOS(1-2*(MIN(0.999,MAX(1E-6,A64/$B$5)))))-SIN(2*ACOS(1-2*(MIN(0.999,MAX(1E-6,A64/$B$5)))))))*IF((IF((($B$5/2)*(2*ACOS(1-2*(MIN(0.999,MAX(1E-6,A64/$B$5))))))&lt;=0,0,((($B$5/2)^2/2)*((2*ACOS(1-2*(MIN(0.999,MAX(1E-6,A64/$B$5)))))-SIN(2*ACOS(1-2*(MIN(0.999,MAX(1E-6,A64/$B$5)))))))/(($B$5/2)*(2*ACOS(1-2*(MIN(0.999,MAX(1E-6,A64/$B$5))))))))&lt;=0,0,(IF((($B$5/2)*(2*ACOS(1-2*(MIN(0.999,MAX(1E-6,A64/$B$5))))))&lt;=0,0,((($B$5/2)^2/2)*((2*ACOS(1-2*(MIN(0.999,MAX(1E-6,A64/$B$5)))))-SIN(2*ACOS(1-2*(MIN(0.999,MAX(1E-6,A64/$B$5)))))))/(($B$5/2)*(2*ACOS(1-2*(MIN(0.999,MAX(1E-6,A64/$B$5))))))))^(2/3))*SQRT($B$9)),IF((A64-$B$10+$B$9*$B$6)&lt;=0,0,(PI()*($B$5/2)^2)*SQRT((A64-$B$10+$B$9*$B$6)/((1+$B$17)/(2*9.81)+($B$4^2)*$B$6/(($B$5/4)^(4/3))))))</f>
        <v/>
      </c>
      <c r="E64" s="8">
        <f>MIN(C64,D64)</f>
        <v/>
      </c>
    </row>
    <row r="65">
      <c r="A65" s="20" t="n">
        <v>2.25</v>
      </c>
      <c r="B65" s="20">
        <f>$B$7+A65</f>
        <v/>
      </c>
      <c r="C65" s="18">
        <f>IF(A65&lt;=0,0,IF(A65&lt;=1.2*$B$5,1.811*(PI()*($B$5/2)^2)*SQRT($B$5)*IF($B$13*$B$5&lt;=0,0,(A65/($B$13*$B$5))^(1/$B$14)),MAX(1.811*(PI()*($B$5/2)^2)*SQRT($B$5)*IF($B$13*$B$5&lt;=0,0,((1.2*$B$5)/($B$13*$B$5))^(1/$B$14)),1.811*(PI()*($B$5/2)^2)*SQRT($B$5)*SQRT(MAX(0,(A65/$B$5-$B$16)/5)))))</f>
        <v/>
      </c>
      <c r="D65" s="18">
        <f>IF(A65&lt;$B$5,IF($B$4&lt;=0,0,(1/$B$4)*((($B$5/2)^2/2)*((2*ACOS(1-2*(MIN(0.999,MAX(1E-6,A65/$B$5)))))-SIN(2*ACOS(1-2*(MIN(0.999,MAX(1E-6,A65/$B$5)))))))*IF((IF((($B$5/2)*(2*ACOS(1-2*(MIN(0.999,MAX(1E-6,A65/$B$5))))))&lt;=0,0,((($B$5/2)^2/2)*((2*ACOS(1-2*(MIN(0.999,MAX(1E-6,A65/$B$5)))))-SIN(2*ACOS(1-2*(MIN(0.999,MAX(1E-6,A65/$B$5)))))))/(($B$5/2)*(2*ACOS(1-2*(MIN(0.999,MAX(1E-6,A65/$B$5))))))))&lt;=0,0,(IF((($B$5/2)*(2*ACOS(1-2*(MIN(0.999,MAX(1E-6,A65/$B$5))))))&lt;=0,0,((($B$5/2)^2/2)*((2*ACOS(1-2*(MIN(0.999,MAX(1E-6,A65/$B$5)))))-SIN(2*ACOS(1-2*(MIN(0.999,MAX(1E-6,A65/$B$5)))))))/(($B$5/2)*(2*ACOS(1-2*(MIN(0.999,MAX(1E-6,A65/$B$5))))))))^(2/3))*SQRT($B$9)),IF((A65-$B$10+$B$9*$B$6)&lt;=0,0,(PI()*($B$5/2)^2)*SQRT((A65-$B$10+$B$9*$B$6)/((1+$B$17)/(2*9.81)+($B$4^2)*$B$6/(($B$5/4)^(4/3))))))</f>
        <v/>
      </c>
      <c r="E65" s="8">
        <f>MIN(C65,D65)</f>
        <v/>
      </c>
    </row>
    <row r="66">
      <c r="A66" s="20" t="n">
        <v>2.3</v>
      </c>
      <c r="B66" s="20">
        <f>$B$7+A66</f>
        <v/>
      </c>
      <c r="C66" s="18">
        <f>IF(A66&lt;=0,0,IF(A66&lt;=1.2*$B$5,1.811*(PI()*($B$5/2)^2)*SQRT($B$5)*IF($B$13*$B$5&lt;=0,0,(A66/($B$13*$B$5))^(1/$B$14)),MAX(1.811*(PI()*($B$5/2)^2)*SQRT($B$5)*IF($B$13*$B$5&lt;=0,0,((1.2*$B$5)/($B$13*$B$5))^(1/$B$14)),1.811*(PI()*($B$5/2)^2)*SQRT($B$5)*SQRT(MAX(0,(A66/$B$5-$B$16)/5)))))</f>
        <v/>
      </c>
      <c r="D66" s="18">
        <f>IF(A66&lt;$B$5,IF($B$4&lt;=0,0,(1/$B$4)*((($B$5/2)^2/2)*((2*ACOS(1-2*(MIN(0.999,MAX(1E-6,A66/$B$5)))))-SIN(2*ACOS(1-2*(MIN(0.999,MAX(1E-6,A66/$B$5)))))))*IF((IF((($B$5/2)*(2*ACOS(1-2*(MIN(0.999,MAX(1E-6,A66/$B$5))))))&lt;=0,0,((($B$5/2)^2/2)*((2*ACOS(1-2*(MIN(0.999,MAX(1E-6,A66/$B$5)))))-SIN(2*ACOS(1-2*(MIN(0.999,MAX(1E-6,A66/$B$5)))))))/(($B$5/2)*(2*ACOS(1-2*(MIN(0.999,MAX(1E-6,A66/$B$5))))))))&lt;=0,0,(IF((($B$5/2)*(2*ACOS(1-2*(MIN(0.999,MAX(1E-6,A66/$B$5))))))&lt;=0,0,((($B$5/2)^2/2)*((2*ACOS(1-2*(MIN(0.999,MAX(1E-6,A66/$B$5)))))-SIN(2*ACOS(1-2*(MIN(0.999,MAX(1E-6,A66/$B$5)))))))/(($B$5/2)*(2*ACOS(1-2*(MIN(0.999,MAX(1E-6,A66/$B$5))))))))^(2/3))*SQRT($B$9)),IF((A66-$B$10+$B$9*$B$6)&lt;=0,0,(PI()*($B$5/2)^2)*SQRT((A66-$B$10+$B$9*$B$6)/((1+$B$17)/(2*9.81)+($B$4^2)*$B$6/(($B$5/4)^(4/3))))))</f>
        <v/>
      </c>
      <c r="E66" s="8">
        <f>MIN(C66,D66)</f>
        <v/>
      </c>
    </row>
    <row r="67">
      <c r="A67" s="20" t="n">
        <v>2.35</v>
      </c>
      <c r="B67" s="20">
        <f>$B$7+A67</f>
        <v/>
      </c>
      <c r="C67" s="18">
        <f>IF(A67&lt;=0,0,IF(A67&lt;=1.2*$B$5,1.811*(PI()*($B$5/2)^2)*SQRT($B$5)*IF($B$13*$B$5&lt;=0,0,(A67/($B$13*$B$5))^(1/$B$14)),MAX(1.811*(PI()*($B$5/2)^2)*SQRT($B$5)*IF($B$13*$B$5&lt;=0,0,((1.2*$B$5)/($B$13*$B$5))^(1/$B$14)),1.811*(PI()*($B$5/2)^2)*SQRT($B$5)*SQRT(MAX(0,(A67/$B$5-$B$16)/5)))))</f>
        <v/>
      </c>
      <c r="D67" s="18">
        <f>IF(A67&lt;$B$5,IF($B$4&lt;=0,0,(1/$B$4)*((($B$5/2)^2/2)*((2*ACOS(1-2*(MIN(0.999,MAX(1E-6,A67/$B$5)))))-SIN(2*ACOS(1-2*(MIN(0.999,MAX(1E-6,A67/$B$5)))))))*IF((IF((($B$5/2)*(2*ACOS(1-2*(MIN(0.999,MAX(1E-6,A67/$B$5))))))&lt;=0,0,((($B$5/2)^2/2)*((2*ACOS(1-2*(MIN(0.999,MAX(1E-6,A67/$B$5)))))-SIN(2*ACOS(1-2*(MIN(0.999,MAX(1E-6,A67/$B$5)))))))/(($B$5/2)*(2*ACOS(1-2*(MIN(0.999,MAX(1E-6,A67/$B$5))))))))&lt;=0,0,(IF((($B$5/2)*(2*ACOS(1-2*(MIN(0.999,MAX(1E-6,A67/$B$5))))))&lt;=0,0,((($B$5/2)^2/2)*((2*ACOS(1-2*(MIN(0.999,MAX(1E-6,A67/$B$5)))))-SIN(2*ACOS(1-2*(MIN(0.999,MAX(1E-6,A67/$B$5)))))))/(($B$5/2)*(2*ACOS(1-2*(MIN(0.999,MAX(1E-6,A67/$B$5))))))))^(2/3))*SQRT($B$9)),IF((A67-$B$10+$B$9*$B$6)&lt;=0,0,(PI()*($B$5/2)^2)*SQRT((A67-$B$10+$B$9*$B$6)/((1+$B$17)/(2*9.81)+($B$4^2)*$B$6/(($B$5/4)^(4/3))))))</f>
        <v/>
      </c>
      <c r="E67" s="8">
        <f>MIN(C67,D67)</f>
        <v/>
      </c>
    </row>
    <row r="68">
      <c r="A68" s="20" t="n">
        <v>2.4</v>
      </c>
      <c r="B68" s="20">
        <f>$B$7+A68</f>
        <v/>
      </c>
      <c r="C68" s="18">
        <f>IF(A68&lt;=0,0,IF(A68&lt;=1.2*$B$5,1.811*(PI()*($B$5/2)^2)*SQRT($B$5)*IF($B$13*$B$5&lt;=0,0,(A68/($B$13*$B$5))^(1/$B$14)),MAX(1.811*(PI()*($B$5/2)^2)*SQRT($B$5)*IF($B$13*$B$5&lt;=0,0,((1.2*$B$5)/($B$13*$B$5))^(1/$B$14)),1.811*(PI()*($B$5/2)^2)*SQRT($B$5)*SQRT(MAX(0,(A68/$B$5-$B$16)/5)))))</f>
        <v/>
      </c>
      <c r="D68" s="18">
        <f>IF(A68&lt;$B$5,IF($B$4&lt;=0,0,(1/$B$4)*((($B$5/2)^2/2)*((2*ACOS(1-2*(MIN(0.999,MAX(1E-6,A68/$B$5)))))-SIN(2*ACOS(1-2*(MIN(0.999,MAX(1E-6,A68/$B$5)))))))*IF((IF((($B$5/2)*(2*ACOS(1-2*(MIN(0.999,MAX(1E-6,A68/$B$5))))))&lt;=0,0,((($B$5/2)^2/2)*((2*ACOS(1-2*(MIN(0.999,MAX(1E-6,A68/$B$5)))))-SIN(2*ACOS(1-2*(MIN(0.999,MAX(1E-6,A68/$B$5)))))))/(($B$5/2)*(2*ACOS(1-2*(MIN(0.999,MAX(1E-6,A68/$B$5))))))))&lt;=0,0,(IF((($B$5/2)*(2*ACOS(1-2*(MIN(0.999,MAX(1E-6,A68/$B$5))))))&lt;=0,0,((($B$5/2)^2/2)*((2*ACOS(1-2*(MIN(0.999,MAX(1E-6,A68/$B$5)))))-SIN(2*ACOS(1-2*(MIN(0.999,MAX(1E-6,A68/$B$5)))))))/(($B$5/2)*(2*ACOS(1-2*(MIN(0.999,MAX(1E-6,A68/$B$5))))))))^(2/3))*SQRT($B$9)),IF((A68-$B$10+$B$9*$B$6)&lt;=0,0,(PI()*($B$5/2)^2)*SQRT((A68-$B$10+$B$9*$B$6)/((1+$B$17)/(2*9.81)+($B$4^2)*$B$6/(($B$5/4)^(4/3))))))</f>
        <v/>
      </c>
      <c r="E68" s="8">
        <f>MIN(C68,D68)</f>
        <v/>
      </c>
    </row>
    <row r="69">
      <c r="A69" s="20" t="n">
        <v>2.45</v>
      </c>
      <c r="B69" s="20">
        <f>$B$7+A69</f>
        <v/>
      </c>
      <c r="C69" s="18">
        <f>IF(A69&lt;=0,0,IF(A69&lt;=1.2*$B$5,1.811*(PI()*($B$5/2)^2)*SQRT($B$5)*IF($B$13*$B$5&lt;=0,0,(A69/($B$13*$B$5))^(1/$B$14)),MAX(1.811*(PI()*($B$5/2)^2)*SQRT($B$5)*IF($B$13*$B$5&lt;=0,0,((1.2*$B$5)/($B$13*$B$5))^(1/$B$14)),1.811*(PI()*($B$5/2)^2)*SQRT($B$5)*SQRT(MAX(0,(A69/$B$5-$B$16)/5)))))</f>
        <v/>
      </c>
      <c r="D69" s="18">
        <f>IF(A69&lt;$B$5,IF($B$4&lt;=0,0,(1/$B$4)*((($B$5/2)^2/2)*((2*ACOS(1-2*(MIN(0.999,MAX(1E-6,A69/$B$5)))))-SIN(2*ACOS(1-2*(MIN(0.999,MAX(1E-6,A69/$B$5)))))))*IF((IF((($B$5/2)*(2*ACOS(1-2*(MIN(0.999,MAX(1E-6,A69/$B$5))))))&lt;=0,0,((($B$5/2)^2/2)*((2*ACOS(1-2*(MIN(0.999,MAX(1E-6,A69/$B$5)))))-SIN(2*ACOS(1-2*(MIN(0.999,MAX(1E-6,A69/$B$5)))))))/(($B$5/2)*(2*ACOS(1-2*(MIN(0.999,MAX(1E-6,A69/$B$5))))))))&lt;=0,0,(IF((($B$5/2)*(2*ACOS(1-2*(MIN(0.999,MAX(1E-6,A69/$B$5))))))&lt;=0,0,((($B$5/2)^2/2)*((2*ACOS(1-2*(MIN(0.999,MAX(1E-6,A69/$B$5)))))-SIN(2*ACOS(1-2*(MIN(0.999,MAX(1E-6,A69/$B$5)))))))/(($B$5/2)*(2*ACOS(1-2*(MIN(0.999,MAX(1E-6,A69/$B$5))))))))^(2/3))*SQRT($B$9)),IF((A69-$B$10+$B$9*$B$6)&lt;=0,0,(PI()*($B$5/2)^2)*SQRT((A69-$B$10+$B$9*$B$6)/((1+$B$17)/(2*9.81)+($B$4^2)*$B$6/(($B$5/4)^(4/3))))))</f>
        <v/>
      </c>
      <c r="E69" s="8">
        <f>MIN(C69,D69)</f>
        <v/>
      </c>
    </row>
    <row r="70">
      <c r="A70" s="20" t="n">
        <v>2.5</v>
      </c>
      <c r="B70" s="20">
        <f>$B$7+A70</f>
        <v/>
      </c>
      <c r="C70" s="18">
        <f>IF(A70&lt;=0,0,IF(A70&lt;=1.2*$B$5,1.811*(PI()*($B$5/2)^2)*SQRT($B$5)*IF($B$13*$B$5&lt;=0,0,(A70/($B$13*$B$5))^(1/$B$14)),MAX(1.811*(PI()*($B$5/2)^2)*SQRT($B$5)*IF($B$13*$B$5&lt;=0,0,((1.2*$B$5)/($B$13*$B$5))^(1/$B$14)),1.811*(PI()*($B$5/2)^2)*SQRT($B$5)*SQRT(MAX(0,(A70/$B$5-$B$16)/5)))))</f>
        <v/>
      </c>
      <c r="D70" s="18">
        <f>IF(A70&lt;$B$5,IF($B$4&lt;=0,0,(1/$B$4)*((($B$5/2)^2/2)*((2*ACOS(1-2*(MIN(0.999,MAX(1E-6,A70/$B$5)))))-SIN(2*ACOS(1-2*(MIN(0.999,MAX(1E-6,A70/$B$5)))))))*IF((IF((($B$5/2)*(2*ACOS(1-2*(MIN(0.999,MAX(1E-6,A70/$B$5))))))&lt;=0,0,((($B$5/2)^2/2)*((2*ACOS(1-2*(MIN(0.999,MAX(1E-6,A70/$B$5)))))-SIN(2*ACOS(1-2*(MIN(0.999,MAX(1E-6,A70/$B$5)))))))/(($B$5/2)*(2*ACOS(1-2*(MIN(0.999,MAX(1E-6,A70/$B$5))))))))&lt;=0,0,(IF((($B$5/2)*(2*ACOS(1-2*(MIN(0.999,MAX(1E-6,A70/$B$5))))))&lt;=0,0,((($B$5/2)^2/2)*((2*ACOS(1-2*(MIN(0.999,MAX(1E-6,A70/$B$5)))))-SIN(2*ACOS(1-2*(MIN(0.999,MAX(1E-6,A70/$B$5)))))))/(($B$5/2)*(2*ACOS(1-2*(MIN(0.999,MAX(1E-6,A70/$B$5))))))))^(2/3))*SQRT($B$9)),IF((A70-$B$10+$B$9*$B$6)&lt;=0,0,(PI()*($B$5/2)^2)*SQRT((A70-$B$10+$B$9*$B$6)/((1+$B$17)/(2*9.81)+($B$4^2)*$B$6/(($B$5/4)^(4/3))))))</f>
        <v/>
      </c>
      <c r="E70" s="8">
        <f>MIN(C70,D70)</f>
        <v/>
      </c>
    </row>
    <row r="71">
      <c r="A71" s="20" t="n">
        <v>2.55</v>
      </c>
      <c r="B71" s="20">
        <f>$B$7+A71</f>
        <v/>
      </c>
      <c r="C71" s="18">
        <f>IF(A71&lt;=0,0,IF(A71&lt;=1.2*$B$5,1.811*(PI()*($B$5/2)^2)*SQRT($B$5)*IF($B$13*$B$5&lt;=0,0,(A71/($B$13*$B$5))^(1/$B$14)),MAX(1.811*(PI()*($B$5/2)^2)*SQRT($B$5)*IF($B$13*$B$5&lt;=0,0,((1.2*$B$5)/($B$13*$B$5))^(1/$B$14)),1.811*(PI()*($B$5/2)^2)*SQRT($B$5)*SQRT(MAX(0,(A71/$B$5-$B$16)/5)))))</f>
        <v/>
      </c>
      <c r="D71" s="18">
        <f>IF(A71&lt;$B$5,IF($B$4&lt;=0,0,(1/$B$4)*((($B$5/2)^2/2)*((2*ACOS(1-2*(MIN(0.999,MAX(1E-6,A71/$B$5)))))-SIN(2*ACOS(1-2*(MIN(0.999,MAX(1E-6,A71/$B$5)))))))*IF((IF((($B$5/2)*(2*ACOS(1-2*(MIN(0.999,MAX(1E-6,A71/$B$5))))))&lt;=0,0,((($B$5/2)^2/2)*((2*ACOS(1-2*(MIN(0.999,MAX(1E-6,A71/$B$5)))))-SIN(2*ACOS(1-2*(MIN(0.999,MAX(1E-6,A71/$B$5)))))))/(($B$5/2)*(2*ACOS(1-2*(MIN(0.999,MAX(1E-6,A71/$B$5))))))))&lt;=0,0,(IF((($B$5/2)*(2*ACOS(1-2*(MIN(0.999,MAX(1E-6,A71/$B$5))))))&lt;=0,0,((($B$5/2)^2/2)*((2*ACOS(1-2*(MIN(0.999,MAX(1E-6,A71/$B$5)))))-SIN(2*ACOS(1-2*(MIN(0.999,MAX(1E-6,A71/$B$5)))))))/(($B$5/2)*(2*ACOS(1-2*(MIN(0.999,MAX(1E-6,A71/$B$5))))))))^(2/3))*SQRT($B$9)),IF((A71-$B$10+$B$9*$B$6)&lt;=0,0,(PI()*($B$5/2)^2)*SQRT((A71-$B$10+$B$9*$B$6)/((1+$B$17)/(2*9.81)+($B$4^2)*$B$6/(($B$5/4)^(4/3))))))</f>
        <v/>
      </c>
      <c r="E71" s="8">
        <f>MIN(C71,D71)</f>
        <v/>
      </c>
    </row>
    <row r="72">
      <c r="A72" s="20" t="n">
        <v>2.6</v>
      </c>
      <c r="B72" s="20">
        <f>$B$7+A72</f>
        <v/>
      </c>
      <c r="C72" s="18">
        <f>IF(A72&lt;=0,0,IF(A72&lt;=1.2*$B$5,1.811*(PI()*($B$5/2)^2)*SQRT($B$5)*IF($B$13*$B$5&lt;=0,0,(A72/($B$13*$B$5))^(1/$B$14)),MAX(1.811*(PI()*($B$5/2)^2)*SQRT($B$5)*IF($B$13*$B$5&lt;=0,0,((1.2*$B$5)/($B$13*$B$5))^(1/$B$14)),1.811*(PI()*($B$5/2)^2)*SQRT($B$5)*SQRT(MAX(0,(A72/$B$5-$B$16)/5)))))</f>
        <v/>
      </c>
      <c r="D72" s="18">
        <f>IF(A72&lt;$B$5,IF($B$4&lt;=0,0,(1/$B$4)*((($B$5/2)^2/2)*((2*ACOS(1-2*(MIN(0.999,MAX(1E-6,A72/$B$5)))))-SIN(2*ACOS(1-2*(MIN(0.999,MAX(1E-6,A72/$B$5)))))))*IF((IF((($B$5/2)*(2*ACOS(1-2*(MIN(0.999,MAX(1E-6,A72/$B$5))))))&lt;=0,0,((($B$5/2)^2/2)*((2*ACOS(1-2*(MIN(0.999,MAX(1E-6,A72/$B$5)))))-SIN(2*ACOS(1-2*(MIN(0.999,MAX(1E-6,A72/$B$5)))))))/(($B$5/2)*(2*ACOS(1-2*(MIN(0.999,MAX(1E-6,A72/$B$5))))))))&lt;=0,0,(IF((($B$5/2)*(2*ACOS(1-2*(MIN(0.999,MAX(1E-6,A72/$B$5))))))&lt;=0,0,((($B$5/2)^2/2)*((2*ACOS(1-2*(MIN(0.999,MAX(1E-6,A72/$B$5)))))-SIN(2*ACOS(1-2*(MIN(0.999,MAX(1E-6,A72/$B$5)))))))/(($B$5/2)*(2*ACOS(1-2*(MIN(0.999,MAX(1E-6,A72/$B$5))))))))^(2/3))*SQRT($B$9)),IF((A72-$B$10+$B$9*$B$6)&lt;=0,0,(PI()*($B$5/2)^2)*SQRT((A72-$B$10+$B$9*$B$6)/((1+$B$17)/(2*9.81)+($B$4^2)*$B$6/(($B$5/4)^(4/3))))))</f>
        <v/>
      </c>
      <c r="E72" s="8">
        <f>MIN(C72,D72)</f>
        <v/>
      </c>
    </row>
    <row r="73">
      <c r="A73" s="20" t="n">
        <v>2.65</v>
      </c>
      <c r="B73" s="20">
        <f>$B$7+A73</f>
        <v/>
      </c>
      <c r="C73" s="18">
        <f>IF(A73&lt;=0,0,IF(A73&lt;=1.2*$B$5,1.811*(PI()*($B$5/2)^2)*SQRT($B$5)*IF($B$13*$B$5&lt;=0,0,(A73/($B$13*$B$5))^(1/$B$14)),MAX(1.811*(PI()*($B$5/2)^2)*SQRT($B$5)*IF($B$13*$B$5&lt;=0,0,((1.2*$B$5)/($B$13*$B$5))^(1/$B$14)),1.811*(PI()*($B$5/2)^2)*SQRT($B$5)*SQRT(MAX(0,(A73/$B$5-$B$16)/5)))))</f>
        <v/>
      </c>
      <c r="D73" s="18">
        <f>IF(A73&lt;$B$5,IF($B$4&lt;=0,0,(1/$B$4)*((($B$5/2)^2/2)*((2*ACOS(1-2*(MIN(0.999,MAX(1E-6,A73/$B$5)))))-SIN(2*ACOS(1-2*(MIN(0.999,MAX(1E-6,A73/$B$5)))))))*IF((IF((($B$5/2)*(2*ACOS(1-2*(MIN(0.999,MAX(1E-6,A73/$B$5))))))&lt;=0,0,((($B$5/2)^2/2)*((2*ACOS(1-2*(MIN(0.999,MAX(1E-6,A73/$B$5)))))-SIN(2*ACOS(1-2*(MIN(0.999,MAX(1E-6,A73/$B$5)))))))/(($B$5/2)*(2*ACOS(1-2*(MIN(0.999,MAX(1E-6,A73/$B$5))))))))&lt;=0,0,(IF((($B$5/2)*(2*ACOS(1-2*(MIN(0.999,MAX(1E-6,A73/$B$5))))))&lt;=0,0,((($B$5/2)^2/2)*((2*ACOS(1-2*(MIN(0.999,MAX(1E-6,A73/$B$5)))))-SIN(2*ACOS(1-2*(MIN(0.999,MAX(1E-6,A73/$B$5)))))))/(($B$5/2)*(2*ACOS(1-2*(MIN(0.999,MAX(1E-6,A73/$B$5))))))))^(2/3))*SQRT($B$9)),IF((A73-$B$10+$B$9*$B$6)&lt;=0,0,(PI()*($B$5/2)^2)*SQRT((A73-$B$10+$B$9*$B$6)/((1+$B$17)/(2*9.81)+($B$4^2)*$B$6/(($B$5/4)^(4/3))))))</f>
        <v/>
      </c>
      <c r="E73" s="8">
        <f>MIN(C73,D73)</f>
        <v/>
      </c>
    </row>
    <row r="74">
      <c r="A74" s="20" t="n">
        <v>2.7</v>
      </c>
      <c r="B74" s="20">
        <f>$B$7+A74</f>
        <v/>
      </c>
      <c r="C74" s="18">
        <f>IF(A74&lt;=0,0,IF(A74&lt;=1.2*$B$5,1.811*(PI()*($B$5/2)^2)*SQRT($B$5)*IF($B$13*$B$5&lt;=0,0,(A74/($B$13*$B$5))^(1/$B$14)),MAX(1.811*(PI()*($B$5/2)^2)*SQRT($B$5)*IF($B$13*$B$5&lt;=0,0,((1.2*$B$5)/($B$13*$B$5))^(1/$B$14)),1.811*(PI()*($B$5/2)^2)*SQRT($B$5)*SQRT(MAX(0,(A74/$B$5-$B$16)/5)))))</f>
        <v/>
      </c>
      <c r="D74" s="18">
        <f>IF(A74&lt;$B$5,IF($B$4&lt;=0,0,(1/$B$4)*((($B$5/2)^2/2)*((2*ACOS(1-2*(MIN(0.999,MAX(1E-6,A74/$B$5)))))-SIN(2*ACOS(1-2*(MIN(0.999,MAX(1E-6,A74/$B$5)))))))*IF((IF((($B$5/2)*(2*ACOS(1-2*(MIN(0.999,MAX(1E-6,A74/$B$5))))))&lt;=0,0,((($B$5/2)^2/2)*((2*ACOS(1-2*(MIN(0.999,MAX(1E-6,A74/$B$5)))))-SIN(2*ACOS(1-2*(MIN(0.999,MAX(1E-6,A74/$B$5)))))))/(($B$5/2)*(2*ACOS(1-2*(MIN(0.999,MAX(1E-6,A74/$B$5))))))))&lt;=0,0,(IF((($B$5/2)*(2*ACOS(1-2*(MIN(0.999,MAX(1E-6,A74/$B$5))))))&lt;=0,0,((($B$5/2)^2/2)*((2*ACOS(1-2*(MIN(0.999,MAX(1E-6,A74/$B$5)))))-SIN(2*ACOS(1-2*(MIN(0.999,MAX(1E-6,A74/$B$5)))))))/(($B$5/2)*(2*ACOS(1-2*(MIN(0.999,MAX(1E-6,A74/$B$5))))))))^(2/3))*SQRT($B$9)),IF((A74-$B$10+$B$9*$B$6)&lt;=0,0,(PI()*($B$5/2)^2)*SQRT((A74-$B$10+$B$9*$B$6)/((1+$B$17)/(2*9.81)+($B$4^2)*$B$6/(($B$5/4)^(4/3))))))</f>
        <v/>
      </c>
      <c r="E74" s="8">
        <f>MIN(C74,D74)</f>
        <v/>
      </c>
    </row>
    <row r="75">
      <c r="A75" s="20" t="n">
        <v>2.75</v>
      </c>
      <c r="B75" s="20">
        <f>$B$7+A75</f>
        <v/>
      </c>
      <c r="C75" s="18">
        <f>IF(A75&lt;=0,0,IF(A75&lt;=1.2*$B$5,1.811*(PI()*($B$5/2)^2)*SQRT($B$5)*IF($B$13*$B$5&lt;=0,0,(A75/($B$13*$B$5))^(1/$B$14)),MAX(1.811*(PI()*($B$5/2)^2)*SQRT($B$5)*IF($B$13*$B$5&lt;=0,0,((1.2*$B$5)/($B$13*$B$5))^(1/$B$14)),1.811*(PI()*($B$5/2)^2)*SQRT($B$5)*SQRT(MAX(0,(A75/$B$5-$B$16)/5)))))</f>
        <v/>
      </c>
      <c r="D75" s="18">
        <f>IF(A75&lt;$B$5,IF($B$4&lt;=0,0,(1/$B$4)*((($B$5/2)^2/2)*((2*ACOS(1-2*(MIN(0.999,MAX(1E-6,A75/$B$5)))))-SIN(2*ACOS(1-2*(MIN(0.999,MAX(1E-6,A75/$B$5)))))))*IF((IF((($B$5/2)*(2*ACOS(1-2*(MIN(0.999,MAX(1E-6,A75/$B$5))))))&lt;=0,0,((($B$5/2)^2/2)*((2*ACOS(1-2*(MIN(0.999,MAX(1E-6,A75/$B$5)))))-SIN(2*ACOS(1-2*(MIN(0.999,MAX(1E-6,A75/$B$5)))))))/(($B$5/2)*(2*ACOS(1-2*(MIN(0.999,MAX(1E-6,A75/$B$5))))))))&lt;=0,0,(IF((($B$5/2)*(2*ACOS(1-2*(MIN(0.999,MAX(1E-6,A75/$B$5))))))&lt;=0,0,((($B$5/2)^2/2)*((2*ACOS(1-2*(MIN(0.999,MAX(1E-6,A75/$B$5)))))-SIN(2*ACOS(1-2*(MIN(0.999,MAX(1E-6,A75/$B$5)))))))/(($B$5/2)*(2*ACOS(1-2*(MIN(0.999,MAX(1E-6,A75/$B$5))))))))^(2/3))*SQRT($B$9)),IF((A75-$B$10+$B$9*$B$6)&lt;=0,0,(PI()*($B$5/2)^2)*SQRT((A75-$B$10+$B$9*$B$6)/((1+$B$17)/(2*9.81)+($B$4^2)*$B$6/(($B$5/4)^(4/3))))))</f>
        <v/>
      </c>
      <c r="E75" s="8">
        <f>MIN(C75,D75)</f>
        <v/>
      </c>
    </row>
    <row r="76">
      <c r="A76" s="20" t="n">
        <v>2.8</v>
      </c>
      <c r="B76" s="20">
        <f>$B$7+A76</f>
        <v/>
      </c>
      <c r="C76" s="18">
        <f>IF(A76&lt;=0,0,IF(A76&lt;=1.2*$B$5,1.811*(PI()*($B$5/2)^2)*SQRT($B$5)*IF($B$13*$B$5&lt;=0,0,(A76/($B$13*$B$5))^(1/$B$14)),MAX(1.811*(PI()*($B$5/2)^2)*SQRT($B$5)*IF($B$13*$B$5&lt;=0,0,((1.2*$B$5)/($B$13*$B$5))^(1/$B$14)),1.811*(PI()*($B$5/2)^2)*SQRT($B$5)*SQRT(MAX(0,(A76/$B$5-$B$16)/5)))))</f>
        <v/>
      </c>
      <c r="D76" s="18">
        <f>IF(A76&lt;$B$5,IF($B$4&lt;=0,0,(1/$B$4)*((($B$5/2)^2/2)*((2*ACOS(1-2*(MIN(0.999,MAX(1E-6,A76/$B$5)))))-SIN(2*ACOS(1-2*(MIN(0.999,MAX(1E-6,A76/$B$5)))))))*IF((IF((($B$5/2)*(2*ACOS(1-2*(MIN(0.999,MAX(1E-6,A76/$B$5))))))&lt;=0,0,((($B$5/2)^2/2)*((2*ACOS(1-2*(MIN(0.999,MAX(1E-6,A76/$B$5)))))-SIN(2*ACOS(1-2*(MIN(0.999,MAX(1E-6,A76/$B$5)))))))/(($B$5/2)*(2*ACOS(1-2*(MIN(0.999,MAX(1E-6,A76/$B$5))))))))&lt;=0,0,(IF((($B$5/2)*(2*ACOS(1-2*(MIN(0.999,MAX(1E-6,A76/$B$5))))))&lt;=0,0,((($B$5/2)^2/2)*((2*ACOS(1-2*(MIN(0.999,MAX(1E-6,A76/$B$5)))))-SIN(2*ACOS(1-2*(MIN(0.999,MAX(1E-6,A76/$B$5)))))))/(($B$5/2)*(2*ACOS(1-2*(MIN(0.999,MAX(1E-6,A76/$B$5))))))))^(2/3))*SQRT($B$9)),IF((A76-$B$10+$B$9*$B$6)&lt;=0,0,(PI()*($B$5/2)^2)*SQRT((A76-$B$10+$B$9*$B$6)/((1+$B$17)/(2*9.81)+($B$4^2)*$B$6/(($B$5/4)^(4/3))))))</f>
        <v/>
      </c>
      <c r="E76" s="8">
        <f>MIN(C76,D76)</f>
        <v/>
      </c>
    </row>
    <row r="77">
      <c r="A77" s="20" t="n">
        <v>2.85</v>
      </c>
      <c r="B77" s="20">
        <f>$B$7+A77</f>
        <v/>
      </c>
      <c r="C77" s="18">
        <f>IF(A77&lt;=0,0,IF(A77&lt;=1.2*$B$5,1.811*(PI()*($B$5/2)^2)*SQRT($B$5)*IF($B$13*$B$5&lt;=0,0,(A77/($B$13*$B$5))^(1/$B$14)),MAX(1.811*(PI()*($B$5/2)^2)*SQRT($B$5)*IF($B$13*$B$5&lt;=0,0,((1.2*$B$5)/($B$13*$B$5))^(1/$B$14)),1.811*(PI()*($B$5/2)^2)*SQRT($B$5)*SQRT(MAX(0,(A77/$B$5-$B$16)/5)))))</f>
        <v/>
      </c>
      <c r="D77" s="18">
        <f>IF(A77&lt;$B$5,IF($B$4&lt;=0,0,(1/$B$4)*((($B$5/2)^2/2)*((2*ACOS(1-2*(MIN(0.999,MAX(1E-6,A77/$B$5)))))-SIN(2*ACOS(1-2*(MIN(0.999,MAX(1E-6,A77/$B$5)))))))*IF((IF((($B$5/2)*(2*ACOS(1-2*(MIN(0.999,MAX(1E-6,A77/$B$5))))))&lt;=0,0,((($B$5/2)^2/2)*((2*ACOS(1-2*(MIN(0.999,MAX(1E-6,A77/$B$5)))))-SIN(2*ACOS(1-2*(MIN(0.999,MAX(1E-6,A77/$B$5)))))))/(($B$5/2)*(2*ACOS(1-2*(MIN(0.999,MAX(1E-6,A77/$B$5))))))))&lt;=0,0,(IF((($B$5/2)*(2*ACOS(1-2*(MIN(0.999,MAX(1E-6,A77/$B$5))))))&lt;=0,0,((($B$5/2)^2/2)*((2*ACOS(1-2*(MIN(0.999,MAX(1E-6,A77/$B$5)))))-SIN(2*ACOS(1-2*(MIN(0.999,MAX(1E-6,A77/$B$5)))))))/(($B$5/2)*(2*ACOS(1-2*(MIN(0.999,MAX(1E-6,A77/$B$5))))))))^(2/3))*SQRT($B$9)),IF((A77-$B$10+$B$9*$B$6)&lt;=0,0,(PI()*($B$5/2)^2)*SQRT((A77-$B$10+$B$9*$B$6)/((1+$B$17)/(2*9.81)+($B$4^2)*$B$6/(($B$5/4)^(4/3))))))</f>
        <v/>
      </c>
      <c r="E77" s="8">
        <f>MIN(C77,D77)</f>
        <v/>
      </c>
    </row>
    <row r="78">
      <c r="A78" s="20" t="n">
        <v>2.9</v>
      </c>
      <c r="B78" s="20">
        <f>$B$7+A78</f>
        <v/>
      </c>
      <c r="C78" s="18">
        <f>IF(A78&lt;=0,0,IF(A78&lt;=1.2*$B$5,1.811*(PI()*($B$5/2)^2)*SQRT($B$5)*IF($B$13*$B$5&lt;=0,0,(A78/($B$13*$B$5))^(1/$B$14)),MAX(1.811*(PI()*($B$5/2)^2)*SQRT($B$5)*IF($B$13*$B$5&lt;=0,0,((1.2*$B$5)/($B$13*$B$5))^(1/$B$14)),1.811*(PI()*($B$5/2)^2)*SQRT($B$5)*SQRT(MAX(0,(A78/$B$5-$B$16)/5)))))</f>
        <v/>
      </c>
      <c r="D78" s="18">
        <f>IF(A78&lt;$B$5,IF($B$4&lt;=0,0,(1/$B$4)*((($B$5/2)^2/2)*((2*ACOS(1-2*(MIN(0.999,MAX(1E-6,A78/$B$5)))))-SIN(2*ACOS(1-2*(MIN(0.999,MAX(1E-6,A78/$B$5)))))))*IF((IF((($B$5/2)*(2*ACOS(1-2*(MIN(0.999,MAX(1E-6,A78/$B$5))))))&lt;=0,0,((($B$5/2)^2/2)*((2*ACOS(1-2*(MIN(0.999,MAX(1E-6,A78/$B$5)))))-SIN(2*ACOS(1-2*(MIN(0.999,MAX(1E-6,A78/$B$5)))))))/(($B$5/2)*(2*ACOS(1-2*(MIN(0.999,MAX(1E-6,A78/$B$5))))))))&lt;=0,0,(IF((($B$5/2)*(2*ACOS(1-2*(MIN(0.999,MAX(1E-6,A78/$B$5))))))&lt;=0,0,((($B$5/2)^2/2)*((2*ACOS(1-2*(MIN(0.999,MAX(1E-6,A78/$B$5)))))-SIN(2*ACOS(1-2*(MIN(0.999,MAX(1E-6,A78/$B$5)))))))/(($B$5/2)*(2*ACOS(1-2*(MIN(0.999,MAX(1E-6,A78/$B$5))))))))^(2/3))*SQRT($B$9)),IF((A78-$B$10+$B$9*$B$6)&lt;=0,0,(PI()*($B$5/2)^2)*SQRT((A78-$B$10+$B$9*$B$6)/((1+$B$17)/(2*9.81)+($B$4^2)*$B$6/(($B$5/4)^(4/3))))))</f>
        <v/>
      </c>
      <c r="E78" s="8">
        <f>MIN(C78,D78)</f>
        <v/>
      </c>
    </row>
    <row r="79">
      <c r="A79" s="20" t="n">
        <v>2.95</v>
      </c>
      <c r="B79" s="20">
        <f>$B$7+A79</f>
        <v/>
      </c>
      <c r="C79" s="18">
        <f>IF(A79&lt;=0,0,IF(A79&lt;=1.2*$B$5,1.811*(PI()*($B$5/2)^2)*SQRT($B$5)*IF($B$13*$B$5&lt;=0,0,(A79/($B$13*$B$5))^(1/$B$14)),MAX(1.811*(PI()*($B$5/2)^2)*SQRT($B$5)*IF($B$13*$B$5&lt;=0,0,((1.2*$B$5)/($B$13*$B$5))^(1/$B$14)),1.811*(PI()*($B$5/2)^2)*SQRT($B$5)*SQRT(MAX(0,(A79/$B$5-$B$16)/5)))))</f>
        <v/>
      </c>
      <c r="D79" s="18">
        <f>IF(A79&lt;$B$5,IF($B$4&lt;=0,0,(1/$B$4)*((($B$5/2)^2/2)*((2*ACOS(1-2*(MIN(0.999,MAX(1E-6,A79/$B$5)))))-SIN(2*ACOS(1-2*(MIN(0.999,MAX(1E-6,A79/$B$5)))))))*IF((IF((($B$5/2)*(2*ACOS(1-2*(MIN(0.999,MAX(1E-6,A79/$B$5))))))&lt;=0,0,((($B$5/2)^2/2)*((2*ACOS(1-2*(MIN(0.999,MAX(1E-6,A79/$B$5)))))-SIN(2*ACOS(1-2*(MIN(0.999,MAX(1E-6,A79/$B$5)))))))/(($B$5/2)*(2*ACOS(1-2*(MIN(0.999,MAX(1E-6,A79/$B$5))))))))&lt;=0,0,(IF((($B$5/2)*(2*ACOS(1-2*(MIN(0.999,MAX(1E-6,A79/$B$5))))))&lt;=0,0,((($B$5/2)^2/2)*((2*ACOS(1-2*(MIN(0.999,MAX(1E-6,A79/$B$5)))))-SIN(2*ACOS(1-2*(MIN(0.999,MAX(1E-6,A79/$B$5)))))))/(($B$5/2)*(2*ACOS(1-2*(MIN(0.999,MAX(1E-6,A79/$B$5))))))))^(2/3))*SQRT($B$9)),IF((A79-$B$10+$B$9*$B$6)&lt;=0,0,(PI()*($B$5/2)^2)*SQRT((A79-$B$10+$B$9*$B$6)/((1+$B$17)/(2*9.81)+($B$4^2)*$B$6/(($B$5/4)^(4/3))))))</f>
        <v/>
      </c>
      <c r="E79" s="8">
        <f>MIN(C79,D79)</f>
        <v/>
      </c>
    </row>
    <row r="80">
      <c r="A80" s="20" t="n">
        <v>3</v>
      </c>
      <c r="B80" s="20">
        <f>$B$7+A80</f>
        <v/>
      </c>
      <c r="C80" s="18">
        <f>IF(A80&lt;=0,0,IF(A80&lt;=1.2*$B$5,1.811*(PI()*($B$5/2)^2)*SQRT($B$5)*IF($B$13*$B$5&lt;=0,0,(A80/($B$13*$B$5))^(1/$B$14)),MAX(1.811*(PI()*($B$5/2)^2)*SQRT($B$5)*IF($B$13*$B$5&lt;=0,0,((1.2*$B$5)/($B$13*$B$5))^(1/$B$14)),1.811*(PI()*($B$5/2)^2)*SQRT($B$5)*SQRT(MAX(0,(A80/$B$5-$B$16)/5)))))</f>
        <v/>
      </c>
      <c r="D80" s="18">
        <f>IF(A80&lt;$B$5,IF($B$4&lt;=0,0,(1/$B$4)*((($B$5/2)^2/2)*((2*ACOS(1-2*(MIN(0.999,MAX(1E-6,A80/$B$5)))))-SIN(2*ACOS(1-2*(MIN(0.999,MAX(1E-6,A80/$B$5)))))))*IF((IF((($B$5/2)*(2*ACOS(1-2*(MIN(0.999,MAX(1E-6,A80/$B$5))))))&lt;=0,0,((($B$5/2)^2/2)*((2*ACOS(1-2*(MIN(0.999,MAX(1E-6,A80/$B$5)))))-SIN(2*ACOS(1-2*(MIN(0.999,MAX(1E-6,A80/$B$5)))))))/(($B$5/2)*(2*ACOS(1-2*(MIN(0.999,MAX(1E-6,A80/$B$5))))))))&lt;=0,0,(IF((($B$5/2)*(2*ACOS(1-2*(MIN(0.999,MAX(1E-6,A80/$B$5))))))&lt;=0,0,((($B$5/2)^2/2)*((2*ACOS(1-2*(MIN(0.999,MAX(1E-6,A80/$B$5)))))-SIN(2*ACOS(1-2*(MIN(0.999,MAX(1E-6,A80/$B$5)))))))/(($B$5/2)*(2*ACOS(1-2*(MIN(0.999,MAX(1E-6,A80/$B$5))))))))^(2/3))*SQRT($B$9)),IF((A80-$B$10+$B$9*$B$6)&lt;=0,0,(PI()*($B$5/2)^2)*SQRT((A80-$B$10+$B$9*$B$6)/((1+$B$17)/(2*9.81)+($B$4^2)*$B$6/(($B$5/4)^(4/3))))))</f>
        <v/>
      </c>
      <c r="E80" s="8">
        <f>MIN(C80,D80)</f>
        <v/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FILE 1 — Compose: Q_1200 + Q_overflow; V_pond + V_ditch</t>
        </is>
      </c>
    </row>
    <row r="2">
      <c r="A2" t="inlineStr">
        <is>
          <t>Overflow Manning trapèze au-dessus du crest. Parametres lies (jaune).</t>
        </is>
      </c>
    </row>
    <row r="4">
      <c r="A4" t="inlineStr">
        <is>
          <t>Crest</t>
        </is>
      </c>
      <c r="B4" s="29">
        <f>Parametres!B21</f>
        <v/>
      </c>
    </row>
    <row r="5">
      <c r="A5" t="inlineStr">
        <is>
          <t>b</t>
        </is>
      </c>
      <c r="B5" s="29">
        <f>Parametres!B22</f>
        <v/>
      </c>
    </row>
    <row r="6">
      <c r="A6" t="inlineStr">
        <is>
          <t>n</t>
        </is>
      </c>
      <c r="B6" s="29">
        <f>Parametres!B23</f>
        <v/>
      </c>
    </row>
    <row r="7">
      <c r="A7" t="inlineStr">
        <is>
          <t>z</t>
        </is>
      </c>
      <c r="B7" s="29">
        <f>Parametres!B24</f>
        <v/>
      </c>
    </row>
    <row r="8">
      <c r="A8" t="inlineStr">
        <is>
          <t>S</t>
        </is>
      </c>
      <c r="B8" s="29">
        <f>Parametres!B25</f>
        <v/>
      </c>
    </row>
    <row r="9">
      <c r="A9" t="inlineStr">
        <is>
          <t>L</t>
        </is>
      </c>
      <c r="B9" s="29">
        <f>Parametres!B26</f>
        <v/>
      </c>
    </row>
    <row r="10">
      <c r="A10" t="inlineStr">
        <is>
          <t>Zin</t>
        </is>
      </c>
      <c r="B10" s="29">
        <f>Parametres!B12</f>
        <v/>
      </c>
    </row>
    <row r="12">
      <c r="A12" s="16" t="inlineStr">
        <is>
          <t>WSE</t>
        </is>
      </c>
      <c r="B12" s="16" t="inlineStr">
        <is>
          <t>HW</t>
        </is>
      </c>
      <c r="C12" s="16" t="inlineStr">
        <is>
          <t>y_ov</t>
        </is>
      </c>
      <c r="D12" s="16" t="inlineStr">
        <is>
          <t>A_ditch</t>
        </is>
      </c>
      <c r="E12" s="16" t="inlineStr">
        <is>
          <t>V_ditch</t>
        </is>
      </c>
      <c r="F12" s="16" t="inlineStr">
        <is>
          <t>V_pond</t>
        </is>
      </c>
      <c r="G12" s="16" t="inlineStr">
        <is>
          <t>V_total</t>
        </is>
      </c>
      <c r="H12" s="16" t="inlineStr">
        <is>
          <t>Q_1200</t>
        </is>
      </c>
      <c r="I12" s="16" t="inlineStr">
        <is>
          <t>Q_overflow</t>
        </is>
      </c>
      <c r="J12" s="16" t="inlineStr">
        <is>
          <t>Qout</t>
        </is>
      </c>
    </row>
    <row r="13">
      <c r="A13" s="20" t="n">
        <v>34.88</v>
      </c>
      <c r="B13" s="20">
        <f>A13-$B$10</f>
        <v/>
      </c>
      <c r="C13" s="20">
        <f>MAX(0,A13-$B$4)</f>
        <v/>
      </c>
      <c r="D13" s="18">
        <f>IF(C13&lt;=0,0,($B$5+$B$7*C13)*C13)</f>
        <v/>
      </c>
      <c r="E13" s="17">
        <f>D13*$B$9</f>
        <v/>
      </c>
      <c r="F13" s="17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23">
        <f>E13+F13</f>
        <v/>
      </c>
      <c r="H13" s="18">
        <f>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</f>
        <v/>
      </c>
      <c r="I13" s="18">
        <f>IF(C13&lt;=0,0,IF($B$6&lt;=0,0,(1/$B$6)*D13*IF(($B$5+2*C13*SQRT(1+$B$7^2))&lt;=0,0,((D13/($B$5+2*C13*SQRT(1+$B$7^2)))^(2/3)))*SQRT($B$8)))</f>
        <v/>
      </c>
      <c r="J13" s="8">
        <f>H13+I13</f>
        <v/>
      </c>
    </row>
    <row r="14">
      <c r="A14" s="20" t="n">
        <v>34.98</v>
      </c>
      <c r="B14" s="20">
        <f>A14-$B$10</f>
        <v/>
      </c>
      <c r="C14" s="20">
        <f>MAX(0,A14-$B$4)</f>
        <v/>
      </c>
      <c r="D14" s="18">
        <f>IF(C14&lt;=0,0,($B$5+$B$7*C14)*C14)</f>
        <v/>
      </c>
      <c r="E14" s="17">
        <f>D14*$B$9</f>
        <v/>
      </c>
      <c r="F14" s="17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23">
        <f>E14+F14</f>
        <v/>
      </c>
      <c r="H14" s="18">
        <f>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</f>
        <v/>
      </c>
      <c r="I14" s="18">
        <f>IF(C14&lt;=0,0,IF($B$6&lt;=0,0,(1/$B$6)*D14*IF(($B$5+2*C14*SQRT(1+$B$7^2))&lt;=0,0,((D14/($B$5+2*C14*SQRT(1+$B$7^2)))^(2/3)))*SQRT($B$8)))</f>
        <v/>
      </c>
      <c r="J14" s="8">
        <f>H14+I14</f>
        <v/>
      </c>
    </row>
    <row r="15">
      <c r="A15" s="20" t="n">
        <v>35.08</v>
      </c>
      <c r="B15" s="20">
        <f>A15-$B$10</f>
        <v/>
      </c>
      <c r="C15" s="20">
        <f>MAX(0,A15-$B$4)</f>
        <v/>
      </c>
      <c r="D15" s="18">
        <f>IF(C15&lt;=0,0,($B$5+$B$7*C15)*C15)</f>
        <v/>
      </c>
      <c r="E15" s="17">
        <f>D15*$B$9</f>
        <v/>
      </c>
      <c r="F15" s="17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23">
        <f>E15+F15</f>
        <v/>
      </c>
      <c r="H15" s="18">
        <f>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</f>
        <v/>
      </c>
      <c r="I15" s="18">
        <f>IF(C15&lt;=0,0,IF($B$6&lt;=0,0,(1/$B$6)*D15*IF(($B$5+2*C15*SQRT(1+$B$7^2))&lt;=0,0,((D15/($B$5+2*C15*SQRT(1+$B$7^2)))^(2/3)))*SQRT($B$8)))</f>
        <v/>
      </c>
      <c r="J15" s="8">
        <f>H15+I15</f>
        <v/>
      </c>
    </row>
    <row r="16">
      <c r="A16" s="20" t="n">
        <v>35.18</v>
      </c>
      <c r="B16" s="20">
        <f>A16-$B$10</f>
        <v/>
      </c>
      <c r="C16" s="20">
        <f>MAX(0,A16-$B$4)</f>
        <v/>
      </c>
      <c r="D16" s="18">
        <f>IF(C16&lt;=0,0,($B$5+$B$7*C16)*C16)</f>
        <v/>
      </c>
      <c r="E16" s="17">
        <f>D16*$B$9</f>
        <v/>
      </c>
      <c r="F16" s="17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23">
        <f>E16+F16</f>
        <v/>
      </c>
      <c r="H16" s="18">
        <f>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</f>
        <v/>
      </c>
      <c r="I16" s="18">
        <f>IF(C16&lt;=0,0,IF($B$6&lt;=0,0,(1/$B$6)*D16*IF(($B$5+2*C16*SQRT(1+$B$7^2))&lt;=0,0,((D16/($B$5+2*C16*SQRT(1+$B$7^2)))^(2/3)))*SQRT($B$8)))</f>
        <v/>
      </c>
      <c r="J16" s="8">
        <f>H16+I16</f>
        <v/>
      </c>
    </row>
    <row r="17">
      <c r="A17" s="20" t="n">
        <v>35.28</v>
      </c>
      <c r="B17" s="20">
        <f>A17-$B$10</f>
        <v/>
      </c>
      <c r="C17" s="20">
        <f>MAX(0,A17-$B$4)</f>
        <v/>
      </c>
      <c r="D17" s="18">
        <f>IF(C17&lt;=0,0,($B$5+$B$7*C17)*C17)</f>
        <v/>
      </c>
      <c r="E17" s="17">
        <f>D17*$B$9</f>
        <v/>
      </c>
      <c r="F17" s="17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23">
        <f>E17+F17</f>
        <v/>
      </c>
      <c r="H17" s="18">
        <f>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</f>
        <v/>
      </c>
      <c r="I17" s="18">
        <f>IF(C17&lt;=0,0,IF($B$6&lt;=0,0,(1/$B$6)*D17*IF(($B$5+2*C17*SQRT(1+$B$7^2))&lt;=0,0,((D17/($B$5+2*C17*SQRT(1+$B$7^2)))^(2/3)))*SQRT($B$8)))</f>
        <v/>
      </c>
      <c r="J17" s="8">
        <f>H17+I17</f>
        <v/>
      </c>
    </row>
    <row r="18">
      <c r="A18" s="20" t="n">
        <v>35.38</v>
      </c>
      <c r="B18" s="20">
        <f>A18-$B$10</f>
        <v/>
      </c>
      <c r="C18" s="20">
        <f>MAX(0,A18-$B$4)</f>
        <v/>
      </c>
      <c r="D18" s="18">
        <f>IF(C18&lt;=0,0,($B$5+$B$7*C18)*C18)</f>
        <v/>
      </c>
      <c r="E18" s="17">
        <f>D18*$B$9</f>
        <v/>
      </c>
      <c r="F18" s="17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23">
        <f>E18+F18</f>
        <v/>
      </c>
      <c r="H18" s="18">
        <f>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</f>
        <v/>
      </c>
      <c r="I18" s="18">
        <f>IF(C18&lt;=0,0,IF($B$6&lt;=0,0,(1/$B$6)*D18*IF(($B$5+2*C18*SQRT(1+$B$7^2))&lt;=0,0,((D18/($B$5+2*C18*SQRT(1+$B$7^2)))^(2/3)))*SQRT($B$8)))</f>
        <v/>
      </c>
      <c r="J18" s="8">
        <f>H18+I18</f>
        <v/>
      </c>
    </row>
    <row r="19">
      <c r="A19" s="20" t="n">
        <v>35.48</v>
      </c>
      <c r="B19" s="20">
        <f>A19-$B$10</f>
        <v/>
      </c>
      <c r="C19" s="20">
        <f>MAX(0,A19-$B$4)</f>
        <v/>
      </c>
      <c r="D19" s="18">
        <f>IF(C19&lt;=0,0,($B$5+$B$7*C19)*C19)</f>
        <v/>
      </c>
      <c r="E19" s="17">
        <f>D19*$B$9</f>
        <v/>
      </c>
      <c r="F19" s="17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23">
        <f>E19+F19</f>
        <v/>
      </c>
      <c r="H19" s="18">
        <f>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</f>
        <v/>
      </c>
      <c r="I19" s="18">
        <f>IF(C19&lt;=0,0,IF($B$6&lt;=0,0,(1/$B$6)*D19*IF(($B$5+2*C19*SQRT(1+$B$7^2))&lt;=0,0,((D19/($B$5+2*C19*SQRT(1+$B$7^2)))^(2/3)))*SQRT($B$8)))</f>
        <v/>
      </c>
      <c r="J19" s="8">
        <f>H19+I19</f>
        <v/>
      </c>
    </row>
    <row r="20">
      <c r="A20" s="20" t="n">
        <v>35.58</v>
      </c>
      <c r="B20" s="20">
        <f>A20-$B$10</f>
        <v/>
      </c>
      <c r="C20" s="20">
        <f>MAX(0,A20-$B$4)</f>
        <v/>
      </c>
      <c r="D20" s="18">
        <f>IF(C20&lt;=0,0,($B$5+$B$7*C20)*C20)</f>
        <v/>
      </c>
      <c r="E20" s="17">
        <f>D20*$B$9</f>
        <v/>
      </c>
      <c r="F20" s="17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23">
        <f>E20+F20</f>
        <v/>
      </c>
      <c r="H20" s="18">
        <f>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</f>
        <v/>
      </c>
      <c r="I20" s="18">
        <f>IF(C20&lt;=0,0,IF($B$6&lt;=0,0,(1/$B$6)*D20*IF(($B$5+2*C20*SQRT(1+$B$7^2))&lt;=0,0,((D20/($B$5+2*C20*SQRT(1+$B$7^2)))^(2/3)))*SQRT($B$8)))</f>
        <v/>
      </c>
      <c r="J20" s="8">
        <f>H20+I20</f>
        <v/>
      </c>
    </row>
    <row r="21">
      <c r="A21" s="20" t="n">
        <v>35.68</v>
      </c>
      <c r="B21" s="20">
        <f>A21-$B$10</f>
        <v/>
      </c>
      <c r="C21" s="20">
        <f>MAX(0,A21-$B$4)</f>
        <v/>
      </c>
      <c r="D21" s="18">
        <f>IF(C21&lt;=0,0,($B$5+$B$7*C21)*C21)</f>
        <v/>
      </c>
      <c r="E21" s="17">
        <f>D21*$B$9</f>
        <v/>
      </c>
      <c r="F21" s="17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23">
        <f>E21+F21</f>
        <v/>
      </c>
      <c r="H21" s="18">
        <f>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</f>
        <v/>
      </c>
      <c r="I21" s="18">
        <f>IF(C21&lt;=0,0,IF($B$6&lt;=0,0,(1/$B$6)*D21*IF(($B$5+2*C21*SQRT(1+$B$7^2))&lt;=0,0,((D21/($B$5+2*C21*SQRT(1+$B$7^2)))^(2/3)))*SQRT($B$8)))</f>
        <v/>
      </c>
      <c r="J21" s="8">
        <f>H21+I21</f>
        <v/>
      </c>
    </row>
    <row r="22">
      <c r="A22" s="20" t="n">
        <v>35.78</v>
      </c>
      <c r="B22" s="20">
        <f>A22-$B$10</f>
        <v/>
      </c>
      <c r="C22" s="20">
        <f>MAX(0,A22-$B$4)</f>
        <v/>
      </c>
      <c r="D22" s="18">
        <f>IF(C22&lt;=0,0,($B$5+$B$7*C22)*C22)</f>
        <v/>
      </c>
      <c r="E22" s="17">
        <f>D22*$B$9</f>
        <v/>
      </c>
      <c r="F22" s="17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23">
        <f>E22+F22</f>
        <v/>
      </c>
      <c r="H22" s="18">
        <f>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</f>
        <v/>
      </c>
      <c r="I22" s="18">
        <f>IF(C22&lt;=0,0,IF($B$6&lt;=0,0,(1/$B$6)*D22*IF(($B$5+2*C22*SQRT(1+$B$7^2))&lt;=0,0,((D22/($B$5+2*C22*SQRT(1+$B$7^2)))^(2/3)))*SQRT($B$8)))</f>
        <v/>
      </c>
      <c r="J22" s="8">
        <f>H22+I22</f>
        <v/>
      </c>
    </row>
    <row r="23">
      <c r="A23" s="20" t="n">
        <v>35.88</v>
      </c>
      <c r="B23" s="20">
        <f>A23-$B$10</f>
        <v/>
      </c>
      <c r="C23" s="20">
        <f>MAX(0,A23-$B$4)</f>
        <v/>
      </c>
      <c r="D23" s="18">
        <f>IF(C23&lt;=0,0,($B$5+$B$7*C23)*C23)</f>
        <v/>
      </c>
      <c r="E23" s="17">
        <f>D23*$B$9</f>
        <v/>
      </c>
      <c r="F23" s="17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23">
        <f>E23+F23</f>
        <v/>
      </c>
      <c r="H23" s="18">
        <f>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</f>
        <v/>
      </c>
      <c r="I23" s="18">
        <f>IF(C23&lt;=0,0,IF($B$6&lt;=0,0,(1/$B$6)*D23*IF(($B$5+2*C23*SQRT(1+$B$7^2))&lt;=0,0,((D23/($B$5+2*C23*SQRT(1+$B$7^2)))^(2/3)))*SQRT($B$8)))</f>
        <v/>
      </c>
      <c r="J23" s="8">
        <f>H23+I23</f>
        <v/>
      </c>
    </row>
    <row r="24">
      <c r="A24" s="20" t="n">
        <v>35.98</v>
      </c>
      <c r="B24" s="20">
        <f>A24-$B$10</f>
        <v/>
      </c>
      <c r="C24" s="20">
        <f>MAX(0,A24-$B$4)</f>
        <v/>
      </c>
      <c r="D24" s="18">
        <f>IF(C24&lt;=0,0,($B$5+$B$7*C24)*C24)</f>
        <v/>
      </c>
      <c r="E24" s="17">
        <f>D24*$B$9</f>
        <v/>
      </c>
      <c r="F24" s="17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23">
        <f>E24+F24</f>
        <v/>
      </c>
      <c r="H24" s="18">
        <f>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</f>
        <v/>
      </c>
      <c r="I24" s="18">
        <f>IF(C24&lt;=0,0,IF($B$6&lt;=0,0,(1/$B$6)*D24*IF(($B$5+2*C24*SQRT(1+$B$7^2))&lt;=0,0,((D24/($B$5+2*C24*SQRT(1+$B$7^2)))^(2/3)))*SQRT($B$8)))</f>
        <v/>
      </c>
      <c r="J24" s="8">
        <f>H24+I24</f>
        <v/>
      </c>
    </row>
    <row r="25">
      <c r="A25" s="20" t="n">
        <v>36.08</v>
      </c>
      <c r="B25" s="20">
        <f>A25-$B$10</f>
        <v/>
      </c>
      <c r="C25" s="20">
        <f>MAX(0,A25-$B$4)</f>
        <v/>
      </c>
      <c r="D25" s="18">
        <f>IF(C25&lt;=0,0,($B$5+$B$7*C25)*C25)</f>
        <v/>
      </c>
      <c r="E25" s="17">
        <f>D25*$B$9</f>
        <v/>
      </c>
      <c r="F25" s="17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23">
        <f>E25+F25</f>
        <v/>
      </c>
      <c r="H25" s="18">
        <f>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</f>
        <v/>
      </c>
      <c r="I25" s="18">
        <f>IF(C25&lt;=0,0,IF($B$6&lt;=0,0,(1/$B$6)*D25*IF(($B$5+2*C25*SQRT(1+$B$7^2))&lt;=0,0,((D25/($B$5+2*C25*SQRT(1+$B$7^2)))^(2/3)))*SQRT($B$8)))</f>
        <v/>
      </c>
      <c r="J25" s="8">
        <f>H25+I25</f>
        <v/>
      </c>
    </row>
    <row r="26">
      <c r="A26" s="20" t="n">
        <v>36.18</v>
      </c>
      <c r="B26" s="20">
        <f>A26-$B$10</f>
        <v/>
      </c>
      <c r="C26" s="20">
        <f>MAX(0,A26-$B$4)</f>
        <v/>
      </c>
      <c r="D26" s="18">
        <f>IF(C26&lt;=0,0,($B$5+$B$7*C26)*C26)</f>
        <v/>
      </c>
      <c r="E26" s="17">
        <f>D26*$B$9</f>
        <v/>
      </c>
      <c r="F26" s="17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23">
        <f>E26+F26</f>
        <v/>
      </c>
      <c r="H26" s="18">
        <f>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</f>
        <v/>
      </c>
      <c r="I26" s="18">
        <f>IF(C26&lt;=0,0,IF($B$6&lt;=0,0,(1/$B$6)*D26*IF(($B$5+2*C26*SQRT(1+$B$7^2))&lt;=0,0,((D26/($B$5+2*C26*SQRT(1+$B$7^2)))^(2/3)))*SQRT($B$8)))</f>
        <v/>
      </c>
      <c r="J26" s="8">
        <f>H26+I26</f>
        <v/>
      </c>
    </row>
    <row r="27">
      <c r="A27" s="20" t="n">
        <v>36.28</v>
      </c>
      <c r="B27" s="20">
        <f>A27-$B$10</f>
        <v/>
      </c>
      <c r="C27" s="20">
        <f>MAX(0,A27-$B$4)</f>
        <v/>
      </c>
      <c r="D27" s="18">
        <f>IF(C27&lt;=0,0,($B$5+$B$7*C27)*C27)</f>
        <v/>
      </c>
      <c r="E27" s="17">
        <f>D27*$B$9</f>
        <v/>
      </c>
      <c r="F27" s="17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23">
        <f>E27+F27</f>
        <v/>
      </c>
      <c r="H27" s="18">
        <f>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</f>
        <v/>
      </c>
      <c r="I27" s="18">
        <f>IF(C27&lt;=0,0,IF($B$6&lt;=0,0,(1/$B$6)*D27*IF(($B$5+2*C27*SQRT(1+$B$7^2))&lt;=0,0,((D27/($B$5+2*C27*SQRT(1+$B$7^2)))^(2/3)))*SQRT($B$8)))</f>
        <v/>
      </c>
      <c r="J27" s="8">
        <f>H27+I27</f>
        <v/>
      </c>
    </row>
    <row r="28">
      <c r="A28" s="20" t="n">
        <v>36.38</v>
      </c>
      <c r="B28" s="20">
        <f>A28-$B$10</f>
        <v/>
      </c>
      <c r="C28" s="20">
        <f>MAX(0,A28-$B$4)</f>
        <v/>
      </c>
      <c r="D28" s="18">
        <f>IF(C28&lt;=0,0,($B$5+$B$7*C28)*C28)</f>
        <v/>
      </c>
      <c r="E28" s="17">
        <f>D28*$B$9</f>
        <v/>
      </c>
      <c r="F28" s="17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23">
        <f>E28+F28</f>
        <v/>
      </c>
      <c r="H28" s="18">
        <f>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</f>
        <v/>
      </c>
      <c r="I28" s="18">
        <f>IF(C28&lt;=0,0,IF($B$6&lt;=0,0,(1/$B$6)*D28*IF(($B$5+2*C28*SQRT(1+$B$7^2))&lt;=0,0,((D28/($B$5+2*C28*SQRT(1+$B$7^2)))^(2/3)))*SQRT($B$8)))</f>
        <v/>
      </c>
      <c r="J28" s="8">
        <f>H28+I28</f>
        <v/>
      </c>
    </row>
    <row r="29">
      <c r="A29" s="20" t="n">
        <v>36.48</v>
      </c>
      <c r="B29" s="20">
        <f>A29-$B$10</f>
        <v/>
      </c>
      <c r="C29" s="20">
        <f>MAX(0,A29-$B$4)</f>
        <v/>
      </c>
      <c r="D29" s="18">
        <f>IF(C29&lt;=0,0,($B$5+$B$7*C29)*C29)</f>
        <v/>
      </c>
      <c r="E29" s="17">
        <f>D29*$B$9</f>
        <v/>
      </c>
      <c r="F29" s="17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23">
        <f>E29+F29</f>
        <v/>
      </c>
      <c r="H29" s="18">
        <f>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</f>
        <v/>
      </c>
      <c r="I29" s="18">
        <f>IF(C29&lt;=0,0,IF($B$6&lt;=0,0,(1/$B$6)*D29*IF(($B$5+2*C29*SQRT(1+$B$7^2))&lt;=0,0,((D29/($B$5+2*C29*SQRT(1+$B$7^2)))^(2/3)))*SQRT($B$8)))</f>
        <v/>
      </c>
      <c r="J29" s="8">
        <f>H29+I29</f>
        <v/>
      </c>
    </row>
    <row r="30">
      <c r="A30" s="20" t="n">
        <v>36.58</v>
      </c>
      <c r="B30" s="20">
        <f>A30-$B$10</f>
        <v/>
      </c>
      <c r="C30" s="20">
        <f>MAX(0,A30-$B$4)</f>
        <v/>
      </c>
      <c r="D30" s="18">
        <f>IF(C30&lt;=0,0,($B$5+$B$7*C30)*C30)</f>
        <v/>
      </c>
      <c r="E30" s="17">
        <f>D30*$B$9</f>
        <v/>
      </c>
      <c r="F30" s="17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23">
        <f>E30+F30</f>
        <v/>
      </c>
      <c r="H30" s="18">
        <f>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</f>
        <v/>
      </c>
      <c r="I30" s="18">
        <f>IF(C30&lt;=0,0,IF($B$6&lt;=0,0,(1/$B$6)*D30*IF(($B$5+2*C30*SQRT(1+$B$7^2))&lt;=0,0,((D30/($B$5+2*C30*SQRT(1+$B$7^2)))^(2/3)))*SQRT($B$8)))</f>
        <v/>
      </c>
      <c r="J30" s="8">
        <f>H30+I30</f>
        <v/>
      </c>
    </row>
    <row r="31">
      <c r="A31" s="20" t="n">
        <v>36.68</v>
      </c>
      <c r="B31" s="20">
        <f>A31-$B$10</f>
        <v/>
      </c>
      <c r="C31" s="20">
        <f>MAX(0,A31-$B$4)</f>
        <v/>
      </c>
      <c r="D31" s="18">
        <f>IF(C31&lt;=0,0,($B$5+$B$7*C31)*C31)</f>
        <v/>
      </c>
      <c r="E31" s="17">
        <f>D31*$B$9</f>
        <v/>
      </c>
      <c r="F31" s="17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23">
        <f>E31+F31</f>
        <v/>
      </c>
      <c r="H31" s="18">
        <f>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</f>
        <v/>
      </c>
      <c r="I31" s="18">
        <f>IF(C31&lt;=0,0,IF($B$6&lt;=0,0,(1/$B$6)*D31*IF(($B$5+2*C31*SQRT(1+$B$7^2))&lt;=0,0,((D31/($B$5+2*C31*SQRT(1+$B$7^2)))^(2/3)))*SQRT($B$8)))</f>
        <v/>
      </c>
      <c r="J31" s="8">
        <f>H31+I31</f>
        <v/>
      </c>
    </row>
    <row r="32">
      <c r="A32" s="20" t="n">
        <v>36.78</v>
      </c>
      <c r="B32" s="20">
        <f>A32-$B$10</f>
        <v/>
      </c>
      <c r="C32" s="20">
        <f>MAX(0,A32-$B$4)</f>
        <v/>
      </c>
      <c r="D32" s="18">
        <f>IF(C32&lt;=0,0,($B$5+$B$7*C32)*C32)</f>
        <v/>
      </c>
      <c r="E32" s="17">
        <f>D32*$B$9</f>
        <v/>
      </c>
      <c r="F32" s="17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23">
        <f>E32+F32</f>
        <v/>
      </c>
      <c r="H32" s="18">
        <f>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</f>
        <v/>
      </c>
      <c r="I32" s="18">
        <f>IF(C32&lt;=0,0,IF($B$6&lt;=0,0,(1/$B$6)*D32*IF(($B$5+2*C32*SQRT(1+$B$7^2))&lt;=0,0,((D32/($B$5+2*C32*SQRT(1+$B$7^2)))^(2/3)))*SQRT($B$8)))</f>
        <v/>
      </c>
      <c r="J32" s="8">
        <f>H32+I32</f>
        <v/>
      </c>
    </row>
    <row r="33">
      <c r="A33" s="20" t="n">
        <v>36.88</v>
      </c>
      <c r="B33" s="20">
        <f>A33-$B$10</f>
        <v/>
      </c>
      <c r="C33" s="20">
        <f>MAX(0,A33-$B$4)</f>
        <v/>
      </c>
      <c r="D33" s="18">
        <f>IF(C33&lt;=0,0,($B$5+$B$7*C33)*C33)</f>
        <v/>
      </c>
      <c r="E33" s="17">
        <f>D33*$B$9</f>
        <v/>
      </c>
      <c r="F33" s="17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23">
        <f>E33+F33</f>
        <v/>
      </c>
      <c r="H33" s="18">
        <f>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</f>
        <v/>
      </c>
      <c r="I33" s="18">
        <f>IF(C33&lt;=0,0,IF($B$6&lt;=0,0,(1/$B$6)*D33*IF(($B$5+2*C33*SQRT(1+$B$7^2))&lt;=0,0,((D33/($B$5+2*C33*SQRT(1+$B$7^2)))^(2/3)))*SQRT($B$8)))</f>
        <v/>
      </c>
      <c r="J33" s="8">
        <f>H33+I33</f>
        <v/>
      </c>
    </row>
    <row r="34">
      <c r="A34" s="20" t="n">
        <v>36.98</v>
      </c>
      <c r="B34" s="20">
        <f>A34-$B$10</f>
        <v/>
      </c>
      <c r="C34" s="20">
        <f>MAX(0,A34-$B$4)</f>
        <v/>
      </c>
      <c r="D34" s="18">
        <f>IF(C34&lt;=0,0,($B$5+$B$7*C34)*C34)</f>
        <v/>
      </c>
      <c r="E34" s="17">
        <f>D34*$B$9</f>
        <v/>
      </c>
      <c r="F34" s="17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23">
        <f>E34+F34</f>
        <v/>
      </c>
      <c r="H34" s="18">
        <f>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</f>
        <v/>
      </c>
      <c r="I34" s="18">
        <f>IF(C34&lt;=0,0,IF($B$6&lt;=0,0,(1/$B$6)*D34*IF(($B$5+2*C34*SQRT(1+$B$7^2))&lt;=0,0,((D34/($B$5+2*C34*SQRT(1+$B$7^2)))^(2/3)))*SQRT($B$8)))</f>
        <v/>
      </c>
      <c r="J34" s="8">
        <f>H34+I34</f>
        <v/>
      </c>
    </row>
    <row r="35">
      <c r="A35" s="20" t="n">
        <v>37.08</v>
      </c>
      <c r="B35" s="20">
        <f>A35-$B$10</f>
        <v/>
      </c>
      <c r="C35" s="20">
        <f>MAX(0,A35-$B$4)</f>
        <v/>
      </c>
      <c r="D35" s="18">
        <f>IF(C35&lt;=0,0,($B$5+$B$7*C35)*C35)</f>
        <v/>
      </c>
      <c r="E35" s="17">
        <f>D35*$B$9</f>
        <v/>
      </c>
      <c r="F35" s="17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23">
        <f>E35+F35</f>
        <v/>
      </c>
      <c r="H35" s="18">
        <f>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</f>
        <v/>
      </c>
      <c r="I35" s="18">
        <f>IF(C35&lt;=0,0,IF($B$6&lt;=0,0,(1/$B$6)*D35*IF(($B$5+2*C35*SQRT(1+$B$7^2))&lt;=0,0,((D35/($B$5+2*C35*SQRT(1+$B$7^2)))^(2/3)))*SQRT($B$8)))</f>
        <v/>
      </c>
      <c r="J35" s="8">
        <f>H35+I35</f>
        <v/>
      </c>
    </row>
    <row r="36">
      <c r="A36" s="20" t="n">
        <v>37.18</v>
      </c>
      <c r="B36" s="20">
        <f>A36-$B$10</f>
        <v/>
      </c>
      <c r="C36" s="20">
        <f>MAX(0,A36-$B$4)</f>
        <v/>
      </c>
      <c r="D36" s="18">
        <f>IF(C36&lt;=0,0,($B$5+$B$7*C36)*C36)</f>
        <v/>
      </c>
      <c r="E36" s="17">
        <f>D36*$B$9</f>
        <v/>
      </c>
      <c r="F36" s="17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23">
        <f>E36+F36</f>
        <v/>
      </c>
      <c r="H36" s="18">
        <f>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</f>
        <v/>
      </c>
      <c r="I36" s="18">
        <f>IF(C36&lt;=0,0,IF($B$6&lt;=0,0,(1/$B$6)*D36*IF(($B$5+2*C36*SQRT(1+$B$7^2))&lt;=0,0,((D36/($B$5+2*C36*SQRT(1+$B$7^2)))^(2/3)))*SQRT($B$8)))</f>
        <v/>
      </c>
      <c r="J36" s="8">
        <f>H36+I36</f>
        <v/>
      </c>
    </row>
    <row r="37">
      <c r="A37" s="20" t="n">
        <v>37.28</v>
      </c>
      <c r="B37" s="20">
        <f>A37-$B$10</f>
        <v/>
      </c>
      <c r="C37" s="20">
        <f>MAX(0,A37-$B$4)</f>
        <v/>
      </c>
      <c r="D37" s="18">
        <f>IF(C37&lt;=0,0,($B$5+$B$7*C37)*C37)</f>
        <v/>
      </c>
      <c r="E37" s="17">
        <f>D37*$B$9</f>
        <v/>
      </c>
      <c r="F37" s="17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23">
        <f>E37+F37</f>
        <v/>
      </c>
      <c r="H37" s="18">
        <f>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</f>
        <v/>
      </c>
      <c r="I37" s="18">
        <f>IF(C37&lt;=0,0,IF($B$6&lt;=0,0,(1/$B$6)*D37*IF(($B$5+2*C37*SQRT(1+$B$7^2))&lt;=0,0,((D37/($B$5+2*C37*SQRT(1+$B$7^2)))^(2/3)))*SQRT($B$8)))</f>
        <v/>
      </c>
      <c r="J37" s="8">
        <f>H37+I37</f>
        <v/>
      </c>
    </row>
    <row r="38">
      <c r="A38" s="20" t="n">
        <v>37.38</v>
      </c>
      <c r="B38" s="20">
        <f>A38-$B$10</f>
        <v/>
      </c>
      <c r="C38" s="20">
        <f>MAX(0,A38-$B$4)</f>
        <v/>
      </c>
      <c r="D38" s="18">
        <f>IF(C38&lt;=0,0,($B$5+$B$7*C38)*C38)</f>
        <v/>
      </c>
      <c r="E38" s="17">
        <f>D38*$B$9</f>
        <v/>
      </c>
      <c r="F38" s="17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23">
        <f>E38+F38</f>
        <v/>
      </c>
      <c r="H38" s="18">
        <f>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</f>
        <v/>
      </c>
      <c r="I38" s="18">
        <f>IF(C38&lt;=0,0,IF($B$6&lt;=0,0,(1/$B$6)*D38*IF(($B$5+2*C38*SQRT(1+$B$7^2))&lt;=0,0,((D38/($B$5+2*C38*SQRT(1+$B$7^2)))^(2/3)))*SQRT($B$8)))</f>
        <v/>
      </c>
      <c r="J38" s="8">
        <f>H38+I38</f>
        <v/>
      </c>
    </row>
    <row r="39">
      <c r="A39" s="20" t="n">
        <v>37.48</v>
      </c>
      <c r="B39" s="20">
        <f>A39-$B$10</f>
        <v/>
      </c>
      <c r="C39" s="20">
        <f>MAX(0,A39-$B$4)</f>
        <v/>
      </c>
      <c r="D39" s="18">
        <f>IF(C39&lt;=0,0,($B$5+$B$7*C39)*C39)</f>
        <v/>
      </c>
      <c r="E39" s="17">
        <f>D39*$B$9</f>
        <v/>
      </c>
      <c r="F39" s="17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23">
        <f>E39+F39</f>
        <v/>
      </c>
      <c r="H39" s="18">
        <f>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</f>
        <v/>
      </c>
      <c r="I39" s="18">
        <f>IF(C39&lt;=0,0,IF($B$6&lt;=0,0,(1/$B$6)*D39*IF(($B$5+2*C39*SQRT(1+$B$7^2))&lt;=0,0,((D39/($B$5+2*C39*SQRT(1+$B$7^2)))^(2/3)))*SQRT($B$8)))</f>
        <v/>
      </c>
      <c r="J39" s="8">
        <f>H39+I39</f>
        <v/>
      </c>
    </row>
    <row r="40">
      <c r="A40" s="20" t="n">
        <v>37.58</v>
      </c>
      <c r="B40" s="20">
        <f>A40-$B$10</f>
        <v/>
      </c>
      <c r="C40" s="20">
        <f>MAX(0,A40-$B$4)</f>
        <v/>
      </c>
      <c r="D40" s="18">
        <f>IF(C40&lt;=0,0,($B$5+$B$7*C40)*C40)</f>
        <v/>
      </c>
      <c r="E40" s="17">
        <f>D40*$B$9</f>
        <v/>
      </c>
      <c r="F40" s="17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23">
        <f>E40+F40</f>
        <v/>
      </c>
      <c r="H40" s="18">
        <f>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</f>
        <v/>
      </c>
      <c r="I40" s="18">
        <f>IF(C40&lt;=0,0,IF($B$6&lt;=0,0,(1/$B$6)*D40*IF(($B$5+2*C40*SQRT(1+$B$7^2))&lt;=0,0,((D40/($B$5+2*C40*SQRT(1+$B$7^2)))^(2/3)))*SQRT($B$8)))</f>
        <v/>
      </c>
      <c r="J40" s="8">
        <f>H40+I40</f>
        <v/>
      </c>
    </row>
    <row r="41">
      <c r="A41" s="20" t="n">
        <v>37.68</v>
      </c>
      <c r="B41" s="20">
        <f>A41-$B$10</f>
        <v/>
      </c>
      <c r="C41" s="20">
        <f>MAX(0,A41-$B$4)</f>
        <v/>
      </c>
      <c r="D41" s="18">
        <f>IF(C41&lt;=0,0,($B$5+$B$7*C41)*C41)</f>
        <v/>
      </c>
      <c r="E41" s="17">
        <f>D41*$B$9</f>
        <v/>
      </c>
      <c r="F41" s="17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23">
        <f>E41+F41</f>
        <v/>
      </c>
      <c r="H41" s="18">
        <f>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</f>
        <v/>
      </c>
      <c r="I41" s="18">
        <f>IF(C41&lt;=0,0,IF($B$6&lt;=0,0,(1/$B$6)*D41*IF(($B$5+2*C41*SQRT(1+$B$7^2))&lt;=0,0,((D41/($B$5+2*C41*SQRT(1+$B$7^2)))^(2/3)))*SQRT($B$8)))</f>
        <v/>
      </c>
      <c r="J41" s="8">
        <f>H41+I41</f>
        <v/>
      </c>
    </row>
    <row r="42">
      <c r="A42" s="20" t="n">
        <v>37.78</v>
      </c>
      <c r="B42" s="20">
        <f>A42-$B$10</f>
        <v/>
      </c>
      <c r="C42" s="20">
        <f>MAX(0,A42-$B$4)</f>
        <v/>
      </c>
      <c r="D42" s="18">
        <f>IF(C42&lt;=0,0,($B$5+$B$7*C42)*C42)</f>
        <v/>
      </c>
      <c r="E42" s="17">
        <f>D42*$B$9</f>
        <v/>
      </c>
      <c r="F42" s="17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23">
        <f>E42+F42</f>
        <v/>
      </c>
      <c r="H42" s="18">
        <f>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</f>
        <v/>
      </c>
      <c r="I42" s="18">
        <f>IF(C42&lt;=0,0,IF($B$6&lt;=0,0,(1/$B$6)*D42*IF(($B$5+2*C42*SQRT(1+$B$7^2))&lt;=0,0,((D42/($B$5+2*C42*SQRT(1+$B$7^2)))^(2/3)))*SQRT($B$8)))</f>
        <v/>
      </c>
      <c r="J42" s="8">
        <f>H42+I42</f>
        <v/>
      </c>
    </row>
    <row r="43">
      <c r="A43" s="20" t="n">
        <v>37.88</v>
      </c>
      <c r="B43" s="20">
        <f>A43-$B$10</f>
        <v/>
      </c>
      <c r="C43" s="20">
        <f>MAX(0,A43-$B$4)</f>
        <v/>
      </c>
      <c r="D43" s="18">
        <f>IF(C43&lt;=0,0,($B$5+$B$7*C43)*C43)</f>
        <v/>
      </c>
      <c r="E43" s="17">
        <f>D43*$B$9</f>
        <v/>
      </c>
      <c r="F43" s="17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23">
        <f>E43+F43</f>
        <v/>
      </c>
      <c r="H43" s="18">
        <f>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</f>
        <v/>
      </c>
      <c r="I43" s="18">
        <f>IF(C43&lt;=0,0,IF($B$6&lt;=0,0,(1/$B$6)*D43*IF(($B$5+2*C43*SQRT(1+$B$7^2))&lt;=0,0,((D43/($B$5+2*C43*SQRT(1+$B$7^2)))^(2/3)))*SQRT($B$8)))</f>
        <v/>
      </c>
      <c r="J43" s="8">
        <f>H43+I43</f>
        <v/>
      </c>
    </row>
    <row r="44">
      <c r="A44" s="20" t="n">
        <v>37.98</v>
      </c>
      <c r="B44" s="20">
        <f>A44-$B$10</f>
        <v/>
      </c>
      <c r="C44" s="20">
        <f>MAX(0,A44-$B$4)</f>
        <v/>
      </c>
      <c r="D44" s="18">
        <f>IF(C44&lt;=0,0,($B$5+$B$7*C44)*C44)</f>
        <v/>
      </c>
      <c r="E44" s="17">
        <f>D44*$B$9</f>
        <v/>
      </c>
      <c r="F44" s="17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23">
        <f>E44+F44</f>
        <v/>
      </c>
      <c r="H44" s="18">
        <f>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</f>
        <v/>
      </c>
      <c r="I44" s="18">
        <f>IF(C44&lt;=0,0,IF($B$6&lt;=0,0,(1/$B$6)*D44*IF(($B$5+2*C44*SQRT(1+$B$7^2))&lt;=0,0,((D44/($B$5+2*C44*SQRT(1+$B$7^2)))^(2/3)))*SQRT($B$8)))</f>
        <v/>
      </c>
      <c r="J44" s="8">
        <f>H44+I44</f>
        <v/>
      </c>
    </row>
    <row r="45">
      <c r="A45" s="20" t="n">
        <v>38.08</v>
      </c>
      <c r="B45" s="20">
        <f>A45-$B$10</f>
        <v/>
      </c>
      <c r="C45" s="20">
        <f>MAX(0,A45-$B$4)</f>
        <v/>
      </c>
      <c r="D45" s="18">
        <f>IF(C45&lt;=0,0,($B$5+$B$7*C45)*C45)</f>
        <v/>
      </c>
      <c r="E45" s="17">
        <f>D45*$B$9</f>
        <v/>
      </c>
      <c r="F45" s="17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23">
        <f>E45+F45</f>
        <v/>
      </c>
      <c r="H45" s="18">
        <f>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</f>
        <v/>
      </c>
      <c r="I45" s="18">
        <f>IF(C45&lt;=0,0,IF($B$6&lt;=0,0,(1/$B$6)*D45*IF(($B$5+2*C45*SQRT(1+$B$7^2))&lt;=0,0,((D45/($B$5+2*C45*SQRT(1+$B$7^2)))^(2/3)))*SQRT($B$8)))</f>
        <v/>
      </c>
      <c r="J45" s="8">
        <f>H45+I45</f>
        <v/>
      </c>
    </row>
    <row r="46">
      <c r="A46" s="20" t="n">
        <v>38.18</v>
      </c>
      <c r="B46" s="20">
        <f>A46-$B$10</f>
        <v/>
      </c>
      <c r="C46" s="20">
        <f>MAX(0,A46-$B$4)</f>
        <v/>
      </c>
      <c r="D46" s="18">
        <f>IF(C46&lt;=0,0,($B$5+$B$7*C46)*C46)</f>
        <v/>
      </c>
      <c r="E46" s="17">
        <f>D46*$B$9</f>
        <v/>
      </c>
      <c r="F46" s="17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23">
        <f>E46+F46</f>
        <v/>
      </c>
      <c r="H46" s="18">
        <f>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</f>
        <v/>
      </c>
      <c r="I46" s="18">
        <f>IF(C46&lt;=0,0,IF($B$6&lt;=0,0,(1/$B$6)*D46*IF(($B$5+2*C46*SQRT(1+$B$7^2))&lt;=0,0,((D46/($B$5+2*C46*SQRT(1+$B$7^2)))^(2/3)))*SQRT($B$8)))</f>
        <v/>
      </c>
      <c r="J46" s="8">
        <f>H46+I46</f>
        <v/>
      </c>
    </row>
    <row r="47">
      <c r="A47" s="20" t="n">
        <v>38.28</v>
      </c>
      <c r="B47" s="20">
        <f>A47-$B$10</f>
        <v/>
      </c>
      <c r="C47" s="20">
        <f>MAX(0,A47-$B$4)</f>
        <v/>
      </c>
      <c r="D47" s="18">
        <f>IF(C47&lt;=0,0,($B$5+$B$7*C47)*C47)</f>
        <v/>
      </c>
      <c r="E47" s="17">
        <f>D47*$B$9</f>
        <v/>
      </c>
      <c r="F47" s="17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23">
        <f>E47+F47</f>
        <v/>
      </c>
      <c r="H47" s="18">
        <f>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</f>
        <v/>
      </c>
      <c r="I47" s="18">
        <f>IF(C47&lt;=0,0,IF($B$6&lt;=0,0,(1/$B$6)*D47*IF(($B$5+2*C47*SQRT(1+$B$7^2))&lt;=0,0,((D47/($B$5+2*C47*SQRT(1+$B$7^2)))^(2/3)))*SQRT($B$8)))</f>
        <v/>
      </c>
      <c r="J47" s="8">
        <f>H47+I47</f>
        <v/>
      </c>
    </row>
    <row r="48">
      <c r="A48" s="20" t="n">
        <v>38.38</v>
      </c>
      <c r="B48" s="20">
        <f>A48-$B$10</f>
        <v/>
      </c>
      <c r="C48" s="20">
        <f>MAX(0,A48-$B$4)</f>
        <v/>
      </c>
      <c r="D48" s="18">
        <f>IF(C48&lt;=0,0,($B$5+$B$7*C48)*C48)</f>
        <v/>
      </c>
      <c r="E48" s="17">
        <f>D48*$B$9</f>
        <v/>
      </c>
      <c r="F48" s="17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23">
        <f>E48+F48</f>
        <v/>
      </c>
      <c r="H48" s="18">
        <f>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</f>
        <v/>
      </c>
      <c r="I48" s="18">
        <f>IF(C48&lt;=0,0,IF($B$6&lt;=0,0,(1/$B$6)*D48*IF(($B$5+2*C48*SQRT(1+$B$7^2))&lt;=0,0,((D48/($B$5+2*C48*SQRT(1+$B$7^2)))^(2/3)))*SQRT($B$8)))</f>
        <v/>
      </c>
      <c r="J48" s="8">
        <f>H48+I48</f>
        <v/>
      </c>
    </row>
    <row r="49">
      <c r="A49" s="20" t="n">
        <v>38.48</v>
      </c>
      <c r="B49" s="20">
        <f>A49-$B$10</f>
        <v/>
      </c>
      <c r="C49" s="20">
        <f>MAX(0,A49-$B$4)</f>
        <v/>
      </c>
      <c r="D49" s="18">
        <f>IF(C49&lt;=0,0,($B$5+$B$7*C49)*C49)</f>
        <v/>
      </c>
      <c r="E49" s="17">
        <f>D49*$B$9</f>
        <v/>
      </c>
      <c r="F49" s="17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23">
        <f>E49+F49</f>
        <v/>
      </c>
      <c r="H49" s="18">
        <f>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</f>
        <v/>
      </c>
      <c r="I49" s="18">
        <f>IF(C49&lt;=0,0,IF($B$6&lt;=0,0,(1/$B$6)*D49*IF(($B$5+2*C49*SQRT(1+$B$7^2))&lt;=0,0,((D49/($B$5+2*C49*SQRT(1+$B$7^2)))^(2/3)))*SQRT($B$8)))</f>
        <v/>
      </c>
      <c r="J49" s="8">
        <f>H49+I49</f>
        <v/>
      </c>
    </row>
    <row r="50">
      <c r="A50" s="20" t="n">
        <v>38.58</v>
      </c>
      <c r="B50" s="20">
        <f>A50-$B$10</f>
        <v/>
      </c>
      <c r="C50" s="20">
        <f>MAX(0,A50-$B$4)</f>
        <v/>
      </c>
      <c r="D50" s="18">
        <f>IF(C50&lt;=0,0,($B$5+$B$7*C50)*C50)</f>
        <v/>
      </c>
      <c r="E50" s="17">
        <f>D50*$B$9</f>
        <v/>
      </c>
      <c r="F50" s="17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23">
        <f>E50+F50</f>
        <v/>
      </c>
      <c r="H50" s="18">
        <f>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</f>
        <v/>
      </c>
      <c r="I50" s="18">
        <f>IF(C50&lt;=0,0,IF($B$6&lt;=0,0,(1/$B$6)*D50*IF(($B$5+2*C50*SQRT(1+$B$7^2))&lt;=0,0,((D50/($B$5+2*C50*SQRT(1+$B$7^2)))^(2/3)))*SQRT($B$8)))</f>
        <v/>
      </c>
      <c r="J50" s="8">
        <f>H50+I50</f>
        <v/>
      </c>
    </row>
    <row r="51">
      <c r="A51" s="20" t="n">
        <v>38.68</v>
      </c>
      <c r="B51" s="20">
        <f>A51-$B$10</f>
        <v/>
      </c>
      <c r="C51" s="20">
        <f>MAX(0,A51-$B$4)</f>
        <v/>
      </c>
      <c r="D51" s="18">
        <f>IF(C51&lt;=0,0,($B$5+$B$7*C51)*C51)</f>
        <v/>
      </c>
      <c r="E51" s="17">
        <f>D51*$B$9</f>
        <v/>
      </c>
      <c r="F51" s="17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23">
        <f>E51+F51</f>
        <v/>
      </c>
      <c r="H51" s="18">
        <f>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</f>
        <v/>
      </c>
      <c r="I51" s="18">
        <f>IF(C51&lt;=0,0,IF($B$6&lt;=0,0,(1/$B$6)*D51*IF(($B$5+2*C51*SQRT(1+$B$7^2))&lt;=0,0,((D51/($B$5+2*C51*SQRT(1+$B$7^2)))^(2/3)))*SQRT($B$8)))</f>
        <v/>
      </c>
      <c r="J51" s="8">
        <f>H51+I51</f>
        <v/>
      </c>
    </row>
    <row r="52">
      <c r="A52" s="20" t="n">
        <v>38.78</v>
      </c>
      <c r="B52" s="20">
        <f>A52-$B$10</f>
        <v/>
      </c>
      <c r="C52" s="20">
        <f>MAX(0,A52-$B$4)</f>
        <v/>
      </c>
      <c r="D52" s="18">
        <f>IF(C52&lt;=0,0,($B$5+$B$7*C52)*C52)</f>
        <v/>
      </c>
      <c r="E52" s="17">
        <f>D52*$B$9</f>
        <v/>
      </c>
      <c r="F52" s="17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23">
        <f>E52+F52</f>
        <v/>
      </c>
      <c r="H52" s="18">
        <f>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</f>
        <v/>
      </c>
      <c r="I52" s="18">
        <f>IF(C52&lt;=0,0,IF($B$6&lt;=0,0,(1/$B$6)*D52*IF(($B$5+2*C52*SQRT(1+$B$7^2))&lt;=0,0,((D52/($B$5+2*C52*SQRT(1+$B$7^2)))^(2/3)))*SQRT($B$8)))</f>
        <v/>
      </c>
      <c r="J52" s="8">
        <f>H52+I52</f>
        <v/>
      </c>
    </row>
    <row r="53">
      <c r="A53" s="20" t="n">
        <v>38.88</v>
      </c>
      <c r="B53" s="20">
        <f>A53-$B$10</f>
        <v/>
      </c>
      <c r="C53" s="20">
        <f>MAX(0,A53-$B$4)</f>
        <v/>
      </c>
      <c r="D53" s="18">
        <f>IF(C53&lt;=0,0,($B$5+$B$7*C53)*C53)</f>
        <v/>
      </c>
      <c r="E53" s="17">
        <f>D53*$B$9</f>
        <v/>
      </c>
      <c r="F53" s="17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23">
        <f>E53+F53</f>
        <v/>
      </c>
      <c r="H53" s="18">
        <f>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</f>
        <v/>
      </c>
      <c r="I53" s="18">
        <f>IF(C53&lt;=0,0,IF($B$6&lt;=0,0,(1/$B$6)*D53*IF(($B$5+2*C53*SQRT(1+$B$7^2))&lt;=0,0,((D53/($B$5+2*C53*SQRT(1+$B$7^2)))^(2/3)))*SQRT($B$8)))</f>
        <v/>
      </c>
      <c r="J53" s="8">
        <f>H53+I53</f>
        <v/>
      </c>
    </row>
    <row r="54">
      <c r="A54" s="20" t="n">
        <v>38.98</v>
      </c>
      <c r="B54" s="20">
        <f>A54-$B$10</f>
        <v/>
      </c>
      <c r="C54" s="20">
        <f>MAX(0,A54-$B$4)</f>
        <v/>
      </c>
      <c r="D54" s="18">
        <f>IF(C54&lt;=0,0,($B$5+$B$7*C54)*C54)</f>
        <v/>
      </c>
      <c r="E54" s="17">
        <f>D54*$B$9</f>
        <v/>
      </c>
      <c r="F54" s="17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23">
        <f>E54+F54</f>
        <v/>
      </c>
      <c r="H54" s="18">
        <f>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</f>
        <v/>
      </c>
      <c r="I54" s="18">
        <f>IF(C54&lt;=0,0,IF($B$6&lt;=0,0,(1/$B$6)*D54*IF(($B$5+2*C54*SQRT(1+$B$7^2))&lt;=0,0,((D54/($B$5+2*C54*SQRT(1+$B$7^2)))^(2/3)))*SQRT($B$8)))</f>
        <v/>
      </c>
      <c r="J54" s="8">
        <f>H54+I54</f>
        <v/>
      </c>
    </row>
    <row r="55">
      <c r="A55" s="20" t="n">
        <v>39.08</v>
      </c>
      <c r="B55" s="20">
        <f>A55-$B$10</f>
        <v/>
      </c>
      <c r="C55" s="20">
        <f>MAX(0,A55-$B$4)</f>
        <v/>
      </c>
      <c r="D55" s="18">
        <f>IF(C55&lt;=0,0,($B$5+$B$7*C55)*C55)</f>
        <v/>
      </c>
      <c r="E55" s="17">
        <f>D55*$B$9</f>
        <v/>
      </c>
      <c r="F55" s="17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23">
        <f>E55+F55</f>
        <v/>
      </c>
      <c r="H55" s="18">
        <f>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</f>
        <v/>
      </c>
      <c r="I55" s="18">
        <f>IF(C55&lt;=0,0,IF($B$6&lt;=0,0,(1/$B$6)*D55*IF(($B$5+2*C55*SQRT(1+$B$7^2))&lt;=0,0,((D55/($B$5+2*C55*SQRT(1+$B$7^2)))^(2/3)))*SQRT($B$8)))</f>
        <v/>
      </c>
      <c r="J55" s="8">
        <f>H55+I55</f>
        <v/>
      </c>
    </row>
    <row r="56">
      <c r="A56" s="20" t="n">
        <v>39.18</v>
      </c>
      <c r="B56" s="20">
        <f>A56-$B$10</f>
        <v/>
      </c>
      <c r="C56" s="20">
        <f>MAX(0,A56-$B$4)</f>
        <v/>
      </c>
      <c r="D56" s="18">
        <f>IF(C56&lt;=0,0,($B$5+$B$7*C56)*C56)</f>
        <v/>
      </c>
      <c r="E56" s="17">
        <f>D56*$B$9</f>
        <v/>
      </c>
      <c r="F56" s="17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23">
        <f>E56+F56</f>
        <v/>
      </c>
      <c r="H56" s="18">
        <f>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</f>
        <v/>
      </c>
      <c r="I56" s="18">
        <f>IF(C56&lt;=0,0,IF($B$6&lt;=0,0,(1/$B$6)*D56*IF(($B$5+2*C56*SQRT(1+$B$7^2))&lt;=0,0,((D56/($B$5+2*C56*SQRT(1+$B$7^2)))^(2/3)))*SQRT($B$8)))</f>
        <v/>
      </c>
      <c r="J56" s="8">
        <f>H56+I56</f>
        <v/>
      </c>
    </row>
    <row r="57">
      <c r="A57" s="20" t="n">
        <v>39.28</v>
      </c>
      <c r="B57" s="20">
        <f>A57-$B$10</f>
        <v/>
      </c>
      <c r="C57" s="20">
        <f>MAX(0,A57-$B$4)</f>
        <v/>
      </c>
      <c r="D57" s="18">
        <f>IF(C57&lt;=0,0,($B$5+$B$7*C57)*C57)</f>
        <v/>
      </c>
      <c r="E57" s="17">
        <f>D57*$B$9</f>
        <v/>
      </c>
      <c r="F57" s="17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23">
        <f>E57+F57</f>
        <v/>
      </c>
      <c r="H57" s="18">
        <f>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</f>
        <v/>
      </c>
      <c r="I57" s="18">
        <f>IF(C57&lt;=0,0,IF($B$6&lt;=0,0,(1/$B$6)*D57*IF(($B$5+2*C57*SQRT(1+$B$7^2))&lt;=0,0,((D57/($B$5+2*C57*SQRT(1+$B$7^2)))^(2/3)))*SQRT($B$8)))</f>
        <v/>
      </c>
      <c r="J57" s="8">
        <f>H57+I57</f>
        <v/>
      </c>
    </row>
    <row r="58">
      <c r="A58" s="20" t="n">
        <v>39.38</v>
      </c>
      <c r="B58" s="20">
        <f>A58-$B$10</f>
        <v/>
      </c>
      <c r="C58" s="20">
        <f>MAX(0,A58-$B$4)</f>
        <v/>
      </c>
      <c r="D58" s="18">
        <f>IF(C58&lt;=0,0,($B$5+$B$7*C58)*C58)</f>
        <v/>
      </c>
      <c r="E58" s="17">
        <f>D58*$B$9</f>
        <v/>
      </c>
      <c r="F58" s="17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23">
        <f>E58+F58</f>
        <v/>
      </c>
      <c r="H58" s="18">
        <f>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</f>
        <v/>
      </c>
      <c r="I58" s="18">
        <f>IF(C58&lt;=0,0,IF($B$6&lt;=0,0,(1/$B$6)*D58*IF(($B$5+2*C58*SQRT(1+$B$7^2))&lt;=0,0,((D58/($B$5+2*C58*SQRT(1+$B$7^2)))^(2/3)))*SQRT($B$8)))</f>
        <v/>
      </c>
      <c r="J58" s="8">
        <f>H58+I58</f>
        <v/>
      </c>
    </row>
    <row r="59">
      <c r="A59" s="20" t="n">
        <v>39.48</v>
      </c>
      <c r="B59" s="20">
        <f>A59-$B$10</f>
        <v/>
      </c>
      <c r="C59" s="20">
        <f>MAX(0,A59-$B$4)</f>
        <v/>
      </c>
      <c r="D59" s="18">
        <f>IF(C59&lt;=0,0,($B$5+$B$7*C59)*C59)</f>
        <v/>
      </c>
      <c r="E59" s="17">
        <f>D59*$B$9</f>
        <v/>
      </c>
      <c r="F59" s="17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23">
        <f>E59+F59</f>
        <v/>
      </c>
      <c r="H59" s="18">
        <f>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</f>
        <v/>
      </c>
      <c r="I59" s="18">
        <f>IF(C59&lt;=0,0,IF($B$6&lt;=0,0,(1/$B$6)*D59*IF(($B$5+2*C59*SQRT(1+$B$7^2))&lt;=0,0,((D59/($B$5+2*C59*SQRT(1+$B$7^2)))^(2/3)))*SQRT($B$8)))</f>
        <v/>
      </c>
      <c r="J59" s="8">
        <f>H59+I59</f>
        <v/>
      </c>
    </row>
    <row r="60">
      <c r="A60" s="20" t="n">
        <v>39.58</v>
      </c>
      <c r="B60" s="20">
        <f>A60-$B$10</f>
        <v/>
      </c>
      <c r="C60" s="20">
        <f>MAX(0,A60-$B$4)</f>
        <v/>
      </c>
      <c r="D60" s="18">
        <f>IF(C60&lt;=0,0,($B$5+$B$7*C60)*C60)</f>
        <v/>
      </c>
      <c r="E60" s="17">
        <f>D60*$B$9</f>
        <v/>
      </c>
      <c r="F60" s="17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23">
        <f>E60+F60</f>
        <v/>
      </c>
      <c r="H60" s="18">
        <f>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</f>
        <v/>
      </c>
      <c r="I60" s="18">
        <f>IF(C60&lt;=0,0,IF($B$6&lt;=0,0,(1/$B$6)*D60*IF(($B$5+2*C60*SQRT(1+$B$7^2))&lt;=0,0,((D60/($B$5+2*C60*SQRT(1+$B$7^2)))^(2/3)))*SQRT($B$8)))</f>
        <v/>
      </c>
      <c r="J60" s="8">
        <f>H60+I60</f>
        <v/>
      </c>
    </row>
    <row r="61">
      <c r="A61" s="20" t="n">
        <v>39.68</v>
      </c>
      <c r="B61" s="20">
        <f>A61-$B$10</f>
        <v/>
      </c>
      <c r="C61" s="20">
        <f>MAX(0,A61-$B$4)</f>
        <v/>
      </c>
      <c r="D61" s="18">
        <f>IF(C61&lt;=0,0,($B$5+$B$7*C61)*C61)</f>
        <v/>
      </c>
      <c r="E61" s="17">
        <f>D61*$B$9</f>
        <v/>
      </c>
      <c r="F61" s="17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23">
        <f>E61+F61</f>
        <v/>
      </c>
      <c r="H61" s="18">
        <f>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</f>
        <v/>
      </c>
      <c r="I61" s="18">
        <f>IF(C61&lt;=0,0,IF($B$6&lt;=0,0,(1/$B$6)*D61*IF(($B$5+2*C61*SQRT(1+$B$7^2))&lt;=0,0,((D61/($B$5+2*C61*SQRT(1+$B$7^2)))^(2/3)))*SQRT($B$8)))</f>
        <v/>
      </c>
      <c r="J61" s="8">
        <f>H61+I61</f>
        <v/>
      </c>
    </row>
    <row r="62">
      <c r="A62" s="20" t="n">
        <v>39.78</v>
      </c>
      <c r="B62" s="20">
        <f>A62-$B$10</f>
        <v/>
      </c>
      <c r="C62" s="20">
        <f>MAX(0,A62-$B$4)</f>
        <v/>
      </c>
      <c r="D62" s="18">
        <f>IF(C62&lt;=0,0,($B$5+$B$7*C62)*C62)</f>
        <v/>
      </c>
      <c r="E62" s="17">
        <f>D62*$B$9</f>
        <v/>
      </c>
      <c r="F62" s="17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23">
        <f>E62+F62</f>
        <v/>
      </c>
      <c r="H62" s="18">
        <f>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</f>
        <v/>
      </c>
      <c r="I62" s="18">
        <f>IF(C62&lt;=0,0,IF($B$6&lt;=0,0,(1/$B$6)*D62*IF(($B$5+2*C62*SQRT(1+$B$7^2))&lt;=0,0,((D62/($B$5+2*C62*SQRT(1+$B$7^2)))^(2/3)))*SQRT($B$8)))</f>
        <v/>
      </c>
      <c r="J62" s="8">
        <f>H62+I62</f>
        <v/>
      </c>
    </row>
    <row r="63">
      <c r="A63" s="20" t="n">
        <v>39.88</v>
      </c>
      <c r="B63" s="20">
        <f>A63-$B$10</f>
        <v/>
      </c>
      <c r="C63" s="20">
        <f>MAX(0,A63-$B$4)</f>
        <v/>
      </c>
      <c r="D63" s="18">
        <f>IF(C63&lt;=0,0,($B$5+$B$7*C63)*C63)</f>
        <v/>
      </c>
      <c r="E63" s="17">
        <f>D63*$B$9</f>
        <v/>
      </c>
      <c r="F63" s="17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23">
        <f>E63+F63</f>
        <v/>
      </c>
      <c r="H63" s="18">
        <f>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</f>
        <v/>
      </c>
      <c r="I63" s="18">
        <f>IF(C63&lt;=0,0,IF($B$6&lt;=0,0,(1/$B$6)*D63*IF(($B$5+2*C63*SQRT(1+$B$7^2))&lt;=0,0,((D63/($B$5+2*C63*SQRT(1+$B$7^2)))^(2/3)))*SQRT($B$8)))</f>
        <v/>
      </c>
      <c r="J63" s="8">
        <f>H63+I63</f>
        <v/>
      </c>
    </row>
    <row r="64">
      <c r="A64" s="20" t="n">
        <v>39.98</v>
      </c>
      <c r="B64" s="20">
        <f>A64-$B$10</f>
        <v/>
      </c>
      <c r="C64" s="20">
        <f>MAX(0,A64-$B$4)</f>
        <v/>
      </c>
      <c r="D64" s="18">
        <f>IF(C64&lt;=0,0,($B$5+$B$7*C64)*C64)</f>
        <v/>
      </c>
      <c r="E64" s="17">
        <f>D64*$B$9</f>
        <v/>
      </c>
      <c r="F64" s="17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23">
        <f>E64+F64</f>
        <v/>
      </c>
      <c r="H64" s="18">
        <f>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</f>
        <v/>
      </c>
      <c r="I64" s="18">
        <f>IF(C64&lt;=0,0,IF($B$6&lt;=0,0,(1/$B$6)*D64*IF(($B$5+2*C64*SQRT(1+$B$7^2))&lt;=0,0,((D64/($B$5+2*C64*SQRT(1+$B$7^2)))^(2/3)))*SQRT($B$8)))</f>
        <v/>
      </c>
      <c r="J64" s="8">
        <f>H64+I64</f>
        <v/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</cols>
  <sheetData>
    <row r="1">
      <c r="A1" s="11" t="inlineStr">
        <is>
          <t>FILE 1 — Routage composite (eau retenue amont Ø1200)</t>
        </is>
      </c>
    </row>
    <row r="2">
      <c r="A2" t="inlineStr">
        <is>
          <t>A chaque pas: WSE depuis V_total (Compose); Qout = Q_1200 + Q_overflow; ΔV = (Qin_moy − Qout)×Δt.</t>
        </is>
      </c>
    </row>
    <row r="4">
      <c r="A4" t="inlineStr">
        <is>
          <t>Q_plein ref</t>
        </is>
      </c>
      <c r="B4" s="30">
        <f>Parametres!B17</f>
        <v/>
      </c>
    </row>
    <row r="5">
      <c r="A5" t="inlineStr">
        <is>
          <t>Crest</t>
        </is>
      </c>
      <c r="B5" s="30">
        <f>Parametres!B21</f>
        <v/>
      </c>
    </row>
    <row r="7">
      <c r="A7" t="inlineStr">
        <is>
          <t>Vmax (m3)</t>
        </is>
      </c>
      <c r="B7" s="12">
        <f>MAX(F14:F26)</f>
        <v/>
      </c>
    </row>
    <row r="8">
      <c r="A8" t="inlineStr">
        <is>
          <t>WSEmax (m)</t>
        </is>
      </c>
      <c r="B8" s="13">
        <f>MAX(C14:C26)</f>
        <v/>
      </c>
    </row>
    <row r="9">
      <c r="A9" t="inlineStr">
        <is>
          <t>Q_down max (m3/s)</t>
        </is>
      </c>
      <c r="B9" s="15">
        <f>MAX(D14:D26)</f>
        <v/>
      </c>
    </row>
    <row r="10">
      <c r="A10" t="inlineStr">
        <is>
          <t>Q_1200 at Q_down max (m3/s)</t>
        </is>
      </c>
      <c r="B10" s="15">
        <f>IFERROR(INDEX(G14:G26,MATCH(B9,D14:D26,0)),0)</f>
        <v/>
      </c>
    </row>
    <row r="11">
      <c r="A11" t="inlineStr">
        <is>
          <t>Q_overflow at Q_down max (m3/s)</t>
        </is>
      </c>
      <c r="B11" s="15">
        <f>IFERROR(INDEX(H14:H26,MATCH(B9,D14:D26,0)),0)</f>
        <v/>
      </c>
    </row>
    <row r="12">
      <c r="A12" t="inlineStr">
        <is>
          <t>Overflow?</t>
        </is>
      </c>
      <c r="B12">
        <f>IF(B8&gt;$B$5,"oui","non")</f>
        <v/>
      </c>
    </row>
    <row r="13">
      <c r="A13" s="16" t="inlineStr">
        <is>
          <t>t</t>
        </is>
      </c>
      <c r="B13" s="16" t="inlineStr">
        <is>
          <t>Qin</t>
        </is>
      </c>
      <c r="C13" s="16" t="inlineStr">
        <is>
          <t>WSE</t>
        </is>
      </c>
      <c r="D13" s="16" t="inlineStr">
        <is>
          <t>Qout</t>
        </is>
      </c>
      <c r="E13" s="16" t="inlineStr">
        <is>
          <t>dt</t>
        </is>
      </c>
      <c r="F13" s="16" t="inlineStr">
        <is>
          <t>V</t>
        </is>
      </c>
      <c r="G13" s="16" t="inlineStr">
        <is>
          <t>Q_1200</t>
        </is>
      </c>
      <c r="H13" s="16" t="inlineStr">
        <is>
          <t>Q_overflow</t>
        </is>
      </c>
      <c r="I13" s="16" t="inlineStr">
        <is>
          <t>Overflow?</t>
        </is>
      </c>
    </row>
    <row r="14">
      <c r="A14" s="18">
        <f>Hydrogramme!A7</f>
        <v/>
      </c>
      <c r="B14" s="18">
        <f>Hydrogramme!C7</f>
        <v/>
      </c>
      <c r="C14" s="18">
        <f>Parametres!B18</f>
        <v/>
      </c>
      <c r="D14" s="18">
        <f>MIN(B14,$B$4)</f>
        <v/>
      </c>
      <c r="E14" s="17" t="n">
        <v>0</v>
      </c>
      <c r="F14" s="23" t="n">
        <v>0</v>
      </c>
      <c r="G14" s="18" t="n">
        <v>0</v>
      </c>
      <c r="H14" s="18" t="n">
        <v>0</v>
      </c>
      <c r="I14" s="22" t="inlineStr">
        <is>
          <t>non</t>
        </is>
      </c>
    </row>
    <row r="15">
      <c r="A15" s="18">
        <f>Hydrogramme!A8</f>
        <v/>
      </c>
      <c r="B15" s="18">
        <f>Hydrogramme!C8</f>
        <v/>
      </c>
      <c r="C15" s="18">
        <f>IF(F14&lt;=INDEX(Compose!$G$13:$G$64,1),INDEX(Compose!$A$13:$A$64,1),IF(F14&gt;=INDEX(Compose!$G$13:$G$64,ROWS(Compose!$G$13:$G$64)),INDEX(Compose!$A$13:$A$64,ROWS(Compose!$A$13:$A$64)),INDEX(Compose!$A$13:$A$64,MATCH(F14,Compose!$G$13:$G$64,1))+(F14-INDEX(Compose!$G$13:$G$64,MATCH(F14,Compose!$G$13:$G$64,1)))/(INDEX(Compose!$G$13:$G$64,MATCH(F14,Compose!$G$13:$G$64,1)+1)-INDEX(Compose!$G$13:$G$64,MATCH(F14,Compose!$G$13:$G$64,1)))*(INDEX(Compose!$A$13:$A$64,MATCH(F14,Compose!$G$13:$G$64,1)+1)-INDEX(Compose!$A$13:$A$64,MATCH(F14,Compose!$G$13:$G$64,1)))))</f>
        <v/>
      </c>
      <c r="D15" s="18">
        <f>IF(F14&lt;=0.01,MIN(0.5*(B14+B15),$B$4),IF(C15&lt;=INDEX(Compose!$A$13:$A$64,1),INDEX(Compose!$J$13:$J$64,1),IF(C15&gt;=INDEX(Compose!$A$13:$A$64,ROWS(Compose!$A$13:$A$64)),INDEX(Compose!$J$13:$J$64,ROWS(Compose!$J$13:$J$64)),INDEX(Compose!$J$13:$J$64,MATCH(C15,Compose!$A$13:$A$64,1))+(C15-INDEX(Compose!$A$13:$A$64,MATCH(C15,Compose!$A$13:$A$64,1)))/(INDEX(Compose!$A$13:$A$64,MATCH(C15,Compose!$A$13:$A$64,1)+1)-INDEX(Compose!$A$13:$A$64,MATCH(C15,Compose!$A$13:$A$64,1)))*(INDEX(Compose!$J$13:$J$64,MATCH(C15,Compose!$A$13:$A$64,1)+1)-INDEX(Compose!$J$13:$J$64,MATCH(C15,Compose!$A$13:$A$64,1))))))</f>
        <v/>
      </c>
      <c r="E15" s="17">
        <f>(A15-A14)*60</f>
        <v/>
      </c>
      <c r="F15" s="23">
        <f>MAX(0,F14+(0.5*(B14+B15)-D15)*E15)</f>
        <v/>
      </c>
      <c r="G15" s="18">
        <f>IF(C15&lt;=INDEX(Compose!$A$13:$A$64,1),INDEX(Compose!$H$13:$H$64,1),IF(C15&gt;=INDEX(Compose!$A$13:$A$64,ROWS(Compose!$A$13:$A$64)),INDEX(Compose!$H$13:$H$64,ROWS(Compose!$H$13:$H$64)),INDEX(Compose!$H$13:$H$64,MATCH(C15,Compose!$A$13:$A$64,1))+(C15-INDEX(Compose!$A$13:$A$64,MATCH(C15,Compose!$A$13:$A$64,1)))/(INDEX(Compose!$A$13:$A$64,MATCH(C15,Compose!$A$13:$A$64,1)+1)-INDEX(Compose!$A$13:$A$64,MATCH(C15,Compose!$A$13:$A$64,1)))*(INDEX(Compose!$H$13:$H$64,MATCH(C15,Compose!$A$13:$A$64,1)+1)-INDEX(Compose!$H$13:$H$64,MATCH(C15,Compose!$A$13:$A$64,1)))))</f>
        <v/>
      </c>
      <c r="H15" s="18">
        <f>IF(C15&lt;=INDEX(Compose!$A$13:$A$64,1),INDEX(Compose!$I$13:$I$64,1),IF(C15&gt;=INDEX(Compose!$A$13:$A$64,ROWS(Compose!$A$13:$A$64)),INDEX(Compose!$I$13:$I$64,ROWS(Compose!$I$13:$I$64)),INDEX(Compose!$I$13:$I$64,MATCH(C15,Compose!$A$13:$A$64,1))+(C15-INDEX(Compose!$A$13:$A$64,MATCH(C15,Compose!$A$13:$A$64,1)))/(INDEX(Compose!$A$13:$A$64,MATCH(C15,Compose!$A$13:$A$64,1)+1)-INDEX(Compose!$A$13:$A$64,MATCH(C15,Compose!$A$13:$A$64,1)))*(INDEX(Compose!$I$13:$I$64,MATCH(C15,Compose!$A$13:$A$64,1)+1)-INDEX(Compose!$I$13:$I$64,MATCH(C15,Compose!$A$13:$A$64,1)))))</f>
        <v/>
      </c>
      <c r="I15" s="22">
        <f>IF(C15&gt;$B$5,"oui","non")</f>
        <v/>
      </c>
    </row>
    <row r="16">
      <c r="A16" s="18">
        <f>Hydrogramme!A9</f>
        <v/>
      </c>
      <c r="B16" s="18">
        <f>Hydrogramme!C9</f>
        <v/>
      </c>
      <c r="C16" s="18">
        <f>IF(F15&lt;=INDEX(Compose!$G$13:$G$64,1),INDEX(Compose!$A$13:$A$64,1),IF(F15&gt;=INDEX(Compose!$G$13:$G$64,ROWS(Compose!$G$13:$G$64)),INDEX(Compose!$A$13:$A$64,ROWS(Compose!$A$13:$A$64)),INDEX(Compose!$A$13:$A$64,MATCH(F15,Compose!$G$13:$G$64,1))+(F15-INDEX(Compose!$G$13:$G$64,MATCH(F15,Compose!$G$13:$G$64,1)))/(INDEX(Compose!$G$13:$G$64,MATCH(F15,Compose!$G$13:$G$64,1)+1)-INDEX(Compose!$G$13:$G$64,MATCH(F15,Compose!$G$13:$G$64,1)))*(INDEX(Compose!$A$13:$A$64,MATCH(F15,Compose!$G$13:$G$64,1)+1)-INDEX(Compose!$A$13:$A$64,MATCH(F15,Compose!$G$13:$G$64,1)))))</f>
        <v/>
      </c>
      <c r="D16" s="18">
        <f>IF(F15&lt;=0.01,MIN(0.5*(B15+B16),$B$4),IF(C16&lt;=INDEX(Compose!$A$13:$A$64,1),INDEX(Compose!$J$13:$J$64,1),IF(C16&gt;=INDEX(Compose!$A$13:$A$64,ROWS(Compose!$A$13:$A$64)),INDEX(Compose!$J$13:$J$64,ROWS(Compose!$J$13:$J$64)),INDEX(Compose!$J$13:$J$64,MATCH(C16,Compose!$A$13:$A$64,1))+(C16-INDEX(Compose!$A$13:$A$64,MATCH(C16,Compose!$A$13:$A$64,1)))/(INDEX(Compose!$A$13:$A$64,MATCH(C16,Compose!$A$13:$A$64,1)+1)-INDEX(Compose!$A$13:$A$64,MATCH(C16,Compose!$A$13:$A$64,1)))*(INDEX(Compose!$J$13:$J$64,MATCH(C16,Compose!$A$13:$A$64,1)+1)-INDEX(Compose!$J$13:$J$64,MATCH(C16,Compose!$A$13:$A$64,1))))))</f>
        <v/>
      </c>
      <c r="E16" s="17">
        <f>(A16-A15)*60</f>
        <v/>
      </c>
      <c r="F16" s="23">
        <f>MAX(0,F15+(0.5*(B15+B16)-D16)*E16)</f>
        <v/>
      </c>
      <c r="G16" s="18">
        <f>IF(C16&lt;=INDEX(Compose!$A$13:$A$64,1),INDEX(Compose!$H$13:$H$64,1),IF(C16&gt;=INDEX(Compose!$A$13:$A$64,ROWS(Compose!$A$13:$A$64)),INDEX(Compose!$H$13:$H$64,ROWS(Compose!$H$13:$H$64)),INDEX(Compose!$H$13:$H$64,MATCH(C16,Compose!$A$13:$A$64,1))+(C16-INDEX(Compose!$A$13:$A$64,MATCH(C16,Compose!$A$13:$A$64,1)))/(INDEX(Compose!$A$13:$A$64,MATCH(C16,Compose!$A$13:$A$64,1)+1)-INDEX(Compose!$A$13:$A$64,MATCH(C16,Compose!$A$13:$A$64,1)))*(INDEX(Compose!$H$13:$H$64,MATCH(C16,Compose!$A$13:$A$64,1)+1)-INDEX(Compose!$H$13:$H$64,MATCH(C16,Compose!$A$13:$A$64,1)))))</f>
        <v/>
      </c>
      <c r="H16" s="18">
        <f>IF(C16&lt;=INDEX(Compose!$A$13:$A$64,1),INDEX(Compose!$I$13:$I$64,1),IF(C16&gt;=INDEX(Compose!$A$13:$A$64,ROWS(Compose!$A$13:$A$64)),INDEX(Compose!$I$13:$I$64,ROWS(Compose!$I$13:$I$64)),INDEX(Compose!$I$13:$I$64,MATCH(C16,Compose!$A$13:$A$64,1))+(C16-INDEX(Compose!$A$13:$A$64,MATCH(C16,Compose!$A$13:$A$64,1)))/(INDEX(Compose!$A$13:$A$64,MATCH(C16,Compose!$A$13:$A$64,1)+1)-INDEX(Compose!$A$13:$A$64,MATCH(C16,Compose!$A$13:$A$64,1)))*(INDEX(Compose!$I$13:$I$64,MATCH(C16,Compose!$A$13:$A$64,1)+1)-INDEX(Compose!$I$13:$I$64,MATCH(C16,Compose!$A$13:$A$64,1)))))</f>
        <v/>
      </c>
      <c r="I16" s="22">
        <f>IF(C16&gt;$B$5,"oui","non")</f>
        <v/>
      </c>
    </row>
    <row r="17">
      <c r="A17" s="18">
        <f>Hydrogramme!A10</f>
        <v/>
      </c>
      <c r="B17" s="18">
        <f>Hydrogramme!C10</f>
        <v/>
      </c>
      <c r="C17" s="18">
        <f>IF(F16&lt;=INDEX(Compose!$G$13:$G$64,1),INDEX(Compose!$A$13:$A$64,1),IF(F16&gt;=INDEX(Compose!$G$13:$G$64,ROWS(Compose!$G$13:$G$64)),INDEX(Compose!$A$13:$A$64,ROWS(Compose!$A$13:$A$64)),INDEX(Compose!$A$13:$A$64,MATCH(F16,Compose!$G$13:$G$64,1))+(F16-INDEX(Compose!$G$13:$G$64,MATCH(F16,Compose!$G$13:$G$64,1)))/(INDEX(Compose!$G$13:$G$64,MATCH(F16,Compose!$G$13:$G$64,1)+1)-INDEX(Compose!$G$13:$G$64,MATCH(F16,Compose!$G$13:$G$64,1)))*(INDEX(Compose!$A$13:$A$64,MATCH(F16,Compose!$G$13:$G$64,1)+1)-INDEX(Compose!$A$13:$A$64,MATCH(F16,Compose!$G$13:$G$64,1)))))</f>
        <v/>
      </c>
      <c r="D17" s="18">
        <f>IF(F16&lt;=0.01,MIN(0.5*(B16+B17),$B$4),IF(C17&lt;=INDEX(Compose!$A$13:$A$64,1),INDEX(Compose!$J$13:$J$64,1),IF(C17&gt;=INDEX(Compose!$A$13:$A$64,ROWS(Compose!$A$13:$A$64)),INDEX(Compose!$J$13:$J$64,ROWS(Compose!$J$13:$J$64)),INDEX(Compose!$J$13:$J$64,MATCH(C17,Compose!$A$13:$A$64,1))+(C17-INDEX(Compose!$A$13:$A$64,MATCH(C17,Compose!$A$13:$A$64,1)))/(INDEX(Compose!$A$13:$A$64,MATCH(C17,Compose!$A$13:$A$64,1)+1)-INDEX(Compose!$A$13:$A$64,MATCH(C17,Compose!$A$13:$A$64,1)))*(INDEX(Compose!$J$13:$J$64,MATCH(C17,Compose!$A$13:$A$64,1)+1)-INDEX(Compose!$J$13:$J$64,MATCH(C17,Compose!$A$13:$A$64,1))))))</f>
        <v/>
      </c>
      <c r="E17" s="17">
        <f>(A17-A16)*60</f>
        <v/>
      </c>
      <c r="F17" s="23">
        <f>MAX(0,F16+(0.5*(B16+B17)-D17)*E17)</f>
        <v/>
      </c>
      <c r="G17" s="18">
        <f>IF(C17&lt;=INDEX(Compose!$A$13:$A$64,1),INDEX(Compose!$H$13:$H$64,1),IF(C17&gt;=INDEX(Compose!$A$13:$A$64,ROWS(Compose!$A$13:$A$64)),INDEX(Compose!$H$13:$H$64,ROWS(Compose!$H$13:$H$64)),INDEX(Compose!$H$13:$H$64,MATCH(C17,Compose!$A$13:$A$64,1))+(C17-INDEX(Compose!$A$13:$A$64,MATCH(C17,Compose!$A$13:$A$64,1)))/(INDEX(Compose!$A$13:$A$64,MATCH(C17,Compose!$A$13:$A$64,1)+1)-INDEX(Compose!$A$13:$A$64,MATCH(C17,Compose!$A$13:$A$64,1)))*(INDEX(Compose!$H$13:$H$64,MATCH(C17,Compose!$A$13:$A$64,1)+1)-INDEX(Compose!$H$13:$H$64,MATCH(C17,Compose!$A$13:$A$64,1)))))</f>
        <v/>
      </c>
      <c r="H17" s="18">
        <f>IF(C17&lt;=INDEX(Compose!$A$13:$A$64,1),INDEX(Compose!$I$13:$I$64,1),IF(C17&gt;=INDEX(Compose!$A$13:$A$64,ROWS(Compose!$A$13:$A$64)),INDEX(Compose!$I$13:$I$64,ROWS(Compose!$I$13:$I$64)),INDEX(Compose!$I$13:$I$64,MATCH(C17,Compose!$A$13:$A$64,1))+(C17-INDEX(Compose!$A$13:$A$64,MATCH(C17,Compose!$A$13:$A$64,1)))/(INDEX(Compose!$A$13:$A$64,MATCH(C17,Compose!$A$13:$A$64,1)+1)-INDEX(Compose!$A$13:$A$64,MATCH(C17,Compose!$A$13:$A$64,1)))*(INDEX(Compose!$I$13:$I$64,MATCH(C17,Compose!$A$13:$A$64,1)+1)-INDEX(Compose!$I$13:$I$64,MATCH(C17,Compose!$A$13:$A$64,1)))))</f>
        <v/>
      </c>
      <c r="I17" s="22">
        <f>IF(C17&gt;$B$5,"oui","non")</f>
        <v/>
      </c>
    </row>
    <row r="18">
      <c r="A18" s="18">
        <f>Hydrogramme!A11</f>
        <v/>
      </c>
      <c r="B18" s="18">
        <f>Hydrogramme!C11</f>
        <v/>
      </c>
      <c r="C18" s="18">
        <f>IF(F17&lt;=INDEX(Compose!$G$13:$G$64,1),INDEX(Compose!$A$13:$A$64,1),IF(F17&gt;=INDEX(Compose!$G$13:$G$64,ROWS(Compose!$G$13:$G$64)),INDEX(Compose!$A$13:$A$64,ROWS(Compose!$A$13:$A$64)),INDEX(Compose!$A$13:$A$64,MATCH(F17,Compose!$G$13:$G$64,1))+(F17-INDEX(Compose!$G$13:$G$64,MATCH(F17,Compose!$G$13:$G$64,1)))/(INDEX(Compose!$G$13:$G$64,MATCH(F17,Compose!$G$13:$G$64,1)+1)-INDEX(Compose!$G$13:$G$64,MATCH(F17,Compose!$G$13:$G$64,1)))*(INDEX(Compose!$A$13:$A$64,MATCH(F17,Compose!$G$13:$G$64,1)+1)-INDEX(Compose!$A$13:$A$64,MATCH(F17,Compose!$G$13:$G$64,1)))))</f>
        <v/>
      </c>
      <c r="D18" s="18">
        <f>IF(F17&lt;=0.01,MIN(0.5*(B17+B18),$B$4),IF(C18&lt;=INDEX(Compose!$A$13:$A$64,1),INDEX(Compose!$J$13:$J$64,1),IF(C18&gt;=INDEX(Compose!$A$13:$A$64,ROWS(Compose!$A$13:$A$64)),INDEX(Compose!$J$13:$J$64,ROWS(Compose!$J$13:$J$64)),INDEX(Compose!$J$13:$J$64,MATCH(C18,Compose!$A$13:$A$64,1))+(C18-INDEX(Compose!$A$13:$A$64,MATCH(C18,Compose!$A$13:$A$64,1)))/(INDEX(Compose!$A$13:$A$64,MATCH(C18,Compose!$A$13:$A$64,1)+1)-INDEX(Compose!$A$13:$A$64,MATCH(C18,Compose!$A$13:$A$64,1)))*(INDEX(Compose!$J$13:$J$64,MATCH(C18,Compose!$A$13:$A$64,1)+1)-INDEX(Compose!$J$13:$J$64,MATCH(C18,Compose!$A$13:$A$64,1))))))</f>
        <v/>
      </c>
      <c r="E18" s="17">
        <f>(A18-A17)*60</f>
        <v/>
      </c>
      <c r="F18" s="23">
        <f>MAX(0,F17+(0.5*(B17+B18)-D18)*E18)</f>
        <v/>
      </c>
      <c r="G18" s="18">
        <f>IF(C18&lt;=INDEX(Compose!$A$13:$A$64,1),INDEX(Compose!$H$13:$H$64,1),IF(C18&gt;=INDEX(Compose!$A$13:$A$64,ROWS(Compose!$A$13:$A$64)),INDEX(Compose!$H$13:$H$64,ROWS(Compose!$H$13:$H$64)),INDEX(Compose!$H$13:$H$64,MATCH(C18,Compose!$A$13:$A$64,1))+(C18-INDEX(Compose!$A$13:$A$64,MATCH(C18,Compose!$A$13:$A$64,1)))/(INDEX(Compose!$A$13:$A$64,MATCH(C18,Compose!$A$13:$A$64,1)+1)-INDEX(Compose!$A$13:$A$64,MATCH(C18,Compose!$A$13:$A$64,1)))*(INDEX(Compose!$H$13:$H$64,MATCH(C18,Compose!$A$13:$A$64,1)+1)-INDEX(Compose!$H$13:$H$64,MATCH(C18,Compose!$A$13:$A$64,1)))))</f>
        <v/>
      </c>
      <c r="H18" s="18">
        <f>IF(C18&lt;=INDEX(Compose!$A$13:$A$64,1),INDEX(Compose!$I$13:$I$64,1),IF(C18&gt;=INDEX(Compose!$A$13:$A$64,ROWS(Compose!$A$13:$A$64)),INDEX(Compose!$I$13:$I$64,ROWS(Compose!$I$13:$I$64)),INDEX(Compose!$I$13:$I$64,MATCH(C18,Compose!$A$13:$A$64,1))+(C18-INDEX(Compose!$A$13:$A$64,MATCH(C18,Compose!$A$13:$A$64,1)))/(INDEX(Compose!$A$13:$A$64,MATCH(C18,Compose!$A$13:$A$64,1)+1)-INDEX(Compose!$A$13:$A$64,MATCH(C18,Compose!$A$13:$A$64,1)))*(INDEX(Compose!$I$13:$I$64,MATCH(C18,Compose!$A$13:$A$64,1)+1)-INDEX(Compose!$I$13:$I$64,MATCH(C18,Compose!$A$13:$A$64,1)))))</f>
        <v/>
      </c>
      <c r="I18" s="22">
        <f>IF(C18&gt;$B$5,"oui","non")</f>
        <v/>
      </c>
    </row>
    <row r="19">
      <c r="A19" s="18">
        <f>Hydrogramme!A12</f>
        <v/>
      </c>
      <c r="B19" s="18">
        <f>Hydrogramme!C12</f>
        <v/>
      </c>
      <c r="C19" s="18">
        <f>IF(F18&lt;=INDEX(Compose!$G$13:$G$64,1),INDEX(Compose!$A$13:$A$64,1),IF(F18&gt;=INDEX(Compose!$G$13:$G$64,ROWS(Compose!$G$13:$G$64)),INDEX(Compose!$A$13:$A$64,ROWS(Compose!$A$13:$A$64)),INDEX(Compose!$A$13:$A$64,MATCH(F18,Compose!$G$13:$G$64,1))+(F18-INDEX(Compose!$G$13:$G$64,MATCH(F18,Compose!$G$13:$G$64,1)))/(INDEX(Compose!$G$13:$G$64,MATCH(F18,Compose!$G$13:$G$64,1)+1)-INDEX(Compose!$G$13:$G$64,MATCH(F18,Compose!$G$13:$G$64,1)))*(INDEX(Compose!$A$13:$A$64,MATCH(F18,Compose!$G$13:$G$64,1)+1)-INDEX(Compose!$A$13:$A$64,MATCH(F18,Compose!$G$13:$G$64,1)))))</f>
        <v/>
      </c>
      <c r="D19" s="18">
        <f>IF(F18&lt;=0.01,MIN(0.5*(B18+B19),$B$4),IF(C19&lt;=INDEX(Compose!$A$13:$A$64,1),INDEX(Compose!$J$13:$J$64,1),IF(C19&gt;=INDEX(Compose!$A$13:$A$64,ROWS(Compose!$A$13:$A$64)),INDEX(Compose!$J$13:$J$64,ROWS(Compose!$J$13:$J$64)),INDEX(Compose!$J$13:$J$64,MATCH(C19,Compose!$A$13:$A$64,1))+(C19-INDEX(Compose!$A$13:$A$64,MATCH(C19,Compose!$A$13:$A$64,1)))/(INDEX(Compose!$A$13:$A$64,MATCH(C19,Compose!$A$13:$A$64,1)+1)-INDEX(Compose!$A$13:$A$64,MATCH(C19,Compose!$A$13:$A$64,1)))*(INDEX(Compose!$J$13:$J$64,MATCH(C19,Compose!$A$13:$A$64,1)+1)-INDEX(Compose!$J$13:$J$64,MATCH(C19,Compose!$A$13:$A$64,1))))))</f>
        <v/>
      </c>
      <c r="E19" s="17">
        <f>(A19-A18)*60</f>
        <v/>
      </c>
      <c r="F19" s="23">
        <f>MAX(0,F18+(0.5*(B18+B19)-D19)*E19)</f>
        <v/>
      </c>
      <c r="G19" s="18">
        <f>IF(C19&lt;=INDEX(Compose!$A$13:$A$64,1),INDEX(Compose!$H$13:$H$64,1),IF(C19&gt;=INDEX(Compose!$A$13:$A$64,ROWS(Compose!$A$13:$A$64)),INDEX(Compose!$H$13:$H$64,ROWS(Compose!$H$13:$H$64)),INDEX(Compose!$H$13:$H$64,MATCH(C19,Compose!$A$13:$A$64,1))+(C19-INDEX(Compose!$A$13:$A$64,MATCH(C19,Compose!$A$13:$A$64,1)))/(INDEX(Compose!$A$13:$A$64,MATCH(C19,Compose!$A$13:$A$64,1)+1)-INDEX(Compose!$A$13:$A$64,MATCH(C19,Compose!$A$13:$A$64,1)))*(INDEX(Compose!$H$13:$H$64,MATCH(C19,Compose!$A$13:$A$64,1)+1)-INDEX(Compose!$H$13:$H$64,MATCH(C19,Compose!$A$13:$A$64,1)))))</f>
        <v/>
      </c>
      <c r="H19" s="18">
        <f>IF(C19&lt;=INDEX(Compose!$A$13:$A$64,1),INDEX(Compose!$I$13:$I$64,1),IF(C19&gt;=INDEX(Compose!$A$13:$A$64,ROWS(Compose!$A$13:$A$64)),INDEX(Compose!$I$13:$I$64,ROWS(Compose!$I$13:$I$64)),INDEX(Compose!$I$13:$I$64,MATCH(C19,Compose!$A$13:$A$64,1))+(C19-INDEX(Compose!$A$13:$A$64,MATCH(C19,Compose!$A$13:$A$64,1)))/(INDEX(Compose!$A$13:$A$64,MATCH(C19,Compose!$A$13:$A$64,1)+1)-INDEX(Compose!$A$13:$A$64,MATCH(C19,Compose!$A$13:$A$64,1)))*(INDEX(Compose!$I$13:$I$64,MATCH(C19,Compose!$A$13:$A$64,1)+1)-INDEX(Compose!$I$13:$I$64,MATCH(C19,Compose!$A$13:$A$64,1)))))</f>
        <v/>
      </c>
      <c r="I19" s="22">
        <f>IF(C19&gt;$B$5,"oui","non")</f>
        <v/>
      </c>
    </row>
    <row r="20">
      <c r="A20" s="18">
        <f>Hydrogramme!A13</f>
        <v/>
      </c>
      <c r="B20" s="18">
        <f>Hydrogramme!C13</f>
        <v/>
      </c>
      <c r="C20" s="18">
        <f>IF(F19&lt;=INDEX(Compose!$G$13:$G$64,1),INDEX(Compose!$A$13:$A$64,1),IF(F19&gt;=INDEX(Compose!$G$13:$G$64,ROWS(Compose!$G$13:$G$64)),INDEX(Compose!$A$13:$A$64,ROWS(Compose!$A$13:$A$64)),INDEX(Compose!$A$13:$A$64,MATCH(F19,Compose!$G$13:$G$64,1))+(F19-INDEX(Compose!$G$13:$G$64,MATCH(F19,Compose!$G$13:$G$64,1)))/(INDEX(Compose!$G$13:$G$64,MATCH(F19,Compose!$G$13:$G$64,1)+1)-INDEX(Compose!$G$13:$G$64,MATCH(F19,Compose!$G$13:$G$64,1)))*(INDEX(Compose!$A$13:$A$64,MATCH(F19,Compose!$G$13:$G$64,1)+1)-INDEX(Compose!$A$13:$A$64,MATCH(F19,Compose!$G$13:$G$64,1)))))</f>
        <v/>
      </c>
      <c r="D20" s="18">
        <f>IF(F19&lt;=0.01,MIN(0.5*(B19+B20),$B$4),IF(C20&lt;=INDEX(Compose!$A$13:$A$64,1),INDEX(Compose!$J$13:$J$64,1),IF(C20&gt;=INDEX(Compose!$A$13:$A$64,ROWS(Compose!$A$13:$A$64)),INDEX(Compose!$J$13:$J$64,ROWS(Compose!$J$13:$J$64)),INDEX(Compose!$J$13:$J$64,MATCH(C20,Compose!$A$13:$A$64,1))+(C20-INDEX(Compose!$A$13:$A$64,MATCH(C20,Compose!$A$13:$A$64,1)))/(INDEX(Compose!$A$13:$A$64,MATCH(C20,Compose!$A$13:$A$64,1)+1)-INDEX(Compose!$A$13:$A$64,MATCH(C20,Compose!$A$13:$A$64,1)))*(INDEX(Compose!$J$13:$J$64,MATCH(C20,Compose!$A$13:$A$64,1)+1)-INDEX(Compose!$J$13:$J$64,MATCH(C20,Compose!$A$13:$A$64,1))))))</f>
        <v/>
      </c>
      <c r="E20" s="17">
        <f>(A20-A19)*60</f>
        <v/>
      </c>
      <c r="F20" s="23">
        <f>MAX(0,F19+(0.5*(B19+B20)-D20)*E20)</f>
        <v/>
      </c>
      <c r="G20" s="18">
        <f>IF(C20&lt;=INDEX(Compose!$A$13:$A$64,1),INDEX(Compose!$H$13:$H$64,1),IF(C20&gt;=INDEX(Compose!$A$13:$A$64,ROWS(Compose!$A$13:$A$64)),INDEX(Compose!$H$13:$H$64,ROWS(Compose!$H$13:$H$64)),INDEX(Compose!$H$13:$H$64,MATCH(C20,Compose!$A$13:$A$64,1))+(C20-INDEX(Compose!$A$13:$A$64,MATCH(C20,Compose!$A$13:$A$64,1)))/(INDEX(Compose!$A$13:$A$64,MATCH(C20,Compose!$A$13:$A$64,1)+1)-INDEX(Compose!$A$13:$A$64,MATCH(C20,Compose!$A$13:$A$64,1)))*(INDEX(Compose!$H$13:$H$64,MATCH(C20,Compose!$A$13:$A$64,1)+1)-INDEX(Compose!$H$13:$H$64,MATCH(C20,Compose!$A$13:$A$64,1)))))</f>
        <v/>
      </c>
      <c r="H20" s="18">
        <f>IF(C20&lt;=INDEX(Compose!$A$13:$A$64,1),INDEX(Compose!$I$13:$I$64,1),IF(C20&gt;=INDEX(Compose!$A$13:$A$64,ROWS(Compose!$A$13:$A$64)),INDEX(Compose!$I$13:$I$64,ROWS(Compose!$I$13:$I$64)),INDEX(Compose!$I$13:$I$64,MATCH(C20,Compose!$A$13:$A$64,1))+(C20-INDEX(Compose!$A$13:$A$64,MATCH(C20,Compose!$A$13:$A$64,1)))/(INDEX(Compose!$A$13:$A$64,MATCH(C20,Compose!$A$13:$A$64,1)+1)-INDEX(Compose!$A$13:$A$64,MATCH(C20,Compose!$A$13:$A$64,1)))*(INDEX(Compose!$I$13:$I$64,MATCH(C20,Compose!$A$13:$A$64,1)+1)-INDEX(Compose!$I$13:$I$64,MATCH(C20,Compose!$A$13:$A$64,1)))))</f>
        <v/>
      </c>
      <c r="I20" s="22">
        <f>IF(C20&gt;$B$5,"oui","non")</f>
        <v/>
      </c>
    </row>
    <row r="21">
      <c r="A21" s="18">
        <f>Hydrogramme!A14</f>
        <v/>
      </c>
      <c r="B21" s="18">
        <f>Hydrogramme!C14</f>
        <v/>
      </c>
      <c r="C21" s="18">
        <f>IF(F20&lt;=INDEX(Compose!$G$13:$G$64,1),INDEX(Compose!$A$13:$A$64,1),IF(F20&gt;=INDEX(Compose!$G$13:$G$64,ROWS(Compose!$G$13:$G$64)),INDEX(Compose!$A$13:$A$64,ROWS(Compose!$A$13:$A$64)),INDEX(Compose!$A$13:$A$64,MATCH(F20,Compose!$G$13:$G$64,1))+(F20-INDEX(Compose!$G$13:$G$64,MATCH(F20,Compose!$G$13:$G$64,1)))/(INDEX(Compose!$G$13:$G$64,MATCH(F20,Compose!$G$13:$G$64,1)+1)-INDEX(Compose!$G$13:$G$64,MATCH(F20,Compose!$G$13:$G$64,1)))*(INDEX(Compose!$A$13:$A$64,MATCH(F20,Compose!$G$13:$G$64,1)+1)-INDEX(Compose!$A$13:$A$64,MATCH(F20,Compose!$G$13:$G$64,1)))))</f>
        <v/>
      </c>
      <c r="D21" s="18">
        <f>IF(F20&lt;=0.01,MIN(0.5*(B20+B21),$B$4),IF(C21&lt;=INDEX(Compose!$A$13:$A$64,1),INDEX(Compose!$J$13:$J$64,1),IF(C21&gt;=INDEX(Compose!$A$13:$A$64,ROWS(Compose!$A$13:$A$64)),INDEX(Compose!$J$13:$J$64,ROWS(Compose!$J$13:$J$64)),INDEX(Compose!$J$13:$J$64,MATCH(C21,Compose!$A$13:$A$64,1))+(C21-INDEX(Compose!$A$13:$A$64,MATCH(C21,Compose!$A$13:$A$64,1)))/(INDEX(Compose!$A$13:$A$64,MATCH(C21,Compose!$A$13:$A$64,1)+1)-INDEX(Compose!$A$13:$A$64,MATCH(C21,Compose!$A$13:$A$64,1)))*(INDEX(Compose!$J$13:$J$64,MATCH(C21,Compose!$A$13:$A$64,1)+1)-INDEX(Compose!$J$13:$J$64,MATCH(C21,Compose!$A$13:$A$64,1))))))</f>
        <v/>
      </c>
      <c r="E21" s="17">
        <f>(A21-A20)*60</f>
        <v/>
      </c>
      <c r="F21" s="23">
        <f>MAX(0,F20+(0.5*(B20+B21)-D21)*E21)</f>
        <v/>
      </c>
      <c r="G21" s="18">
        <f>IF(C21&lt;=INDEX(Compose!$A$13:$A$64,1),INDEX(Compose!$H$13:$H$64,1),IF(C21&gt;=INDEX(Compose!$A$13:$A$64,ROWS(Compose!$A$13:$A$64)),INDEX(Compose!$H$13:$H$64,ROWS(Compose!$H$13:$H$64)),INDEX(Compose!$H$13:$H$64,MATCH(C21,Compose!$A$13:$A$64,1))+(C21-INDEX(Compose!$A$13:$A$64,MATCH(C21,Compose!$A$13:$A$64,1)))/(INDEX(Compose!$A$13:$A$64,MATCH(C21,Compose!$A$13:$A$64,1)+1)-INDEX(Compose!$A$13:$A$64,MATCH(C21,Compose!$A$13:$A$64,1)))*(INDEX(Compose!$H$13:$H$64,MATCH(C21,Compose!$A$13:$A$64,1)+1)-INDEX(Compose!$H$13:$H$64,MATCH(C21,Compose!$A$13:$A$64,1)))))</f>
        <v/>
      </c>
      <c r="H21" s="18">
        <f>IF(C21&lt;=INDEX(Compose!$A$13:$A$64,1),INDEX(Compose!$I$13:$I$64,1),IF(C21&gt;=INDEX(Compose!$A$13:$A$64,ROWS(Compose!$A$13:$A$64)),INDEX(Compose!$I$13:$I$64,ROWS(Compose!$I$13:$I$64)),INDEX(Compose!$I$13:$I$64,MATCH(C21,Compose!$A$13:$A$64,1))+(C21-INDEX(Compose!$A$13:$A$64,MATCH(C21,Compose!$A$13:$A$64,1)))/(INDEX(Compose!$A$13:$A$64,MATCH(C21,Compose!$A$13:$A$64,1)+1)-INDEX(Compose!$A$13:$A$64,MATCH(C21,Compose!$A$13:$A$64,1)))*(INDEX(Compose!$I$13:$I$64,MATCH(C21,Compose!$A$13:$A$64,1)+1)-INDEX(Compose!$I$13:$I$64,MATCH(C21,Compose!$A$13:$A$64,1)))))</f>
        <v/>
      </c>
      <c r="I21" s="22">
        <f>IF(C21&gt;$B$5,"oui","non")</f>
        <v/>
      </c>
    </row>
    <row r="22">
      <c r="A22" s="18">
        <f>Hydrogramme!A15</f>
        <v/>
      </c>
      <c r="B22" s="18">
        <f>Hydrogramme!C15</f>
        <v/>
      </c>
      <c r="C22" s="18">
        <f>IF(F21&lt;=INDEX(Compose!$G$13:$G$64,1),INDEX(Compose!$A$13:$A$64,1),IF(F21&gt;=INDEX(Compose!$G$13:$G$64,ROWS(Compose!$G$13:$G$64)),INDEX(Compose!$A$13:$A$64,ROWS(Compose!$A$13:$A$64)),INDEX(Compose!$A$13:$A$64,MATCH(F21,Compose!$G$13:$G$64,1))+(F21-INDEX(Compose!$G$13:$G$64,MATCH(F21,Compose!$G$13:$G$64,1)))/(INDEX(Compose!$G$13:$G$64,MATCH(F21,Compose!$G$13:$G$64,1)+1)-INDEX(Compose!$G$13:$G$64,MATCH(F21,Compose!$G$13:$G$64,1)))*(INDEX(Compose!$A$13:$A$64,MATCH(F21,Compose!$G$13:$G$64,1)+1)-INDEX(Compose!$A$13:$A$64,MATCH(F21,Compose!$G$13:$G$64,1)))))</f>
        <v/>
      </c>
      <c r="D22" s="18">
        <f>IF(F21&lt;=0.01,MIN(0.5*(B21+B22),$B$4),IF(C22&lt;=INDEX(Compose!$A$13:$A$64,1),INDEX(Compose!$J$13:$J$64,1),IF(C22&gt;=INDEX(Compose!$A$13:$A$64,ROWS(Compose!$A$13:$A$64)),INDEX(Compose!$J$13:$J$64,ROWS(Compose!$J$13:$J$64)),INDEX(Compose!$J$13:$J$64,MATCH(C22,Compose!$A$13:$A$64,1))+(C22-INDEX(Compose!$A$13:$A$64,MATCH(C22,Compose!$A$13:$A$64,1)))/(INDEX(Compose!$A$13:$A$64,MATCH(C22,Compose!$A$13:$A$64,1)+1)-INDEX(Compose!$A$13:$A$64,MATCH(C22,Compose!$A$13:$A$64,1)))*(INDEX(Compose!$J$13:$J$64,MATCH(C22,Compose!$A$13:$A$64,1)+1)-INDEX(Compose!$J$13:$J$64,MATCH(C22,Compose!$A$13:$A$64,1))))))</f>
        <v/>
      </c>
      <c r="E22" s="17">
        <f>(A22-A21)*60</f>
        <v/>
      </c>
      <c r="F22" s="23">
        <f>MAX(0,F21+(0.5*(B21+B22)-D22)*E22)</f>
        <v/>
      </c>
      <c r="G22" s="18">
        <f>IF(C22&lt;=INDEX(Compose!$A$13:$A$64,1),INDEX(Compose!$H$13:$H$64,1),IF(C22&gt;=INDEX(Compose!$A$13:$A$64,ROWS(Compose!$A$13:$A$64)),INDEX(Compose!$H$13:$H$64,ROWS(Compose!$H$13:$H$64)),INDEX(Compose!$H$13:$H$64,MATCH(C22,Compose!$A$13:$A$64,1))+(C22-INDEX(Compose!$A$13:$A$64,MATCH(C22,Compose!$A$13:$A$64,1)))/(INDEX(Compose!$A$13:$A$64,MATCH(C22,Compose!$A$13:$A$64,1)+1)-INDEX(Compose!$A$13:$A$64,MATCH(C22,Compose!$A$13:$A$64,1)))*(INDEX(Compose!$H$13:$H$64,MATCH(C22,Compose!$A$13:$A$64,1)+1)-INDEX(Compose!$H$13:$H$64,MATCH(C22,Compose!$A$13:$A$64,1)))))</f>
        <v/>
      </c>
      <c r="H22" s="18">
        <f>IF(C22&lt;=INDEX(Compose!$A$13:$A$64,1),INDEX(Compose!$I$13:$I$64,1),IF(C22&gt;=INDEX(Compose!$A$13:$A$64,ROWS(Compose!$A$13:$A$64)),INDEX(Compose!$I$13:$I$64,ROWS(Compose!$I$13:$I$64)),INDEX(Compose!$I$13:$I$64,MATCH(C22,Compose!$A$13:$A$64,1))+(C22-INDEX(Compose!$A$13:$A$64,MATCH(C22,Compose!$A$13:$A$64,1)))/(INDEX(Compose!$A$13:$A$64,MATCH(C22,Compose!$A$13:$A$64,1)+1)-INDEX(Compose!$A$13:$A$64,MATCH(C22,Compose!$A$13:$A$64,1)))*(INDEX(Compose!$I$13:$I$64,MATCH(C22,Compose!$A$13:$A$64,1)+1)-INDEX(Compose!$I$13:$I$64,MATCH(C22,Compose!$A$13:$A$64,1)))))</f>
        <v/>
      </c>
      <c r="I22" s="22">
        <f>IF(C22&gt;$B$5,"oui","non")</f>
        <v/>
      </c>
    </row>
    <row r="23">
      <c r="A23" s="18">
        <f>Hydrogramme!A16</f>
        <v/>
      </c>
      <c r="B23" s="18">
        <f>Hydrogramme!C16</f>
        <v/>
      </c>
      <c r="C23" s="18">
        <f>IF(F22&lt;=INDEX(Compose!$G$13:$G$64,1),INDEX(Compose!$A$13:$A$64,1),IF(F22&gt;=INDEX(Compose!$G$13:$G$64,ROWS(Compose!$G$13:$G$64)),INDEX(Compose!$A$13:$A$64,ROWS(Compose!$A$13:$A$64)),INDEX(Compose!$A$13:$A$64,MATCH(F22,Compose!$G$13:$G$64,1))+(F22-INDEX(Compose!$G$13:$G$64,MATCH(F22,Compose!$G$13:$G$64,1)))/(INDEX(Compose!$G$13:$G$64,MATCH(F22,Compose!$G$13:$G$64,1)+1)-INDEX(Compose!$G$13:$G$64,MATCH(F22,Compose!$G$13:$G$64,1)))*(INDEX(Compose!$A$13:$A$64,MATCH(F22,Compose!$G$13:$G$64,1)+1)-INDEX(Compose!$A$13:$A$64,MATCH(F22,Compose!$G$13:$G$64,1)))))</f>
        <v/>
      </c>
      <c r="D23" s="18">
        <f>IF(F22&lt;=0.01,MIN(0.5*(B22+B23),$B$4),IF(C23&lt;=INDEX(Compose!$A$13:$A$64,1),INDEX(Compose!$J$13:$J$64,1),IF(C23&gt;=INDEX(Compose!$A$13:$A$64,ROWS(Compose!$A$13:$A$64)),INDEX(Compose!$J$13:$J$64,ROWS(Compose!$J$13:$J$64)),INDEX(Compose!$J$13:$J$64,MATCH(C23,Compose!$A$13:$A$64,1))+(C23-INDEX(Compose!$A$13:$A$64,MATCH(C23,Compose!$A$13:$A$64,1)))/(INDEX(Compose!$A$13:$A$64,MATCH(C23,Compose!$A$13:$A$64,1)+1)-INDEX(Compose!$A$13:$A$64,MATCH(C23,Compose!$A$13:$A$64,1)))*(INDEX(Compose!$J$13:$J$64,MATCH(C23,Compose!$A$13:$A$64,1)+1)-INDEX(Compose!$J$13:$J$64,MATCH(C23,Compose!$A$13:$A$64,1))))))</f>
        <v/>
      </c>
      <c r="E23" s="17">
        <f>(A23-A22)*60</f>
        <v/>
      </c>
      <c r="F23" s="23">
        <f>MAX(0,F22+(0.5*(B22+B23)-D23)*E23)</f>
        <v/>
      </c>
      <c r="G23" s="18">
        <f>IF(C23&lt;=INDEX(Compose!$A$13:$A$64,1),INDEX(Compose!$H$13:$H$64,1),IF(C23&gt;=INDEX(Compose!$A$13:$A$64,ROWS(Compose!$A$13:$A$64)),INDEX(Compose!$H$13:$H$64,ROWS(Compose!$H$13:$H$64)),INDEX(Compose!$H$13:$H$64,MATCH(C23,Compose!$A$13:$A$64,1))+(C23-INDEX(Compose!$A$13:$A$64,MATCH(C23,Compose!$A$13:$A$64,1)))/(INDEX(Compose!$A$13:$A$64,MATCH(C23,Compose!$A$13:$A$64,1)+1)-INDEX(Compose!$A$13:$A$64,MATCH(C23,Compose!$A$13:$A$64,1)))*(INDEX(Compose!$H$13:$H$64,MATCH(C23,Compose!$A$13:$A$64,1)+1)-INDEX(Compose!$H$13:$H$64,MATCH(C23,Compose!$A$13:$A$64,1)))))</f>
        <v/>
      </c>
      <c r="H23" s="18">
        <f>IF(C23&lt;=INDEX(Compose!$A$13:$A$64,1),INDEX(Compose!$I$13:$I$64,1),IF(C23&gt;=INDEX(Compose!$A$13:$A$64,ROWS(Compose!$A$13:$A$64)),INDEX(Compose!$I$13:$I$64,ROWS(Compose!$I$13:$I$64)),INDEX(Compose!$I$13:$I$64,MATCH(C23,Compose!$A$13:$A$64,1))+(C23-INDEX(Compose!$A$13:$A$64,MATCH(C23,Compose!$A$13:$A$64,1)))/(INDEX(Compose!$A$13:$A$64,MATCH(C23,Compose!$A$13:$A$64,1)+1)-INDEX(Compose!$A$13:$A$64,MATCH(C23,Compose!$A$13:$A$64,1)))*(INDEX(Compose!$I$13:$I$64,MATCH(C23,Compose!$A$13:$A$64,1)+1)-INDEX(Compose!$I$13:$I$64,MATCH(C23,Compose!$A$13:$A$64,1)))))</f>
        <v/>
      </c>
      <c r="I23" s="22">
        <f>IF(C23&gt;$B$5,"oui","non")</f>
        <v/>
      </c>
    </row>
    <row r="24">
      <c r="A24" s="18">
        <f>Hydrogramme!A17</f>
        <v/>
      </c>
      <c r="B24" s="18">
        <f>Hydrogramme!C17</f>
        <v/>
      </c>
      <c r="C24" s="18">
        <f>IF(F23&lt;=INDEX(Compose!$G$13:$G$64,1),INDEX(Compose!$A$13:$A$64,1),IF(F23&gt;=INDEX(Compose!$G$13:$G$64,ROWS(Compose!$G$13:$G$64)),INDEX(Compose!$A$13:$A$64,ROWS(Compose!$A$13:$A$64)),INDEX(Compose!$A$13:$A$64,MATCH(F23,Compose!$G$13:$G$64,1))+(F23-INDEX(Compose!$G$13:$G$64,MATCH(F23,Compose!$G$13:$G$64,1)))/(INDEX(Compose!$G$13:$G$64,MATCH(F23,Compose!$G$13:$G$64,1)+1)-INDEX(Compose!$G$13:$G$64,MATCH(F23,Compose!$G$13:$G$64,1)))*(INDEX(Compose!$A$13:$A$64,MATCH(F23,Compose!$G$13:$G$64,1)+1)-INDEX(Compose!$A$13:$A$64,MATCH(F23,Compose!$G$13:$G$64,1)))))</f>
        <v/>
      </c>
      <c r="D24" s="18">
        <f>IF(F23&lt;=0.01,MIN(0.5*(B23+B24),$B$4),IF(C24&lt;=INDEX(Compose!$A$13:$A$64,1),INDEX(Compose!$J$13:$J$64,1),IF(C24&gt;=INDEX(Compose!$A$13:$A$64,ROWS(Compose!$A$13:$A$64)),INDEX(Compose!$J$13:$J$64,ROWS(Compose!$J$13:$J$64)),INDEX(Compose!$J$13:$J$64,MATCH(C24,Compose!$A$13:$A$64,1))+(C24-INDEX(Compose!$A$13:$A$64,MATCH(C24,Compose!$A$13:$A$64,1)))/(INDEX(Compose!$A$13:$A$64,MATCH(C24,Compose!$A$13:$A$64,1)+1)-INDEX(Compose!$A$13:$A$64,MATCH(C24,Compose!$A$13:$A$64,1)))*(INDEX(Compose!$J$13:$J$64,MATCH(C24,Compose!$A$13:$A$64,1)+1)-INDEX(Compose!$J$13:$J$64,MATCH(C24,Compose!$A$13:$A$64,1))))))</f>
        <v/>
      </c>
      <c r="E24" s="17">
        <f>(A24-A23)*60</f>
        <v/>
      </c>
      <c r="F24" s="23">
        <f>MAX(0,F23+(0.5*(B23+B24)-D24)*E24)</f>
        <v/>
      </c>
      <c r="G24" s="18">
        <f>IF(C24&lt;=INDEX(Compose!$A$13:$A$64,1),INDEX(Compose!$H$13:$H$64,1),IF(C24&gt;=INDEX(Compose!$A$13:$A$64,ROWS(Compose!$A$13:$A$64)),INDEX(Compose!$H$13:$H$64,ROWS(Compose!$H$13:$H$64)),INDEX(Compose!$H$13:$H$64,MATCH(C24,Compose!$A$13:$A$64,1))+(C24-INDEX(Compose!$A$13:$A$64,MATCH(C24,Compose!$A$13:$A$64,1)))/(INDEX(Compose!$A$13:$A$64,MATCH(C24,Compose!$A$13:$A$64,1)+1)-INDEX(Compose!$A$13:$A$64,MATCH(C24,Compose!$A$13:$A$64,1)))*(INDEX(Compose!$H$13:$H$64,MATCH(C24,Compose!$A$13:$A$64,1)+1)-INDEX(Compose!$H$13:$H$64,MATCH(C24,Compose!$A$13:$A$64,1)))))</f>
        <v/>
      </c>
      <c r="H24" s="18">
        <f>IF(C24&lt;=INDEX(Compose!$A$13:$A$64,1),INDEX(Compose!$I$13:$I$64,1),IF(C24&gt;=INDEX(Compose!$A$13:$A$64,ROWS(Compose!$A$13:$A$64)),INDEX(Compose!$I$13:$I$64,ROWS(Compose!$I$13:$I$64)),INDEX(Compose!$I$13:$I$64,MATCH(C24,Compose!$A$13:$A$64,1))+(C24-INDEX(Compose!$A$13:$A$64,MATCH(C24,Compose!$A$13:$A$64,1)))/(INDEX(Compose!$A$13:$A$64,MATCH(C24,Compose!$A$13:$A$64,1)+1)-INDEX(Compose!$A$13:$A$64,MATCH(C24,Compose!$A$13:$A$64,1)))*(INDEX(Compose!$I$13:$I$64,MATCH(C24,Compose!$A$13:$A$64,1)+1)-INDEX(Compose!$I$13:$I$64,MATCH(C24,Compose!$A$13:$A$64,1)))))</f>
        <v/>
      </c>
      <c r="I24" s="22">
        <f>IF(C24&gt;$B$5,"oui","non")</f>
        <v/>
      </c>
    </row>
    <row r="25">
      <c r="A25" s="18">
        <f>Hydrogramme!A18</f>
        <v/>
      </c>
      <c r="B25" s="18">
        <f>Hydrogramme!C18</f>
        <v/>
      </c>
      <c r="C25" s="18">
        <f>IF(F24&lt;=INDEX(Compose!$G$13:$G$64,1),INDEX(Compose!$A$13:$A$64,1),IF(F24&gt;=INDEX(Compose!$G$13:$G$64,ROWS(Compose!$G$13:$G$64)),INDEX(Compose!$A$13:$A$64,ROWS(Compose!$A$13:$A$64)),INDEX(Compose!$A$13:$A$64,MATCH(F24,Compose!$G$13:$G$64,1))+(F24-INDEX(Compose!$G$13:$G$64,MATCH(F24,Compose!$G$13:$G$64,1)))/(INDEX(Compose!$G$13:$G$64,MATCH(F24,Compose!$G$13:$G$64,1)+1)-INDEX(Compose!$G$13:$G$64,MATCH(F24,Compose!$G$13:$G$64,1)))*(INDEX(Compose!$A$13:$A$64,MATCH(F24,Compose!$G$13:$G$64,1)+1)-INDEX(Compose!$A$13:$A$64,MATCH(F24,Compose!$G$13:$G$64,1)))))</f>
        <v/>
      </c>
      <c r="D25" s="18">
        <f>IF(F24&lt;=0.01,MIN(0.5*(B24+B25),$B$4),IF(C25&lt;=INDEX(Compose!$A$13:$A$64,1),INDEX(Compose!$J$13:$J$64,1),IF(C25&gt;=INDEX(Compose!$A$13:$A$64,ROWS(Compose!$A$13:$A$64)),INDEX(Compose!$J$13:$J$64,ROWS(Compose!$J$13:$J$64)),INDEX(Compose!$J$13:$J$64,MATCH(C25,Compose!$A$13:$A$64,1))+(C25-INDEX(Compose!$A$13:$A$64,MATCH(C25,Compose!$A$13:$A$64,1)))/(INDEX(Compose!$A$13:$A$64,MATCH(C25,Compose!$A$13:$A$64,1)+1)-INDEX(Compose!$A$13:$A$64,MATCH(C25,Compose!$A$13:$A$64,1)))*(INDEX(Compose!$J$13:$J$64,MATCH(C25,Compose!$A$13:$A$64,1)+1)-INDEX(Compose!$J$13:$J$64,MATCH(C25,Compose!$A$13:$A$64,1))))))</f>
        <v/>
      </c>
      <c r="E25" s="17">
        <f>(A25-A24)*60</f>
        <v/>
      </c>
      <c r="F25" s="23">
        <f>MAX(0,F24+(0.5*(B24+B25)-D25)*E25)</f>
        <v/>
      </c>
      <c r="G25" s="18">
        <f>IF(C25&lt;=INDEX(Compose!$A$13:$A$64,1),INDEX(Compose!$H$13:$H$64,1),IF(C25&gt;=INDEX(Compose!$A$13:$A$64,ROWS(Compose!$A$13:$A$64)),INDEX(Compose!$H$13:$H$64,ROWS(Compose!$H$13:$H$64)),INDEX(Compose!$H$13:$H$64,MATCH(C25,Compose!$A$13:$A$64,1))+(C25-INDEX(Compose!$A$13:$A$64,MATCH(C25,Compose!$A$13:$A$64,1)))/(INDEX(Compose!$A$13:$A$64,MATCH(C25,Compose!$A$13:$A$64,1)+1)-INDEX(Compose!$A$13:$A$64,MATCH(C25,Compose!$A$13:$A$64,1)))*(INDEX(Compose!$H$13:$H$64,MATCH(C25,Compose!$A$13:$A$64,1)+1)-INDEX(Compose!$H$13:$H$64,MATCH(C25,Compose!$A$13:$A$64,1)))))</f>
        <v/>
      </c>
      <c r="H25" s="18">
        <f>IF(C25&lt;=INDEX(Compose!$A$13:$A$64,1),INDEX(Compose!$I$13:$I$64,1),IF(C25&gt;=INDEX(Compose!$A$13:$A$64,ROWS(Compose!$A$13:$A$64)),INDEX(Compose!$I$13:$I$64,ROWS(Compose!$I$13:$I$64)),INDEX(Compose!$I$13:$I$64,MATCH(C25,Compose!$A$13:$A$64,1))+(C25-INDEX(Compose!$A$13:$A$64,MATCH(C25,Compose!$A$13:$A$64,1)))/(INDEX(Compose!$A$13:$A$64,MATCH(C25,Compose!$A$13:$A$64,1)+1)-INDEX(Compose!$A$13:$A$64,MATCH(C25,Compose!$A$13:$A$64,1)))*(INDEX(Compose!$I$13:$I$64,MATCH(C25,Compose!$A$13:$A$64,1)+1)-INDEX(Compose!$I$13:$I$64,MATCH(C25,Compose!$A$13:$A$64,1)))))</f>
        <v/>
      </c>
      <c r="I25" s="22">
        <f>IF(C25&gt;$B$5,"oui","non")</f>
        <v/>
      </c>
    </row>
    <row r="26">
      <c r="A26" s="18">
        <f>Hydrogramme!A19</f>
        <v/>
      </c>
      <c r="B26" s="18">
        <f>Hydrogramme!C19</f>
        <v/>
      </c>
      <c r="C26" s="18">
        <f>IF(F25&lt;=INDEX(Compose!$G$13:$G$64,1),INDEX(Compose!$A$13:$A$64,1),IF(F25&gt;=INDEX(Compose!$G$13:$G$64,ROWS(Compose!$G$13:$G$64)),INDEX(Compose!$A$13:$A$64,ROWS(Compose!$A$13:$A$64)),INDEX(Compose!$A$13:$A$64,MATCH(F25,Compose!$G$13:$G$64,1))+(F25-INDEX(Compose!$G$13:$G$64,MATCH(F25,Compose!$G$13:$G$64,1)))/(INDEX(Compose!$G$13:$G$64,MATCH(F25,Compose!$G$13:$G$64,1)+1)-INDEX(Compose!$G$13:$G$64,MATCH(F25,Compose!$G$13:$G$64,1)))*(INDEX(Compose!$A$13:$A$64,MATCH(F25,Compose!$G$13:$G$64,1)+1)-INDEX(Compose!$A$13:$A$64,MATCH(F25,Compose!$G$13:$G$64,1)))))</f>
        <v/>
      </c>
      <c r="D26" s="18">
        <f>IF(F25&lt;=0.01,MIN(0.5*(B25+B26),$B$4),IF(C26&lt;=INDEX(Compose!$A$13:$A$64,1),INDEX(Compose!$J$13:$J$64,1),IF(C26&gt;=INDEX(Compose!$A$13:$A$64,ROWS(Compose!$A$13:$A$64)),INDEX(Compose!$J$13:$J$64,ROWS(Compose!$J$13:$J$64)),INDEX(Compose!$J$13:$J$64,MATCH(C26,Compose!$A$13:$A$64,1))+(C26-INDEX(Compose!$A$13:$A$64,MATCH(C26,Compose!$A$13:$A$64,1)))/(INDEX(Compose!$A$13:$A$64,MATCH(C26,Compose!$A$13:$A$64,1)+1)-INDEX(Compose!$A$13:$A$64,MATCH(C26,Compose!$A$13:$A$64,1)))*(INDEX(Compose!$J$13:$J$64,MATCH(C26,Compose!$A$13:$A$64,1)+1)-INDEX(Compose!$J$13:$J$64,MATCH(C26,Compose!$A$13:$A$64,1))))))</f>
        <v/>
      </c>
      <c r="E26" s="17">
        <f>(A26-A25)*60</f>
        <v/>
      </c>
      <c r="F26" s="23">
        <f>MAX(0,F25+(0.5*(B25+B26)-D26)*E26)</f>
        <v/>
      </c>
      <c r="G26" s="18">
        <f>IF(C26&lt;=INDEX(Compose!$A$13:$A$64,1),INDEX(Compose!$H$13:$H$64,1),IF(C26&gt;=INDEX(Compose!$A$13:$A$64,ROWS(Compose!$A$13:$A$64)),INDEX(Compose!$H$13:$H$64,ROWS(Compose!$H$13:$H$64)),INDEX(Compose!$H$13:$H$64,MATCH(C26,Compose!$A$13:$A$64,1))+(C26-INDEX(Compose!$A$13:$A$64,MATCH(C26,Compose!$A$13:$A$64,1)))/(INDEX(Compose!$A$13:$A$64,MATCH(C26,Compose!$A$13:$A$64,1)+1)-INDEX(Compose!$A$13:$A$64,MATCH(C26,Compose!$A$13:$A$64,1)))*(INDEX(Compose!$H$13:$H$64,MATCH(C26,Compose!$A$13:$A$64,1)+1)-INDEX(Compose!$H$13:$H$64,MATCH(C26,Compose!$A$13:$A$64,1)))))</f>
        <v/>
      </c>
      <c r="H26" s="18">
        <f>IF(C26&lt;=INDEX(Compose!$A$13:$A$64,1),INDEX(Compose!$I$13:$I$64,1),IF(C26&gt;=INDEX(Compose!$A$13:$A$64,ROWS(Compose!$A$13:$A$64)),INDEX(Compose!$I$13:$I$64,ROWS(Compose!$I$13:$I$64)),INDEX(Compose!$I$13:$I$64,MATCH(C26,Compose!$A$13:$A$64,1))+(C26-INDEX(Compose!$A$13:$A$64,MATCH(C26,Compose!$A$13:$A$64,1)))/(INDEX(Compose!$A$13:$A$64,MATCH(C26,Compose!$A$13:$A$64,1)+1)-INDEX(Compose!$A$13:$A$64,MATCH(C26,Compose!$A$13:$A$64,1)))*(INDEX(Compose!$I$13:$I$64,MATCH(C26,Compose!$A$13:$A$64,1)+1)-INDEX(Compose!$I$13:$I$64,MATCH(C26,Compose!$A$13:$A$64,1)))))</f>
        <v/>
      </c>
      <c r="I26" s="22">
        <f>IF(C26&gt;$B$5,"oui","non")</f>
        <v/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1" t="inlineStr">
        <is>
          <t>FILE 1 — Methode (Idee 1 seule)</t>
        </is>
      </c>
    </row>
    <row r="2">
      <c r="A2" t="inlineStr"/>
    </row>
    <row r="3">
      <c r="A3" t="inlineStr">
        <is>
          <t>Objectif: modeliser la retention amont du Ø1200 AVEC overflow fosse trapèze.</t>
        </is>
      </c>
    </row>
    <row r="4">
      <c r="A4" t="inlineStr"/>
    </row>
    <row r="5">
      <c r="A5" t="inlineStr">
        <is>
          <t>Qout(WSE) = Q_1200(WSE) + Q_overflow(WSE)</t>
        </is>
      </c>
    </row>
    <row r="6">
      <c r="A6" t="inlineStr">
        <is>
          <t xml:space="preserve">  • Q_1200 depuis Courbe_QH_1200 (FHWA)</t>
        </is>
      </c>
    </row>
    <row r="7">
      <c r="A7" t="inlineStr">
        <is>
          <t xml:space="preserve">  • Q_overflow = 0 si WSE &lt; crest; sinon Manning trapèze (b, n, z, S, L)</t>
        </is>
      </c>
    </row>
    <row r="8">
      <c r="A8" t="inlineStr"/>
    </row>
    <row r="9">
      <c r="A9" t="inlineStr">
        <is>
          <t>V(WSE) = V_pond(Stage_Storage) + V_ditch (A_trapèze × L)</t>
        </is>
      </c>
    </row>
    <row r="10">
      <c r="A10" t="inlineStr"/>
    </row>
    <row r="11">
      <c r="A11" t="inlineStr">
        <is>
          <t>Resultats cles (Parametres):</t>
        </is>
      </c>
    </row>
    <row r="12">
      <c r="A12" t="inlineStr">
        <is>
          <t xml:space="preserve">  • WSEmax = niveau max retenu a l'entree du Ø1200</t>
        </is>
      </c>
    </row>
    <row r="13">
      <c r="A13" t="inlineStr">
        <is>
          <t xml:space="preserve">  • Q_down max = pointe aval = pipe + overflow</t>
        </is>
      </c>
    </row>
    <row r="14">
      <c r="A14" t="inlineStr">
        <is>
          <t xml:space="preserve">  • Split Q_1200 / Q_overflow a cette pointe</t>
        </is>
      </c>
    </row>
    <row r="15">
      <c r="A15" t="inlineStr"/>
    </row>
    <row r="16">
      <c r="A16" t="inlineStr">
        <is>
          <t>Fichiers suivants (separes, pas encore dans ce classeur):</t>
        </is>
      </c>
    </row>
    <row r="17">
      <c r="A17" t="inlineStr">
        <is>
          <t xml:space="preserve">  File 2 = comparaison pipe-only vs composite</t>
        </is>
      </c>
    </row>
    <row r="18">
      <c r="A18" t="inlineStr">
        <is>
          <t xml:space="preserve">  File 3 = series temporelles detaillees (Idee 4)</t>
        </is>
      </c>
    </row>
    <row r="19">
      <c r="A19" t="inlineStr">
        <is>
          <t xml:space="preserve">  File 4 = sensibilite crest (Idee 5)</t>
        </is>
      </c>
    </row>
    <row r="20">
      <c r="A20" t="inlineStr"/>
    </row>
    <row r="21">
      <c r="A21" t="inlineStr">
        <is>
          <t>Regenerer: python3 build_retention_file1_composite.py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2026-09-20T03:58:22Z</dcterms:created>
  <dcterms:modified xsi:type="dcterms:W3CDTF">2026-09-20T03:58:22Z</dcterms:modified>
</cp:coreProperties>
</file>