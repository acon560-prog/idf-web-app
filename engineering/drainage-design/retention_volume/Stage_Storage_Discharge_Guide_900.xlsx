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RT_HERE" sheetId="1" state="visible" r:id="rId1"/>
    <sheet name="2_PLAIN_WORDS" sheetId="2" state="visible" r:id="rId2"/>
    <sheet name="3_STAGE_DISCHARGE" sheetId="3" state="visible" r:id="rId3"/>
    <sheet name="4_STAGE_STORAGE" sheetId="4" state="visible" r:id="rId4"/>
    <sheet name="5_THE_LINK" sheetId="5" state="visible" r:id="rId5"/>
    <sheet name="6_ROUTING_IDEA" sheetId="6" state="visible" r:id="rId6"/>
    <sheet name="7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59D"/>
      </patternFill>
    </fill>
    <fill>
      <patternFill patternType="solid">
        <fgColor rgb="00D1FAE5"/>
      </patternFill>
    </fill>
    <fill>
      <patternFill patternType="solid">
        <fgColor rgb="000F5C5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2" fontId="0" fillId="4" borderId="0" pivotButton="0" quotePrefix="0" xfId="0"/>
    <xf numFmtId="0" fontId="3" fillId="5" borderId="1" applyAlignment="1" pivotButton="0" quotePrefix="0" xfId="0">
      <alignment vertical="center" wrapText="1"/>
    </xf>
    <xf numFmtId="2" fontId="0" fillId="0" borderId="1" pivotButton="0" quotePrefix="0" xfId="0"/>
    <xf numFmtId="2" fontId="0" fillId="3" borderId="1" pivotButton="0" quotePrefix="0" xfId="0"/>
    <xf numFmtId="0" fontId="0" fillId="0" borderId="1" pivotButton="0" quotePrefix="0" xfId="0"/>
    <xf numFmtId="2" fontId="0" fillId="6" borderId="1" pivotButton="0" quotePrefix="0" xfId="0"/>
    <xf numFmtId="2" fontId="0" fillId="2" borderId="1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6" borderId="1" pivotButton="0" quotePrefix="0" xfId="0"/>
    <xf numFmtId="0" fontId="0" fillId="6" borderId="1" pivotButton="0" quotePrefix="0" xfId="0"/>
    <xf numFmtId="1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Ø900 stage–discharge Q(WSE)</a:t>
            </a:r>
          </a:p>
        </rich>
      </tx>
    </title>
    <plotArea>
      <lineChart>
        <grouping val="standard"/>
        <ser>
          <idx val="0"/>
          <order val="0"/>
          <tx>
            <strRef>
              <f>'3_STAGE_DISCHARGE'!D14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'3_STAGE_DISCHARGE'!$A$15:$A$23</f>
            </numRef>
          </cat>
          <val>
            <numRef>
              <f>'3_STAGE_DISCHARGE'!$D$15:$D$23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Qout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Stage–storage V(WSE)</a:t>
            </a:r>
          </a:p>
        </rich>
      </tx>
    </title>
    <plotArea>
      <lineChart>
        <grouping val="standard"/>
        <ser>
          <idx val="0"/>
          <order val="0"/>
          <tx>
            <strRef>
              <f>'4_STAGE_STORAGE'!E10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'4_STAGE_STORAGE'!$A$11:$A$18</f>
            </numRef>
          </cat>
          <val>
            <numRef>
              <f>'4_STAGE_STORAGE'!$E$11:$E$18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 vs WSE (from survey)</a:t>
            </a:r>
          </a:p>
        </rich>
      </tx>
    </title>
    <plotArea>
      <lineChart>
        <grouping val="standard"/>
        <ser>
          <idx val="0"/>
          <order val="0"/>
          <tx>
            <strRef>
              <f>'5_THE_LINK'!B5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'5_THE_LINK'!$A$6:$A$13</f>
            </numRef>
          </cat>
          <val>
            <numRef>
              <f>'5_THE_LINK'!$B$6:$B$13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vs WSE (culvert)</a:t>
            </a:r>
          </a:p>
        </rich>
      </tx>
    </title>
    <plotArea>
      <lineChart>
        <grouping val="standard"/>
        <ser>
          <idx val="0"/>
          <order val="0"/>
          <tx>
            <strRef>
              <f>'5_THE_LINK'!C5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'5_THE_LINK'!$A$6:$A$13</f>
            </numRef>
          </cat>
          <val>
            <numRef>
              <f>'5_THE_LINK'!$C$6:$C$13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flowrate links to stage–storage (Ø900 retention)</t>
        </is>
      </c>
    </row>
    <row r="2">
      <c r="A2" t="inlineStr"/>
    </row>
    <row r="3">
      <c r="A3" s="2" t="inlineStr">
        <is>
          <t>WHAT YOUR BOSS ASKED</t>
        </is>
      </c>
    </row>
    <row r="4">
      <c r="A4" t="inlineStr">
        <is>
          <t>He delineated a flood limit at about the water level where the Ø900 can pass 2.4 m³/s</t>
        </is>
      </c>
    </row>
    <row r="5">
      <c r="A5" t="inlineStr">
        <is>
          <t>(water 1.5 m above the pipe crown). He wants you to CONNECT:</t>
        </is>
      </c>
    </row>
    <row r="6">
      <c r="A6" t="inlineStr">
        <is>
          <t xml:space="preserve">  • how much water is stored on the ground at that level (VOLUME from survey), and</t>
        </is>
      </c>
    </row>
    <row r="7">
      <c r="A7" t="inlineStr">
        <is>
          <t xml:space="preserve">  • how much the culvert can discharge at that same level (FLOWRATE).</t>
        </is>
      </c>
    </row>
    <row r="8">
      <c r="A8" t="inlineStr"/>
    </row>
    <row r="9">
      <c r="A9" s="2" t="inlineStr">
        <is>
          <t>THE ONE RULE</t>
        </is>
      </c>
    </row>
    <row r="10">
      <c r="A10" t="inlineStr">
        <is>
          <t>Always use the SAME water surface elevation (WSE) for both:</t>
        </is>
      </c>
    </row>
    <row r="11">
      <c r="A11" t="inlineStr">
        <is>
          <t xml:space="preserve">  WSE → Qout from the culvert     (stage–discharge)</t>
        </is>
      </c>
    </row>
    <row r="12">
      <c r="A12" t="inlineStr">
        <is>
          <t xml:space="preserve">  WSE → Area → Volume from topo   (stage–storage)</t>
        </is>
      </c>
    </row>
    <row r="13">
      <c r="A13" t="inlineStr">
        <is>
          <t>Same WSE = the link. Do not pick 39.5 m for Q=2.4 if Q=2.4 belongs to 37.28 m.</t>
        </is>
      </c>
    </row>
    <row r="14">
      <c r="A14" t="inlineStr"/>
    </row>
    <row r="15">
      <c r="A15" s="2" t="inlineStr">
        <is>
          <t>YOUR SITE NUMBERS (Ø900)</t>
        </is>
      </c>
    </row>
    <row r="16">
      <c r="A16" t="inlineStr">
        <is>
          <t xml:space="preserve">  Invert upstream          = 34.88 m</t>
        </is>
      </c>
    </row>
    <row r="17">
      <c r="A17" t="inlineStr">
        <is>
          <t xml:space="preserve">  Diameter D               = 0.90 m</t>
        </is>
      </c>
    </row>
    <row r="18">
      <c r="A18" t="inlineStr">
        <is>
          <t xml:space="preserve">  Crown                    = 34.88 + 0.90 = 35.78 m</t>
        </is>
      </c>
    </row>
    <row r="19">
      <c r="A19" t="inlineStr">
        <is>
          <t xml:space="preserve">  +1.5 m above crown       = 35.78 + 1.50 = 37.28 m   ← boss design stage</t>
        </is>
      </c>
    </row>
    <row r="20">
      <c r="A20" t="inlineStr">
        <is>
          <t xml:space="preserve">  Q at 'normal' head       ≈ 1.0 m³/s</t>
        </is>
      </c>
    </row>
    <row r="21">
      <c r="A21" t="inlineStr">
        <is>
          <t xml:space="preserve">  Q at 37.28 m             = 2.4 m³/s</t>
        </is>
      </c>
    </row>
    <row r="22">
      <c r="A22" t="inlineStr">
        <is>
          <t xml:space="preserve">  Ø1500 upstream capacity  ≈ 9.6 m³/s (inflow can be larger than Ø900)</t>
        </is>
      </c>
    </row>
    <row r="23">
      <c r="A23" t="inlineStr">
        <is>
          <t xml:space="preserve">  Ø1200 downstream         ≈ 4.93 m³/s (does NOT increase outlet of the pond)</t>
        </is>
      </c>
    </row>
    <row r="24">
      <c r="A24" t="inlineStr"/>
    </row>
    <row r="25">
      <c r="A25" s="2" t="inlineStr">
        <is>
          <t>WHY NOT 39.5 m OR 40 m?</t>
        </is>
      </c>
    </row>
    <row r="26">
      <c r="A26" t="inlineStr">
        <is>
          <t>Those contours are higher than the head that defines Q = 2.4 m³/s.</t>
        </is>
      </c>
    </row>
    <row r="27">
      <c r="A27" t="inlineStr">
        <is>
          <t>Use them only if you study a worse flood that actually reaches that high.</t>
        </is>
      </c>
    </row>
    <row r="28">
      <c r="A28" t="inlineStr">
        <is>
          <t>For the '+1.5 m above crown' story, the matching level is 37.28 m.</t>
        </is>
      </c>
    </row>
    <row r="29">
      <c r="A29" t="inlineStr"/>
    </row>
    <row r="30">
      <c r="A30" s="2" t="inlineStr">
        <is>
          <t>SHEETS IN THIS FILE (read in order)</t>
        </is>
      </c>
    </row>
    <row r="31">
      <c r="A31" t="inlineStr">
        <is>
          <t xml:space="preserve">  2_PLAIN_WORDS     — analogy tank + drain (no formulas stress)</t>
        </is>
      </c>
    </row>
    <row r="32">
      <c r="A32" t="inlineStr">
        <is>
          <t xml:space="preserve">  3_STAGE_DISCHARGE — water level → flowrate Q of the Ø900</t>
        </is>
      </c>
    </row>
    <row r="33">
      <c r="A33" t="inlineStr">
        <is>
          <t xml:space="preserve">  4_STAGE_STORAGE   — water level → area → volume V (edit yellow areas)</t>
        </is>
      </c>
    </row>
    <row r="34">
      <c r="A34" t="inlineStr">
        <is>
          <t xml:space="preserve">  5_THE_LINK        — put Q and V on the SAME rows (the table your boss wants)</t>
        </is>
      </c>
    </row>
    <row r="35">
      <c r="A35" t="inlineStr">
        <is>
          <t xml:space="preserve">  6_ROUTING_IDEA    — how the hydrograph uses that table over time</t>
        </is>
      </c>
    </row>
    <row r="36">
      <c r="A36" t="inlineStr">
        <is>
          <t xml:space="preserve">  7_CHECKLIST       — what to measure / deliver</t>
        </is>
      </c>
    </row>
    <row r="37">
      <c r="A37" t="inlineStr"/>
    </row>
    <row r="38">
      <c r="A38" t="inlineStr">
        <is>
          <t>Yellow cells = you may edit. Green = results. Orange = boss design stage.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Plain-words picture (read this if formulas feel abstract)</t>
        </is>
      </c>
    </row>
    <row r="2">
      <c r="A2" t="inlineStr"/>
    </row>
    <row r="3">
      <c r="A3" t="inlineStr">
        <is>
          <t>Imagine a bathtub (the low ground around the Ø900) with a drain (the Ø900 culvert).</t>
        </is>
      </c>
    </row>
    <row r="4">
      <c r="A4" t="inlineStr"/>
    </row>
    <row r="5">
      <c r="A5" t="inlineStr">
        <is>
          <t>1) STAGE = how high the water is in the tub (WSE in metres).</t>
        </is>
      </c>
    </row>
    <row r="6">
      <c r="A6" t="inlineStr">
        <is>
          <t>2) The higher the water, the more pressure on the drain → the drain passes MORE flow.</t>
        </is>
      </c>
    </row>
    <row r="7">
      <c r="A7" t="inlineStr">
        <is>
          <t xml:space="preserve">   That is stage–discharge:  Q = f(WSE).</t>
        </is>
      </c>
    </row>
    <row r="8">
      <c r="A8" t="inlineStr">
        <is>
          <t>3) The higher the water, the more of the landscape is flooded → more VOLUME stored.</t>
        </is>
      </c>
    </row>
    <row r="9">
      <c r="A9" t="inlineStr">
        <is>
          <t xml:space="preserve">   That is stage–storage:    V = f(WSE).</t>
        </is>
      </c>
    </row>
    <row r="10">
      <c r="A10" t="inlineStr"/>
    </row>
    <row r="11">
      <c r="A11" s="2" t="inlineStr">
        <is>
          <t>LINK:</t>
        </is>
      </c>
    </row>
    <row r="12">
      <c r="A12" t="inlineStr">
        <is>
          <t>When the water sits at ONE chosen stage (example: 37.28 m), BOTH are true at once:</t>
        </is>
      </c>
    </row>
    <row r="13">
      <c r="A13" t="inlineStr">
        <is>
          <t xml:space="preserve">  • the map shows a certain flooded area / volume V(37.28)</t>
        </is>
      </c>
    </row>
    <row r="14">
      <c r="A14" t="inlineStr">
        <is>
          <t xml:space="preserve">  • the culvert can pass Q(37.28) = 2.4 m³/s</t>
        </is>
      </c>
    </row>
    <row r="15">
      <c r="A15" t="inlineStr">
        <is>
          <t>You are not choosing volume from 39.5 m and flow from 37.28 m. Same stage for both.</t>
        </is>
      </c>
    </row>
    <row r="16">
      <c r="A16" t="inlineStr"/>
    </row>
    <row r="17">
      <c r="A17" s="2" t="inlineStr">
        <is>
          <t>DURING A STORM:</t>
        </is>
      </c>
    </row>
    <row r="18">
      <c r="A18" t="inlineStr">
        <is>
          <t xml:space="preserve">  Inflow from upstream (through Ø1500) often exceeds what the Ø900 can pass.</t>
        </is>
      </c>
    </row>
    <row r="19">
      <c r="A19" t="inlineStr">
        <is>
          <t xml:space="preserve">  Extra water piles up → WSE rises → V increases → Qout also increases a bit.</t>
        </is>
      </c>
    </row>
    <row r="20">
      <c r="A20" t="inlineStr">
        <is>
          <t xml:space="preserve">  Peak storage is the highest V (and WSE) during the storm.</t>
        </is>
      </c>
    </row>
    <row r="21">
      <c r="A21" t="inlineStr">
        <is>
          <t xml:space="preserve">  Your boss's 37.28 m line is a CHECK: does the storm peak stay at or below that?</t>
        </is>
      </c>
    </row>
    <row r="22">
      <c r="A22" t="inlineStr"/>
    </row>
    <row r="23">
      <c r="A23" t="inlineStr">
        <is>
          <t>Ø1200 downstream is like a larger pipe AFTER the drain. It cannot pull more water</t>
        </is>
      </c>
    </row>
    <row r="24">
      <c r="A24" t="inlineStr">
        <is>
          <t>through the Ø900 than the Ø900 itself will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55" customWidth="1" min="5" max="5"/>
  </cols>
  <sheetData>
    <row r="1">
      <c r="A1" s="1" t="inlineStr">
        <is>
          <t>Stage–discharge: Q = f(WSE) for the Ø900</t>
        </is>
      </c>
    </row>
    <row r="2">
      <c r="A2" s="3" t="inlineStr">
        <is>
          <t>This table answers: IF the water surface is at this elevation, how much can the Ø900 discharge? Two office points are fixed: ~1.0 m³/s at lower head, and 2.4 m³/s at 37.28 m. In-between values are linear placeholders until you refine with HY-8/FHWA.</t>
        </is>
      </c>
    </row>
    <row r="3"/>
    <row r="5">
      <c r="A5" t="inlineStr">
        <is>
          <t>Invert US (m)</t>
        </is>
      </c>
      <c r="B5" s="4" t="n">
        <v>34.88</v>
      </c>
    </row>
    <row r="6">
      <c r="A6" t="inlineStr">
        <is>
          <t>D (m)</t>
        </is>
      </c>
      <c r="B6" s="4" t="n">
        <v>0.9</v>
      </c>
    </row>
    <row r="7">
      <c r="A7" t="inlineStr">
        <is>
          <t>Crown (m) = Invert + D</t>
        </is>
      </c>
      <c r="B7" s="5">
        <f>B5+B6</f>
        <v/>
      </c>
    </row>
    <row r="8">
      <c r="A8" t="inlineStr">
        <is>
          <t>Head above crown for Q=2.4 (m)</t>
        </is>
      </c>
      <c r="B8" s="4" t="n">
        <v>1.5</v>
      </c>
    </row>
    <row r="9">
      <c r="A9" t="inlineStr">
        <is>
          <t>WSE at Q=2.4 (m)</t>
        </is>
      </c>
      <c r="B9" s="5">
        <f>B7+B8</f>
        <v/>
      </c>
      <c r="C9" t="inlineStr">
        <is>
          <t>← this must match the topo contour you delineate for the 2.4 m³/s story</t>
        </is>
      </c>
    </row>
    <row r="11">
      <c r="A11" t="inlineStr">
        <is>
          <t>Q_normal (m³/s)</t>
        </is>
      </c>
      <c r="B11" s="4" t="n">
        <v>1</v>
      </c>
    </row>
    <row r="12">
      <c r="A12" t="inlineStr">
        <is>
          <t>Q_at_boss_stage (m³/s)</t>
        </is>
      </c>
      <c r="B12" s="4" t="n">
        <v>2.4</v>
      </c>
    </row>
    <row r="14">
      <c r="A14" s="6" t="inlineStr">
        <is>
          <t>WSE (m)</t>
        </is>
      </c>
      <c r="B14" s="6" t="inlineStr">
        <is>
          <t>Head above invert H (m)</t>
        </is>
      </c>
      <c r="C14" s="6" t="inlineStr">
        <is>
          <t>Head above crown (m)</t>
        </is>
      </c>
      <c r="D14" s="6" t="inlineStr">
        <is>
          <t>Qout (m³/s)</t>
        </is>
      </c>
      <c r="E14" s="6" t="inlineStr">
        <is>
          <t>Comment</t>
        </is>
      </c>
    </row>
    <row r="15">
      <c r="A15" s="7" t="n">
        <v>34.88</v>
      </c>
      <c r="B15" s="7">
        <f>A15-$B$5</f>
        <v/>
      </c>
      <c r="C15" s="7">
        <f>A15-$B$7</f>
        <v/>
      </c>
      <c r="D15" s="8">
        <f>0</f>
        <v/>
      </c>
      <c r="E15" s="9" t="inlineStr">
        <is>
          <t>Dry / no ponding</t>
        </is>
      </c>
    </row>
    <row r="16">
      <c r="A16" s="7" t="n">
        <v>35.5</v>
      </c>
      <c r="B16" s="7">
        <f>A16-$B$5</f>
        <v/>
      </c>
      <c r="C16" s="7">
        <f>A16-$B$7</f>
        <v/>
      </c>
      <c r="D16" s="8">
        <f>$B$11*(A16-$B$5)/$B$6</f>
        <v/>
      </c>
      <c r="E16" s="9" t="inlineStr">
        <is>
          <t>Filling toward full pipe (simplified)</t>
        </is>
      </c>
    </row>
    <row r="17">
      <c r="A17" s="7" t="n">
        <v>35.78</v>
      </c>
      <c r="B17" s="7">
        <f>A17-$B$5</f>
        <v/>
      </c>
      <c r="C17" s="7">
        <f>A17-$B$7</f>
        <v/>
      </c>
      <c r="D17" s="8">
        <f>$B$11+($B$12-$B$11)*(A17-$B$7)/($B$9-$B$7)</f>
        <v/>
      </c>
      <c r="E17" s="9" t="inlineStr">
        <is>
          <t>Between crown and boss stage (linear placeholder)</t>
        </is>
      </c>
    </row>
    <row r="18">
      <c r="A18" s="7" t="n">
        <v>36</v>
      </c>
      <c r="B18" s="7">
        <f>A18-$B$5</f>
        <v/>
      </c>
      <c r="C18" s="7">
        <f>A18-$B$7</f>
        <v/>
      </c>
      <c r="D18" s="8">
        <f>$B$11+($B$12-$B$11)*(A18-$B$7)/($B$9-$B$7)</f>
        <v/>
      </c>
      <c r="E18" s="9" t="inlineStr">
        <is>
          <t>Between crown and boss stage (linear placeholder)</t>
        </is>
      </c>
    </row>
    <row r="19">
      <c r="A19" s="7" t="n">
        <v>36.5</v>
      </c>
      <c r="B19" s="7">
        <f>A19-$B$5</f>
        <v/>
      </c>
      <c r="C19" s="7">
        <f>A19-$B$7</f>
        <v/>
      </c>
      <c r="D19" s="8">
        <f>$B$11+($B$12-$B$11)*(A19-$B$7)/($B$9-$B$7)</f>
        <v/>
      </c>
      <c r="E19" s="9" t="inlineStr">
        <is>
          <t>Between crown and boss stage (linear placeholder)</t>
        </is>
      </c>
    </row>
    <row r="20">
      <c r="A20" s="7" t="n">
        <v>37</v>
      </c>
      <c r="B20" s="7">
        <f>A20-$B$5</f>
        <v/>
      </c>
      <c r="C20" s="7">
        <f>A20-$B$7</f>
        <v/>
      </c>
      <c r="D20" s="8">
        <f>$B$11+($B$12-$B$11)*(A20-$B$7)/($B$9-$B$7)</f>
        <v/>
      </c>
      <c r="E20" s="9" t="inlineStr">
        <is>
          <t>Between crown and boss stage (linear placeholder)</t>
        </is>
      </c>
    </row>
    <row r="21">
      <c r="A21" s="10" t="n">
        <v>37.28</v>
      </c>
      <c r="B21" s="7">
        <f>A21-$B$5</f>
        <v/>
      </c>
      <c r="C21" s="7">
        <f>A21-$B$7</f>
        <v/>
      </c>
      <c r="D21" s="10">
        <f>$B$12</f>
        <v/>
      </c>
      <c r="E21" s="9" t="inlineStr">
        <is>
          <t>BOSS STAGE: +1.5 m above crown → use THIS for the link</t>
        </is>
      </c>
    </row>
    <row r="22">
      <c r="A22" s="7" t="n">
        <v>37.5</v>
      </c>
      <c r="B22" s="7">
        <f>A22-$B$5</f>
        <v/>
      </c>
      <c r="C22" s="7">
        <f>A22-$B$7</f>
        <v/>
      </c>
      <c r="D22" s="8">
        <f>$B$12+($B$12*0.1)*(A22-$B$9)/($B$9-$B$7)</f>
        <v/>
      </c>
      <c r="E22" s="9" t="inlineStr">
        <is>
          <t>Above boss stage (illustrative only)</t>
        </is>
      </c>
    </row>
    <row r="23">
      <c r="A23" s="11" t="n">
        <v>39.5</v>
      </c>
      <c r="B23" s="7">
        <f>A23-$B$5</f>
        <v/>
      </c>
      <c r="C23" s="7">
        <f>A23-$B$7</f>
        <v/>
      </c>
      <c r="D23" s="8">
        <f>$B$12+0.3</f>
        <v/>
      </c>
      <c r="E23" s="9" t="inlineStr">
        <is>
          <t>Your 39.5 m contour — NOT the 2.4 m³/s stage (do not mix)</t>
        </is>
      </c>
    </row>
    <row r="26">
      <c r="A26" s="12" t="inlineStr">
        <is>
          <t>How to read one row</t>
        </is>
      </c>
    </row>
    <row r="27">
      <c r="A27" s="3" t="inlineStr">
        <is>
          <t>Example orange row: WSE = 37.28 m. Column D must be 2.4 m³/s. When you delineate the flood limit on the survey at 37.28 m, that polygon belongs to THIS row — same stage as this flowrate. That is the link on the discharge side.</t>
        </is>
      </c>
    </row>
    <row r="28"/>
    <row r="29"/>
  </sheetData>
  <mergeCells count="2">
    <mergeCell ref="A27:E29"/>
    <mergeCell ref="A2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8" customWidth="1" min="5" max="5"/>
    <col width="60" customWidth="1" min="6" max="6"/>
  </cols>
  <sheetData>
    <row r="1">
      <c r="A1" s="1" t="inlineStr">
        <is>
          <t>Stage–storage: V = f(WSE) from survey areas</t>
        </is>
      </c>
    </row>
    <row r="2">
      <c r="A2" s="3" t="inlineStr">
        <is>
          <t>For EACH water level below, draw the inundation polygon on the topo and type the AREA (m²) in yellow. Volume between two levels uses the trapezoid rule in plain text: V_step = (A_i + A_i+1) / 2 * (WSE_i+1 - WSE_i). Cumulative V = sum of steps from the bottom up.</t>
        </is>
      </c>
    </row>
    <row r="3"/>
    <row r="4"/>
    <row r="6">
      <c r="A6" s="12" t="inlineStr">
        <is>
          <t>Plain formula for one step</t>
        </is>
      </c>
    </row>
    <row r="7">
      <c r="A7" s="13" t="inlineStr">
        <is>
          <t>V_step (m³) = (Area_low + Area_high) / 2  ×  (WSE_high − WSE_low)</t>
        </is>
      </c>
    </row>
    <row r="8">
      <c r="A8" t="inlineStr">
        <is>
          <t>V_cumulative at a level = sum of all V_step from invert up to that level</t>
        </is>
      </c>
    </row>
    <row r="10">
      <c r="A10" s="6" t="inlineStr">
        <is>
          <t>WSE (m)</t>
        </is>
      </c>
      <c r="B10" s="6" t="inlineStr">
        <is>
          <t>Area A (m²)  ← EDIT</t>
        </is>
      </c>
      <c r="C10" s="6" t="inlineStr">
        <is>
          <t>ΔWSE (m)</t>
        </is>
      </c>
      <c r="D10" s="6" t="inlineStr">
        <is>
          <t>V_step (m³)</t>
        </is>
      </c>
      <c r="E10" s="6" t="inlineStr">
        <is>
          <t>V_cumulative (m³)</t>
        </is>
      </c>
      <c r="F10" s="6" t="inlineStr">
        <is>
          <t>Role</t>
        </is>
      </c>
    </row>
    <row r="11">
      <c r="A11" s="7" t="n">
        <v>34.88</v>
      </c>
      <c r="B11" s="14" t="n">
        <v>0</v>
      </c>
      <c r="C11" s="9" t="n">
        <v>0</v>
      </c>
      <c r="D11" s="9" t="n">
        <v>0</v>
      </c>
      <c r="E11" s="9" t="n">
        <v>0</v>
      </c>
      <c r="F11" s="9" t="inlineStr">
        <is>
          <t>Invert — start (area often 0)</t>
        </is>
      </c>
    </row>
    <row r="12">
      <c r="A12" s="7" t="n">
        <v>35.5</v>
      </c>
      <c r="B12" s="14" t="n">
        <v>80</v>
      </c>
      <c r="C12" s="7">
        <f>A12-A11</f>
        <v/>
      </c>
      <c r="D12" s="15">
        <f>0.5*(B11+B12)*C12</f>
        <v/>
      </c>
      <c r="E12" s="16">
        <f>E11+D12</f>
        <v/>
      </c>
      <c r="F12" s="9" t="inlineStr">
        <is>
          <t>Intermediate contour — replace with survey area</t>
        </is>
      </c>
    </row>
    <row r="13">
      <c r="A13" s="7" t="n">
        <v>36</v>
      </c>
      <c r="B13" s="14" t="n">
        <v>180</v>
      </c>
      <c r="C13" s="7">
        <f>A13-A12</f>
        <v/>
      </c>
      <c r="D13" s="15">
        <f>0.5*(B12+B13)*C13</f>
        <v/>
      </c>
      <c r="E13" s="16">
        <f>E12+D13</f>
        <v/>
      </c>
      <c r="F13" s="9" t="inlineStr">
        <is>
          <t>Intermediate contour — replace with survey area</t>
        </is>
      </c>
    </row>
    <row r="14">
      <c r="A14" s="7" t="n">
        <v>36.5</v>
      </c>
      <c r="B14" s="14" t="n">
        <v>320</v>
      </c>
      <c r="C14" s="7">
        <f>A14-A13</f>
        <v/>
      </c>
      <c r="D14" s="15">
        <f>0.5*(B13+B14)*C14</f>
        <v/>
      </c>
      <c r="E14" s="16">
        <f>E13+D14</f>
        <v/>
      </c>
      <c r="F14" s="9" t="inlineStr">
        <is>
          <t>Intermediate contour — replace with survey area</t>
        </is>
      </c>
    </row>
    <row r="15">
      <c r="A15" s="7" t="n">
        <v>37</v>
      </c>
      <c r="B15" s="14" t="n">
        <v>480</v>
      </c>
      <c r="C15" s="7">
        <f>A15-A14</f>
        <v/>
      </c>
      <c r="D15" s="15">
        <f>0.5*(B14+B15)*C15</f>
        <v/>
      </c>
      <c r="E15" s="16">
        <f>E14+D15</f>
        <v/>
      </c>
      <c r="F15" s="9" t="inlineStr">
        <is>
          <t>Intermediate contour — replace with survey area</t>
        </is>
      </c>
    </row>
    <row r="16">
      <c r="A16" s="10" t="n">
        <v>37.28</v>
      </c>
      <c r="B16" s="14" t="n">
        <v>543</v>
      </c>
      <c r="C16" s="10">
        <f>A16-A15</f>
        <v/>
      </c>
      <c r="D16" s="17">
        <f>0.5*(B15+B16)*C16</f>
        <v/>
      </c>
      <c r="E16" s="17">
        <f>E15+D16</f>
        <v/>
      </c>
      <c r="F16" s="18" t="inlineStr">
        <is>
          <t>BOSS LIMIT — replace Area with YOUR delineation at 37.28 m</t>
        </is>
      </c>
    </row>
    <row r="17">
      <c r="A17" s="7" t="n">
        <v>37.5</v>
      </c>
      <c r="B17" s="14" t="n">
        <v>700</v>
      </c>
      <c r="C17" s="7">
        <f>A17-A16</f>
        <v/>
      </c>
      <c r="D17" s="15">
        <f>0.5*(B16+B17)*C17</f>
        <v/>
      </c>
      <c r="E17" s="16">
        <f>E16+D17</f>
        <v/>
      </c>
      <c r="F17" s="9" t="inlineStr">
        <is>
          <t>Intermediate contour — replace with survey area</t>
        </is>
      </c>
    </row>
    <row r="18">
      <c r="A18" s="7" t="n">
        <v>39.5</v>
      </c>
      <c r="B18" s="14" t="n">
        <v>1932</v>
      </c>
      <c r="C18" s="7">
        <f>A18-A17</f>
        <v/>
      </c>
      <c r="D18" s="15">
        <f>0.5*(B17+B18)*C18</f>
        <v/>
      </c>
      <c r="E18" s="16">
        <f>E17+D18</f>
        <v/>
      </c>
      <c r="F18" s="9" t="inlineStr">
        <is>
          <t>Your 1932 m² example — optional higher stage, not the 2.4 link</t>
        </is>
      </c>
    </row>
    <row r="21">
      <c r="A21" s="12" t="inlineStr">
        <is>
          <t>Worked meaning of V at 37.28 m</t>
        </is>
      </c>
    </row>
    <row r="22">
      <c r="A22" s="3" t="inlineStr">
        <is>
          <t>Cell E for the 37.28 m row = total water volume (m³) stored in the landscape when the free surface is at 37.28 m (starting from empty at invert). REPLACE the yellow Area at 37.28 with the area your boss delineated (or that you redraw at 37.28). Placeholder areas above are FAKE except 39.5→1932 which you measured — they only show the method.</t>
        </is>
      </c>
    </row>
    <row r="23"/>
    <row r="24"/>
    <row r="26">
      <c r="A26" t="inlineStr">
        <is>
          <t>V at boss stage (m³)</t>
        </is>
      </c>
      <c r="B26" s="19">
        <f>E16</f>
        <v/>
      </c>
      <c r="C26" t="inlineStr">
        <is>
          <t>← storage available when Qout = 2.4 m³/s (same WSE)</t>
        </is>
      </c>
    </row>
  </sheetData>
  <mergeCells count="4">
    <mergeCell ref="A8:F8"/>
    <mergeCell ref="A22:F24"/>
    <mergeCell ref="A2:H4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5" customWidth="1" min="4" max="4"/>
  </cols>
  <sheetData>
    <row r="1">
      <c r="A1" s="1" t="inlineStr">
        <is>
          <t>THE LINK — same WSE row has both V and Q</t>
        </is>
      </c>
    </row>
    <row r="2">
      <c r="A2" s="3" t="inlineStr">
        <is>
          <t>This sheet merges stage–storage and stage–discharge. Read across one row: at this water level, the pond holds V cubic metres AND the Ø900 passes Q m³/s. That pairing is what 'link volume to flowrate' means.</t>
        </is>
      </c>
    </row>
    <row r="3"/>
    <row r="5">
      <c r="A5" s="6" t="inlineStr">
        <is>
          <t>WSE (m)</t>
        </is>
      </c>
      <c r="B5" s="6" t="inlineStr">
        <is>
          <t>V (m³)</t>
        </is>
      </c>
      <c r="C5" s="6" t="inlineStr">
        <is>
          <t>Qout (m³/s)</t>
        </is>
      </c>
      <c r="D5" s="6" t="inlineStr">
        <is>
          <t>What this row means in one sentence</t>
        </is>
      </c>
    </row>
    <row r="6">
      <c r="A6" s="7" t="n">
        <v>34.88</v>
      </c>
      <c r="B6" s="16">
        <f>'4_STAGE_STORAGE'!E11</f>
        <v/>
      </c>
      <c r="C6" s="7">
        <f>'3_STAGE_DISCHARGE'!D15</f>
        <v/>
      </c>
      <c r="D6" s="9" t="inlineStr">
        <is>
          <t>Empty start</t>
        </is>
      </c>
    </row>
    <row r="7">
      <c r="A7" s="7" t="n">
        <v>35.5</v>
      </c>
      <c r="B7" s="16">
        <f>'4_STAGE_STORAGE'!E12</f>
        <v/>
      </c>
      <c r="C7" s="7">
        <f>'3_STAGE_DISCHARGE'!D16</f>
        <v/>
      </c>
      <c r="D7" s="9" t="inlineStr">
        <is>
          <t>Intermediate: both V and Q belong to this same water level</t>
        </is>
      </c>
    </row>
    <row r="8">
      <c r="A8" s="7" t="n">
        <v>36</v>
      </c>
      <c r="B8" s="16">
        <f>'4_STAGE_STORAGE'!E13</f>
        <v/>
      </c>
      <c r="C8" s="7">
        <f>'3_STAGE_DISCHARGE'!D18</f>
        <v/>
      </c>
      <c r="D8" s="9" t="inlineStr">
        <is>
          <t>Intermediate: both V and Q belong to this same water level</t>
        </is>
      </c>
    </row>
    <row r="9">
      <c r="A9" s="7" t="n">
        <v>36.5</v>
      </c>
      <c r="B9" s="16">
        <f>'4_STAGE_STORAGE'!E14</f>
        <v/>
      </c>
      <c r="C9" s="7">
        <f>'3_STAGE_DISCHARGE'!D19</f>
        <v/>
      </c>
      <c r="D9" s="9" t="inlineStr">
        <is>
          <t>Intermediate: both V and Q belong to this same water level</t>
        </is>
      </c>
    </row>
    <row r="10">
      <c r="A10" s="7" t="n">
        <v>37</v>
      </c>
      <c r="B10" s="16">
        <f>'4_STAGE_STORAGE'!E15</f>
        <v/>
      </c>
      <c r="C10" s="7">
        <f>'3_STAGE_DISCHARGE'!D20</f>
        <v/>
      </c>
      <c r="D10" s="9" t="inlineStr">
        <is>
          <t>Intermediate: both V and Q belong to this same water level</t>
        </is>
      </c>
    </row>
    <row r="11">
      <c r="A11" s="10" t="n">
        <v>37.28</v>
      </c>
      <c r="B11" s="17">
        <f>'4_STAGE_STORAGE'!E16</f>
        <v/>
      </c>
      <c r="C11" s="10">
        <f>'3_STAGE_DISCHARGE'!D21</f>
        <v/>
      </c>
      <c r="D11" s="18" t="inlineStr">
        <is>
          <t>DESIGN LINK: volume stored at boss flood limit AND culvert Q = 2.4 m³/s</t>
        </is>
      </c>
    </row>
    <row r="12">
      <c r="A12" s="7" t="n">
        <v>37.5</v>
      </c>
      <c r="B12" s="16">
        <f>'4_STAGE_STORAGE'!E17</f>
        <v/>
      </c>
      <c r="C12" s="7">
        <f>'3_STAGE_DISCHARGE'!D22</f>
        <v/>
      </c>
      <c r="D12" s="9" t="inlineStr">
        <is>
          <t>Intermediate: both V and Q belong to this same water level</t>
        </is>
      </c>
    </row>
    <row r="13">
      <c r="A13" s="7" t="n">
        <v>39.5</v>
      </c>
      <c r="B13" s="16">
        <f>'4_STAGE_STORAGE'!E18</f>
        <v/>
      </c>
      <c r="C13" s="7">
        <f>'3_STAGE_DISCHARGE'!D23</f>
        <v/>
      </c>
      <c r="D13" s="9" t="inlineStr">
        <is>
          <t>Higher stage you drew — Q here is NOT the official 2.4 definition stage</t>
        </is>
      </c>
    </row>
    <row r="16">
      <c r="A16" s="12" t="inlineStr">
        <is>
          <t>Sentence you can tell your boss</t>
        </is>
      </c>
    </row>
    <row r="17">
      <c r="A17" s="3" t="inlineStr">
        <is>
          <t>At water level 37.28 m (invert 34.88 + diameter 0.90 + 1.50 m above crown), the survey inundation stores V m³ (see orange row, column B after you enter the real area), and at that same level the Ø900 can discharge 2.4 m³/s. Upstream may bring up to ~9.6 m³/s, so volume accumulates whenever Qin &gt; Qout; the 37.28 m contour is the geometric limit we check against that paired Q.</t>
        </is>
      </c>
    </row>
    <row r="18"/>
    <row r="19"/>
    <row r="20"/>
    <row r="22">
      <c r="A22" t="inlineStr">
        <is>
          <t>V_boss (m³)</t>
        </is>
      </c>
      <c r="B22" s="19">
        <f>B11</f>
        <v/>
      </c>
    </row>
    <row r="23">
      <c r="A23" t="inlineStr">
        <is>
          <t>Q_boss (m³/s)</t>
        </is>
      </c>
      <c r="B23" s="5">
        <f>C11</f>
        <v/>
      </c>
    </row>
  </sheetData>
  <mergeCells count="2">
    <mergeCell ref="A17:D20"/>
    <mergeCell ref="A2:G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50" customWidth="1" min="3" max="3"/>
  </cols>
  <sheetData>
    <row r="1">
      <c r="A1" s="1" t="inlineStr">
        <is>
          <t>How a storm uses the link (routing idea)</t>
        </is>
      </c>
    </row>
    <row r="2">
      <c r="A2" s="3" t="inlineStr">
        <is>
          <t>You do not pick one volume and stop. During the storm, WSE moves up and down the link table. Each time step: look up Qout from current WSE (or from V→WSE), compare to Qin, update volume.</t>
        </is>
      </c>
    </row>
    <row r="3"/>
    <row r="5">
      <c r="A5" t="inlineStr"/>
    </row>
    <row r="6">
      <c r="A6" s="2" t="inlineStr">
        <is>
          <t>Step-by-step logic (every time interval Δt):</t>
        </is>
      </c>
    </row>
    <row r="7">
      <c r="A7" t="inlineStr">
        <is>
          <t xml:space="preserve">  1. Know current stored volume V (starts at 0).</t>
        </is>
      </c>
    </row>
    <row r="8">
      <c r="A8" t="inlineStr">
        <is>
          <t xml:space="preserve">  2. From V, find WSE on the stage–storage curve (sheet 4).</t>
        </is>
      </c>
    </row>
    <row r="9">
      <c r="A9" t="inlineStr">
        <is>
          <t xml:space="preserve">  3. From that WSE, find Qout on the stage–discharge curve (sheet 3).</t>
        </is>
      </c>
    </row>
    <row r="10">
      <c r="A10" t="inlineStr">
        <is>
          <t xml:space="preserve">  4. Qin comes from the hydrograph (Ø1500 inlet hydrograph).</t>
        </is>
      </c>
    </row>
    <row r="11">
      <c r="A11" t="inlineStr">
        <is>
          <t xml:space="preserve">  5. Change in storage:  ΔV = (Qin − Qout) × Δt</t>
        </is>
      </c>
    </row>
    <row r="12">
      <c r="A12" t="inlineStr">
        <is>
          <t xml:space="preserve">     with Δt in seconds, Qin/Qout in m³/s → ΔV in m³.</t>
        </is>
      </c>
    </row>
    <row r="13">
      <c r="A13" t="inlineStr">
        <is>
          <t xml:space="preserve">  6. New volume:  V_new = max(0, V_old + ΔV).</t>
        </is>
      </c>
    </row>
    <row r="14">
      <c r="A14" t="inlineStr">
        <is>
          <t xml:space="preserve">  7. Repeat. The maximum V (and its WSE) is what you compare to 37.28 m / V_boss.</t>
        </is>
      </c>
    </row>
    <row r="15">
      <c r="A15" t="inlineStr"/>
    </row>
    <row r="16">
      <c r="A16" t="inlineStr">
        <is>
          <t>If Qin &gt; Qout → water rises (moving up the link table).</t>
        </is>
      </c>
    </row>
    <row r="17">
      <c r="A17" t="inlineStr">
        <is>
          <t>If Qin &lt; Qout → water falls (moving down the link table).</t>
        </is>
      </c>
    </row>
    <row r="18">
      <c r="A18" t="inlineStr"/>
    </row>
    <row r="19">
      <c r="A19" s="2" t="inlineStr">
        <is>
          <t>At the boss stage specifically:</t>
        </is>
      </c>
    </row>
    <row r="20">
      <c r="A20" t="inlineStr">
        <is>
          <t xml:space="preserve">  When WSE = 37.28 m, Qout = 2.4 m³/s and V = V_boss from your polygon.</t>
        </is>
      </c>
    </row>
    <row r="21">
      <c r="A21" t="inlineStr">
        <is>
          <t xml:space="preserve">  If routing shows WSEmax ≤ 37.28, the delineated limit contains the storm.</t>
        </is>
      </c>
    </row>
    <row r="22">
      <c r="A22" t="inlineStr">
        <is>
          <t xml:space="preserve">  If WSEmax &gt; 37.28, the storm needs more room (or more outlet capacity).</t>
        </is>
      </c>
    </row>
    <row r="24">
      <c r="A24" s="12" t="inlineStr">
        <is>
          <t>Mini numeric example (one step only)</t>
        </is>
      </c>
    </row>
    <row r="25">
      <c r="A25" t="inlineStr">
        <is>
          <t>Qin (m³/s)</t>
        </is>
      </c>
      <c r="B25" s="4" t="n">
        <v>6</v>
      </c>
    </row>
    <row r="26">
      <c r="A26" t="inlineStr">
        <is>
          <t>Current WSE (m)</t>
        </is>
      </c>
      <c r="B26" s="4" t="n">
        <v>37.28</v>
      </c>
    </row>
    <row r="27">
      <c r="A27" t="inlineStr">
        <is>
          <t>Qout at that WSE (m³/s)</t>
        </is>
      </c>
      <c r="B27" s="4" t="n">
        <v>2.4</v>
      </c>
    </row>
    <row r="28">
      <c r="A28" t="inlineStr">
        <is>
          <t>Δt (minutes)</t>
        </is>
      </c>
      <c r="B28" s="4" t="n">
        <v>5</v>
      </c>
    </row>
    <row r="29">
      <c r="A29" t="inlineStr">
        <is>
          <t>Δt (seconds)</t>
        </is>
      </c>
      <c r="B29" s="13">
        <f>B28*60</f>
        <v/>
      </c>
    </row>
    <row r="30">
      <c r="A30" t="inlineStr">
        <is>
          <t>ΔV this step (m³)</t>
        </is>
      </c>
      <c r="B30" s="20">
        <f>(B25-B27)*B29</f>
        <v/>
      </c>
      <c r="C30" t="inlineStr">
        <is>
          <t>Positive → pond gains volume in these 5 minutes</t>
        </is>
      </c>
    </row>
    <row r="32">
      <c r="A32" s="3" t="inlineStr">
        <is>
          <t>Interpretation: with Qin=6 and Qout=2.4, each 5 minutes adds (6−2.4)×300 = 1080 m³. That is why a peak of 9.6 m³/s needs real storage even though the Ø900 can reach 2.4 m³/s at high stage. Full hydrograph routing is in Volume_Retention_Ponceau_900.xlsx (Calcul_A / Calcul_B); this guide explains the V↔Q link your boss asked for.</t>
        </is>
      </c>
    </row>
    <row r="33"/>
    <row r="34"/>
    <row r="35"/>
  </sheetData>
  <mergeCells count="2">
    <mergeCell ref="A2:G3"/>
    <mergeCell ref="A32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Checklist — what to do on the survey / deliver</t>
        </is>
      </c>
    </row>
    <row r="2">
      <c r="A2" t="inlineStr"/>
    </row>
    <row r="3">
      <c r="A3" t="inlineStr">
        <is>
          <t>□ Confirm arithmetic: crown = 34.88+0.90 = 35.78; boss WSE = 35.78+1.50 = 37.28 m</t>
        </is>
      </c>
    </row>
    <row r="4">
      <c r="A4" t="inlineStr">
        <is>
          <t xml:space="preserve">  (If boss maps 37.38, ask which elevation he used — match Q=2.4 to HIS contour.)</t>
        </is>
      </c>
    </row>
    <row r="5">
      <c r="A5" t="inlineStr">
        <is>
          <t>□ Delineate inundation at 37.28 m (or boss contour) and enter Area in sheet 4 (orange row).</t>
        </is>
      </c>
    </row>
    <row r="6">
      <c r="A6" t="inlineStr">
        <is>
          <t>□ Add 3–5 intermediate contours between invert and 37.28; enter each Area (yellow).</t>
        </is>
      </c>
    </row>
    <row r="7">
      <c r="A7" t="inlineStr">
        <is>
          <t>□ Keep 39.5 / 40 m only as optional 'what if higher' — label them clearly.</t>
        </is>
      </c>
    </row>
    <row r="8">
      <c r="A8" t="inlineStr">
        <is>
          <t>□ On sheet 5, show boss the orange row: same WSE → V and Q=2.4 together.</t>
        </is>
      </c>
    </row>
    <row r="9">
      <c r="A9" t="inlineStr">
        <is>
          <t>□ Route design hydrograph; report WSEmax and Vmax vs 37.28 / V_boss.</t>
        </is>
      </c>
    </row>
    <row r="10">
      <c r="A10" t="inlineStr">
        <is>
          <t>□ State that Ø1200 = 4.93 m³/s is downstream and does not raise pond outlet above Ø900.</t>
        </is>
      </c>
    </row>
    <row r="11">
      <c r="A11" t="inlineStr"/>
    </row>
    <row r="12">
      <c r="A12" t="inlineStr">
        <is>
          <t>Files:</t>
        </is>
      </c>
    </row>
    <row r="13">
      <c r="A13" t="inlineStr">
        <is>
          <t xml:space="preserve">  This guide:  Stage_Storage_Discharge_Guide_900.xlsx</t>
        </is>
      </c>
    </row>
    <row r="14">
      <c r="A14" t="inlineStr">
        <is>
          <t xml:space="preserve">  Full routing: Volume_Retention_Ponceau_900.xlsx (same folder)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2026-09-03T09:34:52Z</dcterms:created>
  <dcterms:modified xsi:type="dcterms:W3CDTF">2026-09-03T09:34:52Z</dcterms:modified>
</cp:coreProperties>
</file>