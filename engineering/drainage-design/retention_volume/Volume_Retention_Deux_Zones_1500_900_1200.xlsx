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S_Amont" sheetId="8" state="visible" r:id="rId8"/>
    <sheet name="SS_Aval" sheetId="9" state="visible" r:id="rId9"/>
    <sheet name="Stage_Storage" sheetId="10" state="visible" r:id="rId10"/>
    <sheet name="Calcul_Aval_A" sheetId="11" state="visible" r:id="rId11"/>
    <sheet name="Courbe_QH_1200" sheetId="12" state="visible" r:id="rId12"/>
    <sheet name="Calcul_Aval_B" sheetId="13" state="visible" r:id="rId13"/>
    <sheet name="Compose_Aval" sheetId="14" state="visible" r:id="rId14"/>
    <sheet name="Calcul_Aval_C" sheetId="15" state="visible" r:id="rId15"/>
    <sheet name="Fichiers_lies" sheetId="16" state="visible" r:id="rId16"/>
    <sheet name="Methode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6" borderId="0" pivotButton="0" quotePrefix="0" xfId="0"/>
    <xf numFmtId="164" fontId="0" fillId="6" borderId="0" pivotButton="0" quotePrefix="0" xfId="0"/>
    <xf numFmtId="164" fontId="0" fillId="5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1" fontId="0" fillId="6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2" fontId="0" fillId="5" borderId="1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4" borderId="0" pivotButton="0" quotePrefix="0" xfId="0"/>
    <xf numFmtId="166" fontId="0" fillId="3" borderId="1" pivotButton="0" quotePrefix="0" xfId="0"/>
    <xf numFmtId="0" fontId="0" fillId="5" borderId="0" pivotButton="0" quotePrefix="0" xfId="0"/>
    <xf numFmtId="166" fontId="0" fillId="6" borderId="0" pivotButton="0" quotePrefix="0" xfId="0"/>
    <xf numFmtId="1" fontId="0" fillId="0" borderId="1" pivotButton="0" quotePrefix="0" xfId="0"/>
    <xf numFmtId="1" fontId="0" fillId="6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1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'SS_Amont'!E10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'SS_Amont'!$A$11:$A$18</f>
            </numRef>
          </cat>
          <val>
            <numRef>
              <f>'SS_Amont'!$E$11:$E$18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2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'SS_Aval'!E10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'SS_Aval'!$A$11:$A$18</f>
            </numRef>
          </cat>
          <val>
            <numRef>
              <f>'SS_Aval'!$E$11:$E$18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DEUX ZONES (Ø1500→Ø900 + Ø900→Ø1200)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0.986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(TOG n = 0,022)</t>
        </is>
      </c>
    </row>
    <row r="13">
      <c r="A13" t="inlineStr">
        <is>
          <t>n Manning (-)</t>
        </is>
      </c>
      <c r="B13" s="11" t="n">
        <v>0.022</v>
      </c>
      <c r="C13" t="inlineStr">
        <is>
          <t>TOG (tuyau ondulé galvanisé) n=0,022 — pas béton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Levé Zone 1 = feuille SS_Amont; Zone 2 = SS_Aval.</t>
        </is>
      </c>
    </row>
    <row r="25">
      <c r="A25" t="inlineStr">
        <is>
          <t>Inclure V_ditch trapèze? (1=oui, 0=levé seul)</t>
        </is>
      </c>
      <c r="B25" s="17" t="n">
        <v>0</v>
      </c>
      <c r="C25" t="inlineStr">
        <is>
          <t>0 = recommandé si SS_Amont contient déjà le fossé (V=levé seul; Q_overflow garde b,z,L,n,S). 1 = ajoute V_ditch = A_trapèze × L (ancien mode — risque de double volume).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 pour Manning Q_overflow (et V_ditch seulement si B25=1)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>
        <f>IF(B25=1,"V_pond(levé)+V_ditch","V_pond(levé) seul")</f>
        <v/>
      </c>
      <c r="C34" t="inlineStr">
        <is>
          <t>Piloté par B25 — pas de double comptage si le fossé est déjà dans SS_Amont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Zone 1 (m) — SS_Amont</t>
        </is>
      </c>
      <c r="B39" s="22">
        <f>IF(B36&lt;=SS_Amont!E11,SS_Amont!A11,IF(B36&gt;=SS_Amont!E18,"Hors table (&gt;=40.0 m — étendre levé)",INDEX(SS_Amont!$A$11:$A$18,MATCH(B36,SS_Amont!$E$11:$E$18,1))+(B36-INDEX(SS_Amont!$E$11:$E$18,MATCH(B36,SS_Amont!$E$11:$E$18,1)))/(INDEX(SS_Amont!$E$11:$E$18,MATCH(B36,SS_Amont!$E$11:$E$18,1)+1)-INDEX(SS_Amont!$E$11:$E$18,MATCH(B36,SS_Amont!$E$11:$E$18,1)))*(INDEX(SS_Amont!$A$11:$A$18,MATCH(B36,SS_Amont!$E$11:$E$18,1)+1)-INDEX(SS_Amont!$A$11:$A$18,MATCH(B36,SS_Amont!$E$11:$E$18,1)))))</f>
        <v/>
      </c>
      <c r="C39" t="inlineStr">
        <is>
          <t>Cote d'eau max pour Vmax_A: lecture sur SS_Amont (Ø1500→Ø900), pas Zone 2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Zone 1 (m) — SS_Amont</t>
        </is>
      </c>
      <c r="B45" s="22">
        <f>IF(B43&lt;=SS_Amont!E11,SS_Amont!A11,IF(B43&gt;=SS_Amont!E18,"Hors table (&gt;=40.0 m — étendre levé)",INDEX(SS_Amont!$A$11:$A$18,MATCH(B43,SS_Amont!$E$11:$E$18,1))+(B43-INDEX(SS_Amont!$E$11:$E$18,MATCH(B43,SS_Amont!$E$11:$E$18,1)))/(INDEX(SS_Amont!$E$11:$E$18,MATCH(B43,SS_Amont!$E$11:$E$18,1)+1)-INDEX(SS_Amont!$E$11:$E$18,MATCH(B43,SS_Amont!$E$11:$E$18,1)))*(INDEX(SS_Amont!$A$11:$A$18,MATCH(B43,SS_Amont!$E$11:$E$18,1)+1)-INDEX(SS_Amont!$A$11:$A$18,MATCH(B43,SS_Amont!$E$11:$E$18,1)))))</f>
        <v/>
      </c>
      <c r="C45" t="inlineStr">
        <is>
          <t>Même lecture volume→cote que B39 (SS_Amont),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max(V_total)</t>
        </is>
      </c>
      <c r="B49" s="20">
        <f>Calcul_C!B7</f>
        <v/>
      </c>
      <c r="C49">
        <f>IF(B25=1,"V_pond+V_ditch (B25=1)","V_pond seul — levé SS_Amont (B25=0)")</f>
        <v/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Résultats Zone 2 — Ø900 → Ø1200 (SS_Aval + Aval_A/B/C)</t>
        </is>
      </c>
    </row>
    <row r="55">
      <c r="A55" t="inlineStr">
        <is>
          <t>V @ 37.28 m Zone 2 (m³) — SS_Aval</t>
        </is>
      </c>
      <c r="B55" s="23">
        <f>SS_Aval!B21</f>
        <v/>
      </c>
      <c r="C55" t="inlineStr">
        <is>
          <t>Volume levé Zone 2 à la cote patron</t>
        </is>
      </c>
    </row>
    <row r="56">
      <c r="A56" t="inlineStr">
        <is>
          <t>Vmax_Aval_A (m³)</t>
        </is>
      </c>
      <c r="B56" s="20">
        <f>Calcul_Aval_A!B6</f>
        <v/>
      </c>
      <c r="C56" t="inlineStr">
        <is>
          <t>Qin=Calcul_A Qout; Qout=Q_plein Ø1200</t>
        </is>
      </c>
    </row>
    <row r="57">
      <c r="A57" t="inlineStr">
        <is>
          <t>WSEmax_Aval_A (m) — SS_Aval</t>
        </is>
      </c>
      <c r="B57" s="22">
        <f>Calcul_Aval_A!B7</f>
        <v/>
      </c>
      <c r="C57" t="inlineStr">
        <is>
          <t>Souvent ≈ fond si Q_1200 ≫ Q_900</t>
        </is>
      </c>
    </row>
    <row r="58">
      <c r="A58" t="inlineStr">
        <is>
          <t>Vmax_Aval_B (m³)</t>
        </is>
      </c>
      <c r="B58" s="20">
        <f>Calcul_Aval_B!B6</f>
        <v/>
      </c>
      <c r="C58" t="inlineStr">
        <is>
          <t>Qin=Calcul_B; Qout=f(HW) Courbe_QH_1200; WSE via SS_Aval (pas B24)</t>
        </is>
      </c>
    </row>
    <row r="59">
      <c r="A59" t="inlineStr">
        <is>
          <t>WSEmax_Aval_B (m)</t>
        </is>
      </c>
      <c r="B59" s="22">
        <f>Calcul_Aval_B!B7</f>
        <v/>
      </c>
    </row>
    <row r="60">
      <c r="A60" t="inlineStr">
        <is>
          <t>Vmax_Aval_C (m³)</t>
        </is>
      </c>
      <c r="B60" s="20">
        <f>Calcul_Aval_C!B7</f>
        <v/>
      </c>
      <c r="C60" t="inlineStr">
        <is>
          <t>Qin=Calcul_C; Qout=Q_1200+Q_overflow; Compose_Aval</t>
        </is>
      </c>
    </row>
    <row r="61">
      <c r="A61" t="inlineStr">
        <is>
          <t>WSEmax_Aval_C (m)</t>
        </is>
      </c>
      <c r="B61" s="22">
        <f>Calcul_Aval_C!B8</f>
        <v/>
      </c>
    </row>
    <row r="62">
      <c r="A62" t="inlineStr">
        <is>
          <t>Crest Zone 2 Méthode C (m)</t>
        </is>
      </c>
      <c r="B62" s="12" t="n">
        <v>37.4</v>
      </c>
      <c r="C62" t="inlineStr">
        <is>
          <t>Défaut 37.40 (berges/limite ville). Crown Ø1200=34.80. Jaune=éditable. Fossé Zone 2 réutilise b,n,z,S,L (B28–B32).</t>
        </is>
      </c>
    </row>
    <row r="64">
      <c r="A64" s="2" t="inlineStr">
        <is>
          <t>Comment lire WSEmax (zones + méthodes)</t>
        </is>
      </c>
    </row>
    <row r="65">
      <c r="A65" t="inlineStr">
        <is>
          <t>1) Zone 1: A/B → Vmax puis WSEmax sur SS_Amont; C via Calcul_C. Zone 2: Aval_A/B/C → B56–B61 + SS_Aval.</t>
        </is>
      </c>
    </row>
    <row r="66">
      <c r="A66" t="inlineStr">
        <is>
          <t>2) Zone 2 Aval_B: WSE depuis levé SS_Aval (pas l'aire fixe B24). Aval_C: Compose_Aval + crest B62.</t>
        </is>
      </c>
    </row>
    <row r="67">
      <c r="A67" t="inlineStr">
        <is>
          <t>3) Crest Zone 1 = crown Ø900 (35.78). Crest Zone 2 = B62 (berges; pas auto=crown Ø1200).</t>
        </is>
      </c>
    </row>
    <row r="68">
      <c r="A68" t="inlineStr">
        <is>
          <t>4) Ne pas additionner Zone 1+2 dans un seul routage. Éditer WSE/Surface jaunes dans SS_Amont et SS_Aval.</t>
        </is>
      </c>
    </row>
    <row r="69">
      <c r="A69" t="inlineStr">
        <is>
          <t>5) Fond SS_Aval = 34.88 aujourd'hui (même grille que Zone 1). Radier amont Ø1200 = 33.60 — si le lit réel descend jusque-là, le levé devrait commencer à 33.60 (volume manquant entre 33.60 et 34.88). Non modifié ici: à confirmer sur levé AutoCAD avant de changer.</t>
        </is>
      </c>
    </row>
    <row r="71">
      <c r="A71" s="2" t="inlineStr">
        <is>
          <t>Inlet control vs outlet control — qu'est-ce que ça veut dire?</t>
        </is>
      </c>
    </row>
    <row r="72">
      <c r="A72" t="inlineStr">
        <is>
          <t>• Inlet control (contrôle à l'entrée): le débit est limité par l'entrée du ponceau (forme d'entrée, HW/D).</t>
        </is>
      </c>
    </row>
    <row r="73">
      <c r="A73" t="inlineStr">
        <is>
          <t xml:space="preserve">  Le tuyau aval « n'aspire » pas assez pour influencer — Q dépend surtout de la charge amont H, pas de L ni de n.</t>
        </is>
      </c>
    </row>
    <row r="74">
      <c r="A74" t="inlineStr">
        <is>
          <t>• Outlet control (contrôle à la sortie / frottement): le débit dépend de la longueur, de n, de la pente et de la charge</t>
        </is>
      </c>
    </row>
    <row r="75">
      <c r="A75" t="inlineStr">
        <is>
          <t xml:space="preserve">  (énergie amont → aval). Manning pleine section est une hypothèse de type outlet/frottement à section pleine.</t>
        </is>
      </c>
    </row>
    <row r="76">
      <c r="A76" t="inlineStr">
        <is>
          <t>• Ici L/D = 56 (tuyau assez long) → le contrôle par frottement (outlet) est souvent plausible,</t>
        </is>
      </c>
    </row>
    <row r="77">
      <c r="A77" t="inlineStr">
        <is>
          <t xml:space="preserve">  mais sans analyse FHWA/HY-8 on ne peut pas l'affirmer. Pour dimensionner la rétention, Q_plein constant est</t>
        </is>
      </c>
    </row>
    <row r="78">
      <c r="A78" t="inlineStr">
        <is>
          <t xml:space="preserve">  en général prudent (si la charge monte, le débit réel peut être un peu plus élevé → Vmax un peu plus bas).</t>
        </is>
      </c>
    </row>
    <row r="79">
      <c r="A79" t="inlineStr">
        <is>
          <t>• On n'a pas besoin de trancher IC/OC pour utiliser ce classeur: garder Qout = Q_plein (ou 1.77) suffit pour une 1re estimation.</t>
        </is>
      </c>
    </row>
    <row r="82">
      <c r="A82" s="24" t="inlineStr">
        <is>
          <t>Vitesses de référence — V = Q / A_plein (pleine section)</t>
        </is>
      </c>
    </row>
    <row r="83">
      <c r="A83" s="25" t="inlineStr">
        <is>
          <t>A_plein = π D²/4. V_eq = Q/A_plein. Si le tuyau est partiellement rempli, la vitesse réelle Q/A(h) est plus élevée pour le même Q — voir Courbe_QH_900 col. V. Critères typiques fossé/tuyau: souvent 0.6–3 ou 4 m/s selon municipalité (à confirmer).</t>
        </is>
      </c>
    </row>
    <row r="84"/>
    <row r="85">
      <c r="A85" s="3" t="inlineStr">
        <is>
          <t>Ouvrage</t>
        </is>
      </c>
      <c r="B85" s="3" t="inlineStr">
        <is>
          <t>D (m)</t>
        </is>
      </c>
      <c r="C85" s="3" t="inlineStr">
        <is>
          <t>A_plein (m²)</t>
        </is>
      </c>
      <c r="D85" s="3" t="inlineStr">
        <is>
          <t>Q ref (m³/s)</t>
        </is>
      </c>
      <c r="E85" s="3" t="inlineStr">
        <is>
          <t>V_eq (m/s)</t>
        </is>
      </c>
      <c r="F85" s="3" t="inlineStr">
        <is>
          <t>Source Q</t>
        </is>
      </c>
    </row>
    <row r="86">
      <c r="A86" s="4" t="inlineStr">
        <is>
          <t>Ø1500 (entrée)</t>
        </is>
      </c>
      <c r="B86" s="26" t="n">
        <v>1.5</v>
      </c>
      <c r="C86" s="5">
        <f>PI()*B86^2/4</f>
        <v/>
      </c>
      <c r="D86" s="5">
        <f>Hydrogramme!B4</f>
        <v/>
      </c>
      <c r="E86" s="27">
        <f>IF(C86&lt;=0,0,D86/C86)</f>
        <v/>
      </c>
      <c r="F86" s="4" t="inlineStr">
        <is>
          <t>Qpointe hydrogramme</t>
        </is>
      </c>
    </row>
    <row r="87">
      <c r="A87" s="4" t="inlineStr">
        <is>
          <t>Ø900 (contrôle)</t>
        </is>
      </c>
      <c r="B87" s="26" t="n">
        <v>0.9</v>
      </c>
      <c r="C87" s="5">
        <f>PI()*B87^2/4</f>
        <v/>
      </c>
      <c r="D87" s="5">
        <f>B18</f>
        <v/>
      </c>
      <c r="E87" s="27">
        <f>IF(C87&lt;=0,0,D87/C87)</f>
        <v/>
      </c>
      <c r="F87" s="4" t="inlineStr">
        <is>
          <t>Q_plein Manning (B18)</t>
        </is>
      </c>
    </row>
    <row r="88">
      <c r="A88" s="4" t="inlineStr">
        <is>
          <t>Ø1200 (aval)</t>
        </is>
      </c>
      <c r="B88" s="26" t="n">
        <v>1.2</v>
      </c>
      <c r="C88" s="5">
        <f>PI()*B88^2/4</f>
        <v/>
      </c>
      <c r="D88" s="11" t="n">
        <v>4.93</v>
      </c>
      <c r="E88" s="27">
        <f>IF(C88&lt;=0,0,D88/C88)</f>
        <v/>
      </c>
      <c r="F88" s="4" t="inlineStr">
        <is>
          <t>Q_plein Ø1200 (édit. si besoin)</t>
        </is>
      </c>
    </row>
    <row r="89">
      <c r="A89" t="inlineStr">
        <is>
          <t>V_Ø900 @ Qout Calcul_A (m/s)</t>
        </is>
      </c>
      <c r="B89" s="22">
        <f>IF(C87&lt;=0,0,Calcul_A!B2/C87)</f>
        <v/>
      </c>
      <c r="C89" t="inlineStr">
        <is>
          <t>Qout constant Méthode A / A_plein Ø900</t>
        </is>
      </c>
    </row>
    <row r="90">
      <c r="A90" t="inlineStr">
        <is>
          <t>V_Ø1200 @ Qout Calcul_Aval_A (m/s)</t>
        </is>
      </c>
      <c r="B90" s="22">
        <f>IF(C88&lt;=0,0,Calcul_Aval_A!B5/C88)</f>
        <v/>
      </c>
      <c r="C90" t="inlineStr">
        <is>
          <t>Qout Aval / A_plein Ø1200</t>
        </is>
      </c>
    </row>
    <row r="91">
      <c r="A91" s="25" t="inlineStr">
        <is>
          <t>ATTENTION: des V &gt;&gt; 5–6 m/s ne sont PAS physiques. Souvent Q_overflow+Q_pipe divisé par A_tuyau, ou Q/A_fossé trop petit. Vitesses tuyau réalistes typ. ~1–4 m/s; lire Compose_900 (V_Ø900) et Courbe_QH_900.</t>
        </is>
      </c>
    </row>
    <row r="92"/>
    <row r="102">
      <c r="A102" s="2" t="inlineStr">
        <is>
          <t>Notes</t>
        </is>
      </c>
    </row>
    <row r="103">
      <c r="A103" t="inlineStr">
        <is>
          <t>• Méthode A: Qout fixe = Q_plein Manning Ø900 (TOG n=0,022).</t>
        </is>
      </c>
    </row>
    <row r="104">
      <c r="A104" t="inlineStr">
        <is>
          <t>• Méthode B Zone 1: Q=f(H) + aire B24 (approx) — préférer C pour WSEmax.</t>
        </is>
      </c>
    </row>
    <row r="105">
      <c r="A105" t="inlineStr">
        <is>
          <t>• Méthode C Zone 1: Compose_900 + Calcul_C (B49–B52).</t>
        </is>
      </c>
    </row>
    <row r="106">
      <c r="A106" t="inlineStr">
        <is>
          <t>• Zone 2 Aval_A/B/C — B56–B61. Aval_B utilise SS_Aval (pas B24).</t>
        </is>
      </c>
    </row>
    <row r="107">
      <c r="A107" t="inlineStr">
        <is>
          <t>• Fond Zone 2: SS_Aval commence à 34.88; radier Ø1200=33.60 — voir aide §5 (pas changé).</t>
        </is>
      </c>
    </row>
  </sheetData>
  <mergeCells count="22">
    <mergeCell ref="A67:H67"/>
    <mergeCell ref="A77:H77"/>
    <mergeCell ref="A73:H73"/>
    <mergeCell ref="A107:H107"/>
    <mergeCell ref="A91:H92"/>
    <mergeCell ref="A103:H103"/>
    <mergeCell ref="A79:H79"/>
    <mergeCell ref="A78:H78"/>
    <mergeCell ref="A69:H69"/>
    <mergeCell ref="A65:H65"/>
    <mergeCell ref="A66:H66"/>
    <mergeCell ref="A75:H75"/>
    <mergeCell ref="A74:H74"/>
    <mergeCell ref="A9:H10"/>
    <mergeCell ref="A105:H105"/>
    <mergeCell ref="A83:H84"/>
    <mergeCell ref="A104:H104"/>
    <mergeCell ref="A76:H76"/>
    <mergeCell ref="A106:H106"/>
    <mergeCell ref="A1:F1"/>
    <mergeCell ref="A72:H72"/>
    <mergeCell ref="A68:H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4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8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9" t="n">
        <v>0</v>
      </c>
      <c r="B8" s="30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9" t="n">
        <v>5</v>
      </c>
      <c r="B9" s="30" t="n">
        <v>0.121875</v>
      </c>
      <c r="C9" s="5">
        <f>B9*$B$4</f>
        <v/>
      </c>
      <c r="D9" s="4" t="inlineStr"/>
    </row>
    <row r="10">
      <c r="A10" s="29" t="n">
        <v>10</v>
      </c>
      <c r="B10" s="30" t="n">
        <v>0.193438</v>
      </c>
      <c r="C10" s="5">
        <f>B10*$B$4</f>
        <v/>
      </c>
      <c r="D10" s="4" t="inlineStr"/>
    </row>
    <row r="11">
      <c r="A11" s="29" t="n">
        <v>15</v>
      </c>
      <c r="B11" s="30" t="n">
        <v>0.333542</v>
      </c>
      <c r="C11" s="5">
        <f>B11*$B$4</f>
        <v/>
      </c>
      <c r="D11" s="4" t="inlineStr"/>
    </row>
    <row r="12">
      <c r="A12" s="29" t="n">
        <v>20</v>
      </c>
      <c r="B12" s="30" t="n">
        <v>0.657188</v>
      </c>
      <c r="C12" s="5">
        <f>B12*$B$4</f>
        <v/>
      </c>
      <c r="D12" s="4" t="inlineStr"/>
    </row>
    <row r="13">
      <c r="A13" s="29" t="n">
        <v>22.5</v>
      </c>
      <c r="B13" s="30" t="n">
        <v>1</v>
      </c>
      <c r="C13" s="8">
        <f>B13*$B$4</f>
        <v/>
      </c>
      <c r="D13" s="4" t="inlineStr">
        <is>
          <t>Pointe (ratio = 1)</t>
        </is>
      </c>
    </row>
    <row r="14">
      <c r="A14" s="29" t="n">
        <v>27.5</v>
      </c>
      <c r="B14" s="30" t="n">
        <v>0.608958</v>
      </c>
      <c r="C14" s="5">
        <f>B14*$B$4</f>
        <v/>
      </c>
      <c r="D14" s="4" t="inlineStr"/>
    </row>
    <row r="15">
      <c r="A15" s="29" t="n">
        <v>32.5</v>
      </c>
      <c r="B15" s="30" t="n">
        <v>0.401771</v>
      </c>
      <c r="C15" s="5">
        <f>B15*$B$4</f>
        <v/>
      </c>
      <c r="D15" s="4" t="inlineStr"/>
    </row>
    <row r="16">
      <c r="A16" s="29" t="n">
        <v>37.5</v>
      </c>
      <c r="B16" s="30" t="n">
        <v>0.280104</v>
      </c>
      <c r="C16" s="5">
        <f>B16*$B$4</f>
        <v/>
      </c>
      <c r="D16" s="4" t="inlineStr"/>
    </row>
    <row r="17">
      <c r="A17" s="29" t="n">
        <v>42.5</v>
      </c>
      <c r="B17" s="30" t="n">
        <v>0.203438</v>
      </c>
      <c r="C17" s="5">
        <f>B17*$B$4</f>
        <v/>
      </c>
      <c r="D17" s="4" t="inlineStr"/>
    </row>
    <row r="18">
      <c r="A18" s="29" t="n">
        <v>47.5</v>
      </c>
      <c r="B18" s="30" t="n">
        <v>0.152292</v>
      </c>
      <c r="C18" s="5">
        <f>B18*$B$4</f>
        <v/>
      </c>
      <c r="D18" s="4" t="inlineStr"/>
    </row>
    <row r="19">
      <c r="A19" s="29" t="n">
        <v>52.5</v>
      </c>
      <c r="B19" s="30" t="n">
        <v>0.116771</v>
      </c>
      <c r="C19" s="5">
        <f>B19*$B$4</f>
        <v/>
      </c>
      <c r="D19" s="4" t="inlineStr"/>
    </row>
    <row r="20">
      <c r="A20" s="29" t="n">
        <v>57.5</v>
      </c>
      <c r="B20" s="30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31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32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>
      <c r="A1" s="24" t="inlineStr">
        <is>
          <t>Méthode A — Qout constant = capacité Ø900</t>
        </is>
      </c>
    </row>
    <row r="2">
      <c r="A2" t="inlineStr">
        <is>
          <t>Qout (m³/s)</t>
        </is>
      </c>
      <c r="B2" s="33">
        <f>Parametres!B22</f>
        <v/>
      </c>
    </row>
    <row r="3">
      <c r="A3" t="inlineStr">
        <is>
          <t>Vmax (m³)</t>
        </is>
      </c>
      <c r="B3" s="34">
        <f>MAX(H8:H20)</f>
        <v/>
      </c>
      <c r="C3" t="inlineStr">
        <is>
          <t>Maximum du volume stocké cumulé</t>
        </is>
      </c>
    </row>
    <row r="4">
      <c r="A4" t="inlineStr">
        <is>
          <t>V_Ø900 = Qout / A_plein Ø900 (Parametres C87)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  <c r="J7" s="3" t="inlineStr">
        <is>
          <t>V_Ø900 (m/s)</t>
        </is>
      </c>
    </row>
    <row r="8">
      <c r="A8" s="29">
        <f>Hydrogramme!A8</f>
        <v/>
      </c>
      <c r="B8" s="5">
        <f>Hydrogramme!C8</f>
        <v/>
      </c>
      <c r="C8" s="26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5" t="n">
        <v>0</v>
      </c>
      <c r="I8" s="4">
        <f>IF(H8&gt;0.5,"oui","non")</f>
        <v/>
      </c>
      <c r="J8" s="27">
        <f>IF(Parametres!$C$87&lt;=0,0,C8/Parametres!$C$87)</f>
        <v/>
      </c>
    </row>
    <row r="9">
      <c r="A9" s="29">
        <f>Hydrogramme!A9</f>
        <v/>
      </c>
      <c r="B9" s="5">
        <f>Hydrogramme!C9</f>
        <v/>
      </c>
      <c r="C9" s="26">
        <f>$B$2</f>
        <v/>
      </c>
      <c r="D9" s="5">
        <f>B9-C9</f>
        <v/>
      </c>
      <c r="E9" s="29">
        <f>(A9-A8)*60</f>
        <v/>
      </c>
      <c r="F9" s="29">
        <f>0.5*(B8+B9)*E9</f>
        <v/>
      </c>
      <c r="G9" s="29">
        <f>F9-(H9-H8)</f>
        <v/>
      </c>
      <c r="H9" s="36">
        <f>MAX(0,H8+0.5*(D8+D9)*E9)</f>
        <v/>
      </c>
      <c r="I9" s="4">
        <f>IF(H9&gt;0.5,"oui","non")</f>
        <v/>
      </c>
      <c r="J9" s="27">
        <f>IF(Parametres!$C$87&lt;=0,0,C9/Parametres!$C$87)</f>
        <v/>
      </c>
    </row>
    <row r="10">
      <c r="A10" s="29">
        <f>Hydrogramme!A10</f>
        <v/>
      </c>
      <c r="B10" s="5">
        <f>Hydrogramme!C10</f>
        <v/>
      </c>
      <c r="C10" s="26">
        <f>$B$2</f>
        <v/>
      </c>
      <c r="D10" s="5">
        <f>B10-C10</f>
        <v/>
      </c>
      <c r="E10" s="29">
        <f>(A10-A9)*60</f>
        <v/>
      </c>
      <c r="F10" s="29">
        <f>0.5*(B9+B10)*E10</f>
        <v/>
      </c>
      <c r="G10" s="29">
        <f>F10-(H10-H9)</f>
        <v/>
      </c>
      <c r="H10" s="36">
        <f>MAX(0,H9+0.5*(D9+D10)*E10)</f>
        <v/>
      </c>
      <c r="I10" s="4">
        <f>IF(H10&gt;0.5,"oui","non")</f>
        <v/>
      </c>
      <c r="J10" s="27">
        <f>IF(Parametres!$C$87&lt;=0,0,C10/Parametres!$C$87)</f>
        <v/>
      </c>
    </row>
    <row r="11">
      <c r="A11" s="29">
        <f>Hydrogramme!A11</f>
        <v/>
      </c>
      <c r="B11" s="5">
        <f>Hydrogramme!C11</f>
        <v/>
      </c>
      <c r="C11" s="26">
        <f>$B$2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IF(Parametres!$C$87&lt;=0,0,C11/Parametres!$C$87)</f>
        <v/>
      </c>
    </row>
    <row r="12">
      <c r="A12" s="29">
        <f>Hydrogramme!A12</f>
        <v/>
      </c>
      <c r="B12" s="5">
        <f>Hydrogramme!C12</f>
        <v/>
      </c>
      <c r="C12" s="26">
        <f>$B$2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IF(Parametres!$C$87&lt;=0,0,C12/Parametres!$C$87)</f>
        <v/>
      </c>
    </row>
    <row r="13">
      <c r="A13" s="29">
        <f>Hydrogramme!A13</f>
        <v/>
      </c>
      <c r="B13" s="5">
        <f>Hydrogramme!C13</f>
        <v/>
      </c>
      <c r="C13" s="26">
        <f>$B$2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IF(Parametres!$C$87&lt;=0,0,C13/Parametres!$C$87)</f>
        <v/>
      </c>
    </row>
    <row r="14">
      <c r="A14" s="29">
        <f>Hydrogramme!A14</f>
        <v/>
      </c>
      <c r="B14" s="5">
        <f>Hydrogramme!C14</f>
        <v/>
      </c>
      <c r="C14" s="26">
        <f>$B$2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IF(Parametres!$C$87&lt;=0,0,C14/Parametres!$C$87)</f>
        <v/>
      </c>
    </row>
    <row r="15">
      <c r="A15" s="29">
        <f>Hydrogramme!A15</f>
        <v/>
      </c>
      <c r="B15" s="5">
        <f>Hydrogramme!C15</f>
        <v/>
      </c>
      <c r="C15" s="26">
        <f>$B$2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IF(Parametres!$C$87&lt;=0,0,C15/Parametres!$C$87)</f>
        <v/>
      </c>
    </row>
    <row r="16">
      <c r="A16" s="29">
        <f>Hydrogramme!A16</f>
        <v/>
      </c>
      <c r="B16" s="5">
        <f>Hydrogramme!C16</f>
        <v/>
      </c>
      <c r="C16" s="26">
        <f>$B$2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IF(Parametres!$C$87&lt;=0,0,C16/Parametres!$C$87)</f>
        <v/>
      </c>
    </row>
    <row r="17">
      <c r="A17" s="29">
        <f>Hydrogramme!A17</f>
        <v/>
      </c>
      <c r="B17" s="5">
        <f>Hydrogramme!C17</f>
        <v/>
      </c>
      <c r="C17" s="26">
        <f>$B$2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IF(Parametres!$C$87&lt;=0,0,C17/Parametres!$C$87)</f>
        <v/>
      </c>
    </row>
    <row r="18">
      <c r="A18" s="29">
        <f>Hydrogramme!A18</f>
        <v/>
      </c>
      <c r="B18" s="5">
        <f>Hydrogramme!C18</f>
        <v/>
      </c>
      <c r="C18" s="26">
        <f>$B$2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IF(Parametres!$C$87&lt;=0,0,C18/Parametres!$C$87)</f>
        <v/>
      </c>
    </row>
    <row r="19">
      <c r="A19" s="29">
        <f>Hydrogramme!A19</f>
        <v/>
      </c>
      <c r="B19" s="5">
        <f>Hydrogramme!C19</f>
        <v/>
      </c>
      <c r="C19" s="26">
        <f>$B$2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IF(Parametres!$C$87&lt;=0,0,C19/Parametres!$C$87)</f>
        <v/>
      </c>
    </row>
    <row r="20">
      <c r="A20" s="29">
        <f>Hydrogramme!A20</f>
        <v/>
      </c>
      <c r="B20" s="5">
        <f>Hydrogramme!C20</f>
        <v/>
      </c>
      <c r="C20" s="26">
        <f>$B$2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IF(Parametres!$C$87&lt;=0,0,C20/Parametres!$C$87)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8" customWidth="1" min="10" max="10"/>
  </cols>
  <sheetData>
    <row r="1">
      <c r="A1" s="24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0.022</v>
      </c>
      <c r="C6" t="inlineStr">
        <is>
          <t>TOG n=0,022 (ondulé galvanisé)</t>
        </is>
      </c>
      <c r="E6" s="37" t="inlineStr">
        <is>
          <t>entrée</t>
        </is>
      </c>
      <c r="F6" s="37" t="inlineStr">
        <is>
          <t>K</t>
        </is>
      </c>
      <c r="G6" s="37" t="inlineStr">
        <is>
          <t>M</t>
        </is>
      </c>
      <c r="H6" s="37" t="inlineStr">
        <is>
          <t>c</t>
        </is>
      </c>
      <c r="I6" s="37" t="inlineStr">
        <is>
          <t>Y</t>
        </is>
      </c>
      <c r="J6" s="37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8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9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31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40">
        <f>IFERROR(VLOOKUP(B13,$E$7:$J$9,2,FALSE),0.0098)</f>
        <v/>
      </c>
    </row>
    <row r="18">
      <c r="A18" t="inlineStr">
        <is>
          <t>M (lu)</t>
        </is>
      </c>
      <c r="B18" s="40">
        <f>IFERROR(VLOOKUP(B13,$E$7:$J$9,3,FALSE),2)</f>
        <v/>
      </c>
    </row>
    <row r="19">
      <c r="A19" t="inlineStr">
        <is>
          <t>c (lu)</t>
        </is>
      </c>
      <c r="B19" s="40">
        <f>IFERROR(VLOOKUP(B13,$E$7:$J$9,4,FALSE),0.0398)</f>
        <v/>
      </c>
    </row>
    <row r="20">
      <c r="A20" t="inlineStr">
        <is>
          <t>Y (lu)</t>
        </is>
      </c>
      <c r="B20" s="40">
        <f>IFERROR(VLOOKUP(B13,$E$7:$J$9,5,FALSE),0.67)</f>
        <v/>
      </c>
    </row>
    <row r="21">
      <c r="A21" t="inlineStr">
        <is>
          <t>Ke (lu)</t>
        </is>
      </c>
      <c r="B21" s="40">
        <f>IFERROR(VLOOKUP(B13,$E$7:$J$9,6,FALSE),0.5)</f>
        <v/>
      </c>
    </row>
    <row r="22">
      <c r="A22" t="inlineStr">
        <is>
          <t>V_gouv = Q_gouvernant / A_ecoul (segment circulaire si HW&lt;D, sinon A_plein)</t>
        </is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  <c r="G23" s="3" t="inlineStr">
        <is>
          <t>A_ecoul (m²)</t>
        </is>
      </c>
      <c r="H23" s="3" t="inlineStr">
        <is>
          <t>V_gouv (m/s)</t>
        </is>
      </c>
    </row>
    <row r="24">
      <c r="A24" s="26" t="n">
        <v>0</v>
      </c>
      <c r="B24" s="26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  <c r="G24" s="5">
        <f>IF(A24&lt;=0,0,IF(A24&lt;$B$7,(($B$7/2)^2/2)*((2*ACOS(1-2*(MIN(0.999,MAX(1E-6,A24/$B$7)))))-SIN(2*ACOS(1-2*(MIN(0.999,MAX(1E-6,A24/$B$7)))))),(PI()*($B$7/2)^2)))</f>
        <v/>
      </c>
      <c r="H24" s="27">
        <f>IF(G24&lt;=0,0,E24/G24)</f>
        <v/>
      </c>
    </row>
    <row r="25">
      <c r="A25" s="26" t="n">
        <v>0.05</v>
      </c>
      <c r="B25" s="26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  <c r="G25" s="5">
        <f>IF(A25&lt;=0,0,IF(A25&lt;$B$7,(($B$7/2)^2/2)*((2*ACOS(1-2*(MIN(0.999,MAX(1E-6,A25/$B$7)))))-SIN(2*ACOS(1-2*(MIN(0.999,MAX(1E-6,A25/$B$7)))))),(PI()*($B$7/2)^2)))</f>
        <v/>
      </c>
      <c r="H25" s="27">
        <f>IF(G25&lt;=0,0,E25/G25)</f>
        <v/>
      </c>
    </row>
    <row r="26">
      <c r="A26" s="26" t="n">
        <v>0.1</v>
      </c>
      <c r="B26" s="26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  <c r="G26" s="5">
        <f>IF(A26&lt;=0,0,IF(A26&lt;$B$7,(($B$7/2)^2/2)*((2*ACOS(1-2*(MIN(0.999,MAX(1E-6,A26/$B$7)))))-SIN(2*ACOS(1-2*(MIN(0.999,MAX(1E-6,A26/$B$7)))))),(PI()*($B$7/2)^2)))</f>
        <v/>
      </c>
      <c r="H26" s="27">
        <f>IF(G26&lt;=0,0,E26/G26)</f>
        <v/>
      </c>
    </row>
    <row r="27">
      <c r="A27" s="26" t="n">
        <v>0.15</v>
      </c>
      <c r="B27" s="26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  <c r="G27" s="5">
        <f>IF(A27&lt;=0,0,IF(A27&lt;$B$7,(($B$7/2)^2/2)*((2*ACOS(1-2*(MIN(0.999,MAX(1E-6,A27/$B$7)))))-SIN(2*ACOS(1-2*(MIN(0.999,MAX(1E-6,A27/$B$7)))))),(PI()*($B$7/2)^2)))</f>
        <v/>
      </c>
      <c r="H27" s="27">
        <f>IF(G27&lt;=0,0,E27/G27)</f>
        <v/>
      </c>
    </row>
    <row r="28">
      <c r="A28" s="26" t="n">
        <v>0.2</v>
      </c>
      <c r="B28" s="26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  <c r="G28" s="5">
        <f>IF(A28&lt;=0,0,IF(A28&lt;$B$7,(($B$7/2)^2/2)*((2*ACOS(1-2*(MIN(0.999,MAX(1E-6,A28/$B$7)))))-SIN(2*ACOS(1-2*(MIN(0.999,MAX(1E-6,A28/$B$7)))))),(PI()*($B$7/2)^2)))</f>
        <v/>
      </c>
      <c r="H28" s="27">
        <f>IF(G28&lt;=0,0,E28/G28)</f>
        <v/>
      </c>
    </row>
    <row r="29">
      <c r="A29" s="26" t="n">
        <v>0.25</v>
      </c>
      <c r="B29" s="26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  <c r="G29" s="5">
        <f>IF(A29&lt;=0,0,IF(A29&lt;$B$7,(($B$7/2)^2/2)*((2*ACOS(1-2*(MIN(0.999,MAX(1E-6,A29/$B$7)))))-SIN(2*ACOS(1-2*(MIN(0.999,MAX(1E-6,A29/$B$7)))))),(PI()*($B$7/2)^2)))</f>
        <v/>
      </c>
      <c r="H29" s="27">
        <f>IF(G29&lt;=0,0,E29/G29)</f>
        <v/>
      </c>
    </row>
    <row r="30">
      <c r="A30" s="26" t="n">
        <v>0.3</v>
      </c>
      <c r="B30" s="26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  <c r="G30" s="5">
        <f>IF(A30&lt;=0,0,IF(A30&lt;$B$7,(($B$7/2)^2/2)*((2*ACOS(1-2*(MIN(0.999,MAX(1E-6,A30/$B$7)))))-SIN(2*ACOS(1-2*(MIN(0.999,MAX(1E-6,A30/$B$7)))))),(PI()*($B$7/2)^2)))</f>
        <v/>
      </c>
      <c r="H30" s="27">
        <f>IF(G30&lt;=0,0,E30/G30)</f>
        <v/>
      </c>
    </row>
    <row r="31">
      <c r="A31" s="26" t="n">
        <v>0.35</v>
      </c>
      <c r="B31" s="26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  <c r="G31" s="5">
        <f>IF(A31&lt;=0,0,IF(A31&lt;$B$7,(($B$7/2)^2/2)*((2*ACOS(1-2*(MIN(0.999,MAX(1E-6,A31/$B$7)))))-SIN(2*ACOS(1-2*(MIN(0.999,MAX(1E-6,A31/$B$7)))))),(PI()*($B$7/2)^2)))</f>
        <v/>
      </c>
      <c r="H31" s="27">
        <f>IF(G31&lt;=0,0,E31/G31)</f>
        <v/>
      </c>
    </row>
    <row r="32">
      <c r="A32" s="26" t="n">
        <v>0.4</v>
      </c>
      <c r="B32" s="26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  <c r="G32" s="5">
        <f>IF(A32&lt;=0,0,IF(A32&lt;$B$7,(($B$7/2)^2/2)*((2*ACOS(1-2*(MIN(0.999,MAX(1E-6,A32/$B$7)))))-SIN(2*ACOS(1-2*(MIN(0.999,MAX(1E-6,A32/$B$7)))))),(PI()*($B$7/2)^2)))</f>
        <v/>
      </c>
      <c r="H32" s="27">
        <f>IF(G32&lt;=0,0,E32/G32)</f>
        <v/>
      </c>
    </row>
    <row r="33">
      <c r="A33" s="26" t="n">
        <v>0.45</v>
      </c>
      <c r="B33" s="26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  <c r="G33" s="5">
        <f>IF(A33&lt;=0,0,IF(A33&lt;$B$7,(($B$7/2)^2/2)*((2*ACOS(1-2*(MIN(0.999,MAX(1E-6,A33/$B$7)))))-SIN(2*ACOS(1-2*(MIN(0.999,MAX(1E-6,A33/$B$7)))))),(PI()*($B$7/2)^2)))</f>
        <v/>
      </c>
      <c r="H33" s="27">
        <f>IF(G33&lt;=0,0,E33/G33)</f>
        <v/>
      </c>
    </row>
    <row r="34">
      <c r="A34" s="26" t="n">
        <v>0.5</v>
      </c>
      <c r="B34" s="26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  <c r="G34" s="5">
        <f>IF(A34&lt;=0,0,IF(A34&lt;$B$7,(($B$7/2)^2/2)*((2*ACOS(1-2*(MIN(0.999,MAX(1E-6,A34/$B$7)))))-SIN(2*ACOS(1-2*(MIN(0.999,MAX(1E-6,A34/$B$7)))))),(PI()*($B$7/2)^2)))</f>
        <v/>
      </c>
      <c r="H34" s="27">
        <f>IF(G34&lt;=0,0,E34/G34)</f>
        <v/>
      </c>
    </row>
    <row r="35">
      <c r="A35" s="26" t="n">
        <v>0.55</v>
      </c>
      <c r="B35" s="26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  <c r="G35" s="5">
        <f>IF(A35&lt;=0,0,IF(A35&lt;$B$7,(($B$7/2)^2/2)*((2*ACOS(1-2*(MIN(0.999,MAX(1E-6,A35/$B$7)))))-SIN(2*ACOS(1-2*(MIN(0.999,MAX(1E-6,A35/$B$7)))))),(PI()*($B$7/2)^2)))</f>
        <v/>
      </c>
      <c r="H35" s="27">
        <f>IF(G35&lt;=0,0,E35/G35)</f>
        <v/>
      </c>
    </row>
    <row r="36">
      <c r="A36" s="26" t="n">
        <v>0.6</v>
      </c>
      <c r="B36" s="26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  <c r="G36" s="5">
        <f>IF(A36&lt;=0,0,IF(A36&lt;$B$7,(($B$7/2)^2/2)*((2*ACOS(1-2*(MIN(0.999,MAX(1E-6,A36/$B$7)))))-SIN(2*ACOS(1-2*(MIN(0.999,MAX(1E-6,A36/$B$7)))))),(PI()*($B$7/2)^2)))</f>
        <v/>
      </c>
      <c r="H36" s="27">
        <f>IF(G36&lt;=0,0,E36/G36)</f>
        <v/>
      </c>
    </row>
    <row r="37">
      <c r="A37" s="26" t="n">
        <v>0.65</v>
      </c>
      <c r="B37" s="26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  <c r="G37" s="5">
        <f>IF(A37&lt;=0,0,IF(A37&lt;$B$7,(($B$7/2)^2/2)*((2*ACOS(1-2*(MIN(0.999,MAX(1E-6,A37/$B$7)))))-SIN(2*ACOS(1-2*(MIN(0.999,MAX(1E-6,A37/$B$7)))))),(PI()*($B$7/2)^2)))</f>
        <v/>
      </c>
      <c r="H37" s="27">
        <f>IF(G37&lt;=0,0,E37/G37)</f>
        <v/>
      </c>
    </row>
    <row r="38">
      <c r="A38" s="26" t="n">
        <v>0.7</v>
      </c>
      <c r="B38" s="26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  <c r="G38" s="5">
        <f>IF(A38&lt;=0,0,IF(A38&lt;$B$7,(($B$7/2)^2/2)*((2*ACOS(1-2*(MIN(0.999,MAX(1E-6,A38/$B$7)))))-SIN(2*ACOS(1-2*(MIN(0.999,MAX(1E-6,A38/$B$7)))))),(PI()*($B$7/2)^2)))</f>
        <v/>
      </c>
      <c r="H38" s="27">
        <f>IF(G38&lt;=0,0,E38/G38)</f>
        <v/>
      </c>
    </row>
    <row r="39">
      <c r="A39" s="26" t="n">
        <v>0.75</v>
      </c>
      <c r="B39" s="26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  <c r="G39" s="5">
        <f>IF(A39&lt;=0,0,IF(A39&lt;$B$7,(($B$7/2)^2/2)*((2*ACOS(1-2*(MIN(0.999,MAX(1E-6,A39/$B$7)))))-SIN(2*ACOS(1-2*(MIN(0.999,MAX(1E-6,A39/$B$7)))))),(PI()*($B$7/2)^2)))</f>
        <v/>
      </c>
      <c r="H39" s="27">
        <f>IF(G39&lt;=0,0,E39/G39)</f>
        <v/>
      </c>
    </row>
    <row r="40">
      <c r="A40" s="26" t="n">
        <v>0.8</v>
      </c>
      <c r="B40" s="26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  <c r="G40" s="5">
        <f>IF(A40&lt;=0,0,IF(A40&lt;$B$7,(($B$7/2)^2/2)*((2*ACOS(1-2*(MIN(0.999,MAX(1E-6,A40/$B$7)))))-SIN(2*ACOS(1-2*(MIN(0.999,MAX(1E-6,A40/$B$7)))))),(PI()*($B$7/2)^2)))</f>
        <v/>
      </c>
      <c r="H40" s="27">
        <f>IF(G40&lt;=0,0,E40/G40)</f>
        <v/>
      </c>
    </row>
    <row r="41">
      <c r="A41" s="26" t="n">
        <v>0.85</v>
      </c>
      <c r="B41" s="26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  <c r="G41" s="5">
        <f>IF(A41&lt;=0,0,IF(A41&lt;$B$7,(($B$7/2)^2/2)*((2*ACOS(1-2*(MIN(0.999,MAX(1E-6,A41/$B$7)))))-SIN(2*ACOS(1-2*(MIN(0.999,MAX(1E-6,A41/$B$7)))))),(PI()*($B$7/2)^2)))</f>
        <v/>
      </c>
      <c r="H41" s="27">
        <f>IF(G41&lt;=0,0,E41/G41)</f>
        <v/>
      </c>
    </row>
    <row r="42">
      <c r="A42" s="26" t="n">
        <v>0.9</v>
      </c>
      <c r="B42" s="26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  <c r="G42" s="5">
        <f>IF(A42&lt;=0,0,IF(A42&lt;$B$7,(($B$7/2)^2/2)*((2*ACOS(1-2*(MIN(0.999,MAX(1E-6,A42/$B$7)))))-SIN(2*ACOS(1-2*(MIN(0.999,MAX(1E-6,A42/$B$7)))))),(PI()*($B$7/2)^2)))</f>
        <v/>
      </c>
      <c r="H42" s="27">
        <f>IF(G42&lt;=0,0,E42/G42)</f>
        <v/>
      </c>
    </row>
    <row r="43">
      <c r="A43" s="26" t="n">
        <v>0.95</v>
      </c>
      <c r="B43" s="26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  <c r="G43" s="5">
        <f>IF(A43&lt;=0,0,IF(A43&lt;$B$7,(($B$7/2)^2/2)*((2*ACOS(1-2*(MIN(0.999,MAX(1E-6,A43/$B$7)))))-SIN(2*ACOS(1-2*(MIN(0.999,MAX(1E-6,A43/$B$7)))))),(PI()*($B$7/2)^2)))</f>
        <v/>
      </c>
      <c r="H43" s="27">
        <f>IF(G43&lt;=0,0,E43/G43)</f>
        <v/>
      </c>
    </row>
    <row r="44">
      <c r="A44" s="26" t="n">
        <v>1</v>
      </c>
      <c r="B44" s="26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  <c r="G44" s="5">
        <f>IF(A44&lt;=0,0,IF(A44&lt;$B$7,(($B$7/2)^2/2)*((2*ACOS(1-2*(MIN(0.999,MAX(1E-6,A44/$B$7)))))-SIN(2*ACOS(1-2*(MIN(0.999,MAX(1E-6,A44/$B$7)))))),(PI()*($B$7/2)^2)))</f>
        <v/>
      </c>
      <c r="H44" s="27">
        <f>IF(G44&lt;=0,0,E44/G44)</f>
        <v/>
      </c>
    </row>
    <row r="45">
      <c r="A45" s="26" t="n">
        <v>1.05</v>
      </c>
      <c r="B45" s="26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  <c r="G45" s="5">
        <f>IF(A45&lt;=0,0,IF(A45&lt;$B$7,(($B$7/2)^2/2)*((2*ACOS(1-2*(MIN(0.999,MAX(1E-6,A45/$B$7)))))-SIN(2*ACOS(1-2*(MIN(0.999,MAX(1E-6,A45/$B$7)))))),(PI()*($B$7/2)^2)))</f>
        <v/>
      </c>
      <c r="H45" s="27">
        <f>IF(G45&lt;=0,0,E45/G45)</f>
        <v/>
      </c>
    </row>
    <row r="46">
      <c r="A46" s="26" t="n">
        <v>1.1</v>
      </c>
      <c r="B46" s="26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  <c r="G46" s="5">
        <f>IF(A46&lt;=0,0,IF(A46&lt;$B$7,(($B$7/2)^2/2)*((2*ACOS(1-2*(MIN(0.999,MAX(1E-6,A46/$B$7)))))-SIN(2*ACOS(1-2*(MIN(0.999,MAX(1E-6,A46/$B$7)))))),(PI()*($B$7/2)^2)))</f>
        <v/>
      </c>
      <c r="H46" s="27">
        <f>IF(G46&lt;=0,0,E46/G46)</f>
        <v/>
      </c>
    </row>
    <row r="47">
      <c r="A47" s="26" t="n">
        <v>1.15</v>
      </c>
      <c r="B47" s="26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  <c r="G47" s="5">
        <f>IF(A47&lt;=0,0,IF(A47&lt;$B$7,(($B$7/2)^2/2)*((2*ACOS(1-2*(MIN(0.999,MAX(1E-6,A47/$B$7)))))-SIN(2*ACOS(1-2*(MIN(0.999,MAX(1E-6,A47/$B$7)))))),(PI()*($B$7/2)^2)))</f>
        <v/>
      </c>
      <c r="H47" s="27">
        <f>IF(G47&lt;=0,0,E47/G47)</f>
        <v/>
      </c>
    </row>
    <row r="48">
      <c r="A48" s="26" t="n">
        <v>1.2</v>
      </c>
      <c r="B48" s="26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  <c r="G48" s="5">
        <f>IF(A48&lt;=0,0,IF(A48&lt;$B$7,(($B$7/2)^2/2)*((2*ACOS(1-2*(MIN(0.999,MAX(1E-6,A48/$B$7)))))-SIN(2*ACOS(1-2*(MIN(0.999,MAX(1E-6,A48/$B$7)))))),(PI()*($B$7/2)^2)))</f>
        <v/>
      </c>
      <c r="H48" s="27">
        <f>IF(G48&lt;=0,0,E48/G48)</f>
        <v/>
      </c>
    </row>
    <row r="49">
      <c r="A49" s="26" t="n">
        <v>1.25</v>
      </c>
      <c r="B49" s="26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  <c r="G49" s="5">
        <f>IF(A49&lt;=0,0,IF(A49&lt;$B$7,(($B$7/2)^2/2)*((2*ACOS(1-2*(MIN(0.999,MAX(1E-6,A49/$B$7)))))-SIN(2*ACOS(1-2*(MIN(0.999,MAX(1E-6,A49/$B$7)))))),(PI()*($B$7/2)^2)))</f>
        <v/>
      </c>
      <c r="H49" s="27">
        <f>IF(G49&lt;=0,0,E49/G49)</f>
        <v/>
      </c>
    </row>
    <row r="50">
      <c r="A50" s="26" t="n">
        <v>1.3</v>
      </c>
      <c r="B50" s="26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  <c r="G50" s="5">
        <f>IF(A50&lt;=0,0,IF(A50&lt;$B$7,(($B$7/2)^2/2)*((2*ACOS(1-2*(MIN(0.999,MAX(1E-6,A50/$B$7)))))-SIN(2*ACOS(1-2*(MIN(0.999,MAX(1E-6,A50/$B$7)))))),(PI()*($B$7/2)^2)))</f>
        <v/>
      </c>
      <c r="H50" s="27">
        <f>IF(G50&lt;=0,0,E50/G50)</f>
        <v/>
      </c>
    </row>
    <row r="51">
      <c r="A51" s="26" t="n">
        <v>1.35</v>
      </c>
      <c r="B51" s="26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  <c r="G51" s="5">
        <f>IF(A51&lt;=0,0,IF(A51&lt;$B$7,(($B$7/2)^2/2)*((2*ACOS(1-2*(MIN(0.999,MAX(1E-6,A51/$B$7)))))-SIN(2*ACOS(1-2*(MIN(0.999,MAX(1E-6,A51/$B$7)))))),(PI()*($B$7/2)^2)))</f>
        <v/>
      </c>
      <c r="H51" s="27">
        <f>IF(G51&lt;=0,0,E51/G51)</f>
        <v/>
      </c>
    </row>
    <row r="52">
      <c r="A52" s="26" t="n">
        <v>1.4</v>
      </c>
      <c r="B52" s="26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  <c r="G52" s="5">
        <f>IF(A52&lt;=0,0,IF(A52&lt;$B$7,(($B$7/2)^2/2)*((2*ACOS(1-2*(MIN(0.999,MAX(1E-6,A52/$B$7)))))-SIN(2*ACOS(1-2*(MIN(0.999,MAX(1E-6,A52/$B$7)))))),(PI()*($B$7/2)^2)))</f>
        <v/>
      </c>
      <c r="H52" s="27">
        <f>IF(G52&lt;=0,0,E52/G52)</f>
        <v/>
      </c>
    </row>
    <row r="53">
      <c r="A53" s="26" t="n">
        <v>1.45</v>
      </c>
      <c r="B53" s="26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  <c r="G53" s="5">
        <f>IF(A53&lt;=0,0,IF(A53&lt;$B$7,(($B$7/2)^2/2)*((2*ACOS(1-2*(MIN(0.999,MAX(1E-6,A53/$B$7)))))-SIN(2*ACOS(1-2*(MIN(0.999,MAX(1E-6,A53/$B$7)))))),(PI()*($B$7/2)^2)))</f>
        <v/>
      </c>
      <c r="H53" s="27">
        <f>IF(G53&lt;=0,0,E53/G53)</f>
        <v/>
      </c>
    </row>
    <row r="54">
      <c r="A54" s="26" t="n">
        <v>1.5</v>
      </c>
      <c r="B54" s="26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  <c r="G54" s="5">
        <f>IF(A54&lt;=0,0,IF(A54&lt;$B$7,(($B$7/2)^2/2)*((2*ACOS(1-2*(MIN(0.999,MAX(1E-6,A54/$B$7)))))-SIN(2*ACOS(1-2*(MIN(0.999,MAX(1E-6,A54/$B$7)))))),(PI()*($B$7/2)^2)))</f>
        <v/>
      </c>
      <c r="H54" s="27">
        <f>IF(G54&lt;=0,0,E54/G54)</f>
        <v/>
      </c>
    </row>
    <row r="55">
      <c r="A55" s="26" t="n">
        <v>1.55</v>
      </c>
      <c r="B55" s="26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  <c r="G55" s="5">
        <f>IF(A55&lt;=0,0,IF(A55&lt;$B$7,(($B$7/2)^2/2)*((2*ACOS(1-2*(MIN(0.999,MAX(1E-6,A55/$B$7)))))-SIN(2*ACOS(1-2*(MIN(0.999,MAX(1E-6,A55/$B$7)))))),(PI()*($B$7/2)^2)))</f>
        <v/>
      </c>
      <c r="H55" s="27">
        <f>IF(G55&lt;=0,0,E55/G55)</f>
        <v/>
      </c>
    </row>
    <row r="56">
      <c r="A56" s="26" t="n">
        <v>1.6</v>
      </c>
      <c r="B56" s="26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  <c r="G56" s="5">
        <f>IF(A56&lt;=0,0,IF(A56&lt;$B$7,(($B$7/2)^2/2)*((2*ACOS(1-2*(MIN(0.999,MAX(1E-6,A56/$B$7)))))-SIN(2*ACOS(1-2*(MIN(0.999,MAX(1E-6,A56/$B$7)))))),(PI()*($B$7/2)^2)))</f>
        <v/>
      </c>
      <c r="H56" s="27">
        <f>IF(G56&lt;=0,0,E56/G56)</f>
        <v/>
      </c>
    </row>
    <row r="57">
      <c r="A57" s="26" t="n">
        <v>1.65</v>
      </c>
      <c r="B57" s="26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  <c r="G57" s="5">
        <f>IF(A57&lt;=0,0,IF(A57&lt;$B$7,(($B$7/2)^2/2)*((2*ACOS(1-2*(MIN(0.999,MAX(1E-6,A57/$B$7)))))-SIN(2*ACOS(1-2*(MIN(0.999,MAX(1E-6,A57/$B$7)))))),(PI()*($B$7/2)^2)))</f>
        <v/>
      </c>
      <c r="H57" s="27">
        <f>IF(G57&lt;=0,0,E57/G57)</f>
        <v/>
      </c>
    </row>
    <row r="58">
      <c r="A58" s="26" t="n">
        <v>1.7</v>
      </c>
      <c r="B58" s="26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  <c r="G58" s="5">
        <f>IF(A58&lt;=0,0,IF(A58&lt;$B$7,(($B$7/2)^2/2)*((2*ACOS(1-2*(MIN(0.999,MAX(1E-6,A58/$B$7)))))-SIN(2*ACOS(1-2*(MIN(0.999,MAX(1E-6,A58/$B$7)))))),(PI()*($B$7/2)^2)))</f>
        <v/>
      </c>
      <c r="H58" s="27">
        <f>IF(G58&lt;=0,0,E58/G58)</f>
        <v/>
      </c>
    </row>
    <row r="59">
      <c r="A59" s="26" t="n">
        <v>1.75</v>
      </c>
      <c r="B59" s="26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  <c r="G59" s="5">
        <f>IF(A59&lt;=0,0,IF(A59&lt;$B$7,(($B$7/2)^2/2)*((2*ACOS(1-2*(MIN(0.999,MAX(1E-6,A59/$B$7)))))-SIN(2*ACOS(1-2*(MIN(0.999,MAX(1E-6,A59/$B$7)))))),(PI()*($B$7/2)^2)))</f>
        <v/>
      </c>
      <c r="H59" s="27">
        <f>IF(G59&lt;=0,0,E59/G59)</f>
        <v/>
      </c>
    </row>
    <row r="60">
      <c r="A60" s="26" t="n">
        <v>1.8</v>
      </c>
      <c r="B60" s="26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  <c r="G60" s="5">
        <f>IF(A60&lt;=0,0,IF(A60&lt;$B$7,(($B$7/2)^2/2)*((2*ACOS(1-2*(MIN(0.999,MAX(1E-6,A60/$B$7)))))-SIN(2*ACOS(1-2*(MIN(0.999,MAX(1E-6,A60/$B$7)))))),(PI()*($B$7/2)^2)))</f>
        <v/>
      </c>
      <c r="H60" s="27">
        <f>IF(G60&lt;=0,0,E60/G60)</f>
        <v/>
      </c>
    </row>
    <row r="61">
      <c r="A61" s="26" t="n">
        <v>1.85</v>
      </c>
      <c r="B61" s="26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  <c r="G61" s="5">
        <f>IF(A61&lt;=0,0,IF(A61&lt;$B$7,(($B$7/2)^2/2)*((2*ACOS(1-2*(MIN(0.999,MAX(1E-6,A61/$B$7)))))-SIN(2*ACOS(1-2*(MIN(0.999,MAX(1E-6,A61/$B$7)))))),(PI()*($B$7/2)^2)))</f>
        <v/>
      </c>
      <c r="H61" s="27">
        <f>IF(G61&lt;=0,0,E61/G61)</f>
        <v/>
      </c>
    </row>
    <row r="62">
      <c r="A62" s="26" t="n">
        <v>1.9</v>
      </c>
      <c r="B62" s="26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  <c r="G62" s="5">
        <f>IF(A62&lt;=0,0,IF(A62&lt;$B$7,(($B$7/2)^2/2)*((2*ACOS(1-2*(MIN(0.999,MAX(1E-6,A62/$B$7)))))-SIN(2*ACOS(1-2*(MIN(0.999,MAX(1E-6,A62/$B$7)))))),(PI()*($B$7/2)^2)))</f>
        <v/>
      </c>
      <c r="H62" s="27">
        <f>IF(G62&lt;=0,0,E62/G62)</f>
        <v/>
      </c>
    </row>
    <row r="63">
      <c r="A63" s="26" t="n">
        <v>1.95</v>
      </c>
      <c r="B63" s="26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  <c r="G63" s="5">
        <f>IF(A63&lt;=0,0,IF(A63&lt;$B$7,(($B$7/2)^2/2)*((2*ACOS(1-2*(MIN(0.999,MAX(1E-6,A63/$B$7)))))-SIN(2*ACOS(1-2*(MIN(0.999,MAX(1E-6,A63/$B$7)))))),(PI()*($B$7/2)^2)))</f>
        <v/>
      </c>
      <c r="H63" s="27">
        <f>IF(G63&lt;=0,0,E63/G63)</f>
        <v/>
      </c>
    </row>
    <row r="64">
      <c r="A64" s="26" t="n">
        <v>2</v>
      </c>
      <c r="B64" s="26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  <c r="G64" s="5">
        <f>IF(A64&lt;=0,0,IF(A64&lt;$B$7,(($B$7/2)^2/2)*((2*ACOS(1-2*(MIN(0.999,MAX(1E-6,A64/$B$7)))))-SIN(2*ACOS(1-2*(MIN(0.999,MAX(1E-6,A64/$B$7)))))),(PI()*($B$7/2)^2)))</f>
        <v/>
      </c>
      <c r="H64" s="27">
        <f>IF(G64&lt;=0,0,E64/G64)</f>
        <v/>
      </c>
    </row>
    <row r="65">
      <c r="A65" s="26" t="n">
        <v>2.05</v>
      </c>
      <c r="B65" s="26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  <c r="G65" s="5">
        <f>IF(A65&lt;=0,0,IF(A65&lt;$B$7,(($B$7/2)^2/2)*((2*ACOS(1-2*(MIN(0.999,MAX(1E-6,A65/$B$7)))))-SIN(2*ACOS(1-2*(MIN(0.999,MAX(1E-6,A65/$B$7)))))),(PI()*($B$7/2)^2)))</f>
        <v/>
      </c>
      <c r="H65" s="27">
        <f>IF(G65&lt;=0,0,E65/G65)</f>
        <v/>
      </c>
    </row>
    <row r="66">
      <c r="A66" s="26" t="n">
        <v>2.1</v>
      </c>
      <c r="B66" s="26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  <c r="G66" s="5">
        <f>IF(A66&lt;=0,0,IF(A66&lt;$B$7,(($B$7/2)^2/2)*((2*ACOS(1-2*(MIN(0.999,MAX(1E-6,A66/$B$7)))))-SIN(2*ACOS(1-2*(MIN(0.999,MAX(1E-6,A66/$B$7)))))),(PI()*($B$7/2)^2)))</f>
        <v/>
      </c>
      <c r="H66" s="27">
        <f>IF(G66&lt;=0,0,E66/G66)</f>
        <v/>
      </c>
    </row>
    <row r="67">
      <c r="A67" s="26" t="n">
        <v>2.15</v>
      </c>
      <c r="B67" s="26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  <c r="G67" s="5">
        <f>IF(A67&lt;=0,0,IF(A67&lt;$B$7,(($B$7/2)^2/2)*((2*ACOS(1-2*(MIN(0.999,MAX(1E-6,A67/$B$7)))))-SIN(2*ACOS(1-2*(MIN(0.999,MAX(1E-6,A67/$B$7)))))),(PI()*($B$7/2)^2)))</f>
        <v/>
      </c>
      <c r="H67" s="27">
        <f>IF(G67&lt;=0,0,E67/G67)</f>
        <v/>
      </c>
    </row>
    <row r="68">
      <c r="A68" s="26" t="n">
        <v>2.2</v>
      </c>
      <c r="B68" s="26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  <c r="G68" s="5">
        <f>IF(A68&lt;=0,0,IF(A68&lt;$B$7,(($B$7/2)^2/2)*((2*ACOS(1-2*(MIN(0.999,MAX(1E-6,A68/$B$7)))))-SIN(2*ACOS(1-2*(MIN(0.999,MAX(1E-6,A68/$B$7)))))),(PI()*($B$7/2)^2)))</f>
        <v/>
      </c>
      <c r="H68" s="27">
        <f>IF(G68&lt;=0,0,E68/G68)</f>
        <v/>
      </c>
    </row>
    <row r="69">
      <c r="A69" s="26" t="n">
        <v>2.25</v>
      </c>
      <c r="B69" s="26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  <c r="G69" s="5">
        <f>IF(A69&lt;=0,0,IF(A69&lt;$B$7,(($B$7/2)^2/2)*((2*ACOS(1-2*(MIN(0.999,MAX(1E-6,A69/$B$7)))))-SIN(2*ACOS(1-2*(MIN(0.999,MAX(1E-6,A69/$B$7)))))),(PI()*($B$7/2)^2)))</f>
        <v/>
      </c>
      <c r="H69" s="27">
        <f>IF(G69&lt;=0,0,E69/G69)</f>
        <v/>
      </c>
    </row>
    <row r="70">
      <c r="A70" s="26" t="n">
        <v>2.3</v>
      </c>
      <c r="B70" s="26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  <c r="G70" s="5">
        <f>IF(A70&lt;=0,0,IF(A70&lt;$B$7,(($B$7/2)^2/2)*((2*ACOS(1-2*(MIN(0.999,MAX(1E-6,A70/$B$7)))))-SIN(2*ACOS(1-2*(MIN(0.999,MAX(1E-6,A70/$B$7)))))),(PI()*($B$7/2)^2)))</f>
        <v/>
      </c>
      <c r="H70" s="27">
        <f>IF(G70&lt;=0,0,E70/G70)</f>
        <v/>
      </c>
    </row>
    <row r="71">
      <c r="A71" s="26" t="n">
        <v>2.35</v>
      </c>
      <c r="B71" s="26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  <c r="G71" s="5">
        <f>IF(A71&lt;=0,0,IF(A71&lt;$B$7,(($B$7/2)^2/2)*((2*ACOS(1-2*(MIN(0.999,MAX(1E-6,A71/$B$7)))))-SIN(2*ACOS(1-2*(MIN(0.999,MAX(1E-6,A71/$B$7)))))),(PI()*($B$7/2)^2)))</f>
        <v/>
      </c>
      <c r="H71" s="27">
        <f>IF(G71&lt;=0,0,E71/G71)</f>
        <v/>
      </c>
    </row>
    <row r="72">
      <c r="A72" s="41" t="n">
        <v>2.4</v>
      </c>
      <c r="B72" s="41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  <c r="G72" s="8">
        <f>IF(A72&lt;=0,0,IF(A72&lt;$B$7,(($B$7/2)^2/2)*((2*ACOS(1-2*(MIN(0.999,MAX(1E-6,A72/$B$7)))))-SIN(2*ACOS(1-2*(MIN(0.999,MAX(1E-6,A72/$B$7)))))),(PI()*($B$7/2)^2)))</f>
        <v/>
      </c>
      <c r="H72" s="41">
        <f>IF(G72&lt;=0,0,E72/G72)</f>
        <v/>
      </c>
    </row>
    <row r="73">
      <c r="A73" s="26" t="n">
        <v>2.45</v>
      </c>
      <c r="B73" s="26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  <c r="G73" s="5">
        <f>IF(A73&lt;=0,0,IF(A73&lt;$B$7,(($B$7/2)^2/2)*((2*ACOS(1-2*(MIN(0.999,MAX(1E-6,A73/$B$7)))))-SIN(2*ACOS(1-2*(MIN(0.999,MAX(1E-6,A73/$B$7)))))),(PI()*($B$7/2)^2)))</f>
        <v/>
      </c>
      <c r="H73" s="27">
        <f>IF(G73&lt;=0,0,E73/G73)</f>
        <v/>
      </c>
    </row>
    <row r="74">
      <c r="A74" s="26" t="n">
        <v>2.5</v>
      </c>
      <c r="B74" s="26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  <c r="G74" s="5">
        <f>IF(A74&lt;=0,0,IF(A74&lt;$B$7,(($B$7/2)^2/2)*((2*ACOS(1-2*(MIN(0.999,MAX(1E-6,A74/$B$7)))))-SIN(2*ACOS(1-2*(MIN(0.999,MAX(1E-6,A74/$B$7)))))),(PI()*($B$7/2)^2)))</f>
        <v/>
      </c>
      <c r="H74" s="27">
        <f>IF(G74&lt;=0,0,E74/G74)</f>
        <v/>
      </c>
    </row>
    <row r="75">
      <c r="A75" s="26" t="n">
        <v>2.55</v>
      </c>
      <c r="B75" s="26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  <c r="G75" s="5">
        <f>IF(A75&lt;=0,0,IF(A75&lt;$B$7,(($B$7/2)^2/2)*((2*ACOS(1-2*(MIN(0.999,MAX(1E-6,A75/$B$7)))))-SIN(2*ACOS(1-2*(MIN(0.999,MAX(1E-6,A75/$B$7)))))),(PI()*($B$7/2)^2)))</f>
        <v/>
      </c>
      <c r="H75" s="27">
        <f>IF(G75&lt;=0,0,E75/G75)</f>
        <v/>
      </c>
    </row>
    <row r="76">
      <c r="A76" s="26" t="n">
        <v>2.6</v>
      </c>
      <c r="B76" s="26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  <c r="G76" s="5">
        <f>IF(A76&lt;=0,0,IF(A76&lt;$B$7,(($B$7/2)^2/2)*((2*ACOS(1-2*(MIN(0.999,MAX(1E-6,A76/$B$7)))))-SIN(2*ACOS(1-2*(MIN(0.999,MAX(1E-6,A76/$B$7)))))),(PI()*($B$7/2)^2)))</f>
        <v/>
      </c>
      <c r="H76" s="27">
        <f>IF(G76&lt;=0,0,E76/G76)</f>
        <v/>
      </c>
    </row>
    <row r="77">
      <c r="A77" s="26" t="n">
        <v>2.65</v>
      </c>
      <c r="B77" s="26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  <c r="G77" s="5">
        <f>IF(A77&lt;=0,0,IF(A77&lt;$B$7,(($B$7/2)^2/2)*((2*ACOS(1-2*(MIN(0.999,MAX(1E-6,A77/$B$7)))))-SIN(2*ACOS(1-2*(MIN(0.999,MAX(1E-6,A77/$B$7)))))),(PI()*($B$7/2)^2)))</f>
        <v/>
      </c>
      <c r="H77" s="27">
        <f>IF(G77&lt;=0,0,E77/G77)</f>
        <v/>
      </c>
    </row>
    <row r="78">
      <c r="A78" s="26" t="n">
        <v>2.7</v>
      </c>
      <c r="B78" s="26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  <c r="G78" s="5">
        <f>IF(A78&lt;=0,0,IF(A78&lt;$B$7,(($B$7/2)^2/2)*((2*ACOS(1-2*(MIN(0.999,MAX(1E-6,A78/$B$7)))))-SIN(2*ACOS(1-2*(MIN(0.999,MAX(1E-6,A78/$B$7)))))),(PI()*($B$7/2)^2)))</f>
        <v/>
      </c>
      <c r="H78" s="27">
        <f>IF(G78&lt;=0,0,E78/G78)</f>
        <v/>
      </c>
    </row>
    <row r="79">
      <c r="A79" s="26" t="n">
        <v>2.75</v>
      </c>
      <c r="B79" s="26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  <c r="G79" s="5">
        <f>IF(A79&lt;=0,0,IF(A79&lt;$B$7,(($B$7/2)^2/2)*((2*ACOS(1-2*(MIN(0.999,MAX(1E-6,A79/$B$7)))))-SIN(2*ACOS(1-2*(MIN(0.999,MAX(1E-6,A79/$B$7)))))),(PI()*($B$7/2)^2)))</f>
        <v/>
      </c>
      <c r="H79" s="27">
        <f>IF(G79&lt;=0,0,E79/G79)</f>
        <v/>
      </c>
    </row>
    <row r="80">
      <c r="A80" s="26" t="n">
        <v>2.8</v>
      </c>
      <c r="B80" s="26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  <c r="G80" s="5">
        <f>IF(A80&lt;=0,0,IF(A80&lt;$B$7,(($B$7/2)^2/2)*((2*ACOS(1-2*(MIN(0.999,MAX(1E-6,A80/$B$7)))))-SIN(2*ACOS(1-2*(MIN(0.999,MAX(1E-6,A80/$B$7)))))),(PI()*($B$7/2)^2)))</f>
        <v/>
      </c>
      <c r="H80" s="27">
        <f>IF(G80&lt;=0,0,E80/G80)</f>
        <v/>
      </c>
    </row>
    <row r="81">
      <c r="A81" s="26" t="n">
        <v>2.85</v>
      </c>
      <c r="B81" s="26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  <c r="G81" s="5">
        <f>IF(A81&lt;=0,0,IF(A81&lt;$B$7,(($B$7/2)^2/2)*((2*ACOS(1-2*(MIN(0.999,MAX(1E-6,A81/$B$7)))))-SIN(2*ACOS(1-2*(MIN(0.999,MAX(1E-6,A81/$B$7)))))),(PI()*($B$7/2)^2)))</f>
        <v/>
      </c>
      <c r="H81" s="27">
        <f>IF(G81&lt;=0,0,E81/G81)</f>
        <v/>
      </c>
    </row>
    <row r="82">
      <c r="A82" s="26" t="n">
        <v>2.9</v>
      </c>
      <c r="B82" s="26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  <c r="G82" s="5">
        <f>IF(A82&lt;=0,0,IF(A82&lt;$B$7,(($B$7/2)^2/2)*((2*ACOS(1-2*(MIN(0.999,MAX(1E-6,A82/$B$7)))))-SIN(2*ACOS(1-2*(MIN(0.999,MAX(1E-6,A82/$B$7)))))),(PI()*($B$7/2)^2)))</f>
        <v/>
      </c>
      <c r="H82" s="27">
        <f>IF(G82&lt;=0,0,E82/G82)</f>
        <v/>
      </c>
    </row>
    <row r="83">
      <c r="A83" s="26" t="n">
        <v>2.95</v>
      </c>
      <c r="B83" s="26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  <c r="G83" s="5">
        <f>IF(A83&lt;=0,0,IF(A83&lt;$B$7,(($B$7/2)^2/2)*((2*ACOS(1-2*(MIN(0.999,MAX(1E-6,A83/$B$7)))))-SIN(2*ACOS(1-2*(MIN(0.999,MAX(1E-6,A83/$B$7)))))),(PI()*($B$7/2)^2)))</f>
        <v/>
      </c>
      <c r="H83" s="27">
        <f>IF(G83&lt;=0,0,E83/G83)</f>
        <v/>
      </c>
    </row>
    <row r="84">
      <c r="A84" s="26" t="n">
        <v>3</v>
      </c>
      <c r="B84" s="26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  <c r="G84" s="5">
        <f>IF(A84&lt;=0,0,IF(A84&lt;$B$7,(($B$7/2)^2/2)*((2*ACOS(1-2*(MIN(0.999,MAX(1E-6,A84/$B$7)))))-SIN(2*ACOS(1-2*(MIN(0.999,MAX(1E-6,A84/$B$7)))))),(PI()*($B$7/2)^2)))</f>
        <v/>
      </c>
      <c r="H84" s="27">
        <f>IF(G84&lt;=0,0,E84/G84)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>
      <c r="A1" s="24" t="inlineStr">
        <is>
          <t>Méthode B — routage avec Qout = f(H) depuis Courbe_QH_900 (FHWA)</t>
        </is>
      </c>
    </row>
    <row r="2">
      <c r="A2" s="25" t="inlineStr">
        <is>
          <t>H = V / Aire_constante (Parametres!B24) — raccourci, PAS le levé SS_Amont. Qout interpolé sur Courbe_QH_900!E (Q gouvernant). Si V≈0, Qout = MIN(Qin, Q_plein). ΔV = (Qin_moy - Qout)*Δt. Après routage, WSEmax_B réel est lu sur SS_Amont via Vmax_B (Parametres B45).</t>
        </is>
      </c>
    </row>
    <row r="3"/>
    <row r="5">
      <c r="A5" t="inlineStr">
        <is>
          <t>Aire (m²)</t>
        </is>
      </c>
      <c r="B5" s="42">
        <f>Parametres!B24</f>
        <v/>
      </c>
    </row>
    <row r="6">
      <c r="A6" t="inlineStr">
        <is>
          <t>Q_plein réf. (m³/s)</t>
        </is>
      </c>
      <c r="B6" s="42">
        <f>Parametres!B22</f>
        <v/>
      </c>
    </row>
    <row r="7">
      <c r="A7" t="inlineStr">
        <is>
          <t>Vmax_B (m³)</t>
        </is>
      </c>
      <c r="B7" s="34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  <c r="H11" s="3" t="inlineStr">
        <is>
          <t>V_Ø900 (m/s)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9" t="n">
        <v>0</v>
      </c>
      <c r="G12" s="36" t="n">
        <v>0</v>
      </c>
      <c r="H12" s="27">
        <f>IF(Parametres!$C$87&lt;=0,0,E12/Parametres!$C$87)</f>
        <v/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9">
        <f>(A13-A12)*60</f>
        <v/>
      </c>
      <c r="G13" s="36">
        <f>MAX(0,G12+(0.5*(B12+B13)-E13)*F13)</f>
        <v/>
      </c>
      <c r="H13" s="27">
        <f>IF(Parametres!$C$87&lt;=0,0,E13/Parametres!$C$87)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9">
        <f>(A14-A13)*60</f>
        <v/>
      </c>
      <c r="G14" s="36">
        <f>MAX(0,G13+(0.5*(B13+B14)-E14)*F14)</f>
        <v/>
      </c>
      <c r="H14" s="27">
        <f>IF(Parametres!$C$87&lt;=0,0,E14/Parametres!$C$87)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9">
        <f>(A15-A14)*60</f>
        <v/>
      </c>
      <c r="G15" s="36">
        <f>MAX(0,G14+(0.5*(B14+B15)-E15)*F15)</f>
        <v/>
      </c>
      <c r="H15" s="27">
        <f>IF(Parametres!$C$87&lt;=0,0,E15/Parametres!$C$87)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9">
        <f>(A16-A15)*60</f>
        <v/>
      </c>
      <c r="G16" s="36">
        <f>MAX(0,G15+(0.5*(B15+B16)-E16)*F16)</f>
        <v/>
      </c>
      <c r="H16" s="27">
        <f>IF(Parametres!$C$87&lt;=0,0,E16/Parametres!$C$87)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9">
        <f>(A17-A16)*60</f>
        <v/>
      </c>
      <c r="G17" s="36">
        <f>MAX(0,G16+(0.5*(B16+B17)-E17)*F17)</f>
        <v/>
      </c>
      <c r="H17" s="27">
        <f>IF(Parametres!$C$87&lt;=0,0,E17/Parametres!$C$87)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9">
        <f>(A18-A17)*60</f>
        <v/>
      </c>
      <c r="G18" s="36">
        <f>MAX(0,G17+(0.5*(B17+B18)-E18)*F18)</f>
        <v/>
      </c>
      <c r="H18" s="27">
        <f>IF(Parametres!$C$87&lt;=0,0,E18/Parametres!$C$87)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9">
        <f>(A19-A18)*60</f>
        <v/>
      </c>
      <c r="G19" s="36">
        <f>MAX(0,G18+(0.5*(B18+B19)-E19)*F19)</f>
        <v/>
      </c>
      <c r="H19" s="27">
        <f>IF(Parametres!$C$87&lt;=0,0,E19/Parametres!$C$87)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9">
        <f>(A20-A19)*60</f>
        <v/>
      </c>
      <c r="G20" s="36">
        <f>MAX(0,G19+(0.5*(B19+B20)-E20)*F20)</f>
        <v/>
      </c>
      <c r="H20" s="27">
        <f>IF(Parametres!$C$87&lt;=0,0,E20/Parametres!$C$87)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9">
        <f>(A21-A20)*60</f>
        <v/>
      </c>
      <c r="G21" s="36">
        <f>MAX(0,G20+(0.5*(B20+B21)-E21)*F21)</f>
        <v/>
      </c>
      <c r="H21" s="27">
        <f>IF(Parametres!$C$87&lt;=0,0,E21/Parametres!$C$87)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9">
        <f>(A22-A21)*60</f>
        <v/>
      </c>
      <c r="G22" s="36">
        <f>MAX(0,G21+(0.5*(B21+B22)-E22)*F22)</f>
        <v/>
      </c>
      <c r="H22" s="27">
        <f>IF(Parametres!$C$87&lt;=0,0,E22/Parametres!$C$87)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9">
        <f>(A23-A22)*60</f>
        <v/>
      </c>
      <c r="G23" s="36">
        <f>MAX(0,G22+(0.5*(B22+B23)-E23)*F23)</f>
        <v/>
      </c>
      <c r="H23" s="27">
        <f>IF(Parametres!$C$87&lt;=0,0,E23/Parametres!$C$87)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9">
        <f>(A24-A23)*60</f>
        <v/>
      </c>
      <c r="G24" s="36">
        <f>MAX(0,G23+(0.5*(B23+B24)-E24)*F24)</f>
        <v/>
      </c>
      <c r="H24" s="27">
        <f>IF(Parametres!$C$87&lt;=0,0,E24/Parametres!$C$87)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>
      <c r="A1" s="24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V_pond(SS_Amont) + (B25)*V_ditch. Qout = Q_900 + Q_overflow (trapèze Manning) toujours. B25=0 → pas de volume trapèze (levé seul). Paramètres = Parametres!B25–B32.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3">
      <c r="A13" t="inlineStr">
        <is>
          <t>Inclure V_ditch (0/1)</t>
        </is>
      </c>
      <c r="B13" s="17">
        <f>Parametres!B25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  <c r="L14" s="3" t="inlineStr">
        <is>
          <t>V_Ø900 (m/s)</t>
        </is>
      </c>
      <c r="M14" s="3" t="inlineStr">
        <is>
          <t>V_overflow (m/s)</t>
        </is>
      </c>
    </row>
    <row r="15">
      <c r="A15" s="26" t="n">
        <v>34.88</v>
      </c>
      <c r="B15" s="26">
        <f>A15-$B$12</f>
        <v/>
      </c>
      <c r="C15" s="26">
        <f>MAX(0,A15-$B$6)</f>
        <v/>
      </c>
      <c r="D15" s="5">
        <f>IF(C15&lt;=0,0,($B$7+$B$9*C15)*C15)</f>
        <v/>
      </c>
      <c r="E15" s="29">
        <f>IF($B$13=1,D15*$B$11,0)</f>
        <v/>
      </c>
      <c r="F15" s="29">
        <f>IF(A15&lt;=INDEX(SS_Amont!$A$11:$A$18,1),INDEX(SS_Amont!$E$11:$E$18,1),IF(A15&gt;=INDEX(SS_Amont!$A$11:$A$18,ROWS(SS_Amont!$A$11:$A$18)),INDEX(SS_Amont!$E$11:$E$18,ROWS(SS_Amont!$E$11:$E$18)),INDEX(SS_Amont!$E$11:$E$18,MATCH(A15,SS_Amont!$A$11:$A$18,1))+(A15-INDEX(SS_Amont!$A$11:$A$18,MATCH(A15,SS_Amont!$A$11:$A$18,1)))/(INDEX(SS_Amont!$A$11:$A$18,MATCH(A15,SS_Amont!$A$11:$A$18,1)+1)-INDEX(SS_Amont!$A$11:$A$18,MATCH(A15,SS_Amont!$A$11:$A$18,1)))*(INDEX(SS_Amont!$E$11:$E$18,MATCH(A15,SS_Amont!$A$11:$A$18,1)+1)-INDEX(SS_Amont!$E$11:$E$18,MATCH(A15,SS_Amont!$A$11:$A$18,1)))))</f>
        <v/>
      </c>
      <c r="G15" s="36">
        <f>F15+E15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  <c r="L15" s="27">
        <f>IF(Parametres!$C$87&lt;=0,0,H15/Parametres!$C$87)</f>
        <v/>
      </c>
      <c r="M15" s="27">
        <f>IF(OR(C15&lt;0.05,D15&lt;0.05),"",I15/D15)</f>
        <v/>
      </c>
    </row>
    <row r="16">
      <c r="A16" s="26" t="n">
        <v>34.93</v>
      </c>
      <c r="B16" s="26">
        <f>A16-$B$12</f>
        <v/>
      </c>
      <c r="C16" s="26">
        <f>MAX(0,A16-$B$6)</f>
        <v/>
      </c>
      <c r="D16" s="5">
        <f>IF(C16&lt;=0,0,($B$7+$B$9*C16)*C16)</f>
        <v/>
      </c>
      <c r="E16" s="29">
        <f>IF($B$13=1,D16*$B$11,0)</f>
        <v/>
      </c>
      <c r="F16" s="29">
        <f>IF(A16&lt;=INDEX(SS_Amont!$A$11:$A$18,1),INDEX(SS_Amont!$E$11:$E$18,1),IF(A16&gt;=INDEX(SS_Amont!$A$11:$A$18,ROWS(SS_Amont!$A$11:$A$18)),INDEX(SS_Amont!$E$11:$E$18,ROWS(SS_Amont!$E$11:$E$18)),INDEX(SS_Amont!$E$11:$E$18,MATCH(A16,SS_Amont!$A$11:$A$18,1))+(A16-INDEX(SS_Amont!$A$11:$A$18,MATCH(A16,SS_Amont!$A$11:$A$18,1)))/(INDEX(SS_Amont!$A$11:$A$18,MATCH(A16,SS_Amont!$A$11:$A$18,1)+1)-INDEX(SS_Amont!$A$11:$A$18,MATCH(A16,SS_Amont!$A$11:$A$18,1)))*(INDEX(SS_Amont!$E$11:$E$18,MATCH(A16,SS_Amont!$A$11:$A$18,1)+1)-INDEX(SS_Amont!$E$11:$E$18,MATCH(A16,SS_Amont!$A$11:$A$18,1)))))</f>
        <v/>
      </c>
      <c r="G16" s="36">
        <f>F16+E16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  <c r="L16" s="27">
        <f>IF(Parametres!$C$87&lt;=0,0,H16/Parametres!$C$87)</f>
        <v/>
      </c>
      <c r="M16" s="27">
        <f>IF(OR(C16&lt;0.05,D16&lt;0.05),"",I16/D16)</f>
        <v/>
      </c>
    </row>
    <row r="17">
      <c r="A17" s="26" t="n">
        <v>34.98</v>
      </c>
      <c r="B17" s="26">
        <f>A17-$B$12</f>
        <v/>
      </c>
      <c r="C17" s="26">
        <f>MAX(0,A17-$B$6)</f>
        <v/>
      </c>
      <c r="D17" s="5">
        <f>IF(C17&lt;=0,0,($B$7+$B$9*C17)*C17)</f>
        <v/>
      </c>
      <c r="E17" s="29">
        <f>IF($B$13=1,D17*$B$11,0)</f>
        <v/>
      </c>
      <c r="F17" s="29">
        <f>IF(A17&lt;=INDEX(SS_Amont!$A$11:$A$18,1),INDEX(SS_Amont!$E$11:$E$18,1),IF(A17&gt;=INDEX(SS_Amont!$A$11:$A$18,ROWS(SS_Amont!$A$11:$A$18)),INDEX(SS_Amont!$E$11:$E$18,ROWS(SS_Amont!$E$11:$E$18)),INDEX(SS_Amont!$E$11:$E$18,MATCH(A17,SS_Amont!$A$11:$A$18,1))+(A17-INDEX(SS_Amont!$A$11:$A$18,MATCH(A17,SS_Amont!$A$11:$A$18,1)))/(INDEX(SS_Amont!$A$11:$A$18,MATCH(A17,SS_Amont!$A$11:$A$18,1)+1)-INDEX(SS_Amont!$A$11:$A$18,MATCH(A17,SS_Amont!$A$11:$A$18,1)))*(INDEX(SS_Amont!$E$11:$E$18,MATCH(A17,SS_Amont!$A$11:$A$18,1)+1)-INDEX(SS_Amont!$E$11:$E$18,MATCH(A17,SS_Amont!$A$11:$A$18,1)))))</f>
        <v/>
      </c>
      <c r="G17" s="36">
        <f>F17+E17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  <c r="L17" s="27">
        <f>IF(Parametres!$C$87&lt;=0,0,H17/Parametres!$C$87)</f>
        <v/>
      </c>
      <c r="M17" s="27">
        <f>IF(OR(C17&lt;0.05,D17&lt;0.05),"",I17/D17)</f>
        <v/>
      </c>
    </row>
    <row r="18">
      <c r="A18" s="26" t="n">
        <v>35.03</v>
      </c>
      <c r="B18" s="26">
        <f>A18-$B$12</f>
        <v/>
      </c>
      <c r="C18" s="26">
        <f>MAX(0,A18-$B$6)</f>
        <v/>
      </c>
      <c r="D18" s="5">
        <f>IF(C18&lt;=0,0,($B$7+$B$9*C18)*C18)</f>
        <v/>
      </c>
      <c r="E18" s="29">
        <f>IF($B$13=1,D18*$B$11,0)</f>
        <v/>
      </c>
      <c r="F18" s="29">
        <f>IF(A18&lt;=INDEX(SS_Amont!$A$11:$A$18,1),INDEX(SS_Amont!$E$11:$E$18,1),IF(A18&gt;=INDEX(SS_Amont!$A$11:$A$18,ROWS(SS_Amont!$A$11:$A$18)),INDEX(SS_Amont!$E$11:$E$18,ROWS(SS_Amont!$E$11:$E$18)),INDEX(SS_Amont!$E$11:$E$18,MATCH(A18,SS_Amont!$A$11:$A$18,1))+(A18-INDEX(SS_Amont!$A$11:$A$18,MATCH(A18,SS_Amont!$A$11:$A$18,1)))/(INDEX(SS_Amont!$A$11:$A$18,MATCH(A18,SS_Amont!$A$11:$A$18,1)+1)-INDEX(SS_Amont!$A$11:$A$18,MATCH(A18,SS_Amont!$A$11:$A$18,1)))*(INDEX(SS_Amont!$E$11:$E$18,MATCH(A18,SS_Amont!$A$11:$A$18,1)+1)-INDEX(SS_Amont!$E$11:$E$18,MATCH(A18,SS_Amont!$A$11:$A$18,1)))))</f>
        <v/>
      </c>
      <c r="G18" s="36">
        <f>F18+E18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  <c r="L18" s="27">
        <f>IF(Parametres!$C$87&lt;=0,0,H18/Parametres!$C$87)</f>
        <v/>
      </c>
      <c r="M18" s="27">
        <f>IF(OR(C18&lt;0.05,D18&lt;0.05),"",I18/D18)</f>
        <v/>
      </c>
    </row>
    <row r="19">
      <c r="A19" s="26" t="n">
        <v>35.08</v>
      </c>
      <c r="B19" s="26">
        <f>A19-$B$12</f>
        <v/>
      </c>
      <c r="C19" s="26">
        <f>MAX(0,A19-$B$6)</f>
        <v/>
      </c>
      <c r="D19" s="5">
        <f>IF(C19&lt;=0,0,($B$7+$B$9*C19)*C19)</f>
        <v/>
      </c>
      <c r="E19" s="29">
        <f>IF($B$13=1,D19*$B$11,0)</f>
        <v/>
      </c>
      <c r="F19" s="29">
        <f>IF(A19&lt;=INDEX(SS_Amont!$A$11:$A$18,1),INDEX(SS_Amont!$E$11:$E$18,1),IF(A19&gt;=INDEX(SS_Amont!$A$11:$A$18,ROWS(SS_Amont!$A$11:$A$18)),INDEX(SS_Amont!$E$11:$E$18,ROWS(SS_Amont!$E$11:$E$18)),INDEX(SS_Amont!$E$11:$E$18,MATCH(A19,SS_Amont!$A$11:$A$18,1))+(A19-INDEX(SS_Amont!$A$11:$A$18,MATCH(A19,SS_Amont!$A$11:$A$18,1)))/(INDEX(SS_Amont!$A$11:$A$18,MATCH(A19,SS_Amont!$A$11:$A$18,1)+1)-INDEX(SS_Amont!$A$11:$A$18,MATCH(A19,SS_Amont!$A$11:$A$18,1)))*(INDEX(SS_Amont!$E$11:$E$18,MATCH(A19,SS_Amont!$A$11:$A$18,1)+1)-INDEX(SS_Amont!$E$11:$E$18,MATCH(A19,SS_Amont!$A$11:$A$18,1)))))</f>
        <v/>
      </c>
      <c r="G19" s="36">
        <f>F19+E19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  <c r="L19" s="27">
        <f>IF(Parametres!$C$87&lt;=0,0,H19/Parametres!$C$87)</f>
        <v/>
      </c>
      <c r="M19" s="27">
        <f>IF(OR(C19&lt;0.05,D19&lt;0.05),"",I19/D19)</f>
        <v/>
      </c>
    </row>
    <row r="20">
      <c r="A20" s="26" t="n">
        <v>35.13</v>
      </c>
      <c r="B20" s="26">
        <f>A20-$B$12</f>
        <v/>
      </c>
      <c r="C20" s="26">
        <f>MAX(0,A20-$B$6)</f>
        <v/>
      </c>
      <c r="D20" s="5">
        <f>IF(C20&lt;=0,0,($B$7+$B$9*C20)*C20)</f>
        <v/>
      </c>
      <c r="E20" s="29">
        <f>IF($B$13=1,D20*$B$11,0)</f>
        <v/>
      </c>
      <c r="F20" s="29">
        <f>IF(A20&lt;=INDEX(SS_Amont!$A$11:$A$18,1),INDEX(SS_Amont!$E$11:$E$18,1),IF(A20&gt;=INDEX(SS_Amont!$A$11:$A$18,ROWS(SS_Amont!$A$11:$A$18)),INDEX(SS_Amont!$E$11:$E$18,ROWS(SS_Amont!$E$11:$E$18)),INDEX(SS_Amont!$E$11:$E$18,MATCH(A20,SS_Amont!$A$11:$A$18,1))+(A20-INDEX(SS_Amont!$A$11:$A$18,MATCH(A20,SS_Amont!$A$11:$A$18,1)))/(INDEX(SS_Amont!$A$11:$A$18,MATCH(A20,SS_Amont!$A$11:$A$18,1)+1)-INDEX(SS_Amont!$A$11:$A$18,MATCH(A20,SS_Amont!$A$11:$A$18,1)))*(INDEX(SS_Amont!$E$11:$E$18,MATCH(A20,SS_Amont!$A$11:$A$18,1)+1)-INDEX(SS_Amont!$E$11:$E$18,MATCH(A20,SS_Amont!$A$11:$A$18,1)))))</f>
        <v/>
      </c>
      <c r="G20" s="36">
        <f>F20+E20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  <c r="L20" s="27">
        <f>IF(Parametres!$C$87&lt;=0,0,H20/Parametres!$C$87)</f>
        <v/>
      </c>
      <c r="M20" s="27">
        <f>IF(OR(C20&lt;0.05,D20&lt;0.05),"",I20/D20)</f>
        <v/>
      </c>
    </row>
    <row r="21">
      <c r="A21" s="26" t="n">
        <v>35.18</v>
      </c>
      <c r="B21" s="26">
        <f>A21-$B$12</f>
        <v/>
      </c>
      <c r="C21" s="26">
        <f>MAX(0,A21-$B$6)</f>
        <v/>
      </c>
      <c r="D21" s="5">
        <f>IF(C21&lt;=0,0,($B$7+$B$9*C21)*C21)</f>
        <v/>
      </c>
      <c r="E21" s="29">
        <f>IF($B$13=1,D21*$B$11,0)</f>
        <v/>
      </c>
      <c r="F21" s="29">
        <f>IF(A21&lt;=INDEX(SS_Amont!$A$11:$A$18,1),INDEX(SS_Amont!$E$11:$E$18,1),IF(A21&gt;=INDEX(SS_Amont!$A$11:$A$18,ROWS(SS_Amont!$A$11:$A$18)),INDEX(SS_Amont!$E$11:$E$18,ROWS(SS_Amont!$E$11:$E$18)),INDEX(SS_Amont!$E$11:$E$18,MATCH(A21,SS_Amont!$A$11:$A$18,1))+(A21-INDEX(SS_Amont!$A$11:$A$18,MATCH(A21,SS_Amont!$A$11:$A$18,1)))/(INDEX(SS_Amont!$A$11:$A$18,MATCH(A21,SS_Amont!$A$11:$A$18,1)+1)-INDEX(SS_Amont!$A$11:$A$18,MATCH(A21,SS_Amont!$A$11:$A$18,1)))*(INDEX(SS_Amont!$E$11:$E$18,MATCH(A21,SS_Amont!$A$11:$A$18,1)+1)-INDEX(SS_Amont!$E$11:$E$18,MATCH(A21,SS_Amont!$A$11:$A$18,1)))))</f>
        <v/>
      </c>
      <c r="G21" s="36">
        <f>F21+E21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  <c r="L21" s="27">
        <f>IF(Parametres!$C$87&lt;=0,0,H21/Parametres!$C$87)</f>
        <v/>
      </c>
      <c r="M21" s="27">
        <f>IF(OR(C21&lt;0.05,D21&lt;0.05),"",I21/D21)</f>
        <v/>
      </c>
    </row>
    <row r="22">
      <c r="A22" s="26" t="n">
        <v>35.23</v>
      </c>
      <c r="B22" s="26">
        <f>A22-$B$12</f>
        <v/>
      </c>
      <c r="C22" s="26">
        <f>MAX(0,A22-$B$6)</f>
        <v/>
      </c>
      <c r="D22" s="5">
        <f>IF(C22&lt;=0,0,($B$7+$B$9*C22)*C22)</f>
        <v/>
      </c>
      <c r="E22" s="29">
        <f>IF($B$13=1,D22*$B$11,0)</f>
        <v/>
      </c>
      <c r="F22" s="29">
        <f>IF(A22&lt;=INDEX(SS_Amont!$A$11:$A$18,1),INDEX(SS_Amont!$E$11:$E$18,1),IF(A22&gt;=INDEX(SS_Amont!$A$11:$A$18,ROWS(SS_Amont!$A$11:$A$18)),INDEX(SS_Amont!$E$11:$E$18,ROWS(SS_Amont!$E$11:$E$18)),INDEX(SS_Amont!$E$11:$E$18,MATCH(A22,SS_Amont!$A$11:$A$18,1))+(A22-INDEX(SS_Amont!$A$11:$A$18,MATCH(A22,SS_Amont!$A$11:$A$18,1)))/(INDEX(SS_Amont!$A$11:$A$18,MATCH(A22,SS_Amont!$A$11:$A$18,1)+1)-INDEX(SS_Amont!$A$11:$A$18,MATCH(A22,SS_Amont!$A$11:$A$18,1)))*(INDEX(SS_Amont!$E$11:$E$18,MATCH(A22,SS_Amont!$A$11:$A$18,1)+1)-INDEX(SS_Amont!$E$11:$E$18,MATCH(A22,SS_Amont!$A$11:$A$18,1)))))</f>
        <v/>
      </c>
      <c r="G22" s="36">
        <f>F22+E22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  <c r="L22" s="27">
        <f>IF(Parametres!$C$87&lt;=0,0,H22/Parametres!$C$87)</f>
        <v/>
      </c>
      <c r="M22" s="27">
        <f>IF(OR(C22&lt;0.05,D22&lt;0.05),"",I22/D22)</f>
        <v/>
      </c>
    </row>
    <row r="23">
      <c r="A23" s="26" t="n">
        <v>35.28</v>
      </c>
      <c r="B23" s="26">
        <f>A23-$B$12</f>
        <v/>
      </c>
      <c r="C23" s="26">
        <f>MAX(0,A23-$B$6)</f>
        <v/>
      </c>
      <c r="D23" s="5">
        <f>IF(C23&lt;=0,0,($B$7+$B$9*C23)*C23)</f>
        <v/>
      </c>
      <c r="E23" s="29">
        <f>IF($B$13=1,D23*$B$11,0)</f>
        <v/>
      </c>
      <c r="F23" s="29">
        <f>IF(A23&lt;=INDEX(SS_Amont!$A$11:$A$18,1),INDEX(SS_Amont!$E$11:$E$18,1),IF(A23&gt;=INDEX(SS_Amont!$A$11:$A$18,ROWS(SS_Amont!$A$11:$A$18)),INDEX(SS_Amont!$E$11:$E$18,ROWS(SS_Amont!$E$11:$E$18)),INDEX(SS_Amont!$E$11:$E$18,MATCH(A23,SS_Amont!$A$11:$A$18,1))+(A23-INDEX(SS_Amont!$A$11:$A$18,MATCH(A23,SS_Amont!$A$11:$A$18,1)))/(INDEX(SS_Amont!$A$11:$A$18,MATCH(A23,SS_Amont!$A$11:$A$18,1)+1)-INDEX(SS_Amont!$A$11:$A$18,MATCH(A23,SS_Amont!$A$11:$A$18,1)))*(INDEX(SS_Amont!$E$11:$E$18,MATCH(A23,SS_Amont!$A$11:$A$18,1)+1)-INDEX(SS_Amont!$E$11:$E$18,MATCH(A23,SS_Amont!$A$11:$A$18,1)))))</f>
        <v/>
      </c>
      <c r="G23" s="36">
        <f>F23+E23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  <c r="L23" s="27">
        <f>IF(Parametres!$C$87&lt;=0,0,H23/Parametres!$C$87)</f>
        <v/>
      </c>
      <c r="M23" s="27">
        <f>IF(OR(C23&lt;0.05,D23&lt;0.05),"",I23/D23)</f>
        <v/>
      </c>
    </row>
    <row r="24">
      <c r="A24" s="26" t="n">
        <v>35.33</v>
      </c>
      <c r="B24" s="26">
        <f>A24-$B$12</f>
        <v/>
      </c>
      <c r="C24" s="26">
        <f>MAX(0,A24-$B$6)</f>
        <v/>
      </c>
      <c r="D24" s="5">
        <f>IF(C24&lt;=0,0,($B$7+$B$9*C24)*C24)</f>
        <v/>
      </c>
      <c r="E24" s="29">
        <f>IF($B$13=1,D24*$B$11,0)</f>
        <v/>
      </c>
      <c r="F24" s="29">
        <f>IF(A24&lt;=INDEX(SS_Amont!$A$11:$A$18,1),INDEX(SS_Amont!$E$11:$E$18,1),IF(A24&gt;=INDEX(SS_Amont!$A$11:$A$18,ROWS(SS_Amont!$A$11:$A$18)),INDEX(SS_Amont!$E$11:$E$18,ROWS(SS_Amont!$E$11:$E$18)),INDEX(SS_Amont!$E$11:$E$18,MATCH(A24,SS_Amont!$A$11:$A$18,1))+(A24-INDEX(SS_Amont!$A$11:$A$18,MATCH(A24,SS_Amont!$A$11:$A$18,1)))/(INDEX(SS_Amont!$A$11:$A$18,MATCH(A24,SS_Amont!$A$11:$A$18,1)+1)-INDEX(SS_Amont!$A$11:$A$18,MATCH(A24,SS_Amont!$A$11:$A$18,1)))*(INDEX(SS_Amont!$E$11:$E$18,MATCH(A24,SS_Amont!$A$11:$A$18,1)+1)-INDEX(SS_Amont!$E$11:$E$18,MATCH(A24,SS_Amont!$A$11:$A$18,1)))))</f>
        <v/>
      </c>
      <c r="G24" s="36">
        <f>F24+E24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  <c r="L24" s="27">
        <f>IF(Parametres!$C$87&lt;=0,0,H24/Parametres!$C$87)</f>
        <v/>
      </c>
      <c r="M24" s="27">
        <f>IF(OR(C24&lt;0.05,D24&lt;0.05),"",I24/D24)</f>
        <v/>
      </c>
    </row>
    <row r="25">
      <c r="A25" s="26" t="n">
        <v>35.38</v>
      </c>
      <c r="B25" s="26">
        <f>A25-$B$12</f>
        <v/>
      </c>
      <c r="C25" s="26">
        <f>MAX(0,A25-$B$6)</f>
        <v/>
      </c>
      <c r="D25" s="5">
        <f>IF(C25&lt;=0,0,($B$7+$B$9*C25)*C25)</f>
        <v/>
      </c>
      <c r="E25" s="29">
        <f>IF($B$13=1,D25*$B$11,0)</f>
        <v/>
      </c>
      <c r="F25" s="29">
        <f>IF(A25&lt;=INDEX(SS_Amont!$A$11:$A$18,1),INDEX(SS_Amont!$E$11:$E$18,1),IF(A25&gt;=INDEX(SS_Amont!$A$11:$A$18,ROWS(SS_Amont!$A$11:$A$18)),INDEX(SS_Amont!$E$11:$E$18,ROWS(SS_Amont!$E$11:$E$18)),INDEX(SS_Amont!$E$11:$E$18,MATCH(A25,SS_Amont!$A$11:$A$18,1))+(A25-INDEX(SS_Amont!$A$11:$A$18,MATCH(A25,SS_Amont!$A$11:$A$18,1)))/(INDEX(SS_Amont!$A$11:$A$18,MATCH(A25,SS_Amont!$A$11:$A$18,1)+1)-INDEX(SS_Amont!$A$11:$A$18,MATCH(A25,SS_Amont!$A$11:$A$18,1)))*(INDEX(SS_Amont!$E$11:$E$18,MATCH(A25,SS_Amont!$A$11:$A$18,1)+1)-INDEX(SS_Amont!$E$11:$E$18,MATCH(A25,SS_Amont!$A$11:$A$18,1)))))</f>
        <v/>
      </c>
      <c r="G25" s="36">
        <f>F25+E25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  <c r="L25" s="27">
        <f>IF(Parametres!$C$87&lt;=0,0,H25/Parametres!$C$87)</f>
        <v/>
      </c>
      <c r="M25" s="27">
        <f>IF(OR(C25&lt;0.05,D25&lt;0.05),"",I25/D25)</f>
        <v/>
      </c>
    </row>
    <row r="26">
      <c r="A26" s="26" t="n">
        <v>35.43</v>
      </c>
      <c r="B26" s="26">
        <f>A26-$B$12</f>
        <v/>
      </c>
      <c r="C26" s="26">
        <f>MAX(0,A26-$B$6)</f>
        <v/>
      </c>
      <c r="D26" s="5">
        <f>IF(C26&lt;=0,0,($B$7+$B$9*C26)*C26)</f>
        <v/>
      </c>
      <c r="E26" s="29">
        <f>IF($B$13=1,D26*$B$11,0)</f>
        <v/>
      </c>
      <c r="F26" s="29">
        <f>IF(A26&lt;=INDEX(SS_Amont!$A$11:$A$18,1),INDEX(SS_Amont!$E$11:$E$18,1),IF(A26&gt;=INDEX(SS_Amont!$A$11:$A$18,ROWS(SS_Amont!$A$11:$A$18)),INDEX(SS_Amont!$E$11:$E$18,ROWS(SS_Amont!$E$11:$E$18)),INDEX(SS_Amont!$E$11:$E$18,MATCH(A26,SS_Amont!$A$11:$A$18,1))+(A26-INDEX(SS_Amont!$A$11:$A$18,MATCH(A26,SS_Amont!$A$11:$A$18,1)))/(INDEX(SS_Amont!$A$11:$A$18,MATCH(A26,SS_Amont!$A$11:$A$18,1)+1)-INDEX(SS_Amont!$A$11:$A$18,MATCH(A26,SS_Amont!$A$11:$A$18,1)))*(INDEX(SS_Amont!$E$11:$E$18,MATCH(A26,SS_Amont!$A$11:$A$18,1)+1)-INDEX(SS_Amont!$E$11:$E$18,MATCH(A26,SS_Amont!$A$11:$A$18,1)))))</f>
        <v/>
      </c>
      <c r="G26" s="36">
        <f>F26+E26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  <c r="L26" s="27">
        <f>IF(Parametres!$C$87&lt;=0,0,H26/Parametres!$C$87)</f>
        <v/>
      </c>
      <c r="M26" s="27">
        <f>IF(OR(C26&lt;0.05,D26&lt;0.05),"",I26/D26)</f>
        <v/>
      </c>
    </row>
    <row r="27">
      <c r="A27" s="26" t="n">
        <v>35.48</v>
      </c>
      <c r="B27" s="26">
        <f>A27-$B$12</f>
        <v/>
      </c>
      <c r="C27" s="26">
        <f>MAX(0,A27-$B$6)</f>
        <v/>
      </c>
      <c r="D27" s="5">
        <f>IF(C27&lt;=0,0,($B$7+$B$9*C27)*C27)</f>
        <v/>
      </c>
      <c r="E27" s="29">
        <f>IF($B$13=1,D27*$B$11,0)</f>
        <v/>
      </c>
      <c r="F27" s="29">
        <f>IF(A27&lt;=INDEX(SS_Amont!$A$11:$A$18,1),INDEX(SS_Amont!$E$11:$E$18,1),IF(A27&gt;=INDEX(SS_Amont!$A$11:$A$18,ROWS(SS_Amont!$A$11:$A$18)),INDEX(SS_Amont!$E$11:$E$18,ROWS(SS_Amont!$E$11:$E$18)),INDEX(SS_Amont!$E$11:$E$18,MATCH(A27,SS_Amont!$A$11:$A$18,1))+(A27-INDEX(SS_Amont!$A$11:$A$18,MATCH(A27,SS_Amont!$A$11:$A$18,1)))/(INDEX(SS_Amont!$A$11:$A$18,MATCH(A27,SS_Amont!$A$11:$A$18,1)+1)-INDEX(SS_Amont!$A$11:$A$18,MATCH(A27,SS_Amont!$A$11:$A$18,1)))*(INDEX(SS_Amont!$E$11:$E$18,MATCH(A27,SS_Amont!$A$11:$A$18,1)+1)-INDEX(SS_Amont!$E$11:$E$18,MATCH(A27,SS_Amont!$A$11:$A$18,1)))))</f>
        <v/>
      </c>
      <c r="G27" s="36">
        <f>F27+E27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  <c r="L27" s="27">
        <f>IF(Parametres!$C$87&lt;=0,0,H27/Parametres!$C$87)</f>
        <v/>
      </c>
      <c r="M27" s="27">
        <f>IF(OR(C27&lt;0.05,D27&lt;0.05),"",I27/D27)</f>
        <v/>
      </c>
    </row>
    <row r="28">
      <c r="A28" s="26" t="n">
        <v>35.53</v>
      </c>
      <c r="B28" s="26">
        <f>A28-$B$12</f>
        <v/>
      </c>
      <c r="C28" s="26">
        <f>MAX(0,A28-$B$6)</f>
        <v/>
      </c>
      <c r="D28" s="5">
        <f>IF(C28&lt;=0,0,($B$7+$B$9*C28)*C28)</f>
        <v/>
      </c>
      <c r="E28" s="29">
        <f>IF($B$13=1,D28*$B$11,0)</f>
        <v/>
      </c>
      <c r="F28" s="29">
        <f>IF(A28&lt;=INDEX(SS_Amont!$A$11:$A$18,1),INDEX(SS_Amont!$E$11:$E$18,1),IF(A28&gt;=INDEX(SS_Amont!$A$11:$A$18,ROWS(SS_Amont!$A$11:$A$18)),INDEX(SS_Amont!$E$11:$E$18,ROWS(SS_Amont!$E$11:$E$18)),INDEX(SS_Amont!$E$11:$E$18,MATCH(A28,SS_Amont!$A$11:$A$18,1))+(A28-INDEX(SS_Amont!$A$11:$A$18,MATCH(A28,SS_Amont!$A$11:$A$18,1)))/(INDEX(SS_Amont!$A$11:$A$18,MATCH(A28,SS_Amont!$A$11:$A$18,1)+1)-INDEX(SS_Amont!$A$11:$A$18,MATCH(A28,SS_Amont!$A$11:$A$18,1)))*(INDEX(SS_Amont!$E$11:$E$18,MATCH(A28,SS_Amont!$A$11:$A$18,1)+1)-INDEX(SS_Amont!$E$11:$E$18,MATCH(A28,SS_Amont!$A$11:$A$18,1)))))</f>
        <v/>
      </c>
      <c r="G28" s="36">
        <f>F28+E28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  <c r="L28" s="27">
        <f>IF(Parametres!$C$87&lt;=0,0,H28/Parametres!$C$87)</f>
        <v/>
      </c>
      <c r="M28" s="27">
        <f>IF(OR(C28&lt;0.05,D28&lt;0.05),"",I28/D28)</f>
        <v/>
      </c>
    </row>
    <row r="29">
      <c r="A29" s="26" t="n">
        <v>35.58</v>
      </c>
      <c r="B29" s="26">
        <f>A29-$B$12</f>
        <v/>
      </c>
      <c r="C29" s="26">
        <f>MAX(0,A29-$B$6)</f>
        <v/>
      </c>
      <c r="D29" s="5">
        <f>IF(C29&lt;=0,0,($B$7+$B$9*C29)*C29)</f>
        <v/>
      </c>
      <c r="E29" s="29">
        <f>IF($B$13=1,D29*$B$11,0)</f>
        <v/>
      </c>
      <c r="F29" s="29">
        <f>IF(A29&lt;=INDEX(SS_Amont!$A$11:$A$18,1),INDEX(SS_Amont!$E$11:$E$18,1),IF(A29&gt;=INDEX(SS_Amont!$A$11:$A$18,ROWS(SS_Amont!$A$11:$A$18)),INDEX(SS_Amont!$E$11:$E$18,ROWS(SS_Amont!$E$11:$E$18)),INDEX(SS_Amont!$E$11:$E$18,MATCH(A29,SS_Amont!$A$11:$A$18,1))+(A29-INDEX(SS_Amont!$A$11:$A$18,MATCH(A29,SS_Amont!$A$11:$A$18,1)))/(INDEX(SS_Amont!$A$11:$A$18,MATCH(A29,SS_Amont!$A$11:$A$18,1)+1)-INDEX(SS_Amont!$A$11:$A$18,MATCH(A29,SS_Amont!$A$11:$A$18,1)))*(INDEX(SS_Amont!$E$11:$E$18,MATCH(A29,SS_Amont!$A$11:$A$18,1)+1)-INDEX(SS_Amont!$E$11:$E$18,MATCH(A29,SS_Amont!$A$11:$A$18,1)))))</f>
        <v/>
      </c>
      <c r="G29" s="36">
        <f>F29+E29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  <c r="L29" s="27">
        <f>IF(Parametres!$C$87&lt;=0,0,H29/Parametres!$C$87)</f>
        <v/>
      </c>
      <c r="M29" s="27">
        <f>IF(OR(C29&lt;0.05,D29&lt;0.05),"",I29/D29)</f>
        <v/>
      </c>
    </row>
    <row r="30">
      <c r="A30" s="26" t="n">
        <v>35.63</v>
      </c>
      <c r="B30" s="26">
        <f>A30-$B$12</f>
        <v/>
      </c>
      <c r="C30" s="26">
        <f>MAX(0,A30-$B$6)</f>
        <v/>
      </c>
      <c r="D30" s="5">
        <f>IF(C30&lt;=0,0,($B$7+$B$9*C30)*C30)</f>
        <v/>
      </c>
      <c r="E30" s="29">
        <f>IF($B$13=1,D30*$B$11,0)</f>
        <v/>
      </c>
      <c r="F30" s="29">
        <f>IF(A30&lt;=INDEX(SS_Amont!$A$11:$A$18,1),INDEX(SS_Amont!$E$11:$E$18,1),IF(A30&gt;=INDEX(SS_Amont!$A$11:$A$18,ROWS(SS_Amont!$A$11:$A$18)),INDEX(SS_Amont!$E$11:$E$18,ROWS(SS_Amont!$E$11:$E$18)),INDEX(SS_Amont!$E$11:$E$18,MATCH(A30,SS_Amont!$A$11:$A$18,1))+(A30-INDEX(SS_Amont!$A$11:$A$18,MATCH(A30,SS_Amont!$A$11:$A$18,1)))/(INDEX(SS_Amont!$A$11:$A$18,MATCH(A30,SS_Amont!$A$11:$A$18,1)+1)-INDEX(SS_Amont!$A$11:$A$18,MATCH(A30,SS_Amont!$A$11:$A$18,1)))*(INDEX(SS_Amont!$E$11:$E$18,MATCH(A30,SS_Amont!$A$11:$A$18,1)+1)-INDEX(SS_Amont!$E$11:$E$18,MATCH(A30,SS_Amont!$A$11:$A$18,1)))))</f>
        <v/>
      </c>
      <c r="G30" s="36">
        <f>F30+E30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  <c r="L30" s="27">
        <f>IF(Parametres!$C$87&lt;=0,0,H30/Parametres!$C$87)</f>
        <v/>
      </c>
      <c r="M30" s="27">
        <f>IF(OR(C30&lt;0.05,D30&lt;0.05),"",I30/D30)</f>
        <v/>
      </c>
    </row>
    <row r="31">
      <c r="A31" s="26" t="n">
        <v>35.68</v>
      </c>
      <c r="B31" s="26">
        <f>A31-$B$12</f>
        <v/>
      </c>
      <c r="C31" s="26">
        <f>MAX(0,A31-$B$6)</f>
        <v/>
      </c>
      <c r="D31" s="5">
        <f>IF(C31&lt;=0,0,($B$7+$B$9*C31)*C31)</f>
        <v/>
      </c>
      <c r="E31" s="29">
        <f>IF($B$13=1,D31*$B$11,0)</f>
        <v/>
      </c>
      <c r="F31" s="29">
        <f>IF(A31&lt;=INDEX(SS_Amont!$A$11:$A$18,1),INDEX(SS_Amont!$E$11:$E$18,1),IF(A31&gt;=INDEX(SS_Amont!$A$11:$A$18,ROWS(SS_Amont!$A$11:$A$18)),INDEX(SS_Amont!$E$11:$E$18,ROWS(SS_Amont!$E$11:$E$18)),INDEX(SS_Amont!$E$11:$E$18,MATCH(A31,SS_Amont!$A$11:$A$18,1))+(A31-INDEX(SS_Amont!$A$11:$A$18,MATCH(A31,SS_Amont!$A$11:$A$18,1)))/(INDEX(SS_Amont!$A$11:$A$18,MATCH(A31,SS_Amont!$A$11:$A$18,1)+1)-INDEX(SS_Amont!$A$11:$A$18,MATCH(A31,SS_Amont!$A$11:$A$18,1)))*(INDEX(SS_Amont!$E$11:$E$18,MATCH(A31,SS_Amont!$A$11:$A$18,1)+1)-INDEX(SS_Amont!$E$11:$E$18,MATCH(A31,SS_Amont!$A$11:$A$18,1)))))</f>
        <v/>
      </c>
      <c r="G31" s="36">
        <f>F31+E31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  <c r="L31" s="27">
        <f>IF(Parametres!$C$87&lt;=0,0,H31/Parametres!$C$87)</f>
        <v/>
      </c>
      <c r="M31" s="27">
        <f>IF(OR(C31&lt;0.05,D31&lt;0.05),"",I31/D31)</f>
        <v/>
      </c>
    </row>
    <row r="32">
      <c r="A32" s="26" t="n">
        <v>35.73</v>
      </c>
      <c r="B32" s="26">
        <f>A32-$B$12</f>
        <v/>
      </c>
      <c r="C32" s="26">
        <f>MAX(0,A32-$B$6)</f>
        <v/>
      </c>
      <c r="D32" s="5">
        <f>IF(C32&lt;=0,0,($B$7+$B$9*C32)*C32)</f>
        <v/>
      </c>
      <c r="E32" s="29">
        <f>IF($B$13=1,D32*$B$11,0)</f>
        <v/>
      </c>
      <c r="F32" s="29">
        <f>IF(A32&lt;=INDEX(SS_Amont!$A$11:$A$18,1),INDEX(SS_Amont!$E$11:$E$18,1),IF(A32&gt;=INDEX(SS_Amont!$A$11:$A$18,ROWS(SS_Amont!$A$11:$A$18)),INDEX(SS_Amont!$E$11:$E$18,ROWS(SS_Amont!$E$11:$E$18)),INDEX(SS_Amont!$E$11:$E$18,MATCH(A32,SS_Amont!$A$11:$A$18,1))+(A32-INDEX(SS_Amont!$A$11:$A$18,MATCH(A32,SS_Amont!$A$11:$A$18,1)))/(INDEX(SS_Amont!$A$11:$A$18,MATCH(A32,SS_Amont!$A$11:$A$18,1)+1)-INDEX(SS_Amont!$A$11:$A$18,MATCH(A32,SS_Amont!$A$11:$A$18,1)))*(INDEX(SS_Amont!$E$11:$E$18,MATCH(A32,SS_Amont!$A$11:$A$18,1)+1)-INDEX(SS_Amont!$E$11:$E$18,MATCH(A32,SS_Amont!$A$11:$A$18,1)))))</f>
        <v/>
      </c>
      <c r="G32" s="36">
        <f>F32+E32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  <c r="L32" s="27">
        <f>IF(Parametres!$C$87&lt;=0,0,H32/Parametres!$C$87)</f>
        <v/>
      </c>
      <c r="M32" s="27">
        <f>IF(OR(C32&lt;0.05,D32&lt;0.05),"",I32/D32)</f>
        <v/>
      </c>
    </row>
    <row r="33">
      <c r="A33" s="41" t="n">
        <v>35.78</v>
      </c>
      <c r="B33" s="41">
        <f>A33-$B$12</f>
        <v/>
      </c>
      <c r="C33" s="41">
        <f>MAX(0,A33-$B$6)</f>
        <v/>
      </c>
      <c r="D33" s="8">
        <f>IF(C33&lt;=0,0,($B$7+$B$9*C33)*C33)</f>
        <v/>
      </c>
      <c r="E33" s="43">
        <f>IF($B$13=1,D33*$B$11,0)</f>
        <v/>
      </c>
      <c r="F33" s="43">
        <f>IF(A33&lt;=INDEX(SS_Amont!$A$11:$A$18,1),INDEX(SS_Amont!$E$11:$E$18,1),IF(A33&gt;=INDEX(SS_Amont!$A$11:$A$18,ROWS(SS_Amont!$A$11:$A$18)),INDEX(SS_Amont!$E$11:$E$18,ROWS(SS_Amont!$E$11:$E$18)),INDEX(SS_Amont!$E$11:$E$18,MATCH(A33,SS_Amont!$A$11:$A$18,1))+(A33-INDEX(SS_Amont!$A$11:$A$18,MATCH(A33,SS_Amont!$A$11:$A$18,1)))/(INDEX(SS_Amont!$A$11:$A$18,MATCH(A33,SS_Amont!$A$11:$A$18,1)+1)-INDEX(SS_Amont!$A$11:$A$18,MATCH(A33,SS_Amont!$A$11:$A$18,1)))*(INDEX(SS_Amont!$E$11:$E$18,MATCH(A33,SS_Amont!$A$11:$A$18,1)+1)-INDEX(SS_Amont!$E$11:$E$18,MATCH(A33,SS_Amont!$A$11:$A$18,1)))))</f>
        <v/>
      </c>
      <c r="G33" s="36">
        <f>F33+E33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  <c r="L33" s="27">
        <f>IF(Parametres!$C$87&lt;=0,0,H33/Parametres!$C$87)</f>
        <v/>
      </c>
      <c r="M33" s="27">
        <f>IF(OR(C33&lt;0.05,D33&lt;0.05),"",I33/D33)</f>
        <v/>
      </c>
    </row>
    <row r="34">
      <c r="A34" s="26" t="n">
        <v>35.83</v>
      </c>
      <c r="B34" s="26">
        <f>A34-$B$12</f>
        <v/>
      </c>
      <c r="C34" s="26">
        <f>MAX(0,A34-$B$6)</f>
        <v/>
      </c>
      <c r="D34" s="5">
        <f>IF(C34&lt;=0,0,($B$7+$B$9*C34)*C34)</f>
        <v/>
      </c>
      <c r="E34" s="29">
        <f>IF($B$13=1,D34*$B$11,0)</f>
        <v/>
      </c>
      <c r="F34" s="29">
        <f>IF(A34&lt;=INDEX(SS_Amont!$A$11:$A$18,1),INDEX(SS_Amont!$E$11:$E$18,1),IF(A34&gt;=INDEX(SS_Amont!$A$11:$A$18,ROWS(SS_Amont!$A$11:$A$18)),INDEX(SS_Amont!$E$11:$E$18,ROWS(SS_Amont!$E$11:$E$18)),INDEX(SS_Amont!$E$11:$E$18,MATCH(A34,SS_Amont!$A$11:$A$18,1))+(A34-INDEX(SS_Amont!$A$11:$A$18,MATCH(A34,SS_Amont!$A$11:$A$18,1)))/(INDEX(SS_Amont!$A$11:$A$18,MATCH(A34,SS_Amont!$A$11:$A$18,1)+1)-INDEX(SS_Amont!$A$11:$A$18,MATCH(A34,SS_Amont!$A$11:$A$18,1)))*(INDEX(SS_Amont!$E$11:$E$18,MATCH(A34,SS_Amont!$A$11:$A$18,1)+1)-INDEX(SS_Amont!$E$11:$E$18,MATCH(A34,SS_Amont!$A$11:$A$18,1)))))</f>
        <v/>
      </c>
      <c r="G34" s="36">
        <f>F34+E34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  <c r="L34" s="27">
        <f>IF(Parametres!$C$87&lt;=0,0,H34/Parametres!$C$87)</f>
        <v/>
      </c>
      <c r="M34" s="27">
        <f>IF(OR(C34&lt;0.05,D34&lt;0.05),"",I34/D34)</f>
        <v/>
      </c>
    </row>
    <row r="35">
      <c r="A35" s="26" t="n">
        <v>35.88</v>
      </c>
      <c r="B35" s="26">
        <f>A35-$B$12</f>
        <v/>
      </c>
      <c r="C35" s="26">
        <f>MAX(0,A35-$B$6)</f>
        <v/>
      </c>
      <c r="D35" s="5">
        <f>IF(C35&lt;=0,0,($B$7+$B$9*C35)*C35)</f>
        <v/>
      </c>
      <c r="E35" s="29">
        <f>IF($B$13=1,D35*$B$11,0)</f>
        <v/>
      </c>
      <c r="F35" s="29">
        <f>IF(A35&lt;=INDEX(SS_Amont!$A$11:$A$18,1),INDEX(SS_Amont!$E$11:$E$18,1),IF(A35&gt;=INDEX(SS_Amont!$A$11:$A$18,ROWS(SS_Amont!$A$11:$A$18)),INDEX(SS_Amont!$E$11:$E$18,ROWS(SS_Amont!$E$11:$E$18)),INDEX(SS_Amont!$E$11:$E$18,MATCH(A35,SS_Amont!$A$11:$A$18,1))+(A35-INDEX(SS_Amont!$A$11:$A$18,MATCH(A35,SS_Amont!$A$11:$A$18,1)))/(INDEX(SS_Amont!$A$11:$A$18,MATCH(A35,SS_Amont!$A$11:$A$18,1)+1)-INDEX(SS_Amont!$A$11:$A$18,MATCH(A35,SS_Amont!$A$11:$A$18,1)))*(INDEX(SS_Amont!$E$11:$E$18,MATCH(A35,SS_Amont!$A$11:$A$18,1)+1)-INDEX(SS_Amont!$E$11:$E$18,MATCH(A35,SS_Amont!$A$11:$A$18,1)))))</f>
        <v/>
      </c>
      <c r="G35" s="36">
        <f>F35+E35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  <c r="L35" s="27">
        <f>IF(Parametres!$C$87&lt;=0,0,H35/Parametres!$C$87)</f>
        <v/>
      </c>
      <c r="M35" s="27">
        <f>IF(OR(C35&lt;0.05,D35&lt;0.05),"",I35/D35)</f>
        <v/>
      </c>
    </row>
    <row r="36">
      <c r="A36" s="26" t="n">
        <v>35.93</v>
      </c>
      <c r="B36" s="26">
        <f>A36-$B$12</f>
        <v/>
      </c>
      <c r="C36" s="26">
        <f>MAX(0,A36-$B$6)</f>
        <v/>
      </c>
      <c r="D36" s="5">
        <f>IF(C36&lt;=0,0,($B$7+$B$9*C36)*C36)</f>
        <v/>
      </c>
      <c r="E36" s="29">
        <f>IF($B$13=1,D36*$B$11,0)</f>
        <v/>
      </c>
      <c r="F36" s="29">
        <f>IF(A36&lt;=INDEX(SS_Amont!$A$11:$A$18,1),INDEX(SS_Amont!$E$11:$E$18,1),IF(A36&gt;=INDEX(SS_Amont!$A$11:$A$18,ROWS(SS_Amont!$A$11:$A$18)),INDEX(SS_Amont!$E$11:$E$18,ROWS(SS_Amont!$E$11:$E$18)),INDEX(SS_Amont!$E$11:$E$18,MATCH(A36,SS_Amont!$A$11:$A$18,1))+(A36-INDEX(SS_Amont!$A$11:$A$18,MATCH(A36,SS_Amont!$A$11:$A$18,1)))/(INDEX(SS_Amont!$A$11:$A$18,MATCH(A36,SS_Amont!$A$11:$A$18,1)+1)-INDEX(SS_Amont!$A$11:$A$18,MATCH(A36,SS_Amont!$A$11:$A$18,1)))*(INDEX(SS_Amont!$E$11:$E$18,MATCH(A36,SS_Amont!$A$11:$A$18,1)+1)-INDEX(SS_Amont!$E$11:$E$18,MATCH(A36,SS_Amont!$A$11:$A$18,1)))))</f>
        <v/>
      </c>
      <c r="G36" s="36">
        <f>F36+E36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  <c r="L36" s="27">
        <f>IF(Parametres!$C$87&lt;=0,0,H36/Parametres!$C$87)</f>
        <v/>
      </c>
      <c r="M36" s="27">
        <f>IF(OR(C36&lt;0.05,D36&lt;0.05),"",I36/D36)</f>
        <v/>
      </c>
    </row>
    <row r="37">
      <c r="A37" s="26" t="n">
        <v>35.98</v>
      </c>
      <c r="B37" s="26">
        <f>A37-$B$12</f>
        <v/>
      </c>
      <c r="C37" s="26">
        <f>MAX(0,A37-$B$6)</f>
        <v/>
      </c>
      <c r="D37" s="5">
        <f>IF(C37&lt;=0,0,($B$7+$B$9*C37)*C37)</f>
        <v/>
      </c>
      <c r="E37" s="29">
        <f>IF($B$13=1,D37*$B$11,0)</f>
        <v/>
      </c>
      <c r="F37" s="29">
        <f>IF(A37&lt;=INDEX(SS_Amont!$A$11:$A$18,1),INDEX(SS_Amont!$E$11:$E$18,1),IF(A37&gt;=INDEX(SS_Amont!$A$11:$A$18,ROWS(SS_Amont!$A$11:$A$18)),INDEX(SS_Amont!$E$11:$E$18,ROWS(SS_Amont!$E$11:$E$18)),INDEX(SS_Amont!$E$11:$E$18,MATCH(A37,SS_Amont!$A$11:$A$18,1))+(A37-INDEX(SS_Amont!$A$11:$A$18,MATCH(A37,SS_Amont!$A$11:$A$18,1)))/(INDEX(SS_Amont!$A$11:$A$18,MATCH(A37,SS_Amont!$A$11:$A$18,1)+1)-INDEX(SS_Amont!$A$11:$A$18,MATCH(A37,SS_Amont!$A$11:$A$18,1)))*(INDEX(SS_Amont!$E$11:$E$18,MATCH(A37,SS_Amont!$A$11:$A$18,1)+1)-INDEX(SS_Amont!$E$11:$E$18,MATCH(A37,SS_Amont!$A$11:$A$18,1)))))</f>
        <v/>
      </c>
      <c r="G37" s="36">
        <f>F37+E37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  <c r="L37" s="27">
        <f>IF(Parametres!$C$87&lt;=0,0,H37/Parametres!$C$87)</f>
        <v/>
      </c>
      <c r="M37" s="27">
        <f>IF(OR(C37&lt;0.05,D37&lt;0.05),"",I37/D37)</f>
        <v/>
      </c>
    </row>
    <row r="38">
      <c r="A38" s="26" t="n">
        <v>36.03</v>
      </c>
      <c r="B38" s="26">
        <f>A38-$B$12</f>
        <v/>
      </c>
      <c r="C38" s="26">
        <f>MAX(0,A38-$B$6)</f>
        <v/>
      </c>
      <c r="D38" s="5">
        <f>IF(C38&lt;=0,0,($B$7+$B$9*C38)*C38)</f>
        <v/>
      </c>
      <c r="E38" s="29">
        <f>IF($B$13=1,D38*$B$11,0)</f>
        <v/>
      </c>
      <c r="F38" s="29">
        <f>IF(A38&lt;=INDEX(SS_Amont!$A$11:$A$18,1),INDEX(SS_Amont!$E$11:$E$18,1),IF(A38&gt;=INDEX(SS_Amont!$A$11:$A$18,ROWS(SS_Amont!$A$11:$A$18)),INDEX(SS_Amont!$E$11:$E$18,ROWS(SS_Amont!$E$11:$E$18)),INDEX(SS_Amont!$E$11:$E$18,MATCH(A38,SS_Amont!$A$11:$A$18,1))+(A38-INDEX(SS_Amont!$A$11:$A$18,MATCH(A38,SS_Amont!$A$11:$A$18,1)))/(INDEX(SS_Amont!$A$11:$A$18,MATCH(A38,SS_Amont!$A$11:$A$18,1)+1)-INDEX(SS_Amont!$A$11:$A$18,MATCH(A38,SS_Amont!$A$11:$A$18,1)))*(INDEX(SS_Amont!$E$11:$E$18,MATCH(A38,SS_Amont!$A$11:$A$18,1)+1)-INDEX(SS_Amont!$E$11:$E$18,MATCH(A38,SS_Amont!$A$11:$A$18,1)))))</f>
        <v/>
      </c>
      <c r="G38" s="36">
        <f>F38+E38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  <c r="L38" s="27">
        <f>IF(Parametres!$C$87&lt;=0,0,H38/Parametres!$C$87)</f>
        <v/>
      </c>
      <c r="M38" s="27">
        <f>IF(OR(C38&lt;0.05,D38&lt;0.05),"",I38/D38)</f>
        <v/>
      </c>
    </row>
    <row r="39">
      <c r="A39" s="26" t="n">
        <v>36.08</v>
      </c>
      <c r="B39" s="26">
        <f>A39-$B$12</f>
        <v/>
      </c>
      <c r="C39" s="26">
        <f>MAX(0,A39-$B$6)</f>
        <v/>
      </c>
      <c r="D39" s="5">
        <f>IF(C39&lt;=0,0,($B$7+$B$9*C39)*C39)</f>
        <v/>
      </c>
      <c r="E39" s="29">
        <f>IF($B$13=1,D39*$B$11,0)</f>
        <v/>
      </c>
      <c r="F39" s="29">
        <f>IF(A39&lt;=INDEX(SS_Amont!$A$11:$A$18,1),INDEX(SS_Amont!$E$11:$E$18,1),IF(A39&gt;=INDEX(SS_Amont!$A$11:$A$18,ROWS(SS_Amont!$A$11:$A$18)),INDEX(SS_Amont!$E$11:$E$18,ROWS(SS_Amont!$E$11:$E$18)),INDEX(SS_Amont!$E$11:$E$18,MATCH(A39,SS_Amont!$A$11:$A$18,1))+(A39-INDEX(SS_Amont!$A$11:$A$18,MATCH(A39,SS_Amont!$A$11:$A$18,1)))/(INDEX(SS_Amont!$A$11:$A$18,MATCH(A39,SS_Amont!$A$11:$A$18,1)+1)-INDEX(SS_Amont!$A$11:$A$18,MATCH(A39,SS_Amont!$A$11:$A$18,1)))*(INDEX(SS_Amont!$E$11:$E$18,MATCH(A39,SS_Amont!$A$11:$A$18,1)+1)-INDEX(SS_Amont!$E$11:$E$18,MATCH(A39,SS_Amont!$A$11:$A$18,1)))))</f>
        <v/>
      </c>
      <c r="G39" s="36">
        <f>F39+E39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  <c r="L39" s="27">
        <f>IF(Parametres!$C$87&lt;=0,0,H39/Parametres!$C$87)</f>
        <v/>
      </c>
      <c r="M39" s="27">
        <f>IF(OR(C39&lt;0.05,D39&lt;0.05),"",I39/D39)</f>
        <v/>
      </c>
    </row>
    <row r="40">
      <c r="A40" s="26" t="n">
        <v>36.13</v>
      </c>
      <c r="B40" s="26">
        <f>A40-$B$12</f>
        <v/>
      </c>
      <c r="C40" s="26">
        <f>MAX(0,A40-$B$6)</f>
        <v/>
      </c>
      <c r="D40" s="5">
        <f>IF(C40&lt;=0,0,($B$7+$B$9*C40)*C40)</f>
        <v/>
      </c>
      <c r="E40" s="29">
        <f>IF($B$13=1,D40*$B$11,0)</f>
        <v/>
      </c>
      <c r="F40" s="29">
        <f>IF(A40&lt;=INDEX(SS_Amont!$A$11:$A$18,1),INDEX(SS_Amont!$E$11:$E$18,1),IF(A40&gt;=INDEX(SS_Amont!$A$11:$A$18,ROWS(SS_Amont!$A$11:$A$18)),INDEX(SS_Amont!$E$11:$E$18,ROWS(SS_Amont!$E$11:$E$18)),INDEX(SS_Amont!$E$11:$E$18,MATCH(A40,SS_Amont!$A$11:$A$18,1))+(A40-INDEX(SS_Amont!$A$11:$A$18,MATCH(A40,SS_Amont!$A$11:$A$18,1)))/(INDEX(SS_Amont!$A$11:$A$18,MATCH(A40,SS_Amont!$A$11:$A$18,1)+1)-INDEX(SS_Amont!$A$11:$A$18,MATCH(A40,SS_Amont!$A$11:$A$18,1)))*(INDEX(SS_Amont!$E$11:$E$18,MATCH(A40,SS_Amont!$A$11:$A$18,1)+1)-INDEX(SS_Amont!$E$11:$E$18,MATCH(A40,SS_Amont!$A$11:$A$18,1)))))</f>
        <v/>
      </c>
      <c r="G40" s="36">
        <f>F40+E40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  <c r="L40" s="27">
        <f>IF(Parametres!$C$87&lt;=0,0,H40/Parametres!$C$87)</f>
        <v/>
      </c>
      <c r="M40" s="27">
        <f>IF(OR(C40&lt;0.05,D40&lt;0.05),"",I40/D40)</f>
        <v/>
      </c>
    </row>
    <row r="41">
      <c r="A41" s="26" t="n">
        <v>36.18</v>
      </c>
      <c r="B41" s="26">
        <f>A41-$B$12</f>
        <v/>
      </c>
      <c r="C41" s="26">
        <f>MAX(0,A41-$B$6)</f>
        <v/>
      </c>
      <c r="D41" s="5">
        <f>IF(C41&lt;=0,0,($B$7+$B$9*C41)*C41)</f>
        <v/>
      </c>
      <c r="E41" s="29">
        <f>IF($B$13=1,D41*$B$11,0)</f>
        <v/>
      </c>
      <c r="F41" s="29">
        <f>IF(A41&lt;=INDEX(SS_Amont!$A$11:$A$18,1),INDEX(SS_Amont!$E$11:$E$18,1),IF(A41&gt;=INDEX(SS_Amont!$A$11:$A$18,ROWS(SS_Amont!$A$11:$A$18)),INDEX(SS_Amont!$E$11:$E$18,ROWS(SS_Amont!$E$11:$E$18)),INDEX(SS_Amont!$E$11:$E$18,MATCH(A41,SS_Amont!$A$11:$A$18,1))+(A41-INDEX(SS_Amont!$A$11:$A$18,MATCH(A41,SS_Amont!$A$11:$A$18,1)))/(INDEX(SS_Amont!$A$11:$A$18,MATCH(A41,SS_Amont!$A$11:$A$18,1)+1)-INDEX(SS_Amont!$A$11:$A$18,MATCH(A41,SS_Amont!$A$11:$A$18,1)))*(INDEX(SS_Amont!$E$11:$E$18,MATCH(A41,SS_Amont!$A$11:$A$18,1)+1)-INDEX(SS_Amont!$E$11:$E$18,MATCH(A41,SS_Amont!$A$11:$A$18,1)))))</f>
        <v/>
      </c>
      <c r="G41" s="36">
        <f>F41+E41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  <c r="L41" s="27">
        <f>IF(Parametres!$C$87&lt;=0,0,H41/Parametres!$C$87)</f>
        <v/>
      </c>
      <c r="M41" s="27">
        <f>IF(OR(C41&lt;0.05,D41&lt;0.05),"",I41/D41)</f>
        <v/>
      </c>
    </row>
    <row r="42">
      <c r="A42" s="26" t="n">
        <v>36.23</v>
      </c>
      <c r="B42" s="26">
        <f>A42-$B$12</f>
        <v/>
      </c>
      <c r="C42" s="26">
        <f>MAX(0,A42-$B$6)</f>
        <v/>
      </c>
      <c r="D42" s="5">
        <f>IF(C42&lt;=0,0,($B$7+$B$9*C42)*C42)</f>
        <v/>
      </c>
      <c r="E42" s="29">
        <f>IF($B$13=1,D42*$B$11,0)</f>
        <v/>
      </c>
      <c r="F42" s="29">
        <f>IF(A42&lt;=INDEX(SS_Amont!$A$11:$A$18,1),INDEX(SS_Amont!$E$11:$E$18,1),IF(A42&gt;=INDEX(SS_Amont!$A$11:$A$18,ROWS(SS_Amont!$A$11:$A$18)),INDEX(SS_Amont!$E$11:$E$18,ROWS(SS_Amont!$E$11:$E$18)),INDEX(SS_Amont!$E$11:$E$18,MATCH(A42,SS_Amont!$A$11:$A$18,1))+(A42-INDEX(SS_Amont!$A$11:$A$18,MATCH(A42,SS_Amont!$A$11:$A$18,1)))/(INDEX(SS_Amont!$A$11:$A$18,MATCH(A42,SS_Amont!$A$11:$A$18,1)+1)-INDEX(SS_Amont!$A$11:$A$18,MATCH(A42,SS_Amont!$A$11:$A$18,1)))*(INDEX(SS_Amont!$E$11:$E$18,MATCH(A42,SS_Amont!$A$11:$A$18,1)+1)-INDEX(SS_Amont!$E$11:$E$18,MATCH(A42,SS_Amont!$A$11:$A$18,1)))))</f>
        <v/>
      </c>
      <c r="G42" s="36">
        <f>F42+E42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  <c r="L42" s="27">
        <f>IF(Parametres!$C$87&lt;=0,0,H42/Parametres!$C$87)</f>
        <v/>
      </c>
      <c r="M42" s="27">
        <f>IF(OR(C42&lt;0.05,D42&lt;0.05),"",I42/D42)</f>
        <v/>
      </c>
    </row>
    <row r="43">
      <c r="A43" s="26" t="n">
        <v>36.28</v>
      </c>
      <c r="B43" s="26">
        <f>A43-$B$12</f>
        <v/>
      </c>
      <c r="C43" s="26">
        <f>MAX(0,A43-$B$6)</f>
        <v/>
      </c>
      <c r="D43" s="5">
        <f>IF(C43&lt;=0,0,($B$7+$B$9*C43)*C43)</f>
        <v/>
      </c>
      <c r="E43" s="29">
        <f>IF($B$13=1,D43*$B$11,0)</f>
        <v/>
      </c>
      <c r="F43" s="29">
        <f>IF(A43&lt;=INDEX(SS_Amont!$A$11:$A$18,1),INDEX(SS_Amont!$E$11:$E$18,1),IF(A43&gt;=INDEX(SS_Amont!$A$11:$A$18,ROWS(SS_Amont!$A$11:$A$18)),INDEX(SS_Amont!$E$11:$E$18,ROWS(SS_Amont!$E$11:$E$18)),INDEX(SS_Amont!$E$11:$E$18,MATCH(A43,SS_Amont!$A$11:$A$18,1))+(A43-INDEX(SS_Amont!$A$11:$A$18,MATCH(A43,SS_Amont!$A$11:$A$18,1)))/(INDEX(SS_Amont!$A$11:$A$18,MATCH(A43,SS_Amont!$A$11:$A$18,1)+1)-INDEX(SS_Amont!$A$11:$A$18,MATCH(A43,SS_Amont!$A$11:$A$18,1)))*(INDEX(SS_Amont!$E$11:$E$18,MATCH(A43,SS_Amont!$A$11:$A$18,1)+1)-INDEX(SS_Amont!$E$11:$E$18,MATCH(A43,SS_Amont!$A$11:$A$18,1)))))</f>
        <v/>
      </c>
      <c r="G43" s="36">
        <f>F43+E43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  <c r="L43" s="27">
        <f>IF(Parametres!$C$87&lt;=0,0,H43/Parametres!$C$87)</f>
        <v/>
      </c>
      <c r="M43" s="27">
        <f>IF(OR(C43&lt;0.05,D43&lt;0.05),"",I43/D43)</f>
        <v/>
      </c>
    </row>
    <row r="44">
      <c r="A44" s="26" t="n">
        <v>36.33</v>
      </c>
      <c r="B44" s="26">
        <f>A44-$B$12</f>
        <v/>
      </c>
      <c r="C44" s="26">
        <f>MAX(0,A44-$B$6)</f>
        <v/>
      </c>
      <c r="D44" s="5">
        <f>IF(C44&lt;=0,0,($B$7+$B$9*C44)*C44)</f>
        <v/>
      </c>
      <c r="E44" s="29">
        <f>IF($B$13=1,D44*$B$11,0)</f>
        <v/>
      </c>
      <c r="F44" s="29">
        <f>IF(A44&lt;=INDEX(SS_Amont!$A$11:$A$18,1),INDEX(SS_Amont!$E$11:$E$18,1),IF(A44&gt;=INDEX(SS_Amont!$A$11:$A$18,ROWS(SS_Amont!$A$11:$A$18)),INDEX(SS_Amont!$E$11:$E$18,ROWS(SS_Amont!$E$11:$E$18)),INDEX(SS_Amont!$E$11:$E$18,MATCH(A44,SS_Amont!$A$11:$A$18,1))+(A44-INDEX(SS_Amont!$A$11:$A$18,MATCH(A44,SS_Amont!$A$11:$A$18,1)))/(INDEX(SS_Amont!$A$11:$A$18,MATCH(A44,SS_Amont!$A$11:$A$18,1)+1)-INDEX(SS_Amont!$A$11:$A$18,MATCH(A44,SS_Amont!$A$11:$A$18,1)))*(INDEX(SS_Amont!$E$11:$E$18,MATCH(A44,SS_Amont!$A$11:$A$18,1)+1)-INDEX(SS_Amont!$E$11:$E$18,MATCH(A44,SS_Amont!$A$11:$A$18,1)))))</f>
        <v/>
      </c>
      <c r="G44" s="36">
        <f>F44+E44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  <c r="L44" s="27">
        <f>IF(Parametres!$C$87&lt;=0,0,H44/Parametres!$C$87)</f>
        <v/>
      </c>
      <c r="M44" s="27">
        <f>IF(OR(C44&lt;0.05,D44&lt;0.05),"",I44/D44)</f>
        <v/>
      </c>
    </row>
    <row r="45">
      <c r="A45" s="26" t="n">
        <v>36.38</v>
      </c>
      <c r="B45" s="26">
        <f>A45-$B$12</f>
        <v/>
      </c>
      <c r="C45" s="26">
        <f>MAX(0,A45-$B$6)</f>
        <v/>
      </c>
      <c r="D45" s="5">
        <f>IF(C45&lt;=0,0,($B$7+$B$9*C45)*C45)</f>
        <v/>
      </c>
      <c r="E45" s="29">
        <f>IF($B$13=1,D45*$B$11,0)</f>
        <v/>
      </c>
      <c r="F45" s="29">
        <f>IF(A45&lt;=INDEX(SS_Amont!$A$11:$A$18,1),INDEX(SS_Amont!$E$11:$E$18,1),IF(A45&gt;=INDEX(SS_Amont!$A$11:$A$18,ROWS(SS_Amont!$A$11:$A$18)),INDEX(SS_Amont!$E$11:$E$18,ROWS(SS_Amont!$E$11:$E$18)),INDEX(SS_Amont!$E$11:$E$18,MATCH(A45,SS_Amont!$A$11:$A$18,1))+(A45-INDEX(SS_Amont!$A$11:$A$18,MATCH(A45,SS_Amont!$A$11:$A$18,1)))/(INDEX(SS_Amont!$A$11:$A$18,MATCH(A45,SS_Amont!$A$11:$A$18,1)+1)-INDEX(SS_Amont!$A$11:$A$18,MATCH(A45,SS_Amont!$A$11:$A$18,1)))*(INDEX(SS_Amont!$E$11:$E$18,MATCH(A45,SS_Amont!$A$11:$A$18,1)+1)-INDEX(SS_Amont!$E$11:$E$18,MATCH(A45,SS_Amont!$A$11:$A$18,1)))))</f>
        <v/>
      </c>
      <c r="G45" s="36">
        <f>F45+E45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  <c r="L45" s="27">
        <f>IF(Parametres!$C$87&lt;=0,0,H45/Parametres!$C$87)</f>
        <v/>
      </c>
      <c r="M45" s="27">
        <f>IF(OR(C45&lt;0.05,D45&lt;0.05),"",I45/D45)</f>
        <v/>
      </c>
    </row>
    <row r="46">
      <c r="A46" s="26" t="n">
        <v>36.43</v>
      </c>
      <c r="B46" s="26">
        <f>A46-$B$12</f>
        <v/>
      </c>
      <c r="C46" s="26">
        <f>MAX(0,A46-$B$6)</f>
        <v/>
      </c>
      <c r="D46" s="5">
        <f>IF(C46&lt;=0,0,($B$7+$B$9*C46)*C46)</f>
        <v/>
      </c>
      <c r="E46" s="29">
        <f>IF($B$13=1,D46*$B$11,0)</f>
        <v/>
      </c>
      <c r="F46" s="29">
        <f>IF(A46&lt;=INDEX(SS_Amont!$A$11:$A$18,1),INDEX(SS_Amont!$E$11:$E$18,1),IF(A46&gt;=INDEX(SS_Amont!$A$11:$A$18,ROWS(SS_Amont!$A$11:$A$18)),INDEX(SS_Amont!$E$11:$E$18,ROWS(SS_Amont!$E$11:$E$18)),INDEX(SS_Amont!$E$11:$E$18,MATCH(A46,SS_Amont!$A$11:$A$18,1))+(A46-INDEX(SS_Amont!$A$11:$A$18,MATCH(A46,SS_Amont!$A$11:$A$18,1)))/(INDEX(SS_Amont!$A$11:$A$18,MATCH(A46,SS_Amont!$A$11:$A$18,1)+1)-INDEX(SS_Amont!$A$11:$A$18,MATCH(A46,SS_Amont!$A$11:$A$18,1)))*(INDEX(SS_Amont!$E$11:$E$18,MATCH(A46,SS_Amont!$A$11:$A$18,1)+1)-INDEX(SS_Amont!$E$11:$E$18,MATCH(A46,SS_Amont!$A$11:$A$18,1)))))</f>
        <v/>
      </c>
      <c r="G46" s="36">
        <f>F46+E46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  <c r="L46" s="27">
        <f>IF(Parametres!$C$87&lt;=0,0,H46/Parametres!$C$87)</f>
        <v/>
      </c>
      <c r="M46" s="27">
        <f>IF(OR(C46&lt;0.05,D46&lt;0.05),"",I46/D46)</f>
        <v/>
      </c>
    </row>
    <row r="47">
      <c r="A47" s="26" t="n">
        <v>36.48</v>
      </c>
      <c r="B47" s="26">
        <f>A47-$B$12</f>
        <v/>
      </c>
      <c r="C47" s="26">
        <f>MAX(0,A47-$B$6)</f>
        <v/>
      </c>
      <c r="D47" s="5">
        <f>IF(C47&lt;=0,0,($B$7+$B$9*C47)*C47)</f>
        <v/>
      </c>
      <c r="E47" s="29">
        <f>IF($B$13=1,D47*$B$11,0)</f>
        <v/>
      </c>
      <c r="F47" s="29">
        <f>IF(A47&lt;=INDEX(SS_Amont!$A$11:$A$18,1),INDEX(SS_Amont!$E$11:$E$18,1),IF(A47&gt;=INDEX(SS_Amont!$A$11:$A$18,ROWS(SS_Amont!$A$11:$A$18)),INDEX(SS_Amont!$E$11:$E$18,ROWS(SS_Amont!$E$11:$E$18)),INDEX(SS_Amont!$E$11:$E$18,MATCH(A47,SS_Amont!$A$11:$A$18,1))+(A47-INDEX(SS_Amont!$A$11:$A$18,MATCH(A47,SS_Amont!$A$11:$A$18,1)))/(INDEX(SS_Amont!$A$11:$A$18,MATCH(A47,SS_Amont!$A$11:$A$18,1)+1)-INDEX(SS_Amont!$A$11:$A$18,MATCH(A47,SS_Amont!$A$11:$A$18,1)))*(INDEX(SS_Amont!$E$11:$E$18,MATCH(A47,SS_Amont!$A$11:$A$18,1)+1)-INDEX(SS_Amont!$E$11:$E$18,MATCH(A47,SS_Amont!$A$11:$A$18,1)))))</f>
        <v/>
      </c>
      <c r="G47" s="36">
        <f>F47+E47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  <c r="L47" s="27">
        <f>IF(Parametres!$C$87&lt;=0,0,H47/Parametres!$C$87)</f>
        <v/>
      </c>
      <c r="M47" s="27">
        <f>IF(OR(C47&lt;0.05,D47&lt;0.05),"",I47/D47)</f>
        <v/>
      </c>
    </row>
    <row r="48">
      <c r="A48" s="26" t="n">
        <v>36.53</v>
      </c>
      <c r="B48" s="26">
        <f>A48-$B$12</f>
        <v/>
      </c>
      <c r="C48" s="26">
        <f>MAX(0,A48-$B$6)</f>
        <v/>
      </c>
      <c r="D48" s="5">
        <f>IF(C48&lt;=0,0,($B$7+$B$9*C48)*C48)</f>
        <v/>
      </c>
      <c r="E48" s="29">
        <f>IF($B$13=1,D48*$B$11,0)</f>
        <v/>
      </c>
      <c r="F48" s="29">
        <f>IF(A48&lt;=INDEX(SS_Amont!$A$11:$A$18,1),INDEX(SS_Amont!$E$11:$E$18,1),IF(A48&gt;=INDEX(SS_Amont!$A$11:$A$18,ROWS(SS_Amont!$A$11:$A$18)),INDEX(SS_Amont!$E$11:$E$18,ROWS(SS_Amont!$E$11:$E$18)),INDEX(SS_Amont!$E$11:$E$18,MATCH(A48,SS_Amont!$A$11:$A$18,1))+(A48-INDEX(SS_Amont!$A$11:$A$18,MATCH(A48,SS_Amont!$A$11:$A$18,1)))/(INDEX(SS_Amont!$A$11:$A$18,MATCH(A48,SS_Amont!$A$11:$A$18,1)+1)-INDEX(SS_Amont!$A$11:$A$18,MATCH(A48,SS_Amont!$A$11:$A$18,1)))*(INDEX(SS_Amont!$E$11:$E$18,MATCH(A48,SS_Amont!$A$11:$A$18,1)+1)-INDEX(SS_Amont!$E$11:$E$18,MATCH(A48,SS_Amont!$A$11:$A$18,1)))))</f>
        <v/>
      </c>
      <c r="G48" s="36">
        <f>F48+E48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  <c r="L48" s="27">
        <f>IF(Parametres!$C$87&lt;=0,0,H48/Parametres!$C$87)</f>
        <v/>
      </c>
      <c r="M48" s="27">
        <f>IF(OR(C48&lt;0.05,D48&lt;0.05),"",I48/D48)</f>
        <v/>
      </c>
    </row>
    <row r="49">
      <c r="A49" s="26" t="n">
        <v>36.58</v>
      </c>
      <c r="B49" s="26">
        <f>A49-$B$12</f>
        <v/>
      </c>
      <c r="C49" s="26">
        <f>MAX(0,A49-$B$6)</f>
        <v/>
      </c>
      <c r="D49" s="5">
        <f>IF(C49&lt;=0,0,($B$7+$B$9*C49)*C49)</f>
        <v/>
      </c>
      <c r="E49" s="29">
        <f>IF($B$13=1,D49*$B$11,0)</f>
        <v/>
      </c>
      <c r="F49" s="29">
        <f>IF(A49&lt;=INDEX(SS_Amont!$A$11:$A$18,1),INDEX(SS_Amont!$E$11:$E$18,1),IF(A49&gt;=INDEX(SS_Amont!$A$11:$A$18,ROWS(SS_Amont!$A$11:$A$18)),INDEX(SS_Amont!$E$11:$E$18,ROWS(SS_Amont!$E$11:$E$18)),INDEX(SS_Amont!$E$11:$E$18,MATCH(A49,SS_Amont!$A$11:$A$18,1))+(A49-INDEX(SS_Amont!$A$11:$A$18,MATCH(A49,SS_Amont!$A$11:$A$18,1)))/(INDEX(SS_Amont!$A$11:$A$18,MATCH(A49,SS_Amont!$A$11:$A$18,1)+1)-INDEX(SS_Amont!$A$11:$A$18,MATCH(A49,SS_Amont!$A$11:$A$18,1)))*(INDEX(SS_Amont!$E$11:$E$18,MATCH(A49,SS_Amont!$A$11:$A$18,1)+1)-INDEX(SS_Amont!$E$11:$E$18,MATCH(A49,SS_Amont!$A$11:$A$18,1)))))</f>
        <v/>
      </c>
      <c r="G49" s="36">
        <f>F49+E49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  <c r="L49" s="27">
        <f>IF(Parametres!$C$87&lt;=0,0,H49/Parametres!$C$87)</f>
        <v/>
      </c>
      <c r="M49" s="27">
        <f>IF(OR(C49&lt;0.05,D49&lt;0.05),"",I49/D49)</f>
        <v/>
      </c>
    </row>
    <row r="50">
      <c r="A50" s="26" t="n">
        <v>36.63</v>
      </c>
      <c r="B50" s="26">
        <f>A50-$B$12</f>
        <v/>
      </c>
      <c r="C50" s="26">
        <f>MAX(0,A50-$B$6)</f>
        <v/>
      </c>
      <c r="D50" s="5">
        <f>IF(C50&lt;=0,0,($B$7+$B$9*C50)*C50)</f>
        <v/>
      </c>
      <c r="E50" s="29">
        <f>IF($B$13=1,D50*$B$11,0)</f>
        <v/>
      </c>
      <c r="F50" s="29">
        <f>IF(A50&lt;=INDEX(SS_Amont!$A$11:$A$18,1),INDEX(SS_Amont!$E$11:$E$18,1),IF(A50&gt;=INDEX(SS_Amont!$A$11:$A$18,ROWS(SS_Amont!$A$11:$A$18)),INDEX(SS_Amont!$E$11:$E$18,ROWS(SS_Amont!$E$11:$E$18)),INDEX(SS_Amont!$E$11:$E$18,MATCH(A50,SS_Amont!$A$11:$A$18,1))+(A50-INDEX(SS_Amont!$A$11:$A$18,MATCH(A50,SS_Amont!$A$11:$A$18,1)))/(INDEX(SS_Amont!$A$11:$A$18,MATCH(A50,SS_Amont!$A$11:$A$18,1)+1)-INDEX(SS_Amont!$A$11:$A$18,MATCH(A50,SS_Amont!$A$11:$A$18,1)))*(INDEX(SS_Amont!$E$11:$E$18,MATCH(A50,SS_Amont!$A$11:$A$18,1)+1)-INDEX(SS_Amont!$E$11:$E$18,MATCH(A50,SS_Amont!$A$11:$A$18,1)))))</f>
        <v/>
      </c>
      <c r="G50" s="36">
        <f>F50+E50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  <c r="L50" s="27">
        <f>IF(Parametres!$C$87&lt;=0,0,H50/Parametres!$C$87)</f>
        <v/>
      </c>
      <c r="M50" s="27">
        <f>IF(OR(C50&lt;0.05,D50&lt;0.05),"",I50/D50)</f>
        <v/>
      </c>
    </row>
    <row r="51">
      <c r="A51" s="26" t="n">
        <v>36.68</v>
      </c>
      <c r="B51" s="26">
        <f>A51-$B$12</f>
        <v/>
      </c>
      <c r="C51" s="26">
        <f>MAX(0,A51-$B$6)</f>
        <v/>
      </c>
      <c r="D51" s="5">
        <f>IF(C51&lt;=0,0,($B$7+$B$9*C51)*C51)</f>
        <v/>
      </c>
      <c r="E51" s="29">
        <f>IF($B$13=1,D51*$B$11,0)</f>
        <v/>
      </c>
      <c r="F51" s="29">
        <f>IF(A51&lt;=INDEX(SS_Amont!$A$11:$A$18,1),INDEX(SS_Amont!$E$11:$E$18,1),IF(A51&gt;=INDEX(SS_Amont!$A$11:$A$18,ROWS(SS_Amont!$A$11:$A$18)),INDEX(SS_Amont!$E$11:$E$18,ROWS(SS_Amont!$E$11:$E$18)),INDEX(SS_Amont!$E$11:$E$18,MATCH(A51,SS_Amont!$A$11:$A$18,1))+(A51-INDEX(SS_Amont!$A$11:$A$18,MATCH(A51,SS_Amont!$A$11:$A$18,1)))/(INDEX(SS_Amont!$A$11:$A$18,MATCH(A51,SS_Amont!$A$11:$A$18,1)+1)-INDEX(SS_Amont!$A$11:$A$18,MATCH(A51,SS_Amont!$A$11:$A$18,1)))*(INDEX(SS_Amont!$E$11:$E$18,MATCH(A51,SS_Amont!$A$11:$A$18,1)+1)-INDEX(SS_Amont!$E$11:$E$18,MATCH(A51,SS_Amont!$A$11:$A$18,1)))))</f>
        <v/>
      </c>
      <c r="G51" s="36">
        <f>F51+E51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  <c r="L51" s="27">
        <f>IF(Parametres!$C$87&lt;=0,0,H51/Parametres!$C$87)</f>
        <v/>
      </c>
      <c r="M51" s="27">
        <f>IF(OR(C51&lt;0.05,D51&lt;0.05),"",I51/D51)</f>
        <v/>
      </c>
    </row>
    <row r="52">
      <c r="A52" s="26" t="n">
        <v>36.73</v>
      </c>
      <c r="B52" s="26">
        <f>A52-$B$12</f>
        <v/>
      </c>
      <c r="C52" s="26">
        <f>MAX(0,A52-$B$6)</f>
        <v/>
      </c>
      <c r="D52" s="5">
        <f>IF(C52&lt;=0,0,($B$7+$B$9*C52)*C52)</f>
        <v/>
      </c>
      <c r="E52" s="29">
        <f>IF($B$13=1,D52*$B$11,0)</f>
        <v/>
      </c>
      <c r="F52" s="29">
        <f>IF(A52&lt;=INDEX(SS_Amont!$A$11:$A$18,1),INDEX(SS_Amont!$E$11:$E$18,1),IF(A52&gt;=INDEX(SS_Amont!$A$11:$A$18,ROWS(SS_Amont!$A$11:$A$18)),INDEX(SS_Amont!$E$11:$E$18,ROWS(SS_Amont!$E$11:$E$18)),INDEX(SS_Amont!$E$11:$E$18,MATCH(A52,SS_Amont!$A$11:$A$18,1))+(A52-INDEX(SS_Amont!$A$11:$A$18,MATCH(A52,SS_Amont!$A$11:$A$18,1)))/(INDEX(SS_Amont!$A$11:$A$18,MATCH(A52,SS_Amont!$A$11:$A$18,1)+1)-INDEX(SS_Amont!$A$11:$A$18,MATCH(A52,SS_Amont!$A$11:$A$18,1)))*(INDEX(SS_Amont!$E$11:$E$18,MATCH(A52,SS_Amont!$A$11:$A$18,1)+1)-INDEX(SS_Amont!$E$11:$E$18,MATCH(A52,SS_Amont!$A$11:$A$18,1)))))</f>
        <v/>
      </c>
      <c r="G52" s="36">
        <f>F52+E52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  <c r="L52" s="27">
        <f>IF(Parametres!$C$87&lt;=0,0,H52/Parametres!$C$87)</f>
        <v/>
      </c>
      <c r="M52" s="27">
        <f>IF(OR(C52&lt;0.05,D52&lt;0.05),"",I52/D52)</f>
        <v/>
      </c>
    </row>
    <row r="53">
      <c r="A53" s="26" t="n">
        <v>36.78</v>
      </c>
      <c r="B53" s="26">
        <f>A53-$B$12</f>
        <v/>
      </c>
      <c r="C53" s="26">
        <f>MAX(0,A53-$B$6)</f>
        <v/>
      </c>
      <c r="D53" s="5">
        <f>IF(C53&lt;=0,0,($B$7+$B$9*C53)*C53)</f>
        <v/>
      </c>
      <c r="E53" s="29">
        <f>IF($B$13=1,D53*$B$11,0)</f>
        <v/>
      </c>
      <c r="F53" s="29">
        <f>IF(A53&lt;=INDEX(SS_Amont!$A$11:$A$18,1),INDEX(SS_Amont!$E$11:$E$18,1),IF(A53&gt;=INDEX(SS_Amont!$A$11:$A$18,ROWS(SS_Amont!$A$11:$A$18)),INDEX(SS_Amont!$E$11:$E$18,ROWS(SS_Amont!$E$11:$E$18)),INDEX(SS_Amont!$E$11:$E$18,MATCH(A53,SS_Amont!$A$11:$A$18,1))+(A53-INDEX(SS_Amont!$A$11:$A$18,MATCH(A53,SS_Amont!$A$11:$A$18,1)))/(INDEX(SS_Amont!$A$11:$A$18,MATCH(A53,SS_Amont!$A$11:$A$18,1)+1)-INDEX(SS_Amont!$A$11:$A$18,MATCH(A53,SS_Amont!$A$11:$A$18,1)))*(INDEX(SS_Amont!$E$11:$E$18,MATCH(A53,SS_Amont!$A$11:$A$18,1)+1)-INDEX(SS_Amont!$E$11:$E$18,MATCH(A53,SS_Amont!$A$11:$A$18,1)))))</f>
        <v/>
      </c>
      <c r="G53" s="36">
        <f>F53+E53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  <c r="L53" s="27">
        <f>IF(Parametres!$C$87&lt;=0,0,H53/Parametres!$C$87)</f>
        <v/>
      </c>
      <c r="M53" s="27">
        <f>IF(OR(C53&lt;0.05,D53&lt;0.05),"",I53/D53)</f>
        <v/>
      </c>
    </row>
    <row r="54">
      <c r="A54" s="26" t="n">
        <v>36.83</v>
      </c>
      <c r="B54" s="26">
        <f>A54-$B$12</f>
        <v/>
      </c>
      <c r="C54" s="26">
        <f>MAX(0,A54-$B$6)</f>
        <v/>
      </c>
      <c r="D54" s="5">
        <f>IF(C54&lt;=0,0,($B$7+$B$9*C54)*C54)</f>
        <v/>
      </c>
      <c r="E54" s="29">
        <f>IF($B$13=1,D54*$B$11,0)</f>
        <v/>
      </c>
      <c r="F54" s="29">
        <f>IF(A54&lt;=INDEX(SS_Amont!$A$11:$A$18,1),INDEX(SS_Amont!$E$11:$E$18,1),IF(A54&gt;=INDEX(SS_Amont!$A$11:$A$18,ROWS(SS_Amont!$A$11:$A$18)),INDEX(SS_Amont!$E$11:$E$18,ROWS(SS_Amont!$E$11:$E$18)),INDEX(SS_Amont!$E$11:$E$18,MATCH(A54,SS_Amont!$A$11:$A$18,1))+(A54-INDEX(SS_Amont!$A$11:$A$18,MATCH(A54,SS_Amont!$A$11:$A$18,1)))/(INDEX(SS_Amont!$A$11:$A$18,MATCH(A54,SS_Amont!$A$11:$A$18,1)+1)-INDEX(SS_Amont!$A$11:$A$18,MATCH(A54,SS_Amont!$A$11:$A$18,1)))*(INDEX(SS_Amont!$E$11:$E$18,MATCH(A54,SS_Amont!$A$11:$A$18,1)+1)-INDEX(SS_Amont!$E$11:$E$18,MATCH(A54,SS_Amont!$A$11:$A$18,1)))))</f>
        <v/>
      </c>
      <c r="G54" s="36">
        <f>F54+E54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  <c r="L54" s="27">
        <f>IF(Parametres!$C$87&lt;=0,0,H54/Parametres!$C$87)</f>
        <v/>
      </c>
      <c r="M54" s="27">
        <f>IF(OR(C54&lt;0.05,D54&lt;0.05),"",I54/D54)</f>
        <v/>
      </c>
    </row>
    <row r="55">
      <c r="A55" s="26" t="n">
        <v>36.88</v>
      </c>
      <c r="B55" s="26">
        <f>A55-$B$12</f>
        <v/>
      </c>
      <c r="C55" s="26">
        <f>MAX(0,A55-$B$6)</f>
        <v/>
      </c>
      <c r="D55" s="5">
        <f>IF(C55&lt;=0,0,($B$7+$B$9*C55)*C55)</f>
        <v/>
      </c>
      <c r="E55" s="29">
        <f>IF($B$13=1,D55*$B$11,0)</f>
        <v/>
      </c>
      <c r="F55" s="29">
        <f>IF(A55&lt;=INDEX(SS_Amont!$A$11:$A$18,1),INDEX(SS_Amont!$E$11:$E$18,1),IF(A55&gt;=INDEX(SS_Amont!$A$11:$A$18,ROWS(SS_Amont!$A$11:$A$18)),INDEX(SS_Amont!$E$11:$E$18,ROWS(SS_Amont!$E$11:$E$18)),INDEX(SS_Amont!$E$11:$E$18,MATCH(A55,SS_Amont!$A$11:$A$18,1))+(A55-INDEX(SS_Amont!$A$11:$A$18,MATCH(A55,SS_Amont!$A$11:$A$18,1)))/(INDEX(SS_Amont!$A$11:$A$18,MATCH(A55,SS_Amont!$A$11:$A$18,1)+1)-INDEX(SS_Amont!$A$11:$A$18,MATCH(A55,SS_Amont!$A$11:$A$18,1)))*(INDEX(SS_Amont!$E$11:$E$18,MATCH(A55,SS_Amont!$A$11:$A$18,1)+1)-INDEX(SS_Amont!$E$11:$E$18,MATCH(A55,SS_Amont!$A$11:$A$18,1)))))</f>
        <v/>
      </c>
      <c r="G55" s="36">
        <f>F55+E55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  <c r="L55" s="27">
        <f>IF(Parametres!$C$87&lt;=0,0,H55/Parametres!$C$87)</f>
        <v/>
      </c>
      <c r="M55" s="27">
        <f>IF(OR(C55&lt;0.05,D55&lt;0.05),"",I55/D55)</f>
        <v/>
      </c>
    </row>
    <row r="56">
      <c r="A56" s="26" t="n">
        <v>36.93</v>
      </c>
      <c r="B56" s="26">
        <f>A56-$B$12</f>
        <v/>
      </c>
      <c r="C56" s="26">
        <f>MAX(0,A56-$B$6)</f>
        <v/>
      </c>
      <c r="D56" s="5">
        <f>IF(C56&lt;=0,0,($B$7+$B$9*C56)*C56)</f>
        <v/>
      </c>
      <c r="E56" s="29">
        <f>IF($B$13=1,D56*$B$11,0)</f>
        <v/>
      </c>
      <c r="F56" s="29">
        <f>IF(A56&lt;=INDEX(SS_Amont!$A$11:$A$18,1),INDEX(SS_Amont!$E$11:$E$18,1),IF(A56&gt;=INDEX(SS_Amont!$A$11:$A$18,ROWS(SS_Amont!$A$11:$A$18)),INDEX(SS_Amont!$E$11:$E$18,ROWS(SS_Amont!$E$11:$E$18)),INDEX(SS_Amont!$E$11:$E$18,MATCH(A56,SS_Amont!$A$11:$A$18,1))+(A56-INDEX(SS_Amont!$A$11:$A$18,MATCH(A56,SS_Amont!$A$11:$A$18,1)))/(INDEX(SS_Amont!$A$11:$A$18,MATCH(A56,SS_Amont!$A$11:$A$18,1)+1)-INDEX(SS_Amont!$A$11:$A$18,MATCH(A56,SS_Amont!$A$11:$A$18,1)))*(INDEX(SS_Amont!$E$11:$E$18,MATCH(A56,SS_Amont!$A$11:$A$18,1)+1)-INDEX(SS_Amont!$E$11:$E$18,MATCH(A56,SS_Amont!$A$11:$A$18,1)))))</f>
        <v/>
      </c>
      <c r="G56" s="36">
        <f>F56+E56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  <c r="L56" s="27">
        <f>IF(Parametres!$C$87&lt;=0,0,H56/Parametres!$C$87)</f>
        <v/>
      </c>
      <c r="M56" s="27">
        <f>IF(OR(C56&lt;0.05,D56&lt;0.05),"",I56/D56)</f>
        <v/>
      </c>
    </row>
    <row r="57">
      <c r="A57" s="26" t="n">
        <v>36.98</v>
      </c>
      <c r="B57" s="26">
        <f>A57-$B$12</f>
        <v/>
      </c>
      <c r="C57" s="26">
        <f>MAX(0,A57-$B$6)</f>
        <v/>
      </c>
      <c r="D57" s="5">
        <f>IF(C57&lt;=0,0,($B$7+$B$9*C57)*C57)</f>
        <v/>
      </c>
      <c r="E57" s="29">
        <f>IF($B$13=1,D57*$B$11,0)</f>
        <v/>
      </c>
      <c r="F57" s="29">
        <f>IF(A57&lt;=INDEX(SS_Amont!$A$11:$A$18,1),INDEX(SS_Amont!$E$11:$E$18,1),IF(A57&gt;=INDEX(SS_Amont!$A$11:$A$18,ROWS(SS_Amont!$A$11:$A$18)),INDEX(SS_Amont!$E$11:$E$18,ROWS(SS_Amont!$E$11:$E$18)),INDEX(SS_Amont!$E$11:$E$18,MATCH(A57,SS_Amont!$A$11:$A$18,1))+(A57-INDEX(SS_Amont!$A$11:$A$18,MATCH(A57,SS_Amont!$A$11:$A$18,1)))/(INDEX(SS_Amont!$A$11:$A$18,MATCH(A57,SS_Amont!$A$11:$A$18,1)+1)-INDEX(SS_Amont!$A$11:$A$18,MATCH(A57,SS_Amont!$A$11:$A$18,1)))*(INDEX(SS_Amont!$E$11:$E$18,MATCH(A57,SS_Amont!$A$11:$A$18,1)+1)-INDEX(SS_Amont!$E$11:$E$18,MATCH(A57,SS_Amont!$A$11:$A$18,1)))))</f>
        <v/>
      </c>
      <c r="G57" s="36">
        <f>F57+E57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  <c r="L57" s="27">
        <f>IF(Parametres!$C$87&lt;=0,0,H57/Parametres!$C$87)</f>
        <v/>
      </c>
      <c r="M57" s="27">
        <f>IF(OR(C57&lt;0.05,D57&lt;0.05),"",I57/D57)</f>
        <v/>
      </c>
    </row>
    <row r="58">
      <c r="A58" s="26" t="n">
        <v>37.03</v>
      </c>
      <c r="B58" s="26">
        <f>A58-$B$12</f>
        <v/>
      </c>
      <c r="C58" s="26">
        <f>MAX(0,A58-$B$6)</f>
        <v/>
      </c>
      <c r="D58" s="5">
        <f>IF(C58&lt;=0,0,($B$7+$B$9*C58)*C58)</f>
        <v/>
      </c>
      <c r="E58" s="29">
        <f>IF($B$13=1,D58*$B$11,0)</f>
        <v/>
      </c>
      <c r="F58" s="29">
        <f>IF(A58&lt;=INDEX(SS_Amont!$A$11:$A$18,1),INDEX(SS_Amont!$E$11:$E$18,1),IF(A58&gt;=INDEX(SS_Amont!$A$11:$A$18,ROWS(SS_Amont!$A$11:$A$18)),INDEX(SS_Amont!$E$11:$E$18,ROWS(SS_Amont!$E$11:$E$18)),INDEX(SS_Amont!$E$11:$E$18,MATCH(A58,SS_Amont!$A$11:$A$18,1))+(A58-INDEX(SS_Amont!$A$11:$A$18,MATCH(A58,SS_Amont!$A$11:$A$18,1)))/(INDEX(SS_Amont!$A$11:$A$18,MATCH(A58,SS_Amont!$A$11:$A$18,1)+1)-INDEX(SS_Amont!$A$11:$A$18,MATCH(A58,SS_Amont!$A$11:$A$18,1)))*(INDEX(SS_Amont!$E$11:$E$18,MATCH(A58,SS_Amont!$A$11:$A$18,1)+1)-INDEX(SS_Amont!$E$11:$E$18,MATCH(A58,SS_Amont!$A$11:$A$18,1)))))</f>
        <v/>
      </c>
      <c r="G58" s="36">
        <f>F58+E58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  <c r="L58" s="27">
        <f>IF(Parametres!$C$87&lt;=0,0,H58/Parametres!$C$87)</f>
        <v/>
      </c>
      <c r="M58" s="27">
        <f>IF(OR(C58&lt;0.05,D58&lt;0.05),"",I58/D58)</f>
        <v/>
      </c>
    </row>
    <row r="59">
      <c r="A59" s="26" t="n">
        <v>37.08</v>
      </c>
      <c r="B59" s="26">
        <f>A59-$B$12</f>
        <v/>
      </c>
      <c r="C59" s="26">
        <f>MAX(0,A59-$B$6)</f>
        <v/>
      </c>
      <c r="D59" s="5">
        <f>IF(C59&lt;=0,0,($B$7+$B$9*C59)*C59)</f>
        <v/>
      </c>
      <c r="E59" s="29">
        <f>IF($B$13=1,D59*$B$11,0)</f>
        <v/>
      </c>
      <c r="F59" s="29">
        <f>IF(A59&lt;=INDEX(SS_Amont!$A$11:$A$18,1),INDEX(SS_Amont!$E$11:$E$18,1),IF(A59&gt;=INDEX(SS_Amont!$A$11:$A$18,ROWS(SS_Amont!$A$11:$A$18)),INDEX(SS_Amont!$E$11:$E$18,ROWS(SS_Amont!$E$11:$E$18)),INDEX(SS_Amont!$E$11:$E$18,MATCH(A59,SS_Amont!$A$11:$A$18,1))+(A59-INDEX(SS_Amont!$A$11:$A$18,MATCH(A59,SS_Amont!$A$11:$A$18,1)))/(INDEX(SS_Amont!$A$11:$A$18,MATCH(A59,SS_Amont!$A$11:$A$18,1)+1)-INDEX(SS_Amont!$A$11:$A$18,MATCH(A59,SS_Amont!$A$11:$A$18,1)))*(INDEX(SS_Amont!$E$11:$E$18,MATCH(A59,SS_Amont!$A$11:$A$18,1)+1)-INDEX(SS_Amont!$E$11:$E$18,MATCH(A59,SS_Amont!$A$11:$A$18,1)))))</f>
        <v/>
      </c>
      <c r="G59" s="36">
        <f>F59+E59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  <c r="L59" s="27">
        <f>IF(Parametres!$C$87&lt;=0,0,H59/Parametres!$C$87)</f>
        <v/>
      </c>
      <c r="M59" s="27">
        <f>IF(OR(C59&lt;0.05,D59&lt;0.05),"",I59/D59)</f>
        <v/>
      </c>
    </row>
    <row r="60">
      <c r="A60" s="26" t="n">
        <v>37.13</v>
      </c>
      <c r="B60" s="26">
        <f>A60-$B$12</f>
        <v/>
      </c>
      <c r="C60" s="26">
        <f>MAX(0,A60-$B$6)</f>
        <v/>
      </c>
      <c r="D60" s="5">
        <f>IF(C60&lt;=0,0,($B$7+$B$9*C60)*C60)</f>
        <v/>
      </c>
      <c r="E60" s="29">
        <f>IF($B$13=1,D60*$B$11,0)</f>
        <v/>
      </c>
      <c r="F60" s="29">
        <f>IF(A60&lt;=INDEX(SS_Amont!$A$11:$A$18,1),INDEX(SS_Amont!$E$11:$E$18,1),IF(A60&gt;=INDEX(SS_Amont!$A$11:$A$18,ROWS(SS_Amont!$A$11:$A$18)),INDEX(SS_Amont!$E$11:$E$18,ROWS(SS_Amont!$E$11:$E$18)),INDEX(SS_Amont!$E$11:$E$18,MATCH(A60,SS_Amont!$A$11:$A$18,1))+(A60-INDEX(SS_Amont!$A$11:$A$18,MATCH(A60,SS_Amont!$A$11:$A$18,1)))/(INDEX(SS_Amont!$A$11:$A$18,MATCH(A60,SS_Amont!$A$11:$A$18,1)+1)-INDEX(SS_Amont!$A$11:$A$18,MATCH(A60,SS_Amont!$A$11:$A$18,1)))*(INDEX(SS_Amont!$E$11:$E$18,MATCH(A60,SS_Amont!$A$11:$A$18,1)+1)-INDEX(SS_Amont!$E$11:$E$18,MATCH(A60,SS_Amont!$A$11:$A$18,1)))))</f>
        <v/>
      </c>
      <c r="G60" s="36">
        <f>F60+E60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  <c r="L60" s="27">
        <f>IF(Parametres!$C$87&lt;=0,0,H60/Parametres!$C$87)</f>
        <v/>
      </c>
      <c r="M60" s="27">
        <f>IF(OR(C60&lt;0.05,D60&lt;0.05),"",I60/D60)</f>
        <v/>
      </c>
    </row>
    <row r="61">
      <c r="A61" s="26" t="n">
        <v>37.18</v>
      </c>
      <c r="B61" s="26">
        <f>A61-$B$12</f>
        <v/>
      </c>
      <c r="C61" s="26">
        <f>MAX(0,A61-$B$6)</f>
        <v/>
      </c>
      <c r="D61" s="5">
        <f>IF(C61&lt;=0,0,($B$7+$B$9*C61)*C61)</f>
        <v/>
      </c>
      <c r="E61" s="29">
        <f>IF($B$13=1,D61*$B$11,0)</f>
        <v/>
      </c>
      <c r="F61" s="29">
        <f>IF(A61&lt;=INDEX(SS_Amont!$A$11:$A$18,1),INDEX(SS_Amont!$E$11:$E$18,1),IF(A61&gt;=INDEX(SS_Amont!$A$11:$A$18,ROWS(SS_Amont!$A$11:$A$18)),INDEX(SS_Amont!$E$11:$E$18,ROWS(SS_Amont!$E$11:$E$18)),INDEX(SS_Amont!$E$11:$E$18,MATCH(A61,SS_Amont!$A$11:$A$18,1))+(A61-INDEX(SS_Amont!$A$11:$A$18,MATCH(A61,SS_Amont!$A$11:$A$18,1)))/(INDEX(SS_Amont!$A$11:$A$18,MATCH(A61,SS_Amont!$A$11:$A$18,1)+1)-INDEX(SS_Amont!$A$11:$A$18,MATCH(A61,SS_Amont!$A$11:$A$18,1)))*(INDEX(SS_Amont!$E$11:$E$18,MATCH(A61,SS_Amont!$A$11:$A$18,1)+1)-INDEX(SS_Amont!$E$11:$E$18,MATCH(A61,SS_Amont!$A$11:$A$18,1)))))</f>
        <v/>
      </c>
      <c r="G61" s="36">
        <f>F61+E61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  <c r="L61" s="27">
        <f>IF(Parametres!$C$87&lt;=0,0,H61/Parametres!$C$87)</f>
        <v/>
      </c>
      <c r="M61" s="27">
        <f>IF(OR(C61&lt;0.05,D61&lt;0.05),"",I61/D61)</f>
        <v/>
      </c>
    </row>
    <row r="62">
      <c r="A62" s="26" t="n">
        <v>37.23</v>
      </c>
      <c r="B62" s="26">
        <f>A62-$B$12</f>
        <v/>
      </c>
      <c r="C62" s="26">
        <f>MAX(0,A62-$B$6)</f>
        <v/>
      </c>
      <c r="D62" s="5">
        <f>IF(C62&lt;=0,0,($B$7+$B$9*C62)*C62)</f>
        <v/>
      </c>
      <c r="E62" s="29">
        <f>IF($B$13=1,D62*$B$11,0)</f>
        <v/>
      </c>
      <c r="F62" s="29">
        <f>IF(A62&lt;=INDEX(SS_Amont!$A$11:$A$18,1),INDEX(SS_Amont!$E$11:$E$18,1),IF(A62&gt;=INDEX(SS_Amont!$A$11:$A$18,ROWS(SS_Amont!$A$11:$A$18)),INDEX(SS_Amont!$E$11:$E$18,ROWS(SS_Amont!$E$11:$E$18)),INDEX(SS_Amont!$E$11:$E$18,MATCH(A62,SS_Amont!$A$11:$A$18,1))+(A62-INDEX(SS_Amont!$A$11:$A$18,MATCH(A62,SS_Amont!$A$11:$A$18,1)))/(INDEX(SS_Amont!$A$11:$A$18,MATCH(A62,SS_Amont!$A$11:$A$18,1)+1)-INDEX(SS_Amont!$A$11:$A$18,MATCH(A62,SS_Amont!$A$11:$A$18,1)))*(INDEX(SS_Amont!$E$11:$E$18,MATCH(A62,SS_Amont!$A$11:$A$18,1)+1)-INDEX(SS_Amont!$E$11:$E$18,MATCH(A62,SS_Amont!$A$11:$A$18,1)))))</f>
        <v/>
      </c>
      <c r="G62" s="36">
        <f>F62+E62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  <c r="L62" s="27">
        <f>IF(Parametres!$C$87&lt;=0,0,H62/Parametres!$C$87)</f>
        <v/>
      </c>
      <c r="M62" s="27">
        <f>IF(OR(C62&lt;0.05,D62&lt;0.05),"",I62/D62)</f>
        <v/>
      </c>
    </row>
    <row r="63">
      <c r="A63" s="26" t="n">
        <v>37.28</v>
      </c>
      <c r="B63" s="26">
        <f>A63-$B$12</f>
        <v/>
      </c>
      <c r="C63" s="26">
        <f>MAX(0,A63-$B$6)</f>
        <v/>
      </c>
      <c r="D63" s="5">
        <f>IF(C63&lt;=0,0,($B$7+$B$9*C63)*C63)</f>
        <v/>
      </c>
      <c r="E63" s="29">
        <f>IF($B$13=1,D63*$B$11,0)</f>
        <v/>
      </c>
      <c r="F63" s="29">
        <f>IF(A63&lt;=INDEX(SS_Amont!$A$11:$A$18,1),INDEX(SS_Amont!$E$11:$E$18,1),IF(A63&gt;=INDEX(SS_Amont!$A$11:$A$18,ROWS(SS_Amont!$A$11:$A$18)),INDEX(SS_Amont!$E$11:$E$18,ROWS(SS_Amont!$E$11:$E$18)),INDEX(SS_Amont!$E$11:$E$18,MATCH(A63,SS_Amont!$A$11:$A$18,1))+(A63-INDEX(SS_Amont!$A$11:$A$18,MATCH(A63,SS_Amont!$A$11:$A$18,1)))/(INDEX(SS_Amont!$A$11:$A$18,MATCH(A63,SS_Amont!$A$11:$A$18,1)+1)-INDEX(SS_Amont!$A$11:$A$18,MATCH(A63,SS_Amont!$A$11:$A$18,1)))*(INDEX(SS_Amont!$E$11:$E$18,MATCH(A63,SS_Amont!$A$11:$A$18,1)+1)-INDEX(SS_Amont!$E$11:$E$18,MATCH(A63,SS_Amont!$A$11:$A$18,1)))))</f>
        <v/>
      </c>
      <c r="G63" s="36">
        <f>F63+E63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  <c r="L63" s="27">
        <f>IF(Parametres!$C$87&lt;=0,0,H63/Parametres!$C$87)</f>
        <v/>
      </c>
      <c r="M63" s="27">
        <f>IF(OR(C63&lt;0.05,D63&lt;0.05),"",I63/D63)</f>
        <v/>
      </c>
    </row>
    <row r="64">
      <c r="A64" s="26" t="n">
        <v>37.33</v>
      </c>
      <c r="B64" s="26">
        <f>A64-$B$12</f>
        <v/>
      </c>
      <c r="C64" s="26">
        <f>MAX(0,A64-$B$6)</f>
        <v/>
      </c>
      <c r="D64" s="5">
        <f>IF(C64&lt;=0,0,($B$7+$B$9*C64)*C64)</f>
        <v/>
      </c>
      <c r="E64" s="29">
        <f>IF($B$13=1,D64*$B$11,0)</f>
        <v/>
      </c>
      <c r="F64" s="29">
        <f>IF(A64&lt;=INDEX(SS_Amont!$A$11:$A$18,1),INDEX(SS_Amont!$E$11:$E$18,1),IF(A64&gt;=INDEX(SS_Amont!$A$11:$A$18,ROWS(SS_Amont!$A$11:$A$18)),INDEX(SS_Amont!$E$11:$E$18,ROWS(SS_Amont!$E$11:$E$18)),INDEX(SS_Amont!$E$11:$E$18,MATCH(A64,SS_Amont!$A$11:$A$18,1))+(A64-INDEX(SS_Amont!$A$11:$A$18,MATCH(A64,SS_Amont!$A$11:$A$18,1)))/(INDEX(SS_Amont!$A$11:$A$18,MATCH(A64,SS_Amont!$A$11:$A$18,1)+1)-INDEX(SS_Amont!$A$11:$A$18,MATCH(A64,SS_Amont!$A$11:$A$18,1)))*(INDEX(SS_Amont!$E$11:$E$18,MATCH(A64,SS_Amont!$A$11:$A$18,1)+1)-INDEX(SS_Amont!$E$11:$E$18,MATCH(A64,SS_Amont!$A$11:$A$18,1)))))</f>
        <v/>
      </c>
      <c r="G64" s="36">
        <f>F64+E64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  <c r="L64" s="27">
        <f>IF(Parametres!$C$87&lt;=0,0,H64/Parametres!$C$87)</f>
        <v/>
      </c>
      <c r="M64" s="27">
        <f>IF(OR(C64&lt;0.05,D64&lt;0.05),"",I64/D64)</f>
        <v/>
      </c>
    </row>
    <row r="65">
      <c r="A65" s="26" t="n">
        <v>37.38</v>
      </c>
      <c r="B65" s="26">
        <f>A65-$B$12</f>
        <v/>
      </c>
      <c r="C65" s="26">
        <f>MAX(0,A65-$B$6)</f>
        <v/>
      </c>
      <c r="D65" s="5">
        <f>IF(C65&lt;=0,0,($B$7+$B$9*C65)*C65)</f>
        <v/>
      </c>
      <c r="E65" s="29">
        <f>IF($B$13=1,D65*$B$11,0)</f>
        <v/>
      </c>
      <c r="F65" s="29">
        <f>IF(A65&lt;=INDEX(SS_Amont!$A$11:$A$18,1),INDEX(SS_Amont!$E$11:$E$18,1),IF(A65&gt;=INDEX(SS_Amont!$A$11:$A$18,ROWS(SS_Amont!$A$11:$A$18)),INDEX(SS_Amont!$E$11:$E$18,ROWS(SS_Amont!$E$11:$E$18)),INDEX(SS_Amont!$E$11:$E$18,MATCH(A65,SS_Amont!$A$11:$A$18,1))+(A65-INDEX(SS_Amont!$A$11:$A$18,MATCH(A65,SS_Amont!$A$11:$A$18,1)))/(INDEX(SS_Amont!$A$11:$A$18,MATCH(A65,SS_Amont!$A$11:$A$18,1)+1)-INDEX(SS_Amont!$A$11:$A$18,MATCH(A65,SS_Amont!$A$11:$A$18,1)))*(INDEX(SS_Amont!$E$11:$E$18,MATCH(A65,SS_Amont!$A$11:$A$18,1)+1)-INDEX(SS_Amont!$E$11:$E$18,MATCH(A65,SS_Amont!$A$11:$A$18,1)))))</f>
        <v/>
      </c>
      <c r="G65" s="36">
        <f>F65+E65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  <c r="L65" s="27">
        <f>IF(Parametres!$C$87&lt;=0,0,H65/Parametres!$C$87)</f>
        <v/>
      </c>
      <c r="M65" s="27">
        <f>IF(OR(C65&lt;0.05,D65&lt;0.05),"",I65/D65)</f>
        <v/>
      </c>
    </row>
    <row r="66">
      <c r="A66" s="26" t="n">
        <v>37.43</v>
      </c>
      <c r="B66" s="26">
        <f>A66-$B$12</f>
        <v/>
      </c>
      <c r="C66" s="26">
        <f>MAX(0,A66-$B$6)</f>
        <v/>
      </c>
      <c r="D66" s="5">
        <f>IF(C66&lt;=0,0,($B$7+$B$9*C66)*C66)</f>
        <v/>
      </c>
      <c r="E66" s="29">
        <f>IF($B$13=1,D66*$B$11,0)</f>
        <v/>
      </c>
      <c r="F66" s="29">
        <f>IF(A66&lt;=INDEX(SS_Amont!$A$11:$A$18,1),INDEX(SS_Amont!$E$11:$E$18,1),IF(A66&gt;=INDEX(SS_Amont!$A$11:$A$18,ROWS(SS_Amont!$A$11:$A$18)),INDEX(SS_Amont!$E$11:$E$18,ROWS(SS_Amont!$E$11:$E$18)),INDEX(SS_Amont!$E$11:$E$18,MATCH(A66,SS_Amont!$A$11:$A$18,1))+(A66-INDEX(SS_Amont!$A$11:$A$18,MATCH(A66,SS_Amont!$A$11:$A$18,1)))/(INDEX(SS_Amont!$A$11:$A$18,MATCH(A66,SS_Amont!$A$11:$A$18,1)+1)-INDEX(SS_Amont!$A$11:$A$18,MATCH(A66,SS_Amont!$A$11:$A$18,1)))*(INDEX(SS_Amont!$E$11:$E$18,MATCH(A66,SS_Amont!$A$11:$A$18,1)+1)-INDEX(SS_Amont!$E$11:$E$18,MATCH(A66,SS_Amont!$A$11:$A$18,1)))))</f>
        <v/>
      </c>
      <c r="G66" s="36">
        <f>F66+E66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  <c r="L66" s="27">
        <f>IF(Parametres!$C$87&lt;=0,0,H66/Parametres!$C$87)</f>
        <v/>
      </c>
      <c r="M66" s="27">
        <f>IF(OR(C66&lt;0.05,D66&lt;0.05),"",I66/D66)</f>
        <v/>
      </c>
    </row>
    <row r="67">
      <c r="A67" s="26" t="n">
        <v>37.48</v>
      </c>
      <c r="B67" s="26">
        <f>A67-$B$12</f>
        <v/>
      </c>
      <c r="C67" s="26">
        <f>MAX(0,A67-$B$6)</f>
        <v/>
      </c>
      <c r="D67" s="5">
        <f>IF(C67&lt;=0,0,($B$7+$B$9*C67)*C67)</f>
        <v/>
      </c>
      <c r="E67" s="29">
        <f>IF($B$13=1,D67*$B$11,0)</f>
        <v/>
      </c>
      <c r="F67" s="29">
        <f>IF(A67&lt;=INDEX(SS_Amont!$A$11:$A$18,1),INDEX(SS_Amont!$E$11:$E$18,1),IF(A67&gt;=INDEX(SS_Amont!$A$11:$A$18,ROWS(SS_Amont!$A$11:$A$18)),INDEX(SS_Amont!$E$11:$E$18,ROWS(SS_Amont!$E$11:$E$18)),INDEX(SS_Amont!$E$11:$E$18,MATCH(A67,SS_Amont!$A$11:$A$18,1))+(A67-INDEX(SS_Amont!$A$11:$A$18,MATCH(A67,SS_Amont!$A$11:$A$18,1)))/(INDEX(SS_Amont!$A$11:$A$18,MATCH(A67,SS_Amont!$A$11:$A$18,1)+1)-INDEX(SS_Amont!$A$11:$A$18,MATCH(A67,SS_Amont!$A$11:$A$18,1)))*(INDEX(SS_Amont!$E$11:$E$18,MATCH(A67,SS_Amont!$A$11:$A$18,1)+1)-INDEX(SS_Amont!$E$11:$E$18,MATCH(A67,SS_Amont!$A$11:$A$18,1)))))</f>
        <v/>
      </c>
      <c r="G67" s="36">
        <f>F67+E67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  <c r="L67" s="27">
        <f>IF(Parametres!$C$87&lt;=0,0,H67/Parametres!$C$87)</f>
        <v/>
      </c>
      <c r="M67" s="27">
        <f>IF(OR(C67&lt;0.05,D67&lt;0.05),"",I67/D67)</f>
        <v/>
      </c>
    </row>
    <row r="68">
      <c r="A68" s="26" t="n">
        <v>37.53</v>
      </c>
      <c r="B68" s="26">
        <f>A68-$B$12</f>
        <v/>
      </c>
      <c r="C68" s="26">
        <f>MAX(0,A68-$B$6)</f>
        <v/>
      </c>
      <c r="D68" s="5">
        <f>IF(C68&lt;=0,0,($B$7+$B$9*C68)*C68)</f>
        <v/>
      </c>
      <c r="E68" s="29">
        <f>IF($B$13=1,D68*$B$11,0)</f>
        <v/>
      </c>
      <c r="F68" s="29">
        <f>IF(A68&lt;=INDEX(SS_Amont!$A$11:$A$18,1),INDEX(SS_Amont!$E$11:$E$18,1),IF(A68&gt;=INDEX(SS_Amont!$A$11:$A$18,ROWS(SS_Amont!$A$11:$A$18)),INDEX(SS_Amont!$E$11:$E$18,ROWS(SS_Amont!$E$11:$E$18)),INDEX(SS_Amont!$E$11:$E$18,MATCH(A68,SS_Amont!$A$11:$A$18,1))+(A68-INDEX(SS_Amont!$A$11:$A$18,MATCH(A68,SS_Amont!$A$11:$A$18,1)))/(INDEX(SS_Amont!$A$11:$A$18,MATCH(A68,SS_Amont!$A$11:$A$18,1)+1)-INDEX(SS_Amont!$A$11:$A$18,MATCH(A68,SS_Amont!$A$11:$A$18,1)))*(INDEX(SS_Amont!$E$11:$E$18,MATCH(A68,SS_Amont!$A$11:$A$18,1)+1)-INDEX(SS_Amont!$E$11:$E$18,MATCH(A68,SS_Amont!$A$11:$A$18,1)))))</f>
        <v/>
      </c>
      <c r="G68" s="36">
        <f>F68+E68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  <c r="L68" s="27">
        <f>IF(Parametres!$C$87&lt;=0,0,H68/Parametres!$C$87)</f>
        <v/>
      </c>
      <c r="M68" s="27">
        <f>IF(OR(C68&lt;0.05,D68&lt;0.05),"",I68/D68)</f>
        <v/>
      </c>
    </row>
    <row r="69">
      <c r="A69" s="26" t="n">
        <v>37.58</v>
      </c>
      <c r="B69" s="26">
        <f>A69-$B$12</f>
        <v/>
      </c>
      <c r="C69" s="26">
        <f>MAX(0,A69-$B$6)</f>
        <v/>
      </c>
      <c r="D69" s="5">
        <f>IF(C69&lt;=0,0,($B$7+$B$9*C69)*C69)</f>
        <v/>
      </c>
      <c r="E69" s="29">
        <f>IF($B$13=1,D69*$B$11,0)</f>
        <v/>
      </c>
      <c r="F69" s="29">
        <f>IF(A69&lt;=INDEX(SS_Amont!$A$11:$A$18,1),INDEX(SS_Amont!$E$11:$E$18,1),IF(A69&gt;=INDEX(SS_Amont!$A$11:$A$18,ROWS(SS_Amont!$A$11:$A$18)),INDEX(SS_Amont!$E$11:$E$18,ROWS(SS_Amont!$E$11:$E$18)),INDEX(SS_Amont!$E$11:$E$18,MATCH(A69,SS_Amont!$A$11:$A$18,1))+(A69-INDEX(SS_Amont!$A$11:$A$18,MATCH(A69,SS_Amont!$A$11:$A$18,1)))/(INDEX(SS_Amont!$A$11:$A$18,MATCH(A69,SS_Amont!$A$11:$A$18,1)+1)-INDEX(SS_Amont!$A$11:$A$18,MATCH(A69,SS_Amont!$A$11:$A$18,1)))*(INDEX(SS_Amont!$E$11:$E$18,MATCH(A69,SS_Amont!$A$11:$A$18,1)+1)-INDEX(SS_Amont!$E$11:$E$18,MATCH(A69,SS_Amont!$A$11:$A$18,1)))))</f>
        <v/>
      </c>
      <c r="G69" s="36">
        <f>F69+E69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  <c r="L69" s="27">
        <f>IF(Parametres!$C$87&lt;=0,0,H69/Parametres!$C$87)</f>
        <v/>
      </c>
      <c r="M69" s="27">
        <f>IF(OR(C69&lt;0.05,D69&lt;0.05),"",I69/D69)</f>
        <v/>
      </c>
    </row>
    <row r="70">
      <c r="A70" s="26" t="n">
        <v>37.63</v>
      </c>
      <c r="B70" s="26">
        <f>A70-$B$12</f>
        <v/>
      </c>
      <c r="C70" s="26">
        <f>MAX(0,A70-$B$6)</f>
        <v/>
      </c>
      <c r="D70" s="5">
        <f>IF(C70&lt;=0,0,($B$7+$B$9*C70)*C70)</f>
        <v/>
      </c>
      <c r="E70" s="29">
        <f>IF($B$13=1,D70*$B$11,0)</f>
        <v/>
      </c>
      <c r="F70" s="29">
        <f>IF(A70&lt;=INDEX(SS_Amont!$A$11:$A$18,1),INDEX(SS_Amont!$E$11:$E$18,1),IF(A70&gt;=INDEX(SS_Amont!$A$11:$A$18,ROWS(SS_Amont!$A$11:$A$18)),INDEX(SS_Amont!$E$11:$E$18,ROWS(SS_Amont!$E$11:$E$18)),INDEX(SS_Amont!$E$11:$E$18,MATCH(A70,SS_Amont!$A$11:$A$18,1))+(A70-INDEX(SS_Amont!$A$11:$A$18,MATCH(A70,SS_Amont!$A$11:$A$18,1)))/(INDEX(SS_Amont!$A$11:$A$18,MATCH(A70,SS_Amont!$A$11:$A$18,1)+1)-INDEX(SS_Amont!$A$11:$A$18,MATCH(A70,SS_Amont!$A$11:$A$18,1)))*(INDEX(SS_Amont!$E$11:$E$18,MATCH(A70,SS_Amont!$A$11:$A$18,1)+1)-INDEX(SS_Amont!$E$11:$E$18,MATCH(A70,SS_Amont!$A$11:$A$18,1)))))</f>
        <v/>
      </c>
      <c r="G70" s="36">
        <f>F70+E70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  <c r="L70" s="27">
        <f>IF(Parametres!$C$87&lt;=0,0,H70/Parametres!$C$87)</f>
        <v/>
      </c>
      <c r="M70" s="27">
        <f>IF(OR(C70&lt;0.05,D70&lt;0.05),"",I70/D70)</f>
        <v/>
      </c>
    </row>
    <row r="71">
      <c r="A71" s="26" t="n">
        <v>37.68</v>
      </c>
      <c r="B71" s="26">
        <f>A71-$B$12</f>
        <v/>
      </c>
      <c r="C71" s="26">
        <f>MAX(0,A71-$B$6)</f>
        <v/>
      </c>
      <c r="D71" s="5">
        <f>IF(C71&lt;=0,0,($B$7+$B$9*C71)*C71)</f>
        <v/>
      </c>
      <c r="E71" s="29">
        <f>IF($B$13=1,D71*$B$11,0)</f>
        <v/>
      </c>
      <c r="F71" s="29">
        <f>IF(A71&lt;=INDEX(SS_Amont!$A$11:$A$18,1),INDEX(SS_Amont!$E$11:$E$18,1),IF(A71&gt;=INDEX(SS_Amont!$A$11:$A$18,ROWS(SS_Amont!$A$11:$A$18)),INDEX(SS_Amont!$E$11:$E$18,ROWS(SS_Amont!$E$11:$E$18)),INDEX(SS_Amont!$E$11:$E$18,MATCH(A71,SS_Amont!$A$11:$A$18,1))+(A71-INDEX(SS_Amont!$A$11:$A$18,MATCH(A71,SS_Amont!$A$11:$A$18,1)))/(INDEX(SS_Amont!$A$11:$A$18,MATCH(A71,SS_Amont!$A$11:$A$18,1)+1)-INDEX(SS_Amont!$A$11:$A$18,MATCH(A71,SS_Amont!$A$11:$A$18,1)))*(INDEX(SS_Amont!$E$11:$E$18,MATCH(A71,SS_Amont!$A$11:$A$18,1)+1)-INDEX(SS_Amont!$E$11:$E$18,MATCH(A71,SS_Amont!$A$11:$A$18,1)))))</f>
        <v/>
      </c>
      <c r="G71" s="36">
        <f>F71+E71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  <c r="L71" s="27">
        <f>IF(Parametres!$C$87&lt;=0,0,H71/Parametres!$C$87)</f>
        <v/>
      </c>
      <c r="M71" s="27">
        <f>IF(OR(C71&lt;0.05,D71&lt;0.05),"",I71/D71)</f>
        <v/>
      </c>
    </row>
    <row r="72">
      <c r="A72" s="26" t="n">
        <v>37.73</v>
      </c>
      <c r="B72" s="26">
        <f>A72-$B$12</f>
        <v/>
      </c>
      <c r="C72" s="26">
        <f>MAX(0,A72-$B$6)</f>
        <v/>
      </c>
      <c r="D72" s="5">
        <f>IF(C72&lt;=0,0,($B$7+$B$9*C72)*C72)</f>
        <v/>
      </c>
      <c r="E72" s="29">
        <f>IF($B$13=1,D72*$B$11,0)</f>
        <v/>
      </c>
      <c r="F72" s="29">
        <f>IF(A72&lt;=INDEX(SS_Amont!$A$11:$A$18,1),INDEX(SS_Amont!$E$11:$E$18,1),IF(A72&gt;=INDEX(SS_Amont!$A$11:$A$18,ROWS(SS_Amont!$A$11:$A$18)),INDEX(SS_Amont!$E$11:$E$18,ROWS(SS_Amont!$E$11:$E$18)),INDEX(SS_Amont!$E$11:$E$18,MATCH(A72,SS_Amont!$A$11:$A$18,1))+(A72-INDEX(SS_Amont!$A$11:$A$18,MATCH(A72,SS_Amont!$A$11:$A$18,1)))/(INDEX(SS_Amont!$A$11:$A$18,MATCH(A72,SS_Amont!$A$11:$A$18,1)+1)-INDEX(SS_Amont!$A$11:$A$18,MATCH(A72,SS_Amont!$A$11:$A$18,1)))*(INDEX(SS_Amont!$E$11:$E$18,MATCH(A72,SS_Amont!$A$11:$A$18,1)+1)-INDEX(SS_Amont!$E$11:$E$18,MATCH(A72,SS_Amont!$A$11:$A$18,1)))))</f>
        <v/>
      </c>
      <c r="G72" s="36">
        <f>F72+E72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  <c r="L72" s="27">
        <f>IF(Parametres!$C$87&lt;=0,0,H72/Parametres!$C$87)</f>
        <v/>
      </c>
      <c r="M72" s="27">
        <f>IF(OR(C72&lt;0.05,D72&lt;0.05),"",I72/D72)</f>
        <v/>
      </c>
    </row>
    <row r="73">
      <c r="A73" s="26" t="n">
        <v>37.78</v>
      </c>
      <c r="B73" s="26">
        <f>A73-$B$12</f>
        <v/>
      </c>
      <c r="C73" s="26">
        <f>MAX(0,A73-$B$6)</f>
        <v/>
      </c>
      <c r="D73" s="5">
        <f>IF(C73&lt;=0,0,($B$7+$B$9*C73)*C73)</f>
        <v/>
      </c>
      <c r="E73" s="29">
        <f>IF($B$13=1,D73*$B$11,0)</f>
        <v/>
      </c>
      <c r="F73" s="29">
        <f>IF(A73&lt;=INDEX(SS_Amont!$A$11:$A$18,1),INDEX(SS_Amont!$E$11:$E$18,1),IF(A73&gt;=INDEX(SS_Amont!$A$11:$A$18,ROWS(SS_Amont!$A$11:$A$18)),INDEX(SS_Amont!$E$11:$E$18,ROWS(SS_Amont!$E$11:$E$18)),INDEX(SS_Amont!$E$11:$E$18,MATCH(A73,SS_Amont!$A$11:$A$18,1))+(A73-INDEX(SS_Amont!$A$11:$A$18,MATCH(A73,SS_Amont!$A$11:$A$18,1)))/(INDEX(SS_Amont!$A$11:$A$18,MATCH(A73,SS_Amont!$A$11:$A$18,1)+1)-INDEX(SS_Amont!$A$11:$A$18,MATCH(A73,SS_Amont!$A$11:$A$18,1)))*(INDEX(SS_Amont!$E$11:$E$18,MATCH(A73,SS_Amont!$A$11:$A$18,1)+1)-INDEX(SS_Amont!$E$11:$E$18,MATCH(A73,SS_Amont!$A$11:$A$18,1)))))</f>
        <v/>
      </c>
      <c r="G73" s="36">
        <f>F73+E73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  <c r="L73" s="27">
        <f>IF(Parametres!$C$87&lt;=0,0,H73/Parametres!$C$87)</f>
        <v/>
      </c>
      <c r="M73" s="27">
        <f>IF(OR(C73&lt;0.05,D73&lt;0.05),"",I73/D73)</f>
        <v/>
      </c>
    </row>
    <row r="74">
      <c r="A74" s="26" t="n">
        <v>37.83</v>
      </c>
      <c r="B74" s="26">
        <f>A74-$B$12</f>
        <v/>
      </c>
      <c r="C74" s="26">
        <f>MAX(0,A74-$B$6)</f>
        <v/>
      </c>
      <c r="D74" s="5">
        <f>IF(C74&lt;=0,0,($B$7+$B$9*C74)*C74)</f>
        <v/>
      </c>
      <c r="E74" s="29">
        <f>IF($B$13=1,D74*$B$11,0)</f>
        <v/>
      </c>
      <c r="F74" s="29">
        <f>IF(A74&lt;=INDEX(SS_Amont!$A$11:$A$18,1),INDEX(SS_Amont!$E$11:$E$18,1),IF(A74&gt;=INDEX(SS_Amont!$A$11:$A$18,ROWS(SS_Amont!$A$11:$A$18)),INDEX(SS_Amont!$E$11:$E$18,ROWS(SS_Amont!$E$11:$E$18)),INDEX(SS_Amont!$E$11:$E$18,MATCH(A74,SS_Amont!$A$11:$A$18,1))+(A74-INDEX(SS_Amont!$A$11:$A$18,MATCH(A74,SS_Amont!$A$11:$A$18,1)))/(INDEX(SS_Amont!$A$11:$A$18,MATCH(A74,SS_Amont!$A$11:$A$18,1)+1)-INDEX(SS_Amont!$A$11:$A$18,MATCH(A74,SS_Amont!$A$11:$A$18,1)))*(INDEX(SS_Amont!$E$11:$E$18,MATCH(A74,SS_Amont!$A$11:$A$18,1)+1)-INDEX(SS_Amont!$E$11:$E$18,MATCH(A74,SS_Amont!$A$11:$A$18,1)))))</f>
        <v/>
      </c>
      <c r="G74" s="36">
        <f>F74+E74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  <c r="L74" s="27">
        <f>IF(Parametres!$C$87&lt;=0,0,H74/Parametres!$C$87)</f>
        <v/>
      </c>
      <c r="M74" s="27">
        <f>IF(OR(C74&lt;0.05,D74&lt;0.05),"",I74/D74)</f>
        <v/>
      </c>
    </row>
    <row r="75">
      <c r="A75" s="26" t="n">
        <v>37.88</v>
      </c>
      <c r="B75" s="26">
        <f>A75-$B$12</f>
        <v/>
      </c>
      <c r="C75" s="26">
        <f>MAX(0,A75-$B$6)</f>
        <v/>
      </c>
      <c r="D75" s="5">
        <f>IF(C75&lt;=0,0,($B$7+$B$9*C75)*C75)</f>
        <v/>
      </c>
      <c r="E75" s="29">
        <f>IF($B$13=1,D75*$B$11,0)</f>
        <v/>
      </c>
      <c r="F75" s="29">
        <f>IF(A75&lt;=INDEX(SS_Amont!$A$11:$A$18,1),INDEX(SS_Amont!$E$11:$E$18,1),IF(A75&gt;=INDEX(SS_Amont!$A$11:$A$18,ROWS(SS_Amont!$A$11:$A$18)),INDEX(SS_Amont!$E$11:$E$18,ROWS(SS_Amont!$E$11:$E$18)),INDEX(SS_Amont!$E$11:$E$18,MATCH(A75,SS_Amont!$A$11:$A$18,1))+(A75-INDEX(SS_Amont!$A$11:$A$18,MATCH(A75,SS_Amont!$A$11:$A$18,1)))/(INDEX(SS_Amont!$A$11:$A$18,MATCH(A75,SS_Amont!$A$11:$A$18,1)+1)-INDEX(SS_Amont!$A$11:$A$18,MATCH(A75,SS_Amont!$A$11:$A$18,1)))*(INDEX(SS_Amont!$E$11:$E$18,MATCH(A75,SS_Amont!$A$11:$A$18,1)+1)-INDEX(SS_Amont!$E$11:$E$18,MATCH(A75,SS_Amont!$A$11:$A$18,1)))))</f>
        <v/>
      </c>
      <c r="G75" s="36">
        <f>F75+E75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  <c r="L75" s="27">
        <f>IF(Parametres!$C$87&lt;=0,0,H75/Parametres!$C$87)</f>
        <v/>
      </c>
      <c r="M75" s="27">
        <f>IF(OR(C75&lt;0.05,D75&lt;0.05),"",I75/D75)</f>
        <v/>
      </c>
    </row>
    <row r="76">
      <c r="A76" s="26" t="n">
        <v>37.93</v>
      </c>
      <c r="B76" s="26">
        <f>A76-$B$12</f>
        <v/>
      </c>
      <c r="C76" s="26">
        <f>MAX(0,A76-$B$6)</f>
        <v/>
      </c>
      <c r="D76" s="5">
        <f>IF(C76&lt;=0,0,($B$7+$B$9*C76)*C76)</f>
        <v/>
      </c>
      <c r="E76" s="29">
        <f>IF($B$13=1,D76*$B$11,0)</f>
        <v/>
      </c>
      <c r="F76" s="29">
        <f>IF(A76&lt;=INDEX(SS_Amont!$A$11:$A$18,1),INDEX(SS_Amont!$E$11:$E$18,1),IF(A76&gt;=INDEX(SS_Amont!$A$11:$A$18,ROWS(SS_Amont!$A$11:$A$18)),INDEX(SS_Amont!$E$11:$E$18,ROWS(SS_Amont!$E$11:$E$18)),INDEX(SS_Amont!$E$11:$E$18,MATCH(A76,SS_Amont!$A$11:$A$18,1))+(A76-INDEX(SS_Amont!$A$11:$A$18,MATCH(A76,SS_Amont!$A$11:$A$18,1)))/(INDEX(SS_Amont!$A$11:$A$18,MATCH(A76,SS_Amont!$A$11:$A$18,1)+1)-INDEX(SS_Amont!$A$11:$A$18,MATCH(A76,SS_Amont!$A$11:$A$18,1)))*(INDEX(SS_Amont!$E$11:$E$18,MATCH(A76,SS_Amont!$A$11:$A$18,1)+1)-INDEX(SS_Amont!$E$11:$E$18,MATCH(A76,SS_Amont!$A$11:$A$18,1)))))</f>
        <v/>
      </c>
      <c r="G76" s="36">
        <f>F76+E76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  <c r="L76" s="27">
        <f>IF(Parametres!$C$87&lt;=0,0,H76/Parametres!$C$87)</f>
        <v/>
      </c>
      <c r="M76" s="27">
        <f>IF(OR(C76&lt;0.05,D76&lt;0.05),"",I76/D76)</f>
        <v/>
      </c>
    </row>
    <row r="77">
      <c r="A77" s="26" t="n">
        <v>37.98</v>
      </c>
      <c r="B77" s="26">
        <f>A77-$B$12</f>
        <v/>
      </c>
      <c r="C77" s="26">
        <f>MAX(0,A77-$B$6)</f>
        <v/>
      </c>
      <c r="D77" s="5">
        <f>IF(C77&lt;=0,0,($B$7+$B$9*C77)*C77)</f>
        <v/>
      </c>
      <c r="E77" s="29">
        <f>IF($B$13=1,D77*$B$11,0)</f>
        <v/>
      </c>
      <c r="F77" s="29">
        <f>IF(A77&lt;=INDEX(SS_Amont!$A$11:$A$18,1),INDEX(SS_Amont!$E$11:$E$18,1),IF(A77&gt;=INDEX(SS_Amont!$A$11:$A$18,ROWS(SS_Amont!$A$11:$A$18)),INDEX(SS_Amont!$E$11:$E$18,ROWS(SS_Amont!$E$11:$E$18)),INDEX(SS_Amont!$E$11:$E$18,MATCH(A77,SS_Amont!$A$11:$A$18,1))+(A77-INDEX(SS_Amont!$A$11:$A$18,MATCH(A77,SS_Amont!$A$11:$A$18,1)))/(INDEX(SS_Amont!$A$11:$A$18,MATCH(A77,SS_Amont!$A$11:$A$18,1)+1)-INDEX(SS_Amont!$A$11:$A$18,MATCH(A77,SS_Amont!$A$11:$A$18,1)))*(INDEX(SS_Amont!$E$11:$E$18,MATCH(A77,SS_Amont!$A$11:$A$18,1)+1)-INDEX(SS_Amont!$E$11:$E$18,MATCH(A77,SS_Amont!$A$11:$A$18,1)))))</f>
        <v/>
      </c>
      <c r="G77" s="36">
        <f>F77+E77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  <c r="L77" s="27">
        <f>IF(Parametres!$C$87&lt;=0,0,H77/Parametres!$C$87)</f>
        <v/>
      </c>
      <c r="M77" s="27">
        <f>IF(OR(C77&lt;0.05,D77&lt;0.05),"",I77/D77)</f>
        <v/>
      </c>
    </row>
    <row r="78">
      <c r="A78" s="26" t="n">
        <v>38.03</v>
      </c>
      <c r="B78" s="26">
        <f>A78-$B$12</f>
        <v/>
      </c>
      <c r="C78" s="26">
        <f>MAX(0,A78-$B$6)</f>
        <v/>
      </c>
      <c r="D78" s="5">
        <f>IF(C78&lt;=0,0,($B$7+$B$9*C78)*C78)</f>
        <v/>
      </c>
      <c r="E78" s="29">
        <f>IF($B$13=1,D78*$B$11,0)</f>
        <v/>
      </c>
      <c r="F78" s="29">
        <f>IF(A78&lt;=INDEX(SS_Amont!$A$11:$A$18,1),INDEX(SS_Amont!$E$11:$E$18,1),IF(A78&gt;=INDEX(SS_Amont!$A$11:$A$18,ROWS(SS_Amont!$A$11:$A$18)),INDEX(SS_Amont!$E$11:$E$18,ROWS(SS_Amont!$E$11:$E$18)),INDEX(SS_Amont!$E$11:$E$18,MATCH(A78,SS_Amont!$A$11:$A$18,1))+(A78-INDEX(SS_Amont!$A$11:$A$18,MATCH(A78,SS_Amont!$A$11:$A$18,1)))/(INDEX(SS_Amont!$A$11:$A$18,MATCH(A78,SS_Amont!$A$11:$A$18,1)+1)-INDEX(SS_Amont!$A$11:$A$18,MATCH(A78,SS_Amont!$A$11:$A$18,1)))*(INDEX(SS_Amont!$E$11:$E$18,MATCH(A78,SS_Amont!$A$11:$A$18,1)+1)-INDEX(SS_Amont!$E$11:$E$18,MATCH(A78,SS_Amont!$A$11:$A$18,1)))))</f>
        <v/>
      </c>
      <c r="G78" s="36">
        <f>F78+E78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  <c r="L78" s="27">
        <f>IF(Parametres!$C$87&lt;=0,0,H78/Parametres!$C$87)</f>
        <v/>
      </c>
      <c r="M78" s="27">
        <f>IF(OR(C78&lt;0.05,D78&lt;0.05),"",I78/D78)</f>
        <v/>
      </c>
    </row>
    <row r="79">
      <c r="A79" s="26" t="n">
        <v>38.08</v>
      </c>
      <c r="B79" s="26">
        <f>A79-$B$12</f>
        <v/>
      </c>
      <c r="C79" s="26">
        <f>MAX(0,A79-$B$6)</f>
        <v/>
      </c>
      <c r="D79" s="5">
        <f>IF(C79&lt;=0,0,($B$7+$B$9*C79)*C79)</f>
        <v/>
      </c>
      <c r="E79" s="29">
        <f>IF($B$13=1,D79*$B$11,0)</f>
        <v/>
      </c>
      <c r="F79" s="29">
        <f>IF(A79&lt;=INDEX(SS_Amont!$A$11:$A$18,1),INDEX(SS_Amont!$E$11:$E$18,1),IF(A79&gt;=INDEX(SS_Amont!$A$11:$A$18,ROWS(SS_Amont!$A$11:$A$18)),INDEX(SS_Amont!$E$11:$E$18,ROWS(SS_Amont!$E$11:$E$18)),INDEX(SS_Amont!$E$11:$E$18,MATCH(A79,SS_Amont!$A$11:$A$18,1))+(A79-INDEX(SS_Amont!$A$11:$A$18,MATCH(A79,SS_Amont!$A$11:$A$18,1)))/(INDEX(SS_Amont!$A$11:$A$18,MATCH(A79,SS_Amont!$A$11:$A$18,1)+1)-INDEX(SS_Amont!$A$11:$A$18,MATCH(A79,SS_Amont!$A$11:$A$18,1)))*(INDEX(SS_Amont!$E$11:$E$18,MATCH(A79,SS_Amont!$A$11:$A$18,1)+1)-INDEX(SS_Amont!$E$11:$E$18,MATCH(A79,SS_Amont!$A$11:$A$18,1)))))</f>
        <v/>
      </c>
      <c r="G79" s="36">
        <f>F79+E79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  <c r="L79" s="27">
        <f>IF(Parametres!$C$87&lt;=0,0,H79/Parametres!$C$87)</f>
        <v/>
      </c>
      <c r="M79" s="27">
        <f>IF(OR(C79&lt;0.05,D79&lt;0.05),"",I79/D79)</f>
        <v/>
      </c>
    </row>
    <row r="80">
      <c r="A80" s="26" t="n">
        <v>38.13</v>
      </c>
      <c r="B80" s="26">
        <f>A80-$B$12</f>
        <v/>
      </c>
      <c r="C80" s="26">
        <f>MAX(0,A80-$B$6)</f>
        <v/>
      </c>
      <c r="D80" s="5">
        <f>IF(C80&lt;=0,0,($B$7+$B$9*C80)*C80)</f>
        <v/>
      </c>
      <c r="E80" s="29">
        <f>IF($B$13=1,D80*$B$11,0)</f>
        <v/>
      </c>
      <c r="F80" s="29">
        <f>IF(A80&lt;=INDEX(SS_Amont!$A$11:$A$18,1),INDEX(SS_Amont!$E$11:$E$18,1),IF(A80&gt;=INDEX(SS_Amont!$A$11:$A$18,ROWS(SS_Amont!$A$11:$A$18)),INDEX(SS_Amont!$E$11:$E$18,ROWS(SS_Amont!$E$11:$E$18)),INDEX(SS_Amont!$E$11:$E$18,MATCH(A80,SS_Amont!$A$11:$A$18,1))+(A80-INDEX(SS_Amont!$A$11:$A$18,MATCH(A80,SS_Amont!$A$11:$A$18,1)))/(INDEX(SS_Amont!$A$11:$A$18,MATCH(A80,SS_Amont!$A$11:$A$18,1)+1)-INDEX(SS_Amont!$A$11:$A$18,MATCH(A80,SS_Amont!$A$11:$A$18,1)))*(INDEX(SS_Amont!$E$11:$E$18,MATCH(A80,SS_Amont!$A$11:$A$18,1)+1)-INDEX(SS_Amont!$E$11:$E$18,MATCH(A80,SS_Amont!$A$11:$A$18,1)))))</f>
        <v/>
      </c>
      <c r="G80" s="36">
        <f>F80+E80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  <c r="L80" s="27">
        <f>IF(Parametres!$C$87&lt;=0,0,H80/Parametres!$C$87)</f>
        <v/>
      </c>
      <c r="M80" s="27">
        <f>IF(OR(C80&lt;0.05,D80&lt;0.05),"",I80/D80)</f>
        <v/>
      </c>
    </row>
    <row r="81">
      <c r="A81" s="26" t="n">
        <v>38.18</v>
      </c>
      <c r="B81" s="26">
        <f>A81-$B$12</f>
        <v/>
      </c>
      <c r="C81" s="26">
        <f>MAX(0,A81-$B$6)</f>
        <v/>
      </c>
      <c r="D81" s="5">
        <f>IF(C81&lt;=0,0,($B$7+$B$9*C81)*C81)</f>
        <v/>
      </c>
      <c r="E81" s="29">
        <f>IF($B$13=1,D81*$B$11,0)</f>
        <v/>
      </c>
      <c r="F81" s="29">
        <f>IF(A81&lt;=INDEX(SS_Amont!$A$11:$A$18,1),INDEX(SS_Amont!$E$11:$E$18,1),IF(A81&gt;=INDEX(SS_Amont!$A$11:$A$18,ROWS(SS_Amont!$A$11:$A$18)),INDEX(SS_Amont!$E$11:$E$18,ROWS(SS_Amont!$E$11:$E$18)),INDEX(SS_Amont!$E$11:$E$18,MATCH(A81,SS_Amont!$A$11:$A$18,1))+(A81-INDEX(SS_Amont!$A$11:$A$18,MATCH(A81,SS_Amont!$A$11:$A$18,1)))/(INDEX(SS_Amont!$A$11:$A$18,MATCH(A81,SS_Amont!$A$11:$A$18,1)+1)-INDEX(SS_Amont!$A$11:$A$18,MATCH(A81,SS_Amont!$A$11:$A$18,1)))*(INDEX(SS_Amont!$E$11:$E$18,MATCH(A81,SS_Amont!$A$11:$A$18,1)+1)-INDEX(SS_Amont!$E$11:$E$18,MATCH(A81,SS_Amont!$A$11:$A$18,1)))))</f>
        <v/>
      </c>
      <c r="G81" s="36">
        <f>F81+E81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  <c r="L81" s="27">
        <f>IF(Parametres!$C$87&lt;=0,0,H81/Parametres!$C$87)</f>
        <v/>
      </c>
      <c r="M81" s="27">
        <f>IF(OR(C81&lt;0.05,D81&lt;0.05),"",I81/D81)</f>
        <v/>
      </c>
    </row>
    <row r="82">
      <c r="A82" s="26" t="n">
        <v>38.23</v>
      </c>
      <c r="B82" s="26">
        <f>A82-$B$12</f>
        <v/>
      </c>
      <c r="C82" s="26">
        <f>MAX(0,A82-$B$6)</f>
        <v/>
      </c>
      <c r="D82" s="5">
        <f>IF(C82&lt;=0,0,($B$7+$B$9*C82)*C82)</f>
        <v/>
      </c>
      <c r="E82" s="29">
        <f>IF($B$13=1,D82*$B$11,0)</f>
        <v/>
      </c>
      <c r="F82" s="29">
        <f>IF(A82&lt;=INDEX(SS_Amont!$A$11:$A$18,1),INDEX(SS_Amont!$E$11:$E$18,1),IF(A82&gt;=INDEX(SS_Amont!$A$11:$A$18,ROWS(SS_Amont!$A$11:$A$18)),INDEX(SS_Amont!$E$11:$E$18,ROWS(SS_Amont!$E$11:$E$18)),INDEX(SS_Amont!$E$11:$E$18,MATCH(A82,SS_Amont!$A$11:$A$18,1))+(A82-INDEX(SS_Amont!$A$11:$A$18,MATCH(A82,SS_Amont!$A$11:$A$18,1)))/(INDEX(SS_Amont!$A$11:$A$18,MATCH(A82,SS_Amont!$A$11:$A$18,1)+1)-INDEX(SS_Amont!$A$11:$A$18,MATCH(A82,SS_Amont!$A$11:$A$18,1)))*(INDEX(SS_Amont!$E$11:$E$18,MATCH(A82,SS_Amont!$A$11:$A$18,1)+1)-INDEX(SS_Amont!$E$11:$E$18,MATCH(A82,SS_Amont!$A$11:$A$18,1)))))</f>
        <v/>
      </c>
      <c r="G82" s="36">
        <f>F82+E82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  <c r="L82" s="27">
        <f>IF(Parametres!$C$87&lt;=0,0,H82/Parametres!$C$87)</f>
        <v/>
      </c>
      <c r="M82" s="27">
        <f>IF(OR(C82&lt;0.05,D82&lt;0.05),"",I82/D82)</f>
        <v/>
      </c>
    </row>
    <row r="83">
      <c r="A83" s="26" t="n">
        <v>38.28</v>
      </c>
      <c r="B83" s="26">
        <f>A83-$B$12</f>
        <v/>
      </c>
      <c r="C83" s="26">
        <f>MAX(0,A83-$B$6)</f>
        <v/>
      </c>
      <c r="D83" s="5">
        <f>IF(C83&lt;=0,0,($B$7+$B$9*C83)*C83)</f>
        <v/>
      </c>
      <c r="E83" s="29">
        <f>IF($B$13=1,D83*$B$11,0)</f>
        <v/>
      </c>
      <c r="F83" s="29">
        <f>IF(A83&lt;=INDEX(SS_Amont!$A$11:$A$18,1),INDEX(SS_Amont!$E$11:$E$18,1),IF(A83&gt;=INDEX(SS_Amont!$A$11:$A$18,ROWS(SS_Amont!$A$11:$A$18)),INDEX(SS_Amont!$E$11:$E$18,ROWS(SS_Amont!$E$11:$E$18)),INDEX(SS_Amont!$E$11:$E$18,MATCH(A83,SS_Amont!$A$11:$A$18,1))+(A83-INDEX(SS_Amont!$A$11:$A$18,MATCH(A83,SS_Amont!$A$11:$A$18,1)))/(INDEX(SS_Amont!$A$11:$A$18,MATCH(A83,SS_Amont!$A$11:$A$18,1)+1)-INDEX(SS_Amont!$A$11:$A$18,MATCH(A83,SS_Amont!$A$11:$A$18,1)))*(INDEX(SS_Amont!$E$11:$E$18,MATCH(A83,SS_Amont!$A$11:$A$18,1)+1)-INDEX(SS_Amont!$E$11:$E$18,MATCH(A83,SS_Amont!$A$11:$A$18,1)))))</f>
        <v/>
      </c>
      <c r="G83" s="36">
        <f>F83+E83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  <c r="L83" s="27">
        <f>IF(Parametres!$C$87&lt;=0,0,H83/Parametres!$C$87)</f>
        <v/>
      </c>
      <c r="M83" s="27">
        <f>IF(OR(C83&lt;0.05,D83&lt;0.05),"",I83/D83)</f>
        <v/>
      </c>
    </row>
    <row r="84">
      <c r="A84" s="26" t="n">
        <v>38.33</v>
      </c>
      <c r="B84" s="26">
        <f>A84-$B$12</f>
        <v/>
      </c>
      <c r="C84" s="26">
        <f>MAX(0,A84-$B$6)</f>
        <v/>
      </c>
      <c r="D84" s="5">
        <f>IF(C84&lt;=0,0,($B$7+$B$9*C84)*C84)</f>
        <v/>
      </c>
      <c r="E84" s="29">
        <f>IF($B$13=1,D84*$B$11,0)</f>
        <v/>
      </c>
      <c r="F84" s="29">
        <f>IF(A84&lt;=INDEX(SS_Amont!$A$11:$A$18,1),INDEX(SS_Amont!$E$11:$E$18,1),IF(A84&gt;=INDEX(SS_Amont!$A$11:$A$18,ROWS(SS_Amont!$A$11:$A$18)),INDEX(SS_Amont!$E$11:$E$18,ROWS(SS_Amont!$E$11:$E$18)),INDEX(SS_Amont!$E$11:$E$18,MATCH(A84,SS_Amont!$A$11:$A$18,1))+(A84-INDEX(SS_Amont!$A$11:$A$18,MATCH(A84,SS_Amont!$A$11:$A$18,1)))/(INDEX(SS_Amont!$A$11:$A$18,MATCH(A84,SS_Amont!$A$11:$A$18,1)+1)-INDEX(SS_Amont!$A$11:$A$18,MATCH(A84,SS_Amont!$A$11:$A$18,1)))*(INDEX(SS_Amont!$E$11:$E$18,MATCH(A84,SS_Amont!$A$11:$A$18,1)+1)-INDEX(SS_Amont!$E$11:$E$18,MATCH(A84,SS_Amont!$A$11:$A$18,1)))))</f>
        <v/>
      </c>
      <c r="G84" s="36">
        <f>F84+E84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  <c r="L84" s="27">
        <f>IF(Parametres!$C$87&lt;=0,0,H84/Parametres!$C$87)</f>
        <v/>
      </c>
      <c r="M84" s="27">
        <f>IF(OR(C84&lt;0.05,D84&lt;0.05),"",I84/D84)</f>
        <v/>
      </c>
    </row>
    <row r="85">
      <c r="A85" s="26" t="n">
        <v>38.38</v>
      </c>
      <c r="B85" s="26">
        <f>A85-$B$12</f>
        <v/>
      </c>
      <c r="C85" s="26">
        <f>MAX(0,A85-$B$6)</f>
        <v/>
      </c>
      <c r="D85" s="5">
        <f>IF(C85&lt;=0,0,($B$7+$B$9*C85)*C85)</f>
        <v/>
      </c>
      <c r="E85" s="29">
        <f>IF($B$13=1,D85*$B$11,0)</f>
        <v/>
      </c>
      <c r="F85" s="29">
        <f>IF(A85&lt;=INDEX(SS_Amont!$A$11:$A$18,1),INDEX(SS_Amont!$E$11:$E$18,1),IF(A85&gt;=INDEX(SS_Amont!$A$11:$A$18,ROWS(SS_Amont!$A$11:$A$18)),INDEX(SS_Amont!$E$11:$E$18,ROWS(SS_Amont!$E$11:$E$18)),INDEX(SS_Amont!$E$11:$E$18,MATCH(A85,SS_Amont!$A$11:$A$18,1))+(A85-INDEX(SS_Amont!$A$11:$A$18,MATCH(A85,SS_Amont!$A$11:$A$18,1)))/(INDEX(SS_Amont!$A$11:$A$18,MATCH(A85,SS_Amont!$A$11:$A$18,1)+1)-INDEX(SS_Amont!$A$11:$A$18,MATCH(A85,SS_Amont!$A$11:$A$18,1)))*(INDEX(SS_Amont!$E$11:$E$18,MATCH(A85,SS_Amont!$A$11:$A$18,1)+1)-INDEX(SS_Amont!$E$11:$E$18,MATCH(A85,SS_Amont!$A$11:$A$18,1)))))</f>
        <v/>
      </c>
      <c r="G85" s="36">
        <f>F85+E85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  <c r="L85" s="27">
        <f>IF(Parametres!$C$87&lt;=0,0,H85/Parametres!$C$87)</f>
        <v/>
      </c>
      <c r="M85" s="27">
        <f>IF(OR(C85&lt;0.05,D85&lt;0.05),"",I85/D85)</f>
        <v/>
      </c>
    </row>
    <row r="86">
      <c r="A86" s="26" t="n">
        <v>38.43</v>
      </c>
      <c r="B86" s="26">
        <f>A86-$B$12</f>
        <v/>
      </c>
      <c r="C86" s="26">
        <f>MAX(0,A86-$B$6)</f>
        <v/>
      </c>
      <c r="D86" s="5">
        <f>IF(C86&lt;=0,0,($B$7+$B$9*C86)*C86)</f>
        <v/>
      </c>
      <c r="E86" s="29">
        <f>IF($B$13=1,D86*$B$11,0)</f>
        <v/>
      </c>
      <c r="F86" s="29">
        <f>IF(A86&lt;=INDEX(SS_Amont!$A$11:$A$18,1),INDEX(SS_Amont!$E$11:$E$18,1),IF(A86&gt;=INDEX(SS_Amont!$A$11:$A$18,ROWS(SS_Amont!$A$11:$A$18)),INDEX(SS_Amont!$E$11:$E$18,ROWS(SS_Amont!$E$11:$E$18)),INDEX(SS_Amont!$E$11:$E$18,MATCH(A86,SS_Amont!$A$11:$A$18,1))+(A86-INDEX(SS_Amont!$A$11:$A$18,MATCH(A86,SS_Amont!$A$11:$A$18,1)))/(INDEX(SS_Amont!$A$11:$A$18,MATCH(A86,SS_Amont!$A$11:$A$18,1)+1)-INDEX(SS_Amont!$A$11:$A$18,MATCH(A86,SS_Amont!$A$11:$A$18,1)))*(INDEX(SS_Amont!$E$11:$E$18,MATCH(A86,SS_Amont!$A$11:$A$18,1)+1)-INDEX(SS_Amont!$E$11:$E$18,MATCH(A86,SS_Amont!$A$11:$A$18,1)))))</f>
        <v/>
      </c>
      <c r="G86" s="36">
        <f>F86+E86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  <c r="L86" s="27">
        <f>IF(Parametres!$C$87&lt;=0,0,H86/Parametres!$C$87)</f>
        <v/>
      </c>
      <c r="M86" s="27">
        <f>IF(OR(C86&lt;0.05,D86&lt;0.05),"",I86/D86)</f>
        <v/>
      </c>
    </row>
    <row r="87">
      <c r="A87" s="26" t="n">
        <v>38.48</v>
      </c>
      <c r="B87" s="26">
        <f>A87-$B$12</f>
        <v/>
      </c>
      <c r="C87" s="26">
        <f>MAX(0,A87-$B$6)</f>
        <v/>
      </c>
      <c r="D87" s="5">
        <f>IF(C87&lt;=0,0,($B$7+$B$9*C87)*C87)</f>
        <v/>
      </c>
      <c r="E87" s="29">
        <f>IF($B$13=1,D87*$B$11,0)</f>
        <v/>
      </c>
      <c r="F87" s="29">
        <f>IF(A87&lt;=INDEX(SS_Amont!$A$11:$A$18,1),INDEX(SS_Amont!$E$11:$E$18,1),IF(A87&gt;=INDEX(SS_Amont!$A$11:$A$18,ROWS(SS_Amont!$A$11:$A$18)),INDEX(SS_Amont!$E$11:$E$18,ROWS(SS_Amont!$E$11:$E$18)),INDEX(SS_Amont!$E$11:$E$18,MATCH(A87,SS_Amont!$A$11:$A$18,1))+(A87-INDEX(SS_Amont!$A$11:$A$18,MATCH(A87,SS_Amont!$A$11:$A$18,1)))/(INDEX(SS_Amont!$A$11:$A$18,MATCH(A87,SS_Amont!$A$11:$A$18,1)+1)-INDEX(SS_Amont!$A$11:$A$18,MATCH(A87,SS_Amont!$A$11:$A$18,1)))*(INDEX(SS_Amont!$E$11:$E$18,MATCH(A87,SS_Amont!$A$11:$A$18,1)+1)-INDEX(SS_Amont!$E$11:$E$18,MATCH(A87,SS_Amont!$A$11:$A$18,1)))))</f>
        <v/>
      </c>
      <c r="G87" s="36">
        <f>F87+E87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  <c r="L87" s="27">
        <f>IF(Parametres!$C$87&lt;=0,0,H87/Parametres!$C$87)</f>
        <v/>
      </c>
      <c r="M87" s="27">
        <f>IF(OR(C87&lt;0.05,D87&lt;0.05),"",I87/D87)</f>
        <v/>
      </c>
    </row>
    <row r="88">
      <c r="A88" s="26" t="n">
        <v>38.53</v>
      </c>
      <c r="B88" s="26">
        <f>A88-$B$12</f>
        <v/>
      </c>
      <c r="C88" s="26">
        <f>MAX(0,A88-$B$6)</f>
        <v/>
      </c>
      <c r="D88" s="5">
        <f>IF(C88&lt;=0,0,($B$7+$B$9*C88)*C88)</f>
        <v/>
      </c>
      <c r="E88" s="29">
        <f>IF($B$13=1,D88*$B$11,0)</f>
        <v/>
      </c>
      <c r="F88" s="29">
        <f>IF(A88&lt;=INDEX(SS_Amont!$A$11:$A$18,1),INDEX(SS_Amont!$E$11:$E$18,1),IF(A88&gt;=INDEX(SS_Amont!$A$11:$A$18,ROWS(SS_Amont!$A$11:$A$18)),INDEX(SS_Amont!$E$11:$E$18,ROWS(SS_Amont!$E$11:$E$18)),INDEX(SS_Amont!$E$11:$E$18,MATCH(A88,SS_Amont!$A$11:$A$18,1))+(A88-INDEX(SS_Amont!$A$11:$A$18,MATCH(A88,SS_Amont!$A$11:$A$18,1)))/(INDEX(SS_Amont!$A$11:$A$18,MATCH(A88,SS_Amont!$A$11:$A$18,1)+1)-INDEX(SS_Amont!$A$11:$A$18,MATCH(A88,SS_Amont!$A$11:$A$18,1)))*(INDEX(SS_Amont!$E$11:$E$18,MATCH(A88,SS_Amont!$A$11:$A$18,1)+1)-INDEX(SS_Amont!$E$11:$E$18,MATCH(A88,SS_Amont!$A$11:$A$18,1)))))</f>
        <v/>
      </c>
      <c r="G88" s="36">
        <f>F88+E88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  <c r="L88" s="27">
        <f>IF(Parametres!$C$87&lt;=0,0,H88/Parametres!$C$87)</f>
        <v/>
      </c>
      <c r="M88" s="27">
        <f>IF(OR(C88&lt;0.05,D88&lt;0.05),"",I88/D88)</f>
        <v/>
      </c>
    </row>
    <row r="89">
      <c r="A89" s="26" t="n">
        <v>38.58</v>
      </c>
      <c r="B89" s="26">
        <f>A89-$B$12</f>
        <v/>
      </c>
      <c r="C89" s="26">
        <f>MAX(0,A89-$B$6)</f>
        <v/>
      </c>
      <c r="D89" s="5">
        <f>IF(C89&lt;=0,0,($B$7+$B$9*C89)*C89)</f>
        <v/>
      </c>
      <c r="E89" s="29">
        <f>IF($B$13=1,D89*$B$11,0)</f>
        <v/>
      </c>
      <c r="F89" s="29">
        <f>IF(A89&lt;=INDEX(SS_Amont!$A$11:$A$18,1),INDEX(SS_Amont!$E$11:$E$18,1),IF(A89&gt;=INDEX(SS_Amont!$A$11:$A$18,ROWS(SS_Amont!$A$11:$A$18)),INDEX(SS_Amont!$E$11:$E$18,ROWS(SS_Amont!$E$11:$E$18)),INDEX(SS_Amont!$E$11:$E$18,MATCH(A89,SS_Amont!$A$11:$A$18,1))+(A89-INDEX(SS_Amont!$A$11:$A$18,MATCH(A89,SS_Amont!$A$11:$A$18,1)))/(INDEX(SS_Amont!$A$11:$A$18,MATCH(A89,SS_Amont!$A$11:$A$18,1)+1)-INDEX(SS_Amont!$A$11:$A$18,MATCH(A89,SS_Amont!$A$11:$A$18,1)))*(INDEX(SS_Amont!$E$11:$E$18,MATCH(A89,SS_Amont!$A$11:$A$18,1)+1)-INDEX(SS_Amont!$E$11:$E$18,MATCH(A89,SS_Amont!$A$11:$A$18,1)))))</f>
        <v/>
      </c>
      <c r="G89" s="36">
        <f>F89+E89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  <c r="L89" s="27">
        <f>IF(Parametres!$C$87&lt;=0,0,H89/Parametres!$C$87)</f>
        <v/>
      </c>
      <c r="M89" s="27">
        <f>IF(OR(C89&lt;0.05,D89&lt;0.05),"",I89/D89)</f>
        <v/>
      </c>
    </row>
    <row r="90">
      <c r="A90" s="26" t="n">
        <v>38.63</v>
      </c>
      <c r="B90" s="26">
        <f>A90-$B$12</f>
        <v/>
      </c>
      <c r="C90" s="26">
        <f>MAX(0,A90-$B$6)</f>
        <v/>
      </c>
      <c r="D90" s="5">
        <f>IF(C90&lt;=0,0,($B$7+$B$9*C90)*C90)</f>
        <v/>
      </c>
      <c r="E90" s="29">
        <f>IF($B$13=1,D90*$B$11,0)</f>
        <v/>
      </c>
      <c r="F90" s="29">
        <f>IF(A90&lt;=INDEX(SS_Amont!$A$11:$A$18,1),INDEX(SS_Amont!$E$11:$E$18,1),IF(A90&gt;=INDEX(SS_Amont!$A$11:$A$18,ROWS(SS_Amont!$A$11:$A$18)),INDEX(SS_Amont!$E$11:$E$18,ROWS(SS_Amont!$E$11:$E$18)),INDEX(SS_Amont!$E$11:$E$18,MATCH(A90,SS_Amont!$A$11:$A$18,1))+(A90-INDEX(SS_Amont!$A$11:$A$18,MATCH(A90,SS_Amont!$A$11:$A$18,1)))/(INDEX(SS_Amont!$A$11:$A$18,MATCH(A90,SS_Amont!$A$11:$A$18,1)+1)-INDEX(SS_Amont!$A$11:$A$18,MATCH(A90,SS_Amont!$A$11:$A$18,1)))*(INDEX(SS_Amont!$E$11:$E$18,MATCH(A90,SS_Amont!$A$11:$A$18,1)+1)-INDEX(SS_Amont!$E$11:$E$18,MATCH(A90,SS_Amont!$A$11:$A$18,1)))))</f>
        <v/>
      </c>
      <c r="G90" s="36">
        <f>F90+E90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  <c r="L90" s="27">
        <f>IF(Parametres!$C$87&lt;=0,0,H90/Parametres!$C$87)</f>
        <v/>
      </c>
      <c r="M90" s="27">
        <f>IF(OR(C90&lt;0.05,D90&lt;0.05),"",I90/D90)</f>
        <v/>
      </c>
    </row>
    <row r="91">
      <c r="A91" s="26" t="n">
        <v>38.68</v>
      </c>
      <c r="B91" s="26">
        <f>A91-$B$12</f>
        <v/>
      </c>
      <c r="C91" s="26">
        <f>MAX(0,A91-$B$6)</f>
        <v/>
      </c>
      <c r="D91" s="5">
        <f>IF(C91&lt;=0,0,($B$7+$B$9*C91)*C91)</f>
        <v/>
      </c>
      <c r="E91" s="29">
        <f>IF($B$13=1,D91*$B$11,0)</f>
        <v/>
      </c>
      <c r="F91" s="29">
        <f>IF(A91&lt;=INDEX(SS_Amont!$A$11:$A$18,1),INDEX(SS_Amont!$E$11:$E$18,1),IF(A91&gt;=INDEX(SS_Amont!$A$11:$A$18,ROWS(SS_Amont!$A$11:$A$18)),INDEX(SS_Amont!$E$11:$E$18,ROWS(SS_Amont!$E$11:$E$18)),INDEX(SS_Amont!$E$11:$E$18,MATCH(A91,SS_Amont!$A$11:$A$18,1))+(A91-INDEX(SS_Amont!$A$11:$A$18,MATCH(A91,SS_Amont!$A$11:$A$18,1)))/(INDEX(SS_Amont!$A$11:$A$18,MATCH(A91,SS_Amont!$A$11:$A$18,1)+1)-INDEX(SS_Amont!$A$11:$A$18,MATCH(A91,SS_Amont!$A$11:$A$18,1)))*(INDEX(SS_Amont!$E$11:$E$18,MATCH(A91,SS_Amont!$A$11:$A$18,1)+1)-INDEX(SS_Amont!$E$11:$E$18,MATCH(A91,SS_Amont!$A$11:$A$18,1)))))</f>
        <v/>
      </c>
      <c r="G91" s="36">
        <f>F91+E91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  <c r="L91" s="27">
        <f>IF(Parametres!$C$87&lt;=0,0,H91/Parametres!$C$87)</f>
        <v/>
      </c>
      <c r="M91" s="27">
        <f>IF(OR(C91&lt;0.05,D91&lt;0.05),"",I91/D91)</f>
        <v/>
      </c>
    </row>
    <row r="92">
      <c r="A92" s="26" t="n">
        <v>38.73</v>
      </c>
      <c r="B92" s="26">
        <f>A92-$B$12</f>
        <v/>
      </c>
      <c r="C92" s="26">
        <f>MAX(0,A92-$B$6)</f>
        <v/>
      </c>
      <c r="D92" s="5">
        <f>IF(C92&lt;=0,0,($B$7+$B$9*C92)*C92)</f>
        <v/>
      </c>
      <c r="E92" s="29">
        <f>IF($B$13=1,D92*$B$11,0)</f>
        <v/>
      </c>
      <c r="F92" s="29">
        <f>IF(A92&lt;=INDEX(SS_Amont!$A$11:$A$18,1),INDEX(SS_Amont!$E$11:$E$18,1),IF(A92&gt;=INDEX(SS_Amont!$A$11:$A$18,ROWS(SS_Amont!$A$11:$A$18)),INDEX(SS_Amont!$E$11:$E$18,ROWS(SS_Amont!$E$11:$E$18)),INDEX(SS_Amont!$E$11:$E$18,MATCH(A92,SS_Amont!$A$11:$A$18,1))+(A92-INDEX(SS_Amont!$A$11:$A$18,MATCH(A92,SS_Amont!$A$11:$A$18,1)))/(INDEX(SS_Amont!$A$11:$A$18,MATCH(A92,SS_Amont!$A$11:$A$18,1)+1)-INDEX(SS_Amont!$A$11:$A$18,MATCH(A92,SS_Amont!$A$11:$A$18,1)))*(INDEX(SS_Amont!$E$11:$E$18,MATCH(A92,SS_Amont!$A$11:$A$18,1)+1)-INDEX(SS_Amont!$E$11:$E$18,MATCH(A92,SS_Amont!$A$11:$A$18,1)))))</f>
        <v/>
      </c>
      <c r="G92" s="36">
        <f>F92+E92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  <c r="L92" s="27">
        <f>IF(Parametres!$C$87&lt;=0,0,H92/Parametres!$C$87)</f>
        <v/>
      </c>
      <c r="M92" s="27">
        <f>IF(OR(C92&lt;0.05,D92&lt;0.05),"",I92/D92)</f>
        <v/>
      </c>
    </row>
    <row r="93">
      <c r="A93" s="26" t="n">
        <v>38.78</v>
      </c>
      <c r="B93" s="26">
        <f>A93-$B$12</f>
        <v/>
      </c>
      <c r="C93" s="26">
        <f>MAX(0,A93-$B$6)</f>
        <v/>
      </c>
      <c r="D93" s="5">
        <f>IF(C93&lt;=0,0,($B$7+$B$9*C93)*C93)</f>
        <v/>
      </c>
      <c r="E93" s="29">
        <f>IF($B$13=1,D93*$B$11,0)</f>
        <v/>
      </c>
      <c r="F93" s="29">
        <f>IF(A93&lt;=INDEX(SS_Amont!$A$11:$A$18,1),INDEX(SS_Amont!$E$11:$E$18,1),IF(A93&gt;=INDEX(SS_Amont!$A$11:$A$18,ROWS(SS_Amont!$A$11:$A$18)),INDEX(SS_Amont!$E$11:$E$18,ROWS(SS_Amont!$E$11:$E$18)),INDEX(SS_Amont!$E$11:$E$18,MATCH(A93,SS_Amont!$A$11:$A$18,1))+(A93-INDEX(SS_Amont!$A$11:$A$18,MATCH(A93,SS_Amont!$A$11:$A$18,1)))/(INDEX(SS_Amont!$A$11:$A$18,MATCH(A93,SS_Amont!$A$11:$A$18,1)+1)-INDEX(SS_Amont!$A$11:$A$18,MATCH(A93,SS_Amont!$A$11:$A$18,1)))*(INDEX(SS_Amont!$E$11:$E$18,MATCH(A93,SS_Amont!$A$11:$A$18,1)+1)-INDEX(SS_Amont!$E$11:$E$18,MATCH(A93,SS_Amont!$A$11:$A$18,1)))))</f>
        <v/>
      </c>
      <c r="G93" s="36">
        <f>F93+E93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  <c r="L93" s="27">
        <f>IF(Parametres!$C$87&lt;=0,0,H93/Parametres!$C$87)</f>
        <v/>
      </c>
      <c r="M93" s="27">
        <f>IF(OR(C93&lt;0.05,D93&lt;0.05),"",I93/D93)</f>
        <v/>
      </c>
    </row>
    <row r="94">
      <c r="A94" s="26" t="n">
        <v>38.83</v>
      </c>
      <c r="B94" s="26">
        <f>A94-$B$12</f>
        <v/>
      </c>
      <c r="C94" s="26">
        <f>MAX(0,A94-$B$6)</f>
        <v/>
      </c>
      <c r="D94" s="5">
        <f>IF(C94&lt;=0,0,($B$7+$B$9*C94)*C94)</f>
        <v/>
      </c>
      <c r="E94" s="29">
        <f>IF($B$13=1,D94*$B$11,0)</f>
        <v/>
      </c>
      <c r="F94" s="29">
        <f>IF(A94&lt;=INDEX(SS_Amont!$A$11:$A$18,1),INDEX(SS_Amont!$E$11:$E$18,1),IF(A94&gt;=INDEX(SS_Amont!$A$11:$A$18,ROWS(SS_Amont!$A$11:$A$18)),INDEX(SS_Amont!$E$11:$E$18,ROWS(SS_Amont!$E$11:$E$18)),INDEX(SS_Amont!$E$11:$E$18,MATCH(A94,SS_Amont!$A$11:$A$18,1))+(A94-INDEX(SS_Amont!$A$11:$A$18,MATCH(A94,SS_Amont!$A$11:$A$18,1)))/(INDEX(SS_Amont!$A$11:$A$18,MATCH(A94,SS_Amont!$A$11:$A$18,1)+1)-INDEX(SS_Amont!$A$11:$A$18,MATCH(A94,SS_Amont!$A$11:$A$18,1)))*(INDEX(SS_Amont!$E$11:$E$18,MATCH(A94,SS_Amont!$A$11:$A$18,1)+1)-INDEX(SS_Amont!$E$11:$E$18,MATCH(A94,SS_Amont!$A$11:$A$18,1)))))</f>
        <v/>
      </c>
      <c r="G94" s="36">
        <f>F94+E94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  <c r="L94" s="27">
        <f>IF(Parametres!$C$87&lt;=0,0,H94/Parametres!$C$87)</f>
        <v/>
      </c>
      <c r="M94" s="27">
        <f>IF(OR(C94&lt;0.05,D94&lt;0.05),"",I94/D94)</f>
        <v/>
      </c>
    </row>
    <row r="95">
      <c r="A95" s="26" t="n">
        <v>38.88</v>
      </c>
      <c r="B95" s="26">
        <f>A95-$B$12</f>
        <v/>
      </c>
      <c r="C95" s="26">
        <f>MAX(0,A95-$B$6)</f>
        <v/>
      </c>
      <c r="D95" s="5">
        <f>IF(C95&lt;=0,0,($B$7+$B$9*C95)*C95)</f>
        <v/>
      </c>
      <c r="E95" s="29">
        <f>IF($B$13=1,D95*$B$11,0)</f>
        <v/>
      </c>
      <c r="F95" s="29">
        <f>IF(A95&lt;=INDEX(SS_Amont!$A$11:$A$18,1),INDEX(SS_Amont!$E$11:$E$18,1),IF(A95&gt;=INDEX(SS_Amont!$A$11:$A$18,ROWS(SS_Amont!$A$11:$A$18)),INDEX(SS_Amont!$E$11:$E$18,ROWS(SS_Amont!$E$11:$E$18)),INDEX(SS_Amont!$E$11:$E$18,MATCH(A95,SS_Amont!$A$11:$A$18,1))+(A95-INDEX(SS_Amont!$A$11:$A$18,MATCH(A95,SS_Amont!$A$11:$A$18,1)))/(INDEX(SS_Amont!$A$11:$A$18,MATCH(A95,SS_Amont!$A$11:$A$18,1)+1)-INDEX(SS_Amont!$A$11:$A$18,MATCH(A95,SS_Amont!$A$11:$A$18,1)))*(INDEX(SS_Amont!$E$11:$E$18,MATCH(A95,SS_Amont!$A$11:$A$18,1)+1)-INDEX(SS_Amont!$E$11:$E$18,MATCH(A95,SS_Amont!$A$11:$A$18,1)))))</f>
        <v/>
      </c>
      <c r="G95" s="36">
        <f>F95+E95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  <c r="L95" s="27">
        <f>IF(Parametres!$C$87&lt;=0,0,H95/Parametres!$C$87)</f>
        <v/>
      </c>
      <c r="M95" s="27">
        <f>IF(OR(C95&lt;0.05,D95&lt;0.05),"",I95/D95)</f>
        <v/>
      </c>
    </row>
    <row r="96">
      <c r="A96" s="26" t="n">
        <v>38.93</v>
      </c>
      <c r="B96" s="26">
        <f>A96-$B$12</f>
        <v/>
      </c>
      <c r="C96" s="26">
        <f>MAX(0,A96-$B$6)</f>
        <v/>
      </c>
      <c r="D96" s="5">
        <f>IF(C96&lt;=0,0,($B$7+$B$9*C96)*C96)</f>
        <v/>
      </c>
      <c r="E96" s="29">
        <f>IF($B$13=1,D96*$B$11,0)</f>
        <v/>
      </c>
      <c r="F96" s="29">
        <f>IF(A96&lt;=INDEX(SS_Amont!$A$11:$A$18,1),INDEX(SS_Amont!$E$11:$E$18,1),IF(A96&gt;=INDEX(SS_Amont!$A$11:$A$18,ROWS(SS_Amont!$A$11:$A$18)),INDEX(SS_Amont!$E$11:$E$18,ROWS(SS_Amont!$E$11:$E$18)),INDEX(SS_Amont!$E$11:$E$18,MATCH(A96,SS_Amont!$A$11:$A$18,1))+(A96-INDEX(SS_Amont!$A$11:$A$18,MATCH(A96,SS_Amont!$A$11:$A$18,1)))/(INDEX(SS_Amont!$A$11:$A$18,MATCH(A96,SS_Amont!$A$11:$A$18,1)+1)-INDEX(SS_Amont!$A$11:$A$18,MATCH(A96,SS_Amont!$A$11:$A$18,1)))*(INDEX(SS_Amont!$E$11:$E$18,MATCH(A96,SS_Amont!$A$11:$A$18,1)+1)-INDEX(SS_Amont!$E$11:$E$18,MATCH(A96,SS_Amont!$A$11:$A$18,1)))))</f>
        <v/>
      </c>
      <c r="G96" s="36">
        <f>F96+E96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  <c r="L96" s="27">
        <f>IF(Parametres!$C$87&lt;=0,0,H96/Parametres!$C$87)</f>
        <v/>
      </c>
      <c r="M96" s="27">
        <f>IF(OR(C96&lt;0.05,D96&lt;0.05),"",I96/D96)</f>
        <v/>
      </c>
    </row>
    <row r="97">
      <c r="A97" s="26" t="n">
        <v>38.98</v>
      </c>
      <c r="B97" s="26">
        <f>A97-$B$12</f>
        <v/>
      </c>
      <c r="C97" s="26">
        <f>MAX(0,A97-$B$6)</f>
        <v/>
      </c>
      <c r="D97" s="5">
        <f>IF(C97&lt;=0,0,($B$7+$B$9*C97)*C97)</f>
        <v/>
      </c>
      <c r="E97" s="29">
        <f>IF($B$13=1,D97*$B$11,0)</f>
        <v/>
      </c>
      <c r="F97" s="29">
        <f>IF(A97&lt;=INDEX(SS_Amont!$A$11:$A$18,1),INDEX(SS_Amont!$E$11:$E$18,1),IF(A97&gt;=INDEX(SS_Amont!$A$11:$A$18,ROWS(SS_Amont!$A$11:$A$18)),INDEX(SS_Amont!$E$11:$E$18,ROWS(SS_Amont!$E$11:$E$18)),INDEX(SS_Amont!$E$11:$E$18,MATCH(A97,SS_Amont!$A$11:$A$18,1))+(A97-INDEX(SS_Amont!$A$11:$A$18,MATCH(A97,SS_Amont!$A$11:$A$18,1)))/(INDEX(SS_Amont!$A$11:$A$18,MATCH(A97,SS_Amont!$A$11:$A$18,1)+1)-INDEX(SS_Amont!$A$11:$A$18,MATCH(A97,SS_Amont!$A$11:$A$18,1)))*(INDEX(SS_Amont!$E$11:$E$18,MATCH(A97,SS_Amont!$A$11:$A$18,1)+1)-INDEX(SS_Amont!$E$11:$E$18,MATCH(A97,SS_Amont!$A$11:$A$18,1)))))</f>
        <v/>
      </c>
      <c r="G97" s="36">
        <f>F97+E97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  <c r="L97" s="27">
        <f>IF(Parametres!$C$87&lt;=0,0,H97/Parametres!$C$87)</f>
        <v/>
      </c>
      <c r="M97" s="27">
        <f>IF(OR(C97&lt;0.05,D97&lt;0.05),"",I97/D97)</f>
        <v/>
      </c>
    </row>
    <row r="98">
      <c r="A98" s="26" t="n">
        <v>39.03</v>
      </c>
      <c r="B98" s="26">
        <f>A98-$B$12</f>
        <v/>
      </c>
      <c r="C98" s="26">
        <f>MAX(0,A98-$B$6)</f>
        <v/>
      </c>
      <c r="D98" s="5">
        <f>IF(C98&lt;=0,0,($B$7+$B$9*C98)*C98)</f>
        <v/>
      </c>
      <c r="E98" s="29">
        <f>IF($B$13=1,D98*$B$11,0)</f>
        <v/>
      </c>
      <c r="F98" s="29">
        <f>IF(A98&lt;=INDEX(SS_Amont!$A$11:$A$18,1),INDEX(SS_Amont!$E$11:$E$18,1),IF(A98&gt;=INDEX(SS_Amont!$A$11:$A$18,ROWS(SS_Amont!$A$11:$A$18)),INDEX(SS_Amont!$E$11:$E$18,ROWS(SS_Amont!$E$11:$E$18)),INDEX(SS_Amont!$E$11:$E$18,MATCH(A98,SS_Amont!$A$11:$A$18,1))+(A98-INDEX(SS_Amont!$A$11:$A$18,MATCH(A98,SS_Amont!$A$11:$A$18,1)))/(INDEX(SS_Amont!$A$11:$A$18,MATCH(A98,SS_Amont!$A$11:$A$18,1)+1)-INDEX(SS_Amont!$A$11:$A$18,MATCH(A98,SS_Amont!$A$11:$A$18,1)))*(INDEX(SS_Amont!$E$11:$E$18,MATCH(A98,SS_Amont!$A$11:$A$18,1)+1)-INDEX(SS_Amont!$E$11:$E$18,MATCH(A98,SS_Amont!$A$11:$A$18,1)))))</f>
        <v/>
      </c>
      <c r="G98" s="36">
        <f>F98+E98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  <c r="L98" s="27">
        <f>IF(Parametres!$C$87&lt;=0,0,H98/Parametres!$C$87)</f>
        <v/>
      </c>
      <c r="M98" s="27">
        <f>IF(OR(C98&lt;0.05,D98&lt;0.05),"",I98/D98)</f>
        <v/>
      </c>
    </row>
    <row r="99">
      <c r="A99" s="26" t="n">
        <v>39.08</v>
      </c>
      <c r="B99" s="26">
        <f>A99-$B$12</f>
        <v/>
      </c>
      <c r="C99" s="26">
        <f>MAX(0,A99-$B$6)</f>
        <v/>
      </c>
      <c r="D99" s="5">
        <f>IF(C99&lt;=0,0,($B$7+$B$9*C99)*C99)</f>
        <v/>
      </c>
      <c r="E99" s="29">
        <f>IF($B$13=1,D99*$B$11,0)</f>
        <v/>
      </c>
      <c r="F99" s="29">
        <f>IF(A99&lt;=INDEX(SS_Amont!$A$11:$A$18,1),INDEX(SS_Amont!$E$11:$E$18,1),IF(A99&gt;=INDEX(SS_Amont!$A$11:$A$18,ROWS(SS_Amont!$A$11:$A$18)),INDEX(SS_Amont!$E$11:$E$18,ROWS(SS_Amont!$E$11:$E$18)),INDEX(SS_Amont!$E$11:$E$18,MATCH(A99,SS_Amont!$A$11:$A$18,1))+(A99-INDEX(SS_Amont!$A$11:$A$18,MATCH(A99,SS_Amont!$A$11:$A$18,1)))/(INDEX(SS_Amont!$A$11:$A$18,MATCH(A99,SS_Amont!$A$11:$A$18,1)+1)-INDEX(SS_Amont!$A$11:$A$18,MATCH(A99,SS_Amont!$A$11:$A$18,1)))*(INDEX(SS_Amont!$E$11:$E$18,MATCH(A99,SS_Amont!$A$11:$A$18,1)+1)-INDEX(SS_Amont!$E$11:$E$18,MATCH(A99,SS_Amont!$A$11:$A$18,1)))))</f>
        <v/>
      </c>
      <c r="G99" s="36">
        <f>F99+E99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  <c r="L99" s="27">
        <f>IF(Parametres!$C$87&lt;=0,0,H99/Parametres!$C$87)</f>
        <v/>
      </c>
      <c r="M99" s="27">
        <f>IF(OR(C99&lt;0.05,D99&lt;0.05),"",I99/D99)</f>
        <v/>
      </c>
    </row>
    <row r="100">
      <c r="A100" s="26" t="n">
        <v>39.13</v>
      </c>
      <c r="B100" s="26">
        <f>A100-$B$12</f>
        <v/>
      </c>
      <c r="C100" s="26">
        <f>MAX(0,A100-$B$6)</f>
        <v/>
      </c>
      <c r="D100" s="5">
        <f>IF(C100&lt;=0,0,($B$7+$B$9*C100)*C100)</f>
        <v/>
      </c>
      <c r="E100" s="29">
        <f>IF($B$13=1,D100*$B$11,0)</f>
        <v/>
      </c>
      <c r="F100" s="29">
        <f>IF(A100&lt;=INDEX(SS_Amont!$A$11:$A$18,1),INDEX(SS_Amont!$E$11:$E$18,1),IF(A100&gt;=INDEX(SS_Amont!$A$11:$A$18,ROWS(SS_Amont!$A$11:$A$18)),INDEX(SS_Amont!$E$11:$E$18,ROWS(SS_Amont!$E$11:$E$18)),INDEX(SS_Amont!$E$11:$E$18,MATCH(A100,SS_Amont!$A$11:$A$18,1))+(A100-INDEX(SS_Amont!$A$11:$A$18,MATCH(A100,SS_Amont!$A$11:$A$18,1)))/(INDEX(SS_Amont!$A$11:$A$18,MATCH(A100,SS_Amont!$A$11:$A$18,1)+1)-INDEX(SS_Amont!$A$11:$A$18,MATCH(A100,SS_Amont!$A$11:$A$18,1)))*(INDEX(SS_Amont!$E$11:$E$18,MATCH(A100,SS_Amont!$A$11:$A$18,1)+1)-INDEX(SS_Amont!$E$11:$E$18,MATCH(A100,SS_Amont!$A$11:$A$18,1)))))</f>
        <v/>
      </c>
      <c r="G100" s="36">
        <f>F100+E100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  <c r="L100" s="27">
        <f>IF(Parametres!$C$87&lt;=0,0,H100/Parametres!$C$87)</f>
        <v/>
      </c>
      <c r="M100" s="27">
        <f>IF(OR(C100&lt;0.05,D100&lt;0.05),"",I100/D100)</f>
        <v/>
      </c>
    </row>
    <row r="101">
      <c r="A101" s="26" t="n">
        <v>39.18</v>
      </c>
      <c r="B101" s="26">
        <f>A101-$B$12</f>
        <v/>
      </c>
      <c r="C101" s="26">
        <f>MAX(0,A101-$B$6)</f>
        <v/>
      </c>
      <c r="D101" s="5">
        <f>IF(C101&lt;=0,0,($B$7+$B$9*C101)*C101)</f>
        <v/>
      </c>
      <c r="E101" s="29">
        <f>IF($B$13=1,D101*$B$11,0)</f>
        <v/>
      </c>
      <c r="F101" s="29">
        <f>IF(A101&lt;=INDEX(SS_Amont!$A$11:$A$18,1),INDEX(SS_Amont!$E$11:$E$18,1),IF(A101&gt;=INDEX(SS_Amont!$A$11:$A$18,ROWS(SS_Amont!$A$11:$A$18)),INDEX(SS_Amont!$E$11:$E$18,ROWS(SS_Amont!$E$11:$E$18)),INDEX(SS_Amont!$E$11:$E$18,MATCH(A101,SS_Amont!$A$11:$A$18,1))+(A101-INDEX(SS_Amont!$A$11:$A$18,MATCH(A101,SS_Amont!$A$11:$A$18,1)))/(INDEX(SS_Amont!$A$11:$A$18,MATCH(A101,SS_Amont!$A$11:$A$18,1)+1)-INDEX(SS_Amont!$A$11:$A$18,MATCH(A101,SS_Amont!$A$11:$A$18,1)))*(INDEX(SS_Amont!$E$11:$E$18,MATCH(A101,SS_Amont!$A$11:$A$18,1)+1)-INDEX(SS_Amont!$E$11:$E$18,MATCH(A101,SS_Amont!$A$11:$A$18,1)))))</f>
        <v/>
      </c>
      <c r="G101" s="36">
        <f>F101+E101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  <c r="L101" s="27">
        <f>IF(Parametres!$C$87&lt;=0,0,H101/Parametres!$C$87)</f>
        <v/>
      </c>
      <c r="M101" s="27">
        <f>IF(OR(C101&lt;0.05,D101&lt;0.05),"",I101/D101)</f>
        <v/>
      </c>
    </row>
    <row r="102">
      <c r="A102" s="26" t="n">
        <v>39.23</v>
      </c>
      <c r="B102" s="26">
        <f>A102-$B$12</f>
        <v/>
      </c>
      <c r="C102" s="26">
        <f>MAX(0,A102-$B$6)</f>
        <v/>
      </c>
      <c r="D102" s="5">
        <f>IF(C102&lt;=0,0,($B$7+$B$9*C102)*C102)</f>
        <v/>
      </c>
      <c r="E102" s="29">
        <f>IF($B$13=1,D102*$B$11,0)</f>
        <v/>
      </c>
      <c r="F102" s="29">
        <f>IF(A102&lt;=INDEX(SS_Amont!$A$11:$A$18,1),INDEX(SS_Amont!$E$11:$E$18,1),IF(A102&gt;=INDEX(SS_Amont!$A$11:$A$18,ROWS(SS_Amont!$A$11:$A$18)),INDEX(SS_Amont!$E$11:$E$18,ROWS(SS_Amont!$E$11:$E$18)),INDEX(SS_Amont!$E$11:$E$18,MATCH(A102,SS_Amont!$A$11:$A$18,1))+(A102-INDEX(SS_Amont!$A$11:$A$18,MATCH(A102,SS_Amont!$A$11:$A$18,1)))/(INDEX(SS_Amont!$A$11:$A$18,MATCH(A102,SS_Amont!$A$11:$A$18,1)+1)-INDEX(SS_Amont!$A$11:$A$18,MATCH(A102,SS_Amont!$A$11:$A$18,1)))*(INDEX(SS_Amont!$E$11:$E$18,MATCH(A102,SS_Amont!$A$11:$A$18,1)+1)-INDEX(SS_Amont!$E$11:$E$18,MATCH(A102,SS_Amont!$A$11:$A$18,1)))))</f>
        <v/>
      </c>
      <c r="G102" s="36">
        <f>F102+E102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  <c r="L102" s="27">
        <f>IF(Parametres!$C$87&lt;=0,0,H102/Parametres!$C$87)</f>
        <v/>
      </c>
      <c r="M102" s="27">
        <f>IF(OR(C102&lt;0.05,D102&lt;0.05),"",I102/D102)</f>
        <v/>
      </c>
    </row>
    <row r="103">
      <c r="A103" s="26" t="n">
        <v>39.28</v>
      </c>
      <c r="B103" s="26">
        <f>A103-$B$12</f>
        <v/>
      </c>
      <c r="C103" s="26">
        <f>MAX(0,A103-$B$6)</f>
        <v/>
      </c>
      <c r="D103" s="5">
        <f>IF(C103&lt;=0,0,($B$7+$B$9*C103)*C103)</f>
        <v/>
      </c>
      <c r="E103" s="29">
        <f>IF($B$13=1,D103*$B$11,0)</f>
        <v/>
      </c>
      <c r="F103" s="29">
        <f>IF(A103&lt;=INDEX(SS_Amont!$A$11:$A$18,1),INDEX(SS_Amont!$E$11:$E$18,1),IF(A103&gt;=INDEX(SS_Amont!$A$11:$A$18,ROWS(SS_Amont!$A$11:$A$18)),INDEX(SS_Amont!$E$11:$E$18,ROWS(SS_Amont!$E$11:$E$18)),INDEX(SS_Amont!$E$11:$E$18,MATCH(A103,SS_Amont!$A$11:$A$18,1))+(A103-INDEX(SS_Amont!$A$11:$A$18,MATCH(A103,SS_Amont!$A$11:$A$18,1)))/(INDEX(SS_Amont!$A$11:$A$18,MATCH(A103,SS_Amont!$A$11:$A$18,1)+1)-INDEX(SS_Amont!$A$11:$A$18,MATCH(A103,SS_Amont!$A$11:$A$18,1)))*(INDEX(SS_Amont!$E$11:$E$18,MATCH(A103,SS_Amont!$A$11:$A$18,1)+1)-INDEX(SS_Amont!$E$11:$E$18,MATCH(A103,SS_Amont!$A$11:$A$18,1)))))</f>
        <v/>
      </c>
      <c r="G103" s="36">
        <f>F103+E103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  <c r="L103" s="27">
        <f>IF(Parametres!$C$87&lt;=0,0,H103/Parametres!$C$87)</f>
        <v/>
      </c>
      <c r="M103" s="27">
        <f>IF(OR(C103&lt;0.05,D103&lt;0.05),"",I103/D103)</f>
        <v/>
      </c>
    </row>
    <row r="104">
      <c r="A104" s="26" t="n">
        <v>39.33</v>
      </c>
      <c r="B104" s="26">
        <f>A104-$B$12</f>
        <v/>
      </c>
      <c r="C104" s="26">
        <f>MAX(0,A104-$B$6)</f>
        <v/>
      </c>
      <c r="D104" s="5">
        <f>IF(C104&lt;=0,0,($B$7+$B$9*C104)*C104)</f>
        <v/>
      </c>
      <c r="E104" s="29">
        <f>IF($B$13=1,D104*$B$11,0)</f>
        <v/>
      </c>
      <c r="F104" s="29">
        <f>IF(A104&lt;=INDEX(SS_Amont!$A$11:$A$18,1),INDEX(SS_Amont!$E$11:$E$18,1),IF(A104&gt;=INDEX(SS_Amont!$A$11:$A$18,ROWS(SS_Amont!$A$11:$A$18)),INDEX(SS_Amont!$E$11:$E$18,ROWS(SS_Amont!$E$11:$E$18)),INDEX(SS_Amont!$E$11:$E$18,MATCH(A104,SS_Amont!$A$11:$A$18,1))+(A104-INDEX(SS_Amont!$A$11:$A$18,MATCH(A104,SS_Amont!$A$11:$A$18,1)))/(INDEX(SS_Amont!$A$11:$A$18,MATCH(A104,SS_Amont!$A$11:$A$18,1)+1)-INDEX(SS_Amont!$A$11:$A$18,MATCH(A104,SS_Amont!$A$11:$A$18,1)))*(INDEX(SS_Amont!$E$11:$E$18,MATCH(A104,SS_Amont!$A$11:$A$18,1)+1)-INDEX(SS_Amont!$E$11:$E$18,MATCH(A104,SS_Amont!$A$11:$A$18,1)))))</f>
        <v/>
      </c>
      <c r="G104" s="36">
        <f>F104+E104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  <c r="L104" s="27">
        <f>IF(Parametres!$C$87&lt;=0,0,H104/Parametres!$C$87)</f>
        <v/>
      </c>
      <c r="M104" s="27">
        <f>IF(OR(C104&lt;0.05,D104&lt;0.05),"",I104/D104)</f>
        <v/>
      </c>
    </row>
    <row r="105">
      <c r="A105" s="26" t="n">
        <v>39.38</v>
      </c>
      <c r="B105" s="26">
        <f>A105-$B$12</f>
        <v/>
      </c>
      <c r="C105" s="26">
        <f>MAX(0,A105-$B$6)</f>
        <v/>
      </c>
      <c r="D105" s="5">
        <f>IF(C105&lt;=0,0,($B$7+$B$9*C105)*C105)</f>
        <v/>
      </c>
      <c r="E105" s="29">
        <f>IF($B$13=1,D105*$B$11,0)</f>
        <v/>
      </c>
      <c r="F105" s="29">
        <f>IF(A105&lt;=INDEX(SS_Amont!$A$11:$A$18,1),INDEX(SS_Amont!$E$11:$E$18,1),IF(A105&gt;=INDEX(SS_Amont!$A$11:$A$18,ROWS(SS_Amont!$A$11:$A$18)),INDEX(SS_Amont!$E$11:$E$18,ROWS(SS_Amont!$E$11:$E$18)),INDEX(SS_Amont!$E$11:$E$18,MATCH(A105,SS_Amont!$A$11:$A$18,1))+(A105-INDEX(SS_Amont!$A$11:$A$18,MATCH(A105,SS_Amont!$A$11:$A$18,1)))/(INDEX(SS_Amont!$A$11:$A$18,MATCH(A105,SS_Amont!$A$11:$A$18,1)+1)-INDEX(SS_Amont!$A$11:$A$18,MATCH(A105,SS_Amont!$A$11:$A$18,1)))*(INDEX(SS_Amont!$E$11:$E$18,MATCH(A105,SS_Amont!$A$11:$A$18,1)+1)-INDEX(SS_Amont!$E$11:$E$18,MATCH(A105,SS_Amont!$A$11:$A$18,1)))))</f>
        <v/>
      </c>
      <c r="G105" s="36">
        <f>F105+E105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  <c r="L105" s="27">
        <f>IF(Parametres!$C$87&lt;=0,0,H105/Parametres!$C$87)</f>
        <v/>
      </c>
      <c r="M105" s="27">
        <f>IF(OR(C105&lt;0.05,D105&lt;0.05),"",I105/D105)</f>
        <v/>
      </c>
    </row>
    <row r="106">
      <c r="A106" s="26" t="n">
        <v>39.43</v>
      </c>
      <c r="B106" s="26">
        <f>A106-$B$12</f>
        <v/>
      </c>
      <c r="C106" s="26">
        <f>MAX(0,A106-$B$6)</f>
        <v/>
      </c>
      <c r="D106" s="5">
        <f>IF(C106&lt;=0,0,($B$7+$B$9*C106)*C106)</f>
        <v/>
      </c>
      <c r="E106" s="29">
        <f>IF($B$13=1,D106*$B$11,0)</f>
        <v/>
      </c>
      <c r="F106" s="29">
        <f>IF(A106&lt;=INDEX(SS_Amont!$A$11:$A$18,1),INDEX(SS_Amont!$E$11:$E$18,1),IF(A106&gt;=INDEX(SS_Amont!$A$11:$A$18,ROWS(SS_Amont!$A$11:$A$18)),INDEX(SS_Amont!$E$11:$E$18,ROWS(SS_Amont!$E$11:$E$18)),INDEX(SS_Amont!$E$11:$E$18,MATCH(A106,SS_Amont!$A$11:$A$18,1))+(A106-INDEX(SS_Amont!$A$11:$A$18,MATCH(A106,SS_Amont!$A$11:$A$18,1)))/(INDEX(SS_Amont!$A$11:$A$18,MATCH(A106,SS_Amont!$A$11:$A$18,1)+1)-INDEX(SS_Amont!$A$11:$A$18,MATCH(A106,SS_Amont!$A$11:$A$18,1)))*(INDEX(SS_Amont!$E$11:$E$18,MATCH(A106,SS_Amont!$A$11:$A$18,1)+1)-INDEX(SS_Amont!$E$11:$E$18,MATCH(A106,SS_Amont!$A$11:$A$18,1)))))</f>
        <v/>
      </c>
      <c r="G106" s="36">
        <f>F106+E106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  <c r="L106" s="27">
        <f>IF(Parametres!$C$87&lt;=0,0,H106/Parametres!$C$87)</f>
        <v/>
      </c>
      <c r="M106" s="27">
        <f>IF(OR(C106&lt;0.05,D106&lt;0.05),"",I106/D106)</f>
        <v/>
      </c>
    </row>
    <row r="107">
      <c r="A107" s="26" t="n">
        <v>39.48</v>
      </c>
      <c r="B107" s="26">
        <f>A107-$B$12</f>
        <v/>
      </c>
      <c r="C107" s="26">
        <f>MAX(0,A107-$B$6)</f>
        <v/>
      </c>
      <c r="D107" s="5">
        <f>IF(C107&lt;=0,0,($B$7+$B$9*C107)*C107)</f>
        <v/>
      </c>
      <c r="E107" s="29">
        <f>IF($B$13=1,D107*$B$11,0)</f>
        <v/>
      </c>
      <c r="F107" s="29">
        <f>IF(A107&lt;=INDEX(SS_Amont!$A$11:$A$18,1),INDEX(SS_Amont!$E$11:$E$18,1),IF(A107&gt;=INDEX(SS_Amont!$A$11:$A$18,ROWS(SS_Amont!$A$11:$A$18)),INDEX(SS_Amont!$E$11:$E$18,ROWS(SS_Amont!$E$11:$E$18)),INDEX(SS_Amont!$E$11:$E$18,MATCH(A107,SS_Amont!$A$11:$A$18,1))+(A107-INDEX(SS_Amont!$A$11:$A$18,MATCH(A107,SS_Amont!$A$11:$A$18,1)))/(INDEX(SS_Amont!$A$11:$A$18,MATCH(A107,SS_Amont!$A$11:$A$18,1)+1)-INDEX(SS_Amont!$A$11:$A$18,MATCH(A107,SS_Amont!$A$11:$A$18,1)))*(INDEX(SS_Amont!$E$11:$E$18,MATCH(A107,SS_Amont!$A$11:$A$18,1)+1)-INDEX(SS_Amont!$E$11:$E$18,MATCH(A107,SS_Amont!$A$11:$A$18,1)))))</f>
        <v/>
      </c>
      <c r="G107" s="36">
        <f>F107+E107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  <c r="L107" s="27">
        <f>IF(Parametres!$C$87&lt;=0,0,H107/Parametres!$C$87)</f>
        <v/>
      </c>
      <c r="M107" s="27">
        <f>IF(OR(C107&lt;0.05,D107&lt;0.05),"",I107/D107)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4" t="inlineStr">
        <is>
          <t>Méthode C — routage Qout composé; V = V_total (B25 pilote V_ditch)</t>
        </is>
      </c>
    </row>
    <row r="2">
      <c r="A2" s="25" t="inlineStr">
        <is>
          <t>À chaque pas: WSE lu sur Compose_900!V_total → Qout sur Compose_900. V_total = V_pond + V_ditch seulement si Parametres!B25=1; sinon V=levé SS_Amont. Q_overflow reste actif (b,z,L,n,S). ΔV = (Qin_moy − Qout)×Δt.</t>
        </is>
      </c>
    </row>
    <row r="3"/>
    <row r="5">
      <c r="A5" t="inlineStr">
        <is>
          <t>Q_plein réf. (m³/s)</t>
        </is>
      </c>
      <c r="B5" s="42">
        <f>Parametres!B22</f>
        <v/>
      </c>
    </row>
    <row r="6">
      <c r="A6" t="inlineStr">
        <is>
          <t>Crest (m)</t>
        </is>
      </c>
      <c r="B6" s="42">
        <f>Parametres!B27</f>
        <v/>
      </c>
    </row>
    <row r="7">
      <c r="A7" t="inlineStr">
        <is>
          <t>Vmax_C (m³)</t>
        </is>
      </c>
      <c r="B7" s="34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0">
      <c r="A10" t="inlineStr">
        <is>
          <t>V_pipe_seul = Qout/A_plein Ø900 seulement si WSE≤crest (pas d'overflow). Si Overflow=oui → cellule vide: lire V_Ø900 et V_overflow sur Compose_900 (ne pas diviser Qout total par A_tuyau).</t>
        </is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  <c r="H11" s="3" t="inlineStr">
        <is>
          <t>V_pipe_seul (m/s)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9" t="n">
        <v>0</v>
      </c>
      <c r="F12" s="36" t="n">
        <v>0</v>
      </c>
      <c r="G12" s="4" t="inlineStr">
        <is>
          <t>non</t>
        </is>
      </c>
      <c r="H12" s="27">
        <f>IF(OR(Parametres!$C$87&lt;=0,C12&gt;$B$6),"",D12/Parametres!$C$87)</f>
        <v/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9">
        <f>(A13-A12)*60</f>
        <v/>
      </c>
      <c r="F13" s="36">
        <f>MAX(0,F12+(0.5*(B12+B13)-D13)*E13)</f>
        <v/>
      </c>
      <c r="G13" s="4">
        <f>IF(C13&gt;$B$6,"oui","non")</f>
        <v/>
      </c>
      <c r="H13" s="27">
        <f>IF(OR(Parametres!$C$87&lt;=0,C13&gt;$B$6),"",D13/Parametres!$C$87)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9">
        <f>(A14-A13)*60</f>
        <v/>
      </c>
      <c r="F14" s="36">
        <f>MAX(0,F13+(0.5*(B13+B14)-D14)*E14)</f>
        <v/>
      </c>
      <c r="G14" s="4">
        <f>IF(C14&gt;$B$6,"oui","non")</f>
        <v/>
      </c>
      <c r="H14" s="27">
        <f>IF(OR(Parametres!$C$87&lt;=0,C14&gt;$B$6),"",D14/Parametres!$C$87)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9">
        <f>(A15-A14)*60</f>
        <v/>
      </c>
      <c r="F15" s="36">
        <f>MAX(0,F14+(0.5*(B14+B15)-D15)*E15)</f>
        <v/>
      </c>
      <c r="G15" s="4">
        <f>IF(C15&gt;$B$6,"oui","non")</f>
        <v/>
      </c>
      <c r="H15" s="27">
        <f>IF(OR(Parametres!$C$87&lt;=0,C15&gt;$B$6),"",D15/Parametres!$C$87)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9">
        <f>(A16-A15)*60</f>
        <v/>
      </c>
      <c r="F16" s="36">
        <f>MAX(0,F15+(0.5*(B15+B16)-D16)*E16)</f>
        <v/>
      </c>
      <c r="G16" s="4">
        <f>IF(C16&gt;$B$6,"oui","non")</f>
        <v/>
      </c>
      <c r="H16" s="27">
        <f>IF(OR(Parametres!$C$87&lt;=0,C16&gt;$B$6),"",D16/Parametres!$C$87)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9">
        <f>(A17-A16)*60</f>
        <v/>
      </c>
      <c r="F17" s="36">
        <f>MAX(0,F16+(0.5*(B16+B17)-D17)*E17)</f>
        <v/>
      </c>
      <c r="G17" s="4">
        <f>IF(C17&gt;$B$6,"oui","non")</f>
        <v/>
      </c>
      <c r="H17" s="27">
        <f>IF(OR(Parametres!$C$87&lt;=0,C17&gt;$B$6),"",D17/Parametres!$C$87)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9">
        <f>(A18-A17)*60</f>
        <v/>
      </c>
      <c r="F18" s="36">
        <f>MAX(0,F17+(0.5*(B17+B18)-D18)*E18)</f>
        <v/>
      </c>
      <c r="G18" s="4">
        <f>IF(C18&gt;$B$6,"oui","non")</f>
        <v/>
      </c>
      <c r="H18" s="27">
        <f>IF(OR(Parametres!$C$87&lt;=0,C18&gt;$B$6),"",D18/Parametres!$C$87)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9">
        <f>(A19-A18)*60</f>
        <v/>
      </c>
      <c r="F19" s="36">
        <f>MAX(0,F18+(0.5*(B18+B19)-D19)*E19)</f>
        <v/>
      </c>
      <c r="G19" s="4">
        <f>IF(C19&gt;$B$6,"oui","non")</f>
        <v/>
      </c>
      <c r="H19" s="27">
        <f>IF(OR(Parametres!$C$87&lt;=0,C19&gt;$B$6),"",D19/Parametres!$C$87)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9">
        <f>(A20-A19)*60</f>
        <v/>
      </c>
      <c r="F20" s="36">
        <f>MAX(0,F19+(0.5*(B19+B20)-D20)*E20)</f>
        <v/>
      </c>
      <c r="G20" s="4">
        <f>IF(C20&gt;$B$6,"oui","non")</f>
        <v/>
      </c>
      <c r="H20" s="27">
        <f>IF(OR(Parametres!$C$87&lt;=0,C20&gt;$B$6),"",D20/Parametres!$C$87)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9">
        <f>(A21-A20)*60</f>
        <v/>
      </c>
      <c r="F21" s="36">
        <f>MAX(0,F20+(0.5*(B20+B21)-D21)*E21)</f>
        <v/>
      </c>
      <c r="G21" s="4">
        <f>IF(C21&gt;$B$6,"oui","non")</f>
        <v/>
      </c>
      <c r="H21" s="27">
        <f>IF(OR(Parametres!$C$87&lt;=0,C21&gt;$B$6),"",D21/Parametres!$C$87)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9">
        <f>(A22-A21)*60</f>
        <v/>
      </c>
      <c r="F22" s="36">
        <f>MAX(0,F21+(0.5*(B21+B22)-D22)*E22)</f>
        <v/>
      </c>
      <c r="G22" s="4">
        <f>IF(C22&gt;$B$6,"oui","non")</f>
        <v/>
      </c>
      <c r="H22" s="27">
        <f>IF(OR(Parametres!$C$87&lt;=0,C22&gt;$B$6),"",D22/Parametres!$C$87)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9">
        <f>(A23-A22)*60</f>
        <v/>
      </c>
      <c r="F23" s="36">
        <f>MAX(0,F22+(0.5*(B22+B23)-D23)*E23)</f>
        <v/>
      </c>
      <c r="G23" s="4">
        <f>IF(C23&gt;$B$6,"oui","non")</f>
        <v/>
      </c>
      <c r="H23" s="27">
        <f>IF(OR(Parametres!$C$87&lt;=0,C23&gt;$B$6),"",D23/Parametres!$C$87)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9">
        <f>(A24-A23)*60</f>
        <v/>
      </c>
      <c r="F24" s="36">
        <f>MAX(0,F23+(0.5*(B23+B24)-D24)*E24)</f>
        <v/>
      </c>
      <c r="G24" s="4">
        <f>IF(C24&gt;$B$6,"oui","non")</f>
        <v/>
      </c>
      <c r="H24" s="27">
        <f>IF(OR(Parametres!$C$87&lt;=0,C24&gt;$B$6),"",D24/Parametres!$C$87)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1 — Stage–storage Ø1500 → Ø900 (amont)</t>
        </is>
      </c>
    </row>
    <row r="2">
      <c r="A2" s="10" t="inlineStr">
        <is>
          <t>Jaune = WSE et Surface éditables (corriger depuis AutoCAD). ΔWSE, V_pas, V_cumul = formules live (aires moyennes). Cette feuille alimente WSEmax_A/B et V_pond Méthode C. Parametres!B24 (2500 m²) n'est PAS ici — raccourci Méthode B seulement. Ne pas y mettre les surfaces de Zone 2.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1 / radier amont Ø900</t>
        </is>
      </c>
    </row>
    <row r="12">
      <c r="A12" s="12" t="n">
        <v>35.5</v>
      </c>
      <c r="B12" s="17" t="n">
        <v>56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1 — éditer si AutoCAD diffère</t>
        </is>
      </c>
    </row>
    <row r="13">
      <c r="A13" s="12" t="n">
        <v>36.01</v>
      </c>
      <c r="B13" s="17" t="n">
        <v>210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1</t>
        </is>
      </c>
    </row>
    <row r="14">
      <c r="A14" s="12" t="n">
        <v>36.5</v>
      </c>
      <c r="B14" s="17" t="n">
        <v>380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1</t>
        </is>
      </c>
    </row>
    <row r="15">
      <c r="A15" s="12" t="n">
        <v>37</v>
      </c>
      <c r="B15" s="17" t="n">
        <v>400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1</t>
        </is>
      </c>
    </row>
    <row r="16">
      <c r="A16" s="12" t="n">
        <v>37.28</v>
      </c>
      <c r="B16" s="17" t="n">
        <v>500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LIMITE PATRON Zone 1 (+1.5 m crown)</t>
        </is>
      </c>
    </row>
    <row r="17">
      <c r="A17" s="12" t="n">
        <v>37.4</v>
      </c>
      <c r="B17" s="17" t="n">
        <v>860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1</t>
        </is>
      </c>
    </row>
    <row r="18">
      <c r="A18" s="12" t="n">
        <v>40</v>
      </c>
      <c r="B18" s="17" t="n">
        <v>2100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1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 / WSEmax_A (Parametres)</t>
        </is>
      </c>
      <c r="B24" s="20">
        <f>Parametres!B36</f>
        <v/>
      </c>
      <c r="C24">
        <f>Parametres!B39</f>
        <v/>
      </c>
    </row>
    <row r="25">
      <c r="A25" t="inlineStr">
        <is>
          <t>Vmax_B / WSEmax_B (Parametres)</t>
        </is>
      </c>
      <c r="B25" s="20">
        <f>Parametres!B43</f>
        <v/>
      </c>
      <c r="C25">
        <f>Parametres!B45</f>
        <v/>
      </c>
    </row>
    <row r="26">
      <c r="A26" t="inlineStr">
        <is>
          <t>Vmax_C / WSEmax_C (Parametres)</t>
        </is>
      </c>
      <c r="B26" s="20">
        <f>Parametres!B49</f>
        <v/>
      </c>
      <c r="C26">
        <f>Parametres!B51</f>
        <v/>
      </c>
      <c r="D26">
        <f>IF(Parametres!B25=1,"Vmax_C inclut V_ditch","Vmax_C = levé seul (B25=0)")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2 — Stage–storage Ø900 → Ø1200 (aval)</t>
        </is>
      </c>
    </row>
    <row r="2">
      <c r="A2" s="10" t="inlineStr">
        <is>
          <t>Jaune = WSE et Surface éditables (corriger depuis AutoCAD). ΔWSE, V_pas, V_cumul = formules live. Qin de cette zone = débit sortant du Ø900 (voir Calcul_Aval_A). Sortie contrôlée par Ø1200 (Q_plein ≈ 4.93 m³/s). Ne pas y mettre les surfaces de Zone 1.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2 (même grille WSE — éditer)</t>
        </is>
      </c>
    </row>
    <row r="12">
      <c r="A12" s="12" t="n">
        <v>35.5</v>
      </c>
      <c r="B12" s="17" t="n">
        <v>60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2 — éditer si AutoCAD diffère</t>
        </is>
      </c>
    </row>
    <row r="13">
      <c r="A13" s="12" t="n">
        <v>36.01</v>
      </c>
      <c r="B13" s="17" t="n">
        <v>219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2</t>
        </is>
      </c>
    </row>
    <row r="14">
      <c r="A14" s="12" t="n">
        <v>36.5</v>
      </c>
      <c r="B14" s="17" t="n">
        <v>150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2 (A↓ — vérifier plan)</t>
        </is>
      </c>
    </row>
    <row r="15">
      <c r="A15" s="12" t="n">
        <v>37</v>
      </c>
      <c r="B15" s="17" t="n">
        <v>340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2</t>
        </is>
      </c>
    </row>
    <row r="16">
      <c r="A16" s="12" t="n">
        <v>37.28</v>
      </c>
      <c r="B16" s="17" t="n">
        <v>1700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Levé Zone 2 @ limite patron</t>
        </is>
      </c>
    </row>
    <row r="17">
      <c r="A17" s="12" t="n">
        <v>37.4</v>
      </c>
      <c r="B17" s="17" t="n">
        <v>1460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2 (A↓ — vérifier plan)</t>
        </is>
      </c>
    </row>
    <row r="18">
      <c r="A18" s="12" t="n">
        <v>40</v>
      </c>
      <c r="B18" s="17" t="n">
        <v>1632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2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Vmax/WSEmax Aval_A (Parametres)</t>
        </is>
      </c>
      <c r="B24" s="20">
        <f>Parametres!B56</f>
        <v/>
      </c>
      <c r="C24" s="16">
        <f>Parametres!B57</f>
        <v/>
      </c>
    </row>
    <row r="25">
      <c r="A25" t="inlineStr">
        <is>
          <t>Vmax/WSEmax Aval_B</t>
        </is>
      </c>
      <c r="B25" s="20">
        <f>Parametres!B58</f>
        <v/>
      </c>
      <c r="C25" s="16">
        <f>Parametres!B59</f>
        <v/>
      </c>
    </row>
    <row r="26">
      <c r="A26" t="inlineStr">
        <is>
          <t>Vmax/WSEmax Aval_C</t>
        </is>
      </c>
      <c r="B26" s="20">
        <f>Parametres!B60</f>
        <v/>
      </c>
      <c r="C26" s="16">
        <f>Parametres!B61</f>
        <v/>
      </c>
    </row>
    <row r="28">
      <c r="A28" s="25" t="inlineStr">
        <is>
          <t>Note fond: table SS_Aval commence à 34.88 m (grille partagée Zone 1). Radier amont Ø1200 = 33.60 m. Si le lit Zone 2 descend à 33.60, abaisser la 1re ligne du levé (AutoCAD) — non fait automatiquement.</t>
        </is>
      </c>
    </row>
    <row r="29"/>
  </sheetData>
  <mergeCells count="4">
    <mergeCell ref="A8:F8"/>
    <mergeCell ref="A2:G4"/>
    <mergeCell ref="A28:F29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4" t="inlineStr">
        <is>
          <t>Index levé — Zone 1 (SS_Amont) + Zone 2 (SS_Aval)</t>
        </is>
      </c>
    </row>
    <row r="2">
      <c r="A2" s="10" t="inlineStr">
        <is>
          <t>Éditez les surfaces dans SS_Amont et SS_Aval (pas ici). Ce tableau compare A1+A2 vs total pour détecter un double comptage. GIS export = option pour sortir des polygones d'eau depuis AutoCAD/Civil 3D; vous n'en avez pas besoin si vous tapez les aires à la main depuis le plan.</t>
        </is>
      </c>
    </row>
    <row r="3"/>
    <row r="5">
      <c r="A5" s="3" t="inlineStr">
        <is>
          <t>WSE (m)</t>
        </is>
      </c>
      <c r="B5" s="3" t="inlineStr">
        <is>
          <t>A_Zone1 (m²)</t>
        </is>
      </c>
      <c r="C5" s="3" t="inlineStr">
        <is>
          <t>A_Zone2 (m²)</t>
        </is>
      </c>
      <c r="D5" s="3" t="inlineStr">
        <is>
          <t>A1+A2 (m²)</t>
        </is>
      </c>
      <c r="E5" s="3" t="inlineStr">
        <is>
          <t>V1 (m³)</t>
        </is>
      </c>
      <c r="F5" s="3" t="inlineStr">
        <is>
          <t>V2 (m³)</t>
        </is>
      </c>
      <c r="G5" s="3" t="inlineStr">
        <is>
          <t>V1+V2 (m³)</t>
        </is>
      </c>
    </row>
    <row r="6">
      <c r="A6" s="26">
        <f>SS_Amont!A11</f>
        <v/>
      </c>
      <c r="B6" s="46">
        <f>SS_Amont!B11</f>
        <v/>
      </c>
      <c r="C6" s="46">
        <f>SS_Aval!B11</f>
        <v/>
      </c>
      <c r="D6" s="47">
        <f>B6+C6</f>
        <v/>
      </c>
      <c r="E6" s="29">
        <f>SS_Amont!E11</f>
        <v/>
      </c>
      <c r="F6" s="29">
        <f>SS_Aval!E11</f>
        <v/>
      </c>
      <c r="G6" s="36">
        <f>E6+F6</f>
        <v/>
      </c>
    </row>
    <row r="7">
      <c r="A7" s="26">
        <f>SS_Amont!A12</f>
        <v/>
      </c>
      <c r="B7" s="46">
        <f>SS_Amont!B12</f>
        <v/>
      </c>
      <c r="C7" s="46">
        <f>SS_Aval!B12</f>
        <v/>
      </c>
      <c r="D7" s="47">
        <f>B7+C7</f>
        <v/>
      </c>
      <c r="E7" s="29">
        <f>SS_Amont!E12</f>
        <v/>
      </c>
      <c r="F7" s="29">
        <f>SS_Aval!E12</f>
        <v/>
      </c>
      <c r="G7" s="36">
        <f>E7+F7</f>
        <v/>
      </c>
    </row>
    <row r="8">
      <c r="A8" s="26">
        <f>SS_Amont!A13</f>
        <v/>
      </c>
      <c r="B8" s="46">
        <f>SS_Amont!B13</f>
        <v/>
      </c>
      <c r="C8" s="46">
        <f>SS_Aval!B13</f>
        <v/>
      </c>
      <c r="D8" s="47">
        <f>B8+C8</f>
        <v/>
      </c>
      <c r="E8" s="29">
        <f>SS_Amont!E13</f>
        <v/>
      </c>
      <c r="F8" s="29">
        <f>SS_Aval!E13</f>
        <v/>
      </c>
      <c r="G8" s="36">
        <f>E8+F8</f>
        <v/>
      </c>
    </row>
    <row r="9">
      <c r="A9" s="26">
        <f>SS_Amont!A14</f>
        <v/>
      </c>
      <c r="B9" s="46">
        <f>SS_Amont!B14</f>
        <v/>
      </c>
      <c r="C9" s="46">
        <f>SS_Aval!B14</f>
        <v/>
      </c>
      <c r="D9" s="47">
        <f>B9+C9</f>
        <v/>
      </c>
      <c r="E9" s="29">
        <f>SS_Amont!E14</f>
        <v/>
      </c>
      <c r="F9" s="29">
        <f>SS_Aval!E14</f>
        <v/>
      </c>
      <c r="G9" s="36">
        <f>E9+F9</f>
        <v/>
      </c>
    </row>
    <row r="10">
      <c r="A10" s="26">
        <f>SS_Amont!A15</f>
        <v/>
      </c>
      <c r="B10" s="46">
        <f>SS_Amont!B15</f>
        <v/>
      </c>
      <c r="C10" s="46">
        <f>SS_Aval!B15</f>
        <v/>
      </c>
      <c r="D10" s="47">
        <f>B10+C10</f>
        <v/>
      </c>
      <c r="E10" s="29">
        <f>SS_Amont!E15</f>
        <v/>
      </c>
      <c r="F10" s="29">
        <f>SS_Aval!E15</f>
        <v/>
      </c>
      <c r="G10" s="36">
        <f>E10+F10</f>
        <v/>
      </c>
    </row>
    <row r="11">
      <c r="A11" s="26">
        <f>SS_Amont!A16</f>
        <v/>
      </c>
      <c r="B11" s="46">
        <f>SS_Amont!B16</f>
        <v/>
      </c>
      <c r="C11" s="46">
        <f>SS_Aval!B16</f>
        <v/>
      </c>
      <c r="D11" s="47">
        <f>B11+C11</f>
        <v/>
      </c>
      <c r="E11" s="29">
        <f>SS_Amont!E16</f>
        <v/>
      </c>
      <c r="F11" s="29">
        <f>SS_Aval!E16</f>
        <v/>
      </c>
      <c r="G11" s="36">
        <f>E11+F11</f>
        <v/>
      </c>
    </row>
    <row r="12">
      <c r="A12" s="26">
        <f>SS_Amont!A17</f>
        <v/>
      </c>
      <c r="B12" s="46">
        <f>SS_Amont!B17</f>
        <v/>
      </c>
      <c r="C12" s="46">
        <f>SS_Aval!B17</f>
        <v/>
      </c>
      <c r="D12" s="47">
        <f>B12+C12</f>
        <v/>
      </c>
      <c r="E12" s="29">
        <f>SS_Amont!E17</f>
        <v/>
      </c>
      <c r="F12" s="29">
        <f>SS_Aval!E17</f>
        <v/>
      </c>
      <c r="G12" s="36">
        <f>E12+F12</f>
        <v/>
      </c>
    </row>
    <row r="13">
      <c r="A13" s="26">
        <f>SS_Amont!A18</f>
        <v/>
      </c>
      <c r="B13" s="46">
        <f>SS_Amont!B18</f>
        <v/>
      </c>
      <c r="C13" s="46">
        <f>SS_Aval!B18</f>
        <v/>
      </c>
      <c r="D13" s="47">
        <f>B13+C13</f>
        <v/>
      </c>
      <c r="E13" s="29">
        <f>SS_Amont!E18</f>
        <v/>
      </c>
      <c r="F13" s="29">
        <f>SS_Aval!E18</f>
        <v/>
      </c>
      <c r="G13" s="36">
        <f>E13+F13</f>
        <v/>
      </c>
    </row>
  </sheetData>
  <mergeCells count="1">
    <mergeCell ref="A2:H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4" t="inlineStr">
        <is>
          <t>Zone 2 — Méthode A: Qin = sortie Ø900; Qout = Q_plein Ø1200</t>
        </is>
      </c>
    </row>
    <row r="2">
      <c r="A2" s="25" t="inlineStr">
        <is>
          <t>Qin_aval ≈ débit livré par le Ø900 (Calcul_A colonne C = Qcap Ø900 quand le bassin amont stocke). Qout_aval = Parametres capacité Ø1200. Stockage sur SS_Aval. Souvent Vmax_Aval faible si Q_1200 ≫ Q_900.</t>
        </is>
      </c>
    </row>
    <row r="3"/>
    <row r="5">
      <c r="A5" t="inlineStr">
        <is>
          <t>Qout_Aval (m³/s)</t>
        </is>
      </c>
      <c r="B5" s="33">
        <f>4.93</f>
        <v/>
      </c>
      <c r="C5" t="inlineStr">
        <is>
          <t>Par défaut Q_plein Ø1200 — éditable</t>
        </is>
      </c>
    </row>
    <row r="6">
      <c r="A6" t="inlineStr">
        <is>
          <t>Vmax_Aval_A (m³)</t>
        </is>
      </c>
      <c r="B6" s="34">
        <f>MAX(H10:H22)</f>
        <v/>
      </c>
    </row>
    <row r="7">
      <c r="A7" t="inlineStr">
        <is>
          <t>WSEmax_Aval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 (m³/s)</t>
        </is>
      </c>
      <c r="C9" s="3" t="inlineStr">
        <is>
          <t>Qout_aval (m³/s)</t>
        </is>
      </c>
      <c r="D9" s="3" t="inlineStr">
        <is>
          <t>Qin−Qout</t>
        </is>
      </c>
      <c r="E9" s="3" t="inlineStr">
        <is>
          <t>Δt (s)</t>
        </is>
      </c>
      <c r="F9" s="3" t="inlineStr">
        <is>
          <t>ΔVin (m³)</t>
        </is>
      </c>
      <c r="G9" s="3" t="inlineStr">
        <is>
          <t>ΔVout (m³)</t>
        </is>
      </c>
      <c r="H9" s="3" t="inlineStr">
        <is>
          <t>V stocké (m³)</t>
        </is>
      </c>
      <c r="I9" s="3" t="inlineStr">
        <is>
          <t>Stockage?</t>
        </is>
      </c>
      <c r="J9" s="3" t="inlineStr">
        <is>
          <t>V_livré_Ø900 (m/s)</t>
        </is>
      </c>
      <c r="K9" s="3" t="inlineStr">
        <is>
          <t>V_Ø1200 (m/s)</t>
        </is>
      </c>
    </row>
    <row r="10">
      <c r="A10" s="29">
        <f>Calcul_A!A8</f>
        <v/>
      </c>
      <c r="B10" s="5">
        <f>Calcul_A!C8</f>
        <v/>
      </c>
      <c r="C10" s="26">
        <f>$B$5</f>
        <v/>
      </c>
      <c r="D10" s="5">
        <f>B10-C10</f>
        <v/>
      </c>
      <c r="E10" s="4" t="n">
        <v>0</v>
      </c>
      <c r="F10" s="4" t="n">
        <v>0</v>
      </c>
      <c r="G10" s="4" t="n">
        <v>0</v>
      </c>
      <c r="H10" s="35" t="n">
        <v>0</v>
      </c>
      <c r="I10" s="4">
        <f>IF(H10&gt;0.5,"oui","non")</f>
        <v/>
      </c>
      <c r="J10" s="27">
        <f>IF(Parametres!$C$87&lt;=0,0,B10/Parametres!$C$87)</f>
        <v/>
      </c>
      <c r="K10" s="27">
        <f>IF(Parametres!$C$88&lt;=0,0,C10/Parametres!$C$88)</f>
        <v/>
      </c>
    </row>
    <row r="11">
      <c r="A11" s="29">
        <f>Calcul_A!A9</f>
        <v/>
      </c>
      <c r="B11" s="5">
        <f>Calcul_A!C9</f>
        <v/>
      </c>
      <c r="C11" s="26">
        <f>$B$5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IF(Parametres!$C$87&lt;=0,0,B11/Parametres!$C$87)</f>
        <v/>
      </c>
      <c r="K11" s="27">
        <f>IF(Parametres!$C$88&lt;=0,0,C11/Parametres!$C$88)</f>
        <v/>
      </c>
    </row>
    <row r="12">
      <c r="A12" s="29">
        <f>Calcul_A!A10</f>
        <v/>
      </c>
      <c r="B12" s="5">
        <f>Calcul_A!C10</f>
        <v/>
      </c>
      <c r="C12" s="26">
        <f>$B$5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IF(Parametres!$C$87&lt;=0,0,B12/Parametres!$C$87)</f>
        <v/>
      </c>
      <c r="K12" s="27">
        <f>IF(Parametres!$C$88&lt;=0,0,C12/Parametres!$C$88)</f>
        <v/>
      </c>
    </row>
    <row r="13">
      <c r="A13" s="29">
        <f>Calcul_A!A11</f>
        <v/>
      </c>
      <c r="B13" s="5">
        <f>Calcul_A!C11</f>
        <v/>
      </c>
      <c r="C13" s="26">
        <f>$B$5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IF(Parametres!$C$87&lt;=0,0,B13/Parametres!$C$87)</f>
        <v/>
      </c>
      <c r="K13" s="27">
        <f>IF(Parametres!$C$88&lt;=0,0,C13/Parametres!$C$88)</f>
        <v/>
      </c>
    </row>
    <row r="14">
      <c r="A14" s="29">
        <f>Calcul_A!A12</f>
        <v/>
      </c>
      <c r="B14" s="5">
        <f>Calcul_A!C12</f>
        <v/>
      </c>
      <c r="C14" s="26">
        <f>$B$5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IF(Parametres!$C$87&lt;=0,0,B14/Parametres!$C$87)</f>
        <v/>
      </c>
      <c r="K14" s="27">
        <f>IF(Parametres!$C$88&lt;=0,0,C14/Parametres!$C$88)</f>
        <v/>
      </c>
    </row>
    <row r="15">
      <c r="A15" s="29">
        <f>Calcul_A!A13</f>
        <v/>
      </c>
      <c r="B15" s="5">
        <f>Calcul_A!C13</f>
        <v/>
      </c>
      <c r="C15" s="26">
        <f>$B$5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IF(Parametres!$C$87&lt;=0,0,B15/Parametres!$C$87)</f>
        <v/>
      </c>
      <c r="K15" s="27">
        <f>IF(Parametres!$C$88&lt;=0,0,C15/Parametres!$C$88)</f>
        <v/>
      </c>
    </row>
    <row r="16">
      <c r="A16" s="29">
        <f>Calcul_A!A14</f>
        <v/>
      </c>
      <c r="B16" s="5">
        <f>Calcul_A!C14</f>
        <v/>
      </c>
      <c r="C16" s="26">
        <f>$B$5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IF(Parametres!$C$87&lt;=0,0,B16/Parametres!$C$87)</f>
        <v/>
      </c>
      <c r="K16" s="27">
        <f>IF(Parametres!$C$88&lt;=0,0,C16/Parametres!$C$88)</f>
        <v/>
      </c>
    </row>
    <row r="17">
      <c r="A17" s="29">
        <f>Calcul_A!A15</f>
        <v/>
      </c>
      <c r="B17" s="5">
        <f>Calcul_A!C15</f>
        <v/>
      </c>
      <c r="C17" s="26">
        <f>$B$5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IF(Parametres!$C$87&lt;=0,0,B17/Parametres!$C$87)</f>
        <v/>
      </c>
      <c r="K17" s="27">
        <f>IF(Parametres!$C$88&lt;=0,0,C17/Parametres!$C$88)</f>
        <v/>
      </c>
    </row>
    <row r="18">
      <c r="A18" s="29">
        <f>Calcul_A!A16</f>
        <v/>
      </c>
      <c r="B18" s="5">
        <f>Calcul_A!C16</f>
        <v/>
      </c>
      <c r="C18" s="26">
        <f>$B$5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IF(Parametres!$C$87&lt;=0,0,B18/Parametres!$C$87)</f>
        <v/>
      </c>
      <c r="K18" s="27">
        <f>IF(Parametres!$C$88&lt;=0,0,C18/Parametres!$C$88)</f>
        <v/>
      </c>
    </row>
    <row r="19">
      <c r="A19" s="29">
        <f>Calcul_A!A17</f>
        <v/>
      </c>
      <c r="B19" s="5">
        <f>Calcul_A!C17</f>
        <v/>
      </c>
      <c r="C19" s="26">
        <f>$B$5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IF(Parametres!$C$87&lt;=0,0,B19/Parametres!$C$87)</f>
        <v/>
      </c>
      <c r="K19" s="27">
        <f>IF(Parametres!$C$88&lt;=0,0,C19/Parametres!$C$88)</f>
        <v/>
      </c>
    </row>
    <row r="20">
      <c r="A20" s="29">
        <f>Calcul_A!A18</f>
        <v/>
      </c>
      <c r="B20" s="5">
        <f>Calcul_A!C18</f>
        <v/>
      </c>
      <c r="C20" s="26">
        <f>$B$5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IF(Parametres!$C$87&lt;=0,0,B20/Parametres!$C$87)</f>
        <v/>
      </c>
      <c r="K20" s="27">
        <f>IF(Parametres!$C$88&lt;=0,0,C20/Parametres!$C$88)</f>
        <v/>
      </c>
    </row>
    <row r="21">
      <c r="A21" s="29">
        <f>Calcul_A!A19</f>
        <v/>
      </c>
      <c r="B21" s="5">
        <f>Calcul_A!C19</f>
        <v/>
      </c>
      <c r="C21" s="26">
        <f>$B$5</f>
        <v/>
      </c>
      <c r="D21" s="5">
        <f>B21-C21</f>
        <v/>
      </c>
      <c r="E21" s="29">
        <f>(A21-A20)*60</f>
        <v/>
      </c>
      <c r="F21" s="29">
        <f>0.5*(B20+B21)*E21</f>
        <v/>
      </c>
      <c r="G21" s="29">
        <f>F21-(H21-H20)</f>
        <v/>
      </c>
      <c r="H21" s="36">
        <f>MAX(0,H20+0.5*(D20+D21)*E21)</f>
        <v/>
      </c>
      <c r="I21" s="4">
        <f>IF(H21&gt;0.5,"oui","non")</f>
        <v/>
      </c>
      <c r="J21" s="27">
        <f>IF(Parametres!$C$87&lt;=0,0,B21/Parametres!$C$87)</f>
        <v/>
      </c>
      <c r="K21" s="27">
        <f>IF(Parametres!$C$88&lt;=0,0,C21/Parametres!$C$88)</f>
        <v/>
      </c>
    </row>
    <row r="22">
      <c r="A22" s="29">
        <f>Calcul_A!A20</f>
        <v/>
      </c>
      <c r="B22" s="5">
        <f>Calcul_A!C20</f>
        <v/>
      </c>
      <c r="C22" s="26">
        <f>$B$5</f>
        <v/>
      </c>
      <c r="D22" s="5">
        <f>B22-C22</f>
        <v/>
      </c>
      <c r="E22" s="29">
        <f>(A22-A21)*60</f>
        <v/>
      </c>
      <c r="F22" s="29">
        <f>0.5*(B21+B22)*E22</f>
        <v/>
      </c>
      <c r="G22" s="29">
        <f>F22-(H22-H21)</f>
        <v/>
      </c>
      <c r="H22" s="36">
        <f>MAX(0,H21+0.5*(D21+D22)*E22)</f>
        <v/>
      </c>
      <c r="I22" s="4">
        <f>IF(H22&gt;0.5,"oui","non")</f>
        <v/>
      </c>
      <c r="J22" s="27">
        <f>IF(Parametres!$C$87&lt;=0,0,B22/Parametres!$C$87)</f>
        <v/>
      </c>
      <c r="K22" s="27">
        <f>IF(Parametres!$C$88&lt;=0,0,C22/Parametres!$C$88)</f>
        <v/>
      </c>
    </row>
  </sheetData>
  <mergeCells count="1">
    <mergeCell ref="A2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Courbe Q=f(H) Ø1200 — FHWA HDS-5 (inlet + outlet) LIVE — Zone 2</t>
        </is>
      </c>
    </row>
    <row r="2">
      <c r="A2" t="inlineStr">
        <is>
          <t>Paramètres jaunes ci-dessous (n, D, L, radiers). Q_gouvernant = MIN(Qinlet, Qoutlet). Utilisé par Calcul_Aval_B et Compose_Aval.</t>
        </is>
      </c>
    </row>
    <row r="4">
      <c r="A4" t="inlineStr">
        <is>
          <t>n Manning (-)</t>
        </is>
      </c>
      <c r="B4" s="11" t="n">
        <v>0.013</v>
      </c>
      <c r="C4" t="inlineStr">
        <is>
          <t>béton ~0.013; TOG ~0.022</t>
        </is>
      </c>
      <c r="E4" s="37" t="inlineStr">
        <is>
          <t>entrée</t>
        </is>
      </c>
      <c r="F4" s="37" t="inlineStr">
        <is>
          <t>K</t>
        </is>
      </c>
      <c r="G4" s="37" t="inlineStr">
        <is>
          <t>M</t>
        </is>
      </c>
      <c r="H4" s="37" t="inlineStr">
        <is>
          <t>c</t>
        </is>
      </c>
      <c r="I4" s="37" t="inlineStr">
        <is>
          <t>Y</t>
        </is>
      </c>
      <c r="J4" s="37" t="inlineStr">
        <is>
          <t>Ke</t>
        </is>
      </c>
    </row>
    <row r="5">
      <c r="A5" t="inlineStr">
        <is>
          <t>D (m)</t>
        </is>
      </c>
      <c r="B5" s="12" t="n">
        <v>1.2</v>
      </c>
      <c r="C5" t="inlineStr"/>
      <c r="E5" s="4" t="inlineStr">
        <is>
          <t>square_edge</t>
        </is>
      </c>
      <c r="F5" s="4" t="n">
        <v>0.0098</v>
      </c>
      <c r="G5" s="4" t="n">
        <v>2</v>
      </c>
      <c r="H5" s="4" t="n">
        <v>0.0398</v>
      </c>
      <c r="I5" s="4" t="n">
        <v>0.67</v>
      </c>
      <c r="J5" s="4" t="n">
        <v>0.5</v>
      </c>
    </row>
    <row r="6">
      <c r="A6" t="inlineStr">
        <is>
          <t>L (m)</t>
        </is>
      </c>
      <c r="B6" s="12" t="n">
        <v>31.3</v>
      </c>
      <c r="C6" t="inlineStr"/>
      <c r="E6" s="4" t="inlineStr">
        <is>
          <t>beveled</t>
        </is>
      </c>
      <c r="F6" s="4" t="n">
        <v>0.0018</v>
      </c>
      <c r="G6" s="4" t="n">
        <v>2.5</v>
      </c>
      <c r="H6" s="4" t="n">
        <v>0.03</v>
      </c>
      <c r="I6" s="4" t="n">
        <v>0.74</v>
      </c>
      <c r="J6" s="4" t="n">
        <v>0.2</v>
      </c>
    </row>
    <row r="7">
      <c r="A7" t="inlineStr">
        <is>
          <t>Radier amont Zin (m)</t>
        </is>
      </c>
      <c r="B7" s="12" t="n">
        <v>33.6</v>
      </c>
      <c r="C7" t="inlineStr"/>
      <c r="E7" s="4" t="inlineStr">
        <is>
          <t>groove_headwall</t>
        </is>
      </c>
      <c r="F7" s="4" t="n">
        <v>0.0078</v>
      </c>
      <c r="G7" s="4" t="n">
        <v>2</v>
      </c>
      <c r="H7" s="4" t="n">
        <v>0.0292</v>
      </c>
      <c r="I7" s="4" t="n">
        <v>0.74</v>
      </c>
      <c r="J7" s="4" t="n">
        <v>0.2</v>
      </c>
    </row>
    <row r="8">
      <c r="A8" t="inlineStr">
        <is>
          <t>Radier aval Zout (m)</t>
        </is>
      </c>
      <c r="B8" s="12" t="n">
        <v>33.1</v>
      </c>
      <c r="C8" t="inlineStr"/>
    </row>
    <row r="9">
      <c r="A9" t="inlineStr">
        <is>
          <t>S0=(Zin-Zout)/L</t>
        </is>
      </c>
      <c r="B9" s="38">
        <f>(B7-B8)/B6</f>
        <v/>
      </c>
      <c r="C9" t="inlineStr"/>
    </row>
    <row r="10">
      <c r="A10" t="inlineStr">
        <is>
          <t>TW au-dessus Zout (m)</t>
        </is>
      </c>
      <c r="B10" s="12" t="n">
        <v>0</v>
      </c>
      <c r="C10" t="inlineStr">
        <is>
          <t>0 = exutoire libre</t>
        </is>
      </c>
    </row>
    <row r="11">
      <c r="A11" t="inlineStr">
        <is>
          <t>Entrée</t>
        </is>
      </c>
      <c r="B11" s="39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3" t="inlineStr">
        <is>
          <t>HW (m)</t>
        </is>
      </c>
      <c r="B19" s="3" t="inlineStr">
        <is>
          <t>WSE (m)</t>
        </is>
      </c>
      <c r="C19" s="3" t="inlineStr">
        <is>
          <t>Qinlet</t>
        </is>
      </c>
      <c r="D19" s="3" t="inlineStr">
        <is>
          <t>Qoutlet</t>
        </is>
      </c>
      <c r="E19" s="3" t="inlineStr">
        <is>
          <t>Q gouvernant</t>
        </is>
      </c>
      <c r="F19" s="3" t="inlineStr">
        <is>
          <t>A_ecoul (m²)</t>
        </is>
      </c>
      <c r="G19" s="3" t="inlineStr">
        <is>
          <t>V_gouv (m/s)</t>
        </is>
      </c>
    </row>
    <row r="20">
      <c r="A20" s="26" t="n">
        <v>0</v>
      </c>
      <c r="B20" s="26">
        <f>$B$7+A20</f>
        <v/>
      </c>
      <c r="C20" s="5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5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15">
        <f>MIN(C20,D20)</f>
        <v/>
      </c>
      <c r="F20" s="5">
        <f>IF(A20&lt;=0,0,IF(A20&lt;$B$5,(($B$5/2)^2/2)*((2*ACOS(1-2*(MIN(0.999,MAX(1E-6,A20/$B$5)))))-SIN(2*ACOS(1-2*(MIN(0.999,MAX(1E-6,A20/$B$5)))))),(PI()*($B$5/2)^2)))</f>
        <v/>
      </c>
      <c r="G20" s="27">
        <f>IF(F20&lt;=0,0,E20/F20)</f>
        <v/>
      </c>
    </row>
    <row r="21">
      <c r="A21" s="26" t="n">
        <v>0.05</v>
      </c>
      <c r="B21" s="26">
        <f>$B$7+A21</f>
        <v/>
      </c>
      <c r="C21" s="5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$B$15)))))</f>
        <v/>
      </c>
      <c r="D21" s="5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15">
        <f>MIN(C21,D21)</f>
        <v/>
      </c>
      <c r="F21" s="5">
        <f>IF(A21&lt;=0,0,IF(A21&lt;$B$5,(($B$5/2)^2/2)*((2*ACOS(1-2*(MIN(0.999,MAX(1E-6,A21/$B$5)))))-SIN(2*ACOS(1-2*(MIN(0.999,MAX(1E-6,A21/$B$5)))))),(PI()*($B$5/2)^2)))</f>
        <v/>
      </c>
      <c r="G21" s="27">
        <f>IF(F21&lt;=0,0,E21/F21)</f>
        <v/>
      </c>
    </row>
    <row r="22">
      <c r="A22" s="26" t="n">
        <v>0.1</v>
      </c>
      <c r="B22" s="26">
        <f>$B$7+A22</f>
        <v/>
      </c>
      <c r="C22" s="5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$B$15)))))</f>
        <v/>
      </c>
      <c r="D22" s="5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15">
        <f>MIN(C22,D22)</f>
        <v/>
      </c>
      <c r="F22" s="5">
        <f>IF(A22&lt;=0,0,IF(A22&lt;$B$5,(($B$5/2)^2/2)*((2*ACOS(1-2*(MIN(0.999,MAX(1E-6,A22/$B$5)))))-SIN(2*ACOS(1-2*(MIN(0.999,MAX(1E-6,A22/$B$5)))))),(PI()*($B$5/2)^2)))</f>
        <v/>
      </c>
      <c r="G22" s="27">
        <f>IF(F22&lt;=0,0,E22/F22)</f>
        <v/>
      </c>
    </row>
    <row r="23">
      <c r="A23" s="26" t="n">
        <v>0.15</v>
      </c>
      <c r="B23" s="26">
        <f>$B$7+A23</f>
        <v/>
      </c>
      <c r="C23" s="5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$B$15)))))</f>
        <v/>
      </c>
      <c r="D23" s="5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15">
        <f>MIN(C23,D23)</f>
        <v/>
      </c>
      <c r="F23" s="5">
        <f>IF(A23&lt;=0,0,IF(A23&lt;$B$5,(($B$5/2)^2/2)*((2*ACOS(1-2*(MIN(0.999,MAX(1E-6,A23/$B$5)))))-SIN(2*ACOS(1-2*(MIN(0.999,MAX(1E-6,A23/$B$5)))))),(PI()*($B$5/2)^2)))</f>
        <v/>
      </c>
      <c r="G23" s="27">
        <f>IF(F23&lt;=0,0,E23/F23)</f>
        <v/>
      </c>
    </row>
    <row r="24">
      <c r="A24" s="26" t="n">
        <v>0.2</v>
      </c>
      <c r="B24" s="26">
        <f>$B$7+A24</f>
        <v/>
      </c>
      <c r="C24" s="5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$B$15)))))</f>
        <v/>
      </c>
      <c r="D24" s="5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15">
        <f>MIN(C24,D24)</f>
        <v/>
      </c>
      <c r="F24" s="5">
        <f>IF(A24&lt;=0,0,IF(A24&lt;$B$5,(($B$5/2)^2/2)*((2*ACOS(1-2*(MIN(0.999,MAX(1E-6,A24/$B$5)))))-SIN(2*ACOS(1-2*(MIN(0.999,MAX(1E-6,A24/$B$5)))))),(PI()*($B$5/2)^2)))</f>
        <v/>
      </c>
      <c r="G24" s="27">
        <f>IF(F24&lt;=0,0,E24/F24)</f>
        <v/>
      </c>
    </row>
    <row r="25">
      <c r="A25" s="26" t="n">
        <v>0.25</v>
      </c>
      <c r="B25" s="26">
        <f>$B$7+A25</f>
        <v/>
      </c>
      <c r="C25" s="5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$B$15)))))</f>
        <v/>
      </c>
      <c r="D25" s="5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15">
        <f>MIN(C25,D25)</f>
        <v/>
      </c>
      <c r="F25" s="5">
        <f>IF(A25&lt;=0,0,IF(A25&lt;$B$5,(($B$5/2)^2/2)*((2*ACOS(1-2*(MIN(0.999,MAX(1E-6,A25/$B$5)))))-SIN(2*ACOS(1-2*(MIN(0.999,MAX(1E-6,A25/$B$5)))))),(PI()*($B$5/2)^2)))</f>
        <v/>
      </c>
      <c r="G25" s="27">
        <f>IF(F25&lt;=0,0,E25/F25)</f>
        <v/>
      </c>
    </row>
    <row r="26">
      <c r="A26" s="26" t="n">
        <v>0.3</v>
      </c>
      <c r="B26" s="26">
        <f>$B$7+A26</f>
        <v/>
      </c>
      <c r="C26" s="5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$B$15)))))</f>
        <v/>
      </c>
      <c r="D26" s="5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15">
        <f>MIN(C26,D26)</f>
        <v/>
      </c>
      <c r="F26" s="5">
        <f>IF(A26&lt;=0,0,IF(A26&lt;$B$5,(($B$5/2)^2/2)*((2*ACOS(1-2*(MIN(0.999,MAX(1E-6,A26/$B$5)))))-SIN(2*ACOS(1-2*(MIN(0.999,MAX(1E-6,A26/$B$5)))))),(PI()*($B$5/2)^2)))</f>
        <v/>
      </c>
      <c r="G26" s="27">
        <f>IF(F26&lt;=0,0,E26/F26)</f>
        <v/>
      </c>
    </row>
    <row r="27">
      <c r="A27" s="26" t="n">
        <v>0.35</v>
      </c>
      <c r="B27" s="26">
        <f>$B$7+A27</f>
        <v/>
      </c>
      <c r="C27" s="5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$B$15)))))</f>
        <v/>
      </c>
      <c r="D27" s="5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15">
        <f>MIN(C27,D27)</f>
        <v/>
      </c>
      <c r="F27" s="5">
        <f>IF(A27&lt;=0,0,IF(A27&lt;$B$5,(($B$5/2)^2/2)*((2*ACOS(1-2*(MIN(0.999,MAX(1E-6,A27/$B$5)))))-SIN(2*ACOS(1-2*(MIN(0.999,MAX(1E-6,A27/$B$5)))))),(PI()*($B$5/2)^2)))</f>
        <v/>
      </c>
      <c r="G27" s="27">
        <f>IF(F27&lt;=0,0,E27/F27)</f>
        <v/>
      </c>
    </row>
    <row r="28">
      <c r="A28" s="26" t="n">
        <v>0.4</v>
      </c>
      <c r="B28" s="26">
        <f>$B$7+A28</f>
        <v/>
      </c>
      <c r="C28" s="5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$B$15)))))</f>
        <v/>
      </c>
      <c r="D28" s="5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15">
        <f>MIN(C28,D28)</f>
        <v/>
      </c>
      <c r="F28" s="5">
        <f>IF(A28&lt;=0,0,IF(A28&lt;$B$5,(($B$5/2)^2/2)*((2*ACOS(1-2*(MIN(0.999,MAX(1E-6,A28/$B$5)))))-SIN(2*ACOS(1-2*(MIN(0.999,MAX(1E-6,A28/$B$5)))))),(PI()*($B$5/2)^2)))</f>
        <v/>
      </c>
      <c r="G28" s="27">
        <f>IF(F28&lt;=0,0,E28/F28)</f>
        <v/>
      </c>
    </row>
    <row r="29">
      <c r="A29" s="26" t="n">
        <v>0.45</v>
      </c>
      <c r="B29" s="26">
        <f>$B$7+A29</f>
        <v/>
      </c>
      <c r="C29" s="5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$B$15)))))</f>
        <v/>
      </c>
      <c r="D29" s="5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15">
        <f>MIN(C29,D29)</f>
        <v/>
      </c>
      <c r="F29" s="5">
        <f>IF(A29&lt;=0,0,IF(A29&lt;$B$5,(($B$5/2)^2/2)*((2*ACOS(1-2*(MIN(0.999,MAX(1E-6,A29/$B$5)))))-SIN(2*ACOS(1-2*(MIN(0.999,MAX(1E-6,A29/$B$5)))))),(PI()*($B$5/2)^2)))</f>
        <v/>
      </c>
      <c r="G29" s="27">
        <f>IF(F29&lt;=0,0,E29/F29)</f>
        <v/>
      </c>
    </row>
    <row r="30">
      <c r="A30" s="26" t="n">
        <v>0.5</v>
      </c>
      <c r="B30" s="26">
        <f>$B$7+A30</f>
        <v/>
      </c>
      <c r="C30" s="5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$B$15)))))</f>
        <v/>
      </c>
      <c r="D30" s="5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15">
        <f>MIN(C30,D30)</f>
        <v/>
      </c>
      <c r="F30" s="5">
        <f>IF(A30&lt;=0,0,IF(A30&lt;$B$5,(($B$5/2)^2/2)*((2*ACOS(1-2*(MIN(0.999,MAX(1E-6,A30/$B$5)))))-SIN(2*ACOS(1-2*(MIN(0.999,MAX(1E-6,A30/$B$5)))))),(PI()*($B$5/2)^2)))</f>
        <v/>
      </c>
      <c r="G30" s="27">
        <f>IF(F30&lt;=0,0,E30/F30)</f>
        <v/>
      </c>
    </row>
    <row r="31">
      <c r="A31" s="26" t="n">
        <v>0.55</v>
      </c>
      <c r="B31" s="26">
        <f>$B$7+A31</f>
        <v/>
      </c>
      <c r="C31" s="5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$B$15)))))</f>
        <v/>
      </c>
      <c r="D31" s="5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15">
        <f>MIN(C31,D31)</f>
        <v/>
      </c>
      <c r="F31" s="5">
        <f>IF(A31&lt;=0,0,IF(A31&lt;$B$5,(($B$5/2)^2/2)*((2*ACOS(1-2*(MIN(0.999,MAX(1E-6,A31/$B$5)))))-SIN(2*ACOS(1-2*(MIN(0.999,MAX(1E-6,A31/$B$5)))))),(PI()*($B$5/2)^2)))</f>
        <v/>
      </c>
      <c r="G31" s="27">
        <f>IF(F31&lt;=0,0,E31/F31)</f>
        <v/>
      </c>
    </row>
    <row r="32">
      <c r="A32" s="26" t="n">
        <v>0.6</v>
      </c>
      <c r="B32" s="26">
        <f>$B$7+A32</f>
        <v/>
      </c>
      <c r="C32" s="5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$B$15)))))</f>
        <v/>
      </c>
      <c r="D32" s="5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15">
        <f>MIN(C32,D32)</f>
        <v/>
      </c>
      <c r="F32" s="5">
        <f>IF(A32&lt;=0,0,IF(A32&lt;$B$5,(($B$5/2)^2/2)*((2*ACOS(1-2*(MIN(0.999,MAX(1E-6,A32/$B$5)))))-SIN(2*ACOS(1-2*(MIN(0.999,MAX(1E-6,A32/$B$5)))))),(PI()*($B$5/2)^2)))</f>
        <v/>
      </c>
      <c r="G32" s="27">
        <f>IF(F32&lt;=0,0,E32/F32)</f>
        <v/>
      </c>
    </row>
    <row r="33">
      <c r="A33" s="26" t="n">
        <v>0.65</v>
      </c>
      <c r="B33" s="26">
        <f>$B$7+A33</f>
        <v/>
      </c>
      <c r="C33" s="5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$B$15)))))</f>
        <v/>
      </c>
      <c r="D33" s="5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15">
        <f>MIN(C33,D33)</f>
        <v/>
      </c>
      <c r="F33" s="5">
        <f>IF(A33&lt;=0,0,IF(A33&lt;$B$5,(($B$5/2)^2/2)*((2*ACOS(1-2*(MIN(0.999,MAX(1E-6,A33/$B$5)))))-SIN(2*ACOS(1-2*(MIN(0.999,MAX(1E-6,A33/$B$5)))))),(PI()*($B$5/2)^2)))</f>
        <v/>
      </c>
      <c r="G33" s="27">
        <f>IF(F33&lt;=0,0,E33/F33)</f>
        <v/>
      </c>
    </row>
    <row r="34">
      <c r="A34" s="26" t="n">
        <v>0.7</v>
      </c>
      <c r="B34" s="26">
        <f>$B$7+A34</f>
        <v/>
      </c>
      <c r="C34" s="5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$B$15)))))</f>
        <v/>
      </c>
      <c r="D34" s="5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15">
        <f>MIN(C34,D34)</f>
        <v/>
      </c>
      <c r="F34" s="5">
        <f>IF(A34&lt;=0,0,IF(A34&lt;$B$5,(($B$5/2)^2/2)*((2*ACOS(1-2*(MIN(0.999,MAX(1E-6,A34/$B$5)))))-SIN(2*ACOS(1-2*(MIN(0.999,MAX(1E-6,A34/$B$5)))))),(PI()*($B$5/2)^2)))</f>
        <v/>
      </c>
      <c r="G34" s="27">
        <f>IF(F34&lt;=0,0,E34/F34)</f>
        <v/>
      </c>
    </row>
    <row r="35">
      <c r="A35" s="26" t="n">
        <v>0.75</v>
      </c>
      <c r="B35" s="26">
        <f>$B$7+A35</f>
        <v/>
      </c>
      <c r="C35" s="5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$B$15)))))</f>
        <v/>
      </c>
      <c r="D35" s="5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15">
        <f>MIN(C35,D35)</f>
        <v/>
      </c>
      <c r="F35" s="5">
        <f>IF(A35&lt;=0,0,IF(A35&lt;$B$5,(($B$5/2)^2/2)*((2*ACOS(1-2*(MIN(0.999,MAX(1E-6,A35/$B$5)))))-SIN(2*ACOS(1-2*(MIN(0.999,MAX(1E-6,A35/$B$5)))))),(PI()*($B$5/2)^2)))</f>
        <v/>
      </c>
      <c r="G35" s="27">
        <f>IF(F35&lt;=0,0,E35/F35)</f>
        <v/>
      </c>
    </row>
    <row r="36">
      <c r="A36" s="26" t="n">
        <v>0.8</v>
      </c>
      <c r="B36" s="26">
        <f>$B$7+A36</f>
        <v/>
      </c>
      <c r="C36" s="5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$B$15)))))</f>
        <v/>
      </c>
      <c r="D36" s="5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15">
        <f>MIN(C36,D36)</f>
        <v/>
      </c>
      <c r="F36" s="5">
        <f>IF(A36&lt;=0,0,IF(A36&lt;$B$5,(($B$5/2)^2/2)*((2*ACOS(1-2*(MIN(0.999,MAX(1E-6,A36/$B$5)))))-SIN(2*ACOS(1-2*(MIN(0.999,MAX(1E-6,A36/$B$5)))))),(PI()*($B$5/2)^2)))</f>
        <v/>
      </c>
      <c r="G36" s="27">
        <f>IF(F36&lt;=0,0,E36/F36)</f>
        <v/>
      </c>
    </row>
    <row r="37">
      <c r="A37" s="26" t="n">
        <v>0.85</v>
      </c>
      <c r="B37" s="26">
        <f>$B$7+A37</f>
        <v/>
      </c>
      <c r="C37" s="5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$B$15)))))</f>
        <v/>
      </c>
      <c r="D37" s="5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15">
        <f>MIN(C37,D37)</f>
        <v/>
      </c>
      <c r="F37" s="5">
        <f>IF(A37&lt;=0,0,IF(A37&lt;$B$5,(($B$5/2)^2/2)*((2*ACOS(1-2*(MIN(0.999,MAX(1E-6,A37/$B$5)))))-SIN(2*ACOS(1-2*(MIN(0.999,MAX(1E-6,A37/$B$5)))))),(PI()*($B$5/2)^2)))</f>
        <v/>
      </c>
      <c r="G37" s="27">
        <f>IF(F37&lt;=0,0,E37/F37)</f>
        <v/>
      </c>
    </row>
    <row r="38">
      <c r="A38" s="26" t="n">
        <v>0.9</v>
      </c>
      <c r="B38" s="26">
        <f>$B$7+A38</f>
        <v/>
      </c>
      <c r="C38" s="5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$B$15)))))</f>
        <v/>
      </c>
      <c r="D38" s="5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15">
        <f>MIN(C38,D38)</f>
        <v/>
      </c>
      <c r="F38" s="5">
        <f>IF(A38&lt;=0,0,IF(A38&lt;$B$5,(($B$5/2)^2/2)*((2*ACOS(1-2*(MIN(0.999,MAX(1E-6,A38/$B$5)))))-SIN(2*ACOS(1-2*(MIN(0.999,MAX(1E-6,A38/$B$5)))))),(PI()*($B$5/2)^2)))</f>
        <v/>
      </c>
      <c r="G38" s="27">
        <f>IF(F38&lt;=0,0,E38/F38)</f>
        <v/>
      </c>
    </row>
    <row r="39">
      <c r="A39" s="26" t="n">
        <v>0.95</v>
      </c>
      <c r="B39" s="26">
        <f>$B$7+A39</f>
        <v/>
      </c>
      <c r="C39" s="5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$B$15)))))</f>
        <v/>
      </c>
      <c r="D39" s="5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15">
        <f>MIN(C39,D39)</f>
        <v/>
      </c>
      <c r="F39" s="5">
        <f>IF(A39&lt;=0,0,IF(A39&lt;$B$5,(($B$5/2)^2/2)*((2*ACOS(1-2*(MIN(0.999,MAX(1E-6,A39/$B$5)))))-SIN(2*ACOS(1-2*(MIN(0.999,MAX(1E-6,A39/$B$5)))))),(PI()*($B$5/2)^2)))</f>
        <v/>
      </c>
      <c r="G39" s="27">
        <f>IF(F39&lt;=0,0,E39/F39)</f>
        <v/>
      </c>
    </row>
    <row r="40">
      <c r="A40" s="26" t="n">
        <v>1</v>
      </c>
      <c r="B40" s="26">
        <f>$B$7+A40</f>
        <v/>
      </c>
      <c r="C40" s="5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$B$15)))))</f>
        <v/>
      </c>
      <c r="D40" s="5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15">
        <f>MIN(C40,D40)</f>
        <v/>
      </c>
      <c r="F40" s="5">
        <f>IF(A40&lt;=0,0,IF(A40&lt;$B$5,(($B$5/2)^2/2)*((2*ACOS(1-2*(MIN(0.999,MAX(1E-6,A40/$B$5)))))-SIN(2*ACOS(1-2*(MIN(0.999,MAX(1E-6,A40/$B$5)))))),(PI()*($B$5/2)^2)))</f>
        <v/>
      </c>
      <c r="G40" s="27">
        <f>IF(F40&lt;=0,0,E40/F40)</f>
        <v/>
      </c>
    </row>
    <row r="41">
      <c r="A41" s="26" t="n">
        <v>1.05</v>
      </c>
      <c r="B41" s="26">
        <f>$B$7+A41</f>
        <v/>
      </c>
      <c r="C41" s="5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$B$15)))))</f>
        <v/>
      </c>
      <c r="D41" s="5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15">
        <f>MIN(C41,D41)</f>
        <v/>
      </c>
      <c r="F41" s="5">
        <f>IF(A41&lt;=0,0,IF(A41&lt;$B$5,(($B$5/2)^2/2)*((2*ACOS(1-2*(MIN(0.999,MAX(1E-6,A41/$B$5)))))-SIN(2*ACOS(1-2*(MIN(0.999,MAX(1E-6,A41/$B$5)))))),(PI()*($B$5/2)^2)))</f>
        <v/>
      </c>
      <c r="G41" s="27">
        <f>IF(F41&lt;=0,0,E41/F41)</f>
        <v/>
      </c>
    </row>
    <row r="42">
      <c r="A42" s="26" t="n">
        <v>1.1</v>
      </c>
      <c r="B42" s="26">
        <f>$B$7+A42</f>
        <v/>
      </c>
      <c r="C42" s="5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$B$15)))))</f>
        <v/>
      </c>
      <c r="D42" s="5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15">
        <f>MIN(C42,D42)</f>
        <v/>
      </c>
      <c r="F42" s="5">
        <f>IF(A42&lt;=0,0,IF(A42&lt;$B$5,(($B$5/2)^2/2)*((2*ACOS(1-2*(MIN(0.999,MAX(1E-6,A42/$B$5)))))-SIN(2*ACOS(1-2*(MIN(0.999,MAX(1E-6,A42/$B$5)))))),(PI()*($B$5/2)^2)))</f>
        <v/>
      </c>
      <c r="G42" s="27">
        <f>IF(F42&lt;=0,0,E42/F42)</f>
        <v/>
      </c>
    </row>
    <row r="43">
      <c r="A43" s="26" t="n">
        <v>1.15</v>
      </c>
      <c r="B43" s="26">
        <f>$B$7+A43</f>
        <v/>
      </c>
      <c r="C43" s="5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$B$15)))))</f>
        <v/>
      </c>
      <c r="D43" s="5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15">
        <f>MIN(C43,D43)</f>
        <v/>
      </c>
      <c r="F43" s="5">
        <f>IF(A43&lt;=0,0,IF(A43&lt;$B$5,(($B$5/2)^2/2)*((2*ACOS(1-2*(MIN(0.999,MAX(1E-6,A43/$B$5)))))-SIN(2*ACOS(1-2*(MIN(0.999,MAX(1E-6,A43/$B$5)))))),(PI()*($B$5/2)^2)))</f>
        <v/>
      </c>
      <c r="G43" s="27">
        <f>IF(F43&lt;=0,0,E43/F43)</f>
        <v/>
      </c>
    </row>
    <row r="44">
      <c r="A44" s="26" t="n">
        <v>1.2</v>
      </c>
      <c r="B44" s="26">
        <f>$B$7+A44</f>
        <v/>
      </c>
      <c r="C44" s="5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$B$15)))))</f>
        <v/>
      </c>
      <c r="D44" s="5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15">
        <f>MIN(C44,D44)</f>
        <v/>
      </c>
      <c r="F44" s="5">
        <f>IF(A44&lt;=0,0,IF(A44&lt;$B$5,(($B$5/2)^2/2)*((2*ACOS(1-2*(MIN(0.999,MAX(1E-6,A44/$B$5)))))-SIN(2*ACOS(1-2*(MIN(0.999,MAX(1E-6,A44/$B$5)))))),(PI()*($B$5/2)^2)))</f>
        <v/>
      </c>
      <c r="G44" s="27">
        <f>IF(F44&lt;=0,0,E44/F44)</f>
        <v/>
      </c>
    </row>
    <row r="45">
      <c r="A45" s="26" t="n">
        <v>1.25</v>
      </c>
      <c r="B45" s="26">
        <f>$B$7+A45</f>
        <v/>
      </c>
      <c r="C45" s="5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$B$15)))))</f>
        <v/>
      </c>
      <c r="D45" s="5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15">
        <f>MIN(C45,D45)</f>
        <v/>
      </c>
      <c r="F45" s="5">
        <f>IF(A45&lt;=0,0,IF(A45&lt;$B$5,(($B$5/2)^2/2)*((2*ACOS(1-2*(MIN(0.999,MAX(1E-6,A45/$B$5)))))-SIN(2*ACOS(1-2*(MIN(0.999,MAX(1E-6,A45/$B$5)))))),(PI()*($B$5/2)^2)))</f>
        <v/>
      </c>
      <c r="G45" s="27">
        <f>IF(F45&lt;=0,0,E45/F45)</f>
        <v/>
      </c>
    </row>
    <row r="46">
      <c r="A46" s="26" t="n">
        <v>1.3</v>
      </c>
      <c r="B46" s="26">
        <f>$B$7+A46</f>
        <v/>
      </c>
      <c r="C46" s="5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$B$15)))))</f>
        <v/>
      </c>
      <c r="D46" s="5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15">
        <f>MIN(C46,D46)</f>
        <v/>
      </c>
      <c r="F46" s="5">
        <f>IF(A46&lt;=0,0,IF(A46&lt;$B$5,(($B$5/2)^2/2)*((2*ACOS(1-2*(MIN(0.999,MAX(1E-6,A46/$B$5)))))-SIN(2*ACOS(1-2*(MIN(0.999,MAX(1E-6,A46/$B$5)))))),(PI()*($B$5/2)^2)))</f>
        <v/>
      </c>
      <c r="G46" s="27">
        <f>IF(F46&lt;=0,0,E46/F46)</f>
        <v/>
      </c>
    </row>
    <row r="47">
      <c r="A47" s="26" t="n">
        <v>1.35</v>
      </c>
      <c r="B47" s="26">
        <f>$B$7+A47</f>
        <v/>
      </c>
      <c r="C47" s="5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$B$15)))))</f>
        <v/>
      </c>
      <c r="D47" s="5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15">
        <f>MIN(C47,D47)</f>
        <v/>
      </c>
      <c r="F47" s="5">
        <f>IF(A47&lt;=0,0,IF(A47&lt;$B$5,(($B$5/2)^2/2)*((2*ACOS(1-2*(MIN(0.999,MAX(1E-6,A47/$B$5)))))-SIN(2*ACOS(1-2*(MIN(0.999,MAX(1E-6,A47/$B$5)))))),(PI()*($B$5/2)^2)))</f>
        <v/>
      </c>
      <c r="G47" s="27">
        <f>IF(F47&lt;=0,0,E47/F47)</f>
        <v/>
      </c>
    </row>
    <row r="48">
      <c r="A48" s="26" t="n">
        <v>1.4</v>
      </c>
      <c r="B48" s="26">
        <f>$B$7+A48</f>
        <v/>
      </c>
      <c r="C48" s="5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$B$15)))))</f>
        <v/>
      </c>
      <c r="D48" s="5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15">
        <f>MIN(C48,D48)</f>
        <v/>
      </c>
      <c r="F48" s="5">
        <f>IF(A48&lt;=0,0,IF(A48&lt;$B$5,(($B$5/2)^2/2)*((2*ACOS(1-2*(MIN(0.999,MAX(1E-6,A48/$B$5)))))-SIN(2*ACOS(1-2*(MIN(0.999,MAX(1E-6,A48/$B$5)))))),(PI()*($B$5/2)^2)))</f>
        <v/>
      </c>
      <c r="G48" s="27">
        <f>IF(F48&lt;=0,0,E48/F48)</f>
        <v/>
      </c>
    </row>
    <row r="49">
      <c r="A49" s="26" t="n">
        <v>1.45</v>
      </c>
      <c r="B49" s="26">
        <f>$B$7+A49</f>
        <v/>
      </c>
      <c r="C49" s="5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$B$15)))))</f>
        <v/>
      </c>
      <c r="D49" s="5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15">
        <f>MIN(C49,D49)</f>
        <v/>
      </c>
      <c r="F49" s="5">
        <f>IF(A49&lt;=0,0,IF(A49&lt;$B$5,(($B$5/2)^2/2)*((2*ACOS(1-2*(MIN(0.999,MAX(1E-6,A49/$B$5)))))-SIN(2*ACOS(1-2*(MIN(0.999,MAX(1E-6,A49/$B$5)))))),(PI()*($B$5/2)^2)))</f>
        <v/>
      </c>
      <c r="G49" s="27">
        <f>IF(F49&lt;=0,0,E49/F49)</f>
        <v/>
      </c>
    </row>
    <row r="50">
      <c r="A50" s="26" t="n">
        <v>1.5</v>
      </c>
      <c r="B50" s="26">
        <f>$B$7+A50</f>
        <v/>
      </c>
      <c r="C50" s="5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$B$15)))))</f>
        <v/>
      </c>
      <c r="D50" s="5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15">
        <f>MIN(C50,D50)</f>
        <v/>
      </c>
      <c r="F50" s="5">
        <f>IF(A50&lt;=0,0,IF(A50&lt;$B$5,(($B$5/2)^2/2)*((2*ACOS(1-2*(MIN(0.999,MAX(1E-6,A50/$B$5)))))-SIN(2*ACOS(1-2*(MIN(0.999,MAX(1E-6,A50/$B$5)))))),(PI()*($B$5/2)^2)))</f>
        <v/>
      </c>
      <c r="G50" s="27">
        <f>IF(F50&lt;=0,0,E50/F50)</f>
        <v/>
      </c>
    </row>
    <row r="51">
      <c r="A51" s="26" t="n">
        <v>1.55</v>
      </c>
      <c r="B51" s="26">
        <f>$B$7+A51</f>
        <v/>
      </c>
      <c r="C51" s="5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$B$15)))))</f>
        <v/>
      </c>
      <c r="D51" s="5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15">
        <f>MIN(C51,D51)</f>
        <v/>
      </c>
      <c r="F51" s="5">
        <f>IF(A51&lt;=0,0,IF(A51&lt;$B$5,(($B$5/2)^2/2)*((2*ACOS(1-2*(MIN(0.999,MAX(1E-6,A51/$B$5)))))-SIN(2*ACOS(1-2*(MIN(0.999,MAX(1E-6,A51/$B$5)))))),(PI()*($B$5/2)^2)))</f>
        <v/>
      </c>
      <c r="G51" s="27">
        <f>IF(F51&lt;=0,0,E51/F51)</f>
        <v/>
      </c>
    </row>
    <row r="52">
      <c r="A52" s="26" t="n">
        <v>1.6</v>
      </c>
      <c r="B52" s="26">
        <f>$B$7+A52</f>
        <v/>
      </c>
      <c r="C52" s="5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$B$15)))))</f>
        <v/>
      </c>
      <c r="D52" s="5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15">
        <f>MIN(C52,D52)</f>
        <v/>
      </c>
      <c r="F52" s="5">
        <f>IF(A52&lt;=0,0,IF(A52&lt;$B$5,(($B$5/2)^2/2)*((2*ACOS(1-2*(MIN(0.999,MAX(1E-6,A52/$B$5)))))-SIN(2*ACOS(1-2*(MIN(0.999,MAX(1E-6,A52/$B$5)))))),(PI()*($B$5/2)^2)))</f>
        <v/>
      </c>
      <c r="G52" s="27">
        <f>IF(F52&lt;=0,0,E52/F52)</f>
        <v/>
      </c>
    </row>
    <row r="53">
      <c r="A53" s="26" t="n">
        <v>1.65</v>
      </c>
      <c r="B53" s="26">
        <f>$B$7+A53</f>
        <v/>
      </c>
      <c r="C53" s="5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$B$15)))))</f>
        <v/>
      </c>
      <c r="D53" s="5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15">
        <f>MIN(C53,D53)</f>
        <v/>
      </c>
      <c r="F53" s="5">
        <f>IF(A53&lt;=0,0,IF(A53&lt;$B$5,(($B$5/2)^2/2)*((2*ACOS(1-2*(MIN(0.999,MAX(1E-6,A53/$B$5)))))-SIN(2*ACOS(1-2*(MIN(0.999,MAX(1E-6,A53/$B$5)))))),(PI()*($B$5/2)^2)))</f>
        <v/>
      </c>
      <c r="G53" s="27">
        <f>IF(F53&lt;=0,0,E53/F53)</f>
        <v/>
      </c>
    </row>
    <row r="54">
      <c r="A54" s="26" t="n">
        <v>1.7</v>
      </c>
      <c r="B54" s="26">
        <f>$B$7+A54</f>
        <v/>
      </c>
      <c r="C54" s="5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$B$15)))))</f>
        <v/>
      </c>
      <c r="D54" s="5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15">
        <f>MIN(C54,D54)</f>
        <v/>
      </c>
      <c r="F54" s="5">
        <f>IF(A54&lt;=0,0,IF(A54&lt;$B$5,(($B$5/2)^2/2)*((2*ACOS(1-2*(MIN(0.999,MAX(1E-6,A54/$B$5)))))-SIN(2*ACOS(1-2*(MIN(0.999,MAX(1E-6,A54/$B$5)))))),(PI()*($B$5/2)^2)))</f>
        <v/>
      </c>
      <c r="G54" s="27">
        <f>IF(F54&lt;=0,0,E54/F54)</f>
        <v/>
      </c>
    </row>
    <row r="55">
      <c r="A55" s="26" t="n">
        <v>1.75</v>
      </c>
      <c r="B55" s="26">
        <f>$B$7+A55</f>
        <v/>
      </c>
      <c r="C55" s="5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$B$15)))))</f>
        <v/>
      </c>
      <c r="D55" s="5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15">
        <f>MIN(C55,D55)</f>
        <v/>
      </c>
      <c r="F55" s="5">
        <f>IF(A55&lt;=0,0,IF(A55&lt;$B$5,(($B$5/2)^2/2)*((2*ACOS(1-2*(MIN(0.999,MAX(1E-6,A55/$B$5)))))-SIN(2*ACOS(1-2*(MIN(0.999,MAX(1E-6,A55/$B$5)))))),(PI()*($B$5/2)^2)))</f>
        <v/>
      </c>
      <c r="G55" s="27">
        <f>IF(F55&lt;=0,0,E55/F55)</f>
        <v/>
      </c>
    </row>
    <row r="56">
      <c r="A56" s="26" t="n">
        <v>1.8</v>
      </c>
      <c r="B56" s="26">
        <f>$B$7+A56</f>
        <v/>
      </c>
      <c r="C56" s="5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$B$15)))))</f>
        <v/>
      </c>
      <c r="D56" s="5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15">
        <f>MIN(C56,D56)</f>
        <v/>
      </c>
      <c r="F56" s="5">
        <f>IF(A56&lt;=0,0,IF(A56&lt;$B$5,(($B$5/2)^2/2)*((2*ACOS(1-2*(MIN(0.999,MAX(1E-6,A56/$B$5)))))-SIN(2*ACOS(1-2*(MIN(0.999,MAX(1E-6,A56/$B$5)))))),(PI()*($B$5/2)^2)))</f>
        <v/>
      </c>
      <c r="G56" s="27">
        <f>IF(F56&lt;=0,0,E56/F56)</f>
        <v/>
      </c>
    </row>
    <row r="57">
      <c r="A57" s="26" t="n">
        <v>1.85</v>
      </c>
      <c r="B57" s="26">
        <f>$B$7+A57</f>
        <v/>
      </c>
      <c r="C57" s="5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$B$15)))))</f>
        <v/>
      </c>
      <c r="D57" s="5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15">
        <f>MIN(C57,D57)</f>
        <v/>
      </c>
      <c r="F57" s="5">
        <f>IF(A57&lt;=0,0,IF(A57&lt;$B$5,(($B$5/2)^2/2)*((2*ACOS(1-2*(MIN(0.999,MAX(1E-6,A57/$B$5)))))-SIN(2*ACOS(1-2*(MIN(0.999,MAX(1E-6,A57/$B$5)))))),(PI()*($B$5/2)^2)))</f>
        <v/>
      </c>
      <c r="G57" s="27">
        <f>IF(F57&lt;=0,0,E57/F57)</f>
        <v/>
      </c>
    </row>
    <row r="58">
      <c r="A58" s="26" t="n">
        <v>1.9</v>
      </c>
      <c r="B58" s="26">
        <f>$B$7+A58</f>
        <v/>
      </c>
      <c r="C58" s="5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$B$15)))))</f>
        <v/>
      </c>
      <c r="D58" s="5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15">
        <f>MIN(C58,D58)</f>
        <v/>
      </c>
      <c r="F58" s="5">
        <f>IF(A58&lt;=0,0,IF(A58&lt;$B$5,(($B$5/2)^2/2)*((2*ACOS(1-2*(MIN(0.999,MAX(1E-6,A58/$B$5)))))-SIN(2*ACOS(1-2*(MIN(0.999,MAX(1E-6,A58/$B$5)))))),(PI()*($B$5/2)^2)))</f>
        <v/>
      </c>
      <c r="G58" s="27">
        <f>IF(F58&lt;=0,0,E58/F58)</f>
        <v/>
      </c>
    </row>
    <row r="59">
      <c r="A59" s="26" t="n">
        <v>1.95</v>
      </c>
      <c r="B59" s="26">
        <f>$B$7+A59</f>
        <v/>
      </c>
      <c r="C59" s="5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$B$15)))))</f>
        <v/>
      </c>
      <c r="D59" s="5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15">
        <f>MIN(C59,D59)</f>
        <v/>
      </c>
      <c r="F59" s="5">
        <f>IF(A59&lt;=0,0,IF(A59&lt;$B$5,(($B$5/2)^2/2)*((2*ACOS(1-2*(MIN(0.999,MAX(1E-6,A59/$B$5)))))-SIN(2*ACOS(1-2*(MIN(0.999,MAX(1E-6,A59/$B$5)))))),(PI()*($B$5/2)^2)))</f>
        <v/>
      </c>
      <c r="G59" s="27">
        <f>IF(F59&lt;=0,0,E59/F59)</f>
        <v/>
      </c>
    </row>
    <row r="60">
      <c r="A60" s="26" t="n">
        <v>2</v>
      </c>
      <c r="B60" s="26">
        <f>$B$7+A60</f>
        <v/>
      </c>
      <c r="C60" s="5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$B$15)))))</f>
        <v/>
      </c>
      <c r="D60" s="5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15">
        <f>MIN(C60,D60)</f>
        <v/>
      </c>
      <c r="F60" s="5">
        <f>IF(A60&lt;=0,0,IF(A60&lt;$B$5,(($B$5/2)^2/2)*((2*ACOS(1-2*(MIN(0.999,MAX(1E-6,A60/$B$5)))))-SIN(2*ACOS(1-2*(MIN(0.999,MAX(1E-6,A60/$B$5)))))),(PI()*($B$5/2)^2)))</f>
        <v/>
      </c>
      <c r="G60" s="27">
        <f>IF(F60&lt;=0,0,E60/F60)</f>
        <v/>
      </c>
    </row>
    <row r="61">
      <c r="A61" s="26" t="n">
        <v>2.05</v>
      </c>
      <c r="B61" s="26">
        <f>$B$7+A61</f>
        <v/>
      </c>
      <c r="C61" s="5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$B$15)))))</f>
        <v/>
      </c>
      <c r="D61" s="5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15">
        <f>MIN(C61,D61)</f>
        <v/>
      </c>
      <c r="F61" s="5">
        <f>IF(A61&lt;=0,0,IF(A61&lt;$B$5,(($B$5/2)^2/2)*((2*ACOS(1-2*(MIN(0.999,MAX(1E-6,A61/$B$5)))))-SIN(2*ACOS(1-2*(MIN(0.999,MAX(1E-6,A61/$B$5)))))),(PI()*($B$5/2)^2)))</f>
        <v/>
      </c>
      <c r="G61" s="27">
        <f>IF(F61&lt;=0,0,E61/F61)</f>
        <v/>
      </c>
    </row>
    <row r="62">
      <c r="A62" s="26" t="n">
        <v>2.1</v>
      </c>
      <c r="B62" s="26">
        <f>$B$7+A62</f>
        <v/>
      </c>
      <c r="C62" s="5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$B$15)))))</f>
        <v/>
      </c>
      <c r="D62" s="5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15">
        <f>MIN(C62,D62)</f>
        <v/>
      </c>
      <c r="F62" s="5">
        <f>IF(A62&lt;=0,0,IF(A62&lt;$B$5,(($B$5/2)^2/2)*((2*ACOS(1-2*(MIN(0.999,MAX(1E-6,A62/$B$5)))))-SIN(2*ACOS(1-2*(MIN(0.999,MAX(1E-6,A62/$B$5)))))),(PI()*($B$5/2)^2)))</f>
        <v/>
      </c>
      <c r="G62" s="27">
        <f>IF(F62&lt;=0,0,E62/F62)</f>
        <v/>
      </c>
    </row>
    <row r="63">
      <c r="A63" s="26" t="n">
        <v>2.15</v>
      </c>
      <c r="B63" s="26">
        <f>$B$7+A63</f>
        <v/>
      </c>
      <c r="C63" s="5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$B$15)))))</f>
        <v/>
      </c>
      <c r="D63" s="5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15">
        <f>MIN(C63,D63)</f>
        <v/>
      </c>
      <c r="F63" s="5">
        <f>IF(A63&lt;=0,0,IF(A63&lt;$B$5,(($B$5/2)^2/2)*((2*ACOS(1-2*(MIN(0.999,MAX(1E-6,A63/$B$5)))))-SIN(2*ACOS(1-2*(MIN(0.999,MAX(1E-6,A63/$B$5)))))),(PI()*($B$5/2)^2)))</f>
        <v/>
      </c>
      <c r="G63" s="27">
        <f>IF(F63&lt;=0,0,E63/F63)</f>
        <v/>
      </c>
    </row>
    <row r="64">
      <c r="A64" s="26" t="n">
        <v>2.2</v>
      </c>
      <c r="B64" s="26">
        <f>$B$7+A64</f>
        <v/>
      </c>
      <c r="C64" s="5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$B$15)))))</f>
        <v/>
      </c>
      <c r="D64" s="5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15">
        <f>MIN(C64,D64)</f>
        <v/>
      </c>
      <c r="F64" s="5">
        <f>IF(A64&lt;=0,0,IF(A64&lt;$B$5,(($B$5/2)^2/2)*((2*ACOS(1-2*(MIN(0.999,MAX(1E-6,A64/$B$5)))))-SIN(2*ACOS(1-2*(MIN(0.999,MAX(1E-6,A64/$B$5)))))),(PI()*($B$5/2)^2)))</f>
        <v/>
      </c>
      <c r="G64" s="27">
        <f>IF(F64&lt;=0,0,E64/F64)</f>
        <v/>
      </c>
    </row>
    <row r="65">
      <c r="A65" s="26" t="n">
        <v>2.25</v>
      </c>
      <c r="B65" s="26">
        <f>$B$7+A65</f>
        <v/>
      </c>
      <c r="C65" s="5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$B$15)))))</f>
        <v/>
      </c>
      <c r="D65" s="5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15">
        <f>MIN(C65,D65)</f>
        <v/>
      </c>
      <c r="F65" s="5">
        <f>IF(A65&lt;=0,0,IF(A65&lt;$B$5,(($B$5/2)^2/2)*((2*ACOS(1-2*(MIN(0.999,MAX(1E-6,A65/$B$5)))))-SIN(2*ACOS(1-2*(MIN(0.999,MAX(1E-6,A65/$B$5)))))),(PI()*($B$5/2)^2)))</f>
        <v/>
      </c>
      <c r="G65" s="27">
        <f>IF(F65&lt;=0,0,E65/F65)</f>
        <v/>
      </c>
    </row>
    <row r="66">
      <c r="A66" s="26" t="n">
        <v>2.3</v>
      </c>
      <c r="B66" s="26">
        <f>$B$7+A66</f>
        <v/>
      </c>
      <c r="C66" s="5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$B$15)))))</f>
        <v/>
      </c>
      <c r="D66" s="5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15">
        <f>MIN(C66,D66)</f>
        <v/>
      </c>
      <c r="F66" s="5">
        <f>IF(A66&lt;=0,0,IF(A66&lt;$B$5,(($B$5/2)^2/2)*((2*ACOS(1-2*(MIN(0.999,MAX(1E-6,A66/$B$5)))))-SIN(2*ACOS(1-2*(MIN(0.999,MAX(1E-6,A66/$B$5)))))),(PI()*($B$5/2)^2)))</f>
        <v/>
      </c>
      <c r="G66" s="27">
        <f>IF(F66&lt;=0,0,E66/F66)</f>
        <v/>
      </c>
    </row>
    <row r="67">
      <c r="A67" s="26" t="n">
        <v>2.35</v>
      </c>
      <c r="B67" s="26">
        <f>$B$7+A67</f>
        <v/>
      </c>
      <c r="C67" s="5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$B$15)))))</f>
        <v/>
      </c>
      <c r="D67" s="5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15">
        <f>MIN(C67,D67)</f>
        <v/>
      </c>
      <c r="F67" s="5">
        <f>IF(A67&lt;=0,0,IF(A67&lt;$B$5,(($B$5/2)^2/2)*((2*ACOS(1-2*(MIN(0.999,MAX(1E-6,A67/$B$5)))))-SIN(2*ACOS(1-2*(MIN(0.999,MAX(1E-6,A67/$B$5)))))),(PI()*($B$5/2)^2)))</f>
        <v/>
      </c>
      <c r="G67" s="27">
        <f>IF(F67&lt;=0,0,E67/F67)</f>
        <v/>
      </c>
    </row>
    <row r="68">
      <c r="A68" s="26" t="n">
        <v>2.4</v>
      </c>
      <c r="B68" s="26">
        <f>$B$7+A68</f>
        <v/>
      </c>
      <c r="C68" s="5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$B$15)))))</f>
        <v/>
      </c>
      <c r="D68" s="5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15">
        <f>MIN(C68,D68)</f>
        <v/>
      </c>
      <c r="F68" s="5">
        <f>IF(A68&lt;=0,0,IF(A68&lt;$B$5,(($B$5/2)^2/2)*((2*ACOS(1-2*(MIN(0.999,MAX(1E-6,A68/$B$5)))))-SIN(2*ACOS(1-2*(MIN(0.999,MAX(1E-6,A68/$B$5)))))),(PI()*($B$5/2)^2)))</f>
        <v/>
      </c>
      <c r="G68" s="27">
        <f>IF(F68&lt;=0,0,E68/F68)</f>
        <v/>
      </c>
    </row>
    <row r="69">
      <c r="A69" s="26" t="n">
        <v>2.45</v>
      </c>
      <c r="B69" s="26">
        <f>$B$7+A69</f>
        <v/>
      </c>
      <c r="C69" s="5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$B$15)))))</f>
        <v/>
      </c>
      <c r="D69" s="5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15">
        <f>MIN(C69,D69)</f>
        <v/>
      </c>
      <c r="F69" s="5">
        <f>IF(A69&lt;=0,0,IF(A69&lt;$B$5,(($B$5/2)^2/2)*((2*ACOS(1-2*(MIN(0.999,MAX(1E-6,A69/$B$5)))))-SIN(2*ACOS(1-2*(MIN(0.999,MAX(1E-6,A69/$B$5)))))),(PI()*($B$5/2)^2)))</f>
        <v/>
      </c>
      <c r="G69" s="27">
        <f>IF(F69&lt;=0,0,E69/F69)</f>
        <v/>
      </c>
    </row>
    <row r="70">
      <c r="A70" s="26" t="n">
        <v>2.5</v>
      </c>
      <c r="B70" s="26">
        <f>$B$7+A70</f>
        <v/>
      </c>
      <c r="C70" s="5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$B$15)))))</f>
        <v/>
      </c>
      <c r="D70" s="5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15">
        <f>MIN(C70,D70)</f>
        <v/>
      </c>
      <c r="F70" s="5">
        <f>IF(A70&lt;=0,0,IF(A70&lt;$B$5,(($B$5/2)^2/2)*((2*ACOS(1-2*(MIN(0.999,MAX(1E-6,A70/$B$5)))))-SIN(2*ACOS(1-2*(MIN(0.999,MAX(1E-6,A70/$B$5)))))),(PI()*($B$5/2)^2)))</f>
        <v/>
      </c>
      <c r="G70" s="27">
        <f>IF(F70&lt;=0,0,E70/F70)</f>
        <v/>
      </c>
    </row>
    <row r="71">
      <c r="A71" s="26" t="n">
        <v>2.55</v>
      </c>
      <c r="B71" s="26">
        <f>$B$7+A71</f>
        <v/>
      </c>
      <c r="C71" s="5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$B$15)))))</f>
        <v/>
      </c>
      <c r="D71" s="5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15">
        <f>MIN(C71,D71)</f>
        <v/>
      </c>
      <c r="F71" s="5">
        <f>IF(A71&lt;=0,0,IF(A71&lt;$B$5,(($B$5/2)^2/2)*((2*ACOS(1-2*(MIN(0.999,MAX(1E-6,A71/$B$5)))))-SIN(2*ACOS(1-2*(MIN(0.999,MAX(1E-6,A71/$B$5)))))),(PI()*($B$5/2)^2)))</f>
        <v/>
      </c>
      <c r="G71" s="27">
        <f>IF(F71&lt;=0,0,E71/F71)</f>
        <v/>
      </c>
    </row>
    <row r="72">
      <c r="A72" s="26" t="n">
        <v>2.6</v>
      </c>
      <c r="B72" s="26">
        <f>$B$7+A72</f>
        <v/>
      </c>
      <c r="C72" s="5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$B$15)))))</f>
        <v/>
      </c>
      <c r="D72" s="5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15">
        <f>MIN(C72,D72)</f>
        <v/>
      </c>
      <c r="F72" s="5">
        <f>IF(A72&lt;=0,0,IF(A72&lt;$B$5,(($B$5/2)^2/2)*((2*ACOS(1-2*(MIN(0.999,MAX(1E-6,A72/$B$5)))))-SIN(2*ACOS(1-2*(MIN(0.999,MAX(1E-6,A72/$B$5)))))),(PI()*($B$5/2)^2)))</f>
        <v/>
      </c>
      <c r="G72" s="27">
        <f>IF(F72&lt;=0,0,E72/F72)</f>
        <v/>
      </c>
    </row>
    <row r="73">
      <c r="A73" s="26" t="n">
        <v>2.65</v>
      </c>
      <c r="B73" s="26">
        <f>$B$7+A73</f>
        <v/>
      </c>
      <c r="C73" s="5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$B$15)))))</f>
        <v/>
      </c>
      <c r="D73" s="5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15">
        <f>MIN(C73,D73)</f>
        <v/>
      </c>
      <c r="F73" s="5">
        <f>IF(A73&lt;=0,0,IF(A73&lt;$B$5,(($B$5/2)^2/2)*((2*ACOS(1-2*(MIN(0.999,MAX(1E-6,A73/$B$5)))))-SIN(2*ACOS(1-2*(MIN(0.999,MAX(1E-6,A73/$B$5)))))),(PI()*($B$5/2)^2)))</f>
        <v/>
      </c>
      <c r="G73" s="27">
        <f>IF(F73&lt;=0,0,E73/F73)</f>
        <v/>
      </c>
    </row>
    <row r="74">
      <c r="A74" s="26" t="n">
        <v>2.7</v>
      </c>
      <c r="B74" s="26">
        <f>$B$7+A74</f>
        <v/>
      </c>
      <c r="C74" s="5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$B$15)))))</f>
        <v/>
      </c>
      <c r="D74" s="5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15">
        <f>MIN(C74,D74)</f>
        <v/>
      </c>
      <c r="F74" s="5">
        <f>IF(A74&lt;=0,0,IF(A74&lt;$B$5,(($B$5/2)^2/2)*((2*ACOS(1-2*(MIN(0.999,MAX(1E-6,A74/$B$5)))))-SIN(2*ACOS(1-2*(MIN(0.999,MAX(1E-6,A74/$B$5)))))),(PI()*($B$5/2)^2)))</f>
        <v/>
      </c>
      <c r="G74" s="27">
        <f>IF(F74&lt;=0,0,E74/F74)</f>
        <v/>
      </c>
    </row>
    <row r="75">
      <c r="A75" s="26" t="n">
        <v>2.75</v>
      </c>
      <c r="B75" s="26">
        <f>$B$7+A75</f>
        <v/>
      </c>
      <c r="C75" s="5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$B$15)))))</f>
        <v/>
      </c>
      <c r="D75" s="5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15">
        <f>MIN(C75,D75)</f>
        <v/>
      </c>
      <c r="F75" s="5">
        <f>IF(A75&lt;=0,0,IF(A75&lt;$B$5,(($B$5/2)^2/2)*((2*ACOS(1-2*(MIN(0.999,MAX(1E-6,A75/$B$5)))))-SIN(2*ACOS(1-2*(MIN(0.999,MAX(1E-6,A75/$B$5)))))),(PI()*($B$5/2)^2)))</f>
        <v/>
      </c>
      <c r="G75" s="27">
        <f>IF(F75&lt;=0,0,E75/F75)</f>
        <v/>
      </c>
    </row>
    <row r="76">
      <c r="A76" s="26" t="n">
        <v>2.8</v>
      </c>
      <c r="B76" s="26">
        <f>$B$7+A76</f>
        <v/>
      </c>
      <c r="C76" s="5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$B$15)))))</f>
        <v/>
      </c>
      <c r="D76" s="5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15">
        <f>MIN(C76,D76)</f>
        <v/>
      </c>
      <c r="F76" s="5">
        <f>IF(A76&lt;=0,0,IF(A76&lt;$B$5,(($B$5/2)^2/2)*((2*ACOS(1-2*(MIN(0.999,MAX(1E-6,A76/$B$5)))))-SIN(2*ACOS(1-2*(MIN(0.999,MAX(1E-6,A76/$B$5)))))),(PI()*($B$5/2)^2)))</f>
        <v/>
      </c>
      <c r="G76" s="27">
        <f>IF(F76&lt;=0,0,E76/F76)</f>
        <v/>
      </c>
    </row>
    <row r="77">
      <c r="A77" s="26" t="n">
        <v>2.85</v>
      </c>
      <c r="B77" s="26">
        <f>$B$7+A77</f>
        <v/>
      </c>
      <c r="C77" s="5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$B$15)))))</f>
        <v/>
      </c>
      <c r="D77" s="5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15">
        <f>MIN(C77,D77)</f>
        <v/>
      </c>
      <c r="F77" s="5">
        <f>IF(A77&lt;=0,0,IF(A77&lt;$B$5,(($B$5/2)^2/2)*((2*ACOS(1-2*(MIN(0.999,MAX(1E-6,A77/$B$5)))))-SIN(2*ACOS(1-2*(MIN(0.999,MAX(1E-6,A77/$B$5)))))),(PI()*($B$5/2)^2)))</f>
        <v/>
      </c>
      <c r="G77" s="27">
        <f>IF(F77&lt;=0,0,E77/F77)</f>
        <v/>
      </c>
    </row>
    <row r="78">
      <c r="A78" s="26" t="n">
        <v>2.9</v>
      </c>
      <c r="B78" s="26">
        <f>$B$7+A78</f>
        <v/>
      </c>
      <c r="C78" s="5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$B$15)))))</f>
        <v/>
      </c>
      <c r="D78" s="5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15">
        <f>MIN(C78,D78)</f>
        <v/>
      </c>
      <c r="F78" s="5">
        <f>IF(A78&lt;=0,0,IF(A78&lt;$B$5,(($B$5/2)^2/2)*((2*ACOS(1-2*(MIN(0.999,MAX(1E-6,A78/$B$5)))))-SIN(2*ACOS(1-2*(MIN(0.999,MAX(1E-6,A78/$B$5)))))),(PI()*($B$5/2)^2)))</f>
        <v/>
      </c>
      <c r="G78" s="27">
        <f>IF(F78&lt;=0,0,E78/F78)</f>
        <v/>
      </c>
    </row>
    <row r="79">
      <c r="A79" s="26" t="n">
        <v>2.95</v>
      </c>
      <c r="B79" s="26">
        <f>$B$7+A79</f>
        <v/>
      </c>
      <c r="C79" s="5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$B$15)))))</f>
        <v/>
      </c>
      <c r="D79" s="5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15">
        <f>MIN(C79,D79)</f>
        <v/>
      </c>
      <c r="F79" s="5">
        <f>IF(A79&lt;=0,0,IF(A79&lt;$B$5,(($B$5/2)^2/2)*((2*ACOS(1-2*(MIN(0.999,MAX(1E-6,A79/$B$5)))))-SIN(2*ACOS(1-2*(MIN(0.999,MAX(1E-6,A79/$B$5)))))),(PI()*($B$5/2)^2)))</f>
        <v/>
      </c>
      <c r="G79" s="27">
        <f>IF(F79&lt;=0,0,E79/F79)</f>
        <v/>
      </c>
    </row>
    <row r="80">
      <c r="A80" s="26" t="n">
        <v>3</v>
      </c>
      <c r="B80" s="26">
        <f>$B$7+A80</f>
        <v/>
      </c>
      <c r="C80" s="5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$B$15)))))</f>
        <v/>
      </c>
      <c r="D80" s="5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15">
        <f>MIN(C80,D80)</f>
        <v/>
      </c>
      <c r="F80" s="5">
        <f>IF(A80&lt;=0,0,IF(A80&lt;$B$5,(($B$5/2)^2/2)*((2*ACOS(1-2*(MIN(0.999,MAX(1E-6,A80/$B$5)))))-SIN(2*ACOS(1-2*(MIN(0.999,MAX(1E-6,A80/$B$5)))))),(PI()*($B$5/2)^2)))</f>
        <v/>
      </c>
      <c r="G80" s="27">
        <f>IF(F80&lt;=0,0,E80/F80)</f>
        <v/>
      </c>
    </row>
  </sheetData>
  <mergeCells count="1">
    <mergeCell ref="A2:G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4" t="inlineStr">
        <is>
          <t>Zone 2 — Méthode B: Qin = sortie Calcul_B; Qout = f(HW) Courbe_QH_1200</t>
        </is>
      </c>
    </row>
    <row r="2">
      <c r="A2" s="25" t="inlineStr">
        <is>
          <t>Contrairement à Calcul_B Zone 1 (aire fixe B24), ici WSE vient du levé SS_Aval puis HW = WSE − Zin Ø1200 (33.60). Qin = Calcul_B!Qout (col E).</t>
        </is>
      </c>
    </row>
    <row r="3"/>
    <row r="5">
      <c r="A5" t="inlineStr">
        <is>
          <t>Zin Ø1200 (m)</t>
        </is>
      </c>
      <c r="B5" s="33" t="n">
        <v>33.6</v>
      </c>
    </row>
    <row r="6">
      <c r="A6" t="inlineStr">
        <is>
          <t>Vmax_Aval_B (m³)</t>
        </is>
      </c>
      <c r="B6" s="34">
        <f>MAX(G10:G22)</f>
        <v/>
      </c>
    </row>
    <row r="7">
      <c r="A7" t="inlineStr">
        <is>
          <t>WSEmax_Aval_B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</t>
        </is>
      </c>
      <c r="C9" s="3" t="inlineStr">
        <is>
          <t>WSE (m)</t>
        </is>
      </c>
      <c r="D9" s="3" t="inlineStr">
        <is>
          <t>HW (m)</t>
        </is>
      </c>
      <c r="E9" s="3" t="inlineStr">
        <is>
          <t>Qout</t>
        </is>
      </c>
      <c r="F9" s="3" t="inlineStr">
        <is>
          <t>Δt (s)</t>
        </is>
      </c>
      <c r="G9" s="3" t="inlineStr">
        <is>
          <t>V stocké (m³)</t>
        </is>
      </c>
      <c r="H9" s="3" t="inlineStr">
        <is>
          <t>V_Ø1200 (m/s)</t>
        </is>
      </c>
    </row>
    <row r="10">
      <c r="A10" s="4">
        <f>Calcul_B!A12</f>
        <v/>
      </c>
      <c r="B10" s="5">
        <f>Calcul_B!E12</f>
        <v/>
      </c>
      <c r="C10" s="5">
        <f>33.6</f>
        <v/>
      </c>
      <c r="D10" s="5" t="n">
        <v>0</v>
      </c>
      <c r="E10" s="5">
        <f>MIN(B10,4.93)</f>
        <v/>
      </c>
      <c r="F10" s="29" t="n">
        <v>0</v>
      </c>
      <c r="G10" s="36" t="n">
        <v>0</v>
      </c>
      <c r="H10" s="27">
        <f>IF(Parametres!$C$88&lt;=0,0,E10/Parametres!$C$88)</f>
        <v/>
      </c>
    </row>
    <row r="11">
      <c r="A11" s="4">
        <f>Calcul_B!A13</f>
        <v/>
      </c>
      <c r="B11" s="5">
        <f>Calcul_B!E13</f>
        <v/>
      </c>
      <c r="C11" s="5">
        <f>IF(G10&lt;=SS_Aval!E11,SS_Aval!A11,IF(G10&gt;=SS_Aval!E18,"Hors table (&gt;=40.0 m — étendre levé)",INDEX(SS_Aval!$A$11:$A$18,MATCH(G10,SS_Aval!$E$11:$E$18,1))+(G10-INDEX(SS_Aval!$E$11:$E$18,MATCH(G10,SS_Aval!$E$11:$E$18,1)))/(INDEX(SS_Aval!$E$11:$E$18,MATCH(G10,SS_Aval!$E$11:$E$18,1)+1)-INDEX(SS_Aval!$E$11:$E$18,MATCH(G10,SS_Aval!$E$11:$E$18,1)))*(INDEX(SS_Aval!$A$11:$A$18,MATCH(G10,SS_Aval!$E$11:$E$18,1)+1)-INDEX(SS_Aval!$A$11:$A$18,MATCH(G10,SS_Aval!$E$11:$E$18,1)))))</f>
        <v/>
      </c>
      <c r="D11" s="5">
        <f>MAX(0,C11-$B$5)</f>
        <v/>
      </c>
      <c r="E11" s="5">
        <f>IF(G10&lt;=0.01,MIN(0.5*(B10+B11),4.93),IF(D11&lt;=0,0,IF(D11&gt;=INDEX(Courbe_QH_1200!$A$20:$A$80,ROWS(Courbe_QH_1200!$A$20:$A$80)),INDEX(Courbe_QH_1200!$E$20:$E$80,ROWS(Courbe_QH_1200!$E$20:$E$80)),INDEX(Courbe_QH_1200!$E$20:$E$80,MATCH(D11,Courbe_QH_1200!$A$20:$A$80,1))+(D11-INDEX(Courbe_QH_1200!$A$20:$A$80,MATCH(D11,Courbe_QH_1200!$A$20:$A$80,1)))/(INDEX(Courbe_QH_1200!$A$20:$A$80,MATCH(D11,Courbe_QH_1200!$A$20:$A$80,1)+1)-INDEX(Courbe_QH_1200!$A$20:$A$80,MATCH(D11,Courbe_QH_1200!$A$20:$A$80,1)))*(INDEX(Courbe_QH_1200!$E$20:$E$80,MATCH(D11,Courbe_QH_1200!$A$20:$A$80,1)+1)-INDEX(Courbe_QH_1200!$E$20:$E$80,MATCH(D11,Courbe_QH_1200!$A$20:$A$80,1))))))</f>
        <v/>
      </c>
      <c r="F11" s="29">
        <f>(A11-A10)*60</f>
        <v/>
      </c>
      <c r="G11" s="36">
        <f>MAX(0,G10+(0.5*(B10+B11)-E11)*F11)</f>
        <v/>
      </c>
      <c r="H11" s="27">
        <f>IF(Parametres!$C$88&lt;=0,0,E11/Parametres!$C$88)</f>
        <v/>
      </c>
    </row>
    <row r="12">
      <c r="A12" s="4">
        <f>Calcul_B!A14</f>
        <v/>
      </c>
      <c r="B12" s="5">
        <f>Calcul_B!E14</f>
        <v/>
      </c>
      <c r="C12" s="5">
        <f>IF(G11&lt;=SS_Aval!E11,SS_Aval!A11,IF(G11&gt;=SS_Aval!E18,"Hors table (&gt;=40.0 m — étendre levé)",INDEX(SS_Aval!$A$11:$A$18,MATCH(G11,SS_Aval!$E$11:$E$18,1))+(G11-INDEX(SS_Aval!$E$11:$E$18,MATCH(G11,SS_Aval!$E$11:$E$18,1)))/(INDEX(SS_Aval!$E$11:$E$18,MATCH(G11,SS_Aval!$E$11:$E$18,1)+1)-INDEX(SS_Aval!$E$11:$E$18,MATCH(G11,SS_Aval!$E$11:$E$18,1)))*(INDEX(SS_Aval!$A$11:$A$18,MATCH(G11,SS_Aval!$E$11:$E$18,1)+1)-INDEX(SS_Aval!$A$11:$A$18,MATCH(G11,SS_Aval!$E$11:$E$18,1)))))</f>
        <v/>
      </c>
      <c r="D12" s="5">
        <f>MAX(0,C12-$B$5)</f>
        <v/>
      </c>
      <c r="E12" s="5">
        <f>IF(G11&lt;=0.01,MIN(0.5*(B11+B12),4.93),IF(D12&lt;=0,0,IF(D12&gt;=INDEX(Courbe_QH_1200!$A$20:$A$80,ROWS(Courbe_QH_1200!$A$20:$A$80)),INDEX(Courbe_QH_1200!$E$20:$E$80,ROWS(Courbe_QH_1200!$E$20:$E$80)),INDEX(Courbe_QH_1200!$E$20:$E$80,MATCH(D12,Courbe_QH_1200!$A$20:$A$80,1))+(D12-INDEX(Courbe_QH_1200!$A$20:$A$80,MATCH(D12,Courbe_QH_1200!$A$20:$A$80,1)))/(INDEX(Courbe_QH_1200!$A$20:$A$80,MATCH(D12,Courbe_QH_1200!$A$20:$A$80,1)+1)-INDEX(Courbe_QH_1200!$A$20:$A$80,MATCH(D12,Courbe_QH_1200!$A$20:$A$80,1)))*(INDEX(Courbe_QH_1200!$E$20:$E$80,MATCH(D12,Courbe_QH_1200!$A$20:$A$80,1)+1)-INDEX(Courbe_QH_1200!$E$20:$E$80,MATCH(D12,Courbe_QH_1200!$A$20:$A$80,1))))))</f>
        <v/>
      </c>
      <c r="F12" s="29">
        <f>(A12-A11)*60</f>
        <v/>
      </c>
      <c r="G12" s="36">
        <f>MAX(0,G11+(0.5*(B11+B12)-E12)*F12)</f>
        <v/>
      </c>
      <c r="H12" s="27">
        <f>IF(Parametres!$C$88&lt;=0,0,E12/Parametres!$C$88)</f>
        <v/>
      </c>
    </row>
    <row r="13">
      <c r="A13" s="4">
        <f>Calcul_B!A15</f>
        <v/>
      </c>
      <c r="B13" s="5">
        <f>Calcul_B!E15</f>
        <v/>
      </c>
      <c r="C13" s="5">
        <f>IF(G12&lt;=SS_Aval!E11,SS_Aval!A11,IF(G12&gt;=SS_Aval!E18,"Hors table (&gt;=40.0 m — étendre levé)",INDEX(SS_Aval!$A$11:$A$18,MATCH(G12,SS_Aval!$E$11:$E$18,1))+(G12-INDEX(SS_Aval!$E$11:$E$18,MATCH(G12,SS_Aval!$E$11:$E$18,1)))/(INDEX(SS_Aval!$E$11:$E$18,MATCH(G12,SS_Aval!$E$11:$E$18,1)+1)-INDEX(SS_Aval!$E$11:$E$18,MATCH(G12,SS_Aval!$E$11:$E$18,1)))*(INDEX(SS_Aval!$A$11:$A$18,MATCH(G12,SS_Aval!$E$11:$E$18,1)+1)-INDEX(SS_Aval!$A$11:$A$18,MATCH(G12,SS_Aval!$E$11:$E$18,1)))))</f>
        <v/>
      </c>
      <c r="D13" s="5">
        <f>MAX(0,C13-$B$5)</f>
        <v/>
      </c>
      <c r="E13" s="5">
        <f>IF(G12&lt;=0.01,MIN(0.5*(B12+B13),4.93),IF(D13&lt;=0,0,IF(D13&gt;=INDEX(Courbe_QH_1200!$A$20:$A$80,ROWS(Courbe_QH_1200!$A$20:$A$80)),INDEX(Courbe_QH_1200!$E$20:$E$80,ROWS(Courbe_QH_1200!$E$20:$E$80)),INDEX(Courbe_QH_1200!$E$20:$E$80,MATCH(D13,Courbe_QH_1200!$A$20:$A$80,1))+(D13-INDEX(Courbe_QH_1200!$A$20:$A$80,MATCH(D13,Courbe_QH_1200!$A$20:$A$80,1)))/(INDEX(Courbe_QH_1200!$A$20:$A$80,MATCH(D13,Courbe_QH_1200!$A$20:$A$80,1)+1)-INDEX(Courbe_QH_1200!$A$20:$A$80,MATCH(D13,Courbe_QH_1200!$A$20:$A$80,1)))*(INDEX(Courbe_QH_1200!$E$20:$E$80,MATCH(D13,Courbe_QH_1200!$A$20:$A$80,1)+1)-INDEX(Courbe_QH_1200!$E$20:$E$80,MATCH(D13,Courbe_QH_1200!$A$20:$A$80,1))))))</f>
        <v/>
      </c>
      <c r="F13" s="29">
        <f>(A13-A12)*60</f>
        <v/>
      </c>
      <c r="G13" s="36">
        <f>MAX(0,G12+(0.5*(B12+B13)-E13)*F13)</f>
        <v/>
      </c>
      <c r="H13" s="27">
        <f>IF(Parametres!$C$88&lt;=0,0,E13/Parametres!$C$88)</f>
        <v/>
      </c>
    </row>
    <row r="14">
      <c r="A14" s="4">
        <f>Calcul_B!A16</f>
        <v/>
      </c>
      <c r="B14" s="5">
        <f>Calcul_B!E16</f>
        <v/>
      </c>
      <c r="C14" s="5">
        <f>IF(G13&lt;=SS_Aval!E11,SS_Aval!A11,IF(G13&gt;=SS_Aval!E18,"Hors table (&gt;=40.0 m — étendre levé)",INDEX(SS_Aval!$A$11:$A$18,MATCH(G13,SS_Aval!$E$11:$E$18,1))+(G13-INDEX(SS_Aval!$E$11:$E$18,MATCH(G13,SS_Aval!$E$11:$E$18,1)))/(INDEX(SS_Aval!$E$11:$E$18,MATCH(G13,SS_Aval!$E$11:$E$18,1)+1)-INDEX(SS_Aval!$E$11:$E$18,MATCH(G13,SS_Aval!$E$11:$E$18,1)))*(INDEX(SS_Aval!$A$11:$A$18,MATCH(G13,SS_Aval!$E$11:$E$18,1)+1)-INDEX(SS_Aval!$A$11:$A$18,MATCH(G13,SS_Aval!$E$11:$E$18,1)))))</f>
        <v/>
      </c>
      <c r="D14" s="5">
        <f>MAX(0,C14-$B$5)</f>
        <v/>
      </c>
      <c r="E14" s="5">
        <f>IF(G13&lt;=0.01,MIN(0.5*(B13+B14),4.93),IF(D14&lt;=0,0,IF(D14&gt;=INDEX(Courbe_QH_1200!$A$20:$A$80,ROWS(Courbe_QH_1200!$A$20:$A$80)),INDEX(Courbe_QH_1200!$E$20:$E$80,ROWS(Courbe_QH_1200!$E$20:$E$80)),INDEX(Courbe_QH_1200!$E$20:$E$80,MATCH(D14,Courbe_QH_1200!$A$20:$A$80,1))+(D14-INDEX(Courbe_QH_1200!$A$20:$A$80,MATCH(D14,Courbe_QH_1200!$A$20:$A$80,1)))/(INDEX(Courbe_QH_1200!$A$20:$A$80,MATCH(D14,Courbe_QH_1200!$A$20:$A$80,1)+1)-INDEX(Courbe_QH_1200!$A$20:$A$80,MATCH(D14,Courbe_QH_1200!$A$20:$A$80,1)))*(INDEX(Courbe_QH_1200!$E$20:$E$80,MATCH(D14,Courbe_QH_1200!$A$20:$A$80,1)+1)-INDEX(Courbe_QH_1200!$E$20:$E$80,MATCH(D14,Courbe_QH_1200!$A$20:$A$80,1))))))</f>
        <v/>
      </c>
      <c r="F14" s="29">
        <f>(A14-A13)*60</f>
        <v/>
      </c>
      <c r="G14" s="36">
        <f>MAX(0,G13+(0.5*(B13+B14)-E14)*F14)</f>
        <v/>
      </c>
      <c r="H14" s="27">
        <f>IF(Parametres!$C$88&lt;=0,0,E14/Parametres!$C$88)</f>
        <v/>
      </c>
    </row>
    <row r="15">
      <c r="A15" s="4">
        <f>Calcul_B!A17</f>
        <v/>
      </c>
      <c r="B15" s="5">
        <f>Calcul_B!E17</f>
        <v/>
      </c>
      <c r="C15" s="5">
        <f>IF(G14&lt;=SS_Aval!E11,SS_Aval!A11,IF(G14&gt;=SS_Aval!E18,"Hors table (&gt;=40.0 m — étendre levé)",INDEX(SS_Aval!$A$11:$A$18,MATCH(G14,SS_Aval!$E$11:$E$18,1))+(G14-INDEX(SS_Aval!$E$11:$E$18,MATCH(G14,SS_Aval!$E$11:$E$18,1)))/(INDEX(SS_Aval!$E$11:$E$18,MATCH(G14,SS_Aval!$E$11:$E$18,1)+1)-INDEX(SS_Aval!$E$11:$E$18,MATCH(G14,SS_Aval!$E$11:$E$18,1)))*(INDEX(SS_Aval!$A$11:$A$18,MATCH(G14,SS_Aval!$E$11:$E$18,1)+1)-INDEX(SS_Aval!$A$11:$A$18,MATCH(G14,SS_Aval!$E$11:$E$18,1)))))</f>
        <v/>
      </c>
      <c r="D15" s="5">
        <f>MAX(0,C15-$B$5)</f>
        <v/>
      </c>
      <c r="E15" s="5">
        <f>IF(G14&lt;=0.01,MIN(0.5*(B14+B15),4.93),IF(D15&lt;=0,0,IF(D15&gt;=INDEX(Courbe_QH_1200!$A$20:$A$80,ROWS(Courbe_QH_1200!$A$20:$A$80)),INDEX(Courbe_QH_1200!$E$20:$E$80,ROWS(Courbe_QH_1200!$E$20:$E$80)),INDEX(Courbe_QH_1200!$E$20:$E$80,MATCH(D15,Courbe_QH_1200!$A$20:$A$80,1))+(D15-INDEX(Courbe_QH_1200!$A$20:$A$80,MATCH(D15,Courbe_QH_1200!$A$20:$A$80,1)))/(INDEX(Courbe_QH_1200!$A$20:$A$80,MATCH(D15,Courbe_QH_1200!$A$20:$A$80,1)+1)-INDEX(Courbe_QH_1200!$A$20:$A$80,MATCH(D15,Courbe_QH_1200!$A$20:$A$80,1)))*(INDEX(Courbe_QH_1200!$E$20:$E$80,MATCH(D15,Courbe_QH_1200!$A$20:$A$80,1)+1)-INDEX(Courbe_QH_1200!$E$20:$E$80,MATCH(D15,Courbe_QH_1200!$A$20:$A$80,1))))))</f>
        <v/>
      </c>
      <c r="F15" s="29">
        <f>(A15-A14)*60</f>
        <v/>
      </c>
      <c r="G15" s="36">
        <f>MAX(0,G14+(0.5*(B14+B15)-E15)*F15)</f>
        <v/>
      </c>
      <c r="H15" s="27">
        <f>IF(Parametres!$C$88&lt;=0,0,E15/Parametres!$C$88)</f>
        <v/>
      </c>
    </row>
    <row r="16">
      <c r="A16" s="4">
        <f>Calcul_B!A18</f>
        <v/>
      </c>
      <c r="B16" s="5">
        <f>Calcul_B!E18</f>
        <v/>
      </c>
      <c r="C16" s="5">
        <f>IF(G15&lt;=SS_Aval!E11,SS_Aval!A11,IF(G15&gt;=SS_Aval!E18,"Hors table (&gt;=40.0 m — étendre levé)",INDEX(SS_Aval!$A$11:$A$18,MATCH(G15,SS_Aval!$E$11:$E$18,1))+(G15-INDEX(SS_Aval!$E$11:$E$18,MATCH(G15,SS_Aval!$E$11:$E$18,1)))/(INDEX(SS_Aval!$E$11:$E$18,MATCH(G15,SS_Aval!$E$11:$E$18,1)+1)-INDEX(SS_Aval!$E$11:$E$18,MATCH(G15,SS_Aval!$E$11:$E$18,1)))*(INDEX(SS_Aval!$A$11:$A$18,MATCH(G15,SS_Aval!$E$11:$E$18,1)+1)-INDEX(SS_Aval!$A$11:$A$18,MATCH(G15,SS_Aval!$E$11:$E$18,1)))))</f>
        <v/>
      </c>
      <c r="D16" s="5">
        <f>MAX(0,C16-$B$5)</f>
        <v/>
      </c>
      <c r="E16" s="5">
        <f>IF(G15&lt;=0.01,MIN(0.5*(B15+B16),4.93),IF(D16&lt;=0,0,IF(D16&gt;=INDEX(Courbe_QH_1200!$A$20:$A$80,ROWS(Courbe_QH_1200!$A$20:$A$80)),INDEX(Courbe_QH_1200!$E$20:$E$80,ROWS(Courbe_QH_1200!$E$20:$E$80)),INDEX(Courbe_QH_1200!$E$20:$E$80,MATCH(D16,Courbe_QH_1200!$A$20:$A$80,1))+(D16-INDEX(Courbe_QH_1200!$A$20:$A$80,MATCH(D16,Courbe_QH_1200!$A$20:$A$80,1)))/(INDEX(Courbe_QH_1200!$A$20:$A$80,MATCH(D16,Courbe_QH_1200!$A$20:$A$80,1)+1)-INDEX(Courbe_QH_1200!$A$20:$A$80,MATCH(D16,Courbe_QH_1200!$A$20:$A$80,1)))*(INDEX(Courbe_QH_1200!$E$20:$E$80,MATCH(D16,Courbe_QH_1200!$A$20:$A$80,1)+1)-INDEX(Courbe_QH_1200!$E$20:$E$80,MATCH(D16,Courbe_QH_1200!$A$20:$A$80,1))))))</f>
        <v/>
      </c>
      <c r="F16" s="29">
        <f>(A16-A15)*60</f>
        <v/>
      </c>
      <c r="G16" s="36">
        <f>MAX(0,G15+(0.5*(B15+B16)-E16)*F16)</f>
        <v/>
      </c>
      <c r="H16" s="27">
        <f>IF(Parametres!$C$88&lt;=0,0,E16/Parametres!$C$88)</f>
        <v/>
      </c>
    </row>
    <row r="17">
      <c r="A17" s="4">
        <f>Calcul_B!A19</f>
        <v/>
      </c>
      <c r="B17" s="5">
        <f>Calcul_B!E19</f>
        <v/>
      </c>
      <c r="C17" s="5">
        <f>IF(G16&lt;=SS_Aval!E11,SS_Aval!A11,IF(G16&gt;=SS_Aval!E18,"Hors table (&gt;=40.0 m — étendre levé)",INDEX(SS_Aval!$A$11:$A$18,MATCH(G16,SS_Aval!$E$11:$E$18,1))+(G16-INDEX(SS_Aval!$E$11:$E$18,MATCH(G16,SS_Aval!$E$11:$E$18,1)))/(INDEX(SS_Aval!$E$11:$E$18,MATCH(G16,SS_Aval!$E$11:$E$18,1)+1)-INDEX(SS_Aval!$E$11:$E$18,MATCH(G16,SS_Aval!$E$11:$E$18,1)))*(INDEX(SS_Aval!$A$11:$A$18,MATCH(G16,SS_Aval!$E$11:$E$18,1)+1)-INDEX(SS_Aval!$A$11:$A$18,MATCH(G16,SS_Aval!$E$11:$E$18,1)))))</f>
        <v/>
      </c>
      <c r="D17" s="5">
        <f>MAX(0,C17-$B$5)</f>
        <v/>
      </c>
      <c r="E17" s="5">
        <f>IF(G16&lt;=0.01,MIN(0.5*(B16+B17),4.93),IF(D17&lt;=0,0,IF(D17&gt;=INDEX(Courbe_QH_1200!$A$20:$A$80,ROWS(Courbe_QH_1200!$A$20:$A$80)),INDEX(Courbe_QH_1200!$E$20:$E$80,ROWS(Courbe_QH_1200!$E$20:$E$80)),INDEX(Courbe_QH_1200!$E$20:$E$80,MATCH(D17,Courbe_QH_1200!$A$20:$A$80,1))+(D17-INDEX(Courbe_QH_1200!$A$20:$A$80,MATCH(D17,Courbe_QH_1200!$A$20:$A$80,1)))/(INDEX(Courbe_QH_1200!$A$20:$A$80,MATCH(D17,Courbe_QH_1200!$A$20:$A$80,1)+1)-INDEX(Courbe_QH_1200!$A$20:$A$80,MATCH(D17,Courbe_QH_1200!$A$20:$A$80,1)))*(INDEX(Courbe_QH_1200!$E$20:$E$80,MATCH(D17,Courbe_QH_1200!$A$20:$A$80,1)+1)-INDEX(Courbe_QH_1200!$E$20:$E$80,MATCH(D17,Courbe_QH_1200!$A$20:$A$80,1))))))</f>
        <v/>
      </c>
      <c r="F17" s="29">
        <f>(A17-A16)*60</f>
        <v/>
      </c>
      <c r="G17" s="36">
        <f>MAX(0,G16+(0.5*(B16+B17)-E17)*F17)</f>
        <v/>
      </c>
      <c r="H17" s="27">
        <f>IF(Parametres!$C$88&lt;=0,0,E17/Parametres!$C$88)</f>
        <v/>
      </c>
    </row>
    <row r="18">
      <c r="A18" s="4">
        <f>Calcul_B!A20</f>
        <v/>
      </c>
      <c r="B18" s="5">
        <f>Calcul_B!E20</f>
        <v/>
      </c>
      <c r="C18" s="5">
        <f>IF(G17&lt;=SS_Aval!E11,SS_Aval!A11,IF(G17&gt;=SS_Aval!E18,"Hors table (&gt;=40.0 m — étendre levé)",INDEX(SS_Aval!$A$11:$A$18,MATCH(G17,SS_Aval!$E$11:$E$18,1))+(G17-INDEX(SS_Aval!$E$11:$E$18,MATCH(G17,SS_Aval!$E$11:$E$18,1)))/(INDEX(SS_Aval!$E$11:$E$18,MATCH(G17,SS_Aval!$E$11:$E$18,1)+1)-INDEX(SS_Aval!$E$11:$E$18,MATCH(G17,SS_Aval!$E$11:$E$18,1)))*(INDEX(SS_Aval!$A$11:$A$18,MATCH(G17,SS_Aval!$E$11:$E$18,1)+1)-INDEX(SS_Aval!$A$11:$A$18,MATCH(G17,SS_Aval!$E$11:$E$18,1)))))</f>
        <v/>
      </c>
      <c r="D18" s="5">
        <f>MAX(0,C18-$B$5)</f>
        <v/>
      </c>
      <c r="E18" s="5">
        <f>IF(G17&lt;=0.01,MIN(0.5*(B17+B18),4.93),IF(D18&lt;=0,0,IF(D18&gt;=INDEX(Courbe_QH_1200!$A$20:$A$80,ROWS(Courbe_QH_1200!$A$20:$A$80)),INDEX(Courbe_QH_1200!$E$20:$E$80,ROWS(Courbe_QH_1200!$E$20:$E$80)),INDEX(Courbe_QH_1200!$E$20:$E$80,MATCH(D18,Courbe_QH_1200!$A$20:$A$80,1))+(D18-INDEX(Courbe_QH_1200!$A$20:$A$80,MATCH(D18,Courbe_QH_1200!$A$20:$A$80,1)))/(INDEX(Courbe_QH_1200!$A$20:$A$80,MATCH(D18,Courbe_QH_1200!$A$20:$A$80,1)+1)-INDEX(Courbe_QH_1200!$A$20:$A$80,MATCH(D18,Courbe_QH_1200!$A$20:$A$80,1)))*(INDEX(Courbe_QH_1200!$E$20:$E$80,MATCH(D18,Courbe_QH_1200!$A$20:$A$80,1)+1)-INDEX(Courbe_QH_1200!$E$20:$E$80,MATCH(D18,Courbe_QH_1200!$A$20:$A$80,1))))))</f>
        <v/>
      </c>
      <c r="F18" s="29">
        <f>(A18-A17)*60</f>
        <v/>
      </c>
      <c r="G18" s="36">
        <f>MAX(0,G17+(0.5*(B17+B18)-E18)*F18)</f>
        <v/>
      </c>
      <c r="H18" s="27">
        <f>IF(Parametres!$C$88&lt;=0,0,E18/Parametres!$C$88)</f>
        <v/>
      </c>
    </row>
    <row r="19">
      <c r="A19" s="4">
        <f>Calcul_B!A21</f>
        <v/>
      </c>
      <c r="B19" s="5">
        <f>Calcul_B!E21</f>
        <v/>
      </c>
      <c r="C19" s="5">
        <f>IF(G18&lt;=SS_Aval!E11,SS_Aval!A11,IF(G18&gt;=SS_Aval!E18,"Hors table (&gt;=40.0 m — étendre levé)",INDEX(SS_Aval!$A$11:$A$18,MATCH(G18,SS_Aval!$E$11:$E$18,1))+(G18-INDEX(SS_Aval!$E$11:$E$18,MATCH(G18,SS_Aval!$E$11:$E$18,1)))/(INDEX(SS_Aval!$E$11:$E$18,MATCH(G18,SS_Aval!$E$11:$E$18,1)+1)-INDEX(SS_Aval!$E$11:$E$18,MATCH(G18,SS_Aval!$E$11:$E$18,1)))*(INDEX(SS_Aval!$A$11:$A$18,MATCH(G18,SS_Aval!$E$11:$E$18,1)+1)-INDEX(SS_Aval!$A$11:$A$18,MATCH(G18,SS_Aval!$E$11:$E$18,1)))))</f>
        <v/>
      </c>
      <c r="D19" s="5">
        <f>MAX(0,C19-$B$5)</f>
        <v/>
      </c>
      <c r="E19" s="5">
        <f>IF(G18&lt;=0.01,MIN(0.5*(B18+B19),4.93),IF(D19&lt;=0,0,IF(D19&gt;=INDEX(Courbe_QH_1200!$A$20:$A$80,ROWS(Courbe_QH_1200!$A$20:$A$80)),INDEX(Courbe_QH_1200!$E$20:$E$80,ROWS(Courbe_QH_1200!$E$20:$E$80)),INDEX(Courbe_QH_1200!$E$20:$E$80,MATCH(D19,Courbe_QH_1200!$A$20:$A$80,1))+(D19-INDEX(Courbe_QH_1200!$A$20:$A$80,MATCH(D19,Courbe_QH_1200!$A$20:$A$80,1)))/(INDEX(Courbe_QH_1200!$A$20:$A$80,MATCH(D19,Courbe_QH_1200!$A$20:$A$80,1)+1)-INDEX(Courbe_QH_1200!$A$20:$A$80,MATCH(D19,Courbe_QH_1200!$A$20:$A$80,1)))*(INDEX(Courbe_QH_1200!$E$20:$E$80,MATCH(D19,Courbe_QH_1200!$A$20:$A$80,1)+1)-INDEX(Courbe_QH_1200!$E$20:$E$80,MATCH(D19,Courbe_QH_1200!$A$20:$A$80,1))))))</f>
        <v/>
      </c>
      <c r="F19" s="29">
        <f>(A19-A18)*60</f>
        <v/>
      </c>
      <c r="G19" s="36">
        <f>MAX(0,G18+(0.5*(B18+B19)-E19)*F19)</f>
        <v/>
      </c>
      <c r="H19" s="27">
        <f>IF(Parametres!$C$88&lt;=0,0,E19/Parametres!$C$88)</f>
        <v/>
      </c>
    </row>
    <row r="20">
      <c r="A20" s="4">
        <f>Calcul_B!A22</f>
        <v/>
      </c>
      <c r="B20" s="5">
        <f>Calcul_B!E22</f>
        <v/>
      </c>
      <c r="C20" s="5">
        <f>IF(G19&lt;=SS_Aval!E11,SS_Aval!A11,IF(G19&gt;=SS_Aval!E18,"Hors table (&gt;=40.0 m — étendre levé)",INDEX(SS_Aval!$A$11:$A$18,MATCH(G19,SS_Aval!$E$11:$E$18,1))+(G19-INDEX(SS_Aval!$E$11:$E$18,MATCH(G19,SS_Aval!$E$11:$E$18,1)))/(INDEX(SS_Aval!$E$11:$E$18,MATCH(G19,SS_Aval!$E$11:$E$18,1)+1)-INDEX(SS_Aval!$E$11:$E$18,MATCH(G19,SS_Aval!$E$11:$E$18,1)))*(INDEX(SS_Aval!$A$11:$A$18,MATCH(G19,SS_Aval!$E$11:$E$18,1)+1)-INDEX(SS_Aval!$A$11:$A$18,MATCH(G19,SS_Aval!$E$11:$E$18,1)))))</f>
        <v/>
      </c>
      <c r="D20" s="5">
        <f>MAX(0,C20-$B$5)</f>
        <v/>
      </c>
      <c r="E20" s="5">
        <f>IF(G19&lt;=0.01,MIN(0.5*(B19+B20),4.93),IF(D20&lt;=0,0,IF(D20&gt;=INDEX(Courbe_QH_1200!$A$20:$A$80,ROWS(Courbe_QH_1200!$A$20:$A$80)),INDEX(Courbe_QH_1200!$E$20:$E$80,ROWS(Courbe_QH_1200!$E$20:$E$80)),INDEX(Courbe_QH_1200!$E$20:$E$80,MATCH(D20,Courbe_QH_1200!$A$20:$A$80,1))+(D20-INDEX(Courbe_QH_1200!$A$20:$A$80,MATCH(D20,Courbe_QH_1200!$A$20:$A$80,1)))/(INDEX(Courbe_QH_1200!$A$20:$A$80,MATCH(D20,Courbe_QH_1200!$A$20:$A$80,1)+1)-INDEX(Courbe_QH_1200!$A$20:$A$80,MATCH(D20,Courbe_QH_1200!$A$20:$A$80,1)))*(INDEX(Courbe_QH_1200!$E$20:$E$80,MATCH(D20,Courbe_QH_1200!$A$20:$A$80,1)+1)-INDEX(Courbe_QH_1200!$E$20:$E$80,MATCH(D20,Courbe_QH_1200!$A$20:$A$80,1))))))</f>
        <v/>
      </c>
      <c r="F20" s="29">
        <f>(A20-A19)*60</f>
        <v/>
      </c>
      <c r="G20" s="36">
        <f>MAX(0,G19+(0.5*(B19+B20)-E20)*F20)</f>
        <v/>
      </c>
      <c r="H20" s="27">
        <f>IF(Parametres!$C$88&lt;=0,0,E20/Parametres!$C$88)</f>
        <v/>
      </c>
    </row>
    <row r="21">
      <c r="A21" s="4">
        <f>Calcul_B!A23</f>
        <v/>
      </c>
      <c r="B21" s="5">
        <f>Calcul_B!E23</f>
        <v/>
      </c>
      <c r="C21" s="5">
        <f>IF(G20&lt;=SS_Aval!E11,SS_Aval!A11,IF(G20&gt;=SS_Aval!E18,"Hors table (&gt;=40.0 m — étendre levé)",INDEX(SS_Aval!$A$11:$A$18,MATCH(G20,SS_Aval!$E$11:$E$18,1))+(G20-INDEX(SS_Aval!$E$11:$E$18,MATCH(G20,SS_Aval!$E$11:$E$18,1)))/(INDEX(SS_Aval!$E$11:$E$18,MATCH(G20,SS_Aval!$E$11:$E$18,1)+1)-INDEX(SS_Aval!$E$11:$E$18,MATCH(G20,SS_Aval!$E$11:$E$18,1)))*(INDEX(SS_Aval!$A$11:$A$18,MATCH(G20,SS_Aval!$E$11:$E$18,1)+1)-INDEX(SS_Aval!$A$11:$A$18,MATCH(G20,SS_Aval!$E$11:$E$18,1)))))</f>
        <v/>
      </c>
      <c r="D21" s="5">
        <f>MAX(0,C21-$B$5)</f>
        <v/>
      </c>
      <c r="E21" s="5">
        <f>IF(G20&lt;=0.01,MIN(0.5*(B20+B21),4.93),IF(D21&lt;=0,0,IF(D21&gt;=INDEX(Courbe_QH_1200!$A$20:$A$80,ROWS(Courbe_QH_1200!$A$20:$A$80)),INDEX(Courbe_QH_1200!$E$20:$E$80,ROWS(Courbe_QH_1200!$E$20:$E$80)),INDEX(Courbe_QH_1200!$E$20:$E$80,MATCH(D21,Courbe_QH_1200!$A$20:$A$80,1))+(D21-INDEX(Courbe_QH_1200!$A$20:$A$80,MATCH(D21,Courbe_QH_1200!$A$20:$A$80,1)))/(INDEX(Courbe_QH_1200!$A$20:$A$80,MATCH(D21,Courbe_QH_1200!$A$20:$A$80,1)+1)-INDEX(Courbe_QH_1200!$A$20:$A$80,MATCH(D21,Courbe_QH_1200!$A$20:$A$80,1)))*(INDEX(Courbe_QH_1200!$E$20:$E$80,MATCH(D21,Courbe_QH_1200!$A$20:$A$80,1)+1)-INDEX(Courbe_QH_1200!$E$20:$E$80,MATCH(D21,Courbe_QH_1200!$A$20:$A$80,1))))))</f>
        <v/>
      </c>
      <c r="F21" s="29">
        <f>(A21-A20)*60</f>
        <v/>
      </c>
      <c r="G21" s="36">
        <f>MAX(0,G20+(0.5*(B20+B21)-E21)*F21)</f>
        <v/>
      </c>
      <c r="H21" s="27">
        <f>IF(Parametres!$C$88&lt;=0,0,E21/Parametres!$C$88)</f>
        <v/>
      </c>
    </row>
    <row r="22">
      <c r="A22" s="4">
        <f>Calcul_B!A24</f>
        <v/>
      </c>
      <c r="B22" s="5">
        <f>Calcul_B!E24</f>
        <v/>
      </c>
      <c r="C22" s="5">
        <f>IF(G21&lt;=SS_Aval!E11,SS_Aval!A11,IF(G21&gt;=SS_Aval!E18,"Hors table (&gt;=40.0 m — étendre levé)",INDEX(SS_Aval!$A$11:$A$18,MATCH(G21,SS_Aval!$E$11:$E$18,1))+(G21-INDEX(SS_Aval!$E$11:$E$18,MATCH(G21,SS_Aval!$E$11:$E$18,1)))/(INDEX(SS_Aval!$E$11:$E$18,MATCH(G21,SS_Aval!$E$11:$E$18,1)+1)-INDEX(SS_Aval!$E$11:$E$18,MATCH(G21,SS_Aval!$E$11:$E$18,1)))*(INDEX(SS_Aval!$A$11:$A$18,MATCH(G21,SS_Aval!$E$11:$E$18,1)+1)-INDEX(SS_Aval!$A$11:$A$18,MATCH(G21,SS_Aval!$E$11:$E$18,1)))))</f>
        <v/>
      </c>
      <c r="D22" s="5">
        <f>MAX(0,C22-$B$5)</f>
        <v/>
      </c>
      <c r="E22" s="5">
        <f>IF(G21&lt;=0.01,MIN(0.5*(B21+B22),4.93),IF(D22&lt;=0,0,IF(D22&gt;=INDEX(Courbe_QH_1200!$A$20:$A$80,ROWS(Courbe_QH_1200!$A$20:$A$80)),INDEX(Courbe_QH_1200!$E$20:$E$80,ROWS(Courbe_QH_1200!$E$20:$E$80)),INDEX(Courbe_QH_1200!$E$20:$E$80,MATCH(D22,Courbe_QH_1200!$A$20:$A$80,1))+(D22-INDEX(Courbe_QH_1200!$A$20:$A$80,MATCH(D22,Courbe_QH_1200!$A$20:$A$80,1)))/(INDEX(Courbe_QH_1200!$A$20:$A$80,MATCH(D22,Courbe_QH_1200!$A$20:$A$80,1)+1)-INDEX(Courbe_QH_1200!$A$20:$A$80,MATCH(D22,Courbe_QH_1200!$A$20:$A$80,1)))*(INDEX(Courbe_QH_1200!$E$20:$E$80,MATCH(D22,Courbe_QH_1200!$A$20:$A$80,1)+1)-INDEX(Courbe_QH_1200!$E$20:$E$80,MATCH(D22,Courbe_QH_1200!$A$20:$A$80,1))))))</f>
        <v/>
      </c>
      <c r="F22" s="29">
        <f>(A22-A21)*60</f>
        <v/>
      </c>
      <c r="G22" s="36">
        <f>MAX(0,G21+(0.5*(B21+B22)-E22)*F22)</f>
        <v/>
      </c>
      <c r="H22" s="27">
        <f>IF(Parametres!$C$88&lt;=0,0,E22/Parametres!$C$88)</f>
        <v/>
      </c>
    </row>
  </sheetData>
  <mergeCells count="1">
    <mergeCell ref="A2:H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>
      <c r="A1" s="24" t="inlineStr">
        <is>
          <t>Zone 2 Méthode C — Q_1200 + Q_overflow (crest = Parametres B62)</t>
        </is>
      </c>
    </row>
    <row r="2">
      <c r="A2" s="25" t="inlineStr">
        <is>
          <t>Qout = Q_1200(WSE) + Q_overflow. V_pond depuis SS_Aval. V_ditch si Parametres!B25=1 (mêmes b,n,z,S,L que Zone 1). Crest Zone 2 = B62 (berges; crown Ø1200 = 34.80).</t>
        </is>
      </c>
    </row>
    <row r="3"/>
    <row r="6">
      <c r="A6" t="inlineStr">
        <is>
          <t>Crest Zone 2 (m)</t>
        </is>
      </c>
      <c r="B6" s="12">
        <f>Parametres!B62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Ø1200 (m)</t>
        </is>
      </c>
      <c r="B12" s="12">
        <f>33.6</f>
        <v/>
      </c>
    </row>
    <row r="13">
      <c r="A13" t="inlineStr">
        <is>
          <t>Inclure V_ditch (0/1)</t>
        </is>
      </c>
      <c r="B13" s="17">
        <f>Parametres!B25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Q_1200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  <c r="L14" s="3" t="inlineStr">
        <is>
          <t>V_Ø1200 (m/s)</t>
        </is>
      </c>
      <c r="M14" s="3" t="inlineStr">
        <is>
          <t>V_overflow (m/s)</t>
        </is>
      </c>
    </row>
    <row r="15">
      <c r="A15" s="26" t="n">
        <v>33.6</v>
      </c>
      <c r="B15" s="26">
        <f>A15-$B$12</f>
        <v/>
      </c>
      <c r="C15" s="26">
        <f>MAX(0,A15-$B$6)</f>
        <v/>
      </c>
      <c r="D15" s="5">
        <f>IF(C15&lt;=0,0,($B$7+$B$9*C15)*C15)</f>
        <v/>
      </c>
      <c r="E15" s="29">
        <f>IF($B$13=1,D15*$B$11,0)</f>
        <v/>
      </c>
      <c r="F15" s="29">
        <f>IF(A15&lt;=INDEX(SS_Aval!$A$11:$A$18,1),INDEX(SS_Aval!$E$11:$E$18,1),IF(A15&gt;=INDEX(SS_Aval!$A$11:$A$18,ROWS(SS_Aval!$A$11:$A$18)),INDEX(SS_Aval!$E$11:$E$18,ROWS(SS_Aval!$E$11:$E$18)),INDEX(SS_Aval!$E$11:$E$18,MATCH(A15,SS_Aval!$A$11:$A$18,1))+(A15-INDEX(SS_Aval!$A$11:$A$18,MATCH(A15,SS_Aval!$A$11:$A$18,1)))/(INDEX(SS_Aval!$A$11:$A$18,MATCH(A15,SS_Aval!$A$11:$A$18,1)+1)-INDEX(SS_Aval!$A$11:$A$18,MATCH(A15,SS_Aval!$A$11:$A$18,1)))*(INDEX(SS_Aval!$E$11:$E$18,MATCH(A15,SS_Aval!$A$11:$A$18,1)+1)-INDEX(SS_Aval!$E$11:$E$18,MATCH(A15,SS_Aval!$A$11:$A$18,1)))))</f>
        <v/>
      </c>
      <c r="G15" s="36">
        <f>F15+E15</f>
        <v/>
      </c>
      <c r="H15" s="5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  <c r="L15" s="27">
        <f>IF(Parametres!$C$88&lt;=0,0,H15/Parametres!$C$88)</f>
        <v/>
      </c>
      <c r="M15" s="27">
        <f>IF(OR(C15&lt;0.05,D15&lt;0.05),"",I15/D15)</f>
        <v/>
      </c>
    </row>
    <row r="16">
      <c r="A16" s="26" t="n">
        <v>33.65</v>
      </c>
      <c r="B16" s="26">
        <f>A16-$B$12</f>
        <v/>
      </c>
      <c r="C16" s="26">
        <f>MAX(0,A16-$B$6)</f>
        <v/>
      </c>
      <c r="D16" s="5">
        <f>IF(C16&lt;=0,0,($B$7+$B$9*C16)*C16)</f>
        <v/>
      </c>
      <c r="E16" s="29">
        <f>IF($B$13=1,D16*$B$11,0)</f>
        <v/>
      </c>
      <c r="F16" s="29">
        <f>IF(A16&lt;=INDEX(SS_Aval!$A$11:$A$18,1),INDEX(SS_Aval!$E$11:$E$18,1),IF(A16&gt;=INDEX(SS_Aval!$A$11:$A$18,ROWS(SS_Aval!$A$11:$A$18)),INDEX(SS_Aval!$E$11:$E$18,ROWS(SS_Aval!$E$11:$E$18)),INDEX(SS_Aval!$E$11:$E$18,MATCH(A16,SS_Aval!$A$11:$A$18,1))+(A16-INDEX(SS_Aval!$A$11:$A$18,MATCH(A16,SS_Aval!$A$11:$A$18,1)))/(INDEX(SS_Aval!$A$11:$A$18,MATCH(A16,SS_Aval!$A$11:$A$18,1)+1)-INDEX(SS_Aval!$A$11:$A$18,MATCH(A16,SS_Aval!$A$11:$A$18,1)))*(INDEX(SS_Aval!$E$11:$E$18,MATCH(A16,SS_Aval!$A$11:$A$18,1)+1)-INDEX(SS_Aval!$E$11:$E$18,MATCH(A16,SS_Aval!$A$11:$A$18,1)))))</f>
        <v/>
      </c>
      <c r="G16" s="36">
        <f>F16+E16</f>
        <v/>
      </c>
      <c r="H16" s="5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  <c r="L16" s="27">
        <f>IF(Parametres!$C$88&lt;=0,0,H16/Parametres!$C$88)</f>
        <v/>
      </c>
      <c r="M16" s="27">
        <f>IF(OR(C16&lt;0.05,D16&lt;0.05),"",I16/D16)</f>
        <v/>
      </c>
    </row>
    <row r="17">
      <c r="A17" s="26" t="n">
        <v>33.7</v>
      </c>
      <c r="B17" s="26">
        <f>A17-$B$12</f>
        <v/>
      </c>
      <c r="C17" s="26">
        <f>MAX(0,A17-$B$6)</f>
        <v/>
      </c>
      <c r="D17" s="5">
        <f>IF(C17&lt;=0,0,($B$7+$B$9*C17)*C17)</f>
        <v/>
      </c>
      <c r="E17" s="29">
        <f>IF($B$13=1,D17*$B$11,0)</f>
        <v/>
      </c>
      <c r="F17" s="29">
        <f>IF(A17&lt;=INDEX(SS_Aval!$A$11:$A$18,1),INDEX(SS_Aval!$E$11:$E$18,1),IF(A17&gt;=INDEX(SS_Aval!$A$11:$A$18,ROWS(SS_Aval!$A$11:$A$18)),INDEX(SS_Aval!$E$11:$E$18,ROWS(SS_Aval!$E$11:$E$18)),INDEX(SS_Aval!$E$11:$E$18,MATCH(A17,SS_Aval!$A$11:$A$18,1))+(A17-INDEX(SS_Aval!$A$11:$A$18,MATCH(A17,SS_Aval!$A$11:$A$18,1)))/(INDEX(SS_Aval!$A$11:$A$18,MATCH(A17,SS_Aval!$A$11:$A$18,1)+1)-INDEX(SS_Aval!$A$11:$A$18,MATCH(A17,SS_Aval!$A$11:$A$18,1)))*(INDEX(SS_Aval!$E$11:$E$18,MATCH(A17,SS_Aval!$A$11:$A$18,1)+1)-INDEX(SS_Aval!$E$11:$E$18,MATCH(A17,SS_Aval!$A$11:$A$18,1)))))</f>
        <v/>
      </c>
      <c r="G17" s="36">
        <f>F17+E17</f>
        <v/>
      </c>
      <c r="H17" s="5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  <c r="L17" s="27">
        <f>IF(Parametres!$C$88&lt;=0,0,H17/Parametres!$C$88)</f>
        <v/>
      </c>
      <c r="M17" s="27">
        <f>IF(OR(C17&lt;0.05,D17&lt;0.05),"",I17/D17)</f>
        <v/>
      </c>
    </row>
    <row r="18">
      <c r="A18" s="26" t="n">
        <v>33.75</v>
      </c>
      <c r="B18" s="26">
        <f>A18-$B$12</f>
        <v/>
      </c>
      <c r="C18" s="26">
        <f>MAX(0,A18-$B$6)</f>
        <v/>
      </c>
      <c r="D18" s="5">
        <f>IF(C18&lt;=0,0,($B$7+$B$9*C18)*C18)</f>
        <v/>
      </c>
      <c r="E18" s="29">
        <f>IF($B$13=1,D18*$B$11,0)</f>
        <v/>
      </c>
      <c r="F18" s="29">
        <f>IF(A18&lt;=INDEX(SS_Aval!$A$11:$A$18,1),INDEX(SS_Aval!$E$11:$E$18,1),IF(A18&gt;=INDEX(SS_Aval!$A$11:$A$18,ROWS(SS_Aval!$A$11:$A$18)),INDEX(SS_Aval!$E$11:$E$18,ROWS(SS_Aval!$E$11:$E$18)),INDEX(SS_Aval!$E$11:$E$18,MATCH(A18,SS_Aval!$A$11:$A$18,1))+(A18-INDEX(SS_Aval!$A$11:$A$18,MATCH(A18,SS_Aval!$A$11:$A$18,1)))/(INDEX(SS_Aval!$A$11:$A$18,MATCH(A18,SS_Aval!$A$11:$A$18,1)+1)-INDEX(SS_Aval!$A$11:$A$18,MATCH(A18,SS_Aval!$A$11:$A$18,1)))*(INDEX(SS_Aval!$E$11:$E$18,MATCH(A18,SS_Aval!$A$11:$A$18,1)+1)-INDEX(SS_Aval!$E$11:$E$18,MATCH(A18,SS_Aval!$A$11:$A$18,1)))))</f>
        <v/>
      </c>
      <c r="G18" s="36">
        <f>F18+E18</f>
        <v/>
      </c>
      <c r="H18" s="5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  <c r="L18" s="27">
        <f>IF(Parametres!$C$88&lt;=0,0,H18/Parametres!$C$88)</f>
        <v/>
      </c>
      <c r="M18" s="27">
        <f>IF(OR(C18&lt;0.05,D18&lt;0.05),"",I18/D18)</f>
        <v/>
      </c>
    </row>
    <row r="19">
      <c r="A19" s="26" t="n">
        <v>33.8</v>
      </c>
      <c r="B19" s="26">
        <f>A19-$B$12</f>
        <v/>
      </c>
      <c r="C19" s="26">
        <f>MAX(0,A19-$B$6)</f>
        <v/>
      </c>
      <c r="D19" s="5">
        <f>IF(C19&lt;=0,0,($B$7+$B$9*C19)*C19)</f>
        <v/>
      </c>
      <c r="E19" s="29">
        <f>IF($B$13=1,D19*$B$11,0)</f>
        <v/>
      </c>
      <c r="F19" s="29">
        <f>IF(A19&lt;=INDEX(SS_Aval!$A$11:$A$18,1),INDEX(SS_Aval!$E$11:$E$18,1),IF(A19&gt;=INDEX(SS_Aval!$A$11:$A$18,ROWS(SS_Aval!$A$11:$A$18)),INDEX(SS_Aval!$E$11:$E$18,ROWS(SS_Aval!$E$11:$E$18)),INDEX(SS_Aval!$E$11:$E$18,MATCH(A19,SS_Aval!$A$11:$A$18,1))+(A19-INDEX(SS_Aval!$A$11:$A$18,MATCH(A19,SS_Aval!$A$11:$A$18,1)))/(INDEX(SS_Aval!$A$11:$A$18,MATCH(A19,SS_Aval!$A$11:$A$18,1)+1)-INDEX(SS_Aval!$A$11:$A$18,MATCH(A19,SS_Aval!$A$11:$A$18,1)))*(INDEX(SS_Aval!$E$11:$E$18,MATCH(A19,SS_Aval!$A$11:$A$18,1)+1)-INDEX(SS_Aval!$E$11:$E$18,MATCH(A19,SS_Aval!$A$11:$A$18,1)))))</f>
        <v/>
      </c>
      <c r="G19" s="36">
        <f>F19+E19</f>
        <v/>
      </c>
      <c r="H19" s="5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  <c r="L19" s="27">
        <f>IF(Parametres!$C$88&lt;=0,0,H19/Parametres!$C$88)</f>
        <v/>
      </c>
      <c r="M19" s="27">
        <f>IF(OR(C19&lt;0.05,D19&lt;0.05),"",I19/D19)</f>
        <v/>
      </c>
    </row>
    <row r="20">
      <c r="A20" s="26" t="n">
        <v>33.85</v>
      </c>
      <c r="B20" s="26">
        <f>A20-$B$12</f>
        <v/>
      </c>
      <c r="C20" s="26">
        <f>MAX(0,A20-$B$6)</f>
        <v/>
      </c>
      <c r="D20" s="5">
        <f>IF(C20&lt;=0,0,($B$7+$B$9*C20)*C20)</f>
        <v/>
      </c>
      <c r="E20" s="29">
        <f>IF($B$13=1,D20*$B$11,0)</f>
        <v/>
      </c>
      <c r="F20" s="29">
        <f>IF(A20&lt;=INDEX(SS_Aval!$A$11:$A$18,1),INDEX(SS_Aval!$E$11:$E$18,1),IF(A20&gt;=INDEX(SS_Aval!$A$11:$A$18,ROWS(SS_Aval!$A$11:$A$18)),INDEX(SS_Aval!$E$11:$E$18,ROWS(SS_Aval!$E$11:$E$18)),INDEX(SS_Aval!$E$11:$E$18,MATCH(A20,SS_Aval!$A$11:$A$18,1))+(A20-INDEX(SS_Aval!$A$11:$A$18,MATCH(A20,SS_Aval!$A$11:$A$18,1)))/(INDEX(SS_Aval!$A$11:$A$18,MATCH(A20,SS_Aval!$A$11:$A$18,1)+1)-INDEX(SS_Aval!$A$11:$A$18,MATCH(A20,SS_Aval!$A$11:$A$18,1)))*(INDEX(SS_Aval!$E$11:$E$18,MATCH(A20,SS_Aval!$A$11:$A$18,1)+1)-INDEX(SS_Aval!$E$11:$E$18,MATCH(A20,SS_Aval!$A$11:$A$18,1)))))</f>
        <v/>
      </c>
      <c r="G20" s="36">
        <f>F20+E20</f>
        <v/>
      </c>
      <c r="H20" s="5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  <c r="L20" s="27">
        <f>IF(Parametres!$C$88&lt;=0,0,H20/Parametres!$C$88)</f>
        <v/>
      </c>
      <c r="M20" s="27">
        <f>IF(OR(C20&lt;0.05,D20&lt;0.05),"",I20/D20)</f>
        <v/>
      </c>
    </row>
    <row r="21">
      <c r="A21" s="26" t="n">
        <v>33.9</v>
      </c>
      <c r="B21" s="26">
        <f>A21-$B$12</f>
        <v/>
      </c>
      <c r="C21" s="26">
        <f>MAX(0,A21-$B$6)</f>
        <v/>
      </c>
      <c r="D21" s="5">
        <f>IF(C21&lt;=0,0,($B$7+$B$9*C21)*C21)</f>
        <v/>
      </c>
      <c r="E21" s="29">
        <f>IF($B$13=1,D21*$B$11,0)</f>
        <v/>
      </c>
      <c r="F21" s="29">
        <f>IF(A21&lt;=INDEX(SS_Aval!$A$11:$A$18,1),INDEX(SS_Aval!$E$11:$E$18,1),IF(A21&gt;=INDEX(SS_Aval!$A$11:$A$18,ROWS(SS_Aval!$A$11:$A$18)),INDEX(SS_Aval!$E$11:$E$18,ROWS(SS_Aval!$E$11:$E$18)),INDEX(SS_Aval!$E$11:$E$18,MATCH(A21,SS_Aval!$A$11:$A$18,1))+(A21-INDEX(SS_Aval!$A$11:$A$18,MATCH(A21,SS_Aval!$A$11:$A$18,1)))/(INDEX(SS_Aval!$A$11:$A$18,MATCH(A21,SS_Aval!$A$11:$A$18,1)+1)-INDEX(SS_Aval!$A$11:$A$18,MATCH(A21,SS_Aval!$A$11:$A$18,1)))*(INDEX(SS_Aval!$E$11:$E$18,MATCH(A21,SS_Aval!$A$11:$A$18,1)+1)-INDEX(SS_Aval!$E$11:$E$18,MATCH(A21,SS_Aval!$A$11:$A$18,1)))))</f>
        <v/>
      </c>
      <c r="G21" s="36">
        <f>F21+E21</f>
        <v/>
      </c>
      <c r="H21" s="5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  <c r="L21" s="27">
        <f>IF(Parametres!$C$88&lt;=0,0,H21/Parametres!$C$88)</f>
        <v/>
      </c>
      <c r="M21" s="27">
        <f>IF(OR(C21&lt;0.05,D21&lt;0.05),"",I21/D21)</f>
        <v/>
      </c>
    </row>
    <row r="22">
      <c r="A22" s="26" t="n">
        <v>33.95</v>
      </c>
      <c r="B22" s="26">
        <f>A22-$B$12</f>
        <v/>
      </c>
      <c r="C22" s="26">
        <f>MAX(0,A22-$B$6)</f>
        <v/>
      </c>
      <c r="D22" s="5">
        <f>IF(C22&lt;=0,0,($B$7+$B$9*C22)*C22)</f>
        <v/>
      </c>
      <c r="E22" s="29">
        <f>IF($B$13=1,D22*$B$11,0)</f>
        <v/>
      </c>
      <c r="F22" s="29">
        <f>IF(A22&lt;=INDEX(SS_Aval!$A$11:$A$18,1),INDEX(SS_Aval!$E$11:$E$18,1),IF(A22&gt;=INDEX(SS_Aval!$A$11:$A$18,ROWS(SS_Aval!$A$11:$A$18)),INDEX(SS_Aval!$E$11:$E$18,ROWS(SS_Aval!$E$11:$E$18)),INDEX(SS_Aval!$E$11:$E$18,MATCH(A22,SS_Aval!$A$11:$A$18,1))+(A22-INDEX(SS_Aval!$A$11:$A$18,MATCH(A22,SS_Aval!$A$11:$A$18,1)))/(INDEX(SS_Aval!$A$11:$A$18,MATCH(A22,SS_Aval!$A$11:$A$18,1)+1)-INDEX(SS_Aval!$A$11:$A$18,MATCH(A22,SS_Aval!$A$11:$A$18,1)))*(INDEX(SS_Aval!$E$11:$E$18,MATCH(A22,SS_Aval!$A$11:$A$18,1)+1)-INDEX(SS_Aval!$E$11:$E$18,MATCH(A22,SS_Aval!$A$11:$A$18,1)))))</f>
        <v/>
      </c>
      <c r="G22" s="36">
        <f>F22+E22</f>
        <v/>
      </c>
      <c r="H22" s="5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  <c r="L22" s="27">
        <f>IF(Parametres!$C$88&lt;=0,0,H22/Parametres!$C$88)</f>
        <v/>
      </c>
      <c r="M22" s="27">
        <f>IF(OR(C22&lt;0.05,D22&lt;0.05),"",I22/D22)</f>
        <v/>
      </c>
    </row>
    <row r="23">
      <c r="A23" s="26" t="n">
        <v>34</v>
      </c>
      <c r="B23" s="26">
        <f>A23-$B$12</f>
        <v/>
      </c>
      <c r="C23" s="26">
        <f>MAX(0,A23-$B$6)</f>
        <v/>
      </c>
      <c r="D23" s="5">
        <f>IF(C23&lt;=0,0,($B$7+$B$9*C23)*C23)</f>
        <v/>
      </c>
      <c r="E23" s="29">
        <f>IF($B$13=1,D23*$B$11,0)</f>
        <v/>
      </c>
      <c r="F23" s="29">
        <f>IF(A23&lt;=INDEX(SS_Aval!$A$11:$A$18,1),INDEX(SS_Aval!$E$11:$E$18,1),IF(A23&gt;=INDEX(SS_Aval!$A$11:$A$18,ROWS(SS_Aval!$A$11:$A$18)),INDEX(SS_Aval!$E$11:$E$18,ROWS(SS_Aval!$E$11:$E$18)),INDEX(SS_Aval!$E$11:$E$18,MATCH(A23,SS_Aval!$A$11:$A$18,1))+(A23-INDEX(SS_Aval!$A$11:$A$18,MATCH(A23,SS_Aval!$A$11:$A$18,1)))/(INDEX(SS_Aval!$A$11:$A$18,MATCH(A23,SS_Aval!$A$11:$A$18,1)+1)-INDEX(SS_Aval!$A$11:$A$18,MATCH(A23,SS_Aval!$A$11:$A$18,1)))*(INDEX(SS_Aval!$E$11:$E$18,MATCH(A23,SS_Aval!$A$11:$A$18,1)+1)-INDEX(SS_Aval!$E$11:$E$18,MATCH(A23,SS_Aval!$A$11:$A$18,1)))))</f>
        <v/>
      </c>
      <c r="G23" s="36">
        <f>F23+E23</f>
        <v/>
      </c>
      <c r="H23" s="5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  <c r="L23" s="27">
        <f>IF(Parametres!$C$88&lt;=0,0,H23/Parametres!$C$88)</f>
        <v/>
      </c>
      <c r="M23" s="27">
        <f>IF(OR(C23&lt;0.05,D23&lt;0.05),"",I23/D23)</f>
        <v/>
      </c>
    </row>
    <row r="24">
      <c r="A24" s="26" t="n">
        <v>34.05</v>
      </c>
      <c r="B24" s="26">
        <f>A24-$B$12</f>
        <v/>
      </c>
      <c r="C24" s="26">
        <f>MAX(0,A24-$B$6)</f>
        <v/>
      </c>
      <c r="D24" s="5">
        <f>IF(C24&lt;=0,0,($B$7+$B$9*C24)*C24)</f>
        <v/>
      </c>
      <c r="E24" s="29">
        <f>IF($B$13=1,D24*$B$11,0)</f>
        <v/>
      </c>
      <c r="F24" s="29">
        <f>IF(A24&lt;=INDEX(SS_Aval!$A$11:$A$18,1),INDEX(SS_Aval!$E$11:$E$18,1),IF(A24&gt;=INDEX(SS_Aval!$A$11:$A$18,ROWS(SS_Aval!$A$11:$A$18)),INDEX(SS_Aval!$E$11:$E$18,ROWS(SS_Aval!$E$11:$E$18)),INDEX(SS_Aval!$E$11:$E$18,MATCH(A24,SS_Aval!$A$11:$A$18,1))+(A24-INDEX(SS_Aval!$A$11:$A$18,MATCH(A24,SS_Aval!$A$11:$A$18,1)))/(INDEX(SS_Aval!$A$11:$A$18,MATCH(A24,SS_Aval!$A$11:$A$18,1)+1)-INDEX(SS_Aval!$A$11:$A$18,MATCH(A24,SS_Aval!$A$11:$A$18,1)))*(INDEX(SS_Aval!$E$11:$E$18,MATCH(A24,SS_Aval!$A$11:$A$18,1)+1)-INDEX(SS_Aval!$E$11:$E$18,MATCH(A24,SS_Aval!$A$11:$A$18,1)))))</f>
        <v/>
      </c>
      <c r="G24" s="36">
        <f>F24+E24</f>
        <v/>
      </c>
      <c r="H24" s="5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  <c r="L24" s="27">
        <f>IF(Parametres!$C$88&lt;=0,0,H24/Parametres!$C$88)</f>
        <v/>
      </c>
      <c r="M24" s="27">
        <f>IF(OR(C24&lt;0.05,D24&lt;0.05),"",I24/D24)</f>
        <v/>
      </c>
    </row>
    <row r="25">
      <c r="A25" s="26" t="n">
        <v>34.1</v>
      </c>
      <c r="B25" s="26">
        <f>A25-$B$12</f>
        <v/>
      </c>
      <c r="C25" s="26">
        <f>MAX(0,A25-$B$6)</f>
        <v/>
      </c>
      <c r="D25" s="5">
        <f>IF(C25&lt;=0,0,($B$7+$B$9*C25)*C25)</f>
        <v/>
      </c>
      <c r="E25" s="29">
        <f>IF($B$13=1,D25*$B$11,0)</f>
        <v/>
      </c>
      <c r="F25" s="29">
        <f>IF(A25&lt;=INDEX(SS_Aval!$A$11:$A$18,1),INDEX(SS_Aval!$E$11:$E$18,1),IF(A25&gt;=INDEX(SS_Aval!$A$11:$A$18,ROWS(SS_Aval!$A$11:$A$18)),INDEX(SS_Aval!$E$11:$E$18,ROWS(SS_Aval!$E$11:$E$18)),INDEX(SS_Aval!$E$11:$E$18,MATCH(A25,SS_Aval!$A$11:$A$18,1))+(A25-INDEX(SS_Aval!$A$11:$A$18,MATCH(A25,SS_Aval!$A$11:$A$18,1)))/(INDEX(SS_Aval!$A$11:$A$18,MATCH(A25,SS_Aval!$A$11:$A$18,1)+1)-INDEX(SS_Aval!$A$11:$A$18,MATCH(A25,SS_Aval!$A$11:$A$18,1)))*(INDEX(SS_Aval!$E$11:$E$18,MATCH(A25,SS_Aval!$A$11:$A$18,1)+1)-INDEX(SS_Aval!$E$11:$E$18,MATCH(A25,SS_Aval!$A$11:$A$18,1)))))</f>
        <v/>
      </c>
      <c r="G25" s="36">
        <f>F25+E25</f>
        <v/>
      </c>
      <c r="H25" s="5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  <c r="L25" s="27">
        <f>IF(Parametres!$C$88&lt;=0,0,H25/Parametres!$C$88)</f>
        <v/>
      </c>
      <c r="M25" s="27">
        <f>IF(OR(C25&lt;0.05,D25&lt;0.05),"",I25/D25)</f>
        <v/>
      </c>
    </row>
    <row r="26">
      <c r="A26" s="26" t="n">
        <v>34.15</v>
      </c>
      <c r="B26" s="26">
        <f>A26-$B$12</f>
        <v/>
      </c>
      <c r="C26" s="26">
        <f>MAX(0,A26-$B$6)</f>
        <v/>
      </c>
      <c r="D26" s="5">
        <f>IF(C26&lt;=0,0,($B$7+$B$9*C26)*C26)</f>
        <v/>
      </c>
      <c r="E26" s="29">
        <f>IF($B$13=1,D26*$B$11,0)</f>
        <v/>
      </c>
      <c r="F26" s="29">
        <f>IF(A26&lt;=INDEX(SS_Aval!$A$11:$A$18,1),INDEX(SS_Aval!$E$11:$E$18,1),IF(A26&gt;=INDEX(SS_Aval!$A$11:$A$18,ROWS(SS_Aval!$A$11:$A$18)),INDEX(SS_Aval!$E$11:$E$18,ROWS(SS_Aval!$E$11:$E$18)),INDEX(SS_Aval!$E$11:$E$18,MATCH(A26,SS_Aval!$A$11:$A$18,1))+(A26-INDEX(SS_Aval!$A$11:$A$18,MATCH(A26,SS_Aval!$A$11:$A$18,1)))/(INDEX(SS_Aval!$A$11:$A$18,MATCH(A26,SS_Aval!$A$11:$A$18,1)+1)-INDEX(SS_Aval!$A$11:$A$18,MATCH(A26,SS_Aval!$A$11:$A$18,1)))*(INDEX(SS_Aval!$E$11:$E$18,MATCH(A26,SS_Aval!$A$11:$A$18,1)+1)-INDEX(SS_Aval!$E$11:$E$18,MATCH(A26,SS_Aval!$A$11:$A$18,1)))))</f>
        <v/>
      </c>
      <c r="G26" s="36">
        <f>F26+E26</f>
        <v/>
      </c>
      <c r="H26" s="5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  <c r="L26" s="27">
        <f>IF(Parametres!$C$88&lt;=0,0,H26/Parametres!$C$88)</f>
        <v/>
      </c>
      <c r="M26" s="27">
        <f>IF(OR(C26&lt;0.05,D26&lt;0.05),"",I26/D26)</f>
        <v/>
      </c>
    </row>
    <row r="27">
      <c r="A27" s="26" t="n">
        <v>34.2</v>
      </c>
      <c r="B27" s="26">
        <f>A27-$B$12</f>
        <v/>
      </c>
      <c r="C27" s="26">
        <f>MAX(0,A27-$B$6)</f>
        <v/>
      </c>
      <c r="D27" s="5">
        <f>IF(C27&lt;=0,0,($B$7+$B$9*C27)*C27)</f>
        <v/>
      </c>
      <c r="E27" s="29">
        <f>IF($B$13=1,D27*$B$11,0)</f>
        <v/>
      </c>
      <c r="F27" s="29">
        <f>IF(A27&lt;=INDEX(SS_Aval!$A$11:$A$18,1),INDEX(SS_Aval!$E$11:$E$18,1),IF(A27&gt;=INDEX(SS_Aval!$A$11:$A$18,ROWS(SS_Aval!$A$11:$A$18)),INDEX(SS_Aval!$E$11:$E$18,ROWS(SS_Aval!$E$11:$E$18)),INDEX(SS_Aval!$E$11:$E$18,MATCH(A27,SS_Aval!$A$11:$A$18,1))+(A27-INDEX(SS_Aval!$A$11:$A$18,MATCH(A27,SS_Aval!$A$11:$A$18,1)))/(INDEX(SS_Aval!$A$11:$A$18,MATCH(A27,SS_Aval!$A$11:$A$18,1)+1)-INDEX(SS_Aval!$A$11:$A$18,MATCH(A27,SS_Aval!$A$11:$A$18,1)))*(INDEX(SS_Aval!$E$11:$E$18,MATCH(A27,SS_Aval!$A$11:$A$18,1)+1)-INDEX(SS_Aval!$E$11:$E$18,MATCH(A27,SS_Aval!$A$11:$A$18,1)))))</f>
        <v/>
      </c>
      <c r="G27" s="36">
        <f>F27+E27</f>
        <v/>
      </c>
      <c r="H27" s="5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  <c r="L27" s="27">
        <f>IF(Parametres!$C$88&lt;=0,0,H27/Parametres!$C$88)</f>
        <v/>
      </c>
      <c r="M27" s="27">
        <f>IF(OR(C27&lt;0.05,D27&lt;0.05),"",I27/D27)</f>
        <v/>
      </c>
    </row>
    <row r="28">
      <c r="A28" s="26" t="n">
        <v>34.25</v>
      </c>
      <c r="B28" s="26">
        <f>A28-$B$12</f>
        <v/>
      </c>
      <c r="C28" s="26">
        <f>MAX(0,A28-$B$6)</f>
        <v/>
      </c>
      <c r="D28" s="5">
        <f>IF(C28&lt;=0,0,($B$7+$B$9*C28)*C28)</f>
        <v/>
      </c>
      <c r="E28" s="29">
        <f>IF($B$13=1,D28*$B$11,0)</f>
        <v/>
      </c>
      <c r="F28" s="29">
        <f>IF(A28&lt;=INDEX(SS_Aval!$A$11:$A$18,1),INDEX(SS_Aval!$E$11:$E$18,1),IF(A28&gt;=INDEX(SS_Aval!$A$11:$A$18,ROWS(SS_Aval!$A$11:$A$18)),INDEX(SS_Aval!$E$11:$E$18,ROWS(SS_Aval!$E$11:$E$18)),INDEX(SS_Aval!$E$11:$E$18,MATCH(A28,SS_Aval!$A$11:$A$18,1))+(A28-INDEX(SS_Aval!$A$11:$A$18,MATCH(A28,SS_Aval!$A$11:$A$18,1)))/(INDEX(SS_Aval!$A$11:$A$18,MATCH(A28,SS_Aval!$A$11:$A$18,1)+1)-INDEX(SS_Aval!$A$11:$A$18,MATCH(A28,SS_Aval!$A$11:$A$18,1)))*(INDEX(SS_Aval!$E$11:$E$18,MATCH(A28,SS_Aval!$A$11:$A$18,1)+1)-INDEX(SS_Aval!$E$11:$E$18,MATCH(A28,SS_Aval!$A$11:$A$18,1)))))</f>
        <v/>
      </c>
      <c r="G28" s="36">
        <f>F28+E28</f>
        <v/>
      </c>
      <c r="H28" s="5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  <c r="L28" s="27">
        <f>IF(Parametres!$C$88&lt;=0,0,H28/Parametres!$C$88)</f>
        <v/>
      </c>
      <c r="M28" s="27">
        <f>IF(OR(C28&lt;0.05,D28&lt;0.05),"",I28/D28)</f>
        <v/>
      </c>
    </row>
    <row r="29">
      <c r="A29" s="26" t="n">
        <v>34.3</v>
      </c>
      <c r="B29" s="26">
        <f>A29-$B$12</f>
        <v/>
      </c>
      <c r="C29" s="26">
        <f>MAX(0,A29-$B$6)</f>
        <v/>
      </c>
      <c r="D29" s="5">
        <f>IF(C29&lt;=0,0,($B$7+$B$9*C29)*C29)</f>
        <v/>
      </c>
      <c r="E29" s="29">
        <f>IF($B$13=1,D29*$B$11,0)</f>
        <v/>
      </c>
      <c r="F29" s="29">
        <f>IF(A29&lt;=INDEX(SS_Aval!$A$11:$A$18,1),INDEX(SS_Aval!$E$11:$E$18,1),IF(A29&gt;=INDEX(SS_Aval!$A$11:$A$18,ROWS(SS_Aval!$A$11:$A$18)),INDEX(SS_Aval!$E$11:$E$18,ROWS(SS_Aval!$E$11:$E$18)),INDEX(SS_Aval!$E$11:$E$18,MATCH(A29,SS_Aval!$A$11:$A$18,1))+(A29-INDEX(SS_Aval!$A$11:$A$18,MATCH(A29,SS_Aval!$A$11:$A$18,1)))/(INDEX(SS_Aval!$A$11:$A$18,MATCH(A29,SS_Aval!$A$11:$A$18,1)+1)-INDEX(SS_Aval!$A$11:$A$18,MATCH(A29,SS_Aval!$A$11:$A$18,1)))*(INDEX(SS_Aval!$E$11:$E$18,MATCH(A29,SS_Aval!$A$11:$A$18,1)+1)-INDEX(SS_Aval!$E$11:$E$18,MATCH(A29,SS_Aval!$A$11:$A$18,1)))))</f>
        <v/>
      </c>
      <c r="G29" s="36">
        <f>F29+E29</f>
        <v/>
      </c>
      <c r="H29" s="5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  <c r="L29" s="27">
        <f>IF(Parametres!$C$88&lt;=0,0,H29/Parametres!$C$88)</f>
        <v/>
      </c>
      <c r="M29" s="27">
        <f>IF(OR(C29&lt;0.05,D29&lt;0.05),"",I29/D29)</f>
        <v/>
      </c>
    </row>
    <row r="30">
      <c r="A30" s="26" t="n">
        <v>34.35</v>
      </c>
      <c r="B30" s="26">
        <f>A30-$B$12</f>
        <v/>
      </c>
      <c r="C30" s="26">
        <f>MAX(0,A30-$B$6)</f>
        <v/>
      </c>
      <c r="D30" s="5">
        <f>IF(C30&lt;=0,0,($B$7+$B$9*C30)*C30)</f>
        <v/>
      </c>
      <c r="E30" s="29">
        <f>IF($B$13=1,D30*$B$11,0)</f>
        <v/>
      </c>
      <c r="F30" s="29">
        <f>IF(A30&lt;=INDEX(SS_Aval!$A$11:$A$18,1),INDEX(SS_Aval!$E$11:$E$18,1),IF(A30&gt;=INDEX(SS_Aval!$A$11:$A$18,ROWS(SS_Aval!$A$11:$A$18)),INDEX(SS_Aval!$E$11:$E$18,ROWS(SS_Aval!$E$11:$E$18)),INDEX(SS_Aval!$E$11:$E$18,MATCH(A30,SS_Aval!$A$11:$A$18,1))+(A30-INDEX(SS_Aval!$A$11:$A$18,MATCH(A30,SS_Aval!$A$11:$A$18,1)))/(INDEX(SS_Aval!$A$11:$A$18,MATCH(A30,SS_Aval!$A$11:$A$18,1)+1)-INDEX(SS_Aval!$A$11:$A$18,MATCH(A30,SS_Aval!$A$11:$A$18,1)))*(INDEX(SS_Aval!$E$11:$E$18,MATCH(A30,SS_Aval!$A$11:$A$18,1)+1)-INDEX(SS_Aval!$E$11:$E$18,MATCH(A30,SS_Aval!$A$11:$A$18,1)))))</f>
        <v/>
      </c>
      <c r="G30" s="36">
        <f>F30+E30</f>
        <v/>
      </c>
      <c r="H30" s="5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  <c r="L30" s="27">
        <f>IF(Parametres!$C$88&lt;=0,0,H30/Parametres!$C$88)</f>
        <v/>
      </c>
      <c r="M30" s="27">
        <f>IF(OR(C30&lt;0.05,D30&lt;0.05),"",I30/D30)</f>
        <v/>
      </c>
    </row>
    <row r="31">
      <c r="A31" s="26" t="n">
        <v>34.4</v>
      </c>
      <c r="B31" s="26">
        <f>A31-$B$12</f>
        <v/>
      </c>
      <c r="C31" s="26">
        <f>MAX(0,A31-$B$6)</f>
        <v/>
      </c>
      <c r="D31" s="5">
        <f>IF(C31&lt;=0,0,($B$7+$B$9*C31)*C31)</f>
        <v/>
      </c>
      <c r="E31" s="29">
        <f>IF($B$13=1,D31*$B$11,0)</f>
        <v/>
      </c>
      <c r="F31" s="29">
        <f>IF(A31&lt;=INDEX(SS_Aval!$A$11:$A$18,1),INDEX(SS_Aval!$E$11:$E$18,1),IF(A31&gt;=INDEX(SS_Aval!$A$11:$A$18,ROWS(SS_Aval!$A$11:$A$18)),INDEX(SS_Aval!$E$11:$E$18,ROWS(SS_Aval!$E$11:$E$18)),INDEX(SS_Aval!$E$11:$E$18,MATCH(A31,SS_Aval!$A$11:$A$18,1))+(A31-INDEX(SS_Aval!$A$11:$A$18,MATCH(A31,SS_Aval!$A$11:$A$18,1)))/(INDEX(SS_Aval!$A$11:$A$18,MATCH(A31,SS_Aval!$A$11:$A$18,1)+1)-INDEX(SS_Aval!$A$11:$A$18,MATCH(A31,SS_Aval!$A$11:$A$18,1)))*(INDEX(SS_Aval!$E$11:$E$18,MATCH(A31,SS_Aval!$A$11:$A$18,1)+1)-INDEX(SS_Aval!$E$11:$E$18,MATCH(A31,SS_Aval!$A$11:$A$18,1)))))</f>
        <v/>
      </c>
      <c r="G31" s="36">
        <f>F31+E31</f>
        <v/>
      </c>
      <c r="H31" s="5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  <c r="L31" s="27">
        <f>IF(Parametres!$C$88&lt;=0,0,H31/Parametres!$C$88)</f>
        <v/>
      </c>
      <c r="M31" s="27">
        <f>IF(OR(C31&lt;0.05,D31&lt;0.05),"",I31/D31)</f>
        <v/>
      </c>
    </row>
    <row r="32">
      <c r="A32" s="26" t="n">
        <v>34.45</v>
      </c>
      <c r="B32" s="26">
        <f>A32-$B$12</f>
        <v/>
      </c>
      <c r="C32" s="26">
        <f>MAX(0,A32-$B$6)</f>
        <v/>
      </c>
      <c r="D32" s="5">
        <f>IF(C32&lt;=0,0,($B$7+$B$9*C32)*C32)</f>
        <v/>
      </c>
      <c r="E32" s="29">
        <f>IF($B$13=1,D32*$B$11,0)</f>
        <v/>
      </c>
      <c r="F32" s="29">
        <f>IF(A32&lt;=INDEX(SS_Aval!$A$11:$A$18,1),INDEX(SS_Aval!$E$11:$E$18,1),IF(A32&gt;=INDEX(SS_Aval!$A$11:$A$18,ROWS(SS_Aval!$A$11:$A$18)),INDEX(SS_Aval!$E$11:$E$18,ROWS(SS_Aval!$E$11:$E$18)),INDEX(SS_Aval!$E$11:$E$18,MATCH(A32,SS_Aval!$A$11:$A$18,1))+(A32-INDEX(SS_Aval!$A$11:$A$18,MATCH(A32,SS_Aval!$A$11:$A$18,1)))/(INDEX(SS_Aval!$A$11:$A$18,MATCH(A32,SS_Aval!$A$11:$A$18,1)+1)-INDEX(SS_Aval!$A$11:$A$18,MATCH(A32,SS_Aval!$A$11:$A$18,1)))*(INDEX(SS_Aval!$E$11:$E$18,MATCH(A32,SS_Aval!$A$11:$A$18,1)+1)-INDEX(SS_Aval!$E$11:$E$18,MATCH(A32,SS_Aval!$A$11:$A$18,1)))))</f>
        <v/>
      </c>
      <c r="G32" s="36">
        <f>F32+E32</f>
        <v/>
      </c>
      <c r="H32" s="5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  <c r="L32" s="27">
        <f>IF(Parametres!$C$88&lt;=0,0,H32/Parametres!$C$88)</f>
        <v/>
      </c>
      <c r="M32" s="27">
        <f>IF(OR(C32&lt;0.05,D32&lt;0.05),"",I32/D32)</f>
        <v/>
      </c>
    </row>
    <row r="33">
      <c r="A33" s="26" t="n">
        <v>34.5</v>
      </c>
      <c r="B33" s="26">
        <f>A33-$B$12</f>
        <v/>
      </c>
      <c r="C33" s="26">
        <f>MAX(0,A33-$B$6)</f>
        <v/>
      </c>
      <c r="D33" s="5">
        <f>IF(C33&lt;=0,0,($B$7+$B$9*C33)*C33)</f>
        <v/>
      </c>
      <c r="E33" s="29">
        <f>IF($B$13=1,D33*$B$11,0)</f>
        <v/>
      </c>
      <c r="F33" s="29">
        <f>IF(A33&lt;=INDEX(SS_Aval!$A$11:$A$18,1),INDEX(SS_Aval!$E$11:$E$18,1),IF(A33&gt;=INDEX(SS_Aval!$A$11:$A$18,ROWS(SS_Aval!$A$11:$A$18)),INDEX(SS_Aval!$E$11:$E$18,ROWS(SS_Aval!$E$11:$E$18)),INDEX(SS_Aval!$E$11:$E$18,MATCH(A33,SS_Aval!$A$11:$A$18,1))+(A33-INDEX(SS_Aval!$A$11:$A$18,MATCH(A33,SS_Aval!$A$11:$A$18,1)))/(INDEX(SS_Aval!$A$11:$A$18,MATCH(A33,SS_Aval!$A$11:$A$18,1)+1)-INDEX(SS_Aval!$A$11:$A$18,MATCH(A33,SS_Aval!$A$11:$A$18,1)))*(INDEX(SS_Aval!$E$11:$E$18,MATCH(A33,SS_Aval!$A$11:$A$18,1)+1)-INDEX(SS_Aval!$E$11:$E$18,MATCH(A33,SS_Aval!$A$11:$A$18,1)))))</f>
        <v/>
      </c>
      <c r="G33" s="36">
        <f>F33+E33</f>
        <v/>
      </c>
      <c r="H33" s="5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5">
        <f>IF(C33&lt;=0,0,IF($B$8&lt;=0,0,(1/$B$8)*D33*IF(($B$7+2*C33*SQRT(1+$B$9^2))&lt;=0,0,((D33/($B$7+2*C33*SQRT(1+$B$9^2)))^(2/3)))*SQRT($B$10)))</f>
        <v/>
      </c>
      <c r="J33" s="15">
        <f>H33+I33</f>
        <v/>
      </c>
      <c r="K33" s="4">
        <f>IF(C33&gt;0,"oui","non")</f>
        <v/>
      </c>
      <c r="L33" s="27">
        <f>IF(Parametres!$C$88&lt;=0,0,H33/Parametres!$C$88)</f>
        <v/>
      </c>
      <c r="M33" s="27">
        <f>IF(OR(C33&lt;0.05,D33&lt;0.05),"",I33/D33)</f>
        <v/>
      </c>
    </row>
    <row r="34">
      <c r="A34" s="26" t="n">
        <v>34.55</v>
      </c>
      <c r="B34" s="26">
        <f>A34-$B$12</f>
        <v/>
      </c>
      <c r="C34" s="26">
        <f>MAX(0,A34-$B$6)</f>
        <v/>
      </c>
      <c r="D34" s="5">
        <f>IF(C34&lt;=0,0,($B$7+$B$9*C34)*C34)</f>
        <v/>
      </c>
      <c r="E34" s="29">
        <f>IF($B$13=1,D34*$B$11,0)</f>
        <v/>
      </c>
      <c r="F34" s="29">
        <f>IF(A34&lt;=INDEX(SS_Aval!$A$11:$A$18,1),INDEX(SS_Aval!$E$11:$E$18,1),IF(A34&gt;=INDEX(SS_Aval!$A$11:$A$18,ROWS(SS_Aval!$A$11:$A$18)),INDEX(SS_Aval!$E$11:$E$18,ROWS(SS_Aval!$E$11:$E$18)),INDEX(SS_Aval!$E$11:$E$18,MATCH(A34,SS_Aval!$A$11:$A$18,1))+(A34-INDEX(SS_Aval!$A$11:$A$18,MATCH(A34,SS_Aval!$A$11:$A$18,1)))/(INDEX(SS_Aval!$A$11:$A$18,MATCH(A34,SS_Aval!$A$11:$A$18,1)+1)-INDEX(SS_Aval!$A$11:$A$18,MATCH(A34,SS_Aval!$A$11:$A$18,1)))*(INDEX(SS_Aval!$E$11:$E$18,MATCH(A34,SS_Aval!$A$11:$A$18,1)+1)-INDEX(SS_Aval!$E$11:$E$18,MATCH(A34,SS_Aval!$A$11:$A$18,1)))))</f>
        <v/>
      </c>
      <c r="G34" s="36">
        <f>F34+E34</f>
        <v/>
      </c>
      <c r="H34" s="5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  <c r="L34" s="27">
        <f>IF(Parametres!$C$88&lt;=0,0,H34/Parametres!$C$88)</f>
        <v/>
      </c>
      <c r="M34" s="27">
        <f>IF(OR(C34&lt;0.05,D34&lt;0.05),"",I34/D34)</f>
        <v/>
      </c>
    </row>
    <row r="35">
      <c r="A35" s="26" t="n">
        <v>34.6</v>
      </c>
      <c r="B35" s="26">
        <f>A35-$B$12</f>
        <v/>
      </c>
      <c r="C35" s="26">
        <f>MAX(0,A35-$B$6)</f>
        <v/>
      </c>
      <c r="D35" s="5">
        <f>IF(C35&lt;=0,0,($B$7+$B$9*C35)*C35)</f>
        <v/>
      </c>
      <c r="E35" s="29">
        <f>IF($B$13=1,D35*$B$11,0)</f>
        <v/>
      </c>
      <c r="F35" s="29">
        <f>IF(A35&lt;=INDEX(SS_Aval!$A$11:$A$18,1),INDEX(SS_Aval!$E$11:$E$18,1),IF(A35&gt;=INDEX(SS_Aval!$A$11:$A$18,ROWS(SS_Aval!$A$11:$A$18)),INDEX(SS_Aval!$E$11:$E$18,ROWS(SS_Aval!$E$11:$E$18)),INDEX(SS_Aval!$E$11:$E$18,MATCH(A35,SS_Aval!$A$11:$A$18,1))+(A35-INDEX(SS_Aval!$A$11:$A$18,MATCH(A35,SS_Aval!$A$11:$A$18,1)))/(INDEX(SS_Aval!$A$11:$A$18,MATCH(A35,SS_Aval!$A$11:$A$18,1)+1)-INDEX(SS_Aval!$A$11:$A$18,MATCH(A35,SS_Aval!$A$11:$A$18,1)))*(INDEX(SS_Aval!$E$11:$E$18,MATCH(A35,SS_Aval!$A$11:$A$18,1)+1)-INDEX(SS_Aval!$E$11:$E$18,MATCH(A35,SS_Aval!$A$11:$A$18,1)))))</f>
        <v/>
      </c>
      <c r="G35" s="36">
        <f>F35+E35</f>
        <v/>
      </c>
      <c r="H35" s="5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  <c r="L35" s="27">
        <f>IF(Parametres!$C$88&lt;=0,0,H35/Parametres!$C$88)</f>
        <v/>
      </c>
      <c r="M35" s="27">
        <f>IF(OR(C35&lt;0.05,D35&lt;0.05),"",I35/D35)</f>
        <v/>
      </c>
    </row>
    <row r="36">
      <c r="A36" s="26" t="n">
        <v>34.65</v>
      </c>
      <c r="B36" s="26">
        <f>A36-$B$12</f>
        <v/>
      </c>
      <c r="C36" s="26">
        <f>MAX(0,A36-$B$6)</f>
        <v/>
      </c>
      <c r="D36" s="5">
        <f>IF(C36&lt;=0,0,($B$7+$B$9*C36)*C36)</f>
        <v/>
      </c>
      <c r="E36" s="29">
        <f>IF($B$13=1,D36*$B$11,0)</f>
        <v/>
      </c>
      <c r="F36" s="29">
        <f>IF(A36&lt;=INDEX(SS_Aval!$A$11:$A$18,1),INDEX(SS_Aval!$E$11:$E$18,1),IF(A36&gt;=INDEX(SS_Aval!$A$11:$A$18,ROWS(SS_Aval!$A$11:$A$18)),INDEX(SS_Aval!$E$11:$E$18,ROWS(SS_Aval!$E$11:$E$18)),INDEX(SS_Aval!$E$11:$E$18,MATCH(A36,SS_Aval!$A$11:$A$18,1))+(A36-INDEX(SS_Aval!$A$11:$A$18,MATCH(A36,SS_Aval!$A$11:$A$18,1)))/(INDEX(SS_Aval!$A$11:$A$18,MATCH(A36,SS_Aval!$A$11:$A$18,1)+1)-INDEX(SS_Aval!$A$11:$A$18,MATCH(A36,SS_Aval!$A$11:$A$18,1)))*(INDEX(SS_Aval!$E$11:$E$18,MATCH(A36,SS_Aval!$A$11:$A$18,1)+1)-INDEX(SS_Aval!$E$11:$E$18,MATCH(A36,SS_Aval!$A$11:$A$18,1)))))</f>
        <v/>
      </c>
      <c r="G36" s="36">
        <f>F36+E36</f>
        <v/>
      </c>
      <c r="H36" s="5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  <c r="L36" s="27">
        <f>IF(Parametres!$C$88&lt;=0,0,H36/Parametres!$C$88)</f>
        <v/>
      </c>
      <c r="M36" s="27">
        <f>IF(OR(C36&lt;0.05,D36&lt;0.05),"",I36/D36)</f>
        <v/>
      </c>
    </row>
    <row r="37">
      <c r="A37" s="26" t="n">
        <v>34.7</v>
      </c>
      <c r="B37" s="26">
        <f>A37-$B$12</f>
        <v/>
      </c>
      <c r="C37" s="26">
        <f>MAX(0,A37-$B$6)</f>
        <v/>
      </c>
      <c r="D37" s="5">
        <f>IF(C37&lt;=0,0,($B$7+$B$9*C37)*C37)</f>
        <v/>
      </c>
      <c r="E37" s="29">
        <f>IF($B$13=1,D37*$B$11,0)</f>
        <v/>
      </c>
      <c r="F37" s="29">
        <f>IF(A37&lt;=INDEX(SS_Aval!$A$11:$A$18,1),INDEX(SS_Aval!$E$11:$E$18,1),IF(A37&gt;=INDEX(SS_Aval!$A$11:$A$18,ROWS(SS_Aval!$A$11:$A$18)),INDEX(SS_Aval!$E$11:$E$18,ROWS(SS_Aval!$E$11:$E$18)),INDEX(SS_Aval!$E$11:$E$18,MATCH(A37,SS_Aval!$A$11:$A$18,1))+(A37-INDEX(SS_Aval!$A$11:$A$18,MATCH(A37,SS_Aval!$A$11:$A$18,1)))/(INDEX(SS_Aval!$A$11:$A$18,MATCH(A37,SS_Aval!$A$11:$A$18,1)+1)-INDEX(SS_Aval!$A$11:$A$18,MATCH(A37,SS_Aval!$A$11:$A$18,1)))*(INDEX(SS_Aval!$E$11:$E$18,MATCH(A37,SS_Aval!$A$11:$A$18,1)+1)-INDEX(SS_Aval!$E$11:$E$18,MATCH(A37,SS_Aval!$A$11:$A$18,1)))))</f>
        <v/>
      </c>
      <c r="G37" s="36">
        <f>F37+E37</f>
        <v/>
      </c>
      <c r="H37" s="5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  <c r="L37" s="27">
        <f>IF(Parametres!$C$88&lt;=0,0,H37/Parametres!$C$88)</f>
        <v/>
      </c>
      <c r="M37" s="27">
        <f>IF(OR(C37&lt;0.05,D37&lt;0.05),"",I37/D37)</f>
        <v/>
      </c>
    </row>
    <row r="38">
      <c r="A38" s="26" t="n">
        <v>34.75</v>
      </c>
      <c r="B38" s="26">
        <f>A38-$B$12</f>
        <v/>
      </c>
      <c r="C38" s="26">
        <f>MAX(0,A38-$B$6)</f>
        <v/>
      </c>
      <c r="D38" s="5">
        <f>IF(C38&lt;=0,0,($B$7+$B$9*C38)*C38)</f>
        <v/>
      </c>
      <c r="E38" s="29">
        <f>IF($B$13=1,D38*$B$11,0)</f>
        <v/>
      </c>
      <c r="F38" s="29">
        <f>IF(A38&lt;=INDEX(SS_Aval!$A$11:$A$18,1),INDEX(SS_Aval!$E$11:$E$18,1),IF(A38&gt;=INDEX(SS_Aval!$A$11:$A$18,ROWS(SS_Aval!$A$11:$A$18)),INDEX(SS_Aval!$E$11:$E$18,ROWS(SS_Aval!$E$11:$E$18)),INDEX(SS_Aval!$E$11:$E$18,MATCH(A38,SS_Aval!$A$11:$A$18,1))+(A38-INDEX(SS_Aval!$A$11:$A$18,MATCH(A38,SS_Aval!$A$11:$A$18,1)))/(INDEX(SS_Aval!$A$11:$A$18,MATCH(A38,SS_Aval!$A$11:$A$18,1)+1)-INDEX(SS_Aval!$A$11:$A$18,MATCH(A38,SS_Aval!$A$11:$A$18,1)))*(INDEX(SS_Aval!$E$11:$E$18,MATCH(A38,SS_Aval!$A$11:$A$18,1)+1)-INDEX(SS_Aval!$E$11:$E$18,MATCH(A38,SS_Aval!$A$11:$A$18,1)))))</f>
        <v/>
      </c>
      <c r="G38" s="36">
        <f>F38+E38</f>
        <v/>
      </c>
      <c r="H38" s="5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  <c r="L38" s="27">
        <f>IF(Parametres!$C$88&lt;=0,0,H38/Parametres!$C$88)</f>
        <v/>
      </c>
      <c r="M38" s="27">
        <f>IF(OR(C38&lt;0.05,D38&lt;0.05),"",I38/D38)</f>
        <v/>
      </c>
    </row>
    <row r="39">
      <c r="A39" s="26" t="n">
        <v>34.8</v>
      </c>
      <c r="B39" s="26">
        <f>A39-$B$12</f>
        <v/>
      </c>
      <c r="C39" s="26">
        <f>MAX(0,A39-$B$6)</f>
        <v/>
      </c>
      <c r="D39" s="5">
        <f>IF(C39&lt;=0,0,($B$7+$B$9*C39)*C39)</f>
        <v/>
      </c>
      <c r="E39" s="29">
        <f>IF($B$13=1,D39*$B$11,0)</f>
        <v/>
      </c>
      <c r="F39" s="29">
        <f>IF(A39&lt;=INDEX(SS_Aval!$A$11:$A$18,1),INDEX(SS_Aval!$E$11:$E$18,1),IF(A39&gt;=INDEX(SS_Aval!$A$11:$A$18,ROWS(SS_Aval!$A$11:$A$18)),INDEX(SS_Aval!$E$11:$E$18,ROWS(SS_Aval!$E$11:$E$18)),INDEX(SS_Aval!$E$11:$E$18,MATCH(A39,SS_Aval!$A$11:$A$18,1))+(A39-INDEX(SS_Aval!$A$11:$A$18,MATCH(A39,SS_Aval!$A$11:$A$18,1)))/(INDEX(SS_Aval!$A$11:$A$18,MATCH(A39,SS_Aval!$A$11:$A$18,1)+1)-INDEX(SS_Aval!$A$11:$A$18,MATCH(A39,SS_Aval!$A$11:$A$18,1)))*(INDEX(SS_Aval!$E$11:$E$18,MATCH(A39,SS_Aval!$A$11:$A$18,1)+1)-INDEX(SS_Aval!$E$11:$E$18,MATCH(A39,SS_Aval!$A$11:$A$18,1)))))</f>
        <v/>
      </c>
      <c r="G39" s="36">
        <f>F39+E39</f>
        <v/>
      </c>
      <c r="H39" s="5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  <c r="L39" s="27">
        <f>IF(Parametres!$C$88&lt;=0,0,H39/Parametres!$C$88)</f>
        <v/>
      </c>
      <c r="M39" s="27">
        <f>IF(OR(C39&lt;0.05,D39&lt;0.05),"",I39/D39)</f>
        <v/>
      </c>
    </row>
    <row r="40">
      <c r="A40" s="26" t="n">
        <v>34.85</v>
      </c>
      <c r="B40" s="26">
        <f>A40-$B$12</f>
        <v/>
      </c>
      <c r="C40" s="26">
        <f>MAX(0,A40-$B$6)</f>
        <v/>
      </c>
      <c r="D40" s="5">
        <f>IF(C40&lt;=0,0,($B$7+$B$9*C40)*C40)</f>
        <v/>
      </c>
      <c r="E40" s="29">
        <f>IF($B$13=1,D40*$B$11,0)</f>
        <v/>
      </c>
      <c r="F40" s="29">
        <f>IF(A40&lt;=INDEX(SS_Aval!$A$11:$A$18,1),INDEX(SS_Aval!$E$11:$E$18,1),IF(A40&gt;=INDEX(SS_Aval!$A$11:$A$18,ROWS(SS_Aval!$A$11:$A$18)),INDEX(SS_Aval!$E$11:$E$18,ROWS(SS_Aval!$E$11:$E$18)),INDEX(SS_Aval!$E$11:$E$18,MATCH(A40,SS_Aval!$A$11:$A$18,1))+(A40-INDEX(SS_Aval!$A$11:$A$18,MATCH(A40,SS_Aval!$A$11:$A$18,1)))/(INDEX(SS_Aval!$A$11:$A$18,MATCH(A40,SS_Aval!$A$11:$A$18,1)+1)-INDEX(SS_Aval!$A$11:$A$18,MATCH(A40,SS_Aval!$A$11:$A$18,1)))*(INDEX(SS_Aval!$E$11:$E$18,MATCH(A40,SS_Aval!$A$11:$A$18,1)+1)-INDEX(SS_Aval!$E$11:$E$18,MATCH(A40,SS_Aval!$A$11:$A$18,1)))))</f>
        <v/>
      </c>
      <c r="G40" s="36">
        <f>F40+E40</f>
        <v/>
      </c>
      <c r="H40" s="5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  <c r="L40" s="27">
        <f>IF(Parametres!$C$88&lt;=0,0,H40/Parametres!$C$88)</f>
        <v/>
      </c>
      <c r="M40" s="27">
        <f>IF(OR(C40&lt;0.05,D40&lt;0.05),"",I40/D40)</f>
        <v/>
      </c>
    </row>
    <row r="41">
      <c r="A41" s="26" t="n">
        <v>34.9</v>
      </c>
      <c r="B41" s="26">
        <f>A41-$B$12</f>
        <v/>
      </c>
      <c r="C41" s="26">
        <f>MAX(0,A41-$B$6)</f>
        <v/>
      </c>
      <c r="D41" s="5">
        <f>IF(C41&lt;=0,0,($B$7+$B$9*C41)*C41)</f>
        <v/>
      </c>
      <c r="E41" s="29">
        <f>IF($B$13=1,D41*$B$11,0)</f>
        <v/>
      </c>
      <c r="F41" s="29">
        <f>IF(A41&lt;=INDEX(SS_Aval!$A$11:$A$18,1),INDEX(SS_Aval!$E$11:$E$18,1),IF(A41&gt;=INDEX(SS_Aval!$A$11:$A$18,ROWS(SS_Aval!$A$11:$A$18)),INDEX(SS_Aval!$E$11:$E$18,ROWS(SS_Aval!$E$11:$E$18)),INDEX(SS_Aval!$E$11:$E$18,MATCH(A41,SS_Aval!$A$11:$A$18,1))+(A41-INDEX(SS_Aval!$A$11:$A$18,MATCH(A41,SS_Aval!$A$11:$A$18,1)))/(INDEX(SS_Aval!$A$11:$A$18,MATCH(A41,SS_Aval!$A$11:$A$18,1)+1)-INDEX(SS_Aval!$A$11:$A$18,MATCH(A41,SS_Aval!$A$11:$A$18,1)))*(INDEX(SS_Aval!$E$11:$E$18,MATCH(A41,SS_Aval!$A$11:$A$18,1)+1)-INDEX(SS_Aval!$E$11:$E$18,MATCH(A41,SS_Aval!$A$11:$A$18,1)))))</f>
        <v/>
      </c>
      <c r="G41" s="36">
        <f>F41+E41</f>
        <v/>
      </c>
      <c r="H41" s="5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  <c r="L41" s="27">
        <f>IF(Parametres!$C$88&lt;=0,0,H41/Parametres!$C$88)</f>
        <v/>
      </c>
      <c r="M41" s="27">
        <f>IF(OR(C41&lt;0.05,D41&lt;0.05),"",I41/D41)</f>
        <v/>
      </c>
    </row>
    <row r="42">
      <c r="A42" s="26" t="n">
        <v>34.95</v>
      </c>
      <c r="B42" s="26">
        <f>A42-$B$12</f>
        <v/>
      </c>
      <c r="C42" s="26">
        <f>MAX(0,A42-$B$6)</f>
        <v/>
      </c>
      <c r="D42" s="5">
        <f>IF(C42&lt;=0,0,($B$7+$B$9*C42)*C42)</f>
        <v/>
      </c>
      <c r="E42" s="29">
        <f>IF($B$13=1,D42*$B$11,0)</f>
        <v/>
      </c>
      <c r="F42" s="29">
        <f>IF(A42&lt;=INDEX(SS_Aval!$A$11:$A$18,1),INDEX(SS_Aval!$E$11:$E$18,1),IF(A42&gt;=INDEX(SS_Aval!$A$11:$A$18,ROWS(SS_Aval!$A$11:$A$18)),INDEX(SS_Aval!$E$11:$E$18,ROWS(SS_Aval!$E$11:$E$18)),INDEX(SS_Aval!$E$11:$E$18,MATCH(A42,SS_Aval!$A$11:$A$18,1))+(A42-INDEX(SS_Aval!$A$11:$A$18,MATCH(A42,SS_Aval!$A$11:$A$18,1)))/(INDEX(SS_Aval!$A$11:$A$18,MATCH(A42,SS_Aval!$A$11:$A$18,1)+1)-INDEX(SS_Aval!$A$11:$A$18,MATCH(A42,SS_Aval!$A$11:$A$18,1)))*(INDEX(SS_Aval!$E$11:$E$18,MATCH(A42,SS_Aval!$A$11:$A$18,1)+1)-INDEX(SS_Aval!$E$11:$E$18,MATCH(A42,SS_Aval!$A$11:$A$18,1)))))</f>
        <v/>
      </c>
      <c r="G42" s="36">
        <f>F42+E42</f>
        <v/>
      </c>
      <c r="H42" s="5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  <c r="L42" s="27">
        <f>IF(Parametres!$C$88&lt;=0,0,H42/Parametres!$C$88)</f>
        <v/>
      </c>
      <c r="M42" s="27">
        <f>IF(OR(C42&lt;0.05,D42&lt;0.05),"",I42/D42)</f>
        <v/>
      </c>
    </row>
    <row r="43">
      <c r="A43" s="26" t="n">
        <v>35</v>
      </c>
      <c r="B43" s="26">
        <f>A43-$B$12</f>
        <v/>
      </c>
      <c r="C43" s="26">
        <f>MAX(0,A43-$B$6)</f>
        <v/>
      </c>
      <c r="D43" s="5">
        <f>IF(C43&lt;=0,0,($B$7+$B$9*C43)*C43)</f>
        <v/>
      </c>
      <c r="E43" s="29">
        <f>IF($B$13=1,D43*$B$11,0)</f>
        <v/>
      </c>
      <c r="F43" s="29">
        <f>IF(A43&lt;=INDEX(SS_Aval!$A$11:$A$18,1),INDEX(SS_Aval!$E$11:$E$18,1),IF(A43&gt;=INDEX(SS_Aval!$A$11:$A$18,ROWS(SS_Aval!$A$11:$A$18)),INDEX(SS_Aval!$E$11:$E$18,ROWS(SS_Aval!$E$11:$E$18)),INDEX(SS_Aval!$E$11:$E$18,MATCH(A43,SS_Aval!$A$11:$A$18,1))+(A43-INDEX(SS_Aval!$A$11:$A$18,MATCH(A43,SS_Aval!$A$11:$A$18,1)))/(INDEX(SS_Aval!$A$11:$A$18,MATCH(A43,SS_Aval!$A$11:$A$18,1)+1)-INDEX(SS_Aval!$A$11:$A$18,MATCH(A43,SS_Aval!$A$11:$A$18,1)))*(INDEX(SS_Aval!$E$11:$E$18,MATCH(A43,SS_Aval!$A$11:$A$18,1)+1)-INDEX(SS_Aval!$E$11:$E$18,MATCH(A43,SS_Aval!$A$11:$A$18,1)))))</f>
        <v/>
      </c>
      <c r="G43" s="36">
        <f>F43+E43</f>
        <v/>
      </c>
      <c r="H43" s="5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  <c r="L43" s="27">
        <f>IF(Parametres!$C$88&lt;=0,0,H43/Parametres!$C$88)</f>
        <v/>
      </c>
      <c r="M43" s="27">
        <f>IF(OR(C43&lt;0.05,D43&lt;0.05),"",I43/D43)</f>
        <v/>
      </c>
    </row>
    <row r="44">
      <c r="A44" s="26" t="n">
        <v>35.05</v>
      </c>
      <c r="B44" s="26">
        <f>A44-$B$12</f>
        <v/>
      </c>
      <c r="C44" s="26">
        <f>MAX(0,A44-$B$6)</f>
        <v/>
      </c>
      <c r="D44" s="5">
        <f>IF(C44&lt;=0,0,($B$7+$B$9*C44)*C44)</f>
        <v/>
      </c>
      <c r="E44" s="29">
        <f>IF($B$13=1,D44*$B$11,0)</f>
        <v/>
      </c>
      <c r="F44" s="29">
        <f>IF(A44&lt;=INDEX(SS_Aval!$A$11:$A$18,1),INDEX(SS_Aval!$E$11:$E$18,1),IF(A44&gt;=INDEX(SS_Aval!$A$11:$A$18,ROWS(SS_Aval!$A$11:$A$18)),INDEX(SS_Aval!$E$11:$E$18,ROWS(SS_Aval!$E$11:$E$18)),INDEX(SS_Aval!$E$11:$E$18,MATCH(A44,SS_Aval!$A$11:$A$18,1))+(A44-INDEX(SS_Aval!$A$11:$A$18,MATCH(A44,SS_Aval!$A$11:$A$18,1)))/(INDEX(SS_Aval!$A$11:$A$18,MATCH(A44,SS_Aval!$A$11:$A$18,1)+1)-INDEX(SS_Aval!$A$11:$A$18,MATCH(A44,SS_Aval!$A$11:$A$18,1)))*(INDEX(SS_Aval!$E$11:$E$18,MATCH(A44,SS_Aval!$A$11:$A$18,1)+1)-INDEX(SS_Aval!$E$11:$E$18,MATCH(A44,SS_Aval!$A$11:$A$18,1)))))</f>
        <v/>
      </c>
      <c r="G44" s="36">
        <f>F44+E44</f>
        <v/>
      </c>
      <c r="H44" s="5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  <c r="L44" s="27">
        <f>IF(Parametres!$C$88&lt;=0,0,H44/Parametres!$C$88)</f>
        <v/>
      </c>
      <c r="M44" s="27">
        <f>IF(OR(C44&lt;0.05,D44&lt;0.05),"",I44/D44)</f>
        <v/>
      </c>
    </row>
    <row r="45">
      <c r="A45" s="26" t="n">
        <v>35.1</v>
      </c>
      <c r="B45" s="26">
        <f>A45-$B$12</f>
        <v/>
      </c>
      <c r="C45" s="26">
        <f>MAX(0,A45-$B$6)</f>
        <v/>
      </c>
      <c r="D45" s="5">
        <f>IF(C45&lt;=0,0,($B$7+$B$9*C45)*C45)</f>
        <v/>
      </c>
      <c r="E45" s="29">
        <f>IF($B$13=1,D45*$B$11,0)</f>
        <v/>
      </c>
      <c r="F45" s="29">
        <f>IF(A45&lt;=INDEX(SS_Aval!$A$11:$A$18,1),INDEX(SS_Aval!$E$11:$E$18,1),IF(A45&gt;=INDEX(SS_Aval!$A$11:$A$18,ROWS(SS_Aval!$A$11:$A$18)),INDEX(SS_Aval!$E$11:$E$18,ROWS(SS_Aval!$E$11:$E$18)),INDEX(SS_Aval!$E$11:$E$18,MATCH(A45,SS_Aval!$A$11:$A$18,1))+(A45-INDEX(SS_Aval!$A$11:$A$18,MATCH(A45,SS_Aval!$A$11:$A$18,1)))/(INDEX(SS_Aval!$A$11:$A$18,MATCH(A45,SS_Aval!$A$11:$A$18,1)+1)-INDEX(SS_Aval!$A$11:$A$18,MATCH(A45,SS_Aval!$A$11:$A$18,1)))*(INDEX(SS_Aval!$E$11:$E$18,MATCH(A45,SS_Aval!$A$11:$A$18,1)+1)-INDEX(SS_Aval!$E$11:$E$18,MATCH(A45,SS_Aval!$A$11:$A$18,1)))))</f>
        <v/>
      </c>
      <c r="G45" s="36">
        <f>F45+E45</f>
        <v/>
      </c>
      <c r="H45" s="5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  <c r="L45" s="27">
        <f>IF(Parametres!$C$88&lt;=0,0,H45/Parametres!$C$88)</f>
        <v/>
      </c>
      <c r="M45" s="27">
        <f>IF(OR(C45&lt;0.05,D45&lt;0.05),"",I45/D45)</f>
        <v/>
      </c>
    </row>
    <row r="46">
      <c r="A46" s="26" t="n">
        <v>35.15</v>
      </c>
      <c r="B46" s="26">
        <f>A46-$B$12</f>
        <v/>
      </c>
      <c r="C46" s="26">
        <f>MAX(0,A46-$B$6)</f>
        <v/>
      </c>
      <c r="D46" s="5">
        <f>IF(C46&lt;=0,0,($B$7+$B$9*C46)*C46)</f>
        <v/>
      </c>
      <c r="E46" s="29">
        <f>IF($B$13=1,D46*$B$11,0)</f>
        <v/>
      </c>
      <c r="F46" s="29">
        <f>IF(A46&lt;=INDEX(SS_Aval!$A$11:$A$18,1),INDEX(SS_Aval!$E$11:$E$18,1),IF(A46&gt;=INDEX(SS_Aval!$A$11:$A$18,ROWS(SS_Aval!$A$11:$A$18)),INDEX(SS_Aval!$E$11:$E$18,ROWS(SS_Aval!$E$11:$E$18)),INDEX(SS_Aval!$E$11:$E$18,MATCH(A46,SS_Aval!$A$11:$A$18,1))+(A46-INDEX(SS_Aval!$A$11:$A$18,MATCH(A46,SS_Aval!$A$11:$A$18,1)))/(INDEX(SS_Aval!$A$11:$A$18,MATCH(A46,SS_Aval!$A$11:$A$18,1)+1)-INDEX(SS_Aval!$A$11:$A$18,MATCH(A46,SS_Aval!$A$11:$A$18,1)))*(INDEX(SS_Aval!$E$11:$E$18,MATCH(A46,SS_Aval!$A$11:$A$18,1)+1)-INDEX(SS_Aval!$E$11:$E$18,MATCH(A46,SS_Aval!$A$11:$A$18,1)))))</f>
        <v/>
      </c>
      <c r="G46" s="36">
        <f>F46+E46</f>
        <v/>
      </c>
      <c r="H46" s="5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  <c r="L46" s="27">
        <f>IF(Parametres!$C$88&lt;=0,0,H46/Parametres!$C$88)</f>
        <v/>
      </c>
      <c r="M46" s="27">
        <f>IF(OR(C46&lt;0.05,D46&lt;0.05),"",I46/D46)</f>
        <v/>
      </c>
    </row>
    <row r="47">
      <c r="A47" s="26" t="n">
        <v>35.2</v>
      </c>
      <c r="B47" s="26">
        <f>A47-$B$12</f>
        <v/>
      </c>
      <c r="C47" s="26">
        <f>MAX(0,A47-$B$6)</f>
        <v/>
      </c>
      <c r="D47" s="5">
        <f>IF(C47&lt;=0,0,($B$7+$B$9*C47)*C47)</f>
        <v/>
      </c>
      <c r="E47" s="29">
        <f>IF($B$13=1,D47*$B$11,0)</f>
        <v/>
      </c>
      <c r="F47" s="29">
        <f>IF(A47&lt;=INDEX(SS_Aval!$A$11:$A$18,1),INDEX(SS_Aval!$E$11:$E$18,1),IF(A47&gt;=INDEX(SS_Aval!$A$11:$A$18,ROWS(SS_Aval!$A$11:$A$18)),INDEX(SS_Aval!$E$11:$E$18,ROWS(SS_Aval!$E$11:$E$18)),INDEX(SS_Aval!$E$11:$E$18,MATCH(A47,SS_Aval!$A$11:$A$18,1))+(A47-INDEX(SS_Aval!$A$11:$A$18,MATCH(A47,SS_Aval!$A$11:$A$18,1)))/(INDEX(SS_Aval!$A$11:$A$18,MATCH(A47,SS_Aval!$A$11:$A$18,1)+1)-INDEX(SS_Aval!$A$11:$A$18,MATCH(A47,SS_Aval!$A$11:$A$18,1)))*(INDEX(SS_Aval!$E$11:$E$18,MATCH(A47,SS_Aval!$A$11:$A$18,1)+1)-INDEX(SS_Aval!$E$11:$E$18,MATCH(A47,SS_Aval!$A$11:$A$18,1)))))</f>
        <v/>
      </c>
      <c r="G47" s="36">
        <f>F47+E47</f>
        <v/>
      </c>
      <c r="H47" s="5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  <c r="L47" s="27">
        <f>IF(Parametres!$C$88&lt;=0,0,H47/Parametres!$C$88)</f>
        <v/>
      </c>
      <c r="M47" s="27">
        <f>IF(OR(C47&lt;0.05,D47&lt;0.05),"",I47/D47)</f>
        <v/>
      </c>
    </row>
    <row r="48">
      <c r="A48" s="26" t="n">
        <v>35.25</v>
      </c>
      <c r="B48" s="26">
        <f>A48-$B$12</f>
        <v/>
      </c>
      <c r="C48" s="26">
        <f>MAX(0,A48-$B$6)</f>
        <v/>
      </c>
      <c r="D48" s="5">
        <f>IF(C48&lt;=0,0,($B$7+$B$9*C48)*C48)</f>
        <v/>
      </c>
      <c r="E48" s="29">
        <f>IF($B$13=1,D48*$B$11,0)</f>
        <v/>
      </c>
      <c r="F48" s="29">
        <f>IF(A48&lt;=INDEX(SS_Aval!$A$11:$A$18,1),INDEX(SS_Aval!$E$11:$E$18,1),IF(A48&gt;=INDEX(SS_Aval!$A$11:$A$18,ROWS(SS_Aval!$A$11:$A$18)),INDEX(SS_Aval!$E$11:$E$18,ROWS(SS_Aval!$E$11:$E$18)),INDEX(SS_Aval!$E$11:$E$18,MATCH(A48,SS_Aval!$A$11:$A$18,1))+(A48-INDEX(SS_Aval!$A$11:$A$18,MATCH(A48,SS_Aval!$A$11:$A$18,1)))/(INDEX(SS_Aval!$A$11:$A$18,MATCH(A48,SS_Aval!$A$11:$A$18,1)+1)-INDEX(SS_Aval!$A$11:$A$18,MATCH(A48,SS_Aval!$A$11:$A$18,1)))*(INDEX(SS_Aval!$E$11:$E$18,MATCH(A48,SS_Aval!$A$11:$A$18,1)+1)-INDEX(SS_Aval!$E$11:$E$18,MATCH(A48,SS_Aval!$A$11:$A$18,1)))))</f>
        <v/>
      </c>
      <c r="G48" s="36">
        <f>F48+E48</f>
        <v/>
      </c>
      <c r="H48" s="5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  <c r="L48" s="27">
        <f>IF(Parametres!$C$88&lt;=0,0,H48/Parametres!$C$88)</f>
        <v/>
      </c>
      <c r="M48" s="27">
        <f>IF(OR(C48&lt;0.05,D48&lt;0.05),"",I48/D48)</f>
        <v/>
      </c>
    </row>
    <row r="49">
      <c r="A49" s="26" t="n">
        <v>35.3</v>
      </c>
      <c r="B49" s="26">
        <f>A49-$B$12</f>
        <v/>
      </c>
      <c r="C49" s="26">
        <f>MAX(0,A49-$B$6)</f>
        <v/>
      </c>
      <c r="D49" s="5">
        <f>IF(C49&lt;=0,0,($B$7+$B$9*C49)*C49)</f>
        <v/>
      </c>
      <c r="E49" s="29">
        <f>IF($B$13=1,D49*$B$11,0)</f>
        <v/>
      </c>
      <c r="F49" s="29">
        <f>IF(A49&lt;=INDEX(SS_Aval!$A$11:$A$18,1),INDEX(SS_Aval!$E$11:$E$18,1),IF(A49&gt;=INDEX(SS_Aval!$A$11:$A$18,ROWS(SS_Aval!$A$11:$A$18)),INDEX(SS_Aval!$E$11:$E$18,ROWS(SS_Aval!$E$11:$E$18)),INDEX(SS_Aval!$E$11:$E$18,MATCH(A49,SS_Aval!$A$11:$A$18,1))+(A49-INDEX(SS_Aval!$A$11:$A$18,MATCH(A49,SS_Aval!$A$11:$A$18,1)))/(INDEX(SS_Aval!$A$11:$A$18,MATCH(A49,SS_Aval!$A$11:$A$18,1)+1)-INDEX(SS_Aval!$A$11:$A$18,MATCH(A49,SS_Aval!$A$11:$A$18,1)))*(INDEX(SS_Aval!$E$11:$E$18,MATCH(A49,SS_Aval!$A$11:$A$18,1)+1)-INDEX(SS_Aval!$E$11:$E$18,MATCH(A49,SS_Aval!$A$11:$A$18,1)))))</f>
        <v/>
      </c>
      <c r="G49" s="36">
        <f>F49+E49</f>
        <v/>
      </c>
      <c r="H49" s="5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  <c r="L49" s="27">
        <f>IF(Parametres!$C$88&lt;=0,0,H49/Parametres!$C$88)</f>
        <v/>
      </c>
      <c r="M49" s="27">
        <f>IF(OR(C49&lt;0.05,D49&lt;0.05),"",I49/D49)</f>
        <v/>
      </c>
    </row>
    <row r="50">
      <c r="A50" s="26" t="n">
        <v>35.35</v>
      </c>
      <c r="B50" s="26">
        <f>A50-$B$12</f>
        <v/>
      </c>
      <c r="C50" s="26">
        <f>MAX(0,A50-$B$6)</f>
        <v/>
      </c>
      <c r="D50" s="5">
        <f>IF(C50&lt;=0,0,($B$7+$B$9*C50)*C50)</f>
        <v/>
      </c>
      <c r="E50" s="29">
        <f>IF($B$13=1,D50*$B$11,0)</f>
        <v/>
      </c>
      <c r="F50" s="29">
        <f>IF(A50&lt;=INDEX(SS_Aval!$A$11:$A$18,1),INDEX(SS_Aval!$E$11:$E$18,1),IF(A50&gt;=INDEX(SS_Aval!$A$11:$A$18,ROWS(SS_Aval!$A$11:$A$18)),INDEX(SS_Aval!$E$11:$E$18,ROWS(SS_Aval!$E$11:$E$18)),INDEX(SS_Aval!$E$11:$E$18,MATCH(A50,SS_Aval!$A$11:$A$18,1))+(A50-INDEX(SS_Aval!$A$11:$A$18,MATCH(A50,SS_Aval!$A$11:$A$18,1)))/(INDEX(SS_Aval!$A$11:$A$18,MATCH(A50,SS_Aval!$A$11:$A$18,1)+1)-INDEX(SS_Aval!$A$11:$A$18,MATCH(A50,SS_Aval!$A$11:$A$18,1)))*(INDEX(SS_Aval!$E$11:$E$18,MATCH(A50,SS_Aval!$A$11:$A$18,1)+1)-INDEX(SS_Aval!$E$11:$E$18,MATCH(A50,SS_Aval!$A$11:$A$18,1)))))</f>
        <v/>
      </c>
      <c r="G50" s="36">
        <f>F50+E50</f>
        <v/>
      </c>
      <c r="H50" s="5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  <c r="L50" s="27">
        <f>IF(Parametres!$C$88&lt;=0,0,H50/Parametres!$C$88)</f>
        <v/>
      </c>
      <c r="M50" s="27">
        <f>IF(OR(C50&lt;0.05,D50&lt;0.05),"",I50/D50)</f>
        <v/>
      </c>
    </row>
    <row r="51">
      <c r="A51" s="26" t="n">
        <v>35.4</v>
      </c>
      <c r="B51" s="26">
        <f>A51-$B$12</f>
        <v/>
      </c>
      <c r="C51" s="26">
        <f>MAX(0,A51-$B$6)</f>
        <v/>
      </c>
      <c r="D51" s="5">
        <f>IF(C51&lt;=0,0,($B$7+$B$9*C51)*C51)</f>
        <v/>
      </c>
      <c r="E51" s="29">
        <f>IF($B$13=1,D51*$B$11,0)</f>
        <v/>
      </c>
      <c r="F51" s="29">
        <f>IF(A51&lt;=INDEX(SS_Aval!$A$11:$A$18,1),INDEX(SS_Aval!$E$11:$E$18,1),IF(A51&gt;=INDEX(SS_Aval!$A$11:$A$18,ROWS(SS_Aval!$A$11:$A$18)),INDEX(SS_Aval!$E$11:$E$18,ROWS(SS_Aval!$E$11:$E$18)),INDEX(SS_Aval!$E$11:$E$18,MATCH(A51,SS_Aval!$A$11:$A$18,1))+(A51-INDEX(SS_Aval!$A$11:$A$18,MATCH(A51,SS_Aval!$A$11:$A$18,1)))/(INDEX(SS_Aval!$A$11:$A$18,MATCH(A51,SS_Aval!$A$11:$A$18,1)+1)-INDEX(SS_Aval!$A$11:$A$18,MATCH(A51,SS_Aval!$A$11:$A$18,1)))*(INDEX(SS_Aval!$E$11:$E$18,MATCH(A51,SS_Aval!$A$11:$A$18,1)+1)-INDEX(SS_Aval!$E$11:$E$18,MATCH(A51,SS_Aval!$A$11:$A$18,1)))))</f>
        <v/>
      </c>
      <c r="G51" s="36">
        <f>F51+E51</f>
        <v/>
      </c>
      <c r="H51" s="5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  <c r="L51" s="27">
        <f>IF(Parametres!$C$88&lt;=0,0,H51/Parametres!$C$88)</f>
        <v/>
      </c>
      <c r="M51" s="27">
        <f>IF(OR(C51&lt;0.05,D51&lt;0.05),"",I51/D51)</f>
        <v/>
      </c>
    </row>
    <row r="52">
      <c r="A52" s="26" t="n">
        <v>35.45</v>
      </c>
      <c r="B52" s="26">
        <f>A52-$B$12</f>
        <v/>
      </c>
      <c r="C52" s="26">
        <f>MAX(0,A52-$B$6)</f>
        <v/>
      </c>
      <c r="D52" s="5">
        <f>IF(C52&lt;=0,0,($B$7+$B$9*C52)*C52)</f>
        <v/>
      </c>
      <c r="E52" s="29">
        <f>IF($B$13=1,D52*$B$11,0)</f>
        <v/>
      </c>
      <c r="F52" s="29">
        <f>IF(A52&lt;=INDEX(SS_Aval!$A$11:$A$18,1),INDEX(SS_Aval!$E$11:$E$18,1),IF(A52&gt;=INDEX(SS_Aval!$A$11:$A$18,ROWS(SS_Aval!$A$11:$A$18)),INDEX(SS_Aval!$E$11:$E$18,ROWS(SS_Aval!$E$11:$E$18)),INDEX(SS_Aval!$E$11:$E$18,MATCH(A52,SS_Aval!$A$11:$A$18,1))+(A52-INDEX(SS_Aval!$A$11:$A$18,MATCH(A52,SS_Aval!$A$11:$A$18,1)))/(INDEX(SS_Aval!$A$11:$A$18,MATCH(A52,SS_Aval!$A$11:$A$18,1)+1)-INDEX(SS_Aval!$A$11:$A$18,MATCH(A52,SS_Aval!$A$11:$A$18,1)))*(INDEX(SS_Aval!$E$11:$E$18,MATCH(A52,SS_Aval!$A$11:$A$18,1)+1)-INDEX(SS_Aval!$E$11:$E$18,MATCH(A52,SS_Aval!$A$11:$A$18,1)))))</f>
        <v/>
      </c>
      <c r="G52" s="36">
        <f>F52+E52</f>
        <v/>
      </c>
      <c r="H52" s="5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  <c r="L52" s="27">
        <f>IF(Parametres!$C$88&lt;=0,0,H52/Parametres!$C$88)</f>
        <v/>
      </c>
      <c r="M52" s="27">
        <f>IF(OR(C52&lt;0.05,D52&lt;0.05),"",I52/D52)</f>
        <v/>
      </c>
    </row>
    <row r="53">
      <c r="A53" s="26" t="n">
        <v>35.5</v>
      </c>
      <c r="B53" s="26">
        <f>A53-$B$12</f>
        <v/>
      </c>
      <c r="C53" s="26">
        <f>MAX(0,A53-$B$6)</f>
        <v/>
      </c>
      <c r="D53" s="5">
        <f>IF(C53&lt;=0,0,($B$7+$B$9*C53)*C53)</f>
        <v/>
      </c>
      <c r="E53" s="29">
        <f>IF($B$13=1,D53*$B$11,0)</f>
        <v/>
      </c>
      <c r="F53" s="29">
        <f>IF(A53&lt;=INDEX(SS_Aval!$A$11:$A$18,1),INDEX(SS_Aval!$E$11:$E$18,1),IF(A53&gt;=INDEX(SS_Aval!$A$11:$A$18,ROWS(SS_Aval!$A$11:$A$18)),INDEX(SS_Aval!$E$11:$E$18,ROWS(SS_Aval!$E$11:$E$18)),INDEX(SS_Aval!$E$11:$E$18,MATCH(A53,SS_Aval!$A$11:$A$18,1))+(A53-INDEX(SS_Aval!$A$11:$A$18,MATCH(A53,SS_Aval!$A$11:$A$18,1)))/(INDEX(SS_Aval!$A$11:$A$18,MATCH(A53,SS_Aval!$A$11:$A$18,1)+1)-INDEX(SS_Aval!$A$11:$A$18,MATCH(A53,SS_Aval!$A$11:$A$18,1)))*(INDEX(SS_Aval!$E$11:$E$18,MATCH(A53,SS_Aval!$A$11:$A$18,1)+1)-INDEX(SS_Aval!$E$11:$E$18,MATCH(A53,SS_Aval!$A$11:$A$18,1)))))</f>
        <v/>
      </c>
      <c r="G53" s="36">
        <f>F53+E53</f>
        <v/>
      </c>
      <c r="H53" s="5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  <c r="L53" s="27">
        <f>IF(Parametres!$C$88&lt;=0,0,H53/Parametres!$C$88)</f>
        <v/>
      </c>
      <c r="M53" s="27">
        <f>IF(OR(C53&lt;0.05,D53&lt;0.05),"",I53/D53)</f>
        <v/>
      </c>
    </row>
    <row r="54">
      <c r="A54" s="26" t="n">
        <v>35.55</v>
      </c>
      <c r="B54" s="26">
        <f>A54-$B$12</f>
        <v/>
      </c>
      <c r="C54" s="26">
        <f>MAX(0,A54-$B$6)</f>
        <v/>
      </c>
      <c r="D54" s="5">
        <f>IF(C54&lt;=0,0,($B$7+$B$9*C54)*C54)</f>
        <v/>
      </c>
      <c r="E54" s="29">
        <f>IF($B$13=1,D54*$B$11,0)</f>
        <v/>
      </c>
      <c r="F54" s="29">
        <f>IF(A54&lt;=INDEX(SS_Aval!$A$11:$A$18,1),INDEX(SS_Aval!$E$11:$E$18,1),IF(A54&gt;=INDEX(SS_Aval!$A$11:$A$18,ROWS(SS_Aval!$A$11:$A$18)),INDEX(SS_Aval!$E$11:$E$18,ROWS(SS_Aval!$E$11:$E$18)),INDEX(SS_Aval!$E$11:$E$18,MATCH(A54,SS_Aval!$A$11:$A$18,1))+(A54-INDEX(SS_Aval!$A$11:$A$18,MATCH(A54,SS_Aval!$A$11:$A$18,1)))/(INDEX(SS_Aval!$A$11:$A$18,MATCH(A54,SS_Aval!$A$11:$A$18,1)+1)-INDEX(SS_Aval!$A$11:$A$18,MATCH(A54,SS_Aval!$A$11:$A$18,1)))*(INDEX(SS_Aval!$E$11:$E$18,MATCH(A54,SS_Aval!$A$11:$A$18,1)+1)-INDEX(SS_Aval!$E$11:$E$18,MATCH(A54,SS_Aval!$A$11:$A$18,1)))))</f>
        <v/>
      </c>
      <c r="G54" s="36">
        <f>F54+E54</f>
        <v/>
      </c>
      <c r="H54" s="5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  <c r="L54" s="27">
        <f>IF(Parametres!$C$88&lt;=0,0,H54/Parametres!$C$88)</f>
        <v/>
      </c>
      <c r="M54" s="27">
        <f>IF(OR(C54&lt;0.05,D54&lt;0.05),"",I54/D54)</f>
        <v/>
      </c>
    </row>
    <row r="55">
      <c r="A55" s="26" t="n">
        <v>35.6</v>
      </c>
      <c r="B55" s="26">
        <f>A55-$B$12</f>
        <v/>
      </c>
      <c r="C55" s="26">
        <f>MAX(0,A55-$B$6)</f>
        <v/>
      </c>
      <c r="D55" s="5">
        <f>IF(C55&lt;=0,0,($B$7+$B$9*C55)*C55)</f>
        <v/>
      </c>
      <c r="E55" s="29">
        <f>IF($B$13=1,D55*$B$11,0)</f>
        <v/>
      </c>
      <c r="F55" s="29">
        <f>IF(A55&lt;=INDEX(SS_Aval!$A$11:$A$18,1),INDEX(SS_Aval!$E$11:$E$18,1),IF(A55&gt;=INDEX(SS_Aval!$A$11:$A$18,ROWS(SS_Aval!$A$11:$A$18)),INDEX(SS_Aval!$E$11:$E$18,ROWS(SS_Aval!$E$11:$E$18)),INDEX(SS_Aval!$E$11:$E$18,MATCH(A55,SS_Aval!$A$11:$A$18,1))+(A55-INDEX(SS_Aval!$A$11:$A$18,MATCH(A55,SS_Aval!$A$11:$A$18,1)))/(INDEX(SS_Aval!$A$11:$A$18,MATCH(A55,SS_Aval!$A$11:$A$18,1)+1)-INDEX(SS_Aval!$A$11:$A$18,MATCH(A55,SS_Aval!$A$11:$A$18,1)))*(INDEX(SS_Aval!$E$11:$E$18,MATCH(A55,SS_Aval!$A$11:$A$18,1)+1)-INDEX(SS_Aval!$E$11:$E$18,MATCH(A55,SS_Aval!$A$11:$A$18,1)))))</f>
        <v/>
      </c>
      <c r="G55" s="36">
        <f>F55+E55</f>
        <v/>
      </c>
      <c r="H55" s="5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  <c r="L55" s="27">
        <f>IF(Parametres!$C$88&lt;=0,0,H55/Parametres!$C$88)</f>
        <v/>
      </c>
      <c r="M55" s="27">
        <f>IF(OR(C55&lt;0.05,D55&lt;0.05),"",I55/D55)</f>
        <v/>
      </c>
    </row>
    <row r="56">
      <c r="A56" s="26" t="n">
        <v>35.65</v>
      </c>
      <c r="B56" s="26">
        <f>A56-$B$12</f>
        <v/>
      </c>
      <c r="C56" s="26">
        <f>MAX(0,A56-$B$6)</f>
        <v/>
      </c>
      <c r="D56" s="5">
        <f>IF(C56&lt;=0,0,($B$7+$B$9*C56)*C56)</f>
        <v/>
      </c>
      <c r="E56" s="29">
        <f>IF($B$13=1,D56*$B$11,0)</f>
        <v/>
      </c>
      <c r="F56" s="29">
        <f>IF(A56&lt;=INDEX(SS_Aval!$A$11:$A$18,1),INDEX(SS_Aval!$E$11:$E$18,1),IF(A56&gt;=INDEX(SS_Aval!$A$11:$A$18,ROWS(SS_Aval!$A$11:$A$18)),INDEX(SS_Aval!$E$11:$E$18,ROWS(SS_Aval!$E$11:$E$18)),INDEX(SS_Aval!$E$11:$E$18,MATCH(A56,SS_Aval!$A$11:$A$18,1))+(A56-INDEX(SS_Aval!$A$11:$A$18,MATCH(A56,SS_Aval!$A$11:$A$18,1)))/(INDEX(SS_Aval!$A$11:$A$18,MATCH(A56,SS_Aval!$A$11:$A$18,1)+1)-INDEX(SS_Aval!$A$11:$A$18,MATCH(A56,SS_Aval!$A$11:$A$18,1)))*(INDEX(SS_Aval!$E$11:$E$18,MATCH(A56,SS_Aval!$A$11:$A$18,1)+1)-INDEX(SS_Aval!$E$11:$E$18,MATCH(A56,SS_Aval!$A$11:$A$18,1)))))</f>
        <v/>
      </c>
      <c r="G56" s="36">
        <f>F56+E56</f>
        <v/>
      </c>
      <c r="H56" s="5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  <c r="L56" s="27">
        <f>IF(Parametres!$C$88&lt;=0,0,H56/Parametres!$C$88)</f>
        <v/>
      </c>
      <c r="M56" s="27">
        <f>IF(OR(C56&lt;0.05,D56&lt;0.05),"",I56/D56)</f>
        <v/>
      </c>
    </row>
    <row r="57">
      <c r="A57" s="26" t="n">
        <v>35.7</v>
      </c>
      <c r="B57" s="26">
        <f>A57-$B$12</f>
        <v/>
      </c>
      <c r="C57" s="26">
        <f>MAX(0,A57-$B$6)</f>
        <v/>
      </c>
      <c r="D57" s="5">
        <f>IF(C57&lt;=0,0,($B$7+$B$9*C57)*C57)</f>
        <v/>
      </c>
      <c r="E57" s="29">
        <f>IF($B$13=1,D57*$B$11,0)</f>
        <v/>
      </c>
      <c r="F57" s="29">
        <f>IF(A57&lt;=INDEX(SS_Aval!$A$11:$A$18,1),INDEX(SS_Aval!$E$11:$E$18,1),IF(A57&gt;=INDEX(SS_Aval!$A$11:$A$18,ROWS(SS_Aval!$A$11:$A$18)),INDEX(SS_Aval!$E$11:$E$18,ROWS(SS_Aval!$E$11:$E$18)),INDEX(SS_Aval!$E$11:$E$18,MATCH(A57,SS_Aval!$A$11:$A$18,1))+(A57-INDEX(SS_Aval!$A$11:$A$18,MATCH(A57,SS_Aval!$A$11:$A$18,1)))/(INDEX(SS_Aval!$A$11:$A$18,MATCH(A57,SS_Aval!$A$11:$A$18,1)+1)-INDEX(SS_Aval!$A$11:$A$18,MATCH(A57,SS_Aval!$A$11:$A$18,1)))*(INDEX(SS_Aval!$E$11:$E$18,MATCH(A57,SS_Aval!$A$11:$A$18,1)+1)-INDEX(SS_Aval!$E$11:$E$18,MATCH(A57,SS_Aval!$A$11:$A$18,1)))))</f>
        <v/>
      </c>
      <c r="G57" s="36">
        <f>F57+E57</f>
        <v/>
      </c>
      <c r="H57" s="5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  <c r="L57" s="27">
        <f>IF(Parametres!$C$88&lt;=0,0,H57/Parametres!$C$88)</f>
        <v/>
      </c>
      <c r="M57" s="27">
        <f>IF(OR(C57&lt;0.05,D57&lt;0.05),"",I57/D57)</f>
        <v/>
      </c>
    </row>
    <row r="58">
      <c r="A58" s="26" t="n">
        <v>35.75</v>
      </c>
      <c r="B58" s="26">
        <f>A58-$B$12</f>
        <v/>
      </c>
      <c r="C58" s="26">
        <f>MAX(0,A58-$B$6)</f>
        <v/>
      </c>
      <c r="D58" s="5">
        <f>IF(C58&lt;=0,0,($B$7+$B$9*C58)*C58)</f>
        <v/>
      </c>
      <c r="E58" s="29">
        <f>IF($B$13=1,D58*$B$11,0)</f>
        <v/>
      </c>
      <c r="F58" s="29">
        <f>IF(A58&lt;=INDEX(SS_Aval!$A$11:$A$18,1),INDEX(SS_Aval!$E$11:$E$18,1),IF(A58&gt;=INDEX(SS_Aval!$A$11:$A$18,ROWS(SS_Aval!$A$11:$A$18)),INDEX(SS_Aval!$E$11:$E$18,ROWS(SS_Aval!$E$11:$E$18)),INDEX(SS_Aval!$E$11:$E$18,MATCH(A58,SS_Aval!$A$11:$A$18,1))+(A58-INDEX(SS_Aval!$A$11:$A$18,MATCH(A58,SS_Aval!$A$11:$A$18,1)))/(INDEX(SS_Aval!$A$11:$A$18,MATCH(A58,SS_Aval!$A$11:$A$18,1)+1)-INDEX(SS_Aval!$A$11:$A$18,MATCH(A58,SS_Aval!$A$11:$A$18,1)))*(INDEX(SS_Aval!$E$11:$E$18,MATCH(A58,SS_Aval!$A$11:$A$18,1)+1)-INDEX(SS_Aval!$E$11:$E$18,MATCH(A58,SS_Aval!$A$11:$A$18,1)))))</f>
        <v/>
      </c>
      <c r="G58" s="36">
        <f>F58+E58</f>
        <v/>
      </c>
      <c r="H58" s="5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  <c r="L58" s="27">
        <f>IF(Parametres!$C$88&lt;=0,0,H58/Parametres!$C$88)</f>
        <v/>
      </c>
      <c r="M58" s="27">
        <f>IF(OR(C58&lt;0.05,D58&lt;0.05),"",I58/D58)</f>
        <v/>
      </c>
    </row>
    <row r="59">
      <c r="A59" s="26" t="n">
        <v>35.8</v>
      </c>
      <c r="B59" s="26">
        <f>A59-$B$12</f>
        <v/>
      </c>
      <c r="C59" s="26">
        <f>MAX(0,A59-$B$6)</f>
        <v/>
      </c>
      <c r="D59" s="5">
        <f>IF(C59&lt;=0,0,($B$7+$B$9*C59)*C59)</f>
        <v/>
      </c>
      <c r="E59" s="29">
        <f>IF($B$13=1,D59*$B$11,0)</f>
        <v/>
      </c>
      <c r="F59" s="29">
        <f>IF(A59&lt;=INDEX(SS_Aval!$A$11:$A$18,1),INDEX(SS_Aval!$E$11:$E$18,1),IF(A59&gt;=INDEX(SS_Aval!$A$11:$A$18,ROWS(SS_Aval!$A$11:$A$18)),INDEX(SS_Aval!$E$11:$E$18,ROWS(SS_Aval!$E$11:$E$18)),INDEX(SS_Aval!$E$11:$E$18,MATCH(A59,SS_Aval!$A$11:$A$18,1))+(A59-INDEX(SS_Aval!$A$11:$A$18,MATCH(A59,SS_Aval!$A$11:$A$18,1)))/(INDEX(SS_Aval!$A$11:$A$18,MATCH(A59,SS_Aval!$A$11:$A$18,1)+1)-INDEX(SS_Aval!$A$11:$A$18,MATCH(A59,SS_Aval!$A$11:$A$18,1)))*(INDEX(SS_Aval!$E$11:$E$18,MATCH(A59,SS_Aval!$A$11:$A$18,1)+1)-INDEX(SS_Aval!$E$11:$E$18,MATCH(A59,SS_Aval!$A$11:$A$18,1)))))</f>
        <v/>
      </c>
      <c r="G59" s="36">
        <f>F59+E59</f>
        <v/>
      </c>
      <c r="H59" s="5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  <c r="L59" s="27">
        <f>IF(Parametres!$C$88&lt;=0,0,H59/Parametres!$C$88)</f>
        <v/>
      </c>
      <c r="M59" s="27">
        <f>IF(OR(C59&lt;0.05,D59&lt;0.05),"",I59/D59)</f>
        <v/>
      </c>
    </row>
    <row r="60">
      <c r="A60" s="26" t="n">
        <v>35.85</v>
      </c>
      <c r="B60" s="26">
        <f>A60-$B$12</f>
        <v/>
      </c>
      <c r="C60" s="26">
        <f>MAX(0,A60-$B$6)</f>
        <v/>
      </c>
      <c r="D60" s="5">
        <f>IF(C60&lt;=0,0,($B$7+$B$9*C60)*C60)</f>
        <v/>
      </c>
      <c r="E60" s="29">
        <f>IF($B$13=1,D60*$B$11,0)</f>
        <v/>
      </c>
      <c r="F60" s="29">
        <f>IF(A60&lt;=INDEX(SS_Aval!$A$11:$A$18,1),INDEX(SS_Aval!$E$11:$E$18,1),IF(A60&gt;=INDEX(SS_Aval!$A$11:$A$18,ROWS(SS_Aval!$A$11:$A$18)),INDEX(SS_Aval!$E$11:$E$18,ROWS(SS_Aval!$E$11:$E$18)),INDEX(SS_Aval!$E$11:$E$18,MATCH(A60,SS_Aval!$A$11:$A$18,1))+(A60-INDEX(SS_Aval!$A$11:$A$18,MATCH(A60,SS_Aval!$A$11:$A$18,1)))/(INDEX(SS_Aval!$A$11:$A$18,MATCH(A60,SS_Aval!$A$11:$A$18,1)+1)-INDEX(SS_Aval!$A$11:$A$18,MATCH(A60,SS_Aval!$A$11:$A$18,1)))*(INDEX(SS_Aval!$E$11:$E$18,MATCH(A60,SS_Aval!$A$11:$A$18,1)+1)-INDEX(SS_Aval!$E$11:$E$18,MATCH(A60,SS_Aval!$A$11:$A$18,1)))))</f>
        <v/>
      </c>
      <c r="G60" s="36">
        <f>F60+E60</f>
        <v/>
      </c>
      <c r="H60" s="5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  <c r="L60" s="27">
        <f>IF(Parametres!$C$88&lt;=0,0,H60/Parametres!$C$88)</f>
        <v/>
      </c>
      <c r="M60" s="27">
        <f>IF(OR(C60&lt;0.05,D60&lt;0.05),"",I60/D60)</f>
        <v/>
      </c>
    </row>
    <row r="61">
      <c r="A61" s="26" t="n">
        <v>35.9</v>
      </c>
      <c r="B61" s="26">
        <f>A61-$B$12</f>
        <v/>
      </c>
      <c r="C61" s="26">
        <f>MAX(0,A61-$B$6)</f>
        <v/>
      </c>
      <c r="D61" s="5">
        <f>IF(C61&lt;=0,0,($B$7+$B$9*C61)*C61)</f>
        <v/>
      </c>
      <c r="E61" s="29">
        <f>IF($B$13=1,D61*$B$11,0)</f>
        <v/>
      </c>
      <c r="F61" s="29">
        <f>IF(A61&lt;=INDEX(SS_Aval!$A$11:$A$18,1),INDEX(SS_Aval!$E$11:$E$18,1),IF(A61&gt;=INDEX(SS_Aval!$A$11:$A$18,ROWS(SS_Aval!$A$11:$A$18)),INDEX(SS_Aval!$E$11:$E$18,ROWS(SS_Aval!$E$11:$E$18)),INDEX(SS_Aval!$E$11:$E$18,MATCH(A61,SS_Aval!$A$11:$A$18,1))+(A61-INDEX(SS_Aval!$A$11:$A$18,MATCH(A61,SS_Aval!$A$11:$A$18,1)))/(INDEX(SS_Aval!$A$11:$A$18,MATCH(A61,SS_Aval!$A$11:$A$18,1)+1)-INDEX(SS_Aval!$A$11:$A$18,MATCH(A61,SS_Aval!$A$11:$A$18,1)))*(INDEX(SS_Aval!$E$11:$E$18,MATCH(A61,SS_Aval!$A$11:$A$18,1)+1)-INDEX(SS_Aval!$E$11:$E$18,MATCH(A61,SS_Aval!$A$11:$A$18,1)))))</f>
        <v/>
      </c>
      <c r="G61" s="36">
        <f>F61+E61</f>
        <v/>
      </c>
      <c r="H61" s="5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  <c r="L61" s="27">
        <f>IF(Parametres!$C$88&lt;=0,0,H61/Parametres!$C$88)</f>
        <v/>
      </c>
      <c r="M61" s="27">
        <f>IF(OR(C61&lt;0.05,D61&lt;0.05),"",I61/D61)</f>
        <v/>
      </c>
    </row>
    <row r="62">
      <c r="A62" s="26" t="n">
        <v>35.95</v>
      </c>
      <c r="B62" s="26">
        <f>A62-$B$12</f>
        <v/>
      </c>
      <c r="C62" s="26">
        <f>MAX(0,A62-$B$6)</f>
        <v/>
      </c>
      <c r="D62" s="5">
        <f>IF(C62&lt;=0,0,($B$7+$B$9*C62)*C62)</f>
        <v/>
      </c>
      <c r="E62" s="29">
        <f>IF($B$13=1,D62*$B$11,0)</f>
        <v/>
      </c>
      <c r="F62" s="29">
        <f>IF(A62&lt;=INDEX(SS_Aval!$A$11:$A$18,1),INDEX(SS_Aval!$E$11:$E$18,1),IF(A62&gt;=INDEX(SS_Aval!$A$11:$A$18,ROWS(SS_Aval!$A$11:$A$18)),INDEX(SS_Aval!$E$11:$E$18,ROWS(SS_Aval!$E$11:$E$18)),INDEX(SS_Aval!$E$11:$E$18,MATCH(A62,SS_Aval!$A$11:$A$18,1))+(A62-INDEX(SS_Aval!$A$11:$A$18,MATCH(A62,SS_Aval!$A$11:$A$18,1)))/(INDEX(SS_Aval!$A$11:$A$18,MATCH(A62,SS_Aval!$A$11:$A$18,1)+1)-INDEX(SS_Aval!$A$11:$A$18,MATCH(A62,SS_Aval!$A$11:$A$18,1)))*(INDEX(SS_Aval!$E$11:$E$18,MATCH(A62,SS_Aval!$A$11:$A$18,1)+1)-INDEX(SS_Aval!$E$11:$E$18,MATCH(A62,SS_Aval!$A$11:$A$18,1)))))</f>
        <v/>
      </c>
      <c r="G62" s="36">
        <f>F62+E62</f>
        <v/>
      </c>
      <c r="H62" s="5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  <c r="L62" s="27">
        <f>IF(Parametres!$C$88&lt;=0,0,H62/Parametres!$C$88)</f>
        <v/>
      </c>
      <c r="M62" s="27">
        <f>IF(OR(C62&lt;0.05,D62&lt;0.05),"",I62/D62)</f>
        <v/>
      </c>
    </row>
    <row r="63">
      <c r="A63" s="26" t="n">
        <v>36</v>
      </c>
      <c r="B63" s="26">
        <f>A63-$B$12</f>
        <v/>
      </c>
      <c r="C63" s="26">
        <f>MAX(0,A63-$B$6)</f>
        <v/>
      </c>
      <c r="D63" s="5">
        <f>IF(C63&lt;=0,0,($B$7+$B$9*C63)*C63)</f>
        <v/>
      </c>
      <c r="E63" s="29">
        <f>IF($B$13=1,D63*$B$11,0)</f>
        <v/>
      </c>
      <c r="F63" s="29">
        <f>IF(A63&lt;=INDEX(SS_Aval!$A$11:$A$18,1),INDEX(SS_Aval!$E$11:$E$18,1),IF(A63&gt;=INDEX(SS_Aval!$A$11:$A$18,ROWS(SS_Aval!$A$11:$A$18)),INDEX(SS_Aval!$E$11:$E$18,ROWS(SS_Aval!$E$11:$E$18)),INDEX(SS_Aval!$E$11:$E$18,MATCH(A63,SS_Aval!$A$11:$A$18,1))+(A63-INDEX(SS_Aval!$A$11:$A$18,MATCH(A63,SS_Aval!$A$11:$A$18,1)))/(INDEX(SS_Aval!$A$11:$A$18,MATCH(A63,SS_Aval!$A$11:$A$18,1)+1)-INDEX(SS_Aval!$A$11:$A$18,MATCH(A63,SS_Aval!$A$11:$A$18,1)))*(INDEX(SS_Aval!$E$11:$E$18,MATCH(A63,SS_Aval!$A$11:$A$18,1)+1)-INDEX(SS_Aval!$E$11:$E$18,MATCH(A63,SS_Aval!$A$11:$A$18,1)))))</f>
        <v/>
      </c>
      <c r="G63" s="36">
        <f>F63+E63</f>
        <v/>
      </c>
      <c r="H63" s="5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  <c r="L63" s="27">
        <f>IF(Parametres!$C$88&lt;=0,0,H63/Parametres!$C$88)</f>
        <v/>
      </c>
      <c r="M63" s="27">
        <f>IF(OR(C63&lt;0.05,D63&lt;0.05),"",I63/D63)</f>
        <v/>
      </c>
    </row>
    <row r="64">
      <c r="A64" s="26" t="n">
        <v>36.05</v>
      </c>
      <c r="B64" s="26">
        <f>A64-$B$12</f>
        <v/>
      </c>
      <c r="C64" s="26">
        <f>MAX(0,A64-$B$6)</f>
        <v/>
      </c>
      <c r="D64" s="5">
        <f>IF(C64&lt;=0,0,($B$7+$B$9*C64)*C64)</f>
        <v/>
      </c>
      <c r="E64" s="29">
        <f>IF($B$13=1,D64*$B$11,0)</f>
        <v/>
      </c>
      <c r="F64" s="29">
        <f>IF(A64&lt;=INDEX(SS_Aval!$A$11:$A$18,1),INDEX(SS_Aval!$E$11:$E$18,1),IF(A64&gt;=INDEX(SS_Aval!$A$11:$A$18,ROWS(SS_Aval!$A$11:$A$18)),INDEX(SS_Aval!$E$11:$E$18,ROWS(SS_Aval!$E$11:$E$18)),INDEX(SS_Aval!$E$11:$E$18,MATCH(A64,SS_Aval!$A$11:$A$18,1))+(A64-INDEX(SS_Aval!$A$11:$A$18,MATCH(A64,SS_Aval!$A$11:$A$18,1)))/(INDEX(SS_Aval!$A$11:$A$18,MATCH(A64,SS_Aval!$A$11:$A$18,1)+1)-INDEX(SS_Aval!$A$11:$A$18,MATCH(A64,SS_Aval!$A$11:$A$18,1)))*(INDEX(SS_Aval!$E$11:$E$18,MATCH(A64,SS_Aval!$A$11:$A$18,1)+1)-INDEX(SS_Aval!$E$11:$E$18,MATCH(A64,SS_Aval!$A$11:$A$18,1)))))</f>
        <v/>
      </c>
      <c r="G64" s="36">
        <f>F64+E64</f>
        <v/>
      </c>
      <c r="H64" s="5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  <c r="L64" s="27">
        <f>IF(Parametres!$C$88&lt;=0,0,H64/Parametres!$C$88)</f>
        <v/>
      </c>
      <c r="M64" s="27">
        <f>IF(OR(C64&lt;0.05,D64&lt;0.05),"",I64/D64)</f>
        <v/>
      </c>
    </row>
    <row r="65">
      <c r="A65" s="26" t="n">
        <v>36.1</v>
      </c>
      <c r="B65" s="26">
        <f>A65-$B$12</f>
        <v/>
      </c>
      <c r="C65" s="26">
        <f>MAX(0,A65-$B$6)</f>
        <v/>
      </c>
      <c r="D65" s="5">
        <f>IF(C65&lt;=0,0,($B$7+$B$9*C65)*C65)</f>
        <v/>
      </c>
      <c r="E65" s="29">
        <f>IF($B$13=1,D65*$B$11,0)</f>
        <v/>
      </c>
      <c r="F65" s="29">
        <f>IF(A65&lt;=INDEX(SS_Aval!$A$11:$A$18,1),INDEX(SS_Aval!$E$11:$E$18,1),IF(A65&gt;=INDEX(SS_Aval!$A$11:$A$18,ROWS(SS_Aval!$A$11:$A$18)),INDEX(SS_Aval!$E$11:$E$18,ROWS(SS_Aval!$E$11:$E$18)),INDEX(SS_Aval!$E$11:$E$18,MATCH(A65,SS_Aval!$A$11:$A$18,1))+(A65-INDEX(SS_Aval!$A$11:$A$18,MATCH(A65,SS_Aval!$A$11:$A$18,1)))/(INDEX(SS_Aval!$A$11:$A$18,MATCH(A65,SS_Aval!$A$11:$A$18,1)+1)-INDEX(SS_Aval!$A$11:$A$18,MATCH(A65,SS_Aval!$A$11:$A$18,1)))*(INDEX(SS_Aval!$E$11:$E$18,MATCH(A65,SS_Aval!$A$11:$A$18,1)+1)-INDEX(SS_Aval!$E$11:$E$18,MATCH(A65,SS_Aval!$A$11:$A$18,1)))))</f>
        <v/>
      </c>
      <c r="G65" s="36">
        <f>F65+E65</f>
        <v/>
      </c>
      <c r="H65" s="5">
        <f>IF(B65&lt;=0,0,IF(B65&gt;=INDEX(Courbe_QH_1200!$A$20:$A$80,ROWS(Courbe_QH_1200!$A$20:$A$80)),INDEX(Courbe_QH_1200!$E$20:$E$80,ROWS(Courbe_QH_1200!$E$20:$E$80)),INDEX(Courbe_QH_1200!$E$20:$E$80,MATCH(B65,Courbe_QH_1200!$A$20:$A$80,1))+(B65-INDEX(Courbe_QH_1200!$A$20:$A$80,MATCH(B65,Courbe_QH_1200!$A$20:$A$80,1)))/(INDEX(Courbe_QH_1200!$A$20:$A$80,MATCH(B65,Courbe_QH_1200!$A$20:$A$80,1)+1)-INDEX(Courbe_QH_1200!$A$20:$A$80,MATCH(B65,Courbe_QH_1200!$A$20:$A$80,1)))*(INDEX(Courbe_QH_1200!$E$20:$E$80,MATCH(B65,Courbe_QH_1200!$A$20:$A$80,1)+1)-INDEX(Courbe_QH_1200!$E$20:$E$80,MATCH(B65,Courbe_QH_1200!$A$20:$A$80,1)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  <c r="L65" s="27">
        <f>IF(Parametres!$C$88&lt;=0,0,H65/Parametres!$C$88)</f>
        <v/>
      </c>
      <c r="M65" s="27">
        <f>IF(OR(C65&lt;0.05,D65&lt;0.05),"",I65/D65)</f>
        <v/>
      </c>
    </row>
    <row r="66">
      <c r="A66" s="26" t="n">
        <v>36.15</v>
      </c>
      <c r="B66" s="26">
        <f>A66-$B$12</f>
        <v/>
      </c>
      <c r="C66" s="26">
        <f>MAX(0,A66-$B$6)</f>
        <v/>
      </c>
      <c r="D66" s="5">
        <f>IF(C66&lt;=0,0,($B$7+$B$9*C66)*C66)</f>
        <v/>
      </c>
      <c r="E66" s="29">
        <f>IF($B$13=1,D66*$B$11,0)</f>
        <v/>
      </c>
      <c r="F66" s="29">
        <f>IF(A66&lt;=INDEX(SS_Aval!$A$11:$A$18,1),INDEX(SS_Aval!$E$11:$E$18,1),IF(A66&gt;=INDEX(SS_Aval!$A$11:$A$18,ROWS(SS_Aval!$A$11:$A$18)),INDEX(SS_Aval!$E$11:$E$18,ROWS(SS_Aval!$E$11:$E$18)),INDEX(SS_Aval!$E$11:$E$18,MATCH(A66,SS_Aval!$A$11:$A$18,1))+(A66-INDEX(SS_Aval!$A$11:$A$18,MATCH(A66,SS_Aval!$A$11:$A$18,1)))/(INDEX(SS_Aval!$A$11:$A$18,MATCH(A66,SS_Aval!$A$11:$A$18,1)+1)-INDEX(SS_Aval!$A$11:$A$18,MATCH(A66,SS_Aval!$A$11:$A$18,1)))*(INDEX(SS_Aval!$E$11:$E$18,MATCH(A66,SS_Aval!$A$11:$A$18,1)+1)-INDEX(SS_Aval!$E$11:$E$18,MATCH(A66,SS_Aval!$A$11:$A$18,1)))))</f>
        <v/>
      </c>
      <c r="G66" s="36">
        <f>F66+E66</f>
        <v/>
      </c>
      <c r="H66" s="5">
        <f>IF(B66&lt;=0,0,IF(B66&gt;=INDEX(Courbe_QH_1200!$A$20:$A$80,ROWS(Courbe_QH_1200!$A$20:$A$80)),INDEX(Courbe_QH_1200!$E$20:$E$80,ROWS(Courbe_QH_1200!$E$20:$E$80)),INDEX(Courbe_QH_1200!$E$20:$E$80,MATCH(B66,Courbe_QH_1200!$A$20:$A$80,1))+(B66-INDEX(Courbe_QH_1200!$A$20:$A$80,MATCH(B66,Courbe_QH_1200!$A$20:$A$80,1)))/(INDEX(Courbe_QH_1200!$A$20:$A$80,MATCH(B66,Courbe_QH_1200!$A$20:$A$80,1)+1)-INDEX(Courbe_QH_1200!$A$20:$A$80,MATCH(B66,Courbe_QH_1200!$A$20:$A$80,1)))*(INDEX(Courbe_QH_1200!$E$20:$E$80,MATCH(B66,Courbe_QH_1200!$A$20:$A$80,1)+1)-INDEX(Courbe_QH_1200!$E$20:$E$80,MATCH(B66,Courbe_QH_1200!$A$20:$A$80,1)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  <c r="L66" s="27">
        <f>IF(Parametres!$C$88&lt;=0,0,H66/Parametres!$C$88)</f>
        <v/>
      </c>
      <c r="M66" s="27">
        <f>IF(OR(C66&lt;0.05,D66&lt;0.05),"",I66/D66)</f>
        <v/>
      </c>
    </row>
    <row r="67">
      <c r="A67" s="26" t="n">
        <v>36.2</v>
      </c>
      <c r="B67" s="26">
        <f>A67-$B$12</f>
        <v/>
      </c>
      <c r="C67" s="26">
        <f>MAX(0,A67-$B$6)</f>
        <v/>
      </c>
      <c r="D67" s="5">
        <f>IF(C67&lt;=0,0,($B$7+$B$9*C67)*C67)</f>
        <v/>
      </c>
      <c r="E67" s="29">
        <f>IF($B$13=1,D67*$B$11,0)</f>
        <v/>
      </c>
      <c r="F67" s="29">
        <f>IF(A67&lt;=INDEX(SS_Aval!$A$11:$A$18,1),INDEX(SS_Aval!$E$11:$E$18,1),IF(A67&gt;=INDEX(SS_Aval!$A$11:$A$18,ROWS(SS_Aval!$A$11:$A$18)),INDEX(SS_Aval!$E$11:$E$18,ROWS(SS_Aval!$E$11:$E$18)),INDEX(SS_Aval!$E$11:$E$18,MATCH(A67,SS_Aval!$A$11:$A$18,1))+(A67-INDEX(SS_Aval!$A$11:$A$18,MATCH(A67,SS_Aval!$A$11:$A$18,1)))/(INDEX(SS_Aval!$A$11:$A$18,MATCH(A67,SS_Aval!$A$11:$A$18,1)+1)-INDEX(SS_Aval!$A$11:$A$18,MATCH(A67,SS_Aval!$A$11:$A$18,1)))*(INDEX(SS_Aval!$E$11:$E$18,MATCH(A67,SS_Aval!$A$11:$A$18,1)+1)-INDEX(SS_Aval!$E$11:$E$18,MATCH(A67,SS_Aval!$A$11:$A$18,1)))))</f>
        <v/>
      </c>
      <c r="G67" s="36">
        <f>F67+E67</f>
        <v/>
      </c>
      <c r="H67" s="5">
        <f>IF(B67&lt;=0,0,IF(B67&gt;=INDEX(Courbe_QH_1200!$A$20:$A$80,ROWS(Courbe_QH_1200!$A$20:$A$80)),INDEX(Courbe_QH_1200!$E$20:$E$80,ROWS(Courbe_QH_1200!$E$20:$E$80)),INDEX(Courbe_QH_1200!$E$20:$E$80,MATCH(B67,Courbe_QH_1200!$A$20:$A$80,1))+(B67-INDEX(Courbe_QH_1200!$A$20:$A$80,MATCH(B67,Courbe_QH_1200!$A$20:$A$80,1)))/(INDEX(Courbe_QH_1200!$A$20:$A$80,MATCH(B67,Courbe_QH_1200!$A$20:$A$80,1)+1)-INDEX(Courbe_QH_1200!$A$20:$A$80,MATCH(B67,Courbe_QH_1200!$A$20:$A$80,1)))*(INDEX(Courbe_QH_1200!$E$20:$E$80,MATCH(B67,Courbe_QH_1200!$A$20:$A$80,1)+1)-INDEX(Courbe_QH_1200!$E$20:$E$80,MATCH(B67,Courbe_QH_1200!$A$20:$A$80,1)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  <c r="L67" s="27">
        <f>IF(Parametres!$C$88&lt;=0,0,H67/Parametres!$C$88)</f>
        <v/>
      </c>
      <c r="M67" s="27">
        <f>IF(OR(C67&lt;0.05,D67&lt;0.05),"",I67/D67)</f>
        <v/>
      </c>
    </row>
    <row r="68">
      <c r="A68" s="26" t="n">
        <v>36.25</v>
      </c>
      <c r="B68" s="26">
        <f>A68-$B$12</f>
        <v/>
      </c>
      <c r="C68" s="26">
        <f>MAX(0,A68-$B$6)</f>
        <v/>
      </c>
      <c r="D68" s="5">
        <f>IF(C68&lt;=0,0,($B$7+$B$9*C68)*C68)</f>
        <v/>
      </c>
      <c r="E68" s="29">
        <f>IF($B$13=1,D68*$B$11,0)</f>
        <v/>
      </c>
      <c r="F68" s="29">
        <f>IF(A68&lt;=INDEX(SS_Aval!$A$11:$A$18,1),INDEX(SS_Aval!$E$11:$E$18,1),IF(A68&gt;=INDEX(SS_Aval!$A$11:$A$18,ROWS(SS_Aval!$A$11:$A$18)),INDEX(SS_Aval!$E$11:$E$18,ROWS(SS_Aval!$E$11:$E$18)),INDEX(SS_Aval!$E$11:$E$18,MATCH(A68,SS_Aval!$A$11:$A$18,1))+(A68-INDEX(SS_Aval!$A$11:$A$18,MATCH(A68,SS_Aval!$A$11:$A$18,1)))/(INDEX(SS_Aval!$A$11:$A$18,MATCH(A68,SS_Aval!$A$11:$A$18,1)+1)-INDEX(SS_Aval!$A$11:$A$18,MATCH(A68,SS_Aval!$A$11:$A$18,1)))*(INDEX(SS_Aval!$E$11:$E$18,MATCH(A68,SS_Aval!$A$11:$A$18,1)+1)-INDEX(SS_Aval!$E$11:$E$18,MATCH(A68,SS_Aval!$A$11:$A$18,1)))))</f>
        <v/>
      </c>
      <c r="G68" s="36">
        <f>F68+E68</f>
        <v/>
      </c>
      <c r="H68" s="5">
        <f>IF(B68&lt;=0,0,IF(B68&gt;=INDEX(Courbe_QH_1200!$A$20:$A$80,ROWS(Courbe_QH_1200!$A$20:$A$80)),INDEX(Courbe_QH_1200!$E$20:$E$80,ROWS(Courbe_QH_1200!$E$20:$E$80)),INDEX(Courbe_QH_1200!$E$20:$E$80,MATCH(B68,Courbe_QH_1200!$A$20:$A$80,1))+(B68-INDEX(Courbe_QH_1200!$A$20:$A$80,MATCH(B68,Courbe_QH_1200!$A$20:$A$80,1)))/(INDEX(Courbe_QH_1200!$A$20:$A$80,MATCH(B68,Courbe_QH_1200!$A$20:$A$80,1)+1)-INDEX(Courbe_QH_1200!$A$20:$A$80,MATCH(B68,Courbe_QH_1200!$A$20:$A$80,1)))*(INDEX(Courbe_QH_1200!$E$20:$E$80,MATCH(B68,Courbe_QH_1200!$A$20:$A$80,1)+1)-INDEX(Courbe_QH_1200!$E$20:$E$80,MATCH(B68,Courbe_QH_1200!$A$20:$A$80,1)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  <c r="L68" s="27">
        <f>IF(Parametres!$C$88&lt;=0,0,H68/Parametres!$C$88)</f>
        <v/>
      </c>
      <c r="M68" s="27">
        <f>IF(OR(C68&lt;0.05,D68&lt;0.05),"",I68/D68)</f>
        <v/>
      </c>
    </row>
    <row r="69">
      <c r="A69" s="26" t="n">
        <v>36.3</v>
      </c>
      <c r="B69" s="26">
        <f>A69-$B$12</f>
        <v/>
      </c>
      <c r="C69" s="26">
        <f>MAX(0,A69-$B$6)</f>
        <v/>
      </c>
      <c r="D69" s="5">
        <f>IF(C69&lt;=0,0,($B$7+$B$9*C69)*C69)</f>
        <v/>
      </c>
      <c r="E69" s="29">
        <f>IF($B$13=1,D69*$B$11,0)</f>
        <v/>
      </c>
      <c r="F69" s="29">
        <f>IF(A69&lt;=INDEX(SS_Aval!$A$11:$A$18,1),INDEX(SS_Aval!$E$11:$E$18,1),IF(A69&gt;=INDEX(SS_Aval!$A$11:$A$18,ROWS(SS_Aval!$A$11:$A$18)),INDEX(SS_Aval!$E$11:$E$18,ROWS(SS_Aval!$E$11:$E$18)),INDEX(SS_Aval!$E$11:$E$18,MATCH(A69,SS_Aval!$A$11:$A$18,1))+(A69-INDEX(SS_Aval!$A$11:$A$18,MATCH(A69,SS_Aval!$A$11:$A$18,1)))/(INDEX(SS_Aval!$A$11:$A$18,MATCH(A69,SS_Aval!$A$11:$A$18,1)+1)-INDEX(SS_Aval!$A$11:$A$18,MATCH(A69,SS_Aval!$A$11:$A$18,1)))*(INDEX(SS_Aval!$E$11:$E$18,MATCH(A69,SS_Aval!$A$11:$A$18,1)+1)-INDEX(SS_Aval!$E$11:$E$18,MATCH(A69,SS_Aval!$A$11:$A$18,1)))))</f>
        <v/>
      </c>
      <c r="G69" s="36">
        <f>F69+E69</f>
        <v/>
      </c>
      <c r="H69" s="5">
        <f>IF(B69&lt;=0,0,IF(B69&gt;=INDEX(Courbe_QH_1200!$A$20:$A$80,ROWS(Courbe_QH_1200!$A$20:$A$80)),INDEX(Courbe_QH_1200!$E$20:$E$80,ROWS(Courbe_QH_1200!$E$20:$E$80)),INDEX(Courbe_QH_1200!$E$20:$E$80,MATCH(B69,Courbe_QH_1200!$A$20:$A$80,1))+(B69-INDEX(Courbe_QH_1200!$A$20:$A$80,MATCH(B69,Courbe_QH_1200!$A$20:$A$80,1)))/(INDEX(Courbe_QH_1200!$A$20:$A$80,MATCH(B69,Courbe_QH_1200!$A$20:$A$80,1)+1)-INDEX(Courbe_QH_1200!$A$20:$A$80,MATCH(B69,Courbe_QH_1200!$A$20:$A$80,1)))*(INDEX(Courbe_QH_1200!$E$20:$E$80,MATCH(B69,Courbe_QH_1200!$A$20:$A$80,1)+1)-INDEX(Courbe_QH_1200!$E$20:$E$80,MATCH(B69,Courbe_QH_1200!$A$20:$A$80,1)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  <c r="L69" s="27">
        <f>IF(Parametres!$C$88&lt;=0,0,H69/Parametres!$C$88)</f>
        <v/>
      </c>
      <c r="M69" s="27">
        <f>IF(OR(C69&lt;0.05,D69&lt;0.05),"",I69/D69)</f>
        <v/>
      </c>
    </row>
    <row r="70">
      <c r="A70" s="26" t="n">
        <v>36.35</v>
      </c>
      <c r="B70" s="26">
        <f>A70-$B$12</f>
        <v/>
      </c>
      <c r="C70" s="26">
        <f>MAX(0,A70-$B$6)</f>
        <v/>
      </c>
      <c r="D70" s="5">
        <f>IF(C70&lt;=0,0,($B$7+$B$9*C70)*C70)</f>
        <v/>
      </c>
      <c r="E70" s="29">
        <f>IF($B$13=1,D70*$B$11,0)</f>
        <v/>
      </c>
      <c r="F70" s="29">
        <f>IF(A70&lt;=INDEX(SS_Aval!$A$11:$A$18,1),INDEX(SS_Aval!$E$11:$E$18,1),IF(A70&gt;=INDEX(SS_Aval!$A$11:$A$18,ROWS(SS_Aval!$A$11:$A$18)),INDEX(SS_Aval!$E$11:$E$18,ROWS(SS_Aval!$E$11:$E$18)),INDEX(SS_Aval!$E$11:$E$18,MATCH(A70,SS_Aval!$A$11:$A$18,1))+(A70-INDEX(SS_Aval!$A$11:$A$18,MATCH(A70,SS_Aval!$A$11:$A$18,1)))/(INDEX(SS_Aval!$A$11:$A$18,MATCH(A70,SS_Aval!$A$11:$A$18,1)+1)-INDEX(SS_Aval!$A$11:$A$18,MATCH(A70,SS_Aval!$A$11:$A$18,1)))*(INDEX(SS_Aval!$E$11:$E$18,MATCH(A70,SS_Aval!$A$11:$A$18,1)+1)-INDEX(SS_Aval!$E$11:$E$18,MATCH(A70,SS_Aval!$A$11:$A$18,1)))))</f>
        <v/>
      </c>
      <c r="G70" s="36">
        <f>F70+E70</f>
        <v/>
      </c>
      <c r="H70" s="5">
        <f>IF(B70&lt;=0,0,IF(B70&gt;=INDEX(Courbe_QH_1200!$A$20:$A$80,ROWS(Courbe_QH_1200!$A$20:$A$80)),INDEX(Courbe_QH_1200!$E$20:$E$80,ROWS(Courbe_QH_1200!$E$20:$E$80)),INDEX(Courbe_QH_1200!$E$20:$E$80,MATCH(B70,Courbe_QH_1200!$A$20:$A$80,1))+(B70-INDEX(Courbe_QH_1200!$A$20:$A$80,MATCH(B70,Courbe_QH_1200!$A$20:$A$80,1)))/(INDEX(Courbe_QH_1200!$A$20:$A$80,MATCH(B70,Courbe_QH_1200!$A$20:$A$80,1)+1)-INDEX(Courbe_QH_1200!$A$20:$A$80,MATCH(B70,Courbe_QH_1200!$A$20:$A$80,1)))*(INDEX(Courbe_QH_1200!$E$20:$E$80,MATCH(B70,Courbe_QH_1200!$A$20:$A$80,1)+1)-INDEX(Courbe_QH_1200!$E$20:$E$80,MATCH(B70,Courbe_QH_1200!$A$20:$A$80,1)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  <c r="L70" s="27">
        <f>IF(Parametres!$C$88&lt;=0,0,H70/Parametres!$C$88)</f>
        <v/>
      </c>
      <c r="M70" s="27">
        <f>IF(OR(C70&lt;0.05,D70&lt;0.05),"",I70/D70)</f>
        <v/>
      </c>
    </row>
    <row r="71">
      <c r="A71" s="26" t="n">
        <v>36.4</v>
      </c>
      <c r="B71" s="26">
        <f>A71-$B$12</f>
        <v/>
      </c>
      <c r="C71" s="26">
        <f>MAX(0,A71-$B$6)</f>
        <v/>
      </c>
      <c r="D71" s="5">
        <f>IF(C71&lt;=0,0,($B$7+$B$9*C71)*C71)</f>
        <v/>
      </c>
      <c r="E71" s="29">
        <f>IF($B$13=1,D71*$B$11,0)</f>
        <v/>
      </c>
      <c r="F71" s="29">
        <f>IF(A71&lt;=INDEX(SS_Aval!$A$11:$A$18,1),INDEX(SS_Aval!$E$11:$E$18,1),IF(A71&gt;=INDEX(SS_Aval!$A$11:$A$18,ROWS(SS_Aval!$A$11:$A$18)),INDEX(SS_Aval!$E$11:$E$18,ROWS(SS_Aval!$E$11:$E$18)),INDEX(SS_Aval!$E$11:$E$18,MATCH(A71,SS_Aval!$A$11:$A$18,1))+(A71-INDEX(SS_Aval!$A$11:$A$18,MATCH(A71,SS_Aval!$A$11:$A$18,1)))/(INDEX(SS_Aval!$A$11:$A$18,MATCH(A71,SS_Aval!$A$11:$A$18,1)+1)-INDEX(SS_Aval!$A$11:$A$18,MATCH(A71,SS_Aval!$A$11:$A$18,1)))*(INDEX(SS_Aval!$E$11:$E$18,MATCH(A71,SS_Aval!$A$11:$A$18,1)+1)-INDEX(SS_Aval!$E$11:$E$18,MATCH(A71,SS_Aval!$A$11:$A$18,1)))))</f>
        <v/>
      </c>
      <c r="G71" s="36">
        <f>F71+E71</f>
        <v/>
      </c>
      <c r="H71" s="5">
        <f>IF(B71&lt;=0,0,IF(B71&gt;=INDEX(Courbe_QH_1200!$A$20:$A$80,ROWS(Courbe_QH_1200!$A$20:$A$80)),INDEX(Courbe_QH_1200!$E$20:$E$80,ROWS(Courbe_QH_1200!$E$20:$E$80)),INDEX(Courbe_QH_1200!$E$20:$E$80,MATCH(B71,Courbe_QH_1200!$A$20:$A$80,1))+(B71-INDEX(Courbe_QH_1200!$A$20:$A$80,MATCH(B71,Courbe_QH_1200!$A$20:$A$80,1)))/(INDEX(Courbe_QH_1200!$A$20:$A$80,MATCH(B71,Courbe_QH_1200!$A$20:$A$80,1)+1)-INDEX(Courbe_QH_1200!$A$20:$A$80,MATCH(B71,Courbe_QH_1200!$A$20:$A$80,1)))*(INDEX(Courbe_QH_1200!$E$20:$E$80,MATCH(B71,Courbe_QH_1200!$A$20:$A$80,1)+1)-INDEX(Courbe_QH_1200!$E$20:$E$80,MATCH(B71,Courbe_QH_1200!$A$20:$A$80,1)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  <c r="L71" s="27">
        <f>IF(Parametres!$C$88&lt;=0,0,H71/Parametres!$C$88)</f>
        <v/>
      </c>
      <c r="M71" s="27">
        <f>IF(OR(C71&lt;0.05,D71&lt;0.05),"",I71/D71)</f>
        <v/>
      </c>
    </row>
    <row r="72">
      <c r="A72" s="26" t="n">
        <v>36.45</v>
      </c>
      <c r="B72" s="26">
        <f>A72-$B$12</f>
        <v/>
      </c>
      <c r="C72" s="26">
        <f>MAX(0,A72-$B$6)</f>
        <v/>
      </c>
      <c r="D72" s="5">
        <f>IF(C72&lt;=0,0,($B$7+$B$9*C72)*C72)</f>
        <v/>
      </c>
      <c r="E72" s="29">
        <f>IF($B$13=1,D72*$B$11,0)</f>
        <v/>
      </c>
      <c r="F72" s="29">
        <f>IF(A72&lt;=INDEX(SS_Aval!$A$11:$A$18,1),INDEX(SS_Aval!$E$11:$E$18,1),IF(A72&gt;=INDEX(SS_Aval!$A$11:$A$18,ROWS(SS_Aval!$A$11:$A$18)),INDEX(SS_Aval!$E$11:$E$18,ROWS(SS_Aval!$E$11:$E$18)),INDEX(SS_Aval!$E$11:$E$18,MATCH(A72,SS_Aval!$A$11:$A$18,1))+(A72-INDEX(SS_Aval!$A$11:$A$18,MATCH(A72,SS_Aval!$A$11:$A$18,1)))/(INDEX(SS_Aval!$A$11:$A$18,MATCH(A72,SS_Aval!$A$11:$A$18,1)+1)-INDEX(SS_Aval!$A$11:$A$18,MATCH(A72,SS_Aval!$A$11:$A$18,1)))*(INDEX(SS_Aval!$E$11:$E$18,MATCH(A72,SS_Aval!$A$11:$A$18,1)+1)-INDEX(SS_Aval!$E$11:$E$18,MATCH(A72,SS_Aval!$A$11:$A$18,1)))))</f>
        <v/>
      </c>
      <c r="G72" s="36">
        <f>F72+E72</f>
        <v/>
      </c>
      <c r="H72" s="5">
        <f>IF(B72&lt;=0,0,IF(B72&gt;=INDEX(Courbe_QH_1200!$A$20:$A$80,ROWS(Courbe_QH_1200!$A$20:$A$80)),INDEX(Courbe_QH_1200!$E$20:$E$80,ROWS(Courbe_QH_1200!$E$20:$E$80)),INDEX(Courbe_QH_1200!$E$20:$E$80,MATCH(B72,Courbe_QH_1200!$A$20:$A$80,1))+(B72-INDEX(Courbe_QH_1200!$A$20:$A$80,MATCH(B72,Courbe_QH_1200!$A$20:$A$80,1)))/(INDEX(Courbe_QH_1200!$A$20:$A$80,MATCH(B72,Courbe_QH_1200!$A$20:$A$80,1)+1)-INDEX(Courbe_QH_1200!$A$20:$A$80,MATCH(B72,Courbe_QH_1200!$A$20:$A$80,1)))*(INDEX(Courbe_QH_1200!$E$20:$E$80,MATCH(B72,Courbe_QH_1200!$A$20:$A$80,1)+1)-INDEX(Courbe_QH_1200!$E$20:$E$80,MATCH(B72,Courbe_QH_1200!$A$20:$A$80,1)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  <c r="L72" s="27">
        <f>IF(Parametres!$C$88&lt;=0,0,H72/Parametres!$C$88)</f>
        <v/>
      </c>
      <c r="M72" s="27">
        <f>IF(OR(C72&lt;0.05,D72&lt;0.05),"",I72/D72)</f>
        <v/>
      </c>
    </row>
    <row r="73">
      <c r="A73" s="26" t="n">
        <v>36.5</v>
      </c>
      <c r="B73" s="26">
        <f>A73-$B$12</f>
        <v/>
      </c>
      <c r="C73" s="26">
        <f>MAX(0,A73-$B$6)</f>
        <v/>
      </c>
      <c r="D73" s="5">
        <f>IF(C73&lt;=0,0,($B$7+$B$9*C73)*C73)</f>
        <v/>
      </c>
      <c r="E73" s="29">
        <f>IF($B$13=1,D73*$B$11,0)</f>
        <v/>
      </c>
      <c r="F73" s="29">
        <f>IF(A73&lt;=INDEX(SS_Aval!$A$11:$A$18,1),INDEX(SS_Aval!$E$11:$E$18,1),IF(A73&gt;=INDEX(SS_Aval!$A$11:$A$18,ROWS(SS_Aval!$A$11:$A$18)),INDEX(SS_Aval!$E$11:$E$18,ROWS(SS_Aval!$E$11:$E$18)),INDEX(SS_Aval!$E$11:$E$18,MATCH(A73,SS_Aval!$A$11:$A$18,1))+(A73-INDEX(SS_Aval!$A$11:$A$18,MATCH(A73,SS_Aval!$A$11:$A$18,1)))/(INDEX(SS_Aval!$A$11:$A$18,MATCH(A73,SS_Aval!$A$11:$A$18,1)+1)-INDEX(SS_Aval!$A$11:$A$18,MATCH(A73,SS_Aval!$A$11:$A$18,1)))*(INDEX(SS_Aval!$E$11:$E$18,MATCH(A73,SS_Aval!$A$11:$A$18,1)+1)-INDEX(SS_Aval!$E$11:$E$18,MATCH(A73,SS_Aval!$A$11:$A$18,1)))))</f>
        <v/>
      </c>
      <c r="G73" s="36">
        <f>F73+E73</f>
        <v/>
      </c>
      <c r="H73" s="5">
        <f>IF(B73&lt;=0,0,IF(B73&gt;=INDEX(Courbe_QH_1200!$A$20:$A$80,ROWS(Courbe_QH_1200!$A$20:$A$80)),INDEX(Courbe_QH_1200!$E$20:$E$80,ROWS(Courbe_QH_1200!$E$20:$E$80)),INDEX(Courbe_QH_1200!$E$20:$E$80,MATCH(B73,Courbe_QH_1200!$A$20:$A$80,1))+(B73-INDEX(Courbe_QH_1200!$A$20:$A$80,MATCH(B73,Courbe_QH_1200!$A$20:$A$80,1)))/(INDEX(Courbe_QH_1200!$A$20:$A$80,MATCH(B73,Courbe_QH_1200!$A$20:$A$80,1)+1)-INDEX(Courbe_QH_1200!$A$20:$A$80,MATCH(B73,Courbe_QH_1200!$A$20:$A$80,1)))*(INDEX(Courbe_QH_1200!$E$20:$E$80,MATCH(B73,Courbe_QH_1200!$A$20:$A$80,1)+1)-INDEX(Courbe_QH_1200!$E$20:$E$80,MATCH(B73,Courbe_QH_1200!$A$20:$A$80,1)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  <c r="L73" s="27">
        <f>IF(Parametres!$C$88&lt;=0,0,H73/Parametres!$C$88)</f>
        <v/>
      </c>
      <c r="M73" s="27">
        <f>IF(OR(C73&lt;0.05,D73&lt;0.05),"",I73/D73)</f>
        <v/>
      </c>
    </row>
    <row r="74">
      <c r="A74" s="26" t="n">
        <v>36.55</v>
      </c>
      <c r="B74" s="26">
        <f>A74-$B$12</f>
        <v/>
      </c>
      <c r="C74" s="26">
        <f>MAX(0,A74-$B$6)</f>
        <v/>
      </c>
      <c r="D74" s="5">
        <f>IF(C74&lt;=0,0,($B$7+$B$9*C74)*C74)</f>
        <v/>
      </c>
      <c r="E74" s="29">
        <f>IF($B$13=1,D74*$B$11,0)</f>
        <v/>
      </c>
      <c r="F74" s="29">
        <f>IF(A74&lt;=INDEX(SS_Aval!$A$11:$A$18,1),INDEX(SS_Aval!$E$11:$E$18,1),IF(A74&gt;=INDEX(SS_Aval!$A$11:$A$18,ROWS(SS_Aval!$A$11:$A$18)),INDEX(SS_Aval!$E$11:$E$18,ROWS(SS_Aval!$E$11:$E$18)),INDEX(SS_Aval!$E$11:$E$18,MATCH(A74,SS_Aval!$A$11:$A$18,1))+(A74-INDEX(SS_Aval!$A$11:$A$18,MATCH(A74,SS_Aval!$A$11:$A$18,1)))/(INDEX(SS_Aval!$A$11:$A$18,MATCH(A74,SS_Aval!$A$11:$A$18,1)+1)-INDEX(SS_Aval!$A$11:$A$18,MATCH(A74,SS_Aval!$A$11:$A$18,1)))*(INDEX(SS_Aval!$E$11:$E$18,MATCH(A74,SS_Aval!$A$11:$A$18,1)+1)-INDEX(SS_Aval!$E$11:$E$18,MATCH(A74,SS_Aval!$A$11:$A$18,1)))))</f>
        <v/>
      </c>
      <c r="G74" s="36">
        <f>F74+E74</f>
        <v/>
      </c>
      <c r="H74" s="5">
        <f>IF(B74&lt;=0,0,IF(B74&gt;=INDEX(Courbe_QH_1200!$A$20:$A$80,ROWS(Courbe_QH_1200!$A$20:$A$80)),INDEX(Courbe_QH_1200!$E$20:$E$80,ROWS(Courbe_QH_1200!$E$20:$E$80)),INDEX(Courbe_QH_1200!$E$20:$E$80,MATCH(B74,Courbe_QH_1200!$A$20:$A$80,1))+(B74-INDEX(Courbe_QH_1200!$A$20:$A$80,MATCH(B74,Courbe_QH_1200!$A$20:$A$80,1)))/(INDEX(Courbe_QH_1200!$A$20:$A$80,MATCH(B74,Courbe_QH_1200!$A$20:$A$80,1)+1)-INDEX(Courbe_QH_1200!$A$20:$A$80,MATCH(B74,Courbe_QH_1200!$A$20:$A$80,1)))*(INDEX(Courbe_QH_1200!$E$20:$E$80,MATCH(B74,Courbe_QH_1200!$A$20:$A$80,1)+1)-INDEX(Courbe_QH_1200!$E$20:$E$80,MATCH(B74,Courbe_QH_1200!$A$20:$A$80,1)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  <c r="L74" s="27">
        <f>IF(Parametres!$C$88&lt;=0,0,H74/Parametres!$C$88)</f>
        <v/>
      </c>
      <c r="M74" s="27">
        <f>IF(OR(C74&lt;0.05,D74&lt;0.05),"",I74/D74)</f>
        <v/>
      </c>
    </row>
    <row r="75">
      <c r="A75" s="26" t="n">
        <v>36.6</v>
      </c>
      <c r="B75" s="26">
        <f>A75-$B$12</f>
        <v/>
      </c>
      <c r="C75" s="26">
        <f>MAX(0,A75-$B$6)</f>
        <v/>
      </c>
      <c r="D75" s="5">
        <f>IF(C75&lt;=0,0,($B$7+$B$9*C75)*C75)</f>
        <v/>
      </c>
      <c r="E75" s="29">
        <f>IF($B$13=1,D75*$B$11,0)</f>
        <v/>
      </c>
      <c r="F75" s="29">
        <f>IF(A75&lt;=INDEX(SS_Aval!$A$11:$A$18,1),INDEX(SS_Aval!$E$11:$E$18,1),IF(A75&gt;=INDEX(SS_Aval!$A$11:$A$18,ROWS(SS_Aval!$A$11:$A$18)),INDEX(SS_Aval!$E$11:$E$18,ROWS(SS_Aval!$E$11:$E$18)),INDEX(SS_Aval!$E$11:$E$18,MATCH(A75,SS_Aval!$A$11:$A$18,1))+(A75-INDEX(SS_Aval!$A$11:$A$18,MATCH(A75,SS_Aval!$A$11:$A$18,1)))/(INDEX(SS_Aval!$A$11:$A$18,MATCH(A75,SS_Aval!$A$11:$A$18,1)+1)-INDEX(SS_Aval!$A$11:$A$18,MATCH(A75,SS_Aval!$A$11:$A$18,1)))*(INDEX(SS_Aval!$E$11:$E$18,MATCH(A75,SS_Aval!$A$11:$A$18,1)+1)-INDEX(SS_Aval!$E$11:$E$18,MATCH(A75,SS_Aval!$A$11:$A$18,1)))))</f>
        <v/>
      </c>
      <c r="G75" s="36">
        <f>F75+E75</f>
        <v/>
      </c>
      <c r="H75" s="5">
        <f>IF(B75&lt;=0,0,IF(B75&gt;=INDEX(Courbe_QH_1200!$A$20:$A$80,ROWS(Courbe_QH_1200!$A$20:$A$80)),INDEX(Courbe_QH_1200!$E$20:$E$80,ROWS(Courbe_QH_1200!$E$20:$E$80)),INDEX(Courbe_QH_1200!$E$20:$E$80,MATCH(B75,Courbe_QH_1200!$A$20:$A$80,1))+(B75-INDEX(Courbe_QH_1200!$A$20:$A$80,MATCH(B75,Courbe_QH_1200!$A$20:$A$80,1)))/(INDEX(Courbe_QH_1200!$A$20:$A$80,MATCH(B75,Courbe_QH_1200!$A$20:$A$80,1)+1)-INDEX(Courbe_QH_1200!$A$20:$A$80,MATCH(B75,Courbe_QH_1200!$A$20:$A$80,1)))*(INDEX(Courbe_QH_1200!$E$20:$E$80,MATCH(B75,Courbe_QH_1200!$A$20:$A$80,1)+1)-INDEX(Courbe_QH_1200!$E$20:$E$80,MATCH(B75,Courbe_QH_1200!$A$20:$A$80,1)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  <c r="L75" s="27">
        <f>IF(Parametres!$C$88&lt;=0,0,H75/Parametres!$C$88)</f>
        <v/>
      </c>
      <c r="M75" s="27">
        <f>IF(OR(C75&lt;0.05,D75&lt;0.05),"",I75/D75)</f>
        <v/>
      </c>
    </row>
    <row r="76">
      <c r="A76" s="26" t="n">
        <v>36.65</v>
      </c>
      <c r="B76" s="26">
        <f>A76-$B$12</f>
        <v/>
      </c>
      <c r="C76" s="26">
        <f>MAX(0,A76-$B$6)</f>
        <v/>
      </c>
      <c r="D76" s="5">
        <f>IF(C76&lt;=0,0,($B$7+$B$9*C76)*C76)</f>
        <v/>
      </c>
      <c r="E76" s="29">
        <f>IF($B$13=1,D76*$B$11,0)</f>
        <v/>
      </c>
      <c r="F76" s="29">
        <f>IF(A76&lt;=INDEX(SS_Aval!$A$11:$A$18,1),INDEX(SS_Aval!$E$11:$E$18,1),IF(A76&gt;=INDEX(SS_Aval!$A$11:$A$18,ROWS(SS_Aval!$A$11:$A$18)),INDEX(SS_Aval!$E$11:$E$18,ROWS(SS_Aval!$E$11:$E$18)),INDEX(SS_Aval!$E$11:$E$18,MATCH(A76,SS_Aval!$A$11:$A$18,1))+(A76-INDEX(SS_Aval!$A$11:$A$18,MATCH(A76,SS_Aval!$A$11:$A$18,1)))/(INDEX(SS_Aval!$A$11:$A$18,MATCH(A76,SS_Aval!$A$11:$A$18,1)+1)-INDEX(SS_Aval!$A$11:$A$18,MATCH(A76,SS_Aval!$A$11:$A$18,1)))*(INDEX(SS_Aval!$E$11:$E$18,MATCH(A76,SS_Aval!$A$11:$A$18,1)+1)-INDEX(SS_Aval!$E$11:$E$18,MATCH(A76,SS_Aval!$A$11:$A$18,1)))))</f>
        <v/>
      </c>
      <c r="G76" s="36">
        <f>F76+E76</f>
        <v/>
      </c>
      <c r="H76" s="5">
        <f>IF(B76&lt;=0,0,IF(B76&gt;=INDEX(Courbe_QH_1200!$A$20:$A$80,ROWS(Courbe_QH_1200!$A$20:$A$80)),INDEX(Courbe_QH_1200!$E$20:$E$80,ROWS(Courbe_QH_1200!$E$20:$E$80)),INDEX(Courbe_QH_1200!$E$20:$E$80,MATCH(B76,Courbe_QH_1200!$A$20:$A$80,1))+(B76-INDEX(Courbe_QH_1200!$A$20:$A$80,MATCH(B76,Courbe_QH_1200!$A$20:$A$80,1)))/(INDEX(Courbe_QH_1200!$A$20:$A$80,MATCH(B76,Courbe_QH_1200!$A$20:$A$80,1)+1)-INDEX(Courbe_QH_1200!$A$20:$A$80,MATCH(B76,Courbe_QH_1200!$A$20:$A$80,1)))*(INDEX(Courbe_QH_1200!$E$20:$E$80,MATCH(B76,Courbe_QH_1200!$A$20:$A$80,1)+1)-INDEX(Courbe_QH_1200!$E$20:$E$80,MATCH(B76,Courbe_QH_1200!$A$20:$A$80,1)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  <c r="L76" s="27">
        <f>IF(Parametres!$C$88&lt;=0,0,H76/Parametres!$C$88)</f>
        <v/>
      </c>
      <c r="M76" s="27">
        <f>IF(OR(C76&lt;0.05,D76&lt;0.05),"",I76/D76)</f>
        <v/>
      </c>
    </row>
    <row r="77">
      <c r="A77" s="26" t="n">
        <v>36.7</v>
      </c>
      <c r="B77" s="26">
        <f>A77-$B$12</f>
        <v/>
      </c>
      <c r="C77" s="26">
        <f>MAX(0,A77-$B$6)</f>
        <v/>
      </c>
      <c r="D77" s="5">
        <f>IF(C77&lt;=0,0,($B$7+$B$9*C77)*C77)</f>
        <v/>
      </c>
      <c r="E77" s="29">
        <f>IF($B$13=1,D77*$B$11,0)</f>
        <v/>
      </c>
      <c r="F77" s="29">
        <f>IF(A77&lt;=INDEX(SS_Aval!$A$11:$A$18,1),INDEX(SS_Aval!$E$11:$E$18,1),IF(A77&gt;=INDEX(SS_Aval!$A$11:$A$18,ROWS(SS_Aval!$A$11:$A$18)),INDEX(SS_Aval!$E$11:$E$18,ROWS(SS_Aval!$E$11:$E$18)),INDEX(SS_Aval!$E$11:$E$18,MATCH(A77,SS_Aval!$A$11:$A$18,1))+(A77-INDEX(SS_Aval!$A$11:$A$18,MATCH(A77,SS_Aval!$A$11:$A$18,1)))/(INDEX(SS_Aval!$A$11:$A$18,MATCH(A77,SS_Aval!$A$11:$A$18,1)+1)-INDEX(SS_Aval!$A$11:$A$18,MATCH(A77,SS_Aval!$A$11:$A$18,1)))*(INDEX(SS_Aval!$E$11:$E$18,MATCH(A77,SS_Aval!$A$11:$A$18,1)+1)-INDEX(SS_Aval!$E$11:$E$18,MATCH(A77,SS_Aval!$A$11:$A$18,1)))))</f>
        <v/>
      </c>
      <c r="G77" s="36">
        <f>F77+E77</f>
        <v/>
      </c>
      <c r="H77" s="5">
        <f>IF(B77&lt;=0,0,IF(B77&gt;=INDEX(Courbe_QH_1200!$A$20:$A$80,ROWS(Courbe_QH_1200!$A$20:$A$80)),INDEX(Courbe_QH_1200!$E$20:$E$80,ROWS(Courbe_QH_1200!$E$20:$E$80)),INDEX(Courbe_QH_1200!$E$20:$E$80,MATCH(B77,Courbe_QH_1200!$A$20:$A$80,1))+(B77-INDEX(Courbe_QH_1200!$A$20:$A$80,MATCH(B77,Courbe_QH_1200!$A$20:$A$80,1)))/(INDEX(Courbe_QH_1200!$A$20:$A$80,MATCH(B77,Courbe_QH_1200!$A$20:$A$80,1)+1)-INDEX(Courbe_QH_1200!$A$20:$A$80,MATCH(B77,Courbe_QH_1200!$A$20:$A$80,1)))*(INDEX(Courbe_QH_1200!$E$20:$E$80,MATCH(B77,Courbe_QH_1200!$A$20:$A$80,1)+1)-INDEX(Courbe_QH_1200!$E$20:$E$80,MATCH(B77,Courbe_QH_1200!$A$20:$A$80,1)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  <c r="L77" s="27">
        <f>IF(Parametres!$C$88&lt;=0,0,H77/Parametres!$C$88)</f>
        <v/>
      </c>
      <c r="M77" s="27">
        <f>IF(OR(C77&lt;0.05,D77&lt;0.05),"",I77/D77)</f>
        <v/>
      </c>
    </row>
    <row r="78">
      <c r="A78" s="26" t="n">
        <v>36.75</v>
      </c>
      <c r="B78" s="26">
        <f>A78-$B$12</f>
        <v/>
      </c>
      <c r="C78" s="26">
        <f>MAX(0,A78-$B$6)</f>
        <v/>
      </c>
      <c r="D78" s="5">
        <f>IF(C78&lt;=0,0,($B$7+$B$9*C78)*C78)</f>
        <v/>
      </c>
      <c r="E78" s="29">
        <f>IF($B$13=1,D78*$B$11,0)</f>
        <v/>
      </c>
      <c r="F78" s="29">
        <f>IF(A78&lt;=INDEX(SS_Aval!$A$11:$A$18,1),INDEX(SS_Aval!$E$11:$E$18,1),IF(A78&gt;=INDEX(SS_Aval!$A$11:$A$18,ROWS(SS_Aval!$A$11:$A$18)),INDEX(SS_Aval!$E$11:$E$18,ROWS(SS_Aval!$E$11:$E$18)),INDEX(SS_Aval!$E$11:$E$18,MATCH(A78,SS_Aval!$A$11:$A$18,1))+(A78-INDEX(SS_Aval!$A$11:$A$18,MATCH(A78,SS_Aval!$A$11:$A$18,1)))/(INDEX(SS_Aval!$A$11:$A$18,MATCH(A78,SS_Aval!$A$11:$A$18,1)+1)-INDEX(SS_Aval!$A$11:$A$18,MATCH(A78,SS_Aval!$A$11:$A$18,1)))*(INDEX(SS_Aval!$E$11:$E$18,MATCH(A78,SS_Aval!$A$11:$A$18,1)+1)-INDEX(SS_Aval!$E$11:$E$18,MATCH(A78,SS_Aval!$A$11:$A$18,1)))))</f>
        <v/>
      </c>
      <c r="G78" s="36">
        <f>F78+E78</f>
        <v/>
      </c>
      <c r="H78" s="5">
        <f>IF(B78&lt;=0,0,IF(B78&gt;=INDEX(Courbe_QH_1200!$A$20:$A$80,ROWS(Courbe_QH_1200!$A$20:$A$80)),INDEX(Courbe_QH_1200!$E$20:$E$80,ROWS(Courbe_QH_1200!$E$20:$E$80)),INDEX(Courbe_QH_1200!$E$20:$E$80,MATCH(B78,Courbe_QH_1200!$A$20:$A$80,1))+(B78-INDEX(Courbe_QH_1200!$A$20:$A$80,MATCH(B78,Courbe_QH_1200!$A$20:$A$80,1)))/(INDEX(Courbe_QH_1200!$A$20:$A$80,MATCH(B78,Courbe_QH_1200!$A$20:$A$80,1)+1)-INDEX(Courbe_QH_1200!$A$20:$A$80,MATCH(B78,Courbe_QH_1200!$A$20:$A$80,1)))*(INDEX(Courbe_QH_1200!$E$20:$E$80,MATCH(B78,Courbe_QH_1200!$A$20:$A$80,1)+1)-INDEX(Courbe_QH_1200!$E$20:$E$80,MATCH(B78,Courbe_QH_1200!$A$20:$A$80,1)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  <c r="L78" s="27">
        <f>IF(Parametres!$C$88&lt;=0,0,H78/Parametres!$C$88)</f>
        <v/>
      </c>
      <c r="M78" s="27">
        <f>IF(OR(C78&lt;0.05,D78&lt;0.05),"",I78/D78)</f>
        <v/>
      </c>
    </row>
    <row r="79">
      <c r="A79" s="26" t="n">
        <v>36.8</v>
      </c>
      <c r="B79" s="26">
        <f>A79-$B$12</f>
        <v/>
      </c>
      <c r="C79" s="26">
        <f>MAX(0,A79-$B$6)</f>
        <v/>
      </c>
      <c r="D79" s="5">
        <f>IF(C79&lt;=0,0,($B$7+$B$9*C79)*C79)</f>
        <v/>
      </c>
      <c r="E79" s="29">
        <f>IF($B$13=1,D79*$B$11,0)</f>
        <v/>
      </c>
      <c r="F79" s="29">
        <f>IF(A79&lt;=INDEX(SS_Aval!$A$11:$A$18,1),INDEX(SS_Aval!$E$11:$E$18,1),IF(A79&gt;=INDEX(SS_Aval!$A$11:$A$18,ROWS(SS_Aval!$A$11:$A$18)),INDEX(SS_Aval!$E$11:$E$18,ROWS(SS_Aval!$E$11:$E$18)),INDEX(SS_Aval!$E$11:$E$18,MATCH(A79,SS_Aval!$A$11:$A$18,1))+(A79-INDEX(SS_Aval!$A$11:$A$18,MATCH(A79,SS_Aval!$A$11:$A$18,1)))/(INDEX(SS_Aval!$A$11:$A$18,MATCH(A79,SS_Aval!$A$11:$A$18,1)+1)-INDEX(SS_Aval!$A$11:$A$18,MATCH(A79,SS_Aval!$A$11:$A$18,1)))*(INDEX(SS_Aval!$E$11:$E$18,MATCH(A79,SS_Aval!$A$11:$A$18,1)+1)-INDEX(SS_Aval!$E$11:$E$18,MATCH(A79,SS_Aval!$A$11:$A$18,1)))))</f>
        <v/>
      </c>
      <c r="G79" s="36">
        <f>F79+E79</f>
        <v/>
      </c>
      <c r="H79" s="5">
        <f>IF(B79&lt;=0,0,IF(B79&gt;=INDEX(Courbe_QH_1200!$A$20:$A$80,ROWS(Courbe_QH_1200!$A$20:$A$80)),INDEX(Courbe_QH_1200!$E$20:$E$80,ROWS(Courbe_QH_1200!$E$20:$E$80)),INDEX(Courbe_QH_1200!$E$20:$E$80,MATCH(B79,Courbe_QH_1200!$A$20:$A$80,1))+(B79-INDEX(Courbe_QH_1200!$A$20:$A$80,MATCH(B79,Courbe_QH_1200!$A$20:$A$80,1)))/(INDEX(Courbe_QH_1200!$A$20:$A$80,MATCH(B79,Courbe_QH_1200!$A$20:$A$80,1)+1)-INDEX(Courbe_QH_1200!$A$20:$A$80,MATCH(B79,Courbe_QH_1200!$A$20:$A$80,1)))*(INDEX(Courbe_QH_1200!$E$20:$E$80,MATCH(B79,Courbe_QH_1200!$A$20:$A$80,1)+1)-INDEX(Courbe_QH_1200!$E$20:$E$80,MATCH(B79,Courbe_QH_1200!$A$20:$A$80,1)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  <c r="L79" s="27">
        <f>IF(Parametres!$C$88&lt;=0,0,H79/Parametres!$C$88)</f>
        <v/>
      </c>
      <c r="M79" s="27">
        <f>IF(OR(C79&lt;0.05,D79&lt;0.05),"",I79/D79)</f>
        <v/>
      </c>
    </row>
    <row r="80">
      <c r="A80" s="26" t="n">
        <v>36.85</v>
      </c>
      <c r="B80" s="26">
        <f>A80-$B$12</f>
        <v/>
      </c>
      <c r="C80" s="26">
        <f>MAX(0,A80-$B$6)</f>
        <v/>
      </c>
      <c r="D80" s="5">
        <f>IF(C80&lt;=0,0,($B$7+$B$9*C80)*C80)</f>
        <v/>
      </c>
      <c r="E80" s="29">
        <f>IF($B$13=1,D80*$B$11,0)</f>
        <v/>
      </c>
      <c r="F80" s="29">
        <f>IF(A80&lt;=INDEX(SS_Aval!$A$11:$A$18,1),INDEX(SS_Aval!$E$11:$E$18,1),IF(A80&gt;=INDEX(SS_Aval!$A$11:$A$18,ROWS(SS_Aval!$A$11:$A$18)),INDEX(SS_Aval!$E$11:$E$18,ROWS(SS_Aval!$E$11:$E$18)),INDEX(SS_Aval!$E$11:$E$18,MATCH(A80,SS_Aval!$A$11:$A$18,1))+(A80-INDEX(SS_Aval!$A$11:$A$18,MATCH(A80,SS_Aval!$A$11:$A$18,1)))/(INDEX(SS_Aval!$A$11:$A$18,MATCH(A80,SS_Aval!$A$11:$A$18,1)+1)-INDEX(SS_Aval!$A$11:$A$18,MATCH(A80,SS_Aval!$A$11:$A$18,1)))*(INDEX(SS_Aval!$E$11:$E$18,MATCH(A80,SS_Aval!$A$11:$A$18,1)+1)-INDEX(SS_Aval!$E$11:$E$18,MATCH(A80,SS_Aval!$A$11:$A$18,1)))))</f>
        <v/>
      </c>
      <c r="G80" s="36">
        <f>F80+E80</f>
        <v/>
      </c>
      <c r="H80" s="5">
        <f>IF(B80&lt;=0,0,IF(B80&gt;=INDEX(Courbe_QH_1200!$A$20:$A$80,ROWS(Courbe_QH_1200!$A$20:$A$80)),INDEX(Courbe_QH_1200!$E$20:$E$80,ROWS(Courbe_QH_1200!$E$20:$E$80)),INDEX(Courbe_QH_1200!$E$20:$E$80,MATCH(B80,Courbe_QH_1200!$A$20:$A$80,1))+(B80-INDEX(Courbe_QH_1200!$A$20:$A$80,MATCH(B80,Courbe_QH_1200!$A$20:$A$80,1)))/(INDEX(Courbe_QH_1200!$A$20:$A$80,MATCH(B80,Courbe_QH_1200!$A$20:$A$80,1)+1)-INDEX(Courbe_QH_1200!$A$20:$A$80,MATCH(B80,Courbe_QH_1200!$A$20:$A$80,1)))*(INDEX(Courbe_QH_1200!$E$20:$E$80,MATCH(B80,Courbe_QH_1200!$A$20:$A$80,1)+1)-INDEX(Courbe_QH_1200!$E$20:$E$80,MATCH(B80,Courbe_QH_1200!$A$20:$A$80,1)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  <c r="L80" s="27">
        <f>IF(Parametres!$C$88&lt;=0,0,H80/Parametres!$C$88)</f>
        <v/>
      </c>
      <c r="M80" s="27">
        <f>IF(OR(C80&lt;0.05,D80&lt;0.05),"",I80/D80)</f>
        <v/>
      </c>
    </row>
    <row r="81">
      <c r="A81" s="26" t="n">
        <v>36.9</v>
      </c>
      <c r="B81" s="26">
        <f>A81-$B$12</f>
        <v/>
      </c>
      <c r="C81" s="26">
        <f>MAX(0,A81-$B$6)</f>
        <v/>
      </c>
      <c r="D81" s="5">
        <f>IF(C81&lt;=0,0,($B$7+$B$9*C81)*C81)</f>
        <v/>
      </c>
      <c r="E81" s="29">
        <f>IF($B$13=1,D81*$B$11,0)</f>
        <v/>
      </c>
      <c r="F81" s="29">
        <f>IF(A81&lt;=INDEX(SS_Aval!$A$11:$A$18,1),INDEX(SS_Aval!$E$11:$E$18,1),IF(A81&gt;=INDEX(SS_Aval!$A$11:$A$18,ROWS(SS_Aval!$A$11:$A$18)),INDEX(SS_Aval!$E$11:$E$18,ROWS(SS_Aval!$E$11:$E$18)),INDEX(SS_Aval!$E$11:$E$18,MATCH(A81,SS_Aval!$A$11:$A$18,1))+(A81-INDEX(SS_Aval!$A$11:$A$18,MATCH(A81,SS_Aval!$A$11:$A$18,1)))/(INDEX(SS_Aval!$A$11:$A$18,MATCH(A81,SS_Aval!$A$11:$A$18,1)+1)-INDEX(SS_Aval!$A$11:$A$18,MATCH(A81,SS_Aval!$A$11:$A$18,1)))*(INDEX(SS_Aval!$E$11:$E$18,MATCH(A81,SS_Aval!$A$11:$A$18,1)+1)-INDEX(SS_Aval!$E$11:$E$18,MATCH(A81,SS_Aval!$A$11:$A$18,1)))))</f>
        <v/>
      </c>
      <c r="G81" s="36">
        <f>F81+E81</f>
        <v/>
      </c>
      <c r="H81" s="5">
        <f>IF(B81&lt;=0,0,IF(B81&gt;=INDEX(Courbe_QH_1200!$A$20:$A$80,ROWS(Courbe_QH_1200!$A$20:$A$80)),INDEX(Courbe_QH_1200!$E$20:$E$80,ROWS(Courbe_QH_1200!$E$20:$E$80)),INDEX(Courbe_QH_1200!$E$20:$E$80,MATCH(B81,Courbe_QH_1200!$A$20:$A$80,1))+(B81-INDEX(Courbe_QH_1200!$A$20:$A$80,MATCH(B81,Courbe_QH_1200!$A$20:$A$80,1)))/(INDEX(Courbe_QH_1200!$A$20:$A$80,MATCH(B81,Courbe_QH_1200!$A$20:$A$80,1)+1)-INDEX(Courbe_QH_1200!$A$20:$A$80,MATCH(B81,Courbe_QH_1200!$A$20:$A$80,1)))*(INDEX(Courbe_QH_1200!$E$20:$E$80,MATCH(B81,Courbe_QH_1200!$A$20:$A$80,1)+1)-INDEX(Courbe_QH_1200!$E$20:$E$80,MATCH(B81,Courbe_QH_1200!$A$20:$A$80,1)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  <c r="L81" s="27">
        <f>IF(Parametres!$C$88&lt;=0,0,H81/Parametres!$C$88)</f>
        <v/>
      </c>
      <c r="M81" s="27">
        <f>IF(OR(C81&lt;0.05,D81&lt;0.05),"",I81/D81)</f>
        <v/>
      </c>
    </row>
    <row r="82">
      <c r="A82" s="26" t="n">
        <v>36.95</v>
      </c>
      <c r="B82" s="26">
        <f>A82-$B$12</f>
        <v/>
      </c>
      <c r="C82" s="26">
        <f>MAX(0,A82-$B$6)</f>
        <v/>
      </c>
      <c r="D82" s="5">
        <f>IF(C82&lt;=0,0,($B$7+$B$9*C82)*C82)</f>
        <v/>
      </c>
      <c r="E82" s="29">
        <f>IF($B$13=1,D82*$B$11,0)</f>
        <v/>
      </c>
      <c r="F82" s="29">
        <f>IF(A82&lt;=INDEX(SS_Aval!$A$11:$A$18,1),INDEX(SS_Aval!$E$11:$E$18,1),IF(A82&gt;=INDEX(SS_Aval!$A$11:$A$18,ROWS(SS_Aval!$A$11:$A$18)),INDEX(SS_Aval!$E$11:$E$18,ROWS(SS_Aval!$E$11:$E$18)),INDEX(SS_Aval!$E$11:$E$18,MATCH(A82,SS_Aval!$A$11:$A$18,1))+(A82-INDEX(SS_Aval!$A$11:$A$18,MATCH(A82,SS_Aval!$A$11:$A$18,1)))/(INDEX(SS_Aval!$A$11:$A$18,MATCH(A82,SS_Aval!$A$11:$A$18,1)+1)-INDEX(SS_Aval!$A$11:$A$18,MATCH(A82,SS_Aval!$A$11:$A$18,1)))*(INDEX(SS_Aval!$E$11:$E$18,MATCH(A82,SS_Aval!$A$11:$A$18,1)+1)-INDEX(SS_Aval!$E$11:$E$18,MATCH(A82,SS_Aval!$A$11:$A$18,1)))))</f>
        <v/>
      </c>
      <c r="G82" s="36">
        <f>F82+E82</f>
        <v/>
      </c>
      <c r="H82" s="5">
        <f>IF(B82&lt;=0,0,IF(B82&gt;=INDEX(Courbe_QH_1200!$A$20:$A$80,ROWS(Courbe_QH_1200!$A$20:$A$80)),INDEX(Courbe_QH_1200!$E$20:$E$80,ROWS(Courbe_QH_1200!$E$20:$E$80)),INDEX(Courbe_QH_1200!$E$20:$E$80,MATCH(B82,Courbe_QH_1200!$A$20:$A$80,1))+(B82-INDEX(Courbe_QH_1200!$A$20:$A$80,MATCH(B82,Courbe_QH_1200!$A$20:$A$80,1)))/(INDEX(Courbe_QH_1200!$A$20:$A$80,MATCH(B82,Courbe_QH_1200!$A$20:$A$80,1)+1)-INDEX(Courbe_QH_1200!$A$20:$A$80,MATCH(B82,Courbe_QH_1200!$A$20:$A$80,1)))*(INDEX(Courbe_QH_1200!$E$20:$E$80,MATCH(B82,Courbe_QH_1200!$A$20:$A$80,1)+1)-INDEX(Courbe_QH_1200!$E$20:$E$80,MATCH(B82,Courbe_QH_1200!$A$20:$A$80,1)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  <c r="L82" s="27">
        <f>IF(Parametres!$C$88&lt;=0,0,H82/Parametres!$C$88)</f>
        <v/>
      </c>
      <c r="M82" s="27">
        <f>IF(OR(C82&lt;0.05,D82&lt;0.05),"",I82/D82)</f>
        <v/>
      </c>
    </row>
    <row r="83">
      <c r="A83" s="26" t="n">
        <v>37</v>
      </c>
      <c r="B83" s="26">
        <f>A83-$B$12</f>
        <v/>
      </c>
      <c r="C83" s="26">
        <f>MAX(0,A83-$B$6)</f>
        <v/>
      </c>
      <c r="D83" s="5">
        <f>IF(C83&lt;=0,0,($B$7+$B$9*C83)*C83)</f>
        <v/>
      </c>
      <c r="E83" s="29">
        <f>IF($B$13=1,D83*$B$11,0)</f>
        <v/>
      </c>
      <c r="F83" s="29">
        <f>IF(A83&lt;=INDEX(SS_Aval!$A$11:$A$18,1),INDEX(SS_Aval!$E$11:$E$18,1),IF(A83&gt;=INDEX(SS_Aval!$A$11:$A$18,ROWS(SS_Aval!$A$11:$A$18)),INDEX(SS_Aval!$E$11:$E$18,ROWS(SS_Aval!$E$11:$E$18)),INDEX(SS_Aval!$E$11:$E$18,MATCH(A83,SS_Aval!$A$11:$A$18,1))+(A83-INDEX(SS_Aval!$A$11:$A$18,MATCH(A83,SS_Aval!$A$11:$A$18,1)))/(INDEX(SS_Aval!$A$11:$A$18,MATCH(A83,SS_Aval!$A$11:$A$18,1)+1)-INDEX(SS_Aval!$A$11:$A$18,MATCH(A83,SS_Aval!$A$11:$A$18,1)))*(INDEX(SS_Aval!$E$11:$E$18,MATCH(A83,SS_Aval!$A$11:$A$18,1)+1)-INDEX(SS_Aval!$E$11:$E$18,MATCH(A83,SS_Aval!$A$11:$A$18,1)))))</f>
        <v/>
      </c>
      <c r="G83" s="36">
        <f>F83+E83</f>
        <v/>
      </c>
      <c r="H83" s="5">
        <f>IF(B83&lt;=0,0,IF(B83&gt;=INDEX(Courbe_QH_1200!$A$20:$A$80,ROWS(Courbe_QH_1200!$A$20:$A$80)),INDEX(Courbe_QH_1200!$E$20:$E$80,ROWS(Courbe_QH_1200!$E$20:$E$80)),INDEX(Courbe_QH_1200!$E$20:$E$80,MATCH(B83,Courbe_QH_1200!$A$20:$A$80,1))+(B83-INDEX(Courbe_QH_1200!$A$20:$A$80,MATCH(B83,Courbe_QH_1200!$A$20:$A$80,1)))/(INDEX(Courbe_QH_1200!$A$20:$A$80,MATCH(B83,Courbe_QH_1200!$A$20:$A$80,1)+1)-INDEX(Courbe_QH_1200!$A$20:$A$80,MATCH(B83,Courbe_QH_1200!$A$20:$A$80,1)))*(INDEX(Courbe_QH_1200!$E$20:$E$80,MATCH(B83,Courbe_QH_1200!$A$20:$A$80,1)+1)-INDEX(Courbe_QH_1200!$E$20:$E$80,MATCH(B83,Courbe_QH_1200!$A$20:$A$80,1)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  <c r="L83" s="27">
        <f>IF(Parametres!$C$88&lt;=0,0,H83/Parametres!$C$88)</f>
        <v/>
      </c>
      <c r="M83" s="27">
        <f>IF(OR(C83&lt;0.05,D83&lt;0.05),"",I83/D83)</f>
        <v/>
      </c>
    </row>
    <row r="84">
      <c r="A84" s="26" t="n">
        <v>37.05</v>
      </c>
      <c r="B84" s="26">
        <f>A84-$B$12</f>
        <v/>
      </c>
      <c r="C84" s="26">
        <f>MAX(0,A84-$B$6)</f>
        <v/>
      </c>
      <c r="D84" s="5">
        <f>IF(C84&lt;=0,0,($B$7+$B$9*C84)*C84)</f>
        <v/>
      </c>
      <c r="E84" s="29">
        <f>IF($B$13=1,D84*$B$11,0)</f>
        <v/>
      </c>
      <c r="F84" s="29">
        <f>IF(A84&lt;=INDEX(SS_Aval!$A$11:$A$18,1),INDEX(SS_Aval!$E$11:$E$18,1),IF(A84&gt;=INDEX(SS_Aval!$A$11:$A$18,ROWS(SS_Aval!$A$11:$A$18)),INDEX(SS_Aval!$E$11:$E$18,ROWS(SS_Aval!$E$11:$E$18)),INDEX(SS_Aval!$E$11:$E$18,MATCH(A84,SS_Aval!$A$11:$A$18,1))+(A84-INDEX(SS_Aval!$A$11:$A$18,MATCH(A84,SS_Aval!$A$11:$A$18,1)))/(INDEX(SS_Aval!$A$11:$A$18,MATCH(A84,SS_Aval!$A$11:$A$18,1)+1)-INDEX(SS_Aval!$A$11:$A$18,MATCH(A84,SS_Aval!$A$11:$A$18,1)))*(INDEX(SS_Aval!$E$11:$E$18,MATCH(A84,SS_Aval!$A$11:$A$18,1)+1)-INDEX(SS_Aval!$E$11:$E$18,MATCH(A84,SS_Aval!$A$11:$A$18,1)))))</f>
        <v/>
      </c>
      <c r="G84" s="36">
        <f>F84+E84</f>
        <v/>
      </c>
      <c r="H84" s="5">
        <f>IF(B84&lt;=0,0,IF(B84&gt;=INDEX(Courbe_QH_1200!$A$20:$A$80,ROWS(Courbe_QH_1200!$A$20:$A$80)),INDEX(Courbe_QH_1200!$E$20:$E$80,ROWS(Courbe_QH_1200!$E$20:$E$80)),INDEX(Courbe_QH_1200!$E$20:$E$80,MATCH(B84,Courbe_QH_1200!$A$20:$A$80,1))+(B84-INDEX(Courbe_QH_1200!$A$20:$A$80,MATCH(B84,Courbe_QH_1200!$A$20:$A$80,1)))/(INDEX(Courbe_QH_1200!$A$20:$A$80,MATCH(B84,Courbe_QH_1200!$A$20:$A$80,1)+1)-INDEX(Courbe_QH_1200!$A$20:$A$80,MATCH(B84,Courbe_QH_1200!$A$20:$A$80,1)))*(INDEX(Courbe_QH_1200!$E$20:$E$80,MATCH(B84,Courbe_QH_1200!$A$20:$A$80,1)+1)-INDEX(Courbe_QH_1200!$E$20:$E$80,MATCH(B84,Courbe_QH_1200!$A$20:$A$80,1)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  <c r="L84" s="27">
        <f>IF(Parametres!$C$88&lt;=0,0,H84/Parametres!$C$88)</f>
        <v/>
      </c>
      <c r="M84" s="27">
        <f>IF(OR(C84&lt;0.05,D84&lt;0.05),"",I84/D84)</f>
        <v/>
      </c>
    </row>
    <row r="85">
      <c r="A85" s="26" t="n">
        <v>37.1</v>
      </c>
      <c r="B85" s="26">
        <f>A85-$B$12</f>
        <v/>
      </c>
      <c r="C85" s="26">
        <f>MAX(0,A85-$B$6)</f>
        <v/>
      </c>
      <c r="D85" s="5">
        <f>IF(C85&lt;=0,0,($B$7+$B$9*C85)*C85)</f>
        <v/>
      </c>
      <c r="E85" s="29">
        <f>IF($B$13=1,D85*$B$11,0)</f>
        <v/>
      </c>
      <c r="F85" s="29">
        <f>IF(A85&lt;=INDEX(SS_Aval!$A$11:$A$18,1),INDEX(SS_Aval!$E$11:$E$18,1),IF(A85&gt;=INDEX(SS_Aval!$A$11:$A$18,ROWS(SS_Aval!$A$11:$A$18)),INDEX(SS_Aval!$E$11:$E$18,ROWS(SS_Aval!$E$11:$E$18)),INDEX(SS_Aval!$E$11:$E$18,MATCH(A85,SS_Aval!$A$11:$A$18,1))+(A85-INDEX(SS_Aval!$A$11:$A$18,MATCH(A85,SS_Aval!$A$11:$A$18,1)))/(INDEX(SS_Aval!$A$11:$A$18,MATCH(A85,SS_Aval!$A$11:$A$18,1)+1)-INDEX(SS_Aval!$A$11:$A$18,MATCH(A85,SS_Aval!$A$11:$A$18,1)))*(INDEX(SS_Aval!$E$11:$E$18,MATCH(A85,SS_Aval!$A$11:$A$18,1)+1)-INDEX(SS_Aval!$E$11:$E$18,MATCH(A85,SS_Aval!$A$11:$A$18,1)))))</f>
        <v/>
      </c>
      <c r="G85" s="36">
        <f>F85+E85</f>
        <v/>
      </c>
      <c r="H85" s="5">
        <f>IF(B85&lt;=0,0,IF(B85&gt;=INDEX(Courbe_QH_1200!$A$20:$A$80,ROWS(Courbe_QH_1200!$A$20:$A$80)),INDEX(Courbe_QH_1200!$E$20:$E$80,ROWS(Courbe_QH_1200!$E$20:$E$80)),INDEX(Courbe_QH_1200!$E$20:$E$80,MATCH(B85,Courbe_QH_1200!$A$20:$A$80,1))+(B85-INDEX(Courbe_QH_1200!$A$20:$A$80,MATCH(B85,Courbe_QH_1200!$A$20:$A$80,1)))/(INDEX(Courbe_QH_1200!$A$20:$A$80,MATCH(B85,Courbe_QH_1200!$A$20:$A$80,1)+1)-INDEX(Courbe_QH_1200!$A$20:$A$80,MATCH(B85,Courbe_QH_1200!$A$20:$A$80,1)))*(INDEX(Courbe_QH_1200!$E$20:$E$80,MATCH(B85,Courbe_QH_1200!$A$20:$A$80,1)+1)-INDEX(Courbe_QH_1200!$E$20:$E$80,MATCH(B85,Courbe_QH_1200!$A$20:$A$80,1)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  <c r="L85" s="27">
        <f>IF(Parametres!$C$88&lt;=0,0,H85/Parametres!$C$88)</f>
        <v/>
      </c>
      <c r="M85" s="27">
        <f>IF(OR(C85&lt;0.05,D85&lt;0.05),"",I85/D85)</f>
        <v/>
      </c>
    </row>
    <row r="86">
      <c r="A86" s="26" t="n">
        <v>37.15</v>
      </c>
      <c r="B86" s="26">
        <f>A86-$B$12</f>
        <v/>
      </c>
      <c r="C86" s="26">
        <f>MAX(0,A86-$B$6)</f>
        <v/>
      </c>
      <c r="D86" s="5">
        <f>IF(C86&lt;=0,0,($B$7+$B$9*C86)*C86)</f>
        <v/>
      </c>
      <c r="E86" s="29">
        <f>IF($B$13=1,D86*$B$11,0)</f>
        <v/>
      </c>
      <c r="F86" s="29">
        <f>IF(A86&lt;=INDEX(SS_Aval!$A$11:$A$18,1),INDEX(SS_Aval!$E$11:$E$18,1),IF(A86&gt;=INDEX(SS_Aval!$A$11:$A$18,ROWS(SS_Aval!$A$11:$A$18)),INDEX(SS_Aval!$E$11:$E$18,ROWS(SS_Aval!$E$11:$E$18)),INDEX(SS_Aval!$E$11:$E$18,MATCH(A86,SS_Aval!$A$11:$A$18,1))+(A86-INDEX(SS_Aval!$A$11:$A$18,MATCH(A86,SS_Aval!$A$11:$A$18,1)))/(INDEX(SS_Aval!$A$11:$A$18,MATCH(A86,SS_Aval!$A$11:$A$18,1)+1)-INDEX(SS_Aval!$A$11:$A$18,MATCH(A86,SS_Aval!$A$11:$A$18,1)))*(INDEX(SS_Aval!$E$11:$E$18,MATCH(A86,SS_Aval!$A$11:$A$18,1)+1)-INDEX(SS_Aval!$E$11:$E$18,MATCH(A86,SS_Aval!$A$11:$A$18,1)))))</f>
        <v/>
      </c>
      <c r="G86" s="36">
        <f>F86+E86</f>
        <v/>
      </c>
      <c r="H86" s="5">
        <f>IF(B86&lt;=0,0,IF(B86&gt;=INDEX(Courbe_QH_1200!$A$20:$A$80,ROWS(Courbe_QH_1200!$A$20:$A$80)),INDEX(Courbe_QH_1200!$E$20:$E$80,ROWS(Courbe_QH_1200!$E$20:$E$80)),INDEX(Courbe_QH_1200!$E$20:$E$80,MATCH(B86,Courbe_QH_1200!$A$20:$A$80,1))+(B86-INDEX(Courbe_QH_1200!$A$20:$A$80,MATCH(B86,Courbe_QH_1200!$A$20:$A$80,1)))/(INDEX(Courbe_QH_1200!$A$20:$A$80,MATCH(B86,Courbe_QH_1200!$A$20:$A$80,1)+1)-INDEX(Courbe_QH_1200!$A$20:$A$80,MATCH(B86,Courbe_QH_1200!$A$20:$A$80,1)))*(INDEX(Courbe_QH_1200!$E$20:$E$80,MATCH(B86,Courbe_QH_1200!$A$20:$A$80,1)+1)-INDEX(Courbe_QH_1200!$E$20:$E$80,MATCH(B86,Courbe_QH_1200!$A$20:$A$80,1)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  <c r="L86" s="27">
        <f>IF(Parametres!$C$88&lt;=0,0,H86/Parametres!$C$88)</f>
        <v/>
      </c>
      <c r="M86" s="27">
        <f>IF(OR(C86&lt;0.05,D86&lt;0.05),"",I86/D86)</f>
        <v/>
      </c>
    </row>
    <row r="87">
      <c r="A87" s="26" t="n">
        <v>37.2</v>
      </c>
      <c r="B87" s="26">
        <f>A87-$B$12</f>
        <v/>
      </c>
      <c r="C87" s="26">
        <f>MAX(0,A87-$B$6)</f>
        <v/>
      </c>
      <c r="D87" s="5">
        <f>IF(C87&lt;=0,0,($B$7+$B$9*C87)*C87)</f>
        <v/>
      </c>
      <c r="E87" s="29">
        <f>IF($B$13=1,D87*$B$11,0)</f>
        <v/>
      </c>
      <c r="F87" s="29">
        <f>IF(A87&lt;=INDEX(SS_Aval!$A$11:$A$18,1),INDEX(SS_Aval!$E$11:$E$18,1),IF(A87&gt;=INDEX(SS_Aval!$A$11:$A$18,ROWS(SS_Aval!$A$11:$A$18)),INDEX(SS_Aval!$E$11:$E$18,ROWS(SS_Aval!$E$11:$E$18)),INDEX(SS_Aval!$E$11:$E$18,MATCH(A87,SS_Aval!$A$11:$A$18,1))+(A87-INDEX(SS_Aval!$A$11:$A$18,MATCH(A87,SS_Aval!$A$11:$A$18,1)))/(INDEX(SS_Aval!$A$11:$A$18,MATCH(A87,SS_Aval!$A$11:$A$18,1)+1)-INDEX(SS_Aval!$A$11:$A$18,MATCH(A87,SS_Aval!$A$11:$A$18,1)))*(INDEX(SS_Aval!$E$11:$E$18,MATCH(A87,SS_Aval!$A$11:$A$18,1)+1)-INDEX(SS_Aval!$E$11:$E$18,MATCH(A87,SS_Aval!$A$11:$A$18,1)))))</f>
        <v/>
      </c>
      <c r="G87" s="36">
        <f>F87+E87</f>
        <v/>
      </c>
      <c r="H87" s="5">
        <f>IF(B87&lt;=0,0,IF(B87&gt;=INDEX(Courbe_QH_1200!$A$20:$A$80,ROWS(Courbe_QH_1200!$A$20:$A$80)),INDEX(Courbe_QH_1200!$E$20:$E$80,ROWS(Courbe_QH_1200!$E$20:$E$80)),INDEX(Courbe_QH_1200!$E$20:$E$80,MATCH(B87,Courbe_QH_1200!$A$20:$A$80,1))+(B87-INDEX(Courbe_QH_1200!$A$20:$A$80,MATCH(B87,Courbe_QH_1200!$A$20:$A$80,1)))/(INDEX(Courbe_QH_1200!$A$20:$A$80,MATCH(B87,Courbe_QH_1200!$A$20:$A$80,1)+1)-INDEX(Courbe_QH_1200!$A$20:$A$80,MATCH(B87,Courbe_QH_1200!$A$20:$A$80,1)))*(INDEX(Courbe_QH_1200!$E$20:$E$80,MATCH(B87,Courbe_QH_1200!$A$20:$A$80,1)+1)-INDEX(Courbe_QH_1200!$E$20:$E$80,MATCH(B87,Courbe_QH_1200!$A$20:$A$80,1)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  <c r="L87" s="27">
        <f>IF(Parametres!$C$88&lt;=0,0,H87/Parametres!$C$88)</f>
        <v/>
      </c>
      <c r="M87" s="27">
        <f>IF(OR(C87&lt;0.05,D87&lt;0.05),"",I87/D87)</f>
        <v/>
      </c>
    </row>
    <row r="88">
      <c r="A88" s="26" t="n">
        <v>37.25</v>
      </c>
      <c r="B88" s="26">
        <f>A88-$B$12</f>
        <v/>
      </c>
      <c r="C88" s="26">
        <f>MAX(0,A88-$B$6)</f>
        <v/>
      </c>
      <c r="D88" s="5">
        <f>IF(C88&lt;=0,0,($B$7+$B$9*C88)*C88)</f>
        <v/>
      </c>
      <c r="E88" s="29">
        <f>IF($B$13=1,D88*$B$11,0)</f>
        <v/>
      </c>
      <c r="F88" s="29">
        <f>IF(A88&lt;=INDEX(SS_Aval!$A$11:$A$18,1),INDEX(SS_Aval!$E$11:$E$18,1),IF(A88&gt;=INDEX(SS_Aval!$A$11:$A$18,ROWS(SS_Aval!$A$11:$A$18)),INDEX(SS_Aval!$E$11:$E$18,ROWS(SS_Aval!$E$11:$E$18)),INDEX(SS_Aval!$E$11:$E$18,MATCH(A88,SS_Aval!$A$11:$A$18,1))+(A88-INDEX(SS_Aval!$A$11:$A$18,MATCH(A88,SS_Aval!$A$11:$A$18,1)))/(INDEX(SS_Aval!$A$11:$A$18,MATCH(A88,SS_Aval!$A$11:$A$18,1)+1)-INDEX(SS_Aval!$A$11:$A$18,MATCH(A88,SS_Aval!$A$11:$A$18,1)))*(INDEX(SS_Aval!$E$11:$E$18,MATCH(A88,SS_Aval!$A$11:$A$18,1)+1)-INDEX(SS_Aval!$E$11:$E$18,MATCH(A88,SS_Aval!$A$11:$A$18,1)))))</f>
        <v/>
      </c>
      <c r="G88" s="36">
        <f>F88+E88</f>
        <v/>
      </c>
      <c r="H88" s="5">
        <f>IF(B88&lt;=0,0,IF(B88&gt;=INDEX(Courbe_QH_1200!$A$20:$A$80,ROWS(Courbe_QH_1200!$A$20:$A$80)),INDEX(Courbe_QH_1200!$E$20:$E$80,ROWS(Courbe_QH_1200!$E$20:$E$80)),INDEX(Courbe_QH_1200!$E$20:$E$80,MATCH(B88,Courbe_QH_1200!$A$20:$A$80,1))+(B88-INDEX(Courbe_QH_1200!$A$20:$A$80,MATCH(B88,Courbe_QH_1200!$A$20:$A$80,1)))/(INDEX(Courbe_QH_1200!$A$20:$A$80,MATCH(B88,Courbe_QH_1200!$A$20:$A$80,1)+1)-INDEX(Courbe_QH_1200!$A$20:$A$80,MATCH(B88,Courbe_QH_1200!$A$20:$A$80,1)))*(INDEX(Courbe_QH_1200!$E$20:$E$80,MATCH(B88,Courbe_QH_1200!$A$20:$A$80,1)+1)-INDEX(Courbe_QH_1200!$E$20:$E$80,MATCH(B88,Courbe_QH_1200!$A$20:$A$80,1)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  <c r="L88" s="27">
        <f>IF(Parametres!$C$88&lt;=0,0,H88/Parametres!$C$88)</f>
        <v/>
      </c>
      <c r="M88" s="27">
        <f>IF(OR(C88&lt;0.05,D88&lt;0.05),"",I88/D88)</f>
        <v/>
      </c>
    </row>
    <row r="89">
      <c r="A89" s="26" t="n">
        <v>37.3</v>
      </c>
      <c r="B89" s="26">
        <f>A89-$B$12</f>
        <v/>
      </c>
      <c r="C89" s="26">
        <f>MAX(0,A89-$B$6)</f>
        <v/>
      </c>
      <c r="D89" s="5">
        <f>IF(C89&lt;=0,0,($B$7+$B$9*C89)*C89)</f>
        <v/>
      </c>
      <c r="E89" s="29">
        <f>IF($B$13=1,D89*$B$11,0)</f>
        <v/>
      </c>
      <c r="F89" s="29">
        <f>IF(A89&lt;=INDEX(SS_Aval!$A$11:$A$18,1),INDEX(SS_Aval!$E$11:$E$18,1),IF(A89&gt;=INDEX(SS_Aval!$A$11:$A$18,ROWS(SS_Aval!$A$11:$A$18)),INDEX(SS_Aval!$E$11:$E$18,ROWS(SS_Aval!$E$11:$E$18)),INDEX(SS_Aval!$E$11:$E$18,MATCH(A89,SS_Aval!$A$11:$A$18,1))+(A89-INDEX(SS_Aval!$A$11:$A$18,MATCH(A89,SS_Aval!$A$11:$A$18,1)))/(INDEX(SS_Aval!$A$11:$A$18,MATCH(A89,SS_Aval!$A$11:$A$18,1)+1)-INDEX(SS_Aval!$A$11:$A$18,MATCH(A89,SS_Aval!$A$11:$A$18,1)))*(INDEX(SS_Aval!$E$11:$E$18,MATCH(A89,SS_Aval!$A$11:$A$18,1)+1)-INDEX(SS_Aval!$E$11:$E$18,MATCH(A89,SS_Aval!$A$11:$A$18,1)))))</f>
        <v/>
      </c>
      <c r="G89" s="36">
        <f>F89+E89</f>
        <v/>
      </c>
      <c r="H89" s="5">
        <f>IF(B89&lt;=0,0,IF(B89&gt;=INDEX(Courbe_QH_1200!$A$20:$A$80,ROWS(Courbe_QH_1200!$A$20:$A$80)),INDEX(Courbe_QH_1200!$E$20:$E$80,ROWS(Courbe_QH_1200!$E$20:$E$80)),INDEX(Courbe_QH_1200!$E$20:$E$80,MATCH(B89,Courbe_QH_1200!$A$20:$A$80,1))+(B89-INDEX(Courbe_QH_1200!$A$20:$A$80,MATCH(B89,Courbe_QH_1200!$A$20:$A$80,1)))/(INDEX(Courbe_QH_1200!$A$20:$A$80,MATCH(B89,Courbe_QH_1200!$A$20:$A$80,1)+1)-INDEX(Courbe_QH_1200!$A$20:$A$80,MATCH(B89,Courbe_QH_1200!$A$20:$A$80,1)))*(INDEX(Courbe_QH_1200!$E$20:$E$80,MATCH(B89,Courbe_QH_1200!$A$20:$A$80,1)+1)-INDEX(Courbe_QH_1200!$E$20:$E$80,MATCH(B89,Courbe_QH_1200!$A$20:$A$80,1)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  <c r="L89" s="27">
        <f>IF(Parametres!$C$88&lt;=0,0,H89/Parametres!$C$88)</f>
        <v/>
      </c>
      <c r="M89" s="27">
        <f>IF(OR(C89&lt;0.05,D89&lt;0.05),"",I89/D89)</f>
        <v/>
      </c>
    </row>
    <row r="90">
      <c r="A90" s="26" t="n">
        <v>37.35</v>
      </c>
      <c r="B90" s="26">
        <f>A90-$B$12</f>
        <v/>
      </c>
      <c r="C90" s="26">
        <f>MAX(0,A90-$B$6)</f>
        <v/>
      </c>
      <c r="D90" s="5">
        <f>IF(C90&lt;=0,0,($B$7+$B$9*C90)*C90)</f>
        <v/>
      </c>
      <c r="E90" s="29">
        <f>IF($B$13=1,D90*$B$11,0)</f>
        <v/>
      </c>
      <c r="F90" s="29">
        <f>IF(A90&lt;=INDEX(SS_Aval!$A$11:$A$18,1),INDEX(SS_Aval!$E$11:$E$18,1),IF(A90&gt;=INDEX(SS_Aval!$A$11:$A$18,ROWS(SS_Aval!$A$11:$A$18)),INDEX(SS_Aval!$E$11:$E$18,ROWS(SS_Aval!$E$11:$E$18)),INDEX(SS_Aval!$E$11:$E$18,MATCH(A90,SS_Aval!$A$11:$A$18,1))+(A90-INDEX(SS_Aval!$A$11:$A$18,MATCH(A90,SS_Aval!$A$11:$A$18,1)))/(INDEX(SS_Aval!$A$11:$A$18,MATCH(A90,SS_Aval!$A$11:$A$18,1)+1)-INDEX(SS_Aval!$A$11:$A$18,MATCH(A90,SS_Aval!$A$11:$A$18,1)))*(INDEX(SS_Aval!$E$11:$E$18,MATCH(A90,SS_Aval!$A$11:$A$18,1)+1)-INDEX(SS_Aval!$E$11:$E$18,MATCH(A90,SS_Aval!$A$11:$A$18,1)))))</f>
        <v/>
      </c>
      <c r="G90" s="36">
        <f>F90+E90</f>
        <v/>
      </c>
      <c r="H90" s="5">
        <f>IF(B90&lt;=0,0,IF(B90&gt;=INDEX(Courbe_QH_1200!$A$20:$A$80,ROWS(Courbe_QH_1200!$A$20:$A$80)),INDEX(Courbe_QH_1200!$E$20:$E$80,ROWS(Courbe_QH_1200!$E$20:$E$80)),INDEX(Courbe_QH_1200!$E$20:$E$80,MATCH(B90,Courbe_QH_1200!$A$20:$A$80,1))+(B90-INDEX(Courbe_QH_1200!$A$20:$A$80,MATCH(B90,Courbe_QH_1200!$A$20:$A$80,1)))/(INDEX(Courbe_QH_1200!$A$20:$A$80,MATCH(B90,Courbe_QH_1200!$A$20:$A$80,1)+1)-INDEX(Courbe_QH_1200!$A$20:$A$80,MATCH(B90,Courbe_QH_1200!$A$20:$A$80,1)))*(INDEX(Courbe_QH_1200!$E$20:$E$80,MATCH(B90,Courbe_QH_1200!$A$20:$A$80,1)+1)-INDEX(Courbe_QH_1200!$E$20:$E$80,MATCH(B90,Courbe_QH_1200!$A$20:$A$80,1)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  <c r="L90" s="27">
        <f>IF(Parametres!$C$88&lt;=0,0,H90/Parametres!$C$88)</f>
        <v/>
      </c>
      <c r="M90" s="27">
        <f>IF(OR(C90&lt;0.05,D90&lt;0.05),"",I90/D90)</f>
        <v/>
      </c>
    </row>
    <row r="91">
      <c r="A91" s="41" t="n">
        <v>37.4</v>
      </c>
      <c r="B91" s="41">
        <f>A91-$B$12</f>
        <v/>
      </c>
      <c r="C91" s="41">
        <f>MAX(0,A91-$B$6)</f>
        <v/>
      </c>
      <c r="D91" s="8">
        <f>IF(C91&lt;=0,0,($B$7+$B$9*C91)*C91)</f>
        <v/>
      </c>
      <c r="E91" s="43">
        <f>IF($B$13=1,D91*$B$11,0)</f>
        <v/>
      </c>
      <c r="F91" s="43">
        <f>IF(A91&lt;=INDEX(SS_Aval!$A$11:$A$18,1),INDEX(SS_Aval!$E$11:$E$18,1),IF(A91&gt;=INDEX(SS_Aval!$A$11:$A$18,ROWS(SS_Aval!$A$11:$A$18)),INDEX(SS_Aval!$E$11:$E$18,ROWS(SS_Aval!$E$11:$E$18)),INDEX(SS_Aval!$E$11:$E$18,MATCH(A91,SS_Aval!$A$11:$A$18,1))+(A91-INDEX(SS_Aval!$A$11:$A$18,MATCH(A91,SS_Aval!$A$11:$A$18,1)))/(INDEX(SS_Aval!$A$11:$A$18,MATCH(A91,SS_Aval!$A$11:$A$18,1)+1)-INDEX(SS_Aval!$A$11:$A$18,MATCH(A91,SS_Aval!$A$11:$A$18,1)))*(INDEX(SS_Aval!$E$11:$E$18,MATCH(A91,SS_Aval!$A$11:$A$18,1)+1)-INDEX(SS_Aval!$E$11:$E$18,MATCH(A91,SS_Aval!$A$11:$A$18,1)))))</f>
        <v/>
      </c>
      <c r="G91" s="36">
        <f>F91+E91</f>
        <v/>
      </c>
      <c r="H91" s="8">
        <f>IF(B91&lt;=0,0,IF(B91&gt;=INDEX(Courbe_QH_1200!$A$20:$A$80,ROWS(Courbe_QH_1200!$A$20:$A$80)),INDEX(Courbe_QH_1200!$E$20:$E$80,ROWS(Courbe_QH_1200!$E$20:$E$80)),INDEX(Courbe_QH_1200!$E$20:$E$80,MATCH(B91,Courbe_QH_1200!$A$20:$A$80,1))+(B91-INDEX(Courbe_QH_1200!$A$20:$A$80,MATCH(B91,Courbe_QH_1200!$A$20:$A$80,1)))/(INDEX(Courbe_QH_1200!$A$20:$A$80,MATCH(B91,Courbe_QH_1200!$A$20:$A$80,1)+1)-INDEX(Courbe_QH_1200!$A$20:$A$80,MATCH(B91,Courbe_QH_1200!$A$20:$A$80,1)))*(INDEX(Courbe_QH_1200!$E$20:$E$80,MATCH(B91,Courbe_QH_1200!$A$20:$A$80,1)+1)-INDEX(Courbe_QH_1200!$E$20:$E$80,MATCH(B91,Courbe_QH_1200!$A$20:$A$80,1)))))</f>
        <v/>
      </c>
      <c r="I91" s="8">
        <f>IF(C91&lt;=0,0,IF($B$8&lt;=0,0,(1/$B$8)*D91*IF(($B$7+2*C91*SQRT(1+$B$9^2))&lt;=0,0,((D91/($B$7+2*C91*SQRT(1+$B$9^2)))^(2/3)))*SQRT($B$10)))</f>
        <v/>
      </c>
      <c r="J91" s="15">
        <f>H91+I91</f>
        <v/>
      </c>
      <c r="K91" s="7">
        <f>IF(C91&gt;0,"oui","non")</f>
        <v/>
      </c>
      <c r="L91" s="27">
        <f>IF(Parametres!$C$88&lt;=0,0,H91/Parametres!$C$88)</f>
        <v/>
      </c>
      <c r="M91" s="27">
        <f>IF(OR(C91&lt;0.05,D91&lt;0.05),"",I91/D91)</f>
        <v/>
      </c>
    </row>
    <row r="92">
      <c r="A92" s="26" t="n">
        <v>37.45</v>
      </c>
      <c r="B92" s="26">
        <f>A92-$B$12</f>
        <v/>
      </c>
      <c r="C92" s="26">
        <f>MAX(0,A92-$B$6)</f>
        <v/>
      </c>
      <c r="D92" s="5">
        <f>IF(C92&lt;=0,0,($B$7+$B$9*C92)*C92)</f>
        <v/>
      </c>
      <c r="E92" s="29">
        <f>IF($B$13=1,D92*$B$11,0)</f>
        <v/>
      </c>
      <c r="F92" s="29">
        <f>IF(A92&lt;=INDEX(SS_Aval!$A$11:$A$18,1),INDEX(SS_Aval!$E$11:$E$18,1),IF(A92&gt;=INDEX(SS_Aval!$A$11:$A$18,ROWS(SS_Aval!$A$11:$A$18)),INDEX(SS_Aval!$E$11:$E$18,ROWS(SS_Aval!$E$11:$E$18)),INDEX(SS_Aval!$E$11:$E$18,MATCH(A92,SS_Aval!$A$11:$A$18,1))+(A92-INDEX(SS_Aval!$A$11:$A$18,MATCH(A92,SS_Aval!$A$11:$A$18,1)))/(INDEX(SS_Aval!$A$11:$A$18,MATCH(A92,SS_Aval!$A$11:$A$18,1)+1)-INDEX(SS_Aval!$A$11:$A$18,MATCH(A92,SS_Aval!$A$11:$A$18,1)))*(INDEX(SS_Aval!$E$11:$E$18,MATCH(A92,SS_Aval!$A$11:$A$18,1)+1)-INDEX(SS_Aval!$E$11:$E$18,MATCH(A92,SS_Aval!$A$11:$A$18,1)))))</f>
        <v/>
      </c>
      <c r="G92" s="36">
        <f>F92+E92</f>
        <v/>
      </c>
      <c r="H92" s="5">
        <f>IF(B92&lt;=0,0,IF(B92&gt;=INDEX(Courbe_QH_1200!$A$20:$A$80,ROWS(Courbe_QH_1200!$A$20:$A$80)),INDEX(Courbe_QH_1200!$E$20:$E$80,ROWS(Courbe_QH_1200!$E$20:$E$80)),INDEX(Courbe_QH_1200!$E$20:$E$80,MATCH(B92,Courbe_QH_1200!$A$20:$A$80,1))+(B92-INDEX(Courbe_QH_1200!$A$20:$A$80,MATCH(B92,Courbe_QH_1200!$A$20:$A$80,1)))/(INDEX(Courbe_QH_1200!$A$20:$A$80,MATCH(B92,Courbe_QH_1200!$A$20:$A$80,1)+1)-INDEX(Courbe_QH_1200!$A$20:$A$80,MATCH(B92,Courbe_QH_1200!$A$20:$A$80,1)))*(INDEX(Courbe_QH_1200!$E$20:$E$80,MATCH(B92,Courbe_QH_1200!$A$20:$A$80,1)+1)-INDEX(Courbe_QH_1200!$E$20:$E$80,MATCH(B92,Courbe_QH_1200!$A$20:$A$80,1)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  <c r="L92" s="27">
        <f>IF(Parametres!$C$88&lt;=0,0,H92/Parametres!$C$88)</f>
        <v/>
      </c>
      <c r="M92" s="27">
        <f>IF(OR(C92&lt;0.05,D92&lt;0.05),"",I92/D92)</f>
        <v/>
      </c>
    </row>
    <row r="93">
      <c r="A93" s="26" t="n">
        <v>37.5</v>
      </c>
      <c r="B93" s="26">
        <f>A93-$B$12</f>
        <v/>
      </c>
      <c r="C93" s="26">
        <f>MAX(0,A93-$B$6)</f>
        <v/>
      </c>
      <c r="D93" s="5">
        <f>IF(C93&lt;=0,0,($B$7+$B$9*C93)*C93)</f>
        <v/>
      </c>
      <c r="E93" s="29">
        <f>IF($B$13=1,D93*$B$11,0)</f>
        <v/>
      </c>
      <c r="F93" s="29">
        <f>IF(A93&lt;=INDEX(SS_Aval!$A$11:$A$18,1),INDEX(SS_Aval!$E$11:$E$18,1),IF(A93&gt;=INDEX(SS_Aval!$A$11:$A$18,ROWS(SS_Aval!$A$11:$A$18)),INDEX(SS_Aval!$E$11:$E$18,ROWS(SS_Aval!$E$11:$E$18)),INDEX(SS_Aval!$E$11:$E$18,MATCH(A93,SS_Aval!$A$11:$A$18,1))+(A93-INDEX(SS_Aval!$A$11:$A$18,MATCH(A93,SS_Aval!$A$11:$A$18,1)))/(INDEX(SS_Aval!$A$11:$A$18,MATCH(A93,SS_Aval!$A$11:$A$18,1)+1)-INDEX(SS_Aval!$A$11:$A$18,MATCH(A93,SS_Aval!$A$11:$A$18,1)))*(INDEX(SS_Aval!$E$11:$E$18,MATCH(A93,SS_Aval!$A$11:$A$18,1)+1)-INDEX(SS_Aval!$E$11:$E$18,MATCH(A93,SS_Aval!$A$11:$A$18,1)))))</f>
        <v/>
      </c>
      <c r="G93" s="36">
        <f>F93+E93</f>
        <v/>
      </c>
      <c r="H93" s="5">
        <f>IF(B93&lt;=0,0,IF(B93&gt;=INDEX(Courbe_QH_1200!$A$20:$A$80,ROWS(Courbe_QH_1200!$A$20:$A$80)),INDEX(Courbe_QH_1200!$E$20:$E$80,ROWS(Courbe_QH_1200!$E$20:$E$80)),INDEX(Courbe_QH_1200!$E$20:$E$80,MATCH(B93,Courbe_QH_1200!$A$20:$A$80,1))+(B93-INDEX(Courbe_QH_1200!$A$20:$A$80,MATCH(B93,Courbe_QH_1200!$A$20:$A$80,1)))/(INDEX(Courbe_QH_1200!$A$20:$A$80,MATCH(B93,Courbe_QH_1200!$A$20:$A$80,1)+1)-INDEX(Courbe_QH_1200!$A$20:$A$80,MATCH(B93,Courbe_QH_1200!$A$20:$A$80,1)))*(INDEX(Courbe_QH_1200!$E$20:$E$80,MATCH(B93,Courbe_QH_1200!$A$20:$A$80,1)+1)-INDEX(Courbe_QH_1200!$E$20:$E$80,MATCH(B93,Courbe_QH_1200!$A$20:$A$80,1)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  <c r="L93" s="27">
        <f>IF(Parametres!$C$88&lt;=0,0,H93/Parametres!$C$88)</f>
        <v/>
      </c>
      <c r="M93" s="27">
        <f>IF(OR(C93&lt;0.05,D93&lt;0.05),"",I93/D93)</f>
        <v/>
      </c>
    </row>
    <row r="94">
      <c r="A94" s="26" t="n">
        <v>37.55</v>
      </c>
      <c r="B94" s="26">
        <f>A94-$B$12</f>
        <v/>
      </c>
      <c r="C94" s="26">
        <f>MAX(0,A94-$B$6)</f>
        <v/>
      </c>
      <c r="D94" s="5">
        <f>IF(C94&lt;=0,0,($B$7+$B$9*C94)*C94)</f>
        <v/>
      </c>
      <c r="E94" s="29">
        <f>IF($B$13=1,D94*$B$11,0)</f>
        <v/>
      </c>
      <c r="F94" s="29">
        <f>IF(A94&lt;=INDEX(SS_Aval!$A$11:$A$18,1),INDEX(SS_Aval!$E$11:$E$18,1),IF(A94&gt;=INDEX(SS_Aval!$A$11:$A$18,ROWS(SS_Aval!$A$11:$A$18)),INDEX(SS_Aval!$E$11:$E$18,ROWS(SS_Aval!$E$11:$E$18)),INDEX(SS_Aval!$E$11:$E$18,MATCH(A94,SS_Aval!$A$11:$A$18,1))+(A94-INDEX(SS_Aval!$A$11:$A$18,MATCH(A94,SS_Aval!$A$11:$A$18,1)))/(INDEX(SS_Aval!$A$11:$A$18,MATCH(A94,SS_Aval!$A$11:$A$18,1)+1)-INDEX(SS_Aval!$A$11:$A$18,MATCH(A94,SS_Aval!$A$11:$A$18,1)))*(INDEX(SS_Aval!$E$11:$E$18,MATCH(A94,SS_Aval!$A$11:$A$18,1)+1)-INDEX(SS_Aval!$E$11:$E$18,MATCH(A94,SS_Aval!$A$11:$A$18,1)))))</f>
        <v/>
      </c>
      <c r="G94" s="36">
        <f>F94+E94</f>
        <v/>
      </c>
      <c r="H94" s="5">
        <f>IF(B94&lt;=0,0,IF(B94&gt;=INDEX(Courbe_QH_1200!$A$20:$A$80,ROWS(Courbe_QH_1200!$A$20:$A$80)),INDEX(Courbe_QH_1200!$E$20:$E$80,ROWS(Courbe_QH_1200!$E$20:$E$80)),INDEX(Courbe_QH_1200!$E$20:$E$80,MATCH(B94,Courbe_QH_1200!$A$20:$A$80,1))+(B94-INDEX(Courbe_QH_1200!$A$20:$A$80,MATCH(B94,Courbe_QH_1200!$A$20:$A$80,1)))/(INDEX(Courbe_QH_1200!$A$20:$A$80,MATCH(B94,Courbe_QH_1200!$A$20:$A$80,1)+1)-INDEX(Courbe_QH_1200!$A$20:$A$80,MATCH(B94,Courbe_QH_1200!$A$20:$A$80,1)))*(INDEX(Courbe_QH_1200!$E$20:$E$80,MATCH(B94,Courbe_QH_1200!$A$20:$A$80,1)+1)-INDEX(Courbe_QH_1200!$E$20:$E$80,MATCH(B94,Courbe_QH_1200!$A$20:$A$80,1)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  <c r="L94" s="27">
        <f>IF(Parametres!$C$88&lt;=0,0,H94/Parametres!$C$88)</f>
        <v/>
      </c>
      <c r="M94" s="27">
        <f>IF(OR(C94&lt;0.05,D94&lt;0.05),"",I94/D94)</f>
        <v/>
      </c>
    </row>
    <row r="95">
      <c r="A95" s="26" t="n">
        <v>37.6</v>
      </c>
      <c r="B95" s="26">
        <f>A95-$B$12</f>
        <v/>
      </c>
      <c r="C95" s="26">
        <f>MAX(0,A95-$B$6)</f>
        <v/>
      </c>
      <c r="D95" s="5">
        <f>IF(C95&lt;=0,0,($B$7+$B$9*C95)*C95)</f>
        <v/>
      </c>
      <c r="E95" s="29">
        <f>IF($B$13=1,D95*$B$11,0)</f>
        <v/>
      </c>
      <c r="F95" s="29">
        <f>IF(A95&lt;=INDEX(SS_Aval!$A$11:$A$18,1),INDEX(SS_Aval!$E$11:$E$18,1),IF(A95&gt;=INDEX(SS_Aval!$A$11:$A$18,ROWS(SS_Aval!$A$11:$A$18)),INDEX(SS_Aval!$E$11:$E$18,ROWS(SS_Aval!$E$11:$E$18)),INDEX(SS_Aval!$E$11:$E$18,MATCH(A95,SS_Aval!$A$11:$A$18,1))+(A95-INDEX(SS_Aval!$A$11:$A$18,MATCH(A95,SS_Aval!$A$11:$A$18,1)))/(INDEX(SS_Aval!$A$11:$A$18,MATCH(A95,SS_Aval!$A$11:$A$18,1)+1)-INDEX(SS_Aval!$A$11:$A$18,MATCH(A95,SS_Aval!$A$11:$A$18,1)))*(INDEX(SS_Aval!$E$11:$E$18,MATCH(A95,SS_Aval!$A$11:$A$18,1)+1)-INDEX(SS_Aval!$E$11:$E$18,MATCH(A95,SS_Aval!$A$11:$A$18,1)))))</f>
        <v/>
      </c>
      <c r="G95" s="36">
        <f>F95+E95</f>
        <v/>
      </c>
      <c r="H95" s="5">
        <f>IF(B95&lt;=0,0,IF(B95&gt;=INDEX(Courbe_QH_1200!$A$20:$A$80,ROWS(Courbe_QH_1200!$A$20:$A$80)),INDEX(Courbe_QH_1200!$E$20:$E$80,ROWS(Courbe_QH_1200!$E$20:$E$80)),INDEX(Courbe_QH_1200!$E$20:$E$80,MATCH(B95,Courbe_QH_1200!$A$20:$A$80,1))+(B95-INDEX(Courbe_QH_1200!$A$20:$A$80,MATCH(B95,Courbe_QH_1200!$A$20:$A$80,1)))/(INDEX(Courbe_QH_1200!$A$20:$A$80,MATCH(B95,Courbe_QH_1200!$A$20:$A$80,1)+1)-INDEX(Courbe_QH_1200!$A$20:$A$80,MATCH(B95,Courbe_QH_1200!$A$20:$A$80,1)))*(INDEX(Courbe_QH_1200!$E$20:$E$80,MATCH(B95,Courbe_QH_1200!$A$20:$A$80,1)+1)-INDEX(Courbe_QH_1200!$E$20:$E$80,MATCH(B95,Courbe_QH_1200!$A$20:$A$80,1)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  <c r="L95" s="27">
        <f>IF(Parametres!$C$88&lt;=0,0,H95/Parametres!$C$88)</f>
        <v/>
      </c>
      <c r="M95" s="27">
        <f>IF(OR(C95&lt;0.05,D95&lt;0.05),"",I95/D95)</f>
        <v/>
      </c>
    </row>
    <row r="96">
      <c r="A96" s="26" t="n">
        <v>37.65</v>
      </c>
      <c r="B96" s="26">
        <f>A96-$B$12</f>
        <v/>
      </c>
      <c r="C96" s="26">
        <f>MAX(0,A96-$B$6)</f>
        <v/>
      </c>
      <c r="D96" s="5">
        <f>IF(C96&lt;=0,0,($B$7+$B$9*C96)*C96)</f>
        <v/>
      </c>
      <c r="E96" s="29">
        <f>IF($B$13=1,D96*$B$11,0)</f>
        <v/>
      </c>
      <c r="F96" s="29">
        <f>IF(A96&lt;=INDEX(SS_Aval!$A$11:$A$18,1),INDEX(SS_Aval!$E$11:$E$18,1),IF(A96&gt;=INDEX(SS_Aval!$A$11:$A$18,ROWS(SS_Aval!$A$11:$A$18)),INDEX(SS_Aval!$E$11:$E$18,ROWS(SS_Aval!$E$11:$E$18)),INDEX(SS_Aval!$E$11:$E$18,MATCH(A96,SS_Aval!$A$11:$A$18,1))+(A96-INDEX(SS_Aval!$A$11:$A$18,MATCH(A96,SS_Aval!$A$11:$A$18,1)))/(INDEX(SS_Aval!$A$11:$A$18,MATCH(A96,SS_Aval!$A$11:$A$18,1)+1)-INDEX(SS_Aval!$A$11:$A$18,MATCH(A96,SS_Aval!$A$11:$A$18,1)))*(INDEX(SS_Aval!$E$11:$E$18,MATCH(A96,SS_Aval!$A$11:$A$18,1)+1)-INDEX(SS_Aval!$E$11:$E$18,MATCH(A96,SS_Aval!$A$11:$A$18,1)))))</f>
        <v/>
      </c>
      <c r="G96" s="36">
        <f>F96+E96</f>
        <v/>
      </c>
      <c r="H96" s="5">
        <f>IF(B96&lt;=0,0,IF(B96&gt;=INDEX(Courbe_QH_1200!$A$20:$A$80,ROWS(Courbe_QH_1200!$A$20:$A$80)),INDEX(Courbe_QH_1200!$E$20:$E$80,ROWS(Courbe_QH_1200!$E$20:$E$80)),INDEX(Courbe_QH_1200!$E$20:$E$80,MATCH(B96,Courbe_QH_1200!$A$20:$A$80,1))+(B96-INDEX(Courbe_QH_1200!$A$20:$A$80,MATCH(B96,Courbe_QH_1200!$A$20:$A$80,1)))/(INDEX(Courbe_QH_1200!$A$20:$A$80,MATCH(B96,Courbe_QH_1200!$A$20:$A$80,1)+1)-INDEX(Courbe_QH_1200!$A$20:$A$80,MATCH(B96,Courbe_QH_1200!$A$20:$A$80,1)))*(INDEX(Courbe_QH_1200!$E$20:$E$80,MATCH(B96,Courbe_QH_1200!$A$20:$A$80,1)+1)-INDEX(Courbe_QH_1200!$E$20:$E$80,MATCH(B96,Courbe_QH_1200!$A$20:$A$80,1)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  <c r="L96" s="27">
        <f>IF(Parametres!$C$88&lt;=0,0,H96/Parametres!$C$88)</f>
        <v/>
      </c>
      <c r="M96" s="27">
        <f>IF(OR(C96&lt;0.05,D96&lt;0.05),"",I96/D96)</f>
        <v/>
      </c>
    </row>
    <row r="97">
      <c r="A97" s="26" t="n">
        <v>37.7</v>
      </c>
      <c r="B97" s="26">
        <f>A97-$B$12</f>
        <v/>
      </c>
      <c r="C97" s="26">
        <f>MAX(0,A97-$B$6)</f>
        <v/>
      </c>
      <c r="D97" s="5">
        <f>IF(C97&lt;=0,0,($B$7+$B$9*C97)*C97)</f>
        <v/>
      </c>
      <c r="E97" s="29">
        <f>IF($B$13=1,D97*$B$11,0)</f>
        <v/>
      </c>
      <c r="F97" s="29">
        <f>IF(A97&lt;=INDEX(SS_Aval!$A$11:$A$18,1),INDEX(SS_Aval!$E$11:$E$18,1),IF(A97&gt;=INDEX(SS_Aval!$A$11:$A$18,ROWS(SS_Aval!$A$11:$A$18)),INDEX(SS_Aval!$E$11:$E$18,ROWS(SS_Aval!$E$11:$E$18)),INDEX(SS_Aval!$E$11:$E$18,MATCH(A97,SS_Aval!$A$11:$A$18,1))+(A97-INDEX(SS_Aval!$A$11:$A$18,MATCH(A97,SS_Aval!$A$11:$A$18,1)))/(INDEX(SS_Aval!$A$11:$A$18,MATCH(A97,SS_Aval!$A$11:$A$18,1)+1)-INDEX(SS_Aval!$A$11:$A$18,MATCH(A97,SS_Aval!$A$11:$A$18,1)))*(INDEX(SS_Aval!$E$11:$E$18,MATCH(A97,SS_Aval!$A$11:$A$18,1)+1)-INDEX(SS_Aval!$E$11:$E$18,MATCH(A97,SS_Aval!$A$11:$A$18,1)))))</f>
        <v/>
      </c>
      <c r="G97" s="36">
        <f>F97+E97</f>
        <v/>
      </c>
      <c r="H97" s="5">
        <f>IF(B97&lt;=0,0,IF(B97&gt;=INDEX(Courbe_QH_1200!$A$20:$A$80,ROWS(Courbe_QH_1200!$A$20:$A$80)),INDEX(Courbe_QH_1200!$E$20:$E$80,ROWS(Courbe_QH_1200!$E$20:$E$80)),INDEX(Courbe_QH_1200!$E$20:$E$80,MATCH(B97,Courbe_QH_1200!$A$20:$A$80,1))+(B97-INDEX(Courbe_QH_1200!$A$20:$A$80,MATCH(B97,Courbe_QH_1200!$A$20:$A$80,1)))/(INDEX(Courbe_QH_1200!$A$20:$A$80,MATCH(B97,Courbe_QH_1200!$A$20:$A$80,1)+1)-INDEX(Courbe_QH_1200!$A$20:$A$80,MATCH(B97,Courbe_QH_1200!$A$20:$A$80,1)))*(INDEX(Courbe_QH_1200!$E$20:$E$80,MATCH(B97,Courbe_QH_1200!$A$20:$A$80,1)+1)-INDEX(Courbe_QH_1200!$E$20:$E$80,MATCH(B97,Courbe_QH_1200!$A$20:$A$80,1)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  <c r="L97" s="27">
        <f>IF(Parametres!$C$88&lt;=0,0,H97/Parametres!$C$88)</f>
        <v/>
      </c>
      <c r="M97" s="27">
        <f>IF(OR(C97&lt;0.05,D97&lt;0.05),"",I97/D97)</f>
        <v/>
      </c>
    </row>
    <row r="98">
      <c r="A98" s="26" t="n">
        <v>37.75</v>
      </c>
      <c r="B98" s="26">
        <f>A98-$B$12</f>
        <v/>
      </c>
      <c r="C98" s="26">
        <f>MAX(0,A98-$B$6)</f>
        <v/>
      </c>
      <c r="D98" s="5">
        <f>IF(C98&lt;=0,0,($B$7+$B$9*C98)*C98)</f>
        <v/>
      </c>
      <c r="E98" s="29">
        <f>IF($B$13=1,D98*$B$11,0)</f>
        <v/>
      </c>
      <c r="F98" s="29">
        <f>IF(A98&lt;=INDEX(SS_Aval!$A$11:$A$18,1),INDEX(SS_Aval!$E$11:$E$18,1),IF(A98&gt;=INDEX(SS_Aval!$A$11:$A$18,ROWS(SS_Aval!$A$11:$A$18)),INDEX(SS_Aval!$E$11:$E$18,ROWS(SS_Aval!$E$11:$E$18)),INDEX(SS_Aval!$E$11:$E$18,MATCH(A98,SS_Aval!$A$11:$A$18,1))+(A98-INDEX(SS_Aval!$A$11:$A$18,MATCH(A98,SS_Aval!$A$11:$A$18,1)))/(INDEX(SS_Aval!$A$11:$A$18,MATCH(A98,SS_Aval!$A$11:$A$18,1)+1)-INDEX(SS_Aval!$A$11:$A$18,MATCH(A98,SS_Aval!$A$11:$A$18,1)))*(INDEX(SS_Aval!$E$11:$E$18,MATCH(A98,SS_Aval!$A$11:$A$18,1)+1)-INDEX(SS_Aval!$E$11:$E$18,MATCH(A98,SS_Aval!$A$11:$A$18,1)))))</f>
        <v/>
      </c>
      <c r="G98" s="36">
        <f>F98+E98</f>
        <v/>
      </c>
      <c r="H98" s="5">
        <f>IF(B98&lt;=0,0,IF(B98&gt;=INDEX(Courbe_QH_1200!$A$20:$A$80,ROWS(Courbe_QH_1200!$A$20:$A$80)),INDEX(Courbe_QH_1200!$E$20:$E$80,ROWS(Courbe_QH_1200!$E$20:$E$80)),INDEX(Courbe_QH_1200!$E$20:$E$80,MATCH(B98,Courbe_QH_1200!$A$20:$A$80,1))+(B98-INDEX(Courbe_QH_1200!$A$20:$A$80,MATCH(B98,Courbe_QH_1200!$A$20:$A$80,1)))/(INDEX(Courbe_QH_1200!$A$20:$A$80,MATCH(B98,Courbe_QH_1200!$A$20:$A$80,1)+1)-INDEX(Courbe_QH_1200!$A$20:$A$80,MATCH(B98,Courbe_QH_1200!$A$20:$A$80,1)))*(INDEX(Courbe_QH_1200!$E$20:$E$80,MATCH(B98,Courbe_QH_1200!$A$20:$A$80,1)+1)-INDEX(Courbe_QH_1200!$E$20:$E$80,MATCH(B98,Courbe_QH_1200!$A$20:$A$80,1)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  <c r="L98" s="27">
        <f>IF(Parametres!$C$88&lt;=0,0,H98/Parametres!$C$88)</f>
        <v/>
      </c>
      <c r="M98" s="27">
        <f>IF(OR(C98&lt;0.05,D98&lt;0.05),"",I98/D98)</f>
        <v/>
      </c>
    </row>
    <row r="99">
      <c r="A99" s="26" t="n">
        <v>37.8</v>
      </c>
      <c r="B99" s="26">
        <f>A99-$B$12</f>
        <v/>
      </c>
      <c r="C99" s="26">
        <f>MAX(0,A99-$B$6)</f>
        <v/>
      </c>
      <c r="D99" s="5">
        <f>IF(C99&lt;=0,0,($B$7+$B$9*C99)*C99)</f>
        <v/>
      </c>
      <c r="E99" s="29">
        <f>IF($B$13=1,D99*$B$11,0)</f>
        <v/>
      </c>
      <c r="F99" s="29">
        <f>IF(A99&lt;=INDEX(SS_Aval!$A$11:$A$18,1),INDEX(SS_Aval!$E$11:$E$18,1),IF(A99&gt;=INDEX(SS_Aval!$A$11:$A$18,ROWS(SS_Aval!$A$11:$A$18)),INDEX(SS_Aval!$E$11:$E$18,ROWS(SS_Aval!$E$11:$E$18)),INDEX(SS_Aval!$E$11:$E$18,MATCH(A99,SS_Aval!$A$11:$A$18,1))+(A99-INDEX(SS_Aval!$A$11:$A$18,MATCH(A99,SS_Aval!$A$11:$A$18,1)))/(INDEX(SS_Aval!$A$11:$A$18,MATCH(A99,SS_Aval!$A$11:$A$18,1)+1)-INDEX(SS_Aval!$A$11:$A$18,MATCH(A99,SS_Aval!$A$11:$A$18,1)))*(INDEX(SS_Aval!$E$11:$E$18,MATCH(A99,SS_Aval!$A$11:$A$18,1)+1)-INDEX(SS_Aval!$E$11:$E$18,MATCH(A99,SS_Aval!$A$11:$A$18,1)))))</f>
        <v/>
      </c>
      <c r="G99" s="36">
        <f>F99+E99</f>
        <v/>
      </c>
      <c r="H99" s="5">
        <f>IF(B99&lt;=0,0,IF(B99&gt;=INDEX(Courbe_QH_1200!$A$20:$A$80,ROWS(Courbe_QH_1200!$A$20:$A$80)),INDEX(Courbe_QH_1200!$E$20:$E$80,ROWS(Courbe_QH_1200!$E$20:$E$80)),INDEX(Courbe_QH_1200!$E$20:$E$80,MATCH(B99,Courbe_QH_1200!$A$20:$A$80,1))+(B99-INDEX(Courbe_QH_1200!$A$20:$A$80,MATCH(B99,Courbe_QH_1200!$A$20:$A$80,1)))/(INDEX(Courbe_QH_1200!$A$20:$A$80,MATCH(B99,Courbe_QH_1200!$A$20:$A$80,1)+1)-INDEX(Courbe_QH_1200!$A$20:$A$80,MATCH(B99,Courbe_QH_1200!$A$20:$A$80,1)))*(INDEX(Courbe_QH_1200!$E$20:$E$80,MATCH(B99,Courbe_QH_1200!$A$20:$A$80,1)+1)-INDEX(Courbe_QH_1200!$E$20:$E$80,MATCH(B99,Courbe_QH_1200!$A$20:$A$80,1)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  <c r="L99" s="27">
        <f>IF(Parametres!$C$88&lt;=0,0,H99/Parametres!$C$88)</f>
        <v/>
      </c>
      <c r="M99" s="27">
        <f>IF(OR(C99&lt;0.05,D99&lt;0.05),"",I99/D99)</f>
        <v/>
      </c>
    </row>
    <row r="100">
      <c r="A100" s="26" t="n">
        <v>37.85</v>
      </c>
      <c r="B100" s="26">
        <f>A100-$B$12</f>
        <v/>
      </c>
      <c r="C100" s="26">
        <f>MAX(0,A100-$B$6)</f>
        <v/>
      </c>
      <c r="D100" s="5">
        <f>IF(C100&lt;=0,0,($B$7+$B$9*C100)*C100)</f>
        <v/>
      </c>
      <c r="E100" s="29">
        <f>IF($B$13=1,D100*$B$11,0)</f>
        <v/>
      </c>
      <c r="F100" s="29">
        <f>IF(A100&lt;=INDEX(SS_Aval!$A$11:$A$18,1),INDEX(SS_Aval!$E$11:$E$18,1),IF(A100&gt;=INDEX(SS_Aval!$A$11:$A$18,ROWS(SS_Aval!$A$11:$A$18)),INDEX(SS_Aval!$E$11:$E$18,ROWS(SS_Aval!$E$11:$E$18)),INDEX(SS_Aval!$E$11:$E$18,MATCH(A100,SS_Aval!$A$11:$A$18,1))+(A100-INDEX(SS_Aval!$A$11:$A$18,MATCH(A100,SS_Aval!$A$11:$A$18,1)))/(INDEX(SS_Aval!$A$11:$A$18,MATCH(A100,SS_Aval!$A$11:$A$18,1)+1)-INDEX(SS_Aval!$A$11:$A$18,MATCH(A100,SS_Aval!$A$11:$A$18,1)))*(INDEX(SS_Aval!$E$11:$E$18,MATCH(A100,SS_Aval!$A$11:$A$18,1)+1)-INDEX(SS_Aval!$E$11:$E$18,MATCH(A100,SS_Aval!$A$11:$A$18,1)))))</f>
        <v/>
      </c>
      <c r="G100" s="36">
        <f>F100+E100</f>
        <v/>
      </c>
      <c r="H100" s="5">
        <f>IF(B100&lt;=0,0,IF(B100&gt;=INDEX(Courbe_QH_1200!$A$20:$A$80,ROWS(Courbe_QH_1200!$A$20:$A$80)),INDEX(Courbe_QH_1200!$E$20:$E$80,ROWS(Courbe_QH_1200!$E$20:$E$80)),INDEX(Courbe_QH_1200!$E$20:$E$80,MATCH(B100,Courbe_QH_1200!$A$20:$A$80,1))+(B100-INDEX(Courbe_QH_1200!$A$20:$A$80,MATCH(B100,Courbe_QH_1200!$A$20:$A$80,1)))/(INDEX(Courbe_QH_1200!$A$20:$A$80,MATCH(B100,Courbe_QH_1200!$A$20:$A$80,1)+1)-INDEX(Courbe_QH_1200!$A$20:$A$80,MATCH(B100,Courbe_QH_1200!$A$20:$A$80,1)))*(INDEX(Courbe_QH_1200!$E$20:$E$80,MATCH(B100,Courbe_QH_1200!$A$20:$A$80,1)+1)-INDEX(Courbe_QH_1200!$E$20:$E$80,MATCH(B100,Courbe_QH_1200!$A$20:$A$80,1)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  <c r="L100" s="27">
        <f>IF(Parametres!$C$88&lt;=0,0,H100/Parametres!$C$88)</f>
        <v/>
      </c>
      <c r="M100" s="27">
        <f>IF(OR(C100&lt;0.05,D100&lt;0.05),"",I100/D100)</f>
        <v/>
      </c>
    </row>
    <row r="101">
      <c r="A101" s="26" t="n">
        <v>37.9</v>
      </c>
      <c r="B101" s="26">
        <f>A101-$B$12</f>
        <v/>
      </c>
      <c r="C101" s="26">
        <f>MAX(0,A101-$B$6)</f>
        <v/>
      </c>
      <c r="D101" s="5">
        <f>IF(C101&lt;=0,0,($B$7+$B$9*C101)*C101)</f>
        <v/>
      </c>
      <c r="E101" s="29">
        <f>IF($B$13=1,D101*$B$11,0)</f>
        <v/>
      </c>
      <c r="F101" s="29">
        <f>IF(A101&lt;=INDEX(SS_Aval!$A$11:$A$18,1),INDEX(SS_Aval!$E$11:$E$18,1),IF(A101&gt;=INDEX(SS_Aval!$A$11:$A$18,ROWS(SS_Aval!$A$11:$A$18)),INDEX(SS_Aval!$E$11:$E$18,ROWS(SS_Aval!$E$11:$E$18)),INDEX(SS_Aval!$E$11:$E$18,MATCH(A101,SS_Aval!$A$11:$A$18,1))+(A101-INDEX(SS_Aval!$A$11:$A$18,MATCH(A101,SS_Aval!$A$11:$A$18,1)))/(INDEX(SS_Aval!$A$11:$A$18,MATCH(A101,SS_Aval!$A$11:$A$18,1)+1)-INDEX(SS_Aval!$A$11:$A$18,MATCH(A101,SS_Aval!$A$11:$A$18,1)))*(INDEX(SS_Aval!$E$11:$E$18,MATCH(A101,SS_Aval!$A$11:$A$18,1)+1)-INDEX(SS_Aval!$E$11:$E$18,MATCH(A101,SS_Aval!$A$11:$A$18,1)))))</f>
        <v/>
      </c>
      <c r="G101" s="36">
        <f>F101+E101</f>
        <v/>
      </c>
      <c r="H101" s="5">
        <f>IF(B101&lt;=0,0,IF(B101&gt;=INDEX(Courbe_QH_1200!$A$20:$A$80,ROWS(Courbe_QH_1200!$A$20:$A$80)),INDEX(Courbe_QH_1200!$E$20:$E$80,ROWS(Courbe_QH_1200!$E$20:$E$80)),INDEX(Courbe_QH_1200!$E$20:$E$80,MATCH(B101,Courbe_QH_1200!$A$20:$A$80,1))+(B101-INDEX(Courbe_QH_1200!$A$20:$A$80,MATCH(B101,Courbe_QH_1200!$A$20:$A$80,1)))/(INDEX(Courbe_QH_1200!$A$20:$A$80,MATCH(B101,Courbe_QH_1200!$A$20:$A$80,1)+1)-INDEX(Courbe_QH_1200!$A$20:$A$80,MATCH(B101,Courbe_QH_1200!$A$20:$A$80,1)))*(INDEX(Courbe_QH_1200!$E$20:$E$80,MATCH(B101,Courbe_QH_1200!$A$20:$A$80,1)+1)-INDEX(Courbe_QH_1200!$E$20:$E$80,MATCH(B101,Courbe_QH_1200!$A$20:$A$80,1)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  <c r="L101" s="27">
        <f>IF(Parametres!$C$88&lt;=0,0,H101/Parametres!$C$88)</f>
        <v/>
      </c>
      <c r="M101" s="27">
        <f>IF(OR(C101&lt;0.05,D101&lt;0.05),"",I101/D101)</f>
        <v/>
      </c>
    </row>
    <row r="102">
      <c r="A102" s="26" t="n">
        <v>37.95</v>
      </c>
      <c r="B102" s="26">
        <f>A102-$B$12</f>
        <v/>
      </c>
      <c r="C102" s="26">
        <f>MAX(0,A102-$B$6)</f>
        <v/>
      </c>
      <c r="D102" s="5">
        <f>IF(C102&lt;=0,0,($B$7+$B$9*C102)*C102)</f>
        <v/>
      </c>
      <c r="E102" s="29">
        <f>IF($B$13=1,D102*$B$11,0)</f>
        <v/>
      </c>
      <c r="F102" s="29">
        <f>IF(A102&lt;=INDEX(SS_Aval!$A$11:$A$18,1),INDEX(SS_Aval!$E$11:$E$18,1),IF(A102&gt;=INDEX(SS_Aval!$A$11:$A$18,ROWS(SS_Aval!$A$11:$A$18)),INDEX(SS_Aval!$E$11:$E$18,ROWS(SS_Aval!$E$11:$E$18)),INDEX(SS_Aval!$E$11:$E$18,MATCH(A102,SS_Aval!$A$11:$A$18,1))+(A102-INDEX(SS_Aval!$A$11:$A$18,MATCH(A102,SS_Aval!$A$11:$A$18,1)))/(INDEX(SS_Aval!$A$11:$A$18,MATCH(A102,SS_Aval!$A$11:$A$18,1)+1)-INDEX(SS_Aval!$A$11:$A$18,MATCH(A102,SS_Aval!$A$11:$A$18,1)))*(INDEX(SS_Aval!$E$11:$E$18,MATCH(A102,SS_Aval!$A$11:$A$18,1)+1)-INDEX(SS_Aval!$E$11:$E$18,MATCH(A102,SS_Aval!$A$11:$A$18,1)))))</f>
        <v/>
      </c>
      <c r="G102" s="36">
        <f>F102+E102</f>
        <v/>
      </c>
      <c r="H102" s="5">
        <f>IF(B102&lt;=0,0,IF(B102&gt;=INDEX(Courbe_QH_1200!$A$20:$A$80,ROWS(Courbe_QH_1200!$A$20:$A$80)),INDEX(Courbe_QH_1200!$E$20:$E$80,ROWS(Courbe_QH_1200!$E$20:$E$80)),INDEX(Courbe_QH_1200!$E$20:$E$80,MATCH(B102,Courbe_QH_1200!$A$20:$A$80,1))+(B102-INDEX(Courbe_QH_1200!$A$20:$A$80,MATCH(B102,Courbe_QH_1200!$A$20:$A$80,1)))/(INDEX(Courbe_QH_1200!$A$20:$A$80,MATCH(B102,Courbe_QH_1200!$A$20:$A$80,1)+1)-INDEX(Courbe_QH_1200!$A$20:$A$80,MATCH(B102,Courbe_QH_1200!$A$20:$A$80,1)))*(INDEX(Courbe_QH_1200!$E$20:$E$80,MATCH(B102,Courbe_QH_1200!$A$20:$A$80,1)+1)-INDEX(Courbe_QH_1200!$E$20:$E$80,MATCH(B102,Courbe_QH_1200!$A$20:$A$80,1)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  <c r="L102" s="27">
        <f>IF(Parametres!$C$88&lt;=0,0,H102/Parametres!$C$88)</f>
        <v/>
      </c>
      <c r="M102" s="27">
        <f>IF(OR(C102&lt;0.05,D102&lt;0.05),"",I102/D102)</f>
        <v/>
      </c>
    </row>
    <row r="103">
      <c r="A103" s="26" t="n">
        <v>38</v>
      </c>
      <c r="B103" s="26">
        <f>A103-$B$12</f>
        <v/>
      </c>
      <c r="C103" s="26">
        <f>MAX(0,A103-$B$6)</f>
        <v/>
      </c>
      <c r="D103" s="5">
        <f>IF(C103&lt;=0,0,($B$7+$B$9*C103)*C103)</f>
        <v/>
      </c>
      <c r="E103" s="29">
        <f>IF($B$13=1,D103*$B$11,0)</f>
        <v/>
      </c>
      <c r="F103" s="29">
        <f>IF(A103&lt;=INDEX(SS_Aval!$A$11:$A$18,1),INDEX(SS_Aval!$E$11:$E$18,1),IF(A103&gt;=INDEX(SS_Aval!$A$11:$A$18,ROWS(SS_Aval!$A$11:$A$18)),INDEX(SS_Aval!$E$11:$E$18,ROWS(SS_Aval!$E$11:$E$18)),INDEX(SS_Aval!$E$11:$E$18,MATCH(A103,SS_Aval!$A$11:$A$18,1))+(A103-INDEX(SS_Aval!$A$11:$A$18,MATCH(A103,SS_Aval!$A$11:$A$18,1)))/(INDEX(SS_Aval!$A$11:$A$18,MATCH(A103,SS_Aval!$A$11:$A$18,1)+1)-INDEX(SS_Aval!$A$11:$A$18,MATCH(A103,SS_Aval!$A$11:$A$18,1)))*(INDEX(SS_Aval!$E$11:$E$18,MATCH(A103,SS_Aval!$A$11:$A$18,1)+1)-INDEX(SS_Aval!$E$11:$E$18,MATCH(A103,SS_Aval!$A$11:$A$18,1)))))</f>
        <v/>
      </c>
      <c r="G103" s="36">
        <f>F103+E103</f>
        <v/>
      </c>
      <c r="H103" s="5">
        <f>IF(B103&lt;=0,0,IF(B103&gt;=INDEX(Courbe_QH_1200!$A$20:$A$80,ROWS(Courbe_QH_1200!$A$20:$A$80)),INDEX(Courbe_QH_1200!$E$20:$E$80,ROWS(Courbe_QH_1200!$E$20:$E$80)),INDEX(Courbe_QH_1200!$E$20:$E$80,MATCH(B103,Courbe_QH_1200!$A$20:$A$80,1))+(B103-INDEX(Courbe_QH_1200!$A$20:$A$80,MATCH(B103,Courbe_QH_1200!$A$20:$A$80,1)))/(INDEX(Courbe_QH_1200!$A$20:$A$80,MATCH(B103,Courbe_QH_1200!$A$20:$A$80,1)+1)-INDEX(Courbe_QH_1200!$A$20:$A$80,MATCH(B103,Courbe_QH_1200!$A$20:$A$80,1)))*(INDEX(Courbe_QH_1200!$E$20:$E$80,MATCH(B103,Courbe_QH_1200!$A$20:$A$80,1)+1)-INDEX(Courbe_QH_1200!$E$20:$E$80,MATCH(B103,Courbe_QH_1200!$A$20:$A$80,1)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  <c r="L103" s="27">
        <f>IF(Parametres!$C$88&lt;=0,0,H103/Parametres!$C$88)</f>
        <v/>
      </c>
      <c r="M103" s="27">
        <f>IF(OR(C103&lt;0.05,D103&lt;0.05),"",I103/D103)</f>
        <v/>
      </c>
    </row>
    <row r="104">
      <c r="A104" s="26" t="n">
        <v>38.05</v>
      </c>
      <c r="B104" s="26">
        <f>A104-$B$12</f>
        <v/>
      </c>
      <c r="C104" s="26">
        <f>MAX(0,A104-$B$6)</f>
        <v/>
      </c>
      <c r="D104" s="5">
        <f>IF(C104&lt;=0,0,($B$7+$B$9*C104)*C104)</f>
        <v/>
      </c>
      <c r="E104" s="29">
        <f>IF($B$13=1,D104*$B$11,0)</f>
        <v/>
      </c>
      <c r="F104" s="29">
        <f>IF(A104&lt;=INDEX(SS_Aval!$A$11:$A$18,1),INDEX(SS_Aval!$E$11:$E$18,1),IF(A104&gt;=INDEX(SS_Aval!$A$11:$A$18,ROWS(SS_Aval!$A$11:$A$18)),INDEX(SS_Aval!$E$11:$E$18,ROWS(SS_Aval!$E$11:$E$18)),INDEX(SS_Aval!$E$11:$E$18,MATCH(A104,SS_Aval!$A$11:$A$18,1))+(A104-INDEX(SS_Aval!$A$11:$A$18,MATCH(A104,SS_Aval!$A$11:$A$18,1)))/(INDEX(SS_Aval!$A$11:$A$18,MATCH(A104,SS_Aval!$A$11:$A$18,1)+1)-INDEX(SS_Aval!$A$11:$A$18,MATCH(A104,SS_Aval!$A$11:$A$18,1)))*(INDEX(SS_Aval!$E$11:$E$18,MATCH(A104,SS_Aval!$A$11:$A$18,1)+1)-INDEX(SS_Aval!$E$11:$E$18,MATCH(A104,SS_Aval!$A$11:$A$18,1)))))</f>
        <v/>
      </c>
      <c r="G104" s="36">
        <f>F104+E104</f>
        <v/>
      </c>
      <c r="H104" s="5">
        <f>IF(B104&lt;=0,0,IF(B104&gt;=INDEX(Courbe_QH_1200!$A$20:$A$80,ROWS(Courbe_QH_1200!$A$20:$A$80)),INDEX(Courbe_QH_1200!$E$20:$E$80,ROWS(Courbe_QH_1200!$E$20:$E$80)),INDEX(Courbe_QH_1200!$E$20:$E$80,MATCH(B104,Courbe_QH_1200!$A$20:$A$80,1))+(B104-INDEX(Courbe_QH_1200!$A$20:$A$80,MATCH(B104,Courbe_QH_1200!$A$20:$A$80,1)))/(INDEX(Courbe_QH_1200!$A$20:$A$80,MATCH(B104,Courbe_QH_1200!$A$20:$A$80,1)+1)-INDEX(Courbe_QH_1200!$A$20:$A$80,MATCH(B104,Courbe_QH_1200!$A$20:$A$80,1)))*(INDEX(Courbe_QH_1200!$E$20:$E$80,MATCH(B104,Courbe_QH_1200!$A$20:$A$80,1)+1)-INDEX(Courbe_QH_1200!$E$20:$E$80,MATCH(B104,Courbe_QH_1200!$A$20:$A$80,1)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  <c r="L104" s="27">
        <f>IF(Parametres!$C$88&lt;=0,0,H104/Parametres!$C$88)</f>
        <v/>
      </c>
      <c r="M104" s="27">
        <f>IF(OR(C104&lt;0.05,D104&lt;0.05),"",I104/D104)</f>
        <v/>
      </c>
    </row>
    <row r="105">
      <c r="A105" s="26" t="n">
        <v>38.1</v>
      </c>
      <c r="B105" s="26">
        <f>A105-$B$12</f>
        <v/>
      </c>
      <c r="C105" s="26">
        <f>MAX(0,A105-$B$6)</f>
        <v/>
      </c>
      <c r="D105" s="5">
        <f>IF(C105&lt;=0,0,($B$7+$B$9*C105)*C105)</f>
        <v/>
      </c>
      <c r="E105" s="29">
        <f>IF($B$13=1,D105*$B$11,0)</f>
        <v/>
      </c>
      <c r="F105" s="29">
        <f>IF(A105&lt;=INDEX(SS_Aval!$A$11:$A$18,1),INDEX(SS_Aval!$E$11:$E$18,1),IF(A105&gt;=INDEX(SS_Aval!$A$11:$A$18,ROWS(SS_Aval!$A$11:$A$18)),INDEX(SS_Aval!$E$11:$E$18,ROWS(SS_Aval!$E$11:$E$18)),INDEX(SS_Aval!$E$11:$E$18,MATCH(A105,SS_Aval!$A$11:$A$18,1))+(A105-INDEX(SS_Aval!$A$11:$A$18,MATCH(A105,SS_Aval!$A$11:$A$18,1)))/(INDEX(SS_Aval!$A$11:$A$18,MATCH(A105,SS_Aval!$A$11:$A$18,1)+1)-INDEX(SS_Aval!$A$11:$A$18,MATCH(A105,SS_Aval!$A$11:$A$18,1)))*(INDEX(SS_Aval!$E$11:$E$18,MATCH(A105,SS_Aval!$A$11:$A$18,1)+1)-INDEX(SS_Aval!$E$11:$E$18,MATCH(A105,SS_Aval!$A$11:$A$18,1)))))</f>
        <v/>
      </c>
      <c r="G105" s="36">
        <f>F105+E105</f>
        <v/>
      </c>
      <c r="H105" s="5">
        <f>IF(B105&lt;=0,0,IF(B105&gt;=INDEX(Courbe_QH_1200!$A$20:$A$80,ROWS(Courbe_QH_1200!$A$20:$A$80)),INDEX(Courbe_QH_1200!$E$20:$E$80,ROWS(Courbe_QH_1200!$E$20:$E$80)),INDEX(Courbe_QH_1200!$E$20:$E$80,MATCH(B105,Courbe_QH_1200!$A$20:$A$80,1))+(B105-INDEX(Courbe_QH_1200!$A$20:$A$80,MATCH(B105,Courbe_QH_1200!$A$20:$A$80,1)))/(INDEX(Courbe_QH_1200!$A$20:$A$80,MATCH(B105,Courbe_QH_1200!$A$20:$A$80,1)+1)-INDEX(Courbe_QH_1200!$A$20:$A$80,MATCH(B105,Courbe_QH_1200!$A$20:$A$80,1)))*(INDEX(Courbe_QH_1200!$E$20:$E$80,MATCH(B105,Courbe_QH_1200!$A$20:$A$80,1)+1)-INDEX(Courbe_QH_1200!$E$20:$E$80,MATCH(B105,Courbe_QH_1200!$A$20:$A$80,1)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  <c r="L105" s="27">
        <f>IF(Parametres!$C$88&lt;=0,0,H105/Parametres!$C$88)</f>
        <v/>
      </c>
      <c r="M105" s="27">
        <f>IF(OR(C105&lt;0.05,D105&lt;0.05),"",I105/D105)</f>
        <v/>
      </c>
    </row>
    <row r="106">
      <c r="A106" s="26" t="n">
        <v>38.15</v>
      </c>
      <c r="B106" s="26">
        <f>A106-$B$12</f>
        <v/>
      </c>
      <c r="C106" s="26">
        <f>MAX(0,A106-$B$6)</f>
        <v/>
      </c>
      <c r="D106" s="5">
        <f>IF(C106&lt;=0,0,($B$7+$B$9*C106)*C106)</f>
        <v/>
      </c>
      <c r="E106" s="29">
        <f>IF($B$13=1,D106*$B$11,0)</f>
        <v/>
      </c>
      <c r="F106" s="29">
        <f>IF(A106&lt;=INDEX(SS_Aval!$A$11:$A$18,1),INDEX(SS_Aval!$E$11:$E$18,1),IF(A106&gt;=INDEX(SS_Aval!$A$11:$A$18,ROWS(SS_Aval!$A$11:$A$18)),INDEX(SS_Aval!$E$11:$E$18,ROWS(SS_Aval!$E$11:$E$18)),INDEX(SS_Aval!$E$11:$E$18,MATCH(A106,SS_Aval!$A$11:$A$18,1))+(A106-INDEX(SS_Aval!$A$11:$A$18,MATCH(A106,SS_Aval!$A$11:$A$18,1)))/(INDEX(SS_Aval!$A$11:$A$18,MATCH(A106,SS_Aval!$A$11:$A$18,1)+1)-INDEX(SS_Aval!$A$11:$A$18,MATCH(A106,SS_Aval!$A$11:$A$18,1)))*(INDEX(SS_Aval!$E$11:$E$18,MATCH(A106,SS_Aval!$A$11:$A$18,1)+1)-INDEX(SS_Aval!$E$11:$E$18,MATCH(A106,SS_Aval!$A$11:$A$18,1)))))</f>
        <v/>
      </c>
      <c r="G106" s="36">
        <f>F106+E106</f>
        <v/>
      </c>
      <c r="H106" s="5">
        <f>IF(B106&lt;=0,0,IF(B106&gt;=INDEX(Courbe_QH_1200!$A$20:$A$80,ROWS(Courbe_QH_1200!$A$20:$A$80)),INDEX(Courbe_QH_1200!$E$20:$E$80,ROWS(Courbe_QH_1200!$E$20:$E$80)),INDEX(Courbe_QH_1200!$E$20:$E$80,MATCH(B106,Courbe_QH_1200!$A$20:$A$80,1))+(B106-INDEX(Courbe_QH_1200!$A$20:$A$80,MATCH(B106,Courbe_QH_1200!$A$20:$A$80,1)))/(INDEX(Courbe_QH_1200!$A$20:$A$80,MATCH(B106,Courbe_QH_1200!$A$20:$A$80,1)+1)-INDEX(Courbe_QH_1200!$A$20:$A$80,MATCH(B106,Courbe_QH_1200!$A$20:$A$80,1)))*(INDEX(Courbe_QH_1200!$E$20:$E$80,MATCH(B106,Courbe_QH_1200!$A$20:$A$80,1)+1)-INDEX(Courbe_QH_1200!$E$20:$E$80,MATCH(B106,Courbe_QH_1200!$A$20:$A$80,1)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  <c r="L106" s="27">
        <f>IF(Parametres!$C$88&lt;=0,0,H106/Parametres!$C$88)</f>
        <v/>
      </c>
      <c r="M106" s="27">
        <f>IF(OR(C106&lt;0.05,D106&lt;0.05),"",I106/D106)</f>
        <v/>
      </c>
    </row>
    <row r="107">
      <c r="A107" s="26" t="n">
        <v>38.2</v>
      </c>
      <c r="B107" s="26">
        <f>A107-$B$12</f>
        <v/>
      </c>
      <c r="C107" s="26">
        <f>MAX(0,A107-$B$6)</f>
        <v/>
      </c>
      <c r="D107" s="5">
        <f>IF(C107&lt;=0,0,($B$7+$B$9*C107)*C107)</f>
        <v/>
      </c>
      <c r="E107" s="29">
        <f>IF($B$13=1,D107*$B$11,0)</f>
        <v/>
      </c>
      <c r="F107" s="29">
        <f>IF(A107&lt;=INDEX(SS_Aval!$A$11:$A$18,1),INDEX(SS_Aval!$E$11:$E$18,1),IF(A107&gt;=INDEX(SS_Aval!$A$11:$A$18,ROWS(SS_Aval!$A$11:$A$18)),INDEX(SS_Aval!$E$11:$E$18,ROWS(SS_Aval!$E$11:$E$18)),INDEX(SS_Aval!$E$11:$E$18,MATCH(A107,SS_Aval!$A$11:$A$18,1))+(A107-INDEX(SS_Aval!$A$11:$A$18,MATCH(A107,SS_Aval!$A$11:$A$18,1)))/(INDEX(SS_Aval!$A$11:$A$18,MATCH(A107,SS_Aval!$A$11:$A$18,1)+1)-INDEX(SS_Aval!$A$11:$A$18,MATCH(A107,SS_Aval!$A$11:$A$18,1)))*(INDEX(SS_Aval!$E$11:$E$18,MATCH(A107,SS_Aval!$A$11:$A$18,1)+1)-INDEX(SS_Aval!$E$11:$E$18,MATCH(A107,SS_Aval!$A$11:$A$18,1)))))</f>
        <v/>
      </c>
      <c r="G107" s="36">
        <f>F107+E107</f>
        <v/>
      </c>
      <c r="H107" s="5">
        <f>IF(B107&lt;=0,0,IF(B107&gt;=INDEX(Courbe_QH_1200!$A$20:$A$80,ROWS(Courbe_QH_1200!$A$20:$A$80)),INDEX(Courbe_QH_1200!$E$20:$E$80,ROWS(Courbe_QH_1200!$E$20:$E$80)),INDEX(Courbe_QH_1200!$E$20:$E$80,MATCH(B107,Courbe_QH_1200!$A$20:$A$80,1))+(B107-INDEX(Courbe_QH_1200!$A$20:$A$80,MATCH(B107,Courbe_QH_1200!$A$20:$A$80,1)))/(INDEX(Courbe_QH_1200!$A$20:$A$80,MATCH(B107,Courbe_QH_1200!$A$20:$A$80,1)+1)-INDEX(Courbe_QH_1200!$A$20:$A$80,MATCH(B107,Courbe_QH_1200!$A$20:$A$80,1)))*(INDEX(Courbe_QH_1200!$E$20:$E$80,MATCH(B107,Courbe_QH_1200!$A$20:$A$80,1)+1)-INDEX(Courbe_QH_1200!$E$20:$E$80,MATCH(B107,Courbe_QH_1200!$A$20:$A$80,1)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  <c r="L107" s="27">
        <f>IF(Parametres!$C$88&lt;=0,0,H107/Parametres!$C$88)</f>
        <v/>
      </c>
      <c r="M107" s="27">
        <f>IF(OR(C107&lt;0.05,D107&lt;0.05),"",I107/D107)</f>
        <v/>
      </c>
    </row>
    <row r="108">
      <c r="A108" s="26" t="n">
        <v>38.25</v>
      </c>
      <c r="B108" s="26">
        <f>A108-$B$12</f>
        <v/>
      </c>
      <c r="C108" s="26">
        <f>MAX(0,A108-$B$6)</f>
        <v/>
      </c>
      <c r="D108" s="5">
        <f>IF(C108&lt;=0,0,($B$7+$B$9*C108)*C108)</f>
        <v/>
      </c>
      <c r="E108" s="29">
        <f>IF($B$13=1,D108*$B$11,0)</f>
        <v/>
      </c>
      <c r="F108" s="29">
        <f>IF(A108&lt;=INDEX(SS_Aval!$A$11:$A$18,1),INDEX(SS_Aval!$E$11:$E$18,1),IF(A108&gt;=INDEX(SS_Aval!$A$11:$A$18,ROWS(SS_Aval!$A$11:$A$18)),INDEX(SS_Aval!$E$11:$E$18,ROWS(SS_Aval!$E$11:$E$18)),INDEX(SS_Aval!$E$11:$E$18,MATCH(A108,SS_Aval!$A$11:$A$18,1))+(A108-INDEX(SS_Aval!$A$11:$A$18,MATCH(A108,SS_Aval!$A$11:$A$18,1)))/(INDEX(SS_Aval!$A$11:$A$18,MATCH(A108,SS_Aval!$A$11:$A$18,1)+1)-INDEX(SS_Aval!$A$11:$A$18,MATCH(A108,SS_Aval!$A$11:$A$18,1)))*(INDEX(SS_Aval!$E$11:$E$18,MATCH(A108,SS_Aval!$A$11:$A$18,1)+1)-INDEX(SS_Aval!$E$11:$E$18,MATCH(A108,SS_Aval!$A$11:$A$18,1)))))</f>
        <v/>
      </c>
      <c r="G108" s="36">
        <f>F108+E108</f>
        <v/>
      </c>
      <c r="H108" s="5">
        <f>IF(B108&lt;=0,0,IF(B108&gt;=INDEX(Courbe_QH_1200!$A$20:$A$80,ROWS(Courbe_QH_1200!$A$20:$A$80)),INDEX(Courbe_QH_1200!$E$20:$E$80,ROWS(Courbe_QH_1200!$E$20:$E$80)),INDEX(Courbe_QH_1200!$E$20:$E$80,MATCH(B108,Courbe_QH_1200!$A$20:$A$80,1))+(B108-INDEX(Courbe_QH_1200!$A$20:$A$80,MATCH(B108,Courbe_QH_1200!$A$20:$A$80,1)))/(INDEX(Courbe_QH_1200!$A$20:$A$80,MATCH(B108,Courbe_QH_1200!$A$20:$A$80,1)+1)-INDEX(Courbe_QH_1200!$A$20:$A$80,MATCH(B108,Courbe_QH_1200!$A$20:$A$80,1)))*(INDEX(Courbe_QH_1200!$E$20:$E$80,MATCH(B108,Courbe_QH_1200!$A$20:$A$80,1)+1)-INDEX(Courbe_QH_1200!$E$20:$E$80,MATCH(B108,Courbe_QH_1200!$A$20:$A$80,1)))))</f>
        <v/>
      </c>
      <c r="I108" s="5">
        <f>IF(C108&lt;=0,0,IF($B$8&lt;=0,0,(1/$B$8)*D108*IF(($B$7+2*C108*SQRT(1+$B$9^2))&lt;=0,0,((D108/($B$7+2*C108*SQRT(1+$B$9^2)))^(2/3)))*SQRT($B$10)))</f>
        <v/>
      </c>
      <c r="J108" s="15">
        <f>H108+I108</f>
        <v/>
      </c>
      <c r="K108" s="4">
        <f>IF(C108&gt;0,"oui","non")</f>
        <v/>
      </c>
      <c r="L108" s="27">
        <f>IF(Parametres!$C$88&lt;=0,0,H108/Parametres!$C$88)</f>
        <v/>
      </c>
      <c r="M108" s="27">
        <f>IF(OR(C108&lt;0.05,D108&lt;0.05),"",I108/D108)</f>
        <v/>
      </c>
    </row>
    <row r="109">
      <c r="A109" s="26" t="n">
        <v>38.3</v>
      </c>
      <c r="B109" s="26">
        <f>A109-$B$12</f>
        <v/>
      </c>
      <c r="C109" s="26">
        <f>MAX(0,A109-$B$6)</f>
        <v/>
      </c>
      <c r="D109" s="5">
        <f>IF(C109&lt;=0,0,($B$7+$B$9*C109)*C109)</f>
        <v/>
      </c>
      <c r="E109" s="29">
        <f>IF($B$13=1,D109*$B$11,0)</f>
        <v/>
      </c>
      <c r="F109" s="29">
        <f>IF(A109&lt;=INDEX(SS_Aval!$A$11:$A$18,1),INDEX(SS_Aval!$E$11:$E$18,1),IF(A109&gt;=INDEX(SS_Aval!$A$11:$A$18,ROWS(SS_Aval!$A$11:$A$18)),INDEX(SS_Aval!$E$11:$E$18,ROWS(SS_Aval!$E$11:$E$18)),INDEX(SS_Aval!$E$11:$E$18,MATCH(A109,SS_Aval!$A$11:$A$18,1))+(A109-INDEX(SS_Aval!$A$11:$A$18,MATCH(A109,SS_Aval!$A$11:$A$18,1)))/(INDEX(SS_Aval!$A$11:$A$18,MATCH(A109,SS_Aval!$A$11:$A$18,1)+1)-INDEX(SS_Aval!$A$11:$A$18,MATCH(A109,SS_Aval!$A$11:$A$18,1)))*(INDEX(SS_Aval!$E$11:$E$18,MATCH(A109,SS_Aval!$A$11:$A$18,1)+1)-INDEX(SS_Aval!$E$11:$E$18,MATCH(A109,SS_Aval!$A$11:$A$18,1)))))</f>
        <v/>
      </c>
      <c r="G109" s="36">
        <f>F109+E109</f>
        <v/>
      </c>
      <c r="H109" s="5">
        <f>IF(B109&lt;=0,0,IF(B109&gt;=INDEX(Courbe_QH_1200!$A$20:$A$80,ROWS(Courbe_QH_1200!$A$20:$A$80)),INDEX(Courbe_QH_1200!$E$20:$E$80,ROWS(Courbe_QH_1200!$E$20:$E$80)),INDEX(Courbe_QH_1200!$E$20:$E$80,MATCH(B109,Courbe_QH_1200!$A$20:$A$80,1))+(B109-INDEX(Courbe_QH_1200!$A$20:$A$80,MATCH(B109,Courbe_QH_1200!$A$20:$A$80,1)))/(INDEX(Courbe_QH_1200!$A$20:$A$80,MATCH(B109,Courbe_QH_1200!$A$20:$A$80,1)+1)-INDEX(Courbe_QH_1200!$A$20:$A$80,MATCH(B109,Courbe_QH_1200!$A$20:$A$80,1)))*(INDEX(Courbe_QH_1200!$E$20:$E$80,MATCH(B109,Courbe_QH_1200!$A$20:$A$80,1)+1)-INDEX(Courbe_QH_1200!$E$20:$E$80,MATCH(B109,Courbe_QH_1200!$A$20:$A$80,1)))))</f>
        <v/>
      </c>
      <c r="I109" s="5">
        <f>IF(C109&lt;=0,0,IF($B$8&lt;=0,0,(1/$B$8)*D109*IF(($B$7+2*C109*SQRT(1+$B$9^2))&lt;=0,0,((D109/($B$7+2*C109*SQRT(1+$B$9^2)))^(2/3)))*SQRT($B$10)))</f>
        <v/>
      </c>
      <c r="J109" s="15">
        <f>H109+I109</f>
        <v/>
      </c>
      <c r="K109" s="4">
        <f>IF(C109&gt;0,"oui","non")</f>
        <v/>
      </c>
      <c r="L109" s="27">
        <f>IF(Parametres!$C$88&lt;=0,0,H109/Parametres!$C$88)</f>
        <v/>
      </c>
      <c r="M109" s="27">
        <f>IF(OR(C109&lt;0.05,D109&lt;0.05),"",I109/D109)</f>
        <v/>
      </c>
    </row>
    <row r="110">
      <c r="A110" s="26" t="n">
        <v>38.35</v>
      </c>
      <c r="B110" s="26">
        <f>A110-$B$12</f>
        <v/>
      </c>
      <c r="C110" s="26">
        <f>MAX(0,A110-$B$6)</f>
        <v/>
      </c>
      <c r="D110" s="5">
        <f>IF(C110&lt;=0,0,($B$7+$B$9*C110)*C110)</f>
        <v/>
      </c>
      <c r="E110" s="29">
        <f>IF($B$13=1,D110*$B$11,0)</f>
        <v/>
      </c>
      <c r="F110" s="29">
        <f>IF(A110&lt;=INDEX(SS_Aval!$A$11:$A$18,1),INDEX(SS_Aval!$E$11:$E$18,1),IF(A110&gt;=INDEX(SS_Aval!$A$11:$A$18,ROWS(SS_Aval!$A$11:$A$18)),INDEX(SS_Aval!$E$11:$E$18,ROWS(SS_Aval!$E$11:$E$18)),INDEX(SS_Aval!$E$11:$E$18,MATCH(A110,SS_Aval!$A$11:$A$18,1))+(A110-INDEX(SS_Aval!$A$11:$A$18,MATCH(A110,SS_Aval!$A$11:$A$18,1)))/(INDEX(SS_Aval!$A$11:$A$18,MATCH(A110,SS_Aval!$A$11:$A$18,1)+1)-INDEX(SS_Aval!$A$11:$A$18,MATCH(A110,SS_Aval!$A$11:$A$18,1)))*(INDEX(SS_Aval!$E$11:$E$18,MATCH(A110,SS_Aval!$A$11:$A$18,1)+1)-INDEX(SS_Aval!$E$11:$E$18,MATCH(A110,SS_Aval!$A$11:$A$18,1)))))</f>
        <v/>
      </c>
      <c r="G110" s="36">
        <f>F110+E110</f>
        <v/>
      </c>
      <c r="H110" s="5">
        <f>IF(B110&lt;=0,0,IF(B110&gt;=INDEX(Courbe_QH_1200!$A$20:$A$80,ROWS(Courbe_QH_1200!$A$20:$A$80)),INDEX(Courbe_QH_1200!$E$20:$E$80,ROWS(Courbe_QH_1200!$E$20:$E$80)),INDEX(Courbe_QH_1200!$E$20:$E$80,MATCH(B110,Courbe_QH_1200!$A$20:$A$80,1))+(B110-INDEX(Courbe_QH_1200!$A$20:$A$80,MATCH(B110,Courbe_QH_1200!$A$20:$A$80,1)))/(INDEX(Courbe_QH_1200!$A$20:$A$80,MATCH(B110,Courbe_QH_1200!$A$20:$A$80,1)+1)-INDEX(Courbe_QH_1200!$A$20:$A$80,MATCH(B110,Courbe_QH_1200!$A$20:$A$80,1)))*(INDEX(Courbe_QH_1200!$E$20:$E$80,MATCH(B110,Courbe_QH_1200!$A$20:$A$80,1)+1)-INDEX(Courbe_QH_1200!$E$20:$E$80,MATCH(B110,Courbe_QH_1200!$A$20:$A$80,1)))))</f>
        <v/>
      </c>
      <c r="I110" s="5">
        <f>IF(C110&lt;=0,0,IF($B$8&lt;=0,0,(1/$B$8)*D110*IF(($B$7+2*C110*SQRT(1+$B$9^2))&lt;=0,0,((D110/($B$7+2*C110*SQRT(1+$B$9^2)))^(2/3)))*SQRT($B$10)))</f>
        <v/>
      </c>
      <c r="J110" s="15">
        <f>H110+I110</f>
        <v/>
      </c>
      <c r="K110" s="4">
        <f>IF(C110&gt;0,"oui","non")</f>
        <v/>
      </c>
      <c r="L110" s="27">
        <f>IF(Parametres!$C$88&lt;=0,0,H110/Parametres!$C$88)</f>
        <v/>
      </c>
      <c r="M110" s="27">
        <f>IF(OR(C110&lt;0.05,D110&lt;0.05),"",I110/D110)</f>
        <v/>
      </c>
    </row>
    <row r="111">
      <c r="A111" s="26" t="n">
        <v>38.4</v>
      </c>
      <c r="B111" s="26">
        <f>A111-$B$12</f>
        <v/>
      </c>
      <c r="C111" s="26">
        <f>MAX(0,A111-$B$6)</f>
        <v/>
      </c>
      <c r="D111" s="5">
        <f>IF(C111&lt;=0,0,($B$7+$B$9*C111)*C111)</f>
        <v/>
      </c>
      <c r="E111" s="29">
        <f>IF($B$13=1,D111*$B$11,0)</f>
        <v/>
      </c>
      <c r="F111" s="29">
        <f>IF(A111&lt;=INDEX(SS_Aval!$A$11:$A$18,1),INDEX(SS_Aval!$E$11:$E$18,1),IF(A111&gt;=INDEX(SS_Aval!$A$11:$A$18,ROWS(SS_Aval!$A$11:$A$18)),INDEX(SS_Aval!$E$11:$E$18,ROWS(SS_Aval!$E$11:$E$18)),INDEX(SS_Aval!$E$11:$E$18,MATCH(A111,SS_Aval!$A$11:$A$18,1))+(A111-INDEX(SS_Aval!$A$11:$A$18,MATCH(A111,SS_Aval!$A$11:$A$18,1)))/(INDEX(SS_Aval!$A$11:$A$18,MATCH(A111,SS_Aval!$A$11:$A$18,1)+1)-INDEX(SS_Aval!$A$11:$A$18,MATCH(A111,SS_Aval!$A$11:$A$18,1)))*(INDEX(SS_Aval!$E$11:$E$18,MATCH(A111,SS_Aval!$A$11:$A$18,1)+1)-INDEX(SS_Aval!$E$11:$E$18,MATCH(A111,SS_Aval!$A$11:$A$18,1)))))</f>
        <v/>
      </c>
      <c r="G111" s="36">
        <f>F111+E111</f>
        <v/>
      </c>
      <c r="H111" s="5">
        <f>IF(B111&lt;=0,0,IF(B111&gt;=INDEX(Courbe_QH_1200!$A$20:$A$80,ROWS(Courbe_QH_1200!$A$20:$A$80)),INDEX(Courbe_QH_1200!$E$20:$E$80,ROWS(Courbe_QH_1200!$E$20:$E$80)),INDEX(Courbe_QH_1200!$E$20:$E$80,MATCH(B111,Courbe_QH_1200!$A$20:$A$80,1))+(B111-INDEX(Courbe_QH_1200!$A$20:$A$80,MATCH(B111,Courbe_QH_1200!$A$20:$A$80,1)))/(INDEX(Courbe_QH_1200!$A$20:$A$80,MATCH(B111,Courbe_QH_1200!$A$20:$A$80,1)+1)-INDEX(Courbe_QH_1200!$A$20:$A$80,MATCH(B111,Courbe_QH_1200!$A$20:$A$80,1)))*(INDEX(Courbe_QH_1200!$E$20:$E$80,MATCH(B111,Courbe_QH_1200!$A$20:$A$80,1)+1)-INDEX(Courbe_QH_1200!$E$20:$E$80,MATCH(B111,Courbe_QH_1200!$A$20:$A$80,1)))))</f>
        <v/>
      </c>
      <c r="I111" s="5">
        <f>IF(C111&lt;=0,0,IF($B$8&lt;=0,0,(1/$B$8)*D111*IF(($B$7+2*C111*SQRT(1+$B$9^2))&lt;=0,0,((D111/($B$7+2*C111*SQRT(1+$B$9^2)))^(2/3)))*SQRT($B$10)))</f>
        <v/>
      </c>
      <c r="J111" s="15">
        <f>H111+I111</f>
        <v/>
      </c>
      <c r="K111" s="4">
        <f>IF(C111&gt;0,"oui","non")</f>
        <v/>
      </c>
      <c r="L111" s="27">
        <f>IF(Parametres!$C$88&lt;=0,0,H111/Parametres!$C$88)</f>
        <v/>
      </c>
      <c r="M111" s="27">
        <f>IF(OR(C111&lt;0.05,D111&lt;0.05),"",I111/D111)</f>
        <v/>
      </c>
    </row>
    <row r="112">
      <c r="A112" s="26" t="n">
        <v>38.45</v>
      </c>
      <c r="B112" s="26">
        <f>A112-$B$12</f>
        <v/>
      </c>
      <c r="C112" s="26">
        <f>MAX(0,A112-$B$6)</f>
        <v/>
      </c>
      <c r="D112" s="5">
        <f>IF(C112&lt;=0,0,($B$7+$B$9*C112)*C112)</f>
        <v/>
      </c>
      <c r="E112" s="29">
        <f>IF($B$13=1,D112*$B$11,0)</f>
        <v/>
      </c>
      <c r="F112" s="29">
        <f>IF(A112&lt;=INDEX(SS_Aval!$A$11:$A$18,1),INDEX(SS_Aval!$E$11:$E$18,1),IF(A112&gt;=INDEX(SS_Aval!$A$11:$A$18,ROWS(SS_Aval!$A$11:$A$18)),INDEX(SS_Aval!$E$11:$E$18,ROWS(SS_Aval!$E$11:$E$18)),INDEX(SS_Aval!$E$11:$E$18,MATCH(A112,SS_Aval!$A$11:$A$18,1))+(A112-INDEX(SS_Aval!$A$11:$A$18,MATCH(A112,SS_Aval!$A$11:$A$18,1)))/(INDEX(SS_Aval!$A$11:$A$18,MATCH(A112,SS_Aval!$A$11:$A$18,1)+1)-INDEX(SS_Aval!$A$11:$A$18,MATCH(A112,SS_Aval!$A$11:$A$18,1)))*(INDEX(SS_Aval!$E$11:$E$18,MATCH(A112,SS_Aval!$A$11:$A$18,1)+1)-INDEX(SS_Aval!$E$11:$E$18,MATCH(A112,SS_Aval!$A$11:$A$18,1)))))</f>
        <v/>
      </c>
      <c r="G112" s="36">
        <f>F112+E112</f>
        <v/>
      </c>
      <c r="H112" s="5">
        <f>IF(B112&lt;=0,0,IF(B112&gt;=INDEX(Courbe_QH_1200!$A$20:$A$80,ROWS(Courbe_QH_1200!$A$20:$A$80)),INDEX(Courbe_QH_1200!$E$20:$E$80,ROWS(Courbe_QH_1200!$E$20:$E$80)),INDEX(Courbe_QH_1200!$E$20:$E$80,MATCH(B112,Courbe_QH_1200!$A$20:$A$80,1))+(B112-INDEX(Courbe_QH_1200!$A$20:$A$80,MATCH(B112,Courbe_QH_1200!$A$20:$A$80,1)))/(INDEX(Courbe_QH_1200!$A$20:$A$80,MATCH(B112,Courbe_QH_1200!$A$20:$A$80,1)+1)-INDEX(Courbe_QH_1200!$A$20:$A$80,MATCH(B112,Courbe_QH_1200!$A$20:$A$80,1)))*(INDEX(Courbe_QH_1200!$E$20:$E$80,MATCH(B112,Courbe_QH_1200!$A$20:$A$80,1)+1)-INDEX(Courbe_QH_1200!$E$20:$E$80,MATCH(B112,Courbe_QH_1200!$A$20:$A$80,1)))))</f>
        <v/>
      </c>
      <c r="I112" s="5">
        <f>IF(C112&lt;=0,0,IF($B$8&lt;=0,0,(1/$B$8)*D112*IF(($B$7+2*C112*SQRT(1+$B$9^2))&lt;=0,0,((D112/($B$7+2*C112*SQRT(1+$B$9^2)))^(2/3)))*SQRT($B$10)))</f>
        <v/>
      </c>
      <c r="J112" s="15">
        <f>H112+I112</f>
        <v/>
      </c>
      <c r="K112" s="4">
        <f>IF(C112&gt;0,"oui","non")</f>
        <v/>
      </c>
      <c r="L112" s="27">
        <f>IF(Parametres!$C$88&lt;=0,0,H112/Parametres!$C$88)</f>
        <v/>
      </c>
      <c r="M112" s="27">
        <f>IF(OR(C112&lt;0.05,D112&lt;0.05),"",I112/D112)</f>
        <v/>
      </c>
    </row>
    <row r="113">
      <c r="A113" s="26" t="n">
        <v>38.5</v>
      </c>
      <c r="B113" s="26">
        <f>A113-$B$12</f>
        <v/>
      </c>
      <c r="C113" s="26">
        <f>MAX(0,A113-$B$6)</f>
        <v/>
      </c>
      <c r="D113" s="5">
        <f>IF(C113&lt;=0,0,($B$7+$B$9*C113)*C113)</f>
        <v/>
      </c>
      <c r="E113" s="29">
        <f>IF($B$13=1,D113*$B$11,0)</f>
        <v/>
      </c>
      <c r="F113" s="29">
        <f>IF(A113&lt;=INDEX(SS_Aval!$A$11:$A$18,1),INDEX(SS_Aval!$E$11:$E$18,1),IF(A113&gt;=INDEX(SS_Aval!$A$11:$A$18,ROWS(SS_Aval!$A$11:$A$18)),INDEX(SS_Aval!$E$11:$E$18,ROWS(SS_Aval!$E$11:$E$18)),INDEX(SS_Aval!$E$11:$E$18,MATCH(A113,SS_Aval!$A$11:$A$18,1))+(A113-INDEX(SS_Aval!$A$11:$A$18,MATCH(A113,SS_Aval!$A$11:$A$18,1)))/(INDEX(SS_Aval!$A$11:$A$18,MATCH(A113,SS_Aval!$A$11:$A$18,1)+1)-INDEX(SS_Aval!$A$11:$A$18,MATCH(A113,SS_Aval!$A$11:$A$18,1)))*(INDEX(SS_Aval!$E$11:$E$18,MATCH(A113,SS_Aval!$A$11:$A$18,1)+1)-INDEX(SS_Aval!$E$11:$E$18,MATCH(A113,SS_Aval!$A$11:$A$18,1)))))</f>
        <v/>
      </c>
      <c r="G113" s="36">
        <f>F113+E113</f>
        <v/>
      </c>
      <c r="H113" s="5">
        <f>IF(B113&lt;=0,0,IF(B113&gt;=INDEX(Courbe_QH_1200!$A$20:$A$80,ROWS(Courbe_QH_1200!$A$20:$A$80)),INDEX(Courbe_QH_1200!$E$20:$E$80,ROWS(Courbe_QH_1200!$E$20:$E$80)),INDEX(Courbe_QH_1200!$E$20:$E$80,MATCH(B113,Courbe_QH_1200!$A$20:$A$80,1))+(B113-INDEX(Courbe_QH_1200!$A$20:$A$80,MATCH(B113,Courbe_QH_1200!$A$20:$A$80,1)))/(INDEX(Courbe_QH_1200!$A$20:$A$80,MATCH(B113,Courbe_QH_1200!$A$20:$A$80,1)+1)-INDEX(Courbe_QH_1200!$A$20:$A$80,MATCH(B113,Courbe_QH_1200!$A$20:$A$80,1)))*(INDEX(Courbe_QH_1200!$E$20:$E$80,MATCH(B113,Courbe_QH_1200!$A$20:$A$80,1)+1)-INDEX(Courbe_QH_1200!$E$20:$E$80,MATCH(B113,Courbe_QH_1200!$A$20:$A$80,1)))))</f>
        <v/>
      </c>
      <c r="I113" s="5">
        <f>IF(C113&lt;=0,0,IF($B$8&lt;=0,0,(1/$B$8)*D113*IF(($B$7+2*C113*SQRT(1+$B$9^2))&lt;=0,0,((D113/($B$7+2*C113*SQRT(1+$B$9^2)))^(2/3)))*SQRT($B$10)))</f>
        <v/>
      </c>
      <c r="J113" s="15">
        <f>H113+I113</f>
        <v/>
      </c>
      <c r="K113" s="4">
        <f>IF(C113&gt;0,"oui","non")</f>
        <v/>
      </c>
      <c r="L113" s="27">
        <f>IF(Parametres!$C$88&lt;=0,0,H113/Parametres!$C$88)</f>
        <v/>
      </c>
      <c r="M113" s="27">
        <f>IF(OR(C113&lt;0.05,D113&lt;0.05),"",I113/D113)</f>
        <v/>
      </c>
    </row>
    <row r="114">
      <c r="A114" s="26" t="n">
        <v>38.55</v>
      </c>
      <c r="B114" s="26">
        <f>A114-$B$12</f>
        <v/>
      </c>
      <c r="C114" s="26">
        <f>MAX(0,A114-$B$6)</f>
        <v/>
      </c>
      <c r="D114" s="5">
        <f>IF(C114&lt;=0,0,($B$7+$B$9*C114)*C114)</f>
        <v/>
      </c>
      <c r="E114" s="29">
        <f>IF($B$13=1,D114*$B$11,0)</f>
        <v/>
      </c>
      <c r="F114" s="29">
        <f>IF(A114&lt;=INDEX(SS_Aval!$A$11:$A$18,1),INDEX(SS_Aval!$E$11:$E$18,1),IF(A114&gt;=INDEX(SS_Aval!$A$11:$A$18,ROWS(SS_Aval!$A$11:$A$18)),INDEX(SS_Aval!$E$11:$E$18,ROWS(SS_Aval!$E$11:$E$18)),INDEX(SS_Aval!$E$11:$E$18,MATCH(A114,SS_Aval!$A$11:$A$18,1))+(A114-INDEX(SS_Aval!$A$11:$A$18,MATCH(A114,SS_Aval!$A$11:$A$18,1)))/(INDEX(SS_Aval!$A$11:$A$18,MATCH(A114,SS_Aval!$A$11:$A$18,1)+1)-INDEX(SS_Aval!$A$11:$A$18,MATCH(A114,SS_Aval!$A$11:$A$18,1)))*(INDEX(SS_Aval!$E$11:$E$18,MATCH(A114,SS_Aval!$A$11:$A$18,1)+1)-INDEX(SS_Aval!$E$11:$E$18,MATCH(A114,SS_Aval!$A$11:$A$18,1)))))</f>
        <v/>
      </c>
      <c r="G114" s="36">
        <f>F114+E114</f>
        <v/>
      </c>
      <c r="H114" s="5">
        <f>IF(B114&lt;=0,0,IF(B114&gt;=INDEX(Courbe_QH_1200!$A$20:$A$80,ROWS(Courbe_QH_1200!$A$20:$A$80)),INDEX(Courbe_QH_1200!$E$20:$E$80,ROWS(Courbe_QH_1200!$E$20:$E$80)),INDEX(Courbe_QH_1200!$E$20:$E$80,MATCH(B114,Courbe_QH_1200!$A$20:$A$80,1))+(B114-INDEX(Courbe_QH_1200!$A$20:$A$80,MATCH(B114,Courbe_QH_1200!$A$20:$A$80,1)))/(INDEX(Courbe_QH_1200!$A$20:$A$80,MATCH(B114,Courbe_QH_1200!$A$20:$A$80,1)+1)-INDEX(Courbe_QH_1200!$A$20:$A$80,MATCH(B114,Courbe_QH_1200!$A$20:$A$80,1)))*(INDEX(Courbe_QH_1200!$E$20:$E$80,MATCH(B114,Courbe_QH_1200!$A$20:$A$80,1)+1)-INDEX(Courbe_QH_1200!$E$20:$E$80,MATCH(B114,Courbe_QH_1200!$A$20:$A$80,1)))))</f>
        <v/>
      </c>
      <c r="I114" s="5">
        <f>IF(C114&lt;=0,0,IF($B$8&lt;=0,0,(1/$B$8)*D114*IF(($B$7+2*C114*SQRT(1+$B$9^2))&lt;=0,0,((D114/($B$7+2*C114*SQRT(1+$B$9^2)))^(2/3)))*SQRT($B$10)))</f>
        <v/>
      </c>
      <c r="J114" s="15">
        <f>H114+I114</f>
        <v/>
      </c>
      <c r="K114" s="4">
        <f>IF(C114&gt;0,"oui","non")</f>
        <v/>
      </c>
      <c r="L114" s="27">
        <f>IF(Parametres!$C$88&lt;=0,0,H114/Parametres!$C$88)</f>
        <v/>
      </c>
      <c r="M114" s="27">
        <f>IF(OR(C114&lt;0.05,D114&lt;0.05),"",I114/D114)</f>
        <v/>
      </c>
    </row>
    <row r="115">
      <c r="A115" s="26" t="n">
        <v>38.6</v>
      </c>
      <c r="B115" s="26">
        <f>A115-$B$12</f>
        <v/>
      </c>
      <c r="C115" s="26">
        <f>MAX(0,A115-$B$6)</f>
        <v/>
      </c>
      <c r="D115" s="5">
        <f>IF(C115&lt;=0,0,($B$7+$B$9*C115)*C115)</f>
        <v/>
      </c>
      <c r="E115" s="29">
        <f>IF($B$13=1,D115*$B$11,0)</f>
        <v/>
      </c>
      <c r="F115" s="29">
        <f>IF(A115&lt;=INDEX(SS_Aval!$A$11:$A$18,1),INDEX(SS_Aval!$E$11:$E$18,1),IF(A115&gt;=INDEX(SS_Aval!$A$11:$A$18,ROWS(SS_Aval!$A$11:$A$18)),INDEX(SS_Aval!$E$11:$E$18,ROWS(SS_Aval!$E$11:$E$18)),INDEX(SS_Aval!$E$11:$E$18,MATCH(A115,SS_Aval!$A$11:$A$18,1))+(A115-INDEX(SS_Aval!$A$11:$A$18,MATCH(A115,SS_Aval!$A$11:$A$18,1)))/(INDEX(SS_Aval!$A$11:$A$18,MATCH(A115,SS_Aval!$A$11:$A$18,1)+1)-INDEX(SS_Aval!$A$11:$A$18,MATCH(A115,SS_Aval!$A$11:$A$18,1)))*(INDEX(SS_Aval!$E$11:$E$18,MATCH(A115,SS_Aval!$A$11:$A$18,1)+1)-INDEX(SS_Aval!$E$11:$E$18,MATCH(A115,SS_Aval!$A$11:$A$18,1)))))</f>
        <v/>
      </c>
      <c r="G115" s="36">
        <f>F115+E115</f>
        <v/>
      </c>
      <c r="H115" s="5">
        <f>IF(B115&lt;=0,0,IF(B115&gt;=INDEX(Courbe_QH_1200!$A$20:$A$80,ROWS(Courbe_QH_1200!$A$20:$A$80)),INDEX(Courbe_QH_1200!$E$20:$E$80,ROWS(Courbe_QH_1200!$E$20:$E$80)),INDEX(Courbe_QH_1200!$E$20:$E$80,MATCH(B115,Courbe_QH_1200!$A$20:$A$80,1))+(B115-INDEX(Courbe_QH_1200!$A$20:$A$80,MATCH(B115,Courbe_QH_1200!$A$20:$A$80,1)))/(INDEX(Courbe_QH_1200!$A$20:$A$80,MATCH(B115,Courbe_QH_1200!$A$20:$A$80,1)+1)-INDEX(Courbe_QH_1200!$A$20:$A$80,MATCH(B115,Courbe_QH_1200!$A$20:$A$80,1)))*(INDEX(Courbe_QH_1200!$E$20:$E$80,MATCH(B115,Courbe_QH_1200!$A$20:$A$80,1)+1)-INDEX(Courbe_QH_1200!$E$20:$E$80,MATCH(B115,Courbe_QH_1200!$A$20:$A$80,1)))))</f>
        <v/>
      </c>
      <c r="I115" s="5">
        <f>IF(C115&lt;=0,0,IF($B$8&lt;=0,0,(1/$B$8)*D115*IF(($B$7+2*C115*SQRT(1+$B$9^2))&lt;=0,0,((D115/($B$7+2*C115*SQRT(1+$B$9^2)))^(2/3)))*SQRT($B$10)))</f>
        <v/>
      </c>
      <c r="J115" s="15">
        <f>H115+I115</f>
        <v/>
      </c>
      <c r="K115" s="4">
        <f>IF(C115&gt;0,"oui","non")</f>
        <v/>
      </c>
      <c r="L115" s="27">
        <f>IF(Parametres!$C$88&lt;=0,0,H115/Parametres!$C$88)</f>
        <v/>
      </c>
      <c r="M115" s="27">
        <f>IF(OR(C115&lt;0.05,D115&lt;0.05),"",I115/D115)</f>
        <v/>
      </c>
    </row>
    <row r="116">
      <c r="A116" s="26" t="n">
        <v>38.65</v>
      </c>
      <c r="B116" s="26">
        <f>A116-$B$12</f>
        <v/>
      </c>
      <c r="C116" s="26">
        <f>MAX(0,A116-$B$6)</f>
        <v/>
      </c>
      <c r="D116" s="5">
        <f>IF(C116&lt;=0,0,($B$7+$B$9*C116)*C116)</f>
        <v/>
      </c>
      <c r="E116" s="29">
        <f>IF($B$13=1,D116*$B$11,0)</f>
        <v/>
      </c>
      <c r="F116" s="29">
        <f>IF(A116&lt;=INDEX(SS_Aval!$A$11:$A$18,1),INDEX(SS_Aval!$E$11:$E$18,1),IF(A116&gt;=INDEX(SS_Aval!$A$11:$A$18,ROWS(SS_Aval!$A$11:$A$18)),INDEX(SS_Aval!$E$11:$E$18,ROWS(SS_Aval!$E$11:$E$18)),INDEX(SS_Aval!$E$11:$E$18,MATCH(A116,SS_Aval!$A$11:$A$18,1))+(A116-INDEX(SS_Aval!$A$11:$A$18,MATCH(A116,SS_Aval!$A$11:$A$18,1)))/(INDEX(SS_Aval!$A$11:$A$18,MATCH(A116,SS_Aval!$A$11:$A$18,1)+1)-INDEX(SS_Aval!$A$11:$A$18,MATCH(A116,SS_Aval!$A$11:$A$18,1)))*(INDEX(SS_Aval!$E$11:$E$18,MATCH(A116,SS_Aval!$A$11:$A$18,1)+1)-INDEX(SS_Aval!$E$11:$E$18,MATCH(A116,SS_Aval!$A$11:$A$18,1)))))</f>
        <v/>
      </c>
      <c r="G116" s="36">
        <f>F116+E116</f>
        <v/>
      </c>
      <c r="H116" s="5">
        <f>IF(B116&lt;=0,0,IF(B116&gt;=INDEX(Courbe_QH_1200!$A$20:$A$80,ROWS(Courbe_QH_1200!$A$20:$A$80)),INDEX(Courbe_QH_1200!$E$20:$E$80,ROWS(Courbe_QH_1200!$E$20:$E$80)),INDEX(Courbe_QH_1200!$E$20:$E$80,MATCH(B116,Courbe_QH_1200!$A$20:$A$80,1))+(B116-INDEX(Courbe_QH_1200!$A$20:$A$80,MATCH(B116,Courbe_QH_1200!$A$20:$A$80,1)))/(INDEX(Courbe_QH_1200!$A$20:$A$80,MATCH(B116,Courbe_QH_1200!$A$20:$A$80,1)+1)-INDEX(Courbe_QH_1200!$A$20:$A$80,MATCH(B116,Courbe_QH_1200!$A$20:$A$80,1)))*(INDEX(Courbe_QH_1200!$E$20:$E$80,MATCH(B116,Courbe_QH_1200!$A$20:$A$80,1)+1)-INDEX(Courbe_QH_1200!$E$20:$E$80,MATCH(B116,Courbe_QH_1200!$A$20:$A$80,1)))))</f>
        <v/>
      </c>
      <c r="I116" s="5">
        <f>IF(C116&lt;=0,0,IF($B$8&lt;=0,0,(1/$B$8)*D116*IF(($B$7+2*C116*SQRT(1+$B$9^2))&lt;=0,0,((D116/($B$7+2*C116*SQRT(1+$B$9^2)))^(2/3)))*SQRT($B$10)))</f>
        <v/>
      </c>
      <c r="J116" s="15">
        <f>H116+I116</f>
        <v/>
      </c>
      <c r="K116" s="4">
        <f>IF(C116&gt;0,"oui","non")</f>
        <v/>
      </c>
      <c r="L116" s="27">
        <f>IF(Parametres!$C$88&lt;=0,0,H116/Parametres!$C$88)</f>
        <v/>
      </c>
      <c r="M116" s="27">
        <f>IF(OR(C116&lt;0.05,D116&lt;0.05),"",I116/D116)</f>
        <v/>
      </c>
    </row>
    <row r="117">
      <c r="A117" s="26" t="n">
        <v>38.7</v>
      </c>
      <c r="B117" s="26">
        <f>A117-$B$12</f>
        <v/>
      </c>
      <c r="C117" s="26">
        <f>MAX(0,A117-$B$6)</f>
        <v/>
      </c>
      <c r="D117" s="5">
        <f>IF(C117&lt;=0,0,($B$7+$B$9*C117)*C117)</f>
        <v/>
      </c>
      <c r="E117" s="29">
        <f>IF($B$13=1,D117*$B$11,0)</f>
        <v/>
      </c>
      <c r="F117" s="29">
        <f>IF(A117&lt;=INDEX(SS_Aval!$A$11:$A$18,1),INDEX(SS_Aval!$E$11:$E$18,1),IF(A117&gt;=INDEX(SS_Aval!$A$11:$A$18,ROWS(SS_Aval!$A$11:$A$18)),INDEX(SS_Aval!$E$11:$E$18,ROWS(SS_Aval!$E$11:$E$18)),INDEX(SS_Aval!$E$11:$E$18,MATCH(A117,SS_Aval!$A$11:$A$18,1))+(A117-INDEX(SS_Aval!$A$11:$A$18,MATCH(A117,SS_Aval!$A$11:$A$18,1)))/(INDEX(SS_Aval!$A$11:$A$18,MATCH(A117,SS_Aval!$A$11:$A$18,1)+1)-INDEX(SS_Aval!$A$11:$A$18,MATCH(A117,SS_Aval!$A$11:$A$18,1)))*(INDEX(SS_Aval!$E$11:$E$18,MATCH(A117,SS_Aval!$A$11:$A$18,1)+1)-INDEX(SS_Aval!$E$11:$E$18,MATCH(A117,SS_Aval!$A$11:$A$18,1)))))</f>
        <v/>
      </c>
      <c r="G117" s="36">
        <f>F117+E117</f>
        <v/>
      </c>
      <c r="H117" s="5">
        <f>IF(B117&lt;=0,0,IF(B117&gt;=INDEX(Courbe_QH_1200!$A$20:$A$80,ROWS(Courbe_QH_1200!$A$20:$A$80)),INDEX(Courbe_QH_1200!$E$20:$E$80,ROWS(Courbe_QH_1200!$E$20:$E$80)),INDEX(Courbe_QH_1200!$E$20:$E$80,MATCH(B117,Courbe_QH_1200!$A$20:$A$80,1))+(B117-INDEX(Courbe_QH_1200!$A$20:$A$80,MATCH(B117,Courbe_QH_1200!$A$20:$A$80,1)))/(INDEX(Courbe_QH_1200!$A$20:$A$80,MATCH(B117,Courbe_QH_1200!$A$20:$A$80,1)+1)-INDEX(Courbe_QH_1200!$A$20:$A$80,MATCH(B117,Courbe_QH_1200!$A$20:$A$80,1)))*(INDEX(Courbe_QH_1200!$E$20:$E$80,MATCH(B117,Courbe_QH_1200!$A$20:$A$80,1)+1)-INDEX(Courbe_QH_1200!$E$20:$E$80,MATCH(B117,Courbe_QH_1200!$A$20:$A$80,1)))))</f>
        <v/>
      </c>
      <c r="I117" s="5">
        <f>IF(C117&lt;=0,0,IF($B$8&lt;=0,0,(1/$B$8)*D117*IF(($B$7+2*C117*SQRT(1+$B$9^2))&lt;=0,0,((D117/($B$7+2*C117*SQRT(1+$B$9^2)))^(2/3)))*SQRT($B$10)))</f>
        <v/>
      </c>
      <c r="J117" s="15">
        <f>H117+I117</f>
        <v/>
      </c>
      <c r="K117" s="4">
        <f>IF(C117&gt;0,"oui","non")</f>
        <v/>
      </c>
      <c r="L117" s="27">
        <f>IF(Parametres!$C$88&lt;=0,0,H117/Parametres!$C$88)</f>
        <v/>
      </c>
      <c r="M117" s="27">
        <f>IF(OR(C117&lt;0.05,D117&lt;0.05),"",I117/D117)</f>
        <v/>
      </c>
    </row>
    <row r="118">
      <c r="A118" s="26" t="n">
        <v>38.75</v>
      </c>
      <c r="B118" s="26">
        <f>A118-$B$12</f>
        <v/>
      </c>
      <c r="C118" s="26">
        <f>MAX(0,A118-$B$6)</f>
        <v/>
      </c>
      <c r="D118" s="5">
        <f>IF(C118&lt;=0,0,($B$7+$B$9*C118)*C118)</f>
        <v/>
      </c>
      <c r="E118" s="29">
        <f>IF($B$13=1,D118*$B$11,0)</f>
        <v/>
      </c>
      <c r="F118" s="29">
        <f>IF(A118&lt;=INDEX(SS_Aval!$A$11:$A$18,1),INDEX(SS_Aval!$E$11:$E$18,1),IF(A118&gt;=INDEX(SS_Aval!$A$11:$A$18,ROWS(SS_Aval!$A$11:$A$18)),INDEX(SS_Aval!$E$11:$E$18,ROWS(SS_Aval!$E$11:$E$18)),INDEX(SS_Aval!$E$11:$E$18,MATCH(A118,SS_Aval!$A$11:$A$18,1))+(A118-INDEX(SS_Aval!$A$11:$A$18,MATCH(A118,SS_Aval!$A$11:$A$18,1)))/(INDEX(SS_Aval!$A$11:$A$18,MATCH(A118,SS_Aval!$A$11:$A$18,1)+1)-INDEX(SS_Aval!$A$11:$A$18,MATCH(A118,SS_Aval!$A$11:$A$18,1)))*(INDEX(SS_Aval!$E$11:$E$18,MATCH(A118,SS_Aval!$A$11:$A$18,1)+1)-INDEX(SS_Aval!$E$11:$E$18,MATCH(A118,SS_Aval!$A$11:$A$18,1)))))</f>
        <v/>
      </c>
      <c r="G118" s="36">
        <f>F118+E118</f>
        <v/>
      </c>
      <c r="H118" s="5">
        <f>IF(B118&lt;=0,0,IF(B118&gt;=INDEX(Courbe_QH_1200!$A$20:$A$80,ROWS(Courbe_QH_1200!$A$20:$A$80)),INDEX(Courbe_QH_1200!$E$20:$E$80,ROWS(Courbe_QH_1200!$E$20:$E$80)),INDEX(Courbe_QH_1200!$E$20:$E$80,MATCH(B118,Courbe_QH_1200!$A$20:$A$80,1))+(B118-INDEX(Courbe_QH_1200!$A$20:$A$80,MATCH(B118,Courbe_QH_1200!$A$20:$A$80,1)))/(INDEX(Courbe_QH_1200!$A$20:$A$80,MATCH(B118,Courbe_QH_1200!$A$20:$A$80,1)+1)-INDEX(Courbe_QH_1200!$A$20:$A$80,MATCH(B118,Courbe_QH_1200!$A$20:$A$80,1)))*(INDEX(Courbe_QH_1200!$E$20:$E$80,MATCH(B118,Courbe_QH_1200!$A$20:$A$80,1)+1)-INDEX(Courbe_QH_1200!$E$20:$E$80,MATCH(B118,Courbe_QH_1200!$A$20:$A$80,1)))))</f>
        <v/>
      </c>
      <c r="I118" s="5">
        <f>IF(C118&lt;=0,0,IF($B$8&lt;=0,0,(1/$B$8)*D118*IF(($B$7+2*C118*SQRT(1+$B$9^2))&lt;=0,0,((D118/($B$7+2*C118*SQRT(1+$B$9^2)))^(2/3)))*SQRT($B$10)))</f>
        <v/>
      </c>
      <c r="J118" s="15">
        <f>H118+I118</f>
        <v/>
      </c>
      <c r="K118" s="4">
        <f>IF(C118&gt;0,"oui","non")</f>
        <v/>
      </c>
      <c r="L118" s="27">
        <f>IF(Parametres!$C$88&lt;=0,0,H118/Parametres!$C$88)</f>
        <v/>
      </c>
      <c r="M118" s="27">
        <f>IF(OR(C118&lt;0.05,D118&lt;0.05),"",I118/D118)</f>
        <v/>
      </c>
    </row>
    <row r="119">
      <c r="A119" s="26" t="n">
        <v>38.8</v>
      </c>
      <c r="B119" s="26">
        <f>A119-$B$12</f>
        <v/>
      </c>
      <c r="C119" s="26">
        <f>MAX(0,A119-$B$6)</f>
        <v/>
      </c>
      <c r="D119" s="5">
        <f>IF(C119&lt;=0,0,($B$7+$B$9*C119)*C119)</f>
        <v/>
      </c>
      <c r="E119" s="29">
        <f>IF($B$13=1,D119*$B$11,0)</f>
        <v/>
      </c>
      <c r="F119" s="29">
        <f>IF(A119&lt;=INDEX(SS_Aval!$A$11:$A$18,1),INDEX(SS_Aval!$E$11:$E$18,1),IF(A119&gt;=INDEX(SS_Aval!$A$11:$A$18,ROWS(SS_Aval!$A$11:$A$18)),INDEX(SS_Aval!$E$11:$E$18,ROWS(SS_Aval!$E$11:$E$18)),INDEX(SS_Aval!$E$11:$E$18,MATCH(A119,SS_Aval!$A$11:$A$18,1))+(A119-INDEX(SS_Aval!$A$11:$A$18,MATCH(A119,SS_Aval!$A$11:$A$18,1)))/(INDEX(SS_Aval!$A$11:$A$18,MATCH(A119,SS_Aval!$A$11:$A$18,1)+1)-INDEX(SS_Aval!$A$11:$A$18,MATCH(A119,SS_Aval!$A$11:$A$18,1)))*(INDEX(SS_Aval!$E$11:$E$18,MATCH(A119,SS_Aval!$A$11:$A$18,1)+1)-INDEX(SS_Aval!$E$11:$E$18,MATCH(A119,SS_Aval!$A$11:$A$18,1)))))</f>
        <v/>
      </c>
      <c r="G119" s="36">
        <f>F119+E119</f>
        <v/>
      </c>
      <c r="H119" s="5">
        <f>IF(B119&lt;=0,0,IF(B119&gt;=INDEX(Courbe_QH_1200!$A$20:$A$80,ROWS(Courbe_QH_1200!$A$20:$A$80)),INDEX(Courbe_QH_1200!$E$20:$E$80,ROWS(Courbe_QH_1200!$E$20:$E$80)),INDEX(Courbe_QH_1200!$E$20:$E$80,MATCH(B119,Courbe_QH_1200!$A$20:$A$80,1))+(B119-INDEX(Courbe_QH_1200!$A$20:$A$80,MATCH(B119,Courbe_QH_1200!$A$20:$A$80,1)))/(INDEX(Courbe_QH_1200!$A$20:$A$80,MATCH(B119,Courbe_QH_1200!$A$20:$A$80,1)+1)-INDEX(Courbe_QH_1200!$A$20:$A$80,MATCH(B119,Courbe_QH_1200!$A$20:$A$80,1)))*(INDEX(Courbe_QH_1200!$E$20:$E$80,MATCH(B119,Courbe_QH_1200!$A$20:$A$80,1)+1)-INDEX(Courbe_QH_1200!$E$20:$E$80,MATCH(B119,Courbe_QH_1200!$A$20:$A$80,1)))))</f>
        <v/>
      </c>
      <c r="I119" s="5">
        <f>IF(C119&lt;=0,0,IF($B$8&lt;=0,0,(1/$B$8)*D119*IF(($B$7+2*C119*SQRT(1+$B$9^2))&lt;=0,0,((D119/($B$7+2*C119*SQRT(1+$B$9^2)))^(2/3)))*SQRT($B$10)))</f>
        <v/>
      </c>
      <c r="J119" s="15">
        <f>H119+I119</f>
        <v/>
      </c>
      <c r="K119" s="4">
        <f>IF(C119&gt;0,"oui","non")</f>
        <v/>
      </c>
      <c r="L119" s="27">
        <f>IF(Parametres!$C$88&lt;=0,0,H119/Parametres!$C$88)</f>
        <v/>
      </c>
      <c r="M119" s="27">
        <f>IF(OR(C119&lt;0.05,D119&lt;0.05),"",I119/D119)</f>
        <v/>
      </c>
    </row>
    <row r="120">
      <c r="A120" s="26" t="n">
        <v>38.85</v>
      </c>
      <c r="B120" s="26">
        <f>A120-$B$12</f>
        <v/>
      </c>
      <c r="C120" s="26">
        <f>MAX(0,A120-$B$6)</f>
        <v/>
      </c>
      <c r="D120" s="5">
        <f>IF(C120&lt;=0,0,($B$7+$B$9*C120)*C120)</f>
        <v/>
      </c>
      <c r="E120" s="29">
        <f>IF($B$13=1,D120*$B$11,0)</f>
        <v/>
      </c>
      <c r="F120" s="29">
        <f>IF(A120&lt;=INDEX(SS_Aval!$A$11:$A$18,1),INDEX(SS_Aval!$E$11:$E$18,1),IF(A120&gt;=INDEX(SS_Aval!$A$11:$A$18,ROWS(SS_Aval!$A$11:$A$18)),INDEX(SS_Aval!$E$11:$E$18,ROWS(SS_Aval!$E$11:$E$18)),INDEX(SS_Aval!$E$11:$E$18,MATCH(A120,SS_Aval!$A$11:$A$18,1))+(A120-INDEX(SS_Aval!$A$11:$A$18,MATCH(A120,SS_Aval!$A$11:$A$18,1)))/(INDEX(SS_Aval!$A$11:$A$18,MATCH(A120,SS_Aval!$A$11:$A$18,1)+1)-INDEX(SS_Aval!$A$11:$A$18,MATCH(A120,SS_Aval!$A$11:$A$18,1)))*(INDEX(SS_Aval!$E$11:$E$18,MATCH(A120,SS_Aval!$A$11:$A$18,1)+1)-INDEX(SS_Aval!$E$11:$E$18,MATCH(A120,SS_Aval!$A$11:$A$18,1)))))</f>
        <v/>
      </c>
      <c r="G120" s="36">
        <f>F120+E120</f>
        <v/>
      </c>
      <c r="H120" s="5">
        <f>IF(B120&lt;=0,0,IF(B120&gt;=INDEX(Courbe_QH_1200!$A$20:$A$80,ROWS(Courbe_QH_1200!$A$20:$A$80)),INDEX(Courbe_QH_1200!$E$20:$E$80,ROWS(Courbe_QH_1200!$E$20:$E$80)),INDEX(Courbe_QH_1200!$E$20:$E$80,MATCH(B120,Courbe_QH_1200!$A$20:$A$80,1))+(B120-INDEX(Courbe_QH_1200!$A$20:$A$80,MATCH(B120,Courbe_QH_1200!$A$20:$A$80,1)))/(INDEX(Courbe_QH_1200!$A$20:$A$80,MATCH(B120,Courbe_QH_1200!$A$20:$A$80,1)+1)-INDEX(Courbe_QH_1200!$A$20:$A$80,MATCH(B120,Courbe_QH_1200!$A$20:$A$80,1)))*(INDEX(Courbe_QH_1200!$E$20:$E$80,MATCH(B120,Courbe_QH_1200!$A$20:$A$80,1)+1)-INDEX(Courbe_QH_1200!$E$20:$E$80,MATCH(B120,Courbe_QH_1200!$A$20:$A$80,1)))))</f>
        <v/>
      </c>
      <c r="I120" s="5">
        <f>IF(C120&lt;=0,0,IF($B$8&lt;=0,0,(1/$B$8)*D120*IF(($B$7+2*C120*SQRT(1+$B$9^2))&lt;=0,0,((D120/($B$7+2*C120*SQRT(1+$B$9^2)))^(2/3)))*SQRT($B$10)))</f>
        <v/>
      </c>
      <c r="J120" s="15">
        <f>H120+I120</f>
        <v/>
      </c>
      <c r="K120" s="4">
        <f>IF(C120&gt;0,"oui","non")</f>
        <v/>
      </c>
      <c r="L120" s="27">
        <f>IF(Parametres!$C$88&lt;=0,0,H120/Parametres!$C$88)</f>
        <v/>
      </c>
      <c r="M120" s="27">
        <f>IF(OR(C120&lt;0.05,D120&lt;0.05),"",I120/D120)</f>
        <v/>
      </c>
    </row>
    <row r="121">
      <c r="A121" s="26" t="n">
        <v>38.9</v>
      </c>
      <c r="B121" s="26">
        <f>A121-$B$12</f>
        <v/>
      </c>
      <c r="C121" s="26">
        <f>MAX(0,A121-$B$6)</f>
        <v/>
      </c>
      <c r="D121" s="5">
        <f>IF(C121&lt;=0,0,($B$7+$B$9*C121)*C121)</f>
        <v/>
      </c>
      <c r="E121" s="29">
        <f>IF($B$13=1,D121*$B$11,0)</f>
        <v/>
      </c>
      <c r="F121" s="29">
        <f>IF(A121&lt;=INDEX(SS_Aval!$A$11:$A$18,1),INDEX(SS_Aval!$E$11:$E$18,1),IF(A121&gt;=INDEX(SS_Aval!$A$11:$A$18,ROWS(SS_Aval!$A$11:$A$18)),INDEX(SS_Aval!$E$11:$E$18,ROWS(SS_Aval!$E$11:$E$18)),INDEX(SS_Aval!$E$11:$E$18,MATCH(A121,SS_Aval!$A$11:$A$18,1))+(A121-INDEX(SS_Aval!$A$11:$A$18,MATCH(A121,SS_Aval!$A$11:$A$18,1)))/(INDEX(SS_Aval!$A$11:$A$18,MATCH(A121,SS_Aval!$A$11:$A$18,1)+1)-INDEX(SS_Aval!$A$11:$A$18,MATCH(A121,SS_Aval!$A$11:$A$18,1)))*(INDEX(SS_Aval!$E$11:$E$18,MATCH(A121,SS_Aval!$A$11:$A$18,1)+1)-INDEX(SS_Aval!$E$11:$E$18,MATCH(A121,SS_Aval!$A$11:$A$18,1)))))</f>
        <v/>
      </c>
      <c r="G121" s="36">
        <f>F121+E121</f>
        <v/>
      </c>
      <c r="H121" s="5">
        <f>IF(B121&lt;=0,0,IF(B121&gt;=INDEX(Courbe_QH_1200!$A$20:$A$80,ROWS(Courbe_QH_1200!$A$20:$A$80)),INDEX(Courbe_QH_1200!$E$20:$E$80,ROWS(Courbe_QH_1200!$E$20:$E$80)),INDEX(Courbe_QH_1200!$E$20:$E$80,MATCH(B121,Courbe_QH_1200!$A$20:$A$80,1))+(B121-INDEX(Courbe_QH_1200!$A$20:$A$80,MATCH(B121,Courbe_QH_1200!$A$20:$A$80,1)))/(INDEX(Courbe_QH_1200!$A$20:$A$80,MATCH(B121,Courbe_QH_1200!$A$20:$A$80,1)+1)-INDEX(Courbe_QH_1200!$A$20:$A$80,MATCH(B121,Courbe_QH_1200!$A$20:$A$80,1)))*(INDEX(Courbe_QH_1200!$E$20:$E$80,MATCH(B121,Courbe_QH_1200!$A$20:$A$80,1)+1)-INDEX(Courbe_QH_1200!$E$20:$E$80,MATCH(B121,Courbe_QH_1200!$A$20:$A$80,1)))))</f>
        <v/>
      </c>
      <c r="I121" s="5">
        <f>IF(C121&lt;=0,0,IF($B$8&lt;=0,0,(1/$B$8)*D121*IF(($B$7+2*C121*SQRT(1+$B$9^2))&lt;=0,0,((D121/($B$7+2*C121*SQRT(1+$B$9^2)))^(2/3)))*SQRT($B$10)))</f>
        <v/>
      </c>
      <c r="J121" s="15">
        <f>H121+I121</f>
        <v/>
      </c>
      <c r="K121" s="4">
        <f>IF(C121&gt;0,"oui","non")</f>
        <v/>
      </c>
      <c r="L121" s="27">
        <f>IF(Parametres!$C$88&lt;=0,0,H121/Parametres!$C$88)</f>
        <v/>
      </c>
      <c r="M121" s="27">
        <f>IF(OR(C121&lt;0.05,D121&lt;0.05),"",I121/D121)</f>
        <v/>
      </c>
    </row>
    <row r="122">
      <c r="A122" s="26" t="n">
        <v>38.95</v>
      </c>
      <c r="B122" s="26">
        <f>A122-$B$12</f>
        <v/>
      </c>
      <c r="C122" s="26">
        <f>MAX(0,A122-$B$6)</f>
        <v/>
      </c>
      <c r="D122" s="5">
        <f>IF(C122&lt;=0,0,($B$7+$B$9*C122)*C122)</f>
        <v/>
      </c>
      <c r="E122" s="29">
        <f>IF($B$13=1,D122*$B$11,0)</f>
        <v/>
      </c>
      <c r="F122" s="29">
        <f>IF(A122&lt;=INDEX(SS_Aval!$A$11:$A$18,1),INDEX(SS_Aval!$E$11:$E$18,1),IF(A122&gt;=INDEX(SS_Aval!$A$11:$A$18,ROWS(SS_Aval!$A$11:$A$18)),INDEX(SS_Aval!$E$11:$E$18,ROWS(SS_Aval!$E$11:$E$18)),INDEX(SS_Aval!$E$11:$E$18,MATCH(A122,SS_Aval!$A$11:$A$18,1))+(A122-INDEX(SS_Aval!$A$11:$A$18,MATCH(A122,SS_Aval!$A$11:$A$18,1)))/(INDEX(SS_Aval!$A$11:$A$18,MATCH(A122,SS_Aval!$A$11:$A$18,1)+1)-INDEX(SS_Aval!$A$11:$A$18,MATCH(A122,SS_Aval!$A$11:$A$18,1)))*(INDEX(SS_Aval!$E$11:$E$18,MATCH(A122,SS_Aval!$A$11:$A$18,1)+1)-INDEX(SS_Aval!$E$11:$E$18,MATCH(A122,SS_Aval!$A$11:$A$18,1)))))</f>
        <v/>
      </c>
      <c r="G122" s="36">
        <f>F122+E122</f>
        <v/>
      </c>
      <c r="H122" s="5">
        <f>IF(B122&lt;=0,0,IF(B122&gt;=INDEX(Courbe_QH_1200!$A$20:$A$80,ROWS(Courbe_QH_1200!$A$20:$A$80)),INDEX(Courbe_QH_1200!$E$20:$E$80,ROWS(Courbe_QH_1200!$E$20:$E$80)),INDEX(Courbe_QH_1200!$E$20:$E$80,MATCH(B122,Courbe_QH_1200!$A$20:$A$80,1))+(B122-INDEX(Courbe_QH_1200!$A$20:$A$80,MATCH(B122,Courbe_QH_1200!$A$20:$A$80,1)))/(INDEX(Courbe_QH_1200!$A$20:$A$80,MATCH(B122,Courbe_QH_1200!$A$20:$A$80,1)+1)-INDEX(Courbe_QH_1200!$A$20:$A$80,MATCH(B122,Courbe_QH_1200!$A$20:$A$80,1)))*(INDEX(Courbe_QH_1200!$E$20:$E$80,MATCH(B122,Courbe_QH_1200!$A$20:$A$80,1)+1)-INDEX(Courbe_QH_1200!$E$20:$E$80,MATCH(B122,Courbe_QH_1200!$A$20:$A$80,1)))))</f>
        <v/>
      </c>
      <c r="I122" s="5">
        <f>IF(C122&lt;=0,0,IF($B$8&lt;=0,0,(1/$B$8)*D122*IF(($B$7+2*C122*SQRT(1+$B$9^2))&lt;=0,0,((D122/($B$7+2*C122*SQRT(1+$B$9^2)))^(2/3)))*SQRT($B$10)))</f>
        <v/>
      </c>
      <c r="J122" s="15">
        <f>H122+I122</f>
        <v/>
      </c>
      <c r="K122" s="4">
        <f>IF(C122&gt;0,"oui","non")</f>
        <v/>
      </c>
      <c r="L122" s="27">
        <f>IF(Parametres!$C$88&lt;=0,0,H122/Parametres!$C$88)</f>
        <v/>
      </c>
      <c r="M122" s="27">
        <f>IF(OR(C122&lt;0.05,D122&lt;0.05),"",I122/D122)</f>
        <v/>
      </c>
    </row>
    <row r="123">
      <c r="A123" s="26" t="n">
        <v>39</v>
      </c>
      <c r="B123" s="26">
        <f>A123-$B$12</f>
        <v/>
      </c>
      <c r="C123" s="26">
        <f>MAX(0,A123-$B$6)</f>
        <v/>
      </c>
      <c r="D123" s="5">
        <f>IF(C123&lt;=0,0,($B$7+$B$9*C123)*C123)</f>
        <v/>
      </c>
      <c r="E123" s="29">
        <f>IF($B$13=1,D123*$B$11,0)</f>
        <v/>
      </c>
      <c r="F123" s="29">
        <f>IF(A123&lt;=INDEX(SS_Aval!$A$11:$A$18,1),INDEX(SS_Aval!$E$11:$E$18,1),IF(A123&gt;=INDEX(SS_Aval!$A$11:$A$18,ROWS(SS_Aval!$A$11:$A$18)),INDEX(SS_Aval!$E$11:$E$18,ROWS(SS_Aval!$E$11:$E$18)),INDEX(SS_Aval!$E$11:$E$18,MATCH(A123,SS_Aval!$A$11:$A$18,1))+(A123-INDEX(SS_Aval!$A$11:$A$18,MATCH(A123,SS_Aval!$A$11:$A$18,1)))/(INDEX(SS_Aval!$A$11:$A$18,MATCH(A123,SS_Aval!$A$11:$A$18,1)+1)-INDEX(SS_Aval!$A$11:$A$18,MATCH(A123,SS_Aval!$A$11:$A$18,1)))*(INDEX(SS_Aval!$E$11:$E$18,MATCH(A123,SS_Aval!$A$11:$A$18,1)+1)-INDEX(SS_Aval!$E$11:$E$18,MATCH(A123,SS_Aval!$A$11:$A$18,1)))))</f>
        <v/>
      </c>
      <c r="G123" s="36">
        <f>F123+E123</f>
        <v/>
      </c>
      <c r="H123" s="5">
        <f>IF(B123&lt;=0,0,IF(B123&gt;=INDEX(Courbe_QH_1200!$A$20:$A$80,ROWS(Courbe_QH_1200!$A$20:$A$80)),INDEX(Courbe_QH_1200!$E$20:$E$80,ROWS(Courbe_QH_1200!$E$20:$E$80)),INDEX(Courbe_QH_1200!$E$20:$E$80,MATCH(B123,Courbe_QH_1200!$A$20:$A$80,1))+(B123-INDEX(Courbe_QH_1200!$A$20:$A$80,MATCH(B123,Courbe_QH_1200!$A$20:$A$80,1)))/(INDEX(Courbe_QH_1200!$A$20:$A$80,MATCH(B123,Courbe_QH_1200!$A$20:$A$80,1)+1)-INDEX(Courbe_QH_1200!$A$20:$A$80,MATCH(B123,Courbe_QH_1200!$A$20:$A$80,1)))*(INDEX(Courbe_QH_1200!$E$20:$E$80,MATCH(B123,Courbe_QH_1200!$A$20:$A$80,1)+1)-INDEX(Courbe_QH_1200!$E$20:$E$80,MATCH(B123,Courbe_QH_1200!$A$20:$A$80,1)))))</f>
        <v/>
      </c>
      <c r="I123" s="5">
        <f>IF(C123&lt;=0,0,IF($B$8&lt;=0,0,(1/$B$8)*D123*IF(($B$7+2*C123*SQRT(1+$B$9^2))&lt;=0,0,((D123/($B$7+2*C123*SQRT(1+$B$9^2)))^(2/3)))*SQRT($B$10)))</f>
        <v/>
      </c>
      <c r="J123" s="15">
        <f>H123+I123</f>
        <v/>
      </c>
      <c r="K123" s="4">
        <f>IF(C123&gt;0,"oui","non")</f>
        <v/>
      </c>
      <c r="L123" s="27">
        <f>IF(Parametres!$C$88&lt;=0,0,H123/Parametres!$C$88)</f>
        <v/>
      </c>
      <c r="M123" s="27">
        <f>IF(OR(C123&lt;0.05,D123&lt;0.05),"",I123/D123)</f>
        <v/>
      </c>
    </row>
    <row r="124">
      <c r="A124" s="26" t="n">
        <v>39.05</v>
      </c>
      <c r="B124" s="26">
        <f>A124-$B$12</f>
        <v/>
      </c>
      <c r="C124" s="26">
        <f>MAX(0,A124-$B$6)</f>
        <v/>
      </c>
      <c r="D124" s="5">
        <f>IF(C124&lt;=0,0,($B$7+$B$9*C124)*C124)</f>
        <v/>
      </c>
      <c r="E124" s="29">
        <f>IF($B$13=1,D124*$B$11,0)</f>
        <v/>
      </c>
      <c r="F124" s="29">
        <f>IF(A124&lt;=INDEX(SS_Aval!$A$11:$A$18,1),INDEX(SS_Aval!$E$11:$E$18,1),IF(A124&gt;=INDEX(SS_Aval!$A$11:$A$18,ROWS(SS_Aval!$A$11:$A$18)),INDEX(SS_Aval!$E$11:$E$18,ROWS(SS_Aval!$E$11:$E$18)),INDEX(SS_Aval!$E$11:$E$18,MATCH(A124,SS_Aval!$A$11:$A$18,1))+(A124-INDEX(SS_Aval!$A$11:$A$18,MATCH(A124,SS_Aval!$A$11:$A$18,1)))/(INDEX(SS_Aval!$A$11:$A$18,MATCH(A124,SS_Aval!$A$11:$A$18,1)+1)-INDEX(SS_Aval!$A$11:$A$18,MATCH(A124,SS_Aval!$A$11:$A$18,1)))*(INDEX(SS_Aval!$E$11:$E$18,MATCH(A124,SS_Aval!$A$11:$A$18,1)+1)-INDEX(SS_Aval!$E$11:$E$18,MATCH(A124,SS_Aval!$A$11:$A$18,1)))))</f>
        <v/>
      </c>
      <c r="G124" s="36">
        <f>F124+E124</f>
        <v/>
      </c>
      <c r="H124" s="5">
        <f>IF(B124&lt;=0,0,IF(B124&gt;=INDEX(Courbe_QH_1200!$A$20:$A$80,ROWS(Courbe_QH_1200!$A$20:$A$80)),INDEX(Courbe_QH_1200!$E$20:$E$80,ROWS(Courbe_QH_1200!$E$20:$E$80)),INDEX(Courbe_QH_1200!$E$20:$E$80,MATCH(B124,Courbe_QH_1200!$A$20:$A$80,1))+(B124-INDEX(Courbe_QH_1200!$A$20:$A$80,MATCH(B124,Courbe_QH_1200!$A$20:$A$80,1)))/(INDEX(Courbe_QH_1200!$A$20:$A$80,MATCH(B124,Courbe_QH_1200!$A$20:$A$80,1)+1)-INDEX(Courbe_QH_1200!$A$20:$A$80,MATCH(B124,Courbe_QH_1200!$A$20:$A$80,1)))*(INDEX(Courbe_QH_1200!$E$20:$E$80,MATCH(B124,Courbe_QH_1200!$A$20:$A$80,1)+1)-INDEX(Courbe_QH_1200!$E$20:$E$80,MATCH(B124,Courbe_QH_1200!$A$20:$A$80,1)))))</f>
        <v/>
      </c>
      <c r="I124" s="5">
        <f>IF(C124&lt;=0,0,IF($B$8&lt;=0,0,(1/$B$8)*D124*IF(($B$7+2*C124*SQRT(1+$B$9^2))&lt;=0,0,((D124/($B$7+2*C124*SQRT(1+$B$9^2)))^(2/3)))*SQRT($B$10)))</f>
        <v/>
      </c>
      <c r="J124" s="15">
        <f>H124+I124</f>
        <v/>
      </c>
      <c r="K124" s="4">
        <f>IF(C124&gt;0,"oui","non")</f>
        <v/>
      </c>
      <c r="L124" s="27">
        <f>IF(Parametres!$C$88&lt;=0,0,H124/Parametres!$C$88)</f>
        <v/>
      </c>
      <c r="M124" s="27">
        <f>IF(OR(C124&lt;0.05,D124&lt;0.05),"",I124/D124)</f>
        <v/>
      </c>
    </row>
    <row r="125">
      <c r="A125" s="26" t="n">
        <v>39.1</v>
      </c>
      <c r="B125" s="26">
        <f>A125-$B$12</f>
        <v/>
      </c>
      <c r="C125" s="26">
        <f>MAX(0,A125-$B$6)</f>
        <v/>
      </c>
      <c r="D125" s="5">
        <f>IF(C125&lt;=0,0,($B$7+$B$9*C125)*C125)</f>
        <v/>
      </c>
      <c r="E125" s="29">
        <f>IF($B$13=1,D125*$B$11,0)</f>
        <v/>
      </c>
      <c r="F125" s="29">
        <f>IF(A125&lt;=INDEX(SS_Aval!$A$11:$A$18,1),INDEX(SS_Aval!$E$11:$E$18,1),IF(A125&gt;=INDEX(SS_Aval!$A$11:$A$18,ROWS(SS_Aval!$A$11:$A$18)),INDEX(SS_Aval!$E$11:$E$18,ROWS(SS_Aval!$E$11:$E$18)),INDEX(SS_Aval!$E$11:$E$18,MATCH(A125,SS_Aval!$A$11:$A$18,1))+(A125-INDEX(SS_Aval!$A$11:$A$18,MATCH(A125,SS_Aval!$A$11:$A$18,1)))/(INDEX(SS_Aval!$A$11:$A$18,MATCH(A125,SS_Aval!$A$11:$A$18,1)+1)-INDEX(SS_Aval!$A$11:$A$18,MATCH(A125,SS_Aval!$A$11:$A$18,1)))*(INDEX(SS_Aval!$E$11:$E$18,MATCH(A125,SS_Aval!$A$11:$A$18,1)+1)-INDEX(SS_Aval!$E$11:$E$18,MATCH(A125,SS_Aval!$A$11:$A$18,1)))))</f>
        <v/>
      </c>
      <c r="G125" s="36">
        <f>F125+E125</f>
        <v/>
      </c>
      <c r="H125" s="5">
        <f>IF(B125&lt;=0,0,IF(B125&gt;=INDEX(Courbe_QH_1200!$A$20:$A$80,ROWS(Courbe_QH_1200!$A$20:$A$80)),INDEX(Courbe_QH_1200!$E$20:$E$80,ROWS(Courbe_QH_1200!$E$20:$E$80)),INDEX(Courbe_QH_1200!$E$20:$E$80,MATCH(B125,Courbe_QH_1200!$A$20:$A$80,1))+(B125-INDEX(Courbe_QH_1200!$A$20:$A$80,MATCH(B125,Courbe_QH_1200!$A$20:$A$80,1)))/(INDEX(Courbe_QH_1200!$A$20:$A$80,MATCH(B125,Courbe_QH_1200!$A$20:$A$80,1)+1)-INDEX(Courbe_QH_1200!$A$20:$A$80,MATCH(B125,Courbe_QH_1200!$A$20:$A$80,1)))*(INDEX(Courbe_QH_1200!$E$20:$E$80,MATCH(B125,Courbe_QH_1200!$A$20:$A$80,1)+1)-INDEX(Courbe_QH_1200!$E$20:$E$80,MATCH(B125,Courbe_QH_1200!$A$20:$A$80,1)))))</f>
        <v/>
      </c>
      <c r="I125" s="5">
        <f>IF(C125&lt;=0,0,IF($B$8&lt;=0,0,(1/$B$8)*D125*IF(($B$7+2*C125*SQRT(1+$B$9^2))&lt;=0,0,((D125/($B$7+2*C125*SQRT(1+$B$9^2)))^(2/3)))*SQRT($B$10)))</f>
        <v/>
      </c>
      <c r="J125" s="15">
        <f>H125+I125</f>
        <v/>
      </c>
      <c r="K125" s="4">
        <f>IF(C125&gt;0,"oui","non")</f>
        <v/>
      </c>
      <c r="L125" s="27">
        <f>IF(Parametres!$C$88&lt;=0,0,H125/Parametres!$C$88)</f>
        <v/>
      </c>
      <c r="M125" s="27">
        <f>IF(OR(C125&lt;0.05,D125&lt;0.05),"",I125/D125)</f>
        <v/>
      </c>
    </row>
    <row r="126">
      <c r="A126" s="26" t="n">
        <v>39.15</v>
      </c>
      <c r="B126" s="26">
        <f>A126-$B$12</f>
        <v/>
      </c>
      <c r="C126" s="26">
        <f>MAX(0,A126-$B$6)</f>
        <v/>
      </c>
      <c r="D126" s="5">
        <f>IF(C126&lt;=0,0,($B$7+$B$9*C126)*C126)</f>
        <v/>
      </c>
      <c r="E126" s="29">
        <f>IF($B$13=1,D126*$B$11,0)</f>
        <v/>
      </c>
      <c r="F126" s="29">
        <f>IF(A126&lt;=INDEX(SS_Aval!$A$11:$A$18,1),INDEX(SS_Aval!$E$11:$E$18,1),IF(A126&gt;=INDEX(SS_Aval!$A$11:$A$18,ROWS(SS_Aval!$A$11:$A$18)),INDEX(SS_Aval!$E$11:$E$18,ROWS(SS_Aval!$E$11:$E$18)),INDEX(SS_Aval!$E$11:$E$18,MATCH(A126,SS_Aval!$A$11:$A$18,1))+(A126-INDEX(SS_Aval!$A$11:$A$18,MATCH(A126,SS_Aval!$A$11:$A$18,1)))/(INDEX(SS_Aval!$A$11:$A$18,MATCH(A126,SS_Aval!$A$11:$A$18,1)+1)-INDEX(SS_Aval!$A$11:$A$18,MATCH(A126,SS_Aval!$A$11:$A$18,1)))*(INDEX(SS_Aval!$E$11:$E$18,MATCH(A126,SS_Aval!$A$11:$A$18,1)+1)-INDEX(SS_Aval!$E$11:$E$18,MATCH(A126,SS_Aval!$A$11:$A$18,1)))))</f>
        <v/>
      </c>
      <c r="G126" s="36">
        <f>F126+E126</f>
        <v/>
      </c>
      <c r="H126" s="5">
        <f>IF(B126&lt;=0,0,IF(B126&gt;=INDEX(Courbe_QH_1200!$A$20:$A$80,ROWS(Courbe_QH_1200!$A$20:$A$80)),INDEX(Courbe_QH_1200!$E$20:$E$80,ROWS(Courbe_QH_1200!$E$20:$E$80)),INDEX(Courbe_QH_1200!$E$20:$E$80,MATCH(B126,Courbe_QH_1200!$A$20:$A$80,1))+(B126-INDEX(Courbe_QH_1200!$A$20:$A$80,MATCH(B126,Courbe_QH_1200!$A$20:$A$80,1)))/(INDEX(Courbe_QH_1200!$A$20:$A$80,MATCH(B126,Courbe_QH_1200!$A$20:$A$80,1)+1)-INDEX(Courbe_QH_1200!$A$20:$A$80,MATCH(B126,Courbe_QH_1200!$A$20:$A$80,1)))*(INDEX(Courbe_QH_1200!$E$20:$E$80,MATCH(B126,Courbe_QH_1200!$A$20:$A$80,1)+1)-INDEX(Courbe_QH_1200!$E$20:$E$80,MATCH(B126,Courbe_QH_1200!$A$20:$A$80,1)))))</f>
        <v/>
      </c>
      <c r="I126" s="5">
        <f>IF(C126&lt;=0,0,IF($B$8&lt;=0,0,(1/$B$8)*D126*IF(($B$7+2*C126*SQRT(1+$B$9^2))&lt;=0,0,((D126/($B$7+2*C126*SQRT(1+$B$9^2)))^(2/3)))*SQRT($B$10)))</f>
        <v/>
      </c>
      <c r="J126" s="15">
        <f>H126+I126</f>
        <v/>
      </c>
      <c r="K126" s="4">
        <f>IF(C126&gt;0,"oui","non")</f>
        <v/>
      </c>
      <c r="L126" s="27">
        <f>IF(Parametres!$C$88&lt;=0,0,H126/Parametres!$C$88)</f>
        <v/>
      </c>
      <c r="M126" s="27">
        <f>IF(OR(C126&lt;0.05,D126&lt;0.05),"",I126/D126)</f>
        <v/>
      </c>
    </row>
    <row r="127">
      <c r="A127" s="26" t="n">
        <v>39.2</v>
      </c>
      <c r="B127" s="26">
        <f>A127-$B$12</f>
        <v/>
      </c>
      <c r="C127" s="26">
        <f>MAX(0,A127-$B$6)</f>
        <v/>
      </c>
      <c r="D127" s="5">
        <f>IF(C127&lt;=0,0,($B$7+$B$9*C127)*C127)</f>
        <v/>
      </c>
      <c r="E127" s="29">
        <f>IF($B$13=1,D127*$B$11,0)</f>
        <v/>
      </c>
      <c r="F127" s="29">
        <f>IF(A127&lt;=INDEX(SS_Aval!$A$11:$A$18,1),INDEX(SS_Aval!$E$11:$E$18,1),IF(A127&gt;=INDEX(SS_Aval!$A$11:$A$18,ROWS(SS_Aval!$A$11:$A$18)),INDEX(SS_Aval!$E$11:$E$18,ROWS(SS_Aval!$E$11:$E$18)),INDEX(SS_Aval!$E$11:$E$18,MATCH(A127,SS_Aval!$A$11:$A$18,1))+(A127-INDEX(SS_Aval!$A$11:$A$18,MATCH(A127,SS_Aval!$A$11:$A$18,1)))/(INDEX(SS_Aval!$A$11:$A$18,MATCH(A127,SS_Aval!$A$11:$A$18,1)+1)-INDEX(SS_Aval!$A$11:$A$18,MATCH(A127,SS_Aval!$A$11:$A$18,1)))*(INDEX(SS_Aval!$E$11:$E$18,MATCH(A127,SS_Aval!$A$11:$A$18,1)+1)-INDEX(SS_Aval!$E$11:$E$18,MATCH(A127,SS_Aval!$A$11:$A$18,1)))))</f>
        <v/>
      </c>
      <c r="G127" s="36">
        <f>F127+E127</f>
        <v/>
      </c>
      <c r="H127" s="5">
        <f>IF(B127&lt;=0,0,IF(B127&gt;=INDEX(Courbe_QH_1200!$A$20:$A$80,ROWS(Courbe_QH_1200!$A$20:$A$80)),INDEX(Courbe_QH_1200!$E$20:$E$80,ROWS(Courbe_QH_1200!$E$20:$E$80)),INDEX(Courbe_QH_1200!$E$20:$E$80,MATCH(B127,Courbe_QH_1200!$A$20:$A$80,1))+(B127-INDEX(Courbe_QH_1200!$A$20:$A$80,MATCH(B127,Courbe_QH_1200!$A$20:$A$80,1)))/(INDEX(Courbe_QH_1200!$A$20:$A$80,MATCH(B127,Courbe_QH_1200!$A$20:$A$80,1)+1)-INDEX(Courbe_QH_1200!$A$20:$A$80,MATCH(B127,Courbe_QH_1200!$A$20:$A$80,1)))*(INDEX(Courbe_QH_1200!$E$20:$E$80,MATCH(B127,Courbe_QH_1200!$A$20:$A$80,1)+1)-INDEX(Courbe_QH_1200!$E$20:$E$80,MATCH(B127,Courbe_QH_1200!$A$20:$A$80,1)))))</f>
        <v/>
      </c>
      <c r="I127" s="5">
        <f>IF(C127&lt;=0,0,IF($B$8&lt;=0,0,(1/$B$8)*D127*IF(($B$7+2*C127*SQRT(1+$B$9^2))&lt;=0,0,((D127/($B$7+2*C127*SQRT(1+$B$9^2)))^(2/3)))*SQRT($B$10)))</f>
        <v/>
      </c>
      <c r="J127" s="15">
        <f>H127+I127</f>
        <v/>
      </c>
      <c r="K127" s="4">
        <f>IF(C127&gt;0,"oui","non")</f>
        <v/>
      </c>
      <c r="L127" s="27">
        <f>IF(Parametres!$C$88&lt;=0,0,H127/Parametres!$C$88)</f>
        <v/>
      </c>
      <c r="M127" s="27">
        <f>IF(OR(C127&lt;0.05,D127&lt;0.05),"",I127/D127)</f>
        <v/>
      </c>
    </row>
    <row r="128">
      <c r="A128" s="26" t="n">
        <v>39.25</v>
      </c>
      <c r="B128" s="26">
        <f>A128-$B$12</f>
        <v/>
      </c>
      <c r="C128" s="26">
        <f>MAX(0,A128-$B$6)</f>
        <v/>
      </c>
      <c r="D128" s="5">
        <f>IF(C128&lt;=0,0,($B$7+$B$9*C128)*C128)</f>
        <v/>
      </c>
      <c r="E128" s="29">
        <f>IF($B$13=1,D128*$B$11,0)</f>
        <v/>
      </c>
      <c r="F128" s="29">
        <f>IF(A128&lt;=INDEX(SS_Aval!$A$11:$A$18,1),INDEX(SS_Aval!$E$11:$E$18,1),IF(A128&gt;=INDEX(SS_Aval!$A$11:$A$18,ROWS(SS_Aval!$A$11:$A$18)),INDEX(SS_Aval!$E$11:$E$18,ROWS(SS_Aval!$E$11:$E$18)),INDEX(SS_Aval!$E$11:$E$18,MATCH(A128,SS_Aval!$A$11:$A$18,1))+(A128-INDEX(SS_Aval!$A$11:$A$18,MATCH(A128,SS_Aval!$A$11:$A$18,1)))/(INDEX(SS_Aval!$A$11:$A$18,MATCH(A128,SS_Aval!$A$11:$A$18,1)+1)-INDEX(SS_Aval!$A$11:$A$18,MATCH(A128,SS_Aval!$A$11:$A$18,1)))*(INDEX(SS_Aval!$E$11:$E$18,MATCH(A128,SS_Aval!$A$11:$A$18,1)+1)-INDEX(SS_Aval!$E$11:$E$18,MATCH(A128,SS_Aval!$A$11:$A$18,1)))))</f>
        <v/>
      </c>
      <c r="G128" s="36">
        <f>F128+E128</f>
        <v/>
      </c>
      <c r="H128" s="5">
        <f>IF(B128&lt;=0,0,IF(B128&gt;=INDEX(Courbe_QH_1200!$A$20:$A$80,ROWS(Courbe_QH_1200!$A$20:$A$80)),INDEX(Courbe_QH_1200!$E$20:$E$80,ROWS(Courbe_QH_1200!$E$20:$E$80)),INDEX(Courbe_QH_1200!$E$20:$E$80,MATCH(B128,Courbe_QH_1200!$A$20:$A$80,1))+(B128-INDEX(Courbe_QH_1200!$A$20:$A$80,MATCH(B128,Courbe_QH_1200!$A$20:$A$80,1)))/(INDEX(Courbe_QH_1200!$A$20:$A$80,MATCH(B128,Courbe_QH_1200!$A$20:$A$80,1)+1)-INDEX(Courbe_QH_1200!$A$20:$A$80,MATCH(B128,Courbe_QH_1200!$A$20:$A$80,1)))*(INDEX(Courbe_QH_1200!$E$20:$E$80,MATCH(B128,Courbe_QH_1200!$A$20:$A$80,1)+1)-INDEX(Courbe_QH_1200!$E$20:$E$80,MATCH(B128,Courbe_QH_1200!$A$20:$A$80,1)))))</f>
        <v/>
      </c>
      <c r="I128" s="5">
        <f>IF(C128&lt;=0,0,IF($B$8&lt;=0,0,(1/$B$8)*D128*IF(($B$7+2*C128*SQRT(1+$B$9^2))&lt;=0,0,((D128/($B$7+2*C128*SQRT(1+$B$9^2)))^(2/3)))*SQRT($B$10)))</f>
        <v/>
      </c>
      <c r="J128" s="15">
        <f>H128+I128</f>
        <v/>
      </c>
      <c r="K128" s="4">
        <f>IF(C128&gt;0,"oui","non")</f>
        <v/>
      </c>
      <c r="L128" s="27">
        <f>IF(Parametres!$C$88&lt;=0,0,H128/Parametres!$C$88)</f>
        <v/>
      </c>
      <c r="M128" s="27">
        <f>IF(OR(C128&lt;0.05,D128&lt;0.05),"",I128/D128)</f>
        <v/>
      </c>
    </row>
    <row r="129">
      <c r="A129" s="26" t="n">
        <v>39.3</v>
      </c>
      <c r="B129" s="26">
        <f>A129-$B$12</f>
        <v/>
      </c>
      <c r="C129" s="26">
        <f>MAX(0,A129-$B$6)</f>
        <v/>
      </c>
      <c r="D129" s="5">
        <f>IF(C129&lt;=0,0,($B$7+$B$9*C129)*C129)</f>
        <v/>
      </c>
      <c r="E129" s="29">
        <f>IF($B$13=1,D129*$B$11,0)</f>
        <v/>
      </c>
      <c r="F129" s="29">
        <f>IF(A129&lt;=INDEX(SS_Aval!$A$11:$A$18,1),INDEX(SS_Aval!$E$11:$E$18,1),IF(A129&gt;=INDEX(SS_Aval!$A$11:$A$18,ROWS(SS_Aval!$A$11:$A$18)),INDEX(SS_Aval!$E$11:$E$18,ROWS(SS_Aval!$E$11:$E$18)),INDEX(SS_Aval!$E$11:$E$18,MATCH(A129,SS_Aval!$A$11:$A$18,1))+(A129-INDEX(SS_Aval!$A$11:$A$18,MATCH(A129,SS_Aval!$A$11:$A$18,1)))/(INDEX(SS_Aval!$A$11:$A$18,MATCH(A129,SS_Aval!$A$11:$A$18,1)+1)-INDEX(SS_Aval!$A$11:$A$18,MATCH(A129,SS_Aval!$A$11:$A$18,1)))*(INDEX(SS_Aval!$E$11:$E$18,MATCH(A129,SS_Aval!$A$11:$A$18,1)+1)-INDEX(SS_Aval!$E$11:$E$18,MATCH(A129,SS_Aval!$A$11:$A$18,1)))))</f>
        <v/>
      </c>
      <c r="G129" s="36">
        <f>F129+E129</f>
        <v/>
      </c>
      <c r="H129" s="5">
        <f>IF(B129&lt;=0,0,IF(B129&gt;=INDEX(Courbe_QH_1200!$A$20:$A$80,ROWS(Courbe_QH_1200!$A$20:$A$80)),INDEX(Courbe_QH_1200!$E$20:$E$80,ROWS(Courbe_QH_1200!$E$20:$E$80)),INDEX(Courbe_QH_1200!$E$20:$E$80,MATCH(B129,Courbe_QH_1200!$A$20:$A$80,1))+(B129-INDEX(Courbe_QH_1200!$A$20:$A$80,MATCH(B129,Courbe_QH_1200!$A$20:$A$80,1)))/(INDEX(Courbe_QH_1200!$A$20:$A$80,MATCH(B129,Courbe_QH_1200!$A$20:$A$80,1)+1)-INDEX(Courbe_QH_1200!$A$20:$A$80,MATCH(B129,Courbe_QH_1200!$A$20:$A$80,1)))*(INDEX(Courbe_QH_1200!$E$20:$E$80,MATCH(B129,Courbe_QH_1200!$A$20:$A$80,1)+1)-INDEX(Courbe_QH_1200!$E$20:$E$80,MATCH(B129,Courbe_QH_1200!$A$20:$A$80,1)))))</f>
        <v/>
      </c>
      <c r="I129" s="5">
        <f>IF(C129&lt;=0,0,IF($B$8&lt;=0,0,(1/$B$8)*D129*IF(($B$7+2*C129*SQRT(1+$B$9^2))&lt;=0,0,((D129/($B$7+2*C129*SQRT(1+$B$9^2)))^(2/3)))*SQRT($B$10)))</f>
        <v/>
      </c>
      <c r="J129" s="15">
        <f>H129+I129</f>
        <v/>
      </c>
      <c r="K129" s="4">
        <f>IF(C129&gt;0,"oui","non")</f>
        <v/>
      </c>
      <c r="L129" s="27">
        <f>IF(Parametres!$C$88&lt;=0,0,H129/Parametres!$C$88)</f>
        <v/>
      </c>
      <c r="M129" s="27">
        <f>IF(OR(C129&lt;0.05,D129&lt;0.05),"",I129/D129)</f>
        <v/>
      </c>
    </row>
    <row r="130">
      <c r="A130" s="26" t="n">
        <v>39.35</v>
      </c>
      <c r="B130" s="26">
        <f>A130-$B$12</f>
        <v/>
      </c>
      <c r="C130" s="26">
        <f>MAX(0,A130-$B$6)</f>
        <v/>
      </c>
      <c r="D130" s="5">
        <f>IF(C130&lt;=0,0,($B$7+$B$9*C130)*C130)</f>
        <v/>
      </c>
      <c r="E130" s="29">
        <f>IF($B$13=1,D130*$B$11,0)</f>
        <v/>
      </c>
      <c r="F130" s="29">
        <f>IF(A130&lt;=INDEX(SS_Aval!$A$11:$A$18,1),INDEX(SS_Aval!$E$11:$E$18,1),IF(A130&gt;=INDEX(SS_Aval!$A$11:$A$18,ROWS(SS_Aval!$A$11:$A$18)),INDEX(SS_Aval!$E$11:$E$18,ROWS(SS_Aval!$E$11:$E$18)),INDEX(SS_Aval!$E$11:$E$18,MATCH(A130,SS_Aval!$A$11:$A$18,1))+(A130-INDEX(SS_Aval!$A$11:$A$18,MATCH(A130,SS_Aval!$A$11:$A$18,1)))/(INDEX(SS_Aval!$A$11:$A$18,MATCH(A130,SS_Aval!$A$11:$A$18,1)+1)-INDEX(SS_Aval!$A$11:$A$18,MATCH(A130,SS_Aval!$A$11:$A$18,1)))*(INDEX(SS_Aval!$E$11:$E$18,MATCH(A130,SS_Aval!$A$11:$A$18,1)+1)-INDEX(SS_Aval!$E$11:$E$18,MATCH(A130,SS_Aval!$A$11:$A$18,1)))))</f>
        <v/>
      </c>
      <c r="G130" s="36">
        <f>F130+E130</f>
        <v/>
      </c>
      <c r="H130" s="5">
        <f>IF(B130&lt;=0,0,IF(B130&gt;=INDEX(Courbe_QH_1200!$A$20:$A$80,ROWS(Courbe_QH_1200!$A$20:$A$80)),INDEX(Courbe_QH_1200!$E$20:$E$80,ROWS(Courbe_QH_1200!$E$20:$E$80)),INDEX(Courbe_QH_1200!$E$20:$E$80,MATCH(B130,Courbe_QH_1200!$A$20:$A$80,1))+(B130-INDEX(Courbe_QH_1200!$A$20:$A$80,MATCH(B130,Courbe_QH_1200!$A$20:$A$80,1)))/(INDEX(Courbe_QH_1200!$A$20:$A$80,MATCH(B130,Courbe_QH_1200!$A$20:$A$80,1)+1)-INDEX(Courbe_QH_1200!$A$20:$A$80,MATCH(B130,Courbe_QH_1200!$A$20:$A$80,1)))*(INDEX(Courbe_QH_1200!$E$20:$E$80,MATCH(B130,Courbe_QH_1200!$A$20:$A$80,1)+1)-INDEX(Courbe_QH_1200!$E$20:$E$80,MATCH(B130,Courbe_QH_1200!$A$20:$A$80,1)))))</f>
        <v/>
      </c>
      <c r="I130" s="5">
        <f>IF(C130&lt;=0,0,IF($B$8&lt;=0,0,(1/$B$8)*D130*IF(($B$7+2*C130*SQRT(1+$B$9^2))&lt;=0,0,((D130/($B$7+2*C130*SQRT(1+$B$9^2)))^(2/3)))*SQRT($B$10)))</f>
        <v/>
      </c>
      <c r="J130" s="15">
        <f>H130+I130</f>
        <v/>
      </c>
      <c r="K130" s="4">
        <f>IF(C130&gt;0,"oui","non")</f>
        <v/>
      </c>
      <c r="L130" s="27">
        <f>IF(Parametres!$C$88&lt;=0,0,H130/Parametres!$C$88)</f>
        <v/>
      </c>
      <c r="M130" s="27">
        <f>IF(OR(C130&lt;0.05,D130&lt;0.05),"",I130/D130)</f>
        <v/>
      </c>
    </row>
    <row r="131">
      <c r="A131" s="26" t="n">
        <v>39.4</v>
      </c>
      <c r="B131" s="26">
        <f>A131-$B$12</f>
        <v/>
      </c>
      <c r="C131" s="26">
        <f>MAX(0,A131-$B$6)</f>
        <v/>
      </c>
      <c r="D131" s="5">
        <f>IF(C131&lt;=0,0,($B$7+$B$9*C131)*C131)</f>
        <v/>
      </c>
      <c r="E131" s="29">
        <f>IF($B$13=1,D131*$B$11,0)</f>
        <v/>
      </c>
      <c r="F131" s="29">
        <f>IF(A131&lt;=INDEX(SS_Aval!$A$11:$A$18,1),INDEX(SS_Aval!$E$11:$E$18,1),IF(A131&gt;=INDEX(SS_Aval!$A$11:$A$18,ROWS(SS_Aval!$A$11:$A$18)),INDEX(SS_Aval!$E$11:$E$18,ROWS(SS_Aval!$E$11:$E$18)),INDEX(SS_Aval!$E$11:$E$18,MATCH(A131,SS_Aval!$A$11:$A$18,1))+(A131-INDEX(SS_Aval!$A$11:$A$18,MATCH(A131,SS_Aval!$A$11:$A$18,1)))/(INDEX(SS_Aval!$A$11:$A$18,MATCH(A131,SS_Aval!$A$11:$A$18,1)+1)-INDEX(SS_Aval!$A$11:$A$18,MATCH(A131,SS_Aval!$A$11:$A$18,1)))*(INDEX(SS_Aval!$E$11:$E$18,MATCH(A131,SS_Aval!$A$11:$A$18,1)+1)-INDEX(SS_Aval!$E$11:$E$18,MATCH(A131,SS_Aval!$A$11:$A$18,1)))))</f>
        <v/>
      </c>
      <c r="G131" s="36">
        <f>F131+E131</f>
        <v/>
      </c>
      <c r="H131" s="5">
        <f>IF(B131&lt;=0,0,IF(B131&gt;=INDEX(Courbe_QH_1200!$A$20:$A$80,ROWS(Courbe_QH_1200!$A$20:$A$80)),INDEX(Courbe_QH_1200!$E$20:$E$80,ROWS(Courbe_QH_1200!$E$20:$E$80)),INDEX(Courbe_QH_1200!$E$20:$E$80,MATCH(B131,Courbe_QH_1200!$A$20:$A$80,1))+(B131-INDEX(Courbe_QH_1200!$A$20:$A$80,MATCH(B131,Courbe_QH_1200!$A$20:$A$80,1)))/(INDEX(Courbe_QH_1200!$A$20:$A$80,MATCH(B131,Courbe_QH_1200!$A$20:$A$80,1)+1)-INDEX(Courbe_QH_1200!$A$20:$A$80,MATCH(B131,Courbe_QH_1200!$A$20:$A$80,1)))*(INDEX(Courbe_QH_1200!$E$20:$E$80,MATCH(B131,Courbe_QH_1200!$A$20:$A$80,1)+1)-INDEX(Courbe_QH_1200!$E$20:$E$80,MATCH(B131,Courbe_QH_1200!$A$20:$A$80,1)))))</f>
        <v/>
      </c>
      <c r="I131" s="5">
        <f>IF(C131&lt;=0,0,IF($B$8&lt;=0,0,(1/$B$8)*D131*IF(($B$7+2*C131*SQRT(1+$B$9^2))&lt;=0,0,((D131/($B$7+2*C131*SQRT(1+$B$9^2)))^(2/3)))*SQRT($B$10)))</f>
        <v/>
      </c>
      <c r="J131" s="15">
        <f>H131+I131</f>
        <v/>
      </c>
      <c r="K131" s="4">
        <f>IF(C131&gt;0,"oui","non")</f>
        <v/>
      </c>
      <c r="L131" s="27">
        <f>IF(Parametres!$C$88&lt;=0,0,H131/Parametres!$C$88)</f>
        <v/>
      </c>
      <c r="M131" s="27">
        <f>IF(OR(C131&lt;0.05,D131&lt;0.05),"",I131/D131)</f>
        <v/>
      </c>
    </row>
    <row r="132">
      <c r="A132" s="26" t="n">
        <v>39.45</v>
      </c>
      <c r="B132" s="26">
        <f>A132-$B$12</f>
        <v/>
      </c>
      <c r="C132" s="26">
        <f>MAX(0,A132-$B$6)</f>
        <v/>
      </c>
      <c r="D132" s="5">
        <f>IF(C132&lt;=0,0,($B$7+$B$9*C132)*C132)</f>
        <v/>
      </c>
      <c r="E132" s="29">
        <f>IF($B$13=1,D132*$B$11,0)</f>
        <v/>
      </c>
      <c r="F132" s="29">
        <f>IF(A132&lt;=INDEX(SS_Aval!$A$11:$A$18,1),INDEX(SS_Aval!$E$11:$E$18,1),IF(A132&gt;=INDEX(SS_Aval!$A$11:$A$18,ROWS(SS_Aval!$A$11:$A$18)),INDEX(SS_Aval!$E$11:$E$18,ROWS(SS_Aval!$E$11:$E$18)),INDEX(SS_Aval!$E$11:$E$18,MATCH(A132,SS_Aval!$A$11:$A$18,1))+(A132-INDEX(SS_Aval!$A$11:$A$18,MATCH(A132,SS_Aval!$A$11:$A$18,1)))/(INDEX(SS_Aval!$A$11:$A$18,MATCH(A132,SS_Aval!$A$11:$A$18,1)+1)-INDEX(SS_Aval!$A$11:$A$18,MATCH(A132,SS_Aval!$A$11:$A$18,1)))*(INDEX(SS_Aval!$E$11:$E$18,MATCH(A132,SS_Aval!$A$11:$A$18,1)+1)-INDEX(SS_Aval!$E$11:$E$18,MATCH(A132,SS_Aval!$A$11:$A$18,1)))))</f>
        <v/>
      </c>
      <c r="G132" s="36">
        <f>F132+E132</f>
        <v/>
      </c>
      <c r="H132" s="5">
        <f>IF(B132&lt;=0,0,IF(B132&gt;=INDEX(Courbe_QH_1200!$A$20:$A$80,ROWS(Courbe_QH_1200!$A$20:$A$80)),INDEX(Courbe_QH_1200!$E$20:$E$80,ROWS(Courbe_QH_1200!$E$20:$E$80)),INDEX(Courbe_QH_1200!$E$20:$E$80,MATCH(B132,Courbe_QH_1200!$A$20:$A$80,1))+(B132-INDEX(Courbe_QH_1200!$A$20:$A$80,MATCH(B132,Courbe_QH_1200!$A$20:$A$80,1)))/(INDEX(Courbe_QH_1200!$A$20:$A$80,MATCH(B132,Courbe_QH_1200!$A$20:$A$80,1)+1)-INDEX(Courbe_QH_1200!$A$20:$A$80,MATCH(B132,Courbe_QH_1200!$A$20:$A$80,1)))*(INDEX(Courbe_QH_1200!$E$20:$E$80,MATCH(B132,Courbe_QH_1200!$A$20:$A$80,1)+1)-INDEX(Courbe_QH_1200!$E$20:$E$80,MATCH(B132,Courbe_QH_1200!$A$20:$A$80,1)))))</f>
        <v/>
      </c>
      <c r="I132" s="5">
        <f>IF(C132&lt;=0,0,IF($B$8&lt;=0,0,(1/$B$8)*D132*IF(($B$7+2*C132*SQRT(1+$B$9^2))&lt;=0,0,((D132/($B$7+2*C132*SQRT(1+$B$9^2)))^(2/3)))*SQRT($B$10)))</f>
        <v/>
      </c>
      <c r="J132" s="15">
        <f>H132+I132</f>
        <v/>
      </c>
      <c r="K132" s="4">
        <f>IF(C132&gt;0,"oui","non")</f>
        <v/>
      </c>
      <c r="L132" s="27">
        <f>IF(Parametres!$C$88&lt;=0,0,H132/Parametres!$C$88)</f>
        <v/>
      </c>
      <c r="M132" s="27">
        <f>IF(OR(C132&lt;0.05,D132&lt;0.05),"",I132/D132)</f>
        <v/>
      </c>
    </row>
    <row r="133">
      <c r="A133" s="26" t="n">
        <v>39.5</v>
      </c>
      <c r="B133" s="26">
        <f>A133-$B$12</f>
        <v/>
      </c>
      <c r="C133" s="26">
        <f>MAX(0,A133-$B$6)</f>
        <v/>
      </c>
      <c r="D133" s="5">
        <f>IF(C133&lt;=0,0,($B$7+$B$9*C133)*C133)</f>
        <v/>
      </c>
      <c r="E133" s="29">
        <f>IF($B$13=1,D133*$B$11,0)</f>
        <v/>
      </c>
      <c r="F133" s="29">
        <f>IF(A133&lt;=INDEX(SS_Aval!$A$11:$A$18,1),INDEX(SS_Aval!$E$11:$E$18,1),IF(A133&gt;=INDEX(SS_Aval!$A$11:$A$18,ROWS(SS_Aval!$A$11:$A$18)),INDEX(SS_Aval!$E$11:$E$18,ROWS(SS_Aval!$E$11:$E$18)),INDEX(SS_Aval!$E$11:$E$18,MATCH(A133,SS_Aval!$A$11:$A$18,1))+(A133-INDEX(SS_Aval!$A$11:$A$18,MATCH(A133,SS_Aval!$A$11:$A$18,1)))/(INDEX(SS_Aval!$A$11:$A$18,MATCH(A133,SS_Aval!$A$11:$A$18,1)+1)-INDEX(SS_Aval!$A$11:$A$18,MATCH(A133,SS_Aval!$A$11:$A$18,1)))*(INDEX(SS_Aval!$E$11:$E$18,MATCH(A133,SS_Aval!$A$11:$A$18,1)+1)-INDEX(SS_Aval!$E$11:$E$18,MATCH(A133,SS_Aval!$A$11:$A$18,1)))))</f>
        <v/>
      </c>
      <c r="G133" s="36">
        <f>F133+E133</f>
        <v/>
      </c>
      <c r="H133" s="5">
        <f>IF(B133&lt;=0,0,IF(B133&gt;=INDEX(Courbe_QH_1200!$A$20:$A$80,ROWS(Courbe_QH_1200!$A$20:$A$80)),INDEX(Courbe_QH_1200!$E$20:$E$80,ROWS(Courbe_QH_1200!$E$20:$E$80)),INDEX(Courbe_QH_1200!$E$20:$E$80,MATCH(B133,Courbe_QH_1200!$A$20:$A$80,1))+(B133-INDEX(Courbe_QH_1200!$A$20:$A$80,MATCH(B133,Courbe_QH_1200!$A$20:$A$80,1)))/(INDEX(Courbe_QH_1200!$A$20:$A$80,MATCH(B133,Courbe_QH_1200!$A$20:$A$80,1)+1)-INDEX(Courbe_QH_1200!$A$20:$A$80,MATCH(B133,Courbe_QH_1200!$A$20:$A$80,1)))*(INDEX(Courbe_QH_1200!$E$20:$E$80,MATCH(B133,Courbe_QH_1200!$A$20:$A$80,1)+1)-INDEX(Courbe_QH_1200!$E$20:$E$80,MATCH(B133,Courbe_QH_1200!$A$20:$A$80,1)))))</f>
        <v/>
      </c>
      <c r="I133" s="5">
        <f>IF(C133&lt;=0,0,IF($B$8&lt;=0,0,(1/$B$8)*D133*IF(($B$7+2*C133*SQRT(1+$B$9^2))&lt;=0,0,((D133/($B$7+2*C133*SQRT(1+$B$9^2)))^(2/3)))*SQRT($B$10)))</f>
        <v/>
      </c>
      <c r="J133" s="15">
        <f>H133+I133</f>
        <v/>
      </c>
      <c r="K133" s="4">
        <f>IF(C133&gt;0,"oui","non")</f>
        <v/>
      </c>
      <c r="L133" s="27">
        <f>IF(Parametres!$C$88&lt;=0,0,H133/Parametres!$C$88)</f>
        <v/>
      </c>
      <c r="M133" s="27">
        <f>IF(OR(C133&lt;0.05,D133&lt;0.05),"",I133/D133)</f>
        <v/>
      </c>
    </row>
  </sheetData>
  <mergeCells count="1">
    <mergeCell ref="A2:L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4" t="inlineStr">
        <is>
          <t>Zone 2 — Méthode C: Qin = Calcul_C Qout; Qout composé Compose_Aval</t>
        </is>
      </c>
    </row>
    <row r="2">
      <c r="A2" s="25" t="inlineStr">
        <is>
          <t>WSE depuis V_total Compose_Aval (SS_Aval ± V_ditch via B25). Qin = Calcul_C!D (sortie Zone 1 Méthode C).</t>
        </is>
      </c>
    </row>
    <row r="3"/>
    <row r="5">
      <c r="A5" t="inlineStr">
        <is>
          <t>Q_plein Ø1200 réf. (m³/s)</t>
        </is>
      </c>
      <c r="B5" s="42">
        <f>4.93</f>
        <v/>
      </c>
    </row>
    <row r="6">
      <c r="A6" t="inlineStr">
        <is>
          <t>Crest Zone 2 (m)</t>
        </is>
      </c>
      <c r="B6" s="42">
        <f>Parametres!B62</f>
        <v/>
      </c>
    </row>
    <row r="7">
      <c r="A7" t="inlineStr">
        <is>
          <t>Vmax_Aval_C (m³)</t>
        </is>
      </c>
      <c r="B7" s="34">
        <f>MAX(F12:F24)</f>
        <v/>
      </c>
    </row>
    <row r="8">
      <c r="A8" t="inlineStr">
        <is>
          <t>WSEmax_Aval_C (m)</t>
        </is>
      </c>
      <c r="B8" s="22">
        <f>MAX(C12:C24)</f>
        <v/>
      </c>
    </row>
    <row r="9">
      <c r="A9" t="inlineStr">
        <is>
          <t>Overflow Zone 2?</t>
        </is>
      </c>
      <c r="B9">
        <f>IF(B8&gt;$B$6,"oui — WSE &gt; crest Zone 2","non — pipe seul")</f>
        <v/>
      </c>
    </row>
    <row r="10">
      <c r="A10" t="inlineStr">
        <is>
          <t>V_pipe_seul = Qout/A_Ø1200 seulement si WSE≤crest. Si overflow → Compose_Aval V_Ø1200 / V_overflow.</t>
        </is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  <c r="H11" s="3" t="inlineStr">
        <is>
          <t>V_pipe_seul (m/s)</t>
        </is>
      </c>
    </row>
    <row r="12">
      <c r="A12" s="4">
        <f>Calcul_C!A12</f>
        <v/>
      </c>
      <c r="B12" s="5">
        <f>Calcul_C!D12</f>
        <v/>
      </c>
      <c r="C12" s="5">
        <f>33.6</f>
        <v/>
      </c>
      <c r="D12" s="5">
        <f>MIN(B12,$B$5)</f>
        <v/>
      </c>
      <c r="E12" s="29" t="n">
        <v>0</v>
      </c>
      <c r="F12" s="36" t="n">
        <v>0</v>
      </c>
      <c r="G12" s="4" t="inlineStr">
        <is>
          <t>non</t>
        </is>
      </c>
      <c r="H12" s="27">
        <f>IF(OR(Parametres!$C$88&lt;=0,C12&gt;$B$6),"",D12/Parametres!$C$88)</f>
        <v/>
      </c>
    </row>
    <row r="13">
      <c r="A13" s="4">
        <f>Calcul_C!A13</f>
        <v/>
      </c>
      <c r="B13" s="5">
        <f>Calcul_C!D13</f>
        <v/>
      </c>
      <c r="C13" s="5">
        <f>IF(F12&lt;=INDEX(Compose_Aval!$G$15:$G$133,1),INDEX(Compose_Aval!$A$15:$A$133,1),IF(F12&gt;=INDEX(Compose_Aval!$G$15:$G$133,ROWS(Compose_Aval!$G$15:$G$133)),INDEX(Compose_Aval!$A$15:$A$133,ROWS(Compose_Aval!$A$15:$A$133)),INDEX(Compose_Aval!$A$15:$A$133,MATCH(F12,Compose_Aval!$G$15:$G$133,1))+(F12-INDEX(Compose_Aval!$G$15:$G$133,MATCH(F12,Compose_Aval!$G$15:$G$133,1)))/(INDEX(Compose_Aval!$G$15:$G$133,MATCH(F12,Compose_Aval!$G$15:$G$133,1)+1)-INDEX(Compose_Aval!$G$15:$G$133,MATCH(F12,Compose_Aval!$G$15:$G$133,1)))*(INDEX(Compose_Aval!$A$15:$A$133,MATCH(F12,Compose_Aval!$G$15:$G$133,1)+1)-INDEX(Compose_Aval!$A$15:$A$133,MATCH(F12,Compose_Aval!$G$15:$G$133,1)))))</f>
        <v/>
      </c>
      <c r="D13" s="5">
        <f>IF(F12&lt;=0.01,MIN(0.5*(B12+B13),$B$5),IF(C13&lt;=INDEX(Compose_Aval!$A$15:$A$133,1),INDEX(Compose_Aval!$J$15:$J$133,1),IF(C13&gt;=INDEX(Compose_Aval!$A$15:$A$133,ROWS(Compose_Aval!$A$15:$A$133)),INDEX(Compose_Aval!$J$15:$J$133,ROWS(Compose_Aval!$J$15:$J$133)),INDEX(Compose_Aval!$J$15:$J$133,MATCH(C13,Compose_Aval!$A$15:$A$133,1))+(C13-INDEX(Compose_Aval!$A$15:$A$133,MATCH(C13,Compose_Aval!$A$15:$A$133,1)))/(INDEX(Compose_Aval!$A$15:$A$133,MATCH(C13,Compose_Aval!$A$15:$A$133,1)+1)-INDEX(Compose_Aval!$A$15:$A$133,MATCH(C13,Compose_Aval!$A$15:$A$133,1)))*(INDEX(Compose_Aval!$J$15:$J$133,MATCH(C13,Compose_Aval!$A$15:$A$133,1)+1)-INDEX(Compose_Aval!$J$15:$J$133,MATCH(C13,Compose_Aval!$A$15:$A$133,1))))))</f>
        <v/>
      </c>
      <c r="E13" s="29">
        <f>(A13-A12)*60</f>
        <v/>
      </c>
      <c r="F13" s="36">
        <f>MAX(0,F12+(0.5*(B12+B13)-D13)*E13)</f>
        <v/>
      </c>
      <c r="G13" s="4">
        <f>IF(C13&gt;$B$6,"oui","non")</f>
        <v/>
      </c>
      <c r="H13" s="27">
        <f>IF(OR(Parametres!$C$88&lt;=0,C13&gt;$B$6),"",D13/Parametres!$C$88)</f>
        <v/>
      </c>
    </row>
    <row r="14">
      <c r="A14" s="4">
        <f>Calcul_C!A14</f>
        <v/>
      </c>
      <c r="B14" s="5">
        <f>Calcul_C!D14</f>
        <v/>
      </c>
      <c r="C14" s="5">
        <f>IF(F13&lt;=INDEX(Compose_Aval!$G$15:$G$133,1),INDEX(Compose_Aval!$A$15:$A$133,1),IF(F13&gt;=INDEX(Compose_Aval!$G$15:$G$133,ROWS(Compose_Aval!$G$15:$G$133)),INDEX(Compose_Aval!$A$15:$A$133,ROWS(Compose_Aval!$A$15:$A$133)),INDEX(Compose_Aval!$A$15:$A$133,MATCH(F13,Compose_Aval!$G$15:$G$133,1))+(F13-INDEX(Compose_Aval!$G$15:$G$133,MATCH(F13,Compose_Aval!$G$15:$G$133,1)))/(INDEX(Compose_Aval!$G$15:$G$133,MATCH(F13,Compose_Aval!$G$15:$G$133,1)+1)-INDEX(Compose_Aval!$G$15:$G$133,MATCH(F13,Compose_Aval!$G$15:$G$133,1)))*(INDEX(Compose_Aval!$A$15:$A$133,MATCH(F13,Compose_Aval!$G$15:$G$133,1)+1)-INDEX(Compose_Aval!$A$15:$A$133,MATCH(F13,Compose_Aval!$G$15:$G$133,1)))))</f>
        <v/>
      </c>
      <c r="D14" s="5">
        <f>IF(F13&lt;=0.01,MIN(0.5*(B13+B14),$B$5),IF(C14&lt;=INDEX(Compose_Aval!$A$15:$A$133,1),INDEX(Compose_Aval!$J$15:$J$133,1),IF(C14&gt;=INDEX(Compose_Aval!$A$15:$A$133,ROWS(Compose_Aval!$A$15:$A$133)),INDEX(Compose_Aval!$J$15:$J$133,ROWS(Compose_Aval!$J$15:$J$133)),INDEX(Compose_Aval!$J$15:$J$133,MATCH(C14,Compose_Aval!$A$15:$A$133,1))+(C14-INDEX(Compose_Aval!$A$15:$A$133,MATCH(C14,Compose_Aval!$A$15:$A$133,1)))/(INDEX(Compose_Aval!$A$15:$A$133,MATCH(C14,Compose_Aval!$A$15:$A$133,1)+1)-INDEX(Compose_Aval!$A$15:$A$133,MATCH(C14,Compose_Aval!$A$15:$A$133,1)))*(INDEX(Compose_Aval!$J$15:$J$133,MATCH(C14,Compose_Aval!$A$15:$A$133,1)+1)-INDEX(Compose_Aval!$J$15:$J$133,MATCH(C14,Compose_Aval!$A$15:$A$133,1))))))</f>
        <v/>
      </c>
      <c r="E14" s="29">
        <f>(A14-A13)*60</f>
        <v/>
      </c>
      <c r="F14" s="36">
        <f>MAX(0,F13+(0.5*(B13+B14)-D14)*E14)</f>
        <v/>
      </c>
      <c r="G14" s="4">
        <f>IF(C14&gt;$B$6,"oui","non")</f>
        <v/>
      </c>
      <c r="H14" s="27">
        <f>IF(OR(Parametres!$C$88&lt;=0,C14&gt;$B$6),"",D14/Parametres!$C$88)</f>
        <v/>
      </c>
    </row>
    <row r="15">
      <c r="A15" s="4">
        <f>Calcul_C!A15</f>
        <v/>
      </c>
      <c r="B15" s="5">
        <f>Calcul_C!D15</f>
        <v/>
      </c>
      <c r="C15" s="5">
        <f>IF(F14&lt;=INDEX(Compose_Aval!$G$15:$G$133,1),INDEX(Compose_Aval!$A$15:$A$133,1),IF(F14&gt;=INDEX(Compose_Aval!$G$15:$G$133,ROWS(Compose_Aval!$G$15:$G$133)),INDEX(Compose_Aval!$A$15:$A$133,ROWS(Compose_Aval!$A$15:$A$133)),INDEX(Compose_Aval!$A$15:$A$133,MATCH(F14,Compose_Aval!$G$15:$G$133,1))+(F14-INDEX(Compose_Aval!$G$15:$G$133,MATCH(F14,Compose_Aval!$G$15:$G$133,1)))/(INDEX(Compose_Aval!$G$15:$G$133,MATCH(F14,Compose_Aval!$G$15:$G$133,1)+1)-INDEX(Compose_Aval!$G$15:$G$133,MATCH(F14,Compose_Aval!$G$15:$G$133,1)))*(INDEX(Compose_Aval!$A$15:$A$133,MATCH(F14,Compose_Aval!$G$15:$G$133,1)+1)-INDEX(Compose_Aval!$A$15:$A$133,MATCH(F14,Compose_Aval!$G$15:$G$133,1)))))</f>
        <v/>
      </c>
      <c r="D15" s="5">
        <f>IF(F14&lt;=0.01,MIN(0.5*(B14+B15),$B$5),IF(C15&lt;=INDEX(Compose_Aval!$A$15:$A$133,1),INDEX(Compose_Aval!$J$15:$J$133,1),IF(C15&gt;=INDEX(Compose_Aval!$A$15:$A$133,ROWS(Compose_Aval!$A$15:$A$133)),INDEX(Compose_Aval!$J$15:$J$133,ROWS(Compose_Aval!$J$15:$J$133)),INDEX(Compose_Aval!$J$15:$J$133,MATCH(C15,Compose_Aval!$A$15:$A$133,1))+(C15-INDEX(Compose_Aval!$A$15:$A$133,MATCH(C15,Compose_Aval!$A$15:$A$133,1)))/(INDEX(Compose_Aval!$A$15:$A$133,MATCH(C15,Compose_Aval!$A$15:$A$133,1)+1)-INDEX(Compose_Aval!$A$15:$A$133,MATCH(C15,Compose_Aval!$A$15:$A$133,1)))*(INDEX(Compose_Aval!$J$15:$J$133,MATCH(C15,Compose_Aval!$A$15:$A$133,1)+1)-INDEX(Compose_Aval!$J$15:$J$133,MATCH(C15,Compose_Aval!$A$15:$A$133,1))))))</f>
        <v/>
      </c>
      <c r="E15" s="29">
        <f>(A15-A14)*60</f>
        <v/>
      </c>
      <c r="F15" s="36">
        <f>MAX(0,F14+(0.5*(B14+B15)-D15)*E15)</f>
        <v/>
      </c>
      <c r="G15" s="4">
        <f>IF(C15&gt;$B$6,"oui","non")</f>
        <v/>
      </c>
      <c r="H15" s="27">
        <f>IF(OR(Parametres!$C$88&lt;=0,C15&gt;$B$6),"",D15/Parametres!$C$88)</f>
        <v/>
      </c>
    </row>
    <row r="16">
      <c r="A16" s="4">
        <f>Calcul_C!A16</f>
        <v/>
      </c>
      <c r="B16" s="5">
        <f>Calcul_C!D16</f>
        <v/>
      </c>
      <c r="C16" s="5">
        <f>IF(F15&lt;=INDEX(Compose_Aval!$G$15:$G$133,1),INDEX(Compose_Aval!$A$15:$A$133,1),IF(F15&gt;=INDEX(Compose_Aval!$G$15:$G$133,ROWS(Compose_Aval!$G$15:$G$133)),INDEX(Compose_Aval!$A$15:$A$133,ROWS(Compose_Aval!$A$15:$A$133)),INDEX(Compose_Aval!$A$15:$A$133,MATCH(F15,Compose_Aval!$G$15:$G$133,1))+(F15-INDEX(Compose_Aval!$G$15:$G$133,MATCH(F15,Compose_Aval!$G$15:$G$133,1)))/(INDEX(Compose_Aval!$G$15:$G$133,MATCH(F15,Compose_Aval!$G$15:$G$133,1)+1)-INDEX(Compose_Aval!$G$15:$G$133,MATCH(F15,Compose_Aval!$G$15:$G$133,1)))*(INDEX(Compose_Aval!$A$15:$A$133,MATCH(F15,Compose_Aval!$G$15:$G$133,1)+1)-INDEX(Compose_Aval!$A$15:$A$133,MATCH(F15,Compose_Aval!$G$15:$G$133,1)))))</f>
        <v/>
      </c>
      <c r="D16" s="5">
        <f>IF(F15&lt;=0.01,MIN(0.5*(B15+B16),$B$5),IF(C16&lt;=INDEX(Compose_Aval!$A$15:$A$133,1),INDEX(Compose_Aval!$J$15:$J$133,1),IF(C16&gt;=INDEX(Compose_Aval!$A$15:$A$133,ROWS(Compose_Aval!$A$15:$A$133)),INDEX(Compose_Aval!$J$15:$J$133,ROWS(Compose_Aval!$J$15:$J$133)),INDEX(Compose_Aval!$J$15:$J$133,MATCH(C16,Compose_Aval!$A$15:$A$133,1))+(C16-INDEX(Compose_Aval!$A$15:$A$133,MATCH(C16,Compose_Aval!$A$15:$A$133,1)))/(INDEX(Compose_Aval!$A$15:$A$133,MATCH(C16,Compose_Aval!$A$15:$A$133,1)+1)-INDEX(Compose_Aval!$A$15:$A$133,MATCH(C16,Compose_Aval!$A$15:$A$133,1)))*(INDEX(Compose_Aval!$J$15:$J$133,MATCH(C16,Compose_Aval!$A$15:$A$133,1)+1)-INDEX(Compose_Aval!$J$15:$J$133,MATCH(C16,Compose_Aval!$A$15:$A$133,1))))))</f>
        <v/>
      </c>
      <c r="E16" s="29">
        <f>(A16-A15)*60</f>
        <v/>
      </c>
      <c r="F16" s="36">
        <f>MAX(0,F15+(0.5*(B15+B16)-D16)*E16)</f>
        <v/>
      </c>
      <c r="G16" s="4">
        <f>IF(C16&gt;$B$6,"oui","non")</f>
        <v/>
      </c>
      <c r="H16" s="27">
        <f>IF(OR(Parametres!$C$88&lt;=0,C16&gt;$B$6),"",D16/Parametres!$C$88)</f>
        <v/>
      </c>
    </row>
    <row r="17">
      <c r="A17" s="4">
        <f>Calcul_C!A17</f>
        <v/>
      </c>
      <c r="B17" s="5">
        <f>Calcul_C!D17</f>
        <v/>
      </c>
      <c r="C17" s="5">
        <f>IF(F16&lt;=INDEX(Compose_Aval!$G$15:$G$133,1),INDEX(Compose_Aval!$A$15:$A$133,1),IF(F16&gt;=INDEX(Compose_Aval!$G$15:$G$133,ROWS(Compose_Aval!$G$15:$G$133)),INDEX(Compose_Aval!$A$15:$A$133,ROWS(Compose_Aval!$A$15:$A$133)),INDEX(Compose_Aval!$A$15:$A$133,MATCH(F16,Compose_Aval!$G$15:$G$133,1))+(F16-INDEX(Compose_Aval!$G$15:$G$133,MATCH(F16,Compose_Aval!$G$15:$G$133,1)))/(INDEX(Compose_Aval!$G$15:$G$133,MATCH(F16,Compose_Aval!$G$15:$G$133,1)+1)-INDEX(Compose_Aval!$G$15:$G$133,MATCH(F16,Compose_Aval!$G$15:$G$133,1)))*(INDEX(Compose_Aval!$A$15:$A$133,MATCH(F16,Compose_Aval!$G$15:$G$133,1)+1)-INDEX(Compose_Aval!$A$15:$A$133,MATCH(F16,Compose_Aval!$G$15:$G$133,1)))))</f>
        <v/>
      </c>
      <c r="D17" s="5">
        <f>IF(F16&lt;=0.01,MIN(0.5*(B16+B17),$B$5),IF(C17&lt;=INDEX(Compose_Aval!$A$15:$A$133,1),INDEX(Compose_Aval!$J$15:$J$133,1),IF(C17&gt;=INDEX(Compose_Aval!$A$15:$A$133,ROWS(Compose_Aval!$A$15:$A$133)),INDEX(Compose_Aval!$J$15:$J$133,ROWS(Compose_Aval!$J$15:$J$133)),INDEX(Compose_Aval!$J$15:$J$133,MATCH(C17,Compose_Aval!$A$15:$A$133,1))+(C17-INDEX(Compose_Aval!$A$15:$A$133,MATCH(C17,Compose_Aval!$A$15:$A$133,1)))/(INDEX(Compose_Aval!$A$15:$A$133,MATCH(C17,Compose_Aval!$A$15:$A$133,1)+1)-INDEX(Compose_Aval!$A$15:$A$133,MATCH(C17,Compose_Aval!$A$15:$A$133,1)))*(INDEX(Compose_Aval!$J$15:$J$133,MATCH(C17,Compose_Aval!$A$15:$A$133,1)+1)-INDEX(Compose_Aval!$J$15:$J$133,MATCH(C17,Compose_Aval!$A$15:$A$133,1))))))</f>
        <v/>
      </c>
      <c r="E17" s="29">
        <f>(A17-A16)*60</f>
        <v/>
      </c>
      <c r="F17" s="36">
        <f>MAX(0,F16+(0.5*(B16+B17)-D17)*E17)</f>
        <v/>
      </c>
      <c r="G17" s="4">
        <f>IF(C17&gt;$B$6,"oui","non")</f>
        <v/>
      </c>
      <c r="H17" s="27">
        <f>IF(OR(Parametres!$C$88&lt;=0,C17&gt;$B$6),"",D17/Parametres!$C$88)</f>
        <v/>
      </c>
    </row>
    <row r="18">
      <c r="A18" s="4">
        <f>Calcul_C!A18</f>
        <v/>
      </c>
      <c r="B18" s="5">
        <f>Calcul_C!D18</f>
        <v/>
      </c>
      <c r="C18" s="5">
        <f>IF(F17&lt;=INDEX(Compose_Aval!$G$15:$G$133,1),INDEX(Compose_Aval!$A$15:$A$133,1),IF(F17&gt;=INDEX(Compose_Aval!$G$15:$G$133,ROWS(Compose_Aval!$G$15:$G$133)),INDEX(Compose_Aval!$A$15:$A$133,ROWS(Compose_Aval!$A$15:$A$133)),INDEX(Compose_Aval!$A$15:$A$133,MATCH(F17,Compose_Aval!$G$15:$G$133,1))+(F17-INDEX(Compose_Aval!$G$15:$G$133,MATCH(F17,Compose_Aval!$G$15:$G$133,1)))/(INDEX(Compose_Aval!$G$15:$G$133,MATCH(F17,Compose_Aval!$G$15:$G$133,1)+1)-INDEX(Compose_Aval!$G$15:$G$133,MATCH(F17,Compose_Aval!$G$15:$G$133,1)))*(INDEX(Compose_Aval!$A$15:$A$133,MATCH(F17,Compose_Aval!$G$15:$G$133,1)+1)-INDEX(Compose_Aval!$A$15:$A$133,MATCH(F17,Compose_Aval!$G$15:$G$133,1)))))</f>
        <v/>
      </c>
      <c r="D18" s="5">
        <f>IF(F17&lt;=0.01,MIN(0.5*(B17+B18),$B$5),IF(C18&lt;=INDEX(Compose_Aval!$A$15:$A$133,1),INDEX(Compose_Aval!$J$15:$J$133,1),IF(C18&gt;=INDEX(Compose_Aval!$A$15:$A$133,ROWS(Compose_Aval!$A$15:$A$133)),INDEX(Compose_Aval!$J$15:$J$133,ROWS(Compose_Aval!$J$15:$J$133)),INDEX(Compose_Aval!$J$15:$J$133,MATCH(C18,Compose_Aval!$A$15:$A$133,1))+(C18-INDEX(Compose_Aval!$A$15:$A$133,MATCH(C18,Compose_Aval!$A$15:$A$133,1)))/(INDEX(Compose_Aval!$A$15:$A$133,MATCH(C18,Compose_Aval!$A$15:$A$133,1)+1)-INDEX(Compose_Aval!$A$15:$A$133,MATCH(C18,Compose_Aval!$A$15:$A$133,1)))*(INDEX(Compose_Aval!$J$15:$J$133,MATCH(C18,Compose_Aval!$A$15:$A$133,1)+1)-INDEX(Compose_Aval!$J$15:$J$133,MATCH(C18,Compose_Aval!$A$15:$A$133,1))))))</f>
        <v/>
      </c>
      <c r="E18" s="29">
        <f>(A18-A17)*60</f>
        <v/>
      </c>
      <c r="F18" s="36">
        <f>MAX(0,F17+(0.5*(B17+B18)-D18)*E18)</f>
        <v/>
      </c>
      <c r="G18" s="4">
        <f>IF(C18&gt;$B$6,"oui","non")</f>
        <v/>
      </c>
      <c r="H18" s="27">
        <f>IF(OR(Parametres!$C$88&lt;=0,C18&gt;$B$6),"",D18/Parametres!$C$88)</f>
        <v/>
      </c>
    </row>
    <row r="19">
      <c r="A19" s="4">
        <f>Calcul_C!A19</f>
        <v/>
      </c>
      <c r="B19" s="5">
        <f>Calcul_C!D19</f>
        <v/>
      </c>
      <c r="C19" s="5">
        <f>IF(F18&lt;=INDEX(Compose_Aval!$G$15:$G$133,1),INDEX(Compose_Aval!$A$15:$A$133,1),IF(F18&gt;=INDEX(Compose_Aval!$G$15:$G$133,ROWS(Compose_Aval!$G$15:$G$133)),INDEX(Compose_Aval!$A$15:$A$133,ROWS(Compose_Aval!$A$15:$A$133)),INDEX(Compose_Aval!$A$15:$A$133,MATCH(F18,Compose_Aval!$G$15:$G$133,1))+(F18-INDEX(Compose_Aval!$G$15:$G$133,MATCH(F18,Compose_Aval!$G$15:$G$133,1)))/(INDEX(Compose_Aval!$G$15:$G$133,MATCH(F18,Compose_Aval!$G$15:$G$133,1)+1)-INDEX(Compose_Aval!$G$15:$G$133,MATCH(F18,Compose_Aval!$G$15:$G$133,1)))*(INDEX(Compose_Aval!$A$15:$A$133,MATCH(F18,Compose_Aval!$G$15:$G$133,1)+1)-INDEX(Compose_Aval!$A$15:$A$133,MATCH(F18,Compose_Aval!$G$15:$G$133,1)))))</f>
        <v/>
      </c>
      <c r="D19" s="5">
        <f>IF(F18&lt;=0.01,MIN(0.5*(B18+B19),$B$5),IF(C19&lt;=INDEX(Compose_Aval!$A$15:$A$133,1),INDEX(Compose_Aval!$J$15:$J$133,1),IF(C19&gt;=INDEX(Compose_Aval!$A$15:$A$133,ROWS(Compose_Aval!$A$15:$A$133)),INDEX(Compose_Aval!$J$15:$J$133,ROWS(Compose_Aval!$J$15:$J$133)),INDEX(Compose_Aval!$J$15:$J$133,MATCH(C19,Compose_Aval!$A$15:$A$133,1))+(C19-INDEX(Compose_Aval!$A$15:$A$133,MATCH(C19,Compose_Aval!$A$15:$A$133,1)))/(INDEX(Compose_Aval!$A$15:$A$133,MATCH(C19,Compose_Aval!$A$15:$A$133,1)+1)-INDEX(Compose_Aval!$A$15:$A$133,MATCH(C19,Compose_Aval!$A$15:$A$133,1)))*(INDEX(Compose_Aval!$J$15:$J$133,MATCH(C19,Compose_Aval!$A$15:$A$133,1)+1)-INDEX(Compose_Aval!$J$15:$J$133,MATCH(C19,Compose_Aval!$A$15:$A$133,1))))))</f>
        <v/>
      </c>
      <c r="E19" s="29">
        <f>(A19-A18)*60</f>
        <v/>
      </c>
      <c r="F19" s="36">
        <f>MAX(0,F18+(0.5*(B18+B19)-D19)*E19)</f>
        <v/>
      </c>
      <c r="G19" s="4">
        <f>IF(C19&gt;$B$6,"oui","non")</f>
        <v/>
      </c>
      <c r="H19" s="27">
        <f>IF(OR(Parametres!$C$88&lt;=0,C19&gt;$B$6),"",D19/Parametres!$C$88)</f>
        <v/>
      </c>
    </row>
    <row r="20">
      <c r="A20" s="4">
        <f>Calcul_C!A20</f>
        <v/>
      </c>
      <c r="B20" s="5">
        <f>Calcul_C!D20</f>
        <v/>
      </c>
      <c r="C20" s="5">
        <f>IF(F19&lt;=INDEX(Compose_Aval!$G$15:$G$133,1),INDEX(Compose_Aval!$A$15:$A$133,1),IF(F19&gt;=INDEX(Compose_Aval!$G$15:$G$133,ROWS(Compose_Aval!$G$15:$G$133)),INDEX(Compose_Aval!$A$15:$A$133,ROWS(Compose_Aval!$A$15:$A$133)),INDEX(Compose_Aval!$A$15:$A$133,MATCH(F19,Compose_Aval!$G$15:$G$133,1))+(F19-INDEX(Compose_Aval!$G$15:$G$133,MATCH(F19,Compose_Aval!$G$15:$G$133,1)))/(INDEX(Compose_Aval!$G$15:$G$133,MATCH(F19,Compose_Aval!$G$15:$G$133,1)+1)-INDEX(Compose_Aval!$G$15:$G$133,MATCH(F19,Compose_Aval!$G$15:$G$133,1)))*(INDEX(Compose_Aval!$A$15:$A$133,MATCH(F19,Compose_Aval!$G$15:$G$133,1)+1)-INDEX(Compose_Aval!$A$15:$A$133,MATCH(F19,Compose_Aval!$G$15:$G$133,1)))))</f>
        <v/>
      </c>
      <c r="D20" s="5">
        <f>IF(F19&lt;=0.01,MIN(0.5*(B19+B20),$B$5),IF(C20&lt;=INDEX(Compose_Aval!$A$15:$A$133,1),INDEX(Compose_Aval!$J$15:$J$133,1),IF(C20&gt;=INDEX(Compose_Aval!$A$15:$A$133,ROWS(Compose_Aval!$A$15:$A$133)),INDEX(Compose_Aval!$J$15:$J$133,ROWS(Compose_Aval!$J$15:$J$133)),INDEX(Compose_Aval!$J$15:$J$133,MATCH(C20,Compose_Aval!$A$15:$A$133,1))+(C20-INDEX(Compose_Aval!$A$15:$A$133,MATCH(C20,Compose_Aval!$A$15:$A$133,1)))/(INDEX(Compose_Aval!$A$15:$A$133,MATCH(C20,Compose_Aval!$A$15:$A$133,1)+1)-INDEX(Compose_Aval!$A$15:$A$133,MATCH(C20,Compose_Aval!$A$15:$A$133,1)))*(INDEX(Compose_Aval!$J$15:$J$133,MATCH(C20,Compose_Aval!$A$15:$A$133,1)+1)-INDEX(Compose_Aval!$J$15:$J$133,MATCH(C20,Compose_Aval!$A$15:$A$133,1))))))</f>
        <v/>
      </c>
      <c r="E20" s="29">
        <f>(A20-A19)*60</f>
        <v/>
      </c>
      <c r="F20" s="36">
        <f>MAX(0,F19+(0.5*(B19+B20)-D20)*E20)</f>
        <v/>
      </c>
      <c r="G20" s="4">
        <f>IF(C20&gt;$B$6,"oui","non")</f>
        <v/>
      </c>
      <c r="H20" s="27">
        <f>IF(OR(Parametres!$C$88&lt;=0,C20&gt;$B$6),"",D20/Parametres!$C$88)</f>
        <v/>
      </c>
    </row>
    <row r="21">
      <c r="A21" s="4">
        <f>Calcul_C!A21</f>
        <v/>
      </c>
      <c r="B21" s="5">
        <f>Calcul_C!D21</f>
        <v/>
      </c>
      <c r="C21" s="5">
        <f>IF(F20&lt;=INDEX(Compose_Aval!$G$15:$G$133,1),INDEX(Compose_Aval!$A$15:$A$133,1),IF(F20&gt;=INDEX(Compose_Aval!$G$15:$G$133,ROWS(Compose_Aval!$G$15:$G$133)),INDEX(Compose_Aval!$A$15:$A$133,ROWS(Compose_Aval!$A$15:$A$133)),INDEX(Compose_Aval!$A$15:$A$133,MATCH(F20,Compose_Aval!$G$15:$G$133,1))+(F20-INDEX(Compose_Aval!$G$15:$G$133,MATCH(F20,Compose_Aval!$G$15:$G$133,1)))/(INDEX(Compose_Aval!$G$15:$G$133,MATCH(F20,Compose_Aval!$G$15:$G$133,1)+1)-INDEX(Compose_Aval!$G$15:$G$133,MATCH(F20,Compose_Aval!$G$15:$G$133,1)))*(INDEX(Compose_Aval!$A$15:$A$133,MATCH(F20,Compose_Aval!$G$15:$G$133,1)+1)-INDEX(Compose_Aval!$A$15:$A$133,MATCH(F20,Compose_Aval!$G$15:$G$133,1)))))</f>
        <v/>
      </c>
      <c r="D21" s="5">
        <f>IF(F20&lt;=0.01,MIN(0.5*(B20+B21),$B$5),IF(C21&lt;=INDEX(Compose_Aval!$A$15:$A$133,1),INDEX(Compose_Aval!$J$15:$J$133,1),IF(C21&gt;=INDEX(Compose_Aval!$A$15:$A$133,ROWS(Compose_Aval!$A$15:$A$133)),INDEX(Compose_Aval!$J$15:$J$133,ROWS(Compose_Aval!$J$15:$J$133)),INDEX(Compose_Aval!$J$15:$J$133,MATCH(C21,Compose_Aval!$A$15:$A$133,1))+(C21-INDEX(Compose_Aval!$A$15:$A$133,MATCH(C21,Compose_Aval!$A$15:$A$133,1)))/(INDEX(Compose_Aval!$A$15:$A$133,MATCH(C21,Compose_Aval!$A$15:$A$133,1)+1)-INDEX(Compose_Aval!$A$15:$A$133,MATCH(C21,Compose_Aval!$A$15:$A$133,1)))*(INDEX(Compose_Aval!$J$15:$J$133,MATCH(C21,Compose_Aval!$A$15:$A$133,1)+1)-INDEX(Compose_Aval!$J$15:$J$133,MATCH(C21,Compose_Aval!$A$15:$A$133,1))))))</f>
        <v/>
      </c>
      <c r="E21" s="29">
        <f>(A21-A20)*60</f>
        <v/>
      </c>
      <c r="F21" s="36">
        <f>MAX(0,F20+(0.5*(B20+B21)-D21)*E21)</f>
        <v/>
      </c>
      <c r="G21" s="4">
        <f>IF(C21&gt;$B$6,"oui","non")</f>
        <v/>
      </c>
      <c r="H21" s="27">
        <f>IF(OR(Parametres!$C$88&lt;=0,C21&gt;$B$6),"",D21/Parametres!$C$88)</f>
        <v/>
      </c>
    </row>
    <row r="22">
      <c r="A22" s="4">
        <f>Calcul_C!A22</f>
        <v/>
      </c>
      <c r="B22" s="5">
        <f>Calcul_C!D22</f>
        <v/>
      </c>
      <c r="C22" s="5">
        <f>IF(F21&lt;=INDEX(Compose_Aval!$G$15:$G$133,1),INDEX(Compose_Aval!$A$15:$A$133,1),IF(F21&gt;=INDEX(Compose_Aval!$G$15:$G$133,ROWS(Compose_Aval!$G$15:$G$133)),INDEX(Compose_Aval!$A$15:$A$133,ROWS(Compose_Aval!$A$15:$A$133)),INDEX(Compose_Aval!$A$15:$A$133,MATCH(F21,Compose_Aval!$G$15:$G$133,1))+(F21-INDEX(Compose_Aval!$G$15:$G$133,MATCH(F21,Compose_Aval!$G$15:$G$133,1)))/(INDEX(Compose_Aval!$G$15:$G$133,MATCH(F21,Compose_Aval!$G$15:$G$133,1)+1)-INDEX(Compose_Aval!$G$15:$G$133,MATCH(F21,Compose_Aval!$G$15:$G$133,1)))*(INDEX(Compose_Aval!$A$15:$A$133,MATCH(F21,Compose_Aval!$G$15:$G$133,1)+1)-INDEX(Compose_Aval!$A$15:$A$133,MATCH(F21,Compose_Aval!$G$15:$G$133,1)))))</f>
        <v/>
      </c>
      <c r="D22" s="5">
        <f>IF(F21&lt;=0.01,MIN(0.5*(B21+B22),$B$5),IF(C22&lt;=INDEX(Compose_Aval!$A$15:$A$133,1),INDEX(Compose_Aval!$J$15:$J$133,1),IF(C22&gt;=INDEX(Compose_Aval!$A$15:$A$133,ROWS(Compose_Aval!$A$15:$A$133)),INDEX(Compose_Aval!$J$15:$J$133,ROWS(Compose_Aval!$J$15:$J$133)),INDEX(Compose_Aval!$J$15:$J$133,MATCH(C22,Compose_Aval!$A$15:$A$133,1))+(C22-INDEX(Compose_Aval!$A$15:$A$133,MATCH(C22,Compose_Aval!$A$15:$A$133,1)))/(INDEX(Compose_Aval!$A$15:$A$133,MATCH(C22,Compose_Aval!$A$15:$A$133,1)+1)-INDEX(Compose_Aval!$A$15:$A$133,MATCH(C22,Compose_Aval!$A$15:$A$133,1)))*(INDEX(Compose_Aval!$J$15:$J$133,MATCH(C22,Compose_Aval!$A$15:$A$133,1)+1)-INDEX(Compose_Aval!$J$15:$J$133,MATCH(C22,Compose_Aval!$A$15:$A$133,1))))))</f>
        <v/>
      </c>
      <c r="E22" s="29">
        <f>(A22-A21)*60</f>
        <v/>
      </c>
      <c r="F22" s="36">
        <f>MAX(0,F21+(0.5*(B21+B22)-D22)*E22)</f>
        <v/>
      </c>
      <c r="G22" s="4">
        <f>IF(C22&gt;$B$6,"oui","non")</f>
        <v/>
      </c>
      <c r="H22" s="27">
        <f>IF(OR(Parametres!$C$88&lt;=0,C22&gt;$B$6),"",D22/Parametres!$C$88)</f>
        <v/>
      </c>
    </row>
    <row r="23">
      <c r="A23" s="4">
        <f>Calcul_C!A23</f>
        <v/>
      </c>
      <c r="B23" s="5">
        <f>Calcul_C!D23</f>
        <v/>
      </c>
      <c r="C23" s="5">
        <f>IF(F22&lt;=INDEX(Compose_Aval!$G$15:$G$133,1),INDEX(Compose_Aval!$A$15:$A$133,1),IF(F22&gt;=INDEX(Compose_Aval!$G$15:$G$133,ROWS(Compose_Aval!$G$15:$G$133)),INDEX(Compose_Aval!$A$15:$A$133,ROWS(Compose_Aval!$A$15:$A$133)),INDEX(Compose_Aval!$A$15:$A$133,MATCH(F22,Compose_Aval!$G$15:$G$133,1))+(F22-INDEX(Compose_Aval!$G$15:$G$133,MATCH(F22,Compose_Aval!$G$15:$G$133,1)))/(INDEX(Compose_Aval!$G$15:$G$133,MATCH(F22,Compose_Aval!$G$15:$G$133,1)+1)-INDEX(Compose_Aval!$G$15:$G$133,MATCH(F22,Compose_Aval!$G$15:$G$133,1)))*(INDEX(Compose_Aval!$A$15:$A$133,MATCH(F22,Compose_Aval!$G$15:$G$133,1)+1)-INDEX(Compose_Aval!$A$15:$A$133,MATCH(F22,Compose_Aval!$G$15:$G$133,1)))))</f>
        <v/>
      </c>
      <c r="D23" s="5">
        <f>IF(F22&lt;=0.01,MIN(0.5*(B22+B23),$B$5),IF(C23&lt;=INDEX(Compose_Aval!$A$15:$A$133,1),INDEX(Compose_Aval!$J$15:$J$133,1),IF(C23&gt;=INDEX(Compose_Aval!$A$15:$A$133,ROWS(Compose_Aval!$A$15:$A$133)),INDEX(Compose_Aval!$J$15:$J$133,ROWS(Compose_Aval!$J$15:$J$133)),INDEX(Compose_Aval!$J$15:$J$133,MATCH(C23,Compose_Aval!$A$15:$A$133,1))+(C23-INDEX(Compose_Aval!$A$15:$A$133,MATCH(C23,Compose_Aval!$A$15:$A$133,1)))/(INDEX(Compose_Aval!$A$15:$A$133,MATCH(C23,Compose_Aval!$A$15:$A$133,1)+1)-INDEX(Compose_Aval!$A$15:$A$133,MATCH(C23,Compose_Aval!$A$15:$A$133,1)))*(INDEX(Compose_Aval!$J$15:$J$133,MATCH(C23,Compose_Aval!$A$15:$A$133,1)+1)-INDEX(Compose_Aval!$J$15:$J$133,MATCH(C23,Compose_Aval!$A$15:$A$133,1))))))</f>
        <v/>
      </c>
      <c r="E23" s="29">
        <f>(A23-A22)*60</f>
        <v/>
      </c>
      <c r="F23" s="36">
        <f>MAX(0,F22+(0.5*(B22+B23)-D23)*E23)</f>
        <v/>
      </c>
      <c r="G23" s="4">
        <f>IF(C23&gt;$B$6,"oui","non")</f>
        <v/>
      </c>
      <c r="H23" s="27">
        <f>IF(OR(Parametres!$C$88&lt;=0,C23&gt;$B$6),"",D23/Parametres!$C$88)</f>
        <v/>
      </c>
    </row>
    <row r="24">
      <c r="A24" s="4">
        <f>Calcul_C!A24</f>
        <v/>
      </c>
      <c r="B24" s="5">
        <f>Calcul_C!D24</f>
        <v/>
      </c>
      <c r="C24" s="5">
        <f>IF(F23&lt;=INDEX(Compose_Aval!$G$15:$G$133,1),INDEX(Compose_Aval!$A$15:$A$133,1),IF(F23&gt;=INDEX(Compose_Aval!$G$15:$G$133,ROWS(Compose_Aval!$G$15:$G$133)),INDEX(Compose_Aval!$A$15:$A$133,ROWS(Compose_Aval!$A$15:$A$133)),INDEX(Compose_Aval!$A$15:$A$133,MATCH(F23,Compose_Aval!$G$15:$G$133,1))+(F23-INDEX(Compose_Aval!$G$15:$G$133,MATCH(F23,Compose_Aval!$G$15:$G$133,1)))/(INDEX(Compose_Aval!$G$15:$G$133,MATCH(F23,Compose_Aval!$G$15:$G$133,1)+1)-INDEX(Compose_Aval!$G$15:$G$133,MATCH(F23,Compose_Aval!$G$15:$G$133,1)))*(INDEX(Compose_Aval!$A$15:$A$133,MATCH(F23,Compose_Aval!$G$15:$G$133,1)+1)-INDEX(Compose_Aval!$A$15:$A$133,MATCH(F23,Compose_Aval!$G$15:$G$133,1)))))</f>
        <v/>
      </c>
      <c r="D24" s="5">
        <f>IF(F23&lt;=0.01,MIN(0.5*(B23+B24),$B$5),IF(C24&lt;=INDEX(Compose_Aval!$A$15:$A$133,1),INDEX(Compose_Aval!$J$15:$J$133,1),IF(C24&gt;=INDEX(Compose_Aval!$A$15:$A$133,ROWS(Compose_Aval!$A$15:$A$133)),INDEX(Compose_Aval!$J$15:$J$133,ROWS(Compose_Aval!$J$15:$J$133)),INDEX(Compose_Aval!$J$15:$J$133,MATCH(C24,Compose_Aval!$A$15:$A$133,1))+(C24-INDEX(Compose_Aval!$A$15:$A$133,MATCH(C24,Compose_Aval!$A$15:$A$133,1)))/(INDEX(Compose_Aval!$A$15:$A$133,MATCH(C24,Compose_Aval!$A$15:$A$133,1)+1)-INDEX(Compose_Aval!$A$15:$A$133,MATCH(C24,Compose_Aval!$A$15:$A$133,1)))*(INDEX(Compose_Aval!$J$15:$J$133,MATCH(C24,Compose_Aval!$A$15:$A$133,1)+1)-INDEX(Compose_Aval!$J$15:$J$133,MATCH(C24,Compose_Aval!$A$15:$A$133,1))))))</f>
        <v/>
      </c>
      <c r="E24" s="29">
        <f>(A24-A23)*60</f>
        <v/>
      </c>
      <c r="F24" s="36">
        <f>MAX(0,F23+(0.5*(B23+B24)-D24)*E24)</f>
        <v/>
      </c>
      <c r="G24" s="4">
        <f>IF(C24&gt;$B$6,"oui","non")</f>
        <v/>
      </c>
      <c r="H24" s="27">
        <f>IF(OR(Parametres!$C$88&lt;=0,C24&gt;$B$6),"",D24/Parametres!$C$88)</f>
        <v/>
      </c>
    </row>
  </sheetData>
  <mergeCells count="1">
    <mergeCell ref="A2:H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8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deux zones) :</t>
        </is>
      </c>
    </row>
    <row r="4">
      <c r="A4" t="inlineStr">
        <is>
          <t xml:space="preserve">  engineering/drainage-design/retention_volume/Volume_Retention_Deux_Zones_1500_900_1200.xlsx</t>
        </is>
      </c>
    </row>
    <row r="5">
      <c r="A5" t="inlineStr"/>
    </row>
    <row r="6">
      <c r="A6" t="inlineStr">
        <is>
          <t>Courbes: Courbe_QH_900 (Zone 1) et Courbe_QH_1200 (Zone 2).</t>
        </is>
      </c>
    </row>
    <row r="7">
      <c r="A7" t="inlineStr">
        <is>
          <t>Compose: Compose_900 (Zone 1) et Compose_Aval (Zone 2).</t>
        </is>
      </c>
    </row>
    <row r="8">
      <c r="A8" t="inlineStr"/>
    </row>
    <row r="9">
      <c r="A9" t="inlineStr">
        <is>
          <t>Fichier frère sans Ø900: Volume_Retention_Sans_900.xlsx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Méthode — volume de rétention (deux zones)</t>
        </is>
      </c>
    </row>
    <row r="2">
      <c r="A2" t="inlineStr"/>
    </row>
    <row r="3">
      <c r="A3" t="inlineStr">
        <is>
          <t>ZONE 1 (Ø1500 → Ø900) — contrôle de rétention</t>
        </is>
      </c>
    </row>
    <row r="4">
      <c r="A4" t="inlineStr">
        <is>
          <t xml:space="preserve">  A) Q_plein Manning TOG n=0.022 → Calcul_A</t>
        </is>
      </c>
    </row>
    <row r="5">
      <c r="A5" t="inlineStr">
        <is>
          <t xml:space="preserve">  B) Courbe_QH_900 + aire B24 (approx) → Calcul_B — préférer C pour WSE</t>
        </is>
      </c>
    </row>
    <row r="6">
      <c r="A6" t="inlineStr">
        <is>
          <t xml:space="preserve">  C) Compose_900 + Calcul_C (levé SS_Amont ± fossé) — design</t>
        </is>
      </c>
    </row>
    <row r="7">
      <c r="A7" t="inlineStr"/>
    </row>
    <row r="8">
      <c r="A8" t="inlineStr">
        <is>
          <t>ZONE 2 (Ø900 → Ø1200)</t>
        </is>
      </c>
    </row>
    <row r="9">
      <c r="A9" t="inlineStr">
        <is>
          <t xml:space="preserve">  Aval_A) Qin=Calcul_A; Qout=Q_plein Ø1200 → Calcul_Aval_A</t>
        </is>
      </c>
    </row>
    <row r="10">
      <c r="A10" t="inlineStr">
        <is>
          <t xml:space="preserve">  Aval_B) Qin=Calcul_B; Qout=f(HW) Courbe_QH_1200; WSE via SS_Aval (pas B24)</t>
        </is>
      </c>
    </row>
    <row r="11">
      <c r="A11" t="inlineStr">
        <is>
          <t xml:space="preserve">  Aval_C) Qin=Calcul_C; Qout=Q_1200+Q_overflow; Compose_Aval + Calcul_Aval_C</t>
        </is>
      </c>
    </row>
    <row r="12">
      <c r="A12" t="inlineStr"/>
    </row>
    <row r="13">
      <c r="A13" t="inlineStr">
        <is>
          <t>Chaîner la même lettre: Aval_X lit la sortie de Calcul_X Zone 1.</t>
        </is>
      </c>
    </row>
    <row r="14">
      <c r="A14" t="inlineStr">
        <is>
          <t>Fond SS_Aval = 34.88 par défaut; radier Ø1200 amont = 33.60 — confirmer sur levé avant de changer.</t>
        </is>
      </c>
    </row>
    <row r="15">
      <c r="A15" t="inlineStr">
        <is>
          <t>Résultats Zone 2: Parametres B56–B61. Crest Zone 2: B62.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2026-10-20T06:17:15Z</dcterms:created>
  <dcterms:modified xsi:type="dcterms:W3CDTF">2026-10-20T06:17:15Z</dcterms:modified>
</cp:coreProperties>
</file>