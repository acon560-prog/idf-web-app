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S_Amont" sheetId="8" state="visible" r:id="rId8"/>
    <sheet name="SS_Aval" sheetId="9" state="visible" r:id="rId9"/>
    <sheet name="Stage_Storage" sheetId="10" state="visible" r:id="rId10"/>
    <sheet name="Calcul_Aval_A" sheetId="11" state="visible" r:id="rId11"/>
    <sheet name="Fichiers_lies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BEAFE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5" borderId="0" pivotButton="0" quotePrefix="0" xfId="0"/>
    <xf numFmtId="164" fontId="0" fillId="5" borderId="0" pivotButton="0" quotePrefix="0" xfId="0"/>
    <xf numFmtId="164" fontId="0" fillId="6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6" borderId="0" pivotButton="0" quotePrefix="0" xfId="0"/>
    <xf numFmtId="2" fontId="0" fillId="5" borderId="0" pivotButton="0" quotePrefix="0" xfId="0"/>
    <xf numFmtId="2" fontId="0" fillId="6" borderId="0" pivotButton="0" quotePrefix="0" xfId="0"/>
    <xf numFmtId="1" fontId="0" fillId="5" borderId="0" pivotButton="0" quotePrefix="0" xfId="0"/>
    <xf numFmtId="0" fontId="4" fillId="0" borderId="0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5" borderId="1" pivotButton="0" quotePrefix="0" xfId="0"/>
    <xf numFmtId="164" fontId="0" fillId="6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6" borderId="0" pivotButton="0" quotePrefix="0" xfId="0"/>
    <xf numFmtId="2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5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166" fontId="0" fillId="3" borderId="1" pivotButton="0" quotePrefix="0" xfId="0"/>
    <xf numFmtId="0" fontId="0" fillId="6" borderId="0" pivotButton="0" quotePrefix="0" xfId="0"/>
    <xf numFmtId="166" fontId="0" fillId="5" borderId="0" pivotButton="0" quotePrefix="0" xfId="0"/>
    <xf numFmtId="1" fontId="0" fillId="0" borderId="1" pivotButton="0" quotePrefix="0" xfId="0"/>
    <xf numFmtId="1" fontId="0" fillId="5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1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'SS_Amont'!E10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'SS_Amont'!$A$11:$A$18</f>
            </numRef>
          </cat>
          <val>
            <numRef>
              <f>'SS_Amont'!$E$11:$E$18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2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'SS_Aval'!E10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'SS_Aval'!$A$11:$A$18</f>
            </numRef>
          </cat>
          <val>
            <numRef>
              <f>'SS_Aval'!$E$11:$E$18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DEUX ZONES (Ø1500→Ø900 + Ø900→Ø1200)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Levé Zone 1 = feuille SS_Amont; Zone 2 = SS_Aval.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Longueur pour V_ditch = A × L et Manning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 t="inlineStr">
        <is>
          <t>V_pond(levé) + V_ditch</t>
        </is>
      </c>
      <c r="C34" t="inlineStr">
        <is>
          <t>Volume = bassin (levé) + fossé — Compose_900 + Calcul_C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Zone 1 (m) — SS_Amont</t>
        </is>
      </c>
      <c r="B39" s="22">
        <f>IF(B36&lt;=SS_Amont!E11,SS_Amont!A11,IF(B36&gt;=SS_Amont!E18,"Hors table (&gt;=40.0 m — étendre levé)",INDEX(SS_Amont!$A$11:$A$18,MATCH(B36,SS_Amont!$E$11:$E$18,1))+(B36-INDEX(SS_Amont!$E$11:$E$18,MATCH(B36,SS_Amont!$E$11:$E$18,1)))/(INDEX(SS_Amont!$E$11:$E$18,MATCH(B36,SS_Amont!$E$11:$E$18,1)+1)-INDEX(SS_Amont!$E$11:$E$18,MATCH(B36,SS_Amont!$E$11:$E$18,1)))*(INDEX(SS_Amont!$A$11:$A$18,MATCH(B36,SS_Amont!$E$11:$E$18,1)+1)-INDEX(SS_Amont!$A$11:$A$18,MATCH(B36,SS_Amont!$E$11:$E$18,1)))))</f>
        <v/>
      </c>
      <c r="C39" t="inlineStr">
        <is>
          <t>Cote d'eau max pour Vmax_A: lecture sur SS_Amont (Ø1500→Ø900), pas Zone 2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Zone 1 (m) — SS_Amont</t>
        </is>
      </c>
      <c r="B45" s="22">
        <f>IF(B43&lt;=SS_Amont!E11,SS_Amont!A11,IF(B43&gt;=SS_Amont!E18,"Hors table (&gt;=40.0 m — étendre levé)",INDEX(SS_Amont!$A$11:$A$18,MATCH(B43,SS_Amont!$E$11:$E$18,1))+(B43-INDEX(SS_Amont!$E$11:$E$18,MATCH(B43,SS_Amont!$E$11:$E$18,1)))/(INDEX(SS_Amont!$E$11:$E$18,MATCH(B43,SS_Amont!$E$11:$E$18,1)+1)-INDEX(SS_Amont!$E$11:$E$18,MATCH(B43,SS_Amont!$E$11:$E$18,1)))*(INDEX(SS_Amont!$A$11:$A$18,MATCH(B43,SS_Amont!$E$11:$E$18,1)+1)-INDEX(SS_Amont!$A$11:$A$18,MATCH(B43,SS_Amont!$E$11:$E$18,1)))))</f>
        <v/>
      </c>
      <c r="C45" t="inlineStr">
        <is>
          <t>Même lecture volume→cote que B39 (SS_Amont),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max(V_pond + V_ditch)</t>
        </is>
      </c>
      <c r="B49" s="20">
        <f>Calcul_C!B7</f>
        <v/>
      </c>
      <c r="C49" t="inlineStr">
        <is>
          <t>Stockage total routé (levé + fossé)</t>
        </is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Résultats Zone 2 — Ø900 → Ø1200 (SS_Aval + Calcul_Aval_A)</t>
        </is>
      </c>
    </row>
    <row r="55">
      <c r="A55" t="inlineStr">
        <is>
          <t>V @ 37.28 m Zone 2 (m³) — SS_Aval</t>
        </is>
      </c>
      <c r="B55" s="23">
        <f>SS_Aval!B21</f>
        <v/>
      </c>
      <c r="C55" t="inlineStr">
        <is>
          <t>Volume levé Zone 2 à la cote patron</t>
        </is>
      </c>
    </row>
    <row r="56">
      <c r="A56" t="inlineStr">
        <is>
          <t>Vmax_Aval_A (m³)</t>
        </is>
      </c>
      <c r="B56" s="20">
        <f>Calcul_Aval_A!B6</f>
        <v/>
      </c>
      <c r="C56" t="inlineStr">
        <is>
          <t>Routage Aval: Qin≈Qcap Ø900; Qout=Q_plein Ø1200</t>
        </is>
      </c>
    </row>
    <row r="57">
      <c r="A57" t="inlineStr">
        <is>
          <t>WSEmax_Aval_A (m) — SS_Aval</t>
        </is>
      </c>
      <c r="B57" s="22">
        <f>Calcul_Aval_A!B7</f>
        <v/>
      </c>
      <c r="C57" t="inlineStr">
        <is>
          <t>Lecture volume→cote sur levé Zone 2</t>
        </is>
      </c>
    </row>
    <row r="59">
      <c r="A59" s="2" t="inlineStr">
        <is>
          <t>Comment lire WSEmax (zones + méthodes)</t>
        </is>
      </c>
    </row>
    <row r="60">
      <c r="A60" t="inlineStr">
        <is>
          <t>1) Zone 1 (Ø1500→Ø900): A/B → Vmax puis WSEmax sur SS_Amont. Zone 2: SS_Aval + Calcul_Aval_A (B55–B57).</t>
        </is>
      </c>
    </row>
    <row r="61">
      <c r="A61" t="inlineStr">
        <is>
          <t>2) C (Zone 1): Qout = Q_900(WSE)+Q_overflow; V = V_pond(SS_Amont)+V_ditch; WSEmax_C = Calcul_C.</t>
        </is>
      </c>
    </row>
    <row r="62">
      <c r="A62" t="inlineStr">
        <is>
          <t>3) Crest = crown = 35.78 m → au-dessus, le fossé trapèze ajoute débit et volume (Zone 1).</t>
        </is>
      </c>
    </row>
    <row r="63">
      <c r="A63" t="inlineStr">
        <is>
          <t>4) Ne pas additionner Zone 1+2 dans un seul routage. Éditer WSE/Surface jaunes dans SS_Amont et SS_Aval.</t>
        </is>
      </c>
    </row>
    <row r="65">
      <c r="A65" s="2" t="inlineStr">
        <is>
          <t>Inlet control vs outlet control — qu'est-ce que ça veut dire?</t>
        </is>
      </c>
    </row>
    <row r="66">
      <c r="A66" t="inlineStr">
        <is>
          <t>• Inlet control (contrôle à l'entrée): le débit est limité par l'entrée du ponceau (forme d'entrée, HW/D).</t>
        </is>
      </c>
    </row>
    <row r="67">
      <c r="A67" t="inlineStr">
        <is>
          <t xml:space="preserve">  Le tuyau aval « n'aspire » pas assez pour influencer — Q dépend surtout de la charge amont H, pas de L ni de n.</t>
        </is>
      </c>
    </row>
    <row r="68">
      <c r="A68" t="inlineStr">
        <is>
          <t>• Outlet control (contrôle à la sortie / frottement): le débit dépend de la longueur, de n, de la pente et de la charge</t>
        </is>
      </c>
    </row>
    <row r="69">
      <c r="A69" t="inlineStr">
        <is>
          <t xml:space="preserve">  (énergie amont → aval). Manning pleine section est une hypothèse de type outlet/frottement à section pleine.</t>
        </is>
      </c>
    </row>
    <row r="70">
      <c r="A70" t="inlineStr">
        <is>
          <t>• Ici L/D = 56 (tuyau assez long) → le contrôle par frottement (outlet) est souvent plausible,</t>
        </is>
      </c>
    </row>
    <row r="71">
      <c r="A71" t="inlineStr">
        <is>
          <t xml:space="preserve">  mais sans analyse FHWA/HY-8 on ne peut pas l'affirmer. Pour dimensionner la rétention, Q_plein constant est</t>
        </is>
      </c>
    </row>
    <row r="72">
      <c r="A72" t="inlineStr">
        <is>
          <t xml:space="preserve">  en général prudent (si la charge monte, le débit réel peut être un peu plus élevé → Vmax un peu plus bas).</t>
        </is>
      </c>
    </row>
    <row r="73">
      <c r="A73" t="inlineStr">
        <is>
          <t>• On n'a pas besoin de trancher IC/OC pour utiliser ce classeur: garder Qout = Q_plein (ou 1.77) suffit pour une 1re estimation.</t>
        </is>
      </c>
    </row>
    <row r="75">
      <c r="A75" s="2" t="inlineStr">
        <is>
          <t>Notes</t>
        </is>
      </c>
    </row>
    <row r="76">
      <c r="A76" t="inlineStr">
        <is>
          <t>• Méthode A: Qout fixe = Q_plein Manning Ø900 (n=0,013).</t>
        </is>
      </c>
    </row>
    <row r="77">
      <c r="A77" t="inlineStr">
        <is>
          <t>• Méthode B: Qout = f(H) pipe seul (Courbe_QH_900) — résultats B43–B46.</t>
        </is>
      </c>
    </row>
    <row r="78">
      <c r="A78" t="inlineStr">
        <is>
          <t>• Méthode C: Qout = Q_900 + Q_overflow; V = V_pond + V_ditch — Compose_900 + Calcul_C (B49–B52).</t>
        </is>
      </c>
    </row>
    <row r="79">
      <c r="A79" t="inlineStr">
        <is>
          <t>• Zone 2: SS_Aval + Calcul_Aval_A — résultats B55–B57.</t>
        </is>
      </c>
    </row>
    <row r="80">
      <c r="A80" t="inlineStr">
        <is>
          <t>• SS_Amont / SS_Aval: WSE et Surface en jaune — corriger depuis AutoCAD; ΔWSE et V_pas se recalculent.</t>
        </is>
      </c>
    </row>
    <row r="81">
      <c r="A81" t="inlineStr">
        <is>
          <t>• Vérifier que le radier amont Ø900 (34.88) est bien le fond de Zone 1.</t>
        </is>
      </c>
    </row>
  </sheetData>
  <mergeCells count="20">
    <mergeCell ref="A67:H67"/>
    <mergeCell ref="A77:H77"/>
    <mergeCell ref="A73:H73"/>
    <mergeCell ref="A60:H60"/>
    <mergeCell ref="A79:H79"/>
    <mergeCell ref="A61:H61"/>
    <mergeCell ref="A70:H70"/>
    <mergeCell ref="A78:H78"/>
    <mergeCell ref="A69:H69"/>
    <mergeCell ref="A66:H66"/>
    <mergeCell ref="A80:H80"/>
    <mergeCell ref="A9:H10"/>
    <mergeCell ref="A71:H71"/>
    <mergeCell ref="A76:H76"/>
    <mergeCell ref="A62:H62"/>
    <mergeCell ref="A81:H81"/>
    <mergeCell ref="A1:F1"/>
    <mergeCell ref="A63:H63"/>
    <mergeCell ref="A72:H72"/>
    <mergeCell ref="A68:H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4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5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6" t="n">
        <v>0</v>
      </c>
      <c r="B8" s="27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6" t="n">
        <v>5</v>
      </c>
      <c r="B9" s="27" t="n">
        <v>0.121875</v>
      </c>
      <c r="C9" s="5">
        <f>B9*$B$4</f>
        <v/>
      </c>
      <c r="D9" s="4" t="inlineStr"/>
    </row>
    <row r="10">
      <c r="A10" s="26" t="n">
        <v>10</v>
      </c>
      <c r="B10" s="27" t="n">
        <v>0.193438</v>
      </c>
      <c r="C10" s="5">
        <f>B10*$B$4</f>
        <v/>
      </c>
      <c r="D10" s="4" t="inlineStr"/>
    </row>
    <row r="11">
      <c r="A11" s="26" t="n">
        <v>15</v>
      </c>
      <c r="B11" s="27" t="n">
        <v>0.333542</v>
      </c>
      <c r="C11" s="5">
        <f>B11*$B$4</f>
        <v/>
      </c>
      <c r="D11" s="4" t="inlineStr"/>
    </row>
    <row r="12">
      <c r="A12" s="26" t="n">
        <v>20</v>
      </c>
      <c r="B12" s="27" t="n">
        <v>0.657188</v>
      </c>
      <c r="C12" s="5">
        <f>B12*$B$4</f>
        <v/>
      </c>
      <c r="D12" s="4" t="inlineStr"/>
    </row>
    <row r="13">
      <c r="A13" s="26" t="n">
        <v>22.5</v>
      </c>
      <c r="B13" s="27" t="n">
        <v>1</v>
      </c>
      <c r="C13" s="8">
        <f>B13*$B$4</f>
        <v/>
      </c>
      <c r="D13" s="4" t="inlineStr">
        <is>
          <t>Pointe (ratio = 1)</t>
        </is>
      </c>
    </row>
    <row r="14">
      <c r="A14" s="26" t="n">
        <v>27.5</v>
      </c>
      <c r="B14" s="27" t="n">
        <v>0.608958</v>
      </c>
      <c r="C14" s="5">
        <f>B14*$B$4</f>
        <v/>
      </c>
      <c r="D14" s="4" t="inlineStr"/>
    </row>
    <row r="15">
      <c r="A15" s="26" t="n">
        <v>32.5</v>
      </c>
      <c r="B15" s="27" t="n">
        <v>0.401771</v>
      </c>
      <c r="C15" s="5">
        <f>B15*$B$4</f>
        <v/>
      </c>
      <c r="D15" s="4" t="inlineStr"/>
    </row>
    <row r="16">
      <c r="A16" s="26" t="n">
        <v>37.5</v>
      </c>
      <c r="B16" s="27" t="n">
        <v>0.280104</v>
      </c>
      <c r="C16" s="5">
        <f>B16*$B$4</f>
        <v/>
      </c>
      <c r="D16" s="4" t="inlineStr"/>
    </row>
    <row r="17">
      <c r="A17" s="26" t="n">
        <v>42.5</v>
      </c>
      <c r="B17" s="27" t="n">
        <v>0.203438</v>
      </c>
      <c r="C17" s="5">
        <f>B17*$B$4</f>
        <v/>
      </c>
      <c r="D17" s="4" t="inlineStr"/>
    </row>
    <row r="18">
      <c r="A18" s="26" t="n">
        <v>47.5</v>
      </c>
      <c r="B18" s="27" t="n">
        <v>0.152292</v>
      </c>
      <c r="C18" s="5">
        <f>B18*$B$4</f>
        <v/>
      </c>
      <c r="D18" s="4" t="inlineStr"/>
    </row>
    <row r="19">
      <c r="A19" s="26" t="n">
        <v>52.5</v>
      </c>
      <c r="B19" s="27" t="n">
        <v>0.116771</v>
      </c>
      <c r="C19" s="5">
        <f>B19*$B$4</f>
        <v/>
      </c>
      <c r="D19" s="4" t="inlineStr"/>
    </row>
    <row r="20">
      <c r="A20" s="26" t="n">
        <v>57.5</v>
      </c>
      <c r="B20" s="27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28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29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4" t="inlineStr">
        <is>
          <t>Méthode A — Qout constant = capacité Ø900</t>
        </is>
      </c>
    </row>
    <row r="2">
      <c r="A2" t="inlineStr">
        <is>
          <t>Qout (m³/s)</t>
        </is>
      </c>
      <c r="B2" s="30">
        <f>Parametres!B22</f>
        <v/>
      </c>
    </row>
    <row r="3">
      <c r="A3" t="inlineStr">
        <is>
          <t>Vmax (m³)</t>
        </is>
      </c>
      <c r="B3" s="31">
        <f>MAX(H8:H20)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6">
        <f>Hydrogramme!A8</f>
        <v/>
      </c>
      <c r="B8" s="5">
        <f>Hydrogramme!C8</f>
        <v/>
      </c>
      <c r="C8" s="32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3" t="n">
        <v>0</v>
      </c>
      <c r="I8" s="4">
        <f>IF(H8&gt;0.5,"oui","non")</f>
        <v/>
      </c>
    </row>
    <row r="9">
      <c r="A9" s="26">
        <f>Hydrogramme!A9</f>
        <v/>
      </c>
      <c r="B9" s="5">
        <f>Hydrogramme!C9</f>
        <v/>
      </c>
      <c r="C9" s="32">
        <f>$B$2</f>
        <v/>
      </c>
      <c r="D9" s="5">
        <f>B9-C9</f>
        <v/>
      </c>
      <c r="E9" s="26">
        <f>(A9-A8)*60</f>
        <v/>
      </c>
      <c r="F9" s="26">
        <f>0.5*(B8+B9)*E9</f>
        <v/>
      </c>
      <c r="G9" s="26">
        <f>F9-(H9-H8)</f>
        <v/>
      </c>
      <c r="H9" s="34">
        <f>MAX(0,H8+0.5*(D8+D9)*E9)</f>
        <v/>
      </c>
      <c r="I9" s="4">
        <f>IF(H9&gt;0.5,"oui","non")</f>
        <v/>
      </c>
    </row>
    <row r="10">
      <c r="A10" s="26">
        <f>Hydrogramme!A10</f>
        <v/>
      </c>
      <c r="B10" s="5">
        <f>Hydrogramme!C10</f>
        <v/>
      </c>
      <c r="C10" s="32">
        <f>$B$2</f>
        <v/>
      </c>
      <c r="D10" s="5">
        <f>B10-C10</f>
        <v/>
      </c>
      <c r="E10" s="26">
        <f>(A10-A9)*60</f>
        <v/>
      </c>
      <c r="F10" s="26">
        <f>0.5*(B9+B10)*E10</f>
        <v/>
      </c>
      <c r="G10" s="26">
        <f>F10-(H10-H9)</f>
        <v/>
      </c>
      <c r="H10" s="34">
        <f>MAX(0,H9+0.5*(D9+D10)*E10)</f>
        <v/>
      </c>
      <c r="I10" s="4">
        <f>IF(H10&gt;0.5,"oui","non")</f>
        <v/>
      </c>
    </row>
    <row r="11">
      <c r="A11" s="26">
        <f>Hydrogramme!A11</f>
        <v/>
      </c>
      <c r="B11" s="5">
        <f>Hydrogramme!C11</f>
        <v/>
      </c>
      <c r="C11" s="32">
        <f>$B$2</f>
        <v/>
      </c>
      <c r="D11" s="5">
        <f>B11-C11</f>
        <v/>
      </c>
      <c r="E11" s="26">
        <f>(A11-A10)*60</f>
        <v/>
      </c>
      <c r="F11" s="26">
        <f>0.5*(B10+B11)*E11</f>
        <v/>
      </c>
      <c r="G11" s="26">
        <f>F11-(H11-H10)</f>
        <v/>
      </c>
      <c r="H11" s="34">
        <f>MAX(0,H10+0.5*(D10+D11)*E11)</f>
        <v/>
      </c>
      <c r="I11" s="4">
        <f>IF(H11&gt;0.5,"oui","non")</f>
        <v/>
      </c>
    </row>
    <row r="12">
      <c r="A12" s="26">
        <f>Hydrogramme!A12</f>
        <v/>
      </c>
      <c r="B12" s="5">
        <f>Hydrogramme!C12</f>
        <v/>
      </c>
      <c r="C12" s="32">
        <f>$B$2</f>
        <v/>
      </c>
      <c r="D12" s="5">
        <f>B12-C12</f>
        <v/>
      </c>
      <c r="E12" s="26">
        <f>(A12-A11)*60</f>
        <v/>
      </c>
      <c r="F12" s="26">
        <f>0.5*(B11+B12)*E12</f>
        <v/>
      </c>
      <c r="G12" s="26">
        <f>F12-(H12-H11)</f>
        <v/>
      </c>
      <c r="H12" s="34">
        <f>MAX(0,H11+0.5*(D11+D12)*E12)</f>
        <v/>
      </c>
      <c r="I12" s="4">
        <f>IF(H12&gt;0.5,"oui","non")</f>
        <v/>
      </c>
    </row>
    <row r="13">
      <c r="A13" s="26">
        <f>Hydrogramme!A13</f>
        <v/>
      </c>
      <c r="B13" s="5">
        <f>Hydrogramme!C13</f>
        <v/>
      </c>
      <c r="C13" s="32">
        <f>$B$2</f>
        <v/>
      </c>
      <c r="D13" s="5">
        <f>B13-C13</f>
        <v/>
      </c>
      <c r="E13" s="26">
        <f>(A13-A12)*60</f>
        <v/>
      </c>
      <c r="F13" s="26">
        <f>0.5*(B12+B13)*E13</f>
        <v/>
      </c>
      <c r="G13" s="26">
        <f>F13-(H13-H12)</f>
        <v/>
      </c>
      <c r="H13" s="34">
        <f>MAX(0,H12+0.5*(D12+D13)*E13)</f>
        <v/>
      </c>
      <c r="I13" s="4">
        <f>IF(H13&gt;0.5,"oui","non")</f>
        <v/>
      </c>
    </row>
    <row r="14">
      <c r="A14" s="26">
        <f>Hydrogramme!A14</f>
        <v/>
      </c>
      <c r="B14" s="5">
        <f>Hydrogramme!C14</f>
        <v/>
      </c>
      <c r="C14" s="32">
        <f>$B$2</f>
        <v/>
      </c>
      <c r="D14" s="5">
        <f>B14-C14</f>
        <v/>
      </c>
      <c r="E14" s="26">
        <f>(A14-A13)*60</f>
        <v/>
      </c>
      <c r="F14" s="26">
        <f>0.5*(B13+B14)*E14</f>
        <v/>
      </c>
      <c r="G14" s="26">
        <f>F14-(H14-H13)</f>
        <v/>
      </c>
      <c r="H14" s="34">
        <f>MAX(0,H13+0.5*(D13+D14)*E14)</f>
        <v/>
      </c>
      <c r="I14" s="4">
        <f>IF(H14&gt;0.5,"oui","non")</f>
        <v/>
      </c>
    </row>
    <row r="15">
      <c r="A15" s="26">
        <f>Hydrogramme!A15</f>
        <v/>
      </c>
      <c r="B15" s="5">
        <f>Hydrogramme!C15</f>
        <v/>
      </c>
      <c r="C15" s="32">
        <f>$B$2</f>
        <v/>
      </c>
      <c r="D15" s="5">
        <f>B15-C15</f>
        <v/>
      </c>
      <c r="E15" s="26">
        <f>(A15-A14)*60</f>
        <v/>
      </c>
      <c r="F15" s="26">
        <f>0.5*(B14+B15)*E15</f>
        <v/>
      </c>
      <c r="G15" s="26">
        <f>F15-(H15-H14)</f>
        <v/>
      </c>
      <c r="H15" s="34">
        <f>MAX(0,H14+0.5*(D14+D15)*E15)</f>
        <v/>
      </c>
      <c r="I15" s="4">
        <f>IF(H15&gt;0.5,"oui","non")</f>
        <v/>
      </c>
    </row>
    <row r="16">
      <c r="A16" s="26">
        <f>Hydrogramme!A16</f>
        <v/>
      </c>
      <c r="B16" s="5">
        <f>Hydrogramme!C16</f>
        <v/>
      </c>
      <c r="C16" s="32">
        <f>$B$2</f>
        <v/>
      </c>
      <c r="D16" s="5">
        <f>B16-C16</f>
        <v/>
      </c>
      <c r="E16" s="26">
        <f>(A16-A15)*60</f>
        <v/>
      </c>
      <c r="F16" s="26">
        <f>0.5*(B15+B16)*E16</f>
        <v/>
      </c>
      <c r="G16" s="26">
        <f>F16-(H16-H15)</f>
        <v/>
      </c>
      <c r="H16" s="34">
        <f>MAX(0,H15+0.5*(D15+D16)*E16)</f>
        <v/>
      </c>
      <c r="I16" s="4">
        <f>IF(H16&gt;0.5,"oui","non")</f>
        <v/>
      </c>
    </row>
    <row r="17">
      <c r="A17" s="26">
        <f>Hydrogramme!A17</f>
        <v/>
      </c>
      <c r="B17" s="5">
        <f>Hydrogramme!C17</f>
        <v/>
      </c>
      <c r="C17" s="32">
        <f>$B$2</f>
        <v/>
      </c>
      <c r="D17" s="5">
        <f>B17-C17</f>
        <v/>
      </c>
      <c r="E17" s="26">
        <f>(A17-A16)*60</f>
        <v/>
      </c>
      <c r="F17" s="26">
        <f>0.5*(B16+B17)*E17</f>
        <v/>
      </c>
      <c r="G17" s="26">
        <f>F17-(H17-H16)</f>
        <v/>
      </c>
      <c r="H17" s="34">
        <f>MAX(0,H16+0.5*(D16+D17)*E17)</f>
        <v/>
      </c>
      <c r="I17" s="4">
        <f>IF(H17&gt;0.5,"oui","non")</f>
        <v/>
      </c>
    </row>
    <row r="18">
      <c r="A18" s="26">
        <f>Hydrogramme!A18</f>
        <v/>
      </c>
      <c r="B18" s="5">
        <f>Hydrogramme!C18</f>
        <v/>
      </c>
      <c r="C18" s="32">
        <f>$B$2</f>
        <v/>
      </c>
      <c r="D18" s="5">
        <f>B18-C18</f>
        <v/>
      </c>
      <c r="E18" s="26">
        <f>(A18-A17)*60</f>
        <v/>
      </c>
      <c r="F18" s="26">
        <f>0.5*(B17+B18)*E18</f>
        <v/>
      </c>
      <c r="G18" s="26">
        <f>F18-(H18-H17)</f>
        <v/>
      </c>
      <c r="H18" s="34">
        <f>MAX(0,H17+0.5*(D17+D18)*E18)</f>
        <v/>
      </c>
      <c r="I18" s="4">
        <f>IF(H18&gt;0.5,"oui","non")</f>
        <v/>
      </c>
    </row>
    <row r="19">
      <c r="A19" s="26">
        <f>Hydrogramme!A19</f>
        <v/>
      </c>
      <c r="B19" s="5">
        <f>Hydrogramme!C19</f>
        <v/>
      </c>
      <c r="C19" s="32">
        <f>$B$2</f>
        <v/>
      </c>
      <c r="D19" s="5">
        <f>B19-C19</f>
        <v/>
      </c>
      <c r="E19" s="26">
        <f>(A19-A18)*60</f>
        <v/>
      </c>
      <c r="F19" s="26">
        <f>0.5*(B18+B19)*E19</f>
        <v/>
      </c>
      <c r="G19" s="26">
        <f>F19-(H19-H18)</f>
        <v/>
      </c>
      <c r="H19" s="34">
        <f>MAX(0,H18+0.5*(D18+D19)*E19)</f>
        <v/>
      </c>
      <c r="I19" s="4">
        <f>IF(H19&gt;0.5,"oui","non")</f>
        <v/>
      </c>
    </row>
    <row r="20">
      <c r="A20" s="26">
        <f>Hydrogramme!A20</f>
        <v/>
      </c>
      <c r="B20" s="5">
        <f>Hydrogramme!C20</f>
        <v/>
      </c>
      <c r="C20" s="32">
        <f>$B$2</f>
        <v/>
      </c>
      <c r="D20" s="5">
        <f>B20-C20</f>
        <v/>
      </c>
      <c r="E20" s="26">
        <f>(A20-A19)*60</f>
        <v/>
      </c>
      <c r="F20" s="26">
        <f>0.5*(B19+B20)*E20</f>
        <v/>
      </c>
      <c r="G20" s="26">
        <f>F20-(H20-H19)</f>
        <v/>
      </c>
      <c r="H20" s="34">
        <f>MAX(0,H19+0.5*(D19+D20)*E20)</f>
        <v/>
      </c>
      <c r="I20" s="4">
        <f>IF(H20&gt;0.5,"oui","non")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4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5" t="inlineStr">
        <is>
          <t>entrée</t>
        </is>
      </c>
      <c r="F6" s="35" t="inlineStr">
        <is>
          <t>K</t>
        </is>
      </c>
      <c r="G6" s="35" t="inlineStr">
        <is>
          <t>M</t>
        </is>
      </c>
      <c r="H6" s="35" t="inlineStr">
        <is>
          <t>c</t>
        </is>
      </c>
      <c r="I6" s="35" t="inlineStr">
        <is>
          <t>Y</t>
        </is>
      </c>
      <c r="J6" s="35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6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7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28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8">
        <f>IFERROR(VLOOKUP(B13,$E$7:$J$9,2,FALSE),0.0098)</f>
        <v/>
      </c>
    </row>
    <row r="18">
      <c r="A18" t="inlineStr">
        <is>
          <t>M (lu)</t>
        </is>
      </c>
      <c r="B18" s="38">
        <f>IFERROR(VLOOKUP(B13,$E$7:$J$9,3,FALSE),2)</f>
        <v/>
      </c>
    </row>
    <row r="19">
      <c r="A19" t="inlineStr">
        <is>
          <t>c (lu)</t>
        </is>
      </c>
      <c r="B19" s="38">
        <f>IFERROR(VLOOKUP(B13,$E$7:$J$9,4,FALSE),0.0398)</f>
        <v/>
      </c>
    </row>
    <row r="20">
      <c r="A20" t="inlineStr">
        <is>
          <t>Y (lu)</t>
        </is>
      </c>
      <c r="B20" s="38">
        <f>IFERROR(VLOOKUP(B13,$E$7:$J$9,5,FALSE),0.67)</f>
        <v/>
      </c>
    </row>
    <row r="21">
      <c r="A21" t="inlineStr">
        <is>
          <t>Ke (lu)</t>
        </is>
      </c>
      <c r="B21" s="38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32" t="n">
        <v>0</v>
      </c>
      <c r="B24" s="32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32" t="n">
        <v>0.05</v>
      </c>
      <c r="B25" s="32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32" t="n">
        <v>0.1</v>
      </c>
      <c r="B26" s="32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32" t="n">
        <v>0.15</v>
      </c>
      <c r="B27" s="32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32" t="n">
        <v>0.2</v>
      </c>
      <c r="B28" s="32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32" t="n">
        <v>0.25</v>
      </c>
      <c r="B29" s="32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32" t="n">
        <v>0.3</v>
      </c>
      <c r="B30" s="32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32" t="n">
        <v>0.35</v>
      </c>
      <c r="B31" s="32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32" t="n">
        <v>0.4</v>
      </c>
      <c r="B32" s="32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32" t="n">
        <v>0.45</v>
      </c>
      <c r="B33" s="32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32" t="n">
        <v>0.5</v>
      </c>
      <c r="B34" s="32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32" t="n">
        <v>0.55</v>
      </c>
      <c r="B35" s="32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32" t="n">
        <v>0.6</v>
      </c>
      <c r="B36" s="32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32" t="n">
        <v>0.65</v>
      </c>
      <c r="B37" s="32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32" t="n">
        <v>0.7</v>
      </c>
      <c r="B38" s="32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32" t="n">
        <v>0.75</v>
      </c>
      <c r="B39" s="32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32" t="n">
        <v>0.8</v>
      </c>
      <c r="B40" s="32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32" t="n">
        <v>0.85</v>
      </c>
      <c r="B41" s="32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32" t="n">
        <v>0.9</v>
      </c>
      <c r="B42" s="32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32" t="n">
        <v>0.95</v>
      </c>
      <c r="B43" s="32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32" t="n">
        <v>1</v>
      </c>
      <c r="B44" s="32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32" t="n">
        <v>1.05</v>
      </c>
      <c r="B45" s="32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32" t="n">
        <v>1.1</v>
      </c>
      <c r="B46" s="32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32" t="n">
        <v>1.15</v>
      </c>
      <c r="B47" s="32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32" t="n">
        <v>1.2</v>
      </c>
      <c r="B48" s="32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32" t="n">
        <v>1.25</v>
      </c>
      <c r="B49" s="32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32" t="n">
        <v>1.3</v>
      </c>
      <c r="B50" s="32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32" t="n">
        <v>1.35</v>
      </c>
      <c r="B51" s="32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32" t="n">
        <v>1.4</v>
      </c>
      <c r="B52" s="32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32" t="n">
        <v>1.45</v>
      </c>
      <c r="B53" s="32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32" t="n">
        <v>1.5</v>
      </c>
      <c r="B54" s="32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32" t="n">
        <v>1.55</v>
      </c>
      <c r="B55" s="32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32" t="n">
        <v>1.6</v>
      </c>
      <c r="B56" s="32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32" t="n">
        <v>1.65</v>
      </c>
      <c r="B57" s="32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32" t="n">
        <v>1.7</v>
      </c>
      <c r="B58" s="32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32" t="n">
        <v>1.75</v>
      </c>
      <c r="B59" s="32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32" t="n">
        <v>1.8</v>
      </c>
      <c r="B60" s="32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32" t="n">
        <v>1.85</v>
      </c>
      <c r="B61" s="32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32" t="n">
        <v>1.9</v>
      </c>
      <c r="B62" s="32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32" t="n">
        <v>1.95</v>
      </c>
      <c r="B63" s="32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32" t="n">
        <v>2</v>
      </c>
      <c r="B64" s="32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32" t="n">
        <v>2.05</v>
      </c>
      <c r="B65" s="32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32" t="n">
        <v>2.1</v>
      </c>
      <c r="B66" s="32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32" t="n">
        <v>2.15</v>
      </c>
      <c r="B67" s="32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32" t="n">
        <v>2.2</v>
      </c>
      <c r="B68" s="32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32" t="n">
        <v>2.25</v>
      </c>
      <c r="B69" s="32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32" t="n">
        <v>2.3</v>
      </c>
      <c r="B70" s="32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32" t="n">
        <v>2.35</v>
      </c>
      <c r="B71" s="32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9" t="n">
        <v>2.4</v>
      </c>
      <c r="B72" s="39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32" t="n">
        <v>2.45</v>
      </c>
      <c r="B73" s="32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32" t="n">
        <v>2.5</v>
      </c>
      <c r="B74" s="32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32" t="n">
        <v>2.55</v>
      </c>
      <c r="B75" s="32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32" t="n">
        <v>2.6</v>
      </c>
      <c r="B76" s="32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32" t="n">
        <v>2.65</v>
      </c>
      <c r="B77" s="32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32" t="n">
        <v>2.7</v>
      </c>
      <c r="B78" s="32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32" t="n">
        <v>2.75</v>
      </c>
      <c r="B79" s="32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32" t="n">
        <v>2.8</v>
      </c>
      <c r="B80" s="32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32" t="n">
        <v>2.85</v>
      </c>
      <c r="B81" s="32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32" t="n">
        <v>2.9</v>
      </c>
      <c r="B82" s="32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32" t="n">
        <v>2.95</v>
      </c>
      <c r="B83" s="32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32" t="n">
        <v>3</v>
      </c>
      <c r="B84" s="32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4" t="inlineStr">
        <is>
          <t>Méthode B — routage avec Qout = f(H) depuis Courbe_QH_900 (FHWA)</t>
        </is>
      </c>
    </row>
    <row r="2">
      <c r="A2" s="40" t="inlineStr">
        <is>
          <t>H = V / Aire_constante (Parametres!B24) — raccourci, PAS le levé SS_Amont. Qout interpolé sur Courbe_QH_900!E (Q gouvernant). Si V≈0, Qout = MIN(Qin, Q_plein). ΔV = (Qin_moy - Qout)*Δt. Après routage, WSEmax_B réel est lu sur SS_Amont via Vmax_B (Parametres B45).</t>
        </is>
      </c>
    </row>
    <row r="3"/>
    <row r="5">
      <c r="A5" t="inlineStr">
        <is>
          <t>Aire (m²)</t>
        </is>
      </c>
      <c r="B5" s="41">
        <f>Parametres!B24</f>
        <v/>
      </c>
    </row>
    <row r="6">
      <c r="A6" t="inlineStr">
        <is>
          <t>Q_plein réf. (m³/s)</t>
        </is>
      </c>
      <c r="B6" s="41">
        <f>Parametres!B22</f>
        <v/>
      </c>
    </row>
    <row r="7">
      <c r="A7" t="inlineStr">
        <is>
          <t>Vmax_B (m³)</t>
        </is>
      </c>
      <c r="B7" s="31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6" t="n">
        <v>0</v>
      </c>
      <c r="G12" s="34" t="n">
        <v>0</v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6">
        <f>(A13-A12)*60</f>
        <v/>
      </c>
      <c r="G13" s="34">
        <f>MAX(0,G12+(0.5*(B12+B13)-E13)*F13)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6">
        <f>(A14-A13)*60</f>
        <v/>
      </c>
      <c r="G14" s="34">
        <f>MAX(0,G13+(0.5*(B13+B14)-E14)*F14)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6">
        <f>(A15-A14)*60</f>
        <v/>
      </c>
      <c r="G15" s="34">
        <f>MAX(0,G14+(0.5*(B14+B15)-E15)*F15)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6">
        <f>(A16-A15)*60</f>
        <v/>
      </c>
      <c r="G16" s="34">
        <f>MAX(0,G15+(0.5*(B15+B16)-E16)*F16)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6">
        <f>(A17-A16)*60</f>
        <v/>
      </c>
      <c r="G17" s="34">
        <f>MAX(0,G16+(0.5*(B16+B17)-E17)*F17)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6">
        <f>(A18-A17)*60</f>
        <v/>
      </c>
      <c r="G18" s="34">
        <f>MAX(0,G17+(0.5*(B17+B18)-E18)*F18)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6">
        <f>(A19-A18)*60</f>
        <v/>
      </c>
      <c r="G19" s="34">
        <f>MAX(0,G18+(0.5*(B18+B19)-E19)*F19)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6">
        <f>(A20-A19)*60</f>
        <v/>
      </c>
      <c r="G20" s="34">
        <f>MAX(0,G19+(0.5*(B19+B20)-E20)*F20)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6">
        <f>(A21-A20)*60</f>
        <v/>
      </c>
      <c r="G21" s="34">
        <f>MAX(0,G20+(0.5*(B20+B21)-E21)*F21)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6">
        <f>(A22-A21)*60</f>
        <v/>
      </c>
      <c r="G22" s="34">
        <f>MAX(0,G21+(0.5*(B21+B22)-E22)*F22)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6">
        <f>(A23-A22)*60</f>
        <v/>
      </c>
      <c r="G23" s="34">
        <f>MAX(0,G22+(0.5*(B22+B23)-E23)*F23)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6">
        <f>(A24-A23)*60</f>
        <v/>
      </c>
      <c r="G24" s="34">
        <f>MAX(0,G23+(0.5*(B23+B24)-E24)*F24)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</cols>
  <sheetData>
    <row r="1">
      <c r="A1" s="24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V_pond(SS_Amont) + V_ditch. Overflow: trapèze au-dessus du crown, Manning. Paramètres jaunes = Parametres!B27–B32.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</row>
    <row r="15">
      <c r="A15" s="32" t="n">
        <v>34.88</v>
      </c>
      <c r="B15" s="32">
        <f>A15-$B$12</f>
        <v/>
      </c>
      <c r="C15" s="32">
        <f>MAX(0,A15-$B$6)</f>
        <v/>
      </c>
      <c r="D15" s="5">
        <f>IF(C15&lt;=0,0,($B$7+$B$9*C15)*C15)</f>
        <v/>
      </c>
      <c r="E15" s="26">
        <f>D15*$B$11</f>
        <v/>
      </c>
      <c r="F15" s="26">
        <f>IF(A15&lt;=INDEX(SS_Amont!$A$11:$A$18,1),INDEX(SS_Amont!$E$11:$E$18,1),IF(A15&gt;=INDEX(SS_Amont!$A$11:$A$18,ROWS(SS_Amont!$A$11:$A$18)),INDEX(SS_Amont!$E$11:$E$18,ROWS(SS_Amont!$E$11:$E$18)),INDEX(SS_Amont!$E$11:$E$18,MATCH(A15,SS_Amont!$A$11:$A$18,1))+(A15-INDEX(SS_Amont!$A$11:$A$18,MATCH(A15,SS_Amont!$A$11:$A$18,1)))/(INDEX(SS_Amont!$A$11:$A$18,MATCH(A15,SS_Amont!$A$11:$A$18,1)+1)-INDEX(SS_Amont!$A$11:$A$18,MATCH(A15,SS_Amont!$A$11:$A$18,1)))*(INDEX(SS_Amont!$E$11:$E$18,MATCH(A15,SS_Amont!$A$11:$A$18,1)+1)-INDEX(SS_Amont!$E$11:$E$18,MATCH(A15,SS_Amont!$A$11:$A$18,1)))))</f>
        <v/>
      </c>
      <c r="G15" s="34">
        <f>E15+F15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</row>
    <row r="16">
      <c r="A16" s="32" t="n">
        <v>34.93</v>
      </c>
      <c r="B16" s="32">
        <f>A16-$B$12</f>
        <v/>
      </c>
      <c r="C16" s="32">
        <f>MAX(0,A16-$B$6)</f>
        <v/>
      </c>
      <c r="D16" s="5">
        <f>IF(C16&lt;=0,0,($B$7+$B$9*C16)*C16)</f>
        <v/>
      </c>
      <c r="E16" s="26">
        <f>D16*$B$11</f>
        <v/>
      </c>
      <c r="F16" s="26">
        <f>IF(A16&lt;=INDEX(SS_Amont!$A$11:$A$18,1),INDEX(SS_Amont!$E$11:$E$18,1),IF(A16&gt;=INDEX(SS_Amont!$A$11:$A$18,ROWS(SS_Amont!$A$11:$A$18)),INDEX(SS_Amont!$E$11:$E$18,ROWS(SS_Amont!$E$11:$E$18)),INDEX(SS_Amont!$E$11:$E$18,MATCH(A16,SS_Amont!$A$11:$A$18,1))+(A16-INDEX(SS_Amont!$A$11:$A$18,MATCH(A16,SS_Amont!$A$11:$A$18,1)))/(INDEX(SS_Amont!$A$11:$A$18,MATCH(A16,SS_Amont!$A$11:$A$18,1)+1)-INDEX(SS_Amont!$A$11:$A$18,MATCH(A16,SS_Amont!$A$11:$A$18,1)))*(INDEX(SS_Amont!$E$11:$E$18,MATCH(A16,SS_Amont!$A$11:$A$18,1)+1)-INDEX(SS_Amont!$E$11:$E$18,MATCH(A16,SS_Amont!$A$11:$A$18,1)))))</f>
        <v/>
      </c>
      <c r="G16" s="34">
        <f>E16+F16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</row>
    <row r="17">
      <c r="A17" s="32" t="n">
        <v>34.98</v>
      </c>
      <c r="B17" s="32">
        <f>A17-$B$12</f>
        <v/>
      </c>
      <c r="C17" s="32">
        <f>MAX(0,A17-$B$6)</f>
        <v/>
      </c>
      <c r="D17" s="5">
        <f>IF(C17&lt;=0,0,($B$7+$B$9*C17)*C17)</f>
        <v/>
      </c>
      <c r="E17" s="26">
        <f>D17*$B$11</f>
        <v/>
      </c>
      <c r="F17" s="26">
        <f>IF(A17&lt;=INDEX(SS_Amont!$A$11:$A$18,1),INDEX(SS_Amont!$E$11:$E$18,1),IF(A17&gt;=INDEX(SS_Amont!$A$11:$A$18,ROWS(SS_Amont!$A$11:$A$18)),INDEX(SS_Amont!$E$11:$E$18,ROWS(SS_Amont!$E$11:$E$18)),INDEX(SS_Amont!$E$11:$E$18,MATCH(A17,SS_Amont!$A$11:$A$18,1))+(A17-INDEX(SS_Amont!$A$11:$A$18,MATCH(A17,SS_Amont!$A$11:$A$18,1)))/(INDEX(SS_Amont!$A$11:$A$18,MATCH(A17,SS_Amont!$A$11:$A$18,1)+1)-INDEX(SS_Amont!$A$11:$A$18,MATCH(A17,SS_Amont!$A$11:$A$18,1)))*(INDEX(SS_Amont!$E$11:$E$18,MATCH(A17,SS_Amont!$A$11:$A$18,1)+1)-INDEX(SS_Amont!$E$11:$E$18,MATCH(A17,SS_Amont!$A$11:$A$18,1)))))</f>
        <v/>
      </c>
      <c r="G17" s="34">
        <f>E17+F17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</row>
    <row r="18">
      <c r="A18" s="32" t="n">
        <v>35.03</v>
      </c>
      <c r="B18" s="32">
        <f>A18-$B$12</f>
        <v/>
      </c>
      <c r="C18" s="32">
        <f>MAX(0,A18-$B$6)</f>
        <v/>
      </c>
      <c r="D18" s="5">
        <f>IF(C18&lt;=0,0,($B$7+$B$9*C18)*C18)</f>
        <v/>
      </c>
      <c r="E18" s="26">
        <f>D18*$B$11</f>
        <v/>
      </c>
      <c r="F18" s="26">
        <f>IF(A18&lt;=INDEX(SS_Amont!$A$11:$A$18,1),INDEX(SS_Amont!$E$11:$E$18,1),IF(A18&gt;=INDEX(SS_Amont!$A$11:$A$18,ROWS(SS_Amont!$A$11:$A$18)),INDEX(SS_Amont!$E$11:$E$18,ROWS(SS_Amont!$E$11:$E$18)),INDEX(SS_Amont!$E$11:$E$18,MATCH(A18,SS_Amont!$A$11:$A$18,1))+(A18-INDEX(SS_Amont!$A$11:$A$18,MATCH(A18,SS_Amont!$A$11:$A$18,1)))/(INDEX(SS_Amont!$A$11:$A$18,MATCH(A18,SS_Amont!$A$11:$A$18,1)+1)-INDEX(SS_Amont!$A$11:$A$18,MATCH(A18,SS_Amont!$A$11:$A$18,1)))*(INDEX(SS_Amont!$E$11:$E$18,MATCH(A18,SS_Amont!$A$11:$A$18,1)+1)-INDEX(SS_Amont!$E$11:$E$18,MATCH(A18,SS_Amont!$A$11:$A$18,1)))))</f>
        <v/>
      </c>
      <c r="G18" s="34">
        <f>E18+F18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</row>
    <row r="19">
      <c r="A19" s="32" t="n">
        <v>35.08</v>
      </c>
      <c r="B19" s="32">
        <f>A19-$B$12</f>
        <v/>
      </c>
      <c r="C19" s="32">
        <f>MAX(0,A19-$B$6)</f>
        <v/>
      </c>
      <c r="D19" s="5">
        <f>IF(C19&lt;=0,0,($B$7+$B$9*C19)*C19)</f>
        <v/>
      </c>
      <c r="E19" s="26">
        <f>D19*$B$11</f>
        <v/>
      </c>
      <c r="F19" s="26">
        <f>IF(A19&lt;=INDEX(SS_Amont!$A$11:$A$18,1),INDEX(SS_Amont!$E$11:$E$18,1),IF(A19&gt;=INDEX(SS_Amont!$A$11:$A$18,ROWS(SS_Amont!$A$11:$A$18)),INDEX(SS_Amont!$E$11:$E$18,ROWS(SS_Amont!$E$11:$E$18)),INDEX(SS_Amont!$E$11:$E$18,MATCH(A19,SS_Amont!$A$11:$A$18,1))+(A19-INDEX(SS_Amont!$A$11:$A$18,MATCH(A19,SS_Amont!$A$11:$A$18,1)))/(INDEX(SS_Amont!$A$11:$A$18,MATCH(A19,SS_Amont!$A$11:$A$18,1)+1)-INDEX(SS_Amont!$A$11:$A$18,MATCH(A19,SS_Amont!$A$11:$A$18,1)))*(INDEX(SS_Amont!$E$11:$E$18,MATCH(A19,SS_Amont!$A$11:$A$18,1)+1)-INDEX(SS_Amont!$E$11:$E$18,MATCH(A19,SS_Amont!$A$11:$A$18,1)))))</f>
        <v/>
      </c>
      <c r="G19" s="34">
        <f>E19+F19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</row>
    <row r="20">
      <c r="A20" s="32" t="n">
        <v>35.13</v>
      </c>
      <c r="B20" s="32">
        <f>A20-$B$12</f>
        <v/>
      </c>
      <c r="C20" s="32">
        <f>MAX(0,A20-$B$6)</f>
        <v/>
      </c>
      <c r="D20" s="5">
        <f>IF(C20&lt;=0,0,($B$7+$B$9*C20)*C20)</f>
        <v/>
      </c>
      <c r="E20" s="26">
        <f>D20*$B$11</f>
        <v/>
      </c>
      <c r="F20" s="26">
        <f>IF(A20&lt;=INDEX(SS_Amont!$A$11:$A$18,1),INDEX(SS_Amont!$E$11:$E$18,1),IF(A20&gt;=INDEX(SS_Amont!$A$11:$A$18,ROWS(SS_Amont!$A$11:$A$18)),INDEX(SS_Amont!$E$11:$E$18,ROWS(SS_Amont!$E$11:$E$18)),INDEX(SS_Amont!$E$11:$E$18,MATCH(A20,SS_Amont!$A$11:$A$18,1))+(A20-INDEX(SS_Amont!$A$11:$A$18,MATCH(A20,SS_Amont!$A$11:$A$18,1)))/(INDEX(SS_Amont!$A$11:$A$18,MATCH(A20,SS_Amont!$A$11:$A$18,1)+1)-INDEX(SS_Amont!$A$11:$A$18,MATCH(A20,SS_Amont!$A$11:$A$18,1)))*(INDEX(SS_Amont!$E$11:$E$18,MATCH(A20,SS_Amont!$A$11:$A$18,1)+1)-INDEX(SS_Amont!$E$11:$E$18,MATCH(A20,SS_Amont!$A$11:$A$18,1)))))</f>
        <v/>
      </c>
      <c r="G20" s="34">
        <f>E20+F20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</row>
    <row r="21">
      <c r="A21" s="32" t="n">
        <v>35.18</v>
      </c>
      <c r="B21" s="32">
        <f>A21-$B$12</f>
        <v/>
      </c>
      <c r="C21" s="32">
        <f>MAX(0,A21-$B$6)</f>
        <v/>
      </c>
      <c r="D21" s="5">
        <f>IF(C21&lt;=0,0,($B$7+$B$9*C21)*C21)</f>
        <v/>
      </c>
      <c r="E21" s="26">
        <f>D21*$B$11</f>
        <v/>
      </c>
      <c r="F21" s="26">
        <f>IF(A21&lt;=INDEX(SS_Amont!$A$11:$A$18,1),INDEX(SS_Amont!$E$11:$E$18,1),IF(A21&gt;=INDEX(SS_Amont!$A$11:$A$18,ROWS(SS_Amont!$A$11:$A$18)),INDEX(SS_Amont!$E$11:$E$18,ROWS(SS_Amont!$E$11:$E$18)),INDEX(SS_Amont!$E$11:$E$18,MATCH(A21,SS_Amont!$A$11:$A$18,1))+(A21-INDEX(SS_Amont!$A$11:$A$18,MATCH(A21,SS_Amont!$A$11:$A$18,1)))/(INDEX(SS_Amont!$A$11:$A$18,MATCH(A21,SS_Amont!$A$11:$A$18,1)+1)-INDEX(SS_Amont!$A$11:$A$18,MATCH(A21,SS_Amont!$A$11:$A$18,1)))*(INDEX(SS_Amont!$E$11:$E$18,MATCH(A21,SS_Amont!$A$11:$A$18,1)+1)-INDEX(SS_Amont!$E$11:$E$18,MATCH(A21,SS_Amont!$A$11:$A$18,1)))))</f>
        <v/>
      </c>
      <c r="G21" s="34">
        <f>E21+F21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</row>
    <row r="22">
      <c r="A22" s="32" t="n">
        <v>35.23</v>
      </c>
      <c r="B22" s="32">
        <f>A22-$B$12</f>
        <v/>
      </c>
      <c r="C22" s="32">
        <f>MAX(0,A22-$B$6)</f>
        <v/>
      </c>
      <c r="D22" s="5">
        <f>IF(C22&lt;=0,0,($B$7+$B$9*C22)*C22)</f>
        <v/>
      </c>
      <c r="E22" s="26">
        <f>D22*$B$11</f>
        <v/>
      </c>
      <c r="F22" s="26">
        <f>IF(A22&lt;=INDEX(SS_Amont!$A$11:$A$18,1),INDEX(SS_Amont!$E$11:$E$18,1),IF(A22&gt;=INDEX(SS_Amont!$A$11:$A$18,ROWS(SS_Amont!$A$11:$A$18)),INDEX(SS_Amont!$E$11:$E$18,ROWS(SS_Amont!$E$11:$E$18)),INDEX(SS_Amont!$E$11:$E$18,MATCH(A22,SS_Amont!$A$11:$A$18,1))+(A22-INDEX(SS_Amont!$A$11:$A$18,MATCH(A22,SS_Amont!$A$11:$A$18,1)))/(INDEX(SS_Amont!$A$11:$A$18,MATCH(A22,SS_Amont!$A$11:$A$18,1)+1)-INDEX(SS_Amont!$A$11:$A$18,MATCH(A22,SS_Amont!$A$11:$A$18,1)))*(INDEX(SS_Amont!$E$11:$E$18,MATCH(A22,SS_Amont!$A$11:$A$18,1)+1)-INDEX(SS_Amont!$E$11:$E$18,MATCH(A22,SS_Amont!$A$11:$A$18,1)))))</f>
        <v/>
      </c>
      <c r="G22" s="34">
        <f>E22+F22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</row>
    <row r="23">
      <c r="A23" s="32" t="n">
        <v>35.28</v>
      </c>
      <c r="B23" s="32">
        <f>A23-$B$12</f>
        <v/>
      </c>
      <c r="C23" s="32">
        <f>MAX(0,A23-$B$6)</f>
        <v/>
      </c>
      <c r="D23" s="5">
        <f>IF(C23&lt;=0,0,($B$7+$B$9*C23)*C23)</f>
        <v/>
      </c>
      <c r="E23" s="26">
        <f>D23*$B$11</f>
        <v/>
      </c>
      <c r="F23" s="26">
        <f>IF(A23&lt;=INDEX(SS_Amont!$A$11:$A$18,1),INDEX(SS_Amont!$E$11:$E$18,1),IF(A23&gt;=INDEX(SS_Amont!$A$11:$A$18,ROWS(SS_Amont!$A$11:$A$18)),INDEX(SS_Amont!$E$11:$E$18,ROWS(SS_Amont!$E$11:$E$18)),INDEX(SS_Amont!$E$11:$E$18,MATCH(A23,SS_Amont!$A$11:$A$18,1))+(A23-INDEX(SS_Amont!$A$11:$A$18,MATCH(A23,SS_Amont!$A$11:$A$18,1)))/(INDEX(SS_Amont!$A$11:$A$18,MATCH(A23,SS_Amont!$A$11:$A$18,1)+1)-INDEX(SS_Amont!$A$11:$A$18,MATCH(A23,SS_Amont!$A$11:$A$18,1)))*(INDEX(SS_Amont!$E$11:$E$18,MATCH(A23,SS_Amont!$A$11:$A$18,1)+1)-INDEX(SS_Amont!$E$11:$E$18,MATCH(A23,SS_Amont!$A$11:$A$18,1)))))</f>
        <v/>
      </c>
      <c r="G23" s="34">
        <f>E23+F23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</row>
    <row r="24">
      <c r="A24" s="32" t="n">
        <v>35.33</v>
      </c>
      <c r="B24" s="32">
        <f>A24-$B$12</f>
        <v/>
      </c>
      <c r="C24" s="32">
        <f>MAX(0,A24-$B$6)</f>
        <v/>
      </c>
      <c r="D24" s="5">
        <f>IF(C24&lt;=0,0,($B$7+$B$9*C24)*C24)</f>
        <v/>
      </c>
      <c r="E24" s="26">
        <f>D24*$B$11</f>
        <v/>
      </c>
      <c r="F24" s="26">
        <f>IF(A24&lt;=INDEX(SS_Amont!$A$11:$A$18,1),INDEX(SS_Amont!$E$11:$E$18,1),IF(A24&gt;=INDEX(SS_Amont!$A$11:$A$18,ROWS(SS_Amont!$A$11:$A$18)),INDEX(SS_Amont!$E$11:$E$18,ROWS(SS_Amont!$E$11:$E$18)),INDEX(SS_Amont!$E$11:$E$18,MATCH(A24,SS_Amont!$A$11:$A$18,1))+(A24-INDEX(SS_Amont!$A$11:$A$18,MATCH(A24,SS_Amont!$A$11:$A$18,1)))/(INDEX(SS_Amont!$A$11:$A$18,MATCH(A24,SS_Amont!$A$11:$A$18,1)+1)-INDEX(SS_Amont!$A$11:$A$18,MATCH(A24,SS_Amont!$A$11:$A$18,1)))*(INDEX(SS_Amont!$E$11:$E$18,MATCH(A24,SS_Amont!$A$11:$A$18,1)+1)-INDEX(SS_Amont!$E$11:$E$18,MATCH(A24,SS_Amont!$A$11:$A$18,1)))))</f>
        <v/>
      </c>
      <c r="G24" s="34">
        <f>E24+F24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</row>
    <row r="25">
      <c r="A25" s="32" t="n">
        <v>35.38</v>
      </c>
      <c r="B25" s="32">
        <f>A25-$B$12</f>
        <v/>
      </c>
      <c r="C25" s="32">
        <f>MAX(0,A25-$B$6)</f>
        <v/>
      </c>
      <c r="D25" s="5">
        <f>IF(C25&lt;=0,0,($B$7+$B$9*C25)*C25)</f>
        <v/>
      </c>
      <c r="E25" s="26">
        <f>D25*$B$11</f>
        <v/>
      </c>
      <c r="F25" s="26">
        <f>IF(A25&lt;=INDEX(SS_Amont!$A$11:$A$18,1),INDEX(SS_Amont!$E$11:$E$18,1),IF(A25&gt;=INDEX(SS_Amont!$A$11:$A$18,ROWS(SS_Amont!$A$11:$A$18)),INDEX(SS_Amont!$E$11:$E$18,ROWS(SS_Amont!$E$11:$E$18)),INDEX(SS_Amont!$E$11:$E$18,MATCH(A25,SS_Amont!$A$11:$A$18,1))+(A25-INDEX(SS_Amont!$A$11:$A$18,MATCH(A25,SS_Amont!$A$11:$A$18,1)))/(INDEX(SS_Amont!$A$11:$A$18,MATCH(A25,SS_Amont!$A$11:$A$18,1)+1)-INDEX(SS_Amont!$A$11:$A$18,MATCH(A25,SS_Amont!$A$11:$A$18,1)))*(INDEX(SS_Amont!$E$11:$E$18,MATCH(A25,SS_Amont!$A$11:$A$18,1)+1)-INDEX(SS_Amont!$E$11:$E$18,MATCH(A25,SS_Amont!$A$11:$A$18,1)))))</f>
        <v/>
      </c>
      <c r="G25" s="34">
        <f>E25+F25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</row>
    <row r="26">
      <c r="A26" s="32" t="n">
        <v>35.43</v>
      </c>
      <c r="B26" s="32">
        <f>A26-$B$12</f>
        <v/>
      </c>
      <c r="C26" s="32">
        <f>MAX(0,A26-$B$6)</f>
        <v/>
      </c>
      <c r="D26" s="5">
        <f>IF(C26&lt;=0,0,($B$7+$B$9*C26)*C26)</f>
        <v/>
      </c>
      <c r="E26" s="26">
        <f>D26*$B$11</f>
        <v/>
      </c>
      <c r="F26" s="26">
        <f>IF(A26&lt;=INDEX(SS_Amont!$A$11:$A$18,1),INDEX(SS_Amont!$E$11:$E$18,1),IF(A26&gt;=INDEX(SS_Amont!$A$11:$A$18,ROWS(SS_Amont!$A$11:$A$18)),INDEX(SS_Amont!$E$11:$E$18,ROWS(SS_Amont!$E$11:$E$18)),INDEX(SS_Amont!$E$11:$E$18,MATCH(A26,SS_Amont!$A$11:$A$18,1))+(A26-INDEX(SS_Amont!$A$11:$A$18,MATCH(A26,SS_Amont!$A$11:$A$18,1)))/(INDEX(SS_Amont!$A$11:$A$18,MATCH(A26,SS_Amont!$A$11:$A$18,1)+1)-INDEX(SS_Amont!$A$11:$A$18,MATCH(A26,SS_Amont!$A$11:$A$18,1)))*(INDEX(SS_Amont!$E$11:$E$18,MATCH(A26,SS_Amont!$A$11:$A$18,1)+1)-INDEX(SS_Amont!$E$11:$E$18,MATCH(A26,SS_Amont!$A$11:$A$18,1)))))</f>
        <v/>
      </c>
      <c r="G26" s="34">
        <f>E26+F26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</row>
    <row r="27">
      <c r="A27" s="32" t="n">
        <v>35.48</v>
      </c>
      <c r="B27" s="32">
        <f>A27-$B$12</f>
        <v/>
      </c>
      <c r="C27" s="32">
        <f>MAX(0,A27-$B$6)</f>
        <v/>
      </c>
      <c r="D27" s="5">
        <f>IF(C27&lt;=0,0,($B$7+$B$9*C27)*C27)</f>
        <v/>
      </c>
      <c r="E27" s="26">
        <f>D27*$B$11</f>
        <v/>
      </c>
      <c r="F27" s="26">
        <f>IF(A27&lt;=INDEX(SS_Amont!$A$11:$A$18,1),INDEX(SS_Amont!$E$11:$E$18,1),IF(A27&gt;=INDEX(SS_Amont!$A$11:$A$18,ROWS(SS_Amont!$A$11:$A$18)),INDEX(SS_Amont!$E$11:$E$18,ROWS(SS_Amont!$E$11:$E$18)),INDEX(SS_Amont!$E$11:$E$18,MATCH(A27,SS_Amont!$A$11:$A$18,1))+(A27-INDEX(SS_Amont!$A$11:$A$18,MATCH(A27,SS_Amont!$A$11:$A$18,1)))/(INDEX(SS_Amont!$A$11:$A$18,MATCH(A27,SS_Amont!$A$11:$A$18,1)+1)-INDEX(SS_Amont!$A$11:$A$18,MATCH(A27,SS_Amont!$A$11:$A$18,1)))*(INDEX(SS_Amont!$E$11:$E$18,MATCH(A27,SS_Amont!$A$11:$A$18,1)+1)-INDEX(SS_Amont!$E$11:$E$18,MATCH(A27,SS_Amont!$A$11:$A$18,1)))))</f>
        <v/>
      </c>
      <c r="G27" s="34">
        <f>E27+F27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</row>
    <row r="28">
      <c r="A28" s="32" t="n">
        <v>35.53</v>
      </c>
      <c r="B28" s="32">
        <f>A28-$B$12</f>
        <v/>
      </c>
      <c r="C28" s="32">
        <f>MAX(0,A28-$B$6)</f>
        <v/>
      </c>
      <c r="D28" s="5">
        <f>IF(C28&lt;=0,0,($B$7+$B$9*C28)*C28)</f>
        <v/>
      </c>
      <c r="E28" s="26">
        <f>D28*$B$11</f>
        <v/>
      </c>
      <c r="F28" s="26">
        <f>IF(A28&lt;=INDEX(SS_Amont!$A$11:$A$18,1),INDEX(SS_Amont!$E$11:$E$18,1),IF(A28&gt;=INDEX(SS_Amont!$A$11:$A$18,ROWS(SS_Amont!$A$11:$A$18)),INDEX(SS_Amont!$E$11:$E$18,ROWS(SS_Amont!$E$11:$E$18)),INDEX(SS_Amont!$E$11:$E$18,MATCH(A28,SS_Amont!$A$11:$A$18,1))+(A28-INDEX(SS_Amont!$A$11:$A$18,MATCH(A28,SS_Amont!$A$11:$A$18,1)))/(INDEX(SS_Amont!$A$11:$A$18,MATCH(A28,SS_Amont!$A$11:$A$18,1)+1)-INDEX(SS_Amont!$A$11:$A$18,MATCH(A28,SS_Amont!$A$11:$A$18,1)))*(INDEX(SS_Amont!$E$11:$E$18,MATCH(A28,SS_Amont!$A$11:$A$18,1)+1)-INDEX(SS_Amont!$E$11:$E$18,MATCH(A28,SS_Amont!$A$11:$A$18,1)))))</f>
        <v/>
      </c>
      <c r="G28" s="34">
        <f>E28+F28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</row>
    <row r="29">
      <c r="A29" s="32" t="n">
        <v>35.58</v>
      </c>
      <c r="B29" s="32">
        <f>A29-$B$12</f>
        <v/>
      </c>
      <c r="C29" s="32">
        <f>MAX(0,A29-$B$6)</f>
        <v/>
      </c>
      <c r="D29" s="5">
        <f>IF(C29&lt;=0,0,($B$7+$B$9*C29)*C29)</f>
        <v/>
      </c>
      <c r="E29" s="26">
        <f>D29*$B$11</f>
        <v/>
      </c>
      <c r="F29" s="26">
        <f>IF(A29&lt;=INDEX(SS_Amont!$A$11:$A$18,1),INDEX(SS_Amont!$E$11:$E$18,1),IF(A29&gt;=INDEX(SS_Amont!$A$11:$A$18,ROWS(SS_Amont!$A$11:$A$18)),INDEX(SS_Amont!$E$11:$E$18,ROWS(SS_Amont!$E$11:$E$18)),INDEX(SS_Amont!$E$11:$E$18,MATCH(A29,SS_Amont!$A$11:$A$18,1))+(A29-INDEX(SS_Amont!$A$11:$A$18,MATCH(A29,SS_Amont!$A$11:$A$18,1)))/(INDEX(SS_Amont!$A$11:$A$18,MATCH(A29,SS_Amont!$A$11:$A$18,1)+1)-INDEX(SS_Amont!$A$11:$A$18,MATCH(A29,SS_Amont!$A$11:$A$18,1)))*(INDEX(SS_Amont!$E$11:$E$18,MATCH(A29,SS_Amont!$A$11:$A$18,1)+1)-INDEX(SS_Amont!$E$11:$E$18,MATCH(A29,SS_Amont!$A$11:$A$18,1)))))</f>
        <v/>
      </c>
      <c r="G29" s="34">
        <f>E29+F29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</row>
    <row r="30">
      <c r="A30" s="32" t="n">
        <v>35.63</v>
      </c>
      <c r="B30" s="32">
        <f>A30-$B$12</f>
        <v/>
      </c>
      <c r="C30" s="32">
        <f>MAX(0,A30-$B$6)</f>
        <v/>
      </c>
      <c r="D30" s="5">
        <f>IF(C30&lt;=0,0,($B$7+$B$9*C30)*C30)</f>
        <v/>
      </c>
      <c r="E30" s="26">
        <f>D30*$B$11</f>
        <v/>
      </c>
      <c r="F30" s="26">
        <f>IF(A30&lt;=INDEX(SS_Amont!$A$11:$A$18,1),INDEX(SS_Amont!$E$11:$E$18,1),IF(A30&gt;=INDEX(SS_Amont!$A$11:$A$18,ROWS(SS_Amont!$A$11:$A$18)),INDEX(SS_Amont!$E$11:$E$18,ROWS(SS_Amont!$E$11:$E$18)),INDEX(SS_Amont!$E$11:$E$18,MATCH(A30,SS_Amont!$A$11:$A$18,1))+(A30-INDEX(SS_Amont!$A$11:$A$18,MATCH(A30,SS_Amont!$A$11:$A$18,1)))/(INDEX(SS_Amont!$A$11:$A$18,MATCH(A30,SS_Amont!$A$11:$A$18,1)+1)-INDEX(SS_Amont!$A$11:$A$18,MATCH(A30,SS_Amont!$A$11:$A$18,1)))*(INDEX(SS_Amont!$E$11:$E$18,MATCH(A30,SS_Amont!$A$11:$A$18,1)+1)-INDEX(SS_Amont!$E$11:$E$18,MATCH(A30,SS_Amont!$A$11:$A$18,1)))))</f>
        <v/>
      </c>
      <c r="G30" s="34">
        <f>E30+F30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</row>
    <row r="31">
      <c r="A31" s="32" t="n">
        <v>35.68</v>
      </c>
      <c r="B31" s="32">
        <f>A31-$B$12</f>
        <v/>
      </c>
      <c r="C31" s="32">
        <f>MAX(0,A31-$B$6)</f>
        <v/>
      </c>
      <c r="D31" s="5">
        <f>IF(C31&lt;=0,0,($B$7+$B$9*C31)*C31)</f>
        <v/>
      </c>
      <c r="E31" s="26">
        <f>D31*$B$11</f>
        <v/>
      </c>
      <c r="F31" s="26">
        <f>IF(A31&lt;=INDEX(SS_Amont!$A$11:$A$18,1),INDEX(SS_Amont!$E$11:$E$18,1),IF(A31&gt;=INDEX(SS_Amont!$A$11:$A$18,ROWS(SS_Amont!$A$11:$A$18)),INDEX(SS_Amont!$E$11:$E$18,ROWS(SS_Amont!$E$11:$E$18)),INDEX(SS_Amont!$E$11:$E$18,MATCH(A31,SS_Amont!$A$11:$A$18,1))+(A31-INDEX(SS_Amont!$A$11:$A$18,MATCH(A31,SS_Amont!$A$11:$A$18,1)))/(INDEX(SS_Amont!$A$11:$A$18,MATCH(A31,SS_Amont!$A$11:$A$18,1)+1)-INDEX(SS_Amont!$A$11:$A$18,MATCH(A31,SS_Amont!$A$11:$A$18,1)))*(INDEX(SS_Amont!$E$11:$E$18,MATCH(A31,SS_Amont!$A$11:$A$18,1)+1)-INDEX(SS_Amont!$E$11:$E$18,MATCH(A31,SS_Amont!$A$11:$A$18,1)))))</f>
        <v/>
      </c>
      <c r="G31" s="34">
        <f>E31+F31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</row>
    <row r="32">
      <c r="A32" s="32" t="n">
        <v>35.73</v>
      </c>
      <c r="B32" s="32">
        <f>A32-$B$12</f>
        <v/>
      </c>
      <c r="C32" s="32">
        <f>MAX(0,A32-$B$6)</f>
        <v/>
      </c>
      <c r="D32" s="5">
        <f>IF(C32&lt;=0,0,($B$7+$B$9*C32)*C32)</f>
        <v/>
      </c>
      <c r="E32" s="26">
        <f>D32*$B$11</f>
        <v/>
      </c>
      <c r="F32" s="26">
        <f>IF(A32&lt;=INDEX(SS_Amont!$A$11:$A$18,1),INDEX(SS_Amont!$E$11:$E$18,1),IF(A32&gt;=INDEX(SS_Amont!$A$11:$A$18,ROWS(SS_Amont!$A$11:$A$18)),INDEX(SS_Amont!$E$11:$E$18,ROWS(SS_Amont!$E$11:$E$18)),INDEX(SS_Amont!$E$11:$E$18,MATCH(A32,SS_Amont!$A$11:$A$18,1))+(A32-INDEX(SS_Amont!$A$11:$A$18,MATCH(A32,SS_Amont!$A$11:$A$18,1)))/(INDEX(SS_Amont!$A$11:$A$18,MATCH(A32,SS_Amont!$A$11:$A$18,1)+1)-INDEX(SS_Amont!$A$11:$A$18,MATCH(A32,SS_Amont!$A$11:$A$18,1)))*(INDEX(SS_Amont!$E$11:$E$18,MATCH(A32,SS_Amont!$A$11:$A$18,1)+1)-INDEX(SS_Amont!$E$11:$E$18,MATCH(A32,SS_Amont!$A$11:$A$18,1)))))</f>
        <v/>
      </c>
      <c r="G32" s="34">
        <f>E32+F32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</row>
    <row r="33">
      <c r="A33" s="39" t="n">
        <v>35.78</v>
      </c>
      <c r="B33" s="39">
        <f>A33-$B$12</f>
        <v/>
      </c>
      <c r="C33" s="39">
        <f>MAX(0,A33-$B$6)</f>
        <v/>
      </c>
      <c r="D33" s="8">
        <f>IF(C33&lt;=0,0,($B$7+$B$9*C33)*C33)</f>
        <v/>
      </c>
      <c r="E33" s="42">
        <f>D33*$B$11</f>
        <v/>
      </c>
      <c r="F33" s="42">
        <f>IF(A33&lt;=INDEX(SS_Amont!$A$11:$A$18,1),INDEX(SS_Amont!$E$11:$E$18,1),IF(A33&gt;=INDEX(SS_Amont!$A$11:$A$18,ROWS(SS_Amont!$A$11:$A$18)),INDEX(SS_Amont!$E$11:$E$18,ROWS(SS_Amont!$E$11:$E$18)),INDEX(SS_Amont!$E$11:$E$18,MATCH(A33,SS_Amont!$A$11:$A$18,1))+(A33-INDEX(SS_Amont!$A$11:$A$18,MATCH(A33,SS_Amont!$A$11:$A$18,1)))/(INDEX(SS_Amont!$A$11:$A$18,MATCH(A33,SS_Amont!$A$11:$A$18,1)+1)-INDEX(SS_Amont!$A$11:$A$18,MATCH(A33,SS_Amont!$A$11:$A$18,1)))*(INDEX(SS_Amont!$E$11:$E$18,MATCH(A33,SS_Amont!$A$11:$A$18,1)+1)-INDEX(SS_Amont!$E$11:$E$18,MATCH(A33,SS_Amont!$A$11:$A$18,1)))))</f>
        <v/>
      </c>
      <c r="G33" s="34">
        <f>E33+F33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</row>
    <row r="34">
      <c r="A34" s="32" t="n">
        <v>35.83</v>
      </c>
      <c r="B34" s="32">
        <f>A34-$B$12</f>
        <v/>
      </c>
      <c r="C34" s="32">
        <f>MAX(0,A34-$B$6)</f>
        <v/>
      </c>
      <c r="D34" s="5">
        <f>IF(C34&lt;=0,0,($B$7+$B$9*C34)*C34)</f>
        <v/>
      </c>
      <c r="E34" s="26">
        <f>D34*$B$11</f>
        <v/>
      </c>
      <c r="F34" s="26">
        <f>IF(A34&lt;=INDEX(SS_Amont!$A$11:$A$18,1),INDEX(SS_Amont!$E$11:$E$18,1),IF(A34&gt;=INDEX(SS_Amont!$A$11:$A$18,ROWS(SS_Amont!$A$11:$A$18)),INDEX(SS_Amont!$E$11:$E$18,ROWS(SS_Amont!$E$11:$E$18)),INDEX(SS_Amont!$E$11:$E$18,MATCH(A34,SS_Amont!$A$11:$A$18,1))+(A34-INDEX(SS_Amont!$A$11:$A$18,MATCH(A34,SS_Amont!$A$11:$A$18,1)))/(INDEX(SS_Amont!$A$11:$A$18,MATCH(A34,SS_Amont!$A$11:$A$18,1)+1)-INDEX(SS_Amont!$A$11:$A$18,MATCH(A34,SS_Amont!$A$11:$A$18,1)))*(INDEX(SS_Amont!$E$11:$E$18,MATCH(A34,SS_Amont!$A$11:$A$18,1)+1)-INDEX(SS_Amont!$E$11:$E$18,MATCH(A34,SS_Amont!$A$11:$A$18,1)))))</f>
        <v/>
      </c>
      <c r="G34" s="34">
        <f>E34+F34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</row>
    <row r="35">
      <c r="A35" s="32" t="n">
        <v>35.88</v>
      </c>
      <c r="B35" s="32">
        <f>A35-$B$12</f>
        <v/>
      </c>
      <c r="C35" s="32">
        <f>MAX(0,A35-$B$6)</f>
        <v/>
      </c>
      <c r="D35" s="5">
        <f>IF(C35&lt;=0,0,($B$7+$B$9*C35)*C35)</f>
        <v/>
      </c>
      <c r="E35" s="26">
        <f>D35*$B$11</f>
        <v/>
      </c>
      <c r="F35" s="26">
        <f>IF(A35&lt;=INDEX(SS_Amont!$A$11:$A$18,1),INDEX(SS_Amont!$E$11:$E$18,1),IF(A35&gt;=INDEX(SS_Amont!$A$11:$A$18,ROWS(SS_Amont!$A$11:$A$18)),INDEX(SS_Amont!$E$11:$E$18,ROWS(SS_Amont!$E$11:$E$18)),INDEX(SS_Amont!$E$11:$E$18,MATCH(A35,SS_Amont!$A$11:$A$18,1))+(A35-INDEX(SS_Amont!$A$11:$A$18,MATCH(A35,SS_Amont!$A$11:$A$18,1)))/(INDEX(SS_Amont!$A$11:$A$18,MATCH(A35,SS_Amont!$A$11:$A$18,1)+1)-INDEX(SS_Amont!$A$11:$A$18,MATCH(A35,SS_Amont!$A$11:$A$18,1)))*(INDEX(SS_Amont!$E$11:$E$18,MATCH(A35,SS_Amont!$A$11:$A$18,1)+1)-INDEX(SS_Amont!$E$11:$E$18,MATCH(A35,SS_Amont!$A$11:$A$18,1)))))</f>
        <v/>
      </c>
      <c r="G35" s="34">
        <f>E35+F35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</row>
    <row r="36">
      <c r="A36" s="32" t="n">
        <v>35.93</v>
      </c>
      <c r="B36" s="32">
        <f>A36-$B$12</f>
        <v/>
      </c>
      <c r="C36" s="32">
        <f>MAX(0,A36-$B$6)</f>
        <v/>
      </c>
      <c r="D36" s="5">
        <f>IF(C36&lt;=0,0,($B$7+$B$9*C36)*C36)</f>
        <v/>
      </c>
      <c r="E36" s="26">
        <f>D36*$B$11</f>
        <v/>
      </c>
      <c r="F36" s="26">
        <f>IF(A36&lt;=INDEX(SS_Amont!$A$11:$A$18,1),INDEX(SS_Amont!$E$11:$E$18,1),IF(A36&gt;=INDEX(SS_Amont!$A$11:$A$18,ROWS(SS_Amont!$A$11:$A$18)),INDEX(SS_Amont!$E$11:$E$18,ROWS(SS_Amont!$E$11:$E$18)),INDEX(SS_Amont!$E$11:$E$18,MATCH(A36,SS_Amont!$A$11:$A$18,1))+(A36-INDEX(SS_Amont!$A$11:$A$18,MATCH(A36,SS_Amont!$A$11:$A$18,1)))/(INDEX(SS_Amont!$A$11:$A$18,MATCH(A36,SS_Amont!$A$11:$A$18,1)+1)-INDEX(SS_Amont!$A$11:$A$18,MATCH(A36,SS_Amont!$A$11:$A$18,1)))*(INDEX(SS_Amont!$E$11:$E$18,MATCH(A36,SS_Amont!$A$11:$A$18,1)+1)-INDEX(SS_Amont!$E$11:$E$18,MATCH(A36,SS_Amont!$A$11:$A$18,1)))))</f>
        <v/>
      </c>
      <c r="G36" s="34">
        <f>E36+F36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</row>
    <row r="37">
      <c r="A37" s="32" t="n">
        <v>35.98</v>
      </c>
      <c r="B37" s="32">
        <f>A37-$B$12</f>
        <v/>
      </c>
      <c r="C37" s="32">
        <f>MAX(0,A37-$B$6)</f>
        <v/>
      </c>
      <c r="D37" s="5">
        <f>IF(C37&lt;=0,0,($B$7+$B$9*C37)*C37)</f>
        <v/>
      </c>
      <c r="E37" s="26">
        <f>D37*$B$11</f>
        <v/>
      </c>
      <c r="F37" s="26">
        <f>IF(A37&lt;=INDEX(SS_Amont!$A$11:$A$18,1),INDEX(SS_Amont!$E$11:$E$18,1),IF(A37&gt;=INDEX(SS_Amont!$A$11:$A$18,ROWS(SS_Amont!$A$11:$A$18)),INDEX(SS_Amont!$E$11:$E$18,ROWS(SS_Amont!$E$11:$E$18)),INDEX(SS_Amont!$E$11:$E$18,MATCH(A37,SS_Amont!$A$11:$A$18,1))+(A37-INDEX(SS_Amont!$A$11:$A$18,MATCH(A37,SS_Amont!$A$11:$A$18,1)))/(INDEX(SS_Amont!$A$11:$A$18,MATCH(A37,SS_Amont!$A$11:$A$18,1)+1)-INDEX(SS_Amont!$A$11:$A$18,MATCH(A37,SS_Amont!$A$11:$A$18,1)))*(INDEX(SS_Amont!$E$11:$E$18,MATCH(A37,SS_Amont!$A$11:$A$18,1)+1)-INDEX(SS_Amont!$E$11:$E$18,MATCH(A37,SS_Amont!$A$11:$A$18,1)))))</f>
        <v/>
      </c>
      <c r="G37" s="34">
        <f>E37+F37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</row>
    <row r="38">
      <c r="A38" s="32" t="n">
        <v>36.03</v>
      </c>
      <c r="B38" s="32">
        <f>A38-$B$12</f>
        <v/>
      </c>
      <c r="C38" s="32">
        <f>MAX(0,A38-$B$6)</f>
        <v/>
      </c>
      <c r="D38" s="5">
        <f>IF(C38&lt;=0,0,($B$7+$B$9*C38)*C38)</f>
        <v/>
      </c>
      <c r="E38" s="26">
        <f>D38*$B$11</f>
        <v/>
      </c>
      <c r="F38" s="26">
        <f>IF(A38&lt;=INDEX(SS_Amont!$A$11:$A$18,1),INDEX(SS_Amont!$E$11:$E$18,1),IF(A38&gt;=INDEX(SS_Amont!$A$11:$A$18,ROWS(SS_Amont!$A$11:$A$18)),INDEX(SS_Amont!$E$11:$E$18,ROWS(SS_Amont!$E$11:$E$18)),INDEX(SS_Amont!$E$11:$E$18,MATCH(A38,SS_Amont!$A$11:$A$18,1))+(A38-INDEX(SS_Amont!$A$11:$A$18,MATCH(A38,SS_Amont!$A$11:$A$18,1)))/(INDEX(SS_Amont!$A$11:$A$18,MATCH(A38,SS_Amont!$A$11:$A$18,1)+1)-INDEX(SS_Amont!$A$11:$A$18,MATCH(A38,SS_Amont!$A$11:$A$18,1)))*(INDEX(SS_Amont!$E$11:$E$18,MATCH(A38,SS_Amont!$A$11:$A$18,1)+1)-INDEX(SS_Amont!$E$11:$E$18,MATCH(A38,SS_Amont!$A$11:$A$18,1)))))</f>
        <v/>
      </c>
      <c r="G38" s="34">
        <f>E38+F38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</row>
    <row r="39">
      <c r="A39" s="32" t="n">
        <v>36.08</v>
      </c>
      <c r="B39" s="32">
        <f>A39-$B$12</f>
        <v/>
      </c>
      <c r="C39" s="32">
        <f>MAX(0,A39-$B$6)</f>
        <v/>
      </c>
      <c r="D39" s="5">
        <f>IF(C39&lt;=0,0,($B$7+$B$9*C39)*C39)</f>
        <v/>
      </c>
      <c r="E39" s="26">
        <f>D39*$B$11</f>
        <v/>
      </c>
      <c r="F39" s="26">
        <f>IF(A39&lt;=INDEX(SS_Amont!$A$11:$A$18,1),INDEX(SS_Amont!$E$11:$E$18,1),IF(A39&gt;=INDEX(SS_Amont!$A$11:$A$18,ROWS(SS_Amont!$A$11:$A$18)),INDEX(SS_Amont!$E$11:$E$18,ROWS(SS_Amont!$E$11:$E$18)),INDEX(SS_Amont!$E$11:$E$18,MATCH(A39,SS_Amont!$A$11:$A$18,1))+(A39-INDEX(SS_Amont!$A$11:$A$18,MATCH(A39,SS_Amont!$A$11:$A$18,1)))/(INDEX(SS_Amont!$A$11:$A$18,MATCH(A39,SS_Amont!$A$11:$A$18,1)+1)-INDEX(SS_Amont!$A$11:$A$18,MATCH(A39,SS_Amont!$A$11:$A$18,1)))*(INDEX(SS_Amont!$E$11:$E$18,MATCH(A39,SS_Amont!$A$11:$A$18,1)+1)-INDEX(SS_Amont!$E$11:$E$18,MATCH(A39,SS_Amont!$A$11:$A$18,1)))))</f>
        <v/>
      </c>
      <c r="G39" s="34">
        <f>E39+F39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</row>
    <row r="40">
      <c r="A40" s="32" t="n">
        <v>36.13</v>
      </c>
      <c r="B40" s="32">
        <f>A40-$B$12</f>
        <v/>
      </c>
      <c r="C40" s="32">
        <f>MAX(0,A40-$B$6)</f>
        <v/>
      </c>
      <c r="D40" s="5">
        <f>IF(C40&lt;=0,0,($B$7+$B$9*C40)*C40)</f>
        <v/>
      </c>
      <c r="E40" s="26">
        <f>D40*$B$11</f>
        <v/>
      </c>
      <c r="F40" s="26">
        <f>IF(A40&lt;=INDEX(SS_Amont!$A$11:$A$18,1),INDEX(SS_Amont!$E$11:$E$18,1),IF(A40&gt;=INDEX(SS_Amont!$A$11:$A$18,ROWS(SS_Amont!$A$11:$A$18)),INDEX(SS_Amont!$E$11:$E$18,ROWS(SS_Amont!$E$11:$E$18)),INDEX(SS_Amont!$E$11:$E$18,MATCH(A40,SS_Amont!$A$11:$A$18,1))+(A40-INDEX(SS_Amont!$A$11:$A$18,MATCH(A40,SS_Amont!$A$11:$A$18,1)))/(INDEX(SS_Amont!$A$11:$A$18,MATCH(A40,SS_Amont!$A$11:$A$18,1)+1)-INDEX(SS_Amont!$A$11:$A$18,MATCH(A40,SS_Amont!$A$11:$A$18,1)))*(INDEX(SS_Amont!$E$11:$E$18,MATCH(A40,SS_Amont!$A$11:$A$18,1)+1)-INDEX(SS_Amont!$E$11:$E$18,MATCH(A40,SS_Amont!$A$11:$A$18,1)))))</f>
        <v/>
      </c>
      <c r="G40" s="34">
        <f>E40+F40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</row>
    <row r="41">
      <c r="A41" s="32" t="n">
        <v>36.18</v>
      </c>
      <c r="B41" s="32">
        <f>A41-$B$12</f>
        <v/>
      </c>
      <c r="C41" s="32">
        <f>MAX(0,A41-$B$6)</f>
        <v/>
      </c>
      <c r="D41" s="5">
        <f>IF(C41&lt;=0,0,($B$7+$B$9*C41)*C41)</f>
        <v/>
      </c>
      <c r="E41" s="26">
        <f>D41*$B$11</f>
        <v/>
      </c>
      <c r="F41" s="26">
        <f>IF(A41&lt;=INDEX(SS_Amont!$A$11:$A$18,1),INDEX(SS_Amont!$E$11:$E$18,1),IF(A41&gt;=INDEX(SS_Amont!$A$11:$A$18,ROWS(SS_Amont!$A$11:$A$18)),INDEX(SS_Amont!$E$11:$E$18,ROWS(SS_Amont!$E$11:$E$18)),INDEX(SS_Amont!$E$11:$E$18,MATCH(A41,SS_Amont!$A$11:$A$18,1))+(A41-INDEX(SS_Amont!$A$11:$A$18,MATCH(A41,SS_Amont!$A$11:$A$18,1)))/(INDEX(SS_Amont!$A$11:$A$18,MATCH(A41,SS_Amont!$A$11:$A$18,1)+1)-INDEX(SS_Amont!$A$11:$A$18,MATCH(A41,SS_Amont!$A$11:$A$18,1)))*(INDEX(SS_Amont!$E$11:$E$18,MATCH(A41,SS_Amont!$A$11:$A$18,1)+1)-INDEX(SS_Amont!$E$11:$E$18,MATCH(A41,SS_Amont!$A$11:$A$18,1)))))</f>
        <v/>
      </c>
      <c r="G41" s="34">
        <f>E41+F41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</row>
    <row r="42">
      <c r="A42" s="32" t="n">
        <v>36.23</v>
      </c>
      <c r="B42" s="32">
        <f>A42-$B$12</f>
        <v/>
      </c>
      <c r="C42" s="32">
        <f>MAX(0,A42-$B$6)</f>
        <v/>
      </c>
      <c r="D42" s="5">
        <f>IF(C42&lt;=0,0,($B$7+$B$9*C42)*C42)</f>
        <v/>
      </c>
      <c r="E42" s="26">
        <f>D42*$B$11</f>
        <v/>
      </c>
      <c r="F42" s="26">
        <f>IF(A42&lt;=INDEX(SS_Amont!$A$11:$A$18,1),INDEX(SS_Amont!$E$11:$E$18,1),IF(A42&gt;=INDEX(SS_Amont!$A$11:$A$18,ROWS(SS_Amont!$A$11:$A$18)),INDEX(SS_Amont!$E$11:$E$18,ROWS(SS_Amont!$E$11:$E$18)),INDEX(SS_Amont!$E$11:$E$18,MATCH(A42,SS_Amont!$A$11:$A$18,1))+(A42-INDEX(SS_Amont!$A$11:$A$18,MATCH(A42,SS_Amont!$A$11:$A$18,1)))/(INDEX(SS_Amont!$A$11:$A$18,MATCH(A42,SS_Amont!$A$11:$A$18,1)+1)-INDEX(SS_Amont!$A$11:$A$18,MATCH(A42,SS_Amont!$A$11:$A$18,1)))*(INDEX(SS_Amont!$E$11:$E$18,MATCH(A42,SS_Amont!$A$11:$A$18,1)+1)-INDEX(SS_Amont!$E$11:$E$18,MATCH(A42,SS_Amont!$A$11:$A$18,1)))))</f>
        <v/>
      </c>
      <c r="G42" s="34">
        <f>E42+F42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</row>
    <row r="43">
      <c r="A43" s="32" t="n">
        <v>36.28</v>
      </c>
      <c r="B43" s="32">
        <f>A43-$B$12</f>
        <v/>
      </c>
      <c r="C43" s="32">
        <f>MAX(0,A43-$B$6)</f>
        <v/>
      </c>
      <c r="D43" s="5">
        <f>IF(C43&lt;=0,0,($B$7+$B$9*C43)*C43)</f>
        <v/>
      </c>
      <c r="E43" s="26">
        <f>D43*$B$11</f>
        <v/>
      </c>
      <c r="F43" s="26">
        <f>IF(A43&lt;=INDEX(SS_Amont!$A$11:$A$18,1),INDEX(SS_Amont!$E$11:$E$18,1),IF(A43&gt;=INDEX(SS_Amont!$A$11:$A$18,ROWS(SS_Amont!$A$11:$A$18)),INDEX(SS_Amont!$E$11:$E$18,ROWS(SS_Amont!$E$11:$E$18)),INDEX(SS_Amont!$E$11:$E$18,MATCH(A43,SS_Amont!$A$11:$A$18,1))+(A43-INDEX(SS_Amont!$A$11:$A$18,MATCH(A43,SS_Amont!$A$11:$A$18,1)))/(INDEX(SS_Amont!$A$11:$A$18,MATCH(A43,SS_Amont!$A$11:$A$18,1)+1)-INDEX(SS_Amont!$A$11:$A$18,MATCH(A43,SS_Amont!$A$11:$A$18,1)))*(INDEX(SS_Amont!$E$11:$E$18,MATCH(A43,SS_Amont!$A$11:$A$18,1)+1)-INDEX(SS_Amont!$E$11:$E$18,MATCH(A43,SS_Amont!$A$11:$A$18,1)))))</f>
        <v/>
      </c>
      <c r="G43" s="34">
        <f>E43+F43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</row>
    <row r="44">
      <c r="A44" s="32" t="n">
        <v>36.33</v>
      </c>
      <c r="B44" s="32">
        <f>A44-$B$12</f>
        <v/>
      </c>
      <c r="C44" s="32">
        <f>MAX(0,A44-$B$6)</f>
        <v/>
      </c>
      <c r="D44" s="5">
        <f>IF(C44&lt;=0,0,($B$7+$B$9*C44)*C44)</f>
        <v/>
      </c>
      <c r="E44" s="26">
        <f>D44*$B$11</f>
        <v/>
      </c>
      <c r="F44" s="26">
        <f>IF(A44&lt;=INDEX(SS_Amont!$A$11:$A$18,1),INDEX(SS_Amont!$E$11:$E$18,1),IF(A44&gt;=INDEX(SS_Amont!$A$11:$A$18,ROWS(SS_Amont!$A$11:$A$18)),INDEX(SS_Amont!$E$11:$E$18,ROWS(SS_Amont!$E$11:$E$18)),INDEX(SS_Amont!$E$11:$E$18,MATCH(A44,SS_Amont!$A$11:$A$18,1))+(A44-INDEX(SS_Amont!$A$11:$A$18,MATCH(A44,SS_Amont!$A$11:$A$18,1)))/(INDEX(SS_Amont!$A$11:$A$18,MATCH(A44,SS_Amont!$A$11:$A$18,1)+1)-INDEX(SS_Amont!$A$11:$A$18,MATCH(A44,SS_Amont!$A$11:$A$18,1)))*(INDEX(SS_Amont!$E$11:$E$18,MATCH(A44,SS_Amont!$A$11:$A$18,1)+1)-INDEX(SS_Amont!$E$11:$E$18,MATCH(A44,SS_Amont!$A$11:$A$18,1)))))</f>
        <v/>
      </c>
      <c r="G44" s="34">
        <f>E44+F44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</row>
    <row r="45">
      <c r="A45" s="32" t="n">
        <v>36.38</v>
      </c>
      <c r="B45" s="32">
        <f>A45-$B$12</f>
        <v/>
      </c>
      <c r="C45" s="32">
        <f>MAX(0,A45-$B$6)</f>
        <v/>
      </c>
      <c r="D45" s="5">
        <f>IF(C45&lt;=0,0,($B$7+$B$9*C45)*C45)</f>
        <v/>
      </c>
      <c r="E45" s="26">
        <f>D45*$B$11</f>
        <v/>
      </c>
      <c r="F45" s="26">
        <f>IF(A45&lt;=INDEX(SS_Amont!$A$11:$A$18,1),INDEX(SS_Amont!$E$11:$E$18,1),IF(A45&gt;=INDEX(SS_Amont!$A$11:$A$18,ROWS(SS_Amont!$A$11:$A$18)),INDEX(SS_Amont!$E$11:$E$18,ROWS(SS_Amont!$E$11:$E$18)),INDEX(SS_Amont!$E$11:$E$18,MATCH(A45,SS_Amont!$A$11:$A$18,1))+(A45-INDEX(SS_Amont!$A$11:$A$18,MATCH(A45,SS_Amont!$A$11:$A$18,1)))/(INDEX(SS_Amont!$A$11:$A$18,MATCH(A45,SS_Amont!$A$11:$A$18,1)+1)-INDEX(SS_Amont!$A$11:$A$18,MATCH(A45,SS_Amont!$A$11:$A$18,1)))*(INDEX(SS_Amont!$E$11:$E$18,MATCH(A45,SS_Amont!$A$11:$A$18,1)+1)-INDEX(SS_Amont!$E$11:$E$18,MATCH(A45,SS_Amont!$A$11:$A$18,1)))))</f>
        <v/>
      </c>
      <c r="G45" s="34">
        <f>E45+F45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</row>
    <row r="46">
      <c r="A46" s="32" t="n">
        <v>36.43</v>
      </c>
      <c r="B46" s="32">
        <f>A46-$B$12</f>
        <v/>
      </c>
      <c r="C46" s="32">
        <f>MAX(0,A46-$B$6)</f>
        <v/>
      </c>
      <c r="D46" s="5">
        <f>IF(C46&lt;=0,0,($B$7+$B$9*C46)*C46)</f>
        <v/>
      </c>
      <c r="E46" s="26">
        <f>D46*$B$11</f>
        <v/>
      </c>
      <c r="F46" s="26">
        <f>IF(A46&lt;=INDEX(SS_Amont!$A$11:$A$18,1),INDEX(SS_Amont!$E$11:$E$18,1),IF(A46&gt;=INDEX(SS_Amont!$A$11:$A$18,ROWS(SS_Amont!$A$11:$A$18)),INDEX(SS_Amont!$E$11:$E$18,ROWS(SS_Amont!$E$11:$E$18)),INDEX(SS_Amont!$E$11:$E$18,MATCH(A46,SS_Amont!$A$11:$A$18,1))+(A46-INDEX(SS_Amont!$A$11:$A$18,MATCH(A46,SS_Amont!$A$11:$A$18,1)))/(INDEX(SS_Amont!$A$11:$A$18,MATCH(A46,SS_Amont!$A$11:$A$18,1)+1)-INDEX(SS_Amont!$A$11:$A$18,MATCH(A46,SS_Amont!$A$11:$A$18,1)))*(INDEX(SS_Amont!$E$11:$E$18,MATCH(A46,SS_Amont!$A$11:$A$18,1)+1)-INDEX(SS_Amont!$E$11:$E$18,MATCH(A46,SS_Amont!$A$11:$A$18,1)))))</f>
        <v/>
      </c>
      <c r="G46" s="34">
        <f>E46+F46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</row>
    <row r="47">
      <c r="A47" s="32" t="n">
        <v>36.48</v>
      </c>
      <c r="B47" s="32">
        <f>A47-$B$12</f>
        <v/>
      </c>
      <c r="C47" s="32">
        <f>MAX(0,A47-$B$6)</f>
        <v/>
      </c>
      <c r="D47" s="5">
        <f>IF(C47&lt;=0,0,($B$7+$B$9*C47)*C47)</f>
        <v/>
      </c>
      <c r="E47" s="26">
        <f>D47*$B$11</f>
        <v/>
      </c>
      <c r="F47" s="26">
        <f>IF(A47&lt;=INDEX(SS_Amont!$A$11:$A$18,1),INDEX(SS_Amont!$E$11:$E$18,1),IF(A47&gt;=INDEX(SS_Amont!$A$11:$A$18,ROWS(SS_Amont!$A$11:$A$18)),INDEX(SS_Amont!$E$11:$E$18,ROWS(SS_Amont!$E$11:$E$18)),INDEX(SS_Amont!$E$11:$E$18,MATCH(A47,SS_Amont!$A$11:$A$18,1))+(A47-INDEX(SS_Amont!$A$11:$A$18,MATCH(A47,SS_Amont!$A$11:$A$18,1)))/(INDEX(SS_Amont!$A$11:$A$18,MATCH(A47,SS_Amont!$A$11:$A$18,1)+1)-INDEX(SS_Amont!$A$11:$A$18,MATCH(A47,SS_Amont!$A$11:$A$18,1)))*(INDEX(SS_Amont!$E$11:$E$18,MATCH(A47,SS_Amont!$A$11:$A$18,1)+1)-INDEX(SS_Amont!$E$11:$E$18,MATCH(A47,SS_Amont!$A$11:$A$18,1)))))</f>
        <v/>
      </c>
      <c r="G47" s="34">
        <f>E47+F47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</row>
    <row r="48">
      <c r="A48" s="32" t="n">
        <v>36.53</v>
      </c>
      <c r="B48" s="32">
        <f>A48-$B$12</f>
        <v/>
      </c>
      <c r="C48" s="32">
        <f>MAX(0,A48-$B$6)</f>
        <v/>
      </c>
      <c r="D48" s="5">
        <f>IF(C48&lt;=0,0,($B$7+$B$9*C48)*C48)</f>
        <v/>
      </c>
      <c r="E48" s="26">
        <f>D48*$B$11</f>
        <v/>
      </c>
      <c r="F48" s="26">
        <f>IF(A48&lt;=INDEX(SS_Amont!$A$11:$A$18,1),INDEX(SS_Amont!$E$11:$E$18,1),IF(A48&gt;=INDEX(SS_Amont!$A$11:$A$18,ROWS(SS_Amont!$A$11:$A$18)),INDEX(SS_Amont!$E$11:$E$18,ROWS(SS_Amont!$E$11:$E$18)),INDEX(SS_Amont!$E$11:$E$18,MATCH(A48,SS_Amont!$A$11:$A$18,1))+(A48-INDEX(SS_Amont!$A$11:$A$18,MATCH(A48,SS_Amont!$A$11:$A$18,1)))/(INDEX(SS_Amont!$A$11:$A$18,MATCH(A48,SS_Amont!$A$11:$A$18,1)+1)-INDEX(SS_Amont!$A$11:$A$18,MATCH(A48,SS_Amont!$A$11:$A$18,1)))*(INDEX(SS_Amont!$E$11:$E$18,MATCH(A48,SS_Amont!$A$11:$A$18,1)+1)-INDEX(SS_Amont!$E$11:$E$18,MATCH(A48,SS_Amont!$A$11:$A$18,1)))))</f>
        <v/>
      </c>
      <c r="G48" s="34">
        <f>E48+F48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</row>
    <row r="49">
      <c r="A49" s="32" t="n">
        <v>36.58</v>
      </c>
      <c r="B49" s="32">
        <f>A49-$B$12</f>
        <v/>
      </c>
      <c r="C49" s="32">
        <f>MAX(0,A49-$B$6)</f>
        <v/>
      </c>
      <c r="D49" s="5">
        <f>IF(C49&lt;=0,0,($B$7+$B$9*C49)*C49)</f>
        <v/>
      </c>
      <c r="E49" s="26">
        <f>D49*$B$11</f>
        <v/>
      </c>
      <c r="F49" s="26">
        <f>IF(A49&lt;=INDEX(SS_Amont!$A$11:$A$18,1),INDEX(SS_Amont!$E$11:$E$18,1),IF(A49&gt;=INDEX(SS_Amont!$A$11:$A$18,ROWS(SS_Amont!$A$11:$A$18)),INDEX(SS_Amont!$E$11:$E$18,ROWS(SS_Amont!$E$11:$E$18)),INDEX(SS_Amont!$E$11:$E$18,MATCH(A49,SS_Amont!$A$11:$A$18,1))+(A49-INDEX(SS_Amont!$A$11:$A$18,MATCH(A49,SS_Amont!$A$11:$A$18,1)))/(INDEX(SS_Amont!$A$11:$A$18,MATCH(A49,SS_Amont!$A$11:$A$18,1)+1)-INDEX(SS_Amont!$A$11:$A$18,MATCH(A49,SS_Amont!$A$11:$A$18,1)))*(INDEX(SS_Amont!$E$11:$E$18,MATCH(A49,SS_Amont!$A$11:$A$18,1)+1)-INDEX(SS_Amont!$E$11:$E$18,MATCH(A49,SS_Amont!$A$11:$A$18,1)))))</f>
        <v/>
      </c>
      <c r="G49" s="34">
        <f>E49+F49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</row>
    <row r="50">
      <c r="A50" s="32" t="n">
        <v>36.63</v>
      </c>
      <c r="B50" s="32">
        <f>A50-$B$12</f>
        <v/>
      </c>
      <c r="C50" s="32">
        <f>MAX(0,A50-$B$6)</f>
        <v/>
      </c>
      <c r="D50" s="5">
        <f>IF(C50&lt;=0,0,($B$7+$B$9*C50)*C50)</f>
        <v/>
      </c>
      <c r="E50" s="26">
        <f>D50*$B$11</f>
        <v/>
      </c>
      <c r="F50" s="26">
        <f>IF(A50&lt;=INDEX(SS_Amont!$A$11:$A$18,1),INDEX(SS_Amont!$E$11:$E$18,1),IF(A50&gt;=INDEX(SS_Amont!$A$11:$A$18,ROWS(SS_Amont!$A$11:$A$18)),INDEX(SS_Amont!$E$11:$E$18,ROWS(SS_Amont!$E$11:$E$18)),INDEX(SS_Amont!$E$11:$E$18,MATCH(A50,SS_Amont!$A$11:$A$18,1))+(A50-INDEX(SS_Amont!$A$11:$A$18,MATCH(A50,SS_Amont!$A$11:$A$18,1)))/(INDEX(SS_Amont!$A$11:$A$18,MATCH(A50,SS_Amont!$A$11:$A$18,1)+1)-INDEX(SS_Amont!$A$11:$A$18,MATCH(A50,SS_Amont!$A$11:$A$18,1)))*(INDEX(SS_Amont!$E$11:$E$18,MATCH(A50,SS_Amont!$A$11:$A$18,1)+1)-INDEX(SS_Amont!$E$11:$E$18,MATCH(A50,SS_Amont!$A$11:$A$18,1)))))</f>
        <v/>
      </c>
      <c r="G50" s="34">
        <f>E50+F50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</row>
    <row r="51">
      <c r="A51" s="32" t="n">
        <v>36.68</v>
      </c>
      <c r="B51" s="32">
        <f>A51-$B$12</f>
        <v/>
      </c>
      <c r="C51" s="32">
        <f>MAX(0,A51-$B$6)</f>
        <v/>
      </c>
      <c r="D51" s="5">
        <f>IF(C51&lt;=0,0,($B$7+$B$9*C51)*C51)</f>
        <v/>
      </c>
      <c r="E51" s="26">
        <f>D51*$B$11</f>
        <v/>
      </c>
      <c r="F51" s="26">
        <f>IF(A51&lt;=INDEX(SS_Amont!$A$11:$A$18,1),INDEX(SS_Amont!$E$11:$E$18,1),IF(A51&gt;=INDEX(SS_Amont!$A$11:$A$18,ROWS(SS_Amont!$A$11:$A$18)),INDEX(SS_Amont!$E$11:$E$18,ROWS(SS_Amont!$E$11:$E$18)),INDEX(SS_Amont!$E$11:$E$18,MATCH(A51,SS_Amont!$A$11:$A$18,1))+(A51-INDEX(SS_Amont!$A$11:$A$18,MATCH(A51,SS_Amont!$A$11:$A$18,1)))/(INDEX(SS_Amont!$A$11:$A$18,MATCH(A51,SS_Amont!$A$11:$A$18,1)+1)-INDEX(SS_Amont!$A$11:$A$18,MATCH(A51,SS_Amont!$A$11:$A$18,1)))*(INDEX(SS_Amont!$E$11:$E$18,MATCH(A51,SS_Amont!$A$11:$A$18,1)+1)-INDEX(SS_Amont!$E$11:$E$18,MATCH(A51,SS_Amont!$A$11:$A$18,1)))))</f>
        <v/>
      </c>
      <c r="G51" s="34">
        <f>E51+F51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</row>
    <row r="52">
      <c r="A52" s="32" t="n">
        <v>36.73</v>
      </c>
      <c r="B52" s="32">
        <f>A52-$B$12</f>
        <v/>
      </c>
      <c r="C52" s="32">
        <f>MAX(0,A52-$B$6)</f>
        <v/>
      </c>
      <c r="D52" s="5">
        <f>IF(C52&lt;=0,0,($B$7+$B$9*C52)*C52)</f>
        <v/>
      </c>
      <c r="E52" s="26">
        <f>D52*$B$11</f>
        <v/>
      </c>
      <c r="F52" s="26">
        <f>IF(A52&lt;=INDEX(SS_Amont!$A$11:$A$18,1),INDEX(SS_Amont!$E$11:$E$18,1),IF(A52&gt;=INDEX(SS_Amont!$A$11:$A$18,ROWS(SS_Amont!$A$11:$A$18)),INDEX(SS_Amont!$E$11:$E$18,ROWS(SS_Amont!$E$11:$E$18)),INDEX(SS_Amont!$E$11:$E$18,MATCH(A52,SS_Amont!$A$11:$A$18,1))+(A52-INDEX(SS_Amont!$A$11:$A$18,MATCH(A52,SS_Amont!$A$11:$A$18,1)))/(INDEX(SS_Amont!$A$11:$A$18,MATCH(A52,SS_Amont!$A$11:$A$18,1)+1)-INDEX(SS_Amont!$A$11:$A$18,MATCH(A52,SS_Amont!$A$11:$A$18,1)))*(INDEX(SS_Amont!$E$11:$E$18,MATCH(A52,SS_Amont!$A$11:$A$18,1)+1)-INDEX(SS_Amont!$E$11:$E$18,MATCH(A52,SS_Amont!$A$11:$A$18,1)))))</f>
        <v/>
      </c>
      <c r="G52" s="34">
        <f>E52+F52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</row>
    <row r="53">
      <c r="A53" s="32" t="n">
        <v>36.78</v>
      </c>
      <c r="B53" s="32">
        <f>A53-$B$12</f>
        <v/>
      </c>
      <c r="C53" s="32">
        <f>MAX(0,A53-$B$6)</f>
        <v/>
      </c>
      <c r="D53" s="5">
        <f>IF(C53&lt;=0,0,($B$7+$B$9*C53)*C53)</f>
        <v/>
      </c>
      <c r="E53" s="26">
        <f>D53*$B$11</f>
        <v/>
      </c>
      <c r="F53" s="26">
        <f>IF(A53&lt;=INDEX(SS_Amont!$A$11:$A$18,1),INDEX(SS_Amont!$E$11:$E$18,1),IF(A53&gt;=INDEX(SS_Amont!$A$11:$A$18,ROWS(SS_Amont!$A$11:$A$18)),INDEX(SS_Amont!$E$11:$E$18,ROWS(SS_Amont!$E$11:$E$18)),INDEX(SS_Amont!$E$11:$E$18,MATCH(A53,SS_Amont!$A$11:$A$18,1))+(A53-INDEX(SS_Amont!$A$11:$A$18,MATCH(A53,SS_Amont!$A$11:$A$18,1)))/(INDEX(SS_Amont!$A$11:$A$18,MATCH(A53,SS_Amont!$A$11:$A$18,1)+1)-INDEX(SS_Amont!$A$11:$A$18,MATCH(A53,SS_Amont!$A$11:$A$18,1)))*(INDEX(SS_Amont!$E$11:$E$18,MATCH(A53,SS_Amont!$A$11:$A$18,1)+1)-INDEX(SS_Amont!$E$11:$E$18,MATCH(A53,SS_Amont!$A$11:$A$18,1)))))</f>
        <v/>
      </c>
      <c r="G53" s="34">
        <f>E53+F53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</row>
    <row r="54">
      <c r="A54" s="32" t="n">
        <v>36.83</v>
      </c>
      <c r="B54" s="32">
        <f>A54-$B$12</f>
        <v/>
      </c>
      <c r="C54" s="32">
        <f>MAX(0,A54-$B$6)</f>
        <v/>
      </c>
      <c r="D54" s="5">
        <f>IF(C54&lt;=0,0,($B$7+$B$9*C54)*C54)</f>
        <v/>
      </c>
      <c r="E54" s="26">
        <f>D54*$B$11</f>
        <v/>
      </c>
      <c r="F54" s="26">
        <f>IF(A54&lt;=INDEX(SS_Amont!$A$11:$A$18,1),INDEX(SS_Amont!$E$11:$E$18,1),IF(A54&gt;=INDEX(SS_Amont!$A$11:$A$18,ROWS(SS_Amont!$A$11:$A$18)),INDEX(SS_Amont!$E$11:$E$18,ROWS(SS_Amont!$E$11:$E$18)),INDEX(SS_Amont!$E$11:$E$18,MATCH(A54,SS_Amont!$A$11:$A$18,1))+(A54-INDEX(SS_Amont!$A$11:$A$18,MATCH(A54,SS_Amont!$A$11:$A$18,1)))/(INDEX(SS_Amont!$A$11:$A$18,MATCH(A54,SS_Amont!$A$11:$A$18,1)+1)-INDEX(SS_Amont!$A$11:$A$18,MATCH(A54,SS_Amont!$A$11:$A$18,1)))*(INDEX(SS_Amont!$E$11:$E$18,MATCH(A54,SS_Amont!$A$11:$A$18,1)+1)-INDEX(SS_Amont!$E$11:$E$18,MATCH(A54,SS_Amont!$A$11:$A$18,1)))))</f>
        <v/>
      </c>
      <c r="G54" s="34">
        <f>E54+F54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</row>
    <row r="55">
      <c r="A55" s="32" t="n">
        <v>36.88</v>
      </c>
      <c r="B55" s="32">
        <f>A55-$B$12</f>
        <v/>
      </c>
      <c r="C55" s="32">
        <f>MAX(0,A55-$B$6)</f>
        <v/>
      </c>
      <c r="D55" s="5">
        <f>IF(C55&lt;=0,0,($B$7+$B$9*C55)*C55)</f>
        <v/>
      </c>
      <c r="E55" s="26">
        <f>D55*$B$11</f>
        <v/>
      </c>
      <c r="F55" s="26">
        <f>IF(A55&lt;=INDEX(SS_Amont!$A$11:$A$18,1),INDEX(SS_Amont!$E$11:$E$18,1),IF(A55&gt;=INDEX(SS_Amont!$A$11:$A$18,ROWS(SS_Amont!$A$11:$A$18)),INDEX(SS_Amont!$E$11:$E$18,ROWS(SS_Amont!$E$11:$E$18)),INDEX(SS_Amont!$E$11:$E$18,MATCH(A55,SS_Amont!$A$11:$A$18,1))+(A55-INDEX(SS_Amont!$A$11:$A$18,MATCH(A55,SS_Amont!$A$11:$A$18,1)))/(INDEX(SS_Amont!$A$11:$A$18,MATCH(A55,SS_Amont!$A$11:$A$18,1)+1)-INDEX(SS_Amont!$A$11:$A$18,MATCH(A55,SS_Amont!$A$11:$A$18,1)))*(INDEX(SS_Amont!$E$11:$E$18,MATCH(A55,SS_Amont!$A$11:$A$18,1)+1)-INDEX(SS_Amont!$E$11:$E$18,MATCH(A55,SS_Amont!$A$11:$A$18,1)))))</f>
        <v/>
      </c>
      <c r="G55" s="34">
        <f>E55+F55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</row>
    <row r="56">
      <c r="A56" s="32" t="n">
        <v>36.93</v>
      </c>
      <c r="B56" s="32">
        <f>A56-$B$12</f>
        <v/>
      </c>
      <c r="C56" s="32">
        <f>MAX(0,A56-$B$6)</f>
        <v/>
      </c>
      <c r="D56" s="5">
        <f>IF(C56&lt;=0,0,($B$7+$B$9*C56)*C56)</f>
        <v/>
      </c>
      <c r="E56" s="26">
        <f>D56*$B$11</f>
        <v/>
      </c>
      <c r="F56" s="26">
        <f>IF(A56&lt;=INDEX(SS_Amont!$A$11:$A$18,1),INDEX(SS_Amont!$E$11:$E$18,1),IF(A56&gt;=INDEX(SS_Amont!$A$11:$A$18,ROWS(SS_Amont!$A$11:$A$18)),INDEX(SS_Amont!$E$11:$E$18,ROWS(SS_Amont!$E$11:$E$18)),INDEX(SS_Amont!$E$11:$E$18,MATCH(A56,SS_Amont!$A$11:$A$18,1))+(A56-INDEX(SS_Amont!$A$11:$A$18,MATCH(A56,SS_Amont!$A$11:$A$18,1)))/(INDEX(SS_Amont!$A$11:$A$18,MATCH(A56,SS_Amont!$A$11:$A$18,1)+1)-INDEX(SS_Amont!$A$11:$A$18,MATCH(A56,SS_Amont!$A$11:$A$18,1)))*(INDEX(SS_Amont!$E$11:$E$18,MATCH(A56,SS_Amont!$A$11:$A$18,1)+1)-INDEX(SS_Amont!$E$11:$E$18,MATCH(A56,SS_Amont!$A$11:$A$18,1)))))</f>
        <v/>
      </c>
      <c r="G56" s="34">
        <f>E56+F56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</row>
    <row r="57">
      <c r="A57" s="32" t="n">
        <v>36.98</v>
      </c>
      <c r="B57" s="32">
        <f>A57-$B$12</f>
        <v/>
      </c>
      <c r="C57" s="32">
        <f>MAX(0,A57-$B$6)</f>
        <v/>
      </c>
      <c r="D57" s="5">
        <f>IF(C57&lt;=0,0,($B$7+$B$9*C57)*C57)</f>
        <v/>
      </c>
      <c r="E57" s="26">
        <f>D57*$B$11</f>
        <v/>
      </c>
      <c r="F57" s="26">
        <f>IF(A57&lt;=INDEX(SS_Amont!$A$11:$A$18,1),INDEX(SS_Amont!$E$11:$E$18,1),IF(A57&gt;=INDEX(SS_Amont!$A$11:$A$18,ROWS(SS_Amont!$A$11:$A$18)),INDEX(SS_Amont!$E$11:$E$18,ROWS(SS_Amont!$E$11:$E$18)),INDEX(SS_Amont!$E$11:$E$18,MATCH(A57,SS_Amont!$A$11:$A$18,1))+(A57-INDEX(SS_Amont!$A$11:$A$18,MATCH(A57,SS_Amont!$A$11:$A$18,1)))/(INDEX(SS_Amont!$A$11:$A$18,MATCH(A57,SS_Amont!$A$11:$A$18,1)+1)-INDEX(SS_Amont!$A$11:$A$18,MATCH(A57,SS_Amont!$A$11:$A$18,1)))*(INDEX(SS_Amont!$E$11:$E$18,MATCH(A57,SS_Amont!$A$11:$A$18,1)+1)-INDEX(SS_Amont!$E$11:$E$18,MATCH(A57,SS_Amont!$A$11:$A$18,1)))))</f>
        <v/>
      </c>
      <c r="G57" s="34">
        <f>E57+F57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</row>
    <row r="58">
      <c r="A58" s="32" t="n">
        <v>37.03</v>
      </c>
      <c r="B58" s="32">
        <f>A58-$B$12</f>
        <v/>
      </c>
      <c r="C58" s="32">
        <f>MAX(0,A58-$B$6)</f>
        <v/>
      </c>
      <c r="D58" s="5">
        <f>IF(C58&lt;=0,0,($B$7+$B$9*C58)*C58)</f>
        <v/>
      </c>
      <c r="E58" s="26">
        <f>D58*$B$11</f>
        <v/>
      </c>
      <c r="F58" s="26">
        <f>IF(A58&lt;=INDEX(SS_Amont!$A$11:$A$18,1),INDEX(SS_Amont!$E$11:$E$18,1),IF(A58&gt;=INDEX(SS_Amont!$A$11:$A$18,ROWS(SS_Amont!$A$11:$A$18)),INDEX(SS_Amont!$E$11:$E$18,ROWS(SS_Amont!$E$11:$E$18)),INDEX(SS_Amont!$E$11:$E$18,MATCH(A58,SS_Amont!$A$11:$A$18,1))+(A58-INDEX(SS_Amont!$A$11:$A$18,MATCH(A58,SS_Amont!$A$11:$A$18,1)))/(INDEX(SS_Amont!$A$11:$A$18,MATCH(A58,SS_Amont!$A$11:$A$18,1)+1)-INDEX(SS_Amont!$A$11:$A$18,MATCH(A58,SS_Amont!$A$11:$A$18,1)))*(INDEX(SS_Amont!$E$11:$E$18,MATCH(A58,SS_Amont!$A$11:$A$18,1)+1)-INDEX(SS_Amont!$E$11:$E$18,MATCH(A58,SS_Amont!$A$11:$A$18,1)))))</f>
        <v/>
      </c>
      <c r="G58" s="34">
        <f>E58+F58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</row>
    <row r="59">
      <c r="A59" s="32" t="n">
        <v>37.08</v>
      </c>
      <c r="B59" s="32">
        <f>A59-$B$12</f>
        <v/>
      </c>
      <c r="C59" s="32">
        <f>MAX(0,A59-$B$6)</f>
        <v/>
      </c>
      <c r="D59" s="5">
        <f>IF(C59&lt;=0,0,($B$7+$B$9*C59)*C59)</f>
        <v/>
      </c>
      <c r="E59" s="26">
        <f>D59*$B$11</f>
        <v/>
      </c>
      <c r="F59" s="26">
        <f>IF(A59&lt;=INDEX(SS_Amont!$A$11:$A$18,1),INDEX(SS_Amont!$E$11:$E$18,1),IF(A59&gt;=INDEX(SS_Amont!$A$11:$A$18,ROWS(SS_Amont!$A$11:$A$18)),INDEX(SS_Amont!$E$11:$E$18,ROWS(SS_Amont!$E$11:$E$18)),INDEX(SS_Amont!$E$11:$E$18,MATCH(A59,SS_Amont!$A$11:$A$18,1))+(A59-INDEX(SS_Amont!$A$11:$A$18,MATCH(A59,SS_Amont!$A$11:$A$18,1)))/(INDEX(SS_Amont!$A$11:$A$18,MATCH(A59,SS_Amont!$A$11:$A$18,1)+1)-INDEX(SS_Amont!$A$11:$A$18,MATCH(A59,SS_Amont!$A$11:$A$18,1)))*(INDEX(SS_Amont!$E$11:$E$18,MATCH(A59,SS_Amont!$A$11:$A$18,1)+1)-INDEX(SS_Amont!$E$11:$E$18,MATCH(A59,SS_Amont!$A$11:$A$18,1)))))</f>
        <v/>
      </c>
      <c r="G59" s="34">
        <f>E59+F59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</row>
    <row r="60">
      <c r="A60" s="32" t="n">
        <v>37.13</v>
      </c>
      <c r="B60" s="32">
        <f>A60-$B$12</f>
        <v/>
      </c>
      <c r="C60" s="32">
        <f>MAX(0,A60-$B$6)</f>
        <v/>
      </c>
      <c r="D60" s="5">
        <f>IF(C60&lt;=0,0,($B$7+$B$9*C60)*C60)</f>
        <v/>
      </c>
      <c r="E60" s="26">
        <f>D60*$B$11</f>
        <v/>
      </c>
      <c r="F60" s="26">
        <f>IF(A60&lt;=INDEX(SS_Amont!$A$11:$A$18,1),INDEX(SS_Amont!$E$11:$E$18,1),IF(A60&gt;=INDEX(SS_Amont!$A$11:$A$18,ROWS(SS_Amont!$A$11:$A$18)),INDEX(SS_Amont!$E$11:$E$18,ROWS(SS_Amont!$E$11:$E$18)),INDEX(SS_Amont!$E$11:$E$18,MATCH(A60,SS_Amont!$A$11:$A$18,1))+(A60-INDEX(SS_Amont!$A$11:$A$18,MATCH(A60,SS_Amont!$A$11:$A$18,1)))/(INDEX(SS_Amont!$A$11:$A$18,MATCH(A60,SS_Amont!$A$11:$A$18,1)+1)-INDEX(SS_Amont!$A$11:$A$18,MATCH(A60,SS_Amont!$A$11:$A$18,1)))*(INDEX(SS_Amont!$E$11:$E$18,MATCH(A60,SS_Amont!$A$11:$A$18,1)+1)-INDEX(SS_Amont!$E$11:$E$18,MATCH(A60,SS_Amont!$A$11:$A$18,1)))))</f>
        <v/>
      </c>
      <c r="G60" s="34">
        <f>E60+F60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</row>
    <row r="61">
      <c r="A61" s="32" t="n">
        <v>37.18</v>
      </c>
      <c r="B61" s="32">
        <f>A61-$B$12</f>
        <v/>
      </c>
      <c r="C61" s="32">
        <f>MAX(0,A61-$B$6)</f>
        <v/>
      </c>
      <c r="D61" s="5">
        <f>IF(C61&lt;=0,0,($B$7+$B$9*C61)*C61)</f>
        <v/>
      </c>
      <c r="E61" s="26">
        <f>D61*$B$11</f>
        <v/>
      </c>
      <c r="F61" s="26">
        <f>IF(A61&lt;=INDEX(SS_Amont!$A$11:$A$18,1),INDEX(SS_Amont!$E$11:$E$18,1),IF(A61&gt;=INDEX(SS_Amont!$A$11:$A$18,ROWS(SS_Amont!$A$11:$A$18)),INDEX(SS_Amont!$E$11:$E$18,ROWS(SS_Amont!$E$11:$E$18)),INDEX(SS_Amont!$E$11:$E$18,MATCH(A61,SS_Amont!$A$11:$A$18,1))+(A61-INDEX(SS_Amont!$A$11:$A$18,MATCH(A61,SS_Amont!$A$11:$A$18,1)))/(INDEX(SS_Amont!$A$11:$A$18,MATCH(A61,SS_Amont!$A$11:$A$18,1)+1)-INDEX(SS_Amont!$A$11:$A$18,MATCH(A61,SS_Amont!$A$11:$A$18,1)))*(INDEX(SS_Amont!$E$11:$E$18,MATCH(A61,SS_Amont!$A$11:$A$18,1)+1)-INDEX(SS_Amont!$E$11:$E$18,MATCH(A61,SS_Amont!$A$11:$A$18,1)))))</f>
        <v/>
      </c>
      <c r="G61" s="34">
        <f>E61+F61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</row>
    <row r="62">
      <c r="A62" s="32" t="n">
        <v>37.23</v>
      </c>
      <c r="B62" s="32">
        <f>A62-$B$12</f>
        <v/>
      </c>
      <c r="C62" s="32">
        <f>MAX(0,A62-$B$6)</f>
        <v/>
      </c>
      <c r="D62" s="5">
        <f>IF(C62&lt;=0,0,($B$7+$B$9*C62)*C62)</f>
        <v/>
      </c>
      <c r="E62" s="26">
        <f>D62*$B$11</f>
        <v/>
      </c>
      <c r="F62" s="26">
        <f>IF(A62&lt;=INDEX(SS_Amont!$A$11:$A$18,1),INDEX(SS_Amont!$E$11:$E$18,1),IF(A62&gt;=INDEX(SS_Amont!$A$11:$A$18,ROWS(SS_Amont!$A$11:$A$18)),INDEX(SS_Amont!$E$11:$E$18,ROWS(SS_Amont!$E$11:$E$18)),INDEX(SS_Amont!$E$11:$E$18,MATCH(A62,SS_Amont!$A$11:$A$18,1))+(A62-INDEX(SS_Amont!$A$11:$A$18,MATCH(A62,SS_Amont!$A$11:$A$18,1)))/(INDEX(SS_Amont!$A$11:$A$18,MATCH(A62,SS_Amont!$A$11:$A$18,1)+1)-INDEX(SS_Amont!$A$11:$A$18,MATCH(A62,SS_Amont!$A$11:$A$18,1)))*(INDEX(SS_Amont!$E$11:$E$18,MATCH(A62,SS_Amont!$A$11:$A$18,1)+1)-INDEX(SS_Amont!$E$11:$E$18,MATCH(A62,SS_Amont!$A$11:$A$18,1)))))</f>
        <v/>
      </c>
      <c r="G62" s="34">
        <f>E62+F62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</row>
    <row r="63">
      <c r="A63" s="32" t="n">
        <v>37.28</v>
      </c>
      <c r="B63" s="32">
        <f>A63-$B$12</f>
        <v/>
      </c>
      <c r="C63" s="32">
        <f>MAX(0,A63-$B$6)</f>
        <v/>
      </c>
      <c r="D63" s="5">
        <f>IF(C63&lt;=0,0,($B$7+$B$9*C63)*C63)</f>
        <v/>
      </c>
      <c r="E63" s="26">
        <f>D63*$B$11</f>
        <v/>
      </c>
      <c r="F63" s="26">
        <f>IF(A63&lt;=INDEX(SS_Amont!$A$11:$A$18,1),INDEX(SS_Amont!$E$11:$E$18,1),IF(A63&gt;=INDEX(SS_Amont!$A$11:$A$18,ROWS(SS_Amont!$A$11:$A$18)),INDEX(SS_Amont!$E$11:$E$18,ROWS(SS_Amont!$E$11:$E$18)),INDEX(SS_Amont!$E$11:$E$18,MATCH(A63,SS_Amont!$A$11:$A$18,1))+(A63-INDEX(SS_Amont!$A$11:$A$18,MATCH(A63,SS_Amont!$A$11:$A$18,1)))/(INDEX(SS_Amont!$A$11:$A$18,MATCH(A63,SS_Amont!$A$11:$A$18,1)+1)-INDEX(SS_Amont!$A$11:$A$18,MATCH(A63,SS_Amont!$A$11:$A$18,1)))*(INDEX(SS_Amont!$E$11:$E$18,MATCH(A63,SS_Amont!$A$11:$A$18,1)+1)-INDEX(SS_Amont!$E$11:$E$18,MATCH(A63,SS_Amont!$A$11:$A$18,1)))))</f>
        <v/>
      </c>
      <c r="G63" s="34">
        <f>E63+F63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</row>
    <row r="64">
      <c r="A64" s="32" t="n">
        <v>37.33</v>
      </c>
      <c r="B64" s="32">
        <f>A64-$B$12</f>
        <v/>
      </c>
      <c r="C64" s="32">
        <f>MAX(0,A64-$B$6)</f>
        <v/>
      </c>
      <c r="D64" s="5">
        <f>IF(C64&lt;=0,0,($B$7+$B$9*C64)*C64)</f>
        <v/>
      </c>
      <c r="E64" s="26">
        <f>D64*$B$11</f>
        <v/>
      </c>
      <c r="F64" s="26">
        <f>IF(A64&lt;=INDEX(SS_Amont!$A$11:$A$18,1),INDEX(SS_Amont!$E$11:$E$18,1),IF(A64&gt;=INDEX(SS_Amont!$A$11:$A$18,ROWS(SS_Amont!$A$11:$A$18)),INDEX(SS_Amont!$E$11:$E$18,ROWS(SS_Amont!$E$11:$E$18)),INDEX(SS_Amont!$E$11:$E$18,MATCH(A64,SS_Amont!$A$11:$A$18,1))+(A64-INDEX(SS_Amont!$A$11:$A$18,MATCH(A64,SS_Amont!$A$11:$A$18,1)))/(INDEX(SS_Amont!$A$11:$A$18,MATCH(A64,SS_Amont!$A$11:$A$18,1)+1)-INDEX(SS_Amont!$A$11:$A$18,MATCH(A64,SS_Amont!$A$11:$A$18,1)))*(INDEX(SS_Amont!$E$11:$E$18,MATCH(A64,SS_Amont!$A$11:$A$18,1)+1)-INDEX(SS_Amont!$E$11:$E$18,MATCH(A64,SS_Amont!$A$11:$A$18,1)))))</f>
        <v/>
      </c>
      <c r="G64" s="34">
        <f>E64+F64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</row>
    <row r="65">
      <c r="A65" s="32" t="n">
        <v>37.38</v>
      </c>
      <c r="B65" s="32">
        <f>A65-$B$12</f>
        <v/>
      </c>
      <c r="C65" s="32">
        <f>MAX(0,A65-$B$6)</f>
        <v/>
      </c>
      <c r="D65" s="5">
        <f>IF(C65&lt;=0,0,($B$7+$B$9*C65)*C65)</f>
        <v/>
      </c>
      <c r="E65" s="26">
        <f>D65*$B$11</f>
        <v/>
      </c>
      <c r="F65" s="26">
        <f>IF(A65&lt;=INDEX(SS_Amont!$A$11:$A$18,1),INDEX(SS_Amont!$E$11:$E$18,1),IF(A65&gt;=INDEX(SS_Amont!$A$11:$A$18,ROWS(SS_Amont!$A$11:$A$18)),INDEX(SS_Amont!$E$11:$E$18,ROWS(SS_Amont!$E$11:$E$18)),INDEX(SS_Amont!$E$11:$E$18,MATCH(A65,SS_Amont!$A$11:$A$18,1))+(A65-INDEX(SS_Amont!$A$11:$A$18,MATCH(A65,SS_Amont!$A$11:$A$18,1)))/(INDEX(SS_Amont!$A$11:$A$18,MATCH(A65,SS_Amont!$A$11:$A$18,1)+1)-INDEX(SS_Amont!$A$11:$A$18,MATCH(A65,SS_Amont!$A$11:$A$18,1)))*(INDEX(SS_Amont!$E$11:$E$18,MATCH(A65,SS_Amont!$A$11:$A$18,1)+1)-INDEX(SS_Amont!$E$11:$E$18,MATCH(A65,SS_Amont!$A$11:$A$18,1)))))</f>
        <v/>
      </c>
      <c r="G65" s="34">
        <f>E65+F65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</row>
    <row r="66">
      <c r="A66" s="32" t="n">
        <v>37.43</v>
      </c>
      <c r="B66" s="32">
        <f>A66-$B$12</f>
        <v/>
      </c>
      <c r="C66" s="32">
        <f>MAX(0,A66-$B$6)</f>
        <v/>
      </c>
      <c r="D66" s="5">
        <f>IF(C66&lt;=0,0,($B$7+$B$9*C66)*C66)</f>
        <v/>
      </c>
      <c r="E66" s="26">
        <f>D66*$B$11</f>
        <v/>
      </c>
      <c r="F66" s="26">
        <f>IF(A66&lt;=INDEX(SS_Amont!$A$11:$A$18,1),INDEX(SS_Amont!$E$11:$E$18,1),IF(A66&gt;=INDEX(SS_Amont!$A$11:$A$18,ROWS(SS_Amont!$A$11:$A$18)),INDEX(SS_Amont!$E$11:$E$18,ROWS(SS_Amont!$E$11:$E$18)),INDEX(SS_Amont!$E$11:$E$18,MATCH(A66,SS_Amont!$A$11:$A$18,1))+(A66-INDEX(SS_Amont!$A$11:$A$18,MATCH(A66,SS_Amont!$A$11:$A$18,1)))/(INDEX(SS_Amont!$A$11:$A$18,MATCH(A66,SS_Amont!$A$11:$A$18,1)+1)-INDEX(SS_Amont!$A$11:$A$18,MATCH(A66,SS_Amont!$A$11:$A$18,1)))*(INDEX(SS_Amont!$E$11:$E$18,MATCH(A66,SS_Amont!$A$11:$A$18,1)+1)-INDEX(SS_Amont!$E$11:$E$18,MATCH(A66,SS_Amont!$A$11:$A$18,1)))))</f>
        <v/>
      </c>
      <c r="G66" s="34">
        <f>E66+F66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</row>
    <row r="67">
      <c r="A67" s="32" t="n">
        <v>37.48</v>
      </c>
      <c r="B67" s="32">
        <f>A67-$B$12</f>
        <v/>
      </c>
      <c r="C67" s="32">
        <f>MAX(0,A67-$B$6)</f>
        <v/>
      </c>
      <c r="D67" s="5">
        <f>IF(C67&lt;=0,0,($B$7+$B$9*C67)*C67)</f>
        <v/>
      </c>
      <c r="E67" s="26">
        <f>D67*$B$11</f>
        <v/>
      </c>
      <c r="F67" s="26">
        <f>IF(A67&lt;=INDEX(SS_Amont!$A$11:$A$18,1),INDEX(SS_Amont!$E$11:$E$18,1),IF(A67&gt;=INDEX(SS_Amont!$A$11:$A$18,ROWS(SS_Amont!$A$11:$A$18)),INDEX(SS_Amont!$E$11:$E$18,ROWS(SS_Amont!$E$11:$E$18)),INDEX(SS_Amont!$E$11:$E$18,MATCH(A67,SS_Amont!$A$11:$A$18,1))+(A67-INDEX(SS_Amont!$A$11:$A$18,MATCH(A67,SS_Amont!$A$11:$A$18,1)))/(INDEX(SS_Amont!$A$11:$A$18,MATCH(A67,SS_Amont!$A$11:$A$18,1)+1)-INDEX(SS_Amont!$A$11:$A$18,MATCH(A67,SS_Amont!$A$11:$A$18,1)))*(INDEX(SS_Amont!$E$11:$E$18,MATCH(A67,SS_Amont!$A$11:$A$18,1)+1)-INDEX(SS_Amont!$E$11:$E$18,MATCH(A67,SS_Amont!$A$11:$A$18,1)))))</f>
        <v/>
      </c>
      <c r="G67" s="34">
        <f>E67+F67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</row>
    <row r="68">
      <c r="A68" s="32" t="n">
        <v>37.53</v>
      </c>
      <c r="B68" s="32">
        <f>A68-$B$12</f>
        <v/>
      </c>
      <c r="C68" s="32">
        <f>MAX(0,A68-$B$6)</f>
        <v/>
      </c>
      <c r="D68" s="5">
        <f>IF(C68&lt;=0,0,($B$7+$B$9*C68)*C68)</f>
        <v/>
      </c>
      <c r="E68" s="26">
        <f>D68*$B$11</f>
        <v/>
      </c>
      <c r="F68" s="26">
        <f>IF(A68&lt;=INDEX(SS_Amont!$A$11:$A$18,1),INDEX(SS_Amont!$E$11:$E$18,1),IF(A68&gt;=INDEX(SS_Amont!$A$11:$A$18,ROWS(SS_Amont!$A$11:$A$18)),INDEX(SS_Amont!$E$11:$E$18,ROWS(SS_Amont!$E$11:$E$18)),INDEX(SS_Amont!$E$11:$E$18,MATCH(A68,SS_Amont!$A$11:$A$18,1))+(A68-INDEX(SS_Amont!$A$11:$A$18,MATCH(A68,SS_Amont!$A$11:$A$18,1)))/(INDEX(SS_Amont!$A$11:$A$18,MATCH(A68,SS_Amont!$A$11:$A$18,1)+1)-INDEX(SS_Amont!$A$11:$A$18,MATCH(A68,SS_Amont!$A$11:$A$18,1)))*(INDEX(SS_Amont!$E$11:$E$18,MATCH(A68,SS_Amont!$A$11:$A$18,1)+1)-INDEX(SS_Amont!$E$11:$E$18,MATCH(A68,SS_Amont!$A$11:$A$18,1)))))</f>
        <v/>
      </c>
      <c r="G68" s="34">
        <f>E68+F68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</row>
    <row r="69">
      <c r="A69" s="32" t="n">
        <v>37.58</v>
      </c>
      <c r="B69" s="32">
        <f>A69-$B$12</f>
        <v/>
      </c>
      <c r="C69" s="32">
        <f>MAX(0,A69-$B$6)</f>
        <v/>
      </c>
      <c r="D69" s="5">
        <f>IF(C69&lt;=0,0,($B$7+$B$9*C69)*C69)</f>
        <v/>
      </c>
      <c r="E69" s="26">
        <f>D69*$B$11</f>
        <v/>
      </c>
      <c r="F69" s="26">
        <f>IF(A69&lt;=INDEX(SS_Amont!$A$11:$A$18,1),INDEX(SS_Amont!$E$11:$E$18,1),IF(A69&gt;=INDEX(SS_Amont!$A$11:$A$18,ROWS(SS_Amont!$A$11:$A$18)),INDEX(SS_Amont!$E$11:$E$18,ROWS(SS_Amont!$E$11:$E$18)),INDEX(SS_Amont!$E$11:$E$18,MATCH(A69,SS_Amont!$A$11:$A$18,1))+(A69-INDEX(SS_Amont!$A$11:$A$18,MATCH(A69,SS_Amont!$A$11:$A$18,1)))/(INDEX(SS_Amont!$A$11:$A$18,MATCH(A69,SS_Amont!$A$11:$A$18,1)+1)-INDEX(SS_Amont!$A$11:$A$18,MATCH(A69,SS_Amont!$A$11:$A$18,1)))*(INDEX(SS_Amont!$E$11:$E$18,MATCH(A69,SS_Amont!$A$11:$A$18,1)+1)-INDEX(SS_Amont!$E$11:$E$18,MATCH(A69,SS_Amont!$A$11:$A$18,1)))))</f>
        <v/>
      </c>
      <c r="G69" s="34">
        <f>E69+F69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</row>
    <row r="70">
      <c r="A70" s="32" t="n">
        <v>37.63</v>
      </c>
      <c r="B70" s="32">
        <f>A70-$B$12</f>
        <v/>
      </c>
      <c r="C70" s="32">
        <f>MAX(0,A70-$B$6)</f>
        <v/>
      </c>
      <c r="D70" s="5">
        <f>IF(C70&lt;=0,0,($B$7+$B$9*C70)*C70)</f>
        <v/>
      </c>
      <c r="E70" s="26">
        <f>D70*$B$11</f>
        <v/>
      </c>
      <c r="F70" s="26">
        <f>IF(A70&lt;=INDEX(SS_Amont!$A$11:$A$18,1),INDEX(SS_Amont!$E$11:$E$18,1),IF(A70&gt;=INDEX(SS_Amont!$A$11:$A$18,ROWS(SS_Amont!$A$11:$A$18)),INDEX(SS_Amont!$E$11:$E$18,ROWS(SS_Amont!$E$11:$E$18)),INDEX(SS_Amont!$E$11:$E$18,MATCH(A70,SS_Amont!$A$11:$A$18,1))+(A70-INDEX(SS_Amont!$A$11:$A$18,MATCH(A70,SS_Amont!$A$11:$A$18,1)))/(INDEX(SS_Amont!$A$11:$A$18,MATCH(A70,SS_Amont!$A$11:$A$18,1)+1)-INDEX(SS_Amont!$A$11:$A$18,MATCH(A70,SS_Amont!$A$11:$A$18,1)))*(INDEX(SS_Amont!$E$11:$E$18,MATCH(A70,SS_Amont!$A$11:$A$18,1)+1)-INDEX(SS_Amont!$E$11:$E$18,MATCH(A70,SS_Amont!$A$11:$A$18,1)))))</f>
        <v/>
      </c>
      <c r="G70" s="34">
        <f>E70+F70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</row>
    <row r="71">
      <c r="A71" s="32" t="n">
        <v>37.68</v>
      </c>
      <c r="B71" s="32">
        <f>A71-$B$12</f>
        <v/>
      </c>
      <c r="C71" s="32">
        <f>MAX(0,A71-$B$6)</f>
        <v/>
      </c>
      <c r="D71" s="5">
        <f>IF(C71&lt;=0,0,($B$7+$B$9*C71)*C71)</f>
        <v/>
      </c>
      <c r="E71" s="26">
        <f>D71*$B$11</f>
        <v/>
      </c>
      <c r="F71" s="26">
        <f>IF(A71&lt;=INDEX(SS_Amont!$A$11:$A$18,1),INDEX(SS_Amont!$E$11:$E$18,1),IF(A71&gt;=INDEX(SS_Amont!$A$11:$A$18,ROWS(SS_Amont!$A$11:$A$18)),INDEX(SS_Amont!$E$11:$E$18,ROWS(SS_Amont!$E$11:$E$18)),INDEX(SS_Amont!$E$11:$E$18,MATCH(A71,SS_Amont!$A$11:$A$18,1))+(A71-INDEX(SS_Amont!$A$11:$A$18,MATCH(A71,SS_Amont!$A$11:$A$18,1)))/(INDEX(SS_Amont!$A$11:$A$18,MATCH(A71,SS_Amont!$A$11:$A$18,1)+1)-INDEX(SS_Amont!$A$11:$A$18,MATCH(A71,SS_Amont!$A$11:$A$18,1)))*(INDEX(SS_Amont!$E$11:$E$18,MATCH(A71,SS_Amont!$A$11:$A$18,1)+1)-INDEX(SS_Amont!$E$11:$E$18,MATCH(A71,SS_Amont!$A$11:$A$18,1)))))</f>
        <v/>
      </c>
      <c r="G71" s="34">
        <f>E71+F71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</row>
    <row r="72">
      <c r="A72" s="32" t="n">
        <v>37.73</v>
      </c>
      <c r="B72" s="32">
        <f>A72-$B$12</f>
        <v/>
      </c>
      <c r="C72" s="32">
        <f>MAX(0,A72-$B$6)</f>
        <v/>
      </c>
      <c r="D72" s="5">
        <f>IF(C72&lt;=0,0,($B$7+$B$9*C72)*C72)</f>
        <v/>
      </c>
      <c r="E72" s="26">
        <f>D72*$B$11</f>
        <v/>
      </c>
      <c r="F72" s="26">
        <f>IF(A72&lt;=INDEX(SS_Amont!$A$11:$A$18,1),INDEX(SS_Amont!$E$11:$E$18,1),IF(A72&gt;=INDEX(SS_Amont!$A$11:$A$18,ROWS(SS_Amont!$A$11:$A$18)),INDEX(SS_Amont!$E$11:$E$18,ROWS(SS_Amont!$E$11:$E$18)),INDEX(SS_Amont!$E$11:$E$18,MATCH(A72,SS_Amont!$A$11:$A$18,1))+(A72-INDEX(SS_Amont!$A$11:$A$18,MATCH(A72,SS_Amont!$A$11:$A$18,1)))/(INDEX(SS_Amont!$A$11:$A$18,MATCH(A72,SS_Amont!$A$11:$A$18,1)+1)-INDEX(SS_Amont!$A$11:$A$18,MATCH(A72,SS_Amont!$A$11:$A$18,1)))*(INDEX(SS_Amont!$E$11:$E$18,MATCH(A72,SS_Amont!$A$11:$A$18,1)+1)-INDEX(SS_Amont!$E$11:$E$18,MATCH(A72,SS_Amont!$A$11:$A$18,1)))))</f>
        <v/>
      </c>
      <c r="G72" s="34">
        <f>E72+F72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</row>
    <row r="73">
      <c r="A73" s="32" t="n">
        <v>37.78</v>
      </c>
      <c r="B73" s="32">
        <f>A73-$B$12</f>
        <v/>
      </c>
      <c r="C73" s="32">
        <f>MAX(0,A73-$B$6)</f>
        <v/>
      </c>
      <c r="D73" s="5">
        <f>IF(C73&lt;=0,0,($B$7+$B$9*C73)*C73)</f>
        <v/>
      </c>
      <c r="E73" s="26">
        <f>D73*$B$11</f>
        <v/>
      </c>
      <c r="F73" s="26">
        <f>IF(A73&lt;=INDEX(SS_Amont!$A$11:$A$18,1),INDEX(SS_Amont!$E$11:$E$18,1),IF(A73&gt;=INDEX(SS_Amont!$A$11:$A$18,ROWS(SS_Amont!$A$11:$A$18)),INDEX(SS_Amont!$E$11:$E$18,ROWS(SS_Amont!$E$11:$E$18)),INDEX(SS_Amont!$E$11:$E$18,MATCH(A73,SS_Amont!$A$11:$A$18,1))+(A73-INDEX(SS_Amont!$A$11:$A$18,MATCH(A73,SS_Amont!$A$11:$A$18,1)))/(INDEX(SS_Amont!$A$11:$A$18,MATCH(A73,SS_Amont!$A$11:$A$18,1)+1)-INDEX(SS_Amont!$A$11:$A$18,MATCH(A73,SS_Amont!$A$11:$A$18,1)))*(INDEX(SS_Amont!$E$11:$E$18,MATCH(A73,SS_Amont!$A$11:$A$18,1)+1)-INDEX(SS_Amont!$E$11:$E$18,MATCH(A73,SS_Amont!$A$11:$A$18,1)))))</f>
        <v/>
      </c>
      <c r="G73" s="34">
        <f>E73+F73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</row>
    <row r="74">
      <c r="A74" s="32" t="n">
        <v>37.83</v>
      </c>
      <c r="B74" s="32">
        <f>A74-$B$12</f>
        <v/>
      </c>
      <c r="C74" s="32">
        <f>MAX(0,A74-$B$6)</f>
        <v/>
      </c>
      <c r="D74" s="5">
        <f>IF(C74&lt;=0,0,($B$7+$B$9*C74)*C74)</f>
        <v/>
      </c>
      <c r="E74" s="26">
        <f>D74*$B$11</f>
        <v/>
      </c>
      <c r="F74" s="26">
        <f>IF(A74&lt;=INDEX(SS_Amont!$A$11:$A$18,1),INDEX(SS_Amont!$E$11:$E$18,1),IF(A74&gt;=INDEX(SS_Amont!$A$11:$A$18,ROWS(SS_Amont!$A$11:$A$18)),INDEX(SS_Amont!$E$11:$E$18,ROWS(SS_Amont!$E$11:$E$18)),INDEX(SS_Amont!$E$11:$E$18,MATCH(A74,SS_Amont!$A$11:$A$18,1))+(A74-INDEX(SS_Amont!$A$11:$A$18,MATCH(A74,SS_Amont!$A$11:$A$18,1)))/(INDEX(SS_Amont!$A$11:$A$18,MATCH(A74,SS_Amont!$A$11:$A$18,1)+1)-INDEX(SS_Amont!$A$11:$A$18,MATCH(A74,SS_Amont!$A$11:$A$18,1)))*(INDEX(SS_Amont!$E$11:$E$18,MATCH(A74,SS_Amont!$A$11:$A$18,1)+1)-INDEX(SS_Amont!$E$11:$E$18,MATCH(A74,SS_Amont!$A$11:$A$18,1)))))</f>
        <v/>
      </c>
      <c r="G74" s="34">
        <f>E74+F74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</row>
    <row r="75">
      <c r="A75" s="32" t="n">
        <v>37.88</v>
      </c>
      <c r="B75" s="32">
        <f>A75-$B$12</f>
        <v/>
      </c>
      <c r="C75" s="32">
        <f>MAX(0,A75-$B$6)</f>
        <v/>
      </c>
      <c r="D75" s="5">
        <f>IF(C75&lt;=0,0,($B$7+$B$9*C75)*C75)</f>
        <v/>
      </c>
      <c r="E75" s="26">
        <f>D75*$B$11</f>
        <v/>
      </c>
      <c r="F75" s="26">
        <f>IF(A75&lt;=INDEX(SS_Amont!$A$11:$A$18,1),INDEX(SS_Amont!$E$11:$E$18,1),IF(A75&gt;=INDEX(SS_Amont!$A$11:$A$18,ROWS(SS_Amont!$A$11:$A$18)),INDEX(SS_Amont!$E$11:$E$18,ROWS(SS_Amont!$E$11:$E$18)),INDEX(SS_Amont!$E$11:$E$18,MATCH(A75,SS_Amont!$A$11:$A$18,1))+(A75-INDEX(SS_Amont!$A$11:$A$18,MATCH(A75,SS_Amont!$A$11:$A$18,1)))/(INDEX(SS_Amont!$A$11:$A$18,MATCH(A75,SS_Amont!$A$11:$A$18,1)+1)-INDEX(SS_Amont!$A$11:$A$18,MATCH(A75,SS_Amont!$A$11:$A$18,1)))*(INDEX(SS_Amont!$E$11:$E$18,MATCH(A75,SS_Amont!$A$11:$A$18,1)+1)-INDEX(SS_Amont!$E$11:$E$18,MATCH(A75,SS_Amont!$A$11:$A$18,1)))))</f>
        <v/>
      </c>
      <c r="G75" s="34">
        <f>E75+F75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</row>
    <row r="76">
      <c r="A76" s="32" t="n">
        <v>37.93</v>
      </c>
      <c r="B76" s="32">
        <f>A76-$B$12</f>
        <v/>
      </c>
      <c r="C76" s="32">
        <f>MAX(0,A76-$B$6)</f>
        <v/>
      </c>
      <c r="D76" s="5">
        <f>IF(C76&lt;=0,0,($B$7+$B$9*C76)*C76)</f>
        <v/>
      </c>
      <c r="E76" s="26">
        <f>D76*$B$11</f>
        <v/>
      </c>
      <c r="F76" s="26">
        <f>IF(A76&lt;=INDEX(SS_Amont!$A$11:$A$18,1),INDEX(SS_Amont!$E$11:$E$18,1),IF(A76&gt;=INDEX(SS_Amont!$A$11:$A$18,ROWS(SS_Amont!$A$11:$A$18)),INDEX(SS_Amont!$E$11:$E$18,ROWS(SS_Amont!$E$11:$E$18)),INDEX(SS_Amont!$E$11:$E$18,MATCH(A76,SS_Amont!$A$11:$A$18,1))+(A76-INDEX(SS_Amont!$A$11:$A$18,MATCH(A76,SS_Amont!$A$11:$A$18,1)))/(INDEX(SS_Amont!$A$11:$A$18,MATCH(A76,SS_Amont!$A$11:$A$18,1)+1)-INDEX(SS_Amont!$A$11:$A$18,MATCH(A76,SS_Amont!$A$11:$A$18,1)))*(INDEX(SS_Amont!$E$11:$E$18,MATCH(A76,SS_Amont!$A$11:$A$18,1)+1)-INDEX(SS_Amont!$E$11:$E$18,MATCH(A76,SS_Amont!$A$11:$A$18,1)))))</f>
        <v/>
      </c>
      <c r="G76" s="34">
        <f>E76+F76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</row>
    <row r="77">
      <c r="A77" s="32" t="n">
        <v>37.98</v>
      </c>
      <c r="B77" s="32">
        <f>A77-$B$12</f>
        <v/>
      </c>
      <c r="C77" s="32">
        <f>MAX(0,A77-$B$6)</f>
        <v/>
      </c>
      <c r="D77" s="5">
        <f>IF(C77&lt;=0,0,($B$7+$B$9*C77)*C77)</f>
        <v/>
      </c>
      <c r="E77" s="26">
        <f>D77*$B$11</f>
        <v/>
      </c>
      <c r="F77" s="26">
        <f>IF(A77&lt;=INDEX(SS_Amont!$A$11:$A$18,1),INDEX(SS_Amont!$E$11:$E$18,1),IF(A77&gt;=INDEX(SS_Amont!$A$11:$A$18,ROWS(SS_Amont!$A$11:$A$18)),INDEX(SS_Amont!$E$11:$E$18,ROWS(SS_Amont!$E$11:$E$18)),INDEX(SS_Amont!$E$11:$E$18,MATCH(A77,SS_Amont!$A$11:$A$18,1))+(A77-INDEX(SS_Amont!$A$11:$A$18,MATCH(A77,SS_Amont!$A$11:$A$18,1)))/(INDEX(SS_Amont!$A$11:$A$18,MATCH(A77,SS_Amont!$A$11:$A$18,1)+1)-INDEX(SS_Amont!$A$11:$A$18,MATCH(A77,SS_Amont!$A$11:$A$18,1)))*(INDEX(SS_Amont!$E$11:$E$18,MATCH(A77,SS_Amont!$A$11:$A$18,1)+1)-INDEX(SS_Amont!$E$11:$E$18,MATCH(A77,SS_Amont!$A$11:$A$18,1)))))</f>
        <v/>
      </c>
      <c r="G77" s="34">
        <f>E77+F77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</row>
    <row r="78">
      <c r="A78" s="32" t="n">
        <v>38.03</v>
      </c>
      <c r="B78" s="32">
        <f>A78-$B$12</f>
        <v/>
      </c>
      <c r="C78" s="32">
        <f>MAX(0,A78-$B$6)</f>
        <v/>
      </c>
      <c r="D78" s="5">
        <f>IF(C78&lt;=0,0,($B$7+$B$9*C78)*C78)</f>
        <v/>
      </c>
      <c r="E78" s="26">
        <f>D78*$B$11</f>
        <v/>
      </c>
      <c r="F78" s="26">
        <f>IF(A78&lt;=INDEX(SS_Amont!$A$11:$A$18,1),INDEX(SS_Amont!$E$11:$E$18,1),IF(A78&gt;=INDEX(SS_Amont!$A$11:$A$18,ROWS(SS_Amont!$A$11:$A$18)),INDEX(SS_Amont!$E$11:$E$18,ROWS(SS_Amont!$E$11:$E$18)),INDEX(SS_Amont!$E$11:$E$18,MATCH(A78,SS_Amont!$A$11:$A$18,1))+(A78-INDEX(SS_Amont!$A$11:$A$18,MATCH(A78,SS_Amont!$A$11:$A$18,1)))/(INDEX(SS_Amont!$A$11:$A$18,MATCH(A78,SS_Amont!$A$11:$A$18,1)+1)-INDEX(SS_Amont!$A$11:$A$18,MATCH(A78,SS_Amont!$A$11:$A$18,1)))*(INDEX(SS_Amont!$E$11:$E$18,MATCH(A78,SS_Amont!$A$11:$A$18,1)+1)-INDEX(SS_Amont!$E$11:$E$18,MATCH(A78,SS_Amont!$A$11:$A$18,1)))))</f>
        <v/>
      </c>
      <c r="G78" s="34">
        <f>E78+F78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</row>
    <row r="79">
      <c r="A79" s="32" t="n">
        <v>38.08</v>
      </c>
      <c r="B79" s="32">
        <f>A79-$B$12</f>
        <v/>
      </c>
      <c r="C79" s="32">
        <f>MAX(0,A79-$B$6)</f>
        <v/>
      </c>
      <c r="D79" s="5">
        <f>IF(C79&lt;=0,0,($B$7+$B$9*C79)*C79)</f>
        <v/>
      </c>
      <c r="E79" s="26">
        <f>D79*$B$11</f>
        <v/>
      </c>
      <c r="F79" s="26">
        <f>IF(A79&lt;=INDEX(SS_Amont!$A$11:$A$18,1),INDEX(SS_Amont!$E$11:$E$18,1),IF(A79&gt;=INDEX(SS_Amont!$A$11:$A$18,ROWS(SS_Amont!$A$11:$A$18)),INDEX(SS_Amont!$E$11:$E$18,ROWS(SS_Amont!$E$11:$E$18)),INDEX(SS_Amont!$E$11:$E$18,MATCH(A79,SS_Amont!$A$11:$A$18,1))+(A79-INDEX(SS_Amont!$A$11:$A$18,MATCH(A79,SS_Amont!$A$11:$A$18,1)))/(INDEX(SS_Amont!$A$11:$A$18,MATCH(A79,SS_Amont!$A$11:$A$18,1)+1)-INDEX(SS_Amont!$A$11:$A$18,MATCH(A79,SS_Amont!$A$11:$A$18,1)))*(INDEX(SS_Amont!$E$11:$E$18,MATCH(A79,SS_Amont!$A$11:$A$18,1)+1)-INDEX(SS_Amont!$E$11:$E$18,MATCH(A79,SS_Amont!$A$11:$A$18,1)))))</f>
        <v/>
      </c>
      <c r="G79" s="34">
        <f>E79+F79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</row>
    <row r="80">
      <c r="A80" s="32" t="n">
        <v>38.13</v>
      </c>
      <c r="B80" s="32">
        <f>A80-$B$12</f>
        <v/>
      </c>
      <c r="C80" s="32">
        <f>MAX(0,A80-$B$6)</f>
        <v/>
      </c>
      <c r="D80" s="5">
        <f>IF(C80&lt;=0,0,($B$7+$B$9*C80)*C80)</f>
        <v/>
      </c>
      <c r="E80" s="26">
        <f>D80*$B$11</f>
        <v/>
      </c>
      <c r="F80" s="26">
        <f>IF(A80&lt;=INDEX(SS_Amont!$A$11:$A$18,1),INDEX(SS_Amont!$E$11:$E$18,1),IF(A80&gt;=INDEX(SS_Amont!$A$11:$A$18,ROWS(SS_Amont!$A$11:$A$18)),INDEX(SS_Amont!$E$11:$E$18,ROWS(SS_Amont!$E$11:$E$18)),INDEX(SS_Amont!$E$11:$E$18,MATCH(A80,SS_Amont!$A$11:$A$18,1))+(A80-INDEX(SS_Amont!$A$11:$A$18,MATCH(A80,SS_Amont!$A$11:$A$18,1)))/(INDEX(SS_Amont!$A$11:$A$18,MATCH(A80,SS_Amont!$A$11:$A$18,1)+1)-INDEX(SS_Amont!$A$11:$A$18,MATCH(A80,SS_Amont!$A$11:$A$18,1)))*(INDEX(SS_Amont!$E$11:$E$18,MATCH(A80,SS_Amont!$A$11:$A$18,1)+1)-INDEX(SS_Amont!$E$11:$E$18,MATCH(A80,SS_Amont!$A$11:$A$18,1)))))</f>
        <v/>
      </c>
      <c r="G80" s="34">
        <f>E80+F80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</row>
    <row r="81">
      <c r="A81" s="32" t="n">
        <v>38.18</v>
      </c>
      <c r="B81" s="32">
        <f>A81-$B$12</f>
        <v/>
      </c>
      <c r="C81" s="32">
        <f>MAX(0,A81-$B$6)</f>
        <v/>
      </c>
      <c r="D81" s="5">
        <f>IF(C81&lt;=0,0,($B$7+$B$9*C81)*C81)</f>
        <v/>
      </c>
      <c r="E81" s="26">
        <f>D81*$B$11</f>
        <v/>
      </c>
      <c r="F81" s="26">
        <f>IF(A81&lt;=INDEX(SS_Amont!$A$11:$A$18,1),INDEX(SS_Amont!$E$11:$E$18,1),IF(A81&gt;=INDEX(SS_Amont!$A$11:$A$18,ROWS(SS_Amont!$A$11:$A$18)),INDEX(SS_Amont!$E$11:$E$18,ROWS(SS_Amont!$E$11:$E$18)),INDEX(SS_Amont!$E$11:$E$18,MATCH(A81,SS_Amont!$A$11:$A$18,1))+(A81-INDEX(SS_Amont!$A$11:$A$18,MATCH(A81,SS_Amont!$A$11:$A$18,1)))/(INDEX(SS_Amont!$A$11:$A$18,MATCH(A81,SS_Amont!$A$11:$A$18,1)+1)-INDEX(SS_Amont!$A$11:$A$18,MATCH(A81,SS_Amont!$A$11:$A$18,1)))*(INDEX(SS_Amont!$E$11:$E$18,MATCH(A81,SS_Amont!$A$11:$A$18,1)+1)-INDEX(SS_Amont!$E$11:$E$18,MATCH(A81,SS_Amont!$A$11:$A$18,1)))))</f>
        <v/>
      </c>
      <c r="G81" s="34">
        <f>E81+F81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</row>
    <row r="82">
      <c r="A82" s="32" t="n">
        <v>38.23</v>
      </c>
      <c r="B82" s="32">
        <f>A82-$B$12</f>
        <v/>
      </c>
      <c r="C82" s="32">
        <f>MAX(0,A82-$B$6)</f>
        <v/>
      </c>
      <c r="D82" s="5">
        <f>IF(C82&lt;=0,0,($B$7+$B$9*C82)*C82)</f>
        <v/>
      </c>
      <c r="E82" s="26">
        <f>D82*$B$11</f>
        <v/>
      </c>
      <c r="F82" s="26">
        <f>IF(A82&lt;=INDEX(SS_Amont!$A$11:$A$18,1),INDEX(SS_Amont!$E$11:$E$18,1),IF(A82&gt;=INDEX(SS_Amont!$A$11:$A$18,ROWS(SS_Amont!$A$11:$A$18)),INDEX(SS_Amont!$E$11:$E$18,ROWS(SS_Amont!$E$11:$E$18)),INDEX(SS_Amont!$E$11:$E$18,MATCH(A82,SS_Amont!$A$11:$A$18,1))+(A82-INDEX(SS_Amont!$A$11:$A$18,MATCH(A82,SS_Amont!$A$11:$A$18,1)))/(INDEX(SS_Amont!$A$11:$A$18,MATCH(A82,SS_Amont!$A$11:$A$18,1)+1)-INDEX(SS_Amont!$A$11:$A$18,MATCH(A82,SS_Amont!$A$11:$A$18,1)))*(INDEX(SS_Amont!$E$11:$E$18,MATCH(A82,SS_Amont!$A$11:$A$18,1)+1)-INDEX(SS_Amont!$E$11:$E$18,MATCH(A82,SS_Amont!$A$11:$A$18,1)))))</f>
        <v/>
      </c>
      <c r="G82" s="34">
        <f>E82+F82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</row>
    <row r="83">
      <c r="A83" s="32" t="n">
        <v>38.28</v>
      </c>
      <c r="B83" s="32">
        <f>A83-$B$12</f>
        <v/>
      </c>
      <c r="C83" s="32">
        <f>MAX(0,A83-$B$6)</f>
        <v/>
      </c>
      <c r="D83" s="5">
        <f>IF(C83&lt;=0,0,($B$7+$B$9*C83)*C83)</f>
        <v/>
      </c>
      <c r="E83" s="26">
        <f>D83*$B$11</f>
        <v/>
      </c>
      <c r="F83" s="26">
        <f>IF(A83&lt;=INDEX(SS_Amont!$A$11:$A$18,1),INDEX(SS_Amont!$E$11:$E$18,1),IF(A83&gt;=INDEX(SS_Amont!$A$11:$A$18,ROWS(SS_Amont!$A$11:$A$18)),INDEX(SS_Amont!$E$11:$E$18,ROWS(SS_Amont!$E$11:$E$18)),INDEX(SS_Amont!$E$11:$E$18,MATCH(A83,SS_Amont!$A$11:$A$18,1))+(A83-INDEX(SS_Amont!$A$11:$A$18,MATCH(A83,SS_Amont!$A$11:$A$18,1)))/(INDEX(SS_Amont!$A$11:$A$18,MATCH(A83,SS_Amont!$A$11:$A$18,1)+1)-INDEX(SS_Amont!$A$11:$A$18,MATCH(A83,SS_Amont!$A$11:$A$18,1)))*(INDEX(SS_Amont!$E$11:$E$18,MATCH(A83,SS_Amont!$A$11:$A$18,1)+1)-INDEX(SS_Amont!$E$11:$E$18,MATCH(A83,SS_Amont!$A$11:$A$18,1)))))</f>
        <v/>
      </c>
      <c r="G83" s="34">
        <f>E83+F83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</row>
    <row r="84">
      <c r="A84" s="32" t="n">
        <v>38.33</v>
      </c>
      <c r="B84" s="32">
        <f>A84-$B$12</f>
        <v/>
      </c>
      <c r="C84" s="32">
        <f>MAX(0,A84-$B$6)</f>
        <v/>
      </c>
      <c r="D84" s="5">
        <f>IF(C84&lt;=0,0,($B$7+$B$9*C84)*C84)</f>
        <v/>
      </c>
      <c r="E84" s="26">
        <f>D84*$B$11</f>
        <v/>
      </c>
      <c r="F84" s="26">
        <f>IF(A84&lt;=INDEX(SS_Amont!$A$11:$A$18,1),INDEX(SS_Amont!$E$11:$E$18,1),IF(A84&gt;=INDEX(SS_Amont!$A$11:$A$18,ROWS(SS_Amont!$A$11:$A$18)),INDEX(SS_Amont!$E$11:$E$18,ROWS(SS_Amont!$E$11:$E$18)),INDEX(SS_Amont!$E$11:$E$18,MATCH(A84,SS_Amont!$A$11:$A$18,1))+(A84-INDEX(SS_Amont!$A$11:$A$18,MATCH(A84,SS_Amont!$A$11:$A$18,1)))/(INDEX(SS_Amont!$A$11:$A$18,MATCH(A84,SS_Amont!$A$11:$A$18,1)+1)-INDEX(SS_Amont!$A$11:$A$18,MATCH(A84,SS_Amont!$A$11:$A$18,1)))*(INDEX(SS_Amont!$E$11:$E$18,MATCH(A84,SS_Amont!$A$11:$A$18,1)+1)-INDEX(SS_Amont!$E$11:$E$18,MATCH(A84,SS_Amont!$A$11:$A$18,1)))))</f>
        <v/>
      </c>
      <c r="G84" s="34">
        <f>E84+F84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</row>
    <row r="85">
      <c r="A85" s="32" t="n">
        <v>38.38</v>
      </c>
      <c r="B85" s="32">
        <f>A85-$B$12</f>
        <v/>
      </c>
      <c r="C85" s="32">
        <f>MAX(0,A85-$B$6)</f>
        <v/>
      </c>
      <c r="D85" s="5">
        <f>IF(C85&lt;=0,0,($B$7+$B$9*C85)*C85)</f>
        <v/>
      </c>
      <c r="E85" s="26">
        <f>D85*$B$11</f>
        <v/>
      </c>
      <c r="F85" s="26">
        <f>IF(A85&lt;=INDEX(SS_Amont!$A$11:$A$18,1),INDEX(SS_Amont!$E$11:$E$18,1),IF(A85&gt;=INDEX(SS_Amont!$A$11:$A$18,ROWS(SS_Amont!$A$11:$A$18)),INDEX(SS_Amont!$E$11:$E$18,ROWS(SS_Amont!$E$11:$E$18)),INDEX(SS_Amont!$E$11:$E$18,MATCH(A85,SS_Amont!$A$11:$A$18,1))+(A85-INDEX(SS_Amont!$A$11:$A$18,MATCH(A85,SS_Amont!$A$11:$A$18,1)))/(INDEX(SS_Amont!$A$11:$A$18,MATCH(A85,SS_Amont!$A$11:$A$18,1)+1)-INDEX(SS_Amont!$A$11:$A$18,MATCH(A85,SS_Amont!$A$11:$A$18,1)))*(INDEX(SS_Amont!$E$11:$E$18,MATCH(A85,SS_Amont!$A$11:$A$18,1)+1)-INDEX(SS_Amont!$E$11:$E$18,MATCH(A85,SS_Amont!$A$11:$A$18,1)))))</f>
        <v/>
      </c>
      <c r="G85" s="34">
        <f>E85+F85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</row>
    <row r="86">
      <c r="A86" s="32" t="n">
        <v>38.43</v>
      </c>
      <c r="B86" s="32">
        <f>A86-$B$12</f>
        <v/>
      </c>
      <c r="C86" s="32">
        <f>MAX(0,A86-$B$6)</f>
        <v/>
      </c>
      <c r="D86" s="5">
        <f>IF(C86&lt;=0,0,($B$7+$B$9*C86)*C86)</f>
        <v/>
      </c>
      <c r="E86" s="26">
        <f>D86*$B$11</f>
        <v/>
      </c>
      <c r="F86" s="26">
        <f>IF(A86&lt;=INDEX(SS_Amont!$A$11:$A$18,1),INDEX(SS_Amont!$E$11:$E$18,1),IF(A86&gt;=INDEX(SS_Amont!$A$11:$A$18,ROWS(SS_Amont!$A$11:$A$18)),INDEX(SS_Amont!$E$11:$E$18,ROWS(SS_Amont!$E$11:$E$18)),INDEX(SS_Amont!$E$11:$E$18,MATCH(A86,SS_Amont!$A$11:$A$18,1))+(A86-INDEX(SS_Amont!$A$11:$A$18,MATCH(A86,SS_Amont!$A$11:$A$18,1)))/(INDEX(SS_Amont!$A$11:$A$18,MATCH(A86,SS_Amont!$A$11:$A$18,1)+1)-INDEX(SS_Amont!$A$11:$A$18,MATCH(A86,SS_Amont!$A$11:$A$18,1)))*(INDEX(SS_Amont!$E$11:$E$18,MATCH(A86,SS_Amont!$A$11:$A$18,1)+1)-INDEX(SS_Amont!$E$11:$E$18,MATCH(A86,SS_Amont!$A$11:$A$18,1)))))</f>
        <v/>
      </c>
      <c r="G86" s="34">
        <f>E86+F86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</row>
    <row r="87">
      <c r="A87" s="32" t="n">
        <v>38.48</v>
      </c>
      <c r="B87" s="32">
        <f>A87-$B$12</f>
        <v/>
      </c>
      <c r="C87" s="32">
        <f>MAX(0,A87-$B$6)</f>
        <v/>
      </c>
      <c r="D87" s="5">
        <f>IF(C87&lt;=0,0,($B$7+$B$9*C87)*C87)</f>
        <v/>
      </c>
      <c r="E87" s="26">
        <f>D87*$B$11</f>
        <v/>
      </c>
      <c r="F87" s="26">
        <f>IF(A87&lt;=INDEX(SS_Amont!$A$11:$A$18,1),INDEX(SS_Amont!$E$11:$E$18,1),IF(A87&gt;=INDEX(SS_Amont!$A$11:$A$18,ROWS(SS_Amont!$A$11:$A$18)),INDEX(SS_Amont!$E$11:$E$18,ROWS(SS_Amont!$E$11:$E$18)),INDEX(SS_Amont!$E$11:$E$18,MATCH(A87,SS_Amont!$A$11:$A$18,1))+(A87-INDEX(SS_Amont!$A$11:$A$18,MATCH(A87,SS_Amont!$A$11:$A$18,1)))/(INDEX(SS_Amont!$A$11:$A$18,MATCH(A87,SS_Amont!$A$11:$A$18,1)+1)-INDEX(SS_Amont!$A$11:$A$18,MATCH(A87,SS_Amont!$A$11:$A$18,1)))*(INDEX(SS_Amont!$E$11:$E$18,MATCH(A87,SS_Amont!$A$11:$A$18,1)+1)-INDEX(SS_Amont!$E$11:$E$18,MATCH(A87,SS_Amont!$A$11:$A$18,1)))))</f>
        <v/>
      </c>
      <c r="G87" s="34">
        <f>E87+F87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</row>
    <row r="88">
      <c r="A88" s="32" t="n">
        <v>38.53</v>
      </c>
      <c r="B88" s="32">
        <f>A88-$B$12</f>
        <v/>
      </c>
      <c r="C88" s="32">
        <f>MAX(0,A88-$B$6)</f>
        <v/>
      </c>
      <c r="D88" s="5">
        <f>IF(C88&lt;=0,0,($B$7+$B$9*C88)*C88)</f>
        <v/>
      </c>
      <c r="E88" s="26">
        <f>D88*$B$11</f>
        <v/>
      </c>
      <c r="F88" s="26">
        <f>IF(A88&lt;=INDEX(SS_Amont!$A$11:$A$18,1),INDEX(SS_Amont!$E$11:$E$18,1),IF(A88&gt;=INDEX(SS_Amont!$A$11:$A$18,ROWS(SS_Amont!$A$11:$A$18)),INDEX(SS_Amont!$E$11:$E$18,ROWS(SS_Amont!$E$11:$E$18)),INDEX(SS_Amont!$E$11:$E$18,MATCH(A88,SS_Amont!$A$11:$A$18,1))+(A88-INDEX(SS_Amont!$A$11:$A$18,MATCH(A88,SS_Amont!$A$11:$A$18,1)))/(INDEX(SS_Amont!$A$11:$A$18,MATCH(A88,SS_Amont!$A$11:$A$18,1)+1)-INDEX(SS_Amont!$A$11:$A$18,MATCH(A88,SS_Amont!$A$11:$A$18,1)))*(INDEX(SS_Amont!$E$11:$E$18,MATCH(A88,SS_Amont!$A$11:$A$18,1)+1)-INDEX(SS_Amont!$E$11:$E$18,MATCH(A88,SS_Amont!$A$11:$A$18,1)))))</f>
        <v/>
      </c>
      <c r="G88" s="34">
        <f>E88+F88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</row>
    <row r="89">
      <c r="A89" s="32" t="n">
        <v>38.58</v>
      </c>
      <c r="B89" s="32">
        <f>A89-$B$12</f>
        <v/>
      </c>
      <c r="C89" s="32">
        <f>MAX(0,A89-$B$6)</f>
        <v/>
      </c>
      <c r="D89" s="5">
        <f>IF(C89&lt;=0,0,($B$7+$B$9*C89)*C89)</f>
        <v/>
      </c>
      <c r="E89" s="26">
        <f>D89*$B$11</f>
        <v/>
      </c>
      <c r="F89" s="26">
        <f>IF(A89&lt;=INDEX(SS_Amont!$A$11:$A$18,1),INDEX(SS_Amont!$E$11:$E$18,1),IF(A89&gt;=INDEX(SS_Amont!$A$11:$A$18,ROWS(SS_Amont!$A$11:$A$18)),INDEX(SS_Amont!$E$11:$E$18,ROWS(SS_Amont!$E$11:$E$18)),INDEX(SS_Amont!$E$11:$E$18,MATCH(A89,SS_Amont!$A$11:$A$18,1))+(A89-INDEX(SS_Amont!$A$11:$A$18,MATCH(A89,SS_Amont!$A$11:$A$18,1)))/(INDEX(SS_Amont!$A$11:$A$18,MATCH(A89,SS_Amont!$A$11:$A$18,1)+1)-INDEX(SS_Amont!$A$11:$A$18,MATCH(A89,SS_Amont!$A$11:$A$18,1)))*(INDEX(SS_Amont!$E$11:$E$18,MATCH(A89,SS_Amont!$A$11:$A$18,1)+1)-INDEX(SS_Amont!$E$11:$E$18,MATCH(A89,SS_Amont!$A$11:$A$18,1)))))</f>
        <v/>
      </c>
      <c r="G89" s="34">
        <f>E89+F89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</row>
    <row r="90">
      <c r="A90" s="32" t="n">
        <v>38.63</v>
      </c>
      <c r="B90" s="32">
        <f>A90-$B$12</f>
        <v/>
      </c>
      <c r="C90" s="32">
        <f>MAX(0,A90-$B$6)</f>
        <v/>
      </c>
      <c r="D90" s="5">
        <f>IF(C90&lt;=0,0,($B$7+$B$9*C90)*C90)</f>
        <v/>
      </c>
      <c r="E90" s="26">
        <f>D90*$B$11</f>
        <v/>
      </c>
      <c r="F90" s="26">
        <f>IF(A90&lt;=INDEX(SS_Amont!$A$11:$A$18,1),INDEX(SS_Amont!$E$11:$E$18,1),IF(A90&gt;=INDEX(SS_Amont!$A$11:$A$18,ROWS(SS_Amont!$A$11:$A$18)),INDEX(SS_Amont!$E$11:$E$18,ROWS(SS_Amont!$E$11:$E$18)),INDEX(SS_Amont!$E$11:$E$18,MATCH(A90,SS_Amont!$A$11:$A$18,1))+(A90-INDEX(SS_Amont!$A$11:$A$18,MATCH(A90,SS_Amont!$A$11:$A$18,1)))/(INDEX(SS_Amont!$A$11:$A$18,MATCH(A90,SS_Amont!$A$11:$A$18,1)+1)-INDEX(SS_Amont!$A$11:$A$18,MATCH(A90,SS_Amont!$A$11:$A$18,1)))*(INDEX(SS_Amont!$E$11:$E$18,MATCH(A90,SS_Amont!$A$11:$A$18,1)+1)-INDEX(SS_Amont!$E$11:$E$18,MATCH(A90,SS_Amont!$A$11:$A$18,1)))))</f>
        <v/>
      </c>
      <c r="G90" s="34">
        <f>E90+F90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</row>
    <row r="91">
      <c r="A91" s="32" t="n">
        <v>38.68</v>
      </c>
      <c r="B91" s="32">
        <f>A91-$B$12</f>
        <v/>
      </c>
      <c r="C91" s="32">
        <f>MAX(0,A91-$B$6)</f>
        <v/>
      </c>
      <c r="D91" s="5">
        <f>IF(C91&lt;=0,0,($B$7+$B$9*C91)*C91)</f>
        <v/>
      </c>
      <c r="E91" s="26">
        <f>D91*$B$11</f>
        <v/>
      </c>
      <c r="F91" s="26">
        <f>IF(A91&lt;=INDEX(SS_Amont!$A$11:$A$18,1),INDEX(SS_Amont!$E$11:$E$18,1),IF(A91&gt;=INDEX(SS_Amont!$A$11:$A$18,ROWS(SS_Amont!$A$11:$A$18)),INDEX(SS_Amont!$E$11:$E$18,ROWS(SS_Amont!$E$11:$E$18)),INDEX(SS_Amont!$E$11:$E$18,MATCH(A91,SS_Amont!$A$11:$A$18,1))+(A91-INDEX(SS_Amont!$A$11:$A$18,MATCH(A91,SS_Amont!$A$11:$A$18,1)))/(INDEX(SS_Amont!$A$11:$A$18,MATCH(A91,SS_Amont!$A$11:$A$18,1)+1)-INDEX(SS_Amont!$A$11:$A$18,MATCH(A91,SS_Amont!$A$11:$A$18,1)))*(INDEX(SS_Amont!$E$11:$E$18,MATCH(A91,SS_Amont!$A$11:$A$18,1)+1)-INDEX(SS_Amont!$E$11:$E$18,MATCH(A91,SS_Amont!$A$11:$A$18,1)))))</f>
        <v/>
      </c>
      <c r="G91" s="34">
        <f>E91+F91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</row>
    <row r="92">
      <c r="A92" s="32" t="n">
        <v>38.73</v>
      </c>
      <c r="B92" s="32">
        <f>A92-$B$12</f>
        <v/>
      </c>
      <c r="C92" s="32">
        <f>MAX(0,A92-$B$6)</f>
        <v/>
      </c>
      <c r="D92" s="5">
        <f>IF(C92&lt;=0,0,($B$7+$B$9*C92)*C92)</f>
        <v/>
      </c>
      <c r="E92" s="26">
        <f>D92*$B$11</f>
        <v/>
      </c>
      <c r="F92" s="26">
        <f>IF(A92&lt;=INDEX(SS_Amont!$A$11:$A$18,1),INDEX(SS_Amont!$E$11:$E$18,1),IF(A92&gt;=INDEX(SS_Amont!$A$11:$A$18,ROWS(SS_Amont!$A$11:$A$18)),INDEX(SS_Amont!$E$11:$E$18,ROWS(SS_Amont!$E$11:$E$18)),INDEX(SS_Amont!$E$11:$E$18,MATCH(A92,SS_Amont!$A$11:$A$18,1))+(A92-INDEX(SS_Amont!$A$11:$A$18,MATCH(A92,SS_Amont!$A$11:$A$18,1)))/(INDEX(SS_Amont!$A$11:$A$18,MATCH(A92,SS_Amont!$A$11:$A$18,1)+1)-INDEX(SS_Amont!$A$11:$A$18,MATCH(A92,SS_Amont!$A$11:$A$18,1)))*(INDEX(SS_Amont!$E$11:$E$18,MATCH(A92,SS_Amont!$A$11:$A$18,1)+1)-INDEX(SS_Amont!$E$11:$E$18,MATCH(A92,SS_Amont!$A$11:$A$18,1)))))</f>
        <v/>
      </c>
      <c r="G92" s="34">
        <f>E92+F92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</row>
    <row r="93">
      <c r="A93" s="32" t="n">
        <v>38.78</v>
      </c>
      <c r="B93" s="32">
        <f>A93-$B$12</f>
        <v/>
      </c>
      <c r="C93" s="32">
        <f>MAX(0,A93-$B$6)</f>
        <v/>
      </c>
      <c r="D93" s="5">
        <f>IF(C93&lt;=0,0,($B$7+$B$9*C93)*C93)</f>
        <v/>
      </c>
      <c r="E93" s="26">
        <f>D93*$B$11</f>
        <v/>
      </c>
      <c r="F93" s="26">
        <f>IF(A93&lt;=INDEX(SS_Amont!$A$11:$A$18,1),INDEX(SS_Amont!$E$11:$E$18,1),IF(A93&gt;=INDEX(SS_Amont!$A$11:$A$18,ROWS(SS_Amont!$A$11:$A$18)),INDEX(SS_Amont!$E$11:$E$18,ROWS(SS_Amont!$E$11:$E$18)),INDEX(SS_Amont!$E$11:$E$18,MATCH(A93,SS_Amont!$A$11:$A$18,1))+(A93-INDEX(SS_Amont!$A$11:$A$18,MATCH(A93,SS_Amont!$A$11:$A$18,1)))/(INDEX(SS_Amont!$A$11:$A$18,MATCH(A93,SS_Amont!$A$11:$A$18,1)+1)-INDEX(SS_Amont!$A$11:$A$18,MATCH(A93,SS_Amont!$A$11:$A$18,1)))*(INDEX(SS_Amont!$E$11:$E$18,MATCH(A93,SS_Amont!$A$11:$A$18,1)+1)-INDEX(SS_Amont!$E$11:$E$18,MATCH(A93,SS_Amont!$A$11:$A$18,1)))))</f>
        <v/>
      </c>
      <c r="G93" s="34">
        <f>E93+F93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</row>
    <row r="94">
      <c r="A94" s="32" t="n">
        <v>38.83</v>
      </c>
      <c r="B94" s="32">
        <f>A94-$B$12</f>
        <v/>
      </c>
      <c r="C94" s="32">
        <f>MAX(0,A94-$B$6)</f>
        <v/>
      </c>
      <c r="D94" s="5">
        <f>IF(C94&lt;=0,0,($B$7+$B$9*C94)*C94)</f>
        <v/>
      </c>
      <c r="E94" s="26">
        <f>D94*$B$11</f>
        <v/>
      </c>
      <c r="F94" s="26">
        <f>IF(A94&lt;=INDEX(SS_Amont!$A$11:$A$18,1),INDEX(SS_Amont!$E$11:$E$18,1),IF(A94&gt;=INDEX(SS_Amont!$A$11:$A$18,ROWS(SS_Amont!$A$11:$A$18)),INDEX(SS_Amont!$E$11:$E$18,ROWS(SS_Amont!$E$11:$E$18)),INDEX(SS_Amont!$E$11:$E$18,MATCH(A94,SS_Amont!$A$11:$A$18,1))+(A94-INDEX(SS_Amont!$A$11:$A$18,MATCH(A94,SS_Amont!$A$11:$A$18,1)))/(INDEX(SS_Amont!$A$11:$A$18,MATCH(A94,SS_Amont!$A$11:$A$18,1)+1)-INDEX(SS_Amont!$A$11:$A$18,MATCH(A94,SS_Amont!$A$11:$A$18,1)))*(INDEX(SS_Amont!$E$11:$E$18,MATCH(A94,SS_Amont!$A$11:$A$18,1)+1)-INDEX(SS_Amont!$E$11:$E$18,MATCH(A94,SS_Amont!$A$11:$A$18,1)))))</f>
        <v/>
      </c>
      <c r="G94" s="34">
        <f>E94+F94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</row>
    <row r="95">
      <c r="A95" s="32" t="n">
        <v>38.88</v>
      </c>
      <c r="B95" s="32">
        <f>A95-$B$12</f>
        <v/>
      </c>
      <c r="C95" s="32">
        <f>MAX(0,A95-$B$6)</f>
        <v/>
      </c>
      <c r="D95" s="5">
        <f>IF(C95&lt;=0,0,($B$7+$B$9*C95)*C95)</f>
        <v/>
      </c>
      <c r="E95" s="26">
        <f>D95*$B$11</f>
        <v/>
      </c>
      <c r="F95" s="26">
        <f>IF(A95&lt;=INDEX(SS_Amont!$A$11:$A$18,1),INDEX(SS_Amont!$E$11:$E$18,1),IF(A95&gt;=INDEX(SS_Amont!$A$11:$A$18,ROWS(SS_Amont!$A$11:$A$18)),INDEX(SS_Amont!$E$11:$E$18,ROWS(SS_Amont!$E$11:$E$18)),INDEX(SS_Amont!$E$11:$E$18,MATCH(A95,SS_Amont!$A$11:$A$18,1))+(A95-INDEX(SS_Amont!$A$11:$A$18,MATCH(A95,SS_Amont!$A$11:$A$18,1)))/(INDEX(SS_Amont!$A$11:$A$18,MATCH(A95,SS_Amont!$A$11:$A$18,1)+1)-INDEX(SS_Amont!$A$11:$A$18,MATCH(A95,SS_Amont!$A$11:$A$18,1)))*(INDEX(SS_Amont!$E$11:$E$18,MATCH(A95,SS_Amont!$A$11:$A$18,1)+1)-INDEX(SS_Amont!$E$11:$E$18,MATCH(A95,SS_Amont!$A$11:$A$18,1)))))</f>
        <v/>
      </c>
      <c r="G95" s="34">
        <f>E95+F95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</row>
    <row r="96">
      <c r="A96" s="32" t="n">
        <v>38.93</v>
      </c>
      <c r="B96" s="32">
        <f>A96-$B$12</f>
        <v/>
      </c>
      <c r="C96" s="32">
        <f>MAX(0,A96-$B$6)</f>
        <v/>
      </c>
      <c r="D96" s="5">
        <f>IF(C96&lt;=0,0,($B$7+$B$9*C96)*C96)</f>
        <v/>
      </c>
      <c r="E96" s="26">
        <f>D96*$B$11</f>
        <v/>
      </c>
      <c r="F96" s="26">
        <f>IF(A96&lt;=INDEX(SS_Amont!$A$11:$A$18,1),INDEX(SS_Amont!$E$11:$E$18,1),IF(A96&gt;=INDEX(SS_Amont!$A$11:$A$18,ROWS(SS_Amont!$A$11:$A$18)),INDEX(SS_Amont!$E$11:$E$18,ROWS(SS_Amont!$E$11:$E$18)),INDEX(SS_Amont!$E$11:$E$18,MATCH(A96,SS_Amont!$A$11:$A$18,1))+(A96-INDEX(SS_Amont!$A$11:$A$18,MATCH(A96,SS_Amont!$A$11:$A$18,1)))/(INDEX(SS_Amont!$A$11:$A$18,MATCH(A96,SS_Amont!$A$11:$A$18,1)+1)-INDEX(SS_Amont!$A$11:$A$18,MATCH(A96,SS_Amont!$A$11:$A$18,1)))*(INDEX(SS_Amont!$E$11:$E$18,MATCH(A96,SS_Amont!$A$11:$A$18,1)+1)-INDEX(SS_Amont!$E$11:$E$18,MATCH(A96,SS_Amont!$A$11:$A$18,1)))))</f>
        <v/>
      </c>
      <c r="G96" s="34">
        <f>E96+F96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</row>
    <row r="97">
      <c r="A97" s="32" t="n">
        <v>38.98</v>
      </c>
      <c r="B97" s="32">
        <f>A97-$B$12</f>
        <v/>
      </c>
      <c r="C97" s="32">
        <f>MAX(0,A97-$B$6)</f>
        <v/>
      </c>
      <c r="D97" s="5">
        <f>IF(C97&lt;=0,0,($B$7+$B$9*C97)*C97)</f>
        <v/>
      </c>
      <c r="E97" s="26">
        <f>D97*$B$11</f>
        <v/>
      </c>
      <c r="F97" s="26">
        <f>IF(A97&lt;=INDEX(SS_Amont!$A$11:$A$18,1),INDEX(SS_Amont!$E$11:$E$18,1),IF(A97&gt;=INDEX(SS_Amont!$A$11:$A$18,ROWS(SS_Amont!$A$11:$A$18)),INDEX(SS_Amont!$E$11:$E$18,ROWS(SS_Amont!$E$11:$E$18)),INDEX(SS_Amont!$E$11:$E$18,MATCH(A97,SS_Amont!$A$11:$A$18,1))+(A97-INDEX(SS_Amont!$A$11:$A$18,MATCH(A97,SS_Amont!$A$11:$A$18,1)))/(INDEX(SS_Amont!$A$11:$A$18,MATCH(A97,SS_Amont!$A$11:$A$18,1)+1)-INDEX(SS_Amont!$A$11:$A$18,MATCH(A97,SS_Amont!$A$11:$A$18,1)))*(INDEX(SS_Amont!$E$11:$E$18,MATCH(A97,SS_Amont!$A$11:$A$18,1)+1)-INDEX(SS_Amont!$E$11:$E$18,MATCH(A97,SS_Amont!$A$11:$A$18,1)))))</f>
        <v/>
      </c>
      <c r="G97" s="34">
        <f>E97+F97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</row>
    <row r="98">
      <c r="A98" s="32" t="n">
        <v>39.03</v>
      </c>
      <c r="B98" s="32">
        <f>A98-$B$12</f>
        <v/>
      </c>
      <c r="C98" s="32">
        <f>MAX(0,A98-$B$6)</f>
        <v/>
      </c>
      <c r="D98" s="5">
        <f>IF(C98&lt;=0,0,($B$7+$B$9*C98)*C98)</f>
        <v/>
      </c>
      <c r="E98" s="26">
        <f>D98*$B$11</f>
        <v/>
      </c>
      <c r="F98" s="26">
        <f>IF(A98&lt;=INDEX(SS_Amont!$A$11:$A$18,1),INDEX(SS_Amont!$E$11:$E$18,1),IF(A98&gt;=INDEX(SS_Amont!$A$11:$A$18,ROWS(SS_Amont!$A$11:$A$18)),INDEX(SS_Amont!$E$11:$E$18,ROWS(SS_Amont!$E$11:$E$18)),INDEX(SS_Amont!$E$11:$E$18,MATCH(A98,SS_Amont!$A$11:$A$18,1))+(A98-INDEX(SS_Amont!$A$11:$A$18,MATCH(A98,SS_Amont!$A$11:$A$18,1)))/(INDEX(SS_Amont!$A$11:$A$18,MATCH(A98,SS_Amont!$A$11:$A$18,1)+1)-INDEX(SS_Amont!$A$11:$A$18,MATCH(A98,SS_Amont!$A$11:$A$18,1)))*(INDEX(SS_Amont!$E$11:$E$18,MATCH(A98,SS_Amont!$A$11:$A$18,1)+1)-INDEX(SS_Amont!$E$11:$E$18,MATCH(A98,SS_Amont!$A$11:$A$18,1)))))</f>
        <v/>
      </c>
      <c r="G98" s="34">
        <f>E98+F98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</row>
    <row r="99">
      <c r="A99" s="32" t="n">
        <v>39.08</v>
      </c>
      <c r="B99" s="32">
        <f>A99-$B$12</f>
        <v/>
      </c>
      <c r="C99" s="32">
        <f>MAX(0,A99-$B$6)</f>
        <v/>
      </c>
      <c r="D99" s="5">
        <f>IF(C99&lt;=0,0,($B$7+$B$9*C99)*C99)</f>
        <v/>
      </c>
      <c r="E99" s="26">
        <f>D99*$B$11</f>
        <v/>
      </c>
      <c r="F99" s="26">
        <f>IF(A99&lt;=INDEX(SS_Amont!$A$11:$A$18,1),INDEX(SS_Amont!$E$11:$E$18,1),IF(A99&gt;=INDEX(SS_Amont!$A$11:$A$18,ROWS(SS_Amont!$A$11:$A$18)),INDEX(SS_Amont!$E$11:$E$18,ROWS(SS_Amont!$E$11:$E$18)),INDEX(SS_Amont!$E$11:$E$18,MATCH(A99,SS_Amont!$A$11:$A$18,1))+(A99-INDEX(SS_Amont!$A$11:$A$18,MATCH(A99,SS_Amont!$A$11:$A$18,1)))/(INDEX(SS_Amont!$A$11:$A$18,MATCH(A99,SS_Amont!$A$11:$A$18,1)+1)-INDEX(SS_Amont!$A$11:$A$18,MATCH(A99,SS_Amont!$A$11:$A$18,1)))*(INDEX(SS_Amont!$E$11:$E$18,MATCH(A99,SS_Amont!$A$11:$A$18,1)+1)-INDEX(SS_Amont!$E$11:$E$18,MATCH(A99,SS_Amont!$A$11:$A$18,1)))))</f>
        <v/>
      </c>
      <c r="G99" s="34">
        <f>E99+F99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</row>
    <row r="100">
      <c r="A100" s="32" t="n">
        <v>39.13</v>
      </c>
      <c r="B100" s="32">
        <f>A100-$B$12</f>
        <v/>
      </c>
      <c r="C100" s="32">
        <f>MAX(0,A100-$B$6)</f>
        <v/>
      </c>
      <c r="D100" s="5">
        <f>IF(C100&lt;=0,0,($B$7+$B$9*C100)*C100)</f>
        <v/>
      </c>
      <c r="E100" s="26">
        <f>D100*$B$11</f>
        <v/>
      </c>
      <c r="F100" s="26">
        <f>IF(A100&lt;=INDEX(SS_Amont!$A$11:$A$18,1),INDEX(SS_Amont!$E$11:$E$18,1),IF(A100&gt;=INDEX(SS_Amont!$A$11:$A$18,ROWS(SS_Amont!$A$11:$A$18)),INDEX(SS_Amont!$E$11:$E$18,ROWS(SS_Amont!$E$11:$E$18)),INDEX(SS_Amont!$E$11:$E$18,MATCH(A100,SS_Amont!$A$11:$A$18,1))+(A100-INDEX(SS_Amont!$A$11:$A$18,MATCH(A100,SS_Amont!$A$11:$A$18,1)))/(INDEX(SS_Amont!$A$11:$A$18,MATCH(A100,SS_Amont!$A$11:$A$18,1)+1)-INDEX(SS_Amont!$A$11:$A$18,MATCH(A100,SS_Amont!$A$11:$A$18,1)))*(INDEX(SS_Amont!$E$11:$E$18,MATCH(A100,SS_Amont!$A$11:$A$18,1)+1)-INDEX(SS_Amont!$E$11:$E$18,MATCH(A100,SS_Amont!$A$11:$A$18,1)))))</f>
        <v/>
      </c>
      <c r="G100" s="34">
        <f>E100+F100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</row>
    <row r="101">
      <c r="A101" s="32" t="n">
        <v>39.18</v>
      </c>
      <c r="B101" s="32">
        <f>A101-$B$12</f>
        <v/>
      </c>
      <c r="C101" s="32">
        <f>MAX(0,A101-$B$6)</f>
        <v/>
      </c>
      <c r="D101" s="5">
        <f>IF(C101&lt;=0,0,($B$7+$B$9*C101)*C101)</f>
        <v/>
      </c>
      <c r="E101" s="26">
        <f>D101*$B$11</f>
        <v/>
      </c>
      <c r="F101" s="26">
        <f>IF(A101&lt;=INDEX(SS_Amont!$A$11:$A$18,1),INDEX(SS_Amont!$E$11:$E$18,1),IF(A101&gt;=INDEX(SS_Amont!$A$11:$A$18,ROWS(SS_Amont!$A$11:$A$18)),INDEX(SS_Amont!$E$11:$E$18,ROWS(SS_Amont!$E$11:$E$18)),INDEX(SS_Amont!$E$11:$E$18,MATCH(A101,SS_Amont!$A$11:$A$18,1))+(A101-INDEX(SS_Amont!$A$11:$A$18,MATCH(A101,SS_Amont!$A$11:$A$18,1)))/(INDEX(SS_Amont!$A$11:$A$18,MATCH(A101,SS_Amont!$A$11:$A$18,1)+1)-INDEX(SS_Amont!$A$11:$A$18,MATCH(A101,SS_Amont!$A$11:$A$18,1)))*(INDEX(SS_Amont!$E$11:$E$18,MATCH(A101,SS_Amont!$A$11:$A$18,1)+1)-INDEX(SS_Amont!$E$11:$E$18,MATCH(A101,SS_Amont!$A$11:$A$18,1)))))</f>
        <v/>
      </c>
      <c r="G101" s="34">
        <f>E101+F101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</row>
    <row r="102">
      <c r="A102" s="32" t="n">
        <v>39.23</v>
      </c>
      <c r="B102" s="32">
        <f>A102-$B$12</f>
        <v/>
      </c>
      <c r="C102" s="32">
        <f>MAX(0,A102-$B$6)</f>
        <v/>
      </c>
      <c r="D102" s="5">
        <f>IF(C102&lt;=0,0,($B$7+$B$9*C102)*C102)</f>
        <v/>
      </c>
      <c r="E102" s="26">
        <f>D102*$B$11</f>
        <v/>
      </c>
      <c r="F102" s="26">
        <f>IF(A102&lt;=INDEX(SS_Amont!$A$11:$A$18,1),INDEX(SS_Amont!$E$11:$E$18,1),IF(A102&gt;=INDEX(SS_Amont!$A$11:$A$18,ROWS(SS_Amont!$A$11:$A$18)),INDEX(SS_Amont!$E$11:$E$18,ROWS(SS_Amont!$E$11:$E$18)),INDEX(SS_Amont!$E$11:$E$18,MATCH(A102,SS_Amont!$A$11:$A$18,1))+(A102-INDEX(SS_Amont!$A$11:$A$18,MATCH(A102,SS_Amont!$A$11:$A$18,1)))/(INDEX(SS_Amont!$A$11:$A$18,MATCH(A102,SS_Amont!$A$11:$A$18,1)+1)-INDEX(SS_Amont!$A$11:$A$18,MATCH(A102,SS_Amont!$A$11:$A$18,1)))*(INDEX(SS_Amont!$E$11:$E$18,MATCH(A102,SS_Amont!$A$11:$A$18,1)+1)-INDEX(SS_Amont!$E$11:$E$18,MATCH(A102,SS_Amont!$A$11:$A$18,1)))))</f>
        <v/>
      </c>
      <c r="G102" s="34">
        <f>E102+F102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</row>
    <row r="103">
      <c r="A103" s="32" t="n">
        <v>39.28</v>
      </c>
      <c r="B103" s="32">
        <f>A103-$B$12</f>
        <v/>
      </c>
      <c r="C103" s="32">
        <f>MAX(0,A103-$B$6)</f>
        <v/>
      </c>
      <c r="D103" s="5">
        <f>IF(C103&lt;=0,0,($B$7+$B$9*C103)*C103)</f>
        <v/>
      </c>
      <c r="E103" s="26">
        <f>D103*$B$11</f>
        <v/>
      </c>
      <c r="F103" s="26">
        <f>IF(A103&lt;=INDEX(SS_Amont!$A$11:$A$18,1),INDEX(SS_Amont!$E$11:$E$18,1),IF(A103&gt;=INDEX(SS_Amont!$A$11:$A$18,ROWS(SS_Amont!$A$11:$A$18)),INDEX(SS_Amont!$E$11:$E$18,ROWS(SS_Amont!$E$11:$E$18)),INDEX(SS_Amont!$E$11:$E$18,MATCH(A103,SS_Amont!$A$11:$A$18,1))+(A103-INDEX(SS_Amont!$A$11:$A$18,MATCH(A103,SS_Amont!$A$11:$A$18,1)))/(INDEX(SS_Amont!$A$11:$A$18,MATCH(A103,SS_Amont!$A$11:$A$18,1)+1)-INDEX(SS_Amont!$A$11:$A$18,MATCH(A103,SS_Amont!$A$11:$A$18,1)))*(INDEX(SS_Amont!$E$11:$E$18,MATCH(A103,SS_Amont!$A$11:$A$18,1)+1)-INDEX(SS_Amont!$E$11:$E$18,MATCH(A103,SS_Amont!$A$11:$A$18,1)))))</f>
        <v/>
      </c>
      <c r="G103" s="34">
        <f>E103+F103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</row>
    <row r="104">
      <c r="A104" s="32" t="n">
        <v>39.33</v>
      </c>
      <c r="B104" s="32">
        <f>A104-$B$12</f>
        <v/>
      </c>
      <c r="C104" s="32">
        <f>MAX(0,A104-$B$6)</f>
        <v/>
      </c>
      <c r="D104" s="5">
        <f>IF(C104&lt;=0,0,($B$7+$B$9*C104)*C104)</f>
        <v/>
      </c>
      <c r="E104" s="26">
        <f>D104*$B$11</f>
        <v/>
      </c>
      <c r="F104" s="26">
        <f>IF(A104&lt;=INDEX(SS_Amont!$A$11:$A$18,1),INDEX(SS_Amont!$E$11:$E$18,1),IF(A104&gt;=INDEX(SS_Amont!$A$11:$A$18,ROWS(SS_Amont!$A$11:$A$18)),INDEX(SS_Amont!$E$11:$E$18,ROWS(SS_Amont!$E$11:$E$18)),INDEX(SS_Amont!$E$11:$E$18,MATCH(A104,SS_Amont!$A$11:$A$18,1))+(A104-INDEX(SS_Amont!$A$11:$A$18,MATCH(A104,SS_Amont!$A$11:$A$18,1)))/(INDEX(SS_Amont!$A$11:$A$18,MATCH(A104,SS_Amont!$A$11:$A$18,1)+1)-INDEX(SS_Amont!$A$11:$A$18,MATCH(A104,SS_Amont!$A$11:$A$18,1)))*(INDEX(SS_Amont!$E$11:$E$18,MATCH(A104,SS_Amont!$A$11:$A$18,1)+1)-INDEX(SS_Amont!$E$11:$E$18,MATCH(A104,SS_Amont!$A$11:$A$18,1)))))</f>
        <v/>
      </c>
      <c r="G104" s="34">
        <f>E104+F104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</row>
    <row r="105">
      <c r="A105" s="32" t="n">
        <v>39.38</v>
      </c>
      <c r="B105" s="32">
        <f>A105-$B$12</f>
        <v/>
      </c>
      <c r="C105" s="32">
        <f>MAX(0,A105-$B$6)</f>
        <v/>
      </c>
      <c r="D105" s="5">
        <f>IF(C105&lt;=0,0,($B$7+$B$9*C105)*C105)</f>
        <v/>
      </c>
      <c r="E105" s="26">
        <f>D105*$B$11</f>
        <v/>
      </c>
      <c r="F105" s="26">
        <f>IF(A105&lt;=INDEX(SS_Amont!$A$11:$A$18,1),INDEX(SS_Amont!$E$11:$E$18,1),IF(A105&gt;=INDEX(SS_Amont!$A$11:$A$18,ROWS(SS_Amont!$A$11:$A$18)),INDEX(SS_Amont!$E$11:$E$18,ROWS(SS_Amont!$E$11:$E$18)),INDEX(SS_Amont!$E$11:$E$18,MATCH(A105,SS_Amont!$A$11:$A$18,1))+(A105-INDEX(SS_Amont!$A$11:$A$18,MATCH(A105,SS_Amont!$A$11:$A$18,1)))/(INDEX(SS_Amont!$A$11:$A$18,MATCH(A105,SS_Amont!$A$11:$A$18,1)+1)-INDEX(SS_Amont!$A$11:$A$18,MATCH(A105,SS_Amont!$A$11:$A$18,1)))*(INDEX(SS_Amont!$E$11:$E$18,MATCH(A105,SS_Amont!$A$11:$A$18,1)+1)-INDEX(SS_Amont!$E$11:$E$18,MATCH(A105,SS_Amont!$A$11:$A$18,1)))))</f>
        <v/>
      </c>
      <c r="G105" s="34">
        <f>E105+F105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</row>
    <row r="106">
      <c r="A106" s="32" t="n">
        <v>39.43</v>
      </c>
      <c r="B106" s="32">
        <f>A106-$B$12</f>
        <v/>
      </c>
      <c r="C106" s="32">
        <f>MAX(0,A106-$B$6)</f>
        <v/>
      </c>
      <c r="D106" s="5">
        <f>IF(C106&lt;=0,0,($B$7+$B$9*C106)*C106)</f>
        <v/>
      </c>
      <c r="E106" s="26">
        <f>D106*$B$11</f>
        <v/>
      </c>
      <c r="F106" s="26">
        <f>IF(A106&lt;=INDEX(SS_Amont!$A$11:$A$18,1),INDEX(SS_Amont!$E$11:$E$18,1),IF(A106&gt;=INDEX(SS_Amont!$A$11:$A$18,ROWS(SS_Amont!$A$11:$A$18)),INDEX(SS_Amont!$E$11:$E$18,ROWS(SS_Amont!$E$11:$E$18)),INDEX(SS_Amont!$E$11:$E$18,MATCH(A106,SS_Amont!$A$11:$A$18,1))+(A106-INDEX(SS_Amont!$A$11:$A$18,MATCH(A106,SS_Amont!$A$11:$A$18,1)))/(INDEX(SS_Amont!$A$11:$A$18,MATCH(A106,SS_Amont!$A$11:$A$18,1)+1)-INDEX(SS_Amont!$A$11:$A$18,MATCH(A106,SS_Amont!$A$11:$A$18,1)))*(INDEX(SS_Amont!$E$11:$E$18,MATCH(A106,SS_Amont!$A$11:$A$18,1)+1)-INDEX(SS_Amont!$E$11:$E$18,MATCH(A106,SS_Amont!$A$11:$A$18,1)))))</f>
        <v/>
      </c>
      <c r="G106" s="34">
        <f>E106+F106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</row>
    <row r="107">
      <c r="A107" s="32" t="n">
        <v>39.48</v>
      </c>
      <c r="B107" s="32">
        <f>A107-$B$12</f>
        <v/>
      </c>
      <c r="C107" s="32">
        <f>MAX(0,A107-$B$6)</f>
        <v/>
      </c>
      <c r="D107" s="5">
        <f>IF(C107&lt;=0,0,($B$7+$B$9*C107)*C107)</f>
        <v/>
      </c>
      <c r="E107" s="26">
        <f>D107*$B$11</f>
        <v/>
      </c>
      <c r="F107" s="26">
        <f>IF(A107&lt;=INDEX(SS_Amont!$A$11:$A$18,1),INDEX(SS_Amont!$E$11:$E$18,1),IF(A107&gt;=INDEX(SS_Amont!$A$11:$A$18,ROWS(SS_Amont!$A$11:$A$18)),INDEX(SS_Amont!$E$11:$E$18,ROWS(SS_Amont!$E$11:$E$18)),INDEX(SS_Amont!$E$11:$E$18,MATCH(A107,SS_Amont!$A$11:$A$18,1))+(A107-INDEX(SS_Amont!$A$11:$A$18,MATCH(A107,SS_Amont!$A$11:$A$18,1)))/(INDEX(SS_Amont!$A$11:$A$18,MATCH(A107,SS_Amont!$A$11:$A$18,1)+1)-INDEX(SS_Amont!$A$11:$A$18,MATCH(A107,SS_Amont!$A$11:$A$18,1)))*(INDEX(SS_Amont!$E$11:$E$18,MATCH(A107,SS_Amont!$A$11:$A$18,1)+1)-INDEX(SS_Amont!$E$11:$E$18,MATCH(A107,SS_Amont!$A$11:$A$18,1)))))</f>
        <v/>
      </c>
      <c r="G107" s="34">
        <f>E107+F107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</cols>
  <sheetData>
    <row r="1">
      <c r="A1" s="24" t="inlineStr">
        <is>
          <t>Méthode C — routage avec Qout composé + V = V_pond + V_ditch</t>
        </is>
      </c>
    </row>
    <row r="2">
      <c r="A2" s="40" t="inlineStr">
        <is>
          <t>À chaque pas: WSE lu sur Compose_900!V_total → Qout sur Compose_900. ΔV = (Qin_moy − Qout)×Δt. Si V≈0, Qout = MIN(Qin, Q_plein).</t>
        </is>
      </c>
    </row>
    <row r="3"/>
    <row r="5">
      <c r="A5" t="inlineStr">
        <is>
          <t>Q_plein réf. (m³/s)</t>
        </is>
      </c>
      <c r="B5" s="41">
        <f>Parametres!B22</f>
        <v/>
      </c>
    </row>
    <row r="6">
      <c r="A6" t="inlineStr">
        <is>
          <t>Crest (m)</t>
        </is>
      </c>
      <c r="B6" s="41">
        <f>Parametres!B27</f>
        <v/>
      </c>
    </row>
    <row r="7">
      <c r="A7" t="inlineStr">
        <is>
          <t>Vmax_C (m³)</t>
        </is>
      </c>
      <c r="B7" s="31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6" t="n">
        <v>0</v>
      </c>
      <c r="F12" s="34" t="n">
        <v>0</v>
      </c>
      <c r="G12" s="4" t="inlineStr">
        <is>
          <t>non</t>
        </is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6">
        <f>(A13-A12)*60</f>
        <v/>
      </c>
      <c r="F13" s="34">
        <f>MAX(0,F12+(0.5*(B12+B13)-D13)*E13)</f>
        <v/>
      </c>
      <c r="G13" s="4">
        <f>IF(C13&gt;$B$6,"oui","non")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6">
        <f>(A14-A13)*60</f>
        <v/>
      </c>
      <c r="F14" s="34">
        <f>MAX(0,F13+(0.5*(B13+B14)-D14)*E14)</f>
        <v/>
      </c>
      <c r="G14" s="4">
        <f>IF(C14&gt;$B$6,"oui","non")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6">
        <f>(A15-A14)*60</f>
        <v/>
      </c>
      <c r="F15" s="34">
        <f>MAX(0,F14+(0.5*(B14+B15)-D15)*E15)</f>
        <v/>
      </c>
      <c r="G15" s="4">
        <f>IF(C15&gt;$B$6,"oui","non")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6">
        <f>(A16-A15)*60</f>
        <v/>
      </c>
      <c r="F16" s="34">
        <f>MAX(0,F15+(0.5*(B15+B16)-D16)*E16)</f>
        <v/>
      </c>
      <c r="G16" s="4">
        <f>IF(C16&gt;$B$6,"oui","non")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6">
        <f>(A17-A16)*60</f>
        <v/>
      </c>
      <c r="F17" s="34">
        <f>MAX(0,F16+(0.5*(B16+B17)-D17)*E17)</f>
        <v/>
      </c>
      <c r="G17" s="4">
        <f>IF(C17&gt;$B$6,"oui","non")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6">
        <f>(A18-A17)*60</f>
        <v/>
      </c>
      <c r="F18" s="34">
        <f>MAX(0,F17+(0.5*(B17+B18)-D18)*E18)</f>
        <v/>
      </c>
      <c r="G18" s="4">
        <f>IF(C18&gt;$B$6,"oui","non")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6">
        <f>(A19-A18)*60</f>
        <v/>
      </c>
      <c r="F19" s="34">
        <f>MAX(0,F18+(0.5*(B18+B19)-D19)*E19)</f>
        <v/>
      </c>
      <c r="G19" s="4">
        <f>IF(C19&gt;$B$6,"oui","non")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6">
        <f>(A20-A19)*60</f>
        <v/>
      </c>
      <c r="F20" s="34">
        <f>MAX(0,F19+(0.5*(B19+B20)-D20)*E20)</f>
        <v/>
      </c>
      <c r="G20" s="4">
        <f>IF(C20&gt;$B$6,"oui","non")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6">
        <f>(A21-A20)*60</f>
        <v/>
      </c>
      <c r="F21" s="34">
        <f>MAX(0,F20+(0.5*(B20+B21)-D21)*E21)</f>
        <v/>
      </c>
      <c r="G21" s="4">
        <f>IF(C21&gt;$B$6,"oui","non")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6">
        <f>(A22-A21)*60</f>
        <v/>
      </c>
      <c r="F22" s="34">
        <f>MAX(0,F21+(0.5*(B21+B22)-D22)*E22)</f>
        <v/>
      </c>
      <c r="G22" s="4">
        <f>IF(C22&gt;$B$6,"oui","non")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6">
        <f>(A23-A22)*60</f>
        <v/>
      </c>
      <c r="F23" s="34">
        <f>MAX(0,F22+(0.5*(B22+B23)-D23)*E23)</f>
        <v/>
      </c>
      <c r="G23" s="4">
        <f>IF(C23&gt;$B$6,"oui","non")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6">
        <f>(A24-A23)*60</f>
        <v/>
      </c>
      <c r="F24" s="34">
        <f>MAX(0,F23+(0.5*(B23+B24)-D24)*E24)</f>
        <v/>
      </c>
      <c r="G24" s="4">
        <f>IF(C24&gt;$B$6,"oui","non")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1 — Stage–storage Ø1500 → Ø900 (amont)</t>
        </is>
      </c>
    </row>
    <row r="2">
      <c r="A2" s="10" t="inlineStr">
        <is>
          <t>Jaune = WSE et Surface éditables (corriger depuis AutoCAD). ΔWSE, V_pas, V_cumul = formules live (aires moyennes). Cette feuille alimente WSEmax_A/B et V_pond Méthode C. Parametres!B24 (2500 m²) n'est PAS ici — raccourci Méthode B seulement. Ne pas y mettre les surfaces de Zone 2.</t>
        </is>
      </c>
    </row>
    <row r="3"/>
    <row r="4"/>
    <row r="6">
      <c r="A6" s="2" t="inlineStr">
        <is>
          <t>Formule d'un pas (aires moyennes)</t>
        </is>
      </c>
    </row>
    <row r="7">
      <c r="A7" s="43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1 / radier amont Ø900</t>
        </is>
      </c>
    </row>
    <row r="12">
      <c r="A12" s="12" t="n">
        <v>35.5</v>
      </c>
      <c r="B12" s="17" t="n">
        <v>56</v>
      </c>
      <c r="C12" s="32">
        <f>A12-A11</f>
        <v/>
      </c>
      <c r="D12" s="26">
        <f>0.5*(B11+B12)*C12</f>
        <v/>
      </c>
      <c r="E12" s="34">
        <f>E11+D12</f>
        <v/>
      </c>
      <c r="F12" s="4" t="inlineStr">
        <is>
          <t>Levé Zone 1 — éditer si AutoCAD diffère</t>
        </is>
      </c>
    </row>
    <row r="13">
      <c r="A13" s="12" t="n">
        <v>36.01</v>
      </c>
      <c r="B13" s="17" t="n">
        <v>210</v>
      </c>
      <c r="C13" s="32">
        <f>A13-A12</f>
        <v/>
      </c>
      <c r="D13" s="26">
        <f>0.5*(B12+B13)*C13</f>
        <v/>
      </c>
      <c r="E13" s="34">
        <f>E12+D13</f>
        <v/>
      </c>
      <c r="F13" s="4" t="inlineStr">
        <is>
          <t>Levé Zone 1</t>
        </is>
      </c>
    </row>
    <row r="14">
      <c r="A14" s="12" t="n">
        <v>36.5</v>
      </c>
      <c r="B14" s="17" t="n">
        <v>380</v>
      </c>
      <c r="C14" s="32">
        <f>A14-A13</f>
        <v/>
      </c>
      <c r="D14" s="26">
        <f>0.5*(B13+B14)*C14</f>
        <v/>
      </c>
      <c r="E14" s="34">
        <f>E13+D14</f>
        <v/>
      </c>
      <c r="F14" s="4" t="inlineStr">
        <is>
          <t>Levé Zone 1</t>
        </is>
      </c>
    </row>
    <row r="15">
      <c r="A15" s="12" t="n">
        <v>37</v>
      </c>
      <c r="B15" s="17" t="n">
        <v>400</v>
      </c>
      <c r="C15" s="32">
        <f>A15-A14</f>
        <v/>
      </c>
      <c r="D15" s="26">
        <f>0.5*(B14+B15)*C15</f>
        <v/>
      </c>
      <c r="E15" s="34">
        <f>E14+D15</f>
        <v/>
      </c>
      <c r="F15" s="4" t="inlineStr">
        <is>
          <t>Levé Zone 1</t>
        </is>
      </c>
    </row>
    <row r="16">
      <c r="A16" s="12" t="n">
        <v>37.28</v>
      </c>
      <c r="B16" s="17" t="n">
        <v>500</v>
      </c>
      <c r="C16" s="39">
        <f>A16-A15</f>
        <v/>
      </c>
      <c r="D16" s="42">
        <f>0.5*(B15+B16)*C16</f>
        <v/>
      </c>
      <c r="E16" s="42">
        <f>E15+D16</f>
        <v/>
      </c>
      <c r="F16" s="7" t="inlineStr">
        <is>
          <t>LIMITE PATRON Zone 1 (+1.5 m crown)</t>
        </is>
      </c>
    </row>
    <row r="17">
      <c r="A17" s="12" t="n">
        <v>37.4</v>
      </c>
      <c r="B17" s="17" t="n">
        <v>860</v>
      </c>
      <c r="C17" s="32">
        <f>A17-A16</f>
        <v/>
      </c>
      <c r="D17" s="26">
        <f>0.5*(B16+B17)*C17</f>
        <v/>
      </c>
      <c r="E17" s="34">
        <f>E16+D17</f>
        <v/>
      </c>
      <c r="F17" s="4" t="inlineStr">
        <is>
          <t>Levé Zone 1</t>
        </is>
      </c>
    </row>
    <row r="18">
      <c r="A18" s="12" t="n">
        <v>40</v>
      </c>
      <c r="B18" s="17" t="n">
        <v>2100</v>
      </c>
      <c r="C18" s="32">
        <f>A18-A17</f>
        <v/>
      </c>
      <c r="D18" s="26">
        <f>0.5*(B17+B18)*C18</f>
        <v/>
      </c>
      <c r="E18" s="34">
        <f>E17+D18</f>
        <v/>
      </c>
      <c r="F18" s="4" t="inlineStr">
        <is>
          <t>Sommet table Zone 1</t>
        </is>
      </c>
    </row>
    <row r="21">
      <c r="A21" t="inlineStr">
        <is>
          <t>V @ 37.28 m (m³)</t>
        </is>
      </c>
      <c r="B21" s="44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4">
        <f>E18</f>
        <v/>
      </c>
    </row>
    <row r="24">
      <c r="A24" t="inlineStr">
        <is>
          <t>Vmax_A / WSEmax_A (Parametres)</t>
        </is>
      </c>
      <c r="B24" s="20">
        <f>Parametres!B36</f>
        <v/>
      </c>
      <c r="C24">
        <f>Parametres!B39</f>
        <v/>
      </c>
    </row>
    <row r="25">
      <c r="A25" t="inlineStr">
        <is>
          <t>Vmax_B / WSEmax_B (Parametres)</t>
        </is>
      </c>
      <c r="B25" s="20">
        <f>Parametres!B43</f>
        <v/>
      </c>
      <c r="C25">
        <f>Parametres!B45</f>
        <v/>
      </c>
    </row>
    <row r="26">
      <c r="A26" t="inlineStr">
        <is>
          <t>Vmax_C / WSEmax_C (Parametres)</t>
        </is>
      </c>
      <c r="B26" s="20">
        <f>Parametres!B49</f>
        <v/>
      </c>
      <c r="C26">
        <f>Parametres!B51</f>
        <v/>
      </c>
      <c r="D26" t="inlineStr">
        <is>
          <t>Vmax_C inclut V_ditch</t>
        </is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2 — Stage–storage Ø900 → Ø1200 (aval)</t>
        </is>
      </c>
    </row>
    <row r="2">
      <c r="A2" s="10" t="inlineStr">
        <is>
          <t>Jaune = WSE et Surface éditables (corriger depuis AutoCAD). ΔWSE, V_pas, V_cumul = formules live. Qin de cette zone = débit sortant du Ø900 (voir Calcul_Aval_A). Sortie contrôlée par Ø1200 (Q_plein ≈ 4.93 m³/s). Ne pas y mettre les surfaces de Zone 1.</t>
        </is>
      </c>
    </row>
    <row r="3"/>
    <row r="4"/>
    <row r="6">
      <c r="A6" s="2" t="inlineStr">
        <is>
          <t>Formule d'un pas (aires moyennes)</t>
        </is>
      </c>
    </row>
    <row r="7">
      <c r="A7" s="43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2 (même grille WSE — éditer)</t>
        </is>
      </c>
    </row>
    <row r="12">
      <c r="A12" s="12" t="n">
        <v>35.5</v>
      </c>
      <c r="B12" s="17" t="n">
        <v>60</v>
      </c>
      <c r="C12" s="32">
        <f>A12-A11</f>
        <v/>
      </c>
      <c r="D12" s="26">
        <f>0.5*(B11+B12)*C12</f>
        <v/>
      </c>
      <c r="E12" s="34">
        <f>E11+D12</f>
        <v/>
      </c>
      <c r="F12" s="4" t="inlineStr">
        <is>
          <t>Levé Zone 2 — éditer si AutoCAD diffère</t>
        </is>
      </c>
    </row>
    <row r="13">
      <c r="A13" s="12" t="n">
        <v>36.01</v>
      </c>
      <c r="B13" s="17" t="n">
        <v>219</v>
      </c>
      <c r="C13" s="32">
        <f>A13-A12</f>
        <v/>
      </c>
      <c r="D13" s="26">
        <f>0.5*(B12+B13)*C13</f>
        <v/>
      </c>
      <c r="E13" s="34">
        <f>E12+D13</f>
        <v/>
      </c>
      <c r="F13" s="4" t="inlineStr">
        <is>
          <t>Levé Zone 2</t>
        </is>
      </c>
    </row>
    <row r="14">
      <c r="A14" s="12" t="n">
        <v>36.5</v>
      </c>
      <c r="B14" s="17" t="n">
        <v>150</v>
      </c>
      <c r="C14" s="32">
        <f>A14-A13</f>
        <v/>
      </c>
      <c r="D14" s="26">
        <f>0.5*(B13+B14)*C14</f>
        <v/>
      </c>
      <c r="E14" s="34">
        <f>E13+D14</f>
        <v/>
      </c>
      <c r="F14" s="4" t="inlineStr">
        <is>
          <t>Levé Zone 2 (A↓ — vérifier plan)</t>
        </is>
      </c>
    </row>
    <row r="15">
      <c r="A15" s="12" t="n">
        <v>37</v>
      </c>
      <c r="B15" s="17" t="n">
        <v>340</v>
      </c>
      <c r="C15" s="32">
        <f>A15-A14</f>
        <v/>
      </c>
      <c r="D15" s="26">
        <f>0.5*(B14+B15)*C15</f>
        <v/>
      </c>
      <c r="E15" s="34">
        <f>E14+D15</f>
        <v/>
      </c>
      <c r="F15" s="4" t="inlineStr">
        <is>
          <t>Levé Zone 2</t>
        </is>
      </c>
    </row>
    <row r="16">
      <c r="A16" s="12" t="n">
        <v>37.28</v>
      </c>
      <c r="B16" s="17" t="n">
        <v>1700</v>
      </c>
      <c r="C16" s="39">
        <f>A16-A15</f>
        <v/>
      </c>
      <c r="D16" s="42">
        <f>0.5*(B15+B16)*C16</f>
        <v/>
      </c>
      <c r="E16" s="42">
        <f>E15+D16</f>
        <v/>
      </c>
      <c r="F16" s="7" t="inlineStr">
        <is>
          <t>Levé Zone 2 @ limite patron</t>
        </is>
      </c>
    </row>
    <row r="17">
      <c r="A17" s="12" t="n">
        <v>37.4</v>
      </c>
      <c r="B17" s="17" t="n">
        <v>1460</v>
      </c>
      <c r="C17" s="32">
        <f>A17-A16</f>
        <v/>
      </c>
      <c r="D17" s="26">
        <f>0.5*(B16+B17)*C17</f>
        <v/>
      </c>
      <c r="E17" s="34">
        <f>E16+D17</f>
        <v/>
      </c>
      <c r="F17" s="4" t="inlineStr">
        <is>
          <t>Levé Zone 2 (A↓ — vérifier plan)</t>
        </is>
      </c>
    </row>
    <row r="18">
      <c r="A18" s="12" t="n">
        <v>40</v>
      </c>
      <c r="B18" s="17" t="n">
        <v>1632</v>
      </c>
      <c r="C18" s="32">
        <f>A18-A17</f>
        <v/>
      </c>
      <c r="D18" s="26">
        <f>0.5*(B17+B18)*C18</f>
        <v/>
      </c>
      <c r="E18" s="34">
        <f>E17+D18</f>
        <v/>
      </c>
      <c r="F18" s="4" t="inlineStr">
        <is>
          <t>Sommet table Zone 2</t>
        </is>
      </c>
    </row>
    <row r="21">
      <c r="A21" t="inlineStr">
        <is>
          <t>V @ 37.28 m (m³)</t>
        </is>
      </c>
      <c r="B21" s="44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4">
        <f>E18</f>
        <v/>
      </c>
    </row>
    <row r="24">
      <c r="A24" t="inlineStr">
        <is>
          <t>Vmax_Aval_A / WSEmax (Parametres)</t>
        </is>
      </c>
      <c r="B24" s="20">
        <f>Parametres!B56</f>
        <v/>
      </c>
      <c r="C24">
        <f>Parametres!B57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4" t="inlineStr">
        <is>
          <t>Index levé — Zone 1 (SS_Amont) + Zone 2 (SS_Aval)</t>
        </is>
      </c>
    </row>
    <row r="2">
      <c r="A2" s="10" t="inlineStr">
        <is>
          <t>Éditez les surfaces dans SS_Amont et SS_Aval (pas ici). Ce tableau compare A1+A2 vs total pour détecter un double comptage. GIS export = option pour sortir des polygones d'eau depuis AutoCAD/Civil 3D; vous n'en avez pas besoin si vous tapez les aires à la main depuis le plan.</t>
        </is>
      </c>
    </row>
    <row r="3"/>
    <row r="5">
      <c r="A5" s="3" t="inlineStr">
        <is>
          <t>WSE (m)</t>
        </is>
      </c>
      <c r="B5" s="3" t="inlineStr">
        <is>
          <t>A_Zone1 (m²)</t>
        </is>
      </c>
      <c r="C5" s="3" t="inlineStr">
        <is>
          <t>A_Zone2 (m²)</t>
        </is>
      </c>
      <c r="D5" s="3" t="inlineStr">
        <is>
          <t>A1+A2 (m²)</t>
        </is>
      </c>
      <c r="E5" s="3" t="inlineStr">
        <is>
          <t>V1 (m³)</t>
        </is>
      </c>
      <c r="F5" s="3" t="inlineStr">
        <is>
          <t>V2 (m³)</t>
        </is>
      </c>
      <c r="G5" s="3" t="inlineStr">
        <is>
          <t>V1+V2 (m³)</t>
        </is>
      </c>
    </row>
    <row r="6">
      <c r="A6" s="32">
        <f>SS_Amont!A11</f>
        <v/>
      </c>
      <c r="B6" s="45">
        <f>SS_Amont!B11</f>
        <v/>
      </c>
      <c r="C6" s="45">
        <f>SS_Aval!B11</f>
        <v/>
      </c>
      <c r="D6" s="46">
        <f>B6+C6</f>
        <v/>
      </c>
      <c r="E6" s="26">
        <f>SS_Amont!E11</f>
        <v/>
      </c>
      <c r="F6" s="26">
        <f>SS_Aval!E11</f>
        <v/>
      </c>
      <c r="G6" s="34">
        <f>E6+F6</f>
        <v/>
      </c>
    </row>
    <row r="7">
      <c r="A7" s="32">
        <f>SS_Amont!A12</f>
        <v/>
      </c>
      <c r="B7" s="45">
        <f>SS_Amont!B12</f>
        <v/>
      </c>
      <c r="C7" s="45">
        <f>SS_Aval!B12</f>
        <v/>
      </c>
      <c r="D7" s="46">
        <f>B7+C7</f>
        <v/>
      </c>
      <c r="E7" s="26">
        <f>SS_Amont!E12</f>
        <v/>
      </c>
      <c r="F7" s="26">
        <f>SS_Aval!E12</f>
        <v/>
      </c>
      <c r="G7" s="34">
        <f>E7+F7</f>
        <v/>
      </c>
    </row>
    <row r="8">
      <c r="A8" s="32">
        <f>SS_Amont!A13</f>
        <v/>
      </c>
      <c r="B8" s="45">
        <f>SS_Amont!B13</f>
        <v/>
      </c>
      <c r="C8" s="45">
        <f>SS_Aval!B13</f>
        <v/>
      </c>
      <c r="D8" s="46">
        <f>B8+C8</f>
        <v/>
      </c>
      <c r="E8" s="26">
        <f>SS_Amont!E13</f>
        <v/>
      </c>
      <c r="F8" s="26">
        <f>SS_Aval!E13</f>
        <v/>
      </c>
      <c r="G8" s="34">
        <f>E8+F8</f>
        <v/>
      </c>
    </row>
    <row r="9">
      <c r="A9" s="32">
        <f>SS_Amont!A14</f>
        <v/>
      </c>
      <c r="B9" s="45">
        <f>SS_Amont!B14</f>
        <v/>
      </c>
      <c r="C9" s="45">
        <f>SS_Aval!B14</f>
        <v/>
      </c>
      <c r="D9" s="46">
        <f>B9+C9</f>
        <v/>
      </c>
      <c r="E9" s="26">
        <f>SS_Amont!E14</f>
        <v/>
      </c>
      <c r="F9" s="26">
        <f>SS_Aval!E14</f>
        <v/>
      </c>
      <c r="G9" s="34">
        <f>E9+F9</f>
        <v/>
      </c>
    </row>
    <row r="10">
      <c r="A10" s="32">
        <f>SS_Amont!A15</f>
        <v/>
      </c>
      <c r="B10" s="45">
        <f>SS_Amont!B15</f>
        <v/>
      </c>
      <c r="C10" s="45">
        <f>SS_Aval!B15</f>
        <v/>
      </c>
      <c r="D10" s="46">
        <f>B10+C10</f>
        <v/>
      </c>
      <c r="E10" s="26">
        <f>SS_Amont!E15</f>
        <v/>
      </c>
      <c r="F10" s="26">
        <f>SS_Aval!E15</f>
        <v/>
      </c>
      <c r="G10" s="34">
        <f>E10+F10</f>
        <v/>
      </c>
    </row>
    <row r="11">
      <c r="A11" s="32">
        <f>SS_Amont!A16</f>
        <v/>
      </c>
      <c r="B11" s="45">
        <f>SS_Amont!B16</f>
        <v/>
      </c>
      <c r="C11" s="45">
        <f>SS_Aval!B16</f>
        <v/>
      </c>
      <c r="D11" s="46">
        <f>B11+C11</f>
        <v/>
      </c>
      <c r="E11" s="26">
        <f>SS_Amont!E16</f>
        <v/>
      </c>
      <c r="F11" s="26">
        <f>SS_Aval!E16</f>
        <v/>
      </c>
      <c r="G11" s="34">
        <f>E11+F11</f>
        <v/>
      </c>
    </row>
    <row r="12">
      <c r="A12" s="32">
        <f>SS_Amont!A17</f>
        <v/>
      </c>
      <c r="B12" s="45">
        <f>SS_Amont!B17</f>
        <v/>
      </c>
      <c r="C12" s="45">
        <f>SS_Aval!B17</f>
        <v/>
      </c>
      <c r="D12" s="46">
        <f>B12+C12</f>
        <v/>
      </c>
      <c r="E12" s="26">
        <f>SS_Amont!E17</f>
        <v/>
      </c>
      <c r="F12" s="26">
        <f>SS_Aval!E17</f>
        <v/>
      </c>
      <c r="G12" s="34">
        <f>E12+F12</f>
        <v/>
      </c>
    </row>
    <row r="13">
      <c r="A13" s="32">
        <f>SS_Amont!A18</f>
        <v/>
      </c>
      <c r="B13" s="45">
        <f>SS_Amont!B18</f>
        <v/>
      </c>
      <c r="C13" s="45">
        <f>SS_Aval!B18</f>
        <v/>
      </c>
      <c r="D13" s="46">
        <f>B13+C13</f>
        <v/>
      </c>
      <c r="E13" s="26">
        <f>SS_Amont!E18</f>
        <v/>
      </c>
      <c r="F13" s="26">
        <f>SS_Aval!E18</f>
        <v/>
      </c>
      <c r="G13" s="34">
        <f>E13+F13</f>
        <v/>
      </c>
    </row>
  </sheetData>
  <mergeCells count="1">
    <mergeCell ref="A2:H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4" t="inlineStr">
        <is>
          <t>Zone 2 — Méthode A: Qin = sortie Ø900; Qout = Q_plein Ø1200</t>
        </is>
      </c>
    </row>
    <row r="2">
      <c r="A2" s="40" t="inlineStr">
        <is>
          <t>Qin_aval ≈ débit livré par le Ø900 (Calcul_A colonne C = Qcap Ø900 quand le bassin amont stocke). Qout_aval = Parametres capacité Ø1200. Stockage sur SS_Aval. Souvent Vmax_Aval faible si Q_1200 ≫ Q_900.</t>
        </is>
      </c>
    </row>
    <row r="3"/>
    <row r="5">
      <c r="A5" t="inlineStr">
        <is>
          <t>Qout_Aval (m³/s)</t>
        </is>
      </c>
      <c r="B5" s="30">
        <f>4.93</f>
        <v/>
      </c>
      <c r="C5" t="inlineStr">
        <is>
          <t>Par défaut Q_plein Ø1200 — éditable</t>
        </is>
      </c>
    </row>
    <row r="6">
      <c r="A6" t="inlineStr">
        <is>
          <t>Vmax_Aval_A (m³)</t>
        </is>
      </c>
      <c r="B6" s="31">
        <f>MAX(H10:H22)</f>
        <v/>
      </c>
    </row>
    <row r="7">
      <c r="A7" t="inlineStr">
        <is>
          <t>WSEmax_Aval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 (m³/s)</t>
        </is>
      </c>
      <c r="C9" s="3" t="inlineStr">
        <is>
          <t>Qout_aval (m³/s)</t>
        </is>
      </c>
      <c r="D9" s="3" t="inlineStr">
        <is>
          <t>Qin−Qout</t>
        </is>
      </c>
      <c r="E9" s="3" t="inlineStr">
        <is>
          <t>Δt (s)</t>
        </is>
      </c>
      <c r="F9" s="3" t="inlineStr">
        <is>
          <t>ΔVin (m³)</t>
        </is>
      </c>
      <c r="G9" s="3" t="inlineStr">
        <is>
          <t>ΔVout (m³)</t>
        </is>
      </c>
      <c r="H9" s="3" t="inlineStr">
        <is>
          <t>V stocké (m³)</t>
        </is>
      </c>
      <c r="I9" s="3" t="inlineStr">
        <is>
          <t>Stockage?</t>
        </is>
      </c>
    </row>
    <row r="10">
      <c r="A10" s="26">
        <f>Calcul_A!A8</f>
        <v/>
      </c>
      <c r="B10" s="5">
        <f>Calcul_A!C8</f>
        <v/>
      </c>
      <c r="C10" s="32">
        <f>$B$5</f>
        <v/>
      </c>
      <c r="D10" s="5">
        <f>B10-C10</f>
        <v/>
      </c>
      <c r="E10" s="4" t="n">
        <v>0</v>
      </c>
      <c r="F10" s="4" t="n">
        <v>0</v>
      </c>
      <c r="G10" s="4" t="n">
        <v>0</v>
      </c>
      <c r="H10" s="33" t="n">
        <v>0</v>
      </c>
      <c r="I10" s="4">
        <f>IF(H10&gt;0.5,"oui","non")</f>
        <v/>
      </c>
    </row>
    <row r="11">
      <c r="A11" s="26">
        <f>Calcul_A!A9</f>
        <v/>
      </c>
      <c r="B11" s="5">
        <f>Calcul_A!C9</f>
        <v/>
      </c>
      <c r="C11" s="32">
        <f>$B$5</f>
        <v/>
      </c>
      <c r="D11" s="5">
        <f>B11-C11</f>
        <v/>
      </c>
      <c r="E11" s="26">
        <f>(A11-A10)*60</f>
        <v/>
      </c>
      <c r="F11" s="26">
        <f>0.5*(B10+B11)*E11</f>
        <v/>
      </c>
      <c r="G11" s="26">
        <f>F11-(H11-H10)</f>
        <v/>
      </c>
      <c r="H11" s="34">
        <f>MAX(0,H10+0.5*(D10+D11)*E11)</f>
        <v/>
      </c>
      <c r="I11" s="4">
        <f>IF(H11&gt;0.5,"oui","non")</f>
        <v/>
      </c>
    </row>
    <row r="12">
      <c r="A12" s="26">
        <f>Calcul_A!A10</f>
        <v/>
      </c>
      <c r="B12" s="5">
        <f>Calcul_A!C10</f>
        <v/>
      </c>
      <c r="C12" s="32">
        <f>$B$5</f>
        <v/>
      </c>
      <c r="D12" s="5">
        <f>B12-C12</f>
        <v/>
      </c>
      <c r="E12" s="26">
        <f>(A12-A11)*60</f>
        <v/>
      </c>
      <c r="F12" s="26">
        <f>0.5*(B11+B12)*E12</f>
        <v/>
      </c>
      <c r="G12" s="26">
        <f>F12-(H12-H11)</f>
        <v/>
      </c>
      <c r="H12" s="34">
        <f>MAX(0,H11+0.5*(D11+D12)*E12)</f>
        <v/>
      </c>
      <c r="I12" s="4">
        <f>IF(H12&gt;0.5,"oui","non")</f>
        <v/>
      </c>
    </row>
    <row r="13">
      <c r="A13" s="26">
        <f>Calcul_A!A11</f>
        <v/>
      </c>
      <c r="B13" s="5">
        <f>Calcul_A!C11</f>
        <v/>
      </c>
      <c r="C13" s="32">
        <f>$B$5</f>
        <v/>
      </c>
      <c r="D13" s="5">
        <f>B13-C13</f>
        <v/>
      </c>
      <c r="E13" s="26">
        <f>(A13-A12)*60</f>
        <v/>
      </c>
      <c r="F13" s="26">
        <f>0.5*(B12+B13)*E13</f>
        <v/>
      </c>
      <c r="G13" s="26">
        <f>F13-(H13-H12)</f>
        <v/>
      </c>
      <c r="H13" s="34">
        <f>MAX(0,H12+0.5*(D12+D13)*E13)</f>
        <v/>
      </c>
      <c r="I13" s="4">
        <f>IF(H13&gt;0.5,"oui","non")</f>
        <v/>
      </c>
    </row>
    <row r="14">
      <c r="A14" s="26">
        <f>Calcul_A!A12</f>
        <v/>
      </c>
      <c r="B14" s="5">
        <f>Calcul_A!C12</f>
        <v/>
      </c>
      <c r="C14" s="32">
        <f>$B$5</f>
        <v/>
      </c>
      <c r="D14" s="5">
        <f>B14-C14</f>
        <v/>
      </c>
      <c r="E14" s="26">
        <f>(A14-A13)*60</f>
        <v/>
      </c>
      <c r="F14" s="26">
        <f>0.5*(B13+B14)*E14</f>
        <v/>
      </c>
      <c r="G14" s="26">
        <f>F14-(H14-H13)</f>
        <v/>
      </c>
      <c r="H14" s="34">
        <f>MAX(0,H13+0.5*(D13+D14)*E14)</f>
        <v/>
      </c>
      <c r="I14" s="4">
        <f>IF(H14&gt;0.5,"oui","non")</f>
        <v/>
      </c>
    </row>
    <row r="15">
      <c r="A15" s="26">
        <f>Calcul_A!A13</f>
        <v/>
      </c>
      <c r="B15" s="5">
        <f>Calcul_A!C13</f>
        <v/>
      </c>
      <c r="C15" s="32">
        <f>$B$5</f>
        <v/>
      </c>
      <c r="D15" s="5">
        <f>B15-C15</f>
        <v/>
      </c>
      <c r="E15" s="26">
        <f>(A15-A14)*60</f>
        <v/>
      </c>
      <c r="F15" s="26">
        <f>0.5*(B14+B15)*E15</f>
        <v/>
      </c>
      <c r="G15" s="26">
        <f>F15-(H15-H14)</f>
        <v/>
      </c>
      <c r="H15" s="34">
        <f>MAX(0,H14+0.5*(D14+D15)*E15)</f>
        <v/>
      </c>
      <c r="I15" s="4">
        <f>IF(H15&gt;0.5,"oui","non")</f>
        <v/>
      </c>
    </row>
    <row r="16">
      <c r="A16" s="26">
        <f>Calcul_A!A14</f>
        <v/>
      </c>
      <c r="B16" s="5">
        <f>Calcul_A!C14</f>
        <v/>
      </c>
      <c r="C16" s="32">
        <f>$B$5</f>
        <v/>
      </c>
      <c r="D16" s="5">
        <f>B16-C16</f>
        <v/>
      </c>
      <c r="E16" s="26">
        <f>(A16-A15)*60</f>
        <v/>
      </c>
      <c r="F16" s="26">
        <f>0.5*(B15+B16)*E16</f>
        <v/>
      </c>
      <c r="G16" s="26">
        <f>F16-(H16-H15)</f>
        <v/>
      </c>
      <c r="H16" s="34">
        <f>MAX(0,H15+0.5*(D15+D16)*E16)</f>
        <v/>
      </c>
      <c r="I16" s="4">
        <f>IF(H16&gt;0.5,"oui","non")</f>
        <v/>
      </c>
    </row>
    <row r="17">
      <c r="A17" s="26">
        <f>Calcul_A!A15</f>
        <v/>
      </c>
      <c r="B17" s="5">
        <f>Calcul_A!C15</f>
        <v/>
      </c>
      <c r="C17" s="32">
        <f>$B$5</f>
        <v/>
      </c>
      <c r="D17" s="5">
        <f>B17-C17</f>
        <v/>
      </c>
      <c r="E17" s="26">
        <f>(A17-A16)*60</f>
        <v/>
      </c>
      <c r="F17" s="26">
        <f>0.5*(B16+B17)*E17</f>
        <v/>
      </c>
      <c r="G17" s="26">
        <f>F17-(H17-H16)</f>
        <v/>
      </c>
      <c r="H17" s="34">
        <f>MAX(0,H16+0.5*(D16+D17)*E17)</f>
        <v/>
      </c>
      <c r="I17" s="4">
        <f>IF(H17&gt;0.5,"oui","non")</f>
        <v/>
      </c>
    </row>
    <row r="18">
      <c r="A18" s="26">
        <f>Calcul_A!A16</f>
        <v/>
      </c>
      <c r="B18" s="5">
        <f>Calcul_A!C16</f>
        <v/>
      </c>
      <c r="C18" s="32">
        <f>$B$5</f>
        <v/>
      </c>
      <c r="D18" s="5">
        <f>B18-C18</f>
        <v/>
      </c>
      <c r="E18" s="26">
        <f>(A18-A17)*60</f>
        <v/>
      </c>
      <c r="F18" s="26">
        <f>0.5*(B17+B18)*E18</f>
        <v/>
      </c>
      <c r="G18" s="26">
        <f>F18-(H18-H17)</f>
        <v/>
      </c>
      <c r="H18" s="34">
        <f>MAX(0,H17+0.5*(D17+D18)*E18)</f>
        <v/>
      </c>
      <c r="I18" s="4">
        <f>IF(H18&gt;0.5,"oui","non")</f>
        <v/>
      </c>
    </row>
    <row r="19">
      <c r="A19" s="26">
        <f>Calcul_A!A17</f>
        <v/>
      </c>
      <c r="B19" s="5">
        <f>Calcul_A!C17</f>
        <v/>
      </c>
      <c r="C19" s="32">
        <f>$B$5</f>
        <v/>
      </c>
      <c r="D19" s="5">
        <f>B19-C19</f>
        <v/>
      </c>
      <c r="E19" s="26">
        <f>(A19-A18)*60</f>
        <v/>
      </c>
      <c r="F19" s="26">
        <f>0.5*(B18+B19)*E19</f>
        <v/>
      </c>
      <c r="G19" s="26">
        <f>F19-(H19-H18)</f>
        <v/>
      </c>
      <c r="H19" s="34">
        <f>MAX(0,H18+0.5*(D18+D19)*E19)</f>
        <v/>
      </c>
      <c r="I19" s="4">
        <f>IF(H19&gt;0.5,"oui","non")</f>
        <v/>
      </c>
    </row>
    <row r="20">
      <c r="A20" s="26">
        <f>Calcul_A!A18</f>
        <v/>
      </c>
      <c r="B20" s="5">
        <f>Calcul_A!C18</f>
        <v/>
      </c>
      <c r="C20" s="32">
        <f>$B$5</f>
        <v/>
      </c>
      <c r="D20" s="5">
        <f>B20-C20</f>
        <v/>
      </c>
      <c r="E20" s="26">
        <f>(A20-A19)*60</f>
        <v/>
      </c>
      <c r="F20" s="26">
        <f>0.5*(B19+B20)*E20</f>
        <v/>
      </c>
      <c r="G20" s="26">
        <f>F20-(H20-H19)</f>
        <v/>
      </c>
      <c r="H20" s="34">
        <f>MAX(0,H19+0.5*(D19+D20)*E20)</f>
        <v/>
      </c>
      <c r="I20" s="4">
        <f>IF(H20&gt;0.5,"oui","non")</f>
        <v/>
      </c>
    </row>
    <row r="21">
      <c r="A21" s="26">
        <f>Calcul_A!A19</f>
        <v/>
      </c>
      <c r="B21" s="5">
        <f>Calcul_A!C19</f>
        <v/>
      </c>
      <c r="C21" s="32">
        <f>$B$5</f>
        <v/>
      </c>
      <c r="D21" s="5">
        <f>B21-C21</f>
        <v/>
      </c>
      <c r="E21" s="26">
        <f>(A21-A20)*60</f>
        <v/>
      </c>
      <c r="F21" s="26">
        <f>0.5*(B20+B21)*E21</f>
        <v/>
      </c>
      <c r="G21" s="26">
        <f>F21-(H21-H20)</f>
        <v/>
      </c>
      <c r="H21" s="34">
        <f>MAX(0,H20+0.5*(D20+D21)*E21)</f>
        <v/>
      </c>
      <c r="I21" s="4">
        <f>IF(H21&gt;0.5,"oui","non")</f>
        <v/>
      </c>
    </row>
    <row r="22">
      <c r="A22" s="26">
        <f>Calcul_A!A20</f>
        <v/>
      </c>
      <c r="B22" s="5">
        <f>Calcul_A!C20</f>
        <v/>
      </c>
      <c r="C22" s="32">
        <f>$B$5</f>
        <v/>
      </c>
      <c r="D22" s="5">
        <f>B22-C22</f>
        <v/>
      </c>
      <c r="E22" s="26">
        <f>(A22-A21)*60</f>
        <v/>
      </c>
      <c r="F22" s="26">
        <f>0.5*(B21+B22)*E22</f>
        <v/>
      </c>
      <c r="G22" s="26">
        <f>F22-(H22-H21)</f>
        <v/>
      </c>
      <c r="H22" s="34">
        <f>MAX(0,H21+0.5*(D21+D22)*E22)</f>
        <v/>
      </c>
      <c r="I22" s="4">
        <f>IF(H22&gt;0.5,"oui","non")</f>
        <v/>
      </c>
    </row>
  </sheetData>
  <mergeCells count="1">
    <mergeCell ref="A2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7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8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Q_900(WSE) + Q_overflow(WSE); V = V_pond + V_ditch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 Zone 1: A/B via SS_Amont; C via Calcul_C. Zone 2: SS_Aval + Calcul_Aval_A (B55–B57).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2026-10-18T18:15:46Z</dcterms:created>
  <dcterms:modified xsi:type="dcterms:W3CDTF">2026-10-18T18:15:46Z</dcterms:modified>
</cp:coreProperties>
</file>