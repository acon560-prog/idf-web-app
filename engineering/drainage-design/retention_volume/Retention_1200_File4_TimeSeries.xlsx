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_temporelles" sheetId="1" state="visible" r:id="rId1"/>
    <sheet name="Meth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0F5C5C"/>
      <sz val="14"/>
    </font>
    <font>
      <b val="1"/>
      <color rgb="00FFFFFF"/>
    </font>
    <font>
      <b val="1"/>
      <color rgb="000F5C5C"/>
      <sz val="13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0F5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1" pivotButton="0" quotePrefix="0" xfId="0"/>
    <xf numFmtId="2" fontId="0" fillId="2" borderId="1" pivotButton="0" quotePrefix="0" xfId="0"/>
    <xf numFmtId="165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0" fontId="2" fillId="4" borderId="1" pivotButton="0" quotePrefix="0" xfId="0"/>
    <xf numFmtId="0" fontId="2" fillId="4" borderId="0" pivotButton="0" quotePrefix="0" xfId="0"/>
    <xf numFmtId="165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3" borderId="1" pivotButton="0" quotePrefix="0" xfId="0"/>
    <xf numFmtId="1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Debits vs temps</a:t>
            </a:r>
          </a:p>
        </rich>
      </tx>
    </title>
    <plotArea>
      <lineChart>
        <grouping val="standard"/>
        <ser>
          <idx val="0"/>
          <order val="0"/>
          <tx>
            <strRef>
              <f>'Series_temporelles'!B13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'Series_temporelles'!$A$14:$A$26</f>
            </numRef>
          </cat>
          <val>
            <numRef>
              <f>'Series_temporelles'!$B$14:$B$26</f>
            </numRef>
          </val>
        </ser>
        <ser>
          <idx val="1"/>
          <order val="1"/>
          <tx>
            <strRef>
              <f>'Series_temporelles'!D13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'Series_temporelles'!$A$14:$A$26</f>
            </numRef>
          </cat>
          <val>
            <numRef>
              <f>'Series_temporelles'!$D$14:$D$26</f>
            </numRef>
          </val>
        </ser>
        <ser>
          <idx val="2"/>
          <order val="2"/>
          <tx>
            <strRef>
              <f>'Series_temporelles'!E13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'Series_temporelles'!$A$14:$A$26</f>
            </numRef>
          </cat>
          <val>
            <numRef>
              <f>'Series_temporelles'!$E$14:$E$26</f>
            </numRef>
          </val>
        </ser>
        <ser>
          <idx val="3"/>
          <order val="3"/>
          <tx>
            <strRef>
              <f>'Series_temporelles'!F13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'Series_temporelles'!$A$14:$A$26</f>
            </numRef>
          </cat>
          <val>
            <numRef>
              <f>'Series_temporelles'!$F$14:$F$26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WSE et V vs temps</a:t>
            </a:r>
          </a:p>
        </rich>
      </tx>
    </title>
    <plotArea>
      <lineChart>
        <grouping val="standard"/>
        <ser>
          <idx val="0"/>
          <order val="0"/>
          <tx>
            <strRef>
              <f>'Series_temporelles'!C13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'Series_temporelles'!$A$14:$A$26</f>
            </numRef>
          </cat>
          <val>
            <numRef>
              <f>'Series_temporelles'!$C$14:$C$26</f>
            </numRef>
          </val>
        </ser>
        <ser>
          <idx val="1"/>
          <order val="1"/>
          <tx>
            <strRef>
              <f>'Series_temporelles'!G13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'Series_temporelles'!$A$14:$A$26</f>
            </numRef>
          </cat>
          <val>
            <numRef>
              <f>'Series_temporelles'!$G$14:$G$26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FILE 4 — Series temporelles (Idee 4)</t>
        </is>
      </c>
    </row>
    <row r="2">
      <c r="A2" s="2" t="inlineStr">
        <is>
          <t>Qin, Q_1200, Q_overflow, Q_down et WSE dans le temps. Montre quand l'overflow demarre et que l'aval recoit pipe + fosse.</t>
        </is>
      </c>
    </row>
    <row r="3"/>
    <row r="5">
      <c r="A5" t="inlineStr">
        <is>
          <t>Qpointe (m3/s)</t>
        </is>
      </c>
      <c r="B5" s="3" t="n">
        <v>9.6</v>
      </c>
    </row>
    <row r="6">
      <c r="A6" t="inlineStr">
        <is>
          <t>Crest (m)</t>
        </is>
      </c>
      <c r="B6" s="4" t="n">
        <v>37.28</v>
      </c>
    </row>
    <row r="8">
      <c r="A8" t="inlineStr">
        <is>
          <t>V_hold (m3)</t>
        </is>
      </c>
      <c r="B8" s="5" t="n">
        <v>791.9172087208271</v>
      </c>
    </row>
    <row r="9">
      <c r="A9" t="inlineStr">
        <is>
          <t>V_overflow (m3)</t>
        </is>
      </c>
      <c r="B9" s="5" t="n">
        <v>0</v>
      </c>
    </row>
    <row r="10">
      <c r="A10" t="inlineStr">
        <is>
          <t>WSEmax (m)</t>
        </is>
      </c>
      <c r="B10" s="6" t="n">
        <v>37.06649568795122</v>
      </c>
    </row>
    <row r="11">
      <c r="A11" t="inlineStr">
        <is>
          <t>Q_down max (m3/s)</t>
        </is>
      </c>
      <c r="B11" s="7" t="n">
        <v>7.025489948227896</v>
      </c>
    </row>
    <row r="13">
      <c r="A13" s="8" t="inlineStr">
        <is>
          <t>t (min)</t>
        </is>
      </c>
      <c r="B13" s="8" t="inlineStr">
        <is>
          <t>Qin</t>
        </is>
      </c>
      <c r="C13" s="8" t="inlineStr">
        <is>
          <t>WSE</t>
        </is>
      </c>
      <c r="D13" s="8" t="inlineStr">
        <is>
          <t>Q_1200</t>
        </is>
      </c>
      <c r="E13" s="8" t="inlineStr">
        <is>
          <t>Q_overflow</t>
        </is>
      </c>
      <c r="F13" s="8" t="inlineStr">
        <is>
          <t>Q_down</t>
        </is>
      </c>
      <c r="G13" s="8" t="inlineStr">
        <is>
          <t>V (m3)</t>
        </is>
      </c>
      <c r="H13" s="8" t="inlineStr">
        <is>
          <t>dt (s)</t>
        </is>
      </c>
      <c r="I13" s="8" t="inlineStr">
        <is>
          <t>dV_ov (m3)</t>
        </is>
      </c>
      <c r="J13" s="9" t="inlineStr">
        <is>
          <t>V_ov_cumul</t>
        </is>
      </c>
    </row>
    <row r="14">
      <c r="A14" s="10" t="n">
        <v>0</v>
      </c>
      <c r="B14" s="11" t="n">
        <v>0.7780000000000001</v>
      </c>
      <c r="C14" s="12" t="n">
        <v>34.88</v>
      </c>
      <c r="D14" s="11" t="n">
        <v>0.7780000000000001</v>
      </c>
      <c r="E14" s="11" t="n">
        <v>0</v>
      </c>
      <c r="F14" s="11" t="n">
        <v>0.7780000000000001</v>
      </c>
      <c r="G14" s="13" t="n">
        <v>0</v>
      </c>
      <c r="H14" s="14" t="n">
        <v>0</v>
      </c>
      <c r="I14" s="10" t="n">
        <v>0</v>
      </c>
      <c r="J14" s="10">
        <f>I14</f>
        <v/>
      </c>
    </row>
    <row r="15">
      <c r="A15" s="10" t="n">
        <v>5</v>
      </c>
      <c r="B15" s="11" t="n">
        <v>1.17</v>
      </c>
      <c r="C15" s="12" t="n">
        <v>34.88</v>
      </c>
      <c r="D15" s="11" t="n">
        <v>4.706338113931656</v>
      </c>
      <c r="E15" s="11" t="n">
        <v>0</v>
      </c>
      <c r="F15" s="11" t="n">
        <v>4.706338113931656</v>
      </c>
      <c r="G15" s="13" t="n">
        <v>0</v>
      </c>
      <c r="H15" s="14" t="n">
        <v>300</v>
      </c>
      <c r="I15" s="10" t="n">
        <v>0</v>
      </c>
      <c r="J15" s="10">
        <f>J14+I15</f>
        <v/>
      </c>
    </row>
    <row r="16">
      <c r="A16" s="10" t="n">
        <v>10</v>
      </c>
      <c r="B16" s="11" t="n">
        <v>1.857</v>
      </c>
      <c r="C16" s="12" t="n">
        <v>34.88</v>
      </c>
      <c r="D16" s="11" t="n">
        <v>4.706338113931656</v>
      </c>
      <c r="E16" s="11" t="n">
        <v>0</v>
      </c>
      <c r="F16" s="11" t="n">
        <v>4.706338113931656</v>
      </c>
      <c r="G16" s="13" t="n">
        <v>0</v>
      </c>
      <c r="H16" s="14" t="n">
        <v>300</v>
      </c>
      <c r="I16" s="10" t="n">
        <v>0</v>
      </c>
      <c r="J16" s="10">
        <f>J15+I16</f>
        <v/>
      </c>
    </row>
    <row r="17">
      <c r="A17" s="10" t="n">
        <v>15</v>
      </c>
      <c r="B17" s="11" t="n">
        <v>3.202</v>
      </c>
      <c r="C17" s="12" t="n">
        <v>34.88</v>
      </c>
      <c r="D17" s="11" t="n">
        <v>4.706338113931656</v>
      </c>
      <c r="E17" s="11" t="n">
        <v>0</v>
      </c>
      <c r="F17" s="11" t="n">
        <v>4.706338113931656</v>
      </c>
      <c r="G17" s="13" t="n">
        <v>0</v>
      </c>
      <c r="H17" s="14" t="n">
        <v>300</v>
      </c>
      <c r="I17" s="10" t="n">
        <v>0</v>
      </c>
      <c r="J17" s="10">
        <f>J16+I17</f>
        <v/>
      </c>
    </row>
    <row r="18">
      <c r="A18" s="10" t="n">
        <v>20</v>
      </c>
      <c r="B18" s="11" t="n">
        <v>6.309</v>
      </c>
      <c r="C18" s="12" t="n">
        <v>35.12580943034172</v>
      </c>
      <c r="D18" s="11" t="n">
        <v>5.020794171455852</v>
      </c>
      <c r="E18" s="11" t="n">
        <v>0</v>
      </c>
      <c r="F18" s="11" t="n">
        <v>5.020794171455852</v>
      </c>
      <c r="G18" s="13" t="n">
        <v>14.74856582050315</v>
      </c>
      <c r="H18" s="14" t="n">
        <v>300</v>
      </c>
      <c r="I18" s="10" t="n">
        <v>0</v>
      </c>
      <c r="J18" s="10">
        <f>J17+I18</f>
        <v/>
      </c>
    </row>
    <row r="19">
      <c r="A19" s="10" t="n">
        <v>22.5</v>
      </c>
      <c r="B19" s="11" t="n">
        <v>9.6</v>
      </c>
      <c r="C19" s="12" t="n">
        <v>36.59984073350354</v>
      </c>
      <c r="D19" s="11" t="n">
        <v>6.599290771270994</v>
      </c>
      <c r="E19" s="11" t="n">
        <v>0</v>
      </c>
      <c r="F19" s="11" t="n">
        <v>6.599290771270994</v>
      </c>
      <c r="G19" s="13" t="n">
        <v>454.8044401021253</v>
      </c>
      <c r="H19" s="14" t="n">
        <v>150</v>
      </c>
      <c r="I19" s="10" t="n">
        <v>0</v>
      </c>
      <c r="J19" s="10">
        <f>J18+I19</f>
        <v/>
      </c>
    </row>
    <row r="20">
      <c r="A20" s="10" t="n">
        <v>27.5</v>
      </c>
      <c r="B20" s="11" t="n">
        <v>5.846</v>
      </c>
      <c r="C20" s="12" t="n">
        <v>37.06649568795122</v>
      </c>
      <c r="D20" s="11" t="n">
        <v>7.025489948227896</v>
      </c>
      <c r="E20" s="11" t="n">
        <v>0</v>
      </c>
      <c r="F20" s="11" t="n">
        <v>7.025489948227896</v>
      </c>
      <c r="G20" s="13" t="n">
        <v>791.9172087208271</v>
      </c>
      <c r="H20" s="14" t="n">
        <v>300</v>
      </c>
      <c r="I20" s="10" t="n">
        <v>0</v>
      </c>
      <c r="J20" s="10">
        <f>J19+I20</f>
        <v/>
      </c>
    </row>
    <row r="21">
      <c r="A21" s="10" t="n">
        <v>32.5</v>
      </c>
      <c r="B21" s="11" t="n">
        <v>3.857</v>
      </c>
      <c r="C21" s="12" t="n">
        <v>35.88040899537091</v>
      </c>
      <c r="D21" s="11" t="n">
        <v>5.882033125246534</v>
      </c>
      <c r="E21" s="11" t="n">
        <v>0</v>
      </c>
      <c r="F21" s="11" t="n">
        <v>5.882033125246534</v>
      </c>
      <c r="G21" s="13" t="n">
        <v>139.7202242524584</v>
      </c>
      <c r="H21" s="14" t="n">
        <v>300</v>
      </c>
      <c r="I21" s="10" t="n">
        <v>0</v>
      </c>
      <c r="J21" s="10">
        <f>J20+I21</f>
        <v/>
      </c>
    </row>
    <row r="22">
      <c r="A22" s="10" t="n">
        <v>37.5</v>
      </c>
      <c r="B22" s="11" t="n">
        <v>2.689000000000001</v>
      </c>
      <c r="C22" s="12" t="n">
        <v>34.88</v>
      </c>
      <c r="D22" s="11" t="n">
        <v>4.706338113931656</v>
      </c>
      <c r="E22" s="11" t="n">
        <v>0</v>
      </c>
      <c r="F22" s="11" t="n">
        <v>4.706338113931656</v>
      </c>
      <c r="G22" s="13" t="n">
        <v>0</v>
      </c>
      <c r="H22" s="14" t="n">
        <v>300</v>
      </c>
      <c r="I22" s="10" t="n">
        <v>0</v>
      </c>
      <c r="J22" s="10">
        <f>J21+I22</f>
        <v/>
      </c>
    </row>
    <row r="23">
      <c r="A23" s="10" t="n">
        <v>42.5</v>
      </c>
      <c r="B23" s="11" t="n">
        <v>1.953</v>
      </c>
      <c r="C23" s="12" t="n">
        <v>34.88</v>
      </c>
      <c r="D23" s="11" t="n">
        <v>4.706338113931656</v>
      </c>
      <c r="E23" s="11" t="n">
        <v>0</v>
      </c>
      <c r="F23" s="11" t="n">
        <v>4.706338113931656</v>
      </c>
      <c r="G23" s="13" t="n">
        <v>0</v>
      </c>
      <c r="H23" s="14" t="n">
        <v>300</v>
      </c>
      <c r="I23" s="10" t="n">
        <v>0</v>
      </c>
      <c r="J23" s="10">
        <f>J22+I23</f>
        <v/>
      </c>
    </row>
    <row r="24">
      <c r="A24" s="10" t="n">
        <v>47.5</v>
      </c>
      <c r="B24" s="11" t="n">
        <v>1.462</v>
      </c>
      <c r="C24" s="12" t="n">
        <v>34.88</v>
      </c>
      <c r="D24" s="11" t="n">
        <v>4.706338113931656</v>
      </c>
      <c r="E24" s="11" t="n">
        <v>0</v>
      </c>
      <c r="F24" s="11" t="n">
        <v>4.706338113931656</v>
      </c>
      <c r="G24" s="13" t="n">
        <v>0</v>
      </c>
      <c r="H24" s="14" t="n">
        <v>300</v>
      </c>
      <c r="I24" s="10" t="n">
        <v>0</v>
      </c>
      <c r="J24" s="10">
        <f>J23+I24</f>
        <v/>
      </c>
    </row>
    <row r="25">
      <c r="A25" s="10" t="n">
        <v>52.5</v>
      </c>
      <c r="B25" s="11" t="n">
        <v>1.121</v>
      </c>
      <c r="C25" s="12" t="n">
        <v>34.88</v>
      </c>
      <c r="D25" s="11" t="n">
        <v>4.706338113931656</v>
      </c>
      <c r="E25" s="11" t="n">
        <v>0</v>
      </c>
      <c r="F25" s="11" t="n">
        <v>4.706338113931656</v>
      </c>
      <c r="G25" s="13" t="n">
        <v>0</v>
      </c>
      <c r="H25" s="14" t="n">
        <v>300</v>
      </c>
      <c r="I25" s="10" t="n">
        <v>0</v>
      </c>
      <c r="J25" s="10">
        <f>J24+I25</f>
        <v/>
      </c>
    </row>
    <row r="26">
      <c r="A26" s="10" t="n">
        <v>57.5</v>
      </c>
      <c r="B26" s="11" t="n">
        <v>0.8750000000000001</v>
      </c>
      <c r="C26" s="12" t="n">
        <v>34.88</v>
      </c>
      <c r="D26" s="11" t="n">
        <v>4.706338113931656</v>
      </c>
      <c r="E26" s="11" t="n">
        <v>0</v>
      </c>
      <c r="F26" s="11" t="n">
        <v>4.706338113931656</v>
      </c>
      <c r="G26" s="13" t="n">
        <v>0</v>
      </c>
      <c r="H26" s="14" t="n">
        <v>300</v>
      </c>
      <c r="I26" s="10" t="n">
        <v>0</v>
      </c>
      <c r="J26" s="10">
        <f>J25+I26</f>
        <v/>
      </c>
    </row>
  </sheetData>
  <mergeCells count="1">
    <mergeCell ref="A2:J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FILE 4 — Methode</t>
        </is>
      </c>
    </row>
    <row r="3">
      <c r="A3" t="inlineStr">
        <is>
          <t>Idee 4: comportement DANS LE TEMPS.</t>
        </is>
      </c>
    </row>
    <row r="4">
      <c r="A4" t="inlineStr">
        <is>
          <t>Q_overflow quitte 0 quand le crest est depasse.</t>
        </is>
      </c>
    </row>
    <row r="5">
      <c r="A5" t="inlineStr">
        <is>
          <t>Q_down = Q_1200 + Q_overflow a chaque pas.</t>
        </is>
      </c>
    </row>
    <row r="6">
      <c r="A6" t="inlineStr">
        <is>
          <t>V_ov_cumul aboutit a V_overflow.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2026-09-21T09:25:55Z</dcterms:created>
  <dcterms:modified xsi:type="dcterms:W3CDTF">2026-09-21T09:25:55Z</dcterms:modified>
</cp:coreProperties>
</file>