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30" yWindow="465" windowWidth="21840" windowHeight="12990" tabRatio="500" firstSheet="0" activeTab="1" autoFilterDateGrouping="1"/>
  </bookViews>
  <sheets>
    <sheet name="Guide_adaptation" sheetId="1" state="visible" r:id="rId1"/>
    <sheet name="Radiers" sheetId="2" state="visible" r:id="rId2"/>
    <sheet name="Calcul_reseau" sheetId="3" state="visible" r:id="rId3"/>
    <sheet name="Temps de concentration" sheetId="4" state="visible" r:id="rId4"/>
  </sheets>
  <definedNames>
    <definedName name="_xlnm.Print_Titles" localSheetId="2">'Calcul_reseau'!$1:$15</definedName>
    <definedName name="_xlnm.Print_Area" localSheetId="2">'Calcul_reseau'!$A$1:$AA$35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\ ???/???"/>
    <numFmt numFmtId="165" formatCode="0.0"/>
    <numFmt numFmtId="166" formatCode="dd/mm/yyyy"/>
    <numFmt numFmtId="167" formatCode="0.000"/>
    <numFmt numFmtId="168" formatCode="0.0000"/>
    <numFmt numFmtId="169" formatCode="0.00000"/>
  </numFmts>
  <fonts count="32">
    <font>
      <name val="Times New Roman"/>
      <charset val="1"/>
      <sz val="12"/>
    </font>
    <font>
      <name val="Arial"/>
      <family val="2"/>
      <sz val="10"/>
    </font>
    <font>
      <name val="Arial"/>
      <charset val="1"/>
      <family val="2"/>
      <sz val="10"/>
    </font>
    <font>
      <name val="Cambria"/>
      <family val="1"/>
      <b val="1"/>
      <color rgb="FF1F4E79"/>
      <sz val="14"/>
    </font>
    <font>
      <name val="Cambria"/>
      <family val="1"/>
      <b val="1"/>
      <sz val="11"/>
    </font>
    <font>
      <name val="Arial"/>
      <charset val="1"/>
      <family val="2"/>
      <sz val="12"/>
    </font>
    <font>
      <name val="Arial"/>
      <charset val="1"/>
      <family val="2"/>
      <b val="1"/>
      <sz val="14"/>
    </font>
    <font>
      <name val="Arial"/>
      <charset val="1"/>
      <family val="2"/>
      <b val="1"/>
      <i val="1"/>
      <sz val="14"/>
    </font>
    <font>
      <name val="Arial"/>
      <charset val="1"/>
      <family val="2"/>
      <sz val="11"/>
    </font>
    <font>
      <name val="Times New Roman"/>
      <charset val="1"/>
      <family val="1"/>
      <b val="1"/>
      <i val="1"/>
      <sz val="14"/>
    </font>
    <font>
      <name val="Arial"/>
      <charset val="1"/>
      <family val="2"/>
      <b val="1"/>
      <i val="1"/>
      <sz val="12"/>
    </font>
    <font>
      <name val="Arial"/>
      <charset val="1"/>
      <family val="2"/>
      <b val="1"/>
      <sz val="12"/>
    </font>
    <font>
      <name val="Arial"/>
      <charset val="1"/>
      <family val="2"/>
      <sz val="14"/>
    </font>
    <font>
      <name val="Arial"/>
      <charset val="1"/>
      <family val="2"/>
      <i val="1"/>
      <sz val="12"/>
    </font>
    <font>
      <name val="Cambria"/>
      <family val="1"/>
      <b val="1"/>
      <color rgb="FF1F4E79"/>
      <sz val="11"/>
    </font>
    <font>
      <name val="Cambria"/>
      <family val="1"/>
      <b val="1"/>
      <color rgb="FF1F4E79"/>
      <sz val="12"/>
    </font>
    <font>
      <name val="Cambria"/>
      <family val="1"/>
      <i val="1"/>
      <color rgb="FF666666"/>
      <sz val="11"/>
    </font>
    <font>
      <name val="Cambria"/>
      <family val="1"/>
      <b val="1"/>
      <color rgb="FFFFFFFF"/>
      <sz val="11"/>
    </font>
    <font>
      <name val="Times New Roman"/>
      <family val="1"/>
      <b val="1"/>
      <sz val="12"/>
    </font>
    <font>
      <name val="Calibri"/>
      <b val="1"/>
      <color rgb="001F4E79"/>
      <sz val="14"/>
    </font>
    <font>
      <name val="Calibri"/>
      <b val="1"/>
      <sz val="11"/>
    </font>
    <font>
      <name val="Calibri"/>
      <b val="1"/>
      <color rgb="00FFFFFF"/>
      <sz val="10"/>
    </font>
    <font>
      <i val="1"/>
      <sz val="10"/>
    </font>
    <font>
      <name val="Calibri"/>
      <i val="1"/>
      <color rgb="00C00000"/>
      <sz val="10"/>
    </font>
    <font>
      <name val="Calibri"/>
      <b val="1"/>
      <color rgb="001F4E79"/>
      <sz val="13"/>
    </font>
    <font>
      <b val="1"/>
      <sz val="10"/>
    </font>
    <font>
      <b val="1"/>
      <color rgb="00922B21"/>
      <sz val="9"/>
    </font>
    <font>
      <b val="1"/>
      <color rgb="00922B21"/>
    </font>
    <font>
      <i val="1"/>
      <color rgb="001B4F72"/>
      <sz val="8"/>
    </font>
    <font>
      <i val="1"/>
      <color rgb="001B4F72"/>
      <sz val="9"/>
    </font>
    <font>
      <b val="1"/>
      <color rgb="001B4F72"/>
      <sz val="14"/>
    </font>
    <font>
      <b val="1"/>
    </font>
  </fonts>
  <fills count="26">
    <fill>
      <patternFill/>
    </fill>
    <fill>
      <patternFill patternType="gray125"/>
    </fill>
    <fill>
      <patternFill patternType="solid">
        <fgColor rgb="FFCCFFCC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C0C0C0"/>
        <bgColor rgb="FFB0B0B0"/>
      </patternFill>
    </fill>
    <fill>
      <patternFill patternType="solid">
        <fgColor rgb="FFF2F2F2"/>
        <bgColor rgb="FFE2EFDA"/>
      </patternFill>
    </fill>
    <fill>
      <patternFill patternType="solid">
        <fgColor rgb="FF00B050"/>
        <b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"/>
        <bgColor rgb="FFF2F2F2"/>
      </patternFill>
    </fill>
    <fill>
      <patternFill patternType="solid">
        <fgColor theme="6" tint="0.5999938962981048"/>
        <bgColor rgb="FFF2F2F2"/>
      </patternFill>
    </fill>
    <fill>
      <patternFill patternType="solid">
        <fgColor rgb="00C6EFCE"/>
      </patternFill>
    </fill>
    <fill>
      <patternFill patternType="solid">
        <fgColor rgb="00FFFF99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CF3CF"/>
      </patternFill>
    </fill>
    <fill>
      <patternFill patternType="solid">
        <fgColor rgb="00C8E6C9"/>
      </patternFill>
    </fill>
    <fill>
      <patternFill patternType="solid">
        <fgColor rgb="00FFF59D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2">
    <xf numFmtId="0" fontId="0" fillId="0" borderId="0"/>
    <xf numFmtId="0" fontId="1" fillId="0" borderId="0"/>
  </cellStyleXfs>
  <cellXfs count="33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5" fillId="0" borderId="0" applyAlignment="1" pivotButton="0" quotePrefix="0" xfId="0">
      <alignment horizontal="center"/>
    </xf>
    <xf numFmtId="2" fontId="5" fillId="0" borderId="0" pivotButton="0" quotePrefix="0" xfId="0"/>
    <xf numFmtId="0" fontId="5" fillId="0" borderId="2" pivotButton="0" quotePrefix="0" xfId="0"/>
    <xf numFmtId="0" fontId="5" fillId="0" borderId="3" pivotButton="0" quotePrefix="0" xfId="0"/>
    <xf numFmtId="2" fontId="6" fillId="0" borderId="3" applyAlignment="1" pivotButton="0" quotePrefix="0" xfId="0">
      <alignment horizontal="left" vertical="center"/>
    </xf>
    <xf numFmtId="2" fontId="5" fillId="0" borderId="3" applyAlignment="1" pivotButton="0" quotePrefix="0" xfId="0">
      <alignment horizontal="left" vertical="center"/>
    </xf>
    <xf numFmtId="2" fontId="5" fillId="0" borderId="4" applyAlignment="1" pivotButton="0" quotePrefix="0" xfId="0">
      <alignment horizontal="left" vertical="center"/>
    </xf>
    <xf numFmtId="0" fontId="8" fillId="0" borderId="6" pivotButton="0" quotePrefix="0" xfId="0"/>
    <xf numFmtId="0" fontId="2" fillId="0" borderId="7" applyAlignment="1" pivotButton="0" quotePrefix="0" xfId="0">
      <alignment horizontal="right"/>
    </xf>
    <xf numFmtId="164" fontId="2" fillId="0" borderId="8" applyAlignment="1" applyProtection="1" pivotButton="0" quotePrefix="0" xfId="0">
      <alignment horizontal="center"/>
      <protection locked="0" hidden="0"/>
    </xf>
    <xf numFmtId="0" fontId="2" fillId="0" borderId="7" pivotButton="0" quotePrefix="0" xfId="0"/>
    <xf numFmtId="2" fontId="5" fillId="0" borderId="3" pivotButton="0" quotePrefix="0" xfId="0"/>
    <xf numFmtId="0" fontId="5" fillId="0" borderId="4" pivotButton="0" quotePrefix="0" xfId="0"/>
    <xf numFmtId="0" fontId="5" fillId="0" borderId="9" pivotButton="0" quotePrefix="0" xfId="0"/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10" pivotButton="0" quotePrefix="0" xfId="0"/>
    <xf numFmtId="0" fontId="7" fillId="0" borderId="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/>
    </xf>
    <xf numFmtId="165" fontId="2" fillId="2" borderId="11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left" vertical="center"/>
    </xf>
    <xf numFmtId="2" fontId="2" fillId="0" borderId="11" applyAlignment="1" pivotButton="0" quotePrefix="0" xfId="0">
      <alignment horizontal="right"/>
    </xf>
    <xf numFmtId="2" fontId="2" fillId="0" borderId="11" applyAlignment="1" pivotButton="0" quotePrefix="0" xfId="0">
      <alignment horizontal="center"/>
    </xf>
    <xf numFmtId="167" fontId="2" fillId="0" borderId="11" applyAlignment="1" pivotButton="0" quotePrefix="0" xfId="0">
      <alignment horizontal="center"/>
    </xf>
    <xf numFmtId="167" fontId="2" fillId="0" borderId="13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2" fontId="5" fillId="0" borderId="10" applyAlignment="1" pivotButton="0" quotePrefix="0" xfId="0">
      <alignment horizontal="center"/>
    </xf>
    <xf numFmtId="0" fontId="5" fillId="0" borderId="14" pivotButton="0" quotePrefix="0" xfId="0"/>
    <xf numFmtId="0" fontId="5" fillId="0" borderId="15" pivotButton="0" quotePrefix="0" xfId="0"/>
    <xf numFmtId="0" fontId="10" fillId="0" borderId="15" applyAlignment="1" pivotButton="0" quotePrefix="0" xfId="0">
      <alignment horizontal="left" vertical="center"/>
    </xf>
    <xf numFmtId="2" fontId="5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8" fillId="0" borderId="15" pivotButton="0" quotePrefix="0" xfId="0"/>
    <xf numFmtId="0" fontId="2" fillId="0" borderId="15" applyAlignment="1" pivotButton="0" quotePrefix="0" xfId="0">
      <alignment horizontal="right"/>
    </xf>
    <xf numFmtId="0" fontId="2" fillId="0" borderId="17" applyAlignment="1" pivotButton="0" quotePrefix="0" xfId="0">
      <alignment horizontal="center"/>
    </xf>
    <xf numFmtId="0" fontId="2" fillId="0" borderId="15" pivotButton="0" quotePrefix="0" xfId="0"/>
    <xf numFmtId="2" fontId="11" fillId="0" borderId="15" applyAlignment="1" pivotButton="0" quotePrefix="0" xfId="0">
      <alignment horizontal="center"/>
    </xf>
    <xf numFmtId="0" fontId="12" fillId="0" borderId="15" applyAlignment="1" pivotButton="0" quotePrefix="0" xfId="0">
      <alignment horizontal="center"/>
    </xf>
    <xf numFmtId="2" fontId="5" fillId="0" borderId="15" pivotButton="0" quotePrefix="0" xfId="0"/>
    <xf numFmtId="0" fontId="5" fillId="0" borderId="15" applyAlignment="1" pivotButton="0" quotePrefix="0" xfId="0">
      <alignment horizontal="right"/>
    </xf>
    <xf numFmtId="2" fontId="11" fillId="0" borderId="16" applyAlignment="1" pivotButton="0" quotePrefix="0" xfId="0">
      <alignment horizontal="center"/>
    </xf>
    <xf numFmtId="0" fontId="5" fillId="0" borderId="6" applyAlignment="1" pivotButton="0" quotePrefix="0" xfId="0">
      <alignment horizontal="center" textRotation="90"/>
    </xf>
    <xf numFmtId="0" fontId="5" fillId="0" borderId="6" applyAlignment="1" pivotButton="0" quotePrefix="0" xfId="0">
      <alignment horizontal="center" textRotation="90" wrapText="1"/>
    </xf>
    <xf numFmtId="2" fontId="5" fillId="0" borderId="6" applyAlignment="1" pivotButton="0" quotePrefix="0" xfId="0">
      <alignment horizontal="center" textRotation="90"/>
    </xf>
    <xf numFmtId="0" fontId="5" fillId="0" borderId="23" applyAlignment="1" pivotButton="0" quotePrefix="0" xfId="0">
      <alignment horizontal="center" textRotation="90"/>
    </xf>
    <xf numFmtId="0" fontId="5" fillId="0" borderId="24" applyAlignment="1" pivotButton="0" quotePrefix="0" xfId="0">
      <alignment horizontal="center" textRotation="90"/>
    </xf>
    <xf numFmtId="0" fontId="5" fillId="0" borderId="8" applyAlignment="1" pivotButton="0" quotePrefix="0" xfId="0">
      <alignment horizontal="center" textRotation="90"/>
    </xf>
    <xf numFmtId="0" fontId="5" fillId="0" borderId="8" applyAlignment="1" pivotButton="0" quotePrefix="0" xfId="0">
      <alignment horizontal="center" textRotation="90" wrapText="1"/>
    </xf>
    <xf numFmtId="0" fontId="5" fillId="0" borderId="7" applyAlignment="1" pivotButton="0" quotePrefix="0" xfId="0">
      <alignment horizontal="center" textRotation="90"/>
    </xf>
    <xf numFmtId="0" fontId="5" fillId="0" borderId="7" applyAlignment="1" pivotButton="0" quotePrefix="0" xfId="0">
      <alignment horizontal="center" textRotation="90" wrapText="1"/>
    </xf>
    <xf numFmtId="0" fontId="5" fillId="0" borderId="23" applyAlignment="1" pivotButton="0" quotePrefix="0" xfId="0">
      <alignment horizontal="center" textRotation="90" wrapText="1"/>
    </xf>
    <xf numFmtId="0" fontId="5" fillId="0" borderId="25" applyAlignment="1" pivotButton="0" quotePrefix="0" xfId="0">
      <alignment horizontal="center" textRotation="90"/>
    </xf>
    <xf numFmtId="0" fontId="5" fillId="0" borderId="26" applyAlignment="1" pivotButton="0" quotePrefix="0" xfId="0">
      <alignment horizontal="center" textRotation="90"/>
    </xf>
    <xf numFmtId="0" fontId="5" fillId="0" borderId="0" applyAlignment="1" pivotButton="0" quotePrefix="0" xfId="0">
      <alignment horizontal="right" textRotation="90" wrapText="1"/>
    </xf>
    <xf numFmtId="0" fontId="5" fillId="0" borderId="0" applyAlignment="1" pivotButton="0" quotePrefix="0" xfId="0">
      <alignment horizontal="right" textRotation="90"/>
    </xf>
    <xf numFmtId="0" fontId="13" fillId="0" borderId="9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27" applyAlignment="1" pivotButton="0" quotePrefix="0" xfId="0">
      <alignment horizontal="center"/>
    </xf>
    <xf numFmtId="2" fontId="13" fillId="0" borderId="27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13" fillId="0" borderId="12" applyAlignment="1" pivotButton="0" quotePrefix="0" xfId="0">
      <alignment horizontal="center"/>
    </xf>
    <xf numFmtId="0" fontId="13" fillId="0" borderId="28" applyAlignment="1" pivotButton="0" quotePrefix="0" xfId="0">
      <alignment horizontal="center"/>
    </xf>
    <xf numFmtId="0" fontId="13" fillId="0" borderId="29" applyAlignment="1" pivotButton="0" quotePrefix="0" xfId="0">
      <alignment horizontal="center"/>
    </xf>
    <xf numFmtId="0" fontId="13" fillId="0" borderId="30" applyAlignment="1" pivotButton="0" quotePrefix="0" xfId="0">
      <alignment horizontal="center"/>
    </xf>
    <xf numFmtId="0" fontId="13" fillId="0" borderId="31" applyAlignment="1" pivotButton="0" quotePrefix="0" xfId="0">
      <alignment horizontal="center"/>
    </xf>
    <xf numFmtId="0" fontId="5" fillId="0" borderId="28" applyAlignment="1" pivotButton="0" quotePrefix="0" xfId="0">
      <alignment horizontal="center"/>
    </xf>
    <xf numFmtId="0" fontId="5" fillId="0" borderId="29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2" fontId="5" fillId="0" borderId="18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32" applyAlignment="1" pivotButton="0" quotePrefix="0" xfId="0">
      <alignment horizontal="center"/>
    </xf>
    <xf numFmtId="0" fontId="5" fillId="0" borderId="3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2" fontId="5" fillId="0" borderId="35" applyAlignment="1" pivotButton="0" quotePrefix="0" xfId="0">
      <alignment horizontal="center"/>
    </xf>
    <xf numFmtId="2" fontId="5" fillId="0" borderId="33" applyAlignment="1" pivotButton="0" quotePrefix="0" xfId="0">
      <alignment horizontal="center"/>
    </xf>
    <xf numFmtId="2" fontId="5" fillId="0" borderId="2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36" pivotButton="0" quotePrefix="0" xfId="0"/>
    <xf numFmtId="0" fontId="5" fillId="0" borderId="37" pivotButton="0" quotePrefix="0" xfId="0"/>
    <xf numFmtId="0" fontId="5" fillId="0" borderId="38" pivotButton="0" quotePrefix="0" xfId="0"/>
    <xf numFmtId="0" fontId="5" fillId="0" borderId="38" applyAlignment="1" pivotButton="0" quotePrefix="0" xfId="0">
      <alignment horizontal="center"/>
    </xf>
    <xf numFmtId="2" fontId="5" fillId="0" borderId="11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0" borderId="40" applyAlignment="1" pivotButton="0" quotePrefix="0" xfId="0">
      <alignment horizontal="center"/>
    </xf>
    <xf numFmtId="0" fontId="5" fillId="0" borderId="41" applyAlignment="1" pivotButton="0" quotePrefix="0" xfId="0">
      <alignment horizontal="center"/>
    </xf>
    <xf numFmtId="0" fontId="5" fillId="0" borderId="42" applyAlignment="1" pivotButton="0" quotePrefix="0" xfId="0">
      <alignment horizontal="center"/>
    </xf>
    <xf numFmtId="2" fontId="5" fillId="0" borderId="38" applyAlignment="1" pivotButton="0" quotePrefix="0" xfId="0">
      <alignment horizontal="center"/>
    </xf>
    <xf numFmtId="0" fontId="5" fillId="0" borderId="43" applyAlignment="1" pivotButton="0" quotePrefix="0" xfId="0">
      <alignment horizontal="center"/>
    </xf>
    <xf numFmtId="0" fontId="5" fillId="0" borderId="44" pivotButton="0" quotePrefix="0" xfId="0"/>
    <xf numFmtId="0" fontId="5" fillId="0" borderId="0" applyAlignment="1" pivotButton="0" quotePrefix="0" xfId="0">
      <alignment horizontal="left"/>
    </xf>
    <xf numFmtId="0" fontId="14" fillId="0" borderId="36" pivotButton="0" quotePrefix="0" xfId="0"/>
    <xf numFmtId="2" fontId="5" fillId="0" borderId="45" applyAlignment="1" pivotButton="0" quotePrefix="0" xfId="0">
      <alignment horizontal="center"/>
    </xf>
    <xf numFmtId="0" fontId="5" fillId="0" borderId="46" pivotButton="0" quotePrefix="0" xfId="0"/>
    <xf numFmtId="0" fontId="10" fillId="3" borderId="47" applyAlignment="1" pivotButton="0" quotePrefix="0" xfId="0">
      <alignment horizontal="center"/>
    </xf>
    <xf numFmtId="2" fontId="5" fillId="4" borderId="47" applyAlignment="1" pivotButton="0" quotePrefix="0" xfId="0">
      <alignment horizontal="center"/>
    </xf>
    <xf numFmtId="168" fontId="5" fillId="3" borderId="47" applyAlignment="1" pivotButton="0" quotePrefix="0" xfId="0">
      <alignment horizontal="center"/>
    </xf>
    <xf numFmtId="2" fontId="5" fillId="3" borderId="47" applyAlignment="1" pivotButton="0" quotePrefix="0" xfId="0">
      <alignment horizontal="center"/>
    </xf>
    <xf numFmtId="168" fontId="5" fillId="4" borderId="47" applyAlignment="1" pivotButton="0" quotePrefix="0" xfId="0">
      <alignment horizontal="center"/>
    </xf>
    <xf numFmtId="167" fontId="5" fillId="4" borderId="47" applyAlignment="1" pivotButton="0" quotePrefix="0" xfId="0">
      <alignment horizontal="center"/>
    </xf>
    <xf numFmtId="0" fontId="5" fillId="3" borderId="47" applyAlignment="1" pivotButton="0" quotePrefix="0" xfId="0">
      <alignment horizontal="center"/>
    </xf>
    <xf numFmtId="167" fontId="5" fillId="3" borderId="47" applyAlignment="1" pivotButton="0" quotePrefix="0" xfId="0">
      <alignment horizontal="center"/>
    </xf>
    <xf numFmtId="2" fontId="5" fillId="0" borderId="46" applyAlignment="1" pivotButton="0" quotePrefix="0" xfId="0">
      <alignment horizontal="center"/>
    </xf>
    <xf numFmtId="167" fontId="4" fillId="4" borderId="47" applyAlignment="1" pivotButton="0" quotePrefix="0" xfId="0">
      <alignment horizontal="center"/>
    </xf>
    <xf numFmtId="0" fontId="0" fillId="5" borderId="47" pivotButton="0" quotePrefix="0" xfId="0"/>
    <xf numFmtId="0" fontId="10" fillId="0" borderId="36" applyAlignment="1" pivotButton="0" quotePrefix="0" xfId="0">
      <alignment horizontal="center"/>
    </xf>
    <xf numFmtId="0" fontId="10" fillId="0" borderId="37" applyAlignment="1" pivotButton="0" quotePrefix="0" xfId="0">
      <alignment horizontal="center"/>
    </xf>
    <xf numFmtId="0" fontId="10" fillId="0" borderId="38" applyAlignment="1" pivotButton="0" quotePrefix="0" xfId="0">
      <alignment horizontal="center"/>
    </xf>
    <xf numFmtId="165" fontId="5" fillId="0" borderId="38" applyAlignment="1" pivotButton="0" quotePrefix="0" xfId="0">
      <alignment horizontal="center"/>
    </xf>
    <xf numFmtId="168" fontId="5" fillId="0" borderId="38" applyAlignment="1" pivotButton="0" quotePrefix="0" xfId="0">
      <alignment horizontal="center"/>
    </xf>
    <xf numFmtId="167" fontId="5" fillId="6" borderId="39" applyAlignment="1" pivotButton="0" quotePrefix="0" xfId="0">
      <alignment horizontal="center"/>
    </xf>
    <xf numFmtId="168" fontId="5" fillId="0" borderId="40" applyAlignment="1" pivotButton="0" quotePrefix="0" xfId="0">
      <alignment horizontal="center"/>
    </xf>
    <xf numFmtId="2" fontId="5" fillId="0" borderId="41" applyAlignment="1" pivotButton="0" quotePrefix="0" xfId="0">
      <alignment horizontal="center"/>
    </xf>
    <xf numFmtId="2" fontId="5" fillId="0" borderId="43" applyAlignment="1" pivotButton="0" quotePrefix="0" xfId="0">
      <alignment horizontal="center"/>
    </xf>
    <xf numFmtId="167" fontId="5" fillId="0" borderId="0" applyAlignment="1" pivotButton="0" quotePrefix="0" xfId="0">
      <alignment horizontal="center"/>
    </xf>
    <xf numFmtId="0" fontId="15" fillId="0" borderId="36" applyAlignment="1" pivotButton="0" quotePrefix="0" xfId="0">
      <alignment horizontal="center"/>
    </xf>
    <xf numFmtId="167" fontId="5" fillId="0" borderId="40" applyAlignment="1" pivotButton="0" quotePrefix="0" xfId="0">
      <alignment horizontal="center"/>
    </xf>
    <xf numFmtId="167" fontId="5" fillId="0" borderId="32" applyAlignment="1" pivotButton="0" quotePrefix="0" xfId="0">
      <alignment horizontal="center"/>
    </xf>
    <xf numFmtId="165" fontId="5" fillId="0" borderId="18" applyAlignment="1" pivotButton="0" quotePrefix="0" xfId="0">
      <alignment horizontal="center"/>
    </xf>
    <xf numFmtId="167" fontId="5" fillId="6" borderId="16" applyAlignment="1" pivotButton="0" quotePrefix="0" xfId="0">
      <alignment horizontal="center"/>
    </xf>
    <xf numFmtId="2" fontId="5" fillId="0" borderId="50" applyAlignment="1" pivotButton="0" quotePrefix="0" xfId="0">
      <alignment horizontal="center"/>
    </xf>
    <xf numFmtId="2" fontId="5" fillId="0" borderId="51" applyAlignment="1" pivotButton="0" quotePrefix="0" xfId="0">
      <alignment horizontal="center"/>
    </xf>
    <xf numFmtId="2" fontId="5" fillId="0" borderId="17" applyAlignment="1" pivotButton="0" quotePrefix="0" xfId="0">
      <alignment horizontal="center"/>
    </xf>
    <xf numFmtId="2" fontId="5" fillId="0" borderId="5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3" borderId="54" applyAlignment="1" pivotButton="0" quotePrefix="0" xfId="0">
      <alignment horizontal="center" vertical="center"/>
    </xf>
    <xf numFmtId="0" fontId="2" fillId="3" borderId="55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17" fillId="7" borderId="47" applyAlignment="1" pivotButton="0" quotePrefix="0" xfId="0">
      <alignment vertical="center" wrapText="1"/>
    </xf>
    <xf numFmtId="49" fontId="17" fillId="7" borderId="47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/>
    </xf>
    <xf numFmtId="168" fontId="2" fillId="3" borderId="40" applyAlignment="1" pivotButton="0" quotePrefix="0" xfId="0">
      <alignment horizontal="center" vertical="center"/>
    </xf>
    <xf numFmtId="168" fontId="2" fillId="3" borderId="41" applyAlignment="1" pivotButton="0" quotePrefix="0" xfId="0">
      <alignment horizontal="center" vertical="center"/>
    </xf>
    <xf numFmtId="168" fontId="2" fillId="0" borderId="41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2" fillId="3" borderId="47" applyAlignment="1" pivotButton="0" quotePrefix="0" xfId="0">
      <alignment horizontal="center" vertical="center"/>
    </xf>
    <xf numFmtId="0" fontId="2" fillId="4" borderId="47" applyAlignment="1" pivotButton="0" quotePrefix="0" xfId="0">
      <alignment horizontal="center" vertical="center"/>
    </xf>
    <xf numFmtId="2" fontId="2" fillId="4" borderId="47" applyAlignment="1" pivotButton="0" quotePrefix="0" xfId="0">
      <alignment horizontal="center" vertical="center"/>
    </xf>
    <xf numFmtId="167" fontId="2" fillId="4" borderId="47" applyAlignment="1" pivotButton="0" quotePrefix="0" xfId="0">
      <alignment horizontal="center" vertical="center"/>
    </xf>
    <xf numFmtId="168" fontId="2" fillId="4" borderId="47" applyAlignment="1" pivotButton="0" quotePrefix="0" xfId="0">
      <alignment horizontal="center" vertical="center"/>
    </xf>
    <xf numFmtId="2" fontId="2" fillId="4" borderId="57" applyAlignment="1" pivotButton="0" quotePrefix="0" xfId="0">
      <alignment horizontal="center" vertical="center"/>
    </xf>
    <xf numFmtId="2" fontId="2" fillId="4" borderId="11" applyAlignment="1" pivotButton="0" quotePrefix="0" xfId="0">
      <alignment horizontal="center" vertical="center"/>
    </xf>
    <xf numFmtId="165" fontId="2" fillId="0" borderId="11" applyAlignment="1" pivotButton="0" quotePrefix="0" xfId="0">
      <alignment horizontal="center" vertical="center"/>
    </xf>
    <xf numFmtId="165" fontId="2" fillId="0" borderId="46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3" borderId="47" applyAlignment="1" pivotButton="0" quotePrefix="0" xfId="0">
      <alignment horizontal="center" vertical="center"/>
    </xf>
    <xf numFmtId="165" fontId="2" fillId="4" borderId="47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2" fillId="3" borderId="58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8" borderId="53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165" fontId="2" fillId="3" borderId="22" applyAlignment="1" pivotButton="0" quotePrefix="0" xfId="0">
      <alignment horizontal="center" vertical="center"/>
    </xf>
    <xf numFmtId="165" fontId="2" fillId="3" borderId="8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2" fillId="0" borderId="23" applyAlignment="1" pivotButton="0" quotePrefix="0" xfId="0">
      <alignment horizontal="center" vertical="center"/>
    </xf>
    <xf numFmtId="0" fontId="2" fillId="3" borderId="57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9" fontId="2" fillId="3" borderId="58" applyAlignment="1" pivotButton="0" quotePrefix="0" xfId="0">
      <alignment horizontal="center" vertical="center"/>
    </xf>
    <xf numFmtId="169" fontId="2" fillId="3" borderId="17" applyAlignment="1" pivotButton="0" quotePrefix="0" xfId="0">
      <alignment horizontal="center" vertical="center"/>
    </xf>
    <xf numFmtId="167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168" fontId="2" fillId="0" borderId="52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8" fontId="2" fillId="3" borderId="47" applyAlignment="1" pivotButton="0" quotePrefix="0" xfId="0">
      <alignment horizontal="center" vertical="center"/>
    </xf>
    <xf numFmtId="0" fontId="0" fillId="3" borderId="47" pivotButton="0" quotePrefix="0" xfId="0"/>
    <xf numFmtId="0" fontId="0" fillId="4" borderId="47" pivotButton="0" quotePrefix="0" xfId="0"/>
    <xf numFmtId="2" fontId="0" fillId="4" borderId="47" pivotButton="0" quotePrefix="0" xfId="0"/>
    <xf numFmtId="167" fontId="0" fillId="4" borderId="47" pivotButton="0" quotePrefix="0" xfId="0"/>
    <xf numFmtId="168" fontId="0" fillId="4" borderId="47" pivotButton="0" quotePrefix="0" xfId="0"/>
    <xf numFmtId="0" fontId="14" fillId="0" borderId="0" pivotButton="0" quotePrefix="0" xfId="0"/>
    <xf numFmtId="0" fontId="4" fillId="5" borderId="47" pivotButton="0" quotePrefix="0" xfId="0"/>
    <xf numFmtId="2" fontId="4" fillId="5" borderId="47" pivotButton="0" quotePrefix="0" xfId="0"/>
    <xf numFmtId="167" fontId="4" fillId="5" borderId="47" pivotButton="0" quotePrefix="0" xfId="0"/>
    <xf numFmtId="0" fontId="18" fillId="0" borderId="0" applyAlignment="1" pivotButton="0" quotePrefix="0" xfId="0">
      <alignment horizontal="center" wrapText="1"/>
    </xf>
    <xf numFmtId="0" fontId="0" fillId="9" borderId="47" pivotButton="0" quotePrefix="0" xfId="0"/>
    <xf numFmtId="0" fontId="18" fillId="0" borderId="0" pivotButton="0" quotePrefix="0" xfId="0"/>
    <xf numFmtId="0" fontId="5" fillId="11" borderId="0" pivotButton="0" quotePrefix="0" xfId="0"/>
    <xf numFmtId="167" fontId="5" fillId="10" borderId="47" applyAlignment="1" pivotButton="0" quotePrefix="0" xfId="0">
      <alignment horizontal="center"/>
    </xf>
    <xf numFmtId="165" fontId="5" fillId="12" borderId="47" applyAlignment="1" pivotButton="0" quotePrefix="0" xfId="0">
      <alignment horizontal="center"/>
    </xf>
    <xf numFmtId="0" fontId="5" fillId="0" borderId="0" pivotButton="0" quotePrefix="0" xfId="0"/>
    <xf numFmtId="0" fontId="10" fillId="0" borderId="48" applyAlignment="1" pivotButton="0" quotePrefix="0" xfId="0">
      <alignment horizontal="left"/>
    </xf>
    <xf numFmtId="0" fontId="10" fillId="0" borderId="48" applyAlignment="1" pivotButton="0" quotePrefix="0" xfId="0">
      <alignment horizontal="center"/>
    </xf>
    <xf numFmtId="0" fontId="10" fillId="0" borderId="49" applyAlignment="1" pivotButton="0" quotePrefix="0" xfId="0">
      <alignment horizontal="center"/>
    </xf>
    <xf numFmtId="0" fontId="11" fillId="2" borderId="19" applyAlignment="1" pivotButton="0" quotePrefix="0" xfId="0">
      <alignment horizontal="center" vertical="center" wrapText="1"/>
    </xf>
    <xf numFmtId="0" fontId="11" fillId="2" borderId="20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textRotation="90"/>
    </xf>
    <xf numFmtId="166" fontId="6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8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right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/>
    </xf>
    <xf numFmtId="0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6" fillId="0" borderId="0" pivotButton="0" quotePrefix="0" xfId="0"/>
    <xf numFmtId="0" fontId="0" fillId="0" borderId="0" pivotButton="0" quotePrefix="0" xfId="0"/>
    <xf numFmtId="0" fontId="15" fillId="0" borderId="0" pivotButton="0" quotePrefix="0" xfId="0"/>
    <xf numFmtId="0" fontId="2" fillId="0" borderId="5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5" fillId="13" borderId="47" applyAlignment="1" pivotButton="0" quotePrefix="0" xfId="0">
      <alignment horizontal="center"/>
    </xf>
    <xf numFmtId="0" fontId="0" fillId="0" borderId="20" pivotButton="0" quotePrefix="0" xfId="0"/>
    <xf numFmtId="0" fontId="0" fillId="0" borderId="59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7" pivotButton="0" quotePrefix="0" xfId="0"/>
    <xf numFmtId="0" fontId="0" fillId="0" borderId="62" pivotButton="0" quotePrefix="0" xfId="0"/>
    <xf numFmtId="0" fontId="0" fillId="0" borderId="13" pivotButton="0" quotePrefix="0" xfId="0"/>
    <xf numFmtId="166" fontId="6" fillId="0" borderId="0" applyAlignment="1" pivotButton="0" quotePrefix="0" xfId="0">
      <alignment horizontal="left" vertical="center"/>
    </xf>
    <xf numFmtId="165" fontId="2" fillId="2" borderId="11" applyAlignment="1" pivotButton="0" quotePrefix="0" xfId="0">
      <alignment horizontal="center"/>
    </xf>
    <xf numFmtId="166" fontId="5" fillId="0" borderId="0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6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64" pivotButton="0" quotePrefix="0" xfId="0"/>
    <xf numFmtId="0" fontId="0" fillId="0" borderId="7" pivotButton="0" quotePrefix="0" xfId="0"/>
    <xf numFmtId="165" fontId="5" fillId="12" borderId="47" applyAlignment="1" pivotButton="0" quotePrefix="0" xfId="0">
      <alignment horizontal="center"/>
    </xf>
    <xf numFmtId="2" fontId="5" fillId="14" borderId="47" applyAlignment="1" pivotButton="0" quotePrefix="0" xfId="0">
      <alignment horizontal="center"/>
    </xf>
    <xf numFmtId="168" fontId="5" fillId="14" borderId="47" applyAlignment="1" pivotButton="0" quotePrefix="0" xfId="0">
      <alignment horizontal="center"/>
    </xf>
    <xf numFmtId="168" fontId="5" fillId="15" borderId="47" applyAlignment="1" pivotButton="0" quotePrefix="0" xfId="0">
      <alignment horizontal="center"/>
    </xf>
    <xf numFmtId="2" fontId="5" fillId="15" borderId="47" applyAlignment="1" pivotButton="0" quotePrefix="0" xfId="0">
      <alignment horizontal="center"/>
    </xf>
    <xf numFmtId="167" fontId="5" fillId="14" borderId="47" applyAlignment="1" pivotButton="0" quotePrefix="0" xfId="0">
      <alignment horizontal="center"/>
    </xf>
    <xf numFmtId="0" fontId="5" fillId="15" borderId="47" applyAlignment="1" pivotButton="0" quotePrefix="0" xfId="0">
      <alignment horizontal="center"/>
    </xf>
    <xf numFmtId="165" fontId="5" fillId="15" borderId="47" applyAlignment="1" pivotButton="0" quotePrefix="0" xfId="0">
      <alignment horizontal="center"/>
    </xf>
    <xf numFmtId="167" fontId="4" fillId="14" borderId="47" applyAlignment="1" pivotButton="0" quotePrefix="0" xfId="0">
      <alignment horizontal="center"/>
    </xf>
    <xf numFmtId="167" fontId="5" fillId="15" borderId="47" applyAlignment="1" pivotButton="0" quotePrefix="0" xfId="0">
      <alignment horizontal="center"/>
    </xf>
    <xf numFmtId="165" fontId="5" fillId="0" borderId="38" applyAlignment="1" pivotButton="0" quotePrefix="0" xfId="0">
      <alignment horizontal="center"/>
    </xf>
    <xf numFmtId="0" fontId="0" fillId="0" borderId="37" pivotButton="0" quotePrefix="0" xfId="0"/>
    <xf numFmtId="0" fontId="0" fillId="0" borderId="39" pivotButton="0" quotePrefix="0" xfId="0"/>
    <xf numFmtId="165" fontId="5" fillId="0" borderId="18" applyAlignment="1" pivotButton="0" quotePrefix="0" xfId="0">
      <alignment horizontal="center"/>
    </xf>
    <xf numFmtId="0" fontId="0" fillId="0" borderId="14" pivotButton="0" quotePrefix="0" xfId="0"/>
    <xf numFmtId="165" fontId="2" fillId="0" borderId="11" applyAlignment="1" pivotButton="0" quotePrefix="0" xfId="0">
      <alignment horizontal="center" vertical="center"/>
    </xf>
    <xf numFmtId="165" fontId="2" fillId="0" borderId="46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3" borderId="47" applyAlignment="1" pivotButton="0" quotePrefix="0" xfId="0">
      <alignment horizontal="center" vertical="center"/>
    </xf>
    <xf numFmtId="165" fontId="2" fillId="4" borderId="47" applyAlignment="1" pivotButton="0" quotePrefix="0" xfId="0">
      <alignment horizontal="center" vertical="center"/>
    </xf>
    <xf numFmtId="165" fontId="2" fillId="3" borderId="22" applyAlignment="1" pivotButton="0" quotePrefix="0" xfId="0">
      <alignment horizontal="center" vertical="center"/>
    </xf>
    <xf numFmtId="165" fontId="2" fillId="3" borderId="8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2" fillId="0" borderId="23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0" fillId="16" borderId="65" pivotButton="0" quotePrefix="0" xfId="0"/>
    <xf numFmtId="0" fontId="21" fillId="17" borderId="65" applyAlignment="1" pivotButton="0" quotePrefix="0" xfId="0">
      <alignment horizontal="center" vertical="center" wrapText="1"/>
    </xf>
    <xf numFmtId="0" fontId="0" fillId="0" borderId="65" pivotButton="0" quotePrefix="0" xfId="0"/>
    <xf numFmtId="167" fontId="0" fillId="14" borderId="65" pivotButton="0" quotePrefix="0" xfId="0"/>
    <xf numFmtId="167" fontId="0" fillId="0" borderId="65" pivotButton="0" quotePrefix="0" xfId="0"/>
    <xf numFmtId="167" fontId="0" fillId="16" borderId="65" pivotButton="0" quotePrefix="0" xfId="0"/>
    <xf numFmtId="168" fontId="0" fillId="0" borderId="65" pivotButton="0" quotePrefix="0" xfId="0"/>
    <xf numFmtId="168" fontId="0" fillId="14" borderId="65" pivotButton="0" quotePrefix="0" xfId="0"/>
    <xf numFmtId="0" fontId="22" fillId="0" borderId="0" pivotButton="0" quotePrefix="0" xfId="0"/>
    <xf numFmtId="168" fontId="5" fillId="16" borderId="47" applyAlignment="1" pivotButton="0" quotePrefix="0" xfId="0">
      <alignment horizontal="center"/>
    </xf>
    <xf numFmtId="2" fontId="5" fillId="16" borderId="47" applyAlignment="1" pivotButton="0" quotePrefix="0" xfId="0">
      <alignment horizontal="center"/>
    </xf>
    <xf numFmtId="0" fontId="5" fillId="16" borderId="47" applyAlignment="1" pivotButton="0" quotePrefix="0" xfId="0">
      <alignment horizontal="center"/>
    </xf>
    <xf numFmtId="165" fontId="5" fillId="16" borderId="47" applyAlignment="1" pivotButton="0" quotePrefix="0" xfId="0">
      <alignment horizontal="center"/>
    </xf>
    <xf numFmtId="167" fontId="5" fillId="16" borderId="47" applyAlignment="1" pivotButton="0" quotePrefix="0" xfId="0">
      <alignment horizontal="center"/>
    </xf>
    <xf numFmtId="168" fontId="2" fillId="16" borderId="41" applyAlignment="1" pivotButton="0" quotePrefix="0" xfId="0">
      <alignment horizontal="center" vertical="center"/>
    </xf>
    <xf numFmtId="165" fontId="2" fillId="14" borderId="11" applyAlignment="1" pivotButton="0" quotePrefix="0" xfId="0">
      <alignment horizontal="center" vertical="center"/>
    </xf>
    <xf numFmtId="0" fontId="2" fillId="16" borderId="17" applyAlignment="1" pivotButton="0" quotePrefix="0" xfId="0">
      <alignment horizontal="center" vertical="center"/>
    </xf>
    <xf numFmtId="165" fontId="2" fillId="16" borderId="8" applyAlignment="1" pivotButton="0" quotePrefix="0" xfId="0">
      <alignment horizontal="center" vertical="center"/>
    </xf>
    <xf numFmtId="0" fontId="2" fillId="16" borderId="11" applyAlignment="1" pivotButton="0" quotePrefix="0" xfId="0">
      <alignment horizontal="center" vertical="center"/>
    </xf>
    <xf numFmtId="168" fontId="2" fillId="16" borderId="17" applyAlignment="1" pivotButton="0" quotePrefix="0" xfId="0">
      <alignment horizontal="center" vertical="center"/>
    </xf>
    <xf numFmtId="0" fontId="23" fillId="0" borderId="0" pivotButton="0" quotePrefix="0" xfId="0"/>
    <xf numFmtId="0" fontId="0" fillId="18" borderId="65" pivotButton="0" quotePrefix="0" xfId="0"/>
    <xf numFmtId="167" fontId="0" fillId="18" borderId="65" pivotButton="0" quotePrefix="0" xfId="0"/>
    <xf numFmtId="0" fontId="15" fillId="0" borderId="48" applyAlignment="1" pivotButton="0" quotePrefix="0" xfId="0">
      <alignment horizontal="center"/>
    </xf>
    <xf numFmtId="0" fontId="24" fillId="0" borderId="0" pivotButton="0" quotePrefix="0" xfId="0"/>
    <xf numFmtId="167" fontId="0" fillId="19" borderId="65" pivotButton="0" quotePrefix="0" xfId="0"/>
    <xf numFmtId="0" fontId="0" fillId="19" borderId="0" pivotButton="0" quotePrefix="0" xfId="0"/>
    <xf numFmtId="0" fontId="25" fillId="0" borderId="0" pivotButton="0" quotePrefix="0" xfId="0"/>
    <xf numFmtId="167" fontId="0" fillId="18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26" fillId="22" borderId="0" pivotButton="0" quotePrefix="0" xfId="0"/>
    <xf numFmtId="0" fontId="28" fillId="0" borderId="0" pivotButton="0" quotePrefix="0" xfId="0"/>
    <xf numFmtId="0" fontId="10" fillId="23" borderId="48" applyAlignment="1" pivotButton="0" quotePrefix="0" xfId="0">
      <alignment horizontal="left"/>
    </xf>
    <xf numFmtId="168" fontId="2" fillId="20" borderId="41" applyAlignment="1" pivotButton="0" quotePrefix="0" xfId="0">
      <alignment horizontal="center" vertical="center"/>
    </xf>
    <xf numFmtId="168" fontId="2" fillId="21" borderId="41" applyAlignment="1" pivotButton="0" quotePrefix="0" xfId="0">
      <alignment horizontal="center" vertical="center"/>
    </xf>
    <xf numFmtId="2" fontId="2" fillId="20" borderId="11" applyAlignment="1" pivotButton="0" quotePrefix="0" xfId="0">
      <alignment horizontal="center" vertical="center"/>
    </xf>
    <xf numFmtId="0" fontId="2" fillId="21" borderId="17" applyAlignment="1" pivotButton="0" quotePrefix="0" xfId="0">
      <alignment horizontal="center" vertical="center"/>
    </xf>
    <xf numFmtId="0" fontId="0" fillId="20" borderId="47" pivotButton="0" quotePrefix="0" xfId="0"/>
    <xf numFmtId="2" fontId="0" fillId="20" borderId="47" pivotButton="0" quotePrefix="0" xfId="0"/>
    <xf numFmtId="167" fontId="0" fillId="20" borderId="47" pivotButton="0" quotePrefix="0" xfId="0"/>
    <xf numFmtId="168" fontId="0" fillId="20" borderId="47" pivotButton="0" quotePrefix="0" xfId="0"/>
    <xf numFmtId="0" fontId="26" fillId="22" borderId="0" applyAlignment="1" pivotButton="0" quotePrefix="0" xfId="0">
      <alignment vertical="center" wrapText="1"/>
    </xf>
    <xf numFmtId="2" fontId="4" fillId="20" borderId="47" pivotButton="0" quotePrefix="0" xfId="0"/>
    <xf numFmtId="0" fontId="27" fillId="20" borderId="0" pivotButton="0" quotePrefix="0" xfId="0"/>
    <xf numFmtId="0" fontId="18" fillId="21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0" fillId="23" borderId="0" pivotButton="0" quotePrefix="0" xfId="0"/>
    <xf numFmtId="0" fontId="10" fillId="25" borderId="47" applyAlignment="1" pivotButton="0" quotePrefix="0" xfId="0">
      <alignment horizontal="center"/>
    </xf>
    <xf numFmtId="168" fontId="5" fillId="25" borderId="47" applyAlignment="1" pivotButton="0" quotePrefix="0" xfId="0">
      <alignment horizontal="center"/>
    </xf>
    <xf numFmtId="2" fontId="5" fillId="25" borderId="47" applyAlignment="1" pivotButton="0" quotePrefix="0" xfId="0">
      <alignment horizontal="center"/>
    </xf>
    <xf numFmtId="168" fontId="5" fillId="24" borderId="47" applyAlignment="1" pivotButton="0" quotePrefix="0" xfId="0">
      <alignment horizontal="center"/>
    </xf>
    <xf numFmtId="167" fontId="5" fillId="24" borderId="47" applyAlignment="1" pivotButton="0" quotePrefix="0" xfId="0">
      <alignment horizontal="center"/>
    </xf>
    <xf numFmtId="2" fontId="5" fillId="24" borderId="47" applyAlignment="1" pivotButton="0" quotePrefix="0" xfId="0">
      <alignment horizontal="center"/>
    </xf>
    <xf numFmtId="0" fontId="5" fillId="25" borderId="47" applyAlignment="1" pivotButton="0" quotePrefix="0" xfId="0">
      <alignment horizontal="center"/>
    </xf>
    <xf numFmtId="165" fontId="5" fillId="25" borderId="47" applyAlignment="1" pivotButton="0" quotePrefix="0" xfId="0">
      <alignment horizontal="center"/>
    </xf>
    <xf numFmtId="167" fontId="5" fillId="25" borderId="47" applyAlignment="1" pivotButton="0" quotePrefix="0" xfId="0">
      <alignment horizontal="center"/>
    </xf>
  </cellXfs>
  <cellStyles count="2">
    <cellStyle name="Normal" xfId="0" builtinId="0"/>
    <cellStyle name="Normal 2" xfId="1"/>
  </cellStyles>
  <dxfs count="1"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Normal="100" workbookViewId="0">
      <selection activeCell="A15" sqref="A15"/>
    </sheetView>
  </sheetViews>
  <sheetFormatPr baseColWidth="10" defaultColWidth="8.5" defaultRowHeight="15" customHeight="1"/>
  <cols>
    <col width="110" customWidth="1" style="227" min="1" max="1"/>
  </cols>
  <sheetData>
    <row r="1" ht="17.25" customHeight="1" s="227">
      <c r="A1" s="322" t="inlineStr">
        <is>
          <t>ADAPTATION méthode simple Olivier ← données Reseau_tresfond (plan 1796-C-03)</t>
        </is>
      </c>
    </row>
    <row r="3" ht="15" customHeight="1" s="227">
      <c r="A3" s="4" t="inlineStr">
        <is>
          <t>Ce fichier = structure Calcul_reseau / Temps / Radiers (Olivier), remplie avec le réseau TRESFOND simplifié.</t>
        </is>
      </c>
    </row>
    <row r="4" ht="15" customHeight="1" s="227">
      <c r="A4" t="inlineStr">
        <is>
          <t>Source données: Reseau_tresfond_hybride_retention_07_08.xlsx (Zones + Elements).</t>
        </is>
      </c>
    </row>
    <row r="5" ht="15" customHeight="1" s="227"/>
    <row r="6">
      <c r="A6" s="323" t="inlineStr">
        <is>
          <t>Réseau</t>
        </is>
      </c>
    </row>
    <row r="7" ht="15" customHeight="1" s="227">
      <c r="A7" s="4" t="inlineStr">
        <is>
          <t>1) OUEST: gazon+pavé (105.8 m², C≈0.54) → CB P-03 → RP-02 → RS-EX</t>
        </is>
      </c>
    </row>
    <row r="8" ht="15" customHeight="1" s="227">
      <c r="A8" t="inlineStr">
        <is>
          <t>2) EST: arbres 164.7 m² C=0.25 → P-07; sud-est 70.6 m² C≈0.75 → P-07 → RP-02</t>
        </is>
      </c>
    </row>
    <row r="9" ht="15" customHeight="1" s="227">
      <c r="A9" t="inlineStr">
        <is>
          <t>3) MEC: toit+tréfond+strip 1405.6 m² C≈0.93 → BASSIN-RET</t>
        </is>
      </c>
    </row>
    <row r="11" ht="15" customHeight="1" s="227">
      <c r="A11" s="4" t="inlineStr">
        <is>
          <t>Correspondance Element_ID hybride (AC):</t>
        </is>
      </c>
    </row>
    <row r="12" ht="15" customHeight="1" s="227">
      <c r="A12" t="inlineStr">
        <is>
          <t>EST_ARBRES_VERS_P07 | EST_P07_RP02 | OUEST_P03_RP02 | RP02_VERS_RUE | MEC_TOIT_TRESFOND_BASSIN</t>
        </is>
      </c>
    </row>
    <row r="13" ht="15" customHeight="1" s="227"/>
    <row r="14" ht="15" customHeight="1" s="227">
      <c r="A14" s="324" t="inlineStr">
        <is>
          <t>Le classeur hybride reste utile pour le détail zone-par-zone; celui-ci sert au dimensionnement type Saint-Hubert.</t>
        </is>
      </c>
    </row>
    <row r="15" ht="15" customHeight="1" s="227"/>
    <row r="16" ht="15" customHeight="1" s="227"/>
    <row r="17" ht="15" customHeight="1" s="227"/>
    <row r="18" ht="15" customHeight="1" s="227"/>
    <row r="19" ht="15" customHeight="1" s="227"/>
    <row r="20" ht="15" customHeight="1" s="227">
      <c r="A20" s="303" t="n"/>
    </row>
    <row r="21">
      <c r="A21" s="304" t="n"/>
    </row>
    <row r="23" ht="15" customHeight="1" s="227">
      <c r="A23" s="4" t="n"/>
    </row>
    <row r="25">
      <c r="A25" s="305" t="n"/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4" customWidth="1" style="227" min="1" max="1"/>
    <col width="14" customWidth="1" style="227" min="2" max="2"/>
    <col width="12" customWidth="1" style="227" min="3" max="3"/>
    <col width="18" customWidth="1" style="227" min="4" max="4"/>
    <col width="28" customWidth="1" style="227" min="5" max="5"/>
    <col width="14" customWidth="1" style="227" min="6" max="6"/>
    <col width="14" customWidth="1" style="227" min="7" max="7"/>
    <col width="12" customWidth="1" style="227" min="8" max="8"/>
    <col width="12" customWidth="1" style="227" min="9" max="9"/>
    <col width="28" customWidth="1" style="227" min="10" max="10"/>
  </cols>
  <sheetData>
    <row r="1">
      <c r="A1" s="298" t="inlineStr">
        <is>
          <t>RADIERS DYNAMIQUES — changez L ou s dans Calcul_reseau; les inverts se mettent à jour</t>
        </is>
      </c>
      <c r="J1" s="306" t="inlineStr">
        <is>
          <t>Note: correction zone N (L10→LT1) sans effet sur radiers.</t>
        </is>
      </c>
    </row>
    <row r="2">
      <c r="A2" t="inlineStr">
        <is>
          <t>Formules Excel (pas de recalcul manuel). Aux confluences: radier du noeud = MIN des propositions des branches.</t>
        </is>
      </c>
    </row>
    <row r="3">
      <c r="A3" t="inlineStr">
        <is>
          <t>Dynamique: Inv amont = Inv aval + MAX(s,smin)·L + chute. Aux confluences le radier du noeud suit l’AVAL (drainable). Colonne D = MIN des arrivées des branches (couverture) pour choisir/contrôler.</t>
        </is>
      </c>
    </row>
    <row r="4">
      <c r="A4" s="321" t="inlineStr">
        <is>
          <t>Radiers pour réseau TRESFOND simplifié (P-03, P-07, RP-02, RS-EX, MEC, BASSIN).</t>
        </is>
      </c>
    </row>
    <row r="5">
      <c r="A5" s="273" t="inlineStr">
        <is>
          <t>PARAMÈTRES (jaune = modifiable)</t>
        </is>
      </c>
    </row>
    <row r="6">
      <c r="A6" s="276" t="inlineStr">
        <is>
          <t>Invert PUB / exutoire (m)</t>
        </is>
      </c>
      <c r="B6" s="279" t="n">
        <v>21.5</v>
      </c>
      <c r="D6" t="inlineStr">
        <is>
          <t>L et s lus dans Calcul_reseau P/M (lignes 18-22).</t>
        </is>
      </c>
    </row>
    <row r="7">
      <c r="A7" s="276" t="inlineStr">
        <is>
          <t>Chute de regard (m)</t>
        </is>
      </c>
      <c r="B7" s="279" t="n">
        <v>0.02</v>
      </c>
      <c r="D7" t="inlineStr">
        <is>
          <t>Changez M18=0.01, M28=0.015, M29=0.015 déjà appliqué; vous pouvez les modifier encore.</t>
        </is>
      </c>
    </row>
    <row r="8">
      <c r="A8" s="276" t="inlineStr">
        <is>
          <t>Pente min radier smin (m/m)</t>
        </is>
      </c>
      <c r="B8" s="279" t="n">
        <v>0.01</v>
      </c>
    </row>
    <row r="9">
      <c r="A9" s="276" t="inlineStr">
        <is>
          <t>Couverture mini pour proposition amont (m)</t>
        </is>
      </c>
      <c r="B9" s="279" t="n">
        <v>1.8</v>
      </c>
    </row>
    <row r="11">
      <c r="A11" s="273" t="inlineStr">
        <is>
          <t>TABLE DES CONDUITES (liée à Calcul_reseau)</t>
        </is>
      </c>
    </row>
    <row r="12">
      <c r="A12" s="275" t="inlineStr">
        <is>
          <t>Row</t>
        </is>
      </c>
      <c r="B12" s="275" t="inlineStr">
        <is>
          <t>Pipe_ID</t>
        </is>
      </c>
      <c r="C12" s="275" t="inlineStr">
        <is>
          <t>De</t>
        </is>
      </c>
      <c r="D12" s="275" t="inlineStr">
        <is>
          <t>Vers</t>
        </is>
      </c>
      <c r="E12" s="275" t="inlineStr">
        <is>
          <t>L (m)</t>
        </is>
      </c>
      <c r="F12" s="275" t="inlineStr">
        <is>
          <t>s design</t>
        </is>
      </c>
      <c r="G12" s="275" t="inlineStr">
        <is>
          <t>s utilisée</t>
        </is>
      </c>
      <c r="H12" s="275" t="inlineStr">
        <is>
          <t>D (m)</t>
        </is>
      </c>
      <c r="I12" s="275" t="inlineStr">
        <is>
          <t>Sol amont</t>
        </is>
      </c>
      <c r="J12" s="275" t="inlineStr">
        <is>
          <t>Proposition amont (couverture)</t>
        </is>
      </c>
    </row>
    <row r="13">
      <c r="A13" s="276" t="n">
        <v>18</v>
      </c>
      <c r="B13" s="276">
        <f>Calcul_reseau!AC18</f>
        <v/>
      </c>
      <c r="C13" s="276">
        <f>Calcul_reseau!A18</f>
        <v/>
      </c>
      <c r="D13" s="276">
        <f>Calcul_reseau!C18</f>
        <v/>
      </c>
      <c r="E13" s="277">
        <f>Calcul_reseau!P18</f>
        <v/>
      </c>
      <c r="F13" s="281">
        <f>Calcul_reseau!M18</f>
        <v/>
      </c>
      <c r="G13" s="281">
        <f>MAX(F13,$B$8)</f>
        <v/>
      </c>
      <c r="H13" s="277">
        <f>IF(Calcul_reseau!N18="",0,Calcul_reseau!N18/1000)</f>
        <v/>
      </c>
      <c r="I13" s="278">
        <f>Calcul_reseau!S18</f>
        <v/>
      </c>
      <c r="J13" s="299">
        <f>IF(OR(I13="",H13=""),"",I13-$B$9-H13)</f>
        <v/>
      </c>
    </row>
    <row r="14">
      <c r="A14" s="276" t="n">
        <v>19</v>
      </c>
      <c r="B14" s="276">
        <f>Calcul_reseau!AC19</f>
        <v/>
      </c>
      <c r="C14" s="276">
        <f>Calcul_reseau!A19</f>
        <v/>
      </c>
      <c r="D14" s="276">
        <f>Calcul_reseau!C19</f>
        <v/>
      </c>
      <c r="E14" s="277">
        <f>Calcul_reseau!P19</f>
        <v/>
      </c>
      <c r="F14" s="281">
        <f>Calcul_reseau!M19</f>
        <v/>
      </c>
      <c r="G14" s="281">
        <f>MAX(F14,$B$8)</f>
        <v/>
      </c>
      <c r="H14" s="277">
        <f>IF(Calcul_reseau!N19="",0,Calcul_reseau!N19/1000)</f>
        <v/>
      </c>
      <c r="I14" s="278">
        <f>Calcul_reseau!S19</f>
        <v/>
      </c>
      <c r="J14" s="299">
        <f>IF(OR(I14="",H14=""),"",I14-$B$9-H14)</f>
        <v/>
      </c>
    </row>
    <row r="15">
      <c r="A15" s="276" t="n">
        <v>20</v>
      </c>
      <c r="B15" s="276">
        <f>Calcul_reseau!AC20</f>
        <v/>
      </c>
      <c r="C15" s="276">
        <f>Calcul_reseau!A20</f>
        <v/>
      </c>
      <c r="D15" s="276">
        <f>Calcul_reseau!C20</f>
        <v/>
      </c>
      <c r="E15" s="277">
        <f>Calcul_reseau!P20</f>
        <v/>
      </c>
      <c r="F15" s="281">
        <f>Calcul_reseau!M20</f>
        <v/>
      </c>
      <c r="G15" s="281">
        <f>MAX(F15,$B$8)</f>
        <v/>
      </c>
      <c r="H15" s="277">
        <f>IF(Calcul_reseau!N20="",0,Calcul_reseau!N20/1000)</f>
        <v/>
      </c>
      <c r="I15" s="278">
        <f>Calcul_reseau!S20</f>
        <v/>
      </c>
      <c r="J15" s="299">
        <f>IF(OR(I15="",H15=""),"",I15-$B$9-H15)</f>
        <v/>
      </c>
    </row>
    <row r="16">
      <c r="A16" s="276" t="n">
        <v>21</v>
      </c>
      <c r="B16" s="276">
        <f>Calcul_reseau!AC21</f>
        <v/>
      </c>
      <c r="C16" s="276">
        <f>Calcul_reseau!A21</f>
        <v/>
      </c>
      <c r="D16" s="276">
        <f>Calcul_reseau!C21</f>
        <v/>
      </c>
      <c r="E16" s="277">
        <f>Calcul_reseau!P21</f>
        <v/>
      </c>
      <c r="F16" s="281">
        <f>Calcul_reseau!M21</f>
        <v/>
      </c>
      <c r="G16" s="281">
        <f>MAX(F16,$B$8)</f>
        <v/>
      </c>
      <c r="H16" s="277">
        <f>IF(Calcul_reseau!N21="",0,Calcul_reseau!N21/1000)</f>
        <v/>
      </c>
      <c r="I16" s="278">
        <f>Calcul_reseau!S21</f>
        <v/>
      </c>
      <c r="J16" s="299">
        <f>IF(OR(I16="",H16=""),"",I16-$B$9-H16)</f>
        <v/>
      </c>
    </row>
    <row r="17">
      <c r="A17" s="276" t="n">
        <v>22</v>
      </c>
      <c r="B17" s="276">
        <f>Calcul_reseau!AC22</f>
        <v/>
      </c>
      <c r="C17" s="276">
        <f>Calcul_reseau!A22</f>
        <v/>
      </c>
      <c r="D17" s="276">
        <f>Calcul_reseau!C22</f>
        <v/>
      </c>
      <c r="E17" s="277">
        <f>Calcul_reseau!P22</f>
        <v/>
      </c>
      <c r="F17" s="281">
        <f>Calcul_reseau!M22</f>
        <v/>
      </c>
      <c r="G17" s="281">
        <f>MAX(F17,$B$8)</f>
        <v/>
      </c>
      <c r="H17" s="277">
        <f>IF(Calcul_reseau!N22="",0,Calcul_reseau!N22/1000)</f>
        <v/>
      </c>
      <c r="I17" s="278">
        <f>Calcul_reseau!S22</f>
        <v/>
      </c>
      <c r="J17" s="299">
        <f>IF(OR(I17="",H17=""),"",I17-$B$9-H17)</f>
        <v/>
      </c>
    </row>
    <row r="18">
      <c r="A18" s="276" t="n"/>
      <c r="B18" s="276" t="n"/>
      <c r="C18" s="276" t="n"/>
      <c r="D18" s="276" t="n"/>
      <c r="E18" s="277" t="n"/>
      <c r="F18" s="281" t="n"/>
      <c r="G18" s="281" t="n"/>
      <c r="H18" s="277" t="n"/>
      <c r="I18" s="278" t="n"/>
      <c r="J18" s="299">
        <f>IF(OR(I18="",H18=0),"",I18-$B$9-H18)</f>
        <v/>
      </c>
    </row>
    <row r="19">
      <c r="A19" s="276" t="n"/>
      <c r="B19" s="276" t="n"/>
      <c r="C19" s="276" t="n"/>
      <c r="D19" s="276" t="n"/>
      <c r="E19" s="277" t="n"/>
      <c r="F19" s="281" t="n"/>
      <c r="G19" s="281" t="n"/>
      <c r="H19" s="277" t="n"/>
      <c r="I19" s="278" t="n"/>
      <c r="J19" s="299">
        <f>IF(OR(I19="",H19=0),"",I19-$B$9-H19)</f>
        <v/>
      </c>
    </row>
    <row r="20">
      <c r="A20" s="276" t="n"/>
      <c r="B20" s="276" t="n"/>
      <c r="C20" s="276" t="n"/>
      <c r="D20" s="276" t="n"/>
      <c r="E20" s="277" t="n"/>
      <c r="F20" s="281" t="n"/>
      <c r="G20" s="281" t="n"/>
      <c r="H20" s="277" t="n"/>
      <c r="I20" s="278" t="n"/>
      <c r="J20" s="299">
        <f>IF(OR(I20="",H20=0),"",I20-$B$9-H20)</f>
        <v/>
      </c>
    </row>
    <row r="21">
      <c r="A21" s="276" t="n"/>
      <c r="B21" s="276" t="n"/>
      <c r="C21" s="276" t="n"/>
      <c r="D21" s="276" t="n"/>
      <c r="E21" s="277" t="n"/>
      <c r="F21" s="281" t="n"/>
      <c r="G21" s="281" t="n"/>
      <c r="H21" s="277" t="n"/>
      <c r="I21" s="278" t="n"/>
      <c r="J21" s="299">
        <f>IF(OR(I21="",H21=0),"",I21-$B$9-H21)</f>
        <v/>
      </c>
    </row>
    <row r="22">
      <c r="A22" s="276" t="n"/>
      <c r="B22" s="276" t="n"/>
      <c r="C22" s="276" t="n"/>
      <c r="D22" s="276" t="n"/>
      <c r="E22" s="277" t="n"/>
      <c r="F22" s="281" t="n"/>
      <c r="G22" s="281" t="n"/>
      <c r="H22" s="277" t="n"/>
      <c r="I22" s="278" t="n"/>
      <c r="J22" s="299">
        <f>IF(OR(I22="",H22=0),"",I22-$B$9-H22)</f>
        <v/>
      </c>
    </row>
    <row r="23">
      <c r="A23" s="276" t="n"/>
      <c r="B23" s="276" t="n"/>
      <c r="C23" s="276" t="n"/>
      <c r="D23" s="276" t="n"/>
      <c r="E23" s="277" t="n"/>
      <c r="F23" s="281" t="n"/>
      <c r="G23" s="281" t="n"/>
      <c r="H23" s="277" t="n"/>
      <c r="I23" s="278" t="n"/>
      <c r="J23" s="299">
        <f>IF(OR(I23="",H23=0),"",I23-$B$9-H23)</f>
        <v/>
      </c>
    </row>
    <row r="24">
      <c r="A24" s="276" t="n"/>
      <c r="B24" s="276" t="n"/>
      <c r="C24" s="276" t="n"/>
      <c r="D24" s="276" t="n"/>
      <c r="E24" s="277" t="n"/>
      <c r="F24" s="281" t="n"/>
      <c r="G24" s="281" t="n"/>
      <c r="H24" s="277" t="n"/>
      <c r="I24" s="278" t="n"/>
      <c r="J24" s="299">
        <f>IF(OR(I24="",H24=0),"",I24-$B$9-H24)</f>
        <v/>
      </c>
    </row>
    <row r="26">
      <c r="A26" s="273" t="inlineStr">
        <is>
          <t>INVERTS DES NOEUDS (formules dynamiques)</t>
        </is>
      </c>
    </row>
    <row r="27">
      <c r="A27" t="inlineStr">
        <is>
          <t>Noeud.final = proposition AVAL (pour garder l’écoulement vers PUB). Si MIN branches (col D) &lt; aval (col C) → alerte couverture.</t>
        </is>
      </c>
    </row>
    <row r="28">
      <c r="A28" s="275" t="inlineStr">
        <is>
          <t>Noeud</t>
        </is>
      </c>
      <c r="B28" s="275" t="inlineStr">
        <is>
          <t>Invert final (m)</t>
        </is>
      </c>
      <c r="C28" s="275" t="inlineStr">
        <is>
          <t>Depuis aval (m)</t>
        </is>
      </c>
      <c r="D28" s="275" t="inlineStr">
        <is>
          <t>Arrivée branche(s)</t>
        </is>
      </c>
      <c r="E28" s="275" t="inlineStr">
        <is>
          <t>Règle</t>
        </is>
      </c>
      <c r="F28" s="275" t="inlineStr">
        <is>
          <t>Sol (m)</t>
        </is>
      </c>
      <c r="G28" s="275" t="inlineStr">
        <is>
          <t>Couverture (m)</t>
        </is>
      </c>
      <c r="H28" s="301" t="inlineStr">
        <is>
          <t>MIN invert amont des branches</t>
        </is>
      </c>
    </row>
    <row r="29">
      <c r="A29" s="276" t="inlineStr">
        <is>
          <t>RS-EX</t>
        </is>
      </c>
      <c r="B29" s="277">
        <f>C29</f>
        <v/>
      </c>
      <c r="C29" s="278">
        <f>$B$6</f>
        <v/>
      </c>
      <c r="D29" s="276" t="inlineStr">
        <is>
          <t>—</t>
        </is>
      </c>
      <c r="E29" s="276" t="inlineStr">
        <is>
          <t>Exutoire fixe</t>
        </is>
      </c>
      <c r="F29" s="278" t="n">
        <v>22.7</v>
      </c>
      <c r="G29" s="277">
        <f>IF(OR(F29="",B29=""),"",F29-B29)</f>
        <v/>
      </c>
    </row>
    <row r="30">
      <c r="A30" s="276" t="inlineStr">
        <is>
          <t>RP-02</t>
        </is>
      </c>
      <c r="B30" s="277">
        <f>C30</f>
        <v/>
      </c>
      <c r="C30" s="278">
        <f>$B$6+G16*E16+$B$7</f>
        <v/>
      </c>
      <c r="D30" s="276">
        <f>MIN(IFERROR(J14-G14*E14,1E99),IFERROR(J15-G15*E15,1E99))</f>
        <v/>
      </c>
      <c r="E30" s="276" t="inlineStr">
        <is>
          <t>CONFLUENCE P-07 &amp; P-03</t>
        </is>
      </c>
      <c r="F30" s="278" t="n">
        <v>22.82</v>
      </c>
      <c r="G30" s="277">
        <f>IF(OR(F30="",B30=""),"",F30-B30)</f>
        <v/>
      </c>
      <c r="H30">
        <f>MIN(B31,B33)</f>
        <v/>
      </c>
    </row>
    <row r="31">
      <c r="A31" s="295" t="inlineStr">
        <is>
          <t>P-07</t>
        </is>
      </c>
      <c r="B31" s="296">
        <f>C31</f>
        <v/>
      </c>
      <c r="C31" s="296">
        <f>B30+G14*E14+$B$7</f>
        <v/>
      </c>
      <c r="D31" s="296">
        <f>IF(J14="","",J14)</f>
        <v/>
      </c>
      <c r="E31" s="295" t="inlineStr">
        <is>
          <t>Branche est</t>
        </is>
      </c>
      <c r="F31" s="296" t="n">
        <v>23.5</v>
      </c>
      <c r="G31" s="296">
        <f>IF(OR(F31="",B31=""),"",F31-B31)</f>
        <v/>
      </c>
      <c r="H31" s="302" t="n"/>
    </row>
    <row r="32">
      <c r="A32" s="276" t="inlineStr">
        <is>
          <t>BANDE_ARBRES</t>
        </is>
      </c>
      <c r="B32" s="277">
        <f>C32</f>
        <v/>
      </c>
      <c r="C32" s="278">
        <f>B31+G13*E13+$B$7</f>
        <v/>
      </c>
      <c r="D32" s="278">
        <f>IF(J13="","",J13)</f>
        <v/>
      </c>
      <c r="E32" s="276" t="inlineStr">
        <is>
          <t>Amont arbres</t>
        </is>
      </c>
      <c r="F32" s="278" t="n">
        <v>23.9</v>
      </c>
      <c r="G32" s="277">
        <f>IF(OR(F32="",B32=""),"",F32-B32)</f>
        <v/>
      </c>
    </row>
    <row r="33">
      <c r="A33" s="276" t="inlineStr">
        <is>
          <t>P-03</t>
        </is>
      </c>
      <c r="B33" s="277">
        <f>C33</f>
        <v/>
      </c>
      <c r="C33" s="278">
        <f>B30+G15*E15+$B$7</f>
        <v/>
      </c>
      <c r="D33" s="278">
        <f>IF(J15="","",J15)</f>
        <v/>
      </c>
      <c r="E33" s="276" t="inlineStr">
        <is>
          <t>Branche ouest</t>
        </is>
      </c>
      <c r="F33" s="278" t="n">
        <v>23.46</v>
      </c>
      <c r="G33" s="277">
        <f>IF(OR(F33="",B33=""),"",F33-B33)</f>
        <v/>
      </c>
    </row>
    <row r="34">
      <c r="A34" s="276" t="inlineStr">
        <is>
          <t>BASSIN-RET</t>
        </is>
      </c>
      <c r="B34" s="277">
        <f>C34</f>
        <v/>
      </c>
      <c r="C34" s="278" t="n">
        <v>21.62</v>
      </c>
      <c r="D34" s="276" t="inlineStr">
        <is>
          <t>—</t>
        </is>
      </c>
      <c r="E34" s="276" t="inlineStr">
        <is>
          <t>Radier bassin (plan)</t>
        </is>
      </c>
      <c r="F34" s="278" t="n">
        <v>23.56</v>
      </c>
      <c r="G34" s="277">
        <f>IF(OR(F34="",B34=""),"",F34-B34)</f>
        <v/>
      </c>
    </row>
    <row r="35">
      <c r="A35" s="295" t="inlineStr">
        <is>
          <t>MEC-OUT</t>
        </is>
      </c>
      <c r="B35" s="296">
        <f>C35</f>
        <v/>
      </c>
      <c r="C35" s="296">
        <f>B34+G17*E17+$B$7</f>
        <v/>
      </c>
      <c r="D35" s="296">
        <f>IF(J17="","",J17)</f>
        <v/>
      </c>
      <c r="E35" s="295" t="inlineStr">
        <is>
          <t>Mécanique amont</t>
        </is>
      </c>
      <c r="F35" s="296" t="n">
        <v>23.63</v>
      </c>
      <c r="G35" s="296">
        <f>IF(OR(F35="",B35=""),"",F35-B35)</f>
        <v/>
      </c>
      <c r="H35" s="302" t="n"/>
    </row>
    <row r="36">
      <c r="A36" s="276" t="n"/>
      <c r="B36" s="277" t="n"/>
      <c r="C36" s="278" t="n"/>
      <c r="D36" s="278" t="n"/>
      <c r="E36" s="276" t="n"/>
      <c r="F36" s="278" t="n"/>
      <c r="G36" s="277" t="n"/>
    </row>
    <row r="37">
      <c r="A37" s="276" t="n"/>
      <c r="B37" s="277" t="n"/>
      <c r="C37" s="278" t="n"/>
      <c r="D37" s="278" t="n"/>
      <c r="E37" s="276" t="n"/>
      <c r="F37" s="278" t="n"/>
      <c r="G37" s="277" t="n"/>
    </row>
    <row r="38">
      <c r="A38" s="276" t="n"/>
      <c r="B38" s="277" t="n"/>
      <c r="C38" s="278" t="n"/>
      <c r="D38" s="278" t="n"/>
      <c r="E38" s="276" t="n"/>
      <c r="F38" s="278" t="n"/>
      <c r="G38" s="277" t="n"/>
    </row>
    <row r="39">
      <c r="A39" s="295" t="n"/>
      <c r="B39" s="296" t="n"/>
      <c r="C39" s="296" t="n"/>
      <c r="D39" s="296" t="n"/>
      <c r="E39" s="295" t="n"/>
      <c r="F39" s="296" t="n"/>
      <c r="G39" s="296" t="n"/>
      <c r="H39" s="302" t="n"/>
    </row>
    <row r="40">
      <c r="A40" s="276" t="n"/>
      <c r="B40" s="277" t="n"/>
      <c r="C40" s="278" t="n"/>
      <c r="D40" s="278" t="n"/>
      <c r="E40" s="276" t="n"/>
      <c r="F40" s="278" t="n"/>
      <c r="G40" s="277" t="n"/>
    </row>
    <row r="41">
      <c r="A41" s="276" t="n"/>
      <c r="B41" s="277" t="n"/>
      <c r="C41" s="278" t="n"/>
      <c r="D41" s="278" t="n"/>
      <c r="E41" s="276" t="n"/>
      <c r="F41" s="278" t="n"/>
      <c r="G41" s="277" t="n"/>
    </row>
    <row r="43">
      <c r="A43" s="273" t="inlineStr">
        <is>
          <t>Alerte drainage</t>
        </is>
      </c>
    </row>
    <row r="44">
      <c r="A44" s="300">
        <f>IF(AND(ISNUMBER(H30),ISNUMBER(C30),H30&lt;C30),"ALERTE: branche impose radier &lt; aval à RP-02","OK confluence RP-02")</f>
        <v/>
      </c>
    </row>
    <row r="46">
      <c r="A46" s="273" t="inlineStr">
        <is>
          <t>U/V PAR CONDUITE (dynamique) — Calcul_reseau lit ces valeurs</t>
        </is>
      </c>
    </row>
    <row r="47">
      <c r="A47" s="275" t="inlineStr">
        <is>
          <t>Pipe_ID</t>
        </is>
      </c>
      <c r="B47" s="275" t="inlineStr">
        <is>
          <t>De</t>
        </is>
      </c>
      <c r="C47" s="275" t="inlineStr">
        <is>
          <t>Vers</t>
        </is>
      </c>
      <c r="D47" s="275" t="inlineStr">
        <is>
          <t>V aval = Inv(vers)</t>
        </is>
      </c>
      <c r="E47" s="275" t="inlineStr">
        <is>
          <t>U amont = V + s_util·L + chute</t>
        </is>
      </c>
      <c r="F47" s="275" t="inlineStr">
        <is>
          <t>s réelle (U−V)/L</t>
        </is>
      </c>
    </row>
    <row r="48">
      <c r="A48" s="276">
        <f>B13</f>
        <v/>
      </c>
      <c r="B48" s="276">
        <f>C13</f>
        <v/>
      </c>
      <c r="C48" s="276">
        <f>D13</f>
        <v/>
      </c>
      <c r="D48" s="277">
        <f>VLOOKUP(D13,$A$29:$B$35,2,FALSE)</f>
        <v/>
      </c>
      <c r="E48" s="277">
        <f>VLOOKUP(C13,$A$29:$B$35,2,FALSE)</f>
        <v/>
      </c>
      <c r="F48" s="281">
        <f>IF(E13=0,"",(E48-D48)/E13)</f>
        <v/>
      </c>
    </row>
    <row r="49">
      <c r="A49" s="276">
        <f>B14</f>
        <v/>
      </c>
      <c r="B49" s="276">
        <f>C14</f>
        <v/>
      </c>
      <c r="C49" s="276">
        <f>D14</f>
        <v/>
      </c>
      <c r="D49" s="277">
        <f>VLOOKUP(D14,$A$29:$B$35,2,FALSE)</f>
        <v/>
      </c>
      <c r="E49" s="277">
        <f>VLOOKUP(C14,$A$29:$B$35,2,FALSE)</f>
        <v/>
      </c>
      <c r="F49" s="281">
        <f>IF(E14=0,"",(E49-D49)/E14)</f>
        <v/>
      </c>
    </row>
    <row r="50">
      <c r="A50" s="276">
        <f>B15</f>
        <v/>
      </c>
      <c r="B50" s="276">
        <f>C15</f>
        <v/>
      </c>
      <c r="C50" s="276">
        <f>D15</f>
        <v/>
      </c>
      <c r="D50" s="277">
        <f>VLOOKUP(D15,$A$29:$B$35,2,FALSE)</f>
        <v/>
      </c>
      <c r="E50" s="277">
        <f>VLOOKUP(C15,$A$29:$B$35,2,FALSE)</f>
        <v/>
      </c>
      <c r="F50" s="281">
        <f>IF(E15=0,"",(E50-D50)/E15)</f>
        <v/>
      </c>
    </row>
    <row r="51">
      <c r="A51" s="276">
        <f>B16</f>
        <v/>
      </c>
      <c r="B51" s="276">
        <f>C16</f>
        <v/>
      </c>
      <c r="C51" s="276">
        <f>D16</f>
        <v/>
      </c>
      <c r="D51" s="277">
        <f>VLOOKUP(D16,$A$29:$B$35,2,FALSE)</f>
        <v/>
      </c>
      <c r="E51" s="277">
        <f>VLOOKUP(C16,$A$29:$B$35,2,FALSE)</f>
        <v/>
      </c>
      <c r="F51" s="281">
        <f>IF(E16=0,"",(E51-D51)/E16)</f>
        <v/>
      </c>
    </row>
    <row r="52">
      <c r="A52" s="276">
        <f>B17</f>
        <v/>
      </c>
      <c r="B52" s="276">
        <f>C17</f>
        <v/>
      </c>
      <c r="C52" s="276">
        <f>D17</f>
        <v/>
      </c>
      <c r="D52" s="277">
        <f>VLOOKUP(D17,$A$29:$B$35,2,FALSE)</f>
        <v/>
      </c>
      <c r="E52" s="277">
        <f>VLOOKUP(C17,$A$29:$B$35,2,FALSE)</f>
        <v/>
      </c>
      <c r="F52" s="281">
        <f>IF(E17=0,"",(E52-D52)/E17)</f>
        <v/>
      </c>
    </row>
    <row r="53">
      <c r="A53" s="276" t="n"/>
      <c r="B53" s="276" t="n"/>
      <c r="C53" s="276" t="n"/>
      <c r="D53" s="277" t="n"/>
      <c r="E53" s="277" t="n"/>
      <c r="F53" s="281" t="n"/>
    </row>
    <row r="54">
      <c r="A54" s="276" t="n"/>
      <c r="B54" s="276" t="n"/>
      <c r="C54" s="276" t="n"/>
      <c r="D54" s="277" t="n"/>
      <c r="E54" s="277" t="n"/>
      <c r="F54" s="281" t="n"/>
    </row>
    <row r="55">
      <c r="A55" s="276" t="n"/>
      <c r="B55" s="276" t="n"/>
      <c r="C55" s="276" t="n"/>
      <c r="D55" s="277" t="n"/>
      <c r="E55" s="277" t="n"/>
      <c r="F55" s="281" t="n"/>
    </row>
    <row r="56">
      <c r="A56" s="276" t="n"/>
      <c r="B56" s="276" t="n"/>
      <c r="C56" s="276" t="n"/>
      <c r="D56" s="277" t="n"/>
      <c r="E56" s="277" t="n"/>
      <c r="F56" s="281" t="n"/>
    </row>
    <row r="57">
      <c r="A57" s="276" t="n"/>
      <c r="B57" s="276" t="n"/>
      <c r="C57" s="276" t="n"/>
      <c r="D57" s="277" t="n"/>
      <c r="E57" s="277" t="n"/>
      <c r="F57" s="281" t="n"/>
    </row>
    <row r="58">
      <c r="A58" s="276" t="n"/>
      <c r="B58" s="276" t="n"/>
      <c r="C58" s="276" t="n"/>
      <c r="D58" s="277" t="n"/>
      <c r="E58" s="277" t="n"/>
      <c r="F58" s="281" t="n"/>
    </row>
    <row r="59">
      <c r="A59" s="276" t="n"/>
      <c r="B59" s="276" t="n"/>
      <c r="C59" s="276" t="n"/>
      <c r="D59" s="277" t="n"/>
      <c r="E59" s="277" t="n"/>
      <c r="F59" s="281" t="n"/>
    </row>
    <row r="61">
      <c r="A61" t="inlineStr">
        <is>
          <t>Note: U et V = inverts des noeuds (formules). Si vous changez L (col P) ou s (col M) dans Calcul_reseau, tout se recalcule.</t>
        </is>
      </c>
    </row>
    <row r="62">
      <c r="A62" t="inlineStr">
        <is>
          <t>TRESFOND: 5 conduites (Calcul 18-22). Exutoire RS-EX + branche MEC/BASSIN.</t>
        </is>
      </c>
    </row>
    <row r="63">
      <c r="A63" t="inlineStr">
        <is>
          <t>Changez librement: Calcul_reseau col M (pente) et col P (longueur). Radiers + U/V se recalculent seuls.</t>
        </is>
      </c>
    </row>
    <row r="64">
      <c r="A64" t="inlineStr">
        <is>
          <t>Pentes initiales: P-03→RP-02=0.022; P-07→RP-02=0.0025; RP-02→RS-EX=0.005; MEC=0.005.</t>
        </is>
      </c>
    </row>
    <row r="65">
      <c r="A65" t="inlineStr">
        <is>
          <t>À une confluence, le radier du regard = chaîne AVAL. La branche « appropriée » la plus basse est en colonne H (MIN des inverts amont).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74"/>
  <sheetViews>
    <sheetView tabSelected="1" topLeftCell="A13" zoomScale="70" zoomScaleNormal="70" workbookViewId="0">
      <selection activeCell="I27" sqref="I27"/>
    </sheetView>
  </sheetViews>
  <sheetFormatPr baseColWidth="10" defaultColWidth="11" defaultRowHeight="15" customHeight="1"/>
  <cols>
    <col width="12" customWidth="1" style="206" min="1" max="1"/>
    <col width="4" customWidth="1" style="206" min="2" max="2"/>
    <col width="10" customWidth="1" style="206" min="3" max="10"/>
    <col width="10" customWidth="1" style="6" min="11" max="11"/>
    <col width="10" customWidth="1" style="206" min="12" max="16"/>
    <col width="8" customWidth="1" style="206" min="17" max="17"/>
    <col width="10" customWidth="1" style="206" min="18" max="24"/>
    <col width="9" customWidth="1" style="7" min="25" max="25"/>
    <col width="8.125" customWidth="1" style="206" min="26" max="29"/>
    <col width="11" customWidth="1" style="206" min="30" max="16384"/>
  </cols>
  <sheetData>
    <row r="1" ht="27.75" customHeight="1" s="227">
      <c r="A1" s="219" t="inlineStr">
        <is>
          <t>Calculs relatifs à un réseau d'égout pluvial</t>
        </is>
      </c>
      <c r="B1" s="232" t="n"/>
      <c r="C1" s="232" t="n"/>
      <c r="D1" s="232" t="n"/>
      <c r="E1" s="232" t="n"/>
      <c r="F1" s="232" t="n"/>
      <c r="G1" s="232" t="n"/>
      <c r="H1" s="232" t="n"/>
      <c r="I1" s="232" t="n"/>
      <c r="J1" s="232" t="n"/>
      <c r="K1" s="232" t="n"/>
      <c r="L1" s="232" t="n"/>
      <c r="M1" s="232" t="n"/>
      <c r="N1" s="232" t="n"/>
      <c r="O1" s="232" t="n"/>
      <c r="P1" s="232" t="n"/>
      <c r="Q1" s="232" t="n"/>
      <c r="R1" s="232" t="n"/>
      <c r="S1" s="232" t="n"/>
      <c r="T1" s="232" t="n"/>
      <c r="U1" s="232" t="n"/>
      <c r="V1" s="232" t="n"/>
      <c r="W1" s="232" t="n"/>
      <c r="X1" s="232" t="n"/>
      <c r="Y1" s="232" t="n"/>
      <c r="Z1" s="232" t="n"/>
      <c r="AA1" s="233" t="n"/>
    </row>
    <row r="2" ht="24" customHeight="1" s="227">
      <c r="A2" s="8" t="n"/>
      <c r="B2" s="9" t="n"/>
      <c r="C2" s="9" t="n"/>
      <c r="D2" s="9" t="n"/>
      <c r="E2" s="9" t="n"/>
      <c r="F2" s="220" t="inlineStr">
        <is>
          <t>Projet :</t>
        </is>
      </c>
      <c r="G2" s="234" t="n"/>
      <c r="H2" s="10" t="inlineStr">
        <is>
          <t>Tréfond / Bâtiment 39 logements — méthode simple Olivier + données Reseau_tresfond</t>
        </is>
      </c>
      <c r="I2" s="10" t="n"/>
      <c r="J2" s="11" t="n"/>
      <c r="K2" s="11" t="n"/>
      <c r="L2" s="12" t="n"/>
      <c r="M2" s="221" t="inlineStr">
        <is>
          <t>IDF projet (Inputs v1) – courbe 1/10 ans A=508.07 B=2.9 C=0.644</t>
        </is>
      </c>
      <c r="N2" s="234" t="n"/>
      <c r="O2" s="234" t="n"/>
      <c r="P2" s="235" t="n"/>
      <c r="Q2" s="13" t="n"/>
      <c r="R2" s="14" t="inlineStr">
        <is>
          <t>Période de retour:</t>
        </is>
      </c>
      <c r="S2" s="15">
        <f>1/25</f>
        <v/>
      </c>
      <c r="T2" s="16" t="inlineStr">
        <is>
          <t>ans</t>
        </is>
      </c>
      <c r="U2" s="9" t="n"/>
      <c r="V2" s="9" t="n"/>
      <c r="W2" s="9" t="n"/>
      <c r="X2" s="9" t="n"/>
      <c r="Y2" s="17" t="n"/>
      <c r="Z2" s="9" t="n"/>
      <c r="AA2" s="18" t="n"/>
    </row>
    <row r="3" ht="24" customHeight="1" s="227">
      <c r="A3" s="19" t="n"/>
      <c r="F3" s="222" t="inlineStr">
        <is>
          <t>No dossier :</t>
        </is>
      </c>
      <c r="H3" s="20" t="inlineStr">
        <is>
          <t>Adapté méthode simple Saint-Hubert</t>
        </is>
      </c>
      <c r="I3" s="20" t="n"/>
      <c r="J3" s="21" t="n"/>
      <c r="K3" s="22" t="n"/>
      <c r="L3" s="23" t="n"/>
      <c r="P3" s="236" t="n"/>
      <c r="Q3" s="223" t="inlineStr">
        <is>
          <t>I = A/(t+B)C</t>
        </is>
      </c>
      <c r="R3" s="237" t="n"/>
      <c r="S3" s="237" t="n"/>
      <c r="T3" s="238" t="n"/>
      <c r="AA3" s="24" t="n"/>
    </row>
    <row r="4" ht="22.5" customHeight="1" s="227">
      <c r="A4" s="19" t="n"/>
      <c r="F4" s="25" t="n"/>
      <c r="G4" s="25" t="inlineStr">
        <is>
          <t>Date :</t>
        </is>
      </c>
      <c r="H4" s="239" t="inlineStr">
        <is>
          <t>2026-07-31</t>
        </is>
      </c>
      <c r="J4" s="21" t="n"/>
      <c r="K4" s="22" t="n"/>
      <c r="L4" s="23" t="n"/>
      <c r="M4" s="215" t="inlineStr">
        <is>
          <t>P-03→RP-02→RS-EX | P-07→RP-02 | MEC→BASSIN (plan 1796-C-03)</t>
        </is>
      </c>
      <c r="P4" s="236" t="n"/>
      <c r="Q4" s="26" t="inlineStr">
        <is>
          <t>Récurence</t>
        </is>
      </c>
      <c r="R4" s="240" t="inlineStr">
        <is>
          <t>A</t>
        </is>
      </c>
      <c r="S4" s="26" t="inlineStr">
        <is>
          <t>B</t>
        </is>
      </c>
      <c r="T4" s="28" t="inlineStr">
        <is>
          <t>C</t>
        </is>
      </c>
      <c r="Y4" s="206" t="n"/>
      <c r="AA4" s="24" t="n"/>
    </row>
    <row r="5" ht="22.5" customHeight="1" s="227">
      <c r="A5" s="19" t="n"/>
      <c r="F5" s="29" t="n"/>
      <c r="G5" s="29" t="n"/>
      <c r="H5" s="241" t="n"/>
      <c r="I5" s="241" t="n"/>
      <c r="J5" s="21" t="n"/>
      <c r="K5" s="22" t="n"/>
      <c r="L5" s="23" t="n"/>
      <c r="Q5" s="31" t="inlineStr">
        <is>
          <t>1/2 ans</t>
        </is>
      </c>
      <c r="R5" s="32" t="n">
        <v>603.83</v>
      </c>
      <c r="S5" s="33" t="n">
        <v>6.2</v>
      </c>
      <c r="T5" s="34" t="n">
        <v>0.794</v>
      </c>
      <c r="Z5" s="35" t="n"/>
      <c r="AA5" s="36" t="n"/>
    </row>
    <row r="6" ht="22.5" customHeight="1" s="227">
      <c r="A6" s="19" t="n"/>
      <c r="F6" s="29" t="n"/>
      <c r="G6" s="29" t="n"/>
      <c r="H6" s="241" t="n"/>
      <c r="I6" s="241" t="n"/>
      <c r="J6" s="21" t="n"/>
      <c r="K6" s="22" t="n"/>
      <c r="L6" s="23" t="n"/>
      <c r="Q6" s="31" t="inlineStr">
        <is>
          <t>1/5 ans</t>
        </is>
      </c>
      <c r="R6" s="32" t="n">
        <v>509.21</v>
      </c>
      <c r="S6" s="33" t="n">
        <v>3.7</v>
      </c>
      <c r="T6" s="34" t="n">
        <v>0.6830000000000001</v>
      </c>
      <c r="Z6" s="35" t="n"/>
      <c r="AA6" s="36" t="n"/>
    </row>
    <row r="7" ht="22.5" customHeight="1" s="227">
      <c r="A7" s="19" t="n"/>
      <c r="F7" s="29" t="n"/>
      <c r="G7" s="29" t="n"/>
      <c r="H7" s="241" t="n"/>
      <c r="I7" s="241" t="n"/>
      <c r="J7" s="21" t="n"/>
      <c r="K7" s="22" t="n"/>
      <c r="L7" s="23" t="n"/>
      <c r="Q7" s="31" t="inlineStr">
        <is>
          <t>1/10 ans</t>
        </is>
      </c>
      <c r="R7" s="32" t="n">
        <v>508.07</v>
      </c>
      <c r="S7" s="33" t="n">
        <v>2.9</v>
      </c>
      <c r="T7" s="34" t="n">
        <v>0.644</v>
      </c>
      <c r="Z7" s="35" t="n"/>
      <c r="AA7" s="36" t="n"/>
    </row>
    <row r="8" ht="22.5" customHeight="1" s="227">
      <c r="A8" s="19" t="n"/>
      <c r="F8" s="29" t="n"/>
      <c r="G8" s="29" t="n"/>
      <c r="H8" s="241" t="n"/>
      <c r="I8" s="241" t="n"/>
      <c r="J8" s="21" t="n"/>
      <c r="K8" s="22" t="n"/>
      <c r="L8" s="23" t="n"/>
      <c r="Q8" s="31" t="inlineStr">
        <is>
          <t>1/25 ans</t>
        </is>
      </c>
      <c r="R8" s="32" t="n">
        <v>515.88</v>
      </c>
      <c r="S8" s="33" t="n">
        <v>2.1</v>
      </c>
      <c r="T8" s="34" t="n">
        <v>0.607</v>
      </c>
      <c r="Z8" s="35" t="n"/>
      <c r="AA8" s="36" t="n"/>
    </row>
    <row r="9" ht="22.5" customHeight="1" s="227">
      <c r="A9" s="19" t="n"/>
      <c r="F9" s="29" t="n"/>
      <c r="G9" s="29" t="n"/>
      <c r="H9" s="241" t="n"/>
      <c r="I9" s="241" t="n"/>
      <c r="J9" s="21" t="n"/>
      <c r="K9" s="22" t="n"/>
      <c r="L9" s="23" t="n"/>
      <c r="Q9" s="31" t="inlineStr">
        <is>
          <t>1/50 ans</t>
        </is>
      </c>
      <c r="R9" s="32" t="n">
        <v>548.6</v>
      </c>
      <c r="S9" s="33" t="n">
        <v>1.9</v>
      </c>
      <c r="T9" s="34" t="n">
        <v>0.595</v>
      </c>
      <c r="Z9" s="35" t="n"/>
      <c r="AA9" s="36" t="n"/>
    </row>
    <row r="10" ht="22.5" customHeight="1" s="227">
      <c r="A10" s="19" t="n"/>
      <c r="F10" s="29" t="n"/>
      <c r="G10" s="29" t="n"/>
      <c r="H10" s="241" t="n"/>
      <c r="I10" s="241" t="n"/>
      <c r="J10" s="21" t="n"/>
      <c r="K10" s="22" t="n"/>
      <c r="L10" s="23" t="n"/>
      <c r="Q10" s="31" t="inlineStr">
        <is>
          <t>1/100 ans</t>
        </is>
      </c>
      <c r="R10" s="32" t="n">
        <v>569.21</v>
      </c>
      <c r="S10" s="33" t="n">
        <v>1.6</v>
      </c>
      <c r="T10" s="34" t="n">
        <v>0.579</v>
      </c>
      <c r="Z10" s="35" t="n"/>
      <c r="AA10" s="36" t="n"/>
    </row>
    <row r="11" ht="22.5" customHeight="1" s="227">
      <c r="A11" s="37" t="n"/>
      <c r="B11" s="38" t="n"/>
      <c r="C11" s="38" t="n"/>
      <c r="D11" s="38" t="n"/>
      <c r="E11" s="38" t="n"/>
      <c r="F11" s="39" t="n"/>
      <c r="G11" s="38" t="n"/>
      <c r="H11" s="38" t="n"/>
      <c r="I11" s="38" t="n"/>
      <c r="J11" s="40" t="n"/>
      <c r="K11" s="41" t="n"/>
      <c r="L11" s="42" t="n"/>
      <c r="M11" s="38" t="n"/>
      <c r="N11" s="38" t="n"/>
      <c r="O11" s="38" t="n"/>
      <c r="P11" s="38" t="n"/>
      <c r="Q11" s="43" t="n"/>
      <c r="R11" s="44" t="inlineStr">
        <is>
          <t>Coefficient de Manning:</t>
        </is>
      </c>
      <c r="S11" s="45" t="n">
        <v>0.013</v>
      </c>
      <c r="T11" s="46" t="n"/>
      <c r="U11" s="38" t="n"/>
      <c r="V11" s="47" t="n"/>
      <c r="W11" s="48" t="n"/>
      <c r="X11" s="38" t="n"/>
      <c r="Y11" s="49" t="n"/>
      <c r="Z11" s="50" t="n"/>
      <c r="AA11" s="51" t="n"/>
    </row>
    <row r="12" ht="42" customFormat="1" customHeight="1" s="22">
      <c r="A12" s="216" t="inlineStr">
        <is>
          <t>Calcul du débit</t>
        </is>
      </c>
      <c r="B12" s="232" t="n"/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3" t="n"/>
      <c r="M12" s="217" t="inlineStr">
        <is>
          <t>Calcul des caractéristiques
de la conduite</t>
        </is>
      </c>
      <c r="N12" s="232" t="n"/>
      <c r="O12" s="232" t="n"/>
      <c r="P12" s="232" t="n"/>
      <c r="Q12" s="232" t="n"/>
      <c r="R12" s="233" t="n"/>
      <c r="S12" s="218" t="inlineStr">
        <is>
          <t>Niveau du sol</t>
        </is>
      </c>
      <c r="T12" s="242" t="n"/>
      <c r="U12" s="210" t="inlineStr">
        <is>
          <t>Hauteur
de radier</t>
        </is>
      </c>
      <c r="V12" s="243" t="n"/>
      <c r="W12" s="211" t="inlineStr">
        <is>
          <t>Couverture</t>
        </is>
      </c>
      <c r="X12" s="232" t="n"/>
      <c r="Y12" s="212" t="inlineStr">
        <is>
          <t>Volume retenu dans les conduites</t>
        </is>
      </c>
      <c r="Z12" s="244" t="n"/>
      <c r="AA12" s="245" t="n"/>
    </row>
    <row r="13" ht="189" customFormat="1" customHeight="1" s="65">
      <c r="A13" s="213" t="inlineStr">
        <is>
          <t>Tronçon de conduite</t>
        </is>
      </c>
      <c r="B13" s="246" t="n"/>
      <c r="C13" s="247" t="n"/>
      <c r="D13" s="52" t="inlineStr">
        <is>
          <t>Temps de concentration</t>
        </is>
      </c>
      <c r="E13" s="53" t="inlineStr">
        <is>
          <t>Accroissement (DA)
de l'aire à desservir</t>
        </is>
      </c>
      <c r="F13" s="53" t="inlineStr">
        <is>
          <t>Coefficient de 
ruissellement de DA</t>
        </is>
      </c>
      <c r="G13" s="52" t="inlineStr">
        <is>
          <t>Aire imperméables de DA</t>
        </is>
      </c>
      <c r="H13" s="52" t="inlineStr">
        <is>
          <t>Aire cumulative</t>
        </is>
      </c>
      <c r="I13" s="52" t="inlineStr">
        <is>
          <t>Aire imperméable cumulative</t>
        </is>
      </c>
      <c r="J13" s="53" t="inlineStr">
        <is>
          <t>Coefficient de 
ruissellement de A</t>
        </is>
      </c>
      <c r="K13" s="54" t="inlineStr">
        <is>
          <t>Intensité de précipitation</t>
        </is>
      </c>
      <c r="L13" s="55" t="inlineStr">
        <is>
          <t>Débit maximal = 2,75 x 10-3 AIR</t>
        </is>
      </c>
      <c r="M13" s="56" t="inlineStr">
        <is>
          <t>Pente de la conduite</t>
        </is>
      </c>
      <c r="N13" s="57" t="inlineStr">
        <is>
          <t>Diamètre nominal de la conduite</t>
        </is>
      </c>
      <c r="O13" s="58" t="inlineStr">
        <is>
          <t>Vitesse d'écoulement dans la
conduite coulant à plein débit</t>
        </is>
      </c>
      <c r="P13" s="59" t="inlineStr">
        <is>
          <t>Longueur de la conduite</t>
        </is>
      </c>
      <c r="Q13" s="60" t="inlineStr">
        <is>
          <t>Temps d'écoulement
dans la conduite (L/v)</t>
        </is>
      </c>
      <c r="R13" s="61" t="inlineStr">
        <is>
          <t>Capacité hydraulique de la
conduite coulant à plein débit</t>
        </is>
      </c>
      <c r="S13" s="59" t="inlineStr">
        <is>
          <t>Amont</t>
        </is>
      </c>
      <c r="T13" s="59" t="inlineStr">
        <is>
          <t>Aval</t>
        </is>
      </c>
      <c r="U13" s="59" t="inlineStr">
        <is>
          <t>Amont</t>
        </is>
      </c>
      <c r="V13" s="62" t="inlineStr">
        <is>
          <t>Aval</t>
        </is>
      </c>
      <c r="W13" s="59" t="inlineStr">
        <is>
          <t>Amont</t>
        </is>
      </c>
      <c r="X13" s="59" t="inlineStr">
        <is>
          <t>Aval</t>
        </is>
      </c>
      <c r="Y13" s="59" t="inlineStr">
        <is>
          <t>Conduites</t>
        </is>
      </c>
      <c r="Z13" s="60" t="inlineStr">
        <is>
          <t>Diamètre de 
la bouche d'égouts</t>
        </is>
      </c>
      <c r="AA13" s="63" t="inlineStr">
        <is>
          <t>Volume de la bouche d'égouts</t>
        </is>
      </c>
      <c r="AB13" s="64" t="inlineStr">
        <is>
          <t>Vérification de la capacité
de la conduite Qp &gt; Qmax</t>
        </is>
      </c>
      <c r="AC13" s="65" t="inlineStr">
        <is>
          <t>Pipe_ID (réf.)</t>
        </is>
      </c>
    </row>
    <row r="14" ht="20.25" customFormat="1" customHeight="1" s="67">
      <c r="A14" s="66" t="n"/>
      <c r="C14" s="68" t="n"/>
      <c r="D14" s="68" t="inlineStr">
        <is>
          <t>tc</t>
        </is>
      </c>
      <c r="E14" s="68" t="inlineStr">
        <is>
          <t>DA</t>
        </is>
      </c>
      <c r="F14" s="68" t="inlineStr">
        <is>
          <t>RT</t>
        </is>
      </c>
      <c r="G14" s="68" t="inlineStr">
        <is>
          <t>DART</t>
        </is>
      </c>
      <c r="H14" s="68" t="inlineStr">
        <is>
          <t>A</t>
        </is>
      </c>
      <c r="I14" s="68" t="inlineStr">
        <is>
          <t>AR</t>
        </is>
      </c>
      <c r="J14" s="68" t="inlineStr">
        <is>
          <t>R</t>
        </is>
      </c>
      <c r="K14" s="69" t="inlineStr">
        <is>
          <t>I</t>
        </is>
      </c>
      <c r="L14" s="70" t="inlineStr">
        <is>
          <t>Qmax</t>
        </is>
      </c>
      <c r="M14" s="71" t="inlineStr">
        <is>
          <t>s</t>
        </is>
      </c>
      <c r="N14" s="68" t="inlineStr">
        <is>
          <t>dnom</t>
        </is>
      </c>
      <c r="O14" s="72" t="inlineStr">
        <is>
          <t>v</t>
        </is>
      </c>
      <c r="P14" s="68" t="inlineStr">
        <is>
          <t>L</t>
        </is>
      </c>
      <c r="Q14" s="68" t="inlineStr">
        <is>
          <t>tf</t>
        </is>
      </c>
      <c r="R14" s="73" t="inlineStr">
        <is>
          <t>Qp</t>
        </is>
      </c>
      <c r="S14" s="68" t="n"/>
      <c r="T14" s="68" t="n"/>
      <c r="U14" s="68" t="n"/>
      <c r="V14" s="74" t="n"/>
      <c r="W14" s="75" t="n"/>
      <c r="X14" s="72" t="n"/>
      <c r="Y14" s="72" t="n"/>
      <c r="Z14" s="76" t="n"/>
      <c r="AA14" s="77" t="n"/>
      <c r="AC14" s="67" t="inlineStr">
        <is>
          <t>ID</t>
        </is>
      </c>
    </row>
    <row r="15" ht="18" customFormat="1" customHeight="1" s="90">
      <c r="A15" s="78" t="n"/>
      <c r="B15" s="79" t="n"/>
      <c r="C15" s="80" t="n"/>
      <c r="D15" s="80" t="inlineStr">
        <is>
          <t>(min)</t>
        </is>
      </c>
      <c r="E15" s="80" t="inlineStr">
        <is>
          <t>(ha)</t>
        </is>
      </c>
      <c r="F15" s="80" t="n"/>
      <c r="G15" s="80" t="inlineStr">
        <is>
          <t>(ha)</t>
        </is>
      </c>
      <c r="H15" s="80" t="inlineStr">
        <is>
          <t>(ha)</t>
        </is>
      </c>
      <c r="I15" s="80" t="inlineStr">
        <is>
          <t>(ha)</t>
        </is>
      </c>
      <c r="J15" s="80" t="n"/>
      <c r="K15" s="81" t="inlineStr">
        <is>
          <t>(mm/h)</t>
        </is>
      </c>
      <c r="L15" s="82" t="inlineStr">
        <is>
          <t>(m3/s)</t>
        </is>
      </c>
      <c r="M15" s="83" t="inlineStr">
        <is>
          <t>(m/m)</t>
        </is>
      </c>
      <c r="N15" s="80" t="inlineStr">
        <is>
          <t>(mm)</t>
        </is>
      </c>
      <c r="O15" s="84" t="inlineStr">
        <is>
          <t>(m/s)</t>
        </is>
      </c>
      <c r="P15" s="80" t="inlineStr">
        <is>
          <t>(m)</t>
        </is>
      </c>
      <c r="Q15" s="80" t="inlineStr">
        <is>
          <t>(min)</t>
        </is>
      </c>
      <c r="R15" s="85" t="inlineStr">
        <is>
          <t>(m3/s)</t>
        </is>
      </c>
      <c r="S15" s="80" t="inlineStr">
        <is>
          <t>(m)</t>
        </is>
      </c>
      <c r="T15" s="80" t="inlineStr">
        <is>
          <t>(m)</t>
        </is>
      </c>
      <c r="U15" s="80" t="inlineStr">
        <is>
          <t>(m)</t>
        </is>
      </c>
      <c r="V15" s="86" t="inlineStr">
        <is>
          <t>(m)</t>
        </is>
      </c>
      <c r="W15" s="87" t="inlineStr">
        <is>
          <t>(m)</t>
        </is>
      </c>
      <c r="X15" s="88" t="inlineStr">
        <is>
          <t>(m)</t>
        </is>
      </c>
      <c r="Y15" s="88" t="inlineStr">
        <is>
          <t>(m3)</t>
        </is>
      </c>
      <c r="Z15" s="84" t="inlineStr">
        <is>
          <t>(m)</t>
        </is>
      </c>
      <c r="AA15" s="89" t="inlineStr">
        <is>
          <t>(m3)</t>
        </is>
      </c>
      <c r="AC15" s="90" t="inlineStr">
        <is>
          <t>-</t>
        </is>
      </c>
    </row>
    <row r="16" ht="22.5" customHeight="1" s="227">
      <c r="A16" s="91" t="n"/>
      <c r="B16" s="92" t="n"/>
      <c r="C16" s="93" t="n"/>
      <c r="D16" s="94" t="n"/>
      <c r="E16" s="94" t="n"/>
      <c r="F16" s="94" t="n"/>
      <c r="G16" s="94" t="n"/>
      <c r="H16" s="94" t="n"/>
      <c r="I16" s="94" t="n"/>
      <c r="J16" s="94" t="n"/>
      <c r="K16" s="95" t="n"/>
      <c r="L16" s="96" t="n"/>
      <c r="M16" s="97" t="n"/>
      <c r="N16" s="94" t="n"/>
      <c r="O16" s="98" t="n"/>
      <c r="P16" s="94" t="n"/>
      <c r="Q16" s="94" t="n"/>
      <c r="R16" s="99" t="n"/>
      <c r="S16" s="100" t="n"/>
      <c r="T16" s="93" t="n"/>
      <c r="U16" s="94" t="n"/>
      <c r="V16" s="101" t="n"/>
      <c r="X16" s="102" t="n"/>
      <c r="Z16" s="102" t="n"/>
      <c r="AA16" s="24" t="n"/>
      <c r="AC16" s="103" t="n"/>
    </row>
    <row r="17" ht="22.5" customHeight="1" s="227">
      <c r="A17" s="104" t="inlineStr">
        <is>
          <t>Tronçons TRESFOND (données Reseau_tresfond_hybride). DA/C composés depuis Zones_tributaires. Radiers dynamiques.</t>
        </is>
      </c>
      <c r="B17" s="92" t="n"/>
      <c r="C17" s="93" t="n"/>
      <c r="D17" s="94" t="n"/>
      <c r="E17" s="94" t="n"/>
      <c r="F17" s="94" t="n"/>
      <c r="G17" s="94" t="n"/>
      <c r="H17" s="94" t="n"/>
      <c r="I17" s="94" t="n"/>
      <c r="J17" s="94" t="n"/>
      <c r="K17" s="95" t="n"/>
      <c r="L17" s="96" t="n"/>
      <c r="M17" s="97" t="n"/>
      <c r="N17" s="94" t="n"/>
      <c r="O17" s="98" t="n"/>
      <c r="P17" s="94" t="n"/>
      <c r="Q17" s="94" t="n"/>
      <c r="R17" s="99" t="n"/>
      <c r="S17" s="100" t="n"/>
      <c r="T17" s="93" t="n"/>
      <c r="U17" s="94" t="n"/>
      <c r="V17" s="101" t="n"/>
      <c r="W17" s="105" t="n"/>
      <c r="X17" s="95" t="n"/>
      <c r="Y17" s="95" t="n"/>
      <c r="Z17" s="95" t="n"/>
      <c r="AA17" s="106" t="n"/>
    </row>
    <row r="18" ht="22.5" customHeight="1" s="227">
      <c r="A18" s="325" t="inlineStr">
        <is>
          <t>BANDE_ARBRES</t>
        </is>
      </c>
      <c r="B18" s="107" t="inlineStr">
        <is>
          <t>@</t>
        </is>
      </c>
      <c r="C18" s="325" t="inlineStr">
        <is>
          <t>P-07</t>
        </is>
      </c>
      <c r="D18" s="249">
        <f>'Temps de concentration'!C7</f>
        <v/>
      </c>
      <c r="E18" s="326" t="n">
        <v>0.0165</v>
      </c>
      <c r="F18" s="327" t="n">
        <v>0.25</v>
      </c>
      <c r="G18" s="328">
        <f>E18*F18</f>
        <v/>
      </c>
      <c r="H18" s="328">
        <f>E18</f>
        <v/>
      </c>
      <c r="I18" s="328">
        <f>G18</f>
        <v/>
      </c>
      <c r="J18" s="329">
        <f>IF(H18=0,0,I18/H18)</f>
        <v/>
      </c>
      <c r="K18" s="330">
        <f>IF($S$2=0.5,$R$5/((D18+$S$5)^$T$5),IF($S$2=0.2,$R$6/((D18+$S$6)^$T$6),IF($S$2=0.1,$R$7/((D18+$S$7)^$T$7),IF($S$2=0.04,$R$8/((D18+$S$8)^$T$8),IF($S$2=0.02,$R$9/((D18+$S$9)^$T$9),$R$10/((D18+$S$10)^$T$10))))))</f>
        <v/>
      </c>
      <c r="L18" s="329">
        <f>0.00275*H18*J18*K18</f>
        <v/>
      </c>
      <c r="M18" s="326" t="n">
        <v>0.01</v>
      </c>
      <c r="N18" s="331" t="n">
        <v>200</v>
      </c>
      <c r="O18" s="330">
        <f>IF(OR(N18&lt;=0,M18&lt;=0),0,((N18/4000)^(2/3)*SQRT(M18))/$S$11)</f>
        <v/>
      </c>
      <c r="P18" s="332" t="n">
        <v>20</v>
      </c>
      <c r="Q18" s="330">
        <f>IF(O18=0,0,P18/(O18*60))</f>
        <v/>
      </c>
      <c r="R18" s="329">
        <f>O18*(PI()*(N18/1000)^2/4)</f>
        <v/>
      </c>
      <c r="S18" s="333" t="n">
        <v>23.9</v>
      </c>
      <c r="T18" s="333" t="n">
        <v>23.5</v>
      </c>
      <c r="U18" s="329">
        <f>Radiers!E48</f>
        <v/>
      </c>
      <c r="V18" s="329">
        <f>Radiers!D48</f>
        <v/>
      </c>
      <c r="W18" s="329">
        <f>IF(OR(S18="",U18=""),"",S18-U18-N18/1000)</f>
        <v/>
      </c>
      <c r="X18" s="329">
        <f>IF(OR(T18="",V18=""),"",T18-V18-N18/1000)</f>
        <v/>
      </c>
      <c r="Y18" s="253" t="n"/>
      <c r="Z18" s="95" t="n"/>
      <c r="AA18" s="115" t="n"/>
      <c r="AB18" s="256" t="n"/>
      <c r="AC18" s="117" t="inlineStr">
        <is>
          <t>EST_ARBRES_VERS_P07</t>
        </is>
      </c>
    </row>
    <row r="19" ht="22.5" customHeight="1" s="227">
      <c r="A19" s="325" t="inlineStr">
        <is>
          <t>P-07</t>
        </is>
      </c>
      <c r="B19" s="107" t="inlineStr">
        <is>
          <t>@</t>
        </is>
      </c>
      <c r="C19" s="325" t="inlineStr">
        <is>
          <t>RP-02</t>
        </is>
      </c>
      <c r="D19" s="249">
        <f>MAX('Temps de concentration'!D7, D18+Q18)</f>
        <v/>
      </c>
      <c r="E19" s="326" t="n">
        <v>0.0071</v>
      </c>
      <c r="F19" s="327" t="n">
        <v>0.747</v>
      </c>
      <c r="G19" s="328">
        <f>E19*F19</f>
        <v/>
      </c>
      <c r="H19" s="328">
        <f>H18+E19</f>
        <v/>
      </c>
      <c r="I19" s="328">
        <f>I18+G19</f>
        <v/>
      </c>
      <c r="J19" s="329">
        <f>IF(H19=0,0,I19/H19)</f>
        <v/>
      </c>
      <c r="K19" s="330">
        <f>IF($S$2=0.5,$R$5/((D19+$S$5)^$T$5),IF($S$2=0.2,$R$6/((D19+$S$6)^$T$6),IF($S$2=0.1,$R$7/((D19+$S$7)^$T$7),IF($S$2=0.04,$R$8/((D19+$S$8)^$T$8),IF($S$2=0.02,$R$9/((D19+$S$9)^$T$9),$R$10/((D19+$S$10)^$T$10))))))</f>
        <v/>
      </c>
      <c r="L19" s="329">
        <f>0.00275*H19*J19*K19</f>
        <v/>
      </c>
      <c r="M19" s="326" t="n">
        <v>0.0025</v>
      </c>
      <c r="N19" s="331" t="n">
        <v>300</v>
      </c>
      <c r="O19" s="330">
        <f>IF(OR(N19&lt;=0,M19&lt;=0),0,((N19/4000)^(2/3)*SQRT(M19))/$S$11)</f>
        <v/>
      </c>
      <c r="P19" s="332" t="n">
        <v>8.800000000000001</v>
      </c>
      <c r="Q19" s="330">
        <f>IF(O19=0,0,P19/(O19*60))</f>
        <v/>
      </c>
      <c r="R19" s="329">
        <f>O19*(PI()*(N19/1000)^2/4)</f>
        <v/>
      </c>
      <c r="S19" s="333" t="n">
        <v>23.5</v>
      </c>
      <c r="T19" s="333" t="n">
        <v>22.82</v>
      </c>
      <c r="U19" s="329">
        <f>Radiers!E49</f>
        <v/>
      </c>
      <c r="V19" s="329">
        <f>Radiers!D49</f>
        <v/>
      </c>
      <c r="W19" s="329">
        <f>IF(OR(S19="",U19=""),"",S19-U19-N19/1000)</f>
        <v/>
      </c>
      <c r="X19" s="329">
        <f>IF(OR(T19="",V19=""),"",T19-V19-N19/1000)</f>
        <v/>
      </c>
      <c r="Y19" s="253" t="n"/>
      <c r="Z19" s="95" t="n"/>
      <c r="AA19" s="115" t="n"/>
      <c r="AB19" s="256" t="n"/>
      <c r="AC19" s="117" t="inlineStr">
        <is>
          <t>EST_P07_RP02</t>
        </is>
      </c>
    </row>
    <row r="20" ht="22.5" customHeight="1" s="227">
      <c r="A20" s="325" t="inlineStr">
        <is>
          <t>P-03</t>
        </is>
      </c>
      <c r="B20" s="107" t="inlineStr">
        <is>
          <t>@</t>
        </is>
      </c>
      <c r="C20" s="325" t="inlineStr">
        <is>
          <t>RP-02</t>
        </is>
      </c>
      <c r="D20" s="249">
        <f>'Temps de concentration'!B7</f>
        <v/>
      </c>
      <c r="E20" s="326" t="n">
        <v>0.0106</v>
      </c>
      <c r="F20" s="327" t="n">
        <v>0.542</v>
      </c>
      <c r="G20" s="328">
        <f>E20*F20</f>
        <v/>
      </c>
      <c r="H20" s="328">
        <f>E20</f>
        <v/>
      </c>
      <c r="I20" s="328">
        <f>G20</f>
        <v/>
      </c>
      <c r="J20" s="329">
        <f>IF(H20=0,0,I20/H20)</f>
        <v/>
      </c>
      <c r="K20" s="330">
        <f>IF($S$2=0.5,$R$5/((D20+$S$5)^$T$5),IF($S$2=0.2,$R$6/((D20+$S$6)^$T$6),IF($S$2=0.1,$R$7/((D20+$S$7)^$T$7),IF($S$2=0.04,$R$8/((D20+$S$8)^$T$8),IF($S$2=0.02,$R$9/((D20+$S$9)^$T$9),$R$10/((D20+$S$10)^$T$10))))))</f>
        <v/>
      </c>
      <c r="L20" s="329">
        <f>0.00275*H20*J20*K20</f>
        <v/>
      </c>
      <c r="M20" s="326" t="n">
        <v>0.022</v>
      </c>
      <c r="N20" s="331" t="n">
        <v>300</v>
      </c>
      <c r="O20" s="330">
        <f>IF(OR(N20&lt;=0,M20&lt;=0),0,((N20/4000)^(2/3)*SQRT(M20))/$S$11)</f>
        <v/>
      </c>
      <c r="P20" s="332" t="n">
        <v>2.3</v>
      </c>
      <c r="Q20" s="330">
        <f>IF(O20=0,0,P20/(O20*60))</f>
        <v/>
      </c>
      <c r="R20" s="329">
        <f>O20*(PI()*(N20/1000)^2/4)</f>
        <v/>
      </c>
      <c r="S20" s="333" t="n">
        <v>23.46</v>
      </c>
      <c r="T20" s="333" t="n">
        <v>22.82</v>
      </c>
      <c r="U20" s="329">
        <f>Radiers!E50</f>
        <v/>
      </c>
      <c r="V20" s="329">
        <f>Radiers!D50</f>
        <v/>
      </c>
      <c r="W20" s="329">
        <f>IF(OR(S20="",U20=""),"",S20-U20-N20/1000)</f>
        <v/>
      </c>
      <c r="X20" s="329">
        <f>IF(OR(T20="",V20=""),"",T20-V20-N20/1000)</f>
        <v/>
      </c>
      <c r="Y20" s="253" t="n"/>
      <c r="Z20" s="95" t="n"/>
      <c r="AA20" s="115" t="n"/>
      <c r="AB20" s="256" t="n"/>
      <c r="AC20" s="117" t="inlineStr">
        <is>
          <t>OUEST_P03_RP02</t>
        </is>
      </c>
    </row>
    <row r="21" ht="22.5" customHeight="1" s="227">
      <c r="A21" s="325" t="inlineStr">
        <is>
          <t>RP-02</t>
        </is>
      </c>
      <c r="B21" s="107" t="inlineStr">
        <is>
          <t>@</t>
        </is>
      </c>
      <c r="C21" s="325" t="inlineStr">
        <is>
          <t>RS-EX</t>
        </is>
      </c>
      <c r="D21" s="249">
        <f>MAX(D19+Q19, D20+Q20)</f>
        <v/>
      </c>
      <c r="E21" s="326" t="n">
        <v>0</v>
      </c>
      <c r="F21" s="327" t="n">
        <v>0.9</v>
      </c>
      <c r="G21" s="328">
        <f>E21*F21</f>
        <v/>
      </c>
      <c r="H21" s="328">
        <f>H19+H20+E21</f>
        <v/>
      </c>
      <c r="I21" s="328">
        <f>I19+I20+G21</f>
        <v/>
      </c>
      <c r="J21" s="329">
        <f>IF(H21=0,0,I21/H21)</f>
        <v/>
      </c>
      <c r="K21" s="330">
        <f>IF($S$2=0.5,$R$5/((D21+$S$5)^$T$5),IF($S$2=0.2,$R$6/((D21+$S$6)^$T$6),IF($S$2=0.1,$R$7/((D21+$S$7)^$T$7),IF($S$2=0.04,$R$8/((D21+$S$8)^$T$8),IF($S$2=0.02,$R$9/((D21+$S$9)^$T$9),$R$10/((D21+$S$10)^$T$10))))))</f>
        <v/>
      </c>
      <c r="L21" s="329">
        <f>0.00275*H21*J21*K21</f>
        <v/>
      </c>
      <c r="M21" s="326" t="n">
        <v>0.005</v>
      </c>
      <c r="N21" s="331" t="n">
        <v>300</v>
      </c>
      <c r="O21" s="330">
        <f>IF(OR(N21&lt;=0,M21&lt;=0),0,((N21/4000)^(2/3)*SQRT(M21))/$S$11)</f>
        <v/>
      </c>
      <c r="P21" s="332" t="n">
        <v>16.6</v>
      </c>
      <c r="Q21" s="330">
        <f>IF(O21=0,0,P21/(O21*60))</f>
        <v/>
      </c>
      <c r="R21" s="329">
        <f>O21*(PI()*(N21/1000)^2/4)</f>
        <v/>
      </c>
      <c r="S21" s="333" t="n">
        <v>22.82</v>
      </c>
      <c r="T21" s="333" t="n">
        <v>22.7</v>
      </c>
      <c r="U21" s="329">
        <f>Radiers!E51</f>
        <v/>
      </c>
      <c r="V21" s="329">
        <f>Radiers!D51</f>
        <v/>
      </c>
      <c r="W21" s="329">
        <f>IF(OR(S21="",U21=""),"",S21-U21-N21/1000)</f>
        <v/>
      </c>
      <c r="X21" s="329">
        <f>IF(OR(T21="",V21=""),"",T21-V21-N21/1000)</f>
        <v/>
      </c>
      <c r="Y21" s="253" t="n"/>
      <c r="Z21" s="95" t="n"/>
      <c r="AA21" s="115" t="n"/>
      <c r="AB21" s="256" t="n"/>
      <c r="AC21" s="117" t="inlineStr">
        <is>
          <t>RP02_VERS_RUE</t>
        </is>
      </c>
    </row>
    <row r="22" ht="22.5" customHeight="1" s="227">
      <c r="A22" s="325" t="inlineStr">
        <is>
          <t>MEC-OUT</t>
        </is>
      </c>
      <c r="B22" s="107" t="inlineStr">
        <is>
          <t>@</t>
        </is>
      </c>
      <c r="C22" s="325" t="inlineStr">
        <is>
          <t>BASSIN-RET</t>
        </is>
      </c>
      <c r="D22" s="249">
        <f>'Temps de concentration'!E7</f>
        <v/>
      </c>
      <c r="E22" s="326" t="n">
        <v>0.1406</v>
      </c>
      <c r="F22" s="327" t="n">
        <v>0.93</v>
      </c>
      <c r="G22" s="328">
        <f>E22*F22</f>
        <v/>
      </c>
      <c r="H22" s="328">
        <f>E22</f>
        <v/>
      </c>
      <c r="I22" s="328">
        <f>G22</f>
        <v/>
      </c>
      <c r="J22" s="329">
        <f>IF(H22=0,0,I22/H22)</f>
        <v/>
      </c>
      <c r="K22" s="330">
        <f>IF($S$2=0.5,$R$5/((D22+$S$5)^$T$5),IF($S$2=0.2,$R$6/((D22+$S$6)^$T$6),IF($S$2=0.1,$R$7/((D22+$S$7)^$T$7),IF($S$2=0.04,$R$8/((D22+$S$8)^$T$8),IF($S$2=0.02,$R$9/((D22+$S$9)^$T$9),$R$10/((D22+$S$10)^$T$10))))))</f>
        <v/>
      </c>
      <c r="L22" s="329">
        <f>0.00275*H22*J22*K22</f>
        <v/>
      </c>
      <c r="M22" s="326" t="n">
        <v>0.005</v>
      </c>
      <c r="N22" s="331" t="n">
        <v>300</v>
      </c>
      <c r="O22" s="330">
        <f>IF(OR(N22&lt;=0,M22&lt;=0),0,((N22/4000)^(2/3)*SQRT(M22))/$S$11)</f>
        <v/>
      </c>
      <c r="P22" s="332" t="n">
        <v>12</v>
      </c>
      <c r="Q22" s="330">
        <f>IF(O22=0,0,P22/(O22*60))</f>
        <v/>
      </c>
      <c r="R22" s="329">
        <f>O22*(PI()*(N22/1000)^2/4)</f>
        <v/>
      </c>
      <c r="S22" s="333" t="n">
        <v>23.63</v>
      </c>
      <c r="T22" s="333" t="n">
        <v>23.56</v>
      </c>
      <c r="U22" s="329">
        <f>Radiers!E52</f>
        <v/>
      </c>
      <c r="V22" s="329">
        <f>Radiers!D52</f>
        <v/>
      </c>
      <c r="W22" s="329">
        <f>IF(OR(S22="",U22=""),"",S22-U22-N22/1000)</f>
        <v/>
      </c>
      <c r="X22" s="329">
        <f>IF(OR(T22="",V22=""),"",T22-V22-N22/1000)</f>
        <v/>
      </c>
      <c r="Y22" s="253" t="n"/>
      <c r="Z22" s="95" t="n"/>
      <c r="AA22" s="115" t="n"/>
      <c r="AB22" s="256" t="n"/>
      <c r="AC22" s="117" t="inlineStr">
        <is>
          <t>MEC_TOIT_TRESFOND_BASSIN</t>
        </is>
      </c>
    </row>
    <row r="23" ht="22.5" customHeight="1" s="227">
      <c r="A23" s="107" t="n"/>
      <c r="B23" s="107" t="n"/>
      <c r="C23" s="107" t="n"/>
      <c r="D23" s="249" t="n"/>
      <c r="E23" s="283" t="n"/>
      <c r="F23" s="284" t="n"/>
      <c r="G23" s="250" t="n"/>
      <c r="H23" s="250" t="n"/>
      <c r="I23" s="250" t="n"/>
      <c r="J23" s="253" t="n"/>
      <c r="K23" s="249" t="n"/>
      <c r="L23" s="253" t="n"/>
      <c r="M23" s="283" t="n"/>
      <c r="N23" s="285" t="n"/>
      <c r="O23" s="249" t="n"/>
      <c r="P23" s="286" t="n"/>
      <c r="Q23" s="249" t="n"/>
      <c r="R23" s="253" t="n"/>
      <c r="S23" s="287" t="n"/>
      <c r="T23" s="287" t="n"/>
      <c r="U23" s="253" t="n"/>
      <c r="V23" s="253" t="n"/>
      <c r="W23" s="253" t="n"/>
      <c r="X23" s="253" t="n"/>
      <c r="Y23" s="253" t="n"/>
      <c r="Z23" s="95" t="n"/>
      <c r="AA23" s="115" t="n"/>
      <c r="AB23" s="256" t="n"/>
      <c r="AC23" s="117" t="n"/>
    </row>
    <row r="24" ht="22.5" customHeight="1" s="227">
      <c r="A24" s="107" t="n"/>
      <c r="B24" s="107" t="n"/>
      <c r="C24" s="107" t="n"/>
      <c r="D24" s="249" t="n"/>
      <c r="E24" s="283" t="n"/>
      <c r="F24" s="284" t="n"/>
      <c r="G24" s="250" t="n"/>
      <c r="H24" s="250" t="n"/>
      <c r="I24" s="250" t="n"/>
      <c r="J24" s="253" t="n"/>
      <c r="K24" s="249" t="n"/>
      <c r="L24" s="253" t="n"/>
      <c r="M24" s="283" t="n"/>
      <c r="N24" s="285" t="n"/>
      <c r="O24" s="249" t="n"/>
      <c r="P24" s="286" t="n"/>
      <c r="Q24" s="249" t="n"/>
      <c r="R24" s="253" t="n"/>
      <c r="S24" s="287" t="n"/>
      <c r="T24" s="287" t="n"/>
      <c r="U24" s="253" t="n"/>
      <c r="V24" s="253" t="n"/>
      <c r="W24" s="253" t="n"/>
      <c r="X24" s="253" t="n"/>
      <c r="Y24" s="253" t="n"/>
      <c r="Z24" s="95" t="n"/>
      <c r="AA24" s="115" t="n"/>
      <c r="AB24" s="256" t="n"/>
      <c r="AC24" s="117" t="n"/>
    </row>
    <row r="25" ht="22.5" customHeight="1" s="227">
      <c r="A25" s="107" t="n"/>
      <c r="B25" s="107" t="n"/>
      <c r="C25" s="107" t="n"/>
      <c r="D25" s="249" t="n"/>
      <c r="E25" s="283" t="n"/>
      <c r="F25" s="284" t="n"/>
      <c r="G25" s="250" t="n"/>
      <c r="H25" s="250" t="n"/>
      <c r="I25" s="250" t="n"/>
      <c r="J25" s="253" t="n"/>
      <c r="K25" s="249" t="n"/>
      <c r="L25" s="253" t="n"/>
      <c r="M25" s="283" t="n"/>
      <c r="N25" s="285" t="n"/>
      <c r="O25" s="249" t="n"/>
      <c r="P25" s="286" t="n"/>
      <c r="Q25" s="249" t="n"/>
      <c r="R25" s="253" t="n"/>
      <c r="S25" s="287" t="n"/>
      <c r="T25" s="287" t="n"/>
      <c r="U25" s="253" t="n"/>
      <c r="V25" s="253" t="n"/>
      <c r="W25" s="253" t="n"/>
      <c r="X25" s="253" t="n"/>
      <c r="Y25" s="253" t="n"/>
      <c r="Z25" s="95" t="n"/>
      <c r="AA25" s="115" t="n"/>
      <c r="AB25" s="256" t="n"/>
      <c r="AC25" s="117" t="n"/>
    </row>
    <row r="26" ht="22.5" customHeight="1" s="227">
      <c r="A26" s="107" t="n"/>
      <c r="B26" s="107" t="n"/>
      <c r="C26" s="107" t="n"/>
      <c r="D26" s="249" t="n"/>
      <c r="E26" s="283" t="n"/>
      <c r="F26" s="284" t="n"/>
      <c r="G26" s="250" t="n"/>
      <c r="H26" s="250" t="n"/>
      <c r="I26" s="250" t="n"/>
      <c r="J26" s="253" t="n"/>
      <c r="K26" s="249" t="n"/>
      <c r="L26" s="253" t="n"/>
      <c r="M26" s="283" t="n"/>
      <c r="N26" s="285" t="n"/>
      <c r="O26" s="249" t="n"/>
      <c r="P26" s="286" t="n"/>
      <c r="Q26" s="249" t="n"/>
      <c r="R26" s="253" t="n"/>
      <c r="S26" s="287" t="n"/>
      <c r="T26" s="287" t="n"/>
      <c r="U26" s="253" t="n"/>
      <c r="V26" s="253" t="n"/>
      <c r="W26" s="253" t="n"/>
      <c r="X26" s="253" t="n"/>
      <c r="Y26" s="253" t="n"/>
      <c r="Z26" s="95" t="n"/>
      <c r="AA26" s="115" t="n"/>
      <c r="AB26" s="256" t="n"/>
      <c r="AC26" s="117" t="n"/>
    </row>
    <row r="27" ht="22.5" customHeight="1" s="227">
      <c r="A27" s="107" t="n"/>
      <c r="B27" s="107" t="n"/>
      <c r="C27" s="107" t="n"/>
      <c r="D27" s="249" t="n"/>
      <c r="E27" s="283" t="n"/>
      <c r="F27" s="284" t="n"/>
      <c r="G27" s="250" t="n"/>
      <c r="H27" s="250" t="n"/>
      <c r="I27" s="250" t="n"/>
      <c r="J27" s="253" t="n"/>
      <c r="K27" s="249" t="n"/>
      <c r="L27" s="253" t="n"/>
      <c r="M27" s="283" t="n"/>
      <c r="N27" s="285" t="n"/>
      <c r="O27" s="249" t="n"/>
      <c r="P27" s="286" t="n"/>
      <c r="Q27" s="249" t="n"/>
      <c r="R27" s="253" t="n"/>
      <c r="S27" s="287" t="n"/>
      <c r="T27" s="287" t="n"/>
      <c r="U27" s="253" t="n"/>
      <c r="V27" s="253" t="n"/>
      <c r="W27" s="253" t="n"/>
      <c r="X27" s="253" t="n"/>
      <c r="Y27" s="253" t="n"/>
      <c r="Z27" s="95" t="n"/>
      <c r="AA27" s="115" t="n"/>
      <c r="AB27" s="256" t="n"/>
      <c r="AC27" s="117" t="n"/>
    </row>
    <row r="28" ht="22.5" customHeight="1" s="227">
      <c r="A28" s="107" t="n"/>
      <c r="B28" s="107" t="n"/>
      <c r="C28" s="107" t="n"/>
      <c r="D28" s="249" t="n"/>
      <c r="E28" s="283" t="n"/>
      <c r="F28" s="284" t="n"/>
      <c r="G28" s="250" t="n"/>
      <c r="H28" s="250" t="n"/>
      <c r="I28" s="250" t="n"/>
      <c r="J28" s="253" t="n"/>
      <c r="K28" s="249" t="n"/>
      <c r="L28" s="253" t="n"/>
      <c r="M28" s="283" t="n"/>
      <c r="N28" s="285" t="n"/>
      <c r="O28" s="249" t="n"/>
      <c r="P28" s="286" t="n"/>
      <c r="Q28" s="249" t="n"/>
      <c r="R28" s="253" t="n"/>
      <c r="S28" s="287" t="n"/>
      <c r="T28" s="287" t="n"/>
      <c r="U28" s="253" t="n"/>
      <c r="V28" s="253" t="n"/>
      <c r="W28" s="253" t="n"/>
      <c r="X28" s="253" t="n"/>
      <c r="Y28" s="253" t="n"/>
      <c r="Z28" s="95" t="n"/>
      <c r="AA28" s="115" t="n"/>
      <c r="AB28" s="256" t="n"/>
      <c r="AC28" s="117" t="n"/>
    </row>
    <row r="29" ht="22.5" customHeight="1" s="227">
      <c r="A29" s="107" t="n"/>
      <c r="B29" s="107" t="n"/>
      <c r="C29" s="107" t="n"/>
      <c r="D29" s="249" t="n"/>
      <c r="E29" s="283" t="n"/>
      <c r="F29" s="284" t="n"/>
      <c r="G29" s="250" t="n"/>
      <c r="H29" s="250" t="n"/>
      <c r="I29" s="250" t="n"/>
      <c r="J29" s="253" t="n"/>
      <c r="K29" s="249" t="n"/>
      <c r="L29" s="253" t="n"/>
      <c r="M29" s="283" t="n"/>
      <c r="N29" s="285" t="n"/>
      <c r="O29" s="249" t="n"/>
      <c r="P29" s="286" t="n"/>
      <c r="Q29" s="249" t="n"/>
      <c r="R29" s="253" t="n"/>
      <c r="S29" s="287" t="n"/>
      <c r="T29" s="287" t="n"/>
      <c r="U29" s="253" t="n"/>
      <c r="V29" s="253" t="n"/>
      <c r="W29" s="253" t="n"/>
      <c r="X29" s="253" t="n"/>
      <c r="Y29" s="253" t="n"/>
      <c r="Z29" s="95" t="n"/>
      <c r="AA29" s="115" t="n"/>
      <c r="AB29" s="256" t="n"/>
      <c r="AC29" s="117" t="n"/>
    </row>
    <row r="30" ht="22.5" customHeight="1" s="227">
      <c r="A30" s="297" t="inlineStr">
        <is>
          <t>INSTRUCTIONS / DONNÉES TRESFOND</t>
        </is>
      </c>
      <c r="B30" s="259" t="n"/>
      <c r="C30" s="259" t="n"/>
      <c r="D30" s="259" t="n"/>
      <c r="E30" s="259" t="n"/>
      <c r="F30" s="259" t="n"/>
      <c r="G30" s="259" t="n"/>
      <c r="H30" s="259" t="n"/>
      <c r="I30" s="259" t="n"/>
      <c r="J30" s="259" t="n"/>
      <c r="K30" s="259" t="n"/>
      <c r="L30" s="260" t="n"/>
      <c r="M30" s="124" t="n"/>
      <c r="N30" s="94" t="n"/>
      <c r="O30" s="125" t="n"/>
      <c r="P30" s="258" t="n"/>
      <c r="Q30" s="100" t="n"/>
      <c r="R30" s="123" t="n"/>
      <c r="S30" s="100" t="n"/>
      <c r="T30" s="100" t="n"/>
      <c r="U30" s="95" t="n"/>
      <c r="V30" s="126" t="n"/>
      <c r="W30" s="105" t="n"/>
      <c r="X30" s="95" t="n"/>
      <c r="Y30" s="95" t="n"/>
      <c r="Z30" s="95" t="n"/>
      <c r="AA30" s="115" t="n"/>
      <c r="AB30" s="127" t="n"/>
    </row>
    <row r="31" ht="22.5" customHeight="1" s="227">
      <c r="A31" s="208" t="inlineStr">
        <is>
          <t>Jaune = saisie; Vert = calculé. Structure = méthode simple Olivier (Saint-Hubert).</t>
        </is>
      </c>
      <c r="B31" s="259" t="n"/>
      <c r="C31" s="259" t="n"/>
      <c r="D31" s="259" t="n"/>
      <c r="E31" s="259" t="n"/>
      <c r="F31" s="259" t="n"/>
      <c r="G31" s="259" t="n"/>
      <c r="H31" s="259" t="n"/>
      <c r="I31" s="259" t="n"/>
      <c r="J31" s="259" t="n"/>
      <c r="K31" s="259" t="n"/>
      <c r="L31" s="260" t="n"/>
      <c r="M31" s="124" t="n"/>
      <c r="N31" s="94" t="n"/>
      <c r="O31" s="125" t="n"/>
      <c r="P31" s="258" t="n"/>
      <c r="Q31" s="100" t="n"/>
      <c r="R31" s="123" t="n"/>
      <c r="S31" s="100" t="n"/>
      <c r="T31" s="100" t="n"/>
      <c r="U31" s="95" t="n"/>
      <c r="V31" s="126" t="n"/>
      <c r="W31" s="105" t="n"/>
      <c r="X31" s="95" t="n"/>
      <c r="Y31" s="95" t="n"/>
      <c r="Z31" s="95" t="n"/>
      <c r="AA31" s="115" t="n"/>
      <c r="AB31" s="127" t="n"/>
    </row>
    <row r="32" ht="22.5" customHeight="1" s="227">
      <c r="A32" s="307" t="inlineStr">
        <is>
          <t>Données aires/C depuis Reseau_tresfond_hybride_retention_07_08.xlsx (Zones_tributaires). Ouest grass+pavage → P-03; Est arbres → P-07; Toit+tréfond → MEC→BASSIN.</t>
        </is>
      </c>
      <c r="B32" s="259" t="n"/>
      <c r="C32" s="259" t="n"/>
      <c r="D32" s="259" t="n"/>
      <c r="E32" s="259" t="n"/>
      <c r="F32" s="259" t="n"/>
      <c r="G32" s="259" t="n"/>
      <c r="H32" s="259" t="n"/>
      <c r="I32" s="259" t="n"/>
      <c r="J32" s="259" t="n"/>
      <c r="K32" s="259" t="n"/>
      <c r="L32" s="260" t="n"/>
      <c r="M32" s="124" t="n"/>
      <c r="N32" s="94" t="n"/>
      <c r="O32" s="125" t="n"/>
      <c r="P32" s="258" t="n"/>
      <c r="Q32" s="100" t="n"/>
      <c r="R32" s="123" t="n"/>
      <c r="S32" s="100" t="n"/>
      <c r="T32" s="100" t="n"/>
      <c r="U32" s="95" t="n"/>
      <c r="V32" s="126" t="n"/>
      <c r="W32" s="105" t="n"/>
      <c r="X32" s="95" t="n"/>
      <c r="Y32" s="95" t="n"/>
      <c r="Z32" s="95" t="n"/>
      <c r="AA32" s="115" t="n"/>
      <c r="AB32" s="127" t="n"/>
    </row>
    <row r="33" ht="22.5" customHeight="1" s="227">
      <c r="A33" s="208" t="inlineStr">
        <is>
          <t>H/I: BANDE→P-07 locale; P-07→RP-02 cumule arbres+sud-est; P-03→RP-02 locale ouest; RP-02→RS-EX fusion est+ouest; MEC→BASSIN branche séparée.</t>
        </is>
      </c>
      <c r="B33" s="259" t="n"/>
      <c r="C33" s="259" t="n"/>
      <c r="D33" s="259" t="n"/>
      <c r="E33" s="259" t="n"/>
      <c r="F33" s="259" t="n"/>
      <c r="G33" s="259" t="n"/>
      <c r="H33" s="259" t="n"/>
      <c r="I33" s="259" t="n"/>
      <c r="J33" s="259" t="n"/>
      <c r="K33" s="259" t="n"/>
      <c r="L33" s="260" t="n"/>
      <c r="M33" s="124" t="n"/>
      <c r="N33" s="94" t="n"/>
      <c r="O33" s="125" t="n"/>
      <c r="P33" s="258" t="n"/>
      <c r="Q33" s="100" t="n"/>
      <c r="R33" s="123" t="n"/>
      <c r="S33" s="100" t="n"/>
      <c r="T33" s="100" t="n"/>
      <c r="U33" s="95" t="n"/>
      <c r="V33" s="126" t="n"/>
      <c r="W33" s="105" t="n"/>
      <c r="X33" s="95" t="n"/>
      <c r="Y33" s="95" t="n"/>
      <c r="Z33" s="95" t="n"/>
      <c r="AA33" s="115" t="n"/>
      <c r="AB33" s="127" t="n"/>
    </row>
    <row r="34" ht="22.5" customHeight="1" s="227">
      <c r="A34" s="307" t="inlineStr">
        <is>
          <t>Radiers: exutoire RS-EX invert = Radiers!B6 (défaut 21.50 m — ajuster). Changez L (P) ou s (M) → U/V se recalculent.</t>
        </is>
      </c>
      <c r="B34" s="259" t="n"/>
      <c r="C34" s="259" t="n"/>
      <c r="D34" s="259" t="n"/>
      <c r="E34" s="259" t="n"/>
      <c r="F34" s="259" t="n"/>
      <c r="G34" s="259" t="n"/>
      <c r="H34" s="259" t="n"/>
      <c r="I34" s="259" t="n"/>
      <c r="J34" s="259" t="n"/>
      <c r="K34" s="259" t="n"/>
      <c r="L34" s="260" t="n"/>
      <c r="M34" s="129" t="n"/>
      <c r="N34" s="94" t="n"/>
      <c r="O34" s="125" t="n"/>
      <c r="P34" s="258" t="n"/>
      <c r="Q34" s="100" t="n"/>
      <c r="R34" s="123" t="n"/>
      <c r="S34" s="100" t="n"/>
      <c r="T34" s="100" t="n"/>
      <c r="U34" s="100" t="n"/>
      <c r="V34" s="126" t="n"/>
      <c r="W34" s="105" t="n"/>
      <c r="X34" s="95" t="n"/>
      <c r="Y34" s="95" t="n"/>
      <c r="Z34" s="95" t="n"/>
      <c r="AA34" s="115" t="n"/>
      <c r="AC34" s="127" t="n"/>
    </row>
    <row r="35" ht="15" customHeight="1" s="227">
      <c r="A35" s="209" t="inlineStr">
        <is>
          <t>Source plan: 1796-C-03-Model.pdf. Fichier hybride détaillé conserve Inputs/Zones si besoin de ventilation fine.</t>
        </is>
      </c>
      <c r="B35" s="244" t="n"/>
      <c r="C35" s="244" t="n"/>
      <c r="D35" s="244" t="n"/>
      <c r="E35" s="244" t="n"/>
      <c r="F35" s="244" t="n"/>
      <c r="G35" s="244" t="n"/>
      <c r="H35" s="244" t="n"/>
      <c r="I35" s="244" t="n"/>
      <c r="J35" s="244" t="n"/>
      <c r="K35" s="244" t="n"/>
      <c r="L35" s="245" t="n"/>
      <c r="M35" s="130" t="n"/>
      <c r="N35" s="80" t="n"/>
      <c r="O35" s="88" t="n"/>
      <c r="P35" s="261" t="n"/>
      <c r="Q35" s="81" t="n"/>
      <c r="R35" s="132" t="n"/>
      <c r="S35" s="81" t="n"/>
      <c r="T35" s="81" t="n"/>
      <c r="U35" s="81" t="n"/>
      <c r="V35" s="133" t="n"/>
      <c r="W35" s="134" t="n"/>
      <c r="X35" s="135" t="n"/>
      <c r="Y35" s="135" t="n"/>
      <c r="Z35" s="135" t="n"/>
      <c r="AA35" s="136" t="n"/>
      <c r="AC35" s="127" t="n"/>
    </row>
    <row r="36" ht="15" customHeight="1" s="227">
      <c r="A36" s="206" t="inlineStr">
        <is>
          <t>Radiers: calés depuis exutoire invert 15.305 m (Inputs), pente min 1%, chute regard 0.02 m.</t>
        </is>
      </c>
    </row>
    <row r="37" ht="15" customHeight="1" s="227">
      <c r="A37" s="206" t="inlineStr">
        <is>
          <t>Changer la période: modifier S2. H/I à J01 corrigé: branche P02→J01 = DA locale; fusion dans J01→RP03.</t>
        </is>
      </c>
      <c r="P37" s="203" t="n"/>
      <c r="Q37" s="206" t="inlineStr">
        <is>
          <t>Longueurs à compléter/valider par tech.</t>
        </is>
      </c>
    </row>
    <row r="38">
      <c r="A38" s="206" t="inlineStr">
        <is>
          <t>Cette feuille garde la logique simple demandée; le classeur v1 reste la référence détaillée.</t>
        </is>
      </c>
    </row>
    <row r="81" ht="15" customHeight="1" s="227"/>
    <row r="82">
      <c r="F82" s="206" t="inlineStr">
        <is>
          <t>*</t>
        </is>
      </c>
    </row>
    <row r="173" ht="15" customHeight="1" s="227"/>
    <row r="174">
      <c r="F174" s="206" t="inlineStr">
        <is>
          <t>,0,</t>
        </is>
      </c>
    </row>
  </sheetData>
  <mergeCells count="22">
    <mergeCell ref="S12:T12"/>
    <mergeCell ref="A37:L37"/>
    <mergeCell ref="H4:I4"/>
    <mergeCell ref="M2:P3"/>
    <mergeCell ref="A12:L12"/>
    <mergeCell ref="M12:R12"/>
    <mergeCell ref="F3:G3"/>
    <mergeCell ref="M4:P4"/>
    <mergeCell ref="A33:L33"/>
    <mergeCell ref="A32:L32"/>
    <mergeCell ref="Q3:T3"/>
    <mergeCell ref="Y12:AA12"/>
    <mergeCell ref="A35:L35"/>
    <mergeCell ref="F2:G2"/>
    <mergeCell ref="A13:C13"/>
    <mergeCell ref="U12:V12"/>
    <mergeCell ref="W12:X12"/>
    <mergeCell ref="A31:L31"/>
    <mergeCell ref="A34:L34"/>
    <mergeCell ref="A30:L30"/>
    <mergeCell ref="A36:L36"/>
    <mergeCell ref="A1:AA1"/>
  </mergeCells>
  <conditionalFormatting sqref="AB1:AB1048576">
    <cfRule type="containsText" priority="2" operator="containsText" dxfId="0" text="FAUX">
      <formula>NOT(ISERROR(SEARCH("FAUX",AB1)))</formula>
    </cfRule>
  </conditionalFormatting>
  <pageMargins left="0.315277777777778" right="0.236111111111111" top="0.551388888888889" bottom="0.432638888888889" header="0.511811023622047" footer="0.236111111111111"/>
  <pageSetup orientation="landscape" fitToHeight="3" horizontalDpi="300" verticalDpi="300"/>
  <headerFooter>
    <oddHeader/>
    <oddFooter>&amp;R&amp;"Arial,Regular"&amp;10 &amp;Z&amp;F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4"/>
  <sheetViews>
    <sheetView topLeftCell="A55" zoomScaleNormal="100" workbookViewId="0">
      <selection activeCell="H115" sqref="H115"/>
    </sheetView>
  </sheetViews>
  <sheetFormatPr baseColWidth="10" defaultColWidth="9" defaultRowHeight="15" customHeight="1"/>
  <cols>
    <col width="19.625" customWidth="1" style="227" min="1" max="1"/>
    <col width="9.875" customWidth="1" style="227" min="2" max="2"/>
    <col width="10" customWidth="1" style="227" min="4" max="4"/>
    <col width="12.75" customWidth="1" style="227" min="7" max="7"/>
    <col width="12" customWidth="1" style="227" min="15" max="15"/>
    <col width="22" customWidth="1" style="227" min="16" max="16"/>
    <col width="12" customWidth="1" style="227" min="17" max="18"/>
    <col width="10" customWidth="1" style="227" min="19" max="20"/>
    <col width="10" customWidth="1" style="137" min="21" max="21"/>
    <col width="10" customWidth="1" style="227" min="22" max="23"/>
  </cols>
  <sheetData>
    <row r="1" ht="15" customHeight="1" s="227">
      <c r="K1" s="138" t="inlineStr">
        <is>
          <t>Préparé par:</t>
        </is>
      </c>
      <c r="O1" s="228" t="inlineStr">
        <is>
          <t>DETAIL TRIBUTAIRES PAR CONDUITE</t>
        </is>
      </c>
    </row>
    <row r="2" ht="15" customHeight="1" s="227">
      <c r="K2" s="138" t="inlineStr">
        <is>
          <t>Vérifié par:</t>
        </is>
      </c>
      <c r="O2" s="226" t="inlineStr">
        <is>
          <t>Source CB_plan (v1). Résumé + détail zones. Tes notes L06/L07 plus bas sont conservées.</t>
        </is>
      </c>
    </row>
    <row r="3" ht="15.75" customHeight="1" s="227"/>
    <row r="4" ht="15" customHeight="1" s="227">
      <c r="A4" s="229" t="inlineStr">
        <is>
          <t>Paramètres</t>
        </is>
      </c>
      <c r="B4" s="230" t="inlineStr">
        <is>
          <t>Sous-bassins locaux (par conduite)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3" t="n"/>
      <c r="N4" s="139" t="n"/>
      <c r="O4" s="140" t="inlineStr">
        <is>
          <t>RESUME</t>
        </is>
      </c>
      <c r="P4" s="139" t="n"/>
      <c r="Q4" s="139" t="n"/>
      <c r="R4" s="139" t="n"/>
      <c r="S4" s="139" t="n"/>
      <c r="T4" s="139" t="n"/>
    </row>
    <row r="5" ht="15" customHeight="1" s="227">
      <c r="A5" s="262" t="n"/>
      <c r="B5" s="141" t="inlineStr">
        <is>
          <t>OUEST
P-03</t>
        </is>
      </c>
      <c r="C5" s="142" t="inlineStr">
        <is>
          <t>EST_ARBRES
→P-07</t>
        </is>
      </c>
      <c r="D5" s="142" t="inlineStr">
        <is>
          <t>EST_SUD
P-07</t>
        </is>
      </c>
      <c r="E5" s="142" t="inlineStr">
        <is>
          <t>MEC
TOIT+TRÉFOND</t>
        </is>
      </c>
      <c r="F5" s="142" t="inlineStr">
        <is>
          <t>RP-02
(transfert)</t>
        </is>
      </c>
      <c r="G5" s="142" t="n"/>
      <c r="H5" s="142" t="n"/>
      <c r="I5" s="142" t="n"/>
      <c r="J5" s="143" t="n"/>
      <c r="K5" s="143" t="n"/>
      <c r="L5" s="143" t="n"/>
      <c r="M5" s="144" t="n"/>
      <c r="N5" s="145" t="n"/>
      <c r="O5" s="146" t="inlineStr">
        <is>
          <t>Pipe</t>
        </is>
      </c>
      <c r="P5" s="146" t="inlineStr">
        <is>
          <t>Zones tributaires</t>
        </is>
      </c>
      <c r="Q5" s="147" t="inlineStr">
        <is>
          <t>A total (m²)</t>
        </is>
      </c>
      <c r="R5" s="146" t="inlineStr">
        <is>
          <t>A_eff (m²)</t>
        </is>
      </c>
      <c r="S5" s="146" t="inlineStr">
        <is>
          <t>C pipe</t>
        </is>
      </c>
      <c r="T5" s="146" t="inlineStr">
        <is>
          <t>A (ha)</t>
        </is>
      </c>
      <c r="U5" s="139" t="n"/>
    </row>
    <row r="6" ht="15" customHeight="1" s="227">
      <c r="A6" s="148" t="inlineStr">
        <is>
          <t>Aire (ha)</t>
        </is>
      </c>
      <c r="B6" s="149" t="n">
        <v>0.0106</v>
      </c>
      <c r="C6" s="150" t="n">
        <v>0.0165</v>
      </c>
      <c r="D6" s="150" t="n">
        <v>0.0071</v>
      </c>
      <c r="E6" s="150" t="n">
        <v>0.1406</v>
      </c>
      <c r="F6" s="150" t="n">
        <v>0</v>
      </c>
      <c r="G6" s="150" t="n">
        <v>0.046789</v>
      </c>
      <c r="H6" s="308" t="n">
        <v>0</v>
      </c>
      <c r="I6" s="150" t="n">
        <v>0.049761</v>
      </c>
      <c r="J6" s="151" t="n"/>
      <c r="K6" s="309" t="n">
        <v>0.09030000000000001</v>
      </c>
      <c r="L6" s="152" t="n"/>
      <c r="M6" s="153" t="n"/>
      <c r="N6" s="139" t="n"/>
      <c r="O6" s="154" t="inlineStr">
        <is>
          <t>L06</t>
        </is>
      </c>
      <c r="P6" s="155" t="inlineStr">
        <is>
          <t>J, M</t>
        </is>
      </c>
      <c r="Q6" s="156" t="n">
        <v>446.75</v>
      </c>
      <c r="R6" s="156" t="n">
        <v>189.75</v>
      </c>
      <c r="S6" s="157" t="n">
        <v>0.425</v>
      </c>
      <c r="T6" s="158" t="n">
        <v>0.0447</v>
      </c>
      <c r="U6" s="139" t="n"/>
    </row>
    <row r="7" ht="15" customHeight="1" s="227">
      <c r="A7" s="148" t="inlineStr">
        <is>
          <t>temps d'entrée (min.)</t>
        </is>
      </c>
      <c r="B7" s="159">
        <f>((2.187*B10*B11)/(B12)^0.5)^0.467</f>
        <v/>
      </c>
      <c r="C7" s="160">
        <f>((2.187*C10*C11)/(C12)^0.5)^0.467</f>
        <v/>
      </c>
      <c r="D7" s="160">
        <f>((2.187*D10*D11)/(D12)^0.5)^0.467</f>
        <v/>
      </c>
      <c r="E7" s="160">
        <f>((2.187*E10*E11)/(E12)^0.5)^0.467</f>
        <v/>
      </c>
      <c r="F7" s="160" t="n">
        <v>0</v>
      </c>
      <c r="G7" s="160">
        <f>((2.187*G10*G11)/(G12)^0.5)^0.467</f>
        <v/>
      </c>
      <c r="H7" s="310" t="n">
        <v>0</v>
      </c>
      <c r="I7" s="160">
        <f>((2.187*I10*I11)/(I12)^0.5)^0.467</f>
        <v/>
      </c>
      <c r="J7" s="263" t="n"/>
      <c r="K7" s="289">
        <f>((2.187*K10*K11)/(K12)^0.5)^0.467</f>
        <v/>
      </c>
      <c r="L7" s="263" t="n"/>
      <c r="M7" s="264" t="n"/>
      <c r="N7" s="265" t="n"/>
      <c r="O7" s="266" t="inlineStr">
        <is>
          <t>L07</t>
        </is>
      </c>
      <c r="P7" s="267" t="inlineStr">
        <is>
          <t>H, I, K, L</t>
        </is>
      </c>
      <c r="Q7" s="156" t="n">
        <v>442.35</v>
      </c>
      <c r="R7" s="156" t="n">
        <v>338.19</v>
      </c>
      <c r="S7" s="157" t="n">
        <v>0.765</v>
      </c>
      <c r="T7" s="158" t="n">
        <v>0.0442</v>
      </c>
      <c r="U7" s="166" t="n"/>
      <c r="V7" s="167" t="n"/>
      <c r="W7" s="167" t="n"/>
      <c r="X7" s="167" t="n"/>
      <c r="Y7" s="167" t="n"/>
    </row>
    <row r="8" ht="15" customHeight="1" s="227">
      <c r="A8" s="148" t="inlineStr">
        <is>
          <t>Coef. Ruissellement</t>
        </is>
      </c>
      <c r="B8" s="168" t="n">
        <v>0.542</v>
      </c>
      <c r="C8" s="169" t="n">
        <v>0.25</v>
      </c>
      <c r="D8" s="169" t="n">
        <v>0.747</v>
      </c>
      <c r="E8" s="169" t="n">
        <v>0.93</v>
      </c>
      <c r="F8" s="169" t="n">
        <v>0.9</v>
      </c>
      <c r="G8" s="169" t="n">
        <v>0.642</v>
      </c>
      <c r="H8" s="169" t="n">
        <v>0.9</v>
      </c>
      <c r="I8" s="169" t="n">
        <v>0.335</v>
      </c>
      <c r="J8" s="170" t="n"/>
      <c r="K8" s="311" t="n">
        <v>0.95</v>
      </c>
      <c r="L8" s="170" t="n"/>
      <c r="M8" s="171" t="n"/>
      <c r="N8" s="139" t="n"/>
      <c r="O8" s="154" t="inlineStr">
        <is>
          <t>L08</t>
        </is>
      </c>
      <c r="P8" s="155" t="inlineStr">
        <is>
          <t>G</t>
        </is>
      </c>
      <c r="Q8" s="156" t="n">
        <v>147.9</v>
      </c>
      <c r="R8" s="156" t="n">
        <v>101.13</v>
      </c>
      <c r="S8" s="157" t="n">
        <v>0.6840000000000001</v>
      </c>
      <c r="T8" s="158" t="n">
        <v>0.0148</v>
      </c>
      <c r="U8" s="139" t="n"/>
    </row>
    <row r="9" ht="15" customHeight="1" s="227">
      <c r="A9" s="172" t="n"/>
      <c r="B9" s="173" t="n"/>
      <c r="C9" s="173" t="n"/>
      <c r="D9" s="173" t="n"/>
      <c r="E9" s="173" t="n"/>
      <c r="F9" s="173" t="n"/>
      <c r="G9" s="173" t="n"/>
      <c r="H9" s="173" t="n"/>
      <c r="I9" s="173" t="n"/>
      <c r="J9" s="173" t="n"/>
      <c r="K9" s="173" t="n"/>
      <c r="L9" s="173" t="n"/>
      <c r="M9" s="174" t="n"/>
      <c r="N9" s="139" t="n"/>
      <c r="O9" s="154" t="inlineStr">
        <is>
          <t>L09</t>
        </is>
      </c>
      <c r="P9" s="155" t="inlineStr">
        <is>
          <t>D</t>
        </is>
      </c>
      <c r="Q9" s="156" t="n">
        <v>94.5</v>
      </c>
      <c r="R9" s="156" t="n">
        <v>51.7</v>
      </c>
      <c r="S9" s="157" t="n">
        <v>0.547</v>
      </c>
      <c r="T9" s="158" t="n">
        <v>0.0095</v>
      </c>
      <c r="U9" s="139" t="n"/>
    </row>
    <row r="10" ht="15" customHeight="1" s="227">
      <c r="A10" s="148" t="inlineStr">
        <is>
          <t>L overland (m)</t>
        </is>
      </c>
      <c r="B10" s="268" t="n">
        <v>10.3</v>
      </c>
      <c r="C10" s="269" t="n">
        <v>12.8</v>
      </c>
      <c r="D10" s="269" t="n">
        <v>10</v>
      </c>
      <c r="E10" s="269" t="n">
        <v>37.5</v>
      </c>
      <c r="F10" s="269" t="n">
        <v>0</v>
      </c>
      <c r="G10" s="269" t="n">
        <v>21.6</v>
      </c>
      <c r="H10" s="269" t="n">
        <v>0</v>
      </c>
      <c r="I10" s="269" t="n">
        <v>22.3</v>
      </c>
      <c r="J10" s="270" t="n"/>
      <c r="K10" s="291" t="n">
        <v>30</v>
      </c>
      <c r="L10" s="270" t="n"/>
      <c r="M10" s="271" t="n"/>
      <c r="N10" s="265" t="n"/>
      <c r="O10" s="266" t="inlineStr">
        <is>
          <t>L01</t>
        </is>
      </c>
      <c r="P10" s="267" t="inlineStr">
        <is>
          <t>A, E</t>
        </is>
      </c>
      <c r="Q10" s="156" t="n">
        <v>257.3</v>
      </c>
      <c r="R10" s="156" t="n">
        <v>162.8</v>
      </c>
      <c r="S10" s="157" t="n">
        <v>0.633</v>
      </c>
      <c r="T10" s="158" t="n">
        <v>0.0257</v>
      </c>
      <c r="U10" s="139" t="n"/>
    </row>
    <row r="11" ht="15" customHeight="1" s="227">
      <c r="A11" s="148" t="inlineStr">
        <is>
          <t>n overland</t>
        </is>
      </c>
      <c r="B11" s="179" t="n">
        <v>0.02</v>
      </c>
      <c r="C11" s="180" t="n">
        <v>0.02</v>
      </c>
      <c r="D11" s="180" t="n">
        <v>0.02</v>
      </c>
      <c r="E11" s="180" t="n">
        <v>0.02</v>
      </c>
      <c r="F11" s="180" t="n">
        <v>0.02</v>
      </c>
      <c r="G11" s="180" t="n">
        <v>0.02</v>
      </c>
      <c r="H11" s="180" t="n">
        <v>0.02</v>
      </c>
      <c r="I11" s="180" t="n">
        <v>0.02</v>
      </c>
      <c r="J11" s="181" t="n"/>
      <c r="K11" s="292" t="n">
        <v>0.02</v>
      </c>
      <c r="L11" s="181" t="n"/>
      <c r="M11" s="182" t="n"/>
      <c r="N11" s="139" t="n"/>
      <c r="O11" s="154" t="inlineStr">
        <is>
          <t>L02</t>
        </is>
      </c>
      <c r="P11" s="155" t="inlineStr">
        <is>
          <t>B, C, F</t>
        </is>
      </c>
      <c r="Q11" s="156" t="n">
        <v>467.89</v>
      </c>
      <c r="R11" s="156" t="n">
        <v>300.33</v>
      </c>
      <c r="S11" s="157" t="n">
        <v>0.642</v>
      </c>
      <c r="T11" s="158" t="n">
        <v>0.0468</v>
      </c>
      <c r="U11" s="139" t="n"/>
    </row>
    <row r="12" ht="15" customHeight="1" s="227">
      <c r="A12" s="183" t="inlineStr">
        <is>
          <t>s overland (m/m)</t>
        </is>
      </c>
      <c r="B12" s="184" t="n">
        <v>0.015</v>
      </c>
      <c r="C12" s="185" t="n">
        <v>0.01</v>
      </c>
      <c r="D12" s="185" t="n">
        <v>0.01</v>
      </c>
      <c r="E12" s="185" t="n">
        <v>0.02</v>
      </c>
      <c r="F12" s="185" t="n">
        <v>0.01</v>
      </c>
      <c r="G12" s="185" t="n">
        <v>0.01142</v>
      </c>
      <c r="H12" s="185" t="n">
        <v>0.00628</v>
      </c>
      <c r="I12" s="185" t="n">
        <v>0.01231</v>
      </c>
      <c r="J12" s="186" t="n"/>
      <c r="K12" s="293" t="n">
        <v>0.01</v>
      </c>
      <c r="L12" s="170" t="n"/>
      <c r="M12" s="188" t="n"/>
      <c r="N12" s="189" t="n"/>
      <c r="O12" s="190" t="inlineStr">
        <is>
          <t>L03</t>
        </is>
      </c>
      <c r="P12" s="158" t="inlineStr">
        <is>
          <t>(aucune – transfert)</t>
        </is>
      </c>
      <c r="Q12" s="156" t="n">
        <v>0</v>
      </c>
      <c r="R12" s="156" t="n">
        <v>0</v>
      </c>
      <c r="S12" s="157" t="n"/>
      <c r="T12" s="158" t="n">
        <v>0</v>
      </c>
      <c r="U12" s="139" t="n"/>
    </row>
    <row r="13" ht="15.75" customHeight="1" s="227">
      <c r="O13" s="312" t="inlineStr">
        <is>
          <t>L10</t>
        </is>
      </c>
      <c r="P13" s="312" t="inlineStr">
        <is>
          <t>(aucune – transfert; N déplacée → LT1)</t>
        </is>
      </c>
      <c r="Q13" s="313" t="n">
        <v>0</v>
      </c>
      <c r="R13" s="313" t="n">
        <v>0</v>
      </c>
      <c r="S13" s="314" t="n"/>
      <c r="T13" s="315" t="n">
        <v>0</v>
      </c>
    </row>
    <row r="14" ht="15" customHeight="1" s="227">
      <c r="A14" t="inlineStr">
        <is>
          <t>Notes</t>
        </is>
      </c>
      <c r="O14" s="191" t="inlineStr">
        <is>
          <t>L11</t>
        </is>
      </c>
      <c r="P14" s="192" t="inlineStr">
        <is>
          <t>O (PAS de zone N)</t>
        </is>
      </c>
      <c r="Q14" s="193" t="n">
        <v>497.61</v>
      </c>
      <c r="R14" s="193" t="n">
        <v>166.52</v>
      </c>
      <c r="S14" s="194" t="n">
        <v>0.335</v>
      </c>
      <c r="T14" s="195" t="n">
        <v>0.0498</v>
      </c>
    </row>
    <row r="15" ht="15" customHeight="1" s="227">
      <c r="A15" t="inlineStr">
        <is>
          <t>Jaune = saisie (depuis Reseau_pluvial_dimensionnement_v1). Vert = calculé.</t>
        </is>
      </c>
      <c r="O15" s="304" t="inlineStr">
        <is>
          <t>LT1</t>
        </is>
      </c>
      <c r="P15" s="304" t="inlineStr">
        <is>
          <t>N (toit → P11) — SEUL propriétaire</t>
        </is>
      </c>
      <c r="Q15" s="304" t="n">
        <v>903</v>
      </c>
      <c r="R15" s="304" t="n">
        <v>857.85</v>
      </c>
      <c r="S15" s="304" t="n">
        <v>0.95</v>
      </c>
      <c r="T15" s="304" t="n">
        <v>0.09030000000000001</v>
      </c>
    </row>
    <row r="16" ht="15" customHeight="1" s="227">
      <c r="A16" t="inlineStr">
        <is>
          <t>L overland estimé ≈ √Aire; s = |Zamont-Zaval|/Lpipe. Ajuster si parcours réel connu.</t>
        </is>
      </c>
      <c r="O16" s="196" t="inlineStr">
        <is>
          <t>DETAIL ZONE PAR ZONE</t>
        </is>
      </c>
    </row>
    <row r="17" ht="15" customHeight="1" s="227">
      <c r="A17" t="inlineStr">
        <is>
          <t>IDF utilisée dans Calcul_reseau: période 1/10 ans (A=508.07, B=2.9, C=0.644) = Inputs du projet.</t>
        </is>
      </c>
      <c r="O17" s="146" t="inlineStr">
        <is>
          <t>Pipe</t>
        </is>
      </c>
      <c r="P17" s="146" t="inlineStr">
        <is>
          <t>Zone</t>
        </is>
      </c>
      <c r="Q17" s="146" t="inlineStr">
        <is>
          <t>Roof m²</t>
        </is>
      </c>
      <c r="R17" s="146" t="inlineStr">
        <is>
          <t>Pave m²</t>
        </is>
      </c>
      <c r="S17" s="146" t="inlineStr">
        <is>
          <t>Grass m²</t>
        </is>
      </c>
      <c r="T17" s="146" t="inlineStr">
        <is>
          <t>Other m²</t>
        </is>
      </c>
      <c r="U17" s="146" t="inlineStr">
        <is>
          <t>A m²</t>
        </is>
      </c>
      <c r="V17" s="146" t="inlineStr">
        <is>
          <t>A_eff m²</t>
        </is>
      </c>
      <c r="W17" s="146" t="inlineStr">
        <is>
          <t>C zone</t>
        </is>
      </c>
    </row>
    <row r="18" ht="15.75" customHeight="1" s="227">
      <c r="A18" s="316" t="inlineStr">
        <is>
          <t>TRESFOND: aires depuis Reseau_tresfond Zones. OUEST=grass+pavage vers P-03; EST_ARBRES=Z03; EST_SUD=Z10-12; MEC=Z01+Z02+Z13.</t>
        </is>
      </c>
      <c r="O18" s="191" t="inlineStr">
        <is>
          <t>L06</t>
        </is>
      </c>
      <c r="P18" s="191" t="inlineStr">
        <is>
          <t>J</t>
        </is>
      </c>
      <c r="Q18" s="193" t="n">
        <v>0</v>
      </c>
      <c r="R18" s="193" t="n">
        <v>67.7</v>
      </c>
      <c r="S18" s="193" t="n">
        <v>81.40000000000001</v>
      </c>
      <c r="T18" s="193" t="n">
        <v>0</v>
      </c>
      <c r="U18" s="193" t="n">
        <v>149.1</v>
      </c>
      <c r="V18" s="193" t="n">
        <v>81.28</v>
      </c>
      <c r="W18" s="194" t="n">
        <v>0.545</v>
      </c>
    </row>
    <row r="19" ht="15.75" customHeight="1" s="227">
      <c r="O19" s="191" t="inlineStr">
        <is>
          <t>L06</t>
        </is>
      </c>
      <c r="P19" s="191" t="inlineStr">
        <is>
          <t>M</t>
        </is>
      </c>
      <c r="Q19" s="193" t="n">
        <v>0</v>
      </c>
      <c r="R19" s="193" t="n">
        <v>52.4</v>
      </c>
      <c r="S19" s="193" t="n">
        <v>245.25</v>
      </c>
      <c r="T19" s="193" t="n">
        <v>0</v>
      </c>
      <c r="U19" s="193" t="n">
        <v>297.65</v>
      </c>
      <c r="V19" s="193" t="n">
        <v>108.47</v>
      </c>
      <c r="W19" s="194" t="n">
        <v>0.364</v>
      </c>
    </row>
    <row r="20" ht="15.75" customHeight="1" s="227">
      <c r="O20" s="197" t="inlineStr">
        <is>
          <t>L06</t>
        </is>
      </c>
      <c r="P20" s="197" t="inlineStr">
        <is>
          <t>SUM</t>
        </is>
      </c>
      <c r="Q20" s="197" t="n"/>
      <c r="R20" s="197" t="n"/>
      <c r="S20" s="197" t="n"/>
      <c r="T20" s="197" t="n"/>
      <c r="U20" s="198" t="n">
        <v>446.75</v>
      </c>
      <c r="V20" s="198" t="n">
        <v>189.75</v>
      </c>
      <c r="W20" s="199" t="n">
        <v>0.425</v>
      </c>
    </row>
    <row r="21" ht="15" customHeight="1" s="227">
      <c r="A21" s="224" t="n"/>
    </row>
    <row r="22" ht="15" customHeight="1" s="227">
      <c r="A22" s="224" t="inlineStr">
        <is>
          <t>Surface C used (from Inputs):</t>
        </is>
      </c>
      <c r="O22" s="191" t="inlineStr">
        <is>
          <t>L07</t>
        </is>
      </c>
      <c r="P22" s="191" t="inlineStr">
        <is>
          <t>H</t>
        </is>
      </c>
      <c r="Q22" s="193" t="n">
        <v>0</v>
      </c>
      <c r="R22" s="193" t="n">
        <v>58.2</v>
      </c>
      <c r="S22" s="193" t="n">
        <v>17.6</v>
      </c>
      <c r="T22" s="193" t="n">
        <v>0</v>
      </c>
      <c r="U22" s="193" t="n">
        <v>75.8</v>
      </c>
      <c r="V22" s="193" t="n">
        <v>56.78</v>
      </c>
      <c r="W22" s="194" t="n">
        <v>0.749</v>
      </c>
    </row>
    <row r="23" ht="15" customHeight="1" s="227">
      <c r="A23" s="224" t="inlineStr">
        <is>
          <t>roof = 0.95</t>
        </is>
      </c>
      <c r="O23" s="191" t="inlineStr">
        <is>
          <t>L07</t>
        </is>
      </c>
      <c r="P23" s="191" t="inlineStr">
        <is>
          <t>I</t>
        </is>
      </c>
      <c r="Q23" s="193" t="n">
        <v>0</v>
      </c>
      <c r="R23" s="193" t="n">
        <v>120.01</v>
      </c>
      <c r="S23" s="193" t="n">
        <v>16.2</v>
      </c>
      <c r="T23" s="193" t="n">
        <v>0</v>
      </c>
      <c r="U23" s="193" t="n">
        <v>136.21</v>
      </c>
      <c r="V23" s="193" t="n">
        <v>112.06</v>
      </c>
      <c r="W23" s="194" t="n">
        <v>0.823</v>
      </c>
    </row>
    <row r="24" ht="15" customHeight="1" s="227">
      <c r="A24" s="224" t="inlineStr">
        <is>
          <t>pavement = 0.90</t>
        </is>
      </c>
      <c r="O24" s="191" t="inlineStr">
        <is>
          <t>L07</t>
        </is>
      </c>
      <c r="P24" s="191" t="inlineStr">
        <is>
          <t>K</t>
        </is>
      </c>
      <c r="Q24" s="193" t="n">
        <v>0</v>
      </c>
      <c r="R24" s="193" t="n">
        <v>48.8</v>
      </c>
      <c r="S24" s="193" t="n">
        <v>58.4</v>
      </c>
      <c r="T24" s="193" t="n">
        <v>0</v>
      </c>
      <c r="U24" s="193" t="n">
        <v>107.2</v>
      </c>
      <c r="V24" s="193" t="n">
        <v>58.52</v>
      </c>
      <c r="W24" s="194" t="n">
        <v>0.546</v>
      </c>
    </row>
    <row r="25" ht="15" customHeight="1" s="227">
      <c r="A25" s="224" t="inlineStr">
        <is>
          <t>grass = 0.25</t>
        </is>
      </c>
      <c r="O25" s="191" t="inlineStr">
        <is>
          <t>L07</t>
        </is>
      </c>
      <c r="P25" s="191" t="inlineStr">
        <is>
          <t>L</t>
        </is>
      </c>
      <c r="Q25" s="193" t="n">
        <v>0</v>
      </c>
      <c r="R25" s="193" t="n">
        <v>123.14</v>
      </c>
      <c r="S25" s="193" t="n">
        <v>0</v>
      </c>
      <c r="T25" s="193" t="n">
        <v>0</v>
      </c>
      <c r="U25" s="193" t="n">
        <v>123.14</v>
      </c>
      <c r="V25" s="193" t="n">
        <v>110.83</v>
      </c>
      <c r="W25" s="194" t="n">
        <v>0.9</v>
      </c>
    </row>
    <row r="26" ht="15" customHeight="1" s="227">
      <c r="A26" s="224" t="inlineStr">
        <is>
          <t>other = 0.60</t>
        </is>
      </c>
      <c r="O26" s="197" t="inlineStr">
        <is>
          <t>L07</t>
        </is>
      </c>
      <c r="P26" s="197" t="inlineStr">
        <is>
          <t>SUM</t>
        </is>
      </c>
      <c r="Q26" s="197" t="n"/>
      <c r="R26" s="197" t="n"/>
      <c r="S26" s="197" t="n"/>
      <c r="T26" s="197" t="n"/>
      <c r="U26" s="198" t="n">
        <v>442.35</v>
      </c>
      <c r="V26" s="198" t="n">
        <v>338.19</v>
      </c>
      <c r="W26" s="199" t="n">
        <v>0.765</v>
      </c>
    </row>
    <row r="27" ht="15" customHeight="1" s="227">
      <c r="A27" s="224" t="inlineStr">
        <is>
          <t>For each zone:</t>
        </is>
      </c>
    </row>
    <row r="28" ht="15" customHeight="1" s="227">
      <c r="A28" s="224" t="inlineStr">
        <is>
          <t>A = roof + pave + grass + other</t>
        </is>
      </c>
      <c r="O28" s="191" t="inlineStr">
        <is>
          <t>L08</t>
        </is>
      </c>
      <c r="P28" s="191" t="inlineStr">
        <is>
          <t>G</t>
        </is>
      </c>
      <c r="Q28" s="193" t="n">
        <v>0</v>
      </c>
      <c r="R28" s="193" t="n">
        <v>98.7</v>
      </c>
      <c r="S28" s="193" t="n">
        <v>49.2</v>
      </c>
      <c r="T28" s="193" t="n">
        <v>0</v>
      </c>
      <c r="U28" s="193" t="n">
        <v>147.9</v>
      </c>
      <c r="V28" s="193" t="n">
        <v>101.13</v>
      </c>
      <c r="W28" s="194" t="n">
        <v>0.6840000000000001</v>
      </c>
    </row>
    <row r="29" ht="15" customHeight="1" s="227">
      <c r="A29" s="224" t="inlineStr">
        <is>
          <t>A_eff = 0.95·roof + 0.90·pave + 0.25·grass + 0.60·other</t>
        </is>
      </c>
      <c r="O29" s="197" t="inlineStr">
        <is>
          <t>L08</t>
        </is>
      </c>
      <c r="P29" s="197" t="inlineStr">
        <is>
          <t>SUM</t>
        </is>
      </c>
      <c r="Q29" s="197" t="n"/>
      <c r="R29" s="197" t="n"/>
      <c r="S29" s="197" t="n"/>
      <c r="T29" s="197" t="n"/>
      <c r="U29" s="198" t="n">
        <v>147.9</v>
      </c>
      <c r="V29" s="198" t="n">
        <v>101.13</v>
      </c>
      <c r="W29" s="199" t="n">
        <v>0.6840000000000001</v>
      </c>
    </row>
    <row r="30" ht="15" customHeight="1" s="227">
      <c r="A30" s="224" t="inlineStr">
        <is>
          <t>Then for the pipe:</t>
        </is>
      </c>
    </row>
    <row r="31" ht="15" customHeight="1" s="227">
      <c r="A31" s="224" t="inlineStr">
        <is>
          <t>C = ΣA_eff / ΣA</t>
        </is>
      </c>
      <c r="O31" s="191" t="inlineStr">
        <is>
          <t>L09</t>
        </is>
      </c>
      <c r="P31" s="191" t="inlineStr">
        <is>
          <t>D</t>
        </is>
      </c>
      <c r="Q31" s="193" t="n">
        <v>0</v>
      </c>
      <c r="R31" s="193" t="n">
        <v>43.2</v>
      </c>
      <c r="S31" s="193" t="n">
        <v>51.3</v>
      </c>
      <c r="T31" s="193" t="n">
        <v>0</v>
      </c>
      <c r="U31" s="193" t="n">
        <v>94.5</v>
      </c>
      <c r="V31" s="193" t="n">
        <v>51.7</v>
      </c>
      <c r="W31" s="194" t="n">
        <v>0.547</v>
      </c>
    </row>
    <row r="32" ht="15" customHeight="1" s="227">
      <c r="O32" s="197" t="inlineStr">
        <is>
          <t>L09</t>
        </is>
      </c>
      <c r="P32" s="197" t="inlineStr">
        <is>
          <t>SUM</t>
        </is>
      </c>
      <c r="Q32" s="197" t="n"/>
      <c r="R32" s="197" t="n"/>
      <c r="S32" s="197" t="n"/>
      <c r="T32" s="197" t="n"/>
      <c r="U32" s="198" t="n">
        <v>94.5</v>
      </c>
      <c r="V32" s="198" t="n">
        <v>51.7</v>
      </c>
      <c r="W32" s="199" t="n">
        <v>0.547</v>
      </c>
    </row>
    <row r="33" ht="15" customHeight="1" s="227">
      <c r="A33" s="225" t="inlineStr">
        <is>
          <t>L06_P09_P06 → A = 446.75 m² ≈ 446.8, C ≈ 0.425</t>
        </is>
      </c>
    </row>
    <row r="34" ht="15" customHeight="1" s="227">
      <c r="A34" s="224" t="inlineStr">
        <is>
          <t>Zones J and M only:</t>
        </is>
      </c>
      <c r="O34" s="191" t="inlineStr">
        <is>
          <t>L01</t>
        </is>
      </c>
      <c r="P34" s="191" t="inlineStr">
        <is>
          <t>A</t>
        </is>
      </c>
      <c r="Q34" s="193" t="n">
        <v>0</v>
      </c>
      <c r="R34" s="193" t="n">
        <v>61.9</v>
      </c>
      <c r="S34" s="193" t="n">
        <v>89.59999999999999</v>
      </c>
      <c r="T34" s="193" t="n">
        <v>0</v>
      </c>
      <c r="U34" s="193" t="n">
        <v>151.5</v>
      </c>
      <c r="V34" s="193" t="n">
        <v>78.11</v>
      </c>
      <c r="W34" s="194" t="n">
        <v>0.516</v>
      </c>
    </row>
    <row r="35" ht="15" customHeight="1" s="227">
      <c r="A35" s="200" t="inlineStr">
        <is>
          <t>Zone</t>
        </is>
      </c>
      <c r="B35" s="200" t="inlineStr">
        <is>
          <t>Roof</t>
        </is>
      </c>
      <c r="C35" s="200" t="inlineStr">
        <is>
          <t>Pave</t>
        </is>
      </c>
      <c r="D35" s="200" t="inlineStr">
        <is>
          <t>Grass</t>
        </is>
      </c>
      <c r="E35" s="200" t="inlineStr">
        <is>
          <t>Other</t>
        </is>
      </c>
      <c r="F35" s="200" t="inlineStr">
        <is>
          <t>A (m²)</t>
        </is>
      </c>
      <c r="G35" s="200" t="inlineStr">
        <is>
          <t>A_eff (m²)</t>
        </is>
      </c>
      <c r="H35" s="200" t="inlineStr">
        <is>
          <t>C zone</t>
        </is>
      </c>
      <c r="O35" s="191" t="inlineStr">
        <is>
          <t>L01</t>
        </is>
      </c>
      <c r="P35" s="191" t="inlineStr">
        <is>
          <t>E</t>
        </is>
      </c>
      <c r="Q35" s="193" t="n">
        <v>0</v>
      </c>
      <c r="R35" s="193" t="n">
        <v>89.59999999999999</v>
      </c>
      <c r="S35" s="193" t="n">
        <v>16.2</v>
      </c>
      <c r="T35" s="193" t="n">
        <v>0</v>
      </c>
      <c r="U35" s="193" t="n">
        <v>105.8</v>
      </c>
      <c r="V35" s="193" t="n">
        <v>84.69</v>
      </c>
      <c r="W35" s="194" t="n">
        <v>0.8</v>
      </c>
    </row>
    <row r="36" ht="15" customHeight="1" s="227">
      <c r="A36" s="224" t="inlineStr">
        <is>
          <t>J</t>
        </is>
      </c>
      <c r="B36" s="224" t="n">
        <v>0</v>
      </c>
      <c r="C36" s="224" t="n">
        <v>67.7</v>
      </c>
      <c r="D36" s="224" t="n">
        <v>81.40000000000001</v>
      </c>
      <c r="E36" s="224" t="n">
        <v>0</v>
      </c>
      <c r="F36" s="224" t="n">
        <v>149.1</v>
      </c>
      <c r="G36" s="224" t="inlineStr">
        <is>
          <t>67.7×0.9 + 81.4×0.25 = 81.28</t>
        </is>
      </c>
      <c r="H36" s="224" t="n">
        <v>0.545</v>
      </c>
      <c r="O36" s="197" t="inlineStr">
        <is>
          <t>L01</t>
        </is>
      </c>
      <c r="P36" s="197" t="inlineStr">
        <is>
          <t>SUM</t>
        </is>
      </c>
      <c r="Q36" s="197" t="n"/>
      <c r="R36" s="197" t="n"/>
      <c r="S36" s="197" t="n"/>
      <c r="T36" s="197" t="n"/>
      <c r="U36" s="198" t="n">
        <v>257.3</v>
      </c>
      <c r="V36" s="198" t="n">
        <v>162.8</v>
      </c>
      <c r="W36" s="199" t="n">
        <v>0.633</v>
      </c>
    </row>
    <row r="37" ht="42" customHeight="1" s="227">
      <c r="A37" s="224" t="inlineStr">
        <is>
          <t>M</t>
        </is>
      </c>
      <c r="B37" s="224" t="n">
        <v>0</v>
      </c>
      <c r="C37" s="224" t="n">
        <v>52.4</v>
      </c>
      <c r="D37" s="224" t="inlineStr">
        <is>
          <t>66.5+178.75=245.25</t>
        </is>
      </c>
      <c r="E37" s="224" t="n">
        <v>0</v>
      </c>
      <c r="F37" s="224" t="n">
        <v>297.65</v>
      </c>
      <c r="G37" s="224" t="inlineStr">
        <is>
          <t>52.4×0.9 + 245.25×0.25 = 108.4725</t>
        </is>
      </c>
      <c r="H37" s="224" t="n">
        <v>0.364</v>
      </c>
    </row>
    <row r="38" ht="15" customHeight="1" s="227">
      <c r="A38" s="224" t="inlineStr">
        <is>
          <t>Sum</t>
        </is>
      </c>
      <c r="F38" s="224" t="n">
        <v>446.75</v>
      </c>
      <c r="G38" s="224" t="n">
        <v>189.7525</v>
      </c>
      <c r="O38" s="191" t="inlineStr">
        <is>
          <t>L02</t>
        </is>
      </c>
      <c r="P38" s="191" t="inlineStr">
        <is>
          <t>B</t>
        </is>
      </c>
      <c r="Q38" s="193" t="n">
        <v>0</v>
      </c>
      <c r="R38" s="193" t="n">
        <v>79.8</v>
      </c>
      <c r="S38" s="193" t="n">
        <v>43</v>
      </c>
      <c r="T38" s="193" t="n">
        <v>0</v>
      </c>
      <c r="U38" s="193" t="n">
        <v>122.8</v>
      </c>
      <c r="V38" s="193" t="n">
        <v>82.56999999999999</v>
      </c>
      <c r="W38" s="194" t="n">
        <v>0.672</v>
      </c>
    </row>
    <row r="39" ht="15" customHeight="1" s="227">
      <c r="A39" s="224" t="inlineStr">
        <is>
          <t>C = 189.7525 / 446.75 = 0.4247 ≈ 0.425</t>
        </is>
      </c>
      <c r="O39" s="191" t="inlineStr">
        <is>
          <t>L02</t>
        </is>
      </c>
      <c r="P39" s="191" t="inlineStr">
        <is>
          <t>C</t>
        </is>
      </c>
      <c r="Q39" s="193" t="n">
        <v>0</v>
      </c>
      <c r="R39" s="193" t="n">
        <v>87.8</v>
      </c>
      <c r="S39" s="193" t="n">
        <v>123.9</v>
      </c>
      <c r="T39" s="193" t="n">
        <v>0</v>
      </c>
      <c r="U39" s="193" t="n">
        <v>211.7</v>
      </c>
      <c r="V39" s="193" t="n">
        <v>110</v>
      </c>
      <c r="W39" s="194" t="n">
        <v>0.52</v>
      </c>
    </row>
    <row r="40" ht="15.75" customHeight="1" s="227">
      <c r="O40" s="191" t="inlineStr">
        <is>
          <t>L02</t>
        </is>
      </c>
      <c r="P40" s="191" t="inlineStr">
        <is>
          <t>F</t>
        </is>
      </c>
      <c r="Q40" s="193" t="n">
        <v>0</v>
      </c>
      <c r="R40" s="193" t="n">
        <v>114.49</v>
      </c>
      <c r="S40" s="193" t="n">
        <v>18.9</v>
      </c>
      <c r="T40" s="193" t="n">
        <v>0</v>
      </c>
      <c r="U40" s="193" t="n">
        <v>133.39</v>
      </c>
      <c r="V40" s="193" t="n">
        <v>107.77</v>
      </c>
      <c r="W40" s="194" t="n">
        <v>0.8080000000000001</v>
      </c>
    </row>
    <row r="41" ht="15.75" customHeight="1" s="227">
      <c r="O41" s="197" t="inlineStr">
        <is>
          <t>L02</t>
        </is>
      </c>
      <c r="P41" s="197" t="inlineStr">
        <is>
          <t>SUM</t>
        </is>
      </c>
      <c r="Q41" s="197" t="n"/>
      <c r="R41" s="197" t="n"/>
      <c r="S41" s="197" t="n"/>
      <c r="T41" s="197" t="n"/>
      <c r="U41" s="198" t="n">
        <v>467.89</v>
      </c>
      <c r="V41" s="198" t="n">
        <v>300.33</v>
      </c>
      <c r="W41" s="199" t="n">
        <v>0.642</v>
      </c>
    </row>
    <row r="42" ht="15" customHeight="1" s="227">
      <c r="A42" s="225" t="inlineStr">
        <is>
          <t>L07_P07_P06 → A = 442.35 m², C ≈ 0.765</t>
        </is>
      </c>
    </row>
    <row r="43" ht="15" customHeight="1" s="227">
      <c r="A43" s="224" t="inlineStr">
        <is>
          <t>Zones H, I, K, L:</t>
        </is>
      </c>
      <c r="O43" s="201" t="inlineStr">
        <is>
          <t>L03</t>
        </is>
      </c>
      <c r="P43" s="201" t="inlineStr">
        <is>
          <t>—</t>
        </is>
      </c>
      <c r="Q43" s="201" t="n">
        <v>0</v>
      </c>
      <c r="R43" s="201" t="n">
        <v>0</v>
      </c>
      <c r="S43" s="201" t="n">
        <v>0</v>
      </c>
      <c r="T43" s="201" t="n">
        <v>0</v>
      </c>
      <c r="U43" s="201" t="n">
        <v>0</v>
      </c>
      <c r="V43" s="201" t="n">
        <v>0</v>
      </c>
      <c r="W43" s="201" t="n"/>
    </row>
    <row r="44" ht="15" customHeight="1" s="227">
      <c r="A44" s="200" t="inlineStr">
        <is>
          <t>Zone</t>
        </is>
      </c>
      <c r="B44" s="200" t="inlineStr">
        <is>
          <t>Roof</t>
        </is>
      </c>
      <c r="C44" s="200" t="inlineStr">
        <is>
          <t>Pave</t>
        </is>
      </c>
      <c r="D44" s="200" t="inlineStr">
        <is>
          <t>Grass</t>
        </is>
      </c>
      <c r="E44" s="200" t="inlineStr">
        <is>
          <t>Other</t>
        </is>
      </c>
      <c r="F44" s="200" t="inlineStr">
        <is>
          <t>A (m²)</t>
        </is>
      </c>
      <c r="G44" s="200" t="inlineStr">
        <is>
          <t>A_eff (m²)</t>
        </is>
      </c>
      <c r="H44" s="200" t="inlineStr">
        <is>
          <t>C zone</t>
        </is>
      </c>
      <c r="O44" s="312" t="inlineStr">
        <is>
          <t>L10</t>
        </is>
      </c>
      <c r="P44" s="312" t="inlineStr">
        <is>
          <t>—</t>
        </is>
      </c>
      <c r="Q44" s="313" t="n">
        <v>0</v>
      </c>
      <c r="R44" s="313" t="n">
        <v>0</v>
      </c>
      <c r="S44" s="313" t="n">
        <v>0</v>
      </c>
      <c r="T44" s="313" t="n">
        <v>0</v>
      </c>
      <c r="U44" s="313" t="n">
        <v>0</v>
      </c>
      <c r="V44" s="193" t="n">
        <v>857.85</v>
      </c>
      <c r="W44" s="194" t="n">
        <v>0.95</v>
      </c>
    </row>
    <row r="45" ht="15" customHeight="1" s="227">
      <c r="A45" s="224" t="inlineStr">
        <is>
          <t>H</t>
        </is>
      </c>
      <c r="B45" s="224" t="n">
        <v>0</v>
      </c>
      <c r="C45" s="224" t="n">
        <v>58.2</v>
      </c>
      <c r="D45" s="224" t="n">
        <v>17.6</v>
      </c>
      <c r="E45" s="224" t="n">
        <v>0</v>
      </c>
      <c r="F45" s="224" t="n">
        <v>75.8</v>
      </c>
      <c r="G45" s="224" t="inlineStr">
        <is>
          <t>58.2×0.9 + 17.6×0.25 = 56.78</t>
        </is>
      </c>
      <c r="H45" s="224" t="n">
        <v>0.749</v>
      </c>
      <c r="O45" s="197" t="inlineStr">
        <is>
          <t>L10</t>
        </is>
      </c>
      <c r="P45" s="197" t="inlineStr">
        <is>
          <t>SUM</t>
        </is>
      </c>
      <c r="Q45" s="197" t="n"/>
      <c r="R45" s="197" t="n"/>
      <c r="S45" s="197" t="n"/>
      <c r="T45" s="197" t="n"/>
      <c r="U45" s="317" t="n">
        <v>0</v>
      </c>
      <c r="V45" s="198" t="n">
        <v>857.85</v>
      </c>
      <c r="W45" s="199" t="n">
        <v>0.95</v>
      </c>
    </row>
    <row r="46" ht="15" customHeight="1" s="227">
      <c r="A46" s="224" t="inlineStr">
        <is>
          <t>I</t>
        </is>
      </c>
      <c r="B46" s="224" t="n">
        <v>0</v>
      </c>
      <c r="C46" s="224" t="inlineStr">
        <is>
          <t>109.5+10.51=120.01</t>
        </is>
      </c>
      <c r="D46" s="224" t="n">
        <v>16.2</v>
      </c>
      <c r="E46" s="224" t="n">
        <v>0</v>
      </c>
      <c r="F46" s="224" t="n">
        <v>136.21</v>
      </c>
      <c r="G46" s="224" t="inlineStr">
        <is>
          <t>120.01×0.9 + 16.2×0.25 = 112.059</t>
        </is>
      </c>
      <c r="H46" s="224" t="n">
        <v>0.823</v>
      </c>
    </row>
    <row r="47" ht="15" customHeight="1" s="227">
      <c r="A47" s="224" t="inlineStr">
        <is>
          <t>K</t>
        </is>
      </c>
      <c r="B47" s="224" t="n">
        <v>0</v>
      </c>
      <c r="C47" s="224" t="n">
        <v>48.8</v>
      </c>
      <c r="D47" s="224" t="n">
        <v>58.4</v>
      </c>
      <c r="E47" s="224" t="n">
        <v>0</v>
      </c>
      <c r="F47" s="224" t="n">
        <v>107.2</v>
      </c>
      <c r="G47" s="224" t="inlineStr">
        <is>
          <t>48.8×0.9 + 58.4×0.25 = 58.52</t>
        </is>
      </c>
      <c r="H47" s="224" t="n">
        <v>0.546</v>
      </c>
      <c r="O47" s="191" t="inlineStr">
        <is>
          <t>L11</t>
        </is>
      </c>
      <c r="P47" s="191" t="inlineStr">
        <is>
          <t>O</t>
        </is>
      </c>
      <c r="Q47" s="193" t="n">
        <v>0</v>
      </c>
      <c r="R47" s="193" t="n">
        <v>64.8</v>
      </c>
      <c r="S47" s="193" t="n">
        <v>432.81</v>
      </c>
      <c r="T47" s="193" t="n">
        <v>0</v>
      </c>
      <c r="U47" s="193" t="n">
        <v>497.61</v>
      </c>
      <c r="V47" s="193" t="n">
        <v>166.52</v>
      </c>
      <c r="W47" s="194" t="n">
        <v>0.335</v>
      </c>
    </row>
    <row r="48" ht="15" customHeight="1" s="227">
      <c r="A48" s="224" t="inlineStr">
        <is>
          <t>L</t>
        </is>
      </c>
      <c r="B48" s="224" t="n">
        <v>0</v>
      </c>
      <c r="C48" s="224" t="inlineStr">
        <is>
          <t>95.5+10.13+17.51=123.14</t>
        </is>
      </c>
      <c r="D48" s="224" t="n">
        <v>0</v>
      </c>
      <c r="E48" s="224" t="n">
        <v>0</v>
      </c>
      <c r="F48" s="224" t="n">
        <v>123.14</v>
      </c>
      <c r="G48" s="224" t="inlineStr">
        <is>
          <t>123.14×0.9 = 110.826</t>
        </is>
      </c>
      <c r="H48" s="224" t="n">
        <v>0.9</v>
      </c>
      <c r="O48" s="197" t="inlineStr">
        <is>
          <t>L11</t>
        </is>
      </c>
      <c r="P48" s="197" t="inlineStr">
        <is>
          <t>SUM</t>
        </is>
      </c>
      <c r="Q48" s="197" t="n"/>
      <c r="R48" s="197" t="n"/>
      <c r="S48" s="197" t="n"/>
      <c r="T48" s="197" t="n"/>
      <c r="U48" s="198" t="n">
        <v>497.61</v>
      </c>
      <c r="V48" s="198" t="n">
        <v>166.52</v>
      </c>
      <c r="W48" s="199" t="n">
        <v>0.335</v>
      </c>
    </row>
    <row r="49" ht="15" customHeight="1" s="227">
      <c r="A49" s="224" t="inlineStr">
        <is>
          <t>Sum</t>
        </is>
      </c>
      <c r="F49" s="224" t="n">
        <v>442.35</v>
      </c>
      <c r="G49" s="224" t="n">
        <v>338.185</v>
      </c>
      <c r="O49" s="304" t="inlineStr">
        <is>
          <t>LT1</t>
        </is>
      </c>
      <c r="P49" s="304" t="inlineStr">
        <is>
          <t>N</t>
        </is>
      </c>
      <c r="Q49" s="304" t="n">
        <v>903</v>
      </c>
      <c r="R49" s="304" t="n">
        <v>0</v>
      </c>
      <c r="S49" s="304" t="n">
        <v>0</v>
      </c>
      <c r="T49" s="304" t="n">
        <v>0</v>
      </c>
      <c r="U49" s="304" t="n">
        <v>903</v>
      </c>
    </row>
    <row r="50" ht="15" customHeight="1" s="227">
      <c r="A50" s="224" t="inlineStr">
        <is>
          <t>C = 338.185 / 442.35 = 0.7645 ≈ 0.765</t>
        </is>
      </c>
      <c r="O50" t="inlineStr">
        <is>
          <t>LT1</t>
        </is>
      </c>
      <c r="P50" t="inlineStr">
        <is>
          <t>SUM</t>
        </is>
      </c>
      <c r="U50" s="304" t="n">
        <v>903</v>
      </c>
    </row>
    <row r="51" ht="15.75" customHeight="1" s="227">
      <c r="O51" s="305" t="inlineStr">
        <is>
          <t>TOTAL zones: chaque m² une fois. Zone N=903 uniquement LT1. L10=0. L11=O seulement. Si N sur L10 ET LT1 → débit à P11 doublé.</t>
        </is>
      </c>
    </row>
    <row r="52" ht="15" customHeight="1" s="227">
      <c r="A52" s="202" t="inlineStr">
        <is>
          <t>PENTE</t>
        </is>
      </c>
    </row>
    <row r="53" ht="26.25" customHeight="1" s="227">
      <c r="A53" s="225" t="inlineStr">
        <is>
          <t>P09 → P06 (L06_P09_P06) → 0.0306</t>
        </is>
      </c>
    </row>
    <row r="54" ht="15" customHeight="1" s="227">
      <c r="A54" s="200" t="inlineStr">
        <is>
          <t>Item</t>
        </is>
      </c>
      <c r="B54" s="200" t="inlineStr">
        <is>
          <t>Value</t>
        </is>
      </c>
    </row>
    <row r="55" ht="15" customHeight="1" s="227">
      <c r="A55" s="224" t="inlineStr">
        <is>
          <t>Z P09 (amont)</t>
        </is>
      </c>
      <c r="B55" s="224" t="inlineStr">
        <is>
          <t>17.62 m</t>
        </is>
      </c>
    </row>
    <row r="56" ht="15" customHeight="1" s="227">
      <c r="A56" s="224" t="inlineStr">
        <is>
          <t>Z P06 (aval)</t>
        </is>
      </c>
      <c r="B56" s="224" t="inlineStr">
        <is>
          <t>17.14 m</t>
        </is>
      </c>
    </row>
    <row r="57" ht="15" customHeight="1" s="227">
      <c r="A57" s="224" t="inlineStr">
        <is>
          <t>L</t>
        </is>
      </c>
      <c r="B57" s="224" t="inlineStr">
        <is>
          <t>15.7 m</t>
        </is>
      </c>
    </row>
    <row r="58" ht="31.5" customHeight="1" s="227">
      <c r="A58" s="224" t="inlineStr">
        <is>
          <t>s = (17.62 - 17.14) / 15.7</t>
        </is>
      </c>
    </row>
    <row r="59" ht="15" customHeight="1" s="227">
      <c r="A59" s="224" t="inlineStr">
        <is>
          <t xml:space="preserve"> s = 0.48 / 15.7</t>
        </is>
      </c>
    </row>
    <row r="60" ht="15" customHeight="1" s="227">
      <c r="A60" s="224" t="inlineStr">
        <is>
          <t xml:space="preserve"> s = 0.030573 ≈ 0.0306 </t>
        </is>
      </c>
    </row>
    <row r="62" ht="15.75" customHeight="1" s="227">
      <c r="A62" s="228" t="inlineStr">
        <is>
          <t>DETAIL TRIBUTAIRES (suite) — L08 à L11</t>
        </is>
      </c>
    </row>
    <row r="64" ht="15.75" customHeight="1" s="227">
      <c r="A64" s="4" t="inlineStr">
        <is>
          <t>L08_P06_P04 → A = 147.90 m², C ≈ 0.684</t>
        </is>
      </c>
    </row>
    <row r="65" ht="15.75" customHeight="1" s="227">
      <c r="A65" t="inlineStr">
        <is>
          <t>Zones G:</t>
        </is>
      </c>
    </row>
    <row r="66" ht="15.75" customHeight="1" s="227">
      <c r="A66" s="146" t="inlineStr">
        <is>
          <t>Zone</t>
        </is>
      </c>
      <c r="B66" s="146" t="inlineStr">
        <is>
          <t>Roof</t>
        </is>
      </c>
      <c r="C66" s="146" t="inlineStr">
        <is>
          <t>Pave</t>
        </is>
      </c>
      <c r="D66" s="146" t="inlineStr">
        <is>
          <t>Grass</t>
        </is>
      </c>
      <c r="E66" s="146" t="inlineStr">
        <is>
          <t>Other</t>
        </is>
      </c>
      <c r="F66" s="146" t="inlineStr">
        <is>
          <t>A (m²)</t>
        </is>
      </c>
      <c r="G66" s="146" t="inlineStr">
        <is>
          <t>A_eff (m²)</t>
        </is>
      </c>
      <c r="H66" s="146" t="inlineStr">
        <is>
          <t>C zone</t>
        </is>
      </c>
    </row>
    <row r="67" ht="15.75" customHeight="1" s="227">
      <c r="A67" s="192" t="inlineStr">
        <is>
          <t>G</t>
        </is>
      </c>
      <c r="B67" s="193" t="n">
        <v>0</v>
      </c>
      <c r="C67" s="193" t="n">
        <v>98.7</v>
      </c>
      <c r="D67" s="193" t="n">
        <v>49.2</v>
      </c>
      <c r="E67" s="193" t="n">
        <v>0</v>
      </c>
      <c r="F67" s="193" t="n">
        <v>147.9</v>
      </c>
      <c r="G67" s="193" t="n">
        <v>101.13</v>
      </c>
      <c r="H67" s="194" t="n">
        <v>0.6840000000000001</v>
      </c>
    </row>
    <row r="68" ht="15.75" customHeight="1" s="227">
      <c r="A68" s="197" t="inlineStr">
        <is>
          <t>Sum</t>
        </is>
      </c>
      <c r="B68" s="197" t="n"/>
      <c r="C68" s="197" t="n"/>
      <c r="D68" s="197" t="n"/>
      <c r="E68" s="197" t="n"/>
      <c r="F68" s="197" t="n">
        <v>147.9</v>
      </c>
      <c r="G68" s="197" t="n">
        <v>101.13</v>
      </c>
      <c r="H68" s="197" t="n">
        <v>0.6840000000000001</v>
      </c>
    </row>
    <row r="69" ht="15.75" customHeight="1" s="227">
      <c r="A69" t="inlineStr">
        <is>
          <t>C = 101.1300 / 147.90 = 0.6838</t>
        </is>
      </c>
    </row>
    <row r="71" ht="15.75" customHeight="1" s="227">
      <c r="A71" s="4" t="inlineStr">
        <is>
          <t>L09_P04_P01 → A = 94.50 m², C ≈ 0.547</t>
        </is>
      </c>
    </row>
    <row r="72" ht="15.75" customHeight="1" s="227">
      <c r="A72" t="inlineStr">
        <is>
          <t>Zones D:</t>
        </is>
      </c>
    </row>
    <row r="73" ht="15.75" customHeight="1" s="227">
      <c r="A73" s="146" t="inlineStr">
        <is>
          <t>Zone</t>
        </is>
      </c>
      <c r="B73" s="146" t="inlineStr">
        <is>
          <t>Roof</t>
        </is>
      </c>
      <c r="C73" s="146" t="inlineStr">
        <is>
          <t>Pave</t>
        </is>
      </c>
      <c r="D73" s="146" t="inlineStr">
        <is>
          <t>Grass</t>
        </is>
      </c>
      <c r="E73" s="146" t="inlineStr">
        <is>
          <t>Other</t>
        </is>
      </c>
      <c r="F73" s="146" t="inlineStr">
        <is>
          <t>A (m²)</t>
        </is>
      </c>
      <c r="G73" s="146" t="inlineStr">
        <is>
          <t>A_eff (m²)</t>
        </is>
      </c>
      <c r="H73" s="146" t="inlineStr">
        <is>
          <t>C zone</t>
        </is>
      </c>
    </row>
    <row r="74" ht="15.75" customHeight="1" s="227">
      <c r="A74" s="192" t="inlineStr">
        <is>
          <t>D</t>
        </is>
      </c>
      <c r="B74" s="193" t="n">
        <v>0</v>
      </c>
      <c r="C74" s="193" t="n">
        <v>43.2</v>
      </c>
      <c r="D74" s="193" t="n">
        <v>51.3</v>
      </c>
      <c r="E74" s="193" t="n">
        <v>0</v>
      </c>
      <c r="F74" s="193" t="n">
        <v>94.5</v>
      </c>
      <c r="G74" s="193" t="n">
        <v>51.7</v>
      </c>
      <c r="H74" s="194" t="n">
        <v>0.547</v>
      </c>
    </row>
    <row r="75" ht="15.75" customHeight="1" s="227">
      <c r="A75" s="197" t="inlineStr">
        <is>
          <t>Sum</t>
        </is>
      </c>
      <c r="B75" s="197" t="n"/>
      <c r="C75" s="197" t="n"/>
      <c r="D75" s="197" t="n"/>
      <c r="E75" s="197" t="n"/>
      <c r="F75" s="197" t="n">
        <v>94.5</v>
      </c>
      <c r="G75" s="197" t="n">
        <v>51.7</v>
      </c>
      <c r="H75" s="197" t="n">
        <v>0.547</v>
      </c>
    </row>
    <row r="76" ht="15.75" customHeight="1" s="227">
      <c r="A76" t="inlineStr">
        <is>
          <t>C = 51.7050 / 94.50 = 0.5471</t>
        </is>
      </c>
    </row>
    <row r="78" ht="15.75" customHeight="1" s="227">
      <c r="A78" s="4" t="inlineStr">
        <is>
          <t>L01_P01_P02 → A = 257.30 m², C ≈ 0.633</t>
        </is>
      </c>
    </row>
    <row r="79" ht="15.75" customHeight="1" s="227">
      <c r="A79" t="inlineStr">
        <is>
          <t>Zones A, E:</t>
        </is>
      </c>
    </row>
    <row r="80" ht="15.75" customHeight="1" s="227">
      <c r="A80" s="146" t="inlineStr">
        <is>
          <t>Zone</t>
        </is>
      </c>
      <c r="B80" s="146" t="inlineStr">
        <is>
          <t>Roof</t>
        </is>
      </c>
      <c r="C80" s="146" t="inlineStr">
        <is>
          <t>Pave</t>
        </is>
      </c>
      <c r="D80" s="146" t="inlineStr">
        <is>
          <t>Grass</t>
        </is>
      </c>
      <c r="E80" s="146" t="inlineStr">
        <is>
          <t>Other</t>
        </is>
      </c>
      <c r="F80" s="146" t="inlineStr">
        <is>
          <t>A (m²)</t>
        </is>
      </c>
      <c r="G80" s="146" t="inlineStr">
        <is>
          <t>A_eff (m²)</t>
        </is>
      </c>
      <c r="H80" s="146" t="inlineStr">
        <is>
          <t>C zone</t>
        </is>
      </c>
    </row>
    <row r="81" ht="15.75" customHeight="1" s="227">
      <c r="A81" s="192" t="inlineStr">
        <is>
          <t>A</t>
        </is>
      </c>
      <c r="B81" s="193" t="n">
        <v>0</v>
      </c>
      <c r="C81" s="193" t="n">
        <v>61.9</v>
      </c>
      <c r="D81" s="193" t="n">
        <v>89.59999999999999</v>
      </c>
      <c r="E81" s="193" t="n">
        <v>0</v>
      </c>
      <c r="F81" s="193" t="n">
        <v>151.5</v>
      </c>
      <c r="G81" s="193" t="n">
        <v>78.11</v>
      </c>
      <c r="H81" s="194" t="n">
        <v>0.516</v>
      </c>
    </row>
    <row r="82" ht="15.75" customHeight="1" s="227">
      <c r="A82" s="192" t="inlineStr">
        <is>
          <t>E</t>
        </is>
      </c>
      <c r="B82" s="193" t="n">
        <v>0</v>
      </c>
      <c r="C82" s="193" t="n">
        <v>89.59999999999999</v>
      </c>
      <c r="D82" s="193" t="n">
        <v>16.2</v>
      </c>
      <c r="E82" s="193" t="n">
        <v>0</v>
      </c>
      <c r="F82" s="193" t="n">
        <v>105.8</v>
      </c>
      <c r="G82" s="193" t="n">
        <v>84.69</v>
      </c>
      <c r="H82" s="194" t="n">
        <v>0.8</v>
      </c>
    </row>
    <row r="83" ht="15.75" customHeight="1" s="227">
      <c r="A83" s="197" t="inlineStr">
        <is>
          <t>Sum</t>
        </is>
      </c>
      <c r="B83" s="197" t="n"/>
      <c r="C83" s="197" t="n"/>
      <c r="D83" s="197" t="n"/>
      <c r="E83" s="197" t="n"/>
      <c r="F83" s="197" t="n">
        <v>257.3</v>
      </c>
      <c r="G83" s="197" t="n">
        <v>162.8</v>
      </c>
      <c r="H83" s="197" t="n">
        <v>0.633</v>
      </c>
    </row>
    <row r="84" ht="15.75" customHeight="1" s="227">
      <c r="A84" t="inlineStr">
        <is>
          <t>C = 162.8000 / 257.30 = 0.6327</t>
        </is>
      </c>
    </row>
    <row r="86" ht="15.75" customHeight="1" s="227">
      <c r="A86" s="4" t="inlineStr">
        <is>
          <t>L02_P02_P03 → A = 467.89 m², C ≈ 0.642</t>
        </is>
      </c>
    </row>
    <row r="87" ht="15.75" customHeight="1" s="227">
      <c r="A87" t="inlineStr">
        <is>
          <t>Zones B, C, F:</t>
        </is>
      </c>
    </row>
    <row r="88" ht="15.75" customHeight="1" s="227">
      <c r="A88" s="146" t="inlineStr">
        <is>
          <t>Zone</t>
        </is>
      </c>
      <c r="B88" s="146" t="inlineStr">
        <is>
          <t>Roof</t>
        </is>
      </c>
      <c r="C88" s="146" t="inlineStr">
        <is>
          <t>Pave</t>
        </is>
      </c>
      <c r="D88" s="146" t="inlineStr">
        <is>
          <t>Grass</t>
        </is>
      </c>
      <c r="E88" s="146" t="inlineStr">
        <is>
          <t>Other</t>
        </is>
      </c>
      <c r="F88" s="146" t="inlineStr">
        <is>
          <t>A (m²)</t>
        </is>
      </c>
      <c r="G88" s="146" t="inlineStr">
        <is>
          <t>A_eff (m²)</t>
        </is>
      </c>
      <c r="H88" s="146" t="inlineStr">
        <is>
          <t>C zone</t>
        </is>
      </c>
    </row>
    <row r="89" ht="15.75" customHeight="1" s="227">
      <c r="A89" s="192" t="inlineStr">
        <is>
          <t>B</t>
        </is>
      </c>
      <c r="B89" s="193" t="n">
        <v>0</v>
      </c>
      <c r="C89" s="193" t="n">
        <v>79.8</v>
      </c>
      <c r="D89" s="193" t="n">
        <v>43</v>
      </c>
      <c r="E89" s="193" t="n">
        <v>0</v>
      </c>
      <c r="F89" s="193" t="n">
        <v>122.8</v>
      </c>
      <c r="G89" s="193" t="n">
        <v>82.56999999999999</v>
      </c>
      <c r="H89" s="194" t="n">
        <v>0.672</v>
      </c>
    </row>
    <row r="90" ht="15.75" customHeight="1" s="227">
      <c r="A90" s="192" t="inlineStr">
        <is>
          <t>C</t>
        </is>
      </c>
      <c r="B90" s="193" t="n">
        <v>0</v>
      </c>
      <c r="C90" s="193" t="n">
        <v>87.8</v>
      </c>
      <c r="D90" s="193" t="n">
        <v>123.9</v>
      </c>
      <c r="E90" s="193" t="n">
        <v>0</v>
      </c>
      <c r="F90" s="193" t="n">
        <v>211.7</v>
      </c>
      <c r="G90" s="193" t="n">
        <v>110</v>
      </c>
      <c r="H90" s="194" t="n">
        <v>0.52</v>
      </c>
    </row>
    <row r="91" ht="15.75" customHeight="1" s="227">
      <c r="A91" s="192" t="inlineStr">
        <is>
          <t>F</t>
        </is>
      </c>
      <c r="B91" s="193" t="n">
        <v>0</v>
      </c>
      <c r="C91" s="193" t="n">
        <v>114.49</v>
      </c>
      <c r="D91" s="193" t="n">
        <v>18.9</v>
      </c>
      <c r="E91" s="193" t="n">
        <v>0</v>
      </c>
      <c r="F91" s="193" t="n">
        <v>133.39</v>
      </c>
      <c r="G91" s="193" t="n">
        <v>107.77</v>
      </c>
      <c r="H91" s="194" t="n">
        <v>0.8080000000000001</v>
      </c>
    </row>
    <row r="92" ht="15.75" customHeight="1" s="227">
      <c r="A92" s="197" t="inlineStr">
        <is>
          <t>Sum</t>
        </is>
      </c>
      <c r="B92" s="197" t="n"/>
      <c r="C92" s="197" t="n"/>
      <c r="D92" s="197" t="n"/>
      <c r="E92" s="197" t="n"/>
      <c r="F92" s="197" t="n">
        <v>467.89</v>
      </c>
      <c r="G92" s="197" t="n">
        <v>300.33</v>
      </c>
      <c r="H92" s="197" t="n">
        <v>0.642</v>
      </c>
    </row>
    <row r="93" ht="15.75" customHeight="1" s="227">
      <c r="A93" t="inlineStr">
        <is>
          <t>C = 300.3310 / 467.89 = 0.6419</t>
        </is>
      </c>
    </row>
    <row r="95" ht="15.75" customHeight="1" s="227">
      <c r="A95" s="4" t="inlineStr">
        <is>
          <t>L03_P03_P10 → A = 0 m² (aucune zone CB — conduite de transfert)</t>
        </is>
      </c>
    </row>
    <row r="97" ht="15.75" customHeight="1" s="227">
      <c r="A97" s="318" t="inlineStr">
        <is>
          <t>L10_P10_P11 → A = 0 m² (transfert — zone N RETIRÉE, déplacée vers LT1/T1→P11)</t>
        </is>
      </c>
    </row>
    <row r="98" ht="15.75" customHeight="1" s="227">
      <c r="A98" t="inlineStr">
        <is>
          <t>Zones: aucune (N n'est PLUS sur L10)</t>
        </is>
      </c>
    </row>
    <row r="99" ht="15.75" customHeight="1" s="227">
      <c r="A99" s="146" t="inlineStr">
        <is>
          <t>Zone</t>
        </is>
      </c>
      <c r="B99" s="146" t="inlineStr">
        <is>
          <t>Roof</t>
        </is>
      </c>
      <c r="C99" s="146" t="inlineStr">
        <is>
          <t>Pave</t>
        </is>
      </c>
      <c r="D99" s="146" t="inlineStr">
        <is>
          <t>Grass</t>
        </is>
      </c>
      <c r="E99" s="146" t="inlineStr">
        <is>
          <t>Other</t>
        </is>
      </c>
      <c r="F99" s="146" t="inlineStr">
        <is>
          <t>A (m²)</t>
        </is>
      </c>
      <c r="G99" s="146" t="inlineStr">
        <is>
          <t>A_eff (m²)</t>
        </is>
      </c>
      <c r="H99" s="146" t="inlineStr">
        <is>
          <t>C zone</t>
        </is>
      </c>
    </row>
    <row r="100" ht="15.75" customHeight="1" s="227">
      <c r="A100" s="192" t="inlineStr">
        <is>
          <t>—</t>
        </is>
      </c>
      <c r="B100" s="193" t="n">
        <v>0</v>
      </c>
      <c r="C100" s="193" t="n">
        <v>0</v>
      </c>
      <c r="D100" s="193" t="n">
        <v>0</v>
      </c>
      <c r="E100" s="193" t="n">
        <v>0</v>
      </c>
      <c r="F100" s="193" t="n">
        <v>0</v>
      </c>
      <c r="G100" s="193" t="n">
        <v>0</v>
      </c>
      <c r="H100" s="194" t="n"/>
    </row>
    <row r="101" ht="15.75" customHeight="1" s="227">
      <c r="A101" s="197" t="inlineStr">
        <is>
          <t>Sum</t>
        </is>
      </c>
      <c r="B101" s="197" t="n"/>
      <c r="C101" s="197" t="n"/>
      <c r="D101" s="197" t="n"/>
      <c r="E101" s="197" t="n"/>
      <c r="F101" s="197" t="n">
        <v>0</v>
      </c>
      <c r="G101" s="197" t="n">
        <v>0</v>
      </c>
      <c r="H101" s="197" t="n"/>
    </row>
    <row r="102" ht="15.75" customHeight="1" s="227">
      <c r="A102" t="inlineStr">
        <is>
          <t>C = n/a (DA=0). Voir bloc LT1 ci-dessous pour zone N.</t>
        </is>
      </c>
    </row>
    <row r="104" ht="15.75" customHeight="1" s="227">
      <c r="A104" s="4" t="inlineStr">
        <is>
          <t>L11_P11_P12 → A = 497.61 m², C ≈ 0.335</t>
        </is>
      </c>
    </row>
    <row r="105" ht="15.75" customHeight="1" s="227">
      <c r="A105" t="inlineStr">
        <is>
          <t>Zones O:</t>
        </is>
      </c>
    </row>
    <row r="106" ht="15.75" customHeight="1" s="227">
      <c r="A106" s="146" t="inlineStr">
        <is>
          <t>Zone</t>
        </is>
      </c>
      <c r="B106" s="146" t="inlineStr">
        <is>
          <t>Roof</t>
        </is>
      </c>
      <c r="C106" s="146" t="inlineStr">
        <is>
          <t>Pave</t>
        </is>
      </c>
      <c r="D106" s="146" t="inlineStr">
        <is>
          <t>Grass</t>
        </is>
      </c>
      <c r="E106" s="146" t="inlineStr">
        <is>
          <t>Other</t>
        </is>
      </c>
      <c r="F106" s="146" t="inlineStr">
        <is>
          <t>A (m²)</t>
        </is>
      </c>
      <c r="G106" s="146" t="inlineStr">
        <is>
          <t>A_eff (m²)</t>
        </is>
      </c>
      <c r="H106" s="146" t="inlineStr">
        <is>
          <t>C zone</t>
        </is>
      </c>
    </row>
    <row r="107" ht="15.75" customHeight="1" s="227">
      <c r="A107" s="192" t="inlineStr">
        <is>
          <t>O</t>
        </is>
      </c>
      <c r="B107" s="193" t="n">
        <v>0</v>
      </c>
      <c r="C107" s="193" t="n">
        <v>64.8</v>
      </c>
      <c r="D107" s="193" t="n">
        <v>432.81</v>
      </c>
      <c r="E107" s="193" t="n">
        <v>0</v>
      </c>
      <c r="F107" s="193" t="n">
        <v>497.61</v>
      </c>
      <c r="G107" s="193" t="n">
        <v>166.52</v>
      </c>
      <c r="H107" s="194" t="n">
        <v>0.335</v>
      </c>
    </row>
    <row r="108" ht="15.75" customHeight="1" s="227">
      <c r="A108" s="197" t="inlineStr">
        <is>
          <t>Sum</t>
        </is>
      </c>
      <c r="B108" s="197" t="n"/>
      <c r="C108" s="197" t="n"/>
      <c r="D108" s="197" t="n"/>
      <c r="E108" s="197" t="n"/>
      <c r="F108" s="197" t="n">
        <v>497.61</v>
      </c>
      <c r="G108" s="197" t="n">
        <v>166.52</v>
      </c>
      <c r="H108" s="197" t="n">
        <v>0.335</v>
      </c>
    </row>
    <row r="109" ht="15.75" customHeight="1" s="227">
      <c r="A109" t="inlineStr">
        <is>
          <t>C = 166.5225 / 497.61 = 0.3346</t>
        </is>
      </c>
    </row>
    <row r="112" ht="15" customHeight="1" s="227">
      <c r="A112" s="224" t="inlineStr">
        <is>
          <t>L overland was not surveyed. It was an estimate used only for the entry-time formula.</t>
        </is>
      </c>
    </row>
    <row r="113" ht="15" customHeight="1" s="227">
      <c r="A113" s="225" t="inlineStr">
        <is>
          <t>Formula I used</t>
        </is>
      </c>
    </row>
    <row r="114" ht="15" customHeight="1" s="227">
      <c r="A114" s="224" t="inlineStr">
        <is>
          <t>L_overland (m) ≈ max(10, √A)</t>
        </is>
      </c>
    </row>
    <row r="115" ht="15" customHeight="1" s="227">
      <c r="A115" s="224" t="inlineStr">
        <is>
          <t>MAJ Olivier: P02→J01 (1.4 m); P03→RP03; H/I fusion au J01 dans Calcul_reseau.</t>
        </is>
      </c>
    </row>
    <row r="116" ht="15" customHeight="1" s="227">
      <c r="A116" s="224" t="inlineStr">
        <is>
          <t>Aires L02 (B,C,F) restent sur la branche P02→J01 (colonne G / DA rangée 23).</t>
        </is>
      </c>
    </row>
    <row r="117" ht="15" customHeight="1" s="227">
      <c r="A117" s="319" t="inlineStr">
        <is>
          <t>LT1_T1_P11 (toiture zone N): A=903 m², C=0.95 — SEUL propriétaire de N. Colonne K du tableau (K6=0.0903). Ne jamais recopier N sur L10/H6.</t>
        </is>
      </c>
    </row>
    <row r="118" ht="15" customHeight="1" s="227">
      <c r="A118" s="200" t="inlineStr">
        <is>
          <t>P10→P11: DA locale=0 dans Calcul_reseau E26 ET dans Temps H6/RESUME. Fusion à P11 = H(P10)+H(T1)+DA(P11). Radiers inchangés (dépendent de L,s).</t>
        </is>
      </c>
      <c r="B118" s="200" t="inlineStr">
        <is>
          <t>A (m²)</t>
        </is>
      </c>
      <c r="C118" s="200" t="inlineStr">
        <is>
          <t>√A</t>
        </is>
      </c>
      <c r="D118" s="200" t="inlineStr">
        <is>
          <t>L overland used</t>
        </is>
      </c>
    </row>
    <row r="119" ht="15" customHeight="1" s="227">
      <c r="A119" s="224" t="inlineStr">
        <is>
          <t>L06</t>
        </is>
      </c>
      <c r="B119" s="224" t="n">
        <v>446.75</v>
      </c>
      <c r="C119" s="224" t="n">
        <v>21.14</v>
      </c>
      <c r="D119" s="224" t="inlineStr">
        <is>
          <t>21.1 m</t>
        </is>
      </c>
    </row>
    <row r="120" ht="15" customHeight="1" s="227">
      <c r="A120" s="224" t="inlineStr">
        <is>
          <t>L07</t>
        </is>
      </c>
      <c r="B120" s="224" t="n">
        <v>442.35</v>
      </c>
      <c r="C120" s="224" t="n">
        <v>21.03</v>
      </c>
      <c r="D120" s="224" t="inlineStr">
        <is>
          <t>21.0 m</t>
        </is>
      </c>
    </row>
    <row r="121" ht="15" customHeight="1" s="227">
      <c r="A121" s="224" t="inlineStr">
        <is>
          <t>L08</t>
        </is>
      </c>
      <c r="B121" s="224" t="n">
        <v>147.9</v>
      </c>
      <c r="C121" s="224" t="n">
        <v>12.16</v>
      </c>
      <c r="D121" s="224" t="inlineStr">
        <is>
          <t>12.2 m</t>
        </is>
      </c>
    </row>
    <row r="122" ht="15" customHeight="1" s="227">
      <c r="A122" s="224" t="inlineStr">
        <is>
          <t>L09</t>
        </is>
      </c>
      <c r="B122" s="224" t="n">
        <v>94.5</v>
      </c>
      <c r="C122" s="224" t="n">
        <v>9.720000000000001</v>
      </c>
      <c r="D122" s="224" t="inlineStr">
        <is>
          <t>10.0 m (minimum 10)</t>
        </is>
      </c>
    </row>
    <row r="123" ht="15" customHeight="1" s="227">
      <c r="A123" s="224" t="inlineStr">
        <is>
          <t>L01</t>
        </is>
      </c>
      <c r="B123" s="224" t="n">
        <v>257.3</v>
      </c>
      <c r="C123" s="224" t="n">
        <v>16.04</v>
      </c>
      <c r="D123" s="224" t="inlineStr">
        <is>
          <t>16.0 m</t>
        </is>
      </c>
    </row>
    <row r="124" ht="15" customHeight="1" s="227">
      <c r="A124" s="224" t="inlineStr">
        <is>
          <t>L02</t>
        </is>
      </c>
      <c r="B124" s="224" t="n">
        <v>467.89</v>
      </c>
      <c r="C124" s="224" t="n">
        <v>21.63</v>
      </c>
      <c r="D124" s="224" t="inlineStr">
        <is>
          <t>21.6 m</t>
        </is>
      </c>
    </row>
    <row r="125" ht="15" customHeight="1" s="227">
      <c r="A125" s="224" t="inlineStr">
        <is>
          <t>L10 (DA=0)</t>
        </is>
      </c>
      <c r="B125" s="320" t="n">
        <v>0</v>
      </c>
      <c r="C125" s="224" t="n">
        <v>0</v>
      </c>
      <c r="D125" s="224" t="inlineStr">
        <is>
          <t>0 m (transfert)</t>
        </is>
      </c>
      <c r="F125" s="304" t="inlineStr">
        <is>
          <t>LT1</t>
        </is>
      </c>
      <c r="G125" s="304" t="n">
        <v>903</v>
      </c>
      <c r="H125" t="inlineStr">
        <is>
          <t>√A≈30 → K10=30 m (toit)</t>
        </is>
      </c>
    </row>
    <row r="126" ht="15" customHeight="1" s="227">
      <c r="A126" s="224" t="inlineStr">
        <is>
          <t>L11</t>
        </is>
      </c>
      <c r="B126" s="224" t="n">
        <v>497.61</v>
      </c>
      <c r="C126" s="224" t="n">
        <v>22.31</v>
      </c>
      <c r="D126" s="224" t="inlineStr">
        <is>
          <t>22.3 m</t>
        </is>
      </c>
    </row>
    <row r="127" ht="15" customHeight="1" s="227">
      <c r="A127" s="225" t="inlineStr">
        <is>
          <t>Why this was done</t>
        </is>
      </c>
    </row>
    <row r="128" ht="15" customHeight="1" s="227">
      <c r="A128" s="224" t="inlineStr">
        <is>
          <t>The Saint-Hubert sheet needs L, n, and s for:</t>
        </is>
      </c>
    </row>
    <row r="129" ht="15" customHeight="1" s="227">
      <c r="A129" s="224" t="inlineStr">
        <is>
          <t>te = ((2.187 · L · n) / √s)^0.467</t>
        </is>
      </c>
    </row>
    <row r="130" ht="15" customHeight="1" s="227">
      <c r="A130" s="224" t="inlineStr">
        <is>
          <t>Your Reseau_pluvial file had areas, but not measured overland flow lengths, so I used √A as a placeholder.</t>
        </is>
      </c>
    </row>
    <row r="131" ht="15" customHeight="1" s="227">
      <c r="A131" s="225" t="inlineStr">
        <is>
          <t>Better values to use</t>
        </is>
      </c>
    </row>
    <row r="132" ht="15" customHeight="1" s="227">
      <c r="A132" s="224" t="inlineStr">
        <is>
          <t>Replace yellow L overland cells with the real flow path to the catch basin:</t>
        </is>
      </c>
    </row>
    <row r="133" ht="15" customHeight="1" s="227">
      <c r="A133" s="224" t="inlineStr">
        <is>
          <t>roof drain / sheet flow / gutter length to the CB, in metres.</t>
        </is>
      </c>
    </row>
    <row r="134" ht="15" customHeight="1" s="227">
      <c r="A134" s="224" t="inlineStr">
        <is>
          <t>Until then, treat these L values as approximate only.</t>
        </is>
      </c>
    </row>
  </sheetData>
  <mergeCells count="38">
    <mergeCell ref="A116:D116"/>
    <mergeCell ref="A30:H30"/>
    <mergeCell ref="A39:H39"/>
    <mergeCell ref="A131:D131"/>
    <mergeCell ref="A24:H24"/>
    <mergeCell ref="O1:W1"/>
    <mergeCell ref="A134:D134"/>
    <mergeCell ref="A112:D112"/>
    <mergeCell ref="A117:D117"/>
    <mergeCell ref="A115:D115"/>
    <mergeCell ref="A114:D114"/>
    <mergeCell ref="A25:H25"/>
    <mergeCell ref="A127:D127"/>
    <mergeCell ref="A130:D130"/>
    <mergeCell ref="O51:W51"/>
    <mergeCell ref="A27:H27"/>
    <mergeCell ref="O2:W2"/>
    <mergeCell ref="A50:H50"/>
    <mergeCell ref="A132:D132"/>
    <mergeCell ref="A26:H26"/>
    <mergeCell ref="A21:H21"/>
    <mergeCell ref="A4:A5"/>
    <mergeCell ref="A42:H42"/>
    <mergeCell ref="A33:H33"/>
    <mergeCell ref="A128:D128"/>
    <mergeCell ref="A23:H23"/>
    <mergeCell ref="A32:H32"/>
    <mergeCell ref="B4:M4"/>
    <mergeCell ref="A133:D133"/>
    <mergeCell ref="A53:B53"/>
    <mergeCell ref="A22:H22"/>
    <mergeCell ref="A29:H29"/>
    <mergeCell ref="A43:H43"/>
    <mergeCell ref="A28:H28"/>
    <mergeCell ref="A113:D113"/>
    <mergeCell ref="A129:D129"/>
    <mergeCell ref="A31:H31"/>
    <mergeCell ref="A34:H34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Guy Trudeau</dc:creator>
  <dc:language>en-CA</dc:language>
  <dcterms:created xsi:type="dcterms:W3CDTF">1996-06-18T17:29:14Z</dcterms:created>
  <dcterms:modified xsi:type="dcterms:W3CDTF">2026-08-11T11:48:29Z</dcterms:modified>
  <cp:lastModifiedBy>Fernando Davila</cp:lastModifiedBy>
  <cp:revision>10</cp:revision>
  <cp:lastPrinted>2010-12-21T21:08:36Z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0x010100BB751D8A11080746B0E3E54BA2C9385D</vt:lpwstr>
  </property>
  <property name="_dlc_DocIdItemGuid" fmtid="{D5CDD505-2E9C-101B-9397-08002B2CF9AE}" pid="3">
    <vt:lpwstr>f8b319b9-1eef-4cfc-afa6-463db90afb96</vt:lpwstr>
  </property>
</Properties>
</file>