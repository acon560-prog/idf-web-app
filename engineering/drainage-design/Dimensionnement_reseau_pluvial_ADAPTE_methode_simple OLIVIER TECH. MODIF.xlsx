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:\ENTREPRISES\MHA\GENERAL\DocsProjets\Projets\Projets 2026\2026-1801 Multilogement Sorel LDA\01-Conception\Ingénierie\"/>
    </mc:Choice>
  </mc:AlternateContent>
  <xr:revisionPtr revIDLastSave="0" documentId="13_ncr:1_{86559A71-E186-4B0A-825E-05283ACF48D7}" xr6:coauthVersionLast="47" xr6:coauthVersionMax="47" xr10:uidLastSave="{00000000-0000-0000-0000-000000000000}"/>
  <bookViews>
    <workbookView xWindow="34530" yWindow="465" windowWidth="21840" windowHeight="12990" tabRatio="500" activeTab="1" xr2:uid="{00000000-000D-0000-FFFF-FFFF00000000}"/>
  </bookViews>
  <sheets>
    <sheet name="Guide_adaptation" sheetId="1" r:id="rId1"/>
    <sheet name="Calcul_reseau" sheetId="2" r:id="rId2"/>
    <sheet name="Temps de concentration" sheetId="3" r:id="rId3"/>
  </sheets>
  <definedNames>
    <definedName name="_xlnm.Print_Titles" localSheetId="1">Calcul_reseau!$1:$15</definedName>
    <definedName name="_xlnm.Print_Area" localSheetId="1">Calcul_reseau!$A$1:$AA$35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7" i="2" l="1"/>
  <c r="U27" i="2"/>
  <c r="V26" i="2" s="1"/>
  <c r="U26" i="2" s="1"/>
  <c r="V25" i="2" s="1"/>
  <c r="U25" i="2" s="1"/>
  <c r="V24" i="2" s="1"/>
  <c r="U24" i="2" s="1"/>
  <c r="V23" i="2" s="1"/>
  <c r="U23" i="2" s="1"/>
  <c r="V22" i="2" s="1"/>
  <c r="U22" i="2" s="1"/>
  <c r="V21" i="2" s="1"/>
  <c r="U21" i="2" s="1"/>
  <c r="V20" i="2" s="1"/>
  <c r="U20" i="2" s="1"/>
  <c r="V19" i="2" s="1"/>
  <c r="U19" i="2" s="1"/>
  <c r="V18" i="2" s="1"/>
  <c r="U18" i="2" s="1"/>
  <c r="Y27" i="2"/>
  <c r="O27" i="2"/>
  <c r="R27" i="2" s="1"/>
  <c r="AB27" i="2" s="1"/>
  <c r="Y26" i="2"/>
  <c r="O26" i="2"/>
  <c r="R26" i="2" s="1"/>
  <c r="G26" i="2"/>
  <c r="Y25" i="2"/>
  <c r="R25" i="2"/>
  <c r="Q25" i="2"/>
  <c r="O25" i="2"/>
  <c r="G25" i="2"/>
  <c r="Y24" i="2"/>
  <c r="O24" i="2"/>
  <c r="R24" i="2" s="1"/>
  <c r="G24" i="2"/>
  <c r="Y23" i="2"/>
  <c r="O23" i="2"/>
  <c r="R23" i="2" s="1"/>
  <c r="G23" i="2"/>
  <c r="Y22" i="2"/>
  <c r="Q22" i="2"/>
  <c r="O22" i="2"/>
  <c r="R22" i="2" s="1"/>
  <c r="G22" i="2"/>
  <c r="Y21" i="2"/>
  <c r="R21" i="2"/>
  <c r="Q21" i="2"/>
  <c r="O21" i="2"/>
  <c r="G21" i="2"/>
  <c r="Y20" i="2"/>
  <c r="O20" i="2"/>
  <c r="R20" i="2" s="1"/>
  <c r="G20" i="2"/>
  <c r="Y19" i="2"/>
  <c r="O19" i="2"/>
  <c r="R19" i="2" s="1"/>
  <c r="H19" i="2"/>
  <c r="G19" i="2"/>
  <c r="Y18" i="2"/>
  <c r="Q18" i="2"/>
  <c r="O18" i="2"/>
  <c r="R18" i="2" s="1"/>
  <c r="I18" i="2"/>
  <c r="I19" i="2" s="1"/>
  <c r="I20" i="2" s="1"/>
  <c r="I21" i="2" s="1"/>
  <c r="I22" i="2" s="1"/>
  <c r="I23" i="2" s="1"/>
  <c r="I24" i="2" s="1"/>
  <c r="I25" i="2" s="1"/>
  <c r="I26" i="2" s="1"/>
  <c r="H18" i="2"/>
  <c r="J18" i="2" s="1"/>
  <c r="G18" i="2"/>
  <c r="D18" i="2"/>
  <c r="K18" i="2" s="1"/>
  <c r="S2" i="2"/>
  <c r="I7" i="3"/>
  <c r="H7" i="3"/>
  <c r="G7" i="3"/>
  <c r="F7" i="3"/>
  <c r="E7" i="3"/>
  <c r="D7" i="3"/>
  <c r="C7" i="3"/>
  <c r="B7" i="3"/>
  <c r="Q27" i="2" l="1"/>
  <c r="Q26" i="2"/>
  <c r="L18" i="2"/>
  <c r="AB18" i="2" s="1"/>
  <c r="D19" i="2"/>
  <c r="Q19" i="2"/>
  <c r="H20" i="2"/>
  <c r="Q23" i="2"/>
  <c r="J19" i="2"/>
  <c r="Q20" i="2"/>
  <c r="Q24" i="2"/>
  <c r="D20" i="2" l="1"/>
  <c r="K19" i="2"/>
  <c r="L19" i="2" s="1"/>
  <c r="AB19" i="2" s="1"/>
  <c r="H21" i="2"/>
  <c r="J20" i="2"/>
  <c r="H22" i="2" l="1"/>
  <c r="J21" i="2"/>
  <c r="D21" i="2"/>
  <c r="K20" i="2"/>
  <c r="L20" i="2" s="1"/>
  <c r="AB20" i="2" s="1"/>
  <c r="D22" i="2" l="1"/>
  <c r="K21" i="2"/>
  <c r="L21" i="2" s="1"/>
  <c r="AB21" i="2" s="1"/>
  <c r="J22" i="2"/>
  <c r="H23" i="2"/>
  <c r="K22" i="2" l="1"/>
  <c r="L22" i="2" s="1"/>
  <c r="AB22" i="2" s="1"/>
  <c r="D23" i="2"/>
  <c r="J23" i="2"/>
  <c r="H24" i="2"/>
  <c r="H25" i="2" l="1"/>
  <c r="J24" i="2"/>
  <c r="D24" i="2"/>
  <c r="K23" i="2"/>
  <c r="L23" i="2" s="1"/>
  <c r="AB23" i="2" s="1"/>
  <c r="D25" i="2" l="1"/>
  <c r="K24" i="2"/>
  <c r="L24" i="2" s="1"/>
  <c r="AB24" i="2" s="1"/>
  <c r="H26" i="2"/>
  <c r="J25" i="2"/>
  <c r="J26" i="2" l="1"/>
  <c r="D26" i="2"/>
  <c r="K26" i="2" s="1"/>
  <c r="L26" i="2" s="1"/>
  <c r="AB26" i="2" s="1"/>
  <c r="K25" i="2"/>
  <c r="L25" i="2" s="1"/>
  <c r="AB25" i="2" s="1"/>
</calcChain>
</file>

<file path=xl/sharedStrings.xml><?xml version="1.0" encoding="utf-8"?>
<sst xmlns="http://schemas.openxmlformats.org/spreadsheetml/2006/main" count="454" uniqueCount="275">
  <si>
    <t>Adaptation méthode simple Saint-Hubert ← données Reseau_pluvial_dimensionnement_v1</t>
  </si>
  <si>
    <t>Fichiers sources</t>
  </si>
  <si>
    <t>Méthode simple: Dimensionnement réseau pluvial- Saint Hubert - bassin 5 à 60 minutes.xlsx</t>
  </si>
  <si>
    <t>Données projet: Reseau_pluvial_dimensionnement_v1.xlsx</t>
  </si>
  <si>
    <t>Onglets</t>
  </si>
  <si>
    <t>Temps de concentration: aires locales (ha), C, L/n/s overland → temps d’entrée</t>
  </si>
  <si>
    <t>Calcul_reseau: tronçons amont→aval, débit rationnel cumulatif, diamètre, capacité, radiers/couverture</t>
  </si>
  <si>
    <t>Correspondance topologique utilisée</t>
  </si>
  <si>
    <t>L06_P09_P06: P09 → P06 → L07_P07_P06 | L=15.7 m | A=446.8 m² | C≈0.425</t>
  </si>
  <si>
    <t>L07_P07_P06: P07 → P06 → L08_P06_P04 | L=12.2 m | A=442.4 m² | C≈0.765</t>
  </si>
  <si>
    <t>L08_P06_P04: P06 → P04 → L09_P04_P01 | L=9.6 m | A=147.9 m² | C≈0.684</t>
  </si>
  <si>
    <t>L09_P04_P01: P04 → P01 → L01_P01_P02 | L=13.5 m | A=94.5 m² | C≈0.547</t>
  </si>
  <si>
    <t>L01_P01_P02: P01 → P02 → L02_P02_P03 | L=14.2 m | A=257.3 m² | C≈0.633</t>
  </si>
  <si>
    <t>L02_P02_P03: P02 → P03 → L03_P03_P10 | L=10.6 m | A=467.9 m² | C≈0.642</t>
  </si>
  <si>
    <t>L03_P03_P10: P03 → P10 → L10_P10_P11 | L=6.8 m | A=0.0 m² | C≈0.900</t>
  </si>
  <si>
    <t>L10_P10_P11: P10 → P11 → L11_P11_P12 | L=14.5 m | A=903.0 m² | C≈0.950</t>
  </si>
  <si>
    <t>L11_P11_P12: P11 → P12 → PUB | L=11.7 m | A=497.6 m² | C≈0.335</t>
  </si>
  <si>
    <t>Calculs relatifs à un réseau d'égout pluvial</t>
  </si>
  <si>
    <t>Projet :</t>
  </si>
  <si>
    <t>Réseau pluvial – projet (données Reseau_pluvial_dimensionnement_v1)</t>
  </si>
  <si>
    <t>IDF projet (Inputs v1) – courbe 1/10 ans A=508.07 B=2.9 C=0.644</t>
  </si>
  <si>
    <t>Période de retour:</t>
  </si>
  <si>
    <t>ans</t>
  </si>
  <si>
    <t>No dossier :</t>
  </si>
  <si>
    <t>Adapté méthode simple Saint-Hubert</t>
  </si>
  <si>
    <t>I = A/(t+B)C</t>
  </si>
  <si>
    <t>Date :</t>
  </si>
  <si>
    <t>2026-07-31</t>
  </si>
  <si>
    <t>Réseau local → exutoire P12 / PUB</t>
  </si>
  <si>
    <t>Récurence</t>
  </si>
  <si>
    <t>A</t>
  </si>
  <si>
    <t>B</t>
  </si>
  <si>
    <t>C</t>
  </si>
  <si>
    <t>1/2 ans</t>
  </si>
  <si>
    <t>1/5 ans</t>
  </si>
  <si>
    <t>1/10 ans</t>
  </si>
  <si>
    <t>1/25 ans</t>
  </si>
  <si>
    <t>1/50 ans</t>
  </si>
  <si>
    <t>1/100 ans</t>
  </si>
  <si>
    <t>Coefficient de Manning:</t>
  </si>
  <si>
    <t>Calcul du débit</t>
  </si>
  <si>
    <t>Calcul des caractéristiques
de la conduite</t>
  </si>
  <si>
    <t>Niveau du sol</t>
  </si>
  <si>
    <t>Hauteur
de radier</t>
  </si>
  <si>
    <t>Couverture</t>
  </si>
  <si>
    <t>Volume retenu dans les conduites</t>
  </si>
  <si>
    <t>Tronçon de conduite</t>
  </si>
  <si>
    <t>Temps de concentration</t>
  </si>
  <si>
    <t>Accroissement (DA)
de l'aire à desservir</t>
  </si>
  <si>
    <t>Coefficient de 
ruissellement de DA</t>
  </si>
  <si>
    <t>Aire imperméables de DA</t>
  </si>
  <si>
    <t>Aire cumulative</t>
  </si>
  <si>
    <t>Aire imperméable cumulative</t>
  </si>
  <si>
    <t>Coefficient de 
ruissellement de A</t>
  </si>
  <si>
    <t>Intensité de précipitation</t>
  </si>
  <si>
    <t>Débit maximal = 2,75 x 10-3 AIR</t>
  </si>
  <si>
    <t>Pente de la conduite</t>
  </si>
  <si>
    <t>Diamètre nominal de la conduite</t>
  </si>
  <si>
    <t>Vitesse d'écoulement dans la
conduite coulant à plein débit</t>
  </si>
  <si>
    <t>Longueur de la conduite</t>
  </si>
  <si>
    <t>Temps d'écoulement
dans la conduite (L/v)</t>
  </si>
  <si>
    <t>Capacité hydraulique de la
conduite coulant à plein débit</t>
  </si>
  <si>
    <t>Amont</t>
  </si>
  <si>
    <t>Aval</t>
  </si>
  <si>
    <t>Conduites</t>
  </si>
  <si>
    <t>Diamètre de 
la bouche d'égouts</t>
  </si>
  <si>
    <t>Volume de la bouche d'égouts</t>
  </si>
  <si>
    <t>Vérification de la capacité
de la conduite Qp &gt; Qmax</t>
  </si>
  <si>
    <t>Pipe_ID (réf.)</t>
  </si>
  <si>
    <t>tc</t>
  </si>
  <si>
    <t>DA</t>
  </si>
  <si>
    <t>RT</t>
  </si>
  <si>
    <t>DART</t>
  </si>
  <si>
    <t>AR</t>
  </si>
  <si>
    <t>R</t>
  </si>
  <si>
    <t>I</t>
  </si>
  <si>
    <t>Qmax</t>
  </si>
  <si>
    <t>s</t>
  </si>
  <si>
    <t>dnom</t>
  </si>
  <si>
    <t>v</t>
  </si>
  <si>
    <t>L</t>
  </si>
  <si>
    <t>tf</t>
  </si>
  <si>
    <t>Qp</t>
  </si>
  <si>
    <t>ID</t>
  </si>
  <si>
    <t>(min)</t>
  </si>
  <si>
    <t>(ha)</t>
  </si>
  <si>
    <t>(mm/h)</t>
  </si>
  <si>
    <t>(m3/s)</t>
  </si>
  <si>
    <t>(m/m)</t>
  </si>
  <si>
    <t>(mm)</t>
  </si>
  <si>
    <t>(m/s)</t>
  </si>
  <si>
    <t>(m)</t>
  </si>
  <si>
    <t>(m3)</t>
  </si>
  <si>
    <t>-</t>
  </si>
  <si>
    <t>Tronçons (amont → aval) — données projet</t>
  </si>
  <si>
    <t>P09</t>
  </si>
  <si>
    <t>@</t>
  </si>
  <si>
    <t>P06</t>
  </si>
  <si>
    <t>L06_P09_P06</t>
  </si>
  <si>
    <t>P07</t>
  </si>
  <si>
    <t>L07_P07_P06</t>
  </si>
  <si>
    <t>P04</t>
  </si>
  <si>
    <t>L08_P06_P04</t>
  </si>
  <si>
    <t>P01</t>
  </si>
  <si>
    <t>L09_P04_P01</t>
  </si>
  <si>
    <t>P02</t>
  </si>
  <si>
    <t>L01_P01_P02</t>
  </si>
  <si>
    <t>L02_P02_P03</t>
  </si>
  <si>
    <t>P10</t>
  </si>
  <si>
    <t>L03_P03_P10</t>
  </si>
  <si>
    <t>P11</t>
  </si>
  <si>
    <t>L10_P10_P11</t>
  </si>
  <si>
    <t>PUB</t>
  </si>
  <si>
    <t>L11_P11_P12</t>
  </si>
  <si>
    <t>INSTRUCTIONS / HYPOTHÈSES</t>
  </si>
  <si>
    <t>Jaune = saisie; Vert = calculé automatiquement (Station Saint-Hubert).</t>
  </si>
  <si>
    <t>Source données: Reseau_pluvial_dimensionnement_v1.xlsx (CB_plan aires, Conduites longueurs/topologie, Noeuds élévations, Inputs IDF/n/pente).</t>
  </si>
  <si>
    <t>Qmax = 0.00275 × A(ha) × R × I   |   I = A/(tc+B)^C selon période S2 (défaut 1/10 ans).</t>
  </si>
  <si>
    <t>v et Qp = Manning pleine section; n = S11 (0.013). Diamètre N est une suggestion — ajuster si AB = AUGMENTER D.</t>
  </si>
  <si>
    <t>tc: temps d’entrée (Temps de concentration) puis cumul + temps de parcours Q=L/(v*60).</t>
  </si>
  <si>
    <t>Radiers: calés depuis exutoire invert 15.305 m (Inputs), pente min 1%, chute regard 0.02 m.</t>
  </si>
  <si>
    <t>Changer la période: modifier S2 (ex. 1/25, 1/100). Les coefficients A,B,C sont dans Q5:T10.</t>
  </si>
  <si>
    <t>Cette feuille garde la logique simple demandée; le classeur v1 reste la référence détaillée.</t>
  </si>
  <si>
    <t>*</t>
  </si>
  <si>
    <t>,0,</t>
  </si>
  <si>
    <t>Préparé par:</t>
  </si>
  <si>
    <t>DETAIL TRIBUTAIRES PAR CONDUITE</t>
  </si>
  <si>
    <t>Vérifié par:</t>
  </si>
  <si>
    <t>Source CB_plan (v1). Résumé + détail zones. Tes notes L06/L07 plus bas sont conservées.</t>
  </si>
  <si>
    <t>Paramètres</t>
  </si>
  <si>
    <t>Sous-bassins locaux (par conduite)</t>
  </si>
  <si>
    <t>RESUME</t>
  </si>
  <si>
    <t>L06</t>
  </si>
  <si>
    <t>L07</t>
  </si>
  <si>
    <t>L08</t>
  </si>
  <si>
    <t>L09</t>
  </si>
  <si>
    <t>L01</t>
  </si>
  <si>
    <t>L02</t>
  </si>
  <si>
    <t>L10</t>
  </si>
  <si>
    <t>L11</t>
  </si>
  <si>
    <t>Pipe</t>
  </si>
  <si>
    <t>Zones tributaires</t>
  </si>
  <si>
    <t>A total (m²)</t>
  </si>
  <si>
    <t>A_eff (m²)</t>
  </si>
  <si>
    <t>C pipe</t>
  </si>
  <si>
    <t>A (ha)</t>
  </si>
  <si>
    <t>Aire (ha)</t>
  </si>
  <si>
    <t>J, M</t>
  </si>
  <si>
    <t>temps d'entrée (min.)</t>
  </si>
  <si>
    <t>H, I, K, L</t>
  </si>
  <si>
    <t>Coef. Ruissellement</t>
  </si>
  <si>
    <t>G</t>
  </si>
  <si>
    <t>D</t>
  </si>
  <si>
    <t>L overland (m)</t>
  </si>
  <si>
    <t>A, E</t>
  </si>
  <si>
    <t>n overland</t>
  </si>
  <si>
    <t>B, C, F</t>
  </si>
  <si>
    <t>s overland (m/m)</t>
  </si>
  <si>
    <t>L03</t>
  </si>
  <si>
    <t>(aucune – transfert)</t>
  </si>
  <si>
    <t>N</t>
  </si>
  <si>
    <t>Notes</t>
  </si>
  <si>
    <t>O</t>
  </si>
  <si>
    <t>Jaune = saisie (depuis Reseau_pluvial_dimensionnement_v1). Vert = calculé.</t>
  </si>
  <si>
    <t>L overland estimé ≈ √Aire; s = |Zamont-Zaval|/Lpipe. Ajuster si parcours réel connu.</t>
  </si>
  <si>
    <t>DETAIL ZONE PAR ZONE</t>
  </si>
  <si>
    <t>IDF utilisée dans Calcul_reseau: période 1/10 ans (A=508.07, B=2.9, C=0.644) = Inputs du projet.</t>
  </si>
  <si>
    <t>Zone</t>
  </si>
  <si>
    <t>Roof m²</t>
  </si>
  <si>
    <t>Pave m²</t>
  </si>
  <si>
    <t>Grass m²</t>
  </si>
  <si>
    <t>Other m²</t>
  </si>
  <si>
    <t>A m²</t>
  </si>
  <si>
    <t>A_eff m²</t>
  </si>
  <si>
    <t>C zone</t>
  </si>
  <si>
    <t>J</t>
  </si>
  <si>
    <t>M</t>
  </si>
  <si>
    <t>SUM</t>
  </si>
  <si>
    <t>Surface C used (from Inputs):</t>
  </si>
  <si>
    <t>H</t>
  </si>
  <si>
    <t>roof = 0.95</t>
  </si>
  <si>
    <t>pavement = 0.90</t>
  </si>
  <si>
    <t>K</t>
  </si>
  <si>
    <t>grass = 0.25</t>
  </si>
  <si>
    <t>other = 0.60</t>
  </si>
  <si>
    <t>For each zone:</t>
  </si>
  <si>
    <t>A = roof + pave + grass + other</t>
  </si>
  <si>
    <t>A_eff = 0.95·roof + 0.90·pave + 0.25·grass + 0.60·other</t>
  </si>
  <si>
    <t>Then for the pipe:</t>
  </si>
  <si>
    <t>C = ΣA_eff / ΣA</t>
  </si>
  <si>
    <t>L06_P09_P06 → A = 446.75 m² ≈ 446.8, C ≈ 0.425</t>
  </si>
  <si>
    <t>Zones J and M only:</t>
  </si>
  <si>
    <t>Roof</t>
  </si>
  <si>
    <t>Pave</t>
  </si>
  <si>
    <t>Grass</t>
  </si>
  <si>
    <t>Other</t>
  </si>
  <si>
    <t>A (m²)</t>
  </si>
  <si>
    <t>E</t>
  </si>
  <si>
    <t>67.7×0.9 + 81.4×0.25 = 81.28</t>
  </si>
  <si>
    <t>66.5+178.75=245.25</t>
  </si>
  <si>
    <t>52.4×0.9 + 245.25×0.25 = 108.4725</t>
  </si>
  <si>
    <t>Sum</t>
  </si>
  <si>
    <t>C = 189.7525 / 446.75 = 0.4247 ≈ 0.425</t>
  </si>
  <si>
    <t>F</t>
  </si>
  <si>
    <t>L07_P07_P06 → A = 442.35 m², C ≈ 0.765</t>
  </si>
  <si>
    <t>Zones H, I, K, L:</t>
  </si>
  <si>
    <t>—</t>
  </si>
  <si>
    <t>58.2×0.9 + 17.6×0.25 = 56.78</t>
  </si>
  <si>
    <t>109.5+10.51=120.01</t>
  </si>
  <si>
    <t>120.01×0.9 + 16.2×0.25 = 112.059</t>
  </si>
  <si>
    <t>48.8×0.9 + 58.4×0.25 = 58.52</t>
  </si>
  <si>
    <t>95.5+10.13+17.51=123.14</t>
  </si>
  <si>
    <t>123.14×0.9 = 110.826</t>
  </si>
  <si>
    <t>C = 338.185 / 442.35 = 0.7645 ≈ 0.765</t>
  </si>
  <si>
    <t>A = roof+pave+grass+other; A_eff = 0.95·roof + 0.90·pave + 0.25·grass + 0.60·other; C = ΣA_eff/ΣA</t>
  </si>
  <si>
    <t>PENTE</t>
  </si>
  <si>
    <t>P09 → P06 (L06_P09_P06) → 0.0306</t>
  </si>
  <si>
    <t>Item</t>
  </si>
  <si>
    <t>Value</t>
  </si>
  <si>
    <t>Z P09 (amont)</t>
  </si>
  <si>
    <t>17.62 m</t>
  </si>
  <si>
    <t>Z P06 (aval)</t>
  </si>
  <si>
    <t>17.14 m</t>
  </si>
  <si>
    <t>15.7 m</t>
  </si>
  <si>
    <t>s = (17.62 - 17.14) / 15.7</t>
  </si>
  <si>
    <t xml:space="preserve"> s = 0.48 / 15.7</t>
  </si>
  <si>
    <t xml:space="preserve"> s = 0.030573 ≈ 0.0306 </t>
  </si>
  <si>
    <t>DETAIL TRIBUTAIRES (suite) — L08 à L11</t>
  </si>
  <si>
    <t>L08_P06_P04 → A = 147.90 m², C ≈ 0.684</t>
  </si>
  <si>
    <t>Zones G:</t>
  </si>
  <si>
    <t>C = 101.1300 / 147.90 = 0.6838</t>
  </si>
  <si>
    <t>L09_P04_P01 → A = 94.50 m², C ≈ 0.547</t>
  </si>
  <si>
    <t>Zones D:</t>
  </si>
  <si>
    <t>C = 51.7050 / 94.50 = 0.5471</t>
  </si>
  <si>
    <t>L01_P01_P02 → A = 257.30 m², C ≈ 0.633</t>
  </si>
  <si>
    <t>Zones A, E:</t>
  </si>
  <si>
    <t>C = 162.8000 / 257.30 = 0.6327</t>
  </si>
  <si>
    <t>L02_P02_P03 → A = 467.89 m², C ≈ 0.642</t>
  </si>
  <si>
    <t>Zones B, C, F:</t>
  </si>
  <si>
    <t>C = 300.3310 / 467.89 = 0.6419</t>
  </si>
  <si>
    <t>L03_P03_P10 → A = 0 m² (aucune zone CB — conduite de transfert)</t>
  </si>
  <si>
    <t>L10_P10_P11 → A = 903.00 m², C ≈ 0.950</t>
  </si>
  <si>
    <t>Zones N:</t>
  </si>
  <si>
    <t>C = 857.8500 / 903.00 = 0.9500</t>
  </si>
  <si>
    <t>L11_P11_P12 → A = 497.61 m², C ≈ 0.335</t>
  </si>
  <si>
    <t>Zones O:</t>
  </si>
  <si>
    <t>C = 166.5225 / 497.61 = 0.3346</t>
  </si>
  <si>
    <t>L overland was not surveyed. It was an estimate used only for the entry-time formula.</t>
  </si>
  <si>
    <t>Formula I used</t>
  </si>
  <si>
    <t>L_overland (m) ≈ max(10, √A)</t>
  </si>
  <si>
    <t>where A = local tributary area of that pipe in m².</t>
  </si>
  <si>
    <t>So it is a characteristic length of the catchment (like a square of area A), not the real gutter/overland path.</t>
  </si>
  <si>
    <t>Examples</t>
  </si>
  <si>
    <t>√A</t>
  </si>
  <si>
    <t>L overland used</t>
  </si>
  <si>
    <t>21.1 m</t>
  </si>
  <si>
    <t>21.0 m</t>
  </si>
  <si>
    <t>12.2 m</t>
  </si>
  <si>
    <t>10.0 m (minimum 10)</t>
  </si>
  <si>
    <t>16.0 m</t>
  </si>
  <si>
    <t>21.6 m</t>
  </si>
  <si>
    <t>30.0 m</t>
  </si>
  <si>
    <t>22.3 m</t>
  </si>
  <si>
    <t>Why this was done</t>
  </si>
  <si>
    <t>The Saint-Hubert sheet needs L, n, and s for:</t>
  </si>
  <si>
    <t>te = ((2.187 · L · n) / √s)^0.467</t>
  </si>
  <si>
    <t>Your Reseau_pluvial file had areas, but not measured overland flow lengths, so I used √A as a placeholder.</t>
  </si>
  <si>
    <t>Better values to use</t>
  </si>
  <si>
    <t>Replace yellow L overland cells with the real flow path to the catch basin:</t>
  </si>
  <si>
    <t>roof drain / sheet flow / gutter length to the CB, in metres.</t>
  </si>
  <si>
    <t>Until then, treat these L values as approximate only.</t>
  </si>
  <si>
    <t>P12</t>
  </si>
  <si>
    <t>Longueurs à compléter par tech.</t>
  </si>
  <si>
    <t>RP03</t>
  </si>
  <si>
    <t>J01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</si>
</sst>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\ ???/???"/>
    <numFmt numFmtId="165" formatCode="dd/mm/yyyy"/>
    <numFmt numFmtId="166" formatCode="0.0"/>
    <numFmt numFmtId="167" formatCode="0.000"/>
    <numFmt numFmtId="168" formatCode="0.0000"/>
    <numFmt numFmtId="169" formatCode="0.00000"/>
  </numFmts>
  <fonts count="19" x14ac:knownFonts="1">
    <font>
      <sz val="12"/>
      <name val="Times New Roman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Cambria"/>
      <family val="1"/>
    </font>
    <font>
      <b/>
      <sz val="11"/>
      <name val="Cambria"/>
      <family val="1"/>
    </font>
    <font>
      <sz val="12"/>
      <name val="Arial"/>
      <family val="2"/>
      <charset val="1"/>
    </font>
    <font>
      <b/>
      <sz val="14"/>
      <name val="Arial"/>
      <family val="2"/>
      <charset val="1"/>
    </font>
    <font>
      <b/>
      <i/>
      <sz val="14"/>
      <name val="Arial"/>
      <family val="2"/>
      <charset val="1"/>
    </font>
    <font>
      <sz val="11"/>
      <name val="Arial"/>
      <family val="2"/>
      <charset val="1"/>
    </font>
    <font>
      <b/>
      <i/>
      <sz val="14"/>
      <name val="Times New Roman"/>
      <family val="1"/>
      <charset val="1"/>
    </font>
    <font>
      <b/>
      <i/>
      <sz val="12"/>
      <name val="Arial"/>
      <family val="2"/>
      <charset val="1"/>
    </font>
    <font>
      <b/>
      <sz val="12"/>
      <name val="Arial"/>
      <family val="2"/>
      <charset val="1"/>
    </font>
    <font>
      <sz val="14"/>
      <name val="Arial"/>
      <family val="2"/>
      <charset val="1"/>
    </font>
    <font>
      <i/>
      <sz val="12"/>
      <name val="Arial"/>
      <family val="2"/>
      <charset val="1"/>
    </font>
    <font>
      <b/>
      <sz val="11"/>
      <color rgb="FF1F4E79"/>
      <name val="Cambria"/>
      <family val="1"/>
    </font>
    <font>
      <b/>
      <sz val="12"/>
      <color rgb="FF1F4E79"/>
      <name val="Cambria"/>
      <family val="1"/>
    </font>
    <font>
      <i/>
      <sz val="11"/>
      <color rgb="FF666666"/>
      <name val="Cambria"/>
      <family val="1"/>
    </font>
    <font>
      <b/>
      <sz val="11"/>
      <color rgb="FFFFFFFF"/>
      <name val="Cambria"/>
      <family val="1"/>
    </font>
    <font>
      <b/>
      <sz val="12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CCFFCC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F99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C0C0C0"/>
        <bgColor rgb="FFB0B0B0"/>
      </patternFill>
    </fill>
    <fill>
      <patternFill patternType="solid">
        <fgColor rgb="FFF2F2F2"/>
        <bgColor rgb="FFE2EFDA"/>
      </patternFill>
    </fill>
    <fill>
      <patternFill patternType="solid">
        <fgColor rgb="FF00B050"/>
        <bgColor rgb="FFF2F2F2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rgb="FFF2F2F2"/>
      </patternFill>
    </fill>
    <fill>
      <patternFill patternType="solid">
        <fgColor theme="6" tint="0.59999389629810485"/>
        <bgColor rgb="FFF2F2F2"/>
      </patternFill>
    </fill>
  </fills>
  <borders count="5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32">
    <xf numFmtId="0" fontId="0" fillId="0" borderId="0" xfId="0"/>
    <xf numFmtId="0" fontId="0" fillId="0" borderId="0" xfId="0" applyAlignment="1">
      <alignment wrapText="1"/>
    </xf>
    <xf numFmtId="0" fontId="15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2" fontId="5" fillId="0" borderId="0" xfId="0" applyNumberFormat="1" applyFont="1" applyAlignment="1">
      <alignment horizontal="center"/>
    </xf>
    <xf numFmtId="2" fontId="5" fillId="0" borderId="0" xfId="0" applyNumberFormat="1" applyFont="1"/>
    <xf numFmtId="0" fontId="5" fillId="0" borderId="2" xfId="0" applyFont="1" applyBorder="1"/>
    <xf numFmtId="0" fontId="5" fillId="0" borderId="3" xfId="0" applyFont="1" applyBorder="1"/>
    <xf numFmtId="2" fontId="6" fillId="0" borderId="3" xfId="0" applyNumberFormat="1" applyFont="1" applyBorder="1" applyAlignment="1">
      <alignment horizontal="left" vertical="center"/>
    </xf>
    <xf numFmtId="2" fontId="5" fillId="0" borderId="3" xfId="0" applyNumberFormat="1" applyFont="1" applyBorder="1" applyAlignment="1">
      <alignment horizontal="left" vertical="center"/>
    </xf>
    <xf numFmtId="2" fontId="5" fillId="0" borderId="4" xfId="0" applyNumberFormat="1" applyFont="1" applyBorder="1" applyAlignment="1">
      <alignment horizontal="left" vertical="center"/>
    </xf>
    <xf numFmtId="0" fontId="8" fillId="0" borderId="6" xfId="0" applyFont="1" applyBorder="1"/>
    <xf numFmtId="0" fontId="2" fillId="0" borderId="7" xfId="0" applyFont="1" applyBorder="1" applyAlignment="1">
      <alignment horizontal="right"/>
    </xf>
    <xf numFmtId="164" fontId="2" fillId="0" borderId="8" xfId="0" applyNumberFormat="1" applyFont="1" applyBorder="1" applyAlignment="1" applyProtection="1">
      <alignment horizontal="center"/>
      <protection locked="0"/>
    </xf>
    <xf numFmtId="0" fontId="2" fillId="0" borderId="7" xfId="0" applyFont="1" applyBorder="1"/>
    <xf numFmtId="2" fontId="5" fillId="0" borderId="3" xfId="0" applyNumberFormat="1" applyFont="1" applyBorder="1"/>
    <xf numFmtId="0" fontId="5" fillId="0" borderId="4" xfId="0" applyFont="1" applyBorder="1"/>
    <xf numFmtId="0" fontId="5" fillId="0" borderId="9" xfId="0" applyFont="1" applyBorder="1"/>
    <xf numFmtId="2" fontId="6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0" xfId="0" applyFont="1" applyBorder="1"/>
    <xf numFmtId="0" fontId="7" fillId="0" borderId="0" xfId="0" applyFont="1" applyAlignment="1">
      <alignment horizontal="center" vertical="center"/>
    </xf>
    <xf numFmtId="0" fontId="2" fillId="2" borderId="11" xfId="0" applyFont="1" applyFill="1" applyBorder="1" applyAlignment="1">
      <alignment horizontal="center"/>
    </xf>
    <xf numFmtId="166" fontId="2" fillId="2" borderId="11" xfId="0" applyNumberFormat="1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left" vertical="center"/>
    </xf>
    <xf numFmtId="2" fontId="2" fillId="0" borderId="11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  <xf numFmtId="167" fontId="2" fillId="0" borderId="13" xfId="0" applyNumberFormat="1" applyFont="1" applyBorder="1" applyAlignment="1">
      <alignment horizontal="center"/>
    </xf>
    <xf numFmtId="0" fontId="5" fillId="0" borderId="0" xfId="0" applyFont="1" applyAlignment="1">
      <alignment horizontal="right"/>
    </xf>
    <xf numFmtId="2" fontId="5" fillId="0" borderId="10" xfId="0" applyNumberFormat="1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10" fillId="0" borderId="15" xfId="0" applyFont="1" applyBorder="1" applyAlignment="1">
      <alignment horizontal="left" vertical="center"/>
    </xf>
    <xf numFmtId="2" fontId="5" fillId="0" borderId="15" xfId="0" applyNumberFormat="1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8" fillId="0" borderId="15" xfId="0" applyFont="1" applyBorder="1"/>
    <xf numFmtId="0" fontId="2" fillId="0" borderId="15" xfId="0" applyFont="1" applyBorder="1" applyAlignment="1">
      <alignment horizontal="right"/>
    </xf>
    <xf numFmtId="0" fontId="2" fillId="0" borderId="17" xfId="0" applyFont="1" applyBorder="1" applyAlignment="1">
      <alignment horizontal="center"/>
    </xf>
    <xf numFmtId="0" fontId="2" fillId="0" borderId="15" xfId="0" applyFont="1" applyBorder="1"/>
    <xf numFmtId="2" fontId="11" fillId="0" borderId="15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2" fontId="5" fillId="0" borderId="15" xfId="0" applyNumberFormat="1" applyFont="1" applyBorder="1"/>
    <xf numFmtId="0" fontId="5" fillId="0" borderId="15" xfId="0" applyFont="1" applyBorder="1" applyAlignment="1">
      <alignment horizontal="right"/>
    </xf>
    <xf numFmtId="2" fontId="11" fillId="0" borderId="16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 textRotation="90"/>
    </xf>
    <xf numFmtId="0" fontId="5" fillId="0" borderId="6" xfId="0" applyFont="1" applyBorder="1" applyAlignment="1">
      <alignment horizontal="center" textRotation="90" wrapText="1"/>
    </xf>
    <xf numFmtId="2" fontId="5" fillId="0" borderId="6" xfId="0" applyNumberFormat="1" applyFont="1" applyBorder="1" applyAlignment="1">
      <alignment horizontal="center" textRotation="90"/>
    </xf>
    <xf numFmtId="0" fontId="5" fillId="0" borderId="23" xfId="0" applyFont="1" applyBorder="1" applyAlignment="1">
      <alignment horizontal="center" textRotation="90"/>
    </xf>
    <xf numFmtId="0" fontId="5" fillId="0" borderId="24" xfId="0" applyFont="1" applyBorder="1" applyAlignment="1">
      <alignment horizontal="center" textRotation="90"/>
    </xf>
    <xf numFmtId="0" fontId="5" fillId="0" borderId="8" xfId="0" applyFont="1" applyBorder="1" applyAlignment="1">
      <alignment horizontal="center" textRotation="90"/>
    </xf>
    <xf numFmtId="0" fontId="5" fillId="0" borderId="8" xfId="0" applyFont="1" applyBorder="1" applyAlignment="1">
      <alignment horizontal="center" textRotation="90" wrapText="1"/>
    </xf>
    <xf numFmtId="0" fontId="5" fillId="0" borderId="7" xfId="0" applyFont="1" applyBorder="1" applyAlignment="1">
      <alignment horizontal="center" textRotation="90"/>
    </xf>
    <xf numFmtId="0" fontId="5" fillId="0" borderId="7" xfId="0" applyFont="1" applyBorder="1" applyAlignment="1">
      <alignment horizontal="center" textRotation="90" wrapText="1"/>
    </xf>
    <xf numFmtId="0" fontId="5" fillId="0" borderId="23" xfId="0" applyFont="1" applyBorder="1" applyAlignment="1">
      <alignment horizontal="center" textRotation="90" wrapText="1"/>
    </xf>
    <xf numFmtId="0" fontId="5" fillId="0" borderId="25" xfId="0" applyFont="1" applyBorder="1" applyAlignment="1">
      <alignment horizontal="center" textRotation="90"/>
    </xf>
    <xf numFmtId="0" fontId="5" fillId="0" borderId="26" xfId="0" applyFont="1" applyBorder="1" applyAlignment="1">
      <alignment horizontal="center" textRotation="90"/>
    </xf>
    <xf numFmtId="0" fontId="5" fillId="0" borderId="0" xfId="0" applyFont="1" applyAlignment="1">
      <alignment horizontal="right" textRotation="90" wrapText="1"/>
    </xf>
    <xf numFmtId="0" fontId="5" fillId="0" borderId="0" xfId="0" applyFont="1" applyAlignment="1">
      <alignment horizontal="right" textRotation="90"/>
    </xf>
    <xf numFmtId="0" fontId="13" fillId="0" borderId="9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27" xfId="0" applyFont="1" applyBorder="1" applyAlignment="1">
      <alignment horizontal="center"/>
    </xf>
    <xf numFmtId="2" fontId="13" fillId="0" borderId="27" xfId="0" applyNumberFormat="1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28" xfId="0" applyFont="1" applyBorder="1" applyAlignment="1">
      <alignment horizontal="center"/>
    </xf>
    <xf numFmtId="0" fontId="13" fillId="0" borderId="29" xfId="0" applyFont="1" applyBorder="1" applyAlignment="1">
      <alignment horizontal="center"/>
    </xf>
    <xf numFmtId="0" fontId="13" fillId="0" borderId="30" xfId="0" applyFont="1" applyBorder="1" applyAlignment="1">
      <alignment horizontal="center"/>
    </xf>
    <xf numFmtId="0" fontId="13" fillId="0" borderId="3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34" xfId="0" applyFont="1" applyBorder="1" applyAlignment="1">
      <alignment horizontal="center"/>
    </xf>
    <xf numFmtId="2" fontId="5" fillId="0" borderId="35" xfId="0" applyNumberFormat="1" applyFont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36" xfId="0" applyFont="1" applyBorder="1"/>
    <xf numFmtId="0" fontId="5" fillId="0" borderId="37" xfId="0" applyFont="1" applyBorder="1"/>
    <xf numFmtId="0" fontId="5" fillId="0" borderId="38" xfId="0" applyFont="1" applyBorder="1"/>
    <xf numFmtId="0" fontId="5" fillId="0" borderId="38" xfId="0" applyFont="1" applyBorder="1" applyAlignment="1">
      <alignment horizontal="center"/>
    </xf>
    <xf numFmtId="2" fontId="5" fillId="0" borderId="11" xfId="0" applyNumberFormat="1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5" fillId="0" borderId="41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2" fontId="5" fillId="0" borderId="38" xfId="0" applyNumberFormat="1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44" xfId="0" applyFont="1" applyBorder="1"/>
    <xf numFmtId="0" fontId="5" fillId="0" borderId="0" xfId="0" applyFont="1" applyAlignment="1">
      <alignment horizontal="left"/>
    </xf>
    <xf numFmtId="0" fontId="14" fillId="0" borderId="36" xfId="0" applyFont="1" applyBorder="1"/>
    <xf numFmtId="2" fontId="5" fillId="0" borderId="45" xfId="0" applyNumberFormat="1" applyFont="1" applyBorder="1" applyAlignment="1">
      <alignment horizontal="center"/>
    </xf>
    <xf numFmtId="0" fontId="5" fillId="0" borderId="46" xfId="0" applyFont="1" applyBorder="1"/>
    <xf numFmtId="0" fontId="10" fillId="3" borderId="47" xfId="0" applyFont="1" applyFill="1" applyBorder="1" applyAlignment="1">
      <alignment horizontal="center"/>
    </xf>
    <xf numFmtId="2" fontId="5" fillId="4" borderId="47" xfId="0" applyNumberFormat="1" applyFont="1" applyFill="1" applyBorder="1" applyAlignment="1">
      <alignment horizontal="center"/>
    </xf>
    <xf numFmtId="168" fontId="5" fillId="3" borderId="47" xfId="0" applyNumberFormat="1" applyFont="1" applyFill="1" applyBorder="1" applyAlignment="1">
      <alignment horizontal="center"/>
    </xf>
    <xf numFmtId="2" fontId="5" fillId="3" borderId="47" xfId="0" applyNumberFormat="1" applyFont="1" applyFill="1" applyBorder="1" applyAlignment="1">
      <alignment horizontal="center"/>
    </xf>
    <xf numFmtId="168" fontId="5" fillId="4" borderId="47" xfId="0" applyNumberFormat="1" applyFont="1" applyFill="1" applyBorder="1" applyAlignment="1">
      <alignment horizontal="center"/>
    </xf>
    <xf numFmtId="167" fontId="5" fillId="4" borderId="47" xfId="0" applyNumberFormat="1" applyFont="1" applyFill="1" applyBorder="1" applyAlignment="1">
      <alignment horizontal="center"/>
    </xf>
    <xf numFmtId="0" fontId="5" fillId="3" borderId="47" xfId="0" applyFont="1" applyFill="1" applyBorder="1" applyAlignment="1">
      <alignment horizontal="center"/>
    </xf>
    <xf numFmtId="167" fontId="5" fillId="3" borderId="47" xfId="0" applyNumberFormat="1" applyFont="1" applyFill="1" applyBorder="1" applyAlignment="1">
      <alignment horizontal="center"/>
    </xf>
    <xf numFmtId="2" fontId="5" fillId="0" borderId="46" xfId="0" applyNumberFormat="1" applyFont="1" applyBorder="1" applyAlignment="1">
      <alignment horizontal="center"/>
    </xf>
    <xf numFmtId="167" fontId="4" fillId="4" borderId="47" xfId="0" applyNumberFormat="1" applyFont="1" applyFill="1" applyBorder="1" applyAlignment="1">
      <alignment horizontal="center"/>
    </xf>
    <xf numFmtId="0" fontId="0" fillId="5" borderId="47" xfId="0" applyFill="1" applyBorder="1"/>
    <xf numFmtId="0" fontId="10" fillId="0" borderId="36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10" fillId="0" borderId="38" xfId="0" applyFont="1" applyBorder="1" applyAlignment="1">
      <alignment horizontal="center"/>
    </xf>
    <xf numFmtId="166" fontId="5" fillId="0" borderId="38" xfId="0" applyNumberFormat="1" applyFont="1" applyBorder="1" applyAlignment="1">
      <alignment horizontal="center"/>
    </xf>
    <xf numFmtId="168" fontId="5" fillId="0" borderId="38" xfId="0" applyNumberFormat="1" applyFont="1" applyBorder="1" applyAlignment="1">
      <alignment horizontal="center"/>
    </xf>
    <xf numFmtId="167" fontId="5" fillId="6" borderId="39" xfId="0" applyNumberFormat="1" applyFont="1" applyFill="1" applyBorder="1" applyAlignment="1">
      <alignment horizontal="center"/>
    </xf>
    <xf numFmtId="168" fontId="5" fillId="0" borderId="40" xfId="0" applyNumberFormat="1" applyFont="1" applyBorder="1" applyAlignment="1">
      <alignment horizontal="center"/>
    </xf>
    <xf numFmtId="2" fontId="5" fillId="0" borderId="41" xfId="0" applyNumberFormat="1" applyFont="1" applyBorder="1" applyAlignment="1">
      <alignment horizontal="center"/>
    </xf>
    <xf numFmtId="2" fontId="5" fillId="0" borderId="4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0" fontId="15" fillId="0" borderId="36" xfId="0" applyFont="1" applyBorder="1" applyAlignment="1">
      <alignment horizontal="center"/>
    </xf>
    <xf numFmtId="167" fontId="5" fillId="0" borderId="40" xfId="0" applyNumberFormat="1" applyFont="1" applyBorder="1" applyAlignment="1">
      <alignment horizontal="center"/>
    </xf>
    <xf numFmtId="167" fontId="5" fillId="0" borderId="32" xfId="0" applyNumberFormat="1" applyFont="1" applyBorder="1" applyAlignment="1">
      <alignment horizontal="center"/>
    </xf>
    <xf numFmtId="166" fontId="5" fillId="0" borderId="18" xfId="0" applyNumberFormat="1" applyFont="1" applyBorder="1" applyAlignment="1">
      <alignment horizontal="center"/>
    </xf>
    <xf numFmtId="167" fontId="5" fillId="6" borderId="16" xfId="0" applyNumberFormat="1" applyFont="1" applyFill="1" applyBorder="1" applyAlignment="1">
      <alignment horizontal="center"/>
    </xf>
    <xf numFmtId="2" fontId="5" fillId="0" borderId="50" xfId="0" applyNumberFormat="1" applyFont="1" applyBorder="1" applyAlignment="1">
      <alignment horizontal="center"/>
    </xf>
    <xf numFmtId="2" fontId="5" fillId="0" borderId="5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5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3" borderId="54" xfId="0" applyFont="1" applyFill="1" applyBorder="1" applyAlignment="1">
      <alignment horizontal="center" vertical="center"/>
    </xf>
    <xf numFmtId="0" fontId="2" fillId="3" borderId="55" xfId="0" applyFont="1" applyFill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7" fillId="7" borderId="47" xfId="0" applyFont="1" applyFill="1" applyBorder="1" applyAlignment="1">
      <alignment vertical="center" wrapText="1"/>
    </xf>
    <xf numFmtId="49" fontId="17" fillId="7" borderId="47" xfId="0" applyNumberFormat="1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168" fontId="2" fillId="3" borderId="40" xfId="0" applyNumberFormat="1" applyFont="1" applyFill="1" applyBorder="1" applyAlignment="1">
      <alignment horizontal="center" vertical="center"/>
    </xf>
    <xf numFmtId="168" fontId="2" fillId="3" borderId="41" xfId="0" applyNumberFormat="1" applyFont="1" applyFill="1" applyBorder="1" applyAlignment="1">
      <alignment horizontal="center" vertical="center"/>
    </xf>
    <xf numFmtId="168" fontId="2" fillId="0" borderId="41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3" borderId="47" xfId="0" applyFont="1" applyFill="1" applyBorder="1" applyAlignment="1">
      <alignment horizontal="center" vertical="center"/>
    </xf>
    <xf numFmtId="0" fontId="2" fillId="4" borderId="47" xfId="0" applyFont="1" applyFill="1" applyBorder="1" applyAlignment="1">
      <alignment horizontal="center" vertical="center"/>
    </xf>
    <xf numFmtId="2" fontId="2" fillId="4" borderId="47" xfId="0" applyNumberFormat="1" applyFont="1" applyFill="1" applyBorder="1" applyAlignment="1">
      <alignment horizontal="center" vertical="center"/>
    </xf>
    <xf numFmtId="167" fontId="2" fillId="4" borderId="47" xfId="0" applyNumberFormat="1" applyFont="1" applyFill="1" applyBorder="1" applyAlignment="1">
      <alignment horizontal="center" vertical="center"/>
    </xf>
    <xf numFmtId="168" fontId="2" fillId="4" borderId="47" xfId="0" applyNumberFormat="1" applyFont="1" applyFill="1" applyBorder="1" applyAlignment="1">
      <alignment horizontal="center" vertical="center"/>
    </xf>
    <xf numFmtId="2" fontId="2" fillId="4" borderId="57" xfId="0" applyNumberFormat="1" applyFont="1" applyFill="1" applyBorder="1" applyAlignment="1">
      <alignment horizontal="center" vertical="center"/>
    </xf>
    <xf numFmtId="2" fontId="2" fillId="4" borderId="11" xfId="0" applyNumberFormat="1" applyFont="1" applyFill="1" applyBorder="1" applyAlignment="1">
      <alignment horizontal="center" vertical="center"/>
    </xf>
    <xf numFmtId="166" fontId="2" fillId="0" borderId="11" xfId="0" applyNumberFormat="1" applyFont="1" applyBorder="1" applyAlignment="1">
      <alignment horizontal="center" vertical="center"/>
    </xf>
    <xf numFmtId="166" fontId="2" fillId="0" borderId="46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3" borderId="47" xfId="0" applyNumberFormat="1" applyFont="1" applyFill="1" applyBorder="1" applyAlignment="1">
      <alignment horizontal="center" vertical="center"/>
    </xf>
    <xf numFmtId="166" fontId="2" fillId="4" borderId="47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/>
    <xf numFmtId="0" fontId="2" fillId="3" borderId="58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8" borderId="53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10" xfId="0" applyFont="1" applyFill="1" applyBorder="1" applyAlignment="1">
      <alignment horizontal="center" vertical="center"/>
    </xf>
    <xf numFmtId="166" fontId="2" fillId="3" borderId="22" xfId="0" applyNumberFormat="1" applyFont="1" applyFill="1" applyBorder="1" applyAlignment="1">
      <alignment horizontal="center" vertical="center"/>
    </xf>
    <xf numFmtId="166" fontId="2" fillId="3" borderId="8" xfId="0" applyNumberFormat="1" applyFont="1" applyFill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6" fontId="2" fillId="0" borderId="23" xfId="0" applyNumberFormat="1" applyFont="1" applyBorder="1" applyAlignment="1">
      <alignment horizontal="center" vertical="center"/>
    </xf>
    <xf numFmtId="0" fontId="2" fillId="3" borderId="57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2" fillId="3" borderId="58" xfId="0" applyNumberFormat="1" applyFont="1" applyFill="1" applyBorder="1" applyAlignment="1">
      <alignment horizontal="center" vertical="center"/>
    </xf>
    <xf numFmtId="169" fontId="2" fillId="3" borderId="17" xfId="0" applyNumberFormat="1" applyFont="1" applyFill="1" applyBorder="1" applyAlignment="1">
      <alignment horizontal="center" vertical="center"/>
    </xf>
    <xf numFmtId="167" fontId="2" fillId="0" borderId="17" xfId="0" applyNumberFormat="1" applyFont="1" applyBorder="1" applyAlignment="1">
      <alignment horizontal="center" vertical="center"/>
    </xf>
    <xf numFmtId="168" fontId="2" fillId="0" borderId="17" xfId="0" applyNumberFormat="1" applyFont="1" applyBorder="1" applyAlignment="1">
      <alignment horizontal="center" vertical="center"/>
    </xf>
    <xf numFmtId="168" fontId="2" fillId="0" borderId="52" xfId="0" applyNumberFormat="1" applyFont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2" fillId="3" borderId="47" xfId="0" applyNumberFormat="1" applyFont="1" applyFill="1" applyBorder="1" applyAlignment="1">
      <alignment horizontal="center" vertical="center"/>
    </xf>
    <xf numFmtId="0" fontId="0" fillId="3" borderId="47" xfId="0" applyFill="1" applyBorder="1"/>
    <xf numFmtId="0" fontId="0" fillId="4" borderId="47" xfId="0" applyFill="1" applyBorder="1"/>
    <xf numFmtId="2" fontId="0" fillId="4" borderId="47" xfId="0" applyNumberFormat="1" applyFill="1" applyBorder="1"/>
    <xf numFmtId="167" fontId="0" fillId="4" borderId="47" xfId="0" applyNumberFormat="1" applyFill="1" applyBorder="1"/>
    <xf numFmtId="168" fontId="0" fillId="4" borderId="47" xfId="0" applyNumberFormat="1" applyFill="1" applyBorder="1"/>
    <xf numFmtId="0" fontId="14" fillId="0" borderId="0" xfId="0" applyFont="1"/>
    <xf numFmtId="0" fontId="4" fillId="5" borderId="47" xfId="0" applyFont="1" applyFill="1" applyBorder="1"/>
    <xf numFmtId="2" fontId="4" fillId="5" borderId="47" xfId="0" applyNumberFormat="1" applyFont="1" applyFill="1" applyBorder="1"/>
    <xf numFmtId="167" fontId="4" fillId="5" borderId="47" xfId="0" applyNumberFormat="1" applyFont="1" applyFill="1" applyBorder="1"/>
    <xf numFmtId="0" fontId="18" fillId="0" borderId="0" xfId="0" applyFont="1" applyAlignment="1">
      <alignment horizontal="center" wrapText="1"/>
    </xf>
    <xf numFmtId="0" fontId="0" fillId="9" borderId="47" xfId="0" applyFill="1" applyBorder="1"/>
    <xf numFmtId="0" fontId="18" fillId="0" borderId="0" xfId="0" applyFont="1"/>
    <xf numFmtId="0" fontId="5" fillId="11" borderId="0" xfId="0" applyFont="1" applyFill="1"/>
    <xf numFmtId="167" fontId="5" fillId="10" borderId="47" xfId="0" applyNumberFormat="1" applyFont="1" applyFill="1" applyBorder="1" applyAlignment="1">
      <alignment horizontal="center"/>
    </xf>
    <xf numFmtId="166" fontId="5" fillId="12" borderId="47" xfId="0" applyNumberFormat="1" applyFont="1" applyFill="1" applyBorder="1" applyAlignment="1">
      <alignment horizontal="center"/>
    </xf>
    <xf numFmtId="0" fontId="5" fillId="0" borderId="0" xfId="0" applyFont="1"/>
    <xf numFmtId="0" fontId="10" fillId="0" borderId="48" xfId="0" applyFont="1" applyBorder="1" applyAlignment="1">
      <alignment horizontal="left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1" fillId="2" borderId="19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 wrapText="1"/>
    </xf>
    <xf numFmtId="0" fontId="5" fillId="0" borderId="22" xfId="0" applyFont="1" applyBorder="1" applyAlignment="1">
      <alignment horizontal="center" textRotation="90"/>
    </xf>
    <xf numFmtId="165" fontId="6" fillId="0" borderId="0" xfId="0" applyNumberFormat="1" applyFont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right" vertical="center"/>
    </xf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right" vertical="center"/>
    </xf>
    <xf numFmtId="0" fontId="9" fillId="0" borderId="1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0" fontId="16" fillId="0" borderId="0" xfId="0" applyFont="1"/>
    <xf numFmtId="0" fontId="0" fillId="0" borderId="0" xfId="0"/>
    <xf numFmtId="0" fontId="15" fillId="0" borderId="0" xfId="0" applyFont="1"/>
    <xf numFmtId="0" fontId="2" fillId="0" borderId="5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7" fontId="5" fillId="13" borderId="47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1">
    <dxf>
      <font>
        <color rgb="FF9C000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B0B0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222120</xdr:colOff>
      <xdr:row>1</xdr:row>
      <xdr:rowOff>63360</xdr:rowOff>
    </xdr:from>
    <xdr:to>
      <xdr:col>4</xdr:col>
      <xdr:colOff>459000</xdr:colOff>
      <xdr:row>4</xdr:row>
      <xdr:rowOff>42120</xdr:rowOff>
    </xdr:to>
    <xdr:pic>
      <xdr:nvPicPr>
        <xdr:cNvPr id="2" name="Picture 1" descr="Marchand_Houle_RGB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22120" y="415800"/>
          <a:ext cx="2980080" cy="8740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zoomScaleNormal="100" workbookViewId="0">
      <selection activeCell="A15" sqref="A15"/>
    </sheetView>
  </sheetViews>
  <sheetFormatPr baseColWidth="10" defaultColWidth="8.5" defaultRowHeight="15" customHeight="1" x14ac:dyDescent="0.25"/>
  <cols>
    <col min="1" max="1" width="110" customWidth="1"/>
  </cols>
  <sheetData>
    <row r="1" spans="1:1" ht="17.25" customHeight="1" x14ac:dyDescent="0.25">
      <c r="A1" s="3" t="s">
        <v>0</v>
      </c>
    </row>
    <row r="3" spans="1:1" ht="15" customHeight="1" x14ac:dyDescent="0.25">
      <c r="A3" s="4" t="s">
        <v>1</v>
      </c>
    </row>
    <row r="4" spans="1:1" ht="15" customHeight="1" x14ac:dyDescent="0.25">
      <c r="A4" t="s">
        <v>2</v>
      </c>
    </row>
    <row r="5" spans="1:1" ht="15" customHeight="1" x14ac:dyDescent="0.25">
      <c r="A5" t="s">
        <v>3</v>
      </c>
    </row>
    <row r="7" spans="1:1" ht="15" customHeight="1" x14ac:dyDescent="0.25">
      <c r="A7" s="4" t="s">
        <v>4</v>
      </c>
    </row>
    <row r="8" spans="1:1" ht="15" customHeight="1" x14ac:dyDescent="0.25">
      <c r="A8" t="s">
        <v>5</v>
      </c>
    </row>
    <row r="9" spans="1:1" ht="15" customHeight="1" x14ac:dyDescent="0.25">
      <c r="A9" t="s">
        <v>6</v>
      </c>
    </row>
    <row r="11" spans="1:1" ht="15" customHeight="1" x14ac:dyDescent="0.25">
      <c r="A11" s="4" t="s">
        <v>7</v>
      </c>
    </row>
    <row r="12" spans="1:1" ht="15" customHeight="1" x14ac:dyDescent="0.25">
      <c r="A12" t="s">
        <v>8</v>
      </c>
    </row>
    <row r="13" spans="1:1" ht="15" customHeight="1" x14ac:dyDescent="0.25">
      <c r="A13" t="s">
        <v>9</v>
      </c>
    </row>
    <row r="14" spans="1:1" ht="15" customHeight="1" x14ac:dyDescent="0.25">
      <c r="A14" t="s">
        <v>10</v>
      </c>
    </row>
    <row r="15" spans="1:1" ht="15" customHeight="1" x14ac:dyDescent="0.25">
      <c r="A15" t="s">
        <v>11</v>
      </c>
    </row>
    <row r="16" spans="1:1" ht="15" customHeight="1" x14ac:dyDescent="0.25">
      <c r="A16" t="s">
        <v>12</v>
      </c>
    </row>
    <row r="17" spans="1:1" ht="15" customHeight="1" x14ac:dyDescent="0.25">
      <c r="A17" t="s">
        <v>13</v>
      </c>
    </row>
    <row r="18" spans="1:1" ht="15" customHeight="1" x14ac:dyDescent="0.25">
      <c r="A18" t="s">
        <v>14</v>
      </c>
    </row>
    <row r="19" spans="1:1" ht="15" customHeight="1" x14ac:dyDescent="0.25">
      <c r="A19" t="s">
        <v>15</v>
      </c>
    </row>
    <row r="20" spans="1:1" ht="15" customHeight="1" x14ac:dyDescent="0.25">
      <c r="A20" t="s">
        <v>16</v>
      </c>
    </row>
    <row r="23" spans="1:1" ht="15" customHeight="1" x14ac:dyDescent="0.25">
      <c r="A23" s="4"/>
    </row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C173"/>
  <sheetViews>
    <sheetView tabSelected="1" topLeftCell="A13" zoomScale="70" zoomScaleNormal="70" workbookViewId="0">
      <selection activeCell="I27" sqref="I27"/>
    </sheetView>
  </sheetViews>
  <sheetFormatPr baseColWidth="10" defaultColWidth="11" defaultRowHeight="15" customHeight="1" x14ac:dyDescent="0.2"/>
  <cols>
    <col min="1" max="1" width="12" style="5" customWidth="1"/>
    <col min="2" max="2" width="4" style="5" customWidth="1"/>
    <col min="3" max="10" width="10" style="5" customWidth="1"/>
    <col min="11" max="11" width="10" style="6" customWidth="1"/>
    <col min="12" max="16" width="10" style="5" customWidth="1"/>
    <col min="17" max="17" width="8" style="5" customWidth="1"/>
    <col min="18" max="24" width="10" style="5" customWidth="1"/>
    <col min="25" max="25" width="9" style="7" customWidth="1"/>
    <col min="26" max="29" width="8.125" style="5" customWidth="1"/>
    <col min="30" max="16384" width="11" style="5"/>
  </cols>
  <sheetData>
    <row r="1" spans="1:29" ht="27.75" customHeight="1" x14ac:dyDescent="0.2">
      <c r="A1" s="219" t="s">
        <v>17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</row>
    <row r="2" spans="1:29" ht="24" customHeight="1" x14ac:dyDescent="0.2">
      <c r="A2" s="8"/>
      <c r="B2" s="9"/>
      <c r="C2" s="9"/>
      <c r="D2" s="9"/>
      <c r="E2" s="9"/>
      <c r="F2" s="220" t="s">
        <v>18</v>
      </c>
      <c r="G2" s="220"/>
      <c r="H2" s="10" t="s">
        <v>19</v>
      </c>
      <c r="I2" s="10"/>
      <c r="J2" s="11"/>
      <c r="K2" s="11"/>
      <c r="L2" s="12"/>
      <c r="M2" s="221" t="s">
        <v>20</v>
      </c>
      <c r="N2" s="221"/>
      <c r="O2" s="221"/>
      <c r="P2" s="221"/>
      <c r="Q2" s="13"/>
      <c r="R2" s="14" t="s">
        <v>21</v>
      </c>
      <c r="S2" s="15">
        <f>1/25</f>
        <v>0.04</v>
      </c>
      <c r="T2" s="16" t="s">
        <v>22</v>
      </c>
      <c r="U2" s="9"/>
      <c r="V2" s="9"/>
      <c r="W2" s="9"/>
      <c r="X2" s="9"/>
      <c r="Y2" s="17"/>
      <c r="Z2" s="9"/>
      <c r="AA2" s="18"/>
    </row>
    <row r="3" spans="1:29" ht="24" customHeight="1" x14ac:dyDescent="0.2">
      <c r="A3" s="19"/>
      <c r="F3" s="222" t="s">
        <v>23</v>
      </c>
      <c r="G3" s="222"/>
      <c r="H3" s="20" t="s">
        <v>24</v>
      </c>
      <c r="I3" s="20"/>
      <c r="J3" s="21"/>
      <c r="K3" s="22"/>
      <c r="L3" s="23"/>
      <c r="M3" s="221"/>
      <c r="N3" s="221"/>
      <c r="O3" s="221"/>
      <c r="P3" s="221"/>
      <c r="Q3" s="223" t="s">
        <v>25</v>
      </c>
      <c r="R3" s="223"/>
      <c r="S3" s="223"/>
      <c r="T3" s="223"/>
      <c r="AA3" s="24"/>
    </row>
    <row r="4" spans="1:29" ht="22.5" customHeight="1" x14ac:dyDescent="0.2">
      <c r="A4" s="19"/>
      <c r="F4" s="25"/>
      <c r="G4" s="25" t="s">
        <v>26</v>
      </c>
      <c r="H4" s="214" t="s">
        <v>27</v>
      </c>
      <c r="I4" s="214"/>
      <c r="J4" s="21"/>
      <c r="K4" s="22"/>
      <c r="L4" s="23"/>
      <c r="M4" s="215" t="s">
        <v>28</v>
      </c>
      <c r="N4" s="215"/>
      <c r="O4" s="215"/>
      <c r="P4" s="215"/>
      <c r="Q4" s="26" t="s">
        <v>29</v>
      </c>
      <c r="R4" s="27" t="s">
        <v>30</v>
      </c>
      <c r="S4" s="26" t="s">
        <v>31</v>
      </c>
      <c r="T4" s="28" t="s">
        <v>32</v>
      </c>
      <c r="Y4" s="5"/>
      <c r="AA4" s="24"/>
    </row>
    <row r="5" spans="1:29" ht="22.5" customHeight="1" x14ac:dyDescent="0.2">
      <c r="A5" s="19"/>
      <c r="F5" s="29"/>
      <c r="G5" s="29"/>
      <c r="H5" s="30"/>
      <c r="I5" s="30"/>
      <c r="J5" s="21"/>
      <c r="K5" s="22"/>
      <c r="L5" s="23"/>
      <c r="Q5" s="31" t="s">
        <v>33</v>
      </c>
      <c r="R5" s="32">
        <v>603.83000000000004</v>
      </c>
      <c r="S5" s="33">
        <v>6.2</v>
      </c>
      <c r="T5" s="34">
        <v>0.79400000000000004</v>
      </c>
      <c r="Z5" s="35"/>
      <c r="AA5" s="36"/>
    </row>
    <row r="6" spans="1:29" ht="22.5" customHeight="1" x14ac:dyDescent="0.2">
      <c r="A6" s="19"/>
      <c r="F6" s="29"/>
      <c r="G6" s="29"/>
      <c r="H6" s="30"/>
      <c r="I6" s="30"/>
      <c r="J6" s="21"/>
      <c r="K6" s="22"/>
      <c r="L6" s="23"/>
      <c r="Q6" s="31" t="s">
        <v>34</v>
      </c>
      <c r="R6" s="32">
        <v>509.21</v>
      </c>
      <c r="S6" s="33">
        <v>3.7</v>
      </c>
      <c r="T6" s="34">
        <v>0.68300000000000005</v>
      </c>
      <c r="Z6" s="35"/>
      <c r="AA6" s="36"/>
    </row>
    <row r="7" spans="1:29" ht="22.5" customHeight="1" x14ac:dyDescent="0.2">
      <c r="A7" s="19"/>
      <c r="F7" s="29"/>
      <c r="G7" s="29"/>
      <c r="H7" s="30"/>
      <c r="I7" s="30"/>
      <c r="J7" s="21"/>
      <c r="K7" s="22"/>
      <c r="L7" s="23"/>
      <c r="Q7" s="31" t="s">
        <v>35</v>
      </c>
      <c r="R7" s="32">
        <v>508.07</v>
      </c>
      <c r="S7" s="33">
        <v>2.9</v>
      </c>
      <c r="T7" s="34">
        <v>0.64400000000000002</v>
      </c>
      <c r="Z7" s="35"/>
      <c r="AA7" s="36"/>
    </row>
    <row r="8" spans="1:29" ht="22.5" customHeight="1" x14ac:dyDescent="0.2">
      <c r="A8" s="19"/>
      <c r="F8" s="29"/>
      <c r="G8" s="29"/>
      <c r="H8" s="30"/>
      <c r="I8" s="30"/>
      <c r="J8" s="21"/>
      <c r="K8" s="22"/>
      <c r="L8" s="23"/>
      <c r="Q8" s="31" t="s">
        <v>36</v>
      </c>
      <c r="R8" s="32">
        <v>515.88</v>
      </c>
      <c r="S8" s="33">
        <v>2.1</v>
      </c>
      <c r="T8" s="34">
        <v>0.60699999999999998</v>
      </c>
      <c r="Z8" s="35"/>
      <c r="AA8" s="36"/>
    </row>
    <row r="9" spans="1:29" ht="22.5" customHeight="1" x14ac:dyDescent="0.2">
      <c r="A9" s="19"/>
      <c r="F9" s="29"/>
      <c r="G9" s="29"/>
      <c r="H9" s="30"/>
      <c r="I9" s="30"/>
      <c r="J9" s="21"/>
      <c r="K9" s="22"/>
      <c r="L9" s="23"/>
      <c r="Q9" s="31" t="s">
        <v>37</v>
      </c>
      <c r="R9" s="32">
        <v>548.6</v>
      </c>
      <c r="S9" s="33">
        <v>1.9</v>
      </c>
      <c r="T9" s="34">
        <v>0.59499999999999997</v>
      </c>
      <c r="Z9" s="35"/>
      <c r="AA9" s="36"/>
    </row>
    <row r="10" spans="1:29" ht="22.5" customHeight="1" x14ac:dyDescent="0.2">
      <c r="A10" s="19"/>
      <c r="F10" s="29"/>
      <c r="G10" s="29"/>
      <c r="H10" s="30"/>
      <c r="I10" s="30"/>
      <c r="J10" s="21"/>
      <c r="K10" s="22"/>
      <c r="L10" s="23"/>
      <c r="Q10" s="31" t="s">
        <v>38</v>
      </c>
      <c r="R10" s="32">
        <v>569.21</v>
      </c>
      <c r="S10" s="33">
        <v>1.6</v>
      </c>
      <c r="T10" s="34">
        <v>0.57899999999999996</v>
      </c>
      <c r="Z10" s="35"/>
      <c r="AA10" s="36"/>
    </row>
    <row r="11" spans="1:29" ht="22.5" customHeight="1" x14ac:dyDescent="0.25">
      <c r="A11" s="37"/>
      <c r="B11" s="38"/>
      <c r="C11" s="38"/>
      <c r="D11" s="38"/>
      <c r="E11" s="38"/>
      <c r="F11" s="39"/>
      <c r="G11" s="38"/>
      <c r="H11" s="38"/>
      <c r="I11" s="38"/>
      <c r="J11" s="40"/>
      <c r="K11" s="41"/>
      <c r="L11" s="42"/>
      <c r="M11" s="38"/>
      <c r="N11" s="38"/>
      <c r="O11" s="38"/>
      <c r="P11" s="38"/>
      <c r="Q11" s="43"/>
      <c r="R11" s="44" t="s">
        <v>39</v>
      </c>
      <c r="S11" s="45">
        <v>1.2999999999999999E-2</v>
      </c>
      <c r="T11" s="46"/>
      <c r="U11" s="38"/>
      <c r="V11" s="47"/>
      <c r="W11" s="48"/>
      <c r="X11" s="38"/>
      <c r="Y11" s="49"/>
      <c r="Z11" s="50"/>
      <c r="AA11" s="51"/>
    </row>
    <row r="12" spans="1:29" s="22" customFormat="1" ht="42" customHeight="1" x14ac:dyDescent="0.25">
      <c r="A12" s="216" t="s">
        <v>40</v>
      </c>
      <c r="B12" s="216"/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7" t="s">
        <v>41</v>
      </c>
      <c r="N12" s="217"/>
      <c r="O12" s="217"/>
      <c r="P12" s="217"/>
      <c r="Q12" s="217"/>
      <c r="R12" s="217"/>
      <c r="S12" s="218" t="s">
        <v>42</v>
      </c>
      <c r="T12" s="218"/>
      <c r="U12" s="210" t="s">
        <v>43</v>
      </c>
      <c r="V12" s="210"/>
      <c r="W12" s="211" t="s">
        <v>44</v>
      </c>
      <c r="X12" s="211"/>
      <c r="Y12" s="212" t="s">
        <v>45</v>
      </c>
      <c r="Z12" s="212"/>
      <c r="AA12" s="212"/>
    </row>
    <row r="13" spans="1:29" s="65" customFormat="1" ht="189" customHeight="1" x14ac:dyDescent="0.25">
      <c r="A13" s="213" t="s">
        <v>46</v>
      </c>
      <c r="B13" s="213"/>
      <c r="C13" s="213"/>
      <c r="D13" s="52" t="s">
        <v>47</v>
      </c>
      <c r="E13" s="53" t="s">
        <v>48</v>
      </c>
      <c r="F13" s="53" t="s">
        <v>49</v>
      </c>
      <c r="G13" s="52" t="s">
        <v>50</v>
      </c>
      <c r="H13" s="52" t="s">
        <v>51</v>
      </c>
      <c r="I13" s="52" t="s">
        <v>52</v>
      </c>
      <c r="J13" s="53" t="s">
        <v>53</v>
      </c>
      <c r="K13" s="54" t="s">
        <v>54</v>
      </c>
      <c r="L13" s="55" t="s">
        <v>55</v>
      </c>
      <c r="M13" s="56" t="s">
        <v>56</v>
      </c>
      <c r="N13" s="57" t="s">
        <v>57</v>
      </c>
      <c r="O13" s="58" t="s">
        <v>58</v>
      </c>
      <c r="P13" s="59" t="s">
        <v>59</v>
      </c>
      <c r="Q13" s="60" t="s">
        <v>60</v>
      </c>
      <c r="R13" s="61" t="s">
        <v>61</v>
      </c>
      <c r="S13" s="59" t="s">
        <v>62</v>
      </c>
      <c r="T13" s="59" t="s">
        <v>63</v>
      </c>
      <c r="U13" s="59" t="s">
        <v>62</v>
      </c>
      <c r="V13" s="62" t="s">
        <v>63</v>
      </c>
      <c r="W13" s="59" t="s">
        <v>62</v>
      </c>
      <c r="X13" s="59" t="s">
        <v>63</v>
      </c>
      <c r="Y13" s="59" t="s">
        <v>64</v>
      </c>
      <c r="Z13" s="60" t="s">
        <v>65</v>
      </c>
      <c r="AA13" s="63" t="s">
        <v>66</v>
      </c>
      <c r="AB13" s="64" t="s">
        <v>67</v>
      </c>
      <c r="AC13" s="65" t="s">
        <v>68</v>
      </c>
    </row>
    <row r="14" spans="1:29" s="67" customFormat="1" ht="20.25" customHeight="1" x14ac:dyDescent="0.2">
      <c r="A14" s="66"/>
      <c r="C14" s="68"/>
      <c r="D14" s="68" t="s">
        <v>69</v>
      </c>
      <c r="E14" s="68" t="s">
        <v>70</v>
      </c>
      <c r="F14" s="68" t="s">
        <v>71</v>
      </c>
      <c r="G14" s="68" t="s">
        <v>72</v>
      </c>
      <c r="H14" s="68" t="s">
        <v>30</v>
      </c>
      <c r="I14" s="68" t="s">
        <v>73</v>
      </c>
      <c r="J14" s="68" t="s">
        <v>74</v>
      </c>
      <c r="K14" s="69" t="s">
        <v>75</v>
      </c>
      <c r="L14" s="70" t="s">
        <v>76</v>
      </c>
      <c r="M14" s="71" t="s">
        <v>77</v>
      </c>
      <c r="N14" s="68" t="s">
        <v>78</v>
      </c>
      <c r="O14" s="72" t="s">
        <v>79</v>
      </c>
      <c r="P14" s="68" t="s">
        <v>80</v>
      </c>
      <c r="Q14" s="68" t="s">
        <v>81</v>
      </c>
      <c r="R14" s="73" t="s">
        <v>82</v>
      </c>
      <c r="S14" s="68"/>
      <c r="T14" s="68"/>
      <c r="U14" s="68"/>
      <c r="V14" s="74"/>
      <c r="W14" s="75"/>
      <c r="X14" s="72"/>
      <c r="Y14" s="72"/>
      <c r="Z14" s="76"/>
      <c r="AA14" s="77"/>
      <c r="AC14" s="67" t="s">
        <v>83</v>
      </c>
    </row>
    <row r="15" spans="1:29" s="90" customFormat="1" ht="18" customHeight="1" x14ac:dyDescent="0.2">
      <c r="A15" s="78"/>
      <c r="B15" s="79"/>
      <c r="C15" s="80"/>
      <c r="D15" s="80" t="s">
        <v>84</v>
      </c>
      <c r="E15" s="80" t="s">
        <v>85</v>
      </c>
      <c r="F15" s="80"/>
      <c r="G15" s="80" t="s">
        <v>85</v>
      </c>
      <c r="H15" s="80" t="s">
        <v>85</v>
      </c>
      <c r="I15" s="80" t="s">
        <v>85</v>
      </c>
      <c r="J15" s="80"/>
      <c r="K15" s="81" t="s">
        <v>86</v>
      </c>
      <c r="L15" s="82" t="s">
        <v>87</v>
      </c>
      <c r="M15" s="83" t="s">
        <v>88</v>
      </c>
      <c r="N15" s="80" t="s">
        <v>89</v>
      </c>
      <c r="O15" s="84" t="s">
        <v>90</v>
      </c>
      <c r="P15" s="80" t="s">
        <v>91</v>
      </c>
      <c r="Q15" s="80" t="s">
        <v>84</v>
      </c>
      <c r="R15" s="85" t="s">
        <v>87</v>
      </c>
      <c r="S15" s="80" t="s">
        <v>91</v>
      </c>
      <c r="T15" s="80" t="s">
        <v>91</v>
      </c>
      <c r="U15" s="80" t="s">
        <v>91</v>
      </c>
      <c r="V15" s="86" t="s">
        <v>91</v>
      </c>
      <c r="W15" s="87" t="s">
        <v>91</v>
      </c>
      <c r="X15" s="88" t="s">
        <v>91</v>
      </c>
      <c r="Y15" s="88" t="s">
        <v>92</v>
      </c>
      <c r="Z15" s="84" t="s">
        <v>91</v>
      </c>
      <c r="AA15" s="89" t="s">
        <v>92</v>
      </c>
      <c r="AC15" s="90" t="s">
        <v>93</v>
      </c>
    </row>
    <row r="16" spans="1:29" ht="22.5" customHeight="1" x14ac:dyDescent="0.2">
      <c r="A16" s="91"/>
      <c r="B16" s="92"/>
      <c r="C16" s="93"/>
      <c r="D16" s="94"/>
      <c r="E16" s="94"/>
      <c r="F16" s="94"/>
      <c r="G16" s="94"/>
      <c r="H16" s="94"/>
      <c r="I16" s="94"/>
      <c r="J16" s="94"/>
      <c r="K16" s="95"/>
      <c r="L16" s="96"/>
      <c r="M16" s="97"/>
      <c r="N16" s="94"/>
      <c r="O16" s="98"/>
      <c r="P16" s="94"/>
      <c r="Q16" s="94"/>
      <c r="R16" s="99"/>
      <c r="S16" s="100"/>
      <c r="T16" s="93"/>
      <c r="U16" s="94"/>
      <c r="V16" s="101"/>
      <c r="X16" s="102"/>
      <c r="Z16" s="102"/>
      <c r="AA16" s="24"/>
      <c r="AC16" s="103"/>
    </row>
    <row r="17" spans="1:29" ht="22.5" customHeight="1" x14ac:dyDescent="0.2">
      <c r="A17" s="104" t="s">
        <v>94</v>
      </c>
      <c r="B17" s="92"/>
      <c r="C17" s="93"/>
      <c r="D17" s="94"/>
      <c r="E17" s="94"/>
      <c r="F17" s="94"/>
      <c r="G17" s="94"/>
      <c r="H17" s="94"/>
      <c r="I17" s="94"/>
      <c r="J17" s="94"/>
      <c r="K17" s="95"/>
      <c r="L17" s="96"/>
      <c r="M17" s="97"/>
      <c r="N17" s="94"/>
      <c r="O17" s="98"/>
      <c r="P17" s="94"/>
      <c r="Q17" s="94"/>
      <c r="R17" s="99"/>
      <c r="S17" s="100"/>
      <c r="T17" s="93"/>
      <c r="U17" s="94"/>
      <c r="V17" s="101"/>
      <c r="W17" s="105"/>
      <c r="X17" s="95"/>
      <c r="Y17" s="95"/>
      <c r="Z17" s="95"/>
      <c r="AA17" s="106"/>
    </row>
    <row r="18" spans="1:29" ht="22.5" customHeight="1" x14ac:dyDescent="0.25">
      <c r="A18" s="107" t="s">
        <v>95</v>
      </c>
      <c r="B18" s="107" t="s">
        <v>96</v>
      </c>
      <c r="C18" s="107" t="s">
        <v>97</v>
      </c>
      <c r="D18" s="108">
        <f>'Temps de concentration'!B7</f>
        <v>2.1747723929616445</v>
      </c>
      <c r="E18" s="109">
        <v>4.4699999999999997E-2</v>
      </c>
      <c r="F18" s="110">
        <v>0.42499999999999999</v>
      </c>
      <c r="G18" s="111">
        <f t="shared" ref="G18:G26" si="0">E18*F18</f>
        <v>1.8997499999999997E-2</v>
      </c>
      <c r="H18" s="111">
        <f>E18</f>
        <v>4.4699999999999997E-2</v>
      </c>
      <c r="I18" s="111">
        <f>G18</f>
        <v>1.8997499999999997E-2</v>
      </c>
      <c r="J18" s="112">
        <f t="shared" ref="J18:J26" si="1">IF(H18=0,0,I18/H18)</f>
        <v>0.42499999999999999</v>
      </c>
      <c r="K18" s="108">
        <f t="shared" ref="K18:K26" si="2">IF($S$2=0.5,$R$5/((D18+$S$5)^$T$5),IF($S$2=0.2,$R$6/((D18+$S$6)^$T$6),IF($S$2=0.1,$R$7/((D18+$S$7)^$T$7),IF($S$2=0.04,$R$8/((D18+$S$8)^$T$8),IF($S$2=0.02,$R$9/((D18+$S$9)^$T$9),$R$10/((D18+$S$10)^$T$10))))))</f>
        <v>213.59176405419527</v>
      </c>
      <c r="L18" s="112">
        <f t="shared" ref="L18:L26" si="3">0.00275*H18*J18*K18</f>
        <v>1.1158701228453829E-2</v>
      </c>
      <c r="M18" s="109">
        <v>3.0599999999999999E-2</v>
      </c>
      <c r="N18" s="113">
        <v>200</v>
      </c>
      <c r="O18" s="108">
        <f t="shared" ref="O18:O26" si="4">IF(OR(N18&lt;=0,M18&lt;=0),0,((N18/4000)^(2/3)*SQRT(M18))/$S$11)</f>
        <v>1.8262659859483312</v>
      </c>
      <c r="P18" s="205">
        <v>17.457999999999998</v>
      </c>
      <c r="Q18" s="108">
        <f t="shared" ref="Q18:Q26" si="5">IF(O18=0,0,P18/(O18*60))</f>
        <v>0.1593232688477059</v>
      </c>
      <c r="R18" s="112">
        <f t="shared" ref="R18:R26" si="6">O18*(PI()*(N18/1000)^2/4)</f>
        <v>5.7373838049561983E-2</v>
      </c>
      <c r="S18" s="114"/>
      <c r="T18" s="114"/>
      <c r="U18" s="231">
        <f t="shared" ref="U18:U26" si="7">V18+(M18*P18)</f>
        <v>16.838874800000003</v>
      </c>
      <c r="V18" s="231">
        <f t="shared" ref="V18:V25" si="8">U19</f>
        <v>16.304660000000002</v>
      </c>
      <c r="W18" s="112"/>
      <c r="X18" s="112"/>
      <c r="Y18" s="112">
        <f t="shared" ref="Y18:Y26" si="9">P18*PI()*(N18/1000)^2/4</f>
        <v>0.54845924546370617</v>
      </c>
      <c r="Z18" s="95"/>
      <c r="AA18" s="115"/>
      <c r="AB18" s="116" t="str">
        <f t="shared" ref="AB18:AB26" si="10">IF(R18&gt;L18,"OK","AUGMENTER D")</f>
        <v>OK</v>
      </c>
      <c r="AC18" s="117" t="s">
        <v>98</v>
      </c>
    </row>
    <row r="19" spans="1:29" ht="22.5" customHeight="1" x14ac:dyDescent="0.25">
      <c r="A19" s="107" t="s">
        <v>99</v>
      </c>
      <c r="B19" s="107" t="s">
        <v>96</v>
      </c>
      <c r="C19" s="107" t="s">
        <v>97</v>
      </c>
      <c r="D19" s="108">
        <f>MAX('Temps de concentration'!C7, D18+Q18)</f>
        <v>3.4688200417822812</v>
      </c>
      <c r="E19" s="109">
        <v>4.4200000000000003E-2</v>
      </c>
      <c r="F19" s="110">
        <v>0.76500000000000001</v>
      </c>
      <c r="G19" s="111">
        <f t="shared" si="0"/>
        <v>3.3813000000000003E-2</v>
      </c>
      <c r="H19" s="111">
        <f t="shared" ref="H19:H26" si="11">H18+E19</f>
        <v>8.8900000000000007E-2</v>
      </c>
      <c r="I19" s="111">
        <f t="shared" ref="I19:I26" si="12">I18+G19</f>
        <v>5.2810499999999996E-2</v>
      </c>
      <c r="J19" s="112">
        <f t="shared" si="1"/>
        <v>0.59404386951631039</v>
      </c>
      <c r="K19" s="108">
        <f t="shared" si="2"/>
        <v>181.91580753477078</v>
      </c>
      <c r="L19" s="112">
        <f t="shared" si="3"/>
        <v>2.6419428072991281E-2</v>
      </c>
      <c r="M19" s="109">
        <v>0.01</v>
      </c>
      <c r="N19" s="113">
        <v>200</v>
      </c>
      <c r="O19" s="108">
        <f t="shared" si="4"/>
        <v>1.0440067756134257</v>
      </c>
      <c r="P19" s="205">
        <v>12.477</v>
      </c>
      <c r="Q19" s="108">
        <f t="shared" si="5"/>
        <v>0.19918453103698977</v>
      </c>
      <c r="R19" s="112">
        <f t="shared" si="6"/>
        <v>3.279844016565106E-2</v>
      </c>
      <c r="S19" s="114"/>
      <c r="T19" s="114"/>
      <c r="U19" s="231">
        <f t="shared" si="7"/>
        <v>16.304660000000002</v>
      </c>
      <c r="V19" s="231">
        <f t="shared" si="8"/>
        <v>16.17989</v>
      </c>
      <c r="W19" s="112"/>
      <c r="X19" s="112"/>
      <c r="Y19" s="112">
        <f t="shared" si="9"/>
        <v>0.39197651538839856</v>
      </c>
      <c r="Z19" s="95"/>
      <c r="AA19" s="115"/>
      <c r="AB19" s="116" t="str">
        <f t="shared" si="10"/>
        <v>OK</v>
      </c>
      <c r="AC19" s="117" t="s">
        <v>100</v>
      </c>
    </row>
    <row r="20" spans="1:29" ht="22.5" customHeight="1" x14ac:dyDescent="0.25">
      <c r="A20" s="107" t="s">
        <v>97</v>
      </c>
      <c r="B20" s="107" t="s">
        <v>96</v>
      </c>
      <c r="C20" s="107" t="s">
        <v>101</v>
      </c>
      <c r="D20" s="108">
        <f>MAX('Temps de concentration'!D7, D19+Q19)</f>
        <v>3.6680045728192709</v>
      </c>
      <c r="E20" s="109">
        <v>1.4800000000000001E-2</v>
      </c>
      <c r="F20" s="110">
        <v>0.68400000000000005</v>
      </c>
      <c r="G20" s="111">
        <f t="shared" si="0"/>
        <v>1.0123200000000001E-2</v>
      </c>
      <c r="H20" s="111">
        <f t="shared" si="11"/>
        <v>0.10370000000000001</v>
      </c>
      <c r="I20" s="111">
        <f t="shared" si="12"/>
        <v>6.2933699999999995E-2</v>
      </c>
      <c r="J20" s="112">
        <f t="shared" si="1"/>
        <v>0.60688235294117632</v>
      </c>
      <c r="K20" s="108">
        <f t="shared" si="2"/>
        <v>178.07631267014781</v>
      </c>
      <c r="L20" s="112">
        <f t="shared" si="3"/>
        <v>3.0819253406395523E-2</v>
      </c>
      <c r="M20" s="109">
        <v>0.01</v>
      </c>
      <c r="N20" s="113">
        <v>200</v>
      </c>
      <c r="O20" s="108">
        <f t="shared" si="4"/>
        <v>1.0440067756134257</v>
      </c>
      <c r="P20" s="205">
        <v>9.5790000000000006</v>
      </c>
      <c r="Q20" s="108">
        <f t="shared" si="5"/>
        <v>0.15292046347706381</v>
      </c>
      <c r="R20" s="112">
        <f t="shared" si="6"/>
        <v>3.279844016565106E-2</v>
      </c>
      <c r="S20" s="114"/>
      <c r="T20" s="114"/>
      <c r="U20" s="231">
        <f t="shared" si="7"/>
        <v>16.17989</v>
      </c>
      <c r="V20" s="231">
        <f t="shared" si="8"/>
        <v>16.084099999999999</v>
      </c>
      <c r="W20" s="112"/>
      <c r="X20" s="112"/>
      <c r="Y20" s="112">
        <f t="shared" si="9"/>
        <v>0.30093316028736639</v>
      </c>
      <c r="Z20" s="95"/>
      <c r="AA20" s="115"/>
      <c r="AB20" s="116" t="str">
        <f t="shared" si="10"/>
        <v>OK</v>
      </c>
      <c r="AC20" s="117" t="s">
        <v>102</v>
      </c>
    </row>
    <row r="21" spans="1:29" ht="22.5" customHeight="1" x14ac:dyDescent="0.25">
      <c r="A21" s="107" t="s">
        <v>101</v>
      </c>
      <c r="B21" s="107" t="s">
        <v>96</v>
      </c>
      <c r="C21" s="107" t="s">
        <v>103</v>
      </c>
      <c r="D21" s="108">
        <f>MAX('Temps de concentration'!E7, D20+Q20)</f>
        <v>3.8209250362963347</v>
      </c>
      <c r="E21" s="109">
        <v>9.4999999999999998E-3</v>
      </c>
      <c r="F21" s="110">
        <v>0.54700000000000004</v>
      </c>
      <c r="G21" s="111">
        <f t="shared" si="0"/>
        <v>5.1965000000000006E-3</v>
      </c>
      <c r="H21" s="111">
        <f t="shared" si="11"/>
        <v>0.11320000000000001</v>
      </c>
      <c r="I21" s="111">
        <f t="shared" si="12"/>
        <v>6.8130200000000002E-2</v>
      </c>
      <c r="J21" s="112">
        <f t="shared" si="1"/>
        <v>0.60185689045936397</v>
      </c>
      <c r="K21" s="108">
        <f t="shared" si="2"/>
        <v>175.27025829018453</v>
      </c>
      <c r="L21" s="112">
        <f t="shared" si="3"/>
        <v>3.2838293816245312E-2</v>
      </c>
      <c r="M21" s="109">
        <v>0.01</v>
      </c>
      <c r="N21" s="113">
        <v>250</v>
      </c>
      <c r="O21" s="108">
        <f t="shared" si="4"/>
        <v>1.2114625479758399</v>
      </c>
      <c r="P21" s="205">
        <v>13.317</v>
      </c>
      <c r="Q21" s="108">
        <f t="shared" si="5"/>
        <v>0.18320830501185775</v>
      </c>
      <c r="R21" s="112">
        <f t="shared" si="6"/>
        <v>5.9467528762813603E-2</v>
      </c>
      <c r="S21" s="114"/>
      <c r="T21" s="114"/>
      <c r="U21" s="231">
        <f t="shared" si="7"/>
        <v>16.084099999999999</v>
      </c>
      <c r="V21" s="231">
        <f t="shared" si="8"/>
        <v>15.95093</v>
      </c>
      <c r="W21" s="112"/>
      <c r="X21" s="112"/>
      <c r="Y21" s="112">
        <f t="shared" si="9"/>
        <v>0.65369670887273867</v>
      </c>
      <c r="Z21" s="95"/>
      <c r="AA21" s="115"/>
      <c r="AB21" s="116" t="str">
        <f t="shared" si="10"/>
        <v>OK</v>
      </c>
      <c r="AC21" s="117" t="s">
        <v>104</v>
      </c>
    </row>
    <row r="22" spans="1:29" ht="22.5" customHeight="1" x14ac:dyDescent="0.25">
      <c r="A22" s="107" t="s">
        <v>103</v>
      </c>
      <c r="B22" s="107" t="s">
        <v>96</v>
      </c>
      <c r="C22" s="107" t="s">
        <v>274</v>
      </c>
      <c r="D22" s="108">
        <f>MAX('Temps de concentration'!F7, D21+Q21)</f>
        <v>4.0041333413081928</v>
      </c>
      <c r="E22" s="109">
        <v>2.5700000000000001E-2</v>
      </c>
      <c r="F22" s="110">
        <v>0.63300000000000001</v>
      </c>
      <c r="G22" s="111">
        <f t="shared" si="0"/>
        <v>1.6268100000000001E-2</v>
      </c>
      <c r="H22" s="111">
        <f t="shared" si="11"/>
        <v>0.13890000000000002</v>
      </c>
      <c r="I22" s="111">
        <f t="shared" si="12"/>
        <v>8.4398300000000009E-2</v>
      </c>
      <c r="J22" s="112">
        <f t="shared" si="1"/>
        <v>0.60761915046796255</v>
      </c>
      <c r="K22" s="108">
        <f t="shared" si="2"/>
        <v>172.05801804238345</v>
      </c>
      <c r="L22" s="112">
        <f t="shared" si="3"/>
        <v>3.993386161640286E-2</v>
      </c>
      <c r="M22" s="109">
        <v>0.01</v>
      </c>
      <c r="N22" s="113">
        <v>250</v>
      </c>
      <c r="O22" s="108">
        <f t="shared" si="4"/>
        <v>1.2114625479758399</v>
      </c>
      <c r="P22" s="205">
        <v>14.401</v>
      </c>
      <c r="Q22" s="108">
        <f t="shared" si="5"/>
        <v>0.19812140876141499</v>
      </c>
      <c r="R22" s="112">
        <f t="shared" si="6"/>
        <v>5.9467528762813603E-2</v>
      </c>
      <c r="S22" s="114"/>
      <c r="T22" s="114"/>
      <c r="U22" s="231">
        <f t="shared" si="7"/>
        <v>15.95093</v>
      </c>
      <c r="V22" s="231">
        <f t="shared" si="8"/>
        <v>15.80692</v>
      </c>
      <c r="W22" s="112"/>
      <c r="X22" s="112"/>
      <c r="Y22" s="112">
        <f t="shared" si="9"/>
        <v>0.70690743444291582</v>
      </c>
      <c r="Z22" s="95"/>
      <c r="AA22" s="115"/>
      <c r="AB22" s="116" t="str">
        <f t="shared" si="10"/>
        <v>OK</v>
      </c>
      <c r="AC22" s="117" t="s">
        <v>106</v>
      </c>
    </row>
    <row r="23" spans="1:29" ht="22.5" customHeight="1" x14ac:dyDescent="0.25">
      <c r="A23" s="107" t="s">
        <v>105</v>
      </c>
      <c r="B23" s="107" t="s">
        <v>96</v>
      </c>
      <c r="C23" s="107" t="s">
        <v>274</v>
      </c>
      <c r="D23" s="108">
        <f>MAX('Temps de concentration'!G7, D22+Q22)</f>
        <v>4.2022547500696081</v>
      </c>
      <c r="E23" s="109">
        <v>4.6800000000000001E-2</v>
      </c>
      <c r="F23" s="110">
        <v>0.64200000000000002</v>
      </c>
      <c r="G23" s="111">
        <f t="shared" si="0"/>
        <v>3.0045600000000002E-2</v>
      </c>
      <c r="H23" s="111">
        <f t="shared" si="11"/>
        <v>0.18570000000000003</v>
      </c>
      <c r="I23" s="111">
        <f t="shared" si="12"/>
        <v>0.11444390000000002</v>
      </c>
      <c r="J23" s="112">
        <f t="shared" si="1"/>
        <v>0.61628379106085085</v>
      </c>
      <c r="K23" s="108">
        <f t="shared" si="2"/>
        <v>168.75422193441494</v>
      </c>
      <c r="L23" s="112">
        <f t="shared" si="3"/>
        <v>5.3110451074009975E-2</v>
      </c>
      <c r="M23" s="109">
        <v>1.14E-2</v>
      </c>
      <c r="N23" s="113">
        <v>250</v>
      </c>
      <c r="O23" s="108">
        <f t="shared" si="4"/>
        <v>1.293488042414328</v>
      </c>
      <c r="P23" s="205">
        <v>1.4</v>
      </c>
      <c r="Q23" s="108">
        <f t="shared" si="5"/>
        <v>1.8039079271101013E-2</v>
      </c>
      <c r="R23" s="112">
        <f t="shared" si="6"/>
        <v>6.3493945805548374E-2</v>
      </c>
      <c r="S23" s="114"/>
      <c r="T23" s="114"/>
      <c r="U23" s="231">
        <f t="shared" si="7"/>
        <v>15.80692</v>
      </c>
      <c r="V23" s="231">
        <f t="shared" si="8"/>
        <v>15.79096</v>
      </c>
      <c r="W23" s="112"/>
      <c r="X23" s="112"/>
      <c r="Y23" s="112">
        <f t="shared" si="9"/>
        <v>6.8722339297276724E-2</v>
      </c>
      <c r="Z23" s="95"/>
      <c r="AA23" s="115"/>
      <c r="AB23" s="116" t="str">
        <f t="shared" si="10"/>
        <v>OK</v>
      </c>
      <c r="AC23" s="117" t="s">
        <v>107</v>
      </c>
    </row>
    <row r="24" spans="1:29" ht="22.5" customHeight="1" x14ac:dyDescent="0.25">
      <c r="A24" s="107" t="s">
        <v>274</v>
      </c>
      <c r="B24" s="107" t="s">
        <v>96</v>
      </c>
      <c r="C24" s="107" t="s">
        <v>273</v>
      </c>
      <c r="D24" s="108">
        <f>D23+Q23</f>
        <v>4.2202938293407088</v>
      </c>
      <c r="E24" s="109">
        <v>0</v>
      </c>
      <c r="F24" s="110">
        <v>0.9</v>
      </c>
      <c r="G24" s="111">
        <f t="shared" si="0"/>
        <v>0</v>
      </c>
      <c r="H24" s="111">
        <f t="shared" si="11"/>
        <v>0.18570000000000003</v>
      </c>
      <c r="I24" s="111">
        <f t="shared" si="12"/>
        <v>0.11444390000000002</v>
      </c>
      <c r="J24" s="112">
        <f t="shared" si="1"/>
        <v>0.61628379106085085</v>
      </c>
      <c r="K24" s="108">
        <f t="shared" si="2"/>
        <v>168.46169607698062</v>
      </c>
      <c r="L24" s="112">
        <f t="shared" si="3"/>
        <v>5.3018387124076999E-2</v>
      </c>
      <c r="M24" s="109">
        <v>0.01</v>
      </c>
      <c r="N24" s="113">
        <v>250</v>
      </c>
      <c r="O24" s="108">
        <f t="shared" si="4"/>
        <v>1.2114625479758399</v>
      </c>
      <c r="P24" s="205">
        <v>11.2</v>
      </c>
      <c r="Q24" s="108">
        <f t="shared" si="5"/>
        <v>0.1540837287777132</v>
      </c>
      <c r="R24" s="112">
        <f t="shared" si="6"/>
        <v>5.9467528762813603E-2</v>
      </c>
      <c r="S24" s="114"/>
      <c r="T24" s="114"/>
      <c r="U24" s="231">
        <f t="shared" si="7"/>
        <v>15.79096</v>
      </c>
      <c r="V24" s="231">
        <f t="shared" si="8"/>
        <v>15.67896</v>
      </c>
      <c r="W24" s="112"/>
      <c r="X24" s="112"/>
      <c r="Y24" s="112">
        <f t="shared" si="9"/>
        <v>0.5497787143782138</v>
      </c>
      <c r="Z24" s="95"/>
      <c r="AA24" s="115"/>
      <c r="AB24" s="116" t="str">
        <f t="shared" si="10"/>
        <v>OK</v>
      </c>
      <c r="AC24" s="117" t="s">
        <v>109</v>
      </c>
    </row>
    <row r="25" spans="1:29" ht="22.5" customHeight="1" x14ac:dyDescent="0.25">
      <c r="A25" s="107" t="s">
        <v>273</v>
      </c>
      <c r="B25" s="107" t="s">
        <v>96</v>
      </c>
      <c r="C25" s="107" t="s">
        <v>108</v>
      </c>
      <c r="D25" s="108">
        <f>MAX('Temps de concentration'!H7, D24+Q24)</f>
        <v>4.3743775581184217</v>
      </c>
      <c r="E25" s="109">
        <v>9.0300000000000005E-2</v>
      </c>
      <c r="F25" s="110">
        <v>0.95</v>
      </c>
      <c r="G25" s="111">
        <f t="shared" si="0"/>
        <v>8.5785E-2</v>
      </c>
      <c r="H25" s="111">
        <f t="shared" si="11"/>
        <v>0.27600000000000002</v>
      </c>
      <c r="I25" s="111">
        <f t="shared" si="12"/>
        <v>0.20022890000000002</v>
      </c>
      <c r="J25" s="112">
        <f t="shared" si="1"/>
        <v>0.72546702898550719</v>
      </c>
      <c r="K25" s="108">
        <f t="shared" si="2"/>
        <v>166.0165910121946</v>
      </c>
      <c r="L25" s="112">
        <f t="shared" si="3"/>
        <v>9.1413628350334425E-2</v>
      </c>
      <c r="M25" s="109">
        <v>0.01</v>
      </c>
      <c r="N25" s="113">
        <v>300</v>
      </c>
      <c r="O25" s="108">
        <f t="shared" si="4"/>
        <v>1.3680358863423319</v>
      </c>
      <c r="P25" s="205">
        <v>7.1</v>
      </c>
      <c r="Q25" s="108">
        <f t="shared" si="5"/>
        <v>8.6498705563723841E-2</v>
      </c>
      <c r="R25" s="112">
        <f t="shared" si="6"/>
        <v>9.67007585335561E-2</v>
      </c>
      <c r="S25" s="114"/>
      <c r="T25" s="114"/>
      <c r="U25" s="231">
        <f t="shared" si="7"/>
        <v>15.67896</v>
      </c>
      <c r="V25" s="231">
        <f t="shared" si="8"/>
        <v>15.60796</v>
      </c>
      <c r="W25" s="112"/>
      <c r="X25" s="112"/>
      <c r="Y25" s="112">
        <f t="shared" si="9"/>
        <v>0.50186942641096943</v>
      </c>
      <c r="Z25" s="95"/>
      <c r="AA25" s="115"/>
      <c r="AB25" s="116" t="str">
        <f t="shared" si="10"/>
        <v>OK</v>
      </c>
      <c r="AC25" s="117" t="s">
        <v>111</v>
      </c>
    </row>
    <row r="26" spans="1:29" ht="22.5" customHeight="1" x14ac:dyDescent="0.25">
      <c r="A26" s="107" t="s">
        <v>108</v>
      </c>
      <c r="B26" s="107" t="s">
        <v>96</v>
      </c>
      <c r="C26" s="107" t="s">
        <v>110</v>
      </c>
      <c r="D26" s="108">
        <f>MAX('Temps de concentration'!I7, D25+Q25)</f>
        <v>4.4608762636821453</v>
      </c>
      <c r="E26" s="109">
        <v>4.9799999999999997E-2</v>
      </c>
      <c r="F26" s="110">
        <v>0.33500000000000002</v>
      </c>
      <c r="G26" s="111">
        <f t="shared" si="0"/>
        <v>1.6683E-2</v>
      </c>
      <c r="H26" s="111">
        <f t="shared" si="11"/>
        <v>0.32580000000000003</v>
      </c>
      <c r="I26" s="111">
        <f t="shared" si="12"/>
        <v>0.21691190000000002</v>
      </c>
      <c r="J26" s="112">
        <f t="shared" si="1"/>
        <v>0.66578238182934313</v>
      </c>
      <c r="K26" s="108">
        <f t="shared" si="2"/>
        <v>164.68454715902112</v>
      </c>
      <c r="L26" s="112">
        <f t="shared" si="3"/>
        <v>9.8235604568482918E-2</v>
      </c>
      <c r="M26" s="109">
        <v>1.23E-2</v>
      </c>
      <c r="N26" s="113">
        <v>300</v>
      </c>
      <c r="O26" s="108">
        <f t="shared" si="4"/>
        <v>1.5172251939557797</v>
      </c>
      <c r="P26" s="205">
        <v>14.3</v>
      </c>
      <c r="Q26" s="108">
        <f t="shared" si="5"/>
        <v>0.1570850090565262</v>
      </c>
      <c r="R26" s="112">
        <f t="shared" si="6"/>
        <v>0.10724632927138861</v>
      </c>
      <c r="S26" s="114"/>
      <c r="T26" s="114"/>
      <c r="U26" s="231">
        <f t="shared" si="7"/>
        <v>15.60796</v>
      </c>
      <c r="V26" s="231">
        <f>U27</f>
        <v>15.43207</v>
      </c>
      <c r="W26" s="112"/>
      <c r="X26" s="112"/>
      <c r="Y26" s="112">
        <f t="shared" si="9"/>
        <v>1.0108074362925161</v>
      </c>
      <c r="Z26" s="95"/>
      <c r="AA26" s="115"/>
      <c r="AB26" s="116" t="str">
        <f t="shared" si="10"/>
        <v>OK</v>
      </c>
      <c r="AC26" s="117" t="s">
        <v>113</v>
      </c>
    </row>
    <row r="27" spans="1:29" ht="22.5" customHeight="1" x14ac:dyDescent="0.25">
      <c r="A27" s="107" t="s">
        <v>110</v>
      </c>
      <c r="B27" s="107" t="s">
        <v>96</v>
      </c>
      <c r="C27" s="107" t="s">
        <v>271</v>
      </c>
      <c r="D27" s="108">
        <f>MAX('Temps de concentration'!I8, D26+Q26)</f>
        <v>4.6179612727386719</v>
      </c>
      <c r="E27" s="109"/>
      <c r="F27" s="110"/>
      <c r="G27" s="111"/>
      <c r="H27" s="111"/>
      <c r="I27" s="111"/>
      <c r="J27" s="112"/>
      <c r="K27" s="108"/>
      <c r="L27" s="112">
        <v>5.0000000000000001E-3</v>
      </c>
      <c r="M27" s="109">
        <v>1.23E-2</v>
      </c>
      <c r="N27" s="113">
        <v>250</v>
      </c>
      <c r="O27" s="108">
        <f t="shared" ref="O27" si="13">IF(OR(N27&lt;=0,M27&lt;=0),0,((N27/4000)^(2/3)*SQRT(M27))/$S$11)</f>
        <v>1.343576961447382</v>
      </c>
      <c r="P27" s="205">
        <v>10.9</v>
      </c>
      <c r="Q27" s="108">
        <f t="shared" ref="Q27" si="14">IF(O27=0,0,P27/(O27*60))</f>
        <v>0.13521120998603936</v>
      </c>
      <c r="R27" s="112">
        <f t="shared" ref="R27" si="15">O27*(PI()*(N27/1000)^2/4)</f>
        <v>6.5952679868993627E-2</v>
      </c>
      <c r="S27" s="114"/>
      <c r="T27" s="114"/>
      <c r="U27" s="114">
        <f>V27+(M27*P27)</f>
        <v>15.43207</v>
      </c>
      <c r="V27" s="204">
        <v>15.298</v>
      </c>
      <c r="W27" s="112"/>
      <c r="X27" s="112"/>
      <c r="Y27" s="112">
        <f t="shared" ref="Y27" si="16">P27*PI()*(N27/1000)^2/4</f>
        <v>0.53505249881451167</v>
      </c>
      <c r="Z27" s="95"/>
      <c r="AA27" s="115"/>
      <c r="AB27" s="116" t="str">
        <f t="shared" ref="AB27" si="17">IF(R27&gt;L27,"OK","AUGMENTER D")</f>
        <v>OK</v>
      </c>
      <c r="AC27" s="117" t="s">
        <v>113</v>
      </c>
    </row>
    <row r="28" spans="1:29" ht="22.5" customHeight="1" x14ac:dyDescent="0.2">
      <c r="A28" s="118" t="s">
        <v>271</v>
      </c>
      <c r="B28" s="119"/>
      <c r="C28" s="120" t="s">
        <v>112</v>
      </c>
      <c r="D28" s="121"/>
      <c r="E28" s="122"/>
      <c r="F28" s="100"/>
      <c r="G28" s="122"/>
      <c r="H28" s="122"/>
      <c r="I28" s="122"/>
      <c r="J28" s="100"/>
      <c r="K28" s="100"/>
      <c r="L28" s="123"/>
      <c r="M28" s="124"/>
      <c r="N28" s="94"/>
      <c r="O28" s="125"/>
      <c r="P28" s="121">
        <v>12.4</v>
      </c>
      <c r="Q28" s="100"/>
      <c r="R28" s="123"/>
      <c r="S28" s="100"/>
      <c r="T28" s="100"/>
      <c r="U28" s="95"/>
      <c r="V28" s="126"/>
      <c r="W28" s="105"/>
      <c r="X28" s="95"/>
      <c r="Y28" s="95"/>
      <c r="Z28" s="95"/>
      <c r="AA28" s="115"/>
      <c r="AB28" s="127"/>
    </row>
    <row r="29" spans="1:29" ht="22.5" customHeight="1" x14ac:dyDescent="0.25">
      <c r="A29" s="128" t="s">
        <v>114</v>
      </c>
      <c r="B29" s="119"/>
      <c r="C29" s="120"/>
      <c r="D29" s="121"/>
      <c r="E29" s="122"/>
      <c r="F29" s="100"/>
      <c r="G29" s="122"/>
      <c r="H29" s="122"/>
      <c r="I29" s="122"/>
      <c r="J29" s="100"/>
      <c r="K29" s="100"/>
      <c r="L29" s="123"/>
      <c r="M29" s="124"/>
      <c r="N29" s="94"/>
      <c r="O29" s="125"/>
      <c r="P29" s="121"/>
      <c r="Q29" s="100"/>
      <c r="R29" s="123"/>
      <c r="S29" s="100"/>
      <c r="T29" s="100"/>
      <c r="U29" s="95"/>
      <c r="V29" s="126"/>
      <c r="W29" s="105"/>
      <c r="X29" s="95"/>
      <c r="Y29" s="95"/>
      <c r="Z29" s="95"/>
      <c r="AA29" s="115"/>
      <c r="AB29" s="127"/>
    </row>
    <row r="30" spans="1:29" ht="22.5" customHeight="1" x14ac:dyDescent="0.2">
      <c r="A30" s="208" t="s">
        <v>115</v>
      </c>
      <c r="B30" s="208"/>
      <c r="C30" s="208"/>
      <c r="D30" s="208"/>
      <c r="E30" s="208"/>
      <c r="F30" s="208"/>
      <c r="G30" s="208"/>
      <c r="H30" s="208"/>
      <c r="I30" s="208"/>
      <c r="J30" s="208"/>
      <c r="K30" s="208"/>
      <c r="L30" s="208"/>
      <c r="M30" s="124"/>
      <c r="N30" s="94"/>
      <c r="O30" s="125"/>
      <c r="P30" s="121"/>
      <c r="Q30" s="100"/>
      <c r="R30" s="123"/>
      <c r="S30" s="100"/>
      <c r="T30" s="100"/>
      <c r="U30" s="95"/>
      <c r="V30" s="126"/>
      <c r="W30" s="105"/>
      <c r="X30" s="95"/>
      <c r="Y30" s="95"/>
      <c r="Z30" s="95"/>
      <c r="AA30" s="115"/>
      <c r="AB30" s="127"/>
    </row>
    <row r="31" spans="1:29" ht="22.5" customHeight="1" x14ac:dyDescent="0.2">
      <c r="A31" s="207" t="s">
        <v>116</v>
      </c>
      <c r="B31" s="207"/>
      <c r="C31" s="207"/>
      <c r="D31" s="207"/>
      <c r="E31" s="207"/>
      <c r="F31" s="207"/>
      <c r="G31" s="207"/>
      <c r="H31" s="207"/>
      <c r="I31" s="207"/>
      <c r="J31" s="207"/>
      <c r="K31" s="207"/>
      <c r="L31" s="207"/>
      <c r="M31" s="124"/>
      <c r="N31" s="94"/>
      <c r="O31" s="125"/>
      <c r="P31" s="121"/>
      <c r="Q31" s="100"/>
      <c r="R31" s="123"/>
      <c r="S31" s="100"/>
      <c r="T31" s="100"/>
      <c r="U31" s="95"/>
      <c r="V31" s="126"/>
      <c r="W31" s="105"/>
      <c r="X31" s="95"/>
      <c r="Y31" s="95"/>
      <c r="Z31" s="95"/>
      <c r="AA31" s="115"/>
      <c r="AB31" s="127"/>
    </row>
    <row r="32" spans="1:29" ht="22.5" customHeight="1" x14ac:dyDescent="0.2">
      <c r="A32" s="208" t="s">
        <v>117</v>
      </c>
      <c r="B32" s="208"/>
      <c r="C32" s="208"/>
      <c r="D32" s="208"/>
      <c r="E32" s="208"/>
      <c r="F32" s="208"/>
      <c r="G32" s="208"/>
      <c r="H32" s="208"/>
      <c r="I32" s="208"/>
      <c r="J32" s="208"/>
      <c r="K32" s="208"/>
      <c r="L32" s="208"/>
      <c r="M32" s="124"/>
      <c r="N32" s="94"/>
      <c r="O32" s="125"/>
      <c r="P32" s="121"/>
      <c r="Q32" s="100"/>
      <c r="R32" s="123"/>
      <c r="S32" s="100"/>
      <c r="T32" s="100"/>
      <c r="U32" s="95"/>
      <c r="V32" s="126"/>
      <c r="W32" s="105"/>
      <c r="X32" s="95"/>
      <c r="Y32" s="95"/>
      <c r="Z32" s="95"/>
      <c r="AA32" s="115"/>
      <c r="AB32" s="127"/>
    </row>
    <row r="33" spans="1:29" ht="22.5" customHeight="1" x14ac:dyDescent="0.2">
      <c r="A33" s="207" t="s">
        <v>118</v>
      </c>
      <c r="B33" s="207"/>
      <c r="C33" s="207"/>
      <c r="D33" s="207"/>
      <c r="E33" s="207"/>
      <c r="F33" s="207"/>
      <c r="G33" s="207"/>
      <c r="H33" s="207"/>
      <c r="I33" s="207"/>
      <c r="J33" s="207"/>
      <c r="K33" s="207"/>
      <c r="L33" s="207"/>
      <c r="M33" s="129"/>
      <c r="N33" s="94"/>
      <c r="O33" s="125"/>
      <c r="P33" s="121"/>
      <c r="Q33" s="100"/>
      <c r="R33" s="123"/>
      <c r="S33" s="100"/>
      <c r="T33" s="100"/>
      <c r="U33" s="100"/>
      <c r="V33" s="126"/>
      <c r="W33" s="105"/>
      <c r="X33" s="95"/>
      <c r="Y33" s="95"/>
      <c r="Z33" s="95"/>
      <c r="AA33" s="115"/>
      <c r="AC33" s="127"/>
    </row>
    <row r="34" spans="1:29" ht="22.5" customHeight="1" x14ac:dyDescent="0.2">
      <c r="A34" s="209" t="s">
        <v>119</v>
      </c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130"/>
      <c r="N34" s="80"/>
      <c r="O34" s="88"/>
      <c r="P34" s="131"/>
      <c r="Q34" s="81"/>
      <c r="R34" s="132"/>
      <c r="S34" s="81"/>
      <c r="T34" s="81"/>
      <c r="U34" s="81"/>
      <c r="V34" s="133"/>
      <c r="W34" s="134"/>
      <c r="X34" s="135"/>
      <c r="Y34" s="135"/>
      <c r="Z34" s="135"/>
      <c r="AA34" s="136"/>
      <c r="AC34" s="127"/>
    </row>
    <row r="35" spans="1:29" ht="15" customHeight="1" x14ac:dyDescent="0.2">
      <c r="A35" s="206" t="s">
        <v>120</v>
      </c>
      <c r="B35" s="206"/>
      <c r="C35" s="206"/>
      <c r="D35" s="206"/>
      <c r="E35" s="206"/>
      <c r="F35" s="206"/>
      <c r="G35" s="206"/>
      <c r="H35" s="206"/>
      <c r="I35" s="206"/>
      <c r="J35" s="206"/>
      <c r="K35" s="206"/>
      <c r="L35" s="206"/>
    </row>
    <row r="36" spans="1:29" ht="15" customHeight="1" x14ac:dyDescent="0.2">
      <c r="A36" s="206" t="s">
        <v>121</v>
      </c>
      <c r="B36" s="206"/>
      <c r="C36" s="206"/>
      <c r="D36" s="206"/>
      <c r="E36" s="206"/>
      <c r="F36" s="206"/>
      <c r="G36" s="206"/>
      <c r="H36" s="206"/>
      <c r="I36" s="206"/>
      <c r="J36" s="206"/>
      <c r="K36" s="206"/>
      <c r="L36" s="206"/>
      <c r="P36" s="203"/>
      <c r="Q36" s="5" t="s">
        <v>272</v>
      </c>
    </row>
    <row r="37" spans="1:29" ht="15" customHeight="1" x14ac:dyDescent="0.2">
      <c r="A37" s="206" t="s">
        <v>122</v>
      </c>
      <c r="B37" s="206"/>
      <c r="C37" s="206"/>
      <c r="D37" s="206"/>
      <c r="E37" s="206"/>
      <c r="F37" s="206"/>
      <c r="G37" s="206"/>
      <c r="H37" s="206"/>
      <c r="I37" s="206"/>
      <c r="J37" s="206"/>
      <c r="K37" s="206"/>
      <c r="L37" s="206"/>
    </row>
    <row r="81" spans="6:6" ht="15" customHeight="1" x14ac:dyDescent="0.2">
      <c r="F81" s="5" t="s">
        <v>123</v>
      </c>
    </row>
    <row r="173" spans="6:6" ht="15" customHeight="1" x14ac:dyDescent="0.2">
      <c r="F173" s="5" t="s">
        <v>124</v>
      </c>
    </row>
  </sheetData>
  <mergeCells count="22">
    <mergeCell ref="A1:AA1"/>
    <mergeCell ref="F2:G2"/>
    <mergeCell ref="M2:P3"/>
    <mergeCell ref="F3:G3"/>
    <mergeCell ref="Q3:T3"/>
    <mergeCell ref="H4:I4"/>
    <mergeCell ref="M4:P4"/>
    <mergeCell ref="A12:L12"/>
    <mergeCell ref="M12:R12"/>
    <mergeCell ref="S12:T12"/>
    <mergeCell ref="U12:V12"/>
    <mergeCell ref="W12:X12"/>
    <mergeCell ref="Y12:AA12"/>
    <mergeCell ref="A13:C13"/>
    <mergeCell ref="A30:L30"/>
    <mergeCell ref="A36:L36"/>
    <mergeCell ref="A37:L37"/>
    <mergeCell ref="A31:L31"/>
    <mergeCell ref="A32:L32"/>
    <mergeCell ref="A33:L33"/>
    <mergeCell ref="A34:L34"/>
    <mergeCell ref="A35:L35"/>
  </mergeCells>
  <conditionalFormatting sqref="AB1:AB1048576">
    <cfRule type="containsText" dxfId="0" priority="2" operator="containsText" text="FAUX">
      <formula>NOT(ISERROR(SEARCH("FAUX",AB1)))</formula>
    </cfRule>
  </conditionalFormatting>
  <pageMargins left="0.31527777777777799" right="0.23611111111111099" top="0.55138888888888904" bottom="0.43263888888888902" header="0.511811023622047" footer="0.23611111111111099"/>
  <pageSetup fitToHeight="3" orientation="landscape" horizontalDpi="300" verticalDpi="300"/>
  <headerFooter>
    <oddFooter>&amp;R&amp;"Arial,Regular"&amp;10 &amp;Z&amp;F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34"/>
  <sheetViews>
    <sheetView topLeftCell="A55" zoomScaleNormal="100" workbookViewId="0">
      <selection activeCell="H115" sqref="H115"/>
    </sheetView>
  </sheetViews>
  <sheetFormatPr baseColWidth="10" defaultColWidth="9" defaultRowHeight="15" customHeight="1" x14ac:dyDescent="0.25"/>
  <cols>
    <col min="1" max="1" width="19.625" customWidth="1"/>
    <col min="2" max="2" width="9.875" customWidth="1"/>
    <col min="4" max="4" width="10" customWidth="1"/>
    <col min="7" max="7" width="12.75" customWidth="1"/>
    <col min="15" max="15" width="12" customWidth="1"/>
    <col min="16" max="16" width="22" customWidth="1"/>
    <col min="17" max="18" width="12" customWidth="1"/>
    <col min="19" max="20" width="10" customWidth="1"/>
    <col min="21" max="21" width="10" style="137" customWidth="1"/>
    <col min="22" max="23" width="10" customWidth="1"/>
  </cols>
  <sheetData>
    <row r="1" spans="1:25" ht="15" customHeight="1" x14ac:dyDescent="0.25">
      <c r="K1" s="138" t="s">
        <v>125</v>
      </c>
      <c r="O1" s="228" t="s">
        <v>126</v>
      </c>
      <c r="P1" s="228"/>
      <c r="Q1" s="228"/>
      <c r="R1" s="228"/>
      <c r="S1" s="228"/>
      <c r="T1" s="228"/>
      <c r="U1" s="228"/>
      <c r="V1" s="228"/>
      <c r="W1" s="228"/>
    </row>
    <row r="2" spans="1:25" ht="15" customHeight="1" x14ac:dyDescent="0.25">
      <c r="K2" s="138" t="s">
        <v>127</v>
      </c>
      <c r="O2" s="226" t="s">
        <v>128</v>
      </c>
      <c r="P2" s="226"/>
      <c r="Q2" s="226"/>
      <c r="R2" s="226"/>
      <c r="S2" s="226"/>
      <c r="T2" s="226"/>
      <c r="U2" s="226"/>
      <c r="V2" s="226"/>
      <c r="W2" s="226"/>
    </row>
    <row r="3" spans="1:25" ht="15.75" x14ac:dyDescent="0.25"/>
    <row r="4" spans="1:25" ht="15" customHeight="1" x14ac:dyDescent="0.25">
      <c r="A4" s="229" t="s">
        <v>129</v>
      </c>
      <c r="B4" s="230" t="s">
        <v>130</v>
      </c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139"/>
      <c r="O4" s="140" t="s">
        <v>131</v>
      </c>
      <c r="P4" s="139"/>
      <c r="Q4" s="139"/>
      <c r="R4" s="139"/>
      <c r="S4" s="139"/>
      <c r="T4" s="139"/>
    </row>
    <row r="5" spans="1:25" ht="15" customHeight="1" x14ac:dyDescent="0.25">
      <c r="A5" s="229"/>
      <c r="B5" s="141" t="s">
        <v>132</v>
      </c>
      <c r="C5" s="142" t="s">
        <v>133</v>
      </c>
      <c r="D5" s="142" t="s">
        <v>134</v>
      </c>
      <c r="E5" s="142" t="s">
        <v>135</v>
      </c>
      <c r="F5" s="142" t="s">
        <v>136</v>
      </c>
      <c r="G5" s="142" t="s">
        <v>137</v>
      </c>
      <c r="H5" s="142" t="s">
        <v>138</v>
      </c>
      <c r="I5" s="142" t="s">
        <v>139</v>
      </c>
      <c r="J5" s="143"/>
      <c r="K5" s="143"/>
      <c r="L5" s="143"/>
      <c r="M5" s="144"/>
      <c r="N5" s="145"/>
      <c r="O5" s="146" t="s">
        <v>140</v>
      </c>
      <c r="P5" s="146" t="s">
        <v>141</v>
      </c>
      <c r="Q5" s="147" t="s">
        <v>142</v>
      </c>
      <c r="R5" s="146" t="s">
        <v>143</v>
      </c>
      <c r="S5" s="146" t="s">
        <v>144</v>
      </c>
      <c r="T5" s="146" t="s">
        <v>145</v>
      </c>
      <c r="U5" s="139"/>
    </row>
    <row r="6" spans="1:25" ht="15" customHeight="1" x14ac:dyDescent="0.25">
      <c r="A6" s="148" t="s">
        <v>146</v>
      </c>
      <c r="B6" s="149">
        <v>4.4674999999999999E-2</v>
      </c>
      <c r="C6" s="150">
        <v>4.4234999999999997E-2</v>
      </c>
      <c r="D6" s="150">
        <v>1.4789999999999999E-2</v>
      </c>
      <c r="E6" s="150">
        <v>9.4500000000000001E-3</v>
      </c>
      <c r="F6" s="150">
        <v>2.5729999999999999E-2</v>
      </c>
      <c r="G6" s="150">
        <v>4.6788999999999997E-2</v>
      </c>
      <c r="H6" s="150">
        <v>9.0300000000000005E-2</v>
      </c>
      <c r="I6" s="150">
        <v>4.9761E-2</v>
      </c>
      <c r="J6" s="151"/>
      <c r="K6" s="151"/>
      <c r="L6" s="152"/>
      <c r="M6" s="153"/>
      <c r="N6" s="139"/>
      <c r="O6" s="154" t="s">
        <v>132</v>
      </c>
      <c r="P6" s="155" t="s">
        <v>147</v>
      </c>
      <c r="Q6" s="156">
        <v>446.75</v>
      </c>
      <c r="R6" s="156">
        <v>189.75</v>
      </c>
      <c r="S6" s="157">
        <v>0.42499999999999999</v>
      </c>
      <c r="T6" s="158">
        <v>4.4699999999999997E-2</v>
      </c>
      <c r="U6" s="139"/>
    </row>
    <row r="7" spans="1:25" ht="15" customHeight="1" x14ac:dyDescent="0.25">
      <c r="A7" s="148" t="s">
        <v>148</v>
      </c>
      <c r="B7" s="159">
        <f t="shared" ref="B7:I7" si="0">((2.187*B10*B11)/(B12)^0.5)^0.467</f>
        <v>2.1747723929616445</v>
      </c>
      <c r="C7" s="160">
        <f t="shared" si="0"/>
        <v>3.4688200417822812</v>
      </c>
      <c r="D7" s="160">
        <f t="shared" si="0"/>
        <v>2.0016265304909702</v>
      </c>
      <c r="E7" s="160">
        <f t="shared" si="0"/>
        <v>2.601089315629781</v>
      </c>
      <c r="F7" s="160">
        <f t="shared" si="0"/>
        <v>2.65662285968742</v>
      </c>
      <c r="G7" s="160">
        <f t="shared" si="0"/>
        <v>2.767038846039215</v>
      </c>
      <c r="H7" s="160">
        <f t="shared" si="0"/>
        <v>3.7092186845076567</v>
      </c>
      <c r="I7" s="160">
        <f t="shared" si="0"/>
        <v>2.7597739143591857</v>
      </c>
      <c r="J7" s="161"/>
      <c r="K7" s="161"/>
      <c r="L7" s="161"/>
      <c r="M7" s="162"/>
      <c r="N7" s="163"/>
      <c r="O7" s="164" t="s">
        <v>133</v>
      </c>
      <c r="P7" s="165" t="s">
        <v>149</v>
      </c>
      <c r="Q7" s="156">
        <v>442.35</v>
      </c>
      <c r="R7" s="156">
        <v>338.19</v>
      </c>
      <c r="S7" s="157">
        <v>0.76500000000000001</v>
      </c>
      <c r="T7" s="158">
        <v>4.4200000000000003E-2</v>
      </c>
      <c r="U7" s="166"/>
      <c r="V7" s="167"/>
      <c r="W7" s="167"/>
      <c r="X7" s="167"/>
      <c r="Y7" s="167"/>
    </row>
    <row r="8" spans="1:25" ht="15" customHeight="1" x14ac:dyDescent="0.25">
      <c r="A8" s="148" t="s">
        <v>150</v>
      </c>
      <c r="B8" s="168">
        <v>0.42499999999999999</v>
      </c>
      <c r="C8" s="169">
        <v>0.76500000000000001</v>
      </c>
      <c r="D8" s="169">
        <v>0.68400000000000005</v>
      </c>
      <c r="E8" s="169">
        <v>0.54700000000000004</v>
      </c>
      <c r="F8" s="169">
        <v>0.63300000000000001</v>
      </c>
      <c r="G8" s="169">
        <v>0.64200000000000002</v>
      </c>
      <c r="H8" s="169">
        <v>0.95</v>
      </c>
      <c r="I8" s="169">
        <v>0.33500000000000002</v>
      </c>
      <c r="J8" s="170"/>
      <c r="K8" s="170"/>
      <c r="L8" s="170"/>
      <c r="M8" s="171"/>
      <c r="N8" s="139"/>
      <c r="O8" s="154" t="s">
        <v>134</v>
      </c>
      <c r="P8" s="155" t="s">
        <v>151</v>
      </c>
      <c r="Q8" s="156">
        <v>147.9</v>
      </c>
      <c r="R8" s="156">
        <v>101.13</v>
      </c>
      <c r="S8" s="157">
        <v>0.68400000000000005</v>
      </c>
      <c r="T8" s="158">
        <v>1.4800000000000001E-2</v>
      </c>
      <c r="U8" s="139"/>
    </row>
    <row r="9" spans="1:25" ht="15" customHeight="1" x14ac:dyDescent="0.25">
      <c r="A9" s="172"/>
      <c r="B9" s="173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4"/>
      <c r="N9" s="139"/>
      <c r="O9" s="154" t="s">
        <v>135</v>
      </c>
      <c r="P9" s="155" t="s">
        <v>152</v>
      </c>
      <c r="Q9" s="156">
        <v>94.5</v>
      </c>
      <c r="R9" s="156">
        <v>51.7</v>
      </c>
      <c r="S9" s="157">
        <v>0.54700000000000004</v>
      </c>
      <c r="T9" s="158">
        <v>9.4999999999999998E-3</v>
      </c>
      <c r="U9" s="139"/>
    </row>
    <row r="10" spans="1:25" ht="15" customHeight="1" x14ac:dyDescent="0.25">
      <c r="A10" s="148" t="s">
        <v>153</v>
      </c>
      <c r="B10" s="175">
        <v>21.1</v>
      </c>
      <c r="C10" s="176">
        <v>21</v>
      </c>
      <c r="D10" s="176">
        <v>12.2</v>
      </c>
      <c r="E10" s="176">
        <v>10</v>
      </c>
      <c r="F10" s="176">
        <v>16</v>
      </c>
      <c r="G10" s="176">
        <v>21.6</v>
      </c>
      <c r="H10" s="176">
        <v>30</v>
      </c>
      <c r="I10" s="176">
        <v>22.3</v>
      </c>
      <c r="J10" s="177"/>
      <c r="K10" s="177"/>
      <c r="L10" s="177"/>
      <c r="M10" s="178"/>
      <c r="N10" s="163"/>
      <c r="O10" s="164" t="s">
        <v>136</v>
      </c>
      <c r="P10" s="165" t="s">
        <v>154</v>
      </c>
      <c r="Q10" s="156">
        <v>257.3</v>
      </c>
      <c r="R10" s="156">
        <v>162.80000000000001</v>
      </c>
      <c r="S10" s="157">
        <v>0.63300000000000001</v>
      </c>
      <c r="T10" s="158">
        <v>2.5700000000000001E-2</v>
      </c>
      <c r="U10" s="139"/>
    </row>
    <row r="11" spans="1:25" ht="15" customHeight="1" x14ac:dyDescent="0.25">
      <c r="A11" s="148" t="s">
        <v>155</v>
      </c>
      <c r="B11" s="179">
        <v>0.02</v>
      </c>
      <c r="C11" s="180">
        <v>0.02</v>
      </c>
      <c r="D11" s="180">
        <v>0.02</v>
      </c>
      <c r="E11" s="180">
        <v>0.02</v>
      </c>
      <c r="F11" s="180">
        <v>0.02</v>
      </c>
      <c r="G11" s="180">
        <v>0.02</v>
      </c>
      <c r="H11" s="180">
        <v>0.02</v>
      </c>
      <c r="I11" s="180">
        <v>0.02</v>
      </c>
      <c r="J11" s="181"/>
      <c r="K11" s="181"/>
      <c r="L11" s="181"/>
      <c r="M11" s="182"/>
      <c r="N11" s="139"/>
      <c r="O11" s="154" t="s">
        <v>137</v>
      </c>
      <c r="P11" s="155" t="s">
        <v>156</v>
      </c>
      <c r="Q11" s="156">
        <v>467.89</v>
      </c>
      <c r="R11" s="156">
        <v>300.33</v>
      </c>
      <c r="S11" s="157">
        <v>0.64200000000000002</v>
      </c>
      <c r="T11" s="158">
        <v>4.6800000000000001E-2</v>
      </c>
      <c r="U11" s="139"/>
    </row>
    <row r="12" spans="1:25" ht="15" customHeight="1" x14ac:dyDescent="0.25">
      <c r="A12" s="183" t="s">
        <v>157</v>
      </c>
      <c r="B12" s="184">
        <v>3.057E-2</v>
      </c>
      <c r="C12" s="185">
        <v>4.1000000000000003E-3</v>
      </c>
      <c r="D12" s="185">
        <v>1.4579999999999999E-2</v>
      </c>
      <c r="E12" s="185">
        <v>3.1900000000000001E-3</v>
      </c>
      <c r="F12" s="185">
        <v>7.4599999999999996E-3</v>
      </c>
      <c r="G12" s="185">
        <v>1.142E-2</v>
      </c>
      <c r="H12" s="185">
        <v>6.28E-3</v>
      </c>
      <c r="I12" s="185">
        <v>1.231E-2</v>
      </c>
      <c r="J12" s="186"/>
      <c r="K12" s="187"/>
      <c r="L12" s="170"/>
      <c r="M12" s="188"/>
      <c r="N12" s="189"/>
      <c r="O12" s="190" t="s">
        <v>158</v>
      </c>
      <c r="P12" s="158" t="s">
        <v>159</v>
      </c>
      <c r="Q12" s="156">
        <v>0</v>
      </c>
      <c r="R12" s="156">
        <v>0</v>
      </c>
      <c r="S12" s="157"/>
      <c r="T12" s="158">
        <v>0</v>
      </c>
      <c r="U12" s="139"/>
    </row>
    <row r="13" spans="1:25" ht="15.75" x14ac:dyDescent="0.25">
      <c r="O13" s="191" t="s">
        <v>138</v>
      </c>
      <c r="P13" s="192" t="s">
        <v>160</v>
      </c>
      <c r="Q13" s="193">
        <v>903</v>
      </c>
      <c r="R13" s="193">
        <v>857.85</v>
      </c>
      <c r="S13" s="194">
        <v>0.95</v>
      </c>
      <c r="T13" s="195">
        <v>9.0300000000000005E-2</v>
      </c>
    </row>
    <row r="14" spans="1:25" ht="15" customHeight="1" x14ac:dyDescent="0.25">
      <c r="A14" t="s">
        <v>161</v>
      </c>
      <c r="O14" s="191" t="s">
        <v>139</v>
      </c>
      <c r="P14" s="192" t="s">
        <v>162</v>
      </c>
      <c r="Q14" s="193">
        <v>497.61</v>
      </c>
      <c r="R14" s="193">
        <v>166.52</v>
      </c>
      <c r="S14" s="194">
        <v>0.33500000000000002</v>
      </c>
      <c r="T14" s="195">
        <v>4.9799999999999997E-2</v>
      </c>
    </row>
    <row r="15" spans="1:25" ht="15" customHeight="1" x14ac:dyDescent="0.25">
      <c r="A15" t="s">
        <v>163</v>
      </c>
    </row>
    <row r="16" spans="1:25" ht="15" customHeight="1" x14ac:dyDescent="0.25">
      <c r="A16" t="s">
        <v>164</v>
      </c>
      <c r="O16" s="196" t="s">
        <v>165</v>
      </c>
    </row>
    <row r="17" spans="1:23" ht="15" customHeight="1" x14ac:dyDescent="0.25">
      <c r="A17" t="s">
        <v>166</v>
      </c>
      <c r="O17" s="146" t="s">
        <v>140</v>
      </c>
      <c r="P17" s="146" t="s">
        <v>167</v>
      </c>
      <c r="Q17" s="146" t="s">
        <v>168</v>
      </c>
      <c r="R17" s="146" t="s">
        <v>169</v>
      </c>
      <c r="S17" s="146" t="s">
        <v>170</v>
      </c>
      <c r="T17" s="146" t="s">
        <v>171</v>
      </c>
      <c r="U17" s="146" t="s">
        <v>172</v>
      </c>
      <c r="V17" s="146" t="s">
        <v>173</v>
      </c>
      <c r="W17" s="146" t="s">
        <v>174</v>
      </c>
    </row>
    <row r="18" spans="1:23" ht="15.75" x14ac:dyDescent="0.25">
      <c r="O18" s="191" t="s">
        <v>132</v>
      </c>
      <c r="P18" s="191" t="s">
        <v>175</v>
      </c>
      <c r="Q18" s="193">
        <v>0</v>
      </c>
      <c r="R18" s="193">
        <v>67.7</v>
      </c>
      <c r="S18" s="193">
        <v>81.400000000000006</v>
      </c>
      <c r="T18" s="193">
        <v>0</v>
      </c>
      <c r="U18" s="193">
        <v>149.1</v>
      </c>
      <c r="V18" s="193">
        <v>81.28</v>
      </c>
      <c r="W18" s="194">
        <v>0.54500000000000004</v>
      </c>
    </row>
    <row r="19" spans="1:23" ht="15.75" x14ac:dyDescent="0.25">
      <c r="O19" s="191" t="s">
        <v>132</v>
      </c>
      <c r="P19" s="191" t="s">
        <v>176</v>
      </c>
      <c r="Q19" s="193">
        <v>0</v>
      </c>
      <c r="R19" s="193">
        <v>52.4</v>
      </c>
      <c r="S19" s="193">
        <v>245.25</v>
      </c>
      <c r="T19" s="193">
        <v>0</v>
      </c>
      <c r="U19" s="193">
        <v>297.64999999999998</v>
      </c>
      <c r="V19" s="193">
        <v>108.47</v>
      </c>
      <c r="W19" s="194">
        <v>0.36399999999999999</v>
      </c>
    </row>
    <row r="20" spans="1:23" ht="15.75" x14ac:dyDescent="0.25">
      <c r="O20" s="197" t="s">
        <v>132</v>
      </c>
      <c r="P20" s="197" t="s">
        <v>177</v>
      </c>
      <c r="Q20" s="197"/>
      <c r="R20" s="197"/>
      <c r="S20" s="197"/>
      <c r="T20" s="197"/>
      <c r="U20" s="198">
        <v>446.75</v>
      </c>
      <c r="V20" s="198">
        <v>189.75</v>
      </c>
      <c r="W20" s="199">
        <v>0.42499999999999999</v>
      </c>
    </row>
    <row r="21" spans="1:23" ht="15" customHeight="1" x14ac:dyDescent="0.25">
      <c r="A21" s="224"/>
      <c r="B21" s="224"/>
      <c r="C21" s="224"/>
      <c r="D21" s="224"/>
      <c r="E21" s="224"/>
      <c r="F21" s="224"/>
      <c r="G21" s="224"/>
      <c r="H21" s="224"/>
    </row>
    <row r="22" spans="1:23" ht="15" customHeight="1" x14ac:dyDescent="0.25">
      <c r="A22" s="224" t="s">
        <v>178</v>
      </c>
      <c r="B22" s="224"/>
      <c r="C22" s="224"/>
      <c r="D22" s="224"/>
      <c r="E22" s="224"/>
      <c r="F22" s="224"/>
      <c r="G22" s="224"/>
      <c r="H22" s="224"/>
      <c r="O22" s="191" t="s">
        <v>133</v>
      </c>
      <c r="P22" s="191" t="s">
        <v>179</v>
      </c>
      <c r="Q22" s="193">
        <v>0</v>
      </c>
      <c r="R22" s="193">
        <v>58.2</v>
      </c>
      <c r="S22" s="193">
        <v>17.600000000000001</v>
      </c>
      <c r="T22" s="193">
        <v>0</v>
      </c>
      <c r="U22" s="193">
        <v>75.8</v>
      </c>
      <c r="V22" s="193">
        <v>56.78</v>
      </c>
      <c r="W22" s="194">
        <v>0.749</v>
      </c>
    </row>
    <row r="23" spans="1:23" ht="15" customHeight="1" x14ac:dyDescent="0.25">
      <c r="A23" s="224" t="s">
        <v>180</v>
      </c>
      <c r="B23" s="224"/>
      <c r="C23" s="224"/>
      <c r="D23" s="224"/>
      <c r="E23" s="224"/>
      <c r="F23" s="224"/>
      <c r="G23" s="224"/>
      <c r="H23" s="224"/>
      <c r="O23" s="191" t="s">
        <v>133</v>
      </c>
      <c r="P23" s="191" t="s">
        <v>75</v>
      </c>
      <c r="Q23" s="193">
        <v>0</v>
      </c>
      <c r="R23" s="193">
        <v>120.01</v>
      </c>
      <c r="S23" s="193">
        <v>16.2</v>
      </c>
      <c r="T23" s="193">
        <v>0</v>
      </c>
      <c r="U23" s="193">
        <v>136.21</v>
      </c>
      <c r="V23" s="193">
        <v>112.06</v>
      </c>
      <c r="W23" s="194">
        <v>0.82299999999999995</v>
      </c>
    </row>
    <row r="24" spans="1:23" ht="15" customHeight="1" x14ac:dyDescent="0.25">
      <c r="A24" s="224" t="s">
        <v>181</v>
      </c>
      <c r="B24" s="224"/>
      <c r="C24" s="224"/>
      <c r="D24" s="224"/>
      <c r="E24" s="224"/>
      <c r="F24" s="224"/>
      <c r="G24" s="224"/>
      <c r="H24" s="224"/>
      <c r="O24" s="191" t="s">
        <v>133</v>
      </c>
      <c r="P24" s="191" t="s">
        <v>182</v>
      </c>
      <c r="Q24" s="193">
        <v>0</v>
      </c>
      <c r="R24" s="193">
        <v>48.8</v>
      </c>
      <c r="S24" s="193">
        <v>58.4</v>
      </c>
      <c r="T24" s="193">
        <v>0</v>
      </c>
      <c r="U24" s="193">
        <v>107.2</v>
      </c>
      <c r="V24" s="193">
        <v>58.52</v>
      </c>
      <c r="W24" s="194">
        <v>0.54600000000000004</v>
      </c>
    </row>
    <row r="25" spans="1:23" ht="15" customHeight="1" x14ac:dyDescent="0.25">
      <c r="A25" s="224" t="s">
        <v>183</v>
      </c>
      <c r="B25" s="224"/>
      <c r="C25" s="224"/>
      <c r="D25" s="224"/>
      <c r="E25" s="224"/>
      <c r="F25" s="224"/>
      <c r="G25" s="224"/>
      <c r="H25" s="224"/>
      <c r="O25" s="191" t="s">
        <v>133</v>
      </c>
      <c r="P25" s="191" t="s">
        <v>80</v>
      </c>
      <c r="Q25" s="193">
        <v>0</v>
      </c>
      <c r="R25" s="193">
        <v>123.14</v>
      </c>
      <c r="S25" s="193">
        <v>0</v>
      </c>
      <c r="T25" s="193">
        <v>0</v>
      </c>
      <c r="U25" s="193">
        <v>123.14</v>
      </c>
      <c r="V25" s="193">
        <v>110.83</v>
      </c>
      <c r="W25" s="194">
        <v>0.9</v>
      </c>
    </row>
    <row r="26" spans="1:23" ht="15" customHeight="1" x14ac:dyDescent="0.25">
      <c r="A26" s="224" t="s">
        <v>184</v>
      </c>
      <c r="B26" s="224"/>
      <c r="C26" s="224"/>
      <c r="D26" s="224"/>
      <c r="E26" s="224"/>
      <c r="F26" s="224"/>
      <c r="G26" s="224"/>
      <c r="H26" s="224"/>
      <c r="O26" s="197" t="s">
        <v>133</v>
      </c>
      <c r="P26" s="197" t="s">
        <v>177</v>
      </c>
      <c r="Q26" s="197"/>
      <c r="R26" s="197"/>
      <c r="S26" s="197"/>
      <c r="T26" s="197"/>
      <c r="U26" s="198">
        <v>442.35</v>
      </c>
      <c r="V26" s="198">
        <v>338.19</v>
      </c>
      <c r="W26" s="199">
        <v>0.76500000000000001</v>
      </c>
    </row>
    <row r="27" spans="1:23" ht="15" customHeight="1" x14ac:dyDescent="0.25">
      <c r="A27" s="224" t="s">
        <v>185</v>
      </c>
      <c r="B27" s="224"/>
      <c r="C27" s="224"/>
      <c r="D27" s="224"/>
      <c r="E27" s="224"/>
      <c r="F27" s="224"/>
      <c r="G27" s="224"/>
      <c r="H27" s="224"/>
    </row>
    <row r="28" spans="1:23" ht="15" customHeight="1" x14ac:dyDescent="0.25">
      <c r="A28" s="224" t="s">
        <v>186</v>
      </c>
      <c r="B28" s="224"/>
      <c r="C28" s="224"/>
      <c r="D28" s="224"/>
      <c r="E28" s="224"/>
      <c r="F28" s="224"/>
      <c r="G28" s="224"/>
      <c r="H28" s="224"/>
      <c r="O28" s="191" t="s">
        <v>134</v>
      </c>
      <c r="P28" s="191" t="s">
        <v>151</v>
      </c>
      <c r="Q28" s="193">
        <v>0</v>
      </c>
      <c r="R28" s="193">
        <v>98.7</v>
      </c>
      <c r="S28" s="193">
        <v>49.2</v>
      </c>
      <c r="T28" s="193">
        <v>0</v>
      </c>
      <c r="U28" s="193">
        <v>147.9</v>
      </c>
      <c r="V28" s="193">
        <v>101.13</v>
      </c>
      <c r="W28" s="194">
        <v>0.68400000000000005</v>
      </c>
    </row>
    <row r="29" spans="1:23" ht="15" customHeight="1" x14ac:dyDescent="0.25">
      <c r="A29" s="224" t="s">
        <v>187</v>
      </c>
      <c r="B29" s="224"/>
      <c r="C29" s="224"/>
      <c r="D29" s="224"/>
      <c r="E29" s="224"/>
      <c r="F29" s="224"/>
      <c r="G29" s="224"/>
      <c r="H29" s="224"/>
      <c r="O29" s="197" t="s">
        <v>134</v>
      </c>
      <c r="P29" s="197" t="s">
        <v>177</v>
      </c>
      <c r="Q29" s="197"/>
      <c r="R29" s="197"/>
      <c r="S29" s="197"/>
      <c r="T29" s="197"/>
      <c r="U29" s="198">
        <v>147.9</v>
      </c>
      <c r="V29" s="198">
        <v>101.13</v>
      </c>
      <c r="W29" s="199">
        <v>0.68400000000000005</v>
      </c>
    </row>
    <row r="30" spans="1:23" ht="15" customHeight="1" x14ac:dyDescent="0.25">
      <c r="A30" s="224" t="s">
        <v>188</v>
      </c>
      <c r="B30" s="224"/>
      <c r="C30" s="224"/>
      <c r="D30" s="224"/>
      <c r="E30" s="224"/>
      <c r="F30" s="224"/>
      <c r="G30" s="224"/>
      <c r="H30" s="224"/>
    </row>
    <row r="31" spans="1:23" ht="15" customHeight="1" x14ac:dyDescent="0.25">
      <c r="A31" s="224" t="s">
        <v>189</v>
      </c>
      <c r="B31" s="224"/>
      <c r="C31" s="224"/>
      <c r="D31" s="224"/>
      <c r="E31" s="224"/>
      <c r="F31" s="224"/>
      <c r="G31" s="224"/>
      <c r="H31" s="224"/>
      <c r="O31" s="191" t="s">
        <v>135</v>
      </c>
      <c r="P31" s="191" t="s">
        <v>152</v>
      </c>
      <c r="Q31" s="193">
        <v>0</v>
      </c>
      <c r="R31" s="193">
        <v>43.2</v>
      </c>
      <c r="S31" s="193">
        <v>51.3</v>
      </c>
      <c r="T31" s="193">
        <v>0</v>
      </c>
      <c r="U31" s="193">
        <v>94.5</v>
      </c>
      <c r="V31" s="193">
        <v>51.7</v>
      </c>
      <c r="W31" s="194">
        <v>0.54700000000000004</v>
      </c>
    </row>
    <row r="32" spans="1:23" ht="15" customHeight="1" x14ac:dyDescent="0.25">
      <c r="A32" s="227"/>
      <c r="B32" s="227"/>
      <c r="C32" s="227"/>
      <c r="D32" s="227"/>
      <c r="E32" s="227"/>
      <c r="F32" s="227"/>
      <c r="G32" s="227"/>
      <c r="H32" s="227"/>
      <c r="O32" s="197" t="s">
        <v>135</v>
      </c>
      <c r="P32" s="197" t="s">
        <v>177</v>
      </c>
      <c r="Q32" s="197"/>
      <c r="R32" s="197"/>
      <c r="S32" s="197"/>
      <c r="T32" s="197"/>
      <c r="U32" s="198">
        <v>94.5</v>
      </c>
      <c r="V32" s="198">
        <v>51.7</v>
      </c>
      <c r="W32" s="199">
        <v>0.54700000000000004</v>
      </c>
    </row>
    <row r="33" spans="1:23" ht="15" customHeight="1" x14ac:dyDescent="0.25">
      <c r="A33" s="225" t="s">
        <v>190</v>
      </c>
      <c r="B33" s="225"/>
      <c r="C33" s="225"/>
      <c r="D33" s="225"/>
      <c r="E33" s="225"/>
      <c r="F33" s="225"/>
      <c r="G33" s="225"/>
      <c r="H33" s="225"/>
    </row>
    <row r="34" spans="1:23" ht="15" customHeight="1" x14ac:dyDescent="0.25">
      <c r="A34" s="224" t="s">
        <v>191</v>
      </c>
      <c r="B34" s="224"/>
      <c r="C34" s="224"/>
      <c r="D34" s="224"/>
      <c r="E34" s="224"/>
      <c r="F34" s="224"/>
      <c r="G34" s="224"/>
      <c r="H34" s="224"/>
      <c r="O34" s="191" t="s">
        <v>136</v>
      </c>
      <c r="P34" s="191" t="s">
        <v>30</v>
      </c>
      <c r="Q34" s="193">
        <v>0</v>
      </c>
      <c r="R34" s="193">
        <v>61.9</v>
      </c>
      <c r="S34" s="193">
        <v>89.6</v>
      </c>
      <c r="T34" s="193">
        <v>0</v>
      </c>
      <c r="U34" s="193">
        <v>151.5</v>
      </c>
      <c r="V34" s="193">
        <v>78.11</v>
      </c>
      <c r="W34" s="194">
        <v>0.51600000000000001</v>
      </c>
    </row>
    <row r="35" spans="1:23" ht="15" customHeight="1" x14ac:dyDescent="0.25">
      <c r="A35" s="200" t="s">
        <v>167</v>
      </c>
      <c r="B35" s="200" t="s">
        <v>192</v>
      </c>
      <c r="C35" s="200" t="s">
        <v>193</v>
      </c>
      <c r="D35" s="200" t="s">
        <v>194</v>
      </c>
      <c r="E35" s="200" t="s">
        <v>195</v>
      </c>
      <c r="F35" s="200" t="s">
        <v>196</v>
      </c>
      <c r="G35" s="200" t="s">
        <v>143</v>
      </c>
      <c r="H35" s="200" t="s">
        <v>174</v>
      </c>
      <c r="O35" s="191" t="s">
        <v>136</v>
      </c>
      <c r="P35" s="191" t="s">
        <v>197</v>
      </c>
      <c r="Q35" s="193">
        <v>0</v>
      </c>
      <c r="R35" s="193">
        <v>89.6</v>
      </c>
      <c r="S35" s="193">
        <v>16.2</v>
      </c>
      <c r="T35" s="193">
        <v>0</v>
      </c>
      <c r="U35" s="193">
        <v>105.8</v>
      </c>
      <c r="V35" s="193">
        <v>84.69</v>
      </c>
      <c r="W35" s="194">
        <v>0.8</v>
      </c>
    </row>
    <row r="36" spans="1:23" ht="15" customHeight="1" x14ac:dyDescent="0.25">
      <c r="A36" s="1" t="s">
        <v>175</v>
      </c>
      <c r="B36" s="1">
        <v>0</v>
      </c>
      <c r="C36" s="1">
        <v>67.7</v>
      </c>
      <c r="D36" s="1">
        <v>81.400000000000006</v>
      </c>
      <c r="E36" s="1">
        <v>0</v>
      </c>
      <c r="F36" s="1">
        <v>149.1</v>
      </c>
      <c r="G36" s="1" t="s">
        <v>198</v>
      </c>
      <c r="H36" s="1">
        <v>0.54500000000000004</v>
      </c>
      <c r="O36" s="197" t="s">
        <v>136</v>
      </c>
      <c r="P36" s="197" t="s">
        <v>177</v>
      </c>
      <c r="Q36" s="197"/>
      <c r="R36" s="197"/>
      <c r="S36" s="197"/>
      <c r="T36" s="197"/>
      <c r="U36" s="198">
        <v>257.3</v>
      </c>
      <c r="V36" s="198">
        <v>162.80000000000001</v>
      </c>
      <c r="W36" s="199">
        <v>0.63300000000000001</v>
      </c>
    </row>
    <row r="37" spans="1:23" ht="42" customHeight="1" x14ac:dyDescent="0.25">
      <c r="A37" s="1" t="s">
        <v>176</v>
      </c>
      <c r="B37" s="1">
        <v>0</v>
      </c>
      <c r="C37" s="1">
        <v>52.4</v>
      </c>
      <c r="D37" s="1" t="s">
        <v>199</v>
      </c>
      <c r="E37" s="1">
        <v>0</v>
      </c>
      <c r="F37" s="1">
        <v>297.64999999999998</v>
      </c>
      <c r="G37" s="1" t="s">
        <v>200</v>
      </c>
      <c r="H37" s="1">
        <v>0.36399999999999999</v>
      </c>
    </row>
    <row r="38" spans="1:23" ht="15" customHeight="1" x14ac:dyDescent="0.25">
      <c r="A38" s="1" t="s">
        <v>201</v>
      </c>
      <c r="F38" s="1">
        <v>446.75</v>
      </c>
      <c r="G38" s="1">
        <v>189.7525</v>
      </c>
      <c r="O38" s="191" t="s">
        <v>137</v>
      </c>
      <c r="P38" s="191" t="s">
        <v>31</v>
      </c>
      <c r="Q38" s="193">
        <v>0</v>
      </c>
      <c r="R38" s="193">
        <v>79.8</v>
      </c>
      <c r="S38" s="193">
        <v>43</v>
      </c>
      <c r="T38" s="193">
        <v>0</v>
      </c>
      <c r="U38" s="193">
        <v>122.8</v>
      </c>
      <c r="V38" s="193">
        <v>82.57</v>
      </c>
      <c r="W38" s="194">
        <v>0.67200000000000004</v>
      </c>
    </row>
    <row r="39" spans="1:23" ht="15" customHeight="1" x14ac:dyDescent="0.25">
      <c r="A39" s="224" t="s">
        <v>202</v>
      </c>
      <c r="B39" s="224"/>
      <c r="C39" s="224"/>
      <c r="D39" s="224"/>
      <c r="E39" s="224"/>
      <c r="F39" s="224"/>
      <c r="G39" s="224"/>
      <c r="H39" s="224"/>
      <c r="O39" s="191" t="s">
        <v>137</v>
      </c>
      <c r="P39" s="191" t="s">
        <v>32</v>
      </c>
      <c r="Q39" s="193">
        <v>0</v>
      </c>
      <c r="R39" s="193">
        <v>87.8</v>
      </c>
      <c r="S39" s="193">
        <v>123.9</v>
      </c>
      <c r="T39" s="193">
        <v>0</v>
      </c>
      <c r="U39" s="193">
        <v>211.7</v>
      </c>
      <c r="V39" s="193">
        <v>110</v>
      </c>
      <c r="W39" s="194">
        <v>0.52</v>
      </c>
    </row>
    <row r="40" spans="1:23" ht="15.75" x14ac:dyDescent="0.25">
      <c r="O40" s="191" t="s">
        <v>137</v>
      </c>
      <c r="P40" s="191" t="s">
        <v>203</v>
      </c>
      <c r="Q40" s="193">
        <v>0</v>
      </c>
      <c r="R40" s="193">
        <v>114.49</v>
      </c>
      <c r="S40" s="193">
        <v>18.899999999999999</v>
      </c>
      <c r="T40" s="193">
        <v>0</v>
      </c>
      <c r="U40" s="193">
        <v>133.38999999999999</v>
      </c>
      <c r="V40" s="193">
        <v>107.77</v>
      </c>
      <c r="W40" s="194">
        <v>0.80800000000000005</v>
      </c>
    </row>
    <row r="41" spans="1:23" ht="15.75" x14ac:dyDescent="0.25">
      <c r="O41" s="197" t="s">
        <v>137</v>
      </c>
      <c r="P41" s="197" t="s">
        <v>177</v>
      </c>
      <c r="Q41" s="197"/>
      <c r="R41" s="197"/>
      <c r="S41" s="197"/>
      <c r="T41" s="197"/>
      <c r="U41" s="198">
        <v>467.89</v>
      </c>
      <c r="V41" s="198">
        <v>300.33</v>
      </c>
      <c r="W41" s="199">
        <v>0.64200000000000002</v>
      </c>
    </row>
    <row r="42" spans="1:23" ht="15" customHeight="1" x14ac:dyDescent="0.25">
      <c r="A42" s="225" t="s">
        <v>204</v>
      </c>
      <c r="B42" s="225"/>
      <c r="C42" s="225"/>
      <c r="D42" s="225"/>
      <c r="E42" s="225"/>
      <c r="F42" s="225"/>
      <c r="G42" s="225"/>
      <c r="H42" s="225"/>
    </row>
    <row r="43" spans="1:23" ht="15" customHeight="1" x14ac:dyDescent="0.25">
      <c r="A43" s="224" t="s">
        <v>205</v>
      </c>
      <c r="B43" s="224"/>
      <c r="C43" s="224"/>
      <c r="D43" s="224"/>
      <c r="E43" s="224"/>
      <c r="F43" s="224"/>
      <c r="G43" s="224"/>
      <c r="H43" s="224"/>
      <c r="O43" s="201" t="s">
        <v>158</v>
      </c>
      <c r="P43" s="201" t="s">
        <v>206</v>
      </c>
      <c r="Q43" s="201">
        <v>0</v>
      </c>
      <c r="R43" s="201">
        <v>0</v>
      </c>
      <c r="S43" s="201">
        <v>0</v>
      </c>
      <c r="T43" s="201">
        <v>0</v>
      </c>
      <c r="U43" s="201">
        <v>0</v>
      </c>
      <c r="V43" s="201">
        <v>0</v>
      </c>
      <c r="W43" s="201"/>
    </row>
    <row r="44" spans="1:23" ht="15" customHeight="1" x14ac:dyDescent="0.25">
      <c r="A44" s="200" t="s">
        <v>167</v>
      </c>
      <c r="B44" s="200" t="s">
        <v>192</v>
      </c>
      <c r="C44" s="200" t="s">
        <v>193</v>
      </c>
      <c r="D44" s="200" t="s">
        <v>194</v>
      </c>
      <c r="E44" s="200" t="s">
        <v>195</v>
      </c>
      <c r="F44" s="200" t="s">
        <v>196</v>
      </c>
      <c r="G44" s="200" t="s">
        <v>143</v>
      </c>
      <c r="H44" s="200" t="s">
        <v>174</v>
      </c>
      <c r="O44" s="191" t="s">
        <v>138</v>
      </c>
      <c r="P44" s="191" t="s">
        <v>160</v>
      </c>
      <c r="Q44" s="193">
        <v>903</v>
      </c>
      <c r="R44" s="193">
        <v>0</v>
      </c>
      <c r="S44" s="193">
        <v>0</v>
      </c>
      <c r="T44" s="193">
        <v>0</v>
      </c>
      <c r="U44" s="193">
        <v>903</v>
      </c>
      <c r="V44" s="193">
        <v>857.85</v>
      </c>
      <c r="W44" s="194">
        <v>0.95</v>
      </c>
    </row>
    <row r="45" spans="1:23" ht="15" customHeight="1" x14ac:dyDescent="0.25">
      <c r="A45" s="1" t="s">
        <v>179</v>
      </c>
      <c r="B45" s="1">
        <v>0</v>
      </c>
      <c r="C45" s="1">
        <v>58.2</v>
      </c>
      <c r="D45" s="1">
        <v>17.600000000000001</v>
      </c>
      <c r="E45" s="1">
        <v>0</v>
      </c>
      <c r="F45" s="1">
        <v>75.8</v>
      </c>
      <c r="G45" s="1" t="s">
        <v>207</v>
      </c>
      <c r="H45" s="1">
        <v>0.749</v>
      </c>
      <c r="O45" s="197" t="s">
        <v>138</v>
      </c>
      <c r="P45" s="197" t="s">
        <v>177</v>
      </c>
      <c r="Q45" s="197"/>
      <c r="R45" s="197"/>
      <c r="S45" s="197"/>
      <c r="T45" s="197"/>
      <c r="U45" s="198">
        <v>903</v>
      </c>
      <c r="V45" s="198">
        <v>857.85</v>
      </c>
      <c r="W45" s="199">
        <v>0.95</v>
      </c>
    </row>
    <row r="46" spans="1:23" ht="15" customHeight="1" x14ac:dyDescent="0.25">
      <c r="A46" s="1" t="s">
        <v>75</v>
      </c>
      <c r="B46" s="1">
        <v>0</v>
      </c>
      <c r="C46" s="1" t="s">
        <v>208</v>
      </c>
      <c r="D46" s="1">
        <v>16.2</v>
      </c>
      <c r="E46" s="1">
        <v>0</v>
      </c>
      <c r="F46" s="1">
        <v>136.21</v>
      </c>
      <c r="G46" s="1" t="s">
        <v>209</v>
      </c>
      <c r="H46" s="1">
        <v>0.82299999999999995</v>
      </c>
    </row>
    <row r="47" spans="1:23" ht="15" customHeight="1" x14ac:dyDescent="0.25">
      <c r="A47" s="1" t="s">
        <v>182</v>
      </c>
      <c r="B47" s="1">
        <v>0</v>
      </c>
      <c r="C47" s="1">
        <v>48.8</v>
      </c>
      <c r="D47" s="1">
        <v>58.4</v>
      </c>
      <c r="E47" s="1">
        <v>0</v>
      </c>
      <c r="F47" s="1">
        <v>107.2</v>
      </c>
      <c r="G47" s="1" t="s">
        <v>210</v>
      </c>
      <c r="H47" s="1">
        <v>0.54600000000000004</v>
      </c>
      <c r="O47" s="191" t="s">
        <v>139</v>
      </c>
      <c r="P47" s="191" t="s">
        <v>162</v>
      </c>
      <c r="Q47" s="193">
        <v>0</v>
      </c>
      <c r="R47" s="193">
        <v>64.8</v>
      </c>
      <c r="S47" s="193">
        <v>432.81</v>
      </c>
      <c r="T47" s="193">
        <v>0</v>
      </c>
      <c r="U47" s="193">
        <v>497.61</v>
      </c>
      <c r="V47" s="193">
        <v>166.52</v>
      </c>
      <c r="W47" s="194">
        <v>0.33500000000000002</v>
      </c>
    </row>
    <row r="48" spans="1:23" ht="15" customHeight="1" x14ac:dyDescent="0.25">
      <c r="A48" s="1" t="s">
        <v>80</v>
      </c>
      <c r="B48" s="1">
        <v>0</v>
      </c>
      <c r="C48" s="1" t="s">
        <v>211</v>
      </c>
      <c r="D48" s="1">
        <v>0</v>
      </c>
      <c r="E48" s="1">
        <v>0</v>
      </c>
      <c r="F48" s="1">
        <v>123.14</v>
      </c>
      <c r="G48" s="1" t="s">
        <v>212</v>
      </c>
      <c r="H48" s="1">
        <v>0.9</v>
      </c>
      <c r="O48" s="197" t="s">
        <v>139</v>
      </c>
      <c r="P48" s="197" t="s">
        <v>177</v>
      </c>
      <c r="Q48" s="197"/>
      <c r="R48" s="197"/>
      <c r="S48" s="197"/>
      <c r="T48" s="197"/>
      <c r="U48" s="198">
        <v>497.61</v>
      </c>
      <c r="V48" s="198">
        <v>166.52</v>
      </c>
      <c r="W48" s="199">
        <v>0.33500000000000002</v>
      </c>
    </row>
    <row r="49" spans="1:23" ht="15" customHeight="1" x14ac:dyDescent="0.25">
      <c r="A49" s="1" t="s">
        <v>201</v>
      </c>
      <c r="F49" s="1">
        <v>442.35</v>
      </c>
      <c r="G49" s="1">
        <v>338.185</v>
      </c>
    </row>
    <row r="50" spans="1:23" ht="15" customHeight="1" x14ac:dyDescent="0.25">
      <c r="A50" s="224" t="s">
        <v>213</v>
      </c>
      <c r="B50" s="224"/>
      <c r="C50" s="224"/>
      <c r="D50" s="224"/>
      <c r="E50" s="224"/>
      <c r="F50" s="224"/>
      <c r="G50" s="224"/>
      <c r="H50" s="224"/>
    </row>
    <row r="51" spans="1:23" ht="15.75" x14ac:dyDescent="0.25">
      <c r="O51" s="226" t="s">
        <v>214</v>
      </c>
      <c r="P51" s="226"/>
      <c r="Q51" s="226"/>
      <c r="R51" s="226"/>
      <c r="S51" s="226"/>
      <c r="T51" s="226"/>
      <c r="U51" s="226"/>
      <c r="V51" s="226"/>
      <c r="W51" s="226"/>
    </row>
    <row r="52" spans="1:23" ht="15" customHeight="1" x14ac:dyDescent="0.25">
      <c r="A52" s="202" t="s">
        <v>215</v>
      </c>
    </row>
    <row r="53" spans="1:23" ht="26.25" customHeight="1" x14ac:dyDescent="0.25">
      <c r="A53" s="225" t="s">
        <v>216</v>
      </c>
      <c r="B53" s="225"/>
    </row>
    <row r="54" spans="1:23" ht="15" customHeight="1" x14ac:dyDescent="0.25">
      <c r="A54" s="200" t="s">
        <v>217</v>
      </c>
      <c r="B54" s="200" t="s">
        <v>218</v>
      </c>
    </row>
    <row r="55" spans="1:23" ht="15" customHeight="1" x14ac:dyDescent="0.25">
      <c r="A55" s="1" t="s">
        <v>219</v>
      </c>
      <c r="B55" s="1" t="s">
        <v>220</v>
      </c>
    </row>
    <row r="56" spans="1:23" ht="15" customHeight="1" x14ac:dyDescent="0.25">
      <c r="A56" s="1" t="s">
        <v>221</v>
      </c>
      <c r="B56" s="1" t="s">
        <v>222</v>
      </c>
    </row>
    <row r="57" spans="1:23" ht="15" customHeight="1" x14ac:dyDescent="0.25">
      <c r="A57" s="1" t="s">
        <v>80</v>
      </c>
      <c r="B57" s="1" t="s">
        <v>223</v>
      </c>
    </row>
    <row r="58" spans="1:23" ht="31.5" customHeight="1" x14ac:dyDescent="0.25">
      <c r="A58" s="1" t="s">
        <v>224</v>
      </c>
    </row>
    <row r="59" spans="1:23" ht="15" customHeight="1" x14ac:dyDescent="0.25">
      <c r="A59" s="1" t="s">
        <v>225</v>
      </c>
    </row>
    <row r="60" spans="1:23" ht="15" customHeight="1" x14ac:dyDescent="0.25">
      <c r="A60" s="1" t="s">
        <v>226</v>
      </c>
    </row>
    <row r="62" spans="1:23" ht="15.75" x14ac:dyDescent="0.25">
      <c r="A62" s="2" t="s">
        <v>227</v>
      </c>
    </row>
    <row r="64" spans="1:23" ht="15.75" x14ac:dyDescent="0.25">
      <c r="A64" s="4" t="s">
        <v>228</v>
      </c>
    </row>
    <row r="65" spans="1:8" ht="15.75" x14ac:dyDescent="0.25">
      <c r="A65" t="s">
        <v>229</v>
      </c>
    </row>
    <row r="66" spans="1:8" ht="15.75" x14ac:dyDescent="0.25">
      <c r="A66" s="146" t="s">
        <v>167</v>
      </c>
      <c r="B66" s="146" t="s">
        <v>192</v>
      </c>
      <c r="C66" s="146" t="s">
        <v>193</v>
      </c>
      <c r="D66" s="146" t="s">
        <v>194</v>
      </c>
      <c r="E66" s="146" t="s">
        <v>195</v>
      </c>
      <c r="F66" s="146" t="s">
        <v>196</v>
      </c>
      <c r="G66" s="146" t="s">
        <v>143</v>
      </c>
      <c r="H66" s="146" t="s">
        <v>174</v>
      </c>
    </row>
    <row r="67" spans="1:8" ht="15.75" x14ac:dyDescent="0.25">
      <c r="A67" s="192" t="s">
        <v>151</v>
      </c>
      <c r="B67" s="193">
        <v>0</v>
      </c>
      <c r="C67" s="193">
        <v>98.7</v>
      </c>
      <c r="D67" s="193">
        <v>49.2</v>
      </c>
      <c r="E67" s="193">
        <v>0</v>
      </c>
      <c r="F67" s="193">
        <v>147.9</v>
      </c>
      <c r="G67" s="193">
        <v>101.13</v>
      </c>
      <c r="H67" s="194">
        <v>0.68400000000000005</v>
      </c>
    </row>
    <row r="68" spans="1:8" ht="15.75" x14ac:dyDescent="0.25">
      <c r="A68" s="197" t="s">
        <v>201</v>
      </c>
      <c r="B68" s="197"/>
      <c r="C68" s="197"/>
      <c r="D68" s="197"/>
      <c r="E68" s="197"/>
      <c r="F68" s="197">
        <v>147.9</v>
      </c>
      <c r="G68" s="197">
        <v>101.13</v>
      </c>
      <c r="H68" s="197">
        <v>0.68400000000000005</v>
      </c>
    </row>
    <row r="69" spans="1:8" ht="15.75" x14ac:dyDescent="0.25">
      <c r="A69" t="s">
        <v>230</v>
      </c>
    </row>
    <row r="71" spans="1:8" ht="15.75" x14ac:dyDescent="0.25">
      <c r="A71" s="4" t="s">
        <v>231</v>
      </c>
    </row>
    <row r="72" spans="1:8" ht="15.75" x14ac:dyDescent="0.25">
      <c r="A72" t="s">
        <v>232</v>
      </c>
    </row>
    <row r="73" spans="1:8" ht="15.75" x14ac:dyDescent="0.25">
      <c r="A73" s="146" t="s">
        <v>167</v>
      </c>
      <c r="B73" s="146" t="s">
        <v>192</v>
      </c>
      <c r="C73" s="146" t="s">
        <v>193</v>
      </c>
      <c r="D73" s="146" t="s">
        <v>194</v>
      </c>
      <c r="E73" s="146" t="s">
        <v>195</v>
      </c>
      <c r="F73" s="146" t="s">
        <v>196</v>
      </c>
      <c r="G73" s="146" t="s">
        <v>143</v>
      </c>
      <c r="H73" s="146" t="s">
        <v>174</v>
      </c>
    </row>
    <row r="74" spans="1:8" ht="15.75" x14ac:dyDescent="0.25">
      <c r="A74" s="192" t="s">
        <v>152</v>
      </c>
      <c r="B74" s="193">
        <v>0</v>
      </c>
      <c r="C74" s="193">
        <v>43.2</v>
      </c>
      <c r="D74" s="193">
        <v>51.3</v>
      </c>
      <c r="E74" s="193">
        <v>0</v>
      </c>
      <c r="F74" s="193">
        <v>94.5</v>
      </c>
      <c r="G74" s="193">
        <v>51.7</v>
      </c>
      <c r="H74" s="194">
        <v>0.54700000000000004</v>
      </c>
    </row>
    <row r="75" spans="1:8" ht="15.75" x14ac:dyDescent="0.25">
      <c r="A75" s="197" t="s">
        <v>201</v>
      </c>
      <c r="B75" s="197"/>
      <c r="C75" s="197"/>
      <c r="D75" s="197"/>
      <c r="E75" s="197"/>
      <c r="F75" s="197">
        <v>94.5</v>
      </c>
      <c r="G75" s="197">
        <v>51.7</v>
      </c>
      <c r="H75" s="197">
        <v>0.54700000000000004</v>
      </c>
    </row>
    <row r="76" spans="1:8" ht="15.75" x14ac:dyDescent="0.25">
      <c r="A76" t="s">
        <v>233</v>
      </c>
    </row>
    <row r="78" spans="1:8" ht="15.75" x14ac:dyDescent="0.25">
      <c r="A78" s="4" t="s">
        <v>234</v>
      </c>
    </row>
    <row r="79" spans="1:8" ht="15.75" x14ac:dyDescent="0.25">
      <c r="A79" t="s">
        <v>235</v>
      </c>
    </row>
    <row r="80" spans="1:8" ht="15.75" x14ac:dyDescent="0.25">
      <c r="A80" s="146" t="s">
        <v>167</v>
      </c>
      <c r="B80" s="146" t="s">
        <v>192</v>
      </c>
      <c r="C80" s="146" t="s">
        <v>193</v>
      </c>
      <c r="D80" s="146" t="s">
        <v>194</v>
      </c>
      <c r="E80" s="146" t="s">
        <v>195</v>
      </c>
      <c r="F80" s="146" t="s">
        <v>196</v>
      </c>
      <c r="G80" s="146" t="s">
        <v>143</v>
      </c>
      <c r="H80" s="146" t="s">
        <v>174</v>
      </c>
    </row>
    <row r="81" spans="1:8" ht="15.75" x14ac:dyDescent="0.25">
      <c r="A81" s="192" t="s">
        <v>30</v>
      </c>
      <c r="B81" s="193">
        <v>0</v>
      </c>
      <c r="C81" s="193">
        <v>61.9</v>
      </c>
      <c r="D81" s="193">
        <v>89.6</v>
      </c>
      <c r="E81" s="193">
        <v>0</v>
      </c>
      <c r="F81" s="193">
        <v>151.5</v>
      </c>
      <c r="G81" s="193">
        <v>78.11</v>
      </c>
      <c r="H81" s="194">
        <v>0.51600000000000001</v>
      </c>
    </row>
    <row r="82" spans="1:8" ht="15.75" x14ac:dyDescent="0.25">
      <c r="A82" s="192" t="s">
        <v>197</v>
      </c>
      <c r="B82" s="193">
        <v>0</v>
      </c>
      <c r="C82" s="193">
        <v>89.6</v>
      </c>
      <c r="D82" s="193">
        <v>16.2</v>
      </c>
      <c r="E82" s="193">
        <v>0</v>
      </c>
      <c r="F82" s="193">
        <v>105.8</v>
      </c>
      <c r="G82" s="193">
        <v>84.69</v>
      </c>
      <c r="H82" s="194">
        <v>0.8</v>
      </c>
    </row>
    <row r="83" spans="1:8" ht="15.75" x14ac:dyDescent="0.25">
      <c r="A83" s="197" t="s">
        <v>201</v>
      </c>
      <c r="B83" s="197"/>
      <c r="C83" s="197"/>
      <c r="D83" s="197"/>
      <c r="E83" s="197"/>
      <c r="F83" s="197">
        <v>257.3</v>
      </c>
      <c r="G83" s="197">
        <v>162.80000000000001</v>
      </c>
      <c r="H83" s="197">
        <v>0.63300000000000001</v>
      </c>
    </row>
    <row r="84" spans="1:8" ht="15.75" x14ac:dyDescent="0.25">
      <c r="A84" t="s">
        <v>236</v>
      </c>
    </row>
    <row r="86" spans="1:8" ht="15.75" x14ac:dyDescent="0.25">
      <c r="A86" s="4" t="s">
        <v>237</v>
      </c>
    </row>
    <row r="87" spans="1:8" ht="15.75" x14ac:dyDescent="0.25">
      <c r="A87" t="s">
        <v>238</v>
      </c>
    </row>
    <row r="88" spans="1:8" ht="15.75" x14ac:dyDescent="0.25">
      <c r="A88" s="146" t="s">
        <v>167</v>
      </c>
      <c r="B88" s="146" t="s">
        <v>192</v>
      </c>
      <c r="C88" s="146" t="s">
        <v>193</v>
      </c>
      <c r="D88" s="146" t="s">
        <v>194</v>
      </c>
      <c r="E88" s="146" t="s">
        <v>195</v>
      </c>
      <c r="F88" s="146" t="s">
        <v>196</v>
      </c>
      <c r="G88" s="146" t="s">
        <v>143</v>
      </c>
      <c r="H88" s="146" t="s">
        <v>174</v>
      </c>
    </row>
    <row r="89" spans="1:8" ht="15.75" x14ac:dyDescent="0.25">
      <c r="A89" s="192" t="s">
        <v>31</v>
      </c>
      <c r="B89" s="193">
        <v>0</v>
      </c>
      <c r="C89" s="193">
        <v>79.8</v>
      </c>
      <c r="D89" s="193">
        <v>43</v>
      </c>
      <c r="E89" s="193">
        <v>0</v>
      </c>
      <c r="F89" s="193">
        <v>122.8</v>
      </c>
      <c r="G89" s="193">
        <v>82.57</v>
      </c>
      <c r="H89" s="194">
        <v>0.67200000000000004</v>
      </c>
    </row>
    <row r="90" spans="1:8" ht="15.75" x14ac:dyDescent="0.25">
      <c r="A90" s="192" t="s">
        <v>32</v>
      </c>
      <c r="B90" s="193">
        <v>0</v>
      </c>
      <c r="C90" s="193">
        <v>87.8</v>
      </c>
      <c r="D90" s="193">
        <v>123.9</v>
      </c>
      <c r="E90" s="193">
        <v>0</v>
      </c>
      <c r="F90" s="193">
        <v>211.7</v>
      </c>
      <c r="G90" s="193">
        <v>110</v>
      </c>
      <c r="H90" s="194">
        <v>0.52</v>
      </c>
    </row>
    <row r="91" spans="1:8" ht="15.75" x14ac:dyDescent="0.25">
      <c r="A91" s="192" t="s">
        <v>203</v>
      </c>
      <c r="B91" s="193">
        <v>0</v>
      </c>
      <c r="C91" s="193">
        <v>114.49</v>
      </c>
      <c r="D91" s="193">
        <v>18.899999999999999</v>
      </c>
      <c r="E91" s="193">
        <v>0</v>
      </c>
      <c r="F91" s="193">
        <v>133.38999999999999</v>
      </c>
      <c r="G91" s="193">
        <v>107.77</v>
      </c>
      <c r="H91" s="194">
        <v>0.80800000000000005</v>
      </c>
    </row>
    <row r="92" spans="1:8" ht="15.75" x14ac:dyDescent="0.25">
      <c r="A92" s="197" t="s">
        <v>201</v>
      </c>
      <c r="B92" s="197"/>
      <c r="C92" s="197"/>
      <c r="D92" s="197"/>
      <c r="E92" s="197"/>
      <c r="F92" s="197">
        <v>467.89</v>
      </c>
      <c r="G92" s="197">
        <v>300.33</v>
      </c>
      <c r="H92" s="197">
        <v>0.64200000000000002</v>
      </c>
    </row>
    <row r="93" spans="1:8" ht="15.75" x14ac:dyDescent="0.25">
      <c r="A93" t="s">
        <v>239</v>
      </c>
    </row>
    <row r="95" spans="1:8" ht="15.75" x14ac:dyDescent="0.25">
      <c r="A95" s="4" t="s">
        <v>240</v>
      </c>
    </row>
    <row r="97" spans="1:8" ht="15.75" x14ac:dyDescent="0.25">
      <c r="A97" s="4" t="s">
        <v>241</v>
      </c>
    </row>
    <row r="98" spans="1:8" ht="15.75" x14ac:dyDescent="0.25">
      <c r="A98" t="s">
        <v>242</v>
      </c>
    </row>
    <row r="99" spans="1:8" ht="15.75" x14ac:dyDescent="0.25">
      <c r="A99" s="146" t="s">
        <v>167</v>
      </c>
      <c r="B99" s="146" t="s">
        <v>192</v>
      </c>
      <c r="C99" s="146" t="s">
        <v>193</v>
      </c>
      <c r="D99" s="146" t="s">
        <v>194</v>
      </c>
      <c r="E99" s="146" t="s">
        <v>195</v>
      </c>
      <c r="F99" s="146" t="s">
        <v>196</v>
      </c>
      <c r="G99" s="146" t="s">
        <v>143</v>
      </c>
      <c r="H99" s="146" t="s">
        <v>174</v>
      </c>
    </row>
    <row r="100" spans="1:8" ht="15.75" x14ac:dyDescent="0.25">
      <c r="A100" s="192" t="s">
        <v>160</v>
      </c>
      <c r="B100" s="193">
        <v>903</v>
      </c>
      <c r="C100" s="193">
        <v>0</v>
      </c>
      <c r="D100" s="193">
        <v>0</v>
      </c>
      <c r="E100" s="193">
        <v>0</v>
      </c>
      <c r="F100" s="193">
        <v>903</v>
      </c>
      <c r="G100" s="193">
        <v>857.85</v>
      </c>
      <c r="H100" s="194">
        <v>0.95</v>
      </c>
    </row>
    <row r="101" spans="1:8" ht="15.75" x14ac:dyDescent="0.25">
      <c r="A101" s="197" t="s">
        <v>201</v>
      </c>
      <c r="B101" s="197"/>
      <c r="C101" s="197"/>
      <c r="D101" s="197"/>
      <c r="E101" s="197"/>
      <c r="F101" s="197">
        <v>903</v>
      </c>
      <c r="G101" s="197">
        <v>857.85</v>
      </c>
      <c r="H101" s="197">
        <v>0.95</v>
      </c>
    </row>
    <row r="102" spans="1:8" ht="15.75" x14ac:dyDescent="0.25">
      <c r="A102" t="s">
        <v>243</v>
      </c>
    </row>
    <row r="104" spans="1:8" ht="15.75" x14ac:dyDescent="0.25">
      <c r="A104" s="4" t="s">
        <v>244</v>
      </c>
    </row>
    <row r="105" spans="1:8" ht="15.75" x14ac:dyDescent="0.25">
      <c r="A105" t="s">
        <v>245</v>
      </c>
    </row>
    <row r="106" spans="1:8" ht="15.75" x14ac:dyDescent="0.25">
      <c r="A106" s="146" t="s">
        <v>167</v>
      </c>
      <c r="B106" s="146" t="s">
        <v>192</v>
      </c>
      <c r="C106" s="146" t="s">
        <v>193</v>
      </c>
      <c r="D106" s="146" t="s">
        <v>194</v>
      </c>
      <c r="E106" s="146" t="s">
        <v>195</v>
      </c>
      <c r="F106" s="146" t="s">
        <v>196</v>
      </c>
      <c r="G106" s="146" t="s">
        <v>143</v>
      </c>
      <c r="H106" s="146" t="s">
        <v>174</v>
      </c>
    </row>
    <row r="107" spans="1:8" ht="15.75" x14ac:dyDescent="0.25">
      <c r="A107" s="192" t="s">
        <v>162</v>
      </c>
      <c r="B107" s="193">
        <v>0</v>
      </c>
      <c r="C107" s="193">
        <v>64.8</v>
      </c>
      <c r="D107" s="193">
        <v>432.81</v>
      </c>
      <c r="E107" s="193">
        <v>0</v>
      </c>
      <c r="F107" s="193">
        <v>497.61</v>
      </c>
      <c r="G107" s="193">
        <v>166.52</v>
      </c>
      <c r="H107" s="194">
        <v>0.33500000000000002</v>
      </c>
    </row>
    <row r="108" spans="1:8" ht="15.75" x14ac:dyDescent="0.25">
      <c r="A108" s="197" t="s">
        <v>201</v>
      </c>
      <c r="B108" s="197"/>
      <c r="C108" s="197"/>
      <c r="D108" s="197"/>
      <c r="E108" s="197"/>
      <c r="F108" s="197">
        <v>497.61</v>
      </c>
      <c r="G108" s="197">
        <v>166.52</v>
      </c>
      <c r="H108" s="197">
        <v>0.33500000000000002</v>
      </c>
    </row>
    <row r="109" spans="1:8" ht="15.75" x14ac:dyDescent="0.25">
      <c r="A109" t="s">
        <v>246</v>
      </c>
    </row>
    <row r="112" spans="1:8" ht="15" customHeight="1" x14ac:dyDescent="0.25">
      <c r="A112" s="224" t="s">
        <v>247</v>
      </c>
      <c r="B112" s="224"/>
      <c r="C112" s="224"/>
      <c r="D112" s="224"/>
    </row>
    <row r="113" spans="1:4" ht="15" customHeight="1" x14ac:dyDescent="0.25">
      <c r="A113" s="225" t="s">
        <v>248</v>
      </c>
      <c r="B113" s="225"/>
      <c r="C113" s="225"/>
      <c r="D113" s="225"/>
    </row>
    <row r="114" spans="1:4" ht="15" customHeight="1" x14ac:dyDescent="0.25">
      <c r="A114" s="224" t="s">
        <v>249</v>
      </c>
      <c r="B114" s="224"/>
      <c r="C114" s="224"/>
      <c r="D114" s="224"/>
    </row>
    <row r="115" spans="1:4" ht="15" customHeight="1" x14ac:dyDescent="0.25">
      <c r="A115" s="224" t="s">
        <v>250</v>
      </c>
      <c r="B115" s="224"/>
      <c r="C115" s="224"/>
      <c r="D115" s="224"/>
    </row>
    <row r="116" spans="1:4" ht="15" customHeight="1" x14ac:dyDescent="0.25">
      <c r="A116" s="224" t="s">
        <v>251</v>
      </c>
      <c r="B116" s="224"/>
      <c r="C116" s="224"/>
      <c r="D116" s="224"/>
    </row>
    <row r="117" spans="1:4" ht="15" customHeight="1" x14ac:dyDescent="0.25">
      <c r="A117" s="225" t="s">
        <v>252</v>
      </c>
      <c r="B117" s="225"/>
      <c r="C117" s="225"/>
      <c r="D117" s="225"/>
    </row>
    <row r="118" spans="1:4" ht="15" customHeight="1" x14ac:dyDescent="0.25">
      <c r="A118" s="200" t="s">
        <v>140</v>
      </c>
      <c r="B118" s="200" t="s">
        <v>196</v>
      </c>
      <c r="C118" s="200" t="s">
        <v>253</v>
      </c>
      <c r="D118" s="200" t="s">
        <v>254</v>
      </c>
    </row>
    <row r="119" spans="1:4" ht="15" customHeight="1" x14ac:dyDescent="0.25">
      <c r="A119" s="1" t="s">
        <v>132</v>
      </c>
      <c r="B119" s="1">
        <v>446.75</v>
      </c>
      <c r="C119" s="1">
        <v>21.14</v>
      </c>
      <c r="D119" s="1" t="s">
        <v>255</v>
      </c>
    </row>
    <row r="120" spans="1:4" ht="15" customHeight="1" x14ac:dyDescent="0.25">
      <c r="A120" s="1" t="s">
        <v>133</v>
      </c>
      <c r="B120" s="1">
        <v>442.35</v>
      </c>
      <c r="C120" s="1">
        <v>21.03</v>
      </c>
      <c r="D120" s="1" t="s">
        <v>256</v>
      </c>
    </row>
    <row r="121" spans="1:4" ht="15" customHeight="1" x14ac:dyDescent="0.25">
      <c r="A121" s="1" t="s">
        <v>134</v>
      </c>
      <c r="B121" s="1">
        <v>147.9</v>
      </c>
      <c r="C121" s="1">
        <v>12.16</v>
      </c>
      <c r="D121" s="1" t="s">
        <v>257</v>
      </c>
    </row>
    <row r="122" spans="1:4" ht="15" customHeight="1" x14ac:dyDescent="0.25">
      <c r="A122" s="1" t="s">
        <v>135</v>
      </c>
      <c r="B122" s="1">
        <v>94.5</v>
      </c>
      <c r="C122" s="1">
        <v>9.7200000000000006</v>
      </c>
      <c r="D122" s="1" t="s">
        <v>258</v>
      </c>
    </row>
    <row r="123" spans="1:4" ht="15" customHeight="1" x14ac:dyDescent="0.25">
      <c r="A123" s="1" t="s">
        <v>136</v>
      </c>
      <c r="B123" s="1">
        <v>257.3</v>
      </c>
      <c r="C123" s="1">
        <v>16.04</v>
      </c>
      <c r="D123" s="1" t="s">
        <v>259</v>
      </c>
    </row>
    <row r="124" spans="1:4" ht="15" customHeight="1" x14ac:dyDescent="0.25">
      <c r="A124" s="1" t="s">
        <v>137</v>
      </c>
      <c r="B124" s="1">
        <v>467.89</v>
      </c>
      <c r="C124" s="1">
        <v>21.63</v>
      </c>
      <c r="D124" s="1" t="s">
        <v>260</v>
      </c>
    </row>
    <row r="125" spans="1:4" ht="15" customHeight="1" x14ac:dyDescent="0.25">
      <c r="A125" s="1" t="s">
        <v>138</v>
      </c>
      <c r="B125" s="1">
        <v>903</v>
      </c>
      <c r="C125" s="1">
        <v>30.05</v>
      </c>
      <c r="D125" s="1" t="s">
        <v>261</v>
      </c>
    </row>
    <row r="126" spans="1:4" ht="15" customHeight="1" x14ac:dyDescent="0.25">
      <c r="A126" s="1" t="s">
        <v>139</v>
      </c>
      <c r="B126" s="1">
        <v>497.61</v>
      </c>
      <c r="C126" s="1">
        <v>22.31</v>
      </c>
      <c r="D126" s="1" t="s">
        <v>262</v>
      </c>
    </row>
    <row r="127" spans="1:4" ht="15" customHeight="1" x14ac:dyDescent="0.25">
      <c r="A127" s="225" t="s">
        <v>263</v>
      </c>
      <c r="B127" s="225"/>
      <c r="C127" s="225"/>
      <c r="D127" s="225"/>
    </row>
    <row r="128" spans="1:4" ht="15" customHeight="1" x14ac:dyDescent="0.25">
      <c r="A128" s="224" t="s">
        <v>264</v>
      </c>
      <c r="B128" s="224"/>
      <c r="C128" s="224"/>
      <c r="D128" s="224"/>
    </row>
    <row r="129" spans="1:4" ht="15" customHeight="1" x14ac:dyDescent="0.25">
      <c r="A129" s="224" t="s">
        <v>265</v>
      </c>
      <c r="B129" s="224"/>
      <c r="C129" s="224"/>
      <c r="D129" s="224"/>
    </row>
    <row r="130" spans="1:4" ht="15" customHeight="1" x14ac:dyDescent="0.25">
      <c r="A130" s="224" t="s">
        <v>266</v>
      </c>
      <c r="B130" s="224"/>
      <c r="C130" s="224"/>
      <c r="D130" s="224"/>
    </row>
    <row r="131" spans="1:4" ht="15" customHeight="1" x14ac:dyDescent="0.25">
      <c r="A131" s="225" t="s">
        <v>267</v>
      </c>
      <c r="B131" s="225"/>
      <c r="C131" s="225"/>
      <c r="D131" s="225"/>
    </row>
    <row r="132" spans="1:4" ht="15" customHeight="1" x14ac:dyDescent="0.25">
      <c r="A132" s="224" t="s">
        <v>268</v>
      </c>
      <c r="B132" s="224"/>
      <c r="C132" s="224"/>
      <c r="D132" s="224"/>
    </row>
    <row r="133" spans="1:4" ht="15" customHeight="1" x14ac:dyDescent="0.25">
      <c r="A133" s="224" t="s">
        <v>269</v>
      </c>
      <c r="B133" s="224"/>
      <c r="C133" s="224"/>
      <c r="D133" s="224"/>
    </row>
    <row r="134" spans="1:4" ht="15" customHeight="1" x14ac:dyDescent="0.25">
      <c r="A134" s="224" t="s">
        <v>270</v>
      </c>
      <c r="B134" s="224"/>
      <c r="C134" s="224"/>
      <c r="D134" s="224"/>
    </row>
  </sheetData>
  <mergeCells count="38">
    <mergeCell ref="O1:W1"/>
    <mergeCell ref="O2:W2"/>
    <mergeCell ref="A4:A5"/>
    <mergeCell ref="B4:M4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9:H39"/>
    <mergeCell ref="A42:H42"/>
    <mergeCell ref="A43:H43"/>
    <mergeCell ref="A50:H50"/>
    <mergeCell ref="O51:W51"/>
    <mergeCell ref="A53:B53"/>
    <mergeCell ref="A112:D112"/>
    <mergeCell ref="A113:D113"/>
    <mergeCell ref="A114:D114"/>
    <mergeCell ref="A115:D115"/>
    <mergeCell ref="A116:D116"/>
    <mergeCell ref="A117:D117"/>
    <mergeCell ref="A132:D132"/>
    <mergeCell ref="A133:D133"/>
    <mergeCell ref="A134:D134"/>
    <mergeCell ref="A127:D127"/>
    <mergeCell ref="A128:D128"/>
    <mergeCell ref="A129:D129"/>
    <mergeCell ref="A130:D130"/>
    <mergeCell ref="A131:D131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</vt:i4>
      </vt:variant>
    </vt:vector>
  </HeadingPairs>
  <TitlesOfParts>
    <vt:vector size="5" baseType="lpstr">
      <vt:lpstr>Guide_adaptation</vt:lpstr>
      <vt:lpstr>Calcul_reseau</vt:lpstr>
      <vt:lpstr>Temps de concentration</vt:lpstr>
      <vt:lpstr>Calcul_reseau!Impression_des_titres</vt:lpstr>
      <vt:lpstr>Calcul_reseau!Zone_d_impression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Guy Trudeau</dc:creator>
  <dc:description/>
  <cp:lastModifiedBy>Fernando Davila</cp:lastModifiedBy>
  <cp:revision>10</cp:revision>
  <cp:lastPrinted>2010-12-21T21:08:36Z</cp:lastPrinted>
  <dcterms:created xsi:type="dcterms:W3CDTF">1996-06-18T17:29:14Z</dcterms:created>
  <dcterms:modified xsi:type="dcterms:W3CDTF">2026-07-31T19:26:27Z</dcterms:modified>
  <dc:language>en-CA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0x010100BB751D8A11080746B0E3E54BA2C9385D</vt:lpwstr>
  </property>
  <property fmtid="{D5CDD505-2E9C-101B-9397-08002B2CF9AE}" pid="3" name="_dlc_DocIdItemGuid">
    <vt:lpwstr>f8b319b9-1eef-4cfc-afa6-463db90afb96</vt:lpwstr>
  </property>
</Properties>
</file>