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4530" yWindow="465" windowWidth="21840" windowHeight="12990" tabRatio="500" firstSheet="0" activeTab="1" autoFilterDateGrouping="1"/>
  </bookViews>
  <sheets>
    <sheet name="Guide_adaptation" sheetId="1" state="visible" r:id="rId1"/>
    <sheet name="Calcul_reseau" sheetId="2" state="visible" r:id="rId2"/>
    <sheet name="Temps de concentration" sheetId="3" state="visible" r:id="rId3"/>
  </sheets>
  <definedNames>
    <definedName name="_xlnm.Print_Titles" localSheetId="1">'Calcul_reseau'!$1:$15</definedName>
    <definedName name="_xlnm.Print_Area" localSheetId="1">'Calcul_reseau'!$A$1:$AA$35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#\ ???/???"/>
    <numFmt numFmtId="165" formatCode="0.0"/>
    <numFmt numFmtId="166" formatCode="dd/mm/yyyy"/>
    <numFmt numFmtId="167" formatCode="0.000"/>
    <numFmt numFmtId="168" formatCode="0.0000"/>
    <numFmt numFmtId="169" formatCode="0.00000"/>
  </numFmts>
  <fonts count="19">
    <font>
      <name val="Times New Roman"/>
      <charset val="1"/>
      <sz val="12"/>
    </font>
    <font>
      <name val="Arial"/>
      <family val="2"/>
      <sz val="10"/>
    </font>
    <font>
      <name val="Arial"/>
      <charset val="1"/>
      <family val="2"/>
      <sz val="10"/>
    </font>
    <font>
      <name val="Cambria"/>
      <family val="1"/>
      <b val="1"/>
      <color rgb="FF1F4E79"/>
      <sz val="14"/>
    </font>
    <font>
      <name val="Cambria"/>
      <family val="1"/>
      <b val="1"/>
      <sz val="11"/>
    </font>
    <font>
      <name val="Arial"/>
      <charset val="1"/>
      <family val="2"/>
      <sz val="12"/>
    </font>
    <font>
      <name val="Arial"/>
      <charset val="1"/>
      <family val="2"/>
      <b val="1"/>
      <sz val="14"/>
    </font>
    <font>
      <name val="Arial"/>
      <charset val="1"/>
      <family val="2"/>
      <b val="1"/>
      <i val="1"/>
      <sz val="14"/>
    </font>
    <font>
      <name val="Arial"/>
      <charset val="1"/>
      <family val="2"/>
      <sz val="11"/>
    </font>
    <font>
      <name val="Times New Roman"/>
      <charset val="1"/>
      <family val="1"/>
      <b val="1"/>
      <i val="1"/>
      <sz val="14"/>
    </font>
    <font>
      <name val="Arial"/>
      <charset val="1"/>
      <family val="2"/>
      <b val="1"/>
      <i val="1"/>
      <sz val="12"/>
    </font>
    <font>
      <name val="Arial"/>
      <charset val="1"/>
      <family val="2"/>
      <b val="1"/>
      <sz val="12"/>
    </font>
    <font>
      <name val="Arial"/>
      <charset val="1"/>
      <family val="2"/>
      <sz val="14"/>
    </font>
    <font>
      <name val="Arial"/>
      <charset val="1"/>
      <family val="2"/>
      <i val="1"/>
      <sz val="12"/>
    </font>
    <font>
      <name val="Cambria"/>
      <family val="1"/>
      <b val="1"/>
      <color rgb="FF1F4E79"/>
      <sz val="11"/>
    </font>
    <font>
      <name val="Cambria"/>
      <family val="1"/>
      <b val="1"/>
      <color rgb="FF1F4E79"/>
      <sz val="12"/>
    </font>
    <font>
      <name val="Cambria"/>
      <family val="1"/>
      <i val="1"/>
      <color rgb="FF666666"/>
      <sz val="11"/>
    </font>
    <font>
      <name val="Cambria"/>
      <family val="1"/>
      <b val="1"/>
      <color rgb="FFFFFFFF"/>
      <sz val="11"/>
    </font>
    <font>
      <name val="Times New Roman"/>
      <family val="1"/>
      <b val="1"/>
      <sz val="12"/>
    </font>
  </fonts>
  <fills count="16">
    <fill>
      <patternFill/>
    </fill>
    <fill>
      <patternFill patternType="gray125"/>
    </fill>
    <fill>
      <patternFill patternType="solid">
        <fgColor rgb="FFCCFFCC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FFF99"/>
        <bgColor rgb="FFFFF2CC"/>
      </patternFill>
    </fill>
    <fill>
      <patternFill patternType="solid">
        <fgColor rgb="FF1F4E79"/>
        <bgColor rgb="FF003366"/>
      </patternFill>
    </fill>
    <fill>
      <patternFill patternType="solid">
        <fgColor rgb="FFC0C0C0"/>
        <bgColor rgb="FFB0B0B0"/>
      </patternFill>
    </fill>
    <fill>
      <patternFill patternType="solid">
        <fgColor rgb="FFF2F2F2"/>
        <bgColor rgb="FFE2EFDA"/>
      </patternFill>
    </fill>
    <fill>
      <patternFill patternType="solid">
        <fgColor rgb="FF00B050"/>
        <bgColor rgb="FFF2F2F2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"/>
        <bgColor rgb="FFF2F2F2"/>
      </patternFill>
    </fill>
    <fill>
      <patternFill patternType="solid">
        <fgColor theme="6" tint="0.5999938962981048"/>
        <bgColor rgb="FFF2F2F2"/>
      </patternFill>
    </fill>
    <fill>
      <patternFill patternType="solid">
        <fgColor rgb="00C6EFCE"/>
      </patternFill>
    </fill>
    <fill>
      <patternFill patternType="solid">
        <fgColor rgb="00FFFF99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/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double">
        <color auto="1"/>
      </right>
      <top/>
      <bottom style="medium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72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5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2" fontId="5" fillId="0" borderId="0" applyAlignment="1" pivotButton="0" quotePrefix="0" xfId="0">
      <alignment horizontal="center"/>
    </xf>
    <xf numFmtId="2" fontId="5" fillId="0" borderId="0" pivotButton="0" quotePrefix="0" xfId="0"/>
    <xf numFmtId="0" fontId="5" fillId="0" borderId="2" pivotButton="0" quotePrefix="0" xfId="0"/>
    <xf numFmtId="0" fontId="5" fillId="0" borderId="3" pivotButton="0" quotePrefix="0" xfId="0"/>
    <xf numFmtId="2" fontId="6" fillId="0" borderId="3" applyAlignment="1" pivotButton="0" quotePrefix="0" xfId="0">
      <alignment horizontal="left" vertical="center"/>
    </xf>
    <xf numFmtId="2" fontId="5" fillId="0" borderId="3" applyAlignment="1" pivotButton="0" quotePrefix="0" xfId="0">
      <alignment horizontal="left" vertical="center"/>
    </xf>
    <xf numFmtId="2" fontId="5" fillId="0" borderId="4" applyAlignment="1" pivotButton="0" quotePrefix="0" xfId="0">
      <alignment horizontal="left" vertical="center"/>
    </xf>
    <xf numFmtId="0" fontId="8" fillId="0" borderId="6" pivotButton="0" quotePrefix="0" xfId="0"/>
    <xf numFmtId="0" fontId="2" fillId="0" borderId="7" applyAlignment="1" pivotButton="0" quotePrefix="0" xfId="0">
      <alignment horizontal="right"/>
    </xf>
    <xf numFmtId="164" fontId="2" fillId="0" borderId="8" applyAlignment="1" applyProtection="1" pivotButton="0" quotePrefix="0" xfId="0">
      <alignment horizontal="center"/>
      <protection locked="0" hidden="0"/>
    </xf>
    <xf numFmtId="0" fontId="2" fillId="0" borderId="7" pivotButton="0" quotePrefix="0" xfId="0"/>
    <xf numFmtId="2" fontId="5" fillId="0" borderId="3" pivotButton="0" quotePrefix="0" xfId="0"/>
    <xf numFmtId="0" fontId="5" fillId="0" borderId="4" pivotButton="0" quotePrefix="0" xfId="0"/>
    <xf numFmtId="0" fontId="5" fillId="0" borderId="9" pivotButton="0" quotePrefix="0" xfId="0"/>
    <xf numFmtId="2" fontId="6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10" applyAlignment="1" pivotButton="0" quotePrefix="0" xfId="0">
      <alignment vertical="center"/>
    </xf>
    <xf numFmtId="0" fontId="5" fillId="0" borderId="10" pivotButton="0" quotePrefix="0" xfId="0"/>
    <xf numFmtId="0" fontId="7" fillId="0" borderId="0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/>
    </xf>
    <xf numFmtId="165" fontId="2" fillId="2" borderId="11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left" vertical="center"/>
    </xf>
    <xf numFmtId="2" fontId="2" fillId="0" borderId="11" applyAlignment="1" pivotButton="0" quotePrefix="0" xfId="0">
      <alignment horizontal="right"/>
    </xf>
    <xf numFmtId="2" fontId="2" fillId="0" borderId="11" applyAlignment="1" pivotButton="0" quotePrefix="0" xfId="0">
      <alignment horizontal="center"/>
    </xf>
    <xf numFmtId="167" fontId="2" fillId="0" borderId="11" applyAlignment="1" pivotButton="0" quotePrefix="0" xfId="0">
      <alignment horizontal="center"/>
    </xf>
    <xf numFmtId="167" fontId="2" fillId="0" borderId="13" applyAlignment="1" pivotButton="0" quotePrefix="0" xfId="0">
      <alignment horizontal="center"/>
    </xf>
    <xf numFmtId="0" fontId="5" fillId="0" borderId="0" applyAlignment="1" pivotButton="0" quotePrefix="0" xfId="0">
      <alignment horizontal="right"/>
    </xf>
    <xf numFmtId="2" fontId="5" fillId="0" borderId="10" applyAlignment="1" pivotButton="0" quotePrefix="0" xfId="0">
      <alignment horizontal="center"/>
    </xf>
    <xf numFmtId="0" fontId="5" fillId="0" borderId="14" pivotButton="0" quotePrefix="0" xfId="0"/>
    <xf numFmtId="0" fontId="5" fillId="0" borderId="15" pivotButton="0" quotePrefix="0" xfId="0"/>
    <xf numFmtId="0" fontId="10" fillId="0" borderId="15" applyAlignment="1" pivotButton="0" quotePrefix="0" xfId="0">
      <alignment horizontal="left" vertical="center"/>
    </xf>
    <xf numFmtId="2" fontId="5" fillId="0" borderId="15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5" fillId="0" borderId="16" applyAlignment="1" pivotButton="0" quotePrefix="0" xfId="0">
      <alignment vertical="center"/>
    </xf>
    <xf numFmtId="0" fontId="8" fillId="0" borderId="15" pivotButton="0" quotePrefix="0" xfId="0"/>
    <xf numFmtId="0" fontId="2" fillId="0" borderId="15" applyAlignment="1" pivotButton="0" quotePrefix="0" xfId="0">
      <alignment horizontal="right"/>
    </xf>
    <xf numFmtId="0" fontId="2" fillId="0" borderId="17" applyAlignment="1" pivotButton="0" quotePrefix="0" xfId="0">
      <alignment horizontal="center"/>
    </xf>
    <xf numFmtId="0" fontId="2" fillId="0" borderId="15" pivotButton="0" quotePrefix="0" xfId="0"/>
    <xf numFmtId="2" fontId="11" fillId="0" borderId="15" applyAlignment="1" pivotButton="0" quotePrefix="0" xfId="0">
      <alignment horizontal="center"/>
    </xf>
    <xf numFmtId="0" fontId="12" fillId="0" borderId="15" applyAlignment="1" pivotButton="0" quotePrefix="0" xfId="0">
      <alignment horizontal="center"/>
    </xf>
    <xf numFmtId="2" fontId="5" fillId="0" borderId="15" pivotButton="0" quotePrefix="0" xfId="0"/>
    <xf numFmtId="0" fontId="5" fillId="0" borderId="15" applyAlignment="1" pivotButton="0" quotePrefix="0" xfId="0">
      <alignment horizontal="right"/>
    </xf>
    <xf numFmtId="2" fontId="11" fillId="0" borderId="16" applyAlignment="1" pivotButton="0" quotePrefix="0" xfId="0">
      <alignment horizontal="center"/>
    </xf>
    <xf numFmtId="0" fontId="5" fillId="0" borderId="6" applyAlignment="1" pivotButton="0" quotePrefix="0" xfId="0">
      <alignment horizontal="center" textRotation="90"/>
    </xf>
    <xf numFmtId="0" fontId="5" fillId="0" borderId="6" applyAlignment="1" pivotButton="0" quotePrefix="0" xfId="0">
      <alignment horizontal="center" textRotation="90" wrapText="1"/>
    </xf>
    <xf numFmtId="2" fontId="5" fillId="0" borderId="6" applyAlignment="1" pivotButton="0" quotePrefix="0" xfId="0">
      <alignment horizontal="center" textRotation="90"/>
    </xf>
    <xf numFmtId="0" fontId="5" fillId="0" borderId="23" applyAlignment="1" pivotButton="0" quotePrefix="0" xfId="0">
      <alignment horizontal="center" textRotation="90"/>
    </xf>
    <xf numFmtId="0" fontId="5" fillId="0" borderId="24" applyAlignment="1" pivotButton="0" quotePrefix="0" xfId="0">
      <alignment horizontal="center" textRotation="90"/>
    </xf>
    <xf numFmtId="0" fontId="5" fillId="0" borderId="8" applyAlignment="1" pivotButton="0" quotePrefix="0" xfId="0">
      <alignment horizontal="center" textRotation="90"/>
    </xf>
    <xf numFmtId="0" fontId="5" fillId="0" borderId="8" applyAlignment="1" pivotButton="0" quotePrefix="0" xfId="0">
      <alignment horizontal="center" textRotation="90" wrapText="1"/>
    </xf>
    <xf numFmtId="0" fontId="5" fillId="0" borderId="7" applyAlignment="1" pivotButton="0" quotePrefix="0" xfId="0">
      <alignment horizontal="center" textRotation="90"/>
    </xf>
    <xf numFmtId="0" fontId="5" fillId="0" borderId="7" applyAlignment="1" pivotButton="0" quotePrefix="0" xfId="0">
      <alignment horizontal="center" textRotation="90" wrapText="1"/>
    </xf>
    <xf numFmtId="0" fontId="5" fillId="0" borderId="23" applyAlignment="1" pivotButton="0" quotePrefix="0" xfId="0">
      <alignment horizontal="center" textRotation="90" wrapText="1"/>
    </xf>
    <xf numFmtId="0" fontId="5" fillId="0" borderId="25" applyAlignment="1" pivotButton="0" quotePrefix="0" xfId="0">
      <alignment horizontal="center" textRotation="90"/>
    </xf>
    <xf numFmtId="0" fontId="5" fillId="0" borderId="26" applyAlignment="1" pivotButton="0" quotePrefix="0" xfId="0">
      <alignment horizontal="center" textRotation="90"/>
    </xf>
    <xf numFmtId="0" fontId="5" fillId="0" borderId="0" applyAlignment="1" pivotButton="0" quotePrefix="0" xfId="0">
      <alignment horizontal="right" textRotation="90" wrapText="1"/>
    </xf>
    <xf numFmtId="0" fontId="5" fillId="0" borderId="0" applyAlignment="1" pivotButton="0" quotePrefix="0" xfId="0">
      <alignment horizontal="right" textRotation="90"/>
    </xf>
    <xf numFmtId="0" fontId="13" fillId="0" borderId="9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27" applyAlignment="1" pivotButton="0" quotePrefix="0" xfId="0">
      <alignment horizontal="center"/>
    </xf>
    <xf numFmtId="2" fontId="13" fillId="0" borderId="27" applyAlignment="1" pivotButton="0" quotePrefix="0" xfId="0">
      <alignment horizontal="center"/>
    </xf>
    <xf numFmtId="0" fontId="13" fillId="0" borderId="10" applyAlignment="1" pivotButton="0" quotePrefix="0" xfId="0">
      <alignment horizontal="center"/>
    </xf>
    <xf numFmtId="0" fontId="13" fillId="0" borderId="12" applyAlignment="1" pivotButton="0" quotePrefix="0" xfId="0">
      <alignment horizontal="center"/>
    </xf>
    <xf numFmtId="0" fontId="13" fillId="0" borderId="28" applyAlignment="1" pivotButton="0" quotePrefix="0" xfId="0">
      <alignment horizontal="center"/>
    </xf>
    <xf numFmtId="0" fontId="13" fillId="0" borderId="29" applyAlignment="1" pivotButton="0" quotePrefix="0" xfId="0">
      <alignment horizontal="center"/>
    </xf>
    <xf numFmtId="0" fontId="13" fillId="0" borderId="30" applyAlignment="1" pivotButton="0" quotePrefix="0" xfId="0">
      <alignment horizontal="center"/>
    </xf>
    <xf numFmtId="0" fontId="13" fillId="0" borderId="31" applyAlignment="1" pivotButton="0" quotePrefix="0" xfId="0">
      <alignment horizontal="center"/>
    </xf>
    <xf numFmtId="0" fontId="5" fillId="0" borderId="28" applyAlignment="1" pivotButton="0" quotePrefix="0" xfId="0">
      <alignment horizontal="center"/>
    </xf>
    <xf numFmtId="0" fontId="5" fillId="0" borderId="29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5" fillId="0" borderId="15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2" fontId="5" fillId="0" borderId="18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32" applyAlignment="1" pivotButton="0" quotePrefix="0" xfId="0">
      <alignment horizontal="center"/>
    </xf>
    <xf numFmtId="0" fontId="5" fillId="0" borderId="33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5" fillId="0" borderId="34" applyAlignment="1" pivotButton="0" quotePrefix="0" xfId="0">
      <alignment horizontal="center"/>
    </xf>
    <xf numFmtId="2" fontId="5" fillId="0" borderId="35" applyAlignment="1" pivotButton="0" quotePrefix="0" xfId="0">
      <alignment horizontal="center"/>
    </xf>
    <xf numFmtId="2" fontId="5" fillId="0" borderId="33" applyAlignment="1" pivotButton="0" quotePrefix="0" xfId="0">
      <alignment horizontal="center"/>
    </xf>
    <xf numFmtId="2" fontId="5" fillId="0" borderId="2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36" pivotButton="0" quotePrefix="0" xfId="0"/>
    <xf numFmtId="0" fontId="5" fillId="0" borderId="37" pivotButton="0" quotePrefix="0" xfId="0"/>
    <xf numFmtId="0" fontId="5" fillId="0" borderId="38" pivotButton="0" quotePrefix="0" xfId="0"/>
    <xf numFmtId="0" fontId="5" fillId="0" borderId="38" applyAlignment="1" pivotButton="0" quotePrefix="0" xfId="0">
      <alignment horizontal="center"/>
    </xf>
    <xf numFmtId="2" fontId="5" fillId="0" borderId="11" applyAlignment="1" pivotButton="0" quotePrefix="0" xfId="0">
      <alignment horizontal="center"/>
    </xf>
    <xf numFmtId="0" fontId="5" fillId="0" borderId="39" applyAlignment="1" pivotButton="0" quotePrefix="0" xfId="0">
      <alignment horizontal="center"/>
    </xf>
    <xf numFmtId="0" fontId="5" fillId="0" borderId="40" applyAlignment="1" pivotButton="0" quotePrefix="0" xfId="0">
      <alignment horizontal="center"/>
    </xf>
    <xf numFmtId="0" fontId="5" fillId="0" borderId="41" applyAlignment="1" pivotButton="0" quotePrefix="0" xfId="0">
      <alignment horizontal="center"/>
    </xf>
    <xf numFmtId="0" fontId="5" fillId="0" borderId="42" applyAlignment="1" pivotButton="0" quotePrefix="0" xfId="0">
      <alignment horizontal="center"/>
    </xf>
    <xf numFmtId="2" fontId="5" fillId="0" borderId="38" applyAlignment="1" pivotButton="0" quotePrefix="0" xfId="0">
      <alignment horizontal="center"/>
    </xf>
    <xf numFmtId="0" fontId="5" fillId="0" borderId="43" applyAlignment="1" pivotButton="0" quotePrefix="0" xfId="0">
      <alignment horizontal="center"/>
    </xf>
    <xf numFmtId="0" fontId="5" fillId="0" borderId="44" pivotButton="0" quotePrefix="0" xfId="0"/>
    <xf numFmtId="0" fontId="5" fillId="0" borderId="0" applyAlignment="1" pivotButton="0" quotePrefix="0" xfId="0">
      <alignment horizontal="left"/>
    </xf>
    <xf numFmtId="0" fontId="14" fillId="0" borderId="36" pivotButton="0" quotePrefix="0" xfId="0"/>
    <xf numFmtId="2" fontId="5" fillId="0" borderId="45" applyAlignment="1" pivotButton="0" quotePrefix="0" xfId="0">
      <alignment horizontal="center"/>
    </xf>
    <xf numFmtId="0" fontId="5" fillId="0" borderId="46" pivotButton="0" quotePrefix="0" xfId="0"/>
    <xf numFmtId="0" fontId="10" fillId="3" borderId="47" applyAlignment="1" pivotButton="0" quotePrefix="0" xfId="0">
      <alignment horizontal="center"/>
    </xf>
    <xf numFmtId="2" fontId="5" fillId="4" borderId="47" applyAlignment="1" pivotButton="0" quotePrefix="0" xfId="0">
      <alignment horizontal="center"/>
    </xf>
    <xf numFmtId="168" fontId="5" fillId="3" borderId="47" applyAlignment="1" pivotButton="0" quotePrefix="0" xfId="0">
      <alignment horizontal="center"/>
    </xf>
    <xf numFmtId="2" fontId="5" fillId="3" borderId="47" applyAlignment="1" pivotButton="0" quotePrefix="0" xfId="0">
      <alignment horizontal="center"/>
    </xf>
    <xf numFmtId="168" fontId="5" fillId="4" borderId="47" applyAlignment="1" pivotButton="0" quotePrefix="0" xfId="0">
      <alignment horizontal="center"/>
    </xf>
    <xf numFmtId="167" fontId="5" fillId="4" borderId="47" applyAlignment="1" pivotButton="0" quotePrefix="0" xfId="0">
      <alignment horizontal="center"/>
    </xf>
    <xf numFmtId="0" fontId="5" fillId="3" borderId="47" applyAlignment="1" pivotButton="0" quotePrefix="0" xfId="0">
      <alignment horizontal="center"/>
    </xf>
    <xf numFmtId="167" fontId="5" fillId="3" borderId="47" applyAlignment="1" pivotButton="0" quotePrefix="0" xfId="0">
      <alignment horizontal="center"/>
    </xf>
    <xf numFmtId="2" fontId="5" fillId="0" borderId="46" applyAlignment="1" pivotButton="0" quotePrefix="0" xfId="0">
      <alignment horizontal="center"/>
    </xf>
    <xf numFmtId="167" fontId="4" fillId="4" borderId="47" applyAlignment="1" pivotButton="0" quotePrefix="0" xfId="0">
      <alignment horizontal="center"/>
    </xf>
    <xf numFmtId="0" fontId="0" fillId="5" borderId="47" pivotButton="0" quotePrefix="0" xfId="0"/>
    <xf numFmtId="0" fontId="10" fillId="0" borderId="36" applyAlignment="1" pivotButton="0" quotePrefix="0" xfId="0">
      <alignment horizontal="center"/>
    </xf>
    <xf numFmtId="0" fontId="10" fillId="0" borderId="37" applyAlignment="1" pivotButton="0" quotePrefix="0" xfId="0">
      <alignment horizontal="center"/>
    </xf>
    <xf numFmtId="0" fontId="10" fillId="0" borderId="38" applyAlignment="1" pivotButton="0" quotePrefix="0" xfId="0">
      <alignment horizontal="center"/>
    </xf>
    <xf numFmtId="165" fontId="5" fillId="0" borderId="38" applyAlignment="1" pivotButton="0" quotePrefix="0" xfId="0">
      <alignment horizontal="center"/>
    </xf>
    <xf numFmtId="168" fontId="5" fillId="0" borderId="38" applyAlignment="1" pivotButton="0" quotePrefix="0" xfId="0">
      <alignment horizontal="center"/>
    </xf>
    <xf numFmtId="167" fontId="5" fillId="6" borderId="39" applyAlignment="1" pivotButton="0" quotePrefix="0" xfId="0">
      <alignment horizontal="center"/>
    </xf>
    <xf numFmtId="168" fontId="5" fillId="0" borderId="40" applyAlignment="1" pivotButton="0" quotePrefix="0" xfId="0">
      <alignment horizontal="center"/>
    </xf>
    <xf numFmtId="2" fontId="5" fillId="0" borderId="41" applyAlignment="1" pivotButton="0" quotePrefix="0" xfId="0">
      <alignment horizontal="center"/>
    </xf>
    <xf numFmtId="2" fontId="5" fillId="0" borderId="43" applyAlignment="1" pivotButton="0" quotePrefix="0" xfId="0">
      <alignment horizontal="center"/>
    </xf>
    <xf numFmtId="167" fontId="5" fillId="0" borderId="0" applyAlignment="1" pivotButton="0" quotePrefix="0" xfId="0">
      <alignment horizontal="center"/>
    </xf>
    <xf numFmtId="0" fontId="15" fillId="0" borderId="36" applyAlignment="1" pivotButton="0" quotePrefix="0" xfId="0">
      <alignment horizontal="center"/>
    </xf>
    <xf numFmtId="167" fontId="5" fillId="0" borderId="40" applyAlignment="1" pivotButton="0" quotePrefix="0" xfId="0">
      <alignment horizontal="center"/>
    </xf>
    <xf numFmtId="167" fontId="5" fillId="0" borderId="32" applyAlignment="1" pivotButton="0" quotePrefix="0" xfId="0">
      <alignment horizontal="center"/>
    </xf>
    <xf numFmtId="165" fontId="5" fillId="0" borderId="18" applyAlignment="1" pivotButton="0" quotePrefix="0" xfId="0">
      <alignment horizontal="center"/>
    </xf>
    <xf numFmtId="167" fontId="5" fillId="6" borderId="16" applyAlignment="1" pivotButton="0" quotePrefix="0" xfId="0">
      <alignment horizontal="center"/>
    </xf>
    <xf numFmtId="2" fontId="5" fillId="0" borderId="50" applyAlignment="1" pivotButton="0" quotePrefix="0" xfId="0">
      <alignment horizontal="center"/>
    </xf>
    <xf numFmtId="2" fontId="5" fillId="0" borderId="51" applyAlignment="1" pivotButton="0" quotePrefix="0" xfId="0">
      <alignment horizontal="center"/>
    </xf>
    <xf numFmtId="2" fontId="5" fillId="0" borderId="17" applyAlignment="1" pivotButton="0" quotePrefix="0" xfId="0">
      <alignment horizontal="center"/>
    </xf>
    <xf numFmtId="2" fontId="5" fillId="0" borderId="5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3" borderId="54" applyAlignment="1" pivotButton="0" quotePrefix="0" xfId="0">
      <alignment horizontal="center" vertical="center"/>
    </xf>
    <xf numFmtId="0" fontId="2" fillId="3" borderId="55" applyAlignment="1" pivotButton="0" quotePrefix="0" xfId="0">
      <alignment horizontal="center" vertical="center"/>
    </xf>
    <xf numFmtId="0" fontId="2" fillId="0" borderId="55" applyAlignment="1" pivotButton="0" quotePrefix="0" xfId="0">
      <alignment horizontal="center" vertical="center"/>
    </xf>
    <xf numFmtId="0" fontId="2" fillId="0" borderId="56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0" fontId="17" fillId="7" borderId="47" applyAlignment="1" pivotButton="0" quotePrefix="0" xfId="0">
      <alignment vertical="center" wrapText="1"/>
    </xf>
    <xf numFmtId="49" fontId="17" fillId="7" borderId="47" applyAlignment="1" pivotButton="0" quotePrefix="0" xfId="0">
      <alignment vertical="center" wrapText="1"/>
    </xf>
    <xf numFmtId="0" fontId="2" fillId="0" borderId="9" applyAlignment="1" pivotButton="0" quotePrefix="0" xfId="0">
      <alignment horizontal="center" vertical="center"/>
    </xf>
    <xf numFmtId="168" fontId="2" fillId="3" borderId="40" applyAlignment="1" pivotButton="0" quotePrefix="0" xfId="0">
      <alignment horizontal="center" vertical="center"/>
    </xf>
    <xf numFmtId="168" fontId="2" fillId="3" borderId="41" applyAlignment="1" pivotButton="0" quotePrefix="0" xfId="0">
      <alignment horizontal="center" vertical="center"/>
    </xf>
    <xf numFmtId="168" fontId="2" fillId="0" borderId="41" applyAlignment="1" pivotButton="0" quotePrefix="0" xfId="0">
      <alignment horizontal="center" vertical="center"/>
    </xf>
    <xf numFmtId="0" fontId="2" fillId="0" borderId="41" applyAlignment="1" pivotButton="0" quotePrefix="0" xfId="0">
      <alignment horizontal="center" vertical="center"/>
    </xf>
    <xf numFmtId="0" fontId="2" fillId="0" borderId="42" applyAlignment="1" pivotButton="0" quotePrefix="0" xfId="0">
      <alignment horizontal="center" vertical="center"/>
    </xf>
    <xf numFmtId="0" fontId="2" fillId="3" borderId="47" applyAlignment="1" pivotButton="0" quotePrefix="0" xfId="0">
      <alignment horizontal="center" vertical="center"/>
    </xf>
    <xf numFmtId="0" fontId="2" fillId="4" borderId="47" applyAlignment="1" pivotButton="0" quotePrefix="0" xfId="0">
      <alignment horizontal="center" vertical="center"/>
    </xf>
    <xf numFmtId="2" fontId="2" fillId="4" borderId="47" applyAlignment="1" pivotButton="0" quotePrefix="0" xfId="0">
      <alignment horizontal="center" vertical="center"/>
    </xf>
    <xf numFmtId="167" fontId="2" fillId="4" borderId="47" applyAlignment="1" pivotButton="0" quotePrefix="0" xfId="0">
      <alignment horizontal="center" vertical="center"/>
    </xf>
    <xf numFmtId="168" fontId="2" fillId="4" borderId="47" applyAlignment="1" pivotButton="0" quotePrefix="0" xfId="0">
      <alignment horizontal="center" vertical="center"/>
    </xf>
    <xf numFmtId="2" fontId="2" fillId="4" borderId="57" applyAlignment="1" pivotButton="0" quotePrefix="0" xfId="0">
      <alignment horizontal="center" vertical="center"/>
    </xf>
    <xf numFmtId="2" fontId="2" fillId="4" borderId="11" applyAlignment="1" pivotButton="0" quotePrefix="0" xfId="0">
      <alignment horizontal="center" vertical="center"/>
    </xf>
    <xf numFmtId="165" fontId="2" fillId="0" borderId="11" applyAlignment="1" pivotButton="0" quotePrefix="0" xfId="0">
      <alignment horizontal="center" vertical="center"/>
    </xf>
    <xf numFmtId="165" fontId="2" fillId="0" borderId="46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5" fontId="2" fillId="3" borderId="47" applyAlignment="1" pivotButton="0" quotePrefix="0" xfId="0">
      <alignment horizontal="center" vertical="center"/>
    </xf>
    <xf numFmtId="165" fontId="2" fillId="4" borderId="47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2" fontId="0" fillId="0" borderId="0" pivotButton="0" quotePrefix="0" xfId="0"/>
    <xf numFmtId="0" fontId="2" fillId="3" borderId="58" applyAlignment="1" pivotButton="0" quotePrefix="0" xfId="0">
      <alignment horizontal="center" vertical="center"/>
    </xf>
    <xf numFmtId="0" fontId="2" fillId="3" borderId="17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52" applyAlignment="1" pivotButton="0" quotePrefix="0" xfId="0">
      <alignment horizontal="center" vertical="center"/>
    </xf>
    <xf numFmtId="0" fontId="2" fillId="8" borderId="53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8" borderId="10" applyAlignment="1" pivotButton="0" quotePrefix="0" xfId="0">
      <alignment horizontal="center" vertical="center"/>
    </xf>
    <xf numFmtId="165" fontId="2" fillId="3" borderId="22" applyAlignment="1" pivotButton="0" quotePrefix="0" xfId="0">
      <alignment horizontal="center" vertical="center"/>
    </xf>
    <xf numFmtId="165" fontId="2" fillId="3" borderId="8" applyAlignment="1" pivotButton="0" quotePrefix="0" xfId="0">
      <alignment horizontal="center" vertical="center"/>
    </xf>
    <xf numFmtId="165" fontId="2" fillId="0" borderId="8" applyAlignment="1" pivotButton="0" quotePrefix="0" xfId="0">
      <alignment horizontal="center" vertical="center"/>
    </xf>
    <xf numFmtId="165" fontId="2" fillId="0" borderId="23" applyAlignment="1" pivotButton="0" quotePrefix="0" xfId="0">
      <alignment horizontal="center" vertical="center"/>
    </xf>
    <xf numFmtId="0" fontId="2" fillId="3" borderId="57" applyAlignment="1" pivotButton="0" quotePrefix="0" xfId="0">
      <alignment horizontal="center" vertical="center"/>
    </xf>
    <xf numFmtId="0" fontId="2" fillId="3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4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169" fontId="2" fillId="3" borderId="58" applyAlignment="1" pivotButton="0" quotePrefix="0" xfId="0">
      <alignment horizontal="center" vertical="center"/>
    </xf>
    <xf numFmtId="169" fontId="2" fillId="3" borderId="17" applyAlignment="1" pivotButton="0" quotePrefix="0" xfId="0">
      <alignment horizontal="center" vertical="center"/>
    </xf>
    <xf numFmtId="167" fontId="2" fillId="0" borderId="17" applyAlignment="1" pivotButton="0" quotePrefix="0" xfId="0">
      <alignment horizontal="center" vertical="center"/>
    </xf>
    <xf numFmtId="168" fontId="2" fillId="0" borderId="17" applyAlignment="1" pivotButton="0" quotePrefix="0" xfId="0">
      <alignment horizontal="center" vertical="center"/>
    </xf>
    <xf numFmtId="168" fontId="2" fillId="0" borderId="52" applyAlignment="1" pivotButton="0" quotePrefix="0" xfId="0">
      <alignment horizontal="center" vertical="center"/>
    </xf>
    <xf numFmtId="168" fontId="2" fillId="0" borderId="0" applyAlignment="1" pivotButton="0" quotePrefix="0" xfId="0">
      <alignment horizontal="center" vertical="center"/>
    </xf>
    <xf numFmtId="168" fontId="2" fillId="3" borderId="47" applyAlignment="1" pivotButton="0" quotePrefix="0" xfId="0">
      <alignment horizontal="center" vertical="center"/>
    </xf>
    <xf numFmtId="0" fontId="0" fillId="3" borderId="47" pivotButton="0" quotePrefix="0" xfId="0"/>
    <xf numFmtId="0" fontId="0" fillId="4" borderId="47" pivotButton="0" quotePrefix="0" xfId="0"/>
    <xf numFmtId="2" fontId="0" fillId="4" borderId="47" pivotButton="0" quotePrefix="0" xfId="0"/>
    <xf numFmtId="167" fontId="0" fillId="4" borderId="47" pivotButton="0" quotePrefix="0" xfId="0"/>
    <xf numFmtId="168" fontId="0" fillId="4" borderId="47" pivotButton="0" quotePrefix="0" xfId="0"/>
    <xf numFmtId="0" fontId="14" fillId="0" borderId="0" pivotButton="0" quotePrefix="0" xfId="0"/>
    <xf numFmtId="0" fontId="4" fillId="5" borderId="47" pivotButton="0" quotePrefix="0" xfId="0"/>
    <xf numFmtId="2" fontId="4" fillId="5" borderId="47" pivotButton="0" quotePrefix="0" xfId="0"/>
    <xf numFmtId="167" fontId="4" fillId="5" borderId="47" pivotButton="0" quotePrefix="0" xfId="0"/>
    <xf numFmtId="0" fontId="18" fillId="0" borderId="0" applyAlignment="1" pivotButton="0" quotePrefix="0" xfId="0">
      <alignment horizontal="center" wrapText="1"/>
    </xf>
    <xf numFmtId="0" fontId="0" fillId="9" borderId="47" pivotButton="0" quotePrefix="0" xfId="0"/>
    <xf numFmtId="0" fontId="18" fillId="0" borderId="0" pivotButton="0" quotePrefix="0" xfId="0"/>
    <xf numFmtId="0" fontId="5" fillId="11" borderId="0" pivotButton="0" quotePrefix="0" xfId="0"/>
    <xf numFmtId="167" fontId="5" fillId="10" borderId="47" applyAlignment="1" pivotButton="0" quotePrefix="0" xfId="0">
      <alignment horizontal="center"/>
    </xf>
    <xf numFmtId="165" fontId="5" fillId="12" borderId="47" applyAlignment="1" pivotButton="0" quotePrefix="0" xfId="0">
      <alignment horizontal="center"/>
    </xf>
    <xf numFmtId="0" fontId="5" fillId="0" borderId="0" pivotButton="0" quotePrefix="0" xfId="0"/>
    <xf numFmtId="0" fontId="10" fillId="0" borderId="48" applyAlignment="1" pivotButton="0" quotePrefix="0" xfId="0">
      <alignment horizontal="left"/>
    </xf>
    <xf numFmtId="0" fontId="10" fillId="0" borderId="48" applyAlignment="1" pivotButton="0" quotePrefix="0" xfId="0">
      <alignment horizontal="center"/>
    </xf>
    <xf numFmtId="0" fontId="10" fillId="0" borderId="49" applyAlignment="1" pivotButton="0" quotePrefix="0" xfId="0">
      <alignment horizontal="center"/>
    </xf>
    <xf numFmtId="0" fontId="11" fillId="2" borderId="19" applyAlignment="1" pivotButton="0" quotePrefix="0" xfId="0">
      <alignment horizontal="center" vertical="center" wrapText="1"/>
    </xf>
    <xf numFmtId="0" fontId="11" fillId="2" borderId="20" applyAlignment="1" pivotButton="0" quotePrefix="0" xfId="0">
      <alignment horizontal="center" vertical="center" wrapText="1"/>
    </xf>
    <xf numFmtId="0" fontId="11" fillId="2" borderId="21" applyAlignment="1" pivotButton="0" quotePrefix="0" xfId="0">
      <alignment horizontal="center" vertical="center" wrapText="1"/>
    </xf>
    <xf numFmtId="0" fontId="5" fillId="0" borderId="22" applyAlignment="1" pivotButton="0" quotePrefix="0" xfId="0">
      <alignment horizontal="center" textRotation="90"/>
    </xf>
    <xf numFmtId="166" fontId="6" fillId="0" borderId="0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11" fillId="2" borderId="18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0" borderId="3" applyAlignment="1" pivotButton="0" quotePrefix="0" xfId="0">
      <alignment horizontal="right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right" vertical="center"/>
    </xf>
    <xf numFmtId="0" fontId="9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18" fillId="0" borderId="0" applyAlignment="1" pivotButton="0" quotePrefix="0" xfId="0">
      <alignment wrapText="1"/>
    </xf>
    <xf numFmtId="0" fontId="16" fillId="0" borderId="0" pivotButton="0" quotePrefix="0" xfId="0"/>
    <xf numFmtId="0" fontId="0" fillId="0" borderId="0" pivotButton="0" quotePrefix="0" xfId="0"/>
    <xf numFmtId="0" fontId="15" fillId="0" borderId="0" pivotButton="0" quotePrefix="0" xfId="0"/>
    <xf numFmtId="0" fontId="2" fillId="0" borderId="5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7" fontId="5" fillId="13" borderId="47" applyAlignment="1" pivotButton="0" quotePrefix="0" xfId="0">
      <alignment horizontal="center"/>
    </xf>
    <xf numFmtId="0" fontId="0" fillId="0" borderId="20" pivotButton="0" quotePrefix="0" xfId="0"/>
    <xf numFmtId="0" fontId="0" fillId="0" borderId="59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27" pivotButton="0" quotePrefix="0" xfId="0"/>
    <xf numFmtId="0" fontId="0" fillId="0" borderId="62" pivotButton="0" quotePrefix="0" xfId="0"/>
    <xf numFmtId="0" fontId="0" fillId="0" borderId="13" pivotButton="0" quotePrefix="0" xfId="0"/>
    <xf numFmtId="166" fontId="6" fillId="0" borderId="0" applyAlignment="1" pivotButton="0" quotePrefix="0" xfId="0">
      <alignment horizontal="left" vertical="center"/>
    </xf>
    <xf numFmtId="165" fontId="2" fillId="2" borderId="11" applyAlignment="1" pivotButton="0" quotePrefix="0" xfId="0">
      <alignment horizontal="center"/>
    </xf>
    <xf numFmtId="166" fontId="5" fillId="0" borderId="0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6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64" pivotButton="0" quotePrefix="0" xfId="0"/>
    <xf numFmtId="0" fontId="0" fillId="0" borderId="7" pivotButton="0" quotePrefix="0" xfId="0"/>
    <xf numFmtId="165" fontId="5" fillId="12" borderId="47" applyAlignment="1" pivotButton="0" quotePrefix="0" xfId="0">
      <alignment horizontal="center"/>
    </xf>
    <xf numFmtId="2" fontId="5" fillId="14" borderId="47" applyAlignment="1" pivotButton="0" quotePrefix="0" xfId="0">
      <alignment horizontal="center"/>
    </xf>
    <xf numFmtId="168" fontId="5" fillId="14" borderId="47" applyAlignment="1" pivotButton="0" quotePrefix="0" xfId="0">
      <alignment horizontal="center"/>
    </xf>
    <xf numFmtId="168" fontId="5" fillId="15" borderId="47" applyAlignment="1" pivotButton="0" quotePrefix="0" xfId="0">
      <alignment horizontal="center"/>
    </xf>
    <xf numFmtId="2" fontId="5" fillId="15" borderId="47" applyAlignment="1" pivotButton="0" quotePrefix="0" xfId="0">
      <alignment horizontal="center"/>
    </xf>
    <xf numFmtId="167" fontId="5" fillId="14" borderId="47" applyAlignment="1" pivotButton="0" quotePrefix="0" xfId="0">
      <alignment horizontal="center"/>
    </xf>
    <xf numFmtId="0" fontId="5" fillId="15" borderId="47" applyAlignment="1" pivotButton="0" quotePrefix="0" xfId="0">
      <alignment horizontal="center"/>
    </xf>
    <xf numFmtId="165" fontId="5" fillId="15" borderId="47" applyAlignment="1" pivotButton="0" quotePrefix="0" xfId="0">
      <alignment horizontal="center"/>
    </xf>
    <xf numFmtId="167" fontId="4" fillId="14" borderId="47" applyAlignment="1" pivotButton="0" quotePrefix="0" xfId="0">
      <alignment horizontal="center"/>
    </xf>
    <xf numFmtId="167" fontId="5" fillId="15" borderId="47" applyAlignment="1" pivotButton="0" quotePrefix="0" xfId="0">
      <alignment horizontal="center"/>
    </xf>
    <xf numFmtId="165" fontId="5" fillId="0" borderId="38" applyAlignment="1" pivotButton="0" quotePrefix="0" xfId="0">
      <alignment horizontal="center"/>
    </xf>
    <xf numFmtId="0" fontId="0" fillId="0" borderId="37" pivotButton="0" quotePrefix="0" xfId="0"/>
    <xf numFmtId="0" fontId="0" fillId="0" borderId="39" pivotButton="0" quotePrefix="0" xfId="0"/>
    <xf numFmtId="165" fontId="5" fillId="0" borderId="18" applyAlignment="1" pivotButton="0" quotePrefix="0" xfId="0">
      <alignment horizontal="center"/>
    </xf>
    <xf numFmtId="0" fontId="0" fillId="0" borderId="14" pivotButton="0" quotePrefix="0" xfId="0"/>
    <xf numFmtId="165" fontId="2" fillId="0" borderId="11" applyAlignment="1" pivotButton="0" quotePrefix="0" xfId="0">
      <alignment horizontal="center" vertical="center"/>
    </xf>
    <xf numFmtId="165" fontId="2" fillId="0" borderId="46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5" fontId="2" fillId="3" borderId="47" applyAlignment="1" pivotButton="0" quotePrefix="0" xfId="0">
      <alignment horizontal="center" vertical="center"/>
    </xf>
    <xf numFmtId="165" fontId="2" fillId="4" borderId="47" applyAlignment="1" pivotButton="0" quotePrefix="0" xfId="0">
      <alignment horizontal="center" vertical="center"/>
    </xf>
    <xf numFmtId="165" fontId="2" fillId="3" borderId="22" applyAlignment="1" pivotButton="0" quotePrefix="0" xfId="0">
      <alignment horizontal="center" vertical="center"/>
    </xf>
    <xf numFmtId="165" fontId="2" fillId="3" borderId="8" applyAlignment="1" pivotButton="0" quotePrefix="0" xfId="0">
      <alignment horizontal="center" vertical="center"/>
    </xf>
    <xf numFmtId="165" fontId="2" fillId="0" borderId="8" applyAlignment="1" pivotButton="0" quotePrefix="0" xfId="0">
      <alignment horizontal="center" vertical="center"/>
    </xf>
    <xf numFmtId="165" fontId="2" fillId="0" borderId="23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dxfs count="1">
    <dxf>
      <font>
        <color rgb="FF9C0006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F2F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0B0B0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Normal="100" workbookViewId="0">
      <selection activeCell="A15" sqref="A15"/>
    </sheetView>
  </sheetViews>
  <sheetFormatPr baseColWidth="10" defaultColWidth="8.5" defaultRowHeight="15" customHeight="1"/>
  <cols>
    <col width="110" customWidth="1" style="227" min="1" max="1"/>
  </cols>
  <sheetData>
    <row r="1" ht="17.25" customHeight="1" s="227">
      <c r="A1" s="3" t="inlineStr">
        <is>
          <t>Adaptation méthode simple Saint-Hubert ← données Reseau_pluvial_dimensionnement_v1</t>
        </is>
      </c>
    </row>
    <row r="3" ht="15" customHeight="1" s="227">
      <c r="A3" s="4" t="inlineStr">
        <is>
          <t>Fichiers sources</t>
        </is>
      </c>
    </row>
    <row r="4" ht="15" customHeight="1" s="227">
      <c r="A4" t="inlineStr">
        <is>
          <t>Méthode simple: Dimensionnement réseau pluvial- Saint Hubert - bassin 5 à 60 minutes.xlsx</t>
        </is>
      </c>
    </row>
    <row r="5" ht="15" customHeight="1" s="227">
      <c r="A5" t="inlineStr">
        <is>
          <t>Données projet: Reseau_pluvial_dimensionnement_v1.xlsx</t>
        </is>
      </c>
    </row>
    <row r="7" ht="15" customHeight="1" s="227">
      <c r="A7" s="4" t="inlineStr">
        <is>
          <t>Onglets</t>
        </is>
      </c>
    </row>
    <row r="8" ht="15" customHeight="1" s="227">
      <c r="A8" t="inlineStr">
        <is>
          <t>Temps de concentration: aires locales (ha), C, L/n/s overland → temps d’entrée</t>
        </is>
      </c>
    </row>
    <row r="9" ht="15" customHeight="1" s="227">
      <c r="A9" t="inlineStr">
        <is>
          <t>Calcul_reseau: tronçons amont→aval, débit rationnel cumulatif, diamètre, capacité, radiers/couverture</t>
        </is>
      </c>
    </row>
    <row r="11" ht="15" customHeight="1" s="227">
      <c r="A11" s="4" t="inlineStr">
        <is>
          <t>Correspondance topologique (fichier Olivier TECH. MODIF)</t>
        </is>
      </c>
    </row>
    <row r="12" ht="15" customHeight="1" s="227">
      <c r="A12" t="inlineStr">
        <is>
          <t>L06: P09 → P06 | L=17.458 m</t>
        </is>
      </c>
    </row>
    <row r="13" ht="15" customHeight="1" s="227">
      <c r="A13" t="inlineStr">
        <is>
          <t>L07: P07 → P06 | L=12.477 m</t>
        </is>
      </c>
    </row>
    <row r="14" ht="15" customHeight="1" s="227">
      <c r="A14" t="inlineStr">
        <is>
          <t>L08: P06 → P04 | L=9.579 m</t>
        </is>
      </c>
    </row>
    <row r="15" ht="15" customHeight="1" s="227">
      <c r="A15" t="inlineStr">
        <is>
          <t>L09: P04 → P01 | L=13.317 m</t>
        </is>
      </c>
    </row>
    <row r="16" ht="15" customHeight="1" s="227">
      <c r="A16" t="inlineStr">
        <is>
          <t>L01: P01 → J01 | L=14.401 m</t>
        </is>
      </c>
    </row>
    <row r="17" ht="15" customHeight="1" s="227">
      <c r="A17" t="inlineStr">
        <is>
          <t>L12: P02 → J01 | L=1.4 m  ← nouvelle conduite (branche)</t>
        </is>
      </c>
    </row>
    <row r="18" ht="15" customHeight="1" s="227">
      <c r="A18" t="inlineStr">
        <is>
          <t>L02: J01 → RP03 | L=11.2 m  ← P03 renommé RP03</t>
        </is>
      </c>
    </row>
    <row r="19" ht="15" customHeight="1" s="227">
      <c r="A19" t="inlineStr">
        <is>
          <t>L03: RP03 → P10 | L=7.1 m (transfert)</t>
        </is>
      </c>
    </row>
    <row r="20" ht="15" customHeight="1" s="227">
      <c r="A20" t="inlineStr">
        <is>
          <t>L10: P10 → P11 | L=14.3 m | zone N</t>
        </is>
      </c>
    </row>
    <row r="21">
      <c r="A21" t="inlineStr">
        <is>
          <t>L11: P11 → P12 | L=10.9 m | zone O</t>
        </is>
      </c>
    </row>
    <row r="22">
      <c r="A22" t="inlineStr">
        <is>
          <t>L12_out: P12 → PUB | L=12.4 m</t>
        </is>
      </c>
    </row>
    <row r="23" ht="15" customHeight="1" s="227">
      <c r="A23" s="4" t="inlineStr">
        <is>
          <t>H/I: à J01, P02→J01 ne cumule pas le réseau amont; J01→RP03 = H(P01→J01)+H(P02→J01)+DA.</t>
        </is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C173"/>
  <sheetViews>
    <sheetView tabSelected="1" topLeftCell="A13" zoomScale="70" zoomScaleNormal="70" workbookViewId="0">
      <selection activeCell="I27" sqref="I27"/>
    </sheetView>
  </sheetViews>
  <sheetFormatPr baseColWidth="10" defaultColWidth="11" defaultRowHeight="15" customHeight="1"/>
  <cols>
    <col width="12" customWidth="1" style="206" min="1" max="1"/>
    <col width="4" customWidth="1" style="206" min="2" max="2"/>
    <col width="10" customWidth="1" style="206" min="3" max="10"/>
    <col width="10" customWidth="1" style="6" min="11" max="11"/>
    <col width="10" customWidth="1" style="206" min="12" max="16"/>
    <col width="8" customWidth="1" style="206" min="17" max="17"/>
    <col width="10" customWidth="1" style="206" min="18" max="24"/>
    <col width="9" customWidth="1" style="7" min="25" max="25"/>
    <col width="8.125" customWidth="1" style="206" min="26" max="29"/>
    <col width="11" customWidth="1" style="206" min="30" max="16384"/>
  </cols>
  <sheetData>
    <row r="1" ht="27.75" customHeight="1" s="227">
      <c r="A1" s="219" t="inlineStr">
        <is>
          <t>Calculs relatifs à un réseau d'égout pluvial</t>
        </is>
      </c>
      <c r="B1" s="232" t="n"/>
      <c r="C1" s="232" t="n"/>
      <c r="D1" s="232" t="n"/>
      <c r="E1" s="232" t="n"/>
      <c r="F1" s="232" t="n"/>
      <c r="G1" s="232" t="n"/>
      <c r="H1" s="232" t="n"/>
      <c r="I1" s="232" t="n"/>
      <c r="J1" s="232" t="n"/>
      <c r="K1" s="232" t="n"/>
      <c r="L1" s="232" t="n"/>
      <c r="M1" s="232" t="n"/>
      <c r="N1" s="232" t="n"/>
      <c r="O1" s="232" t="n"/>
      <c r="P1" s="232" t="n"/>
      <c r="Q1" s="232" t="n"/>
      <c r="R1" s="232" t="n"/>
      <c r="S1" s="232" t="n"/>
      <c r="T1" s="232" t="n"/>
      <c r="U1" s="232" t="n"/>
      <c r="V1" s="232" t="n"/>
      <c r="W1" s="232" t="n"/>
      <c r="X1" s="232" t="n"/>
      <c r="Y1" s="232" t="n"/>
      <c r="Z1" s="232" t="n"/>
      <c r="AA1" s="233" t="n"/>
    </row>
    <row r="2" ht="24" customHeight="1" s="227">
      <c r="A2" s="8" t="n"/>
      <c r="B2" s="9" t="n"/>
      <c r="C2" s="9" t="n"/>
      <c r="D2" s="9" t="n"/>
      <c r="E2" s="9" t="n"/>
      <c r="F2" s="220" t="inlineStr">
        <is>
          <t>Projet :</t>
        </is>
      </c>
      <c r="G2" s="234" t="n"/>
      <c r="H2" s="10" t="inlineStr">
        <is>
          <t>Réseau pluvial – projet (fichier Olivier TECH. MODIF)</t>
        </is>
      </c>
      <c r="I2" s="10" t="n"/>
      <c r="J2" s="11" t="n"/>
      <c r="K2" s="11" t="n"/>
      <c r="L2" s="12" t="n"/>
      <c r="M2" s="221" t="inlineStr">
        <is>
          <t>IDF projet (Inputs v1) – courbe 1/10 ans A=508.07 B=2.9 C=0.644</t>
        </is>
      </c>
      <c r="N2" s="234" t="n"/>
      <c r="O2" s="234" t="n"/>
      <c r="P2" s="235" t="n"/>
      <c r="Q2" s="13" t="n"/>
      <c r="R2" s="14" t="inlineStr">
        <is>
          <t>Période de retour:</t>
        </is>
      </c>
      <c r="S2" s="15">
        <f>1/25</f>
        <v/>
      </c>
      <c r="T2" s="16" t="inlineStr">
        <is>
          <t>ans</t>
        </is>
      </c>
      <c r="U2" s="9" t="n"/>
      <c r="V2" s="9" t="n"/>
      <c r="W2" s="9" t="n"/>
      <c r="X2" s="9" t="n"/>
      <c r="Y2" s="17" t="n"/>
      <c r="Z2" s="9" t="n"/>
      <c r="AA2" s="18" t="n"/>
    </row>
    <row r="3" ht="24" customHeight="1" s="227">
      <c r="A3" s="19" t="n"/>
      <c r="F3" s="222" t="inlineStr">
        <is>
          <t>No dossier :</t>
        </is>
      </c>
      <c r="H3" s="20" t="inlineStr">
        <is>
          <t>Adapté méthode simple Saint-Hubert</t>
        </is>
      </c>
      <c r="I3" s="20" t="n"/>
      <c r="J3" s="21" t="n"/>
      <c r="K3" s="22" t="n"/>
      <c r="L3" s="23" t="n"/>
      <c r="P3" s="236" t="n"/>
      <c r="Q3" s="223" t="inlineStr">
        <is>
          <t>I = A/(t+B)C</t>
        </is>
      </c>
      <c r="R3" s="237" t="n"/>
      <c r="S3" s="237" t="n"/>
      <c r="T3" s="238" t="n"/>
      <c r="AA3" s="24" t="n"/>
    </row>
    <row r="4" ht="22.5" customHeight="1" s="227">
      <c r="A4" s="19" t="n"/>
      <c r="F4" s="25" t="n"/>
      <c r="G4" s="25" t="inlineStr">
        <is>
          <t>Date :</t>
        </is>
      </c>
      <c r="H4" s="239" t="inlineStr">
        <is>
          <t>2026-07-31</t>
        </is>
      </c>
      <c r="J4" s="21" t="n"/>
      <c r="K4" s="22" t="n"/>
      <c r="L4" s="23" t="n"/>
      <c r="M4" s="215" t="inlineStr">
        <is>
          <t>Réseau local → exutoire P12 / PUB</t>
        </is>
      </c>
      <c r="P4" s="236" t="n"/>
      <c r="Q4" s="26" t="inlineStr">
        <is>
          <t>Récurence</t>
        </is>
      </c>
      <c r="R4" s="240" t="inlineStr">
        <is>
          <t>A</t>
        </is>
      </c>
      <c r="S4" s="26" t="inlineStr">
        <is>
          <t>B</t>
        </is>
      </c>
      <c r="T4" s="28" t="inlineStr">
        <is>
          <t>C</t>
        </is>
      </c>
      <c r="Y4" s="206" t="n"/>
      <c r="AA4" s="24" t="n"/>
    </row>
    <row r="5" ht="22.5" customHeight="1" s="227">
      <c r="A5" s="19" t="n"/>
      <c r="F5" s="29" t="n"/>
      <c r="G5" s="29" t="n"/>
      <c r="H5" s="241" t="n"/>
      <c r="I5" s="241" t="n"/>
      <c r="J5" s="21" t="n"/>
      <c r="K5" s="22" t="n"/>
      <c r="L5" s="23" t="n"/>
      <c r="Q5" s="31" t="inlineStr">
        <is>
          <t>1/2 ans</t>
        </is>
      </c>
      <c r="R5" s="32" t="n">
        <v>603.83</v>
      </c>
      <c r="S5" s="33" t="n">
        <v>6.2</v>
      </c>
      <c r="T5" s="34" t="n">
        <v>0.794</v>
      </c>
      <c r="Z5" s="35" t="n"/>
      <c r="AA5" s="36" t="n"/>
    </row>
    <row r="6" ht="22.5" customHeight="1" s="227">
      <c r="A6" s="19" t="n"/>
      <c r="F6" s="29" t="n"/>
      <c r="G6" s="29" t="n"/>
      <c r="H6" s="241" t="n"/>
      <c r="I6" s="241" t="n"/>
      <c r="J6" s="21" t="n"/>
      <c r="K6" s="22" t="n"/>
      <c r="L6" s="23" t="n"/>
      <c r="Q6" s="31" t="inlineStr">
        <is>
          <t>1/5 ans</t>
        </is>
      </c>
      <c r="R6" s="32" t="n">
        <v>509.21</v>
      </c>
      <c r="S6" s="33" t="n">
        <v>3.7</v>
      </c>
      <c r="T6" s="34" t="n">
        <v>0.6830000000000001</v>
      </c>
      <c r="Z6" s="35" t="n"/>
      <c r="AA6" s="36" t="n"/>
    </row>
    <row r="7" ht="22.5" customHeight="1" s="227">
      <c r="A7" s="19" t="n"/>
      <c r="F7" s="29" t="n"/>
      <c r="G7" s="29" t="n"/>
      <c r="H7" s="241" t="n"/>
      <c r="I7" s="241" t="n"/>
      <c r="J7" s="21" t="n"/>
      <c r="K7" s="22" t="n"/>
      <c r="L7" s="23" t="n"/>
      <c r="Q7" s="31" t="inlineStr">
        <is>
          <t>1/10 ans</t>
        </is>
      </c>
      <c r="R7" s="32" t="n">
        <v>508.07</v>
      </c>
      <c r="S7" s="33" t="n">
        <v>2.9</v>
      </c>
      <c r="T7" s="34" t="n">
        <v>0.644</v>
      </c>
      <c r="Z7" s="35" t="n"/>
      <c r="AA7" s="36" t="n"/>
    </row>
    <row r="8" ht="22.5" customHeight="1" s="227">
      <c r="A8" s="19" t="n"/>
      <c r="F8" s="29" t="n"/>
      <c r="G8" s="29" t="n"/>
      <c r="H8" s="241" t="n"/>
      <c r="I8" s="241" t="n"/>
      <c r="J8" s="21" t="n"/>
      <c r="K8" s="22" t="n"/>
      <c r="L8" s="23" t="n"/>
      <c r="Q8" s="31" t="inlineStr">
        <is>
          <t>1/25 ans</t>
        </is>
      </c>
      <c r="R8" s="32" t="n">
        <v>515.88</v>
      </c>
      <c r="S8" s="33" t="n">
        <v>2.1</v>
      </c>
      <c r="T8" s="34" t="n">
        <v>0.607</v>
      </c>
      <c r="Z8" s="35" t="n"/>
      <c r="AA8" s="36" t="n"/>
    </row>
    <row r="9" ht="22.5" customHeight="1" s="227">
      <c r="A9" s="19" t="n"/>
      <c r="F9" s="29" t="n"/>
      <c r="G9" s="29" t="n"/>
      <c r="H9" s="241" t="n"/>
      <c r="I9" s="241" t="n"/>
      <c r="J9" s="21" t="n"/>
      <c r="K9" s="22" t="n"/>
      <c r="L9" s="23" t="n"/>
      <c r="Q9" s="31" t="inlineStr">
        <is>
          <t>1/50 ans</t>
        </is>
      </c>
      <c r="R9" s="32" t="n">
        <v>548.6</v>
      </c>
      <c r="S9" s="33" t="n">
        <v>1.9</v>
      </c>
      <c r="T9" s="34" t="n">
        <v>0.595</v>
      </c>
      <c r="Z9" s="35" t="n"/>
      <c r="AA9" s="36" t="n"/>
    </row>
    <row r="10" ht="22.5" customHeight="1" s="227">
      <c r="A10" s="19" t="n"/>
      <c r="F10" s="29" t="n"/>
      <c r="G10" s="29" t="n"/>
      <c r="H10" s="241" t="n"/>
      <c r="I10" s="241" t="n"/>
      <c r="J10" s="21" t="n"/>
      <c r="K10" s="22" t="n"/>
      <c r="L10" s="23" t="n"/>
      <c r="Q10" s="31" t="inlineStr">
        <is>
          <t>1/100 ans</t>
        </is>
      </c>
      <c r="R10" s="32" t="n">
        <v>569.21</v>
      </c>
      <c r="S10" s="33" t="n">
        <v>1.6</v>
      </c>
      <c r="T10" s="34" t="n">
        <v>0.579</v>
      </c>
      <c r="Z10" s="35" t="n"/>
      <c r="AA10" s="36" t="n"/>
    </row>
    <row r="11" ht="22.5" customHeight="1" s="227">
      <c r="A11" s="37" t="n"/>
      <c r="B11" s="38" t="n"/>
      <c r="C11" s="38" t="n"/>
      <c r="D11" s="38" t="n"/>
      <c r="E11" s="38" t="n"/>
      <c r="F11" s="39" t="n"/>
      <c r="G11" s="38" t="n"/>
      <c r="H11" s="38" t="n"/>
      <c r="I11" s="38" t="n"/>
      <c r="J11" s="40" t="n"/>
      <c r="K11" s="41" t="n"/>
      <c r="L11" s="42" t="n"/>
      <c r="M11" s="38" t="n"/>
      <c r="N11" s="38" t="n"/>
      <c r="O11" s="38" t="n"/>
      <c r="P11" s="38" t="n"/>
      <c r="Q11" s="43" t="n"/>
      <c r="R11" s="44" t="inlineStr">
        <is>
          <t>Coefficient de Manning:</t>
        </is>
      </c>
      <c r="S11" s="45" t="n">
        <v>0.013</v>
      </c>
      <c r="T11" s="46" t="n"/>
      <c r="U11" s="38" t="n"/>
      <c r="V11" s="47" t="n"/>
      <c r="W11" s="48" t="n"/>
      <c r="X11" s="38" t="n"/>
      <c r="Y11" s="49" t="n"/>
      <c r="Z11" s="50" t="n"/>
      <c r="AA11" s="51" t="n"/>
    </row>
    <row r="12" ht="42" customFormat="1" customHeight="1" s="22">
      <c r="A12" s="216" t="inlineStr">
        <is>
          <t>Calcul du débit</t>
        </is>
      </c>
      <c r="B12" s="232" t="n"/>
      <c r="C12" s="232" t="n"/>
      <c r="D12" s="232" t="n"/>
      <c r="E12" s="232" t="n"/>
      <c r="F12" s="232" t="n"/>
      <c r="G12" s="232" t="n"/>
      <c r="H12" s="232" t="n"/>
      <c r="I12" s="232" t="n"/>
      <c r="J12" s="232" t="n"/>
      <c r="K12" s="232" t="n"/>
      <c r="L12" s="233" t="n"/>
      <c r="M12" s="217" t="inlineStr">
        <is>
          <t>Calcul des caractéristiques
de la conduite</t>
        </is>
      </c>
      <c r="N12" s="232" t="n"/>
      <c r="O12" s="232" t="n"/>
      <c r="P12" s="232" t="n"/>
      <c r="Q12" s="232" t="n"/>
      <c r="R12" s="233" t="n"/>
      <c r="S12" s="218" t="inlineStr">
        <is>
          <t>Niveau du sol</t>
        </is>
      </c>
      <c r="T12" s="242" t="n"/>
      <c r="U12" s="210" t="inlineStr">
        <is>
          <t>Hauteur
de radier</t>
        </is>
      </c>
      <c r="V12" s="243" t="n"/>
      <c r="W12" s="211" t="inlineStr">
        <is>
          <t>Couverture</t>
        </is>
      </c>
      <c r="X12" s="232" t="n"/>
      <c r="Y12" s="212" t="inlineStr">
        <is>
          <t>Volume retenu dans les conduites</t>
        </is>
      </c>
      <c r="Z12" s="244" t="n"/>
      <c r="AA12" s="245" t="n"/>
    </row>
    <row r="13" ht="189" customFormat="1" customHeight="1" s="65">
      <c r="A13" s="213" t="inlineStr">
        <is>
          <t>Tronçon de conduite</t>
        </is>
      </c>
      <c r="B13" s="246" t="n"/>
      <c r="C13" s="247" t="n"/>
      <c r="D13" s="52" t="inlineStr">
        <is>
          <t>Temps de concentration</t>
        </is>
      </c>
      <c r="E13" s="53" t="inlineStr">
        <is>
          <t>Accroissement (DA)
de l'aire à desservir</t>
        </is>
      </c>
      <c r="F13" s="53" t="inlineStr">
        <is>
          <t>Coefficient de 
ruissellement de DA</t>
        </is>
      </c>
      <c r="G13" s="52" t="inlineStr">
        <is>
          <t>Aire imperméables de DA</t>
        </is>
      </c>
      <c r="H13" s="52" t="inlineStr">
        <is>
          <t>Aire cumulative</t>
        </is>
      </c>
      <c r="I13" s="52" t="inlineStr">
        <is>
          <t>Aire imperméable cumulative</t>
        </is>
      </c>
      <c r="J13" s="53" t="inlineStr">
        <is>
          <t>Coefficient de 
ruissellement de A</t>
        </is>
      </c>
      <c r="K13" s="54" t="inlineStr">
        <is>
          <t>Intensité de précipitation</t>
        </is>
      </c>
      <c r="L13" s="55" t="inlineStr">
        <is>
          <t>Débit maximal = 2,75 x 10-3 AIR</t>
        </is>
      </c>
      <c r="M13" s="56" t="inlineStr">
        <is>
          <t>Pente de la conduite</t>
        </is>
      </c>
      <c r="N13" s="57" t="inlineStr">
        <is>
          <t>Diamètre nominal de la conduite</t>
        </is>
      </c>
      <c r="O13" s="58" t="inlineStr">
        <is>
          <t>Vitesse d'écoulement dans la
conduite coulant à plein débit</t>
        </is>
      </c>
      <c r="P13" s="59" t="inlineStr">
        <is>
          <t>Longueur de la conduite</t>
        </is>
      </c>
      <c r="Q13" s="60" t="inlineStr">
        <is>
          <t>Temps d'écoulement
dans la conduite (L/v)</t>
        </is>
      </c>
      <c r="R13" s="61" t="inlineStr">
        <is>
          <t>Capacité hydraulique de la
conduite coulant à plein débit</t>
        </is>
      </c>
      <c r="S13" s="59" t="inlineStr">
        <is>
          <t>Amont</t>
        </is>
      </c>
      <c r="T13" s="59" t="inlineStr">
        <is>
          <t>Aval</t>
        </is>
      </c>
      <c r="U13" s="59" t="inlineStr">
        <is>
          <t>Amont</t>
        </is>
      </c>
      <c r="V13" s="62" t="inlineStr">
        <is>
          <t>Aval</t>
        </is>
      </c>
      <c r="W13" s="59" t="inlineStr">
        <is>
          <t>Amont</t>
        </is>
      </c>
      <c r="X13" s="59" t="inlineStr">
        <is>
          <t>Aval</t>
        </is>
      </c>
      <c r="Y13" s="59" t="inlineStr">
        <is>
          <t>Conduites</t>
        </is>
      </c>
      <c r="Z13" s="60" t="inlineStr">
        <is>
          <t>Diamètre de 
la bouche d'égouts</t>
        </is>
      </c>
      <c r="AA13" s="63" t="inlineStr">
        <is>
          <t>Volume de la bouche d'égouts</t>
        </is>
      </c>
      <c r="AB13" s="64" t="inlineStr">
        <is>
          <t>Vérification de la capacité
de la conduite Qp &gt; Qmax</t>
        </is>
      </c>
      <c r="AC13" s="65" t="inlineStr">
        <is>
          <t>Pipe_ID (réf.)</t>
        </is>
      </c>
    </row>
    <row r="14" ht="20.25" customFormat="1" customHeight="1" s="67">
      <c r="A14" s="66" t="n"/>
      <c r="C14" s="68" t="n"/>
      <c r="D14" s="68" t="inlineStr">
        <is>
          <t>tc</t>
        </is>
      </c>
      <c r="E14" s="68" t="inlineStr">
        <is>
          <t>DA</t>
        </is>
      </c>
      <c r="F14" s="68" t="inlineStr">
        <is>
          <t>RT</t>
        </is>
      </c>
      <c r="G14" s="68" t="inlineStr">
        <is>
          <t>DART</t>
        </is>
      </c>
      <c r="H14" s="68" t="inlineStr">
        <is>
          <t>A</t>
        </is>
      </c>
      <c r="I14" s="68" t="inlineStr">
        <is>
          <t>AR</t>
        </is>
      </c>
      <c r="J14" s="68" t="inlineStr">
        <is>
          <t>R</t>
        </is>
      </c>
      <c r="K14" s="69" t="inlineStr">
        <is>
          <t>I</t>
        </is>
      </c>
      <c r="L14" s="70" t="inlineStr">
        <is>
          <t>Qmax</t>
        </is>
      </c>
      <c r="M14" s="71" t="inlineStr">
        <is>
          <t>s</t>
        </is>
      </c>
      <c r="N14" s="68" t="inlineStr">
        <is>
          <t>dnom</t>
        </is>
      </c>
      <c r="O14" s="72" t="inlineStr">
        <is>
          <t>v</t>
        </is>
      </c>
      <c r="P14" s="68" t="inlineStr">
        <is>
          <t>L</t>
        </is>
      </c>
      <c r="Q14" s="68" t="inlineStr">
        <is>
          <t>tf</t>
        </is>
      </c>
      <c r="R14" s="73" t="inlineStr">
        <is>
          <t>Qp</t>
        </is>
      </c>
      <c r="S14" s="68" t="n"/>
      <c r="T14" s="68" t="n"/>
      <c r="U14" s="68" t="n"/>
      <c r="V14" s="74" t="n"/>
      <c r="W14" s="75" t="n"/>
      <c r="X14" s="72" t="n"/>
      <c r="Y14" s="72" t="n"/>
      <c r="Z14" s="76" t="n"/>
      <c r="AA14" s="77" t="n"/>
      <c r="AC14" s="67" t="inlineStr">
        <is>
          <t>ID</t>
        </is>
      </c>
    </row>
    <row r="15" ht="18" customFormat="1" customHeight="1" s="90">
      <c r="A15" s="78" t="n"/>
      <c r="B15" s="79" t="n"/>
      <c r="C15" s="80" t="n"/>
      <c r="D15" s="80" t="inlineStr">
        <is>
          <t>(min)</t>
        </is>
      </c>
      <c r="E15" s="80" t="inlineStr">
        <is>
          <t>(ha)</t>
        </is>
      </c>
      <c r="F15" s="80" t="n"/>
      <c r="G15" s="80" t="inlineStr">
        <is>
          <t>(ha)</t>
        </is>
      </c>
      <c r="H15" s="80" t="inlineStr">
        <is>
          <t>(ha)</t>
        </is>
      </c>
      <c r="I15" s="80" t="inlineStr">
        <is>
          <t>(ha)</t>
        </is>
      </c>
      <c r="J15" s="80" t="n"/>
      <c r="K15" s="81" t="inlineStr">
        <is>
          <t>(mm/h)</t>
        </is>
      </c>
      <c r="L15" s="82" t="inlineStr">
        <is>
          <t>(m3/s)</t>
        </is>
      </c>
      <c r="M15" s="83" t="inlineStr">
        <is>
          <t>(m/m)</t>
        </is>
      </c>
      <c r="N15" s="80" t="inlineStr">
        <is>
          <t>(mm)</t>
        </is>
      </c>
      <c r="O15" s="84" t="inlineStr">
        <is>
          <t>(m/s)</t>
        </is>
      </c>
      <c r="P15" s="80" t="inlineStr">
        <is>
          <t>(m)</t>
        </is>
      </c>
      <c r="Q15" s="80" t="inlineStr">
        <is>
          <t>(min)</t>
        </is>
      </c>
      <c r="R15" s="85" t="inlineStr">
        <is>
          <t>(m3/s)</t>
        </is>
      </c>
      <c r="S15" s="80" t="inlineStr">
        <is>
          <t>(m)</t>
        </is>
      </c>
      <c r="T15" s="80" t="inlineStr">
        <is>
          <t>(m)</t>
        </is>
      </c>
      <c r="U15" s="80" t="inlineStr">
        <is>
          <t>(m)</t>
        </is>
      </c>
      <c r="V15" s="86" t="inlineStr">
        <is>
          <t>(m)</t>
        </is>
      </c>
      <c r="W15" s="87" t="inlineStr">
        <is>
          <t>(m)</t>
        </is>
      </c>
      <c r="X15" s="88" t="inlineStr">
        <is>
          <t>(m)</t>
        </is>
      </c>
      <c r="Y15" s="88" t="inlineStr">
        <is>
          <t>(m3)</t>
        </is>
      </c>
      <c r="Z15" s="84" t="inlineStr">
        <is>
          <t>(m)</t>
        </is>
      </c>
      <c r="AA15" s="89" t="inlineStr">
        <is>
          <t>(m3)</t>
        </is>
      </c>
      <c r="AC15" s="90" t="inlineStr">
        <is>
          <t>-</t>
        </is>
      </c>
    </row>
    <row r="16" ht="22.5" customHeight="1" s="227">
      <c r="A16" s="91" t="n"/>
      <c r="B16" s="92" t="n"/>
      <c r="C16" s="93" t="n"/>
      <c r="D16" s="94" t="n"/>
      <c r="E16" s="94" t="n"/>
      <c r="F16" s="94" t="n"/>
      <c r="G16" s="94" t="n"/>
      <c r="H16" s="94" t="n"/>
      <c r="I16" s="94" t="n"/>
      <c r="J16" s="94" t="n"/>
      <c r="K16" s="95" t="n"/>
      <c r="L16" s="96" t="n"/>
      <c r="M16" s="97" t="n"/>
      <c r="N16" s="94" t="n"/>
      <c r="O16" s="98" t="n"/>
      <c r="P16" s="94" t="n"/>
      <c r="Q16" s="94" t="n"/>
      <c r="R16" s="99" t="n"/>
      <c r="S16" s="100" t="n"/>
      <c r="T16" s="93" t="n"/>
      <c r="U16" s="94" t="n"/>
      <c r="V16" s="101" t="n"/>
      <c r="X16" s="102" t="n"/>
      <c r="Z16" s="102" t="n"/>
      <c r="AA16" s="24" t="n"/>
      <c r="AC16" s="103" t="n"/>
    </row>
    <row r="17" ht="22.5" customHeight="1" s="227">
      <c r="A17" s="104" t="inlineStr">
        <is>
          <t>Tronçons (amont → aval) — modif Olivier: P01→J01, P02→J01 (1.4 m), J01→RP03</t>
        </is>
      </c>
      <c r="B17" s="92" t="n"/>
      <c r="C17" s="93" t="n"/>
      <c r="D17" s="94" t="n"/>
      <c r="E17" s="94" t="n"/>
      <c r="F17" s="94" t="n"/>
      <c r="G17" s="94" t="n"/>
      <c r="H17" s="94" t="n"/>
      <c r="I17" s="94" t="n"/>
      <c r="J17" s="94" t="n"/>
      <c r="K17" s="95" t="n"/>
      <c r="L17" s="96" t="n"/>
      <c r="M17" s="97" t="n"/>
      <c r="N17" s="94" t="n"/>
      <c r="O17" s="98" t="n"/>
      <c r="P17" s="94" t="n"/>
      <c r="Q17" s="94" t="n"/>
      <c r="R17" s="99" t="n"/>
      <c r="S17" s="100" t="n"/>
      <c r="T17" s="93" t="n"/>
      <c r="U17" s="94" t="n"/>
      <c r="V17" s="101" t="n"/>
      <c r="W17" s="105" t="n"/>
      <c r="X17" s="95" t="n"/>
      <c r="Y17" s="95" t="n"/>
      <c r="Z17" s="95" t="n"/>
      <c r="AA17" s="106" t="n"/>
    </row>
    <row r="18" ht="22.5" customHeight="1" s="227">
      <c r="A18" s="107" t="inlineStr">
        <is>
          <t>P09</t>
        </is>
      </c>
      <c r="B18" s="107" t="inlineStr">
        <is>
          <t>@</t>
        </is>
      </c>
      <c r="C18" s="107" t="inlineStr">
        <is>
          <t>P06</t>
        </is>
      </c>
      <c r="D18" s="108">
        <f>'Temps de concentration'!B7</f>
        <v/>
      </c>
      <c r="E18" s="109" t="n">
        <v>0.0447</v>
      </c>
      <c r="F18" s="110" t="n">
        <v>0.425</v>
      </c>
      <c r="G18" s="111">
        <f>E18*F18</f>
        <v/>
      </c>
      <c r="H18" s="111">
        <f>E18</f>
        <v/>
      </c>
      <c r="I18" s="111">
        <f>G18</f>
        <v/>
      </c>
      <c r="J18" s="112">
        <f>IF(H18=0,0,I18/H18)</f>
        <v/>
      </c>
      <c r="K18" s="108">
        <f>IF($S$2=0.5,$R$5/((D18+$S$5)^$T$5),IF($S$2=0.2,$R$6/((D18+$S$6)^$T$6),IF($S$2=0.1,$R$7/((D18+$S$7)^$T$7),IF($S$2=0.04,$R$8/((D18+$S$8)^$T$8),IF($S$2=0.02,$R$9/((D18+$S$9)^$T$9),$R$10/((D18+$S$10)^$T$10))))))</f>
        <v/>
      </c>
      <c r="L18" s="112">
        <f>0.00275*H18*J18*K18</f>
        <v/>
      </c>
      <c r="M18" s="109" t="n">
        <v>0.0306</v>
      </c>
      <c r="N18" s="113" t="n">
        <v>200</v>
      </c>
      <c r="O18" s="108">
        <f>IF(OR(N18&lt;=0,M18&lt;=0),0,((N18/4000)^(2/3)*SQRT(M18))/$S$11)</f>
        <v/>
      </c>
      <c r="P18" s="248" t="n">
        <v>17.458</v>
      </c>
      <c r="Q18" s="108">
        <f>IF(O18=0,0,P18/(O18*60))</f>
        <v/>
      </c>
      <c r="R18" s="112">
        <f>O18*(PI()*(N18/1000)^2/4)</f>
        <v/>
      </c>
      <c r="S18" s="114" t="n"/>
      <c r="T18" s="114" t="n"/>
      <c r="U18" s="231">
        <f>V18+(M18*P18)</f>
        <v/>
      </c>
      <c r="V18" s="231">
        <f>U19</f>
        <v/>
      </c>
      <c r="W18" s="112" t="n"/>
      <c r="X18" s="112" t="n"/>
      <c r="Y18" s="112">
        <f>P18*PI()*(N18/1000)^2/4</f>
        <v/>
      </c>
      <c r="Z18" s="95" t="n"/>
      <c r="AA18" s="115" t="n"/>
      <c r="AB18" s="116">
        <f>IF(R18&gt;L18,"OK","AUGMENTER D")</f>
        <v/>
      </c>
      <c r="AC18" s="117" t="inlineStr">
        <is>
          <t>L06_P09_P06</t>
        </is>
      </c>
    </row>
    <row r="19" ht="22.5" customHeight="1" s="227">
      <c r="A19" s="107" t="inlineStr">
        <is>
          <t>P07</t>
        </is>
      </c>
      <c r="B19" s="107" t="inlineStr">
        <is>
          <t>@</t>
        </is>
      </c>
      <c r="C19" s="107" t="inlineStr">
        <is>
          <t>P06</t>
        </is>
      </c>
      <c r="D19" s="108">
        <f>MAX('Temps de concentration'!C7, D18+Q18)</f>
        <v/>
      </c>
      <c r="E19" s="109" t="n">
        <v>0.0442</v>
      </c>
      <c r="F19" s="110" t="n">
        <v>0.765</v>
      </c>
      <c r="G19" s="111">
        <f>E19*F19</f>
        <v/>
      </c>
      <c r="H19" s="111">
        <f>H18+E19</f>
        <v/>
      </c>
      <c r="I19" s="111">
        <f>I18+G19</f>
        <v/>
      </c>
      <c r="J19" s="112">
        <f>IF(H19=0,0,I19/H19)</f>
        <v/>
      </c>
      <c r="K19" s="108">
        <f>IF($S$2=0.5,$R$5/((D19+$S$5)^$T$5),IF($S$2=0.2,$R$6/((D19+$S$6)^$T$6),IF($S$2=0.1,$R$7/((D19+$S$7)^$T$7),IF($S$2=0.04,$R$8/((D19+$S$8)^$T$8),IF($S$2=0.02,$R$9/((D19+$S$9)^$T$9),$R$10/((D19+$S$10)^$T$10))))))</f>
        <v/>
      </c>
      <c r="L19" s="112">
        <f>0.00275*H19*J19*K19</f>
        <v/>
      </c>
      <c r="M19" s="109" t="n">
        <v>0.01</v>
      </c>
      <c r="N19" s="113" t="n">
        <v>200</v>
      </c>
      <c r="O19" s="108">
        <f>IF(OR(N19&lt;=0,M19&lt;=0),0,((N19/4000)^(2/3)*SQRT(M19))/$S$11)</f>
        <v/>
      </c>
      <c r="P19" s="248" t="n">
        <v>12.477</v>
      </c>
      <c r="Q19" s="108">
        <f>IF(O19=0,0,P19/(O19*60))</f>
        <v/>
      </c>
      <c r="R19" s="112">
        <f>O19*(PI()*(N19/1000)^2/4)</f>
        <v/>
      </c>
      <c r="S19" s="114" t="n"/>
      <c r="T19" s="114" t="n"/>
      <c r="U19" s="231">
        <f>V19+(M19*P19)</f>
        <v/>
      </c>
      <c r="V19" s="231">
        <f>U20</f>
        <v/>
      </c>
      <c r="W19" s="112" t="n"/>
      <c r="X19" s="112" t="n"/>
      <c r="Y19" s="112">
        <f>P19*PI()*(N19/1000)^2/4</f>
        <v/>
      </c>
      <c r="Z19" s="95" t="n"/>
      <c r="AA19" s="115" t="n"/>
      <c r="AB19" s="116">
        <f>IF(R19&gt;L19,"OK","AUGMENTER D")</f>
        <v/>
      </c>
      <c r="AC19" s="117" t="inlineStr">
        <is>
          <t>L07_P07_P06</t>
        </is>
      </c>
    </row>
    <row r="20" ht="22.5" customHeight="1" s="227">
      <c r="A20" s="107" t="inlineStr">
        <is>
          <t>P06</t>
        </is>
      </c>
      <c r="B20" s="107" t="inlineStr">
        <is>
          <t>@</t>
        </is>
      </c>
      <c r="C20" s="107" t="inlineStr">
        <is>
          <t>P04</t>
        </is>
      </c>
      <c r="D20" s="108">
        <f>MAX('Temps de concentration'!D7, D19+Q19)</f>
        <v/>
      </c>
      <c r="E20" s="109" t="n">
        <v>0.0148</v>
      </c>
      <c r="F20" s="110" t="n">
        <v>0.6840000000000001</v>
      </c>
      <c r="G20" s="111">
        <f>E20*F20</f>
        <v/>
      </c>
      <c r="H20" s="111">
        <f>H19+E20</f>
        <v/>
      </c>
      <c r="I20" s="111">
        <f>I19+G20</f>
        <v/>
      </c>
      <c r="J20" s="112">
        <f>IF(H20=0,0,I20/H20)</f>
        <v/>
      </c>
      <c r="K20" s="108">
        <f>IF($S$2=0.5,$R$5/((D20+$S$5)^$T$5),IF($S$2=0.2,$R$6/((D20+$S$6)^$T$6),IF($S$2=0.1,$R$7/((D20+$S$7)^$T$7),IF($S$2=0.04,$R$8/((D20+$S$8)^$T$8),IF($S$2=0.02,$R$9/((D20+$S$9)^$T$9),$R$10/((D20+$S$10)^$T$10))))))</f>
        <v/>
      </c>
      <c r="L20" s="112">
        <f>0.00275*H20*J20*K20</f>
        <v/>
      </c>
      <c r="M20" s="109" t="n">
        <v>0.01</v>
      </c>
      <c r="N20" s="113" t="n">
        <v>200</v>
      </c>
      <c r="O20" s="108">
        <f>IF(OR(N20&lt;=0,M20&lt;=0),0,((N20/4000)^(2/3)*SQRT(M20))/$S$11)</f>
        <v/>
      </c>
      <c r="P20" s="248" t="n">
        <v>9.579000000000001</v>
      </c>
      <c r="Q20" s="108">
        <f>IF(O20=0,0,P20/(O20*60))</f>
        <v/>
      </c>
      <c r="R20" s="112">
        <f>O20*(PI()*(N20/1000)^2/4)</f>
        <v/>
      </c>
      <c r="S20" s="114" t="n"/>
      <c r="T20" s="114" t="n"/>
      <c r="U20" s="231">
        <f>V20+(M20*P20)</f>
        <v/>
      </c>
      <c r="V20" s="231">
        <f>U21</f>
        <v/>
      </c>
      <c r="W20" s="112" t="n"/>
      <c r="X20" s="112" t="n"/>
      <c r="Y20" s="112">
        <f>P20*PI()*(N20/1000)^2/4</f>
        <v/>
      </c>
      <c r="Z20" s="95" t="n"/>
      <c r="AA20" s="115" t="n"/>
      <c r="AB20" s="116">
        <f>IF(R20&gt;L20,"OK","AUGMENTER D")</f>
        <v/>
      </c>
      <c r="AC20" s="117" t="inlineStr">
        <is>
          <t>L08_P06_P04</t>
        </is>
      </c>
    </row>
    <row r="21" ht="22.5" customHeight="1" s="227">
      <c r="A21" s="107" t="inlineStr">
        <is>
          <t>P04</t>
        </is>
      </c>
      <c r="B21" s="107" t="inlineStr">
        <is>
          <t>@</t>
        </is>
      </c>
      <c r="C21" s="107" t="inlineStr">
        <is>
          <t>P01</t>
        </is>
      </c>
      <c r="D21" s="108">
        <f>MAX('Temps de concentration'!E7, D20+Q20)</f>
        <v/>
      </c>
      <c r="E21" s="109" t="n">
        <v>0.0095</v>
      </c>
      <c r="F21" s="110" t="n">
        <v>0.547</v>
      </c>
      <c r="G21" s="111">
        <f>E21*F21</f>
        <v/>
      </c>
      <c r="H21" s="111">
        <f>H20+E21</f>
        <v/>
      </c>
      <c r="I21" s="111">
        <f>I20+G21</f>
        <v/>
      </c>
      <c r="J21" s="112">
        <f>IF(H21=0,0,I21/H21)</f>
        <v/>
      </c>
      <c r="K21" s="108">
        <f>IF($S$2=0.5,$R$5/((D21+$S$5)^$T$5),IF($S$2=0.2,$R$6/((D21+$S$6)^$T$6),IF($S$2=0.1,$R$7/((D21+$S$7)^$T$7),IF($S$2=0.04,$R$8/((D21+$S$8)^$T$8),IF($S$2=0.02,$R$9/((D21+$S$9)^$T$9),$R$10/((D21+$S$10)^$T$10))))))</f>
        <v/>
      </c>
      <c r="L21" s="112">
        <f>0.00275*H21*J21*K21</f>
        <v/>
      </c>
      <c r="M21" s="109" t="n">
        <v>0.01</v>
      </c>
      <c r="N21" s="113" t="n">
        <v>250</v>
      </c>
      <c r="O21" s="108">
        <f>IF(OR(N21&lt;=0,M21&lt;=0),0,((N21/4000)^(2/3)*SQRT(M21))/$S$11)</f>
        <v/>
      </c>
      <c r="P21" s="248" t="n">
        <v>13.317</v>
      </c>
      <c r="Q21" s="108">
        <f>IF(O21=0,0,P21/(O21*60))</f>
        <v/>
      </c>
      <c r="R21" s="112">
        <f>O21*(PI()*(N21/1000)^2/4)</f>
        <v/>
      </c>
      <c r="S21" s="114" t="n"/>
      <c r="T21" s="114" t="n"/>
      <c r="U21" s="231">
        <f>V21+(M21*P21)</f>
        <v/>
      </c>
      <c r="V21" s="231">
        <f>U22</f>
        <v/>
      </c>
      <c r="W21" s="112" t="n"/>
      <c r="X21" s="112" t="n"/>
      <c r="Y21" s="112">
        <f>P21*PI()*(N21/1000)^2/4</f>
        <v/>
      </c>
      <c r="Z21" s="95" t="n"/>
      <c r="AA21" s="115" t="n"/>
      <c r="AB21" s="116">
        <f>IF(R21&gt;L21,"OK","AUGMENTER D")</f>
        <v/>
      </c>
      <c r="AC21" s="117" t="inlineStr">
        <is>
          <t>L09_P04_P01</t>
        </is>
      </c>
    </row>
    <row r="22" ht="22.5" customHeight="1" s="227">
      <c r="A22" s="107" t="inlineStr">
        <is>
          <t>P01</t>
        </is>
      </c>
      <c r="B22" s="107" t="inlineStr">
        <is>
          <t>@</t>
        </is>
      </c>
      <c r="C22" s="107" t="inlineStr">
        <is>
          <t>J01</t>
        </is>
      </c>
      <c r="D22" s="108">
        <f>MAX('Temps de concentration'!F7, D21+Q21)</f>
        <v/>
      </c>
      <c r="E22" s="109" t="n">
        <v>0.0257</v>
      </c>
      <c r="F22" s="110" t="n">
        <v>0.633</v>
      </c>
      <c r="G22" s="111">
        <f>E22*F22</f>
        <v/>
      </c>
      <c r="H22" s="111">
        <f>H21+E22</f>
        <v/>
      </c>
      <c r="I22" s="111">
        <f>I21+G22</f>
        <v/>
      </c>
      <c r="J22" s="112">
        <f>IF(H22=0,0,I22/H22)</f>
        <v/>
      </c>
      <c r="K22" s="108">
        <f>IF($S$2=0.5,$R$5/((D22+$S$5)^$T$5),IF($S$2=0.2,$R$6/((D22+$S$6)^$T$6),IF($S$2=0.1,$R$7/((D22+$S$7)^$T$7),IF($S$2=0.04,$R$8/((D22+$S$8)^$T$8),IF($S$2=0.02,$R$9/((D22+$S$9)^$T$9),$R$10/((D22+$S$10)^$T$10))))))</f>
        <v/>
      </c>
      <c r="L22" s="112">
        <f>0.00275*H22*J22*K22</f>
        <v/>
      </c>
      <c r="M22" s="109" t="n">
        <v>0.01</v>
      </c>
      <c r="N22" s="113" t="n">
        <v>250</v>
      </c>
      <c r="O22" s="108">
        <f>IF(OR(N22&lt;=0,M22&lt;=0),0,((N22/4000)^(2/3)*SQRT(M22))/$S$11)</f>
        <v/>
      </c>
      <c r="P22" s="248" t="n">
        <v>14.401</v>
      </c>
      <c r="Q22" s="108">
        <f>IF(O22=0,0,P22/(O22*60))</f>
        <v/>
      </c>
      <c r="R22" s="112">
        <f>O22*(PI()*(N22/1000)^2/4)</f>
        <v/>
      </c>
      <c r="S22" s="114" t="n"/>
      <c r="T22" s="114" t="n"/>
      <c r="U22" s="231">
        <f>V22+(M22*P22)</f>
        <v/>
      </c>
      <c r="V22" s="231">
        <f>U23</f>
        <v/>
      </c>
      <c r="W22" s="112" t="n"/>
      <c r="X22" s="112" t="n"/>
      <c r="Y22" s="112">
        <f>P22*PI()*(N22/1000)^2/4</f>
        <v/>
      </c>
      <c r="Z22" s="95" t="n"/>
      <c r="AA22" s="115" t="n"/>
      <c r="AB22" s="116">
        <f>IF(R22&gt;L22,"OK","AUGMENTER D")</f>
        <v/>
      </c>
      <c r="AC22" s="117" t="inlineStr">
        <is>
          <t>L01_P01_J01</t>
        </is>
      </c>
    </row>
    <row r="23" ht="22.5" customHeight="1" s="227">
      <c r="A23" s="107" t="inlineStr">
        <is>
          <t>P02</t>
        </is>
      </c>
      <c r="B23" s="107" t="inlineStr">
        <is>
          <t>@</t>
        </is>
      </c>
      <c r="C23" s="107" t="inlineStr">
        <is>
          <t>J01</t>
        </is>
      </c>
      <c r="D23" s="249">
        <f>'Temps de concentration'!G7</f>
        <v/>
      </c>
      <c r="E23" s="109" t="n">
        <v>0.0468</v>
      </c>
      <c r="F23" s="110" t="n">
        <v>0.642</v>
      </c>
      <c r="G23" s="111">
        <f>E23*F23</f>
        <v/>
      </c>
      <c r="H23" s="250">
        <f>E23</f>
        <v/>
      </c>
      <c r="I23" s="250">
        <f>G23</f>
        <v/>
      </c>
      <c r="J23" s="112">
        <f>IF(H23=0,0,I23/H23)</f>
        <v/>
      </c>
      <c r="K23" s="108">
        <f>IF($S$2=0.5,$R$5/((D23+$S$5)^$T$5),IF($S$2=0.2,$R$6/((D23+$S$6)^$T$6),IF($S$2=0.1,$R$7/((D23+$S$7)^$T$7),IF($S$2=0.04,$R$8/((D23+$S$8)^$T$8),IF($S$2=0.02,$R$9/((D23+$S$9)^$T$9),$R$10/((D23+$S$10)^$T$10))))))</f>
        <v/>
      </c>
      <c r="L23" s="112">
        <f>0.00275*H23*J23*K23</f>
        <v/>
      </c>
      <c r="M23" s="109" t="n">
        <v>0.0114</v>
      </c>
      <c r="N23" s="113" t="n">
        <v>250</v>
      </c>
      <c r="O23" s="108">
        <f>IF(OR(N23&lt;=0,M23&lt;=0),0,((N23/4000)^(2/3)*SQRT(M23))/$S$11)</f>
        <v/>
      </c>
      <c r="P23" s="248" t="n">
        <v>1.4</v>
      </c>
      <c r="Q23" s="108">
        <f>IF(O23=0,0,P23/(O23*60))</f>
        <v/>
      </c>
      <c r="R23" s="112">
        <f>O23*(PI()*(N23/1000)^2/4)</f>
        <v/>
      </c>
      <c r="S23" s="114" t="n"/>
      <c r="T23" s="114" t="n"/>
      <c r="U23" s="231">
        <f>V23+(M23*P23)</f>
        <v/>
      </c>
      <c r="V23" s="231">
        <f>U24</f>
        <v/>
      </c>
      <c r="W23" s="112" t="n"/>
      <c r="X23" s="112" t="n"/>
      <c r="Y23" s="112">
        <f>P23*PI()*(N23/1000)^2/4</f>
        <v/>
      </c>
      <c r="Z23" s="95" t="n"/>
      <c r="AA23" s="115" t="n"/>
      <c r="AB23" s="116">
        <f>IF(R23&gt;L23,"OK","AUGMENTER D")</f>
        <v/>
      </c>
      <c r="AC23" s="117" t="inlineStr">
        <is>
          <t>L12_P02_J01</t>
        </is>
      </c>
    </row>
    <row r="24" ht="22.5" customHeight="1" s="227">
      <c r="A24" s="107" t="inlineStr">
        <is>
          <t>J01</t>
        </is>
      </c>
      <c r="B24" s="107" t="inlineStr">
        <is>
          <t>@</t>
        </is>
      </c>
      <c r="C24" s="107" t="inlineStr">
        <is>
          <t>RP03</t>
        </is>
      </c>
      <c r="D24" s="249">
        <f>MAX(D22+Q22, D23+Q23)</f>
        <v/>
      </c>
      <c r="E24" s="109" t="n">
        <v>0</v>
      </c>
      <c r="F24" s="110" t="n">
        <v>0.9</v>
      </c>
      <c r="G24" s="111">
        <f>E24*F24</f>
        <v/>
      </c>
      <c r="H24" s="250">
        <f>H22+H23+E24</f>
        <v/>
      </c>
      <c r="I24" s="250">
        <f>I22+I23+G24</f>
        <v/>
      </c>
      <c r="J24" s="112">
        <f>IF(H24=0,0,I24/H24)</f>
        <v/>
      </c>
      <c r="K24" s="108">
        <f>IF($S$2=0.5,$R$5/((D24+$S$5)^$T$5),IF($S$2=0.2,$R$6/((D24+$S$6)^$T$6),IF($S$2=0.1,$R$7/((D24+$S$7)^$T$7),IF($S$2=0.04,$R$8/((D24+$S$8)^$T$8),IF($S$2=0.02,$R$9/((D24+$S$9)^$T$9),$R$10/((D24+$S$10)^$T$10))))))</f>
        <v/>
      </c>
      <c r="L24" s="112">
        <f>0.00275*H24*J24*K24</f>
        <v/>
      </c>
      <c r="M24" s="109" t="n">
        <v>0.01</v>
      </c>
      <c r="N24" s="113" t="n">
        <v>250</v>
      </c>
      <c r="O24" s="108">
        <f>IF(OR(N24&lt;=0,M24&lt;=0),0,((N24/4000)^(2/3)*SQRT(M24))/$S$11)</f>
        <v/>
      </c>
      <c r="P24" s="248" t="n">
        <v>11.2</v>
      </c>
      <c r="Q24" s="108">
        <f>IF(O24=0,0,P24/(O24*60))</f>
        <v/>
      </c>
      <c r="R24" s="112">
        <f>O24*(PI()*(N24/1000)^2/4)</f>
        <v/>
      </c>
      <c r="S24" s="114" t="n"/>
      <c r="T24" s="114" t="n"/>
      <c r="U24" s="231">
        <f>V24+(M24*P24)</f>
        <v/>
      </c>
      <c r="V24" s="231">
        <f>U25</f>
        <v/>
      </c>
      <c r="W24" s="112" t="n"/>
      <c r="X24" s="112" t="n"/>
      <c r="Y24" s="112">
        <f>P24*PI()*(N24/1000)^2/4</f>
        <v/>
      </c>
      <c r="Z24" s="95" t="n"/>
      <c r="AA24" s="115" t="n"/>
      <c r="AB24" s="116">
        <f>IF(R24&gt;L24,"OK","AUGMENTER D")</f>
        <v/>
      </c>
      <c r="AC24" s="117" t="inlineStr">
        <is>
          <t>L02_J01_RP03</t>
        </is>
      </c>
    </row>
    <row r="25" ht="22.5" customHeight="1" s="227">
      <c r="A25" s="107" t="inlineStr">
        <is>
          <t>RP03</t>
        </is>
      </c>
      <c r="B25" s="107" t="inlineStr">
        <is>
          <t>@</t>
        </is>
      </c>
      <c r="C25" s="107" t="inlineStr">
        <is>
          <t>P10</t>
        </is>
      </c>
      <c r="D25" s="249">
        <f>D24+Q24</f>
        <v/>
      </c>
      <c r="E25" s="251" t="n">
        <v>0</v>
      </c>
      <c r="F25" s="252" t="n">
        <v>0.9</v>
      </c>
      <c r="G25" s="111">
        <f>E25*F25</f>
        <v/>
      </c>
      <c r="H25" s="250">
        <f>H24+E25</f>
        <v/>
      </c>
      <c r="I25" s="250">
        <f>I24+G25</f>
        <v/>
      </c>
      <c r="J25" s="112">
        <f>IF(H25=0,0,I25/H25)</f>
        <v/>
      </c>
      <c r="K25" s="108">
        <f>IF($S$2=0.5,$R$5/((D25+$S$5)^$T$5),IF($S$2=0.2,$R$6/((D25+$S$6)^$T$6),IF($S$2=0.1,$R$7/((D25+$S$7)^$T$7),IF($S$2=0.04,$R$8/((D25+$S$8)^$T$8),IF($S$2=0.02,$R$9/((D25+$S$9)^$T$9),$R$10/((D25+$S$10)^$T$10))))))</f>
        <v/>
      </c>
      <c r="L25" s="112">
        <f>0.00275*H25*J25*K25</f>
        <v/>
      </c>
      <c r="M25" s="109" t="n">
        <v>0.01</v>
      </c>
      <c r="N25" s="113" t="n">
        <v>300</v>
      </c>
      <c r="O25" s="108">
        <f>IF(OR(N25&lt;=0,M25&lt;=0),0,((N25/4000)^(2/3)*SQRT(M25))/$S$11)</f>
        <v/>
      </c>
      <c r="P25" s="248" t="n">
        <v>7.1</v>
      </c>
      <c r="Q25" s="108">
        <f>IF(O25=0,0,P25/(O25*60))</f>
        <v/>
      </c>
      <c r="R25" s="112">
        <f>O25*(PI()*(N25/1000)^2/4)</f>
        <v/>
      </c>
      <c r="S25" s="114" t="n"/>
      <c r="T25" s="114" t="n"/>
      <c r="U25" s="231">
        <f>V25+(M25*P25)</f>
        <v/>
      </c>
      <c r="V25" s="231">
        <f>U26</f>
        <v/>
      </c>
      <c r="W25" s="112" t="n"/>
      <c r="X25" s="112" t="n"/>
      <c r="Y25" s="112">
        <f>P25*PI()*(N25/1000)^2/4</f>
        <v/>
      </c>
      <c r="Z25" s="95" t="n"/>
      <c r="AA25" s="115" t="n"/>
      <c r="AB25" s="116">
        <f>IF(R25&gt;L25,"OK","AUGMENTER D")</f>
        <v/>
      </c>
      <c r="AC25" s="117" t="inlineStr">
        <is>
          <t>L03_RP03_P10</t>
        </is>
      </c>
    </row>
    <row r="26" ht="22.5" customHeight="1" s="227">
      <c r="A26" s="107" t="inlineStr">
        <is>
          <t>P10</t>
        </is>
      </c>
      <c r="B26" s="107" t="inlineStr">
        <is>
          <t>@</t>
        </is>
      </c>
      <c r="C26" s="107" t="inlineStr">
        <is>
          <t>P11</t>
        </is>
      </c>
      <c r="D26" s="249">
        <f>MAX('Temps de concentration'!H7, D25+Q25)</f>
        <v/>
      </c>
      <c r="E26" s="251" t="n">
        <v>0.09030000000000001</v>
      </c>
      <c r="F26" s="252" t="n">
        <v>0.95</v>
      </c>
      <c r="G26" s="250">
        <f>E26*F26</f>
        <v/>
      </c>
      <c r="H26" s="250">
        <f>H25+E26</f>
        <v/>
      </c>
      <c r="I26" s="250">
        <f>I25+G26</f>
        <v/>
      </c>
      <c r="J26" s="253">
        <f>IF(H26=0,0,I26/H26)</f>
        <v/>
      </c>
      <c r="K26" s="249">
        <f>IF($S$2=0.5,$R$5/((D26+$S$5)^$T$5),IF($S$2=0.2,$R$6/((D26+$S$6)^$T$6),IF($S$2=0.1,$R$7/((D26+$S$7)^$T$7),IF($S$2=0.04,$R$8/((D26+$S$8)^$T$8),IF($S$2=0.02,$R$9/((D26+$S$9)^$T$9),$R$10/((D26+$S$10)^$T$10))))))</f>
        <v/>
      </c>
      <c r="L26" s="253">
        <f>0.00275*H26*J26*K26</f>
        <v/>
      </c>
      <c r="M26" s="109" t="n">
        <v>0.0123</v>
      </c>
      <c r="N26" s="113" t="n">
        <v>300</v>
      </c>
      <c r="O26" s="249">
        <f>IF(OR(N26&lt;=0,M26&lt;=0),0,((N26/4000)^(2/3)*SQRT(M26))/$S$11)</f>
        <v/>
      </c>
      <c r="P26" s="248" t="n">
        <v>14.3</v>
      </c>
      <c r="Q26" s="249">
        <f>IF(O26=0,0,P26/(O26*60))</f>
        <v/>
      </c>
      <c r="R26" s="253">
        <f>O26*(PI()*(N26/1000)^2/4)</f>
        <v/>
      </c>
      <c r="S26" s="114" t="n"/>
      <c r="T26" s="114" t="n"/>
      <c r="U26" s="253">
        <f>V26+(M26*P26)</f>
        <v/>
      </c>
      <c r="V26" s="231">
        <f>U27</f>
        <v/>
      </c>
      <c r="W26" s="112" t="n"/>
      <c r="X26" s="112" t="n"/>
      <c r="Y26" s="253">
        <f>P26*PI()*(N26/1000)^2/4</f>
        <v/>
      </c>
      <c r="Z26" s="95" t="n"/>
      <c r="AA26" s="115" t="n"/>
      <c r="AB26" s="256">
        <f>IF(R26&gt;L26,"OK","AUGMENTER D")</f>
        <v/>
      </c>
      <c r="AC26" s="117" t="inlineStr">
        <is>
          <t>L10_P10_P11</t>
        </is>
      </c>
    </row>
    <row r="27" ht="22.5" customHeight="1" s="227">
      <c r="A27" s="107" t="inlineStr">
        <is>
          <t>P11</t>
        </is>
      </c>
      <c r="B27" s="107" t="inlineStr">
        <is>
          <t>@</t>
        </is>
      </c>
      <c r="C27" s="107" t="inlineStr">
        <is>
          <t>P12</t>
        </is>
      </c>
      <c r="D27" s="249">
        <f>MAX('Temps de concentration'!I7, D26+Q26)</f>
        <v/>
      </c>
      <c r="E27" s="251" t="n">
        <v>0.0498</v>
      </c>
      <c r="F27" s="252" t="n">
        <v>0.335</v>
      </c>
      <c r="G27" s="250">
        <f>E27*F27</f>
        <v/>
      </c>
      <c r="H27" s="250">
        <f>H26+E27</f>
        <v/>
      </c>
      <c r="I27" s="250">
        <f>I26+G27</f>
        <v/>
      </c>
      <c r="J27" s="253">
        <f>IF(H27=0,0,I27/H27)</f>
        <v/>
      </c>
      <c r="K27" s="249">
        <f>IF($S$2=0.5,$R$5/((D27+$S$5)^$T$5),IF($S$2=0.2,$R$6/((D27+$S$6)^$T$6),IF($S$2=0.1,$R$7/((D27+$S$7)^$T$7),IF($S$2=0.04,$R$8/((D27+$S$8)^$T$8),IF($S$2=0.02,$R$9/((D27+$S$9)^$T$9),$R$10/((D27+$S$10)^$T$10))))))</f>
        <v/>
      </c>
      <c r="L27" s="253">
        <f>0.00275*H27*J27*K27</f>
        <v/>
      </c>
      <c r="M27" s="251" t="n">
        <v>0.0123</v>
      </c>
      <c r="N27" s="254" t="n">
        <v>250</v>
      </c>
      <c r="O27" s="249">
        <f>IF(OR(N27&lt;=0,M27&lt;=0),0,((N27/4000)^(2/3)*SQRT(M27))/$S$11)</f>
        <v/>
      </c>
      <c r="P27" s="255" t="n">
        <v>10.9</v>
      </c>
      <c r="Q27" s="249">
        <f>IF(O27=0,0,P27/(O27*60))</f>
        <v/>
      </c>
      <c r="R27" s="253">
        <f>O27*(PI()*(N27/1000)^2/4)</f>
        <v/>
      </c>
      <c r="S27" s="114" t="n"/>
      <c r="T27" s="114" t="n"/>
      <c r="U27" s="253">
        <f>V27+(M27*P27)</f>
        <v/>
      </c>
      <c r="V27" s="231">
        <f>U28</f>
        <v/>
      </c>
      <c r="W27" s="112" t="n"/>
      <c r="X27" s="112" t="n"/>
      <c r="Y27" s="253">
        <f>P27*PI()*(N27/1000)^2/4</f>
        <v/>
      </c>
      <c r="Z27" s="95" t="n"/>
      <c r="AA27" s="115" t="n"/>
      <c r="AB27" s="256">
        <f>IF(R27&gt;L27,"OK","AUGMENTER D")</f>
        <v/>
      </c>
      <c r="AC27" s="117" t="inlineStr">
        <is>
          <t>L11_P11_P12</t>
        </is>
      </c>
    </row>
    <row r="28" ht="22.5" customHeight="1" s="227">
      <c r="A28" s="107" t="inlineStr">
        <is>
          <t>P12</t>
        </is>
      </c>
      <c r="B28" s="107" t="inlineStr">
        <is>
          <t>@</t>
        </is>
      </c>
      <c r="C28" s="107" t="inlineStr">
        <is>
          <t>PUB</t>
        </is>
      </c>
      <c r="D28" s="249">
        <f>D27+Q27</f>
        <v/>
      </c>
      <c r="E28" s="251" t="n">
        <v>0</v>
      </c>
      <c r="F28" s="252" t="n">
        <v>0.9</v>
      </c>
      <c r="G28" s="250">
        <f>E28*F28</f>
        <v/>
      </c>
      <c r="H28" s="250">
        <f>H27+E28</f>
        <v/>
      </c>
      <c r="I28" s="250">
        <f>I27+G28</f>
        <v/>
      </c>
      <c r="J28" s="253">
        <f>IF(H28=0,0,I28/H28)</f>
        <v/>
      </c>
      <c r="K28" s="249">
        <f>IF($S$2=0.5,$R$5/((D28+$S$5)^$T$5),IF($S$2=0.2,$R$6/((D28+$S$6)^$T$6),IF($S$2=0.1,$R$7/((D28+$S$7)^$T$7),IF($S$2=0.04,$R$8/((D28+$S$8)^$T$8),IF($S$2=0.02,$R$9/((D28+$S$9)^$T$9),$R$10/((D28+$S$10)^$T$10))))))</f>
        <v/>
      </c>
      <c r="L28" s="253">
        <f>0.00275*H28*J28*K28</f>
        <v/>
      </c>
      <c r="M28" s="251" t="n">
        <v>0.01</v>
      </c>
      <c r="N28" s="254" t="n">
        <v>300</v>
      </c>
      <c r="O28" s="249">
        <f>IF(OR(N28&lt;=0,M28&lt;=0),0,((N28/4000)^(2/3)*SQRT(M28))/$S$11)</f>
        <v/>
      </c>
      <c r="P28" s="255" t="n">
        <v>12.4</v>
      </c>
      <c r="Q28" s="249">
        <f>IF(O28=0,0,P28/(O28*60))</f>
        <v/>
      </c>
      <c r="R28" s="253">
        <f>O28*(PI()*(N28/1000)^2/4)</f>
        <v/>
      </c>
      <c r="S28" s="114" t="n"/>
      <c r="T28" s="114" t="n"/>
      <c r="U28" s="253">
        <f>V28+(M28*P28)</f>
        <v/>
      </c>
      <c r="V28" s="257" t="n">
        <v>15.305</v>
      </c>
      <c r="W28" s="112" t="n"/>
      <c r="X28" s="112" t="n"/>
      <c r="Y28" s="253">
        <f>P28*PI()*(N28/1000)^2/4</f>
        <v/>
      </c>
      <c r="Z28" s="95" t="n"/>
      <c r="AA28" s="115" t="n"/>
      <c r="AB28" s="256">
        <f>IF(R28&gt;L28,"OK","AUGMENTER D")</f>
        <v/>
      </c>
      <c r="AC28" s="117" t="inlineStr">
        <is>
          <t>L12_P12_PUB</t>
        </is>
      </c>
    </row>
    <row r="29" ht="22.5" customHeight="1" s="227">
      <c r="A29" s="128" t="inlineStr">
        <is>
          <t>INSTRUCTIONS / HYPOTHÈSES</t>
        </is>
      </c>
      <c r="B29" s="119" t="n"/>
      <c r="C29" s="120" t="n"/>
      <c r="D29" s="258" t="n"/>
      <c r="E29" s="122" t="n"/>
      <c r="F29" s="100" t="n"/>
      <c r="G29" s="122" t="n"/>
      <c r="H29" s="122" t="n"/>
      <c r="I29" s="122" t="n"/>
      <c r="J29" s="100" t="n"/>
      <c r="K29" s="100" t="n"/>
      <c r="L29" s="123" t="n"/>
      <c r="M29" s="124" t="n"/>
      <c r="N29" s="94" t="n"/>
      <c r="O29" s="125" t="n"/>
      <c r="P29" s="258" t="n"/>
      <c r="Q29" s="100" t="n"/>
      <c r="R29" s="123" t="n"/>
      <c r="S29" s="100" t="n"/>
      <c r="T29" s="100" t="n"/>
      <c r="U29" s="95" t="n"/>
      <c r="V29" s="126" t="n"/>
      <c r="W29" s="105" t="n"/>
      <c r="X29" s="95" t="n"/>
      <c r="Y29" s="95" t="n"/>
      <c r="Z29" s="95" t="n"/>
      <c r="AA29" s="115" t="n"/>
      <c r="AB29" s="127" t="n"/>
    </row>
    <row r="30" ht="22.5" customHeight="1" s="227">
      <c r="A30" s="208" t="inlineStr">
        <is>
          <t>Jaune = saisie; Vert = calculé automatiquement (Station Saint-Hubert).</t>
        </is>
      </c>
      <c r="B30" s="259" t="n"/>
      <c r="C30" s="259" t="n"/>
      <c r="D30" s="259" t="n"/>
      <c r="E30" s="259" t="n"/>
      <c r="F30" s="259" t="n"/>
      <c r="G30" s="259" t="n"/>
      <c r="H30" s="259" t="n"/>
      <c r="I30" s="259" t="n"/>
      <c r="J30" s="259" t="n"/>
      <c r="K30" s="259" t="n"/>
      <c r="L30" s="260" t="n"/>
      <c r="M30" s="124" t="n"/>
      <c r="N30" s="94" t="n"/>
      <c r="O30" s="125" t="n"/>
      <c r="P30" s="258" t="n"/>
      <c r="Q30" s="100" t="n"/>
      <c r="R30" s="123" t="n"/>
      <c r="S30" s="100" t="n"/>
      <c r="T30" s="100" t="n"/>
      <c r="U30" s="95" t="n"/>
      <c r="V30" s="126" t="n"/>
      <c r="W30" s="105" t="n"/>
      <c r="X30" s="95" t="n"/>
      <c r="Y30" s="95" t="n"/>
      <c r="Z30" s="95" t="n"/>
      <c r="AA30" s="115" t="n"/>
      <c r="AB30" s="127" t="n"/>
    </row>
    <row r="31" ht="22.5" customHeight="1" s="227">
      <c r="A31" s="207" t="inlineStr">
        <is>
          <t>Source données: Reseau_pluvial_dimensionnement_v1.xlsx (CB_plan aires, Conduites longueurs/topologie, Noeuds élévations, Inputs IDF/n/pente).</t>
        </is>
      </c>
      <c r="B31" s="259" t="n"/>
      <c r="C31" s="259" t="n"/>
      <c r="D31" s="259" t="n"/>
      <c r="E31" s="259" t="n"/>
      <c r="F31" s="259" t="n"/>
      <c r="G31" s="259" t="n"/>
      <c r="H31" s="259" t="n"/>
      <c r="I31" s="259" t="n"/>
      <c r="J31" s="259" t="n"/>
      <c r="K31" s="259" t="n"/>
      <c r="L31" s="260" t="n"/>
      <c r="M31" s="124" t="n"/>
      <c r="N31" s="94" t="n"/>
      <c r="O31" s="125" t="n"/>
      <c r="P31" s="258" t="n"/>
      <c r="Q31" s="100" t="n"/>
      <c r="R31" s="123" t="n"/>
      <c r="S31" s="100" t="n"/>
      <c r="T31" s="100" t="n"/>
      <c r="U31" s="95" t="n"/>
      <c r="V31" s="126" t="n"/>
      <c r="W31" s="105" t="n"/>
      <c r="X31" s="95" t="n"/>
      <c r="Y31" s="95" t="n"/>
      <c r="Z31" s="95" t="n"/>
      <c r="AA31" s="115" t="n"/>
      <c r="AB31" s="127" t="n"/>
    </row>
    <row r="32" ht="22.5" customHeight="1" s="227">
      <c r="A32" s="208" t="inlineStr">
        <is>
          <t>Qmax = 0.00275 × A(ha) × R × I   |   I = A/(tc+B)^C selon période S2 (défaut 1/10 ans).</t>
        </is>
      </c>
      <c r="B32" s="259" t="n"/>
      <c r="C32" s="259" t="n"/>
      <c r="D32" s="259" t="n"/>
      <c r="E32" s="259" t="n"/>
      <c r="F32" s="259" t="n"/>
      <c r="G32" s="259" t="n"/>
      <c r="H32" s="259" t="n"/>
      <c r="I32" s="259" t="n"/>
      <c r="J32" s="259" t="n"/>
      <c r="K32" s="259" t="n"/>
      <c r="L32" s="260" t="n"/>
      <c r="M32" s="124" t="n"/>
      <c r="N32" s="94" t="n"/>
      <c r="O32" s="125" t="n"/>
      <c r="P32" s="258" t="n"/>
      <c r="Q32" s="100" t="n"/>
      <c r="R32" s="123" t="n"/>
      <c r="S32" s="100" t="n"/>
      <c r="T32" s="100" t="n"/>
      <c r="U32" s="95" t="n"/>
      <c r="V32" s="126" t="n"/>
      <c r="W32" s="105" t="n"/>
      <c r="X32" s="95" t="n"/>
      <c r="Y32" s="95" t="n"/>
      <c r="Z32" s="95" t="n"/>
      <c r="AA32" s="115" t="n"/>
      <c r="AB32" s="127" t="n"/>
    </row>
    <row r="33" ht="22.5" customHeight="1" s="227">
      <c r="A33" s="207" t="inlineStr">
        <is>
          <t>v et Qp = Manning pleine section; n = S11 (0.013). Diamètre N est une suggestion — ajuster si AB = AUGMENTER D.</t>
        </is>
      </c>
      <c r="B33" s="259" t="n"/>
      <c r="C33" s="259" t="n"/>
      <c r="D33" s="259" t="n"/>
      <c r="E33" s="259" t="n"/>
      <c r="F33" s="259" t="n"/>
      <c r="G33" s="259" t="n"/>
      <c r="H33" s="259" t="n"/>
      <c r="I33" s="259" t="n"/>
      <c r="J33" s="259" t="n"/>
      <c r="K33" s="259" t="n"/>
      <c r="L33" s="260" t="n"/>
      <c r="M33" s="129" t="n"/>
      <c r="N33" s="94" t="n"/>
      <c r="O33" s="125" t="n"/>
      <c r="P33" s="258" t="n"/>
      <c r="Q33" s="100" t="n"/>
      <c r="R33" s="123" t="n"/>
      <c r="S33" s="100" t="n"/>
      <c r="T33" s="100" t="n"/>
      <c r="U33" s="100" t="n"/>
      <c r="V33" s="126" t="n"/>
      <c r="W33" s="105" t="n"/>
      <c r="X33" s="95" t="n"/>
      <c r="Y33" s="95" t="n"/>
      <c r="Z33" s="95" t="n"/>
      <c r="AA33" s="115" t="n"/>
      <c r="AC33" s="127" t="n"/>
    </row>
    <row r="34" ht="22.5" customHeight="1" s="227">
      <c r="A34" s="209" t="inlineStr">
        <is>
          <t>tc: temps d’entrée (Temps de concentration) puis cumul + temps de parcours Q=L/(v*60).</t>
        </is>
      </c>
      <c r="B34" s="244" t="n"/>
      <c r="C34" s="244" t="n"/>
      <c r="D34" s="244" t="n"/>
      <c r="E34" s="244" t="n"/>
      <c r="F34" s="244" t="n"/>
      <c r="G34" s="244" t="n"/>
      <c r="H34" s="244" t="n"/>
      <c r="I34" s="244" t="n"/>
      <c r="J34" s="244" t="n"/>
      <c r="K34" s="244" t="n"/>
      <c r="L34" s="245" t="n"/>
      <c r="M34" s="130" t="n"/>
      <c r="N34" s="80" t="n"/>
      <c r="O34" s="88" t="n"/>
      <c r="P34" s="261" t="n"/>
      <c r="Q34" s="81" t="n"/>
      <c r="R34" s="132" t="n"/>
      <c r="S34" s="81" t="n"/>
      <c r="T34" s="81" t="n"/>
      <c r="U34" s="81" t="n"/>
      <c r="V34" s="133" t="n"/>
      <c r="W34" s="134" t="n"/>
      <c r="X34" s="135" t="n"/>
      <c r="Y34" s="135" t="n"/>
      <c r="Z34" s="135" t="n"/>
      <c r="AA34" s="136" t="n"/>
      <c r="AC34" s="127" t="n"/>
    </row>
    <row r="35" ht="15" customHeight="1" s="227">
      <c r="A35" s="206" t="inlineStr">
        <is>
          <t>Radiers: calés depuis exutoire invert 15.305 m (Inputs), pente min 1%, chute regard 0.02 m.</t>
        </is>
      </c>
    </row>
    <row r="36" ht="15" customHeight="1" s="227">
      <c r="A36" s="206" t="inlineStr">
        <is>
          <t>Changer la période: modifier S2. H/I à J01 corrigé: branche P02→J01 = DA locale; fusion dans J01→RP03.</t>
        </is>
      </c>
      <c r="P36" s="203" t="n"/>
      <c r="Q36" s="206" t="inlineStr">
        <is>
          <t>Longueurs à compléter/valider par tech.</t>
        </is>
      </c>
    </row>
    <row r="37" ht="15" customHeight="1" s="227">
      <c r="A37" s="206" t="inlineStr">
        <is>
          <t>Cette feuille garde la logique simple demandée; le classeur v1 reste la référence détaillée.</t>
        </is>
      </c>
    </row>
    <row r="81" ht="15" customHeight="1" s="227">
      <c r="F81" s="206" t="inlineStr">
        <is>
          <t>*</t>
        </is>
      </c>
    </row>
    <row r="173" ht="15" customHeight="1" s="227">
      <c r="F173" s="206" t="inlineStr">
        <is>
          <t>,0,</t>
        </is>
      </c>
    </row>
  </sheetData>
  <mergeCells count="22">
    <mergeCell ref="S12:T12"/>
    <mergeCell ref="A37:L37"/>
    <mergeCell ref="H4:I4"/>
    <mergeCell ref="M2:P3"/>
    <mergeCell ref="A12:L12"/>
    <mergeCell ref="M12:R12"/>
    <mergeCell ref="F3:G3"/>
    <mergeCell ref="M4:P4"/>
    <mergeCell ref="A33:L33"/>
    <mergeCell ref="A32:L32"/>
    <mergeCell ref="Q3:T3"/>
    <mergeCell ref="Y12:AA12"/>
    <mergeCell ref="A35:L35"/>
    <mergeCell ref="F2:G2"/>
    <mergeCell ref="A13:C13"/>
    <mergeCell ref="U12:V12"/>
    <mergeCell ref="W12:X12"/>
    <mergeCell ref="A31:L31"/>
    <mergeCell ref="A34:L34"/>
    <mergeCell ref="A30:L30"/>
    <mergeCell ref="A36:L36"/>
    <mergeCell ref="A1:AA1"/>
  </mergeCells>
  <conditionalFormatting sqref="AB1:AB1048576">
    <cfRule type="containsText" priority="2" operator="containsText" dxfId="0" text="FAUX">
      <formula>NOT(ISERROR(SEARCH("FAUX",AB1)))</formula>
    </cfRule>
  </conditionalFormatting>
  <pageMargins left="0.315277777777778" right="0.236111111111111" top="0.551388888888889" bottom="0.432638888888889" header="0.511811023622047" footer="0.236111111111111"/>
  <pageSetup orientation="landscape" fitToHeight="3" horizontalDpi="300" verticalDpi="300"/>
  <headerFooter>
    <oddHeader/>
    <oddFooter>&amp;R&amp;"Arial,Regular"&amp;10 &amp;Z&amp;F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34"/>
  <sheetViews>
    <sheetView topLeftCell="A55" zoomScaleNormal="100" workbookViewId="0">
      <selection activeCell="H115" sqref="H115"/>
    </sheetView>
  </sheetViews>
  <sheetFormatPr baseColWidth="10" defaultColWidth="9" defaultRowHeight="15" customHeight="1"/>
  <cols>
    <col width="19.625" customWidth="1" style="227" min="1" max="1"/>
    <col width="9.875" customWidth="1" style="227" min="2" max="2"/>
    <col width="10" customWidth="1" style="227" min="4" max="4"/>
    <col width="12.75" customWidth="1" style="227" min="7" max="7"/>
    <col width="12" customWidth="1" style="227" min="15" max="15"/>
    <col width="22" customWidth="1" style="227" min="16" max="16"/>
    <col width="12" customWidth="1" style="227" min="17" max="18"/>
    <col width="10" customWidth="1" style="227" min="19" max="20"/>
    <col width="10" customWidth="1" style="137" min="21" max="21"/>
    <col width="10" customWidth="1" style="227" min="22" max="23"/>
  </cols>
  <sheetData>
    <row r="1" ht="15" customHeight="1" s="227">
      <c r="K1" s="138" t="inlineStr">
        <is>
          <t>Préparé par:</t>
        </is>
      </c>
      <c r="O1" s="228" t="inlineStr">
        <is>
          <t>DETAIL TRIBUTAIRES PAR CONDUITE</t>
        </is>
      </c>
    </row>
    <row r="2" ht="15" customHeight="1" s="227">
      <c r="K2" s="138" t="inlineStr">
        <is>
          <t>Vérifié par:</t>
        </is>
      </c>
      <c r="O2" s="226" t="inlineStr">
        <is>
          <t>Source CB_plan (v1). Résumé + détail zones. Tes notes L06/L07 plus bas sont conservées.</t>
        </is>
      </c>
    </row>
    <row r="3" ht="15.75" customHeight="1" s="227"/>
    <row r="4" ht="15" customHeight="1" s="227">
      <c r="A4" s="229" t="inlineStr">
        <is>
          <t>Paramètres</t>
        </is>
      </c>
      <c r="B4" s="230" t="inlineStr">
        <is>
          <t>Sous-bassins locaux (par conduite)</t>
        </is>
      </c>
      <c r="C4" s="232" t="n"/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3" t="n"/>
      <c r="N4" s="139" t="n"/>
      <c r="O4" s="140" t="inlineStr">
        <is>
          <t>RESUME</t>
        </is>
      </c>
      <c r="P4" s="139" t="n"/>
      <c r="Q4" s="139" t="n"/>
      <c r="R4" s="139" t="n"/>
      <c r="S4" s="139" t="n"/>
      <c r="T4" s="139" t="n"/>
    </row>
    <row r="5" ht="15" customHeight="1" s="227">
      <c r="A5" s="262" t="n"/>
      <c r="B5" s="141" t="inlineStr">
        <is>
          <t>L06</t>
        </is>
      </c>
      <c r="C5" s="142" t="inlineStr">
        <is>
          <t>L07</t>
        </is>
      </c>
      <c r="D5" s="142" t="inlineStr">
        <is>
          <t>L08</t>
        </is>
      </c>
      <c r="E5" s="142" t="inlineStr">
        <is>
          <t>L09</t>
        </is>
      </c>
      <c r="F5" s="142" t="inlineStr">
        <is>
          <t>L01</t>
        </is>
      </c>
      <c r="G5" s="142" t="inlineStr">
        <is>
          <t>L02</t>
        </is>
      </c>
      <c r="H5" s="142" t="inlineStr">
        <is>
          <t>L10</t>
        </is>
      </c>
      <c r="I5" s="142" t="inlineStr">
        <is>
          <t>L11</t>
        </is>
      </c>
      <c r="J5" s="143" t="n"/>
      <c r="K5" s="143" t="n"/>
      <c r="L5" s="143" t="n"/>
      <c r="M5" s="144" t="n"/>
      <c r="N5" s="145" t="n"/>
      <c r="O5" s="146" t="inlineStr">
        <is>
          <t>Pipe</t>
        </is>
      </c>
      <c r="P5" s="146" t="inlineStr">
        <is>
          <t>Zones tributaires</t>
        </is>
      </c>
      <c r="Q5" s="147" t="inlineStr">
        <is>
          <t>A total (m²)</t>
        </is>
      </c>
      <c r="R5" s="146" t="inlineStr">
        <is>
          <t>A_eff (m²)</t>
        </is>
      </c>
      <c r="S5" s="146" t="inlineStr">
        <is>
          <t>C pipe</t>
        </is>
      </c>
      <c r="T5" s="146" t="inlineStr">
        <is>
          <t>A (ha)</t>
        </is>
      </c>
      <c r="U5" s="139" t="n"/>
    </row>
    <row r="6" ht="15" customHeight="1" s="227">
      <c r="A6" s="148" t="inlineStr">
        <is>
          <t>Aire (ha)</t>
        </is>
      </c>
      <c r="B6" s="149" t="n">
        <v>0.044675</v>
      </c>
      <c r="C6" s="150" t="n">
        <v>0.044235</v>
      </c>
      <c r="D6" s="150" t="n">
        <v>0.01479</v>
      </c>
      <c r="E6" s="150" t="n">
        <v>0.00945</v>
      </c>
      <c r="F6" s="150" t="n">
        <v>0.02573</v>
      </c>
      <c r="G6" s="150" t="n">
        <v>0.046789</v>
      </c>
      <c r="H6" s="150" t="n">
        <v>0.09030000000000001</v>
      </c>
      <c r="I6" s="150" t="n">
        <v>0.049761</v>
      </c>
      <c r="J6" s="151" t="n"/>
      <c r="K6" s="151" t="n"/>
      <c r="L6" s="152" t="n"/>
      <c r="M6" s="153" t="n"/>
      <c r="N6" s="139" t="n"/>
      <c r="O6" s="154" t="inlineStr">
        <is>
          <t>L06</t>
        </is>
      </c>
      <c r="P6" s="155" t="inlineStr">
        <is>
          <t>J, M</t>
        </is>
      </c>
      <c r="Q6" s="156" t="n">
        <v>446.75</v>
      </c>
      <c r="R6" s="156" t="n">
        <v>189.75</v>
      </c>
      <c r="S6" s="157" t="n">
        <v>0.425</v>
      </c>
      <c r="T6" s="158" t="n">
        <v>0.0447</v>
      </c>
      <c r="U6" s="139" t="n"/>
    </row>
    <row r="7" ht="15" customHeight="1" s="227">
      <c r="A7" s="148" t="inlineStr">
        <is>
          <t>temps d'entrée (min.)</t>
        </is>
      </c>
      <c r="B7" s="159">
        <f>((2.187*B10*B11)/(B12)^0.5)^0.467</f>
        <v/>
      </c>
      <c r="C7" s="160">
        <f>((2.187*C10*C11)/(C12)^0.5)^0.467</f>
        <v/>
      </c>
      <c r="D7" s="160">
        <f>((2.187*D10*D11)/(D12)^0.5)^0.467</f>
        <v/>
      </c>
      <c r="E7" s="160">
        <f>((2.187*E10*E11)/(E12)^0.5)^0.467</f>
        <v/>
      </c>
      <c r="F7" s="160">
        <f>((2.187*F10*F11)/(F12)^0.5)^0.467</f>
        <v/>
      </c>
      <c r="G7" s="160">
        <f>((2.187*G10*G11)/(G12)^0.5)^0.467</f>
        <v/>
      </c>
      <c r="H7" s="160">
        <f>((2.187*H10*H11)/(H12)^0.5)^0.467</f>
        <v/>
      </c>
      <c r="I7" s="160">
        <f>((2.187*I10*I11)/(I12)^0.5)^0.467</f>
        <v/>
      </c>
      <c r="J7" s="263" t="n"/>
      <c r="K7" s="263" t="n"/>
      <c r="L7" s="263" t="n"/>
      <c r="M7" s="264" t="n"/>
      <c r="N7" s="265" t="n"/>
      <c r="O7" s="266" t="inlineStr">
        <is>
          <t>L07</t>
        </is>
      </c>
      <c r="P7" s="267" t="inlineStr">
        <is>
          <t>H, I, K, L</t>
        </is>
      </c>
      <c r="Q7" s="156" t="n">
        <v>442.35</v>
      </c>
      <c r="R7" s="156" t="n">
        <v>338.19</v>
      </c>
      <c r="S7" s="157" t="n">
        <v>0.765</v>
      </c>
      <c r="T7" s="158" t="n">
        <v>0.0442</v>
      </c>
      <c r="U7" s="166" t="n"/>
      <c r="V7" s="167" t="n"/>
      <c r="W7" s="167" t="n"/>
      <c r="X7" s="167" t="n"/>
      <c r="Y7" s="167" t="n"/>
    </row>
    <row r="8" ht="15" customHeight="1" s="227">
      <c r="A8" s="148" t="inlineStr">
        <is>
          <t>Coef. Ruissellement</t>
        </is>
      </c>
      <c r="B8" s="168" t="n">
        <v>0.425</v>
      </c>
      <c r="C8" s="169" t="n">
        <v>0.765</v>
      </c>
      <c r="D8" s="169" t="n">
        <v>0.6840000000000001</v>
      </c>
      <c r="E8" s="169" t="n">
        <v>0.547</v>
      </c>
      <c r="F8" s="169" t="n">
        <v>0.633</v>
      </c>
      <c r="G8" s="169" t="n">
        <v>0.642</v>
      </c>
      <c r="H8" s="169" t="n">
        <v>0.95</v>
      </c>
      <c r="I8" s="169" t="n">
        <v>0.335</v>
      </c>
      <c r="J8" s="170" t="n"/>
      <c r="K8" s="170" t="n"/>
      <c r="L8" s="170" t="n"/>
      <c r="M8" s="171" t="n"/>
      <c r="N8" s="139" t="n"/>
      <c r="O8" s="154" t="inlineStr">
        <is>
          <t>L08</t>
        </is>
      </c>
      <c r="P8" s="155" t="inlineStr">
        <is>
          <t>G</t>
        </is>
      </c>
      <c r="Q8" s="156" t="n">
        <v>147.9</v>
      </c>
      <c r="R8" s="156" t="n">
        <v>101.13</v>
      </c>
      <c r="S8" s="157" t="n">
        <v>0.6840000000000001</v>
      </c>
      <c r="T8" s="158" t="n">
        <v>0.0148</v>
      </c>
      <c r="U8" s="139" t="n"/>
    </row>
    <row r="9" ht="15" customHeight="1" s="227">
      <c r="A9" s="172" t="n"/>
      <c r="B9" s="173" t="n"/>
      <c r="C9" s="173" t="n"/>
      <c r="D9" s="173" t="n"/>
      <c r="E9" s="173" t="n"/>
      <c r="F9" s="173" t="n"/>
      <c r="G9" s="173" t="n"/>
      <c r="H9" s="173" t="n"/>
      <c r="I9" s="173" t="n"/>
      <c r="J9" s="173" t="n"/>
      <c r="K9" s="173" t="n"/>
      <c r="L9" s="173" t="n"/>
      <c r="M9" s="174" t="n"/>
      <c r="N9" s="139" t="n"/>
      <c r="O9" s="154" t="inlineStr">
        <is>
          <t>L09</t>
        </is>
      </c>
      <c r="P9" s="155" t="inlineStr">
        <is>
          <t>D</t>
        </is>
      </c>
      <c r="Q9" s="156" t="n">
        <v>94.5</v>
      </c>
      <c r="R9" s="156" t="n">
        <v>51.7</v>
      </c>
      <c r="S9" s="157" t="n">
        <v>0.547</v>
      </c>
      <c r="T9" s="158" t="n">
        <v>0.0095</v>
      </c>
      <c r="U9" s="139" t="n"/>
    </row>
    <row r="10" ht="15" customHeight="1" s="227">
      <c r="A10" s="148" t="inlineStr">
        <is>
          <t>L overland (m)</t>
        </is>
      </c>
      <c r="B10" s="268" t="n">
        <v>21.1</v>
      </c>
      <c r="C10" s="269" t="n">
        <v>21</v>
      </c>
      <c r="D10" s="269" t="n">
        <v>12.2</v>
      </c>
      <c r="E10" s="269" t="n">
        <v>10</v>
      </c>
      <c r="F10" s="269" t="n">
        <v>16</v>
      </c>
      <c r="G10" s="269" t="n">
        <v>21.6</v>
      </c>
      <c r="H10" s="269" t="n">
        <v>30</v>
      </c>
      <c r="I10" s="269" t="n">
        <v>22.3</v>
      </c>
      <c r="J10" s="270" t="n"/>
      <c r="K10" s="270" t="n"/>
      <c r="L10" s="270" t="n"/>
      <c r="M10" s="271" t="n"/>
      <c r="N10" s="265" t="n"/>
      <c r="O10" s="266" t="inlineStr">
        <is>
          <t>L01</t>
        </is>
      </c>
      <c r="P10" s="267" t="inlineStr">
        <is>
          <t>A, E</t>
        </is>
      </c>
      <c r="Q10" s="156" t="n">
        <v>257.3</v>
      </c>
      <c r="R10" s="156" t="n">
        <v>162.8</v>
      </c>
      <c r="S10" s="157" t="n">
        <v>0.633</v>
      </c>
      <c r="T10" s="158" t="n">
        <v>0.0257</v>
      </c>
      <c r="U10" s="139" t="n"/>
    </row>
    <row r="11" ht="15" customHeight="1" s="227">
      <c r="A11" s="148" t="inlineStr">
        <is>
          <t>n overland</t>
        </is>
      </c>
      <c r="B11" s="179" t="n">
        <v>0.02</v>
      </c>
      <c r="C11" s="180" t="n">
        <v>0.02</v>
      </c>
      <c r="D11" s="180" t="n">
        <v>0.02</v>
      </c>
      <c r="E11" s="180" t="n">
        <v>0.02</v>
      </c>
      <c r="F11" s="180" t="n">
        <v>0.02</v>
      </c>
      <c r="G11" s="180" t="n">
        <v>0.02</v>
      </c>
      <c r="H11" s="180" t="n">
        <v>0.02</v>
      </c>
      <c r="I11" s="180" t="n">
        <v>0.02</v>
      </c>
      <c r="J11" s="181" t="n"/>
      <c r="K11" s="181" t="n"/>
      <c r="L11" s="181" t="n"/>
      <c r="M11" s="182" t="n"/>
      <c r="N11" s="139" t="n"/>
      <c r="O11" s="154" t="inlineStr">
        <is>
          <t>L02</t>
        </is>
      </c>
      <c r="P11" s="155" t="inlineStr">
        <is>
          <t>B, C, F</t>
        </is>
      </c>
      <c r="Q11" s="156" t="n">
        <v>467.89</v>
      </c>
      <c r="R11" s="156" t="n">
        <v>300.33</v>
      </c>
      <c r="S11" s="157" t="n">
        <v>0.642</v>
      </c>
      <c r="T11" s="158" t="n">
        <v>0.0468</v>
      </c>
      <c r="U11" s="139" t="n"/>
    </row>
    <row r="12" ht="15" customHeight="1" s="227">
      <c r="A12" s="183" t="inlineStr">
        <is>
          <t>s overland (m/m)</t>
        </is>
      </c>
      <c r="B12" s="184" t="n">
        <v>0.03057</v>
      </c>
      <c r="C12" s="185" t="n">
        <v>0.0041</v>
      </c>
      <c r="D12" s="185" t="n">
        <v>0.01458</v>
      </c>
      <c r="E12" s="185" t="n">
        <v>0.00319</v>
      </c>
      <c r="F12" s="185" t="n">
        <v>0.00746</v>
      </c>
      <c r="G12" s="185" t="n">
        <v>0.01142</v>
      </c>
      <c r="H12" s="185" t="n">
        <v>0.00628</v>
      </c>
      <c r="I12" s="185" t="n">
        <v>0.01231</v>
      </c>
      <c r="J12" s="186" t="n"/>
      <c r="K12" s="187" t="n"/>
      <c r="L12" s="170" t="n"/>
      <c r="M12" s="188" t="n"/>
      <c r="N12" s="189" t="n"/>
      <c r="O12" s="190" t="inlineStr">
        <is>
          <t>L03</t>
        </is>
      </c>
      <c r="P12" s="158" t="inlineStr">
        <is>
          <t>(aucune – transfert)</t>
        </is>
      </c>
      <c r="Q12" s="156" t="n">
        <v>0</v>
      </c>
      <c r="R12" s="156" t="n">
        <v>0</v>
      </c>
      <c r="S12" s="157" t="n"/>
      <c r="T12" s="158" t="n">
        <v>0</v>
      </c>
      <c r="U12" s="139" t="n"/>
    </row>
    <row r="13" ht="15.75" customHeight="1" s="227">
      <c r="O13" s="191" t="inlineStr">
        <is>
          <t>L10</t>
        </is>
      </c>
      <c r="P13" s="192" t="inlineStr">
        <is>
          <t>N</t>
        </is>
      </c>
      <c r="Q13" s="193" t="n">
        <v>903</v>
      </c>
      <c r="R13" s="193" t="n">
        <v>857.85</v>
      </c>
      <c r="S13" s="194" t="n">
        <v>0.95</v>
      </c>
      <c r="T13" s="195" t="n">
        <v>0.09030000000000001</v>
      </c>
    </row>
    <row r="14" ht="15" customHeight="1" s="227">
      <c r="A14" t="inlineStr">
        <is>
          <t>Notes</t>
        </is>
      </c>
      <c r="O14" s="191" t="inlineStr">
        <is>
          <t>L11</t>
        </is>
      </c>
      <c r="P14" s="192" t="inlineStr">
        <is>
          <t>O</t>
        </is>
      </c>
      <c r="Q14" s="193" t="n">
        <v>497.61</v>
      </c>
      <c r="R14" s="193" t="n">
        <v>166.52</v>
      </c>
      <c r="S14" s="194" t="n">
        <v>0.335</v>
      </c>
      <c r="T14" s="195" t="n">
        <v>0.0498</v>
      </c>
    </row>
    <row r="15" ht="15" customHeight="1" s="227">
      <c r="A15" t="inlineStr">
        <is>
          <t>Jaune = saisie (depuis Reseau_pluvial_dimensionnement_v1). Vert = calculé.</t>
        </is>
      </c>
    </row>
    <row r="16" ht="15" customHeight="1" s="227">
      <c r="A16" t="inlineStr">
        <is>
          <t>L overland estimé ≈ √Aire; s = |Zamont-Zaval|/Lpipe. Ajuster si parcours réel connu.</t>
        </is>
      </c>
      <c r="O16" s="196" t="inlineStr">
        <is>
          <t>DETAIL ZONE PAR ZONE</t>
        </is>
      </c>
    </row>
    <row r="17" ht="15" customHeight="1" s="227">
      <c r="A17" t="inlineStr">
        <is>
          <t>IDF utilisée dans Calcul_reseau: période 1/10 ans (A=508.07, B=2.9, C=0.644) = Inputs du projet.</t>
        </is>
      </c>
      <c r="O17" s="146" t="inlineStr">
        <is>
          <t>Pipe</t>
        </is>
      </c>
      <c r="P17" s="146" t="inlineStr">
        <is>
          <t>Zone</t>
        </is>
      </c>
      <c r="Q17" s="146" t="inlineStr">
        <is>
          <t>Roof m²</t>
        </is>
      </c>
      <c r="R17" s="146" t="inlineStr">
        <is>
          <t>Pave m²</t>
        </is>
      </c>
      <c r="S17" s="146" t="inlineStr">
        <is>
          <t>Grass m²</t>
        </is>
      </c>
      <c r="T17" s="146" t="inlineStr">
        <is>
          <t>Other m²</t>
        </is>
      </c>
      <c r="U17" s="146" t="inlineStr">
        <is>
          <t>A m²</t>
        </is>
      </c>
      <c r="V17" s="146" t="inlineStr">
        <is>
          <t>A_eff m²</t>
        </is>
      </c>
      <c r="W17" s="146" t="inlineStr">
        <is>
          <t>C zone</t>
        </is>
      </c>
    </row>
    <row r="18" ht="15.75" customHeight="1" s="227">
      <c r="O18" s="191" t="inlineStr">
        <is>
          <t>L06</t>
        </is>
      </c>
      <c r="P18" s="191" t="inlineStr">
        <is>
          <t>J</t>
        </is>
      </c>
      <c r="Q18" s="193" t="n">
        <v>0</v>
      </c>
      <c r="R18" s="193" t="n">
        <v>67.7</v>
      </c>
      <c r="S18" s="193" t="n">
        <v>81.40000000000001</v>
      </c>
      <c r="T18" s="193" t="n">
        <v>0</v>
      </c>
      <c r="U18" s="193" t="n">
        <v>149.1</v>
      </c>
      <c r="V18" s="193" t="n">
        <v>81.28</v>
      </c>
      <c r="W18" s="194" t="n">
        <v>0.545</v>
      </c>
    </row>
    <row r="19" ht="15.75" customHeight="1" s="227">
      <c r="O19" s="191" t="inlineStr">
        <is>
          <t>L06</t>
        </is>
      </c>
      <c r="P19" s="191" t="inlineStr">
        <is>
          <t>M</t>
        </is>
      </c>
      <c r="Q19" s="193" t="n">
        <v>0</v>
      </c>
      <c r="R19" s="193" t="n">
        <v>52.4</v>
      </c>
      <c r="S19" s="193" t="n">
        <v>245.25</v>
      </c>
      <c r="T19" s="193" t="n">
        <v>0</v>
      </c>
      <c r="U19" s="193" t="n">
        <v>297.65</v>
      </c>
      <c r="V19" s="193" t="n">
        <v>108.47</v>
      </c>
      <c r="W19" s="194" t="n">
        <v>0.364</v>
      </c>
    </row>
    <row r="20" ht="15.75" customHeight="1" s="227">
      <c r="O20" s="197" t="inlineStr">
        <is>
          <t>L06</t>
        </is>
      </c>
      <c r="P20" s="197" t="inlineStr">
        <is>
          <t>SUM</t>
        </is>
      </c>
      <c r="Q20" s="197" t="n"/>
      <c r="R20" s="197" t="n"/>
      <c r="S20" s="197" t="n"/>
      <c r="T20" s="197" t="n"/>
      <c r="U20" s="198" t="n">
        <v>446.75</v>
      </c>
      <c r="V20" s="198" t="n">
        <v>189.75</v>
      </c>
      <c r="W20" s="199" t="n">
        <v>0.425</v>
      </c>
    </row>
    <row r="21" ht="15" customHeight="1" s="227">
      <c r="A21" s="224" t="n"/>
    </row>
    <row r="22" ht="15" customHeight="1" s="227">
      <c r="A22" s="224" t="inlineStr">
        <is>
          <t>Surface C used (from Inputs):</t>
        </is>
      </c>
      <c r="O22" s="191" t="inlineStr">
        <is>
          <t>L07</t>
        </is>
      </c>
      <c r="P22" s="191" t="inlineStr">
        <is>
          <t>H</t>
        </is>
      </c>
      <c r="Q22" s="193" t="n">
        <v>0</v>
      </c>
      <c r="R22" s="193" t="n">
        <v>58.2</v>
      </c>
      <c r="S22" s="193" t="n">
        <v>17.6</v>
      </c>
      <c r="T22" s="193" t="n">
        <v>0</v>
      </c>
      <c r="U22" s="193" t="n">
        <v>75.8</v>
      </c>
      <c r="V22" s="193" t="n">
        <v>56.78</v>
      </c>
      <c r="W22" s="194" t="n">
        <v>0.749</v>
      </c>
    </row>
    <row r="23" ht="15" customHeight="1" s="227">
      <c r="A23" s="224" t="inlineStr">
        <is>
          <t>roof = 0.95</t>
        </is>
      </c>
      <c r="O23" s="191" t="inlineStr">
        <is>
          <t>L07</t>
        </is>
      </c>
      <c r="P23" s="191" t="inlineStr">
        <is>
          <t>I</t>
        </is>
      </c>
      <c r="Q23" s="193" t="n">
        <v>0</v>
      </c>
      <c r="R23" s="193" t="n">
        <v>120.01</v>
      </c>
      <c r="S23" s="193" t="n">
        <v>16.2</v>
      </c>
      <c r="T23" s="193" t="n">
        <v>0</v>
      </c>
      <c r="U23" s="193" t="n">
        <v>136.21</v>
      </c>
      <c r="V23" s="193" t="n">
        <v>112.06</v>
      </c>
      <c r="W23" s="194" t="n">
        <v>0.823</v>
      </c>
    </row>
    <row r="24" ht="15" customHeight="1" s="227">
      <c r="A24" s="224" t="inlineStr">
        <is>
          <t>pavement = 0.90</t>
        </is>
      </c>
      <c r="O24" s="191" t="inlineStr">
        <is>
          <t>L07</t>
        </is>
      </c>
      <c r="P24" s="191" t="inlineStr">
        <is>
          <t>K</t>
        </is>
      </c>
      <c r="Q24" s="193" t="n">
        <v>0</v>
      </c>
      <c r="R24" s="193" t="n">
        <v>48.8</v>
      </c>
      <c r="S24" s="193" t="n">
        <v>58.4</v>
      </c>
      <c r="T24" s="193" t="n">
        <v>0</v>
      </c>
      <c r="U24" s="193" t="n">
        <v>107.2</v>
      </c>
      <c r="V24" s="193" t="n">
        <v>58.52</v>
      </c>
      <c r="W24" s="194" t="n">
        <v>0.546</v>
      </c>
    </row>
    <row r="25" ht="15" customHeight="1" s="227">
      <c r="A25" s="224" t="inlineStr">
        <is>
          <t>grass = 0.25</t>
        </is>
      </c>
      <c r="O25" s="191" t="inlineStr">
        <is>
          <t>L07</t>
        </is>
      </c>
      <c r="P25" s="191" t="inlineStr">
        <is>
          <t>L</t>
        </is>
      </c>
      <c r="Q25" s="193" t="n">
        <v>0</v>
      </c>
      <c r="R25" s="193" t="n">
        <v>123.14</v>
      </c>
      <c r="S25" s="193" t="n">
        <v>0</v>
      </c>
      <c r="T25" s="193" t="n">
        <v>0</v>
      </c>
      <c r="U25" s="193" t="n">
        <v>123.14</v>
      </c>
      <c r="V25" s="193" t="n">
        <v>110.83</v>
      </c>
      <c r="W25" s="194" t="n">
        <v>0.9</v>
      </c>
    </row>
    <row r="26" ht="15" customHeight="1" s="227">
      <c r="A26" s="224" t="inlineStr">
        <is>
          <t>other = 0.60</t>
        </is>
      </c>
      <c r="O26" s="197" t="inlineStr">
        <is>
          <t>L07</t>
        </is>
      </c>
      <c r="P26" s="197" t="inlineStr">
        <is>
          <t>SUM</t>
        </is>
      </c>
      <c r="Q26" s="197" t="n"/>
      <c r="R26" s="197" t="n"/>
      <c r="S26" s="197" t="n"/>
      <c r="T26" s="197" t="n"/>
      <c r="U26" s="198" t="n">
        <v>442.35</v>
      </c>
      <c r="V26" s="198" t="n">
        <v>338.19</v>
      </c>
      <c r="W26" s="199" t="n">
        <v>0.765</v>
      </c>
    </row>
    <row r="27" ht="15" customHeight="1" s="227">
      <c r="A27" s="224" t="inlineStr">
        <is>
          <t>For each zone:</t>
        </is>
      </c>
    </row>
    <row r="28" ht="15" customHeight="1" s="227">
      <c r="A28" s="224" t="inlineStr">
        <is>
          <t>A = roof + pave + grass + other</t>
        </is>
      </c>
      <c r="O28" s="191" t="inlineStr">
        <is>
          <t>L08</t>
        </is>
      </c>
      <c r="P28" s="191" t="inlineStr">
        <is>
          <t>G</t>
        </is>
      </c>
      <c r="Q28" s="193" t="n">
        <v>0</v>
      </c>
      <c r="R28" s="193" t="n">
        <v>98.7</v>
      </c>
      <c r="S28" s="193" t="n">
        <v>49.2</v>
      </c>
      <c r="T28" s="193" t="n">
        <v>0</v>
      </c>
      <c r="U28" s="193" t="n">
        <v>147.9</v>
      </c>
      <c r="V28" s="193" t="n">
        <v>101.13</v>
      </c>
      <c r="W28" s="194" t="n">
        <v>0.6840000000000001</v>
      </c>
    </row>
    <row r="29" ht="15" customHeight="1" s="227">
      <c r="A29" s="224" t="inlineStr">
        <is>
          <t>A_eff = 0.95·roof + 0.90·pave + 0.25·grass + 0.60·other</t>
        </is>
      </c>
      <c r="O29" s="197" t="inlineStr">
        <is>
          <t>L08</t>
        </is>
      </c>
      <c r="P29" s="197" t="inlineStr">
        <is>
          <t>SUM</t>
        </is>
      </c>
      <c r="Q29" s="197" t="n"/>
      <c r="R29" s="197" t="n"/>
      <c r="S29" s="197" t="n"/>
      <c r="T29" s="197" t="n"/>
      <c r="U29" s="198" t="n">
        <v>147.9</v>
      </c>
      <c r="V29" s="198" t="n">
        <v>101.13</v>
      </c>
      <c r="W29" s="199" t="n">
        <v>0.6840000000000001</v>
      </c>
    </row>
    <row r="30" ht="15" customHeight="1" s="227">
      <c r="A30" s="224" t="inlineStr">
        <is>
          <t>Then for the pipe:</t>
        </is>
      </c>
    </row>
    <row r="31" ht="15" customHeight="1" s="227">
      <c r="A31" s="224" t="inlineStr">
        <is>
          <t>C = ΣA_eff / ΣA</t>
        </is>
      </c>
      <c r="O31" s="191" t="inlineStr">
        <is>
          <t>L09</t>
        </is>
      </c>
      <c r="P31" s="191" t="inlineStr">
        <is>
          <t>D</t>
        </is>
      </c>
      <c r="Q31" s="193" t="n">
        <v>0</v>
      </c>
      <c r="R31" s="193" t="n">
        <v>43.2</v>
      </c>
      <c r="S31" s="193" t="n">
        <v>51.3</v>
      </c>
      <c r="T31" s="193" t="n">
        <v>0</v>
      </c>
      <c r="U31" s="193" t="n">
        <v>94.5</v>
      </c>
      <c r="V31" s="193" t="n">
        <v>51.7</v>
      </c>
      <c r="W31" s="194" t="n">
        <v>0.547</v>
      </c>
    </row>
    <row r="32" ht="15" customHeight="1" s="227">
      <c r="O32" s="197" t="inlineStr">
        <is>
          <t>L09</t>
        </is>
      </c>
      <c r="P32" s="197" t="inlineStr">
        <is>
          <t>SUM</t>
        </is>
      </c>
      <c r="Q32" s="197" t="n"/>
      <c r="R32" s="197" t="n"/>
      <c r="S32" s="197" t="n"/>
      <c r="T32" s="197" t="n"/>
      <c r="U32" s="198" t="n">
        <v>94.5</v>
      </c>
      <c r="V32" s="198" t="n">
        <v>51.7</v>
      </c>
      <c r="W32" s="199" t="n">
        <v>0.547</v>
      </c>
    </row>
    <row r="33" ht="15" customHeight="1" s="227">
      <c r="A33" s="225" t="inlineStr">
        <is>
          <t>L06_P09_P06 → A = 446.75 m² ≈ 446.8, C ≈ 0.425</t>
        </is>
      </c>
    </row>
    <row r="34" ht="15" customHeight="1" s="227">
      <c r="A34" s="224" t="inlineStr">
        <is>
          <t>Zones J and M only:</t>
        </is>
      </c>
      <c r="O34" s="191" t="inlineStr">
        <is>
          <t>L01</t>
        </is>
      </c>
      <c r="P34" s="191" t="inlineStr">
        <is>
          <t>A</t>
        </is>
      </c>
      <c r="Q34" s="193" t="n">
        <v>0</v>
      </c>
      <c r="R34" s="193" t="n">
        <v>61.9</v>
      </c>
      <c r="S34" s="193" t="n">
        <v>89.59999999999999</v>
      </c>
      <c r="T34" s="193" t="n">
        <v>0</v>
      </c>
      <c r="U34" s="193" t="n">
        <v>151.5</v>
      </c>
      <c r="V34" s="193" t="n">
        <v>78.11</v>
      </c>
      <c r="W34" s="194" t="n">
        <v>0.516</v>
      </c>
    </row>
    <row r="35" ht="15" customHeight="1" s="227">
      <c r="A35" s="200" t="inlineStr">
        <is>
          <t>Zone</t>
        </is>
      </c>
      <c r="B35" s="200" t="inlineStr">
        <is>
          <t>Roof</t>
        </is>
      </c>
      <c r="C35" s="200" t="inlineStr">
        <is>
          <t>Pave</t>
        </is>
      </c>
      <c r="D35" s="200" t="inlineStr">
        <is>
          <t>Grass</t>
        </is>
      </c>
      <c r="E35" s="200" t="inlineStr">
        <is>
          <t>Other</t>
        </is>
      </c>
      <c r="F35" s="200" t="inlineStr">
        <is>
          <t>A (m²)</t>
        </is>
      </c>
      <c r="G35" s="200" t="inlineStr">
        <is>
          <t>A_eff (m²)</t>
        </is>
      </c>
      <c r="H35" s="200" t="inlineStr">
        <is>
          <t>C zone</t>
        </is>
      </c>
      <c r="O35" s="191" t="inlineStr">
        <is>
          <t>L01</t>
        </is>
      </c>
      <c r="P35" s="191" t="inlineStr">
        <is>
          <t>E</t>
        </is>
      </c>
      <c r="Q35" s="193" t="n">
        <v>0</v>
      </c>
      <c r="R35" s="193" t="n">
        <v>89.59999999999999</v>
      </c>
      <c r="S35" s="193" t="n">
        <v>16.2</v>
      </c>
      <c r="T35" s="193" t="n">
        <v>0</v>
      </c>
      <c r="U35" s="193" t="n">
        <v>105.8</v>
      </c>
      <c r="V35" s="193" t="n">
        <v>84.69</v>
      </c>
      <c r="W35" s="194" t="n">
        <v>0.8</v>
      </c>
    </row>
    <row r="36" ht="15" customHeight="1" s="227">
      <c r="A36" s="224" t="inlineStr">
        <is>
          <t>J</t>
        </is>
      </c>
      <c r="B36" s="224" t="n">
        <v>0</v>
      </c>
      <c r="C36" s="224" t="n">
        <v>67.7</v>
      </c>
      <c r="D36" s="224" t="n">
        <v>81.40000000000001</v>
      </c>
      <c r="E36" s="224" t="n">
        <v>0</v>
      </c>
      <c r="F36" s="224" t="n">
        <v>149.1</v>
      </c>
      <c r="G36" s="224" t="inlineStr">
        <is>
          <t>67.7×0.9 + 81.4×0.25 = 81.28</t>
        </is>
      </c>
      <c r="H36" s="224" t="n">
        <v>0.545</v>
      </c>
      <c r="O36" s="197" t="inlineStr">
        <is>
          <t>L01</t>
        </is>
      </c>
      <c r="P36" s="197" t="inlineStr">
        <is>
          <t>SUM</t>
        </is>
      </c>
      <c r="Q36" s="197" t="n"/>
      <c r="R36" s="197" t="n"/>
      <c r="S36" s="197" t="n"/>
      <c r="T36" s="197" t="n"/>
      <c r="U36" s="198" t="n">
        <v>257.3</v>
      </c>
      <c r="V36" s="198" t="n">
        <v>162.8</v>
      </c>
      <c r="W36" s="199" t="n">
        <v>0.633</v>
      </c>
    </row>
    <row r="37" ht="42" customHeight="1" s="227">
      <c r="A37" s="224" t="inlineStr">
        <is>
          <t>M</t>
        </is>
      </c>
      <c r="B37" s="224" t="n">
        <v>0</v>
      </c>
      <c r="C37" s="224" t="n">
        <v>52.4</v>
      </c>
      <c r="D37" s="224" t="inlineStr">
        <is>
          <t>66.5+178.75=245.25</t>
        </is>
      </c>
      <c r="E37" s="224" t="n">
        <v>0</v>
      </c>
      <c r="F37" s="224" t="n">
        <v>297.65</v>
      </c>
      <c r="G37" s="224" t="inlineStr">
        <is>
          <t>52.4×0.9 + 245.25×0.25 = 108.4725</t>
        </is>
      </c>
      <c r="H37" s="224" t="n">
        <v>0.364</v>
      </c>
    </row>
    <row r="38" ht="15" customHeight="1" s="227">
      <c r="A38" s="224" t="inlineStr">
        <is>
          <t>Sum</t>
        </is>
      </c>
      <c r="F38" s="224" t="n">
        <v>446.75</v>
      </c>
      <c r="G38" s="224" t="n">
        <v>189.7525</v>
      </c>
      <c r="O38" s="191" t="inlineStr">
        <is>
          <t>L02</t>
        </is>
      </c>
      <c r="P38" s="191" t="inlineStr">
        <is>
          <t>B</t>
        </is>
      </c>
      <c r="Q38" s="193" t="n">
        <v>0</v>
      </c>
      <c r="R38" s="193" t="n">
        <v>79.8</v>
      </c>
      <c r="S38" s="193" t="n">
        <v>43</v>
      </c>
      <c r="T38" s="193" t="n">
        <v>0</v>
      </c>
      <c r="U38" s="193" t="n">
        <v>122.8</v>
      </c>
      <c r="V38" s="193" t="n">
        <v>82.56999999999999</v>
      </c>
      <c r="W38" s="194" t="n">
        <v>0.672</v>
      </c>
    </row>
    <row r="39" ht="15" customHeight="1" s="227">
      <c r="A39" s="224" t="inlineStr">
        <is>
          <t>C = 189.7525 / 446.75 = 0.4247 ≈ 0.425</t>
        </is>
      </c>
      <c r="O39" s="191" t="inlineStr">
        <is>
          <t>L02</t>
        </is>
      </c>
      <c r="P39" s="191" t="inlineStr">
        <is>
          <t>C</t>
        </is>
      </c>
      <c r="Q39" s="193" t="n">
        <v>0</v>
      </c>
      <c r="R39" s="193" t="n">
        <v>87.8</v>
      </c>
      <c r="S39" s="193" t="n">
        <v>123.9</v>
      </c>
      <c r="T39" s="193" t="n">
        <v>0</v>
      </c>
      <c r="U39" s="193" t="n">
        <v>211.7</v>
      </c>
      <c r="V39" s="193" t="n">
        <v>110</v>
      </c>
      <c r="W39" s="194" t="n">
        <v>0.52</v>
      </c>
    </row>
    <row r="40" ht="15.75" customHeight="1" s="227">
      <c r="O40" s="191" t="inlineStr">
        <is>
          <t>L02</t>
        </is>
      </c>
      <c r="P40" s="191" t="inlineStr">
        <is>
          <t>F</t>
        </is>
      </c>
      <c r="Q40" s="193" t="n">
        <v>0</v>
      </c>
      <c r="R40" s="193" t="n">
        <v>114.49</v>
      </c>
      <c r="S40" s="193" t="n">
        <v>18.9</v>
      </c>
      <c r="T40" s="193" t="n">
        <v>0</v>
      </c>
      <c r="U40" s="193" t="n">
        <v>133.39</v>
      </c>
      <c r="V40" s="193" t="n">
        <v>107.77</v>
      </c>
      <c r="W40" s="194" t="n">
        <v>0.8080000000000001</v>
      </c>
    </row>
    <row r="41" ht="15.75" customHeight="1" s="227">
      <c r="O41" s="197" t="inlineStr">
        <is>
          <t>L02</t>
        </is>
      </c>
      <c r="P41" s="197" t="inlineStr">
        <is>
          <t>SUM</t>
        </is>
      </c>
      <c r="Q41" s="197" t="n"/>
      <c r="R41" s="197" t="n"/>
      <c r="S41" s="197" t="n"/>
      <c r="T41" s="197" t="n"/>
      <c r="U41" s="198" t="n">
        <v>467.89</v>
      </c>
      <c r="V41" s="198" t="n">
        <v>300.33</v>
      </c>
      <c r="W41" s="199" t="n">
        <v>0.642</v>
      </c>
    </row>
    <row r="42" ht="15" customHeight="1" s="227">
      <c r="A42" s="225" t="inlineStr">
        <is>
          <t>L07_P07_P06 → A = 442.35 m², C ≈ 0.765</t>
        </is>
      </c>
    </row>
    <row r="43" ht="15" customHeight="1" s="227">
      <c r="A43" s="224" t="inlineStr">
        <is>
          <t>Zones H, I, K, L:</t>
        </is>
      </c>
      <c r="O43" s="201" t="inlineStr">
        <is>
          <t>L03</t>
        </is>
      </c>
      <c r="P43" s="201" t="inlineStr">
        <is>
          <t>—</t>
        </is>
      </c>
      <c r="Q43" s="201" t="n">
        <v>0</v>
      </c>
      <c r="R43" s="201" t="n">
        <v>0</v>
      </c>
      <c r="S43" s="201" t="n">
        <v>0</v>
      </c>
      <c r="T43" s="201" t="n">
        <v>0</v>
      </c>
      <c r="U43" s="201" t="n">
        <v>0</v>
      </c>
      <c r="V43" s="201" t="n">
        <v>0</v>
      </c>
      <c r="W43" s="201" t="n"/>
    </row>
    <row r="44" ht="15" customHeight="1" s="227">
      <c r="A44" s="200" t="inlineStr">
        <is>
          <t>Zone</t>
        </is>
      </c>
      <c r="B44" s="200" t="inlineStr">
        <is>
          <t>Roof</t>
        </is>
      </c>
      <c r="C44" s="200" t="inlineStr">
        <is>
          <t>Pave</t>
        </is>
      </c>
      <c r="D44" s="200" t="inlineStr">
        <is>
          <t>Grass</t>
        </is>
      </c>
      <c r="E44" s="200" t="inlineStr">
        <is>
          <t>Other</t>
        </is>
      </c>
      <c r="F44" s="200" t="inlineStr">
        <is>
          <t>A (m²)</t>
        </is>
      </c>
      <c r="G44" s="200" t="inlineStr">
        <is>
          <t>A_eff (m²)</t>
        </is>
      </c>
      <c r="H44" s="200" t="inlineStr">
        <is>
          <t>C zone</t>
        </is>
      </c>
      <c r="O44" s="191" t="inlineStr">
        <is>
          <t>L10</t>
        </is>
      </c>
      <c r="P44" s="191" t="inlineStr">
        <is>
          <t>N</t>
        </is>
      </c>
      <c r="Q44" s="193" t="n">
        <v>903</v>
      </c>
      <c r="R44" s="193" t="n">
        <v>0</v>
      </c>
      <c r="S44" s="193" t="n">
        <v>0</v>
      </c>
      <c r="T44" s="193" t="n">
        <v>0</v>
      </c>
      <c r="U44" s="193" t="n">
        <v>903</v>
      </c>
      <c r="V44" s="193" t="n">
        <v>857.85</v>
      </c>
      <c r="W44" s="194" t="n">
        <v>0.95</v>
      </c>
    </row>
    <row r="45" ht="15" customHeight="1" s="227">
      <c r="A45" s="224" t="inlineStr">
        <is>
          <t>H</t>
        </is>
      </c>
      <c r="B45" s="224" t="n">
        <v>0</v>
      </c>
      <c r="C45" s="224" t="n">
        <v>58.2</v>
      </c>
      <c r="D45" s="224" t="n">
        <v>17.6</v>
      </c>
      <c r="E45" s="224" t="n">
        <v>0</v>
      </c>
      <c r="F45" s="224" t="n">
        <v>75.8</v>
      </c>
      <c r="G45" s="224" t="inlineStr">
        <is>
          <t>58.2×0.9 + 17.6×0.25 = 56.78</t>
        </is>
      </c>
      <c r="H45" s="224" t="n">
        <v>0.749</v>
      </c>
      <c r="O45" s="197" t="inlineStr">
        <is>
          <t>L10</t>
        </is>
      </c>
      <c r="P45" s="197" t="inlineStr">
        <is>
          <t>SUM</t>
        </is>
      </c>
      <c r="Q45" s="197" t="n"/>
      <c r="R45" s="197" t="n"/>
      <c r="S45" s="197" t="n"/>
      <c r="T45" s="197" t="n"/>
      <c r="U45" s="198" t="n">
        <v>903</v>
      </c>
      <c r="V45" s="198" t="n">
        <v>857.85</v>
      </c>
      <c r="W45" s="199" t="n">
        <v>0.95</v>
      </c>
    </row>
    <row r="46" ht="15" customHeight="1" s="227">
      <c r="A46" s="224" t="inlineStr">
        <is>
          <t>I</t>
        </is>
      </c>
      <c r="B46" s="224" t="n">
        <v>0</v>
      </c>
      <c r="C46" s="224" t="inlineStr">
        <is>
          <t>109.5+10.51=120.01</t>
        </is>
      </c>
      <c r="D46" s="224" t="n">
        <v>16.2</v>
      </c>
      <c r="E46" s="224" t="n">
        <v>0</v>
      </c>
      <c r="F46" s="224" t="n">
        <v>136.21</v>
      </c>
      <c r="G46" s="224" t="inlineStr">
        <is>
          <t>120.01×0.9 + 16.2×0.25 = 112.059</t>
        </is>
      </c>
      <c r="H46" s="224" t="n">
        <v>0.823</v>
      </c>
    </row>
    <row r="47" ht="15" customHeight="1" s="227">
      <c r="A47" s="224" t="inlineStr">
        <is>
          <t>K</t>
        </is>
      </c>
      <c r="B47" s="224" t="n">
        <v>0</v>
      </c>
      <c r="C47" s="224" t="n">
        <v>48.8</v>
      </c>
      <c r="D47" s="224" t="n">
        <v>58.4</v>
      </c>
      <c r="E47" s="224" t="n">
        <v>0</v>
      </c>
      <c r="F47" s="224" t="n">
        <v>107.2</v>
      </c>
      <c r="G47" s="224" t="inlineStr">
        <is>
          <t>48.8×0.9 + 58.4×0.25 = 58.52</t>
        </is>
      </c>
      <c r="H47" s="224" t="n">
        <v>0.546</v>
      </c>
      <c r="O47" s="191" t="inlineStr">
        <is>
          <t>L11</t>
        </is>
      </c>
      <c r="P47" s="191" t="inlineStr">
        <is>
          <t>O</t>
        </is>
      </c>
      <c r="Q47" s="193" t="n">
        <v>0</v>
      </c>
      <c r="R47" s="193" t="n">
        <v>64.8</v>
      </c>
      <c r="S47" s="193" t="n">
        <v>432.81</v>
      </c>
      <c r="T47" s="193" t="n">
        <v>0</v>
      </c>
      <c r="U47" s="193" t="n">
        <v>497.61</v>
      </c>
      <c r="V47" s="193" t="n">
        <v>166.52</v>
      </c>
      <c r="W47" s="194" t="n">
        <v>0.335</v>
      </c>
    </row>
    <row r="48" ht="15" customHeight="1" s="227">
      <c r="A48" s="224" t="inlineStr">
        <is>
          <t>L</t>
        </is>
      </c>
      <c r="B48" s="224" t="n">
        <v>0</v>
      </c>
      <c r="C48" s="224" t="inlineStr">
        <is>
          <t>95.5+10.13+17.51=123.14</t>
        </is>
      </c>
      <c r="D48" s="224" t="n">
        <v>0</v>
      </c>
      <c r="E48" s="224" t="n">
        <v>0</v>
      </c>
      <c r="F48" s="224" t="n">
        <v>123.14</v>
      </c>
      <c r="G48" s="224" t="inlineStr">
        <is>
          <t>123.14×0.9 = 110.826</t>
        </is>
      </c>
      <c r="H48" s="224" t="n">
        <v>0.9</v>
      </c>
      <c r="O48" s="197" t="inlineStr">
        <is>
          <t>L11</t>
        </is>
      </c>
      <c r="P48" s="197" t="inlineStr">
        <is>
          <t>SUM</t>
        </is>
      </c>
      <c r="Q48" s="197" t="n"/>
      <c r="R48" s="197" t="n"/>
      <c r="S48" s="197" t="n"/>
      <c r="T48" s="197" t="n"/>
      <c r="U48" s="198" t="n">
        <v>497.61</v>
      </c>
      <c r="V48" s="198" t="n">
        <v>166.52</v>
      </c>
      <c r="W48" s="199" t="n">
        <v>0.335</v>
      </c>
    </row>
    <row r="49" ht="15" customHeight="1" s="227">
      <c r="A49" s="224" t="inlineStr">
        <is>
          <t>Sum</t>
        </is>
      </c>
      <c r="F49" s="224" t="n">
        <v>442.35</v>
      </c>
      <c r="G49" s="224" t="n">
        <v>338.185</v>
      </c>
    </row>
    <row r="50" ht="15" customHeight="1" s="227">
      <c r="A50" s="224" t="inlineStr">
        <is>
          <t>C = 338.185 / 442.35 = 0.7645 ≈ 0.765</t>
        </is>
      </c>
    </row>
    <row r="51" ht="15.75" customHeight="1" s="227">
      <c r="O51" s="226" t="inlineStr">
        <is>
          <t>A = roof+pave+grass+other; A_eff = 0.95·roof + 0.90·pave + 0.25·grass + 0.60·other; C = ΣA_eff/ΣA</t>
        </is>
      </c>
    </row>
    <row r="52" ht="15" customHeight="1" s="227">
      <c r="A52" s="202" t="inlineStr">
        <is>
          <t>PENTE</t>
        </is>
      </c>
    </row>
    <row r="53" ht="26.25" customHeight="1" s="227">
      <c r="A53" s="225" t="inlineStr">
        <is>
          <t>P09 → P06 (L06_P09_P06) → 0.0306</t>
        </is>
      </c>
    </row>
    <row r="54" ht="15" customHeight="1" s="227">
      <c r="A54" s="200" t="inlineStr">
        <is>
          <t>Item</t>
        </is>
      </c>
      <c r="B54" s="200" t="inlineStr">
        <is>
          <t>Value</t>
        </is>
      </c>
    </row>
    <row r="55" ht="15" customHeight="1" s="227">
      <c r="A55" s="224" t="inlineStr">
        <is>
          <t>Z P09 (amont)</t>
        </is>
      </c>
      <c r="B55" s="224" t="inlineStr">
        <is>
          <t>17.62 m</t>
        </is>
      </c>
    </row>
    <row r="56" ht="15" customHeight="1" s="227">
      <c r="A56" s="224" t="inlineStr">
        <is>
          <t>Z P06 (aval)</t>
        </is>
      </c>
      <c r="B56" s="224" t="inlineStr">
        <is>
          <t>17.14 m</t>
        </is>
      </c>
    </row>
    <row r="57" ht="15" customHeight="1" s="227">
      <c r="A57" s="224" t="inlineStr">
        <is>
          <t>L</t>
        </is>
      </c>
      <c r="B57" s="224" t="inlineStr">
        <is>
          <t>15.7 m</t>
        </is>
      </c>
    </row>
    <row r="58" ht="31.5" customHeight="1" s="227">
      <c r="A58" s="224" t="inlineStr">
        <is>
          <t>s = (17.62 - 17.14) / 15.7</t>
        </is>
      </c>
    </row>
    <row r="59" ht="15" customHeight="1" s="227">
      <c r="A59" s="224" t="inlineStr">
        <is>
          <t xml:space="preserve"> s = 0.48 / 15.7</t>
        </is>
      </c>
    </row>
    <row r="60" ht="15" customHeight="1" s="227">
      <c r="A60" s="224" t="inlineStr">
        <is>
          <t xml:space="preserve"> s = 0.030573 ≈ 0.0306 </t>
        </is>
      </c>
    </row>
    <row r="62" ht="15.75" customHeight="1" s="227">
      <c r="A62" s="228" t="inlineStr">
        <is>
          <t>DETAIL TRIBUTAIRES (suite) — L08 à L11</t>
        </is>
      </c>
    </row>
    <row r="64" ht="15.75" customHeight="1" s="227">
      <c r="A64" s="4" t="inlineStr">
        <is>
          <t>L08_P06_P04 → A = 147.90 m², C ≈ 0.684</t>
        </is>
      </c>
    </row>
    <row r="65" ht="15.75" customHeight="1" s="227">
      <c r="A65" t="inlineStr">
        <is>
          <t>Zones G:</t>
        </is>
      </c>
    </row>
    <row r="66" ht="15.75" customHeight="1" s="227">
      <c r="A66" s="146" t="inlineStr">
        <is>
          <t>Zone</t>
        </is>
      </c>
      <c r="B66" s="146" t="inlineStr">
        <is>
          <t>Roof</t>
        </is>
      </c>
      <c r="C66" s="146" t="inlineStr">
        <is>
          <t>Pave</t>
        </is>
      </c>
      <c r="D66" s="146" t="inlineStr">
        <is>
          <t>Grass</t>
        </is>
      </c>
      <c r="E66" s="146" t="inlineStr">
        <is>
          <t>Other</t>
        </is>
      </c>
      <c r="F66" s="146" t="inlineStr">
        <is>
          <t>A (m²)</t>
        </is>
      </c>
      <c r="G66" s="146" t="inlineStr">
        <is>
          <t>A_eff (m²)</t>
        </is>
      </c>
      <c r="H66" s="146" t="inlineStr">
        <is>
          <t>C zone</t>
        </is>
      </c>
    </row>
    <row r="67" ht="15.75" customHeight="1" s="227">
      <c r="A67" s="192" t="inlineStr">
        <is>
          <t>G</t>
        </is>
      </c>
      <c r="B67" s="193" t="n">
        <v>0</v>
      </c>
      <c r="C67" s="193" t="n">
        <v>98.7</v>
      </c>
      <c r="D67" s="193" t="n">
        <v>49.2</v>
      </c>
      <c r="E67" s="193" t="n">
        <v>0</v>
      </c>
      <c r="F67" s="193" t="n">
        <v>147.9</v>
      </c>
      <c r="G67" s="193" t="n">
        <v>101.13</v>
      </c>
      <c r="H67" s="194" t="n">
        <v>0.6840000000000001</v>
      </c>
    </row>
    <row r="68" ht="15.75" customHeight="1" s="227">
      <c r="A68" s="197" t="inlineStr">
        <is>
          <t>Sum</t>
        </is>
      </c>
      <c r="B68" s="197" t="n"/>
      <c r="C68" s="197" t="n"/>
      <c r="D68" s="197" t="n"/>
      <c r="E68" s="197" t="n"/>
      <c r="F68" s="197" t="n">
        <v>147.9</v>
      </c>
      <c r="G68" s="197" t="n">
        <v>101.13</v>
      </c>
      <c r="H68" s="197" t="n">
        <v>0.6840000000000001</v>
      </c>
    </row>
    <row r="69" ht="15.75" customHeight="1" s="227">
      <c r="A69" t="inlineStr">
        <is>
          <t>C = 101.1300 / 147.90 = 0.6838</t>
        </is>
      </c>
    </row>
    <row r="71" ht="15.75" customHeight="1" s="227">
      <c r="A71" s="4" t="inlineStr">
        <is>
          <t>L09_P04_P01 → A = 94.50 m², C ≈ 0.547</t>
        </is>
      </c>
    </row>
    <row r="72" ht="15.75" customHeight="1" s="227">
      <c r="A72" t="inlineStr">
        <is>
          <t>Zones D:</t>
        </is>
      </c>
    </row>
    <row r="73" ht="15.75" customHeight="1" s="227">
      <c r="A73" s="146" t="inlineStr">
        <is>
          <t>Zone</t>
        </is>
      </c>
      <c r="B73" s="146" t="inlineStr">
        <is>
          <t>Roof</t>
        </is>
      </c>
      <c r="C73" s="146" t="inlineStr">
        <is>
          <t>Pave</t>
        </is>
      </c>
      <c r="D73" s="146" t="inlineStr">
        <is>
          <t>Grass</t>
        </is>
      </c>
      <c r="E73" s="146" t="inlineStr">
        <is>
          <t>Other</t>
        </is>
      </c>
      <c r="F73" s="146" t="inlineStr">
        <is>
          <t>A (m²)</t>
        </is>
      </c>
      <c r="G73" s="146" t="inlineStr">
        <is>
          <t>A_eff (m²)</t>
        </is>
      </c>
      <c r="H73" s="146" t="inlineStr">
        <is>
          <t>C zone</t>
        </is>
      </c>
    </row>
    <row r="74" ht="15.75" customHeight="1" s="227">
      <c r="A74" s="192" t="inlineStr">
        <is>
          <t>D</t>
        </is>
      </c>
      <c r="B74" s="193" t="n">
        <v>0</v>
      </c>
      <c r="C74" s="193" t="n">
        <v>43.2</v>
      </c>
      <c r="D74" s="193" t="n">
        <v>51.3</v>
      </c>
      <c r="E74" s="193" t="n">
        <v>0</v>
      </c>
      <c r="F74" s="193" t="n">
        <v>94.5</v>
      </c>
      <c r="G74" s="193" t="n">
        <v>51.7</v>
      </c>
      <c r="H74" s="194" t="n">
        <v>0.547</v>
      </c>
    </row>
    <row r="75" ht="15.75" customHeight="1" s="227">
      <c r="A75" s="197" t="inlineStr">
        <is>
          <t>Sum</t>
        </is>
      </c>
      <c r="B75" s="197" t="n"/>
      <c r="C75" s="197" t="n"/>
      <c r="D75" s="197" t="n"/>
      <c r="E75" s="197" t="n"/>
      <c r="F75" s="197" t="n">
        <v>94.5</v>
      </c>
      <c r="G75" s="197" t="n">
        <v>51.7</v>
      </c>
      <c r="H75" s="197" t="n">
        <v>0.547</v>
      </c>
    </row>
    <row r="76" ht="15.75" customHeight="1" s="227">
      <c r="A76" t="inlineStr">
        <is>
          <t>C = 51.7050 / 94.50 = 0.5471</t>
        </is>
      </c>
    </row>
    <row r="78" ht="15.75" customHeight="1" s="227">
      <c r="A78" s="4" t="inlineStr">
        <is>
          <t>L01_P01_P02 → A = 257.30 m², C ≈ 0.633</t>
        </is>
      </c>
    </row>
    <row r="79" ht="15.75" customHeight="1" s="227">
      <c r="A79" t="inlineStr">
        <is>
          <t>Zones A, E:</t>
        </is>
      </c>
    </row>
    <row r="80" ht="15.75" customHeight="1" s="227">
      <c r="A80" s="146" t="inlineStr">
        <is>
          <t>Zone</t>
        </is>
      </c>
      <c r="B80" s="146" t="inlineStr">
        <is>
          <t>Roof</t>
        </is>
      </c>
      <c r="C80" s="146" t="inlineStr">
        <is>
          <t>Pave</t>
        </is>
      </c>
      <c r="D80" s="146" t="inlineStr">
        <is>
          <t>Grass</t>
        </is>
      </c>
      <c r="E80" s="146" t="inlineStr">
        <is>
          <t>Other</t>
        </is>
      </c>
      <c r="F80" s="146" t="inlineStr">
        <is>
          <t>A (m²)</t>
        </is>
      </c>
      <c r="G80" s="146" t="inlineStr">
        <is>
          <t>A_eff (m²)</t>
        </is>
      </c>
      <c r="H80" s="146" t="inlineStr">
        <is>
          <t>C zone</t>
        </is>
      </c>
    </row>
    <row r="81" ht="15.75" customHeight="1" s="227">
      <c r="A81" s="192" t="inlineStr">
        <is>
          <t>A</t>
        </is>
      </c>
      <c r="B81" s="193" t="n">
        <v>0</v>
      </c>
      <c r="C81" s="193" t="n">
        <v>61.9</v>
      </c>
      <c r="D81" s="193" t="n">
        <v>89.59999999999999</v>
      </c>
      <c r="E81" s="193" t="n">
        <v>0</v>
      </c>
      <c r="F81" s="193" t="n">
        <v>151.5</v>
      </c>
      <c r="G81" s="193" t="n">
        <v>78.11</v>
      </c>
      <c r="H81" s="194" t="n">
        <v>0.516</v>
      </c>
    </row>
    <row r="82" ht="15.75" customHeight="1" s="227">
      <c r="A82" s="192" t="inlineStr">
        <is>
          <t>E</t>
        </is>
      </c>
      <c r="B82" s="193" t="n">
        <v>0</v>
      </c>
      <c r="C82" s="193" t="n">
        <v>89.59999999999999</v>
      </c>
      <c r="D82" s="193" t="n">
        <v>16.2</v>
      </c>
      <c r="E82" s="193" t="n">
        <v>0</v>
      </c>
      <c r="F82" s="193" t="n">
        <v>105.8</v>
      </c>
      <c r="G82" s="193" t="n">
        <v>84.69</v>
      </c>
      <c r="H82" s="194" t="n">
        <v>0.8</v>
      </c>
    </row>
    <row r="83" ht="15.75" customHeight="1" s="227">
      <c r="A83" s="197" t="inlineStr">
        <is>
          <t>Sum</t>
        </is>
      </c>
      <c r="B83" s="197" t="n"/>
      <c r="C83" s="197" t="n"/>
      <c r="D83" s="197" t="n"/>
      <c r="E83" s="197" t="n"/>
      <c r="F83" s="197" t="n">
        <v>257.3</v>
      </c>
      <c r="G83" s="197" t="n">
        <v>162.8</v>
      </c>
      <c r="H83" s="197" t="n">
        <v>0.633</v>
      </c>
    </row>
    <row r="84" ht="15.75" customHeight="1" s="227">
      <c r="A84" t="inlineStr">
        <is>
          <t>C = 162.8000 / 257.30 = 0.6327</t>
        </is>
      </c>
    </row>
    <row r="86" ht="15.75" customHeight="1" s="227">
      <c r="A86" s="4" t="inlineStr">
        <is>
          <t>L02_P02_P03 → A = 467.89 m², C ≈ 0.642</t>
        </is>
      </c>
    </row>
    <row r="87" ht="15.75" customHeight="1" s="227">
      <c r="A87" t="inlineStr">
        <is>
          <t>Zones B, C, F:</t>
        </is>
      </c>
    </row>
    <row r="88" ht="15.75" customHeight="1" s="227">
      <c r="A88" s="146" t="inlineStr">
        <is>
          <t>Zone</t>
        </is>
      </c>
      <c r="B88" s="146" t="inlineStr">
        <is>
          <t>Roof</t>
        </is>
      </c>
      <c r="C88" s="146" t="inlineStr">
        <is>
          <t>Pave</t>
        </is>
      </c>
      <c r="D88" s="146" t="inlineStr">
        <is>
          <t>Grass</t>
        </is>
      </c>
      <c r="E88" s="146" t="inlineStr">
        <is>
          <t>Other</t>
        </is>
      </c>
      <c r="F88" s="146" t="inlineStr">
        <is>
          <t>A (m²)</t>
        </is>
      </c>
      <c r="G88" s="146" t="inlineStr">
        <is>
          <t>A_eff (m²)</t>
        </is>
      </c>
      <c r="H88" s="146" t="inlineStr">
        <is>
          <t>C zone</t>
        </is>
      </c>
    </row>
    <row r="89" ht="15.75" customHeight="1" s="227">
      <c r="A89" s="192" t="inlineStr">
        <is>
          <t>B</t>
        </is>
      </c>
      <c r="B89" s="193" t="n">
        <v>0</v>
      </c>
      <c r="C89" s="193" t="n">
        <v>79.8</v>
      </c>
      <c r="D89" s="193" t="n">
        <v>43</v>
      </c>
      <c r="E89" s="193" t="n">
        <v>0</v>
      </c>
      <c r="F89" s="193" t="n">
        <v>122.8</v>
      </c>
      <c r="G89" s="193" t="n">
        <v>82.56999999999999</v>
      </c>
      <c r="H89" s="194" t="n">
        <v>0.672</v>
      </c>
    </row>
    <row r="90" ht="15.75" customHeight="1" s="227">
      <c r="A90" s="192" t="inlineStr">
        <is>
          <t>C</t>
        </is>
      </c>
      <c r="B90" s="193" t="n">
        <v>0</v>
      </c>
      <c r="C90" s="193" t="n">
        <v>87.8</v>
      </c>
      <c r="D90" s="193" t="n">
        <v>123.9</v>
      </c>
      <c r="E90" s="193" t="n">
        <v>0</v>
      </c>
      <c r="F90" s="193" t="n">
        <v>211.7</v>
      </c>
      <c r="G90" s="193" t="n">
        <v>110</v>
      </c>
      <c r="H90" s="194" t="n">
        <v>0.52</v>
      </c>
    </row>
    <row r="91" ht="15.75" customHeight="1" s="227">
      <c r="A91" s="192" t="inlineStr">
        <is>
          <t>F</t>
        </is>
      </c>
      <c r="B91" s="193" t="n">
        <v>0</v>
      </c>
      <c r="C91" s="193" t="n">
        <v>114.49</v>
      </c>
      <c r="D91" s="193" t="n">
        <v>18.9</v>
      </c>
      <c r="E91" s="193" t="n">
        <v>0</v>
      </c>
      <c r="F91" s="193" t="n">
        <v>133.39</v>
      </c>
      <c r="G91" s="193" t="n">
        <v>107.77</v>
      </c>
      <c r="H91" s="194" t="n">
        <v>0.8080000000000001</v>
      </c>
    </row>
    <row r="92" ht="15.75" customHeight="1" s="227">
      <c r="A92" s="197" t="inlineStr">
        <is>
          <t>Sum</t>
        </is>
      </c>
      <c r="B92" s="197" t="n"/>
      <c r="C92" s="197" t="n"/>
      <c r="D92" s="197" t="n"/>
      <c r="E92" s="197" t="n"/>
      <c r="F92" s="197" t="n">
        <v>467.89</v>
      </c>
      <c r="G92" s="197" t="n">
        <v>300.33</v>
      </c>
      <c r="H92" s="197" t="n">
        <v>0.642</v>
      </c>
    </row>
    <row r="93" ht="15.75" customHeight="1" s="227">
      <c r="A93" t="inlineStr">
        <is>
          <t>C = 300.3310 / 467.89 = 0.6419</t>
        </is>
      </c>
    </row>
    <row r="95" ht="15.75" customHeight="1" s="227">
      <c r="A95" s="4" t="inlineStr">
        <is>
          <t>L03_P03_P10 → A = 0 m² (aucune zone CB — conduite de transfert)</t>
        </is>
      </c>
    </row>
    <row r="97" ht="15.75" customHeight="1" s="227">
      <c r="A97" s="4" t="inlineStr">
        <is>
          <t>L10_P10_P11 → A = 903.00 m², C ≈ 0.950</t>
        </is>
      </c>
    </row>
    <row r="98" ht="15.75" customHeight="1" s="227">
      <c r="A98" t="inlineStr">
        <is>
          <t>Zones N:</t>
        </is>
      </c>
    </row>
    <row r="99" ht="15.75" customHeight="1" s="227">
      <c r="A99" s="146" t="inlineStr">
        <is>
          <t>Zone</t>
        </is>
      </c>
      <c r="B99" s="146" t="inlineStr">
        <is>
          <t>Roof</t>
        </is>
      </c>
      <c r="C99" s="146" t="inlineStr">
        <is>
          <t>Pave</t>
        </is>
      </c>
      <c r="D99" s="146" t="inlineStr">
        <is>
          <t>Grass</t>
        </is>
      </c>
      <c r="E99" s="146" t="inlineStr">
        <is>
          <t>Other</t>
        </is>
      </c>
      <c r="F99" s="146" t="inlineStr">
        <is>
          <t>A (m²)</t>
        </is>
      </c>
      <c r="G99" s="146" t="inlineStr">
        <is>
          <t>A_eff (m²)</t>
        </is>
      </c>
      <c r="H99" s="146" t="inlineStr">
        <is>
          <t>C zone</t>
        </is>
      </c>
    </row>
    <row r="100" ht="15.75" customHeight="1" s="227">
      <c r="A100" s="192" t="inlineStr">
        <is>
          <t>N</t>
        </is>
      </c>
      <c r="B100" s="193" t="n">
        <v>903</v>
      </c>
      <c r="C100" s="193" t="n">
        <v>0</v>
      </c>
      <c r="D100" s="193" t="n">
        <v>0</v>
      </c>
      <c r="E100" s="193" t="n">
        <v>0</v>
      </c>
      <c r="F100" s="193" t="n">
        <v>903</v>
      </c>
      <c r="G100" s="193" t="n">
        <v>857.85</v>
      </c>
      <c r="H100" s="194" t="n">
        <v>0.95</v>
      </c>
    </row>
    <row r="101" ht="15.75" customHeight="1" s="227">
      <c r="A101" s="197" t="inlineStr">
        <is>
          <t>Sum</t>
        </is>
      </c>
      <c r="B101" s="197" t="n"/>
      <c r="C101" s="197" t="n"/>
      <c r="D101" s="197" t="n"/>
      <c r="E101" s="197" t="n"/>
      <c r="F101" s="197" t="n">
        <v>903</v>
      </c>
      <c r="G101" s="197" t="n">
        <v>857.85</v>
      </c>
      <c r="H101" s="197" t="n">
        <v>0.95</v>
      </c>
    </row>
    <row r="102" ht="15.75" customHeight="1" s="227">
      <c r="A102" t="inlineStr">
        <is>
          <t>C = 857.8500 / 903.00 = 0.9500</t>
        </is>
      </c>
    </row>
    <row r="104" ht="15.75" customHeight="1" s="227">
      <c r="A104" s="4" t="inlineStr">
        <is>
          <t>L11_P11_P12 → A = 497.61 m², C ≈ 0.335</t>
        </is>
      </c>
    </row>
    <row r="105" ht="15.75" customHeight="1" s="227">
      <c r="A105" t="inlineStr">
        <is>
          <t>Zones O:</t>
        </is>
      </c>
    </row>
    <row r="106" ht="15.75" customHeight="1" s="227">
      <c r="A106" s="146" t="inlineStr">
        <is>
          <t>Zone</t>
        </is>
      </c>
      <c r="B106" s="146" t="inlineStr">
        <is>
          <t>Roof</t>
        </is>
      </c>
      <c r="C106" s="146" t="inlineStr">
        <is>
          <t>Pave</t>
        </is>
      </c>
      <c r="D106" s="146" t="inlineStr">
        <is>
          <t>Grass</t>
        </is>
      </c>
      <c r="E106" s="146" t="inlineStr">
        <is>
          <t>Other</t>
        </is>
      </c>
      <c r="F106" s="146" t="inlineStr">
        <is>
          <t>A (m²)</t>
        </is>
      </c>
      <c r="G106" s="146" t="inlineStr">
        <is>
          <t>A_eff (m²)</t>
        </is>
      </c>
      <c r="H106" s="146" t="inlineStr">
        <is>
          <t>C zone</t>
        </is>
      </c>
    </row>
    <row r="107" ht="15.75" customHeight="1" s="227">
      <c r="A107" s="192" t="inlineStr">
        <is>
          <t>O</t>
        </is>
      </c>
      <c r="B107" s="193" t="n">
        <v>0</v>
      </c>
      <c r="C107" s="193" t="n">
        <v>64.8</v>
      </c>
      <c r="D107" s="193" t="n">
        <v>432.81</v>
      </c>
      <c r="E107" s="193" t="n">
        <v>0</v>
      </c>
      <c r="F107" s="193" t="n">
        <v>497.61</v>
      </c>
      <c r="G107" s="193" t="n">
        <v>166.52</v>
      </c>
      <c r="H107" s="194" t="n">
        <v>0.335</v>
      </c>
    </row>
    <row r="108" ht="15.75" customHeight="1" s="227">
      <c r="A108" s="197" t="inlineStr">
        <is>
          <t>Sum</t>
        </is>
      </c>
      <c r="B108" s="197" t="n"/>
      <c r="C108" s="197" t="n"/>
      <c r="D108" s="197" t="n"/>
      <c r="E108" s="197" t="n"/>
      <c r="F108" s="197" t="n">
        <v>497.61</v>
      </c>
      <c r="G108" s="197" t="n">
        <v>166.52</v>
      </c>
      <c r="H108" s="197" t="n">
        <v>0.335</v>
      </c>
    </row>
    <row r="109" ht="15.75" customHeight="1" s="227">
      <c r="A109" t="inlineStr">
        <is>
          <t>C = 166.5225 / 497.61 = 0.3346</t>
        </is>
      </c>
    </row>
    <row r="112" ht="15" customHeight="1" s="227">
      <c r="A112" s="224" t="inlineStr">
        <is>
          <t>L overland was not surveyed. It was an estimate used only for the entry-time formula.</t>
        </is>
      </c>
    </row>
    <row r="113" ht="15" customHeight="1" s="227">
      <c r="A113" s="225" t="inlineStr">
        <is>
          <t>Formula I used</t>
        </is>
      </c>
    </row>
    <row r="114" ht="15" customHeight="1" s="227">
      <c r="A114" s="224" t="inlineStr">
        <is>
          <t>L_overland (m) ≈ max(10, √A)</t>
        </is>
      </c>
    </row>
    <row r="115" ht="15" customHeight="1" s="227">
      <c r="A115" s="224" t="inlineStr">
        <is>
          <t>MAJ Olivier: P02→J01 (1.4 m); P03→RP03; H/I fusion au J01 dans Calcul_reseau.</t>
        </is>
      </c>
    </row>
    <row r="116" ht="15" customHeight="1" s="227">
      <c r="A116" s="224" t="inlineStr">
        <is>
          <t>Aires L02 (B,C,F) restent sur la branche P02→J01 (colonne G / DA rangée 23).</t>
        </is>
      </c>
    </row>
    <row r="117" ht="15" customHeight="1" s="227">
      <c r="A117" s="225" t="inlineStr">
        <is>
          <t>Examples</t>
        </is>
      </c>
    </row>
    <row r="118" ht="15" customHeight="1" s="227">
      <c r="A118" s="200" t="inlineStr">
        <is>
          <t>Pipe</t>
        </is>
      </c>
      <c r="B118" s="200" t="inlineStr">
        <is>
          <t>A (m²)</t>
        </is>
      </c>
      <c r="C118" s="200" t="inlineStr">
        <is>
          <t>√A</t>
        </is>
      </c>
      <c r="D118" s="200" t="inlineStr">
        <is>
          <t>L overland used</t>
        </is>
      </c>
    </row>
    <row r="119" ht="15" customHeight="1" s="227">
      <c r="A119" s="224" t="inlineStr">
        <is>
          <t>L06</t>
        </is>
      </c>
      <c r="B119" s="224" t="n">
        <v>446.75</v>
      </c>
      <c r="C119" s="224" t="n">
        <v>21.14</v>
      </c>
      <c r="D119" s="224" t="inlineStr">
        <is>
          <t>21.1 m</t>
        </is>
      </c>
    </row>
    <row r="120" ht="15" customHeight="1" s="227">
      <c r="A120" s="224" t="inlineStr">
        <is>
          <t>L07</t>
        </is>
      </c>
      <c r="B120" s="224" t="n">
        <v>442.35</v>
      </c>
      <c r="C120" s="224" t="n">
        <v>21.03</v>
      </c>
      <c r="D120" s="224" t="inlineStr">
        <is>
          <t>21.0 m</t>
        </is>
      </c>
    </row>
    <row r="121" ht="15" customHeight="1" s="227">
      <c r="A121" s="224" t="inlineStr">
        <is>
          <t>L08</t>
        </is>
      </c>
      <c r="B121" s="224" t="n">
        <v>147.9</v>
      </c>
      <c r="C121" s="224" t="n">
        <v>12.16</v>
      </c>
      <c r="D121" s="224" t="inlineStr">
        <is>
          <t>12.2 m</t>
        </is>
      </c>
    </row>
    <row r="122" ht="15" customHeight="1" s="227">
      <c r="A122" s="224" t="inlineStr">
        <is>
          <t>L09</t>
        </is>
      </c>
      <c r="B122" s="224" t="n">
        <v>94.5</v>
      </c>
      <c r="C122" s="224" t="n">
        <v>9.720000000000001</v>
      </c>
      <c r="D122" s="224" t="inlineStr">
        <is>
          <t>10.0 m (minimum 10)</t>
        </is>
      </c>
    </row>
    <row r="123" ht="15" customHeight="1" s="227">
      <c r="A123" s="224" t="inlineStr">
        <is>
          <t>L01</t>
        </is>
      </c>
      <c r="B123" s="224" t="n">
        <v>257.3</v>
      </c>
      <c r="C123" s="224" t="n">
        <v>16.04</v>
      </c>
      <c r="D123" s="224" t="inlineStr">
        <is>
          <t>16.0 m</t>
        </is>
      </c>
    </row>
    <row r="124" ht="15" customHeight="1" s="227">
      <c r="A124" s="224" t="inlineStr">
        <is>
          <t>L02</t>
        </is>
      </c>
      <c r="B124" s="224" t="n">
        <v>467.89</v>
      </c>
      <c r="C124" s="224" t="n">
        <v>21.63</v>
      </c>
      <c r="D124" s="224" t="inlineStr">
        <is>
          <t>21.6 m</t>
        </is>
      </c>
    </row>
    <row r="125" ht="15" customHeight="1" s="227">
      <c r="A125" s="224" t="inlineStr">
        <is>
          <t>L10</t>
        </is>
      </c>
      <c r="B125" s="224" t="n">
        <v>903</v>
      </c>
      <c r="C125" s="224" t="n">
        <v>30.05</v>
      </c>
      <c r="D125" s="224" t="inlineStr">
        <is>
          <t>30.0 m</t>
        </is>
      </c>
    </row>
    <row r="126" ht="15" customHeight="1" s="227">
      <c r="A126" s="224" t="inlineStr">
        <is>
          <t>L11</t>
        </is>
      </c>
      <c r="B126" s="224" t="n">
        <v>497.61</v>
      </c>
      <c r="C126" s="224" t="n">
        <v>22.31</v>
      </c>
      <c r="D126" s="224" t="inlineStr">
        <is>
          <t>22.3 m</t>
        </is>
      </c>
    </row>
    <row r="127" ht="15" customHeight="1" s="227">
      <c r="A127" s="225" t="inlineStr">
        <is>
          <t>Why this was done</t>
        </is>
      </c>
    </row>
    <row r="128" ht="15" customHeight="1" s="227">
      <c r="A128" s="224" t="inlineStr">
        <is>
          <t>The Saint-Hubert sheet needs L, n, and s for:</t>
        </is>
      </c>
    </row>
    <row r="129" ht="15" customHeight="1" s="227">
      <c r="A129" s="224" t="inlineStr">
        <is>
          <t>te = ((2.187 · L · n) / √s)^0.467</t>
        </is>
      </c>
    </row>
    <row r="130" ht="15" customHeight="1" s="227">
      <c r="A130" s="224" t="inlineStr">
        <is>
          <t>Your Reseau_pluvial file had areas, but not measured overland flow lengths, so I used √A as a placeholder.</t>
        </is>
      </c>
    </row>
    <row r="131" ht="15" customHeight="1" s="227">
      <c r="A131" s="225" t="inlineStr">
        <is>
          <t>Better values to use</t>
        </is>
      </c>
    </row>
    <row r="132" ht="15" customHeight="1" s="227">
      <c r="A132" s="224" t="inlineStr">
        <is>
          <t>Replace yellow L overland cells with the real flow path to the catch basin:</t>
        </is>
      </c>
    </row>
    <row r="133" ht="15" customHeight="1" s="227">
      <c r="A133" s="224" t="inlineStr">
        <is>
          <t>roof drain / sheet flow / gutter length to the CB, in metres.</t>
        </is>
      </c>
    </row>
    <row r="134" ht="15" customHeight="1" s="227">
      <c r="A134" s="224" t="inlineStr">
        <is>
          <t>Until then, treat these L values as approximate only.</t>
        </is>
      </c>
    </row>
  </sheetData>
  <mergeCells count="38">
    <mergeCell ref="A116:D116"/>
    <mergeCell ref="A30:H30"/>
    <mergeCell ref="A39:H39"/>
    <mergeCell ref="A131:D131"/>
    <mergeCell ref="A24:H24"/>
    <mergeCell ref="O1:W1"/>
    <mergeCell ref="A134:D134"/>
    <mergeCell ref="A112:D112"/>
    <mergeCell ref="A117:D117"/>
    <mergeCell ref="A115:D115"/>
    <mergeCell ref="A114:D114"/>
    <mergeCell ref="A25:H25"/>
    <mergeCell ref="A127:D127"/>
    <mergeCell ref="A130:D130"/>
    <mergeCell ref="O51:W51"/>
    <mergeCell ref="A27:H27"/>
    <mergeCell ref="O2:W2"/>
    <mergeCell ref="A50:H50"/>
    <mergeCell ref="A132:D132"/>
    <mergeCell ref="A26:H26"/>
    <mergeCell ref="A21:H21"/>
    <mergeCell ref="A4:A5"/>
    <mergeCell ref="A42:H42"/>
    <mergeCell ref="A33:H33"/>
    <mergeCell ref="A128:D128"/>
    <mergeCell ref="A23:H23"/>
    <mergeCell ref="A32:H32"/>
    <mergeCell ref="B4:M4"/>
    <mergeCell ref="A133:D133"/>
    <mergeCell ref="A53:B53"/>
    <mergeCell ref="A22:H22"/>
    <mergeCell ref="A29:H29"/>
    <mergeCell ref="A43:H43"/>
    <mergeCell ref="A28:H28"/>
    <mergeCell ref="A113:D113"/>
    <mergeCell ref="A129:D129"/>
    <mergeCell ref="A31:H31"/>
    <mergeCell ref="A34:H34"/>
  </mergeCells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Guy Trudeau</dc:creator>
  <dc:language>en-CA</dc:language>
  <dcterms:created xsi:type="dcterms:W3CDTF">1996-06-18T17:29:14Z</dcterms:created>
  <dcterms:modified xsi:type="dcterms:W3CDTF">2026-07-31T23:10:13Z</dcterms:modified>
  <cp:lastModifiedBy>Fernando Davila</cp:lastModifiedBy>
  <cp:revision>10</cp:revision>
  <cp:lastPrinted>2010-12-21T21:08:36Z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0x010100BB751D8A11080746B0E3E54BA2C9385D</vt:lpwstr>
  </property>
  <property name="_dlc_DocIdItemGuid" fmtid="{D5CDD505-2E9C-101B-9397-08002B2CF9AE}" pid="3">
    <vt:lpwstr>f8b319b9-1eef-4cfc-afa6-463db90afb96</vt:lpwstr>
  </property>
</Properties>
</file>