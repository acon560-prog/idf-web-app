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e_adaptation" sheetId="1" state="visible" r:id="rId3"/>
    <sheet name="Calcul_reseau" sheetId="2" state="visible" r:id="rId4"/>
    <sheet name="Temps de concentration" sheetId="3" state="visible" r:id="rId5"/>
  </sheets>
  <definedNames>
    <definedName function="false" hidden="false" localSheetId="1" name="_xlnm.Print_Area" vbProcedure="false">Calcul_reseau!$A$1:$AA$35</definedName>
    <definedName function="false" hidden="false" localSheetId="1" name="_xlnm.Print_Titles" vbProcedure="false">Calcul_reseau!$1:$15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<sst xmlns="http://schemas.openxmlformats.org/spreadsheetml/2006/main" count="249" uniqueCount="203">
  <si>
    <t xml:space="preserve">Adaptation méthode simple Saint-Hubert ← données Reseau_pluvial_dimensionnement_v1</t>
  </si>
  <si>
    <t xml:space="preserve">Fichiers sources</t>
  </si>
  <si>
    <t xml:space="preserve">Méthode simple: Dimensionnement réseau pluvial- Saint Hubert - bassin 5 à 60 minutes.xlsx</t>
  </si>
  <si>
    <t xml:space="preserve">Données projet: Reseau_pluvial_dimensionnement_v1.xlsx</t>
  </si>
  <si>
    <t xml:space="preserve">Onglets</t>
  </si>
  <si>
    <t xml:space="preserve">Temps de concentration: aires locales (ha), C, L/n/s overland → temps d’entrée</t>
  </si>
  <si>
    <t xml:space="preserve">Calcul_reseau: tronçons amont→aval, débit rationnel cumulatif, diamètre, capacité, radiers/couverture</t>
  </si>
  <si>
    <t xml:space="preserve">Correspondance topologique utilisée</t>
  </si>
  <si>
    <t xml:space="preserve">L06_P09_P06: P09 → P06 → L07_P07_P06 | L=15.7 m | A=446.8 m² | C≈0.425</t>
  </si>
  <si>
    <t xml:space="preserve">L07_P07_P06: P07 → P06 → L08_P06_P04 | L=12.2 m | A=442.4 m² | C≈0.765</t>
  </si>
  <si>
    <t xml:space="preserve">L08_P06_P04: P06 → P04 → L09_P04_P01 | L=9.6 m | A=147.9 m² | C≈0.684</t>
  </si>
  <si>
    <t xml:space="preserve">L09_P04_P01: P04 → P01 → L01_P01_P02 | L=13.5 m | A=94.5 m² | C≈0.547</t>
  </si>
  <si>
    <t xml:space="preserve">L01_P01_P02: P01 → P02 → L02_P02_P03 | L=14.2 m | A=257.3 m² | C≈0.633</t>
  </si>
  <si>
    <t xml:space="preserve">L02_P02_P03: P02 → P03 → L03_P03_P10 | L=10.6 m | A=467.9 m² | C≈0.642</t>
  </si>
  <si>
    <t xml:space="preserve">L03_P03_P10: P03 → P10 → L10_P10_P11 | L=6.8 m | A=0.0 m² | C≈0.900</t>
  </si>
  <si>
    <t xml:space="preserve">L10_P10_P11: P10 → P11 → L11_P11_P12 | L=14.5 m | A=903.0 m² | C≈0.950</t>
  </si>
  <si>
    <t xml:space="preserve">L11_P11_P12: P11 → P12 → PUB | L=11.7 m | A=497.6 m² | C≈0.335</t>
  </si>
  <si>
    <t xml:space="preserve">Prochaines étapes pour toi</t>
  </si>
  <si>
    <t xml:space="preserve">1) Ouvrir Calcul_reseau et vérifier/ajuster diamètres (colonne N) jusqu’à AB=OK</t>
  </si>
  <si>
    <t xml:space="preserve">2) Ajuster L overland / pentes overland dans Temps de concentration si parcours réel connu</t>
  </si>
  <si>
    <t xml:space="preserve">3) Changer période de retour dans S2 si besoin (1/10, 1/25, 1/100)</t>
  </si>
  <si>
    <t xml:space="preserve">4) Comparer rapidement aux diamètres du classeur v1 si désiré</t>
  </si>
  <si>
    <t xml:space="preserve">Calculs relatifs à un réseau d'égout pluvial</t>
  </si>
  <si>
    <t xml:space="preserve">Projet :</t>
  </si>
  <si>
    <t xml:space="preserve">Réseau pluvial – projet (données Reseau_pluvial_dimensionnement_v1)</t>
  </si>
  <si>
    <t xml:space="preserve">IDF projet (Inputs v1) – courbe 1/10 ans A=508.07 B=2.9 C=0.644</t>
  </si>
  <si>
    <t xml:space="preserve">Période de retour:</t>
  </si>
  <si>
    <t xml:space="preserve">ans</t>
  </si>
  <si>
    <t xml:space="preserve">No dossier :</t>
  </si>
  <si>
    <t xml:space="preserve">Adapté méthode simple Saint-Hubert</t>
  </si>
  <si>
    <t xml:space="preserve">I = A/(t+B)C</t>
  </si>
  <si>
    <t xml:space="preserve">Date :</t>
  </si>
  <si>
    <t xml:space="preserve">2026-07-31</t>
  </si>
  <si>
    <t xml:space="preserve">Réseau local → exutoire P12 / PUB</t>
  </si>
  <si>
    <t xml:space="preserve">Récurence</t>
  </si>
  <si>
    <t xml:space="preserve">A</t>
  </si>
  <si>
    <t xml:space="preserve">B</t>
  </si>
  <si>
    <t xml:space="preserve">C</t>
  </si>
  <si>
    <t xml:space="preserve">1/2 ans</t>
  </si>
  <si>
    <t xml:space="preserve">1/5 ans</t>
  </si>
  <si>
    <t xml:space="preserve">1/10 ans</t>
  </si>
  <si>
    <t xml:space="preserve">1/25 ans</t>
  </si>
  <si>
    <t xml:space="preserve">1/50 ans</t>
  </si>
  <si>
    <t xml:space="preserve">1/100 ans</t>
  </si>
  <si>
    <t xml:space="preserve">Coefficient de Manning:</t>
  </si>
  <si>
    <t xml:space="preserve">Calcul du débit</t>
  </si>
  <si>
    <t xml:space="preserve">Calcul des caractéristiques
de la conduite</t>
  </si>
  <si>
    <t xml:space="preserve">Niveau du sol</t>
  </si>
  <si>
    <t xml:space="preserve">Hauteur
de radier</t>
  </si>
  <si>
    <t xml:space="preserve">Couverture</t>
  </si>
  <si>
    <t xml:space="preserve">Volume retenu dans les conduites</t>
  </si>
  <si>
    <t xml:space="preserve">Tronçon de conduite</t>
  </si>
  <si>
    <t xml:space="preserve">Temps de concentration</t>
  </si>
  <si>
    <t xml:space="preserve">Accroissement (DA)
de l'aire à desservir</t>
  </si>
  <si>
    <t xml:space="preserve">Coefficient de 
ruissellement de DA</t>
  </si>
  <si>
    <t xml:space="preserve">Aire imperméables de DA</t>
  </si>
  <si>
    <t xml:space="preserve">Aire cumulative</t>
  </si>
  <si>
    <t xml:space="preserve">Aire imperméable cumulative</t>
  </si>
  <si>
    <t xml:space="preserve">Coefficient de 
ruissellement de A</t>
  </si>
  <si>
    <t xml:space="preserve">Intensité de précipitation</t>
  </si>
  <si>
    <t xml:space="preserve">Débit maximal = 2,75 x 10-3 AIR</t>
  </si>
  <si>
    <t xml:space="preserve">Pente de la conduite</t>
  </si>
  <si>
    <t xml:space="preserve">Diamètre nominal de la conduite</t>
  </si>
  <si>
    <t xml:space="preserve">Vitesse d'écoulement dans la
conduite coulant à plein débit</t>
  </si>
  <si>
    <t xml:space="preserve">Longueur de la conduite</t>
  </si>
  <si>
    <t xml:space="preserve">Temps d'écoulement
dans la conduite (L/v)</t>
  </si>
  <si>
    <t xml:space="preserve">Capacité hydraulique de la
conduite coulant à plein débit</t>
  </si>
  <si>
    <t xml:space="preserve">Amont</t>
  </si>
  <si>
    <t xml:space="preserve">Aval</t>
  </si>
  <si>
    <t xml:space="preserve">Conduites</t>
  </si>
  <si>
    <t xml:space="preserve">Diamètre de 
la bouche d'égouts</t>
  </si>
  <si>
    <t xml:space="preserve">Volume de la bouche d'égouts</t>
  </si>
  <si>
    <t xml:space="preserve">Vérification de la capacité
de la conduite Qp &gt; Qmax</t>
  </si>
  <si>
    <t xml:space="preserve">Pipe_ID (réf.)</t>
  </si>
  <si>
    <t xml:space="preserve">tc</t>
  </si>
  <si>
    <t xml:space="preserve">DA</t>
  </si>
  <si>
    <t xml:space="preserve">RT</t>
  </si>
  <si>
    <t xml:space="preserve">DART</t>
  </si>
  <si>
    <t xml:space="preserve">AR</t>
  </si>
  <si>
    <t xml:space="preserve">R</t>
  </si>
  <si>
    <t xml:space="preserve">I</t>
  </si>
  <si>
    <t xml:space="preserve">Qmax</t>
  </si>
  <si>
    <t xml:space="preserve">s</t>
  </si>
  <si>
    <t xml:space="preserve">dnom</t>
  </si>
  <si>
    <t xml:space="preserve">v</t>
  </si>
  <si>
    <t xml:space="preserve">L</t>
  </si>
  <si>
    <t xml:space="preserve">tf</t>
  </si>
  <si>
    <t xml:space="preserve">Qp</t>
  </si>
  <si>
    <t xml:space="preserve">ID</t>
  </si>
  <si>
    <t xml:space="preserve">(min)</t>
  </si>
  <si>
    <t xml:space="preserve">(ha)</t>
  </si>
  <si>
    <t xml:space="preserve">(mm/h)</t>
  </si>
  <si>
    <t xml:space="preserve">(m3/s)</t>
  </si>
  <si>
    <t xml:space="preserve">(m/m)</t>
  </si>
  <si>
    <t xml:space="preserve">(mm)</t>
  </si>
  <si>
    <t xml:space="preserve">(m/s)</t>
  </si>
  <si>
    <t xml:space="preserve">(m)</t>
  </si>
  <si>
    <t xml:space="preserve">(m3)</t>
  </si>
  <si>
    <t xml:space="preserve">-</t>
  </si>
  <si>
    <t xml:space="preserve">Tronçons (amont → aval) — données projet</t>
  </si>
  <si>
    <t xml:space="preserve">P09</t>
  </si>
  <si>
    <t xml:space="preserve">@</t>
  </si>
  <si>
    <t xml:space="preserve">P06</t>
  </si>
  <si>
    <t xml:space="preserve">L06_P09_P06</t>
  </si>
  <si>
    <t xml:space="preserve">P07</t>
  </si>
  <si>
    <t xml:space="preserve">L07_P07_P06</t>
  </si>
  <si>
    <t xml:space="preserve">P04</t>
  </si>
  <si>
    <t xml:space="preserve">L08_P06_P04</t>
  </si>
  <si>
    <t xml:space="preserve">P01</t>
  </si>
  <si>
    <t xml:space="preserve">L09_P04_P01</t>
  </si>
  <si>
    <t xml:space="preserve">P02</t>
  </si>
  <si>
    <t xml:space="preserve">L01_P01_P02</t>
  </si>
  <si>
    <t xml:space="preserve">P03</t>
  </si>
  <si>
    <t xml:space="preserve">L02_P02_P03</t>
  </si>
  <si>
    <t xml:space="preserve">P10</t>
  </si>
  <si>
    <t xml:space="preserve">L03_P03_P10</t>
  </si>
  <si>
    <t xml:space="preserve">P11</t>
  </si>
  <si>
    <t xml:space="preserve">L10_P10_P11</t>
  </si>
  <si>
    <t xml:space="preserve">PUB</t>
  </si>
  <si>
    <t xml:space="preserve">L11_P11_P12</t>
  </si>
  <si>
    <t xml:space="preserve">INSTRUCTIONS / HYPOTHÈSES</t>
  </si>
  <si>
    <t xml:space="preserve">Jaune = saisie; Vert = calculé automatiquement (Station Saint-Hubert).</t>
  </si>
  <si>
    <t xml:space="preserve">Source données: Reseau_pluvial_dimensionnement_v1.xlsx (CB_plan aires, Conduites longueurs/topologie, Noeuds élévations, Inputs IDF/n/pente).</t>
  </si>
  <si>
    <t xml:space="preserve">Qmax = 0.00275 × A(ha) × R × I   |   I = A/(tc+B)^C selon période S2 (défaut 1/10 ans).</t>
  </si>
  <si>
    <t xml:space="preserve">v et Qp = Manning pleine section; n = S11 (0.013). Diamètre N est une suggestion — ajuster si AB = AUGMENTER D.</t>
  </si>
  <si>
    <t xml:space="preserve">tc: temps d’entrée (Temps de concentration) puis cumul + temps de parcours Q=L/(v*60).</t>
  </si>
  <si>
    <t xml:space="preserve">Radiers: calés depuis exutoire invert 15.305 m (Inputs), pente min 1%, chute regard 0.02 m.</t>
  </si>
  <si>
    <t xml:space="preserve">Changer la période: modifier S2 (ex. 1/25, 1/100). Les coefficients A,B,C sont dans Q5:T10.</t>
  </si>
  <si>
    <t xml:space="preserve">Cette feuille garde la logique simple demandée; le classeur v1 reste la référence détaillée.</t>
  </si>
  <si>
    <t xml:space="preserve">*</t>
  </si>
  <si>
    <t xml:space="preserve">,0,</t>
  </si>
  <si>
    <t xml:space="preserve">Préparé par:</t>
  </si>
  <si>
    <t xml:space="preserve">Vérifié par:</t>
  </si>
  <si>
    <t xml:space="preserve">Paramètres</t>
  </si>
  <si>
    <t xml:space="preserve">Sous-bassins locaux (par conduite)</t>
  </si>
  <si>
    <t xml:space="preserve">L06</t>
  </si>
  <si>
    <t xml:space="preserve">L07</t>
  </si>
  <si>
    <t xml:space="preserve">L08</t>
  </si>
  <si>
    <t xml:space="preserve">L09</t>
  </si>
  <si>
    <t xml:space="preserve">L01</t>
  </si>
  <si>
    <t xml:space="preserve">L02</t>
  </si>
  <si>
    <t xml:space="preserve">L10</t>
  </si>
  <si>
    <t xml:space="preserve">L11</t>
  </si>
  <si>
    <t xml:space="preserve">Aire (ha)</t>
  </si>
  <si>
    <t xml:space="preserve">temps d'entrée (min.)</t>
  </si>
  <si>
    <t xml:space="preserve">Coef. Ruissellement</t>
  </si>
  <si>
    <t xml:space="preserve">L overland (m)</t>
  </si>
  <si>
    <t xml:space="preserve">n overland</t>
  </si>
  <si>
    <t xml:space="preserve">s overland (m/m)</t>
  </si>
  <si>
    <t xml:space="preserve">Notes</t>
  </si>
  <si>
    <t xml:space="preserve">Jaune = saisie (depuis Reseau_pluvial_dimensionnement_v1). Vert = calculé.</t>
  </si>
  <si>
    <t xml:space="preserve">L overland estimé ≈ √Aire; s = |Zamont-Zaval|/Lpipe. Ajuster si parcours réel connu.</t>
  </si>
  <si>
    <t xml:space="preserve">IDF utilisée dans Calcul_reseau: période 1/10 ans (A=508.07, B=2.9, C=0.644) = Inputs du projet.</t>
  </si>
  <si>
    <t xml:space="preserve">Surface C used (from Inputs):</t>
  </si>
  <si>
    <t xml:space="preserve">roof = 0.95</t>
  </si>
  <si>
    <t xml:space="preserve">pavement = 0.90</t>
  </si>
  <si>
    <t xml:space="preserve">grass = 0.25</t>
  </si>
  <si>
    <t xml:space="preserve">other = 0.60</t>
  </si>
  <si>
    <t xml:space="preserve">For each zone:</t>
  </si>
  <si>
    <t xml:space="preserve">A = roof + pave + grass + other</t>
  </si>
  <si>
    <t xml:space="preserve">A_eff = 0.95·roof + 0.90·pave + 0.25·grass + 0.60·other</t>
  </si>
  <si>
    <t xml:space="preserve">Then for the pipe:</t>
  </si>
  <si>
    <t xml:space="preserve">C = ΣA_eff / ΣA</t>
  </si>
  <si>
    <t xml:space="preserve">L06_P09_P06 → A = 446.75 m² ≈ 446.8, C ≈ 0.425</t>
  </si>
  <si>
    <t xml:space="preserve">Zones J and M only:</t>
  </si>
  <si>
    <t xml:space="preserve">Zone</t>
  </si>
  <si>
    <t xml:space="preserve">Roof</t>
  </si>
  <si>
    <t xml:space="preserve">Pave</t>
  </si>
  <si>
    <t xml:space="preserve">Grass</t>
  </si>
  <si>
    <t xml:space="preserve">Other</t>
  </si>
  <si>
    <t xml:space="preserve">A (m²)</t>
  </si>
  <si>
    <t xml:space="preserve">A_eff (m²)</t>
  </si>
  <si>
    <t xml:space="preserve">C zone</t>
  </si>
  <si>
    <t xml:space="preserve">J</t>
  </si>
  <si>
    <t xml:space="preserve">67.7×0.9 + 81.4×0.25 = 81.28</t>
  </si>
  <si>
    <t xml:space="preserve">M</t>
  </si>
  <si>
    <t xml:space="preserve">66.5+178.75=245.25</t>
  </si>
  <si>
    <t xml:space="preserve">52.4×0.9 + 245.25×0.25 = 108.4725</t>
  </si>
  <si>
    <t xml:space="preserve">Sum</t>
  </si>
  <si>
    <t xml:space="preserve">C = 189.7525 / 446.75 = 0.4247 ≈ 0.425</t>
  </si>
  <si>
    <t xml:space="preserve">L07_P07_P06 → A = 442.35 m², C ≈ 0.765</t>
  </si>
  <si>
    <t xml:space="preserve">Zones H, I, K, L:</t>
  </si>
  <si>
    <t xml:space="preserve">H</t>
  </si>
  <si>
    <t xml:space="preserve">58.2×0.9 + 17.6×0.25 = 56.78</t>
  </si>
  <si>
    <t xml:space="preserve">109.5+10.51=120.01</t>
  </si>
  <si>
    <t xml:space="preserve">120.01×0.9 + 16.2×0.25 = 112.059</t>
  </si>
  <si>
    <t xml:space="preserve">K</t>
  </si>
  <si>
    <t xml:space="preserve">48.8×0.9 + 58.4×0.25 = 58.52</t>
  </si>
  <si>
    <t xml:space="preserve">95.5+10.13+17.51=123.14</t>
  </si>
  <si>
    <t xml:space="preserve">123.14×0.9 = 110.826</t>
  </si>
  <si>
    <t xml:space="preserve">C = 338.185 / 442.35 = 0.7645 ≈ 0.765</t>
  </si>
  <si>
    <t xml:space="preserve">PENTE</t>
  </si>
  <si>
    <t xml:space="preserve">P09 → P06 (L06_P09_P06) → 0.0306</t>
  </si>
  <si>
    <t xml:space="preserve">Item</t>
  </si>
  <si>
    <t xml:space="preserve">Value</t>
  </si>
  <si>
    <t xml:space="preserve">Z P09 (amont)</t>
  </si>
  <si>
    <t xml:space="preserve">17.62 m</t>
  </si>
  <si>
    <t xml:space="preserve">Z P06 (aval)</t>
  </si>
  <si>
    <t xml:space="preserve">17.14 m</t>
  </si>
  <si>
    <t xml:space="preserve">15.7 m</t>
  </si>
  <si>
    <t xml:space="preserve">s = (17.62 - 17.14) / 15.7</t>
  </si>
  <si>
    <t xml:space="preserve"> s = 0.48 / 15.7</t>
  </si>
  <si>
    <t xml:space="preserve"> s = 0.030573 ≈ 0.0306 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</si>
</sst>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# ???/???"/>
    <numFmt numFmtId="167" formatCode="dd/mm/yyyy"/>
    <numFmt numFmtId="168" formatCode="0.0"/>
    <numFmt numFmtId="169" formatCode="0.000"/>
    <numFmt numFmtId="170" formatCode="0.0000"/>
    <numFmt numFmtId="171" formatCode="@"/>
    <numFmt numFmtId="172" formatCode="0.00000"/>
  </numFmts>
  <fonts count="20">
    <font>
      <sz val="12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b val="true"/>
      <sz val="14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2"/>
      <name val="Arial"/>
      <family val="2"/>
      <charset val="1"/>
    </font>
    <font>
      <b val="true"/>
      <sz val="14"/>
      <name val="Arial"/>
      <family val="2"/>
      <charset val="1"/>
    </font>
    <font>
      <b val="true"/>
      <i val="true"/>
      <sz val="14"/>
      <name val="Arial"/>
      <family val="2"/>
      <charset val="1"/>
    </font>
    <font>
      <sz val="11"/>
      <name val="Arial"/>
      <family val="2"/>
      <charset val="1"/>
    </font>
    <font>
      <b val="true"/>
      <i val="true"/>
      <sz val="14"/>
      <name val="Times New Roman"/>
      <family val="1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4"/>
      <name val="Arial"/>
      <family val="2"/>
      <charset val="1"/>
    </font>
    <font>
      <i val="true"/>
      <sz val="12"/>
      <name val="Arial"/>
      <family val="2"/>
      <charset val="1"/>
    </font>
    <font>
      <b val="true"/>
      <sz val="11"/>
      <color rgb="FF1F4E79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2"/>
      <name val="Times New Roman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F99"/>
        <bgColor rgb="FFFFF2CC"/>
      </patternFill>
    </fill>
    <fill>
      <patternFill patternType="solid">
        <fgColor rgb="FFC0C0C0"/>
        <bgColor rgb="FFB0B0B0"/>
      </patternFill>
    </fill>
  </fills>
  <borders count="5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double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double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double"/>
      <top/>
      <bottom/>
      <diagonal/>
    </border>
    <border diagonalUp="false" diagonalDown="false">
      <left style="double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double"/>
      <top/>
      <bottom style="medium"/>
      <diagonal/>
    </border>
    <border diagonalUp="false" diagonalDown="false">
      <left style="double"/>
      <right style="thin"/>
      <top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double"/>
      <top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double"/>
      <top/>
      <bottom style="medium"/>
      <diagonal/>
    </border>
    <border diagonalUp="false" diagonalDown="false">
      <left style="double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5" fontId="8" fillId="0" borderId="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8" fillId="0" borderId="25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9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3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4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3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4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6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8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3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_Tableau" xfId="21"/>
    <cellStyle name="Normal_WS96A2~5" xfId="22"/>
    <cellStyle name="Normal_WS96A2~5 2" xfId="23"/>
  </cellStyles>
  <dxfs count="1"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0B0B0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222120</xdr:colOff>
      <xdr:row>1</xdr:row>
      <xdr:rowOff>63360</xdr:rowOff>
    </xdr:from>
    <xdr:to>
      <xdr:col>4</xdr:col>
      <xdr:colOff>459360</xdr:colOff>
      <xdr:row>4</xdr:row>
      <xdr:rowOff>42480</xdr:rowOff>
    </xdr:to>
    <xdr:pic>
      <xdr:nvPicPr>
        <xdr:cNvPr id="0" name="Picture 1" descr="Marchand_Houle_RGB"/>
        <xdr:cNvPicPr/>
      </xdr:nvPicPr>
      <xdr:blipFill>
        <a:blip r:embed="rId1"/>
        <a:stretch/>
      </xdr:blipFill>
      <xdr:spPr>
        <a:xfrm>
          <a:off x="222120" y="415800"/>
          <a:ext cx="2980440" cy="874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22" activeCellId="0" sqref="A22"/>
    </sheetView>
  </sheetViews>
  <sheetFormatPr defaultColWidth="8.50390625" defaultRowHeight="15" customHeight="tru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0" t="s">
        <v>8</v>
      </c>
    </row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0" t="s">
        <v>18</v>
      </c>
    </row>
    <row r="25" customFormat="false" ht="15" hidden="false" customHeight="false" outlineLevel="0" collapsed="false">
      <c r="A25" s="0" t="s">
        <v>19</v>
      </c>
    </row>
    <row r="26" customFormat="false" ht="15" hidden="false" customHeight="false" outlineLevel="0" collapsed="false">
      <c r="A26" s="0" t="s">
        <v>20</v>
      </c>
    </row>
    <row r="27" customFormat="false" ht="15" hidden="false" customHeight="false" outlineLevel="0" collapsed="false">
      <c r="A27" s="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173"/>
  <sheetViews>
    <sheetView showFormulas="false" showGridLines="true" showRowColHeaders="true" showZeros="true" rightToLeft="false" tabSelected="true" showOutlineSymbols="true" defaultGridColor="true" view="normal" topLeftCell="A13" colorId="64" zoomScale="80" zoomScaleNormal="80" zoomScalePageLayoutView="85" workbookViewId="0">
      <selection pane="topLeft" activeCell="F18" activeCellId="0" sqref="F18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3" width="12"/>
    <col collapsed="false" customWidth="true" hidden="false" outlineLevel="0" max="2" min="2" style="3" width="4"/>
    <col collapsed="false" customWidth="true" hidden="false" outlineLevel="0" max="10" min="3" style="3" width="10"/>
    <col collapsed="false" customWidth="true" hidden="false" outlineLevel="0" max="11" min="11" style="4" width="10"/>
    <col collapsed="false" customWidth="true" hidden="false" outlineLevel="0" max="16" min="12" style="3" width="10"/>
    <col collapsed="false" customWidth="true" hidden="false" outlineLevel="0" max="17" min="17" style="3" width="8"/>
    <col collapsed="false" customWidth="true" hidden="false" outlineLevel="0" max="24" min="18" style="3" width="10"/>
    <col collapsed="false" customWidth="true" hidden="false" outlineLevel="0" max="25" min="25" style="5" width="9"/>
    <col collapsed="false" customWidth="true" hidden="false" outlineLevel="0" max="29" min="26" style="3" width="8.1"/>
    <col collapsed="false" customWidth="false" hidden="false" outlineLevel="0" max="16384" min="30" style="3" width="11"/>
  </cols>
  <sheetData>
    <row r="1" customFormat="false" ht="27.75" hidden="false" customHeight="true" outlineLevel="0" collapsed="false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customFormat="false" ht="24" hidden="false" customHeight="true" outlineLevel="0" collapsed="false">
      <c r="A2" s="7"/>
      <c r="B2" s="8"/>
      <c r="C2" s="8"/>
      <c r="D2" s="8"/>
      <c r="E2" s="8"/>
      <c r="F2" s="9" t="s">
        <v>23</v>
      </c>
      <c r="G2" s="9"/>
      <c r="H2" s="10" t="s">
        <v>24</v>
      </c>
      <c r="I2" s="10"/>
      <c r="J2" s="11"/>
      <c r="K2" s="11"/>
      <c r="L2" s="12"/>
      <c r="M2" s="13" t="s">
        <v>25</v>
      </c>
      <c r="N2" s="13"/>
      <c r="O2" s="13"/>
      <c r="P2" s="13"/>
      <c r="Q2" s="14"/>
      <c r="R2" s="15" t="s">
        <v>26</v>
      </c>
      <c r="S2" s="16" t="n">
        <f aca="false">1/25</f>
        <v>0.04</v>
      </c>
      <c r="T2" s="17" t="s">
        <v>27</v>
      </c>
      <c r="U2" s="8"/>
      <c r="V2" s="8"/>
      <c r="W2" s="8"/>
      <c r="X2" s="8"/>
      <c r="Y2" s="18"/>
      <c r="Z2" s="8"/>
      <c r="AA2" s="19"/>
    </row>
    <row r="3" customFormat="false" ht="24" hidden="false" customHeight="true" outlineLevel="0" collapsed="false">
      <c r="A3" s="20"/>
      <c r="F3" s="21" t="s">
        <v>28</v>
      </c>
      <c r="G3" s="21"/>
      <c r="H3" s="22" t="s">
        <v>29</v>
      </c>
      <c r="I3" s="22"/>
      <c r="J3" s="23"/>
      <c r="K3" s="24"/>
      <c r="L3" s="25"/>
      <c r="M3" s="13"/>
      <c r="N3" s="13"/>
      <c r="O3" s="13"/>
      <c r="P3" s="13"/>
      <c r="Q3" s="26" t="s">
        <v>30</v>
      </c>
      <c r="R3" s="26"/>
      <c r="S3" s="26"/>
      <c r="T3" s="26"/>
      <c r="AA3" s="27"/>
    </row>
    <row r="4" s="3" customFormat="true" ht="22.5" hidden="false" customHeight="true" outlineLevel="0" collapsed="false">
      <c r="A4" s="20"/>
      <c r="F4" s="28"/>
      <c r="G4" s="28" t="s">
        <v>31</v>
      </c>
      <c r="H4" s="29" t="s">
        <v>32</v>
      </c>
      <c r="I4" s="29"/>
      <c r="J4" s="23"/>
      <c r="K4" s="24"/>
      <c r="L4" s="25"/>
      <c r="M4" s="30" t="s">
        <v>33</v>
      </c>
      <c r="N4" s="30"/>
      <c r="O4" s="30"/>
      <c r="P4" s="30"/>
      <c r="Q4" s="31" t="s">
        <v>34</v>
      </c>
      <c r="R4" s="32" t="s">
        <v>35</v>
      </c>
      <c r="S4" s="31" t="s">
        <v>36</v>
      </c>
      <c r="T4" s="33" t="s">
        <v>37</v>
      </c>
      <c r="AA4" s="27"/>
    </row>
    <row r="5" customFormat="false" ht="22.5" hidden="false" customHeight="true" outlineLevel="0" collapsed="false">
      <c r="A5" s="20"/>
      <c r="F5" s="34"/>
      <c r="G5" s="34"/>
      <c r="H5" s="35"/>
      <c r="I5" s="35"/>
      <c r="J5" s="23"/>
      <c r="K5" s="24"/>
      <c r="L5" s="25"/>
      <c r="Q5" s="36" t="s">
        <v>38</v>
      </c>
      <c r="R5" s="37" t="n">
        <v>603.83</v>
      </c>
      <c r="S5" s="38" t="n">
        <v>6.2</v>
      </c>
      <c r="T5" s="39" t="n">
        <v>0.794</v>
      </c>
      <c r="Z5" s="40"/>
      <c r="AA5" s="41"/>
    </row>
    <row r="6" customFormat="false" ht="22.5" hidden="false" customHeight="true" outlineLevel="0" collapsed="false">
      <c r="A6" s="20"/>
      <c r="F6" s="34"/>
      <c r="G6" s="34"/>
      <c r="H6" s="35"/>
      <c r="I6" s="35"/>
      <c r="J6" s="23"/>
      <c r="K6" s="24"/>
      <c r="L6" s="25"/>
      <c r="Q6" s="36" t="s">
        <v>39</v>
      </c>
      <c r="R6" s="37" t="n">
        <v>509.21</v>
      </c>
      <c r="S6" s="38" t="n">
        <v>3.7</v>
      </c>
      <c r="T6" s="39" t="n">
        <v>0.683</v>
      </c>
      <c r="Z6" s="40"/>
      <c r="AA6" s="41"/>
    </row>
    <row r="7" customFormat="false" ht="22.5" hidden="false" customHeight="true" outlineLevel="0" collapsed="false">
      <c r="A7" s="20"/>
      <c r="F7" s="34"/>
      <c r="G7" s="34"/>
      <c r="H7" s="35"/>
      <c r="I7" s="35"/>
      <c r="J7" s="23"/>
      <c r="K7" s="24"/>
      <c r="L7" s="25"/>
      <c r="Q7" s="36" t="s">
        <v>40</v>
      </c>
      <c r="R7" s="37" t="n">
        <v>508.07</v>
      </c>
      <c r="S7" s="38" t="n">
        <v>2.9</v>
      </c>
      <c r="T7" s="39" t="n">
        <v>0.644</v>
      </c>
      <c r="Z7" s="40"/>
      <c r="AA7" s="41"/>
    </row>
    <row r="8" customFormat="false" ht="22.5" hidden="false" customHeight="true" outlineLevel="0" collapsed="false">
      <c r="A8" s="20"/>
      <c r="F8" s="34"/>
      <c r="G8" s="34"/>
      <c r="H8" s="35"/>
      <c r="I8" s="35"/>
      <c r="J8" s="23"/>
      <c r="K8" s="24"/>
      <c r="L8" s="25"/>
      <c r="Q8" s="36" t="s">
        <v>41</v>
      </c>
      <c r="R8" s="37" t="n">
        <v>515.88</v>
      </c>
      <c r="S8" s="38" t="n">
        <v>2.1</v>
      </c>
      <c r="T8" s="39" t="n">
        <v>0.607</v>
      </c>
      <c r="Z8" s="40"/>
      <c r="AA8" s="41"/>
    </row>
    <row r="9" customFormat="false" ht="22.5" hidden="false" customHeight="true" outlineLevel="0" collapsed="false">
      <c r="A9" s="20"/>
      <c r="F9" s="34"/>
      <c r="G9" s="34"/>
      <c r="H9" s="35"/>
      <c r="I9" s="35"/>
      <c r="J9" s="23"/>
      <c r="K9" s="24"/>
      <c r="L9" s="25"/>
      <c r="Q9" s="36" t="s">
        <v>42</v>
      </c>
      <c r="R9" s="37" t="n">
        <v>548.6</v>
      </c>
      <c r="S9" s="38" t="n">
        <v>1.9</v>
      </c>
      <c r="T9" s="39" t="n">
        <v>0.595</v>
      </c>
      <c r="Z9" s="40"/>
      <c r="AA9" s="41"/>
    </row>
    <row r="10" customFormat="false" ht="22.5" hidden="false" customHeight="true" outlineLevel="0" collapsed="false">
      <c r="A10" s="20"/>
      <c r="F10" s="34"/>
      <c r="G10" s="34"/>
      <c r="H10" s="35"/>
      <c r="I10" s="35"/>
      <c r="J10" s="23"/>
      <c r="K10" s="24"/>
      <c r="L10" s="25"/>
      <c r="Q10" s="36" t="s">
        <v>43</v>
      </c>
      <c r="R10" s="37" t="n">
        <v>569.21</v>
      </c>
      <c r="S10" s="38" t="n">
        <v>1.6</v>
      </c>
      <c r="T10" s="39" t="n">
        <v>0.579</v>
      </c>
      <c r="Z10" s="40"/>
      <c r="AA10" s="41"/>
    </row>
    <row r="11" customFormat="false" ht="22.5" hidden="false" customHeight="true" outlineLevel="0" collapsed="false">
      <c r="A11" s="42"/>
      <c r="B11" s="43"/>
      <c r="C11" s="43"/>
      <c r="D11" s="43"/>
      <c r="E11" s="43"/>
      <c r="F11" s="44"/>
      <c r="G11" s="43"/>
      <c r="H11" s="43"/>
      <c r="I11" s="43"/>
      <c r="J11" s="45"/>
      <c r="K11" s="46"/>
      <c r="L11" s="47"/>
      <c r="M11" s="43"/>
      <c r="N11" s="43"/>
      <c r="O11" s="43"/>
      <c r="P11" s="43"/>
      <c r="Q11" s="48"/>
      <c r="R11" s="49" t="s">
        <v>44</v>
      </c>
      <c r="S11" s="50" t="n">
        <v>0.013</v>
      </c>
      <c r="T11" s="51"/>
      <c r="U11" s="43"/>
      <c r="V11" s="52"/>
      <c r="W11" s="53"/>
      <c r="X11" s="43"/>
      <c r="Y11" s="54"/>
      <c r="Z11" s="55"/>
      <c r="AA11" s="56"/>
    </row>
    <row r="12" s="24" customFormat="true" ht="42" hidden="false" customHeight="true" outlineLevel="0" collapsed="false">
      <c r="A12" s="57" t="s">
        <v>45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8" t="s">
        <v>46</v>
      </c>
      <c r="N12" s="58"/>
      <c r="O12" s="58"/>
      <c r="P12" s="58"/>
      <c r="Q12" s="58"/>
      <c r="R12" s="58"/>
      <c r="S12" s="59" t="s">
        <v>47</v>
      </c>
      <c r="T12" s="59"/>
      <c r="U12" s="60" t="s">
        <v>48</v>
      </c>
      <c r="V12" s="60"/>
      <c r="W12" s="61" t="s">
        <v>49</v>
      </c>
      <c r="X12" s="61"/>
      <c r="Y12" s="62" t="s">
        <v>50</v>
      </c>
      <c r="Z12" s="62"/>
      <c r="AA12" s="62"/>
    </row>
    <row r="13" s="77" customFormat="true" ht="189" hidden="false" customHeight="true" outlineLevel="0" collapsed="false">
      <c r="A13" s="63" t="s">
        <v>51</v>
      </c>
      <c r="B13" s="63"/>
      <c r="C13" s="63"/>
      <c r="D13" s="64" t="s">
        <v>52</v>
      </c>
      <c r="E13" s="65" t="s">
        <v>53</v>
      </c>
      <c r="F13" s="65" t="s">
        <v>54</v>
      </c>
      <c r="G13" s="64" t="s">
        <v>55</v>
      </c>
      <c r="H13" s="64" t="s">
        <v>56</v>
      </c>
      <c r="I13" s="64" t="s">
        <v>57</v>
      </c>
      <c r="J13" s="65" t="s">
        <v>58</v>
      </c>
      <c r="K13" s="66" t="s">
        <v>59</v>
      </c>
      <c r="L13" s="67" t="s">
        <v>60</v>
      </c>
      <c r="M13" s="68" t="s">
        <v>61</v>
      </c>
      <c r="N13" s="69" t="s">
        <v>62</v>
      </c>
      <c r="O13" s="70" t="s">
        <v>63</v>
      </c>
      <c r="P13" s="71" t="s">
        <v>64</v>
      </c>
      <c r="Q13" s="72" t="s">
        <v>65</v>
      </c>
      <c r="R13" s="73" t="s">
        <v>66</v>
      </c>
      <c r="S13" s="71" t="s">
        <v>67</v>
      </c>
      <c r="T13" s="71" t="s">
        <v>68</v>
      </c>
      <c r="U13" s="71" t="s">
        <v>67</v>
      </c>
      <c r="V13" s="74" t="s">
        <v>68</v>
      </c>
      <c r="W13" s="71" t="s">
        <v>67</v>
      </c>
      <c r="X13" s="71" t="s">
        <v>68</v>
      </c>
      <c r="Y13" s="71" t="s">
        <v>69</v>
      </c>
      <c r="Z13" s="72" t="s">
        <v>70</v>
      </c>
      <c r="AA13" s="75" t="s">
        <v>71</v>
      </c>
      <c r="AB13" s="76" t="s">
        <v>72</v>
      </c>
      <c r="AC13" s="77" t="s">
        <v>73</v>
      </c>
    </row>
    <row r="14" s="79" customFormat="true" ht="20.25" hidden="false" customHeight="true" outlineLevel="0" collapsed="false">
      <c r="A14" s="78"/>
      <c r="C14" s="80"/>
      <c r="D14" s="80" t="s">
        <v>74</v>
      </c>
      <c r="E14" s="80" t="s">
        <v>75</v>
      </c>
      <c r="F14" s="80" t="s">
        <v>76</v>
      </c>
      <c r="G14" s="80" t="s">
        <v>77</v>
      </c>
      <c r="H14" s="80" t="s">
        <v>35</v>
      </c>
      <c r="I14" s="80" t="s">
        <v>78</v>
      </c>
      <c r="J14" s="80" t="s">
        <v>79</v>
      </c>
      <c r="K14" s="81" t="s">
        <v>80</v>
      </c>
      <c r="L14" s="82" t="s">
        <v>81</v>
      </c>
      <c r="M14" s="83" t="s">
        <v>82</v>
      </c>
      <c r="N14" s="80" t="s">
        <v>83</v>
      </c>
      <c r="O14" s="84" t="s">
        <v>84</v>
      </c>
      <c r="P14" s="80" t="s">
        <v>85</v>
      </c>
      <c r="Q14" s="80" t="s">
        <v>86</v>
      </c>
      <c r="R14" s="85" t="s">
        <v>87</v>
      </c>
      <c r="S14" s="80"/>
      <c r="T14" s="80"/>
      <c r="U14" s="80"/>
      <c r="V14" s="86"/>
      <c r="W14" s="87"/>
      <c r="X14" s="84"/>
      <c r="Y14" s="84"/>
      <c r="Z14" s="88"/>
      <c r="AA14" s="89"/>
      <c r="AC14" s="79" t="s">
        <v>88</v>
      </c>
    </row>
    <row r="15" s="102" customFormat="true" ht="18" hidden="false" customHeight="true" outlineLevel="0" collapsed="false">
      <c r="A15" s="90"/>
      <c r="B15" s="91"/>
      <c r="C15" s="92"/>
      <c r="D15" s="92" t="s">
        <v>89</v>
      </c>
      <c r="E15" s="92" t="s">
        <v>90</v>
      </c>
      <c r="F15" s="92"/>
      <c r="G15" s="92" t="s">
        <v>90</v>
      </c>
      <c r="H15" s="92" t="s">
        <v>90</v>
      </c>
      <c r="I15" s="92" t="s">
        <v>90</v>
      </c>
      <c r="J15" s="92"/>
      <c r="K15" s="93" t="s">
        <v>91</v>
      </c>
      <c r="L15" s="94" t="s">
        <v>92</v>
      </c>
      <c r="M15" s="95" t="s">
        <v>93</v>
      </c>
      <c r="N15" s="92" t="s">
        <v>94</v>
      </c>
      <c r="O15" s="96" t="s">
        <v>95</v>
      </c>
      <c r="P15" s="92" t="s">
        <v>96</v>
      </c>
      <c r="Q15" s="92" t="s">
        <v>89</v>
      </c>
      <c r="R15" s="97" t="s">
        <v>92</v>
      </c>
      <c r="S15" s="92" t="s">
        <v>96</v>
      </c>
      <c r="T15" s="92" t="s">
        <v>96</v>
      </c>
      <c r="U15" s="92" t="s">
        <v>96</v>
      </c>
      <c r="V15" s="98" t="s">
        <v>96</v>
      </c>
      <c r="W15" s="99" t="s">
        <v>96</v>
      </c>
      <c r="X15" s="100" t="s">
        <v>96</v>
      </c>
      <c r="Y15" s="100" t="s">
        <v>97</v>
      </c>
      <c r="Z15" s="96" t="s">
        <v>96</v>
      </c>
      <c r="AA15" s="101" t="s">
        <v>97</v>
      </c>
      <c r="AC15" s="102" t="s">
        <v>98</v>
      </c>
    </row>
    <row r="16" customFormat="false" ht="22.5" hidden="false" customHeight="true" outlineLevel="0" collapsed="false">
      <c r="A16" s="103"/>
      <c r="B16" s="104"/>
      <c r="C16" s="105"/>
      <c r="D16" s="106"/>
      <c r="E16" s="106"/>
      <c r="F16" s="106"/>
      <c r="G16" s="106"/>
      <c r="H16" s="106"/>
      <c r="I16" s="106"/>
      <c r="J16" s="106"/>
      <c r="K16" s="107"/>
      <c r="L16" s="108"/>
      <c r="M16" s="109"/>
      <c r="N16" s="106"/>
      <c r="O16" s="110"/>
      <c r="P16" s="106"/>
      <c r="Q16" s="106"/>
      <c r="R16" s="111"/>
      <c r="S16" s="112"/>
      <c r="T16" s="105"/>
      <c r="U16" s="106"/>
      <c r="V16" s="113"/>
      <c r="X16" s="114"/>
      <c r="Z16" s="114"/>
      <c r="AA16" s="27"/>
      <c r="AC16" s="115"/>
    </row>
    <row r="17" customFormat="false" ht="22.5" hidden="false" customHeight="true" outlineLevel="0" collapsed="false">
      <c r="A17" s="116" t="s">
        <v>99</v>
      </c>
      <c r="B17" s="104"/>
      <c r="C17" s="105"/>
      <c r="D17" s="106"/>
      <c r="E17" s="106"/>
      <c r="F17" s="106"/>
      <c r="G17" s="106"/>
      <c r="H17" s="106"/>
      <c r="I17" s="106"/>
      <c r="J17" s="106"/>
      <c r="K17" s="107"/>
      <c r="L17" s="108"/>
      <c r="M17" s="109"/>
      <c r="N17" s="106"/>
      <c r="O17" s="110"/>
      <c r="P17" s="106"/>
      <c r="Q17" s="106"/>
      <c r="R17" s="111"/>
      <c r="S17" s="112"/>
      <c r="T17" s="105"/>
      <c r="U17" s="106"/>
      <c r="V17" s="113"/>
      <c r="W17" s="117"/>
      <c r="X17" s="107"/>
      <c r="Y17" s="107"/>
      <c r="Z17" s="107"/>
      <c r="AA17" s="118"/>
    </row>
    <row r="18" customFormat="false" ht="22.5" hidden="false" customHeight="true" outlineLevel="0" collapsed="false">
      <c r="A18" s="119" t="s">
        <v>100</v>
      </c>
      <c r="B18" s="119" t="s">
        <v>101</v>
      </c>
      <c r="C18" s="119" t="s">
        <v>102</v>
      </c>
      <c r="D18" s="120" t="n">
        <f aca="false">'Temps de concentration'!B7</f>
        <v>2.17477239296164</v>
      </c>
      <c r="E18" s="121" t="n">
        <v>0.0447</v>
      </c>
      <c r="F18" s="122" t="n">
        <v>0.425</v>
      </c>
      <c r="G18" s="123" t="n">
        <f aca="false">E18*F18</f>
        <v>0.0189975</v>
      </c>
      <c r="H18" s="123" t="n">
        <f aca="false">E18</f>
        <v>0.0447</v>
      </c>
      <c r="I18" s="123" t="n">
        <f aca="false">G18</f>
        <v>0.0189975</v>
      </c>
      <c r="J18" s="124" t="n">
        <f aca="false">IF(H18=0,0,I18/H18)</f>
        <v>0.425</v>
      </c>
      <c r="K18" s="120" t="n">
        <f aca="false">IF($S$2=0.5,$R$5/((D18+$S$5)^$T$5),IF($S$2=0.2,$R$6/((D18+$S$6)^$T$6),IF($S$2=0.1,$R$7/((D18+$S$7)^$T$7),IF($S$2=0.04,$R$8/((D18+$S$8)^$T$8),IF($S$2=0.02,$R$9/((D18+$S$9)^$T$9),$R$10/((D18+$S$10)^$T$10))))))</f>
        <v>213.591764054195</v>
      </c>
      <c r="L18" s="124" t="n">
        <f aca="false">0.00275*H18*J18*K18</f>
        <v>0.0111587012284538</v>
      </c>
      <c r="M18" s="121" t="n">
        <v>0.0306</v>
      </c>
      <c r="N18" s="125" t="n">
        <v>200</v>
      </c>
      <c r="O18" s="120" t="n">
        <f aca="false">IF(OR(N18&lt;=0,M18&lt;=0),0,((N18/4000)^(2/3)*SQRT(M18))/$S$11)</f>
        <v>1.82626598594833</v>
      </c>
      <c r="P18" s="126" t="n">
        <v>15.7</v>
      </c>
      <c r="Q18" s="120" t="n">
        <f aca="false">IF(O18=0,0,P18/(O18*60))</f>
        <v>0.143279603672184</v>
      </c>
      <c r="R18" s="124" t="n">
        <f aca="false">O18*(PI()*(N18/1000)^2/4)</f>
        <v>0.057373838049562</v>
      </c>
      <c r="S18" s="127" t="n">
        <v>17.62</v>
      </c>
      <c r="T18" s="127" t="n">
        <v>17.14</v>
      </c>
      <c r="U18" s="127" t="n">
        <v>16.918</v>
      </c>
      <c r="V18" s="127" t="n">
        <v>16.438</v>
      </c>
      <c r="W18" s="124" t="n">
        <f aca="false">S18-U18-N18/1000</f>
        <v>0.502000000000002</v>
      </c>
      <c r="X18" s="124" t="n">
        <f aca="false">T18-V18-N18/1000</f>
        <v>0.502000000000002</v>
      </c>
      <c r="Y18" s="124" t="n">
        <f aca="false">P18*PI()*(N18/1000)^2/4</f>
        <v>0.493230046613598</v>
      </c>
      <c r="Z18" s="107"/>
      <c r="AA18" s="128"/>
      <c r="AB18" s="129" t="str">
        <f aca="false">IF(R18&gt;L18,"OK","AUGMENTER D")</f>
        <v>OK</v>
      </c>
      <c r="AC18" s="130" t="s">
        <v>103</v>
      </c>
    </row>
    <row r="19" customFormat="false" ht="22.5" hidden="false" customHeight="true" outlineLevel="0" collapsed="false">
      <c r="A19" s="119" t="s">
        <v>104</v>
      </c>
      <c r="B19" s="119" t="s">
        <v>101</v>
      </c>
      <c r="C19" s="119" t="s">
        <v>102</v>
      </c>
      <c r="D19" s="120" t="n">
        <f aca="false">MAX('Temps de concentration'!C7, D18+Q18)</f>
        <v>3.46882004178228</v>
      </c>
      <c r="E19" s="121" t="n">
        <v>0.0442</v>
      </c>
      <c r="F19" s="122" t="n">
        <v>0.765</v>
      </c>
      <c r="G19" s="123" t="n">
        <f aca="false">E19*F19</f>
        <v>0.033813</v>
      </c>
      <c r="H19" s="123" t="n">
        <f aca="false">H18+E19</f>
        <v>0.0889</v>
      </c>
      <c r="I19" s="123" t="n">
        <f aca="false">I18+G19</f>
        <v>0.0528105</v>
      </c>
      <c r="J19" s="124" t="n">
        <f aca="false">IF(H19=0,0,I19/H19)</f>
        <v>0.59404386951631</v>
      </c>
      <c r="K19" s="120" t="n">
        <f aca="false">IF($S$2=0.5,$R$5/((D19+$S$5)^$T$5),IF($S$2=0.2,$R$6/((D19+$S$6)^$T$6),IF($S$2=0.1,$R$7/((D19+$S$7)^$T$7),IF($S$2=0.04,$R$8/((D19+$S$8)^$T$8),IF($S$2=0.02,$R$9/((D19+$S$9)^$T$9),$R$10/((D19+$S$10)^$T$10))))))</f>
        <v>181.915807534771</v>
      </c>
      <c r="L19" s="124" t="n">
        <f aca="false">0.00275*H19*J19*K19</f>
        <v>0.0264194280729913</v>
      </c>
      <c r="M19" s="121" t="n">
        <v>0.01</v>
      </c>
      <c r="N19" s="125" t="n">
        <v>200</v>
      </c>
      <c r="O19" s="120" t="n">
        <f aca="false">IF(OR(N19&lt;=0,M19&lt;=0),0,((N19/4000)^(2/3)*SQRT(M19))/$S$11)</f>
        <v>1.04400677561343</v>
      </c>
      <c r="P19" s="126" t="n">
        <v>12.2</v>
      </c>
      <c r="Q19" s="120" t="n">
        <f aca="false">IF(O19=0,0,P19/(O19*60))</f>
        <v>0.194762465228122</v>
      </c>
      <c r="R19" s="124" t="n">
        <f aca="false">O19*(PI()*(N19/1000)^2/4)</f>
        <v>0.0327984401656511</v>
      </c>
      <c r="S19" s="127" t="n">
        <v>17.09</v>
      </c>
      <c r="T19" s="127" t="n">
        <v>17.14</v>
      </c>
      <c r="U19" s="127" t="n">
        <v>16.418</v>
      </c>
      <c r="V19" s="127" t="n">
        <v>16.296</v>
      </c>
      <c r="W19" s="124" t="n">
        <f aca="false">S19-U19-N19/1000</f>
        <v>0.472000000000001</v>
      </c>
      <c r="X19" s="124" t="n">
        <f aca="false">T19-V19-N19/1000</f>
        <v>0.644000000000001</v>
      </c>
      <c r="Y19" s="124" t="n">
        <f aca="false">P19*PI()*(N19/1000)^2/4</f>
        <v>0.383274303737955</v>
      </c>
      <c r="Z19" s="107"/>
      <c r="AA19" s="128"/>
      <c r="AB19" s="129" t="str">
        <f aca="false">IF(R19&gt;L19,"OK","AUGMENTER D")</f>
        <v>OK</v>
      </c>
      <c r="AC19" s="130" t="s">
        <v>105</v>
      </c>
    </row>
    <row r="20" customFormat="false" ht="22.5" hidden="false" customHeight="true" outlineLevel="0" collapsed="false">
      <c r="A20" s="119" t="s">
        <v>102</v>
      </c>
      <c r="B20" s="119" t="s">
        <v>101</v>
      </c>
      <c r="C20" s="119" t="s">
        <v>106</v>
      </c>
      <c r="D20" s="120" t="n">
        <f aca="false">MAX('Temps de concentration'!D7, D19+Q19)</f>
        <v>3.6635825070104</v>
      </c>
      <c r="E20" s="121" t="n">
        <v>0.0148</v>
      </c>
      <c r="F20" s="122" t="n">
        <v>0.684</v>
      </c>
      <c r="G20" s="123" t="n">
        <f aca="false">E20*F20</f>
        <v>0.0101232</v>
      </c>
      <c r="H20" s="123" t="n">
        <f aca="false">H19+E20</f>
        <v>0.1037</v>
      </c>
      <c r="I20" s="123" t="n">
        <f aca="false">I19+G20</f>
        <v>0.0629337</v>
      </c>
      <c r="J20" s="124" t="n">
        <f aca="false">IF(H20=0,0,I20/H20)</f>
        <v>0.606882352941176</v>
      </c>
      <c r="K20" s="120" t="n">
        <f aca="false">IF($S$2=0.5,$R$5/((D20+$S$5)^$T$5),IF($S$2=0.2,$R$6/((D20+$S$6)^$T$6),IF($S$2=0.1,$R$7/((D20+$S$7)^$T$7),IF($S$2=0.04,$R$8/((D20+$S$8)^$T$8),IF($S$2=0.02,$R$9/((D20+$S$9)^$T$9),$R$10/((D20+$S$10)^$T$10))))))</f>
        <v>178.159233201255</v>
      </c>
      <c r="L20" s="124" t="n">
        <f aca="false">0.00275*H20*J20*K20</f>
        <v>0.0308336042699241</v>
      </c>
      <c r="M20" s="121" t="n">
        <v>0.01</v>
      </c>
      <c r="N20" s="125" t="n">
        <v>200</v>
      </c>
      <c r="O20" s="120" t="n">
        <f aca="false">IF(OR(N20&lt;=0,M20&lt;=0),0,((N20/4000)^(2/3)*SQRT(M20))/$S$11)</f>
        <v>1.04400677561343</v>
      </c>
      <c r="P20" s="126" t="n">
        <v>9.6</v>
      </c>
      <c r="Q20" s="120" t="n">
        <f aca="false">IF(O20=0,0,P20/(O20*60))</f>
        <v>0.15325571034344</v>
      </c>
      <c r="R20" s="124" t="n">
        <f aca="false">O20*(PI()*(N20/1000)^2/4)</f>
        <v>0.0327984401656511</v>
      </c>
      <c r="S20" s="127" t="n">
        <v>17.14</v>
      </c>
      <c r="T20" s="127" t="n">
        <v>17.28</v>
      </c>
      <c r="U20" s="127" t="n">
        <v>16.276</v>
      </c>
      <c r="V20" s="127" t="n">
        <v>16.18</v>
      </c>
      <c r="W20" s="124" t="n">
        <f aca="false">S20-U20-N20/1000</f>
        <v>0.664000000000001</v>
      </c>
      <c r="X20" s="124" t="n">
        <f aca="false">T20-V20-N20/1000</f>
        <v>0.900000000000002</v>
      </c>
      <c r="Y20" s="124" t="n">
        <f aca="false">P20*PI()*(N20/1000)^2/4</f>
        <v>0.30159289474462</v>
      </c>
      <c r="Z20" s="107"/>
      <c r="AA20" s="128"/>
      <c r="AB20" s="129" t="str">
        <f aca="false">IF(R20&gt;L20,"OK","AUGMENTER D")</f>
        <v>OK</v>
      </c>
      <c r="AC20" s="130" t="s">
        <v>107</v>
      </c>
    </row>
    <row r="21" customFormat="false" ht="22.5" hidden="false" customHeight="true" outlineLevel="0" collapsed="false">
      <c r="A21" s="119" t="s">
        <v>106</v>
      </c>
      <c r="B21" s="119" t="s">
        <v>101</v>
      </c>
      <c r="C21" s="119" t="s">
        <v>108</v>
      </c>
      <c r="D21" s="120" t="n">
        <f aca="false">MAX('Temps de concentration'!E7, D20+Q20)</f>
        <v>3.81683821735384</v>
      </c>
      <c r="E21" s="121" t="n">
        <v>0.0095</v>
      </c>
      <c r="F21" s="122" t="n">
        <v>0.547</v>
      </c>
      <c r="G21" s="123" t="n">
        <f aca="false">E21*F21</f>
        <v>0.0051965</v>
      </c>
      <c r="H21" s="123" t="n">
        <f aca="false">H20+E21</f>
        <v>0.1132</v>
      </c>
      <c r="I21" s="123" t="n">
        <f aca="false">I20+G21</f>
        <v>0.0681302</v>
      </c>
      <c r="J21" s="124" t="n">
        <f aca="false">IF(H21=0,0,I21/H21)</f>
        <v>0.601856890459364</v>
      </c>
      <c r="K21" s="120" t="n">
        <f aca="false">IF($S$2=0.5,$R$5/((D21+$S$5)^$T$5),IF($S$2=0.2,$R$6/((D21+$S$6)^$T$6),IF($S$2=0.1,$R$7/((D21+$S$7)^$T$7),IF($S$2=0.04,$R$8/((D21+$S$8)^$T$8),IF($S$2=0.02,$R$9/((D21+$S$9)^$T$9),$R$10/((D21+$S$10)^$T$10))))))</f>
        <v>175.34373229143</v>
      </c>
      <c r="L21" s="124" t="n">
        <f aca="false">0.00275*H21*J21*K21</f>
        <v>0.0328520597618443</v>
      </c>
      <c r="M21" s="121" t="n">
        <v>0.01</v>
      </c>
      <c r="N21" s="125" t="n">
        <v>250</v>
      </c>
      <c r="O21" s="120" t="n">
        <f aca="false">IF(OR(N21&lt;=0,M21&lt;=0),0,((N21/4000)^(2/3)*SQRT(M21))/$S$11)</f>
        <v>1.21146254797584</v>
      </c>
      <c r="P21" s="126" t="n">
        <v>13.5</v>
      </c>
      <c r="Q21" s="120" t="n">
        <f aca="false">IF(O21=0,0,P21/(O21*60))</f>
        <v>0.185725923080279</v>
      </c>
      <c r="R21" s="124" t="n">
        <f aca="false">O21*(PI()*(N21/1000)^2/4)</f>
        <v>0.0594675287628136</v>
      </c>
      <c r="S21" s="127" t="n">
        <v>17.28</v>
      </c>
      <c r="T21" s="127" t="n">
        <v>17.237</v>
      </c>
      <c r="U21" s="127" t="n">
        <v>16.16</v>
      </c>
      <c r="V21" s="127" t="n">
        <v>16.025</v>
      </c>
      <c r="W21" s="124" t="n">
        <f aca="false">S21-U21-N21/1000</f>
        <v>0.870000000000001</v>
      </c>
      <c r="X21" s="124" t="n">
        <f aca="false">T21-V21-N21/1000</f>
        <v>0.962</v>
      </c>
      <c r="Y21" s="124" t="n">
        <f aca="false">P21*PI()*(N21/1000)^2/4</f>
        <v>0.662679700366597</v>
      </c>
      <c r="Z21" s="107"/>
      <c r="AA21" s="128"/>
      <c r="AB21" s="129" t="str">
        <f aca="false">IF(R21&gt;L21,"OK","AUGMENTER D")</f>
        <v>OK</v>
      </c>
      <c r="AC21" s="130" t="s">
        <v>109</v>
      </c>
    </row>
    <row r="22" customFormat="false" ht="22.5" hidden="false" customHeight="true" outlineLevel="0" collapsed="false">
      <c r="A22" s="119" t="s">
        <v>108</v>
      </c>
      <c r="B22" s="119" t="s">
        <v>101</v>
      </c>
      <c r="C22" s="119" t="s">
        <v>110</v>
      </c>
      <c r="D22" s="120" t="n">
        <f aca="false">MAX('Temps de concentration'!F7, D21+Q21)</f>
        <v>4.00256414043412</v>
      </c>
      <c r="E22" s="121" t="n">
        <v>0.0257</v>
      </c>
      <c r="F22" s="122" t="n">
        <v>0.633</v>
      </c>
      <c r="G22" s="123" t="n">
        <f aca="false">E22*F22</f>
        <v>0.0162681</v>
      </c>
      <c r="H22" s="123" t="n">
        <f aca="false">H21+E22</f>
        <v>0.1389</v>
      </c>
      <c r="I22" s="123" t="n">
        <f aca="false">I21+G22</f>
        <v>0.0843983</v>
      </c>
      <c r="J22" s="124" t="n">
        <f aca="false">IF(H22=0,0,I22/H22)</f>
        <v>0.607619150467963</v>
      </c>
      <c r="K22" s="120" t="n">
        <f aca="false">IF($S$2=0.5,$R$5/((D22+$S$5)^$T$5),IF($S$2=0.2,$R$6/((D22+$S$6)^$T$6),IF($S$2=0.1,$R$7/((D22+$S$7)^$T$7),IF($S$2=0.04,$R$8/((D22+$S$8)^$T$8),IF($S$2=0.02,$R$9/((D22+$S$9)^$T$9),$R$10/((D22+$S$10)^$T$10))))))</f>
        <v>172.084871972465</v>
      </c>
      <c r="L22" s="124" t="n">
        <f aca="false">0.00275*H22*J22*K22</f>
        <v>0.0399400942880326</v>
      </c>
      <c r="M22" s="121" t="n">
        <v>0.01</v>
      </c>
      <c r="N22" s="125" t="n">
        <v>250</v>
      </c>
      <c r="O22" s="120" t="n">
        <f aca="false">IF(OR(N22&lt;=0,M22&lt;=0),0,((N22/4000)^(2/3)*SQRT(M22))/$S$11)</f>
        <v>1.21146254797584</v>
      </c>
      <c r="P22" s="126" t="n">
        <v>14.2</v>
      </c>
      <c r="Q22" s="120" t="n">
        <f aca="false">IF(O22=0,0,P22/(O22*60))</f>
        <v>0.195356156128886</v>
      </c>
      <c r="R22" s="124" t="n">
        <f aca="false">O22*(PI()*(N22/1000)^2/4)</f>
        <v>0.0594675287628136</v>
      </c>
      <c r="S22" s="127" t="n">
        <v>17.237</v>
      </c>
      <c r="T22" s="127" t="n">
        <v>17.131</v>
      </c>
      <c r="U22" s="127" t="n">
        <v>16.005</v>
      </c>
      <c r="V22" s="127" t="n">
        <v>15.863</v>
      </c>
      <c r="W22" s="124" t="n">
        <f aca="false">S22-U22-N22/1000</f>
        <v>0.981999999999999</v>
      </c>
      <c r="X22" s="124" t="n">
        <f aca="false">T22-V22-N22/1000</f>
        <v>1.018</v>
      </c>
      <c r="Y22" s="124" t="n">
        <f aca="false">P22*PI()*(N22/1000)^2/4</f>
        <v>0.697040870015235</v>
      </c>
      <c r="Z22" s="107"/>
      <c r="AA22" s="128"/>
      <c r="AB22" s="129" t="str">
        <f aca="false">IF(R22&gt;L22,"OK","AUGMENTER D")</f>
        <v>OK</v>
      </c>
      <c r="AC22" s="130" t="s">
        <v>111</v>
      </c>
    </row>
    <row r="23" customFormat="false" ht="22.5" hidden="false" customHeight="true" outlineLevel="0" collapsed="false">
      <c r="A23" s="119" t="s">
        <v>110</v>
      </c>
      <c r="B23" s="119" t="s">
        <v>101</v>
      </c>
      <c r="C23" s="119" t="s">
        <v>112</v>
      </c>
      <c r="D23" s="120" t="n">
        <f aca="false">MAX('Temps de concentration'!G7, D22+Q22)</f>
        <v>4.19792029656301</v>
      </c>
      <c r="E23" s="121" t="n">
        <v>0.0468</v>
      </c>
      <c r="F23" s="122" t="n">
        <v>0.642</v>
      </c>
      <c r="G23" s="123" t="n">
        <f aca="false">E23*F23</f>
        <v>0.0300456</v>
      </c>
      <c r="H23" s="123" t="n">
        <f aca="false">H22+E23</f>
        <v>0.1857</v>
      </c>
      <c r="I23" s="123" t="n">
        <f aca="false">I22+G23</f>
        <v>0.1144439</v>
      </c>
      <c r="J23" s="124" t="n">
        <f aca="false">IF(H23=0,0,I23/H23)</f>
        <v>0.616283791060851</v>
      </c>
      <c r="K23" s="120" t="n">
        <f aca="false">IF($S$2=0.5,$R$5/((D23+$S$5)^$T$5),IF($S$2=0.2,$R$6/((D23+$S$6)^$T$6),IF($S$2=0.1,$R$7/((D23+$S$7)^$T$7),IF($S$2=0.04,$R$8/((D23+$S$8)^$T$8),IF($S$2=0.02,$R$9/((D23+$S$9)^$T$9),$R$10/((D23+$S$10)^$T$10))))))</f>
        <v>168.824711008889</v>
      </c>
      <c r="L23" s="124" t="n">
        <f aca="false">0.00275*H23*J23*K23</f>
        <v>0.0531326354466329</v>
      </c>
      <c r="M23" s="121" t="n">
        <v>0.0114</v>
      </c>
      <c r="N23" s="125" t="n">
        <v>250</v>
      </c>
      <c r="O23" s="120" t="n">
        <f aca="false">IF(OR(N23&lt;=0,M23&lt;=0),0,((N23/4000)^(2/3)*SQRT(M23))/$S$11)</f>
        <v>1.29348804241433</v>
      </c>
      <c r="P23" s="126" t="n">
        <v>10.6</v>
      </c>
      <c r="Q23" s="120" t="n">
        <f aca="false">IF(O23=0,0,P23/(O23*60))</f>
        <v>0.136581600195479</v>
      </c>
      <c r="R23" s="124" t="n">
        <f aca="false">O23*(PI()*(N23/1000)^2/4)</f>
        <v>0.0634939458055484</v>
      </c>
      <c r="S23" s="127" t="n">
        <v>17.131</v>
      </c>
      <c r="T23" s="127" t="n">
        <v>17.01</v>
      </c>
      <c r="U23" s="127" t="n">
        <v>15.843</v>
      </c>
      <c r="V23" s="127" t="n">
        <v>15.722</v>
      </c>
      <c r="W23" s="124" t="n">
        <f aca="false">S23-U23-N23/1000</f>
        <v>1.038</v>
      </c>
      <c r="X23" s="124" t="n">
        <f aca="false">T23-V23-N23/1000</f>
        <v>1.038</v>
      </c>
      <c r="Y23" s="124" t="n">
        <f aca="false">P23*PI()*(N23/1000)^2/4</f>
        <v>0.520326283250809</v>
      </c>
      <c r="Z23" s="107"/>
      <c r="AA23" s="128"/>
      <c r="AB23" s="129" t="str">
        <f aca="false">IF(R23&gt;L23,"OK","AUGMENTER D")</f>
        <v>OK</v>
      </c>
      <c r="AC23" s="130" t="s">
        <v>113</v>
      </c>
    </row>
    <row r="24" customFormat="false" ht="22.5" hidden="false" customHeight="true" outlineLevel="0" collapsed="false">
      <c r="A24" s="119" t="s">
        <v>112</v>
      </c>
      <c r="B24" s="119" t="s">
        <v>101</v>
      </c>
      <c r="C24" s="119" t="s">
        <v>114</v>
      </c>
      <c r="D24" s="120" t="n">
        <f aca="false">D23+Q23</f>
        <v>4.33450189675849</v>
      </c>
      <c r="E24" s="121" t="n">
        <v>0</v>
      </c>
      <c r="F24" s="122" t="n">
        <v>0.9</v>
      </c>
      <c r="G24" s="123" t="n">
        <f aca="false">E24*F24</f>
        <v>0</v>
      </c>
      <c r="H24" s="123" t="n">
        <f aca="false">H23+E24</f>
        <v>0.1857</v>
      </c>
      <c r="I24" s="123" t="n">
        <f aca="false">I23+G24</f>
        <v>0.1144439</v>
      </c>
      <c r="J24" s="124" t="n">
        <f aca="false">IF(H24=0,0,I24/H24)</f>
        <v>0.616283791060851</v>
      </c>
      <c r="K24" s="120" t="n">
        <f aca="false">IF($S$2=0.5,$R$5/((D24+$S$5)^$T$5),IF($S$2=0.2,$R$6/((D24+$S$6)^$T$6),IF($S$2=0.1,$R$7/((D24+$S$7)^$T$7),IF($S$2=0.04,$R$8/((D24+$S$8)^$T$8),IF($S$2=0.02,$R$9/((D24+$S$9)^$T$9),$R$10/((D24+$S$10)^$T$10))))))</f>
        <v>166.640333726222</v>
      </c>
      <c r="L24" s="124" t="n">
        <f aca="false">0.00275*H24*J24*K24</f>
        <v>0.0524451666445584</v>
      </c>
      <c r="M24" s="121" t="n">
        <v>0.01</v>
      </c>
      <c r="N24" s="125" t="n">
        <v>250</v>
      </c>
      <c r="O24" s="120" t="n">
        <f aca="false">IF(OR(N24&lt;=0,M24&lt;=0),0,((N24/4000)^(2/3)*SQRT(M24))/$S$11)</f>
        <v>1.21146254797584</v>
      </c>
      <c r="P24" s="126" t="n">
        <v>6.8</v>
      </c>
      <c r="Q24" s="120" t="n">
        <f aca="false">IF(O24=0,0,P24/(O24*60))</f>
        <v>0.0935508353293259</v>
      </c>
      <c r="R24" s="124" t="n">
        <f aca="false">O24*(PI()*(N24/1000)^2/4)</f>
        <v>0.0594675287628136</v>
      </c>
      <c r="S24" s="127" t="n">
        <v>17.01</v>
      </c>
      <c r="T24" s="127" t="n">
        <v>16.965</v>
      </c>
      <c r="U24" s="127" t="n">
        <v>15.702</v>
      </c>
      <c r="V24" s="127" t="n">
        <v>15.634</v>
      </c>
      <c r="W24" s="124" t="n">
        <f aca="false">S24-U24-N24/1000</f>
        <v>1.058</v>
      </c>
      <c r="X24" s="124" t="n">
        <f aca="false">T24-V24-N24/1000</f>
        <v>1.081</v>
      </c>
      <c r="Y24" s="124" t="n">
        <f aca="false">P24*PI()*(N24/1000)^2/4</f>
        <v>0.333794219443916</v>
      </c>
      <c r="Z24" s="107"/>
      <c r="AA24" s="128"/>
      <c r="AB24" s="129" t="str">
        <f aca="false">IF(R24&gt;L24,"OK","AUGMENTER D")</f>
        <v>OK</v>
      </c>
      <c r="AC24" s="130" t="s">
        <v>115</v>
      </c>
    </row>
    <row r="25" customFormat="false" ht="22.5" hidden="false" customHeight="true" outlineLevel="0" collapsed="false">
      <c r="A25" s="119" t="s">
        <v>114</v>
      </c>
      <c r="B25" s="119" t="s">
        <v>101</v>
      </c>
      <c r="C25" s="119" t="s">
        <v>116</v>
      </c>
      <c r="D25" s="120" t="n">
        <f aca="false">MAX('Temps de concentration'!H7, D24+Q24)</f>
        <v>4.42805273208781</v>
      </c>
      <c r="E25" s="121" t="n">
        <v>0.0903</v>
      </c>
      <c r="F25" s="122" t="n">
        <v>0.95</v>
      </c>
      <c r="G25" s="123" t="n">
        <f aca="false">E25*F25</f>
        <v>0.085785</v>
      </c>
      <c r="H25" s="123" t="n">
        <f aca="false">H24+E25</f>
        <v>0.276</v>
      </c>
      <c r="I25" s="123" t="n">
        <f aca="false">I24+G25</f>
        <v>0.2002289</v>
      </c>
      <c r="J25" s="124" t="n">
        <f aca="false">IF(H25=0,0,I25/H25)</f>
        <v>0.725467028985507</v>
      </c>
      <c r="K25" s="120" t="n">
        <f aca="false">IF($S$2=0.5,$R$5/((D25+$S$5)^$T$5),IF($S$2=0.2,$R$6/((D25+$S$6)^$T$6),IF($S$2=0.1,$R$7/((D25+$S$7)^$T$7),IF($S$2=0.04,$R$8/((D25+$S$8)^$T$8),IF($S$2=0.02,$R$9/((D25+$S$9)^$T$9),$R$10/((D25+$S$10)^$T$10))))))</f>
        <v>165.186675681197</v>
      </c>
      <c r="L25" s="124" t="n">
        <f aca="false">0.00275*H25*J25*K25</f>
        <v>0.0909566525073327</v>
      </c>
      <c r="M25" s="121" t="n">
        <v>0.01</v>
      </c>
      <c r="N25" s="125" t="n">
        <v>300</v>
      </c>
      <c r="O25" s="120" t="n">
        <f aca="false">IF(OR(N25&lt;=0,M25&lt;=0),0,((N25/4000)^(2/3)*SQRT(M25))/$S$11)</f>
        <v>1.36803588634233</v>
      </c>
      <c r="P25" s="126" t="n">
        <v>14.5</v>
      </c>
      <c r="Q25" s="120" t="n">
        <f aca="false">IF(O25=0,0,P25/(O25*60))</f>
        <v>0.176652286010422</v>
      </c>
      <c r="R25" s="124" t="n">
        <f aca="false">O25*(PI()*(N25/1000)^2/4)</f>
        <v>0.0967007585335561</v>
      </c>
      <c r="S25" s="127" t="n">
        <v>16.965</v>
      </c>
      <c r="T25" s="127" t="n">
        <v>16.874</v>
      </c>
      <c r="U25" s="127" t="n">
        <v>15.614</v>
      </c>
      <c r="V25" s="127" t="n">
        <v>15.469</v>
      </c>
      <c r="W25" s="124" t="n">
        <f aca="false">S25-U25-N25/1000</f>
        <v>1.051</v>
      </c>
      <c r="X25" s="124" t="n">
        <f aca="false">T25-V25-N25/1000</f>
        <v>1.105</v>
      </c>
      <c r="Y25" s="124" t="n">
        <f aca="false">P25*PI()*(N25/1000)^2/4</f>
        <v>1.02494460323367</v>
      </c>
      <c r="Z25" s="107"/>
      <c r="AA25" s="128"/>
      <c r="AB25" s="129" t="str">
        <f aca="false">IF(R25&gt;L25,"OK","AUGMENTER D")</f>
        <v>OK</v>
      </c>
      <c r="AC25" s="130" t="s">
        <v>117</v>
      </c>
    </row>
    <row r="26" customFormat="false" ht="22.5" hidden="false" customHeight="true" outlineLevel="0" collapsed="false">
      <c r="A26" s="119" t="s">
        <v>116</v>
      </c>
      <c r="B26" s="119" t="s">
        <v>101</v>
      </c>
      <c r="C26" s="119" t="s">
        <v>118</v>
      </c>
      <c r="D26" s="120" t="n">
        <f aca="false">MAX('Temps de concentration'!I7, D25+Q25)</f>
        <v>4.60470501809824</v>
      </c>
      <c r="E26" s="121" t="n">
        <v>0.0498</v>
      </c>
      <c r="F26" s="122" t="n">
        <v>0.335</v>
      </c>
      <c r="G26" s="123" t="n">
        <f aca="false">E26*F26</f>
        <v>0.016683</v>
      </c>
      <c r="H26" s="123" t="n">
        <f aca="false">H25+E26</f>
        <v>0.3258</v>
      </c>
      <c r="I26" s="123" t="n">
        <f aca="false">I25+G26</f>
        <v>0.2169119</v>
      </c>
      <c r="J26" s="124" t="n">
        <f aca="false">IF(H26=0,0,I26/H26)</f>
        <v>0.665782381829343</v>
      </c>
      <c r="K26" s="120" t="n">
        <f aca="false">IF($S$2=0.5,$R$5/((D26+$S$5)^$T$5),IF($S$2=0.2,$R$6/((D26+$S$6)^$T$6),IF($S$2=0.1,$R$7/((D26+$S$7)^$T$7),IF($S$2=0.04,$R$8/((D26+$S$8)^$T$8),IF($S$2=0.02,$R$9/((D26+$S$9)^$T$9),$R$10/((D26+$S$10)^$T$10))))))</f>
        <v>162.531007796754</v>
      </c>
      <c r="L26" s="124" t="n">
        <f aca="false">0.00275*H26*J26*K26</f>
        <v>0.0969510017027991</v>
      </c>
      <c r="M26" s="121" t="n">
        <v>0.0123</v>
      </c>
      <c r="N26" s="125" t="n">
        <v>300</v>
      </c>
      <c r="O26" s="120" t="n">
        <f aca="false">IF(OR(N26&lt;=0,M26&lt;=0),0,((N26/4000)^(2/3)*SQRT(M26))/$S$11)</f>
        <v>1.51722519395578</v>
      </c>
      <c r="P26" s="126" t="n">
        <v>11.7</v>
      </c>
      <c r="Q26" s="120" t="n">
        <f aca="false">IF(O26=0,0,P26/(O26*60))</f>
        <v>0.128524098318976</v>
      </c>
      <c r="R26" s="124" t="n">
        <f aca="false">O26*(PI()*(N26/1000)^2/4)</f>
        <v>0.107246329271389</v>
      </c>
      <c r="S26" s="127" t="n">
        <v>16.874</v>
      </c>
      <c r="T26" s="127" t="n">
        <v>16.73</v>
      </c>
      <c r="U26" s="127" t="n">
        <v>15.449</v>
      </c>
      <c r="V26" s="127" t="n">
        <v>15.305</v>
      </c>
      <c r="W26" s="124" t="n">
        <f aca="false">S26-U26-N26/1000</f>
        <v>1.125</v>
      </c>
      <c r="X26" s="124" t="n">
        <f aca="false">T26-V26-N26/1000</f>
        <v>1.125</v>
      </c>
      <c r="Y26" s="124" t="n">
        <f aca="false">P26*PI()*(N26/1000)^2/4</f>
        <v>0.827024266057513</v>
      </c>
      <c r="Z26" s="107"/>
      <c r="AA26" s="128"/>
      <c r="AB26" s="129" t="str">
        <f aca="false">IF(R26&gt;L26,"OK","AUGMENTER D")</f>
        <v>OK</v>
      </c>
      <c r="AC26" s="130" t="s">
        <v>119</v>
      </c>
    </row>
    <row r="27" customFormat="false" ht="22.5" hidden="false" customHeight="true" outlineLevel="0" collapsed="false">
      <c r="A27" s="131"/>
      <c r="B27" s="132"/>
      <c r="C27" s="133"/>
      <c r="D27" s="134"/>
      <c r="E27" s="135"/>
      <c r="F27" s="112"/>
      <c r="G27" s="135"/>
      <c r="H27" s="135"/>
      <c r="I27" s="135"/>
      <c r="J27" s="112"/>
      <c r="K27" s="112"/>
      <c r="L27" s="136"/>
      <c r="M27" s="137"/>
      <c r="N27" s="106"/>
      <c r="O27" s="138"/>
      <c r="P27" s="134"/>
      <c r="Q27" s="112"/>
      <c r="R27" s="136"/>
      <c r="S27" s="112"/>
      <c r="T27" s="112"/>
      <c r="U27" s="107"/>
      <c r="V27" s="139"/>
      <c r="W27" s="117"/>
      <c r="X27" s="107"/>
      <c r="Y27" s="107"/>
      <c r="Z27" s="107"/>
      <c r="AA27" s="128"/>
      <c r="AB27" s="140"/>
    </row>
    <row r="28" customFormat="false" ht="22.5" hidden="false" customHeight="true" outlineLevel="0" collapsed="false">
      <c r="A28" s="131"/>
      <c r="B28" s="132"/>
      <c r="C28" s="133"/>
      <c r="D28" s="134"/>
      <c r="E28" s="135"/>
      <c r="F28" s="112"/>
      <c r="G28" s="135"/>
      <c r="H28" s="135"/>
      <c r="I28" s="135"/>
      <c r="J28" s="112"/>
      <c r="K28" s="112"/>
      <c r="L28" s="136"/>
      <c r="M28" s="137"/>
      <c r="N28" s="106"/>
      <c r="O28" s="138"/>
      <c r="P28" s="134"/>
      <c r="Q28" s="112"/>
      <c r="R28" s="136"/>
      <c r="S28" s="112"/>
      <c r="T28" s="112"/>
      <c r="U28" s="107"/>
      <c r="V28" s="139"/>
      <c r="W28" s="117"/>
      <c r="X28" s="107"/>
      <c r="Y28" s="107"/>
      <c r="Z28" s="107"/>
      <c r="AA28" s="128"/>
      <c r="AB28" s="140"/>
    </row>
    <row r="29" customFormat="false" ht="22.5" hidden="false" customHeight="true" outlineLevel="0" collapsed="false">
      <c r="A29" s="141" t="s">
        <v>120</v>
      </c>
      <c r="B29" s="132"/>
      <c r="C29" s="133"/>
      <c r="D29" s="134"/>
      <c r="E29" s="135"/>
      <c r="F29" s="112"/>
      <c r="G29" s="135"/>
      <c r="H29" s="135"/>
      <c r="I29" s="135"/>
      <c r="J29" s="112"/>
      <c r="K29" s="112"/>
      <c r="L29" s="136"/>
      <c r="M29" s="137"/>
      <c r="N29" s="106"/>
      <c r="O29" s="138"/>
      <c r="P29" s="134"/>
      <c r="Q29" s="112"/>
      <c r="R29" s="136"/>
      <c r="S29" s="112"/>
      <c r="T29" s="112"/>
      <c r="U29" s="107"/>
      <c r="V29" s="139"/>
      <c r="W29" s="117"/>
      <c r="X29" s="107"/>
      <c r="Y29" s="107"/>
      <c r="Z29" s="107"/>
      <c r="AA29" s="128"/>
      <c r="AB29" s="140"/>
    </row>
    <row r="30" customFormat="false" ht="22.5" hidden="false" customHeight="true" outlineLevel="0" collapsed="false">
      <c r="A30" s="142" t="s">
        <v>121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37"/>
      <c r="N30" s="106"/>
      <c r="O30" s="138"/>
      <c r="P30" s="134"/>
      <c r="Q30" s="112"/>
      <c r="R30" s="136"/>
      <c r="S30" s="112"/>
      <c r="T30" s="112"/>
      <c r="U30" s="107"/>
      <c r="V30" s="139"/>
      <c r="W30" s="117"/>
      <c r="X30" s="107"/>
      <c r="Y30" s="107"/>
      <c r="Z30" s="107"/>
      <c r="AA30" s="128"/>
      <c r="AB30" s="140"/>
    </row>
    <row r="31" customFormat="false" ht="22.5" hidden="false" customHeight="true" outlineLevel="0" collapsed="false">
      <c r="A31" s="143" t="s">
        <v>122</v>
      </c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37"/>
      <c r="N31" s="106"/>
      <c r="O31" s="138"/>
      <c r="P31" s="134"/>
      <c r="Q31" s="112"/>
      <c r="R31" s="136"/>
      <c r="S31" s="112"/>
      <c r="T31" s="112"/>
      <c r="U31" s="107"/>
      <c r="V31" s="139"/>
      <c r="W31" s="117"/>
      <c r="X31" s="107"/>
      <c r="Y31" s="107"/>
      <c r="Z31" s="107"/>
      <c r="AA31" s="128"/>
      <c r="AB31" s="140"/>
    </row>
    <row r="32" customFormat="false" ht="22.5" hidden="false" customHeight="true" outlineLevel="0" collapsed="false">
      <c r="A32" s="142" t="s">
        <v>123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37"/>
      <c r="N32" s="106"/>
      <c r="O32" s="138"/>
      <c r="P32" s="134"/>
      <c r="Q32" s="112"/>
      <c r="R32" s="136"/>
      <c r="S32" s="112"/>
      <c r="T32" s="112"/>
      <c r="U32" s="107"/>
      <c r="V32" s="139"/>
      <c r="W32" s="117"/>
      <c r="X32" s="107"/>
      <c r="Y32" s="107"/>
      <c r="Z32" s="107"/>
      <c r="AA32" s="128"/>
      <c r="AB32" s="140"/>
    </row>
    <row r="33" customFormat="false" ht="22.5" hidden="false" customHeight="true" outlineLevel="0" collapsed="false">
      <c r="A33" s="143" t="s">
        <v>124</v>
      </c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4"/>
      <c r="N33" s="106"/>
      <c r="O33" s="138"/>
      <c r="P33" s="134"/>
      <c r="Q33" s="112"/>
      <c r="R33" s="136"/>
      <c r="S33" s="112"/>
      <c r="T33" s="112"/>
      <c r="U33" s="112"/>
      <c r="V33" s="139"/>
      <c r="W33" s="117"/>
      <c r="X33" s="107"/>
      <c r="Y33" s="107"/>
      <c r="Z33" s="107"/>
      <c r="AA33" s="128"/>
      <c r="AC33" s="140"/>
    </row>
    <row r="34" customFormat="false" ht="22.5" hidden="false" customHeight="true" outlineLevel="0" collapsed="false">
      <c r="A34" s="145" t="s">
        <v>125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92"/>
      <c r="O34" s="100"/>
      <c r="P34" s="147"/>
      <c r="Q34" s="93"/>
      <c r="R34" s="148"/>
      <c r="S34" s="93"/>
      <c r="T34" s="93"/>
      <c r="U34" s="93"/>
      <c r="V34" s="149"/>
      <c r="W34" s="150"/>
      <c r="X34" s="151"/>
      <c r="Y34" s="151"/>
      <c r="Z34" s="151"/>
      <c r="AA34" s="152"/>
      <c r="AC34" s="140"/>
    </row>
    <row r="35" customFormat="false" ht="15" hidden="false" customHeight="false" outlineLevel="0" collapsed="false">
      <c r="A35" s="153" t="s">
        <v>126</v>
      </c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</row>
    <row r="36" customFormat="false" ht="15" hidden="false" customHeight="false" outlineLevel="0" collapsed="false">
      <c r="A36" s="153" t="s">
        <v>127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</row>
    <row r="37" customFormat="false" ht="15" hidden="false" customHeight="false" outlineLevel="0" collapsed="false">
      <c r="A37" s="153" t="s">
        <v>128</v>
      </c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</row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81" customFormat="false" ht="15" hidden="false" customHeight="true" outlineLevel="0" collapsed="false">
      <c r="F81" s="3" t="s">
        <v>129</v>
      </c>
    </row>
    <row r="173" customFormat="false" ht="15" hidden="false" customHeight="true" outlineLevel="0" collapsed="false">
      <c r="F173" s="3" t="s">
        <v>130</v>
      </c>
    </row>
  </sheetData>
  <mergeCells count="22">
    <mergeCell ref="A1:AA1"/>
    <mergeCell ref="F2:G2"/>
    <mergeCell ref="M2:P3"/>
    <mergeCell ref="F3:G3"/>
    <mergeCell ref="Q3:T3"/>
    <mergeCell ref="H4:I4"/>
    <mergeCell ref="M4:P4"/>
    <mergeCell ref="A12:L12"/>
    <mergeCell ref="M12:R12"/>
    <mergeCell ref="S12:T12"/>
    <mergeCell ref="U12:V12"/>
    <mergeCell ref="W12:X12"/>
    <mergeCell ref="Y12:AA12"/>
    <mergeCell ref="A13:C13"/>
    <mergeCell ref="A30:L30"/>
    <mergeCell ref="A31:L31"/>
    <mergeCell ref="A32:L32"/>
    <mergeCell ref="A33:L33"/>
    <mergeCell ref="A34:L34"/>
    <mergeCell ref="A35:L35"/>
    <mergeCell ref="A36:L36"/>
    <mergeCell ref="A37:L37"/>
  </mergeCells>
  <conditionalFormatting sqref="AB1:AB1048576">
    <cfRule type="containsText" priority="2" operator="containsText" aboveAverage="0" equalAverage="0" bottom="0" percent="0" rank="0" text="FAUX" dxfId="0">
      <formula>NOT(ISERROR(SEARCH("FAUX",AB1)))</formula>
    </cfRule>
  </conditionalFormatting>
  <printOptions headings="false" gridLines="false" gridLinesSet="true" horizontalCentered="false" verticalCentered="false"/>
  <pageMargins left="0.315277777777778" right="0.236111111111111" top="0.551388888888889" bottom="0.432638888888889" header="0.511811023622047" footer="0.236111111111111"/>
  <pageSetup paperSize="1" scale="100" fitToWidth="1" fitToHeight="3" pageOrder="downThenOver" orientation="landscape" blackAndWhite="false" draft="false" cellComments="none" horizontalDpi="300" verticalDpi="300" copies="1"/>
  <headerFooter differentFirst="false" differentOddEven="false">
    <oddHeader/>
    <oddFooter>&amp;R&amp;"Arial,Regular"&amp;10 &amp;Z&amp;F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0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85" workbookViewId="0">
      <selection pane="topLeft" activeCell="A40" activeCellId="0" sqref="A40"/>
    </sheetView>
  </sheetViews>
  <sheetFormatPr defaultColWidth="9.00390625" defaultRowHeight="15" customHeight="true" zeroHeight="false" outlineLevelRow="0" outlineLevelCol="0"/>
  <cols>
    <col collapsed="false" customWidth="true" hidden="false" outlineLevel="0" max="1" min="1" style="154" width="19.66"/>
    <col collapsed="false" customWidth="true" hidden="false" outlineLevel="0" max="2" min="2" style="0" width="9.83"/>
    <col collapsed="false" customWidth="true" hidden="false" outlineLevel="0" max="4" min="4" style="0" width="9.93"/>
    <col collapsed="false" customWidth="true" hidden="false" outlineLevel="0" max="7" min="7" style="0" width="12.73"/>
    <col collapsed="false" customWidth="false" hidden="false" outlineLevel="0" max="21" min="21" style="155" width="9"/>
  </cols>
  <sheetData>
    <row r="1" customFormat="false" ht="15" hidden="false" customHeight="true" outlineLevel="0" collapsed="false">
      <c r="K1" s="156" t="s">
        <v>131</v>
      </c>
    </row>
    <row r="2" customFormat="false" ht="15" hidden="false" customHeight="true" outlineLevel="0" collapsed="false">
      <c r="K2" s="156" t="s">
        <v>132</v>
      </c>
    </row>
    <row r="4" customFormat="false" ht="15" hidden="false" customHeight="true" outlineLevel="0" collapsed="false">
      <c r="A4" s="157" t="s">
        <v>133</v>
      </c>
      <c r="B4" s="158" t="s">
        <v>134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9"/>
      <c r="O4" s="159"/>
      <c r="P4" s="159"/>
      <c r="Q4" s="159"/>
      <c r="R4" s="159"/>
      <c r="S4" s="159"/>
      <c r="T4" s="159"/>
    </row>
    <row r="5" customFormat="false" ht="15" hidden="false" customHeight="true" outlineLevel="0" collapsed="false">
      <c r="A5" s="157"/>
      <c r="B5" s="160" t="s">
        <v>135</v>
      </c>
      <c r="C5" s="161" t="s">
        <v>136</v>
      </c>
      <c r="D5" s="161" t="s">
        <v>137</v>
      </c>
      <c r="E5" s="161" t="s">
        <v>138</v>
      </c>
      <c r="F5" s="161" t="s">
        <v>139</v>
      </c>
      <c r="G5" s="161" t="s">
        <v>140</v>
      </c>
      <c r="H5" s="161" t="s">
        <v>141</v>
      </c>
      <c r="I5" s="161" t="s">
        <v>142</v>
      </c>
      <c r="J5" s="162"/>
      <c r="K5" s="162"/>
      <c r="L5" s="162"/>
      <c r="M5" s="163"/>
      <c r="N5" s="164"/>
      <c r="O5" s="159"/>
      <c r="P5" s="159"/>
      <c r="Q5" s="164"/>
      <c r="R5" s="159"/>
      <c r="S5" s="159"/>
      <c r="T5" s="159"/>
      <c r="U5" s="159"/>
    </row>
    <row r="6" customFormat="false" ht="15" hidden="false" customHeight="true" outlineLevel="0" collapsed="false">
      <c r="A6" s="165" t="s">
        <v>143</v>
      </c>
      <c r="B6" s="166" t="n">
        <v>0.044675</v>
      </c>
      <c r="C6" s="167" t="n">
        <v>0.044235</v>
      </c>
      <c r="D6" s="167" t="n">
        <v>0.01479</v>
      </c>
      <c r="E6" s="167" t="n">
        <v>0.00945</v>
      </c>
      <c r="F6" s="167" t="n">
        <v>0.02573</v>
      </c>
      <c r="G6" s="167" t="n">
        <v>0.046789</v>
      </c>
      <c r="H6" s="167" t="n">
        <v>0.0903</v>
      </c>
      <c r="I6" s="167" t="n">
        <v>0.049761</v>
      </c>
      <c r="J6" s="168"/>
      <c r="K6" s="168"/>
      <c r="L6" s="169"/>
      <c r="M6" s="170"/>
      <c r="N6" s="159"/>
      <c r="O6" s="159"/>
      <c r="P6" s="159"/>
      <c r="Q6" s="159"/>
      <c r="R6" s="159"/>
      <c r="S6" s="159"/>
      <c r="T6" s="159"/>
      <c r="U6" s="159"/>
    </row>
    <row r="7" customFormat="false" ht="15" hidden="false" customHeight="true" outlineLevel="0" collapsed="false">
      <c r="A7" s="165" t="s">
        <v>144</v>
      </c>
      <c r="B7" s="171" t="n">
        <f aca="false">((2.187*B10*B11)/(B12)^0.5)^0.467</f>
        <v>2.17477239296164</v>
      </c>
      <c r="C7" s="172" t="n">
        <f aca="false">((2.187*C10*C11)/(C12)^0.5)^0.467</f>
        <v>3.46882004178228</v>
      </c>
      <c r="D7" s="172" t="n">
        <f aca="false">((2.187*D10*D11)/(D12)^0.5)^0.467</f>
        <v>2.00162653049097</v>
      </c>
      <c r="E7" s="172" t="n">
        <f aca="false">((2.187*E10*E11)/(E12)^0.5)^0.467</f>
        <v>2.60108931562978</v>
      </c>
      <c r="F7" s="172" t="n">
        <f aca="false">((2.187*F10*F11)/(F12)^0.5)^0.467</f>
        <v>2.65662285968742</v>
      </c>
      <c r="G7" s="172" t="n">
        <f aca="false">((2.187*G10*G11)/(G12)^0.5)^0.467</f>
        <v>2.76703884603922</v>
      </c>
      <c r="H7" s="172" t="n">
        <f aca="false">((2.187*H10*H11)/(H12)^0.5)^0.467</f>
        <v>3.70921868450766</v>
      </c>
      <c r="I7" s="172" t="n">
        <f aca="false">((2.187*I10*I11)/(I12)^0.5)^0.467</f>
        <v>2.75977391435919</v>
      </c>
      <c r="J7" s="173"/>
      <c r="K7" s="173"/>
      <c r="L7" s="173"/>
      <c r="M7" s="174"/>
      <c r="N7" s="175"/>
      <c r="O7" s="175"/>
      <c r="P7" s="175"/>
      <c r="Q7" s="176"/>
      <c r="R7" s="176"/>
      <c r="S7" s="176"/>
      <c r="T7" s="176"/>
      <c r="U7" s="176"/>
      <c r="V7" s="177"/>
      <c r="W7" s="177"/>
      <c r="X7" s="177"/>
      <c r="Y7" s="177"/>
    </row>
    <row r="8" customFormat="false" ht="15" hidden="false" customHeight="true" outlineLevel="0" collapsed="false">
      <c r="A8" s="165" t="s">
        <v>145</v>
      </c>
      <c r="B8" s="178" t="n">
        <v>0.425</v>
      </c>
      <c r="C8" s="179" t="n">
        <v>0.765</v>
      </c>
      <c r="D8" s="179" t="n">
        <v>0.684</v>
      </c>
      <c r="E8" s="179" t="n">
        <v>0.547</v>
      </c>
      <c r="F8" s="179" t="n">
        <v>0.633</v>
      </c>
      <c r="G8" s="179" t="n">
        <v>0.642</v>
      </c>
      <c r="H8" s="179" t="n">
        <v>0.95</v>
      </c>
      <c r="I8" s="179" t="n">
        <v>0.335</v>
      </c>
      <c r="J8" s="180"/>
      <c r="K8" s="180"/>
      <c r="L8" s="180"/>
      <c r="M8" s="181"/>
      <c r="N8" s="159"/>
      <c r="O8" s="159"/>
      <c r="P8" s="159"/>
      <c r="Q8" s="159"/>
      <c r="R8" s="159"/>
      <c r="S8" s="159"/>
      <c r="T8" s="159"/>
      <c r="U8" s="159"/>
    </row>
    <row r="9" customFormat="false" ht="15" hidden="false" customHeight="true" outlineLevel="0" collapsed="false">
      <c r="A9" s="182"/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4"/>
      <c r="N9" s="159"/>
      <c r="O9" s="159"/>
      <c r="P9" s="159"/>
      <c r="Q9" s="159"/>
      <c r="R9" s="159"/>
      <c r="S9" s="159"/>
      <c r="T9" s="159"/>
      <c r="U9" s="159"/>
    </row>
    <row r="10" customFormat="false" ht="15" hidden="false" customHeight="true" outlineLevel="0" collapsed="false">
      <c r="A10" s="165" t="s">
        <v>146</v>
      </c>
      <c r="B10" s="185" t="n">
        <v>21.1</v>
      </c>
      <c r="C10" s="186" t="n">
        <v>21</v>
      </c>
      <c r="D10" s="186" t="n">
        <v>12.2</v>
      </c>
      <c r="E10" s="186" t="n">
        <v>10</v>
      </c>
      <c r="F10" s="186" t="n">
        <v>16</v>
      </c>
      <c r="G10" s="186" t="n">
        <v>21.6</v>
      </c>
      <c r="H10" s="186" t="n">
        <v>30</v>
      </c>
      <c r="I10" s="186" t="n">
        <v>22.3</v>
      </c>
      <c r="J10" s="187"/>
      <c r="K10" s="187"/>
      <c r="L10" s="187"/>
      <c r="M10" s="188"/>
      <c r="N10" s="175"/>
      <c r="O10" s="175"/>
      <c r="P10" s="175"/>
      <c r="Q10" s="175"/>
      <c r="R10" s="175"/>
      <c r="S10" s="175"/>
      <c r="T10" s="175"/>
      <c r="U10" s="159"/>
    </row>
    <row r="11" customFormat="false" ht="15" hidden="false" customHeight="true" outlineLevel="0" collapsed="false">
      <c r="A11" s="165" t="s">
        <v>147</v>
      </c>
      <c r="B11" s="189" t="n">
        <v>0.02</v>
      </c>
      <c r="C11" s="190" t="n">
        <v>0.02</v>
      </c>
      <c r="D11" s="190" t="n">
        <v>0.02</v>
      </c>
      <c r="E11" s="190" t="n">
        <v>0.02</v>
      </c>
      <c r="F11" s="190" t="n">
        <v>0.02</v>
      </c>
      <c r="G11" s="190" t="n">
        <v>0.02</v>
      </c>
      <c r="H11" s="190" t="n">
        <v>0.02</v>
      </c>
      <c r="I11" s="190" t="n">
        <v>0.02</v>
      </c>
      <c r="J11" s="191"/>
      <c r="K11" s="191"/>
      <c r="L11" s="191"/>
      <c r="M11" s="192"/>
      <c r="N11" s="159"/>
      <c r="O11" s="159"/>
      <c r="P11" s="159"/>
      <c r="Q11" s="159"/>
      <c r="R11" s="159"/>
      <c r="S11" s="159"/>
      <c r="T11" s="159"/>
      <c r="U11" s="159"/>
    </row>
    <row r="12" customFormat="false" ht="15" hidden="false" customHeight="true" outlineLevel="0" collapsed="false">
      <c r="A12" s="193" t="s">
        <v>148</v>
      </c>
      <c r="B12" s="194" t="n">
        <v>0.03057</v>
      </c>
      <c r="C12" s="195" t="n">
        <v>0.0041</v>
      </c>
      <c r="D12" s="195" t="n">
        <v>0.01458</v>
      </c>
      <c r="E12" s="195" t="n">
        <v>0.00319</v>
      </c>
      <c r="F12" s="195" t="n">
        <v>0.00746</v>
      </c>
      <c r="G12" s="195" t="n">
        <v>0.01142</v>
      </c>
      <c r="H12" s="195" t="n">
        <v>0.00628</v>
      </c>
      <c r="I12" s="195" t="n">
        <v>0.01231</v>
      </c>
      <c r="J12" s="196"/>
      <c r="K12" s="197"/>
      <c r="L12" s="180"/>
      <c r="M12" s="198"/>
      <c r="N12" s="199"/>
      <c r="O12" s="199"/>
      <c r="P12" s="199"/>
      <c r="Q12" s="199"/>
      <c r="R12" s="199"/>
      <c r="S12" s="199"/>
      <c r="T12" s="159"/>
      <c r="U12" s="159"/>
    </row>
    <row r="14" customFormat="false" ht="15" hidden="false" customHeight="false" outlineLevel="0" collapsed="false">
      <c r="A14" s="154" t="s">
        <v>149</v>
      </c>
    </row>
    <row r="15" customFormat="false" ht="15" hidden="false" customHeight="false" outlineLevel="0" collapsed="false">
      <c r="A15" s="154" t="s">
        <v>150</v>
      </c>
    </row>
    <row r="16" customFormat="false" ht="15" hidden="false" customHeight="false" outlineLevel="0" collapsed="false">
      <c r="A16" s="154" t="s">
        <v>151</v>
      </c>
    </row>
    <row r="17" customFormat="false" ht="15" hidden="false" customHeight="false" outlineLevel="0" collapsed="false">
      <c r="A17" s="154" t="s">
        <v>152</v>
      </c>
    </row>
    <row r="21" customFormat="false" ht="15" hidden="false" customHeight="true" outlineLevel="0" collapsed="false">
      <c r="A21" s="200"/>
      <c r="B21" s="200"/>
      <c r="C21" s="200"/>
      <c r="D21" s="200"/>
      <c r="E21" s="200"/>
      <c r="F21" s="200"/>
      <c r="G21" s="200"/>
      <c r="H21" s="200"/>
    </row>
    <row r="22" customFormat="false" ht="15" hidden="false" customHeight="true" outlineLevel="0" collapsed="false">
      <c r="A22" s="200" t="s">
        <v>153</v>
      </c>
      <c r="B22" s="200"/>
      <c r="C22" s="200"/>
      <c r="D22" s="200"/>
      <c r="E22" s="200"/>
      <c r="F22" s="200"/>
      <c r="G22" s="200"/>
      <c r="H22" s="200"/>
    </row>
    <row r="23" customFormat="false" ht="15" hidden="false" customHeight="true" outlineLevel="0" collapsed="false">
      <c r="A23" s="200" t="s">
        <v>154</v>
      </c>
      <c r="B23" s="200"/>
      <c r="C23" s="200"/>
      <c r="D23" s="200"/>
      <c r="E23" s="200"/>
      <c r="F23" s="200"/>
      <c r="G23" s="200"/>
      <c r="H23" s="200"/>
    </row>
    <row r="24" customFormat="false" ht="15" hidden="false" customHeight="true" outlineLevel="0" collapsed="false">
      <c r="A24" s="200" t="s">
        <v>155</v>
      </c>
      <c r="B24" s="200"/>
      <c r="C24" s="200"/>
      <c r="D24" s="200"/>
      <c r="E24" s="200"/>
      <c r="F24" s="200"/>
      <c r="G24" s="200"/>
      <c r="H24" s="200"/>
    </row>
    <row r="25" customFormat="false" ht="15" hidden="false" customHeight="true" outlineLevel="0" collapsed="false">
      <c r="A25" s="200" t="s">
        <v>156</v>
      </c>
      <c r="B25" s="200"/>
      <c r="C25" s="200"/>
      <c r="D25" s="200"/>
      <c r="E25" s="200"/>
      <c r="F25" s="200"/>
      <c r="G25" s="200"/>
      <c r="H25" s="200"/>
    </row>
    <row r="26" customFormat="false" ht="15" hidden="false" customHeight="true" outlineLevel="0" collapsed="false">
      <c r="A26" s="200" t="s">
        <v>157</v>
      </c>
      <c r="B26" s="200"/>
      <c r="C26" s="200"/>
      <c r="D26" s="200"/>
      <c r="E26" s="200"/>
      <c r="F26" s="200"/>
      <c r="G26" s="200"/>
      <c r="H26" s="200"/>
    </row>
    <row r="27" customFormat="false" ht="15" hidden="false" customHeight="true" outlineLevel="0" collapsed="false">
      <c r="A27" s="200" t="s">
        <v>158</v>
      </c>
      <c r="B27" s="200"/>
      <c r="C27" s="200"/>
      <c r="D27" s="200"/>
      <c r="E27" s="200"/>
      <c r="F27" s="200"/>
      <c r="G27" s="200"/>
      <c r="H27" s="200"/>
    </row>
    <row r="28" customFormat="false" ht="15" hidden="false" customHeight="true" outlineLevel="0" collapsed="false">
      <c r="A28" s="200" t="s">
        <v>159</v>
      </c>
      <c r="B28" s="200"/>
      <c r="C28" s="200"/>
      <c r="D28" s="200"/>
      <c r="E28" s="200"/>
      <c r="F28" s="200"/>
      <c r="G28" s="200"/>
      <c r="H28" s="200"/>
    </row>
    <row r="29" customFormat="false" ht="15" hidden="false" customHeight="true" outlineLevel="0" collapsed="false">
      <c r="A29" s="200" t="s">
        <v>160</v>
      </c>
      <c r="B29" s="200"/>
      <c r="C29" s="200"/>
      <c r="D29" s="200"/>
      <c r="E29" s="200"/>
      <c r="F29" s="200"/>
      <c r="G29" s="200"/>
      <c r="H29" s="200"/>
    </row>
    <row r="30" customFormat="false" ht="15" hidden="false" customHeight="true" outlineLevel="0" collapsed="false">
      <c r="A30" s="200" t="s">
        <v>161</v>
      </c>
      <c r="B30" s="200"/>
      <c r="C30" s="200"/>
      <c r="D30" s="200"/>
      <c r="E30" s="200"/>
      <c r="F30" s="200"/>
      <c r="G30" s="200"/>
      <c r="H30" s="200"/>
    </row>
    <row r="31" customFormat="false" ht="15" hidden="false" customHeight="true" outlineLevel="0" collapsed="false">
      <c r="A31" s="200" t="s">
        <v>162</v>
      </c>
      <c r="B31" s="200"/>
      <c r="C31" s="200"/>
      <c r="D31" s="200"/>
      <c r="E31" s="200"/>
      <c r="F31" s="200"/>
      <c r="G31" s="200"/>
      <c r="H31" s="200"/>
    </row>
    <row r="32" customFormat="false" ht="15" hidden="false" customHeight="true" outlineLevel="0" collapsed="false">
      <c r="A32" s="201"/>
      <c r="B32" s="201"/>
      <c r="C32" s="201"/>
      <c r="D32" s="201"/>
      <c r="E32" s="201"/>
      <c r="F32" s="201"/>
      <c r="G32" s="201"/>
      <c r="H32" s="201"/>
    </row>
    <row r="33" customFormat="false" ht="15" hidden="false" customHeight="true" outlineLevel="0" collapsed="false">
      <c r="A33" s="202" t="s">
        <v>163</v>
      </c>
      <c r="B33" s="202"/>
      <c r="C33" s="202"/>
      <c r="D33" s="202"/>
      <c r="E33" s="202"/>
      <c r="F33" s="202"/>
      <c r="G33" s="202"/>
      <c r="H33" s="202"/>
    </row>
    <row r="34" customFormat="false" ht="15" hidden="false" customHeight="true" outlineLevel="0" collapsed="false">
      <c r="A34" s="200" t="s">
        <v>164</v>
      </c>
      <c r="B34" s="200"/>
      <c r="C34" s="200"/>
      <c r="D34" s="200"/>
      <c r="E34" s="200"/>
      <c r="F34" s="200"/>
      <c r="G34" s="200"/>
      <c r="H34" s="200"/>
    </row>
    <row r="35" customFormat="false" ht="15" hidden="false" customHeight="true" outlineLevel="0" collapsed="false">
      <c r="A35" s="203" t="s">
        <v>165</v>
      </c>
      <c r="B35" s="203" t="s">
        <v>166</v>
      </c>
      <c r="C35" s="203" t="s">
        <v>167</v>
      </c>
      <c r="D35" s="203" t="s">
        <v>168</v>
      </c>
      <c r="E35" s="203" t="s">
        <v>169</v>
      </c>
      <c r="F35" s="203" t="s">
        <v>170</v>
      </c>
      <c r="G35" s="203" t="s">
        <v>171</v>
      </c>
      <c r="H35" s="203" t="s">
        <v>172</v>
      </c>
    </row>
    <row r="36" customFormat="false" ht="15" hidden="false" customHeight="true" outlineLevel="0" collapsed="false">
      <c r="A36" s="200" t="s">
        <v>173</v>
      </c>
      <c r="B36" s="200" t="n">
        <v>0</v>
      </c>
      <c r="C36" s="200" t="n">
        <v>67.7</v>
      </c>
      <c r="D36" s="200" t="n">
        <v>81.4</v>
      </c>
      <c r="E36" s="200" t="n">
        <v>0</v>
      </c>
      <c r="F36" s="200" t="n">
        <v>149.1</v>
      </c>
      <c r="G36" s="200" t="s">
        <v>174</v>
      </c>
      <c r="H36" s="200" t="n">
        <v>0.545</v>
      </c>
    </row>
    <row r="37" customFormat="false" ht="42.15" hidden="false" customHeight="true" outlineLevel="0" collapsed="false">
      <c r="A37" s="200" t="s">
        <v>175</v>
      </c>
      <c r="B37" s="200" t="n">
        <v>0</v>
      </c>
      <c r="C37" s="200" t="n">
        <v>52.4</v>
      </c>
      <c r="D37" s="200" t="s">
        <v>176</v>
      </c>
      <c r="E37" s="200" t="n">
        <v>0</v>
      </c>
      <c r="F37" s="200" t="n">
        <v>297.65</v>
      </c>
      <c r="G37" s="200" t="s">
        <v>177</v>
      </c>
      <c r="H37" s="200" t="n">
        <v>0.364</v>
      </c>
    </row>
    <row r="38" customFormat="false" ht="15" hidden="false" customHeight="true" outlineLevel="0" collapsed="false">
      <c r="A38" s="200" t="s">
        <v>178</v>
      </c>
      <c r="B38" s="201"/>
      <c r="C38" s="201"/>
      <c r="D38" s="201"/>
      <c r="E38" s="201"/>
      <c r="F38" s="200" t="n">
        <v>446.75</v>
      </c>
      <c r="G38" s="200" t="n">
        <v>189.7525</v>
      </c>
      <c r="H38" s="201"/>
    </row>
    <row r="39" customFormat="false" ht="15" hidden="false" customHeight="true" outlineLevel="0" collapsed="false">
      <c r="A39" s="200" t="s">
        <v>179</v>
      </c>
      <c r="B39" s="200"/>
      <c r="C39" s="200"/>
      <c r="D39" s="200"/>
      <c r="E39" s="200"/>
      <c r="F39" s="200"/>
      <c r="G39" s="200"/>
      <c r="H39" s="200"/>
    </row>
    <row r="42" customFormat="false" ht="15" hidden="false" customHeight="true" outlineLevel="0" collapsed="false">
      <c r="A42" s="202" t="s">
        <v>180</v>
      </c>
      <c r="B42" s="202"/>
      <c r="C42" s="202"/>
      <c r="D42" s="202"/>
      <c r="E42" s="202"/>
      <c r="F42" s="202"/>
      <c r="G42" s="202"/>
      <c r="H42" s="202"/>
    </row>
    <row r="43" customFormat="false" ht="15" hidden="false" customHeight="true" outlineLevel="0" collapsed="false">
      <c r="A43" s="200" t="s">
        <v>181</v>
      </c>
      <c r="B43" s="200"/>
      <c r="C43" s="200"/>
      <c r="D43" s="200"/>
      <c r="E43" s="200"/>
      <c r="F43" s="200"/>
      <c r="G43" s="200"/>
      <c r="H43" s="200"/>
    </row>
    <row r="44" customFormat="false" ht="15" hidden="false" customHeight="true" outlineLevel="0" collapsed="false">
      <c r="A44" s="203" t="s">
        <v>165</v>
      </c>
      <c r="B44" s="203" t="s">
        <v>166</v>
      </c>
      <c r="C44" s="203" t="s">
        <v>167</v>
      </c>
      <c r="D44" s="203" t="s">
        <v>168</v>
      </c>
      <c r="E44" s="203" t="s">
        <v>169</v>
      </c>
      <c r="F44" s="203" t="s">
        <v>170</v>
      </c>
      <c r="G44" s="203" t="s">
        <v>171</v>
      </c>
      <c r="H44" s="203" t="s">
        <v>172</v>
      </c>
    </row>
    <row r="45" customFormat="false" ht="15" hidden="false" customHeight="true" outlineLevel="0" collapsed="false">
      <c r="A45" s="200" t="s">
        <v>182</v>
      </c>
      <c r="B45" s="200" t="n">
        <v>0</v>
      </c>
      <c r="C45" s="200" t="n">
        <v>58.2</v>
      </c>
      <c r="D45" s="200" t="n">
        <v>17.6</v>
      </c>
      <c r="E45" s="200" t="n">
        <v>0</v>
      </c>
      <c r="F45" s="200" t="n">
        <v>75.8</v>
      </c>
      <c r="G45" s="200" t="s">
        <v>183</v>
      </c>
      <c r="H45" s="200" t="n">
        <v>0.749</v>
      </c>
    </row>
    <row r="46" customFormat="false" ht="15" hidden="false" customHeight="true" outlineLevel="0" collapsed="false">
      <c r="A46" s="200" t="s">
        <v>80</v>
      </c>
      <c r="B46" s="200" t="n">
        <v>0</v>
      </c>
      <c r="C46" s="200" t="s">
        <v>184</v>
      </c>
      <c r="D46" s="200" t="n">
        <v>16.2</v>
      </c>
      <c r="E46" s="200" t="n">
        <v>0</v>
      </c>
      <c r="F46" s="200" t="n">
        <v>136.21</v>
      </c>
      <c r="G46" s="200" t="s">
        <v>185</v>
      </c>
      <c r="H46" s="200" t="n">
        <v>0.823</v>
      </c>
    </row>
    <row r="47" customFormat="false" ht="15" hidden="false" customHeight="true" outlineLevel="0" collapsed="false">
      <c r="A47" s="200" t="s">
        <v>186</v>
      </c>
      <c r="B47" s="200" t="n">
        <v>0</v>
      </c>
      <c r="C47" s="200" t="n">
        <v>48.8</v>
      </c>
      <c r="D47" s="200" t="n">
        <v>58.4</v>
      </c>
      <c r="E47" s="200" t="n">
        <v>0</v>
      </c>
      <c r="F47" s="200" t="n">
        <v>107.2</v>
      </c>
      <c r="G47" s="200" t="s">
        <v>187</v>
      </c>
      <c r="H47" s="200" t="n">
        <v>0.546</v>
      </c>
    </row>
    <row r="48" customFormat="false" ht="15" hidden="false" customHeight="true" outlineLevel="0" collapsed="false">
      <c r="A48" s="200" t="s">
        <v>85</v>
      </c>
      <c r="B48" s="200" t="n">
        <v>0</v>
      </c>
      <c r="C48" s="200" t="s">
        <v>188</v>
      </c>
      <c r="D48" s="200" t="n">
        <v>0</v>
      </c>
      <c r="E48" s="200" t="n">
        <v>0</v>
      </c>
      <c r="F48" s="200" t="n">
        <v>123.14</v>
      </c>
      <c r="G48" s="200" t="s">
        <v>189</v>
      </c>
      <c r="H48" s="200" t="n">
        <v>0.9</v>
      </c>
    </row>
    <row r="49" customFormat="false" ht="15" hidden="false" customHeight="true" outlineLevel="0" collapsed="false">
      <c r="A49" s="200" t="s">
        <v>178</v>
      </c>
      <c r="B49" s="201"/>
      <c r="C49" s="201"/>
      <c r="D49" s="201"/>
      <c r="E49" s="201"/>
      <c r="F49" s="200" t="n">
        <v>442.35</v>
      </c>
      <c r="G49" s="200" t="n">
        <v>338.185</v>
      </c>
      <c r="H49" s="201"/>
    </row>
    <row r="50" customFormat="false" ht="15" hidden="false" customHeight="true" outlineLevel="0" collapsed="false">
      <c r="A50" s="200" t="s">
        <v>190</v>
      </c>
      <c r="B50" s="200"/>
      <c r="C50" s="200"/>
      <c r="D50" s="200"/>
      <c r="E50" s="200"/>
      <c r="F50" s="200"/>
      <c r="G50" s="200"/>
      <c r="H50" s="200"/>
    </row>
    <row r="52" customFormat="false" ht="15" hidden="false" customHeight="true" outlineLevel="0" collapsed="false">
      <c r="A52" s="204" t="s">
        <v>191</v>
      </c>
    </row>
    <row r="53" customFormat="false" ht="26.5" hidden="false" customHeight="true" outlineLevel="0" collapsed="false">
      <c r="A53" s="202" t="s">
        <v>192</v>
      </c>
      <c r="B53" s="202"/>
    </row>
    <row r="54" customFormat="false" ht="15" hidden="false" customHeight="true" outlineLevel="0" collapsed="false">
      <c r="A54" s="203" t="s">
        <v>193</v>
      </c>
      <c r="B54" s="203" t="s">
        <v>194</v>
      </c>
    </row>
    <row r="55" customFormat="false" ht="15" hidden="false" customHeight="true" outlineLevel="0" collapsed="false">
      <c r="A55" s="200" t="s">
        <v>195</v>
      </c>
      <c r="B55" s="200" t="s">
        <v>196</v>
      </c>
    </row>
    <row r="56" customFormat="false" ht="15" hidden="false" customHeight="true" outlineLevel="0" collapsed="false">
      <c r="A56" s="200" t="s">
        <v>197</v>
      </c>
      <c r="B56" s="200" t="s">
        <v>198</v>
      </c>
    </row>
    <row r="57" customFormat="false" ht="15" hidden="false" customHeight="true" outlineLevel="0" collapsed="false">
      <c r="A57" s="200" t="s">
        <v>85</v>
      </c>
      <c r="B57" s="200" t="s">
        <v>199</v>
      </c>
    </row>
    <row r="58" customFormat="false" ht="31.9" hidden="false" customHeight="true" outlineLevel="0" collapsed="false">
      <c r="A58" s="200" t="s">
        <v>200</v>
      </c>
    </row>
    <row r="59" customFormat="false" ht="15" hidden="false" customHeight="true" outlineLevel="0" collapsed="false">
      <c r="A59" s="200" t="s">
        <v>201</v>
      </c>
    </row>
    <row r="60" customFormat="false" ht="15" hidden="false" customHeight="true" outlineLevel="0" collapsed="false">
      <c r="A60" s="200" t="s">
        <v>202</v>
      </c>
    </row>
  </sheetData>
  <mergeCells count="21">
    <mergeCell ref="A4:A5"/>
    <mergeCell ref="B4:M4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9:H39"/>
    <mergeCell ref="A42:H42"/>
    <mergeCell ref="A43:H43"/>
    <mergeCell ref="A50:H50"/>
    <mergeCell ref="A53:B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1996-06-18T17:29:14Z</dcterms:created>
  <dc:creator>Guy Trudeau</dc:creator>
  <dc:description/>
  <dc:language>en-CA</dc:language>
  <cp:lastModifiedBy/>
  <cp:lastPrinted>2010-12-21T21:08:36Z</cp:lastPrinted>
  <dcterms:modified xsi:type="dcterms:W3CDTF">2026-07-30T22:12:24Z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0x010100BB751D8A11080746B0E3E54BA2C9385D</vt:lpwstr>
  </property>
  <property fmtid="{D5CDD505-2E9C-101B-9397-08002B2CF9AE}" pid="3" name="_dlc_DocIdItemGuid">
    <vt:lpwstr>f8b319b9-1eef-4cfc-afa6-463db90afb96</vt:lpwstr>
  </property>
</Properties>
</file>