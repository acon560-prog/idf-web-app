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Guide_adaptation" sheetId="1" state="visible" r:id="rId1"/>
    <sheet name="Calcul_reseau" sheetId="2" state="visible" r:id="rId2"/>
    <sheet name="Temps de concentration" sheetId="3" state="visible" r:id="rId3"/>
  </sheets>
  <definedNames>
    <definedName name="_xlnm.Print_Titles" localSheetId="1">'Calcul_reseau'!$1:$15</definedName>
    <definedName name="_xlnm.Print_Area" localSheetId="1">'Calcul_reseau'!$A$1:$AA$35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 ???/???"/>
    <numFmt numFmtId="165" formatCode="dd/mm/yyyy"/>
    <numFmt numFmtId="166" formatCode="0.0"/>
    <numFmt numFmtId="167" formatCode="0.000"/>
    <numFmt numFmtId="168" formatCode="0.0000"/>
    <numFmt numFmtId="169" formatCode="0.00000"/>
  </numFmts>
  <fonts count="23">
    <font>
      <name val="Times New Roman"/>
      <charset val="1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Arial"/>
      <charset val="1"/>
      <family val="2"/>
      <sz val="12"/>
    </font>
    <font>
      <name val="Arial"/>
      <charset val="1"/>
      <family val="2"/>
      <b val="1"/>
      <sz val="14"/>
    </font>
    <font>
      <name val="Arial"/>
      <charset val="1"/>
      <family val="2"/>
      <b val="1"/>
      <i val="1"/>
      <sz val="14"/>
    </font>
    <font>
      <name val="Arial"/>
      <charset val="1"/>
      <family val="2"/>
      <sz val="11"/>
    </font>
    <font>
      <name val="Times New Roman"/>
      <charset val="1"/>
      <family val="1"/>
      <b val="1"/>
      <i val="1"/>
      <sz val="14"/>
    </font>
    <font>
      <name val="Arial"/>
      <charset val="1"/>
      <family val="2"/>
      <b val="1"/>
      <sz val="14"/>
      <vertAlign val="superscript"/>
    </font>
    <font>
      <name val="Arial"/>
      <charset val="1"/>
      <family val="2"/>
      <b val="1"/>
      <i val="1"/>
      <sz val="12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Arial"/>
      <charset val="1"/>
      <family val="2"/>
      <i val="1"/>
      <sz val="12"/>
    </font>
    <font>
      <name val="Arial"/>
      <charset val="1"/>
      <family val="2"/>
      <sz val="12"/>
      <vertAlign val="subscript"/>
    </font>
    <font>
      <name val="Arial"/>
      <charset val="1"/>
      <family val="2"/>
      <i val="1"/>
      <sz val="14"/>
      <vertAlign val="subscript"/>
    </font>
    <font>
      <name val="Arial"/>
      <charset val="1"/>
      <family val="2"/>
      <sz val="12"/>
      <vertAlign val="superscript"/>
    </font>
    <font>
      <b val="1"/>
      <color rgb="001F4E79"/>
    </font>
    <font>
      <b val="1"/>
    </font>
    <font>
      <b val="1"/>
      <color rgb="001F4E79"/>
      <sz val="12"/>
    </font>
    <font>
      <b val="1"/>
      <color rgb="001F4E79"/>
      <sz val="14"/>
    </font>
  </fonts>
  <fills count="9">
    <fill>
      <patternFill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65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/>
      <bottom/>
      <diagonal/>
    </border>
    <border>
      <left/>
      <right style="thin"/>
      <top style="thin"/>
      <bottom style="thin"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medium"/>
      <diagonal/>
    </border>
    <border>
      <left/>
      <right style="thin"/>
      <top/>
      <bottom style="medium"/>
      <diagonal/>
    </border>
    <border>
      <left style="thin"/>
      <right style="double"/>
      <top style="medium"/>
      <bottom/>
      <diagonal/>
    </border>
    <border>
      <left/>
      <right/>
      <top style="medium"/>
      <bottom style="medium"/>
      <diagonal/>
    </border>
    <border>
      <left style="thin"/>
      <right style="medium"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medium"/>
      <bottom style="thin"/>
      <diagonal/>
    </border>
    <border>
      <left/>
      <right style="double"/>
      <top style="medium"/>
      <bottom style="thin"/>
      <diagonal/>
    </border>
    <border>
      <left/>
      <right style="medium"/>
      <top style="medium"/>
      <bottom style="thin"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medium"/>
      <top/>
      <bottom/>
      <diagonal/>
    </border>
    <border>
      <left style="thin"/>
      <right style="double"/>
      <top/>
      <bottom/>
      <diagonal/>
    </border>
    <border>
      <left style="double"/>
      <right style="thin"/>
      <top/>
      <bottom/>
      <diagonal/>
    </border>
    <border>
      <left style="medium"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double"/>
      <top/>
      <bottom style="medium"/>
      <diagonal/>
    </border>
    <border>
      <left style="double"/>
      <right style="thin"/>
      <top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 style="medium"/>
      <top/>
      <bottom style="thin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/>
      <right style="double"/>
      <top/>
      <bottom style="thin"/>
      <diagonal/>
    </border>
    <border>
      <left style="thin"/>
      <right style="thin"/>
      <top style="medium"/>
      <bottom/>
      <diagonal/>
    </border>
    <border>
      <left style="double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double"/>
      <top/>
      <bottom style="medium"/>
      <diagonal/>
    </border>
    <border>
      <left style="double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double"/>
      <top style="medium"/>
      <bottom/>
      <diagonal/>
    </border>
    <border>
      <left/>
      <right/>
      <top style="medium"/>
      <bottom style="thin"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medium"/>
      <right style="medium"/>
      <top/>
      <bottom style="thin"/>
      <diagonal/>
    </border>
    <border>
      <left style="medium"/>
      <right style="medium"/>
      <top/>
      <bottom style="medium"/>
      <diagonal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395"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general" vertical="bottom"/>
    </xf>
    <xf numFmtId="0" fontId="6" fillId="0" borderId="3" applyAlignment="1" pivotButton="0" quotePrefix="0" xfId="0">
      <alignment horizontal="general" vertical="bottom"/>
    </xf>
    <xf numFmtId="0" fontId="8" fillId="0" borderId="3" applyAlignment="1" pivotButton="0" quotePrefix="0" xfId="0">
      <alignment horizontal="right" vertical="center"/>
    </xf>
    <xf numFmtId="2" fontId="7" fillId="0" borderId="3" applyAlignment="1" pivotButton="0" quotePrefix="0" xfId="0">
      <alignment horizontal="left" vertical="center"/>
    </xf>
    <xf numFmtId="2" fontId="6" fillId="0" borderId="3" applyAlignment="1" pivotButton="0" quotePrefix="0" xfId="0">
      <alignment horizontal="left" vertical="center"/>
    </xf>
    <xf numFmtId="2" fontId="6" fillId="0" borderId="4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right" vertical="bottom"/>
    </xf>
    <xf numFmtId="164" fontId="5" fillId="0" borderId="8" applyAlignment="1" applyProtection="1" pivotButton="0" quotePrefix="0" xfId="0">
      <alignment horizontal="center" vertical="bottom"/>
      <protection locked="0" hidden="0"/>
    </xf>
    <xf numFmtId="0" fontId="5" fillId="0" borderId="7" applyAlignment="1" pivotButton="0" quotePrefix="0" xfId="0">
      <alignment horizontal="general" vertical="bottom"/>
    </xf>
    <xf numFmtId="2" fontId="6" fillId="0" borderId="3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9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2" fontId="7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0" fontId="10" fillId="0" borderId="11" applyAlignment="1" pivotButton="0" quotePrefix="0" xfId="22">
      <alignment horizontal="center" vertical="center"/>
    </xf>
    <xf numFmtId="0" fontId="6" fillId="0" borderId="1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 vertical="center"/>
    </xf>
    <xf numFmtId="0" fontId="5" fillId="2" borderId="11" applyAlignment="1" pivotButton="0" quotePrefix="0" xfId="22">
      <alignment horizontal="center" vertical="bottom"/>
    </xf>
    <xf numFmtId="166" fontId="5" fillId="2" borderId="11" applyAlignment="1" pivotButton="0" quotePrefix="0" xfId="22">
      <alignment horizontal="center" vertical="bottom"/>
    </xf>
    <xf numFmtId="0" fontId="5" fillId="2" borderId="13" applyAlignment="1" pivotButton="0" quotePrefix="0" xfId="22">
      <alignment horizontal="center" vertical="bottom"/>
    </xf>
    <xf numFmtId="0" fontId="12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2" fontId="5" fillId="0" borderId="11" applyAlignment="1" pivotButton="0" quotePrefix="0" xfId="22">
      <alignment horizontal="right" vertical="bottom"/>
    </xf>
    <xf numFmtId="2" fontId="5" fillId="0" borderId="11" applyAlignment="1" pivotButton="0" quotePrefix="0" xfId="23">
      <alignment horizontal="center" vertical="bottom"/>
    </xf>
    <xf numFmtId="167" fontId="5" fillId="0" borderId="11" applyAlignment="1" pivotButton="0" quotePrefix="0" xfId="23">
      <alignment horizontal="center" vertical="bottom"/>
    </xf>
    <xf numFmtId="167" fontId="5" fillId="0" borderId="13" applyAlignment="1" pivotButton="0" quotePrefix="0" xfId="23">
      <alignment horizontal="center" vertical="bottom"/>
    </xf>
    <xf numFmtId="0" fontId="6" fillId="0" borderId="0" applyAlignment="1" pivotButton="0" quotePrefix="0" xfId="0">
      <alignment horizontal="right" vertical="bottom"/>
    </xf>
    <xf numFmtId="2" fontId="6" fillId="0" borderId="10" applyAlignment="1" pivotButton="0" quotePrefix="0" xfId="0">
      <alignment horizontal="center" vertical="bottom"/>
    </xf>
    <xf numFmtId="0" fontId="6" fillId="0" borderId="14" applyAlignment="1" pivotButton="0" quotePrefix="0" xfId="0">
      <alignment horizontal="general" vertical="bottom"/>
    </xf>
    <xf numFmtId="0" fontId="6" fillId="0" borderId="15" applyAlignment="1" pivotButton="0" quotePrefix="0" xfId="0">
      <alignment horizontal="general" vertical="bottom"/>
    </xf>
    <xf numFmtId="0" fontId="12" fillId="0" borderId="15" applyAlignment="1" pivotButton="0" quotePrefix="0" xfId="0">
      <alignment horizontal="left" vertical="center"/>
    </xf>
    <xf numFmtId="2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9" fillId="0" borderId="15" applyAlignment="1" pivotButton="0" quotePrefix="0" xfId="0">
      <alignment horizontal="general" vertical="bottom"/>
    </xf>
    <xf numFmtId="0" fontId="5" fillId="0" borderId="15" applyAlignment="1" pivotButton="0" quotePrefix="0" xfId="0">
      <alignment horizontal="right" vertical="bottom"/>
    </xf>
    <xf numFmtId="0" fontId="5" fillId="0" borderId="17" applyAlignment="1" pivotButton="0" quotePrefix="0" xfId="0">
      <alignment horizontal="center" vertical="bottom"/>
    </xf>
    <xf numFmtId="0" fontId="5" fillId="0" borderId="15" applyAlignment="1" pivotButton="0" quotePrefix="0" xfId="0">
      <alignment horizontal="general" vertical="bottom"/>
    </xf>
    <xf numFmtId="2" fontId="13" fillId="0" borderId="15" applyAlignment="1" pivotButton="0" quotePrefix="0" xfId="21">
      <alignment horizontal="center" vertical="bottom"/>
    </xf>
    <xf numFmtId="0" fontId="14" fillId="0" borderId="15" applyAlignment="1" pivotButton="0" quotePrefix="0" xfId="0">
      <alignment horizontal="center" vertical="bottom"/>
    </xf>
    <xf numFmtId="2" fontId="6" fillId="0" borderId="15" applyAlignment="1" pivotButton="0" quotePrefix="0" xfId="0">
      <alignment horizontal="general" vertical="bottom"/>
    </xf>
    <xf numFmtId="0" fontId="6" fillId="0" borderId="15" applyAlignment="1" pivotButton="0" quotePrefix="0" xfId="0">
      <alignment horizontal="right" vertical="bottom"/>
    </xf>
    <xf numFmtId="2" fontId="13" fillId="0" borderId="16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3" fillId="2" borderId="18" applyAlignment="1" pivotButton="0" quotePrefix="0" xfId="0">
      <alignment horizontal="center" vertical="center"/>
    </xf>
    <xf numFmtId="0" fontId="13" fillId="2" borderId="19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0" fontId="13" fillId="2" borderId="21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bottom" textRotation="90"/>
    </xf>
    <xf numFmtId="0" fontId="6" fillId="0" borderId="6" applyAlignment="1" pivotButton="0" quotePrefix="0" xfId="0">
      <alignment horizontal="center" vertical="bottom" textRotation="90"/>
    </xf>
    <xf numFmtId="0" fontId="6" fillId="0" borderId="6" applyAlignment="1" pivotButton="0" quotePrefix="0" xfId="0">
      <alignment horizontal="center" vertical="bottom" textRotation="90" wrapText="1"/>
    </xf>
    <xf numFmtId="2" fontId="6" fillId="0" borderId="6" applyAlignment="1" pivotButton="0" quotePrefix="0" xfId="0">
      <alignment horizontal="center" vertical="bottom" textRotation="90"/>
    </xf>
    <xf numFmtId="0" fontId="6" fillId="0" borderId="23" applyAlignment="1" pivotButton="0" quotePrefix="0" xfId="0">
      <alignment horizontal="center" vertical="bottom" textRotation="90"/>
    </xf>
    <xf numFmtId="0" fontId="6" fillId="0" borderId="24" applyAlignment="1" pivotButton="0" quotePrefix="0" xfId="0">
      <alignment horizontal="center" vertical="bottom" textRotation="90"/>
    </xf>
    <xf numFmtId="0" fontId="6" fillId="0" borderId="8" applyAlignment="1" pivotButton="0" quotePrefix="0" xfId="0">
      <alignment horizontal="center" vertical="bottom" textRotation="90"/>
    </xf>
    <xf numFmtId="0" fontId="6" fillId="0" borderId="8" applyAlignment="1" pivotButton="0" quotePrefix="0" xfId="0">
      <alignment horizontal="center" vertical="bottom" textRotation="90" wrapText="1"/>
    </xf>
    <xf numFmtId="0" fontId="6" fillId="0" borderId="7" applyAlignment="1" pivotButton="0" quotePrefix="0" xfId="0">
      <alignment horizontal="center" vertical="bottom" textRotation="90"/>
    </xf>
    <xf numFmtId="0" fontId="6" fillId="0" borderId="7" applyAlignment="1" pivotButton="0" quotePrefix="0" xfId="0">
      <alignment horizontal="center" vertical="bottom" textRotation="90" wrapText="1"/>
    </xf>
    <xf numFmtId="0" fontId="6" fillId="0" borderId="23" applyAlignment="1" pivotButton="0" quotePrefix="0" xfId="0">
      <alignment horizontal="center" vertical="bottom" textRotation="90" wrapText="1"/>
    </xf>
    <xf numFmtId="0" fontId="6" fillId="0" borderId="25" applyAlignment="1" pivotButton="0" quotePrefix="0" xfId="0">
      <alignment horizontal="center" vertical="bottom" textRotation="90"/>
    </xf>
    <xf numFmtId="0" fontId="6" fillId="0" borderId="26" applyAlignment="1" pivotButton="0" quotePrefix="0" xfId="0">
      <alignment horizontal="center" vertical="bottom" textRotation="90"/>
    </xf>
    <xf numFmtId="0" fontId="6" fillId="0" borderId="0" applyAlignment="1" pivotButton="0" quotePrefix="0" xfId="0">
      <alignment horizontal="right" vertical="bottom" textRotation="90" wrapText="1"/>
    </xf>
    <xf numFmtId="0" fontId="6" fillId="0" borderId="0" applyAlignment="1" pivotButton="0" quotePrefix="0" xfId="0">
      <alignment horizontal="right" vertical="bottom" textRotation="90"/>
    </xf>
    <xf numFmtId="0" fontId="15" fillId="0" borderId="9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5" fillId="0" borderId="27" applyAlignment="1" pivotButton="0" quotePrefix="0" xfId="0">
      <alignment horizontal="center" vertical="bottom"/>
    </xf>
    <xf numFmtId="2" fontId="15" fillId="0" borderId="27" applyAlignment="1" pivotButton="0" quotePrefix="0" xfId="0">
      <alignment horizontal="center" vertical="bottom"/>
    </xf>
    <xf numFmtId="0" fontId="15" fillId="0" borderId="10" applyAlignment="1" pivotButton="0" quotePrefix="0" xfId="0">
      <alignment horizontal="center" vertical="bottom"/>
    </xf>
    <xf numFmtId="0" fontId="15" fillId="0" borderId="12" applyAlignment="1" pivotButton="0" quotePrefix="0" xfId="0">
      <alignment horizontal="center" vertical="bottom"/>
    </xf>
    <xf numFmtId="0" fontId="15" fillId="0" borderId="28" applyAlignment="1" pivotButton="0" quotePrefix="0" xfId="0">
      <alignment horizontal="center" vertical="bottom"/>
    </xf>
    <xf numFmtId="0" fontId="15" fillId="0" borderId="29" applyAlignment="1" pivotButton="0" quotePrefix="0" xfId="0">
      <alignment horizontal="center" vertical="bottom"/>
    </xf>
    <xf numFmtId="0" fontId="15" fillId="0" borderId="30" applyAlignment="1" pivotButton="0" quotePrefix="0" xfId="0">
      <alignment horizontal="center" vertical="bottom"/>
    </xf>
    <xf numFmtId="0" fontId="15" fillId="0" borderId="31" applyAlignment="1" pivotButton="0" quotePrefix="0" xfId="0">
      <alignment horizontal="center" vertical="bottom"/>
    </xf>
    <xf numFmtId="0" fontId="6" fillId="0" borderId="28" applyAlignment="1" pivotButton="0" quotePrefix="0" xfId="0">
      <alignment horizontal="center" vertical="bottom"/>
    </xf>
    <xf numFmtId="0" fontId="6" fillId="0" borderId="29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bottom"/>
    </xf>
    <xf numFmtId="0" fontId="6" fillId="0" borderId="15" applyAlignment="1" pivotButton="0" quotePrefix="0" xfId="0">
      <alignment horizontal="center" vertical="bottom"/>
    </xf>
    <xf numFmtId="0" fontId="6" fillId="0" borderId="18" applyAlignment="1" pivotButton="0" quotePrefix="0" xfId="0">
      <alignment horizontal="center" vertical="bottom"/>
    </xf>
    <xf numFmtId="2" fontId="6" fillId="0" borderId="18" applyAlignment="1" pivotButton="0" quotePrefix="0" xfId="0">
      <alignment horizontal="center" vertical="bottom"/>
    </xf>
    <xf numFmtId="0" fontId="6" fillId="0" borderId="16" applyAlignment="1" pivotButton="0" quotePrefix="0" xfId="0">
      <alignment horizontal="center" vertical="bottom"/>
    </xf>
    <xf numFmtId="0" fontId="6" fillId="0" borderId="32" applyAlignment="1" pivotButton="0" quotePrefix="0" xfId="0">
      <alignment horizontal="center" vertical="bottom"/>
    </xf>
    <xf numFmtId="0" fontId="6" fillId="0" borderId="33" applyAlignment="1" pivotButton="0" quotePrefix="0" xfId="0">
      <alignment horizontal="center" vertical="bottom"/>
    </xf>
    <xf numFmtId="0" fontId="6" fillId="0" borderId="21" applyAlignment="1" pivotButton="0" quotePrefix="0" xfId="0">
      <alignment horizontal="center" vertical="bottom"/>
    </xf>
    <xf numFmtId="0" fontId="6" fillId="0" borderId="34" applyAlignment="1" pivotButton="0" quotePrefix="0" xfId="0">
      <alignment horizontal="center" vertical="bottom"/>
    </xf>
    <xf numFmtId="2" fontId="6" fillId="0" borderId="35" applyAlignment="1" pivotButton="0" quotePrefix="0" xfId="0">
      <alignment horizontal="center" vertical="bottom"/>
    </xf>
    <xf numFmtId="2" fontId="6" fillId="0" borderId="33" applyAlignment="1" pivotButton="0" quotePrefix="0" xfId="0">
      <alignment horizontal="center" vertical="bottom"/>
    </xf>
    <xf numFmtId="2" fontId="6" fillId="0" borderId="33" applyAlignment="1" pivotButton="0" quotePrefix="0" xfId="21">
      <alignment horizontal="center" vertical="bottom"/>
    </xf>
    <xf numFmtId="2" fontId="6" fillId="0" borderId="21" applyAlignment="1" pivotButton="0" quotePrefix="0" xfId="21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36" applyAlignment="1" pivotButton="0" quotePrefix="0" xfId="0">
      <alignment horizontal="general" vertical="bottom"/>
    </xf>
    <xf numFmtId="0" fontId="6" fillId="0" borderId="37" applyAlignment="1" pivotButton="0" quotePrefix="0" xfId="0">
      <alignment horizontal="general" vertical="bottom"/>
    </xf>
    <xf numFmtId="0" fontId="6" fillId="0" borderId="38" applyAlignment="1" pivotButton="0" quotePrefix="0" xfId="0">
      <alignment horizontal="general" vertical="bottom"/>
    </xf>
    <xf numFmtId="0" fontId="6" fillId="0" borderId="38" applyAlignment="1" pivotButton="0" quotePrefix="0" xfId="0">
      <alignment horizontal="center" vertical="bottom"/>
    </xf>
    <xf numFmtId="2" fontId="6" fillId="0" borderId="11" applyAlignment="1" pivotButton="0" quotePrefix="0" xfId="0">
      <alignment horizontal="center" vertical="bottom"/>
    </xf>
    <xf numFmtId="0" fontId="6" fillId="0" borderId="39" applyAlignment="1" pivotButton="0" quotePrefix="0" xfId="0">
      <alignment horizontal="center" vertical="bottom"/>
    </xf>
    <xf numFmtId="0" fontId="6" fillId="0" borderId="40" applyAlignment="1" pivotButton="0" quotePrefix="0" xfId="0">
      <alignment horizontal="center" vertical="bottom"/>
    </xf>
    <xf numFmtId="0" fontId="6" fillId="0" borderId="41" applyAlignment="1" pivotButton="0" quotePrefix="0" xfId="0">
      <alignment horizontal="center" vertical="bottom"/>
    </xf>
    <xf numFmtId="0" fontId="6" fillId="0" borderId="42" applyAlignment="1" pivotButton="0" quotePrefix="0" xfId="0">
      <alignment horizontal="center" vertical="bottom"/>
    </xf>
    <xf numFmtId="2" fontId="6" fillId="0" borderId="38" applyAlignment="1" pivotButton="0" quotePrefix="0" xfId="0">
      <alignment horizontal="center" vertical="bottom"/>
    </xf>
    <xf numFmtId="0" fontId="6" fillId="0" borderId="43" applyAlignment="1" pivotButton="0" quotePrefix="0" xfId="0">
      <alignment horizontal="center" vertical="bottom"/>
    </xf>
    <xf numFmtId="0" fontId="6" fillId="0" borderId="44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2" fontId="6" fillId="0" borderId="45" applyAlignment="1" pivotButton="0" quotePrefix="0" xfId="0">
      <alignment horizontal="center" vertical="bottom"/>
    </xf>
    <xf numFmtId="0" fontId="6" fillId="0" borderId="46" applyAlignment="1" pivotButton="0" quotePrefix="0" xfId="0">
      <alignment horizontal="general" vertical="bottom"/>
    </xf>
    <xf numFmtId="0" fontId="12" fillId="0" borderId="36" applyAlignment="1" pivotButton="0" quotePrefix="0" xfId="0">
      <alignment horizontal="center" vertical="bottom"/>
    </xf>
    <xf numFmtId="0" fontId="12" fillId="0" borderId="37" applyAlignment="1" pivotButton="0" quotePrefix="0" xfId="0">
      <alignment horizontal="center" vertical="bottom"/>
    </xf>
    <xf numFmtId="0" fontId="12" fillId="0" borderId="38" applyAlignment="1" pivotButton="0" quotePrefix="0" xfId="0">
      <alignment horizontal="center" vertical="bottom"/>
    </xf>
    <xf numFmtId="166" fontId="6" fillId="0" borderId="38" applyAlignment="1" pivotButton="0" quotePrefix="0" xfId="0">
      <alignment horizontal="center" vertical="bottom"/>
    </xf>
    <xf numFmtId="168" fontId="6" fillId="0" borderId="38" applyAlignment="1" pivotButton="0" quotePrefix="0" xfId="0">
      <alignment horizontal="center" vertical="bottom"/>
    </xf>
    <xf numFmtId="167" fontId="6" fillId="3" borderId="39" applyAlignment="1" pivotButton="0" quotePrefix="0" xfId="0">
      <alignment horizontal="center" vertical="bottom"/>
    </xf>
    <xf numFmtId="168" fontId="6" fillId="0" borderId="40" applyAlignment="1" pivotButton="0" quotePrefix="0" xfId="0">
      <alignment horizontal="center" vertical="bottom"/>
    </xf>
    <xf numFmtId="0" fontId="6" fillId="4" borderId="38" applyAlignment="1" pivotButton="0" quotePrefix="0" xfId="0">
      <alignment horizontal="center" vertical="bottom"/>
    </xf>
    <xf numFmtId="2" fontId="6" fillId="0" borderId="41" applyAlignment="1" pivotButton="0" quotePrefix="0" xfId="0">
      <alignment horizontal="center" vertical="bottom"/>
    </xf>
    <xf numFmtId="2" fontId="6" fillId="0" borderId="43" applyAlignment="1" pivotButton="0" quotePrefix="0" xfId="0">
      <alignment horizontal="center" vertical="bottom"/>
    </xf>
    <xf numFmtId="2" fontId="6" fillId="0" borderId="46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167" fontId="6" fillId="0" borderId="38" applyAlignment="1" pivotButton="0" quotePrefix="0" xfId="0">
      <alignment horizontal="center" vertical="bottom"/>
    </xf>
    <xf numFmtId="167" fontId="6" fillId="0" borderId="40" applyAlignment="1" pivotButton="0" quotePrefix="0" xfId="0">
      <alignment horizontal="center" vertical="bottom"/>
    </xf>
    <xf numFmtId="0" fontId="12" fillId="0" borderId="14" applyAlignment="1" pivotButton="0" quotePrefix="0" xfId="0">
      <alignment horizontal="center" vertical="bottom"/>
    </xf>
    <xf numFmtId="0" fontId="12" fillId="0" borderId="15" applyAlignment="1" pivotButton="0" quotePrefix="0" xfId="0">
      <alignment horizontal="center" vertical="bottom"/>
    </xf>
    <xf numFmtId="0" fontId="12" fillId="0" borderId="18" applyAlignment="1" pivotButton="0" quotePrefix="0" xfId="0">
      <alignment horizontal="center" vertical="bottom"/>
    </xf>
    <xf numFmtId="166" fontId="6" fillId="0" borderId="18" applyAlignment="1" pivotButton="0" quotePrefix="0" xfId="0">
      <alignment horizontal="center" vertical="bottom"/>
    </xf>
    <xf numFmtId="167" fontId="6" fillId="0" borderId="18" applyAlignment="1" pivotButton="0" quotePrefix="0" xfId="0">
      <alignment horizontal="center" vertical="bottom"/>
    </xf>
    <xf numFmtId="2" fontId="6" fillId="0" borderId="17" applyAlignment="1" pivotButton="0" quotePrefix="0" xfId="0">
      <alignment horizontal="center" vertical="bottom"/>
    </xf>
    <xf numFmtId="167" fontId="6" fillId="3" borderId="16" applyAlignment="1" pivotButton="0" quotePrefix="0" xfId="0">
      <alignment horizontal="center" vertical="bottom"/>
    </xf>
    <xf numFmtId="167" fontId="6" fillId="0" borderId="32" applyAlignment="1" pivotButton="0" quotePrefix="0" xfId="0">
      <alignment horizontal="center" vertical="bottom"/>
    </xf>
    <xf numFmtId="2" fontId="6" fillId="0" borderId="47" applyAlignment="1" pivotButton="0" quotePrefix="0" xfId="0">
      <alignment horizontal="center" vertical="bottom"/>
    </xf>
    <xf numFmtId="2" fontId="6" fillId="0" borderId="48" applyAlignment="1" pivotButton="0" quotePrefix="0" xfId="0">
      <alignment horizontal="center" vertical="bottom"/>
    </xf>
    <xf numFmtId="2" fontId="6" fillId="0" borderId="49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5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1" applyAlignment="1" pivotButton="0" quotePrefix="0" xfId="0">
      <alignment horizontal="center" vertical="center"/>
    </xf>
    <xf numFmtId="0" fontId="5" fillId="0" borderId="52" applyAlignment="1" pivotButton="0" quotePrefix="0" xfId="0">
      <alignment horizontal="center" vertical="center"/>
    </xf>
    <xf numFmtId="0" fontId="5" fillId="0" borderId="53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168" fontId="5" fillId="0" borderId="40" applyAlignment="1" pivotButton="0" quotePrefix="0" xfId="0">
      <alignment horizontal="center" vertical="center"/>
    </xf>
    <xf numFmtId="16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 vertical="center"/>
    </xf>
    <xf numFmtId="166" fontId="5" fillId="0" borderId="54" applyAlignment="1" pivotButton="0" quotePrefix="0" xfId="0">
      <alignment horizontal="center" vertical="center"/>
    </xf>
    <xf numFmtId="166" fontId="5" fillId="0" borderId="11" applyAlignment="1" pivotButton="0" quotePrefix="0" xfId="0">
      <alignment horizontal="center" vertical="center"/>
    </xf>
    <xf numFmtId="166" fontId="5" fillId="0" borderId="46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5" fillId="0" borderId="55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49" applyAlignment="1" pivotButton="0" quotePrefix="0" xfId="0">
      <alignment horizontal="center" vertical="center"/>
    </xf>
    <xf numFmtId="0" fontId="5" fillId="5" borderId="5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5" borderId="10" applyAlignment="1" pivotButton="0" quotePrefix="0" xfId="0">
      <alignment horizontal="center" vertical="center"/>
    </xf>
    <xf numFmtId="166" fontId="5" fillId="0" borderId="22" applyAlignment="1" pivotButton="0" quotePrefix="0" xfId="0">
      <alignment horizontal="center" vertical="center"/>
    </xf>
    <xf numFmtId="166" fontId="5" fillId="0" borderId="8" applyAlignment="1" pivotButton="0" quotePrefix="0" xfId="0">
      <alignment horizontal="center" vertical="center"/>
    </xf>
    <xf numFmtId="166" fontId="5" fillId="0" borderId="23" applyAlignment="1" pivotButton="0" quotePrefix="0" xfId="0">
      <alignment horizontal="center" vertical="center"/>
    </xf>
    <xf numFmtId="0" fontId="5" fillId="0" borderId="54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168" fontId="5" fillId="0" borderId="55" applyAlignment="1" pivotButton="0" quotePrefix="0" xfId="0">
      <alignment horizontal="center" vertical="center"/>
    </xf>
    <xf numFmtId="168" fontId="5" fillId="0" borderId="17" applyAlignment="1" pivotButton="0" quotePrefix="0" xfId="0">
      <alignment horizontal="center" vertical="center"/>
    </xf>
    <xf numFmtId="167" fontId="5" fillId="0" borderId="17" applyAlignment="1" pivotButton="0" quotePrefix="0" xfId="0">
      <alignment horizontal="center" vertical="center"/>
    </xf>
    <xf numFmtId="168" fontId="5" fillId="0" borderId="49" applyAlignment="1" pivotButton="0" quotePrefix="0" xfId="0">
      <alignment horizontal="center" vertical="center"/>
    </xf>
    <xf numFmtId="168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2" fillId="0" borderId="0" pivotButton="0" quotePrefix="0" xfId="0"/>
    <xf numFmtId="0" fontId="20" fillId="0" borderId="0" pivotButton="0" quotePrefix="0" xfId="0"/>
    <xf numFmtId="0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56" pivotButton="0" quotePrefix="0" xfId="0"/>
    <xf numFmtId="0" fontId="6" fillId="0" borderId="2" applyAlignment="1" pivotButton="0" quotePrefix="0" xfId="0">
      <alignment horizontal="general" vertical="bottom"/>
    </xf>
    <xf numFmtId="0" fontId="6" fillId="0" borderId="3" applyAlignment="1" pivotButton="0" quotePrefix="0" xfId="0">
      <alignment horizontal="general" vertical="bottom"/>
    </xf>
    <xf numFmtId="0" fontId="8" fillId="0" borderId="3" applyAlignment="1" pivotButton="0" quotePrefix="0" xfId="0">
      <alignment horizontal="right" vertical="center"/>
    </xf>
    <xf numFmtId="0" fontId="0" fillId="0" borderId="3" pivotButton="0" quotePrefix="0" xfId="0"/>
    <xf numFmtId="2" fontId="7" fillId="0" borderId="3" applyAlignment="1" pivotButton="0" quotePrefix="0" xfId="0">
      <alignment horizontal="left" vertical="center"/>
    </xf>
    <xf numFmtId="2" fontId="6" fillId="0" borderId="3" applyAlignment="1" pivotButton="0" quotePrefix="0" xfId="0">
      <alignment horizontal="left" vertical="center"/>
    </xf>
    <xf numFmtId="2" fontId="6" fillId="0" borderId="4" applyAlignment="1" pivotButton="0" quotePrefix="0" xfId="0">
      <alignment horizontal="left" vertical="center"/>
    </xf>
    <xf numFmtId="0" fontId="7" fillId="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9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right" vertical="bottom"/>
    </xf>
    <xf numFmtId="164" fontId="5" fillId="0" borderId="8" applyAlignment="1" applyProtection="1" pivotButton="0" quotePrefix="0" xfId="0">
      <alignment horizontal="center" vertical="bottom"/>
      <protection locked="0" hidden="0"/>
    </xf>
    <xf numFmtId="0" fontId="5" fillId="0" borderId="7" applyAlignment="1" pivotButton="0" quotePrefix="0" xfId="0">
      <alignment horizontal="general" vertical="bottom"/>
    </xf>
    <xf numFmtId="2" fontId="6" fillId="0" borderId="3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9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center"/>
    </xf>
    <xf numFmtId="2" fontId="7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0" fontId="0" fillId="0" borderId="27" pivotButton="0" quotePrefix="0" xfId="0"/>
    <xf numFmtId="0" fontId="10" fillId="0" borderId="11" applyAlignment="1" pivotButton="0" quotePrefix="0" xfId="22">
      <alignment horizontal="center" vertical="center"/>
    </xf>
    <xf numFmtId="0" fontId="0" fillId="0" borderId="59" pivotButton="0" quotePrefix="0" xfId="0"/>
    <xf numFmtId="0" fontId="0" fillId="0" borderId="13" pivotButton="0" quotePrefix="0" xfId="0"/>
    <xf numFmtId="0" fontId="6" fillId="0" borderId="1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 vertical="center"/>
    </xf>
    <xf numFmtId="0" fontId="5" fillId="2" borderId="11" applyAlignment="1" pivotButton="0" quotePrefix="0" xfId="22">
      <alignment horizontal="center" vertical="bottom"/>
    </xf>
    <xf numFmtId="166" fontId="5" fillId="2" borderId="11" applyAlignment="1" pivotButton="0" quotePrefix="0" xfId="22">
      <alignment horizontal="center" vertical="bottom"/>
    </xf>
    <xf numFmtId="0" fontId="5" fillId="2" borderId="13" applyAlignment="1" pivotButton="0" quotePrefix="0" xfId="22">
      <alignment horizontal="center" vertical="bottom"/>
    </xf>
    <xf numFmtId="0" fontId="12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2" fontId="5" fillId="0" borderId="11" applyAlignment="1" pivotButton="0" quotePrefix="0" xfId="22">
      <alignment horizontal="right" vertical="bottom"/>
    </xf>
    <xf numFmtId="2" fontId="5" fillId="0" borderId="11" applyAlignment="1" pivotButton="0" quotePrefix="0" xfId="23">
      <alignment horizontal="center" vertical="bottom"/>
    </xf>
    <xf numFmtId="167" fontId="5" fillId="0" borderId="11" applyAlignment="1" pivotButton="0" quotePrefix="0" xfId="23">
      <alignment horizontal="center" vertical="bottom"/>
    </xf>
    <xf numFmtId="167" fontId="5" fillId="0" borderId="13" applyAlignment="1" pivotButton="0" quotePrefix="0" xfId="23">
      <alignment horizontal="center" vertical="bottom"/>
    </xf>
    <xf numFmtId="0" fontId="6" fillId="0" borderId="0" applyAlignment="1" pivotButton="0" quotePrefix="0" xfId="0">
      <alignment horizontal="right" vertical="bottom"/>
    </xf>
    <xf numFmtId="2" fontId="6" fillId="0" borderId="10" applyAlignment="1" pivotButton="0" quotePrefix="0" xfId="0">
      <alignment horizontal="center" vertical="bottom"/>
    </xf>
    <xf numFmtId="0" fontId="6" fillId="0" borderId="14" applyAlignment="1" pivotButton="0" quotePrefix="0" xfId="0">
      <alignment horizontal="general" vertical="bottom"/>
    </xf>
    <xf numFmtId="0" fontId="6" fillId="0" borderId="15" applyAlignment="1" pivotButton="0" quotePrefix="0" xfId="0">
      <alignment horizontal="general" vertical="bottom"/>
    </xf>
    <xf numFmtId="0" fontId="12" fillId="0" borderId="15" applyAlignment="1" pivotButton="0" quotePrefix="0" xfId="0">
      <alignment horizontal="left" vertical="center"/>
    </xf>
    <xf numFmtId="2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9" fillId="0" borderId="15" applyAlignment="1" pivotButton="0" quotePrefix="0" xfId="0">
      <alignment horizontal="general" vertical="bottom"/>
    </xf>
    <xf numFmtId="0" fontId="5" fillId="0" borderId="15" applyAlignment="1" pivotButton="0" quotePrefix="0" xfId="0">
      <alignment horizontal="right" vertical="bottom"/>
    </xf>
    <xf numFmtId="0" fontId="5" fillId="0" borderId="17" applyAlignment="1" pivotButton="0" quotePrefix="0" xfId="0">
      <alignment horizontal="center" vertical="bottom"/>
    </xf>
    <xf numFmtId="0" fontId="5" fillId="0" borderId="15" applyAlignment="1" pivotButton="0" quotePrefix="0" xfId="0">
      <alignment horizontal="general" vertical="bottom"/>
    </xf>
    <xf numFmtId="2" fontId="13" fillId="0" borderId="15" applyAlignment="1" pivotButton="0" quotePrefix="0" xfId="21">
      <alignment horizontal="center" vertical="bottom"/>
    </xf>
    <xf numFmtId="0" fontId="14" fillId="0" borderId="15" applyAlignment="1" pivotButton="0" quotePrefix="0" xfId="0">
      <alignment horizontal="center" vertical="bottom"/>
    </xf>
    <xf numFmtId="2" fontId="6" fillId="0" borderId="15" applyAlignment="1" pivotButton="0" quotePrefix="0" xfId="0">
      <alignment horizontal="general" vertical="bottom"/>
    </xf>
    <xf numFmtId="0" fontId="6" fillId="0" borderId="15" applyAlignment="1" pivotButton="0" quotePrefix="0" xfId="0">
      <alignment horizontal="right" vertical="bottom"/>
    </xf>
    <xf numFmtId="2" fontId="13" fillId="0" borderId="16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3" fillId="2" borderId="18" applyAlignment="1" pivotButton="0" quotePrefix="0" xfId="0">
      <alignment horizontal="center" vertical="center"/>
    </xf>
    <xf numFmtId="0" fontId="0" fillId="0" borderId="18" pivotButton="0" quotePrefix="0" xfId="0"/>
    <xf numFmtId="0" fontId="13" fillId="2" borderId="19" applyAlignment="1" pivotButton="0" quotePrefix="0" xfId="0">
      <alignment horizontal="center" vertical="center" wrapText="1"/>
    </xf>
    <xf numFmtId="0" fontId="0" fillId="0" borderId="60" pivotButton="0" quotePrefix="0" xfId="0"/>
    <xf numFmtId="0" fontId="13" fillId="2" borderId="20" applyAlignment="1" pivotButton="0" quotePrefix="0" xfId="0">
      <alignment horizontal="center" vertical="center" wrapText="1"/>
    </xf>
    <xf numFmtId="0" fontId="13" fillId="2" borderId="2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6" fillId="0" borderId="0" applyAlignment="1" pivotButton="0" quotePrefix="0" xfId="0">
      <alignment horizontal="right" vertical="bottom" textRotation="90"/>
    </xf>
    <xf numFmtId="0" fontId="6" fillId="0" borderId="22" applyAlignment="1" pivotButton="0" quotePrefix="0" xfId="0">
      <alignment horizontal="center" vertical="bottom" textRotation="90"/>
    </xf>
    <xf numFmtId="0" fontId="0" fillId="0" borderId="61" pivotButton="0" quotePrefix="0" xfId="0"/>
    <xf numFmtId="0" fontId="0" fillId="0" borderId="7" pivotButton="0" quotePrefix="0" xfId="0"/>
    <xf numFmtId="0" fontId="6" fillId="0" borderId="6" applyAlignment="1" pivotButton="0" quotePrefix="0" xfId="0">
      <alignment horizontal="center" vertical="bottom" textRotation="90"/>
    </xf>
    <xf numFmtId="0" fontId="6" fillId="0" borderId="6" applyAlignment="1" pivotButton="0" quotePrefix="0" xfId="0">
      <alignment horizontal="center" vertical="bottom" textRotation="90" wrapText="1"/>
    </xf>
    <xf numFmtId="2" fontId="6" fillId="0" borderId="6" applyAlignment="1" pivotButton="0" quotePrefix="0" xfId="0">
      <alignment horizontal="center" vertical="bottom" textRotation="90"/>
    </xf>
    <xf numFmtId="0" fontId="6" fillId="0" borderId="23" applyAlignment="1" pivotButton="0" quotePrefix="0" xfId="0">
      <alignment horizontal="center" vertical="bottom" textRotation="90"/>
    </xf>
    <xf numFmtId="0" fontId="6" fillId="0" borderId="24" applyAlignment="1" pivotButton="0" quotePrefix="0" xfId="0">
      <alignment horizontal="center" vertical="bottom" textRotation="90"/>
    </xf>
    <xf numFmtId="0" fontId="6" fillId="0" borderId="8" applyAlignment="1" pivotButton="0" quotePrefix="0" xfId="0">
      <alignment horizontal="center" vertical="bottom" textRotation="90"/>
    </xf>
    <xf numFmtId="0" fontId="6" fillId="0" borderId="8" applyAlignment="1" pivotButton="0" quotePrefix="0" xfId="0">
      <alignment horizontal="center" vertical="bottom" textRotation="90" wrapText="1"/>
    </xf>
    <xf numFmtId="0" fontId="6" fillId="0" borderId="7" applyAlignment="1" pivotButton="0" quotePrefix="0" xfId="0">
      <alignment horizontal="center" vertical="bottom" textRotation="90"/>
    </xf>
    <xf numFmtId="0" fontId="6" fillId="0" borderId="7" applyAlignment="1" pivotButton="0" quotePrefix="0" xfId="0">
      <alignment horizontal="center" vertical="bottom" textRotation="90" wrapText="1"/>
    </xf>
    <xf numFmtId="0" fontId="6" fillId="0" borderId="23" applyAlignment="1" pivotButton="0" quotePrefix="0" xfId="0">
      <alignment horizontal="center" vertical="bottom" textRotation="90" wrapText="1"/>
    </xf>
    <xf numFmtId="0" fontId="6" fillId="0" borderId="25" applyAlignment="1" pivotButton="0" quotePrefix="0" xfId="0">
      <alignment horizontal="center" vertical="bottom" textRotation="90"/>
    </xf>
    <xf numFmtId="0" fontId="6" fillId="0" borderId="26" applyAlignment="1" pivotButton="0" quotePrefix="0" xfId="0">
      <alignment horizontal="center" vertical="bottom" textRotation="90"/>
    </xf>
    <xf numFmtId="0" fontId="6" fillId="0" borderId="0" applyAlignment="1" pivotButton="0" quotePrefix="0" xfId="0">
      <alignment horizontal="right" vertical="bottom" textRotation="90" wrapText="1"/>
    </xf>
    <xf numFmtId="0" fontId="15" fillId="0" borderId="0" applyAlignment="1" pivotButton="0" quotePrefix="0" xfId="0">
      <alignment horizontal="center" vertical="bottom"/>
    </xf>
    <xf numFmtId="0" fontId="15" fillId="0" borderId="9" applyAlignment="1" pivotButton="0" quotePrefix="0" xfId="0">
      <alignment horizontal="center" vertical="bottom"/>
    </xf>
    <xf numFmtId="0" fontId="15" fillId="0" borderId="27" applyAlignment="1" pivotButton="0" quotePrefix="0" xfId="0">
      <alignment horizontal="center" vertical="bottom"/>
    </xf>
    <xf numFmtId="2" fontId="15" fillId="0" borderId="27" applyAlignment="1" pivotButton="0" quotePrefix="0" xfId="0">
      <alignment horizontal="center" vertical="bottom"/>
    </xf>
    <xf numFmtId="0" fontId="15" fillId="0" borderId="10" applyAlignment="1" pivotButton="0" quotePrefix="0" xfId="0">
      <alignment horizontal="center" vertical="bottom"/>
    </xf>
    <xf numFmtId="0" fontId="15" fillId="0" borderId="12" applyAlignment="1" pivotButton="0" quotePrefix="0" xfId="0">
      <alignment horizontal="center" vertical="bottom"/>
    </xf>
    <xf numFmtId="0" fontId="15" fillId="0" borderId="28" applyAlignment="1" pivotButton="0" quotePrefix="0" xfId="0">
      <alignment horizontal="center" vertical="bottom"/>
    </xf>
    <xf numFmtId="0" fontId="15" fillId="0" borderId="29" applyAlignment="1" pivotButton="0" quotePrefix="0" xfId="0">
      <alignment horizontal="center" vertical="bottom"/>
    </xf>
    <xf numFmtId="0" fontId="15" fillId="0" borderId="30" applyAlignment="1" pivotButton="0" quotePrefix="0" xfId="0">
      <alignment horizontal="center" vertical="bottom"/>
    </xf>
    <xf numFmtId="0" fontId="15" fillId="0" borderId="31" applyAlignment="1" pivotButton="0" quotePrefix="0" xfId="0">
      <alignment horizontal="center" vertical="bottom"/>
    </xf>
    <xf numFmtId="0" fontId="6" fillId="0" borderId="28" applyAlignment="1" pivotButton="0" quotePrefix="0" xfId="0">
      <alignment horizontal="center" vertical="bottom"/>
    </xf>
    <xf numFmtId="0" fontId="6" fillId="0" borderId="29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bottom"/>
    </xf>
    <xf numFmtId="0" fontId="6" fillId="0" borderId="15" applyAlignment="1" pivotButton="0" quotePrefix="0" xfId="0">
      <alignment horizontal="center" vertical="bottom"/>
    </xf>
    <xf numFmtId="0" fontId="6" fillId="0" borderId="18" applyAlignment="1" pivotButton="0" quotePrefix="0" xfId="0">
      <alignment horizontal="center" vertical="bottom"/>
    </xf>
    <xf numFmtId="2" fontId="6" fillId="0" borderId="18" applyAlignment="1" pivotButton="0" quotePrefix="0" xfId="0">
      <alignment horizontal="center" vertical="bottom"/>
    </xf>
    <xf numFmtId="0" fontId="6" fillId="0" borderId="16" applyAlignment="1" pivotButton="0" quotePrefix="0" xfId="0">
      <alignment horizontal="center" vertical="bottom"/>
    </xf>
    <xf numFmtId="0" fontId="6" fillId="0" borderId="32" applyAlignment="1" pivotButton="0" quotePrefix="0" xfId="0">
      <alignment horizontal="center" vertical="bottom"/>
    </xf>
    <xf numFmtId="0" fontId="6" fillId="0" borderId="33" applyAlignment="1" pivotButton="0" quotePrefix="0" xfId="0">
      <alignment horizontal="center" vertical="bottom"/>
    </xf>
    <xf numFmtId="0" fontId="6" fillId="0" borderId="21" applyAlignment="1" pivotButton="0" quotePrefix="0" xfId="0">
      <alignment horizontal="center" vertical="bottom"/>
    </xf>
    <xf numFmtId="0" fontId="6" fillId="0" borderId="34" applyAlignment="1" pivotButton="0" quotePrefix="0" xfId="0">
      <alignment horizontal="center" vertical="bottom"/>
    </xf>
    <xf numFmtId="2" fontId="6" fillId="0" borderId="35" applyAlignment="1" pivotButton="0" quotePrefix="0" xfId="0">
      <alignment horizontal="center" vertical="bottom"/>
    </xf>
    <xf numFmtId="2" fontId="6" fillId="0" borderId="33" applyAlignment="1" pivotButton="0" quotePrefix="0" xfId="0">
      <alignment horizontal="center" vertical="bottom"/>
    </xf>
    <xf numFmtId="2" fontId="6" fillId="0" borderId="33" applyAlignment="1" pivotButton="0" quotePrefix="0" xfId="21">
      <alignment horizontal="center" vertical="bottom"/>
    </xf>
    <xf numFmtId="2" fontId="6" fillId="0" borderId="21" applyAlignment="1" pivotButton="0" quotePrefix="0" xfId="21">
      <alignment horizontal="center" vertical="bottom"/>
    </xf>
    <xf numFmtId="0" fontId="6" fillId="0" borderId="36" applyAlignment="1" pivotButton="0" quotePrefix="0" xfId="0">
      <alignment horizontal="general" vertical="bottom"/>
    </xf>
    <xf numFmtId="0" fontId="6" fillId="0" borderId="37" applyAlignment="1" pivotButton="0" quotePrefix="0" xfId="0">
      <alignment horizontal="general" vertical="bottom"/>
    </xf>
    <xf numFmtId="0" fontId="6" fillId="0" borderId="38" applyAlignment="1" pivotButton="0" quotePrefix="0" xfId="0">
      <alignment horizontal="general" vertical="bottom"/>
    </xf>
    <xf numFmtId="0" fontId="6" fillId="0" borderId="38" applyAlignment="1" pivotButton="0" quotePrefix="0" xfId="0">
      <alignment horizontal="center" vertical="bottom"/>
    </xf>
    <xf numFmtId="2" fontId="6" fillId="0" borderId="11" applyAlignment="1" pivotButton="0" quotePrefix="0" xfId="0">
      <alignment horizontal="center" vertical="bottom"/>
    </xf>
    <xf numFmtId="0" fontId="6" fillId="0" borderId="39" applyAlignment="1" pivotButton="0" quotePrefix="0" xfId="0">
      <alignment horizontal="center" vertical="bottom"/>
    </xf>
    <xf numFmtId="0" fontId="6" fillId="0" borderId="40" applyAlignment="1" pivotButton="0" quotePrefix="0" xfId="0">
      <alignment horizontal="center" vertical="bottom"/>
    </xf>
    <xf numFmtId="0" fontId="6" fillId="0" borderId="41" applyAlignment="1" pivotButton="0" quotePrefix="0" xfId="0">
      <alignment horizontal="center" vertical="bottom"/>
    </xf>
    <xf numFmtId="0" fontId="6" fillId="0" borderId="42" applyAlignment="1" pivotButton="0" quotePrefix="0" xfId="0">
      <alignment horizontal="center" vertical="bottom"/>
    </xf>
    <xf numFmtId="2" fontId="6" fillId="0" borderId="38" applyAlignment="1" pivotButton="0" quotePrefix="0" xfId="0">
      <alignment horizontal="center" vertical="bottom"/>
    </xf>
    <xf numFmtId="0" fontId="6" fillId="0" borderId="43" applyAlignment="1" pivotButton="0" quotePrefix="0" xfId="0">
      <alignment horizontal="center" vertical="bottom"/>
    </xf>
    <xf numFmtId="0" fontId="6" fillId="0" borderId="44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19" fillId="0" borderId="36" applyAlignment="1" pivotButton="0" quotePrefix="0" xfId="0">
      <alignment horizontal="general" vertical="bottom"/>
    </xf>
    <xf numFmtId="2" fontId="6" fillId="0" borderId="45" applyAlignment="1" pivotButton="0" quotePrefix="0" xfId="0">
      <alignment horizontal="center" vertical="bottom"/>
    </xf>
    <xf numFmtId="0" fontId="6" fillId="0" borderId="46" applyAlignment="1" pivotButton="0" quotePrefix="0" xfId="0">
      <alignment horizontal="general" vertical="bottom"/>
    </xf>
    <xf numFmtId="0" fontId="12" fillId="6" borderId="62" applyAlignment="1" pivotButton="0" quotePrefix="0" xfId="0">
      <alignment horizontal="center" vertical="bottom"/>
    </xf>
    <xf numFmtId="2" fontId="6" fillId="7" borderId="62" applyAlignment="1" pivotButton="0" quotePrefix="0" xfId="0">
      <alignment horizontal="center" vertical="bottom"/>
    </xf>
    <xf numFmtId="168" fontId="6" fillId="6" borderId="62" applyAlignment="1" pivotButton="0" quotePrefix="0" xfId="0">
      <alignment horizontal="center" vertical="bottom"/>
    </xf>
    <xf numFmtId="2" fontId="6" fillId="6" borderId="62" applyAlignment="1" pivotButton="0" quotePrefix="0" xfId="0">
      <alignment horizontal="center" vertical="bottom"/>
    </xf>
    <xf numFmtId="168" fontId="6" fillId="7" borderId="62" applyAlignment="1" pivotButton="0" quotePrefix="0" xfId="0">
      <alignment horizontal="center" vertical="bottom"/>
    </xf>
    <xf numFmtId="167" fontId="6" fillId="7" borderId="62" applyAlignment="1" pivotButton="0" quotePrefix="0" xfId="0">
      <alignment horizontal="center" vertical="bottom"/>
    </xf>
    <xf numFmtId="0" fontId="6" fillId="6" borderId="62" applyAlignment="1" pivotButton="0" quotePrefix="0" xfId="0">
      <alignment horizontal="center" vertical="bottom"/>
    </xf>
    <xf numFmtId="166" fontId="6" fillId="6" borderId="62" applyAlignment="1" pivotButton="0" quotePrefix="0" xfId="0">
      <alignment horizontal="center" vertical="bottom"/>
    </xf>
    <xf numFmtId="167" fontId="6" fillId="6" borderId="62" applyAlignment="1" pivotButton="0" quotePrefix="0" xfId="0">
      <alignment horizontal="center" vertical="bottom"/>
    </xf>
    <xf numFmtId="2" fontId="6" fillId="0" borderId="46" applyAlignment="1" pivotButton="0" quotePrefix="0" xfId="0">
      <alignment horizontal="center" vertical="bottom"/>
    </xf>
    <xf numFmtId="167" fontId="20" fillId="7" borderId="62" applyAlignment="1" pivotButton="0" quotePrefix="0" xfId="0">
      <alignment horizontal="center" vertical="bottom"/>
    </xf>
    <xf numFmtId="0" fontId="0" fillId="8" borderId="62" pivotButton="0" quotePrefix="0" xfId="0"/>
    <xf numFmtId="0" fontId="12" fillId="0" borderId="36" applyAlignment="1" pivotButton="0" quotePrefix="0" xfId="0">
      <alignment horizontal="center" vertical="bottom"/>
    </xf>
    <xf numFmtId="0" fontId="12" fillId="0" borderId="37" applyAlignment="1" pivotButton="0" quotePrefix="0" xfId="0">
      <alignment horizontal="center" vertical="bottom"/>
    </xf>
    <xf numFmtId="0" fontId="12" fillId="0" borderId="38" applyAlignment="1" pivotButton="0" quotePrefix="0" xfId="0">
      <alignment horizontal="center" vertical="bottom"/>
    </xf>
    <xf numFmtId="166" fontId="6" fillId="0" borderId="38" applyAlignment="1" pivotButton="0" quotePrefix="0" xfId="0">
      <alignment horizontal="center" vertical="bottom"/>
    </xf>
    <xf numFmtId="168" fontId="6" fillId="0" borderId="38" applyAlignment="1" pivotButton="0" quotePrefix="0" xfId="0">
      <alignment horizontal="center" vertical="bottom"/>
    </xf>
    <xf numFmtId="167" fontId="6" fillId="3" borderId="39" applyAlignment="1" pivotButton="0" quotePrefix="0" xfId="0">
      <alignment horizontal="center" vertical="bottom"/>
    </xf>
    <xf numFmtId="168" fontId="6" fillId="0" borderId="40" applyAlignment="1" pivotButton="0" quotePrefix="0" xfId="0">
      <alignment horizontal="center" vertical="bottom"/>
    </xf>
    <xf numFmtId="2" fontId="6" fillId="0" borderId="41" applyAlignment="1" pivotButton="0" quotePrefix="0" xfId="0">
      <alignment horizontal="center" vertical="bottom"/>
    </xf>
    <xf numFmtId="2" fontId="6" fillId="0" borderId="43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21" fillId="0" borderId="36" applyAlignment="1" pivotButton="0" quotePrefix="0" xfId="0">
      <alignment horizontal="center" vertical="bottom"/>
    </xf>
    <xf numFmtId="0" fontId="12" fillId="0" borderId="63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39" pivotButton="0" quotePrefix="0" xfId="0"/>
    <xf numFmtId="167" fontId="6" fillId="0" borderId="40" applyAlignment="1" pivotButton="0" quotePrefix="0" xfId="0">
      <alignment horizontal="center" vertical="bottom"/>
    </xf>
    <xf numFmtId="0" fontId="12" fillId="0" borderId="64" applyAlignment="1" pivotButton="0" quotePrefix="0" xfId="0">
      <alignment horizontal="center" vertical="bottom"/>
    </xf>
    <xf numFmtId="167" fontId="6" fillId="0" borderId="32" applyAlignment="1" pivotButton="0" quotePrefix="0" xfId="0">
      <alignment horizontal="center" vertical="bottom"/>
    </xf>
    <xf numFmtId="166" fontId="6" fillId="0" borderId="18" applyAlignment="1" pivotButton="0" quotePrefix="0" xfId="0">
      <alignment horizontal="center" vertical="bottom"/>
    </xf>
    <xf numFmtId="167" fontId="6" fillId="3" borderId="16" applyAlignment="1" pivotButton="0" quotePrefix="0" xfId="0">
      <alignment horizontal="center" vertical="bottom"/>
    </xf>
    <xf numFmtId="2" fontId="6" fillId="0" borderId="47" applyAlignment="1" pivotButton="0" quotePrefix="0" xfId="0">
      <alignment horizontal="center" vertical="bottom"/>
    </xf>
    <xf numFmtId="2" fontId="6" fillId="0" borderId="48" applyAlignment="1" pivotButton="0" quotePrefix="0" xfId="0">
      <alignment horizontal="center" vertical="bottom"/>
    </xf>
    <xf numFmtId="2" fontId="6" fillId="0" borderId="17" applyAlignment="1" pivotButton="0" quotePrefix="0" xfId="0">
      <alignment horizontal="center" vertical="bottom"/>
    </xf>
    <xf numFmtId="2" fontId="6" fillId="0" borderId="49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5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5" fillId="6" borderId="51" applyAlignment="1" pivotButton="0" quotePrefix="0" xfId="0">
      <alignment horizontal="center" vertical="center"/>
    </xf>
    <xf numFmtId="0" fontId="5" fillId="6" borderId="52" applyAlignment="1" pivotButton="0" quotePrefix="0" xfId="0">
      <alignment horizontal="center" vertical="center"/>
    </xf>
    <xf numFmtId="0" fontId="5" fillId="0" borderId="52" applyAlignment="1" pivotButton="0" quotePrefix="0" xfId="0">
      <alignment horizontal="center" vertical="center"/>
    </xf>
    <xf numFmtId="0" fontId="5" fillId="0" borderId="53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168" fontId="5" fillId="6" borderId="40" applyAlignment="1" pivotButton="0" quotePrefix="0" xfId="0">
      <alignment horizontal="center" vertical="center"/>
    </xf>
    <xf numFmtId="168" fontId="5" fillId="6" borderId="41" applyAlignment="1" pivotButton="0" quotePrefix="0" xfId="0">
      <alignment horizontal="center" vertical="center"/>
    </xf>
    <xf numFmtId="16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 vertical="center"/>
    </xf>
    <xf numFmtId="2" fontId="5" fillId="7" borderId="54" applyAlignment="1" pivotButton="0" quotePrefix="0" xfId="0">
      <alignment horizontal="center" vertical="center"/>
    </xf>
    <xf numFmtId="2" fontId="5" fillId="7" borderId="11" applyAlignment="1" pivotButton="0" quotePrefix="0" xfId="0">
      <alignment horizontal="center" vertical="center"/>
    </xf>
    <xf numFmtId="166" fontId="5" fillId="0" borderId="11" applyAlignment="1" pivotButton="0" quotePrefix="0" xfId="0">
      <alignment horizontal="center" vertical="center"/>
    </xf>
    <xf numFmtId="166" fontId="5" fillId="0" borderId="46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5" fillId="6" borderId="55" applyAlignment="1" pivotButton="0" quotePrefix="0" xfId="0">
      <alignment horizontal="center" vertical="center"/>
    </xf>
    <xf numFmtId="0" fontId="5" fillId="6" borderId="1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49" applyAlignment="1" pivotButton="0" quotePrefix="0" xfId="0">
      <alignment horizontal="center" vertical="center"/>
    </xf>
    <xf numFmtId="0" fontId="5" fillId="5" borderId="5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5" borderId="10" applyAlignment="1" pivotButton="0" quotePrefix="0" xfId="0">
      <alignment horizontal="center" vertical="center"/>
    </xf>
    <xf numFmtId="166" fontId="5" fillId="6" borderId="22" applyAlignment="1" pivotButton="0" quotePrefix="0" xfId="0">
      <alignment horizontal="center" vertical="center"/>
    </xf>
    <xf numFmtId="166" fontId="5" fillId="6" borderId="8" applyAlignment="1" pivotButton="0" quotePrefix="0" xfId="0">
      <alignment horizontal="center" vertical="center"/>
    </xf>
    <xf numFmtId="166" fontId="5" fillId="0" borderId="8" applyAlignment="1" pivotButton="0" quotePrefix="0" xfId="0">
      <alignment horizontal="center" vertical="center"/>
    </xf>
    <xf numFmtId="166" fontId="5" fillId="0" borderId="23" applyAlignment="1" pivotButton="0" quotePrefix="0" xfId="0">
      <alignment horizontal="center" vertical="center"/>
    </xf>
    <xf numFmtId="0" fontId="5" fillId="6" borderId="54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169" fontId="5" fillId="6" borderId="55" applyAlignment="1" pivotButton="0" quotePrefix="0" xfId="0">
      <alignment horizontal="center" vertical="center"/>
    </xf>
    <xf numFmtId="169" fontId="5" fillId="6" borderId="17" applyAlignment="1" pivotButton="0" quotePrefix="0" xfId="0">
      <alignment horizontal="center" vertical="center"/>
    </xf>
    <xf numFmtId="167" fontId="5" fillId="0" borderId="17" applyAlignment="1" pivotButton="0" quotePrefix="0" xfId="0">
      <alignment horizontal="center" vertical="center"/>
    </xf>
    <xf numFmtId="168" fontId="5" fillId="0" borderId="17" applyAlignment="1" pivotButton="0" quotePrefix="0" xfId="0">
      <alignment horizontal="center" vertical="center"/>
    </xf>
    <xf numFmtId="168" fontId="5" fillId="0" borderId="49" applyAlignment="1" pivotButton="0" quotePrefix="0" xfId="0">
      <alignment horizontal="center" vertical="center"/>
    </xf>
    <xf numFmtId="168" fontId="5" fillId="0" borderId="0" applyAlignment="1" pivotButton="0" quotePrefix="0" xfId="0">
      <alignment horizontal="center" vertical="center"/>
    </xf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_Tableau" xfId="7"/>
    <cellStyle name="Normal_WS96A2~5" xfId="8"/>
    <cellStyle name="Normal_WS96A2~5 2" xfId="9"/>
  </cellStyles>
  <dxfs count="1">
    <dxf>
      <font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222120</colOff>
      <row>1</row>
      <rowOff>63360</rowOff>
    </from>
    <to>
      <col>4</col>
      <colOff>459720</colOff>
      <row>4</row>
      <rowOff>42840</rowOff>
    </to>
    <pic>
      <nvPicPr>
        <cNvPr id="0" name="Picture 1" descr="Marchand_Houle_RGB"/>
        <cNvPicPr/>
      </nvPicPr>
      <blipFill>
        <a:blip r:embed="rId1"/>
        <a:stretch>
          <a:fillRect/>
        </a:stretch>
      </blipFill>
      <spPr>
        <a:xfrm>
          <a:off x="222120" y="415800"/>
          <a:ext cx="2535120" cy="874800"/>
        </a:xfrm>
        <a:prstGeom prst="rect">
          <avLst/>
        </a:prstGeom>
        <a:noFill/>
        <a:ln w="9525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style="180" min="1" max="1"/>
  </cols>
  <sheetData>
    <row r="1">
      <c r="A1" s="181" t="inlineStr">
        <is>
          <t>Adaptation méthode simple Saint-Hubert ← données Reseau_pluvial_dimensionnement_v1</t>
        </is>
      </c>
    </row>
    <row r="3">
      <c r="A3" s="182" t="inlineStr">
        <is>
          <t>Fichiers sources</t>
        </is>
      </c>
    </row>
    <row r="4">
      <c r="A4" t="inlineStr">
        <is>
          <t>Méthode simple: Dimensionnement réseau pluvial- Saint Hubert - bassin 5 à 60 minutes.xlsx</t>
        </is>
      </c>
    </row>
    <row r="5">
      <c r="A5" t="inlineStr">
        <is>
          <t>Données projet: Reseau_pluvial_dimensionnement_v1.xlsx</t>
        </is>
      </c>
    </row>
    <row r="7">
      <c r="A7" s="182" t="inlineStr">
        <is>
          <t>Onglets</t>
        </is>
      </c>
    </row>
    <row r="8">
      <c r="A8" t="inlineStr">
        <is>
          <t>Temps de concentration: aires locales (ha), C, L/n/s overland → temps d’entrée</t>
        </is>
      </c>
    </row>
    <row r="9">
      <c r="A9" t="inlineStr">
        <is>
          <t>Calcul_reseau: tronçons amont→aval, débit rationnel cumulatif, diamètre, capacité, radiers/couverture</t>
        </is>
      </c>
    </row>
    <row r="11">
      <c r="A11" s="182" t="inlineStr">
        <is>
          <t>Correspondance topologique utilisée</t>
        </is>
      </c>
    </row>
    <row r="12">
      <c r="A12" t="inlineStr">
        <is>
          <t>L06_P09_P06: P09 → P06 → L07_P07_P06 | L=15.7 m | A=446.8 m² | C≈0.425</t>
        </is>
      </c>
    </row>
    <row r="13">
      <c r="A13" t="inlineStr">
        <is>
          <t>L07_P07_P06: P07 → P06 → L08_P06_P04 | L=12.2 m | A=442.4 m² | C≈0.765</t>
        </is>
      </c>
    </row>
    <row r="14">
      <c r="A14" t="inlineStr">
        <is>
          <t>L08_P06_P04: P06 → P04 → L09_P04_P01 | L=9.6 m | A=147.9 m² | C≈0.684</t>
        </is>
      </c>
    </row>
    <row r="15">
      <c r="A15" t="inlineStr">
        <is>
          <t>L09_P04_P01: P04 → P01 → L01_P01_P02 | L=13.5 m | A=94.5 m² | C≈0.547</t>
        </is>
      </c>
    </row>
    <row r="16">
      <c r="A16" t="inlineStr">
        <is>
          <t>L01_P01_P02: P01 → P02 → L02_P02_P03 | L=14.2 m | A=257.3 m² | C≈0.633</t>
        </is>
      </c>
    </row>
    <row r="17">
      <c r="A17" t="inlineStr">
        <is>
          <t>L02_P02_P03: P02 → P03 → L03_P03_P10 | L=10.6 m | A=467.9 m² | C≈0.642</t>
        </is>
      </c>
    </row>
    <row r="18">
      <c r="A18" t="inlineStr">
        <is>
          <t>L03_P03_P10: P03 → P10 → L10_P10_P11 | L=6.8 m | A=0.0 m² | C≈0.900</t>
        </is>
      </c>
    </row>
    <row r="19">
      <c r="A19" t="inlineStr">
        <is>
          <t>L10_P10_P11: P10 → P11 → L11_P11_P12 | L=14.5 m | A=903.0 m² | C≈0.950</t>
        </is>
      </c>
    </row>
    <row r="20">
      <c r="A20" t="inlineStr">
        <is>
          <t>L11_P11_P12: P11 → P12 → PUB | L=11.7 m | A=497.6 m² | C≈0.335</t>
        </is>
      </c>
    </row>
    <row r="23">
      <c r="A23" s="182" t="inlineStr">
        <is>
          <t>Prochaines étapes pour toi</t>
        </is>
      </c>
    </row>
    <row r="24">
      <c r="A24" t="inlineStr">
        <is>
          <t>1) Ouvrir Calcul_reseau et vérifier/ajuster diamètres (colonne N) jusqu’à AB=OK</t>
        </is>
      </c>
    </row>
    <row r="25">
      <c r="A25" t="inlineStr">
        <is>
          <t>2) Ajuster L overland / pentes overland dans Temps de concentration si parcours réel connu</t>
        </is>
      </c>
    </row>
    <row r="26">
      <c r="A26" t="inlineStr">
        <is>
          <t>3) Changer période de retour dans S2 si besoin (1/10, 1/25, 1/100)</t>
        </is>
      </c>
    </row>
    <row r="27">
      <c r="A27" t="inlineStr">
        <is>
          <t>4) Comparer rapidement aux diamètres du classeur v1 si désiré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C173"/>
  <sheetViews>
    <sheetView showFormulas="0" showGridLines="1" showRowColHeaders="1" showZeros="1" rightToLeft="0" tabSelected="1" showOutlineSymbols="1" defaultGridColor="1" view="pageBreakPreview" topLeftCell="A13" colorId="64" zoomScale="85" zoomScaleNormal="80" zoomScalePageLayoutView="85" workbookViewId="0">
      <selection pane="topLeft" activeCell="C18" activeCellId="0" sqref="C18"/>
    </sheetView>
  </sheetViews>
  <sheetFormatPr baseColWidth="8" defaultColWidth="11.00390625" defaultRowHeight="15" customHeight="1" zeroHeight="0" outlineLevelRow="0"/>
  <cols>
    <col width="12" customWidth="1" style="183" min="1" max="1"/>
    <col width="4" customWidth="1" style="183" min="2" max="2"/>
    <col width="10" customWidth="1" style="183" min="3" max="3"/>
    <col width="10" customWidth="1" style="183" min="4" max="10"/>
    <col width="10" customWidth="1" style="180" min="5" max="5"/>
    <col width="8" customWidth="1" style="180" min="6" max="6"/>
    <col width="10" customWidth="1" style="180" min="7" max="7"/>
    <col width="10" customWidth="1" style="180" min="8" max="8"/>
    <col width="10" customWidth="1" style="180" min="9" max="9"/>
    <col width="8" customWidth="1" style="180" min="10" max="10"/>
    <col width="10" customWidth="1" style="184" min="11" max="11"/>
    <col width="10" customWidth="1" style="183" min="12" max="16"/>
    <col width="8" customWidth="1" style="180" min="13" max="13"/>
    <col width="8" customWidth="1" style="180" min="14" max="14"/>
    <col width="8" customWidth="1" style="180" min="15" max="15"/>
    <col width="8" customWidth="1" style="180" min="16" max="16"/>
    <col width="8" customWidth="1" style="183" min="17" max="17"/>
    <col width="10" customWidth="1" style="183" min="18" max="24"/>
    <col width="9" customWidth="1" style="180" min="19" max="19"/>
    <col width="9" customWidth="1" style="180" min="20" max="20"/>
    <col width="9" customWidth="1" style="180" min="21" max="21"/>
    <col width="9" customWidth="1" style="180" min="22" max="22"/>
    <col width="9" customWidth="1" style="180" min="23" max="23"/>
    <col width="9" customWidth="1" style="180" min="24" max="24"/>
    <col width="9" customWidth="1" style="185" min="25" max="25"/>
    <col width="8.1" customWidth="1" style="183" min="26" max="29"/>
    <col width="14" customWidth="1" style="180" min="28" max="28"/>
    <col width="16" customWidth="1" style="180" min="29" max="29"/>
    <col width="11" customWidth="1" style="183" min="30" max="16384"/>
  </cols>
  <sheetData>
    <row r="1" ht="27.75" customHeight="1" s="180">
      <c r="A1" s="186" t="inlineStr">
        <is>
          <t>Calculs relatifs à un réseau d'égout pluvial</t>
        </is>
      </c>
      <c r="B1" s="187" t="n"/>
      <c r="C1" s="187" t="n"/>
      <c r="D1" s="187" t="n"/>
      <c r="E1" s="187" t="n"/>
      <c r="F1" s="187" t="n"/>
      <c r="G1" s="187" t="n"/>
      <c r="H1" s="187" t="n"/>
      <c r="I1" s="187" t="n"/>
      <c r="J1" s="187" t="n"/>
      <c r="K1" s="187" t="n"/>
      <c r="L1" s="187" t="n"/>
      <c r="M1" s="187" t="n"/>
      <c r="N1" s="187" t="n"/>
      <c r="O1" s="187" t="n"/>
      <c r="P1" s="187" t="n"/>
      <c r="Q1" s="187" t="n"/>
      <c r="R1" s="187" t="n"/>
      <c r="S1" s="187" t="n"/>
      <c r="T1" s="187" t="n"/>
      <c r="U1" s="187" t="n"/>
      <c r="V1" s="187" t="n"/>
      <c r="W1" s="187" t="n"/>
      <c r="X1" s="187" t="n"/>
      <c r="Y1" s="187" t="n"/>
      <c r="Z1" s="187" t="n"/>
      <c r="AA1" s="188" t="n"/>
    </row>
    <row r="2" ht="24" customHeight="1" s="180">
      <c r="A2" s="189" t="n"/>
      <c r="B2" s="190" t="n"/>
      <c r="C2" s="190" t="n"/>
      <c r="D2" s="190" t="n"/>
      <c r="E2" s="190" t="n"/>
      <c r="F2" s="191" t="inlineStr">
        <is>
          <t>Projet :</t>
        </is>
      </c>
      <c r="G2" s="192" t="n"/>
      <c r="H2" s="193" t="inlineStr">
        <is>
          <t>Réseau pluvial – projet (données Reseau_pluvial_dimensionnement_v1)</t>
        </is>
      </c>
      <c r="I2" s="193" t="n"/>
      <c r="J2" s="194" t="n"/>
      <c r="K2" s="194" t="n"/>
      <c r="L2" s="195" t="n"/>
      <c r="M2" s="196" t="inlineStr">
        <is>
          <t>IDF projet (Inputs v1) – courbe 1/10 ans A=508.07 B=2.9 C=0.644</t>
        </is>
      </c>
      <c r="N2" s="192" t="n"/>
      <c r="O2" s="192" t="n"/>
      <c r="P2" s="197" t="n"/>
      <c r="Q2" s="198" t="n"/>
      <c r="R2" s="199" t="inlineStr">
        <is>
          <t>Période de retour:</t>
        </is>
      </c>
      <c r="S2" s="200">
        <f>1/10</f>
        <v/>
      </c>
      <c r="T2" s="201" t="inlineStr">
        <is>
          <t>ans</t>
        </is>
      </c>
      <c r="U2" s="190" t="n"/>
      <c r="V2" s="190" t="n"/>
      <c r="W2" s="190" t="n"/>
      <c r="X2" s="190" t="n"/>
      <c r="Y2" s="202" t="n"/>
      <c r="Z2" s="190" t="n"/>
      <c r="AA2" s="203" t="n"/>
    </row>
    <row r="3" ht="24" customHeight="1" s="180">
      <c r="A3" s="204" t="n"/>
      <c r="F3" s="205" t="inlineStr">
        <is>
          <t>No dossier :</t>
        </is>
      </c>
      <c r="H3" s="206" t="inlineStr">
        <is>
          <t>Adapté méthode simple Saint-Hubert</t>
        </is>
      </c>
      <c r="I3" s="206" t="n"/>
      <c r="J3" s="207" t="n"/>
      <c r="K3" s="208" t="n"/>
      <c r="L3" s="209" t="n"/>
      <c r="P3" s="210" t="n"/>
      <c r="Q3" s="211" t="inlineStr">
        <is>
          <t>I = A/(t+B)C</t>
        </is>
      </c>
      <c r="R3" s="212" t="n"/>
      <c r="S3" s="212" t="n"/>
      <c r="T3" s="213" t="n"/>
      <c r="AA3" s="214" t="n"/>
    </row>
    <row r="4" ht="22.5" customFormat="1" customHeight="1" s="183">
      <c r="A4" s="204" t="n"/>
      <c r="F4" s="215" t="n"/>
      <c r="G4" s="215" t="inlineStr">
        <is>
          <t>Date :</t>
        </is>
      </c>
      <c r="H4" s="216" t="inlineStr">
        <is>
          <t>2026-07-31</t>
        </is>
      </c>
      <c r="J4" s="207" t="n"/>
      <c r="K4" s="208" t="n"/>
      <c r="L4" s="209" t="n"/>
      <c r="M4" s="217" t="inlineStr">
        <is>
          <t>Réseau local → exutoire P12 / PUB</t>
        </is>
      </c>
      <c r="P4" s="210" t="n"/>
      <c r="Q4" s="218" t="inlineStr">
        <is>
          <t>Récurence</t>
        </is>
      </c>
      <c r="R4" s="219" t="inlineStr">
        <is>
          <t>A</t>
        </is>
      </c>
      <c r="S4" s="218" t="inlineStr">
        <is>
          <t>B</t>
        </is>
      </c>
      <c r="T4" s="220" t="inlineStr">
        <is>
          <t>C</t>
        </is>
      </c>
      <c r="AA4" s="214" t="n"/>
    </row>
    <row r="5" ht="22.5" customHeight="1" s="180">
      <c r="A5" s="204" t="n"/>
      <c r="F5" s="221" t="n"/>
      <c r="G5" s="221" t="n"/>
      <c r="H5" s="222" t="n"/>
      <c r="I5" s="222" t="n"/>
      <c r="J5" s="207" t="n"/>
      <c r="K5" s="208" t="n"/>
      <c r="L5" s="209" t="n"/>
      <c r="Q5" s="223" t="inlineStr">
        <is>
          <t>1/2 ans</t>
        </is>
      </c>
      <c r="R5" s="224" t="n">
        <v>603.83</v>
      </c>
      <c r="S5" s="225" t="n">
        <v>6.2</v>
      </c>
      <c r="T5" s="226" t="n">
        <v>0.794</v>
      </c>
      <c r="Z5" s="227" t="n"/>
      <c r="AA5" s="228" t="n"/>
    </row>
    <row r="6" ht="22.5" customHeight="1" s="180">
      <c r="A6" s="204" t="n"/>
      <c r="F6" s="221" t="n"/>
      <c r="G6" s="221" t="n"/>
      <c r="H6" s="222" t="n"/>
      <c r="I6" s="222" t="n"/>
      <c r="J6" s="207" t="n"/>
      <c r="K6" s="208" t="n"/>
      <c r="L6" s="209" t="n"/>
      <c r="Q6" s="223" t="inlineStr">
        <is>
          <t>1/5 ans</t>
        </is>
      </c>
      <c r="R6" s="224" t="n">
        <v>509.21</v>
      </c>
      <c r="S6" s="225" t="n">
        <v>3.7</v>
      </c>
      <c r="T6" s="226" t="n">
        <v>0.6830000000000001</v>
      </c>
      <c r="Z6" s="227" t="n"/>
      <c r="AA6" s="228" t="n"/>
    </row>
    <row r="7" ht="22.5" customHeight="1" s="180">
      <c r="A7" s="204" t="n"/>
      <c r="F7" s="221" t="n"/>
      <c r="G7" s="221" t="n"/>
      <c r="H7" s="222" t="n"/>
      <c r="I7" s="222" t="n"/>
      <c r="J7" s="207" t="n"/>
      <c r="K7" s="208" t="n"/>
      <c r="L7" s="209" t="n"/>
      <c r="Q7" s="223" t="inlineStr">
        <is>
          <t>1/10 ans</t>
        </is>
      </c>
      <c r="R7" s="224" t="n">
        <v>508.07</v>
      </c>
      <c r="S7" s="225" t="n">
        <v>2.9</v>
      </c>
      <c r="T7" s="226" t="n">
        <v>0.644</v>
      </c>
      <c r="Z7" s="227" t="n"/>
      <c r="AA7" s="228" t="n"/>
    </row>
    <row r="8" ht="22.5" customHeight="1" s="180">
      <c r="A8" s="204" t="n"/>
      <c r="F8" s="221" t="n"/>
      <c r="G8" s="221" t="n"/>
      <c r="H8" s="222" t="n"/>
      <c r="I8" s="222" t="n"/>
      <c r="J8" s="207" t="n"/>
      <c r="K8" s="208" t="n"/>
      <c r="L8" s="209" t="n"/>
      <c r="Q8" s="223" t="inlineStr">
        <is>
          <t>1/25 ans</t>
        </is>
      </c>
      <c r="R8" s="224" t="n">
        <v>515.88</v>
      </c>
      <c r="S8" s="225" t="n">
        <v>2.1</v>
      </c>
      <c r="T8" s="226" t="n">
        <v>0.607</v>
      </c>
      <c r="Z8" s="227" t="n"/>
      <c r="AA8" s="228" t="n"/>
    </row>
    <row r="9" ht="22.5" customHeight="1" s="180">
      <c r="A9" s="204" t="n"/>
      <c r="F9" s="221" t="n"/>
      <c r="G9" s="221" t="n"/>
      <c r="H9" s="222" t="n"/>
      <c r="I9" s="222" t="n"/>
      <c r="J9" s="207" t="n"/>
      <c r="K9" s="208" t="n"/>
      <c r="L9" s="209" t="n"/>
      <c r="Q9" s="223" t="inlineStr">
        <is>
          <t>1/50 ans</t>
        </is>
      </c>
      <c r="R9" s="224" t="n">
        <v>548.6</v>
      </c>
      <c r="S9" s="225" t="n">
        <v>1.9</v>
      </c>
      <c r="T9" s="226" t="n">
        <v>0.595</v>
      </c>
      <c r="Z9" s="227" t="n"/>
      <c r="AA9" s="228" t="n"/>
    </row>
    <row r="10" ht="22.5" customHeight="1" s="180">
      <c r="A10" s="204" t="n"/>
      <c r="F10" s="221" t="n"/>
      <c r="G10" s="221" t="n"/>
      <c r="H10" s="222" t="n"/>
      <c r="I10" s="222" t="n"/>
      <c r="J10" s="207" t="n"/>
      <c r="K10" s="208" t="n"/>
      <c r="L10" s="209" t="n"/>
      <c r="Q10" s="223" t="inlineStr">
        <is>
          <t>1/100 ans</t>
        </is>
      </c>
      <c r="R10" s="224" t="n">
        <v>569.21</v>
      </c>
      <c r="S10" s="225" t="n">
        <v>1.6</v>
      </c>
      <c r="T10" s="226" t="n">
        <v>0.579</v>
      </c>
      <c r="Z10" s="227" t="n"/>
      <c r="AA10" s="228" t="n"/>
    </row>
    <row r="11" ht="22.5" customHeight="1" s="180">
      <c r="A11" s="229" t="n"/>
      <c r="B11" s="230" t="n"/>
      <c r="C11" s="230" t="n"/>
      <c r="D11" s="230" t="n"/>
      <c r="E11" s="230" t="n"/>
      <c r="F11" s="231" t="n"/>
      <c r="G11" s="230" t="n"/>
      <c r="H11" s="230" t="n"/>
      <c r="I11" s="230" t="n"/>
      <c r="J11" s="232" t="n"/>
      <c r="K11" s="233" t="n"/>
      <c r="L11" s="234" t="n"/>
      <c r="M11" s="230" t="n"/>
      <c r="N11" s="230" t="n"/>
      <c r="O11" s="230" t="n"/>
      <c r="P11" s="230" t="n"/>
      <c r="Q11" s="235" t="n"/>
      <c r="R11" s="236" t="inlineStr">
        <is>
          <t>Coefficient de Manning:</t>
        </is>
      </c>
      <c r="S11" s="237" t="n">
        <v>0.013</v>
      </c>
      <c r="T11" s="238" t="n"/>
      <c r="U11" s="230" t="n"/>
      <c r="V11" s="239" t="n"/>
      <c r="W11" s="240" t="n"/>
      <c r="X11" s="230" t="n"/>
      <c r="Y11" s="241" t="n"/>
      <c r="Z11" s="242" t="n"/>
      <c r="AA11" s="243" t="n"/>
    </row>
    <row r="12" ht="42" customFormat="1" customHeight="1" s="208">
      <c r="A12" s="244" t="inlineStr">
        <is>
          <t>Calcul du débit</t>
        </is>
      </c>
      <c r="B12" s="187" t="n"/>
      <c r="C12" s="187" t="n"/>
      <c r="D12" s="187" t="n"/>
      <c r="E12" s="187" t="n"/>
      <c r="F12" s="187" t="n"/>
      <c r="G12" s="187" t="n"/>
      <c r="H12" s="187" t="n"/>
      <c r="I12" s="187" t="n"/>
      <c r="J12" s="187" t="n"/>
      <c r="K12" s="187" t="n"/>
      <c r="L12" s="188" t="n"/>
      <c r="M12" s="245" t="inlineStr">
        <is>
          <t>Calcul des caractéristiques
de la conduite</t>
        </is>
      </c>
      <c r="N12" s="187" t="n"/>
      <c r="O12" s="187" t="n"/>
      <c r="P12" s="187" t="n"/>
      <c r="Q12" s="187" t="n"/>
      <c r="R12" s="188" t="n"/>
      <c r="S12" s="246" t="inlineStr">
        <is>
          <t>Niveau du sol</t>
        </is>
      </c>
      <c r="T12" s="247" t="n"/>
      <c r="U12" s="248" t="inlineStr">
        <is>
          <t>Hauteur
de radier</t>
        </is>
      </c>
      <c r="V12" s="249" t="n"/>
      <c r="W12" s="250" t="inlineStr">
        <is>
          <t>Couverture</t>
        </is>
      </c>
      <c r="X12" s="187" t="n"/>
      <c r="Y12" s="251" t="inlineStr">
        <is>
          <t>Volume retenu dans les conduites</t>
        </is>
      </c>
      <c r="Z12" s="252" t="n"/>
      <c r="AA12" s="253" t="n"/>
    </row>
    <row r="13" ht="189" customFormat="1" customHeight="1" s="254">
      <c r="A13" s="255" t="inlineStr">
        <is>
          <t>Tronçon de conduite</t>
        </is>
      </c>
      <c r="B13" s="256" t="n"/>
      <c r="C13" s="257" t="n"/>
      <c r="D13" s="258" t="inlineStr">
        <is>
          <t>Temps de concentration</t>
        </is>
      </c>
      <c r="E13" s="259" t="inlineStr">
        <is>
          <t>Accroissement (DA)
de l'aire à desservir</t>
        </is>
      </c>
      <c r="F13" s="259" t="inlineStr">
        <is>
          <t>Coefficient de 
ruissellement de DA</t>
        </is>
      </c>
      <c r="G13" s="258" t="inlineStr">
        <is>
          <t>Aire imperméables de DA</t>
        </is>
      </c>
      <c r="H13" s="258" t="inlineStr">
        <is>
          <t>Aire cumulative</t>
        </is>
      </c>
      <c r="I13" s="258" t="inlineStr">
        <is>
          <t>Aire imperméable cumulative</t>
        </is>
      </c>
      <c r="J13" s="259" t="inlineStr">
        <is>
          <t>Coefficient de 
ruissellement de A</t>
        </is>
      </c>
      <c r="K13" s="260" t="inlineStr">
        <is>
          <t>Intensité de précipitation</t>
        </is>
      </c>
      <c r="L13" s="261" t="inlineStr">
        <is>
          <t>Débit maximal = 2,75 x 10-3 AIR</t>
        </is>
      </c>
      <c r="M13" s="262" t="inlineStr">
        <is>
          <t>Pente de la conduite</t>
        </is>
      </c>
      <c r="N13" s="263" t="inlineStr">
        <is>
          <t>Diamètre nominal de la conduite</t>
        </is>
      </c>
      <c r="O13" s="264" t="inlineStr">
        <is>
          <t>Vitesse d'écoulement dans la
conduite coulant à plein débit</t>
        </is>
      </c>
      <c r="P13" s="265" t="inlineStr">
        <is>
          <t>Longueur de la conduite</t>
        </is>
      </c>
      <c r="Q13" s="266" t="inlineStr">
        <is>
          <t>Temps d'écoulement
dans la conduite (L/v)</t>
        </is>
      </c>
      <c r="R13" s="267" t="inlineStr">
        <is>
          <t>Capacité hydraulique de la
conduite coulant à plein débit</t>
        </is>
      </c>
      <c r="S13" s="265" t="inlineStr">
        <is>
          <t>Amont</t>
        </is>
      </c>
      <c r="T13" s="265" t="inlineStr">
        <is>
          <t>Aval</t>
        </is>
      </c>
      <c r="U13" s="265" t="inlineStr">
        <is>
          <t>Amont</t>
        </is>
      </c>
      <c r="V13" s="268" t="inlineStr">
        <is>
          <t>Aval</t>
        </is>
      </c>
      <c r="W13" s="265" t="inlineStr">
        <is>
          <t>Amont</t>
        </is>
      </c>
      <c r="X13" s="265" t="inlineStr">
        <is>
          <t>Aval</t>
        </is>
      </c>
      <c r="Y13" s="265" t="inlineStr">
        <is>
          <t>Conduites</t>
        </is>
      </c>
      <c r="Z13" s="266" t="inlineStr">
        <is>
          <t>Diamètre de 
la bouche d'égouts</t>
        </is>
      </c>
      <c r="AA13" s="269" t="inlineStr">
        <is>
          <t>Volume de la bouche d'égouts</t>
        </is>
      </c>
      <c r="AB13" s="270" t="inlineStr">
        <is>
          <t>Vérification de la capacité
de la conduite Qp &gt; Qmax</t>
        </is>
      </c>
      <c r="AC13" t="inlineStr">
        <is>
          <t>Pipe_ID (réf.)</t>
        </is>
      </c>
    </row>
    <row r="14" ht="20.25" customFormat="1" customHeight="1" s="271">
      <c r="A14" s="272" t="n"/>
      <c r="C14" s="273" t="n"/>
      <c r="D14" s="273" t="inlineStr">
        <is>
          <t>tc</t>
        </is>
      </c>
      <c r="E14" s="273" t="inlineStr">
        <is>
          <t>DA</t>
        </is>
      </c>
      <c r="F14" s="273" t="inlineStr">
        <is>
          <t>RT</t>
        </is>
      </c>
      <c r="G14" s="273" t="inlineStr">
        <is>
          <t>DART</t>
        </is>
      </c>
      <c r="H14" s="273" t="inlineStr">
        <is>
          <t>A</t>
        </is>
      </c>
      <c r="I14" s="273" t="inlineStr">
        <is>
          <t>AR</t>
        </is>
      </c>
      <c r="J14" s="273" t="inlineStr">
        <is>
          <t>R</t>
        </is>
      </c>
      <c r="K14" s="274" t="inlineStr">
        <is>
          <t>I</t>
        </is>
      </c>
      <c r="L14" s="275" t="inlineStr">
        <is>
          <t>Qmax</t>
        </is>
      </c>
      <c r="M14" s="276" t="inlineStr">
        <is>
          <t>s</t>
        </is>
      </c>
      <c r="N14" s="273" t="inlineStr">
        <is>
          <t>dnom</t>
        </is>
      </c>
      <c r="O14" s="277" t="inlineStr">
        <is>
          <t>v</t>
        </is>
      </c>
      <c r="P14" s="273" t="inlineStr">
        <is>
          <t>L</t>
        </is>
      </c>
      <c r="Q14" s="273" t="inlineStr">
        <is>
          <t>tf</t>
        </is>
      </c>
      <c r="R14" s="278" t="inlineStr">
        <is>
          <t>Qp</t>
        </is>
      </c>
      <c r="S14" s="273" t="n"/>
      <c r="T14" s="273" t="n"/>
      <c r="U14" s="273" t="n"/>
      <c r="V14" s="279" t="n"/>
      <c r="W14" s="280" t="n"/>
      <c r="X14" s="277" t="n"/>
      <c r="Y14" s="277" t="n"/>
      <c r="Z14" s="281" t="n"/>
      <c r="AA14" s="282" t="n"/>
      <c r="AC14" t="inlineStr">
        <is>
          <t>ID</t>
        </is>
      </c>
    </row>
    <row r="15" ht="18" customFormat="1" customHeight="1" s="283">
      <c r="A15" s="284" t="n"/>
      <c r="B15" s="285" t="n"/>
      <c r="C15" s="286" t="n"/>
      <c r="D15" s="286" t="inlineStr">
        <is>
          <t>(min)</t>
        </is>
      </c>
      <c r="E15" s="286" t="inlineStr">
        <is>
          <t>(ha)</t>
        </is>
      </c>
      <c r="F15" s="286" t="n"/>
      <c r="G15" s="286" t="inlineStr">
        <is>
          <t>(ha)</t>
        </is>
      </c>
      <c r="H15" s="286" t="inlineStr">
        <is>
          <t>(ha)</t>
        </is>
      </c>
      <c r="I15" s="286" t="inlineStr">
        <is>
          <t>(ha)</t>
        </is>
      </c>
      <c r="J15" s="286" t="n"/>
      <c r="K15" s="287" t="inlineStr">
        <is>
          <t>(mm/h)</t>
        </is>
      </c>
      <c r="L15" s="288" t="inlineStr">
        <is>
          <t>(m3/s)</t>
        </is>
      </c>
      <c r="M15" s="289" t="inlineStr">
        <is>
          <t>(m/m)</t>
        </is>
      </c>
      <c r="N15" s="286" t="inlineStr">
        <is>
          <t>(mm)</t>
        </is>
      </c>
      <c r="O15" s="290" t="inlineStr">
        <is>
          <t>(m/s)</t>
        </is>
      </c>
      <c r="P15" s="286" t="inlineStr">
        <is>
          <t>(m)</t>
        </is>
      </c>
      <c r="Q15" s="286" t="inlineStr">
        <is>
          <t>(min)</t>
        </is>
      </c>
      <c r="R15" s="291" t="inlineStr">
        <is>
          <t>(m3/s)</t>
        </is>
      </c>
      <c r="S15" s="286" t="inlineStr">
        <is>
          <t>(m)</t>
        </is>
      </c>
      <c r="T15" s="286" t="inlineStr">
        <is>
          <t>(m)</t>
        </is>
      </c>
      <c r="U15" s="286" t="inlineStr">
        <is>
          <t>(m)</t>
        </is>
      </c>
      <c r="V15" s="292" t="inlineStr">
        <is>
          <t>(m)</t>
        </is>
      </c>
      <c r="W15" s="293" t="inlineStr">
        <is>
          <t>(m)</t>
        </is>
      </c>
      <c r="X15" s="294" t="inlineStr">
        <is>
          <t>(m)</t>
        </is>
      </c>
      <c r="Y15" s="295" t="inlineStr">
        <is>
          <t>(m3)</t>
        </is>
      </c>
      <c r="Z15" s="290" t="inlineStr">
        <is>
          <t>(m)</t>
        </is>
      </c>
      <c r="AA15" s="296" t="inlineStr">
        <is>
          <t>(m3)</t>
        </is>
      </c>
      <c r="AC15" t="inlineStr">
        <is>
          <t>-</t>
        </is>
      </c>
    </row>
    <row r="16" ht="22.5" customHeight="1" s="180">
      <c r="A16" s="297" t="n"/>
      <c r="B16" s="298" t="n"/>
      <c r="C16" s="299" t="n"/>
      <c r="D16" s="300" t="n"/>
      <c r="E16" s="300" t="n"/>
      <c r="F16" s="300" t="n"/>
      <c r="G16" s="300" t="n"/>
      <c r="H16" s="300" t="n"/>
      <c r="I16" s="300" t="n"/>
      <c r="J16" s="300" t="n"/>
      <c r="K16" s="301" t="n"/>
      <c r="L16" s="302" t="n"/>
      <c r="M16" s="303" t="n"/>
      <c r="N16" s="300" t="n"/>
      <c r="O16" s="304" t="n"/>
      <c r="P16" s="300" t="n"/>
      <c r="Q16" s="300" t="n"/>
      <c r="R16" s="305" t="n"/>
      <c r="S16" s="306" t="n"/>
      <c r="T16" s="299" t="n"/>
      <c r="U16" s="300" t="n"/>
      <c r="V16" s="307" t="n"/>
      <c r="X16" s="308" t="n"/>
      <c r="Z16" s="308" t="n"/>
      <c r="AA16" s="214" t="n"/>
      <c r="AC16" s="309" t="n"/>
    </row>
    <row r="17" ht="22.5" customHeight="1" s="180">
      <c r="A17" s="310" t="inlineStr">
        <is>
          <t>Tronçons (amont → aval) — données projet</t>
        </is>
      </c>
      <c r="B17" s="298" t="n"/>
      <c r="C17" s="299" t="n"/>
      <c r="D17" s="300" t="n"/>
      <c r="E17" s="300" t="n"/>
      <c r="F17" s="300" t="n"/>
      <c r="G17" s="300" t="n"/>
      <c r="H17" s="300" t="n"/>
      <c r="I17" s="300" t="n"/>
      <c r="J17" s="300" t="n"/>
      <c r="K17" s="301" t="n"/>
      <c r="L17" s="302" t="n"/>
      <c r="M17" s="303" t="n"/>
      <c r="N17" s="300" t="n"/>
      <c r="O17" s="304" t="n"/>
      <c r="P17" s="300" t="n"/>
      <c r="Q17" s="300" t="n"/>
      <c r="R17" s="305" t="n"/>
      <c r="S17" s="306" t="n"/>
      <c r="T17" s="299" t="n"/>
      <c r="U17" s="300" t="n"/>
      <c r="V17" s="307" t="n"/>
      <c r="W17" s="311" t="n"/>
      <c r="X17" s="301" t="n"/>
      <c r="Y17" s="301" t="n"/>
      <c r="Z17" s="301" t="n"/>
      <c r="AA17" s="312" t="n"/>
    </row>
    <row r="18" ht="22.5" customHeight="1" s="180">
      <c r="A18" s="313" t="inlineStr">
        <is>
          <t>P09</t>
        </is>
      </c>
      <c r="B18" s="313" t="inlineStr">
        <is>
          <t>@</t>
        </is>
      </c>
      <c r="C18" s="313" t="inlineStr">
        <is>
          <t>P06</t>
        </is>
      </c>
      <c r="D18" s="314">
        <f>'Temps de concentration'!B7</f>
        <v/>
      </c>
      <c r="E18" s="315" t="n">
        <v>0.0447</v>
      </c>
      <c r="F18" s="316" t="n">
        <v>0.425</v>
      </c>
      <c r="G18" s="317">
        <f>E18*F18</f>
        <v/>
      </c>
      <c r="H18" s="317">
        <f>E18</f>
        <v/>
      </c>
      <c r="I18" s="317">
        <f>G18</f>
        <v/>
      </c>
      <c r="J18" s="318">
        <f>IF(H18=0,0,I18/H18)</f>
        <v/>
      </c>
      <c r="K18" s="314">
        <f>IF($S$2=0.5,$R$5/((D18+$S$5)^$T$5),IF($S$2=0.2,$R$6/((D18+$S$6)^$T$6),IF($S$2=0.1,$R$7/((D18+$S$7)^$T$7),IF($S$2=0.04,$R$8/((D18+$S$8)^$T$8),IF($S$2=0.02,$R$9/((D18+$S$9)^$T$9),$R$10/((D18+$S$10)^$T$10))))))</f>
        <v/>
      </c>
      <c r="L18" s="318">
        <f>0.00275*H18*J18*K18</f>
        <v/>
      </c>
      <c r="M18" s="315" t="n">
        <v>0.0306</v>
      </c>
      <c r="N18" s="319" t="n">
        <v>200</v>
      </c>
      <c r="O18" s="314">
        <f>IF(OR(N18&lt;=0,M18&lt;=0),0,((N18/4000)^(2/3)*SQRT(M18))/$S$11)</f>
        <v/>
      </c>
      <c r="P18" s="320" t="n">
        <v>15.7</v>
      </c>
      <c r="Q18" s="314">
        <f>IF(O18=0,0,P18/(O18*60))</f>
        <v/>
      </c>
      <c r="R18" s="318">
        <f>O18*(PI()*(N18/1000)^2/4)</f>
        <v/>
      </c>
      <c r="S18" s="321" t="n">
        <v>17.62</v>
      </c>
      <c r="T18" s="321" t="n">
        <v>17.14</v>
      </c>
      <c r="U18" s="321" t="n">
        <v>16.918</v>
      </c>
      <c r="V18" s="321" t="n">
        <v>16.438</v>
      </c>
      <c r="W18" s="318">
        <f>S18-U18-N18/1000</f>
        <v/>
      </c>
      <c r="X18" s="318">
        <f>T18-V18-N18/1000</f>
        <v/>
      </c>
      <c r="Y18" s="318">
        <f>P18*PI()*(N18/1000)^2/4</f>
        <v/>
      </c>
      <c r="Z18" s="301" t="n"/>
      <c r="AA18" s="322" t="n"/>
      <c r="AB18" s="323">
        <f>IF(R18&gt;L18,"OK","AUGMENTER D")</f>
        <v/>
      </c>
      <c r="AC18" s="324" t="inlineStr">
        <is>
          <t>L06_P09_P06</t>
        </is>
      </c>
    </row>
    <row r="19" ht="22.5" customHeight="1" s="180">
      <c r="A19" s="313" t="inlineStr">
        <is>
          <t>P07</t>
        </is>
      </c>
      <c r="B19" s="313" t="inlineStr">
        <is>
          <t>@</t>
        </is>
      </c>
      <c r="C19" s="313" t="inlineStr">
        <is>
          <t>P06</t>
        </is>
      </c>
      <c r="D19" s="314">
        <f>MAX('Temps de concentration'!C7, D18+Q18)</f>
        <v/>
      </c>
      <c r="E19" s="315" t="n">
        <v>0.0442</v>
      </c>
      <c r="F19" s="316" t="n">
        <v>0.765</v>
      </c>
      <c r="G19" s="317">
        <f>E19*F19</f>
        <v/>
      </c>
      <c r="H19" s="317">
        <f>H18+E19</f>
        <v/>
      </c>
      <c r="I19" s="317">
        <f>I18+G19</f>
        <v/>
      </c>
      <c r="J19" s="318">
        <f>IF(H19=0,0,I19/H19)</f>
        <v/>
      </c>
      <c r="K19" s="314">
        <f>IF($S$2=0.5,$R$5/((D19+$S$5)^$T$5),IF($S$2=0.2,$R$6/((D19+$S$6)^$T$6),IF($S$2=0.1,$R$7/((D19+$S$7)^$T$7),IF($S$2=0.04,$R$8/((D19+$S$8)^$T$8),IF($S$2=0.02,$R$9/((D19+$S$9)^$T$9),$R$10/((D19+$S$10)^$T$10))))))</f>
        <v/>
      </c>
      <c r="L19" s="318">
        <f>0.00275*H19*J19*K19</f>
        <v/>
      </c>
      <c r="M19" s="315" t="n">
        <v>0.01</v>
      </c>
      <c r="N19" s="319" t="n">
        <v>200</v>
      </c>
      <c r="O19" s="314">
        <f>IF(OR(N19&lt;=0,M19&lt;=0),0,((N19/4000)^(2/3)*SQRT(M19))/$S$11)</f>
        <v/>
      </c>
      <c r="P19" s="320" t="n">
        <v>12.2</v>
      </c>
      <c r="Q19" s="314">
        <f>IF(O19=0,0,P19/(O19*60))</f>
        <v/>
      </c>
      <c r="R19" s="318">
        <f>O19*(PI()*(N19/1000)^2/4)</f>
        <v/>
      </c>
      <c r="S19" s="321" t="n">
        <v>17.09</v>
      </c>
      <c r="T19" s="321" t="n">
        <v>17.14</v>
      </c>
      <c r="U19" s="321" t="n">
        <v>16.418</v>
      </c>
      <c r="V19" s="321" t="n">
        <v>16.296</v>
      </c>
      <c r="W19" s="318">
        <f>S19-U19-N19/1000</f>
        <v/>
      </c>
      <c r="X19" s="318">
        <f>T19-V19-N19/1000</f>
        <v/>
      </c>
      <c r="Y19" s="318">
        <f>P19*PI()*(N19/1000)^2/4</f>
        <v/>
      </c>
      <c r="Z19" s="301" t="n"/>
      <c r="AA19" s="322" t="n"/>
      <c r="AB19" s="323">
        <f>IF(R19&gt;L19,"OK","AUGMENTER D")</f>
        <v/>
      </c>
      <c r="AC19" s="324" t="inlineStr">
        <is>
          <t>L07_P07_P06</t>
        </is>
      </c>
    </row>
    <row r="20" ht="22.5" customHeight="1" s="180">
      <c r="A20" s="313" t="inlineStr">
        <is>
          <t>P06</t>
        </is>
      </c>
      <c r="B20" s="313" t="inlineStr">
        <is>
          <t>@</t>
        </is>
      </c>
      <c r="C20" s="313" t="inlineStr">
        <is>
          <t>P04</t>
        </is>
      </c>
      <c r="D20" s="314">
        <f>MAX('Temps de concentration'!D7, D19+Q19)</f>
        <v/>
      </c>
      <c r="E20" s="315" t="n">
        <v>0.0148</v>
      </c>
      <c r="F20" s="316" t="n">
        <v>0.6840000000000001</v>
      </c>
      <c r="G20" s="317">
        <f>E20*F20</f>
        <v/>
      </c>
      <c r="H20" s="317">
        <f>H19+E20</f>
        <v/>
      </c>
      <c r="I20" s="317">
        <f>I19+G20</f>
        <v/>
      </c>
      <c r="J20" s="318">
        <f>IF(H20=0,0,I20/H20)</f>
        <v/>
      </c>
      <c r="K20" s="314">
        <f>IF($S$2=0.5,$R$5/((D20+$S$5)^$T$5),IF($S$2=0.2,$R$6/((D20+$S$6)^$T$6),IF($S$2=0.1,$R$7/((D20+$S$7)^$T$7),IF($S$2=0.04,$R$8/((D20+$S$8)^$T$8),IF($S$2=0.02,$R$9/((D20+$S$9)^$T$9),$R$10/((D20+$S$10)^$T$10))))))</f>
        <v/>
      </c>
      <c r="L20" s="318">
        <f>0.00275*H20*J20*K20</f>
        <v/>
      </c>
      <c r="M20" s="315" t="n">
        <v>0.01</v>
      </c>
      <c r="N20" s="319" t="n">
        <v>200</v>
      </c>
      <c r="O20" s="314">
        <f>IF(OR(N20&lt;=0,M20&lt;=0),0,((N20/4000)^(2/3)*SQRT(M20))/$S$11)</f>
        <v/>
      </c>
      <c r="P20" s="320" t="n">
        <v>9.6</v>
      </c>
      <c r="Q20" s="314">
        <f>IF(O20=0,0,P20/(O20*60))</f>
        <v/>
      </c>
      <c r="R20" s="318">
        <f>O20*(PI()*(N20/1000)^2/4)</f>
        <v/>
      </c>
      <c r="S20" s="321" t="n">
        <v>17.14</v>
      </c>
      <c r="T20" s="321" t="n">
        <v>17.28</v>
      </c>
      <c r="U20" s="321" t="n">
        <v>16.276</v>
      </c>
      <c r="V20" s="321" t="n">
        <v>16.18</v>
      </c>
      <c r="W20" s="318">
        <f>S20-U20-N20/1000</f>
        <v/>
      </c>
      <c r="X20" s="318">
        <f>T20-V20-N20/1000</f>
        <v/>
      </c>
      <c r="Y20" s="318">
        <f>P20*PI()*(N20/1000)^2/4</f>
        <v/>
      </c>
      <c r="Z20" s="301" t="n"/>
      <c r="AA20" s="322" t="n"/>
      <c r="AB20" s="323">
        <f>IF(R20&gt;L20,"OK","AUGMENTER D")</f>
        <v/>
      </c>
      <c r="AC20" s="324" t="inlineStr">
        <is>
          <t>L08_P06_P04</t>
        </is>
      </c>
    </row>
    <row r="21" ht="22.5" customHeight="1" s="180">
      <c r="A21" s="313" t="inlineStr">
        <is>
          <t>P04</t>
        </is>
      </c>
      <c r="B21" s="313" t="inlineStr">
        <is>
          <t>@</t>
        </is>
      </c>
      <c r="C21" s="313" t="inlineStr">
        <is>
          <t>P01</t>
        </is>
      </c>
      <c r="D21" s="314">
        <f>MAX('Temps de concentration'!E7, D20+Q20)</f>
        <v/>
      </c>
      <c r="E21" s="315" t="n">
        <v>0.0095</v>
      </c>
      <c r="F21" s="316" t="n">
        <v>0.547</v>
      </c>
      <c r="G21" s="317">
        <f>E21*F21</f>
        <v/>
      </c>
      <c r="H21" s="317">
        <f>H20+E21</f>
        <v/>
      </c>
      <c r="I21" s="317">
        <f>I20+G21</f>
        <v/>
      </c>
      <c r="J21" s="318">
        <f>IF(H21=0,0,I21/H21)</f>
        <v/>
      </c>
      <c r="K21" s="314">
        <f>IF($S$2=0.5,$R$5/((D21+$S$5)^$T$5),IF($S$2=0.2,$R$6/((D21+$S$6)^$T$6),IF($S$2=0.1,$R$7/((D21+$S$7)^$T$7),IF($S$2=0.04,$R$8/((D21+$S$8)^$T$8),IF($S$2=0.02,$R$9/((D21+$S$9)^$T$9),$R$10/((D21+$S$10)^$T$10))))))</f>
        <v/>
      </c>
      <c r="L21" s="318">
        <f>0.00275*H21*J21*K21</f>
        <v/>
      </c>
      <c r="M21" s="315" t="n">
        <v>0.01</v>
      </c>
      <c r="N21" s="319" t="n">
        <v>200</v>
      </c>
      <c r="O21" s="314">
        <f>IF(OR(N21&lt;=0,M21&lt;=0),0,((N21/4000)^(2/3)*SQRT(M21))/$S$11)</f>
        <v/>
      </c>
      <c r="P21" s="320" t="n">
        <v>13.5</v>
      </c>
      <c r="Q21" s="314">
        <f>IF(O21=0,0,P21/(O21*60))</f>
        <v/>
      </c>
      <c r="R21" s="318">
        <f>O21*(PI()*(N21/1000)^2/4)</f>
        <v/>
      </c>
      <c r="S21" s="321" t="n">
        <v>17.28</v>
      </c>
      <c r="T21" s="321" t="n">
        <v>17.237</v>
      </c>
      <c r="U21" s="321" t="n">
        <v>16.16</v>
      </c>
      <c r="V21" s="321" t="n">
        <v>16.025</v>
      </c>
      <c r="W21" s="318">
        <f>S21-U21-N21/1000</f>
        <v/>
      </c>
      <c r="X21" s="318">
        <f>T21-V21-N21/1000</f>
        <v/>
      </c>
      <c r="Y21" s="318">
        <f>P21*PI()*(N21/1000)^2/4</f>
        <v/>
      </c>
      <c r="Z21" s="301" t="n"/>
      <c r="AA21" s="322" t="n"/>
      <c r="AB21" s="323">
        <f>IF(R21&gt;L21,"OK","AUGMENTER D")</f>
        <v/>
      </c>
      <c r="AC21" s="324" t="inlineStr">
        <is>
          <t>L09_P04_P01</t>
        </is>
      </c>
    </row>
    <row r="22" ht="22.5" customHeight="1" s="180">
      <c r="A22" s="313" t="inlineStr">
        <is>
          <t>P01</t>
        </is>
      </c>
      <c r="B22" s="313" t="inlineStr">
        <is>
          <t>@</t>
        </is>
      </c>
      <c r="C22" s="313" t="inlineStr">
        <is>
          <t>P02</t>
        </is>
      </c>
      <c r="D22" s="314">
        <f>MAX('Temps de concentration'!F7, D21+Q21)</f>
        <v/>
      </c>
      <c r="E22" s="315" t="n">
        <v>0.0257</v>
      </c>
      <c r="F22" s="316" t="n">
        <v>0.633</v>
      </c>
      <c r="G22" s="317">
        <f>E22*F22</f>
        <v/>
      </c>
      <c r="H22" s="317">
        <f>H21+E22</f>
        <v/>
      </c>
      <c r="I22" s="317">
        <f>I21+G22</f>
        <v/>
      </c>
      <c r="J22" s="318">
        <f>IF(H22=0,0,I22/H22)</f>
        <v/>
      </c>
      <c r="K22" s="314">
        <f>IF($S$2=0.5,$R$5/((D22+$S$5)^$T$5),IF($S$2=0.2,$R$6/((D22+$S$6)^$T$6),IF($S$2=0.1,$R$7/((D22+$S$7)^$T$7),IF($S$2=0.04,$R$8/((D22+$S$8)^$T$8),IF($S$2=0.02,$R$9/((D22+$S$9)^$T$9),$R$10/((D22+$S$10)^$T$10))))))</f>
        <v/>
      </c>
      <c r="L22" s="318">
        <f>0.00275*H22*J22*K22</f>
        <v/>
      </c>
      <c r="M22" s="315" t="n">
        <v>0.01</v>
      </c>
      <c r="N22" s="319" t="n">
        <v>250</v>
      </c>
      <c r="O22" s="314">
        <f>IF(OR(N22&lt;=0,M22&lt;=0),0,((N22/4000)^(2/3)*SQRT(M22))/$S$11)</f>
        <v/>
      </c>
      <c r="P22" s="320" t="n">
        <v>14.2</v>
      </c>
      <c r="Q22" s="314">
        <f>IF(O22=0,0,P22/(O22*60))</f>
        <v/>
      </c>
      <c r="R22" s="318">
        <f>O22*(PI()*(N22/1000)^2/4)</f>
        <v/>
      </c>
      <c r="S22" s="321" t="n">
        <v>17.237</v>
      </c>
      <c r="T22" s="321" t="n">
        <v>17.131</v>
      </c>
      <c r="U22" s="321" t="n">
        <v>16.005</v>
      </c>
      <c r="V22" s="321" t="n">
        <v>15.863</v>
      </c>
      <c r="W22" s="318">
        <f>S22-U22-N22/1000</f>
        <v/>
      </c>
      <c r="X22" s="318">
        <f>T22-V22-N22/1000</f>
        <v/>
      </c>
      <c r="Y22" s="318">
        <f>P22*PI()*(N22/1000)^2/4</f>
        <v/>
      </c>
      <c r="Z22" s="301" t="n"/>
      <c r="AA22" s="322" t="n"/>
      <c r="AB22" s="323">
        <f>IF(R22&gt;L22,"OK","AUGMENTER D")</f>
        <v/>
      </c>
      <c r="AC22" s="324" t="inlineStr">
        <is>
          <t>L01_P01_P02</t>
        </is>
      </c>
    </row>
    <row r="23" ht="22.5" customHeight="1" s="180">
      <c r="A23" s="313" t="inlineStr">
        <is>
          <t>P02</t>
        </is>
      </c>
      <c r="B23" s="313" t="inlineStr">
        <is>
          <t>@</t>
        </is>
      </c>
      <c r="C23" s="313" t="inlineStr">
        <is>
          <t>P03</t>
        </is>
      </c>
      <c r="D23" s="314">
        <f>MAX('Temps de concentration'!G7, D22+Q22)</f>
        <v/>
      </c>
      <c r="E23" s="315" t="n">
        <v>0.0468</v>
      </c>
      <c r="F23" s="316" t="n">
        <v>0.642</v>
      </c>
      <c r="G23" s="317">
        <f>E23*F23</f>
        <v/>
      </c>
      <c r="H23" s="317">
        <f>H22+E23</f>
        <v/>
      </c>
      <c r="I23" s="317">
        <f>I22+G23</f>
        <v/>
      </c>
      <c r="J23" s="318">
        <f>IF(H23=0,0,I23/H23)</f>
        <v/>
      </c>
      <c r="K23" s="314">
        <f>IF($S$2=0.5,$R$5/((D23+$S$5)^$T$5),IF($S$2=0.2,$R$6/((D23+$S$6)^$T$6),IF($S$2=0.1,$R$7/((D23+$S$7)^$T$7),IF($S$2=0.04,$R$8/((D23+$S$8)^$T$8),IF($S$2=0.02,$R$9/((D23+$S$9)^$T$9),$R$10/((D23+$S$10)^$T$10))))))</f>
        <v/>
      </c>
      <c r="L23" s="318">
        <f>0.00275*H23*J23*K23</f>
        <v/>
      </c>
      <c r="M23" s="315" t="n">
        <v>0.0114</v>
      </c>
      <c r="N23" s="319" t="n">
        <v>250</v>
      </c>
      <c r="O23" s="314">
        <f>IF(OR(N23&lt;=0,M23&lt;=0),0,((N23/4000)^(2/3)*SQRT(M23))/$S$11)</f>
        <v/>
      </c>
      <c r="P23" s="320" t="n">
        <v>10.6</v>
      </c>
      <c r="Q23" s="314">
        <f>IF(O23=0,0,P23/(O23*60))</f>
        <v/>
      </c>
      <c r="R23" s="318">
        <f>O23*(PI()*(N23/1000)^2/4)</f>
        <v/>
      </c>
      <c r="S23" s="321" t="n">
        <v>17.131</v>
      </c>
      <c r="T23" s="321" t="n">
        <v>17.01</v>
      </c>
      <c r="U23" s="321" t="n">
        <v>15.843</v>
      </c>
      <c r="V23" s="321" t="n">
        <v>15.722</v>
      </c>
      <c r="W23" s="318">
        <f>S23-U23-N23/1000</f>
        <v/>
      </c>
      <c r="X23" s="318">
        <f>T23-V23-N23/1000</f>
        <v/>
      </c>
      <c r="Y23" s="318">
        <f>P23*PI()*(N23/1000)^2/4</f>
        <v/>
      </c>
      <c r="Z23" s="301" t="n"/>
      <c r="AA23" s="322" t="n"/>
      <c r="AB23" s="323">
        <f>IF(R23&gt;L23,"OK","AUGMENTER D")</f>
        <v/>
      </c>
      <c r="AC23" s="324" t="inlineStr">
        <is>
          <t>L02_P02_P03</t>
        </is>
      </c>
    </row>
    <row r="24" ht="22.5" customHeight="1" s="180">
      <c r="A24" s="313" t="inlineStr">
        <is>
          <t>P03</t>
        </is>
      </c>
      <c r="B24" s="313" t="inlineStr">
        <is>
          <t>@</t>
        </is>
      </c>
      <c r="C24" s="313" t="inlineStr">
        <is>
          <t>P10</t>
        </is>
      </c>
      <c r="D24" s="314">
        <f>D23+Q23</f>
        <v/>
      </c>
      <c r="E24" s="315" t="n">
        <v>0</v>
      </c>
      <c r="F24" s="316" t="n">
        <v>0.9</v>
      </c>
      <c r="G24" s="317">
        <f>E24*F24</f>
        <v/>
      </c>
      <c r="H24" s="317">
        <f>H23+E24</f>
        <v/>
      </c>
      <c r="I24" s="317">
        <f>I23+G24</f>
        <v/>
      </c>
      <c r="J24" s="318">
        <f>IF(H24=0,0,I24/H24)</f>
        <v/>
      </c>
      <c r="K24" s="314">
        <f>IF($S$2=0.5,$R$5/((D24+$S$5)^$T$5),IF($S$2=0.2,$R$6/((D24+$S$6)^$T$6),IF($S$2=0.1,$R$7/((D24+$S$7)^$T$7),IF($S$2=0.04,$R$8/((D24+$S$8)^$T$8),IF($S$2=0.02,$R$9/((D24+$S$9)^$T$9),$R$10/((D24+$S$10)^$T$10))))))</f>
        <v/>
      </c>
      <c r="L24" s="318">
        <f>0.00275*H24*J24*K24</f>
        <v/>
      </c>
      <c r="M24" s="315" t="n">
        <v>0.01</v>
      </c>
      <c r="N24" s="319" t="n">
        <v>250</v>
      </c>
      <c r="O24" s="314">
        <f>IF(OR(N24&lt;=0,M24&lt;=0),0,((N24/4000)^(2/3)*SQRT(M24))/$S$11)</f>
        <v/>
      </c>
      <c r="P24" s="320" t="n">
        <v>6.8</v>
      </c>
      <c r="Q24" s="314">
        <f>IF(O24=0,0,P24/(O24*60))</f>
        <v/>
      </c>
      <c r="R24" s="318">
        <f>O24*(PI()*(N24/1000)^2/4)</f>
        <v/>
      </c>
      <c r="S24" s="321" t="n">
        <v>17.01</v>
      </c>
      <c r="T24" s="321" t="n">
        <v>16.965</v>
      </c>
      <c r="U24" s="321" t="n">
        <v>15.702</v>
      </c>
      <c r="V24" s="321" t="n">
        <v>15.634</v>
      </c>
      <c r="W24" s="318">
        <f>S24-U24-N24/1000</f>
        <v/>
      </c>
      <c r="X24" s="318">
        <f>T24-V24-N24/1000</f>
        <v/>
      </c>
      <c r="Y24" s="318">
        <f>P24*PI()*(N24/1000)^2/4</f>
        <v/>
      </c>
      <c r="Z24" s="301" t="n"/>
      <c r="AA24" s="322" t="n"/>
      <c r="AB24" s="323">
        <f>IF(R24&gt;L24,"OK","AUGMENTER D")</f>
        <v/>
      </c>
      <c r="AC24" s="324" t="inlineStr">
        <is>
          <t>L03_P03_P10</t>
        </is>
      </c>
    </row>
    <row r="25" ht="22.5" customHeight="1" s="180">
      <c r="A25" s="313" t="inlineStr">
        <is>
          <t>P10</t>
        </is>
      </c>
      <c r="B25" s="313" t="inlineStr">
        <is>
          <t>@</t>
        </is>
      </c>
      <c r="C25" s="313" t="inlineStr">
        <is>
          <t>P11</t>
        </is>
      </c>
      <c r="D25" s="314">
        <f>MAX('Temps de concentration'!H7, D24+Q24)</f>
        <v/>
      </c>
      <c r="E25" s="315" t="n">
        <v>0.09030000000000001</v>
      </c>
      <c r="F25" s="316" t="n">
        <v>0.95</v>
      </c>
      <c r="G25" s="317">
        <f>E25*F25</f>
        <v/>
      </c>
      <c r="H25" s="317">
        <f>H24+E25</f>
        <v/>
      </c>
      <c r="I25" s="317">
        <f>I24+G25</f>
        <v/>
      </c>
      <c r="J25" s="318">
        <f>IF(H25=0,0,I25/H25)</f>
        <v/>
      </c>
      <c r="K25" s="314">
        <f>IF($S$2=0.5,$R$5/((D25+$S$5)^$T$5),IF($S$2=0.2,$R$6/((D25+$S$6)^$T$6),IF($S$2=0.1,$R$7/((D25+$S$7)^$T$7),IF($S$2=0.04,$R$8/((D25+$S$8)^$T$8),IF($S$2=0.02,$R$9/((D25+$S$9)^$T$9),$R$10/((D25+$S$10)^$T$10))))))</f>
        <v/>
      </c>
      <c r="L25" s="318">
        <f>0.00275*H25*J25*K25</f>
        <v/>
      </c>
      <c r="M25" s="315" t="n">
        <v>0.01</v>
      </c>
      <c r="N25" s="319" t="n">
        <v>300</v>
      </c>
      <c r="O25" s="314">
        <f>IF(OR(N25&lt;=0,M25&lt;=0),0,((N25/4000)^(2/3)*SQRT(M25))/$S$11)</f>
        <v/>
      </c>
      <c r="P25" s="320" t="n">
        <v>14.5</v>
      </c>
      <c r="Q25" s="314">
        <f>IF(O25=0,0,P25/(O25*60))</f>
        <v/>
      </c>
      <c r="R25" s="318">
        <f>O25*(PI()*(N25/1000)^2/4)</f>
        <v/>
      </c>
      <c r="S25" s="321" t="n">
        <v>16.965</v>
      </c>
      <c r="T25" s="321" t="n">
        <v>16.874</v>
      </c>
      <c r="U25" s="321" t="n">
        <v>15.614</v>
      </c>
      <c r="V25" s="321" t="n">
        <v>15.469</v>
      </c>
      <c r="W25" s="318">
        <f>S25-U25-N25/1000</f>
        <v/>
      </c>
      <c r="X25" s="318">
        <f>T25-V25-N25/1000</f>
        <v/>
      </c>
      <c r="Y25" s="318">
        <f>P25*PI()*(N25/1000)^2/4</f>
        <v/>
      </c>
      <c r="Z25" s="301" t="n"/>
      <c r="AA25" s="322" t="n"/>
      <c r="AB25" s="323">
        <f>IF(R25&gt;L25,"OK","AUGMENTER D")</f>
        <v/>
      </c>
      <c r="AC25" s="324" t="inlineStr">
        <is>
          <t>L10_P10_P11</t>
        </is>
      </c>
    </row>
    <row r="26" ht="22.5" customHeight="1" s="180">
      <c r="A26" s="313" t="inlineStr">
        <is>
          <t>P11</t>
        </is>
      </c>
      <c r="B26" s="313" t="inlineStr">
        <is>
          <t>@</t>
        </is>
      </c>
      <c r="C26" s="313" t="inlineStr">
        <is>
          <t>PUB</t>
        </is>
      </c>
      <c r="D26" s="314">
        <f>MAX('Temps de concentration'!I7, D25+Q25)</f>
        <v/>
      </c>
      <c r="E26" s="315" t="n">
        <v>0.0498</v>
      </c>
      <c r="F26" s="316" t="n">
        <v>0.335</v>
      </c>
      <c r="G26" s="317">
        <f>E26*F26</f>
        <v/>
      </c>
      <c r="H26" s="317">
        <f>H25+E26</f>
        <v/>
      </c>
      <c r="I26" s="317">
        <f>I25+G26</f>
        <v/>
      </c>
      <c r="J26" s="318">
        <f>IF(H26=0,0,I26/H26)</f>
        <v/>
      </c>
      <c r="K26" s="314">
        <f>IF($S$2=0.5,$R$5/((D26+$S$5)^$T$5),IF($S$2=0.2,$R$6/((D26+$S$6)^$T$6),IF($S$2=0.1,$R$7/((D26+$S$7)^$T$7),IF($S$2=0.04,$R$8/((D26+$S$8)^$T$8),IF($S$2=0.02,$R$9/((D26+$S$9)^$T$9),$R$10/((D26+$S$10)^$T$10))))))</f>
        <v/>
      </c>
      <c r="L26" s="318">
        <f>0.00275*H26*J26*K26</f>
        <v/>
      </c>
      <c r="M26" s="315" t="n">
        <v>0.0123</v>
      </c>
      <c r="N26" s="319" t="n">
        <v>300</v>
      </c>
      <c r="O26" s="314">
        <f>IF(OR(N26&lt;=0,M26&lt;=0),0,((N26/4000)^(2/3)*SQRT(M26))/$S$11)</f>
        <v/>
      </c>
      <c r="P26" s="320" t="n">
        <v>11.7</v>
      </c>
      <c r="Q26" s="314">
        <f>IF(O26=0,0,P26/(O26*60))</f>
        <v/>
      </c>
      <c r="R26" s="318">
        <f>O26*(PI()*(N26/1000)^2/4)</f>
        <v/>
      </c>
      <c r="S26" s="321" t="n">
        <v>16.874</v>
      </c>
      <c r="T26" s="321" t="n">
        <v>16.73</v>
      </c>
      <c r="U26" s="321" t="n">
        <v>15.449</v>
      </c>
      <c r="V26" s="321" t="n">
        <v>15.305</v>
      </c>
      <c r="W26" s="318">
        <f>S26-U26-N26/1000</f>
        <v/>
      </c>
      <c r="X26" s="318">
        <f>T26-V26-N26/1000</f>
        <v/>
      </c>
      <c r="Y26" s="318">
        <f>P26*PI()*(N26/1000)^2/4</f>
        <v/>
      </c>
      <c r="Z26" s="301" t="n"/>
      <c r="AA26" s="322" t="n"/>
      <c r="AB26" s="323">
        <f>IF(R26&gt;L26,"OK","AUGMENTER D")</f>
        <v/>
      </c>
      <c r="AC26" s="324" t="inlineStr">
        <is>
          <t>L11_P11_P12</t>
        </is>
      </c>
    </row>
    <row r="27" ht="22.5" customHeight="1" s="180">
      <c r="A27" s="325" t="n"/>
      <c r="B27" s="326" t="n"/>
      <c r="C27" s="327" t="n"/>
      <c r="D27" s="328" t="n"/>
      <c r="E27" s="329" t="n"/>
      <c r="F27" s="306" t="n"/>
      <c r="G27" s="329" t="n"/>
      <c r="H27" s="329" t="n"/>
      <c r="I27" s="329" t="n"/>
      <c r="J27" s="306" t="n"/>
      <c r="K27" s="306" t="n"/>
      <c r="L27" s="330" t="n"/>
      <c r="M27" s="331" t="n"/>
      <c r="N27" s="300" t="n"/>
      <c r="O27" s="332" t="n"/>
      <c r="P27" s="328" t="n"/>
      <c r="Q27" s="306" t="n"/>
      <c r="R27" s="330" t="n"/>
      <c r="S27" s="306" t="n"/>
      <c r="T27" s="306" t="n"/>
      <c r="U27" s="301" t="n"/>
      <c r="V27" s="333" t="n"/>
      <c r="W27" s="311" t="n"/>
      <c r="X27" s="301" t="n"/>
      <c r="Y27" s="301" t="n"/>
      <c r="Z27" s="301" t="n"/>
      <c r="AA27" s="322" t="n"/>
      <c r="AB27" s="334" t="n"/>
    </row>
    <row r="28" ht="22.5" customHeight="1" s="180">
      <c r="A28" s="325" t="n"/>
      <c r="B28" s="326" t="n"/>
      <c r="C28" s="327" t="n"/>
      <c r="D28" s="328" t="n"/>
      <c r="E28" s="329" t="n"/>
      <c r="F28" s="306" t="n"/>
      <c r="G28" s="329" t="n"/>
      <c r="H28" s="329" t="n"/>
      <c r="I28" s="329" t="n"/>
      <c r="J28" s="306" t="n"/>
      <c r="K28" s="306" t="n"/>
      <c r="L28" s="330" t="n"/>
      <c r="M28" s="331" t="n"/>
      <c r="N28" s="300" t="n"/>
      <c r="O28" s="332" t="n"/>
      <c r="P28" s="328" t="n"/>
      <c r="Q28" s="306" t="n"/>
      <c r="R28" s="330" t="n"/>
      <c r="S28" s="306" t="n"/>
      <c r="T28" s="306" t="n"/>
      <c r="U28" s="301" t="n"/>
      <c r="V28" s="333" t="n"/>
      <c r="W28" s="311" t="n"/>
      <c r="X28" s="301" t="n"/>
      <c r="Y28" s="301" t="n"/>
      <c r="Z28" s="301" t="n"/>
      <c r="AA28" s="322" t="n"/>
      <c r="AB28" s="334" t="n"/>
    </row>
    <row r="29" ht="22.5" customHeight="1" s="180">
      <c r="A29" s="335" t="inlineStr">
        <is>
          <t>INSTRUCTIONS / HYPOTHÈSES</t>
        </is>
      </c>
      <c r="B29" s="326" t="n"/>
      <c r="C29" s="327" t="n"/>
      <c r="D29" s="328" t="n"/>
      <c r="E29" s="329" t="n"/>
      <c r="F29" s="306" t="n"/>
      <c r="G29" s="329" t="n"/>
      <c r="H29" s="329" t="n"/>
      <c r="I29" s="329" t="n"/>
      <c r="J29" s="306" t="n"/>
      <c r="K29" s="306" t="n"/>
      <c r="L29" s="330" t="n"/>
      <c r="M29" s="331" t="n"/>
      <c r="N29" s="300" t="n"/>
      <c r="O29" s="332" t="n"/>
      <c r="P29" s="328" t="n"/>
      <c r="Q29" s="306" t="n"/>
      <c r="R29" s="330" t="n"/>
      <c r="S29" s="306" t="n"/>
      <c r="T29" s="306" t="n"/>
      <c r="U29" s="301" t="n"/>
      <c r="V29" s="333" t="n"/>
      <c r="W29" s="311" t="n"/>
      <c r="X29" s="301" t="n"/>
      <c r="Y29" s="301" t="n"/>
      <c r="Z29" s="301" t="n"/>
      <c r="AA29" s="322" t="n"/>
      <c r="AB29" s="334" t="n"/>
    </row>
    <row r="30" ht="22.5" customHeight="1" s="180">
      <c r="A30" s="336" t="inlineStr">
        <is>
          <t>Jaune = saisie; Vert = calculé automatiquement (méthode Saint-Hubert simplifiée).</t>
        </is>
      </c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8" t="n"/>
      <c r="M30" s="331" t="n"/>
      <c r="N30" s="300" t="n"/>
      <c r="O30" s="332" t="n"/>
      <c r="P30" s="328" t="n"/>
      <c r="Q30" s="306" t="n"/>
      <c r="R30" s="330" t="n"/>
      <c r="S30" s="306" t="n"/>
      <c r="T30" s="306" t="n"/>
      <c r="U30" s="301" t="n"/>
      <c r="V30" s="333" t="n"/>
      <c r="W30" s="311" t="n"/>
      <c r="X30" s="301" t="n"/>
      <c r="Y30" s="301" t="n"/>
      <c r="Z30" s="301" t="n"/>
      <c r="AA30" s="322" t="n"/>
      <c r="AB30" s="334" t="n"/>
    </row>
    <row r="31" ht="22.5" customHeight="1" s="180">
      <c r="A31" s="336" t="inlineStr">
        <is>
          <t>Source données: Reseau_pluvial_dimensionnement_v1.xlsx (CB_plan aires, Conduites longueurs/topologie, Noeuds élévations, Inputs IDF/n/pente).</t>
        </is>
      </c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8" t="n"/>
      <c r="M31" s="331" t="n"/>
      <c r="N31" s="300" t="n"/>
      <c r="O31" s="332" t="n"/>
      <c r="P31" s="328" t="n"/>
      <c r="Q31" s="306" t="n"/>
      <c r="R31" s="330" t="n"/>
      <c r="S31" s="306" t="n"/>
      <c r="T31" s="306" t="n"/>
      <c r="U31" s="301" t="n"/>
      <c r="V31" s="333" t="n"/>
      <c r="W31" s="311" t="n"/>
      <c r="X31" s="301" t="n"/>
      <c r="Y31" s="301" t="n"/>
      <c r="Z31" s="301" t="n"/>
      <c r="AA31" s="322" t="n"/>
      <c r="AB31" s="334" t="n"/>
    </row>
    <row r="32" ht="22.5" customHeight="1" s="180">
      <c r="A32" s="336" t="inlineStr">
        <is>
          <t>Qmax = 0.00275 × A(ha) × R × I   |   I = A/(tc+B)^C selon période S2 (défaut 1/10 ans).</t>
        </is>
      </c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8" t="n"/>
      <c r="M32" s="331" t="n"/>
      <c r="N32" s="300" t="n"/>
      <c r="O32" s="332" t="n"/>
      <c r="P32" s="328" t="n"/>
      <c r="Q32" s="306" t="n"/>
      <c r="R32" s="330" t="n"/>
      <c r="S32" s="306" t="n"/>
      <c r="T32" s="306" t="n"/>
      <c r="U32" s="301" t="n"/>
      <c r="V32" s="333" t="n"/>
      <c r="W32" s="311" t="n"/>
      <c r="X32" s="301" t="n"/>
      <c r="Y32" s="301" t="n"/>
      <c r="Z32" s="301" t="n"/>
      <c r="AA32" s="322" t="n"/>
      <c r="AB32" s="334" t="n"/>
    </row>
    <row r="33" ht="22.5" customHeight="1" s="180">
      <c r="A33" s="336" t="inlineStr">
        <is>
          <t>v et Qp = Manning pleine section; n = S11 (0.013). Diamètre N est une suggestion — ajuster si AB = AUGMENTER D.</t>
        </is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8" t="n"/>
      <c r="M33" s="339" t="n"/>
      <c r="N33" s="300" t="n"/>
      <c r="O33" s="332" t="n"/>
      <c r="P33" s="328" t="n"/>
      <c r="Q33" s="306" t="n"/>
      <c r="R33" s="330" t="n"/>
      <c r="S33" s="306" t="n"/>
      <c r="T33" s="306" t="n"/>
      <c r="U33" s="306" t="n"/>
      <c r="V33" s="333" t="n"/>
      <c r="W33" s="311" t="n"/>
      <c r="X33" s="301" t="n"/>
      <c r="Y33" s="301" t="n"/>
      <c r="Z33" s="301" t="n"/>
      <c r="AA33" s="322" t="n"/>
      <c r="AC33" s="334" t="n"/>
    </row>
    <row r="34" ht="22.5" customHeight="1" s="180">
      <c r="A34" s="340" t="inlineStr">
        <is>
          <t>tc: temps d’entrée (Temps de concentration) puis cumul + temps de parcours Q=L/(v*60).</t>
        </is>
      </c>
      <c r="B34" s="252" t="n"/>
      <c r="C34" s="252" t="n"/>
      <c r="D34" s="252" t="n"/>
      <c r="E34" s="252" t="n"/>
      <c r="F34" s="252" t="n"/>
      <c r="G34" s="252" t="n"/>
      <c r="H34" s="252" t="n"/>
      <c r="I34" s="252" t="n"/>
      <c r="J34" s="252" t="n"/>
      <c r="K34" s="252" t="n"/>
      <c r="L34" s="253" t="n"/>
      <c r="M34" s="341" t="n"/>
      <c r="N34" s="286" t="n"/>
      <c r="O34" s="294" t="n"/>
      <c r="P34" s="342" t="n"/>
      <c r="Q34" s="287" t="n"/>
      <c r="R34" s="343" t="n"/>
      <c r="S34" s="287" t="n"/>
      <c r="T34" s="287" t="n"/>
      <c r="U34" s="287" t="n"/>
      <c r="V34" s="344" t="n"/>
      <c r="W34" s="345" t="n"/>
      <c r="X34" s="346" t="n"/>
      <c r="Y34" s="346" t="n"/>
      <c r="Z34" s="346" t="n"/>
      <c r="AA34" s="347" t="n"/>
      <c r="AC34" s="334" t="n"/>
    </row>
    <row r="35">
      <c r="A35" t="inlineStr">
        <is>
          <t>Radiers: calés depuis exutoire invert 15.305 m (Inputs), pente min 1%, chute regard 0.02 m.</t>
        </is>
      </c>
    </row>
    <row r="36">
      <c r="A36" t="inlineStr">
        <is>
          <t>Changer la période: modifier S2 (ex. 1/25, 1/100). Les coefficients A,B,C sont dans Q5:T10.</t>
        </is>
      </c>
    </row>
    <row r="37">
      <c r="A37" t="inlineStr">
        <is>
          <t>Cette feuille garde la logique simple demandée; le classeur v1 reste la référence détaillée.</t>
        </is>
      </c>
    </row>
    <row r="38"/>
    <row r="39"/>
    <row r="40"/>
    <row r="41"/>
    <row r="42"/>
    <row r="43"/>
    <row r="44"/>
    <row r="81" ht="15" customHeight="1" s="180">
      <c r="F81" s="183" t="inlineStr">
        <is>
          <t>*</t>
        </is>
      </c>
    </row>
    <row r="173" ht="15" customHeight="1" s="180">
      <c r="F173" s="183" t="inlineStr">
        <is>
          <t>,0,</t>
        </is>
      </c>
    </row>
  </sheetData>
  <mergeCells count="22">
    <mergeCell ref="S12:T12"/>
    <mergeCell ref="A37:L37"/>
    <mergeCell ref="H4:I4"/>
    <mergeCell ref="M2:P3"/>
    <mergeCell ref="A12:L12"/>
    <mergeCell ref="M12:R12"/>
    <mergeCell ref="F3:G3"/>
    <mergeCell ref="M4:P4"/>
    <mergeCell ref="A33:L33"/>
    <mergeCell ref="A32:L32"/>
    <mergeCell ref="Q3:T3"/>
    <mergeCell ref="Y12:AA12"/>
    <mergeCell ref="A35:L35"/>
    <mergeCell ref="F2:G2"/>
    <mergeCell ref="A13:C13"/>
    <mergeCell ref="U12:V12"/>
    <mergeCell ref="W12:X12"/>
    <mergeCell ref="A31:L31"/>
    <mergeCell ref="A34:L34"/>
    <mergeCell ref="A30:L30"/>
    <mergeCell ref="A36:L36"/>
    <mergeCell ref="A1:AA1"/>
  </mergeCells>
  <conditionalFormatting sqref="AB1:AB1048576">
    <cfRule type="containsText" rank="0" priority="2" equalAverage="0" operator="containsText" aboveAverage="0" dxfId="0" text="FAUX" percent="0" bottom="0">
      <formula>NOT(ISERROR(SEARCH("FAUX",AB1)))</formula>
    </cfRule>
  </conditionalFormatting>
  <printOptions horizontalCentered="0" verticalCentered="0" headings="0" gridLines="0" gridLinesSet="1"/>
  <pageMargins left="0.315277777777778" right="0.236111111111111" top="0.551388888888889" bottom="0.432638888888889" header="0.511811023622047" footer="0.236111111111111"/>
  <pageSetup orientation="landscape" paperSize="1" scale="100" fitToHeight="3" fitToWidth="1" pageOrder="downThenOver" blackAndWhite="0" draft="0" horizontalDpi="300" verticalDpi="300" copies="1"/>
  <headerFooter differentOddEven="0" differentFirst="0">
    <oddHeader/>
    <oddFooter>&amp;R&amp;"Arial,Regular"&amp;10 &amp;Z&amp;F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7"/>
  <sheetViews>
    <sheetView showFormulas="0" showGridLines="1" showRowColHeaders="1" showZeros="1" rightToLeft="0" tabSelected="0" showOutlineSymbols="1" defaultGridColor="1" view="pageBreakPreview" topLeftCell="A1" colorId="64" zoomScale="85" zoomScaleNormal="100" zoomScalePageLayoutView="85" workbookViewId="0">
      <selection pane="topLeft" activeCell="B10" activeCellId="0" sqref="B10"/>
    </sheetView>
  </sheetViews>
  <sheetFormatPr baseColWidth="8" defaultColWidth="9.00390625" defaultRowHeight="15" customHeight="1" zeroHeight="0" outlineLevelRow="0"/>
  <cols>
    <col width="19.1" customWidth="1" style="348" min="1" max="1"/>
    <col width="9" customWidth="1" style="349" min="21" max="21"/>
  </cols>
  <sheetData>
    <row r="1" ht="15" customHeight="1" s="180">
      <c r="K1" s="350" t="inlineStr">
        <is>
          <t>Préparé par:</t>
        </is>
      </c>
    </row>
    <row r="2" ht="15" customHeight="1" s="180">
      <c r="K2" s="350" t="inlineStr">
        <is>
          <t>Vérifié par:</t>
        </is>
      </c>
    </row>
    <row r="4" ht="15" customHeight="1" s="180">
      <c r="A4" s="351" t="inlineStr">
        <is>
          <t>Paramètres</t>
        </is>
      </c>
      <c r="B4" s="352" t="inlineStr">
        <is>
          <t>Sous-bassins locaux (par conduite)</t>
        </is>
      </c>
      <c r="C4" s="187" t="n"/>
      <c r="D4" s="187" t="n"/>
      <c r="E4" s="187" t="n"/>
      <c r="F4" s="187" t="n"/>
      <c r="G4" s="187" t="n"/>
      <c r="H4" s="187" t="n"/>
      <c r="I4" s="187" t="n"/>
      <c r="J4" s="187" t="n"/>
      <c r="K4" s="187" t="n"/>
      <c r="L4" s="187" t="n"/>
      <c r="M4" s="188" t="n"/>
      <c r="N4" s="353" t="n"/>
      <c r="O4" s="353" t="n"/>
      <c r="P4" s="353" t="n"/>
      <c r="Q4" s="353" t="n"/>
      <c r="R4" s="353" t="n"/>
      <c r="S4" s="353" t="n"/>
      <c r="T4" s="353" t="n"/>
    </row>
    <row r="5" ht="15" customHeight="1" s="180">
      <c r="A5" s="354" t="n"/>
      <c r="B5" s="355" t="inlineStr">
        <is>
          <t>L06</t>
        </is>
      </c>
      <c r="C5" s="356" t="inlineStr">
        <is>
          <t>L07</t>
        </is>
      </c>
      <c r="D5" s="356" t="inlineStr">
        <is>
          <t>L08</t>
        </is>
      </c>
      <c r="E5" s="356" t="inlineStr">
        <is>
          <t>L09</t>
        </is>
      </c>
      <c r="F5" s="356" t="inlineStr">
        <is>
          <t>L01</t>
        </is>
      </c>
      <c r="G5" s="356" t="inlineStr">
        <is>
          <t>L02</t>
        </is>
      </c>
      <c r="H5" s="356" t="inlineStr">
        <is>
          <t>L10</t>
        </is>
      </c>
      <c r="I5" s="356" t="inlineStr">
        <is>
          <t>L11</t>
        </is>
      </c>
      <c r="J5" s="357" t="n"/>
      <c r="K5" s="357" t="n"/>
      <c r="L5" s="357" t="n"/>
      <c r="M5" s="358" t="n"/>
      <c r="N5" s="359" t="n"/>
      <c r="O5" s="353" t="n"/>
      <c r="P5" s="353" t="n"/>
      <c r="Q5" s="359" t="n"/>
      <c r="R5" s="353" t="n"/>
      <c r="S5" s="353" t="n"/>
      <c r="T5" s="353" t="n"/>
      <c r="U5" s="353" t="n"/>
    </row>
    <row r="6" ht="15" customHeight="1" s="180">
      <c r="A6" s="360" t="inlineStr">
        <is>
          <t>Aire (ha)</t>
        </is>
      </c>
      <c r="B6" s="361" t="n">
        <v>0.044675</v>
      </c>
      <c r="C6" s="362" t="n">
        <v>0.044235</v>
      </c>
      <c r="D6" s="362" t="n">
        <v>0.01479</v>
      </c>
      <c r="E6" s="362" t="n">
        <v>0.00945</v>
      </c>
      <c r="F6" s="362" t="n">
        <v>0.02573</v>
      </c>
      <c r="G6" s="362" t="n">
        <v>0.046789</v>
      </c>
      <c r="H6" s="362" t="n">
        <v>0.09030000000000001</v>
      </c>
      <c r="I6" s="362" t="n">
        <v>0.049761</v>
      </c>
      <c r="J6" s="363" t="n"/>
      <c r="K6" s="363" t="n"/>
      <c r="L6" s="364" t="n"/>
      <c r="M6" s="365" t="n"/>
      <c r="N6" s="353" t="n"/>
      <c r="O6" s="353" t="n"/>
      <c r="P6" s="353" t="n"/>
      <c r="Q6" s="353" t="n"/>
      <c r="R6" s="353" t="n"/>
      <c r="S6" s="353" t="n"/>
      <c r="T6" s="353" t="n"/>
      <c r="U6" s="353" t="n"/>
    </row>
    <row r="7" ht="15" customHeight="1" s="180">
      <c r="A7" s="360" t="inlineStr">
        <is>
          <t>temps d'entrée (min.)</t>
        </is>
      </c>
      <c r="B7" s="366">
        <f>((2.187*B10*B11)/(B12)^0.5)^0.467</f>
        <v/>
      </c>
      <c r="C7" s="367">
        <f>((2.187*C10*C11)/(C12)^0.5)^0.467</f>
        <v/>
      </c>
      <c r="D7" s="367">
        <f>((2.187*D10*D11)/(D12)^0.5)^0.467</f>
        <v/>
      </c>
      <c r="E7" s="367">
        <f>((2.187*E10*E11)/(E12)^0.5)^0.467</f>
        <v/>
      </c>
      <c r="F7" s="367">
        <f>((2.187*F10*F11)/(F12)^0.5)^0.467</f>
        <v/>
      </c>
      <c r="G7" s="367">
        <f>((2.187*G10*G11)/(G12)^0.5)^0.467</f>
        <v/>
      </c>
      <c r="H7" s="367">
        <f>((2.187*H10*H11)/(H12)^0.5)^0.467</f>
        <v/>
      </c>
      <c r="I7" s="367">
        <f>((2.187*I10*I11)/(I12)^0.5)^0.467</f>
        <v/>
      </c>
      <c r="J7" s="368" t="n"/>
      <c r="K7" s="368" t="n"/>
      <c r="L7" s="368" t="n"/>
      <c r="M7" s="369" t="n"/>
      <c r="N7" s="370" t="n"/>
      <c r="O7" s="370" t="n"/>
      <c r="P7" s="370" t="n"/>
      <c r="Q7" s="371" t="n"/>
      <c r="R7" s="371" t="n"/>
      <c r="S7" s="371" t="n"/>
      <c r="T7" s="371" t="n"/>
      <c r="U7" s="371" t="n"/>
      <c r="V7" s="372" t="n"/>
      <c r="W7" s="372" t="n"/>
      <c r="X7" s="372" t="n"/>
      <c r="Y7" s="372" t="n"/>
    </row>
    <row r="8" ht="15" customHeight="1" s="180">
      <c r="A8" s="360" t="inlineStr">
        <is>
          <t>Coef. Ruissellement</t>
        </is>
      </c>
      <c r="B8" s="373" t="n">
        <v>0.425</v>
      </c>
      <c r="C8" s="374" t="n">
        <v>0.765</v>
      </c>
      <c r="D8" s="374" t="n">
        <v>0.6840000000000001</v>
      </c>
      <c r="E8" s="374" t="n">
        <v>0.547</v>
      </c>
      <c r="F8" s="374" t="n">
        <v>0.633</v>
      </c>
      <c r="G8" s="374" t="n">
        <v>0.642</v>
      </c>
      <c r="H8" s="374" t="n">
        <v>0.95</v>
      </c>
      <c r="I8" s="374" t="n">
        <v>0.335</v>
      </c>
      <c r="J8" s="375" t="n"/>
      <c r="K8" s="375" t="n"/>
      <c r="L8" s="375" t="n"/>
      <c r="M8" s="376" t="n"/>
      <c r="N8" s="353" t="n"/>
      <c r="O8" s="353" t="n"/>
      <c r="P8" s="353" t="n"/>
      <c r="Q8" s="353" t="n"/>
      <c r="R8" s="353" t="n"/>
      <c r="S8" s="353" t="n"/>
      <c r="T8" s="353" t="n"/>
      <c r="U8" s="353" t="n"/>
    </row>
    <row r="9" ht="15" customHeight="1" s="180">
      <c r="A9" s="377" t="n"/>
      <c r="B9" s="378" t="n"/>
      <c r="C9" s="378" t="n"/>
      <c r="D9" s="378" t="n"/>
      <c r="E9" s="378" t="n"/>
      <c r="F9" s="378" t="n"/>
      <c r="G9" s="378" t="n"/>
      <c r="H9" s="378" t="n"/>
      <c r="I9" s="378" t="n"/>
      <c r="J9" s="378" t="n"/>
      <c r="K9" s="378" t="n"/>
      <c r="L9" s="378" t="n"/>
      <c r="M9" s="379" t="n"/>
      <c r="N9" s="353" t="n"/>
      <c r="O9" s="353" t="n"/>
      <c r="P9" s="353" t="n"/>
      <c r="Q9" s="353" t="n"/>
      <c r="R9" s="353" t="n"/>
      <c r="S9" s="353" t="n"/>
      <c r="T9" s="353" t="n"/>
      <c r="U9" s="353" t="n"/>
    </row>
    <row r="10" ht="15" customHeight="1" s="180">
      <c r="A10" s="360" t="inlineStr">
        <is>
          <t>L overland (m)</t>
        </is>
      </c>
      <c r="B10" s="380" t="n">
        <v>21.1</v>
      </c>
      <c r="C10" s="381" t="n">
        <v>21</v>
      </c>
      <c r="D10" s="381" t="n">
        <v>12.2</v>
      </c>
      <c r="E10" s="381" t="n">
        <v>10</v>
      </c>
      <c r="F10" s="381" t="n">
        <v>16</v>
      </c>
      <c r="G10" s="381" t="n">
        <v>21.6</v>
      </c>
      <c r="H10" s="381" t="n">
        <v>30</v>
      </c>
      <c r="I10" s="381" t="n">
        <v>22.3</v>
      </c>
      <c r="J10" s="382" t="n"/>
      <c r="K10" s="382" t="n"/>
      <c r="L10" s="382" t="n"/>
      <c r="M10" s="383" t="n"/>
      <c r="N10" s="370" t="n"/>
      <c r="O10" s="370" t="n"/>
      <c r="P10" s="370" t="n"/>
      <c r="Q10" s="370" t="n"/>
      <c r="R10" s="370" t="n"/>
      <c r="S10" s="370" t="n"/>
      <c r="T10" s="370" t="n"/>
      <c r="U10" s="353" t="n"/>
    </row>
    <row r="11" ht="15" customHeight="1" s="180">
      <c r="A11" s="360" t="inlineStr">
        <is>
          <t>n overland</t>
        </is>
      </c>
      <c r="B11" s="384" t="n">
        <v>0.02</v>
      </c>
      <c r="C11" s="385" t="n">
        <v>0.02</v>
      </c>
      <c r="D11" s="385" t="n">
        <v>0.02</v>
      </c>
      <c r="E11" s="385" t="n">
        <v>0.02</v>
      </c>
      <c r="F11" s="385" t="n">
        <v>0.02</v>
      </c>
      <c r="G11" s="385" t="n">
        <v>0.02</v>
      </c>
      <c r="H11" s="385" t="n">
        <v>0.02</v>
      </c>
      <c r="I11" s="385" t="n">
        <v>0.02</v>
      </c>
      <c r="J11" s="386" t="n"/>
      <c r="K11" s="386" t="n"/>
      <c r="L11" s="386" t="n"/>
      <c r="M11" s="387" t="n"/>
      <c r="N11" s="353" t="n"/>
      <c r="O11" s="353" t="n"/>
      <c r="P11" s="353" t="n"/>
      <c r="Q11" s="353" t="n"/>
      <c r="R11" s="353" t="n"/>
      <c r="S11" s="353" t="n"/>
      <c r="T11" s="353" t="n"/>
      <c r="U11" s="353" t="n"/>
    </row>
    <row r="12" ht="15" customHeight="1" s="180">
      <c r="A12" s="388" t="inlineStr">
        <is>
          <t>s overland (m/m)</t>
        </is>
      </c>
      <c r="B12" s="389" t="n">
        <v>0.03057</v>
      </c>
      <c r="C12" s="390" t="n">
        <v>0.0041</v>
      </c>
      <c r="D12" s="390" t="n">
        <v>0.01458</v>
      </c>
      <c r="E12" s="390" t="n">
        <v>0.00319</v>
      </c>
      <c r="F12" s="390" t="n">
        <v>0.00746</v>
      </c>
      <c r="G12" s="390" t="n">
        <v>0.01142</v>
      </c>
      <c r="H12" s="390" t="n">
        <v>0.00628</v>
      </c>
      <c r="I12" s="390" t="n">
        <v>0.01231</v>
      </c>
      <c r="J12" s="391" t="n"/>
      <c r="K12" s="392" t="n"/>
      <c r="L12" s="375" t="n"/>
      <c r="M12" s="393" t="n"/>
      <c r="N12" s="394" t="n"/>
      <c r="O12" s="394" t="n"/>
      <c r="P12" s="394" t="n"/>
      <c r="Q12" s="394" t="n"/>
      <c r="R12" s="394" t="n"/>
      <c r="S12" s="394" t="n"/>
      <c r="T12" s="353" t="n"/>
      <c r="U12" s="353" t="n"/>
    </row>
    <row r="14">
      <c r="A14" t="inlineStr">
        <is>
          <t>Notes</t>
        </is>
      </c>
    </row>
    <row r="15">
      <c r="A15" t="inlineStr">
        <is>
          <t>Jaune = saisie (depuis Reseau_pluvial_dimensionnement_v1). Vert = calculé.</t>
        </is>
      </c>
    </row>
    <row r="16">
      <c r="A16" t="inlineStr">
        <is>
          <t>L overland estimé ≈ √Aire; s = |Zamont-Zaval|/Lpipe. Ajuster si parcours réel connu.</t>
        </is>
      </c>
    </row>
    <row r="17">
      <c r="A17" t="inlineStr">
        <is>
          <t>IDF utilisée dans Calcul_reseau: période 1/10 ans (A=508.07, B=2.9, C=0.644) = Inputs du projet.</t>
        </is>
      </c>
    </row>
  </sheetData>
  <mergeCells count="2">
    <mergeCell ref="B4:M4"/>
    <mergeCell ref="A4:A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Guy Trudeau</dc:creator>
  <dc:language>en-CA</dc:language>
  <dcterms:created xsi:type="dcterms:W3CDTF">1996-06-18T17:29:14Z</dcterms:created>
  <dcterms:modified xsi:type="dcterms:W3CDTF">2026-07-31T00:57:17Z</dcterms:modified>
  <cp:revision>2</cp:revision>
  <cp:lastPrinted>2010-12-21T21:08:36Z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0x010100BB751D8A11080746B0E3E54BA2C9385D</vt:lpwstr>
  </property>
  <property name="_dlc_DocIdItemGuid" fmtid="{D5CDD505-2E9C-101B-9397-08002B2CF9AE}" pid="3">
    <vt:lpwstr>f8b319b9-1eef-4cfc-afa6-463db90afb96</vt:lpwstr>
  </property>
</Properties>
</file>