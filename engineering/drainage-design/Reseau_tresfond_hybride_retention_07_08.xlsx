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fdavila\Downloads\"/>
    </mc:Choice>
  </mc:AlternateContent>
  <xr:revisionPtr revIDLastSave="0" documentId="13_ncr:1_{66D33586-2033-4A83-BB05-65B6CB16D369}" xr6:coauthVersionLast="47" xr6:coauthVersionMax="47" xr10:uidLastSave="{00000000-0000-0000-0000-000000000000}"/>
  <bookViews>
    <workbookView xWindow="-28920" yWindow="-75" windowWidth="29040" windowHeight="15840" tabRatio="500" activeTab="3" xr2:uid="{00000000-000D-0000-FFFF-FFFF00000000}"/>
  </bookViews>
  <sheets>
    <sheet name="Guide" sheetId="1" r:id="rId1"/>
    <sheet name="Inputs" sheetId="2" r:id="rId2"/>
    <sheet name="Zones_tributaires" sheetId="3" r:id="rId3"/>
    <sheet name="Elements_hybrides" sheetId="4" r:id="rId4"/>
    <sheet name="Noeuds_stockage" sheetId="5" r:id="rId5"/>
    <sheet name="Resume_checks" sheetId="6" r:id="rId6"/>
    <sheet name="Template_est_2p5m" sheetId="7" r:id="rId7"/>
    <sheet name="Convention_labels" sheetId="8" r:id="rId8"/>
    <sheet name="Contraintes_ouest_utilites" sheetId="9" r:id="rId9"/>
    <sheet name="Dimensionnement_est" sheetId="10" r:id="rId10"/>
    <sheet name="Decision_Summary" sheetId="11" r:id="rId1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5" i="5" l="1"/>
  <c r="D11" i="5"/>
  <c r="D12" i="5"/>
  <c r="D13" i="5"/>
  <c r="D14" i="5"/>
  <c r="D10" i="5"/>
  <c r="B39" i="5" l="1"/>
  <c r="D5" i="5"/>
  <c r="D6" i="5"/>
  <c r="E6" i="5" s="1"/>
  <c r="I6" i="5" s="1"/>
  <c r="D4" i="5"/>
  <c r="AI5" i="4"/>
  <c r="B37" i="5"/>
  <c r="B36" i="5"/>
  <c r="B35" i="5"/>
  <c r="B33" i="5"/>
  <c r="B32" i="5"/>
  <c r="B31" i="5"/>
  <c r="B30" i="5"/>
  <c r="D17" i="3"/>
  <c r="D20" i="3"/>
  <c r="D19" i="3"/>
  <c r="F17" i="11"/>
  <c r="B17" i="11"/>
  <c r="F16" i="11"/>
  <c r="B16" i="11"/>
  <c r="B15" i="11"/>
  <c r="F14" i="11"/>
  <c r="B14" i="11"/>
  <c r="F13" i="11"/>
  <c r="B13" i="11"/>
  <c r="F12" i="11"/>
  <c r="B12" i="11"/>
  <c r="F11" i="11"/>
  <c r="B11" i="11"/>
  <c r="C11" i="10"/>
  <c r="C7" i="10"/>
  <c r="C6" i="10"/>
  <c r="C5" i="10"/>
  <c r="E9" i="7"/>
  <c r="E8" i="7"/>
  <c r="E7" i="7"/>
  <c r="E5" i="7"/>
  <c r="C5" i="7"/>
  <c r="B5" i="7"/>
  <c r="G5" i="7" s="1"/>
  <c r="C4" i="7"/>
  <c r="E4" i="7" s="1"/>
  <c r="B4" i="7"/>
  <c r="G4" i="7" s="1"/>
  <c r="B11" i="6"/>
  <c r="B36" i="11" s="1"/>
  <c r="B10" i="6"/>
  <c r="B35" i="11" s="1"/>
  <c r="B9" i="6"/>
  <c r="B26" i="11" s="1"/>
  <c r="M204" i="5"/>
  <c r="K204" i="5"/>
  <c r="L204" i="5" s="1"/>
  <c r="I204" i="5"/>
  <c r="E204" i="5"/>
  <c r="M203" i="5"/>
  <c r="K203" i="5"/>
  <c r="L203" i="5" s="1"/>
  <c r="I203" i="5"/>
  <c r="E203" i="5"/>
  <c r="M202" i="5"/>
  <c r="K202" i="5"/>
  <c r="L202" i="5" s="1"/>
  <c r="I202" i="5"/>
  <c r="E202" i="5"/>
  <c r="M201" i="5"/>
  <c r="K201" i="5"/>
  <c r="L201" i="5" s="1"/>
  <c r="I201" i="5"/>
  <c r="E201" i="5"/>
  <c r="M200" i="5"/>
  <c r="K200" i="5"/>
  <c r="L200" i="5" s="1"/>
  <c r="I200" i="5"/>
  <c r="E200" i="5"/>
  <c r="M199" i="5"/>
  <c r="K199" i="5"/>
  <c r="L199" i="5" s="1"/>
  <c r="I199" i="5"/>
  <c r="E199" i="5"/>
  <c r="M198" i="5"/>
  <c r="K198" i="5"/>
  <c r="L198" i="5" s="1"/>
  <c r="I198" i="5"/>
  <c r="E198" i="5"/>
  <c r="M197" i="5"/>
  <c r="K197" i="5"/>
  <c r="L197" i="5" s="1"/>
  <c r="I197" i="5"/>
  <c r="E197" i="5"/>
  <c r="M196" i="5"/>
  <c r="K196" i="5"/>
  <c r="L196" i="5" s="1"/>
  <c r="I196" i="5"/>
  <c r="E196" i="5"/>
  <c r="M195" i="5"/>
  <c r="K195" i="5"/>
  <c r="L195" i="5" s="1"/>
  <c r="I195" i="5"/>
  <c r="E195" i="5"/>
  <c r="M194" i="5"/>
  <c r="K194" i="5"/>
  <c r="L194" i="5" s="1"/>
  <c r="I194" i="5"/>
  <c r="E194" i="5"/>
  <c r="M193" i="5"/>
  <c r="K193" i="5"/>
  <c r="L193" i="5" s="1"/>
  <c r="I193" i="5"/>
  <c r="E193" i="5"/>
  <c r="M192" i="5"/>
  <c r="K192" i="5"/>
  <c r="L192" i="5" s="1"/>
  <c r="I192" i="5"/>
  <c r="E192" i="5"/>
  <c r="M191" i="5"/>
  <c r="K191" i="5"/>
  <c r="L191" i="5" s="1"/>
  <c r="I191" i="5"/>
  <c r="E191" i="5"/>
  <c r="M190" i="5"/>
  <c r="K190" i="5"/>
  <c r="L190" i="5" s="1"/>
  <c r="I190" i="5"/>
  <c r="E190" i="5"/>
  <c r="M189" i="5"/>
  <c r="K189" i="5"/>
  <c r="L189" i="5" s="1"/>
  <c r="I189" i="5"/>
  <c r="E189" i="5"/>
  <c r="M188" i="5"/>
  <c r="K188" i="5"/>
  <c r="L188" i="5" s="1"/>
  <c r="I188" i="5"/>
  <c r="E188" i="5"/>
  <c r="M187" i="5"/>
  <c r="K187" i="5"/>
  <c r="L187" i="5" s="1"/>
  <c r="I187" i="5"/>
  <c r="E187" i="5"/>
  <c r="M186" i="5"/>
  <c r="K186" i="5"/>
  <c r="L186" i="5" s="1"/>
  <c r="I186" i="5"/>
  <c r="E186" i="5"/>
  <c r="M185" i="5"/>
  <c r="K185" i="5"/>
  <c r="L185" i="5" s="1"/>
  <c r="I185" i="5"/>
  <c r="E185" i="5"/>
  <c r="M184" i="5"/>
  <c r="K184" i="5"/>
  <c r="L184" i="5" s="1"/>
  <c r="I184" i="5"/>
  <c r="E184" i="5"/>
  <c r="M183" i="5"/>
  <c r="K183" i="5"/>
  <c r="L183" i="5" s="1"/>
  <c r="I183" i="5"/>
  <c r="E183" i="5"/>
  <c r="M182" i="5"/>
  <c r="K182" i="5"/>
  <c r="L182" i="5" s="1"/>
  <c r="I182" i="5"/>
  <c r="E182" i="5"/>
  <c r="M181" i="5"/>
  <c r="K181" i="5"/>
  <c r="L181" i="5" s="1"/>
  <c r="I181" i="5"/>
  <c r="E181" i="5"/>
  <c r="M180" i="5"/>
  <c r="K180" i="5"/>
  <c r="L180" i="5" s="1"/>
  <c r="I180" i="5"/>
  <c r="E180" i="5"/>
  <c r="M179" i="5"/>
  <c r="K179" i="5"/>
  <c r="L179" i="5" s="1"/>
  <c r="I179" i="5"/>
  <c r="E179" i="5"/>
  <c r="M178" i="5"/>
  <c r="K178" i="5"/>
  <c r="L178" i="5" s="1"/>
  <c r="I178" i="5"/>
  <c r="E178" i="5"/>
  <c r="M177" i="5"/>
  <c r="K177" i="5"/>
  <c r="L177" i="5" s="1"/>
  <c r="I177" i="5"/>
  <c r="E177" i="5"/>
  <c r="M176" i="5"/>
  <c r="K176" i="5"/>
  <c r="L176" i="5" s="1"/>
  <c r="I176" i="5"/>
  <c r="E176" i="5"/>
  <c r="M175" i="5"/>
  <c r="K175" i="5"/>
  <c r="L175" i="5" s="1"/>
  <c r="I175" i="5"/>
  <c r="E175" i="5"/>
  <c r="M174" i="5"/>
  <c r="K174" i="5"/>
  <c r="L174" i="5" s="1"/>
  <c r="I174" i="5"/>
  <c r="E174" i="5"/>
  <c r="M173" i="5"/>
  <c r="K173" i="5"/>
  <c r="L173" i="5" s="1"/>
  <c r="I173" i="5"/>
  <c r="E173" i="5"/>
  <c r="M172" i="5"/>
  <c r="K172" i="5"/>
  <c r="L172" i="5" s="1"/>
  <c r="I172" i="5"/>
  <c r="E172" i="5"/>
  <c r="M171" i="5"/>
  <c r="K171" i="5"/>
  <c r="L171" i="5" s="1"/>
  <c r="I171" i="5"/>
  <c r="E171" i="5"/>
  <c r="M170" i="5"/>
  <c r="K170" i="5"/>
  <c r="L170" i="5" s="1"/>
  <c r="I170" i="5"/>
  <c r="E170" i="5"/>
  <c r="M169" i="5"/>
  <c r="K169" i="5"/>
  <c r="L169" i="5" s="1"/>
  <c r="I169" i="5"/>
  <c r="E169" i="5"/>
  <c r="M168" i="5"/>
  <c r="K168" i="5"/>
  <c r="L168" i="5" s="1"/>
  <c r="I168" i="5"/>
  <c r="E168" i="5"/>
  <c r="M167" i="5"/>
  <c r="K167" i="5"/>
  <c r="L167" i="5" s="1"/>
  <c r="I167" i="5"/>
  <c r="E167" i="5"/>
  <c r="M166" i="5"/>
  <c r="K166" i="5"/>
  <c r="L166" i="5" s="1"/>
  <c r="I166" i="5"/>
  <c r="E166" i="5"/>
  <c r="M165" i="5"/>
  <c r="K165" i="5"/>
  <c r="L165" i="5" s="1"/>
  <c r="I165" i="5"/>
  <c r="E165" i="5"/>
  <c r="M164" i="5"/>
  <c r="K164" i="5"/>
  <c r="L164" i="5" s="1"/>
  <c r="I164" i="5"/>
  <c r="E164" i="5"/>
  <c r="M163" i="5"/>
  <c r="K163" i="5"/>
  <c r="L163" i="5" s="1"/>
  <c r="I163" i="5"/>
  <c r="E163" i="5"/>
  <c r="M162" i="5"/>
  <c r="K162" i="5"/>
  <c r="L162" i="5" s="1"/>
  <c r="I162" i="5"/>
  <c r="E162" i="5"/>
  <c r="M161" i="5"/>
  <c r="K161" i="5"/>
  <c r="L161" i="5" s="1"/>
  <c r="I161" i="5"/>
  <c r="E161" i="5"/>
  <c r="M160" i="5"/>
  <c r="K160" i="5"/>
  <c r="L160" i="5" s="1"/>
  <c r="I160" i="5"/>
  <c r="E160" i="5"/>
  <c r="M159" i="5"/>
  <c r="K159" i="5"/>
  <c r="L159" i="5" s="1"/>
  <c r="I159" i="5"/>
  <c r="E159" i="5"/>
  <c r="M158" i="5"/>
  <c r="K158" i="5"/>
  <c r="L158" i="5" s="1"/>
  <c r="I158" i="5"/>
  <c r="E158" i="5"/>
  <c r="M157" i="5"/>
  <c r="K157" i="5"/>
  <c r="L157" i="5" s="1"/>
  <c r="I157" i="5"/>
  <c r="E157" i="5"/>
  <c r="M156" i="5"/>
  <c r="K156" i="5"/>
  <c r="L156" i="5" s="1"/>
  <c r="I156" i="5"/>
  <c r="E156" i="5"/>
  <c r="M155" i="5"/>
  <c r="K155" i="5"/>
  <c r="L155" i="5" s="1"/>
  <c r="I155" i="5"/>
  <c r="E155" i="5"/>
  <c r="M154" i="5"/>
  <c r="K154" i="5"/>
  <c r="L154" i="5" s="1"/>
  <c r="I154" i="5"/>
  <c r="E154" i="5"/>
  <c r="M153" i="5"/>
  <c r="K153" i="5"/>
  <c r="L153" i="5" s="1"/>
  <c r="I153" i="5"/>
  <c r="E153" i="5"/>
  <c r="M152" i="5"/>
  <c r="K152" i="5"/>
  <c r="L152" i="5" s="1"/>
  <c r="I152" i="5"/>
  <c r="E152" i="5"/>
  <c r="M151" i="5"/>
  <c r="K151" i="5"/>
  <c r="L151" i="5" s="1"/>
  <c r="I151" i="5"/>
  <c r="E151" i="5"/>
  <c r="M150" i="5"/>
  <c r="K150" i="5"/>
  <c r="L150" i="5" s="1"/>
  <c r="I150" i="5"/>
  <c r="E150" i="5"/>
  <c r="M149" i="5"/>
  <c r="K149" i="5"/>
  <c r="L149" i="5" s="1"/>
  <c r="I149" i="5"/>
  <c r="E149" i="5"/>
  <c r="M148" i="5"/>
  <c r="K148" i="5"/>
  <c r="L148" i="5" s="1"/>
  <c r="I148" i="5"/>
  <c r="E148" i="5"/>
  <c r="M147" i="5"/>
  <c r="K147" i="5"/>
  <c r="L147" i="5" s="1"/>
  <c r="I147" i="5"/>
  <c r="E147" i="5"/>
  <c r="M146" i="5"/>
  <c r="K146" i="5"/>
  <c r="L146" i="5" s="1"/>
  <c r="I146" i="5"/>
  <c r="E146" i="5"/>
  <c r="M145" i="5"/>
  <c r="K145" i="5"/>
  <c r="L145" i="5" s="1"/>
  <c r="I145" i="5"/>
  <c r="E145" i="5"/>
  <c r="M144" i="5"/>
  <c r="K144" i="5"/>
  <c r="L144" i="5" s="1"/>
  <c r="I144" i="5"/>
  <c r="E144" i="5"/>
  <c r="M143" i="5"/>
  <c r="K143" i="5"/>
  <c r="L143" i="5" s="1"/>
  <c r="I143" i="5"/>
  <c r="E143" i="5"/>
  <c r="M142" i="5"/>
  <c r="K142" i="5"/>
  <c r="L142" i="5" s="1"/>
  <c r="I142" i="5"/>
  <c r="E142" i="5"/>
  <c r="M141" i="5"/>
  <c r="K141" i="5"/>
  <c r="L141" i="5" s="1"/>
  <c r="I141" i="5"/>
  <c r="E141" i="5"/>
  <c r="M140" i="5"/>
  <c r="K140" i="5"/>
  <c r="L140" i="5" s="1"/>
  <c r="I140" i="5"/>
  <c r="E140" i="5"/>
  <c r="M139" i="5"/>
  <c r="K139" i="5"/>
  <c r="L139" i="5" s="1"/>
  <c r="I139" i="5"/>
  <c r="E139" i="5"/>
  <c r="M138" i="5"/>
  <c r="K138" i="5"/>
  <c r="L138" i="5" s="1"/>
  <c r="I138" i="5"/>
  <c r="E138" i="5"/>
  <c r="M137" i="5"/>
  <c r="K137" i="5"/>
  <c r="L137" i="5" s="1"/>
  <c r="I137" i="5"/>
  <c r="E137" i="5"/>
  <c r="M136" i="5"/>
  <c r="K136" i="5"/>
  <c r="L136" i="5" s="1"/>
  <c r="I136" i="5"/>
  <c r="E136" i="5"/>
  <c r="M135" i="5"/>
  <c r="K135" i="5"/>
  <c r="L135" i="5" s="1"/>
  <c r="I135" i="5"/>
  <c r="E135" i="5"/>
  <c r="M134" i="5"/>
  <c r="K134" i="5"/>
  <c r="L134" i="5" s="1"/>
  <c r="I134" i="5"/>
  <c r="E134" i="5"/>
  <c r="M133" i="5"/>
  <c r="K133" i="5"/>
  <c r="L133" i="5" s="1"/>
  <c r="I133" i="5"/>
  <c r="E133" i="5"/>
  <c r="M132" i="5"/>
  <c r="K132" i="5"/>
  <c r="L132" i="5" s="1"/>
  <c r="I132" i="5"/>
  <c r="E132" i="5"/>
  <c r="M131" i="5"/>
  <c r="K131" i="5"/>
  <c r="L131" i="5" s="1"/>
  <c r="I131" i="5"/>
  <c r="E131" i="5"/>
  <c r="M130" i="5"/>
  <c r="K130" i="5"/>
  <c r="L130" i="5" s="1"/>
  <c r="I130" i="5"/>
  <c r="E130" i="5"/>
  <c r="M129" i="5"/>
  <c r="K129" i="5"/>
  <c r="L129" i="5" s="1"/>
  <c r="I129" i="5"/>
  <c r="E129" i="5"/>
  <c r="M128" i="5"/>
  <c r="K128" i="5"/>
  <c r="L128" i="5" s="1"/>
  <c r="I128" i="5"/>
  <c r="E128" i="5"/>
  <c r="M127" i="5"/>
  <c r="K127" i="5"/>
  <c r="L127" i="5" s="1"/>
  <c r="I127" i="5"/>
  <c r="E127" i="5"/>
  <c r="M126" i="5"/>
  <c r="K126" i="5"/>
  <c r="L126" i="5" s="1"/>
  <c r="I126" i="5"/>
  <c r="E126" i="5"/>
  <c r="M125" i="5"/>
  <c r="K125" i="5"/>
  <c r="L125" i="5" s="1"/>
  <c r="I125" i="5"/>
  <c r="E125" i="5"/>
  <c r="M124" i="5"/>
  <c r="K124" i="5"/>
  <c r="L124" i="5" s="1"/>
  <c r="I124" i="5"/>
  <c r="E124" i="5"/>
  <c r="M123" i="5"/>
  <c r="K123" i="5"/>
  <c r="L123" i="5" s="1"/>
  <c r="I123" i="5"/>
  <c r="E123" i="5"/>
  <c r="M122" i="5"/>
  <c r="K122" i="5"/>
  <c r="L122" i="5" s="1"/>
  <c r="I122" i="5"/>
  <c r="E122" i="5"/>
  <c r="M121" i="5"/>
  <c r="K121" i="5"/>
  <c r="L121" i="5" s="1"/>
  <c r="I121" i="5"/>
  <c r="E121" i="5"/>
  <c r="M120" i="5"/>
  <c r="K120" i="5"/>
  <c r="L120" i="5" s="1"/>
  <c r="I120" i="5"/>
  <c r="E120" i="5"/>
  <c r="M119" i="5"/>
  <c r="K119" i="5"/>
  <c r="L119" i="5" s="1"/>
  <c r="I119" i="5"/>
  <c r="E119" i="5"/>
  <c r="M118" i="5"/>
  <c r="K118" i="5"/>
  <c r="L118" i="5" s="1"/>
  <c r="I118" i="5"/>
  <c r="E118" i="5"/>
  <c r="M117" i="5"/>
  <c r="K117" i="5"/>
  <c r="L117" i="5" s="1"/>
  <c r="I117" i="5"/>
  <c r="E117" i="5"/>
  <c r="M116" i="5"/>
  <c r="K116" i="5"/>
  <c r="L116" i="5" s="1"/>
  <c r="I116" i="5"/>
  <c r="E116" i="5"/>
  <c r="M115" i="5"/>
  <c r="K115" i="5"/>
  <c r="L115" i="5" s="1"/>
  <c r="I115" i="5"/>
  <c r="E115" i="5"/>
  <c r="M114" i="5"/>
  <c r="K114" i="5"/>
  <c r="L114" i="5" s="1"/>
  <c r="I114" i="5"/>
  <c r="E114" i="5"/>
  <c r="M113" i="5"/>
  <c r="K113" i="5"/>
  <c r="L113" i="5" s="1"/>
  <c r="I113" i="5"/>
  <c r="E113" i="5"/>
  <c r="M112" i="5"/>
  <c r="K112" i="5"/>
  <c r="L112" i="5" s="1"/>
  <c r="I112" i="5"/>
  <c r="E112" i="5"/>
  <c r="M111" i="5"/>
  <c r="K111" i="5"/>
  <c r="L111" i="5" s="1"/>
  <c r="I111" i="5"/>
  <c r="E111" i="5"/>
  <c r="M110" i="5"/>
  <c r="K110" i="5"/>
  <c r="L110" i="5" s="1"/>
  <c r="I110" i="5"/>
  <c r="E110" i="5"/>
  <c r="M109" i="5"/>
  <c r="K109" i="5"/>
  <c r="L109" i="5" s="1"/>
  <c r="I109" i="5"/>
  <c r="E109" i="5"/>
  <c r="M108" i="5"/>
  <c r="K108" i="5"/>
  <c r="L108" i="5" s="1"/>
  <c r="I108" i="5"/>
  <c r="E108" i="5"/>
  <c r="M107" i="5"/>
  <c r="K107" i="5"/>
  <c r="L107" i="5" s="1"/>
  <c r="I107" i="5"/>
  <c r="E107" i="5"/>
  <c r="M106" i="5"/>
  <c r="K106" i="5"/>
  <c r="L106" i="5" s="1"/>
  <c r="I106" i="5"/>
  <c r="E106" i="5"/>
  <c r="M105" i="5"/>
  <c r="K105" i="5"/>
  <c r="L105" i="5" s="1"/>
  <c r="I105" i="5"/>
  <c r="E105" i="5"/>
  <c r="M104" i="5"/>
  <c r="K104" i="5"/>
  <c r="L104" i="5" s="1"/>
  <c r="I104" i="5"/>
  <c r="E104" i="5"/>
  <c r="M103" i="5"/>
  <c r="K103" i="5"/>
  <c r="L103" i="5" s="1"/>
  <c r="I103" i="5"/>
  <c r="E103" i="5"/>
  <c r="M102" i="5"/>
  <c r="K102" i="5"/>
  <c r="L102" i="5" s="1"/>
  <c r="I102" i="5"/>
  <c r="E102" i="5"/>
  <c r="M101" i="5"/>
  <c r="K101" i="5"/>
  <c r="L101" i="5" s="1"/>
  <c r="I101" i="5"/>
  <c r="E101" i="5"/>
  <c r="M100" i="5"/>
  <c r="K100" i="5"/>
  <c r="L100" i="5" s="1"/>
  <c r="I100" i="5"/>
  <c r="E100" i="5"/>
  <c r="M99" i="5"/>
  <c r="K99" i="5"/>
  <c r="L99" i="5" s="1"/>
  <c r="I99" i="5"/>
  <c r="E99" i="5"/>
  <c r="M98" i="5"/>
  <c r="K98" i="5"/>
  <c r="L98" i="5" s="1"/>
  <c r="I98" i="5"/>
  <c r="E98" i="5"/>
  <c r="M97" i="5"/>
  <c r="K97" i="5"/>
  <c r="L97" i="5" s="1"/>
  <c r="I97" i="5"/>
  <c r="E97" i="5"/>
  <c r="M96" i="5"/>
  <c r="K96" i="5"/>
  <c r="L96" i="5" s="1"/>
  <c r="I96" i="5"/>
  <c r="E96" i="5"/>
  <c r="M95" i="5"/>
  <c r="K95" i="5"/>
  <c r="L95" i="5" s="1"/>
  <c r="I95" i="5"/>
  <c r="E95" i="5"/>
  <c r="M94" i="5"/>
  <c r="K94" i="5"/>
  <c r="L94" i="5" s="1"/>
  <c r="I94" i="5"/>
  <c r="E94" i="5"/>
  <c r="M93" i="5"/>
  <c r="K93" i="5"/>
  <c r="L93" i="5" s="1"/>
  <c r="I93" i="5"/>
  <c r="E93" i="5"/>
  <c r="M92" i="5"/>
  <c r="K92" i="5"/>
  <c r="L92" i="5" s="1"/>
  <c r="I92" i="5"/>
  <c r="E92" i="5"/>
  <c r="M91" i="5"/>
  <c r="K91" i="5"/>
  <c r="L91" i="5" s="1"/>
  <c r="I91" i="5"/>
  <c r="E91" i="5"/>
  <c r="M90" i="5"/>
  <c r="K90" i="5"/>
  <c r="L90" i="5" s="1"/>
  <c r="I90" i="5"/>
  <c r="E90" i="5"/>
  <c r="M89" i="5"/>
  <c r="K89" i="5"/>
  <c r="L89" i="5" s="1"/>
  <c r="I89" i="5"/>
  <c r="E89" i="5"/>
  <c r="M88" i="5"/>
  <c r="K88" i="5"/>
  <c r="L88" i="5" s="1"/>
  <c r="I88" i="5"/>
  <c r="E88" i="5"/>
  <c r="M87" i="5"/>
  <c r="K87" i="5"/>
  <c r="L87" i="5" s="1"/>
  <c r="I87" i="5"/>
  <c r="E87" i="5"/>
  <c r="M86" i="5"/>
  <c r="K86" i="5"/>
  <c r="L86" i="5" s="1"/>
  <c r="I86" i="5"/>
  <c r="E86" i="5"/>
  <c r="M85" i="5"/>
  <c r="K85" i="5"/>
  <c r="L85" i="5" s="1"/>
  <c r="I85" i="5"/>
  <c r="E85" i="5"/>
  <c r="M84" i="5"/>
  <c r="K84" i="5"/>
  <c r="L84" i="5" s="1"/>
  <c r="I84" i="5"/>
  <c r="E84" i="5"/>
  <c r="M83" i="5"/>
  <c r="K83" i="5"/>
  <c r="L83" i="5" s="1"/>
  <c r="I83" i="5"/>
  <c r="E83" i="5"/>
  <c r="M82" i="5"/>
  <c r="K82" i="5"/>
  <c r="L82" i="5" s="1"/>
  <c r="I82" i="5"/>
  <c r="E82" i="5"/>
  <c r="M81" i="5"/>
  <c r="K81" i="5"/>
  <c r="L81" i="5" s="1"/>
  <c r="I81" i="5"/>
  <c r="E81" i="5"/>
  <c r="M80" i="5"/>
  <c r="K80" i="5"/>
  <c r="L80" i="5" s="1"/>
  <c r="I80" i="5"/>
  <c r="E80" i="5"/>
  <c r="M79" i="5"/>
  <c r="K79" i="5"/>
  <c r="L79" i="5" s="1"/>
  <c r="I79" i="5"/>
  <c r="E79" i="5"/>
  <c r="M78" i="5"/>
  <c r="K78" i="5"/>
  <c r="L78" i="5" s="1"/>
  <c r="I78" i="5"/>
  <c r="E78" i="5"/>
  <c r="M77" i="5"/>
  <c r="K77" i="5"/>
  <c r="L77" i="5" s="1"/>
  <c r="I77" i="5"/>
  <c r="E77" i="5"/>
  <c r="M76" i="5"/>
  <c r="K76" i="5"/>
  <c r="L76" i="5" s="1"/>
  <c r="I76" i="5"/>
  <c r="E76" i="5"/>
  <c r="M75" i="5"/>
  <c r="K75" i="5"/>
  <c r="L75" i="5" s="1"/>
  <c r="I75" i="5"/>
  <c r="E75" i="5"/>
  <c r="M74" i="5"/>
  <c r="K74" i="5"/>
  <c r="L74" i="5" s="1"/>
  <c r="I74" i="5"/>
  <c r="E74" i="5"/>
  <c r="M73" i="5"/>
  <c r="K73" i="5"/>
  <c r="L73" i="5" s="1"/>
  <c r="I73" i="5"/>
  <c r="E73" i="5"/>
  <c r="M72" i="5"/>
  <c r="K72" i="5"/>
  <c r="L72" i="5" s="1"/>
  <c r="I72" i="5"/>
  <c r="E72" i="5"/>
  <c r="M71" i="5"/>
  <c r="K71" i="5"/>
  <c r="L71" i="5" s="1"/>
  <c r="I71" i="5"/>
  <c r="E71" i="5"/>
  <c r="M70" i="5"/>
  <c r="K70" i="5"/>
  <c r="L70" i="5" s="1"/>
  <c r="I70" i="5"/>
  <c r="E70" i="5"/>
  <c r="M69" i="5"/>
  <c r="K69" i="5"/>
  <c r="L69" i="5" s="1"/>
  <c r="I69" i="5"/>
  <c r="E69" i="5"/>
  <c r="M68" i="5"/>
  <c r="K68" i="5"/>
  <c r="L68" i="5" s="1"/>
  <c r="I68" i="5"/>
  <c r="E68" i="5"/>
  <c r="M67" i="5"/>
  <c r="K67" i="5"/>
  <c r="L67" i="5" s="1"/>
  <c r="I67" i="5"/>
  <c r="E67" i="5"/>
  <c r="M66" i="5"/>
  <c r="K66" i="5"/>
  <c r="L66" i="5" s="1"/>
  <c r="I66" i="5"/>
  <c r="E66" i="5"/>
  <c r="M65" i="5"/>
  <c r="K65" i="5"/>
  <c r="L65" i="5" s="1"/>
  <c r="I65" i="5"/>
  <c r="E65" i="5"/>
  <c r="M64" i="5"/>
  <c r="K64" i="5"/>
  <c r="L64" i="5" s="1"/>
  <c r="I64" i="5"/>
  <c r="E64" i="5"/>
  <c r="M63" i="5"/>
  <c r="K63" i="5"/>
  <c r="L63" i="5" s="1"/>
  <c r="I63" i="5"/>
  <c r="E63" i="5"/>
  <c r="M62" i="5"/>
  <c r="K62" i="5"/>
  <c r="L62" i="5" s="1"/>
  <c r="I62" i="5"/>
  <c r="E62" i="5"/>
  <c r="M61" i="5"/>
  <c r="K61" i="5"/>
  <c r="L61" i="5" s="1"/>
  <c r="I61" i="5"/>
  <c r="E61" i="5"/>
  <c r="M60" i="5"/>
  <c r="K60" i="5"/>
  <c r="L60" i="5" s="1"/>
  <c r="I60" i="5"/>
  <c r="E60" i="5"/>
  <c r="M59" i="5"/>
  <c r="K59" i="5"/>
  <c r="L59" i="5" s="1"/>
  <c r="I59" i="5"/>
  <c r="E59" i="5"/>
  <c r="M58" i="5"/>
  <c r="K58" i="5"/>
  <c r="L58" i="5" s="1"/>
  <c r="I58" i="5"/>
  <c r="E58" i="5"/>
  <c r="M57" i="5"/>
  <c r="K57" i="5"/>
  <c r="L57" i="5" s="1"/>
  <c r="I57" i="5"/>
  <c r="E57" i="5"/>
  <c r="M56" i="5"/>
  <c r="K56" i="5"/>
  <c r="L56" i="5" s="1"/>
  <c r="I56" i="5"/>
  <c r="E56" i="5"/>
  <c r="M55" i="5"/>
  <c r="K55" i="5"/>
  <c r="L55" i="5" s="1"/>
  <c r="I55" i="5"/>
  <c r="E55" i="5"/>
  <c r="M54" i="5"/>
  <c r="K54" i="5"/>
  <c r="L54" i="5" s="1"/>
  <c r="I54" i="5"/>
  <c r="E54" i="5"/>
  <c r="M53" i="5"/>
  <c r="K53" i="5"/>
  <c r="L53" i="5" s="1"/>
  <c r="I53" i="5"/>
  <c r="E53" i="5"/>
  <c r="M52" i="5"/>
  <c r="K52" i="5"/>
  <c r="L52" i="5" s="1"/>
  <c r="I52" i="5"/>
  <c r="E52" i="5"/>
  <c r="M51" i="5"/>
  <c r="K51" i="5"/>
  <c r="L51" i="5" s="1"/>
  <c r="I51" i="5"/>
  <c r="E51" i="5"/>
  <c r="M50" i="5"/>
  <c r="K50" i="5"/>
  <c r="L50" i="5" s="1"/>
  <c r="I50" i="5"/>
  <c r="E50" i="5"/>
  <c r="M49" i="5"/>
  <c r="K49" i="5"/>
  <c r="L49" i="5" s="1"/>
  <c r="I49" i="5"/>
  <c r="E49" i="5"/>
  <c r="M48" i="5"/>
  <c r="K48" i="5"/>
  <c r="L48" i="5" s="1"/>
  <c r="I48" i="5"/>
  <c r="E48" i="5"/>
  <c r="M47" i="5"/>
  <c r="K47" i="5"/>
  <c r="L47" i="5" s="1"/>
  <c r="I47" i="5"/>
  <c r="E47" i="5"/>
  <c r="M46" i="5"/>
  <c r="K46" i="5"/>
  <c r="L46" i="5" s="1"/>
  <c r="I46" i="5"/>
  <c r="E46" i="5"/>
  <c r="M45" i="5"/>
  <c r="K45" i="5"/>
  <c r="L45" i="5" s="1"/>
  <c r="I45" i="5"/>
  <c r="E45" i="5"/>
  <c r="M44" i="5"/>
  <c r="K44" i="5"/>
  <c r="L44" i="5" s="1"/>
  <c r="I44" i="5"/>
  <c r="E44" i="5"/>
  <c r="M43" i="5"/>
  <c r="K43" i="5"/>
  <c r="L43" i="5" s="1"/>
  <c r="I43" i="5"/>
  <c r="E43" i="5"/>
  <c r="M42" i="5"/>
  <c r="K42" i="5"/>
  <c r="L42" i="5" s="1"/>
  <c r="I42" i="5"/>
  <c r="E42" i="5"/>
  <c r="M41" i="5"/>
  <c r="K41" i="5"/>
  <c r="L41" i="5" s="1"/>
  <c r="I41" i="5"/>
  <c r="E41" i="5"/>
  <c r="M40" i="5"/>
  <c r="K40" i="5"/>
  <c r="L40" i="5" s="1"/>
  <c r="I40" i="5"/>
  <c r="E40" i="5"/>
  <c r="M39" i="5"/>
  <c r="K39" i="5"/>
  <c r="L39" i="5" s="1"/>
  <c r="I39" i="5"/>
  <c r="E39" i="5"/>
  <c r="M38" i="5"/>
  <c r="K38" i="5"/>
  <c r="L38" i="5" s="1"/>
  <c r="I38" i="5"/>
  <c r="E38" i="5"/>
  <c r="M37" i="5"/>
  <c r="K37" i="5"/>
  <c r="L37" i="5" s="1"/>
  <c r="I37" i="5"/>
  <c r="E37" i="5"/>
  <c r="M36" i="5"/>
  <c r="K36" i="5"/>
  <c r="L36" i="5" s="1"/>
  <c r="I36" i="5"/>
  <c r="E36" i="5"/>
  <c r="M35" i="5"/>
  <c r="K35" i="5"/>
  <c r="L35" i="5" s="1"/>
  <c r="I35" i="5"/>
  <c r="E35" i="5"/>
  <c r="M34" i="5"/>
  <c r="K34" i="5"/>
  <c r="L34" i="5" s="1"/>
  <c r="I34" i="5"/>
  <c r="E34" i="5"/>
  <c r="M33" i="5"/>
  <c r="K33" i="5"/>
  <c r="L33" i="5" s="1"/>
  <c r="I33" i="5"/>
  <c r="E33" i="5"/>
  <c r="M32" i="5"/>
  <c r="K32" i="5"/>
  <c r="L32" i="5" s="1"/>
  <c r="I32" i="5"/>
  <c r="E32" i="5"/>
  <c r="M31" i="5"/>
  <c r="K31" i="5"/>
  <c r="L31" i="5" s="1"/>
  <c r="I31" i="5"/>
  <c r="E31" i="5"/>
  <c r="M30" i="5"/>
  <c r="K30" i="5"/>
  <c r="L30" i="5" s="1"/>
  <c r="I30" i="5"/>
  <c r="E30" i="5"/>
  <c r="M29" i="5"/>
  <c r="K29" i="5"/>
  <c r="L29" i="5" s="1"/>
  <c r="I29" i="5"/>
  <c r="E29" i="5"/>
  <c r="M28" i="5"/>
  <c r="K28" i="5"/>
  <c r="L28" i="5" s="1"/>
  <c r="I28" i="5"/>
  <c r="E28" i="5"/>
  <c r="M27" i="5"/>
  <c r="K27" i="5"/>
  <c r="L27" i="5" s="1"/>
  <c r="I27" i="5"/>
  <c r="E27" i="5"/>
  <c r="M26" i="5"/>
  <c r="K26" i="5"/>
  <c r="L26" i="5" s="1"/>
  <c r="I26" i="5"/>
  <c r="E26" i="5"/>
  <c r="M25" i="5"/>
  <c r="K25" i="5"/>
  <c r="L25" i="5" s="1"/>
  <c r="I25" i="5"/>
  <c r="E25" i="5"/>
  <c r="M24" i="5"/>
  <c r="K24" i="5"/>
  <c r="L24" i="5" s="1"/>
  <c r="I24" i="5"/>
  <c r="E24" i="5"/>
  <c r="M23" i="5"/>
  <c r="K23" i="5"/>
  <c r="L23" i="5" s="1"/>
  <c r="I23" i="5"/>
  <c r="E23" i="5"/>
  <c r="M22" i="5"/>
  <c r="K22" i="5"/>
  <c r="L22" i="5" s="1"/>
  <c r="I22" i="5"/>
  <c r="E22" i="5"/>
  <c r="M21" i="5"/>
  <c r="K21" i="5"/>
  <c r="L21" i="5" s="1"/>
  <c r="I21" i="5"/>
  <c r="E21" i="5"/>
  <c r="M20" i="5"/>
  <c r="K20" i="5"/>
  <c r="L20" i="5" s="1"/>
  <c r="I20" i="5"/>
  <c r="E20" i="5"/>
  <c r="I19" i="5"/>
  <c r="E19" i="5"/>
  <c r="K18" i="5"/>
  <c r="J18" i="5"/>
  <c r="E18" i="5"/>
  <c r="I18" i="5" s="1"/>
  <c r="J17" i="5"/>
  <c r="E17" i="5"/>
  <c r="I17" i="5" s="1"/>
  <c r="H16" i="5"/>
  <c r="G16" i="5"/>
  <c r="J15" i="5"/>
  <c r="E15" i="5"/>
  <c r="I15" i="5" s="1"/>
  <c r="J14" i="5"/>
  <c r="E14" i="5"/>
  <c r="I14" i="5" s="1"/>
  <c r="J13" i="5"/>
  <c r="E13" i="5"/>
  <c r="I13" i="5" s="1"/>
  <c r="J12" i="5"/>
  <c r="E12" i="5"/>
  <c r="I12" i="5" s="1"/>
  <c r="J11" i="5"/>
  <c r="E11" i="5"/>
  <c r="I11" i="5" s="1"/>
  <c r="J10" i="5"/>
  <c r="E10" i="5"/>
  <c r="I10" i="5" s="1"/>
  <c r="K9" i="5"/>
  <c r="J9" i="5"/>
  <c r="E9" i="5"/>
  <c r="I9" i="5" s="1"/>
  <c r="K8" i="5"/>
  <c r="J8" i="5"/>
  <c r="E8" i="5"/>
  <c r="I8" i="5" s="1"/>
  <c r="K7" i="5"/>
  <c r="J7" i="5"/>
  <c r="E7" i="5"/>
  <c r="I7" i="5" s="1"/>
  <c r="J6" i="5"/>
  <c r="J5" i="5"/>
  <c r="E5" i="5"/>
  <c r="I5" i="5" s="1"/>
  <c r="K4" i="5"/>
  <c r="L4" i="5" s="1"/>
  <c r="J4" i="5"/>
  <c r="E4" i="5"/>
  <c r="I4" i="5" s="1"/>
  <c r="AL204" i="4"/>
  <c r="AK204" i="4"/>
  <c r="AJ204" i="4"/>
  <c r="AI204" i="4"/>
  <c r="AH204" i="4"/>
  <c r="AF204" i="4"/>
  <c r="AD204" i="4"/>
  <c r="AA204" i="4"/>
  <c r="Z204" i="4"/>
  <c r="Y204" i="4"/>
  <c r="X204" i="4"/>
  <c r="T204" i="4"/>
  <c r="S204" i="4"/>
  <c r="R204" i="4"/>
  <c r="Q204" i="4"/>
  <c r="P204" i="4"/>
  <c r="O204" i="4"/>
  <c r="I204" i="4"/>
  <c r="AL203" i="4"/>
  <c r="AK203" i="4"/>
  <c r="AJ203" i="4"/>
  <c r="AI203" i="4"/>
  <c r="AH203" i="4"/>
  <c r="AF203" i="4"/>
  <c r="AD203" i="4"/>
  <c r="AA203" i="4"/>
  <c r="Z203" i="4"/>
  <c r="Y203" i="4"/>
  <c r="X203" i="4"/>
  <c r="W203" i="4"/>
  <c r="T203" i="4"/>
  <c r="S203" i="4"/>
  <c r="R203" i="4"/>
  <c r="Q203" i="4"/>
  <c r="U203" i="4" s="1"/>
  <c r="P203" i="4"/>
  <c r="O203" i="4"/>
  <c r="I203" i="4"/>
  <c r="AL202" i="4"/>
  <c r="AK202" i="4"/>
  <c r="AJ202" i="4"/>
  <c r="AI202" i="4"/>
  <c r="AH202" i="4"/>
  <c r="AF202" i="4"/>
  <c r="AD202" i="4"/>
  <c r="AA202" i="4"/>
  <c r="Y202" i="4"/>
  <c r="Z202" i="4" s="1"/>
  <c r="X202" i="4"/>
  <c r="T202" i="4"/>
  <c r="S202" i="4"/>
  <c r="R202" i="4"/>
  <c r="Q202" i="4"/>
  <c r="P202" i="4"/>
  <c r="O202" i="4"/>
  <c r="I202" i="4"/>
  <c r="AL201" i="4"/>
  <c r="AK201" i="4"/>
  <c r="AJ201" i="4"/>
  <c r="AI201" i="4"/>
  <c r="AH201" i="4"/>
  <c r="AF201" i="4"/>
  <c r="AD201" i="4"/>
  <c r="AE201" i="4" s="1"/>
  <c r="AA201" i="4"/>
  <c r="Y201" i="4"/>
  <c r="Z201" i="4" s="1"/>
  <c r="X201" i="4"/>
  <c r="W201" i="4"/>
  <c r="T201" i="4"/>
  <c r="S201" i="4"/>
  <c r="R201" i="4"/>
  <c r="Q201" i="4"/>
  <c r="U201" i="4" s="1"/>
  <c r="P201" i="4"/>
  <c r="O201" i="4"/>
  <c r="I201" i="4"/>
  <c r="AL200" i="4"/>
  <c r="AK200" i="4"/>
  <c r="AJ200" i="4"/>
  <c r="AI200" i="4"/>
  <c r="AH200" i="4"/>
  <c r="AF200" i="4"/>
  <c r="AD200" i="4"/>
  <c r="AE200" i="4" s="1"/>
  <c r="AA200" i="4"/>
  <c r="Z200" i="4"/>
  <c r="Y200" i="4"/>
  <c r="X200" i="4"/>
  <c r="W200" i="4"/>
  <c r="T200" i="4"/>
  <c r="S200" i="4"/>
  <c r="R200" i="4"/>
  <c r="Q200" i="4"/>
  <c r="V200" i="4" s="1"/>
  <c r="P200" i="4"/>
  <c r="O200" i="4"/>
  <c r="I200" i="4"/>
  <c r="AL199" i="4"/>
  <c r="AK199" i="4"/>
  <c r="AJ199" i="4"/>
  <c r="AI199" i="4"/>
  <c r="AH199" i="4"/>
  <c r="AF199" i="4"/>
  <c r="AD199" i="4"/>
  <c r="AA199" i="4"/>
  <c r="Y199" i="4"/>
  <c r="Z199" i="4" s="1"/>
  <c r="X199" i="4"/>
  <c r="W199" i="4"/>
  <c r="T199" i="4"/>
  <c r="S199" i="4"/>
  <c r="R199" i="4"/>
  <c r="Q199" i="4"/>
  <c r="V199" i="4" s="1"/>
  <c r="P199" i="4"/>
  <c r="O199" i="4"/>
  <c r="I199" i="4"/>
  <c r="AL198" i="4"/>
  <c r="AK198" i="4"/>
  <c r="AJ198" i="4"/>
  <c r="AI198" i="4"/>
  <c r="AH198" i="4"/>
  <c r="AF198" i="4"/>
  <c r="AD198" i="4"/>
  <c r="AA198" i="4"/>
  <c r="Z198" i="4"/>
  <c r="Y198" i="4"/>
  <c r="X198" i="4"/>
  <c r="T198" i="4"/>
  <c r="S198" i="4"/>
  <c r="R198" i="4"/>
  <c r="Q198" i="4"/>
  <c r="V198" i="4" s="1"/>
  <c r="P198" i="4"/>
  <c r="O198" i="4"/>
  <c r="I198" i="4"/>
  <c r="AL197" i="4"/>
  <c r="AK197" i="4"/>
  <c r="AJ197" i="4"/>
  <c r="AI197" i="4"/>
  <c r="AH197" i="4"/>
  <c r="AF197" i="4"/>
  <c r="AD197" i="4"/>
  <c r="AA197" i="4"/>
  <c r="Y197" i="4"/>
  <c r="Z197" i="4" s="1"/>
  <c r="X197" i="4"/>
  <c r="T197" i="4"/>
  <c r="S197" i="4"/>
  <c r="R197" i="4"/>
  <c r="Q197" i="4"/>
  <c r="V197" i="4" s="1"/>
  <c r="P197" i="4"/>
  <c r="O197" i="4"/>
  <c r="I197" i="4"/>
  <c r="AL196" i="4"/>
  <c r="AK196" i="4"/>
  <c r="AJ196" i="4"/>
  <c r="AI196" i="4"/>
  <c r="AH196" i="4"/>
  <c r="AF196" i="4"/>
  <c r="AD196" i="4"/>
  <c r="AA196" i="4"/>
  <c r="Z196" i="4"/>
  <c r="Y196" i="4"/>
  <c r="X196" i="4"/>
  <c r="T196" i="4"/>
  <c r="S196" i="4"/>
  <c r="R196" i="4"/>
  <c r="Q196" i="4"/>
  <c r="P196" i="4"/>
  <c r="O196" i="4"/>
  <c r="I196" i="4"/>
  <c r="AL195" i="4"/>
  <c r="AK195" i="4"/>
  <c r="AJ195" i="4"/>
  <c r="AI195" i="4"/>
  <c r="AH195" i="4"/>
  <c r="AF195" i="4"/>
  <c r="AD195" i="4"/>
  <c r="AA195" i="4"/>
  <c r="Z195" i="4"/>
  <c r="Y195" i="4"/>
  <c r="X195" i="4"/>
  <c r="W195" i="4"/>
  <c r="T195" i="4"/>
  <c r="S195" i="4"/>
  <c r="R195" i="4"/>
  <c r="Q195" i="4"/>
  <c r="U195" i="4" s="1"/>
  <c r="P195" i="4"/>
  <c r="O195" i="4"/>
  <c r="I195" i="4"/>
  <c r="AL194" i="4"/>
  <c r="AK194" i="4"/>
  <c r="AJ194" i="4"/>
  <c r="AI194" i="4"/>
  <c r="AH194" i="4"/>
  <c r="AF194" i="4"/>
  <c r="AD194" i="4"/>
  <c r="AA194" i="4"/>
  <c r="Z194" i="4"/>
  <c r="Y194" i="4"/>
  <c r="X194" i="4"/>
  <c r="T194" i="4"/>
  <c r="S194" i="4"/>
  <c r="R194" i="4"/>
  <c r="Q194" i="4"/>
  <c r="P194" i="4"/>
  <c r="O194" i="4"/>
  <c r="I194" i="4"/>
  <c r="AL193" i="4"/>
  <c r="AK193" i="4"/>
  <c r="AJ193" i="4"/>
  <c r="AI193" i="4"/>
  <c r="AH193" i="4"/>
  <c r="AF193" i="4"/>
  <c r="AD193" i="4"/>
  <c r="AE193" i="4" s="1"/>
  <c r="AA193" i="4"/>
  <c r="Y193" i="4"/>
  <c r="Z193" i="4" s="1"/>
  <c r="X193" i="4"/>
  <c r="W193" i="4"/>
  <c r="T193" i="4"/>
  <c r="S193" i="4"/>
  <c r="R193" i="4"/>
  <c r="Q193" i="4"/>
  <c r="U193" i="4" s="1"/>
  <c r="P193" i="4"/>
  <c r="O193" i="4"/>
  <c r="I193" i="4"/>
  <c r="AL192" i="4"/>
  <c r="AK192" i="4"/>
  <c r="AJ192" i="4"/>
  <c r="AI192" i="4"/>
  <c r="AH192" i="4"/>
  <c r="AF192" i="4"/>
  <c r="AD192" i="4"/>
  <c r="AA192" i="4"/>
  <c r="Z192" i="4"/>
  <c r="Y192" i="4"/>
  <c r="X192" i="4"/>
  <c r="T192" i="4"/>
  <c r="S192" i="4"/>
  <c r="R192" i="4"/>
  <c r="Q192" i="4"/>
  <c r="P192" i="4"/>
  <c r="O192" i="4"/>
  <c r="I192" i="4"/>
  <c r="AL191" i="4"/>
  <c r="AK191" i="4"/>
  <c r="AJ191" i="4"/>
  <c r="AI191" i="4"/>
  <c r="AH191" i="4"/>
  <c r="AF191" i="4"/>
  <c r="AD191" i="4"/>
  <c r="AE191" i="4" s="1"/>
  <c r="AA191" i="4"/>
  <c r="Y191" i="4"/>
  <c r="Z191" i="4" s="1"/>
  <c r="X191" i="4"/>
  <c r="W191" i="4"/>
  <c r="T191" i="4"/>
  <c r="S191" i="4"/>
  <c r="R191" i="4"/>
  <c r="Q191" i="4"/>
  <c r="P191" i="4"/>
  <c r="O191" i="4"/>
  <c r="I191" i="4"/>
  <c r="AL190" i="4"/>
  <c r="AK190" i="4"/>
  <c r="AJ190" i="4"/>
  <c r="AI190" i="4"/>
  <c r="AH190" i="4"/>
  <c r="AF190" i="4"/>
  <c r="AD190" i="4"/>
  <c r="AE190" i="4" s="1"/>
  <c r="AA190" i="4"/>
  <c r="Z190" i="4"/>
  <c r="Y190" i="4"/>
  <c r="X190" i="4"/>
  <c r="T190" i="4"/>
  <c r="S190" i="4"/>
  <c r="R190" i="4"/>
  <c r="Q190" i="4"/>
  <c r="V190" i="4" s="1"/>
  <c r="P190" i="4"/>
  <c r="O190" i="4"/>
  <c r="I190" i="4"/>
  <c r="AL189" i="4"/>
  <c r="AK189" i="4"/>
  <c r="AJ189" i="4"/>
  <c r="AI189" i="4"/>
  <c r="AH189" i="4"/>
  <c r="AF189" i="4"/>
  <c r="AD189" i="4"/>
  <c r="AA189" i="4"/>
  <c r="Y189" i="4"/>
  <c r="Z189" i="4" s="1"/>
  <c r="X189" i="4"/>
  <c r="T189" i="4"/>
  <c r="S189" i="4"/>
  <c r="R189" i="4"/>
  <c r="Q189" i="4"/>
  <c r="V189" i="4" s="1"/>
  <c r="P189" i="4"/>
  <c r="O189" i="4"/>
  <c r="I189" i="4"/>
  <c r="AL188" i="4"/>
  <c r="AK188" i="4"/>
  <c r="AJ188" i="4"/>
  <c r="AI188" i="4"/>
  <c r="AH188" i="4"/>
  <c r="AF188" i="4"/>
  <c r="AD188" i="4"/>
  <c r="AA188" i="4"/>
  <c r="Z188" i="4"/>
  <c r="Y188" i="4"/>
  <c r="X188" i="4"/>
  <c r="T188" i="4"/>
  <c r="S188" i="4"/>
  <c r="R188" i="4"/>
  <c r="Q188" i="4"/>
  <c r="V188" i="4" s="1"/>
  <c r="P188" i="4"/>
  <c r="O188" i="4"/>
  <c r="I188" i="4"/>
  <c r="AL187" i="4"/>
  <c r="AK187" i="4"/>
  <c r="AJ187" i="4"/>
  <c r="AI187" i="4"/>
  <c r="AH187" i="4"/>
  <c r="AF187" i="4"/>
  <c r="AD187" i="4"/>
  <c r="AE187" i="4" s="1"/>
  <c r="AA187" i="4"/>
  <c r="Y187" i="4"/>
  <c r="Z187" i="4" s="1"/>
  <c r="X187" i="4"/>
  <c r="T187" i="4"/>
  <c r="S187" i="4"/>
  <c r="R187" i="4"/>
  <c r="Q187" i="4"/>
  <c r="U187" i="4" s="1"/>
  <c r="P187" i="4"/>
  <c r="O187" i="4"/>
  <c r="I187" i="4"/>
  <c r="AL186" i="4"/>
  <c r="AK186" i="4"/>
  <c r="AJ186" i="4"/>
  <c r="AI186" i="4"/>
  <c r="AH186" i="4"/>
  <c r="AF186" i="4"/>
  <c r="AD186" i="4"/>
  <c r="AA186" i="4"/>
  <c r="Z186" i="4"/>
  <c r="Y186" i="4"/>
  <c r="X186" i="4"/>
  <c r="T186" i="4"/>
  <c r="S186" i="4"/>
  <c r="R186" i="4"/>
  <c r="W186" i="4" s="1"/>
  <c r="Q186" i="4"/>
  <c r="V186" i="4" s="1"/>
  <c r="P186" i="4"/>
  <c r="O186" i="4"/>
  <c r="I186" i="4"/>
  <c r="AL185" i="4"/>
  <c r="AK185" i="4"/>
  <c r="AJ185" i="4"/>
  <c r="AI185" i="4"/>
  <c r="AH185" i="4"/>
  <c r="AF185" i="4"/>
  <c r="AD185" i="4"/>
  <c r="AG185" i="4" s="1"/>
  <c r="AA185" i="4"/>
  <c r="Y185" i="4"/>
  <c r="Z185" i="4" s="1"/>
  <c r="X185" i="4"/>
  <c r="W185" i="4"/>
  <c r="T185" i="4"/>
  <c r="S185" i="4"/>
  <c r="R185" i="4"/>
  <c r="Q185" i="4"/>
  <c r="U185" i="4" s="1"/>
  <c r="P185" i="4"/>
  <c r="O185" i="4"/>
  <c r="I185" i="4"/>
  <c r="AL184" i="4"/>
  <c r="AK184" i="4"/>
  <c r="AJ184" i="4"/>
  <c r="AI184" i="4"/>
  <c r="AH184" i="4"/>
  <c r="AF184" i="4"/>
  <c r="AD184" i="4"/>
  <c r="AE184" i="4" s="1"/>
  <c r="AA184" i="4"/>
  <c r="Z184" i="4"/>
  <c r="Y184" i="4"/>
  <c r="X184" i="4"/>
  <c r="T184" i="4"/>
  <c r="S184" i="4"/>
  <c r="R184" i="4"/>
  <c r="Q184" i="4"/>
  <c r="P184" i="4"/>
  <c r="O184" i="4"/>
  <c r="I184" i="4"/>
  <c r="AL183" i="4"/>
  <c r="AK183" i="4"/>
  <c r="AJ183" i="4"/>
  <c r="AI183" i="4"/>
  <c r="AH183" i="4"/>
  <c r="AF183" i="4"/>
  <c r="AD183" i="4"/>
  <c r="AA183" i="4"/>
  <c r="Y183" i="4"/>
  <c r="Z183" i="4" s="1"/>
  <c r="X183" i="4"/>
  <c r="W183" i="4"/>
  <c r="T183" i="4"/>
  <c r="S183" i="4"/>
  <c r="R183" i="4"/>
  <c r="Q183" i="4"/>
  <c r="V183" i="4" s="1"/>
  <c r="P183" i="4"/>
  <c r="O183" i="4"/>
  <c r="I183" i="4"/>
  <c r="AL182" i="4"/>
  <c r="AK182" i="4"/>
  <c r="AJ182" i="4"/>
  <c r="AI182" i="4"/>
  <c r="AH182" i="4"/>
  <c r="AF182" i="4"/>
  <c r="AD182" i="4"/>
  <c r="AA182" i="4"/>
  <c r="Z182" i="4"/>
  <c r="Y182" i="4"/>
  <c r="X182" i="4"/>
  <c r="T182" i="4"/>
  <c r="S182" i="4"/>
  <c r="R182" i="4"/>
  <c r="Q182" i="4"/>
  <c r="P182" i="4"/>
  <c r="O182" i="4"/>
  <c r="I182" i="4"/>
  <c r="AL181" i="4"/>
  <c r="AK181" i="4"/>
  <c r="AJ181" i="4"/>
  <c r="AI181" i="4"/>
  <c r="AH181" i="4"/>
  <c r="AF181" i="4"/>
  <c r="AD181" i="4"/>
  <c r="AA181" i="4"/>
  <c r="Y181" i="4"/>
  <c r="Z181" i="4" s="1"/>
  <c r="X181" i="4"/>
  <c r="T181" i="4"/>
  <c r="W181" i="4" s="1"/>
  <c r="S181" i="4"/>
  <c r="R181" i="4"/>
  <c r="Q181" i="4"/>
  <c r="P181" i="4"/>
  <c r="O181" i="4"/>
  <c r="I181" i="4"/>
  <c r="AL180" i="4"/>
  <c r="AK180" i="4"/>
  <c r="AJ180" i="4"/>
  <c r="AI180" i="4"/>
  <c r="AH180" i="4"/>
  <c r="AF180" i="4"/>
  <c r="AD180" i="4"/>
  <c r="AA180" i="4"/>
  <c r="Z180" i="4"/>
  <c r="Y180" i="4"/>
  <c r="X180" i="4"/>
  <c r="T180" i="4"/>
  <c r="S180" i="4"/>
  <c r="R180" i="4"/>
  <c r="Q180" i="4"/>
  <c r="V180" i="4" s="1"/>
  <c r="P180" i="4"/>
  <c r="O180" i="4"/>
  <c r="I180" i="4"/>
  <c r="AL179" i="4"/>
  <c r="AK179" i="4"/>
  <c r="AJ179" i="4"/>
  <c r="AI179" i="4"/>
  <c r="AH179" i="4"/>
  <c r="AF179" i="4"/>
  <c r="AD179" i="4"/>
  <c r="AA179" i="4"/>
  <c r="Z179" i="4"/>
  <c r="Y179" i="4"/>
  <c r="X179" i="4"/>
  <c r="T179" i="4"/>
  <c r="S179" i="4"/>
  <c r="R179" i="4"/>
  <c r="Q179" i="4"/>
  <c r="U179" i="4" s="1"/>
  <c r="P179" i="4"/>
  <c r="O179" i="4"/>
  <c r="I179" i="4"/>
  <c r="AL178" i="4"/>
  <c r="AK178" i="4"/>
  <c r="AJ178" i="4"/>
  <c r="AI178" i="4"/>
  <c r="AH178" i="4"/>
  <c r="AF178" i="4"/>
  <c r="AD178" i="4"/>
  <c r="AA178" i="4"/>
  <c r="Z178" i="4"/>
  <c r="Y178" i="4"/>
  <c r="X178" i="4"/>
  <c r="T178" i="4"/>
  <c r="S178" i="4"/>
  <c r="R178" i="4"/>
  <c r="Q178" i="4"/>
  <c r="V178" i="4" s="1"/>
  <c r="P178" i="4"/>
  <c r="O178" i="4"/>
  <c r="I178" i="4"/>
  <c r="AL177" i="4"/>
  <c r="AK177" i="4"/>
  <c r="AJ177" i="4"/>
  <c r="AI177" i="4"/>
  <c r="AH177" i="4"/>
  <c r="AF177" i="4"/>
  <c r="AD177" i="4"/>
  <c r="AA177" i="4"/>
  <c r="Y177" i="4"/>
  <c r="Z177" i="4" s="1"/>
  <c r="X177" i="4"/>
  <c r="W177" i="4"/>
  <c r="T177" i="4"/>
  <c r="S177" i="4"/>
  <c r="R177" i="4"/>
  <c r="Q177" i="4"/>
  <c r="U177" i="4" s="1"/>
  <c r="P177" i="4"/>
  <c r="O177" i="4"/>
  <c r="I177" i="4"/>
  <c r="AL176" i="4"/>
  <c r="AK176" i="4"/>
  <c r="AJ176" i="4"/>
  <c r="AI176" i="4"/>
  <c r="AH176" i="4"/>
  <c r="AF176" i="4"/>
  <c r="AD176" i="4"/>
  <c r="AE176" i="4" s="1"/>
  <c r="AA176" i="4"/>
  <c r="Z176" i="4"/>
  <c r="Y176" i="4"/>
  <c r="X176" i="4"/>
  <c r="W176" i="4"/>
  <c r="T176" i="4"/>
  <c r="S176" i="4"/>
  <c r="R176" i="4"/>
  <c r="Q176" i="4"/>
  <c r="V176" i="4" s="1"/>
  <c r="P176" i="4"/>
  <c r="O176" i="4"/>
  <c r="I176" i="4"/>
  <c r="AL175" i="4"/>
  <c r="AK175" i="4"/>
  <c r="AJ175" i="4"/>
  <c r="AI175" i="4"/>
  <c r="AH175" i="4"/>
  <c r="AF175" i="4"/>
  <c r="AD175" i="4"/>
  <c r="AE175" i="4" s="1"/>
  <c r="AA175" i="4"/>
  <c r="Z175" i="4"/>
  <c r="Y175" i="4"/>
  <c r="X175" i="4"/>
  <c r="W175" i="4"/>
  <c r="T175" i="4"/>
  <c r="S175" i="4"/>
  <c r="R175" i="4"/>
  <c r="Q175" i="4"/>
  <c r="V175" i="4" s="1"/>
  <c r="P175" i="4"/>
  <c r="O175" i="4"/>
  <c r="I175" i="4"/>
  <c r="AL174" i="4"/>
  <c r="AK174" i="4"/>
  <c r="AJ174" i="4"/>
  <c r="AI174" i="4"/>
  <c r="AH174" i="4"/>
  <c r="AF174" i="4"/>
  <c r="AD174" i="4"/>
  <c r="AA174" i="4"/>
  <c r="Z174" i="4"/>
  <c r="Y174" i="4"/>
  <c r="X174" i="4"/>
  <c r="T174" i="4"/>
  <c r="S174" i="4"/>
  <c r="R174" i="4"/>
  <c r="Q174" i="4"/>
  <c r="P174" i="4"/>
  <c r="O174" i="4"/>
  <c r="I174" i="4"/>
  <c r="AL173" i="4"/>
  <c r="AK173" i="4"/>
  <c r="AJ173" i="4"/>
  <c r="AI173" i="4"/>
  <c r="AH173" i="4"/>
  <c r="AF173" i="4"/>
  <c r="AD173" i="4"/>
  <c r="AE173" i="4" s="1"/>
  <c r="AA173" i="4"/>
  <c r="Y173" i="4"/>
  <c r="Z173" i="4" s="1"/>
  <c r="X173" i="4"/>
  <c r="W173" i="4"/>
  <c r="T173" i="4"/>
  <c r="S173" i="4"/>
  <c r="R173" i="4"/>
  <c r="Q173" i="4"/>
  <c r="V173" i="4" s="1"/>
  <c r="P173" i="4"/>
  <c r="O173" i="4"/>
  <c r="I173" i="4"/>
  <c r="AL172" i="4"/>
  <c r="AK172" i="4"/>
  <c r="AJ172" i="4"/>
  <c r="AI172" i="4"/>
  <c r="AH172" i="4"/>
  <c r="AF172" i="4"/>
  <c r="AD172" i="4"/>
  <c r="AE172" i="4" s="1"/>
  <c r="AA172" i="4"/>
  <c r="Z172" i="4"/>
  <c r="Y172" i="4"/>
  <c r="X172" i="4"/>
  <c r="W172" i="4"/>
  <c r="T172" i="4"/>
  <c r="S172" i="4"/>
  <c r="R172" i="4"/>
  <c r="Q172" i="4"/>
  <c r="U172" i="4" s="1"/>
  <c r="P172" i="4"/>
  <c r="O172" i="4"/>
  <c r="I172" i="4"/>
  <c r="AL171" i="4"/>
  <c r="AK171" i="4"/>
  <c r="AJ171" i="4"/>
  <c r="AI171" i="4"/>
  <c r="AH171" i="4"/>
  <c r="AF171" i="4"/>
  <c r="AD171" i="4"/>
  <c r="AE171" i="4" s="1"/>
  <c r="AA171" i="4"/>
  <c r="Y171" i="4"/>
  <c r="Z171" i="4" s="1"/>
  <c r="X171" i="4"/>
  <c r="T171" i="4"/>
  <c r="S171" i="4"/>
  <c r="R171" i="4"/>
  <c r="Q171" i="4"/>
  <c r="V171" i="4" s="1"/>
  <c r="P171" i="4"/>
  <c r="O171" i="4"/>
  <c r="I171" i="4"/>
  <c r="AL170" i="4"/>
  <c r="AK170" i="4"/>
  <c r="AJ170" i="4"/>
  <c r="AI170" i="4"/>
  <c r="AH170" i="4"/>
  <c r="AF170" i="4"/>
  <c r="AD170" i="4"/>
  <c r="AA170" i="4"/>
  <c r="Z170" i="4"/>
  <c r="Y170" i="4"/>
  <c r="X170" i="4"/>
  <c r="T170" i="4"/>
  <c r="S170" i="4"/>
  <c r="R170" i="4"/>
  <c r="Q170" i="4"/>
  <c r="U170" i="4" s="1"/>
  <c r="P170" i="4"/>
  <c r="O170" i="4"/>
  <c r="I170" i="4"/>
  <c r="AL169" i="4"/>
  <c r="AK169" i="4"/>
  <c r="AJ169" i="4"/>
  <c r="AI169" i="4"/>
  <c r="AH169" i="4"/>
  <c r="AF169" i="4"/>
  <c r="AD169" i="4"/>
  <c r="AE169" i="4" s="1"/>
  <c r="AA169" i="4"/>
  <c r="Z169" i="4"/>
  <c r="Y169" i="4"/>
  <c r="X169" i="4"/>
  <c r="W169" i="4"/>
  <c r="T169" i="4"/>
  <c r="S169" i="4"/>
  <c r="R169" i="4"/>
  <c r="Q169" i="4"/>
  <c r="P169" i="4"/>
  <c r="O169" i="4"/>
  <c r="I169" i="4"/>
  <c r="AL168" i="4"/>
  <c r="AK168" i="4"/>
  <c r="AJ168" i="4"/>
  <c r="AI168" i="4"/>
  <c r="AH168" i="4"/>
  <c r="AF168" i="4"/>
  <c r="AD168" i="4"/>
  <c r="AE168" i="4" s="1"/>
  <c r="AA168" i="4"/>
  <c r="Z168" i="4"/>
  <c r="Y168" i="4"/>
  <c r="X168" i="4"/>
  <c r="W168" i="4"/>
  <c r="T168" i="4"/>
  <c r="S168" i="4"/>
  <c r="R168" i="4"/>
  <c r="Q168" i="4"/>
  <c r="V168" i="4" s="1"/>
  <c r="P168" i="4"/>
  <c r="O168" i="4"/>
  <c r="I168" i="4"/>
  <c r="AL167" i="4"/>
  <c r="AK167" i="4"/>
  <c r="AJ167" i="4"/>
  <c r="AI167" i="4"/>
  <c r="AH167" i="4"/>
  <c r="AF167" i="4"/>
  <c r="AD167" i="4"/>
  <c r="AA167" i="4"/>
  <c r="Z167" i="4"/>
  <c r="Y167" i="4"/>
  <c r="X167" i="4"/>
  <c r="T167" i="4"/>
  <c r="S167" i="4"/>
  <c r="R167" i="4"/>
  <c r="W167" i="4" s="1"/>
  <c r="Q167" i="4"/>
  <c r="U167" i="4" s="1"/>
  <c r="P167" i="4"/>
  <c r="O167" i="4"/>
  <c r="I167" i="4"/>
  <c r="AL166" i="4"/>
  <c r="AK166" i="4"/>
  <c r="AJ166" i="4"/>
  <c r="AI166" i="4"/>
  <c r="AH166" i="4"/>
  <c r="AF166" i="4"/>
  <c r="AD166" i="4"/>
  <c r="AA166" i="4"/>
  <c r="Z166" i="4"/>
  <c r="Y166" i="4"/>
  <c r="X166" i="4"/>
  <c r="T166" i="4"/>
  <c r="S166" i="4"/>
  <c r="R166" i="4"/>
  <c r="Q166" i="4"/>
  <c r="P166" i="4"/>
  <c r="O166" i="4"/>
  <c r="I166" i="4"/>
  <c r="AL165" i="4"/>
  <c r="AK165" i="4"/>
  <c r="AJ165" i="4"/>
  <c r="AI165" i="4"/>
  <c r="AH165" i="4"/>
  <c r="AF165" i="4"/>
  <c r="AD165" i="4"/>
  <c r="AE165" i="4" s="1"/>
  <c r="AA165" i="4"/>
  <c r="Y165" i="4"/>
  <c r="Z165" i="4" s="1"/>
  <c r="X165" i="4"/>
  <c r="W165" i="4"/>
  <c r="T165" i="4"/>
  <c r="S165" i="4"/>
  <c r="R165" i="4"/>
  <c r="Q165" i="4"/>
  <c r="P165" i="4"/>
  <c r="O165" i="4"/>
  <c r="I165" i="4"/>
  <c r="AL164" i="4"/>
  <c r="AK164" i="4"/>
  <c r="AJ164" i="4"/>
  <c r="AI164" i="4"/>
  <c r="AH164" i="4"/>
  <c r="AF164" i="4"/>
  <c r="AD164" i="4"/>
  <c r="AE164" i="4" s="1"/>
  <c r="AA164" i="4"/>
  <c r="Z164" i="4"/>
  <c r="Y164" i="4"/>
  <c r="X164" i="4"/>
  <c r="W164" i="4"/>
  <c r="T164" i="4"/>
  <c r="S164" i="4"/>
  <c r="R164" i="4"/>
  <c r="Q164" i="4"/>
  <c r="V164" i="4" s="1"/>
  <c r="P164" i="4"/>
  <c r="O164" i="4"/>
  <c r="I164" i="4"/>
  <c r="AL163" i="4"/>
  <c r="AK163" i="4"/>
  <c r="AJ163" i="4"/>
  <c r="AI163" i="4"/>
  <c r="AH163" i="4"/>
  <c r="AF163" i="4"/>
  <c r="AD163" i="4"/>
  <c r="AA163" i="4"/>
  <c r="Z163" i="4"/>
  <c r="Y163" i="4"/>
  <c r="X163" i="4"/>
  <c r="W163" i="4"/>
  <c r="T163" i="4"/>
  <c r="S163" i="4"/>
  <c r="R163" i="4"/>
  <c r="Q163" i="4"/>
  <c r="V163" i="4" s="1"/>
  <c r="P163" i="4"/>
  <c r="O163" i="4"/>
  <c r="I163" i="4"/>
  <c r="AL162" i="4"/>
  <c r="AK162" i="4"/>
  <c r="AJ162" i="4"/>
  <c r="AI162" i="4"/>
  <c r="AH162" i="4"/>
  <c r="AF162" i="4"/>
  <c r="AD162" i="4"/>
  <c r="AE162" i="4" s="1"/>
  <c r="AA162" i="4"/>
  <c r="Y162" i="4"/>
  <c r="Z162" i="4" s="1"/>
  <c r="X162" i="4"/>
  <c r="T162" i="4"/>
  <c r="S162" i="4"/>
  <c r="R162" i="4"/>
  <c r="Q162" i="4"/>
  <c r="P162" i="4"/>
  <c r="O162" i="4"/>
  <c r="I162" i="4"/>
  <c r="AL161" i="4"/>
  <c r="AK161" i="4"/>
  <c r="AJ161" i="4"/>
  <c r="AI161" i="4"/>
  <c r="AH161" i="4"/>
  <c r="AF161" i="4"/>
  <c r="AD161" i="4"/>
  <c r="AA161" i="4"/>
  <c r="Z161" i="4"/>
  <c r="Y161" i="4"/>
  <c r="X161" i="4"/>
  <c r="T161" i="4"/>
  <c r="S161" i="4"/>
  <c r="R161" i="4"/>
  <c r="Q161" i="4"/>
  <c r="U161" i="4" s="1"/>
  <c r="P161" i="4"/>
  <c r="O161" i="4"/>
  <c r="I161" i="4"/>
  <c r="AL160" i="4"/>
  <c r="AK160" i="4"/>
  <c r="AJ160" i="4"/>
  <c r="AI160" i="4"/>
  <c r="AH160" i="4"/>
  <c r="AF160" i="4"/>
  <c r="AD160" i="4"/>
  <c r="AE160" i="4" s="1"/>
  <c r="AA160" i="4"/>
  <c r="Y160" i="4"/>
  <c r="Z160" i="4" s="1"/>
  <c r="X160" i="4"/>
  <c r="W160" i="4"/>
  <c r="T160" i="4"/>
  <c r="S160" i="4"/>
  <c r="R160" i="4"/>
  <c r="Q160" i="4"/>
  <c r="V160" i="4" s="1"/>
  <c r="P160" i="4"/>
  <c r="O160" i="4"/>
  <c r="I160" i="4"/>
  <c r="AL159" i="4"/>
  <c r="AK159" i="4"/>
  <c r="AJ159" i="4"/>
  <c r="AI159" i="4"/>
  <c r="AH159" i="4"/>
  <c r="AF159" i="4"/>
  <c r="AD159" i="4"/>
  <c r="AA159" i="4"/>
  <c r="Z159" i="4"/>
  <c r="Y159" i="4"/>
  <c r="X159" i="4"/>
  <c r="W159" i="4"/>
  <c r="T159" i="4"/>
  <c r="S159" i="4"/>
  <c r="R159" i="4"/>
  <c r="Q159" i="4"/>
  <c r="V159" i="4" s="1"/>
  <c r="P159" i="4"/>
  <c r="O159" i="4"/>
  <c r="I159" i="4"/>
  <c r="AL158" i="4"/>
  <c r="AK158" i="4"/>
  <c r="AJ158" i="4"/>
  <c r="AI158" i="4"/>
  <c r="AH158" i="4"/>
  <c r="AF158" i="4"/>
  <c r="AD158" i="4"/>
  <c r="AE158" i="4" s="1"/>
  <c r="AA158" i="4"/>
  <c r="Y158" i="4"/>
  <c r="Z158" i="4" s="1"/>
  <c r="X158" i="4"/>
  <c r="T158" i="4"/>
  <c r="S158" i="4"/>
  <c r="R158" i="4"/>
  <c r="Q158" i="4"/>
  <c r="V158" i="4" s="1"/>
  <c r="P158" i="4"/>
  <c r="O158" i="4"/>
  <c r="I158" i="4"/>
  <c r="AL157" i="4"/>
  <c r="AK157" i="4"/>
  <c r="AJ157" i="4"/>
  <c r="AI157" i="4"/>
  <c r="AH157" i="4"/>
  <c r="AF157" i="4"/>
  <c r="AD157" i="4"/>
  <c r="AA157" i="4"/>
  <c r="Y157" i="4"/>
  <c r="Z157" i="4" s="1"/>
  <c r="X157" i="4"/>
  <c r="T157" i="4"/>
  <c r="S157" i="4"/>
  <c r="R157" i="4"/>
  <c r="Q157" i="4"/>
  <c r="V157" i="4" s="1"/>
  <c r="P157" i="4"/>
  <c r="O157" i="4"/>
  <c r="I157" i="4"/>
  <c r="AL156" i="4"/>
  <c r="AK156" i="4"/>
  <c r="AJ156" i="4"/>
  <c r="AI156" i="4"/>
  <c r="AH156" i="4"/>
  <c r="AF156" i="4"/>
  <c r="AE156" i="4"/>
  <c r="AD156" i="4"/>
  <c r="AA156" i="4"/>
  <c r="Z156" i="4"/>
  <c r="Y156" i="4"/>
  <c r="X156" i="4"/>
  <c r="T156" i="4"/>
  <c r="S156" i="4"/>
  <c r="R156" i="4"/>
  <c r="Q156" i="4"/>
  <c r="U156" i="4" s="1"/>
  <c r="P156" i="4"/>
  <c r="O156" i="4"/>
  <c r="I156" i="4"/>
  <c r="AL155" i="4"/>
  <c r="AK155" i="4"/>
  <c r="AJ155" i="4"/>
  <c r="AI155" i="4"/>
  <c r="AH155" i="4"/>
  <c r="AF155" i="4"/>
  <c r="AD155" i="4"/>
  <c r="AE155" i="4" s="1"/>
  <c r="AA155" i="4"/>
  <c r="Y155" i="4"/>
  <c r="Z155" i="4" s="1"/>
  <c r="X155" i="4"/>
  <c r="T155" i="4"/>
  <c r="S155" i="4"/>
  <c r="R155" i="4"/>
  <c r="Q155" i="4"/>
  <c r="U155" i="4" s="1"/>
  <c r="P155" i="4"/>
  <c r="O155" i="4"/>
  <c r="I155" i="4"/>
  <c r="AL154" i="4"/>
  <c r="AK154" i="4"/>
  <c r="AJ154" i="4"/>
  <c r="AI154" i="4"/>
  <c r="AH154" i="4"/>
  <c r="AF154" i="4"/>
  <c r="AD154" i="4"/>
  <c r="AE154" i="4" s="1"/>
  <c r="AA154" i="4"/>
  <c r="Z154" i="4"/>
  <c r="Y154" i="4"/>
  <c r="X154" i="4"/>
  <c r="T154" i="4"/>
  <c r="S154" i="4"/>
  <c r="R154" i="4"/>
  <c r="Q154" i="4"/>
  <c r="V154" i="4" s="1"/>
  <c r="P154" i="4"/>
  <c r="O154" i="4"/>
  <c r="I154" i="4"/>
  <c r="AL153" i="4"/>
  <c r="AK153" i="4"/>
  <c r="AJ153" i="4"/>
  <c r="AI153" i="4"/>
  <c r="AH153" i="4"/>
  <c r="AF153" i="4"/>
  <c r="AD153" i="4"/>
  <c r="AA153" i="4"/>
  <c r="Y153" i="4"/>
  <c r="Z153" i="4" s="1"/>
  <c r="X153" i="4"/>
  <c r="T153" i="4"/>
  <c r="S153" i="4"/>
  <c r="R153" i="4"/>
  <c r="Q153" i="4"/>
  <c r="P153" i="4"/>
  <c r="O153" i="4"/>
  <c r="I153" i="4"/>
  <c r="AL152" i="4"/>
  <c r="AK152" i="4"/>
  <c r="AJ152" i="4"/>
  <c r="AI152" i="4"/>
  <c r="AH152" i="4"/>
  <c r="AF152" i="4"/>
  <c r="AD152" i="4"/>
  <c r="AE152" i="4" s="1"/>
  <c r="AA152" i="4"/>
  <c r="Z152" i="4"/>
  <c r="Y152" i="4"/>
  <c r="X152" i="4"/>
  <c r="T152" i="4"/>
  <c r="S152" i="4"/>
  <c r="R152" i="4"/>
  <c r="Q152" i="4"/>
  <c r="P152" i="4"/>
  <c r="O152" i="4"/>
  <c r="I152" i="4"/>
  <c r="AL151" i="4"/>
  <c r="AK151" i="4"/>
  <c r="AJ151" i="4"/>
  <c r="AI151" i="4"/>
  <c r="AH151" i="4"/>
  <c r="AF151" i="4"/>
  <c r="AD151" i="4"/>
  <c r="AA151" i="4"/>
  <c r="Y151" i="4"/>
  <c r="Z151" i="4" s="1"/>
  <c r="X151" i="4"/>
  <c r="W151" i="4"/>
  <c r="T151" i="4"/>
  <c r="S151" i="4"/>
  <c r="R151" i="4"/>
  <c r="Q151" i="4"/>
  <c r="P151" i="4"/>
  <c r="O151" i="4"/>
  <c r="I151" i="4"/>
  <c r="AL150" i="4"/>
  <c r="AK150" i="4"/>
  <c r="AJ150" i="4"/>
  <c r="AI150" i="4"/>
  <c r="AH150" i="4"/>
  <c r="AF150" i="4"/>
  <c r="AD150" i="4"/>
  <c r="AE150" i="4" s="1"/>
  <c r="AA150" i="4"/>
  <c r="Z150" i="4"/>
  <c r="Y150" i="4"/>
  <c r="X150" i="4"/>
  <c r="W150" i="4"/>
  <c r="T150" i="4"/>
  <c r="S150" i="4"/>
  <c r="R150" i="4"/>
  <c r="Q150" i="4"/>
  <c r="V150" i="4" s="1"/>
  <c r="P150" i="4"/>
  <c r="O150" i="4"/>
  <c r="I150" i="4"/>
  <c r="AL149" i="4"/>
  <c r="AK149" i="4"/>
  <c r="AJ149" i="4"/>
  <c r="AI149" i="4"/>
  <c r="AH149" i="4"/>
  <c r="AF149" i="4"/>
  <c r="AD149" i="4"/>
  <c r="AE149" i="4" s="1"/>
  <c r="AA149" i="4"/>
  <c r="Y149" i="4"/>
  <c r="Z149" i="4" s="1"/>
  <c r="X149" i="4"/>
  <c r="T149" i="4"/>
  <c r="W149" i="4" s="1"/>
  <c r="S149" i="4"/>
  <c r="R149" i="4"/>
  <c r="Q149" i="4"/>
  <c r="V149" i="4" s="1"/>
  <c r="P149" i="4"/>
  <c r="O149" i="4"/>
  <c r="I149" i="4"/>
  <c r="AL148" i="4"/>
  <c r="AK148" i="4"/>
  <c r="AJ148" i="4"/>
  <c r="AI148" i="4"/>
  <c r="AH148" i="4"/>
  <c r="AF148" i="4"/>
  <c r="AD148" i="4"/>
  <c r="AE148" i="4" s="1"/>
  <c r="AA148" i="4"/>
  <c r="Z148" i="4"/>
  <c r="Y148" i="4"/>
  <c r="X148" i="4"/>
  <c r="T148" i="4"/>
  <c r="S148" i="4"/>
  <c r="R148" i="4"/>
  <c r="Q148" i="4"/>
  <c r="P148" i="4"/>
  <c r="O148" i="4"/>
  <c r="I148" i="4"/>
  <c r="AL147" i="4"/>
  <c r="AK147" i="4"/>
  <c r="AJ147" i="4"/>
  <c r="AI147" i="4"/>
  <c r="AH147" i="4"/>
  <c r="AF147" i="4"/>
  <c r="AD147" i="4"/>
  <c r="AA147" i="4"/>
  <c r="Z147" i="4"/>
  <c r="Y147" i="4"/>
  <c r="X147" i="4"/>
  <c r="T147" i="4"/>
  <c r="S147" i="4"/>
  <c r="R147" i="4"/>
  <c r="Q147" i="4"/>
  <c r="P147" i="4"/>
  <c r="O147" i="4"/>
  <c r="I147" i="4"/>
  <c r="AL146" i="4"/>
  <c r="AK146" i="4"/>
  <c r="AJ146" i="4"/>
  <c r="AI146" i="4"/>
  <c r="AH146" i="4"/>
  <c r="AF146" i="4"/>
  <c r="AD146" i="4"/>
  <c r="AE146" i="4" s="1"/>
  <c r="AA146" i="4"/>
  <c r="Z146" i="4"/>
  <c r="Y146" i="4"/>
  <c r="X146" i="4"/>
  <c r="T146" i="4"/>
  <c r="S146" i="4"/>
  <c r="R146" i="4"/>
  <c r="Q146" i="4"/>
  <c r="V146" i="4" s="1"/>
  <c r="P146" i="4"/>
  <c r="O146" i="4"/>
  <c r="I146" i="4"/>
  <c r="AL145" i="4"/>
  <c r="AK145" i="4"/>
  <c r="AJ145" i="4"/>
  <c r="AI145" i="4"/>
  <c r="AH145" i="4"/>
  <c r="AF145" i="4"/>
  <c r="AD145" i="4"/>
  <c r="AE145" i="4" s="1"/>
  <c r="AA145" i="4"/>
  <c r="Z145" i="4"/>
  <c r="Y145" i="4"/>
  <c r="X145" i="4"/>
  <c r="W145" i="4"/>
  <c r="T145" i="4"/>
  <c r="S145" i="4"/>
  <c r="R145" i="4"/>
  <c r="Q145" i="4"/>
  <c r="U145" i="4" s="1"/>
  <c r="P145" i="4"/>
  <c r="O145" i="4"/>
  <c r="I145" i="4"/>
  <c r="AL144" i="4"/>
  <c r="AK144" i="4"/>
  <c r="AJ144" i="4"/>
  <c r="AI144" i="4"/>
  <c r="AH144" i="4"/>
  <c r="AF144" i="4"/>
  <c r="AD144" i="4"/>
  <c r="AA144" i="4"/>
  <c r="Z144" i="4"/>
  <c r="Y144" i="4"/>
  <c r="X144" i="4"/>
  <c r="T144" i="4"/>
  <c r="S144" i="4"/>
  <c r="R144" i="4"/>
  <c r="Q144" i="4"/>
  <c r="P144" i="4"/>
  <c r="O144" i="4"/>
  <c r="I144" i="4"/>
  <c r="AL143" i="4"/>
  <c r="AK143" i="4"/>
  <c r="AJ143" i="4"/>
  <c r="AI143" i="4"/>
  <c r="AH143" i="4"/>
  <c r="AF143" i="4"/>
  <c r="AD143" i="4"/>
  <c r="AE143" i="4" s="1"/>
  <c r="AA143" i="4"/>
  <c r="Y143" i="4"/>
  <c r="Z143" i="4" s="1"/>
  <c r="X143" i="4"/>
  <c r="T143" i="4"/>
  <c r="S143" i="4"/>
  <c r="R143" i="4"/>
  <c r="Q143" i="4"/>
  <c r="U143" i="4" s="1"/>
  <c r="P143" i="4"/>
  <c r="O143" i="4"/>
  <c r="I143" i="4"/>
  <c r="AL142" i="4"/>
  <c r="AK142" i="4"/>
  <c r="AJ142" i="4"/>
  <c r="AI142" i="4"/>
  <c r="AH142" i="4"/>
  <c r="AF142" i="4"/>
  <c r="AD142" i="4"/>
  <c r="AE142" i="4" s="1"/>
  <c r="AA142" i="4"/>
  <c r="Z142" i="4"/>
  <c r="Y142" i="4"/>
  <c r="X142" i="4"/>
  <c r="T142" i="4"/>
  <c r="S142" i="4"/>
  <c r="R142" i="4"/>
  <c r="Q142" i="4"/>
  <c r="U142" i="4" s="1"/>
  <c r="P142" i="4"/>
  <c r="O142" i="4"/>
  <c r="I142" i="4"/>
  <c r="AL141" i="4"/>
  <c r="AK141" i="4"/>
  <c r="AJ141" i="4"/>
  <c r="AI141" i="4"/>
  <c r="AH141" i="4"/>
  <c r="AF141" i="4"/>
  <c r="AD141" i="4"/>
  <c r="AE141" i="4" s="1"/>
  <c r="AA141" i="4"/>
  <c r="Y141" i="4"/>
  <c r="Z141" i="4" s="1"/>
  <c r="X141" i="4"/>
  <c r="W141" i="4"/>
  <c r="T141" i="4"/>
  <c r="S141" i="4"/>
  <c r="R141" i="4"/>
  <c r="Q141" i="4"/>
  <c r="V141" i="4" s="1"/>
  <c r="P141" i="4"/>
  <c r="O141" i="4"/>
  <c r="I141" i="4"/>
  <c r="AL140" i="4"/>
  <c r="AK140" i="4"/>
  <c r="AJ140" i="4"/>
  <c r="AI140" i="4"/>
  <c r="AH140" i="4"/>
  <c r="AF140" i="4"/>
  <c r="AD140" i="4"/>
  <c r="AE140" i="4" s="1"/>
  <c r="AA140" i="4"/>
  <c r="Z140" i="4"/>
  <c r="Y140" i="4"/>
  <c r="X140" i="4"/>
  <c r="W140" i="4"/>
  <c r="T140" i="4"/>
  <c r="S140" i="4"/>
  <c r="R140" i="4"/>
  <c r="Q140" i="4"/>
  <c r="V140" i="4" s="1"/>
  <c r="P140" i="4"/>
  <c r="O140" i="4"/>
  <c r="I140" i="4"/>
  <c r="AL139" i="4"/>
  <c r="AK139" i="4"/>
  <c r="AJ139" i="4"/>
  <c r="AI139" i="4"/>
  <c r="AH139" i="4"/>
  <c r="AF139" i="4"/>
  <c r="AD139" i="4"/>
  <c r="AA139" i="4"/>
  <c r="Y139" i="4"/>
  <c r="Z139" i="4" s="1"/>
  <c r="X139" i="4"/>
  <c r="T139" i="4"/>
  <c r="S139" i="4"/>
  <c r="R139" i="4"/>
  <c r="Q139" i="4"/>
  <c r="V139" i="4" s="1"/>
  <c r="P139" i="4"/>
  <c r="O139" i="4"/>
  <c r="I139" i="4"/>
  <c r="AL138" i="4"/>
  <c r="AK138" i="4"/>
  <c r="AJ138" i="4"/>
  <c r="AI138" i="4"/>
  <c r="AH138" i="4"/>
  <c r="AF138" i="4"/>
  <c r="AD138" i="4"/>
  <c r="AA138" i="4"/>
  <c r="Z138" i="4"/>
  <c r="Y138" i="4"/>
  <c r="X138" i="4"/>
  <c r="T138" i="4"/>
  <c r="S138" i="4"/>
  <c r="R138" i="4"/>
  <c r="Q138" i="4"/>
  <c r="U138" i="4" s="1"/>
  <c r="P138" i="4"/>
  <c r="O138" i="4"/>
  <c r="I138" i="4"/>
  <c r="AL137" i="4"/>
  <c r="AK137" i="4"/>
  <c r="AJ137" i="4"/>
  <c r="AI137" i="4"/>
  <c r="AH137" i="4"/>
  <c r="AF137" i="4"/>
  <c r="AD137" i="4"/>
  <c r="AE137" i="4" s="1"/>
  <c r="AA137" i="4"/>
  <c r="Z137" i="4"/>
  <c r="Y137" i="4"/>
  <c r="X137" i="4"/>
  <c r="W137" i="4"/>
  <c r="T137" i="4"/>
  <c r="S137" i="4"/>
  <c r="R137" i="4"/>
  <c r="Q137" i="4"/>
  <c r="P137" i="4"/>
  <c r="O137" i="4"/>
  <c r="I137" i="4"/>
  <c r="AL136" i="4"/>
  <c r="AK136" i="4"/>
  <c r="AJ136" i="4"/>
  <c r="AI136" i="4"/>
  <c r="AH136" i="4"/>
  <c r="AF136" i="4"/>
  <c r="AD136" i="4"/>
  <c r="AE136" i="4" s="1"/>
  <c r="AA136" i="4"/>
  <c r="Z136" i="4"/>
  <c r="Y136" i="4"/>
  <c r="X136" i="4"/>
  <c r="W136" i="4"/>
  <c r="T136" i="4"/>
  <c r="S136" i="4"/>
  <c r="R136" i="4"/>
  <c r="Q136" i="4"/>
  <c r="V136" i="4" s="1"/>
  <c r="P136" i="4"/>
  <c r="O136" i="4"/>
  <c r="I136" i="4"/>
  <c r="AL135" i="4"/>
  <c r="AK135" i="4"/>
  <c r="AJ135" i="4"/>
  <c r="AI135" i="4"/>
  <c r="AH135" i="4"/>
  <c r="AF135" i="4"/>
  <c r="AD135" i="4"/>
  <c r="AA135" i="4"/>
  <c r="Y135" i="4"/>
  <c r="Z135" i="4" s="1"/>
  <c r="X135" i="4"/>
  <c r="T135" i="4"/>
  <c r="S135" i="4"/>
  <c r="R135" i="4"/>
  <c r="W135" i="4" s="1"/>
  <c r="Q135" i="4"/>
  <c r="V135" i="4" s="1"/>
  <c r="P135" i="4"/>
  <c r="O135" i="4"/>
  <c r="I135" i="4"/>
  <c r="AL134" i="4"/>
  <c r="AK134" i="4"/>
  <c r="AJ134" i="4"/>
  <c r="AI134" i="4"/>
  <c r="AH134" i="4"/>
  <c r="AF134" i="4"/>
  <c r="AD134" i="4"/>
  <c r="AE134" i="4" s="1"/>
  <c r="AA134" i="4"/>
  <c r="Z134" i="4"/>
  <c r="Y134" i="4"/>
  <c r="X134" i="4"/>
  <c r="T134" i="4"/>
  <c r="S134" i="4"/>
  <c r="R134" i="4"/>
  <c r="Q134" i="4"/>
  <c r="U134" i="4" s="1"/>
  <c r="P134" i="4"/>
  <c r="O134" i="4"/>
  <c r="I134" i="4"/>
  <c r="AL133" i="4"/>
  <c r="AK133" i="4"/>
  <c r="AJ133" i="4"/>
  <c r="AI133" i="4"/>
  <c r="AH133" i="4"/>
  <c r="AF133" i="4"/>
  <c r="AD133" i="4"/>
  <c r="AA133" i="4"/>
  <c r="Z133" i="4"/>
  <c r="Y133" i="4"/>
  <c r="X133" i="4"/>
  <c r="T133" i="4"/>
  <c r="S133" i="4"/>
  <c r="R133" i="4"/>
  <c r="Q133" i="4"/>
  <c r="P133" i="4"/>
  <c r="O133" i="4"/>
  <c r="I133" i="4"/>
  <c r="AL132" i="4"/>
  <c r="AK132" i="4"/>
  <c r="AJ132" i="4"/>
  <c r="AI132" i="4"/>
  <c r="AH132" i="4"/>
  <c r="AF132" i="4"/>
  <c r="AD132" i="4"/>
  <c r="AE132" i="4" s="1"/>
  <c r="AA132" i="4"/>
  <c r="Y132" i="4"/>
  <c r="Z132" i="4" s="1"/>
  <c r="X132" i="4"/>
  <c r="T132" i="4"/>
  <c r="S132" i="4"/>
  <c r="R132" i="4"/>
  <c r="Q132" i="4"/>
  <c r="U132" i="4" s="1"/>
  <c r="P132" i="4"/>
  <c r="O132" i="4"/>
  <c r="I132" i="4"/>
  <c r="AL131" i="4"/>
  <c r="AK131" i="4"/>
  <c r="AJ131" i="4"/>
  <c r="AI131" i="4"/>
  <c r="AH131" i="4"/>
  <c r="AF131" i="4"/>
  <c r="AD131" i="4"/>
  <c r="AE131" i="4" s="1"/>
  <c r="AA131" i="4"/>
  <c r="Y131" i="4"/>
  <c r="Z131" i="4" s="1"/>
  <c r="X131" i="4"/>
  <c r="W131" i="4"/>
  <c r="T131" i="4"/>
  <c r="S131" i="4"/>
  <c r="R131" i="4"/>
  <c r="Q131" i="4"/>
  <c r="U131" i="4" s="1"/>
  <c r="P131" i="4"/>
  <c r="O131" i="4"/>
  <c r="I131" i="4"/>
  <c r="AL130" i="4"/>
  <c r="AK130" i="4"/>
  <c r="AJ130" i="4"/>
  <c r="AI130" i="4"/>
  <c r="AH130" i="4"/>
  <c r="AF130" i="4"/>
  <c r="AD130" i="4"/>
  <c r="AE130" i="4" s="1"/>
  <c r="AA130" i="4"/>
  <c r="Y130" i="4"/>
  <c r="Z130" i="4" s="1"/>
  <c r="X130" i="4"/>
  <c r="W130" i="4"/>
  <c r="T130" i="4"/>
  <c r="S130" i="4"/>
  <c r="R130" i="4"/>
  <c r="Q130" i="4"/>
  <c r="V130" i="4" s="1"/>
  <c r="P130" i="4"/>
  <c r="O130" i="4"/>
  <c r="I130" i="4"/>
  <c r="AL129" i="4"/>
  <c r="AK129" i="4"/>
  <c r="AJ129" i="4"/>
  <c r="AI129" i="4"/>
  <c r="AH129" i="4"/>
  <c r="AF129" i="4"/>
  <c r="AD129" i="4"/>
  <c r="AE129" i="4" s="1"/>
  <c r="AA129" i="4"/>
  <c r="Z129" i="4"/>
  <c r="Y129" i="4"/>
  <c r="X129" i="4"/>
  <c r="W129" i="4"/>
  <c r="T129" i="4"/>
  <c r="S129" i="4"/>
  <c r="R129" i="4"/>
  <c r="Q129" i="4"/>
  <c r="V129" i="4" s="1"/>
  <c r="P129" i="4"/>
  <c r="O129" i="4"/>
  <c r="I129" i="4"/>
  <c r="AL128" i="4"/>
  <c r="AK128" i="4"/>
  <c r="AJ128" i="4"/>
  <c r="AI128" i="4"/>
  <c r="AH128" i="4"/>
  <c r="AF128" i="4"/>
  <c r="AD128" i="4"/>
  <c r="AE128" i="4" s="1"/>
  <c r="AA128" i="4"/>
  <c r="Z128" i="4"/>
  <c r="Y128" i="4"/>
  <c r="X128" i="4"/>
  <c r="W128" i="4"/>
  <c r="T128" i="4"/>
  <c r="S128" i="4"/>
  <c r="R128" i="4"/>
  <c r="Q128" i="4"/>
  <c r="V128" i="4" s="1"/>
  <c r="P128" i="4"/>
  <c r="O128" i="4"/>
  <c r="I128" i="4"/>
  <c r="AL127" i="4"/>
  <c r="AK127" i="4"/>
  <c r="AJ127" i="4"/>
  <c r="AI127" i="4"/>
  <c r="AH127" i="4"/>
  <c r="AF127" i="4"/>
  <c r="AD127" i="4"/>
  <c r="AE127" i="4" s="1"/>
  <c r="AA127" i="4"/>
  <c r="Y127" i="4"/>
  <c r="Z127" i="4" s="1"/>
  <c r="X127" i="4"/>
  <c r="T127" i="4"/>
  <c r="S127" i="4"/>
  <c r="R127" i="4"/>
  <c r="Q127" i="4"/>
  <c r="V127" i="4" s="1"/>
  <c r="P127" i="4"/>
  <c r="O127" i="4"/>
  <c r="I127" i="4"/>
  <c r="AL126" i="4"/>
  <c r="AK126" i="4"/>
  <c r="AJ126" i="4"/>
  <c r="AI126" i="4"/>
  <c r="AH126" i="4"/>
  <c r="AF126" i="4"/>
  <c r="AD126" i="4"/>
  <c r="AA126" i="4"/>
  <c r="Z126" i="4"/>
  <c r="Y126" i="4"/>
  <c r="X126" i="4"/>
  <c r="T126" i="4"/>
  <c r="S126" i="4"/>
  <c r="R126" i="4"/>
  <c r="Q126" i="4"/>
  <c r="U126" i="4" s="1"/>
  <c r="P126" i="4"/>
  <c r="O126" i="4"/>
  <c r="I126" i="4"/>
  <c r="AL125" i="4"/>
  <c r="AK125" i="4"/>
  <c r="AJ125" i="4"/>
  <c r="AI125" i="4"/>
  <c r="AH125" i="4"/>
  <c r="AF125" i="4"/>
  <c r="AD125" i="4"/>
  <c r="AA125" i="4"/>
  <c r="Z125" i="4"/>
  <c r="Y125" i="4"/>
  <c r="X125" i="4"/>
  <c r="T125" i="4"/>
  <c r="S125" i="4"/>
  <c r="R125" i="4"/>
  <c r="Q125" i="4"/>
  <c r="P125" i="4"/>
  <c r="O125" i="4"/>
  <c r="I125" i="4"/>
  <c r="AL124" i="4"/>
  <c r="AK124" i="4"/>
  <c r="AJ124" i="4"/>
  <c r="AI124" i="4"/>
  <c r="AH124" i="4"/>
  <c r="AF124" i="4"/>
  <c r="AD124" i="4"/>
  <c r="AE124" i="4" s="1"/>
  <c r="AA124" i="4"/>
  <c r="Z124" i="4"/>
  <c r="Y124" i="4"/>
  <c r="X124" i="4"/>
  <c r="T124" i="4"/>
  <c r="S124" i="4"/>
  <c r="R124" i="4"/>
  <c r="Q124" i="4"/>
  <c r="U124" i="4" s="1"/>
  <c r="P124" i="4"/>
  <c r="O124" i="4"/>
  <c r="I124" i="4"/>
  <c r="AL123" i="4"/>
  <c r="AK123" i="4"/>
  <c r="AJ123" i="4"/>
  <c r="AI123" i="4"/>
  <c r="AH123" i="4"/>
  <c r="AF123" i="4"/>
  <c r="AD123" i="4"/>
  <c r="AA123" i="4"/>
  <c r="Y123" i="4"/>
  <c r="Z123" i="4" s="1"/>
  <c r="X123" i="4"/>
  <c r="T123" i="4"/>
  <c r="S123" i="4"/>
  <c r="R123" i="4"/>
  <c r="Q123" i="4"/>
  <c r="U123" i="4" s="1"/>
  <c r="P123" i="4"/>
  <c r="O123" i="4"/>
  <c r="I123" i="4"/>
  <c r="AL122" i="4"/>
  <c r="AK122" i="4"/>
  <c r="AJ122" i="4"/>
  <c r="AI122" i="4"/>
  <c r="AH122" i="4"/>
  <c r="AF122" i="4"/>
  <c r="AD122" i="4"/>
  <c r="AE122" i="4" s="1"/>
  <c r="AA122" i="4"/>
  <c r="Y122" i="4"/>
  <c r="Z122" i="4" s="1"/>
  <c r="X122" i="4"/>
  <c r="W122" i="4"/>
  <c r="T122" i="4"/>
  <c r="S122" i="4"/>
  <c r="R122" i="4"/>
  <c r="Q122" i="4"/>
  <c r="V122" i="4" s="1"/>
  <c r="P122" i="4"/>
  <c r="O122" i="4"/>
  <c r="I122" i="4"/>
  <c r="AL121" i="4"/>
  <c r="AK121" i="4"/>
  <c r="AJ121" i="4"/>
  <c r="AI121" i="4"/>
  <c r="AH121" i="4"/>
  <c r="AF121" i="4"/>
  <c r="AD121" i="4"/>
  <c r="AA121" i="4"/>
  <c r="Z121" i="4"/>
  <c r="Y121" i="4"/>
  <c r="X121" i="4"/>
  <c r="W121" i="4"/>
  <c r="T121" i="4"/>
  <c r="S121" i="4"/>
  <c r="R121" i="4"/>
  <c r="Q121" i="4"/>
  <c r="V121" i="4" s="1"/>
  <c r="P121" i="4"/>
  <c r="O121" i="4"/>
  <c r="I121" i="4"/>
  <c r="AL120" i="4"/>
  <c r="AK120" i="4"/>
  <c r="AJ120" i="4"/>
  <c r="AI120" i="4"/>
  <c r="AH120" i="4"/>
  <c r="AF120" i="4"/>
  <c r="AD120" i="4"/>
  <c r="AE120" i="4" s="1"/>
  <c r="AA120" i="4"/>
  <c r="Z120" i="4"/>
  <c r="Y120" i="4"/>
  <c r="X120" i="4"/>
  <c r="T120" i="4"/>
  <c r="W120" i="4" s="1"/>
  <c r="S120" i="4"/>
  <c r="R120" i="4"/>
  <c r="Q120" i="4"/>
  <c r="V120" i="4" s="1"/>
  <c r="P120" i="4"/>
  <c r="O120" i="4"/>
  <c r="I120" i="4"/>
  <c r="AL119" i="4"/>
  <c r="AK119" i="4"/>
  <c r="AJ119" i="4"/>
  <c r="AI119" i="4"/>
  <c r="AH119" i="4"/>
  <c r="AF119" i="4"/>
  <c r="AD119" i="4"/>
  <c r="AA119" i="4"/>
  <c r="Y119" i="4"/>
  <c r="Z119" i="4" s="1"/>
  <c r="X119" i="4"/>
  <c r="T119" i="4"/>
  <c r="S119" i="4"/>
  <c r="R119" i="4"/>
  <c r="W119" i="4" s="1"/>
  <c r="Q119" i="4"/>
  <c r="P119" i="4"/>
  <c r="O119" i="4"/>
  <c r="I119" i="4"/>
  <c r="AL118" i="4"/>
  <c r="AK118" i="4"/>
  <c r="AJ118" i="4"/>
  <c r="AI118" i="4"/>
  <c r="AH118" i="4"/>
  <c r="AF118" i="4"/>
  <c r="AD118" i="4"/>
  <c r="AE118" i="4" s="1"/>
  <c r="AA118" i="4"/>
  <c r="Z118" i="4"/>
  <c r="Y118" i="4"/>
  <c r="X118" i="4"/>
  <c r="T118" i="4"/>
  <c r="S118" i="4"/>
  <c r="R118" i="4"/>
  <c r="Q118" i="4"/>
  <c r="P118" i="4"/>
  <c r="O118" i="4"/>
  <c r="I118" i="4"/>
  <c r="AL117" i="4"/>
  <c r="AK117" i="4"/>
  <c r="AJ117" i="4"/>
  <c r="AI117" i="4"/>
  <c r="AH117" i="4"/>
  <c r="AF117" i="4"/>
  <c r="AD117" i="4"/>
  <c r="AA117" i="4"/>
  <c r="Z117" i="4"/>
  <c r="Y117" i="4"/>
  <c r="X117" i="4"/>
  <c r="T117" i="4"/>
  <c r="S117" i="4"/>
  <c r="R117" i="4"/>
  <c r="Q117" i="4"/>
  <c r="P117" i="4"/>
  <c r="O117" i="4"/>
  <c r="I117" i="4"/>
  <c r="AL116" i="4"/>
  <c r="AK116" i="4"/>
  <c r="AJ116" i="4"/>
  <c r="AI116" i="4"/>
  <c r="AH116" i="4"/>
  <c r="AF116" i="4"/>
  <c r="AD116" i="4"/>
  <c r="AE116" i="4" s="1"/>
  <c r="AA116" i="4"/>
  <c r="Y116" i="4"/>
  <c r="Z116" i="4" s="1"/>
  <c r="X116" i="4"/>
  <c r="T116" i="4"/>
  <c r="S116" i="4"/>
  <c r="R116" i="4"/>
  <c r="W116" i="4" s="1"/>
  <c r="Q116" i="4"/>
  <c r="V116" i="4" s="1"/>
  <c r="P116" i="4"/>
  <c r="O116" i="4"/>
  <c r="I116" i="4"/>
  <c r="AL115" i="4"/>
  <c r="AK115" i="4"/>
  <c r="AJ115" i="4"/>
  <c r="AI115" i="4"/>
  <c r="AH115" i="4"/>
  <c r="AF115" i="4"/>
  <c r="AD115" i="4"/>
  <c r="AE115" i="4" s="1"/>
  <c r="AA115" i="4"/>
  <c r="Y115" i="4"/>
  <c r="Z115" i="4" s="1"/>
  <c r="X115" i="4"/>
  <c r="T115" i="4"/>
  <c r="W115" i="4" s="1"/>
  <c r="S115" i="4"/>
  <c r="R115" i="4"/>
  <c r="Q115" i="4"/>
  <c r="P115" i="4"/>
  <c r="O115" i="4"/>
  <c r="I115" i="4"/>
  <c r="AL114" i="4"/>
  <c r="AK114" i="4"/>
  <c r="AJ114" i="4"/>
  <c r="AI114" i="4"/>
  <c r="AH114" i="4"/>
  <c r="AF114" i="4"/>
  <c r="AD114" i="4"/>
  <c r="AA114" i="4"/>
  <c r="Y114" i="4"/>
  <c r="Z114" i="4" s="1"/>
  <c r="X114" i="4"/>
  <c r="T114" i="4"/>
  <c r="S114" i="4"/>
  <c r="R114" i="4"/>
  <c r="Q114" i="4"/>
  <c r="V114" i="4" s="1"/>
  <c r="P114" i="4"/>
  <c r="O114" i="4"/>
  <c r="I114" i="4"/>
  <c r="AL113" i="4"/>
  <c r="AK113" i="4"/>
  <c r="AJ113" i="4"/>
  <c r="AI113" i="4"/>
  <c r="AH113" i="4"/>
  <c r="AF113" i="4"/>
  <c r="AD113" i="4"/>
  <c r="AE113" i="4" s="1"/>
  <c r="AA113" i="4"/>
  <c r="Z113" i="4"/>
  <c r="Y113" i="4"/>
  <c r="X113" i="4"/>
  <c r="W113" i="4"/>
  <c r="T113" i="4"/>
  <c r="S113" i="4"/>
  <c r="R113" i="4"/>
  <c r="Q113" i="4"/>
  <c r="V113" i="4" s="1"/>
  <c r="P113" i="4"/>
  <c r="O113" i="4"/>
  <c r="I113" i="4"/>
  <c r="AL112" i="4"/>
  <c r="AK112" i="4"/>
  <c r="AJ112" i="4"/>
  <c r="AI112" i="4"/>
  <c r="AH112" i="4"/>
  <c r="AF112" i="4"/>
  <c r="AD112" i="4"/>
  <c r="AE112" i="4" s="1"/>
  <c r="AA112" i="4"/>
  <c r="Z112" i="4"/>
  <c r="Y112" i="4"/>
  <c r="X112" i="4"/>
  <c r="W112" i="4"/>
  <c r="T112" i="4"/>
  <c r="S112" i="4"/>
  <c r="R112" i="4"/>
  <c r="Q112" i="4"/>
  <c r="V112" i="4" s="1"/>
  <c r="P112" i="4"/>
  <c r="O112" i="4"/>
  <c r="I112" i="4"/>
  <c r="AL111" i="4"/>
  <c r="AK111" i="4"/>
  <c r="AJ111" i="4"/>
  <c r="AI111" i="4"/>
  <c r="AH111" i="4"/>
  <c r="AF111" i="4"/>
  <c r="AD111" i="4"/>
  <c r="AA111" i="4"/>
  <c r="Y111" i="4"/>
  <c r="Z111" i="4" s="1"/>
  <c r="X111" i="4"/>
  <c r="T111" i="4"/>
  <c r="S111" i="4"/>
  <c r="R111" i="4"/>
  <c r="Q111" i="4"/>
  <c r="V111" i="4" s="1"/>
  <c r="P111" i="4"/>
  <c r="O111" i="4"/>
  <c r="I111" i="4"/>
  <c r="AL110" i="4"/>
  <c r="AK110" i="4"/>
  <c r="AJ110" i="4"/>
  <c r="AI110" i="4"/>
  <c r="AH110" i="4"/>
  <c r="AF110" i="4"/>
  <c r="AD110" i="4"/>
  <c r="AE110" i="4" s="1"/>
  <c r="AA110" i="4"/>
  <c r="Z110" i="4"/>
  <c r="Y110" i="4"/>
  <c r="X110" i="4"/>
  <c r="T110" i="4"/>
  <c r="S110" i="4"/>
  <c r="R110" i="4"/>
  <c r="Q110" i="4"/>
  <c r="P110" i="4"/>
  <c r="O110" i="4"/>
  <c r="I110" i="4"/>
  <c r="AL109" i="4"/>
  <c r="AK109" i="4"/>
  <c r="AJ109" i="4"/>
  <c r="AI109" i="4"/>
  <c r="AH109" i="4"/>
  <c r="AF109" i="4"/>
  <c r="AD109" i="4"/>
  <c r="AE109" i="4" s="1"/>
  <c r="AA109" i="4"/>
  <c r="Z109" i="4"/>
  <c r="Y109" i="4"/>
  <c r="X109" i="4"/>
  <c r="W109" i="4"/>
  <c r="T109" i="4"/>
  <c r="S109" i="4"/>
  <c r="R109" i="4"/>
  <c r="Q109" i="4"/>
  <c r="V109" i="4" s="1"/>
  <c r="P109" i="4"/>
  <c r="O109" i="4"/>
  <c r="I109" i="4"/>
  <c r="AL108" i="4"/>
  <c r="AK108" i="4"/>
  <c r="AJ108" i="4"/>
  <c r="AI108" i="4"/>
  <c r="AH108" i="4"/>
  <c r="AF108" i="4"/>
  <c r="AD108" i="4"/>
  <c r="AE108" i="4" s="1"/>
  <c r="AA108" i="4"/>
  <c r="Z108" i="4"/>
  <c r="Y108" i="4"/>
  <c r="X108" i="4"/>
  <c r="T108" i="4"/>
  <c r="S108" i="4"/>
  <c r="R108" i="4"/>
  <c r="W108" i="4" s="1"/>
  <c r="Q108" i="4"/>
  <c r="V108" i="4" s="1"/>
  <c r="P108" i="4"/>
  <c r="O108" i="4"/>
  <c r="I108" i="4"/>
  <c r="AL107" i="4"/>
  <c r="AK107" i="4"/>
  <c r="AJ107" i="4"/>
  <c r="AI107" i="4"/>
  <c r="AH107" i="4"/>
  <c r="AF107" i="4"/>
  <c r="AD107" i="4"/>
  <c r="AE107" i="4" s="1"/>
  <c r="AA107" i="4"/>
  <c r="Z107" i="4"/>
  <c r="Y107" i="4"/>
  <c r="X107" i="4"/>
  <c r="T107" i="4"/>
  <c r="S107" i="4"/>
  <c r="R107" i="4"/>
  <c r="Q107" i="4"/>
  <c r="P107" i="4"/>
  <c r="O107" i="4"/>
  <c r="I107" i="4"/>
  <c r="AL106" i="4"/>
  <c r="AK106" i="4"/>
  <c r="AJ106" i="4"/>
  <c r="AI106" i="4"/>
  <c r="AH106" i="4"/>
  <c r="AF106" i="4"/>
  <c r="AD106" i="4"/>
  <c r="AA106" i="4"/>
  <c r="Y106" i="4"/>
  <c r="Z106" i="4" s="1"/>
  <c r="X106" i="4"/>
  <c r="W106" i="4"/>
  <c r="T106" i="4"/>
  <c r="S106" i="4"/>
  <c r="R106" i="4"/>
  <c r="Q106" i="4"/>
  <c r="P106" i="4"/>
  <c r="O106" i="4"/>
  <c r="I106" i="4"/>
  <c r="AL105" i="4"/>
  <c r="AK105" i="4"/>
  <c r="AJ105" i="4"/>
  <c r="AI105" i="4"/>
  <c r="AH105" i="4"/>
  <c r="AF105" i="4"/>
  <c r="AD105" i="4"/>
  <c r="AE105" i="4" s="1"/>
  <c r="AA105" i="4"/>
  <c r="Z105" i="4"/>
  <c r="Y105" i="4"/>
  <c r="X105" i="4"/>
  <c r="T105" i="4"/>
  <c r="S105" i="4"/>
  <c r="R105" i="4"/>
  <c r="Q105" i="4"/>
  <c r="P105" i="4"/>
  <c r="O105" i="4"/>
  <c r="I105" i="4"/>
  <c r="AL104" i="4"/>
  <c r="AK104" i="4"/>
  <c r="AJ104" i="4"/>
  <c r="AI104" i="4"/>
  <c r="AH104" i="4"/>
  <c r="AF104" i="4"/>
  <c r="AD104" i="4"/>
  <c r="AE104" i="4" s="1"/>
  <c r="AA104" i="4"/>
  <c r="Y104" i="4"/>
  <c r="Z104" i="4" s="1"/>
  <c r="X104" i="4"/>
  <c r="W104" i="4"/>
  <c r="T104" i="4"/>
  <c r="S104" i="4"/>
  <c r="R104" i="4"/>
  <c r="Q104" i="4"/>
  <c r="P104" i="4"/>
  <c r="O104" i="4"/>
  <c r="I104" i="4"/>
  <c r="AL103" i="4"/>
  <c r="AK103" i="4"/>
  <c r="AJ103" i="4"/>
  <c r="AI103" i="4"/>
  <c r="AH103" i="4"/>
  <c r="AF103" i="4"/>
  <c r="AD103" i="4"/>
  <c r="AE103" i="4" s="1"/>
  <c r="AA103" i="4"/>
  <c r="Y103" i="4"/>
  <c r="Z103" i="4" s="1"/>
  <c r="X103" i="4"/>
  <c r="T103" i="4"/>
  <c r="S103" i="4"/>
  <c r="R103" i="4"/>
  <c r="Q103" i="4"/>
  <c r="V103" i="4" s="1"/>
  <c r="P103" i="4"/>
  <c r="O103" i="4"/>
  <c r="I103" i="4"/>
  <c r="AL102" i="4"/>
  <c r="AK102" i="4"/>
  <c r="AJ102" i="4"/>
  <c r="AI102" i="4"/>
  <c r="AH102" i="4"/>
  <c r="AF102" i="4"/>
  <c r="AD102" i="4"/>
  <c r="AA102" i="4"/>
  <c r="Z102" i="4"/>
  <c r="Y102" i="4"/>
  <c r="X102" i="4"/>
  <c r="T102" i="4"/>
  <c r="S102" i="4"/>
  <c r="R102" i="4"/>
  <c r="Q102" i="4"/>
  <c r="P102" i="4"/>
  <c r="O102" i="4"/>
  <c r="I102" i="4"/>
  <c r="AL101" i="4"/>
  <c r="AK101" i="4"/>
  <c r="AJ101" i="4"/>
  <c r="AI101" i="4"/>
  <c r="AH101" i="4"/>
  <c r="AF101" i="4"/>
  <c r="AD101" i="4"/>
  <c r="AE101" i="4" s="1"/>
  <c r="AA101" i="4"/>
  <c r="Y101" i="4"/>
  <c r="Z101" i="4" s="1"/>
  <c r="X101" i="4"/>
  <c r="W101" i="4"/>
  <c r="T101" i="4"/>
  <c r="S101" i="4"/>
  <c r="R101" i="4"/>
  <c r="Q101" i="4"/>
  <c r="V101" i="4" s="1"/>
  <c r="P101" i="4"/>
  <c r="O101" i="4"/>
  <c r="I101" i="4"/>
  <c r="AL100" i="4"/>
  <c r="AK100" i="4"/>
  <c r="AJ100" i="4"/>
  <c r="AI100" i="4"/>
  <c r="AH100" i="4"/>
  <c r="AF100" i="4"/>
  <c r="AD100" i="4"/>
  <c r="AE100" i="4" s="1"/>
  <c r="AA100" i="4"/>
  <c r="Z100" i="4"/>
  <c r="Y100" i="4"/>
  <c r="X100" i="4"/>
  <c r="W100" i="4"/>
  <c r="T100" i="4"/>
  <c r="S100" i="4"/>
  <c r="R100" i="4"/>
  <c r="Q100" i="4"/>
  <c r="V100" i="4" s="1"/>
  <c r="P100" i="4"/>
  <c r="O100" i="4"/>
  <c r="I100" i="4"/>
  <c r="AL99" i="4"/>
  <c r="AK99" i="4"/>
  <c r="AJ99" i="4"/>
  <c r="AI99" i="4"/>
  <c r="AH99" i="4"/>
  <c r="AF99" i="4"/>
  <c r="AD99" i="4"/>
  <c r="AA99" i="4"/>
  <c r="Y99" i="4"/>
  <c r="Z99" i="4" s="1"/>
  <c r="X99" i="4"/>
  <c r="W99" i="4"/>
  <c r="T99" i="4"/>
  <c r="S99" i="4"/>
  <c r="R99" i="4"/>
  <c r="Q99" i="4"/>
  <c r="V99" i="4" s="1"/>
  <c r="P99" i="4"/>
  <c r="O99" i="4"/>
  <c r="I99" i="4"/>
  <c r="AL98" i="4"/>
  <c r="AK98" i="4"/>
  <c r="AJ98" i="4"/>
  <c r="AI98" i="4"/>
  <c r="AH98" i="4"/>
  <c r="AF98" i="4"/>
  <c r="AD98" i="4"/>
  <c r="AA98" i="4"/>
  <c r="Y98" i="4"/>
  <c r="Z98" i="4" s="1"/>
  <c r="X98" i="4"/>
  <c r="T98" i="4"/>
  <c r="W98" i="4" s="1"/>
  <c r="S98" i="4"/>
  <c r="R98" i="4"/>
  <c r="Q98" i="4"/>
  <c r="V98" i="4" s="1"/>
  <c r="P98" i="4"/>
  <c r="O98" i="4"/>
  <c r="I98" i="4"/>
  <c r="AL97" i="4"/>
  <c r="AK97" i="4"/>
  <c r="AJ97" i="4"/>
  <c r="AI97" i="4"/>
  <c r="AH97" i="4"/>
  <c r="AF97" i="4"/>
  <c r="AD97" i="4"/>
  <c r="AA97" i="4"/>
  <c r="Z97" i="4"/>
  <c r="Y97" i="4"/>
  <c r="X97" i="4"/>
  <c r="T97" i="4"/>
  <c r="S97" i="4"/>
  <c r="R97" i="4"/>
  <c r="Q97" i="4"/>
  <c r="P97" i="4"/>
  <c r="O97" i="4"/>
  <c r="I97" i="4"/>
  <c r="AL96" i="4"/>
  <c r="AK96" i="4"/>
  <c r="AJ96" i="4"/>
  <c r="AI96" i="4"/>
  <c r="AH96" i="4"/>
  <c r="AF96" i="4"/>
  <c r="AD96" i="4"/>
  <c r="AE96" i="4" s="1"/>
  <c r="AA96" i="4"/>
  <c r="Z96" i="4"/>
  <c r="Y96" i="4"/>
  <c r="X96" i="4"/>
  <c r="T96" i="4"/>
  <c r="S96" i="4"/>
  <c r="R96" i="4"/>
  <c r="Q96" i="4"/>
  <c r="U96" i="4" s="1"/>
  <c r="P96" i="4"/>
  <c r="O96" i="4"/>
  <c r="I96" i="4"/>
  <c r="AL95" i="4"/>
  <c r="AK95" i="4"/>
  <c r="AJ95" i="4"/>
  <c r="AI95" i="4"/>
  <c r="AH95" i="4"/>
  <c r="AF95" i="4"/>
  <c r="AD95" i="4"/>
  <c r="AA95" i="4"/>
  <c r="Y95" i="4"/>
  <c r="Z95" i="4" s="1"/>
  <c r="X95" i="4"/>
  <c r="W95" i="4"/>
  <c r="T95" i="4"/>
  <c r="S95" i="4"/>
  <c r="R95" i="4"/>
  <c r="Q95" i="4"/>
  <c r="V95" i="4" s="1"/>
  <c r="P95" i="4"/>
  <c r="O95" i="4"/>
  <c r="I95" i="4"/>
  <c r="AL94" i="4"/>
  <c r="AK94" i="4"/>
  <c r="AJ94" i="4"/>
  <c r="AI94" i="4"/>
  <c r="AH94" i="4"/>
  <c r="AF94" i="4"/>
  <c r="AD94" i="4"/>
  <c r="AE94" i="4" s="1"/>
  <c r="AA94" i="4"/>
  <c r="Z94" i="4"/>
  <c r="Y94" i="4"/>
  <c r="X94" i="4"/>
  <c r="W94" i="4"/>
  <c r="T94" i="4"/>
  <c r="S94" i="4"/>
  <c r="R94" i="4"/>
  <c r="Q94" i="4"/>
  <c r="V94" i="4" s="1"/>
  <c r="P94" i="4"/>
  <c r="O94" i="4"/>
  <c r="I94" i="4"/>
  <c r="AL93" i="4"/>
  <c r="AK93" i="4"/>
  <c r="AJ93" i="4"/>
  <c r="AI93" i="4"/>
  <c r="AH93" i="4"/>
  <c r="AF93" i="4"/>
  <c r="AD93" i="4"/>
  <c r="AE93" i="4" s="1"/>
  <c r="AA93" i="4"/>
  <c r="Y93" i="4"/>
  <c r="Z93" i="4" s="1"/>
  <c r="X93" i="4"/>
  <c r="W93" i="4"/>
  <c r="T93" i="4"/>
  <c r="S93" i="4"/>
  <c r="R93" i="4"/>
  <c r="Q93" i="4"/>
  <c r="V93" i="4" s="1"/>
  <c r="P93" i="4"/>
  <c r="O93" i="4"/>
  <c r="I93" i="4"/>
  <c r="AL92" i="4"/>
  <c r="AK92" i="4"/>
  <c r="AJ92" i="4"/>
  <c r="AI92" i="4"/>
  <c r="AH92" i="4"/>
  <c r="AF92" i="4"/>
  <c r="AD92" i="4"/>
  <c r="AA92" i="4"/>
  <c r="Y92" i="4"/>
  <c r="Z92" i="4" s="1"/>
  <c r="X92" i="4"/>
  <c r="T92" i="4"/>
  <c r="W92" i="4" s="1"/>
  <c r="S92" i="4"/>
  <c r="R92" i="4"/>
  <c r="Q92" i="4"/>
  <c r="V92" i="4" s="1"/>
  <c r="P92" i="4"/>
  <c r="O92" i="4"/>
  <c r="I92" i="4"/>
  <c r="AL91" i="4"/>
  <c r="AK91" i="4"/>
  <c r="AJ91" i="4"/>
  <c r="AI91" i="4"/>
  <c r="AH91" i="4"/>
  <c r="AF91" i="4"/>
  <c r="AD91" i="4"/>
  <c r="AA91" i="4"/>
  <c r="Z91" i="4"/>
  <c r="Y91" i="4"/>
  <c r="X91" i="4"/>
  <c r="T91" i="4"/>
  <c r="S91" i="4"/>
  <c r="R91" i="4"/>
  <c r="Q91" i="4"/>
  <c r="P91" i="4"/>
  <c r="O91" i="4"/>
  <c r="I91" i="4"/>
  <c r="AL90" i="4"/>
  <c r="AK90" i="4"/>
  <c r="AJ90" i="4"/>
  <c r="AI90" i="4"/>
  <c r="AH90" i="4"/>
  <c r="AF90" i="4"/>
  <c r="AD90" i="4"/>
  <c r="AA90" i="4"/>
  <c r="Z90" i="4"/>
  <c r="Y90" i="4"/>
  <c r="X90" i="4"/>
  <c r="T90" i="4"/>
  <c r="S90" i="4"/>
  <c r="R90" i="4"/>
  <c r="Q90" i="4"/>
  <c r="P90" i="4"/>
  <c r="O90" i="4"/>
  <c r="I90" i="4"/>
  <c r="AL89" i="4"/>
  <c r="AK89" i="4"/>
  <c r="AJ89" i="4"/>
  <c r="AI89" i="4"/>
  <c r="AH89" i="4"/>
  <c r="AF89" i="4"/>
  <c r="AD89" i="4"/>
  <c r="AA89" i="4"/>
  <c r="Y89" i="4"/>
  <c r="Z89" i="4" s="1"/>
  <c r="X89" i="4"/>
  <c r="T89" i="4"/>
  <c r="S89" i="4"/>
  <c r="R89" i="4"/>
  <c r="Q89" i="4"/>
  <c r="U89" i="4" s="1"/>
  <c r="P89" i="4"/>
  <c r="O89" i="4"/>
  <c r="I89" i="4"/>
  <c r="AL88" i="4"/>
  <c r="AK88" i="4"/>
  <c r="AJ88" i="4"/>
  <c r="AI88" i="4"/>
  <c r="AH88" i="4"/>
  <c r="AF88" i="4"/>
  <c r="AD88" i="4"/>
  <c r="AE88" i="4" s="1"/>
  <c r="AA88" i="4"/>
  <c r="Y88" i="4"/>
  <c r="Z88" i="4" s="1"/>
  <c r="X88" i="4"/>
  <c r="T88" i="4"/>
  <c r="S88" i="4"/>
  <c r="R88" i="4"/>
  <c r="Q88" i="4"/>
  <c r="P88" i="4"/>
  <c r="O88" i="4"/>
  <c r="I88" i="4"/>
  <c r="AL87" i="4"/>
  <c r="AK87" i="4"/>
  <c r="AJ87" i="4"/>
  <c r="AI87" i="4"/>
  <c r="AH87" i="4"/>
  <c r="AF87" i="4"/>
  <c r="AD87" i="4"/>
  <c r="AE87" i="4" s="1"/>
  <c r="AA87" i="4"/>
  <c r="Y87" i="4"/>
  <c r="Z87" i="4" s="1"/>
  <c r="X87" i="4"/>
  <c r="W87" i="4"/>
  <c r="T87" i="4"/>
  <c r="S87" i="4"/>
  <c r="R87" i="4"/>
  <c r="Q87" i="4"/>
  <c r="V87" i="4" s="1"/>
  <c r="P87" i="4"/>
  <c r="O87" i="4"/>
  <c r="I87" i="4"/>
  <c r="AL86" i="4"/>
  <c r="AK86" i="4"/>
  <c r="AJ86" i="4"/>
  <c r="AI86" i="4"/>
  <c r="AH86" i="4"/>
  <c r="AF86" i="4"/>
  <c r="AD86" i="4"/>
  <c r="AE86" i="4" s="1"/>
  <c r="AA86" i="4"/>
  <c r="Z86" i="4"/>
  <c r="Y86" i="4"/>
  <c r="X86" i="4"/>
  <c r="W86" i="4"/>
  <c r="T86" i="4"/>
  <c r="S86" i="4"/>
  <c r="R86" i="4"/>
  <c r="Q86" i="4"/>
  <c r="V86" i="4" s="1"/>
  <c r="P86" i="4"/>
  <c r="O86" i="4"/>
  <c r="I86" i="4"/>
  <c r="AL85" i="4"/>
  <c r="AK85" i="4"/>
  <c r="AJ85" i="4"/>
  <c r="AI85" i="4"/>
  <c r="AH85" i="4"/>
  <c r="AF85" i="4"/>
  <c r="AD85" i="4"/>
  <c r="AE85" i="4" s="1"/>
  <c r="AA85" i="4"/>
  <c r="Y85" i="4"/>
  <c r="Z85" i="4" s="1"/>
  <c r="X85" i="4"/>
  <c r="W85" i="4"/>
  <c r="T85" i="4"/>
  <c r="S85" i="4"/>
  <c r="R85" i="4"/>
  <c r="Q85" i="4"/>
  <c r="V85" i="4" s="1"/>
  <c r="P85" i="4"/>
  <c r="O85" i="4"/>
  <c r="I85" i="4"/>
  <c r="AL84" i="4"/>
  <c r="AK84" i="4"/>
  <c r="AJ84" i="4"/>
  <c r="AI84" i="4"/>
  <c r="AH84" i="4"/>
  <c r="AF84" i="4"/>
  <c r="AD84" i="4"/>
  <c r="AA84" i="4"/>
  <c r="Y84" i="4"/>
  <c r="Z84" i="4" s="1"/>
  <c r="X84" i="4"/>
  <c r="T84" i="4"/>
  <c r="W84" i="4" s="1"/>
  <c r="S84" i="4"/>
  <c r="R84" i="4"/>
  <c r="Q84" i="4"/>
  <c r="V84" i="4" s="1"/>
  <c r="P84" i="4"/>
  <c r="O84" i="4"/>
  <c r="I84" i="4"/>
  <c r="AL83" i="4"/>
  <c r="AK83" i="4"/>
  <c r="AJ83" i="4"/>
  <c r="AI83" i="4"/>
  <c r="AH83" i="4"/>
  <c r="AF83" i="4"/>
  <c r="AD83" i="4"/>
  <c r="AA83" i="4"/>
  <c r="Z83" i="4"/>
  <c r="Y83" i="4"/>
  <c r="X83" i="4"/>
  <c r="T83" i="4"/>
  <c r="S83" i="4"/>
  <c r="R83" i="4"/>
  <c r="Q83" i="4"/>
  <c r="P83" i="4"/>
  <c r="O83" i="4"/>
  <c r="I83" i="4"/>
  <c r="AL82" i="4"/>
  <c r="AK82" i="4"/>
  <c r="AJ82" i="4"/>
  <c r="AI82" i="4"/>
  <c r="AH82" i="4"/>
  <c r="AF82" i="4"/>
  <c r="AD82" i="4"/>
  <c r="AA82" i="4"/>
  <c r="Z82" i="4"/>
  <c r="Y82" i="4"/>
  <c r="X82" i="4"/>
  <c r="T82" i="4"/>
  <c r="S82" i="4"/>
  <c r="R82" i="4"/>
  <c r="Q82" i="4"/>
  <c r="P82" i="4"/>
  <c r="O82" i="4"/>
  <c r="I82" i="4"/>
  <c r="AL81" i="4"/>
  <c r="AK81" i="4"/>
  <c r="AJ81" i="4"/>
  <c r="AI81" i="4"/>
  <c r="AH81" i="4"/>
  <c r="AF81" i="4"/>
  <c r="AD81" i="4"/>
  <c r="AA81" i="4"/>
  <c r="Y81" i="4"/>
  <c r="Z81" i="4" s="1"/>
  <c r="X81" i="4"/>
  <c r="T81" i="4"/>
  <c r="S81" i="4"/>
  <c r="R81" i="4"/>
  <c r="Q81" i="4"/>
  <c r="U81" i="4" s="1"/>
  <c r="P81" i="4"/>
  <c r="O81" i="4"/>
  <c r="I81" i="4"/>
  <c r="AL80" i="4"/>
  <c r="AK80" i="4"/>
  <c r="AJ80" i="4"/>
  <c r="AI80" i="4"/>
  <c r="AH80" i="4"/>
  <c r="AF80" i="4"/>
  <c r="AD80" i="4"/>
  <c r="AE80" i="4" s="1"/>
  <c r="AA80" i="4"/>
  <c r="Y80" i="4"/>
  <c r="Z80" i="4" s="1"/>
  <c r="X80" i="4"/>
  <c r="T80" i="4"/>
  <c r="S80" i="4"/>
  <c r="R80" i="4"/>
  <c r="Q80" i="4"/>
  <c r="P80" i="4"/>
  <c r="O80" i="4"/>
  <c r="I80" i="4"/>
  <c r="AL79" i="4"/>
  <c r="AK79" i="4"/>
  <c r="AJ79" i="4"/>
  <c r="AI79" i="4"/>
  <c r="AH79" i="4"/>
  <c r="AF79" i="4"/>
  <c r="AD79" i="4"/>
  <c r="AE79" i="4" s="1"/>
  <c r="AA79" i="4"/>
  <c r="Y79" i="4"/>
  <c r="Z79" i="4" s="1"/>
  <c r="X79" i="4"/>
  <c r="W79" i="4"/>
  <c r="T79" i="4"/>
  <c r="S79" i="4"/>
  <c r="R79" i="4"/>
  <c r="Q79" i="4"/>
  <c r="V79" i="4" s="1"/>
  <c r="P79" i="4"/>
  <c r="O79" i="4"/>
  <c r="I79" i="4"/>
  <c r="AL78" i="4"/>
  <c r="AK78" i="4"/>
  <c r="AJ78" i="4"/>
  <c r="AI78" i="4"/>
  <c r="AH78" i="4"/>
  <c r="AF78" i="4"/>
  <c r="AD78" i="4"/>
  <c r="AE78" i="4" s="1"/>
  <c r="AA78" i="4"/>
  <c r="Z78" i="4"/>
  <c r="Y78" i="4"/>
  <c r="X78" i="4"/>
  <c r="W78" i="4"/>
  <c r="T78" i="4"/>
  <c r="S78" i="4"/>
  <c r="R78" i="4"/>
  <c r="Q78" i="4"/>
  <c r="V78" i="4" s="1"/>
  <c r="P78" i="4"/>
  <c r="O78" i="4"/>
  <c r="I78" i="4"/>
  <c r="AL77" i="4"/>
  <c r="AK77" i="4"/>
  <c r="AJ77" i="4"/>
  <c r="AI77" i="4"/>
  <c r="AH77" i="4"/>
  <c r="AF77" i="4"/>
  <c r="AD77" i="4"/>
  <c r="AA77" i="4"/>
  <c r="Y77" i="4"/>
  <c r="Z77" i="4" s="1"/>
  <c r="X77" i="4"/>
  <c r="W77" i="4"/>
  <c r="T77" i="4"/>
  <c r="S77" i="4"/>
  <c r="R77" i="4"/>
  <c r="Q77" i="4"/>
  <c r="V77" i="4" s="1"/>
  <c r="P77" i="4"/>
  <c r="O77" i="4"/>
  <c r="I77" i="4"/>
  <c r="AL76" i="4"/>
  <c r="AK76" i="4"/>
  <c r="AJ76" i="4"/>
  <c r="AI76" i="4"/>
  <c r="AH76" i="4"/>
  <c r="AF76" i="4"/>
  <c r="AD76" i="4"/>
  <c r="AA76" i="4"/>
  <c r="Y76" i="4"/>
  <c r="Z76" i="4" s="1"/>
  <c r="X76" i="4"/>
  <c r="T76" i="4"/>
  <c r="W76" i="4" s="1"/>
  <c r="S76" i="4"/>
  <c r="R76" i="4"/>
  <c r="Q76" i="4"/>
  <c r="V76" i="4" s="1"/>
  <c r="P76" i="4"/>
  <c r="O76" i="4"/>
  <c r="I76" i="4"/>
  <c r="AL75" i="4"/>
  <c r="AK75" i="4"/>
  <c r="AJ75" i="4"/>
  <c r="AI75" i="4"/>
  <c r="AH75" i="4"/>
  <c r="AF75" i="4"/>
  <c r="AD75" i="4"/>
  <c r="AA75" i="4"/>
  <c r="Z75" i="4"/>
  <c r="Y75" i="4"/>
  <c r="X75" i="4"/>
  <c r="T75" i="4"/>
  <c r="S75" i="4"/>
  <c r="R75" i="4"/>
  <c r="Q75" i="4"/>
  <c r="P75" i="4"/>
  <c r="O75" i="4"/>
  <c r="I75" i="4"/>
  <c r="AL74" i="4"/>
  <c r="AK74" i="4"/>
  <c r="AJ74" i="4"/>
  <c r="AI74" i="4"/>
  <c r="AH74" i="4"/>
  <c r="AF74" i="4"/>
  <c r="AD74" i="4"/>
  <c r="AA74" i="4"/>
  <c r="Z74" i="4"/>
  <c r="Y74" i="4"/>
  <c r="X74" i="4"/>
  <c r="T74" i="4"/>
  <c r="S74" i="4"/>
  <c r="R74" i="4"/>
  <c r="Q74" i="4"/>
  <c r="P74" i="4"/>
  <c r="O74" i="4"/>
  <c r="I74" i="4"/>
  <c r="AL73" i="4"/>
  <c r="AK73" i="4"/>
  <c r="AJ73" i="4"/>
  <c r="AI73" i="4"/>
  <c r="AH73" i="4"/>
  <c r="AF73" i="4"/>
  <c r="AD73" i="4"/>
  <c r="AA73" i="4"/>
  <c r="Y73" i="4"/>
  <c r="Z73" i="4" s="1"/>
  <c r="X73" i="4"/>
  <c r="T73" i="4"/>
  <c r="S73" i="4"/>
  <c r="R73" i="4"/>
  <c r="Q73" i="4"/>
  <c r="U73" i="4" s="1"/>
  <c r="P73" i="4"/>
  <c r="O73" i="4"/>
  <c r="I73" i="4"/>
  <c r="AL72" i="4"/>
  <c r="AK72" i="4"/>
  <c r="AJ72" i="4"/>
  <c r="AI72" i="4"/>
  <c r="AH72" i="4"/>
  <c r="AF72" i="4"/>
  <c r="AD72" i="4"/>
  <c r="AE72" i="4" s="1"/>
  <c r="AA72" i="4"/>
  <c r="Y72" i="4"/>
  <c r="Z72" i="4" s="1"/>
  <c r="X72" i="4"/>
  <c r="T72" i="4"/>
  <c r="S72" i="4"/>
  <c r="R72" i="4"/>
  <c r="Q72" i="4"/>
  <c r="P72" i="4"/>
  <c r="O72" i="4"/>
  <c r="I72" i="4"/>
  <c r="AL71" i="4"/>
  <c r="AK71" i="4"/>
  <c r="AJ71" i="4"/>
  <c r="AI71" i="4"/>
  <c r="AH71" i="4"/>
  <c r="AF71" i="4"/>
  <c r="AD71" i="4"/>
  <c r="AE71" i="4" s="1"/>
  <c r="AA71" i="4"/>
  <c r="Y71" i="4"/>
  <c r="Z71" i="4" s="1"/>
  <c r="X71" i="4"/>
  <c r="W71" i="4"/>
  <c r="T71" i="4"/>
  <c r="S71" i="4"/>
  <c r="R71" i="4"/>
  <c r="Q71" i="4"/>
  <c r="V71" i="4" s="1"/>
  <c r="P71" i="4"/>
  <c r="O71" i="4"/>
  <c r="I71" i="4"/>
  <c r="AL70" i="4"/>
  <c r="AK70" i="4"/>
  <c r="AJ70" i="4"/>
  <c r="AI70" i="4"/>
  <c r="AH70" i="4"/>
  <c r="AF70" i="4"/>
  <c r="AD70" i="4"/>
  <c r="AE70" i="4" s="1"/>
  <c r="AA70" i="4"/>
  <c r="Z70" i="4"/>
  <c r="Y70" i="4"/>
  <c r="X70" i="4"/>
  <c r="W70" i="4"/>
  <c r="T70" i="4"/>
  <c r="S70" i="4"/>
  <c r="R70" i="4"/>
  <c r="Q70" i="4"/>
  <c r="V70" i="4" s="1"/>
  <c r="P70" i="4"/>
  <c r="O70" i="4"/>
  <c r="I70" i="4"/>
  <c r="AL69" i="4"/>
  <c r="AK69" i="4"/>
  <c r="AJ69" i="4"/>
  <c r="AI69" i="4"/>
  <c r="AH69" i="4"/>
  <c r="AF69" i="4"/>
  <c r="AD69" i="4"/>
  <c r="AA69" i="4"/>
  <c r="Y69" i="4"/>
  <c r="Z69" i="4" s="1"/>
  <c r="X69" i="4"/>
  <c r="W69" i="4"/>
  <c r="T69" i="4"/>
  <c r="S69" i="4"/>
  <c r="R69" i="4"/>
  <c r="Q69" i="4"/>
  <c r="V69" i="4" s="1"/>
  <c r="P69" i="4"/>
  <c r="O69" i="4"/>
  <c r="I69" i="4"/>
  <c r="AL68" i="4"/>
  <c r="AK68" i="4"/>
  <c r="AJ68" i="4"/>
  <c r="AI68" i="4"/>
  <c r="AH68" i="4"/>
  <c r="AF68" i="4"/>
  <c r="AD68" i="4"/>
  <c r="AA68" i="4"/>
  <c r="Y68" i="4"/>
  <c r="Z68" i="4" s="1"/>
  <c r="X68" i="4"/>
  <c r="T68" i="4"/>
  <c r="W68" i="4" s="1"/>
  <c r="S68" i="4"/>
  <c r="R68" i="4"/>
  <c r="Q68" i="4"/>
  <c r="V68" i="4" s="1"/>
  <c r="P68" i="4"/>
  <c r="O68" i="4"/>
  <c r="I68" i="4"/>
  <c r="AL67" i="4"/>
  <c r="AK67" i="4"/>
  <c r="AJ67" i="4"/>
  <c r="AI67" i="4"/>
  <c r="AH67" i="4"/>
  <c r="AF67" i="4"/>
  <c r="AD67" i="4"/>
  <c r="AA67" i="4"/>
  <c r="Z67" i="4"/>
  <c r="Y67" i="4"/>
  <c r="X67" i="4"/>
  <c r="T67" i="4"/>
  <c r="S67" i="4"/>
  <c r="R67" i="4"/>
  <c r="Q67" i="4"/>
  <c r="P67" i="4"/>
  <c r="O67" i="4"/>
  <c r="I67" i="4"/>
  <c r="AL66" i="4"/>
  <c r="AK66" i="4"/>
  <c r="AJ66" i="4"/>
  <c r="AI66" i="4"/>
  <c r="AH66" i="4"/>
  <c r="AF66" i="4"/>
  <c r="AD66" i="4"/>
  <c r="AA66" i="4"/>
  <c r="Z66" i="4"/>
  <c r="Y66" i="4"/>
  <c r="X66" i="4"/>
  <c r="T66" i="4"/>
  <c r="S66" i="4"/>
  <c r="R66" i="4"/>
  <c r="Q66" i="4"/>
  <c r="P66" i="4"/>
  <c r="O66" i="4"/>
  <c r="I66" i="4"/>
  <c r="AL65" i="4"/>
  <c r="AK65" i="4"/>
  <c r="AJ65" i="4"/>
  <c r="AI65" i="4"/>
  <c r="AH65" i="4"/>
  <c r="AF65" i="4"/>
  <c r="AD65" i="4"/>
  <c r="AE65" i="4" s="1"/>
  <c r="AA65" i="4"/>
  <c r="Y65" i="4"/>
  <c r="Z65" i="4" s="1"/>
  <c r="X65" i="4"/>
  <c r="T65" i="4"/>
  <c r="S65" i="4"/>
  <c r="R65" i="4"/>
  <c r="Q65" i="4"/>
  <c r="U65" i="4" s="1"/>
  <c r="P65" i="4"/>
  <c r="O65" i="4"/>
  <c r="I65" i="4"/>
  <c r="AL64" i="4"/>
  <c r="AK64" i="4"/>
  <c r="AJ64" i="4"/>
  <c r="AI64" i="4"/>
  <c r="AH64" i="4"/>
  <c r="AF64" i="4"/>
  <c r="AD64" i="4"/>
  <c r="AE64" i="4" s="1"/>
  <c r="AA64" i="4"/>
  <c r="Y64" i="4"/>
  <c r="Z64" i="4" s="1"/>
  <c r="X64" i="4"/>
  <c r="T64" i="4"/>
  <c r="S64" i="4"/>
  <c r="R64" i="4"/>
  <c r="Q64" i="4"/>
  <c r="P64" i="4"/>
  <c r="O64" i="4"/>
  <c r="I64" i="4"/>
  <c r="AL63" i="4"/>
  <c r="AK63" i="4"/>
  <c r="AJ63" i="4"/>
  <c r="AI63" i="4"/>
  <c r="AH63" i="4"/>
  <c r="AF63" i="4"/>
  <c r="AD63" i="4"/>
  <c r="AE63" i="4" s="1"/>
  <c r="AA63" i="4"/>
  <c r="Y63" i="4"/>
  <c r="Z63" i="4" s="1"/>
  <c r="X63" i="4"/>
  <c r="W63" i="4"/>
  <c r="T63" i="4"/>
  <c r="S63" i="4"/>
  <c r="R63" i="4"/>
  <c r="Q63" i="4"/>
  <c r="V63" i="4" s="1"/>
  <c r="P63" i="4"/>
  <c r="O63" i="4"/>
  <c r="I63" i="4"/>
  <c r="AL62" i="4"/>
  <c r="AK62" i="4"/>
  <c r="AJ62" i="4"/>
  <c r="AI62" i="4"/>
  <c r="AH62" i="4"/>
  <c r="AF62" i="4"/>
  <c r="AD62" i="4"/>
  <c r="AA62" i="4"/>
  <c r="Z62" i="4"/>
  <c r="Y62" i="4"/>
  <c r="X62" i="4"/>
  <c r="W62" i="4"/>
  <c r="T62" i="4"/>
  <c r="S62" i="4"/>
  <c r="R62" i="4"/>
  <c r="Q62" i="4"/>
  <c r="V62" i="4" s="1"/>
  <c r="P62" i="4"/>
  <c r="O62" i="4"/>
  <c r="I62" i="4"/>
  <c r="AL61" i="4"/>
  <c r="AK61" i="4"/>
  <c r="AJ61" i="4"/>
  <c r="AI61" i="4"/>
  <c r="AH61" i="4"/>
  <c r="AF61" i="4"/>
  <c r="AD61" i="4"/>
  <c r="AA61" i="4"/>
  <c r="Y61" i="4"/>
  <c r="Z61" i="4" s="1"/>
  <c r="X61" i="4"/>
  <c r="W61" i="4"/>
  <c r="T61" i="4"/>
  <c r="S61" i="4"/>
  <c r="R61" i="4"/>
  <c r="Q61" i="4"/>
  <c r="V61" i="4" s="1"/>
  <c r="P61" i="4"/>
  <c r="O61" i="4"/>
  <c r="I61" i="4"/>
  <c r="AL60" i="4"/>
  <c r="AK60" i="4"/>
  <c r="AJ60" i="4"/>
  <c r="AI60" i="4"/>
  <c r="AH60" i="4"/>
  <c r="AF60" i="4"/>
  <c r="AD60" i="4"/>
  <c r="AA60" i="4"/>
  <c r="Y60" i="4"/>
  <c r="Z60" i="4" s="1"/>
  <c r="X60" i="4"/>
  <c r="T60" i="4"/>
  <c r="S60" i="4"/>
  <c r="R60" i="4"/>
  <c r="Q60" i="4"/>
  <c r="V60" i="4" s="1"/>
  <c r="P60" i="4"/>
  <c r="O60" i="4"/>
  <c r="I60" i="4"/>
  <c r="AL59" i="4"/>
  <c r="AK59" i="4"/>
  <c r="AJ59" i="4"/>
  <c r="AI59" i="4"/>
  <c r="AH59" i="4"/>
  <c r="AF59" i="4"/>
  <c r="AD59" i="4"/>
  <c r="AA59" i="4"/>
  <c r="Z59" i="4"/>
  <c r="Y59" i="4"/>
  <c r="X59" i="4"/>
  <c r="T59" i="4"/>
  <c r="S59" i="4"/>
  <c r="R59" i="4"/>
  <c r="Q59" i="4"/>
  <c r="U59" i="4" s="1"/>
  <c r="P59" i="4"/>
  <c r="O59" i="4"/>
  <c r="I59" i="4"/>
  <c r="AL58" i="4"/>
  <c r="AK58" i="4"/>
  <c r="AJ58" i="4"/>
  <c r="AI58" i="4"/>
  <c r="AH58" i="4"/>
  <c r="AF58" i="4"/>
  <c r="AD58" i="4"/>
  <c r="AA58" i="4"/>
  <c r="Z58" i="4"/>
  <c r="Y58" i="4"/>
  <c r="X58" i="4"/>
  <c r="T58" i="4"/>
  <c r="S58" i="4"/>
  <c r="R58" i="4"/>
  <c r="Q58" i="4"/>
  <c r="P58" i="4"/>
  <c r="O58" i="4"/>
  <c r="I58" i="4"/>
  <c r="AL57" i="4"/>
  <c r="AK57" i="4"/>
  <c r="AJ57" i="4"/>
  <c r="AI57" i="4"/>
  <c r="AH57" i="4"/>
  <c r="AF57" i="4"/>
  <c r="AD57" i="4"/>
  <c r="AE57" i="4" s="1"/>
  <c r="AA57" i="4"/>
  <c r="Y57" i="4"/>
  <c r="Z57" i="4" s="1"/>
  <c r="X57" i="4"/>
  <c r="T57" i="4"/>
  <c r="S57" i="4"/>
  <c r="R57" i="4"/>
  <c r="Q57" i="4"/>
  <c r="U57" i="4" s="1"/>
  <c r="P57" i="4"/>
  <c r="O57" i="4"/>
  <c r="I57" i="4"/>
  <c r="AL56" i="4"/>
  <c r="AK56" i="4"/>
  <c r="AJ56" i="4"/>
  <c r="AI56" i="4"/>
  <c r="AH56" i="4"/>
  <c r="AF56" i="4"/>
  <c r="AD56" i="4"/>
  <c r="AE56" i="4" s="1"/>
  <c r="AA56" i="4"/>
  <c r="Y56" i="4"/>
  <c r="Z56" i="4" s="1"/>
  <c r="X56" i="4"/>
  <c r="T56" i="4"/>
  <c r="S56" i="4"/>
  <c r="R56" i="4"/>
  <c r="Q56" i="4"/>
  <c r="P56" i="4"/>
  <c r="O56" i="4"/>
  <c r="I56" i="4"/>
  <c r="AL55" i="4"/>
  <c r="AK55" i="4"/>
  <c r="AJ55" i="4"/>
  <c r="AI55" i="4"/>
  <c r="AH55" i="4"/>
  <c r="AF55" i="4"/>
  <c r="AD55" i="4"/>
  <c r="AE55" i="4" s="1"/>
  <c r="AA55" i="4"/>
  <c r="Y55" i="4"/>
  <c r="Z55" i="4" s="1"/>
  <c r="X55" i="4"/>
  <c r="W55" i="4"/>
  <c r="T55" i="4"/>
  <c r="S55" i="4"/>
  <c r="R55" i="4"/>
  <c r="Q55" i="4"/>
  <c r="V55" i="4" s="1"/>
  <c r="P55" i="4"/>
  <c r="O55" i="4"/>
  <c r="I55" i="4"/>
  <c r="AL54" i="4"/>
  <c r="AK54" i="4"/>
  <c r="AJ54" i="4"/>
  <c r="AI54" i="4"/>
  <c r="AH54" i="4"/>
  <c r="AF54" i="4"/>
  <c r="AD54" i="4"/>
  <c r="AA54" i="4"/>
  <c r="Z54" i="4"/>
  <c r="Y54" i="4"/>
  <c r="X54" i="4"/>
  <c r="W54" i="4"/>
  <c r="T54" i="4"/>
  <c r="S54" i="4"/>
  <c r="R54" i="4"/>
  <c r="Q54" i="4"/>
  <c r="V54" i="4" s="1"/>
  <c r="P54" i="4"/>
  <c r="O54" i="4"/>
  <c r="I54" i="4"/>
  <c r="AL53" i="4"/>
  <c r="AK53" i="4"/>
  <c r="AJ53" i="4"/>
  <c r="AI53" i="4"/>
  <c r="AH53" i="4"/>
  <c r="AF53" i="4"/>
  <c r="AD53" i="4"/>
  <c r="AA53" i="4"/>
  <c r="Y53" i="4"/>
  <c r="Z53" i="4" s="1"/>
  <c r="X53" i="4"/>
  <c r="W53" i="4"/>
  <c r="T53" i="4"/>
  <c r="S53" i="4"/>
  <c r="R53" i="4"/>
  <c r="Q53" i="4"/>
  <c r="U53" i="4" s="1"/>
  <c r="P53" i="4"/>
  <c r="O53" i="4"/>
  <c r="I53" i="4"/>
  <c r="AL52" i="4"/>
  <c r="AK52" i="4"/>
  <c r="AJ52" i="4"/>
  <c r="AI52" i="4"/>
  <c r="AH52" i="4"/>
  <c r="AF52" i="4"/>
  <c r="AD52" i="4"/>
  <c r="AA52" i="4"/>
  <c r="Y52" i="4"/>
  <c r="Z52" i="4" s="1"/>
  <c r="X52" i="4"/>
  <c r="T52" i="4"/>
  <c r="W52" i="4" s="1"/>
  <c r="S52" i="4"/>
  <c r="R52" i="4"/>
  <c r="Q52" i="4"/>
  <c r="V52" i="4" s="1"/>
  <c r="P52" i="4"/>
  <c r="O52" i="4"/>
  <c r="I52" i="4"/>
  <c r="AL51" i="4"/>
  <c r="AK51" i="4"/>
  <c r="AJ51" i="4"/>
  <c r="AI51" i="4"/>
  <c r="AH51" i="4"/>
  <c r="AF51" i="4"/>
  <c r="AD51" i="4"/>
  <c r="AA51" i="4"/>
  <c r="Z51" i="4"/>
  <c r="Y51" i="4"/>
  <c r="X51" i="4"/>
  <c r="T51" i="4"/>
  <c r="S51" i="4"/>
  <c r="R51" i="4"/>
  <c r="Q51" i="4"/>
  <c r="U51" i="4" s="1"/>
  <c r="P51" i="4"/>
  <c r="O51" i="4"/>
  <c r="I51" i="4"/>
  <c r="AL50" i="4"/>
  <c r="AK50" i="4"/>
  <c r="AJ50" i="4"/>
  <c r="AI50" i="4"/>
  <c r="AH50" i="4"/>
  <c r="AF50" i="4"/>
  <c r="AD50" i="4"/>
  <c r="AA50" i="4"/>
  <c r="Z50" i="4"/>
  <c r="Y50" i="4"/>
  <c r="X50" i="4"/>
  <c r="T50" i="4"/>
  <c r="S50" i="4"/>
  <c r="R50" i="4"/>
  <c r="Q50" i="4"/>
  <c r="P50" i="4"/>
  <c r="O50" i="4"/>
  <c r="I50" i="4"/>
  <c r="AL49" i="4"/>
  <c r="AK49" i="4"/>
  <c r="AJ49" i="4"/>
  <c r="AI49" i="4"/>
  <c r="AH49" i="4"/>
  <c r="AF49" i="4"/>
  <c r="AD49" i="4"/>
  <c r="AA49" i="4"/>
  <c r="Z49" i="4"/>
  <c r="Y49" i="4"/>
  <c r="X49" i="4"/>
  <c r="T49" i="4"/>
  <c r="S49" i="4"/>
  <c r="R49" i="4"/>
  <c r="Q49" i="4"/>
  <c r="U49" i="4" s="1"/>
  <c r="P49" i="4"/>
  <c r="O49" i="4"/>
  <c r="I49" i="4"/>
  <c r="AL48" i="4"/>
  <c r="AK48" i="4"/>
  <c r="AJ48" i="4"/>
  <c r="AI48" i="4"/>
  <c r="AH48" i="4"/>
  <c r="AF48" i="4"/>
  <c r="AD48" i="4"/>
  <c r="AE48" i="4" s="1"/>
  <c r="AA48" i="4"/>
  <c r="Y48" i="4"/>
  <c r="Z48" i="4" s="1"/>
  <c r="X48" i="4"/>
  <c r="T48" i="4"/>
  <c r="S48" i="4"/>
  <c r="R48" i="4"/>
  <c r="W48" i="4" s="1"/>
  <c r="Q48" i="4"/>
  <c r="P48" i="4"/>
  <c r="O48" i="4"/>
  <c r="I48" i="4"/>
  <c r="AL47" i="4"/>
  <c r="AK47" i="4"/>
  <c r="AJ47" i="4"/>
  <c r="AI47" i="4"/>
  <c r="AH47" i="4"/>
  <c r="AF47" i="4"/>
  <c r="AD47" i="4"/>
  <c r="AE47" i="4" s="1"/>
  <c r="AA47" i="4"/>
  <c r="Y47" i="4"/>
  <c r="Z47" i="4" s="1"/>
  <c r="X47" i="4"/>
  <c r="W47" i="4"/>
  <c r="T47" i="4"/>
  <c r="S47" i="4"/>
  <c r="R47" i="4"/>
  <c r="Q47" i="4"/>
  <c r="V47" i="4" s="1"/>
  <c r="P47" i="4"/>
  <c r="O47" i="4"/>
  <c r="I47" i="4"/>
  <c r="AL46" i="4"/>
  <c r="AK46" i="4"/>
  <c r="AJ46" i="4"/>
  <c r="AI46" i="4"/>
  <c r="AH46" i="4"/>
  <c r="AF46" i="4"/>
  <c r="AD46" i="4"/>
  <c r="AE46" i="4" s="1"/>
  <c r="AA46" i="4"/>
  <c r="Z46" i="4"/>
  <c r="Y46" i="4"/>
  <c r="X46" i="4"/>
  <c r="W46" i="4"/>
  <c r="T46" i="4"/>
  <c r="S46" i="4"/>
  <c r="R46" i="4"/>
  <c r="Q46" i="4"/>
  <c r="V46" i="4" s="1"/>
  <c r="P46" i="4"/>
  <c r="O46" i="4"/>
  <c r="I46" i="4"/>
  <c r="AL45" i="4"/>
  <c r="AK45" i="4"/>
  <c r="AJ45" i="4"/>
  <c r="AI45" i="4"/>
  <c r="AH45" i="4"/>
  <c r="AF45" i="4"/>
  <c r="AD45" i="4"/>
  <c r="AA45" i="4"/>
  <c r="Y45" i="4"/>
  <c r="Z45" i="4" s="1"/>
  <c r="X45" i="4"/>
  <c r="W45" i="4"/>
  <c r="T45" i="4"/>
  <c r="S45" i="4"/>
  <c r="R45" i="4"/>
  <c r="Q45" i="4"/>
  <c r="V45" i="4" s="1"/>
  <c r="P45" i="4"/>
  <c r="O45" i="4"/>
  <c r="I45" i="4"/>
  <c r="AL44" i="4"/>
  <c r="AK44" i="4"/>
  <c r="AJ44" i="4"/>
  <c r="AI44" i="4"/>
  <c r="AH44" i="4"/>
  <c r="AF44" i="4"/>
  <c r="AD44" i="4"/>
  <c r="AE44" i="4" s="1"/>
  <c r="AA44" i="4"/>
  <c r="Y44" i="4"/>
  <c r="Z44" i="4" s="1"/>
  <c r="X44" i="4"/>
  <c r="T44" i="4"/>
  <c r="W44" i="4" s="1"/>
  <c r="S44" i="4"/>
  <c r="R44" i="4"/>
  <c r="Q44" i="4"/>
  <c r="V44" i="4" s="1"/>
  <c r="P44" i="4"/>
  <c r="O44" i="4"/>
  <c r="I44" i="4"/>
  <c r="AL43" i="4"/>
  <c r="AK43" i="4"/>
  <c r="AJ43" i="4"/>
  <c r="AI43" i="4"/>
  <c r="AH43" i="4"/>
  <c r="AF43" i="4"/>
  <c r="AD43" i="4"/>
  <c r="AA43" i="4"/>
  <c r="Z43" i="4"/>
  <c r="Y43" i="4"/>
  <c r="X43" i="4"/>
  <c r="T43" i="4"/>
  <c r="S43" i="4"/>
  <c r="R43" i="4"/>
  <c r="Q43" i="4"/>
  <c r="P43" i="4"/>
  <c r="O43" i="4"/>
  <c r="I43" i="4"/>
  <c r="AL42" i="4"/>
  <c r="AK42" i="4"/>
  <c r="AJ42" i="4"/>
  <c r="AI42" i="4"/>
  <c r="AH42" i="4"/>
  <c r="AF42" i="4"/>
  <c r="AD42" i="4"/>
  <c r="AA42" i="4"/>
  <c r="Y42" i="4"/>
  <c r="Z42" i="4" s="1"/>
  <c r="X42" i="4"/>
  <c r="T42" i="4"/>
  <c r="S42" i="4"/>
  <c r="R42" i="4"/>
  <c r="Q42" i="4"/>
  <c r="P42" i="4"/>
  <c r="O42" i="4"/>
  <c r="I42" i="4"/>
  <c r="AL41" i="4"/>
  <c r="AK41" i="4"/>
  <c r="AJ41" i="4"/>
  <c r="AI41" i="4"/>
  <c r="AH41" i="4"/>
  <c r="AF41" i="4"/>
  <c r="AD41" i="4"/>
  <c r="AA41" i="4"/>
  <c r="Z41" i="4"/>
  <c r="Y41" i="4"/>
  <c r="X41" i="4"/>
  <c r="T41" i="4"/>
  <c r="S41" i="4"/>
  <c r="R41" i="4"/>
  <c r="Q41" i="4"/>
  <c r="U41" i="4" s="1"/>
  <c r="P41" i="4"/>
  <c r="O41" i="4"/>
  <c r="I41" i="4"/>
  <c r="AL40" i="4"/>
  <c r="AK40" i="4"/>
  <c r="AJ40" i="4"/>
  <c r="AI40" i="4"/>
  <c r="AH40" i="4"/>
  <c r="AF40" i="4"/>
  <c r="AD40" i="4"/>
  <c r="AE40" i="4" s="1"/>
  <c r="AA40" i="4"/>
  <c r="Z40" i="4"/>
  <c r="Y40" i="4"/>
  <c r="X40" i="4"/>
  <c r="W40" i="4"/>
  <c r="T40" i="4"/>
  <c r="S40" i="4"/>
  <c r="R40" i="4"/>
  <c r="Q40" i="4"/>
  <c r="P40" i="4"/>
  <c r="O40" i="4"/>
  <c r="I40" i="4"/>
  <c r="AL39" i="4"/>
  <c r="AK39" i="4"/>
  <c r="AJ39" i="4"/>
  <c r="AI39" i="4"/>
  <c r="AH39" i="4"/>
  <c r="AF39" i="4"/>
  <c r="AD39" i="4"/>
  <c r="AE39" i="4" s="1"/>
  <c r="AA39" i="4"/>
  <c r="Y39" i="4"/>
  <c r="Z39" i="4" s="1"/>
  <c r="X39" i="4"/>
  <c r="W39" i="4"/>
  <c r="T39" i="4"/>
  <c r="S39" i="4"/>
  <c r="R39" i="4"/>
  <c r="Q39" i="4"/>
  <c r="V39" i="4" s="1"/>
  <c r="P39" i="4"/>
  <c r="O39" i="4"/>
  <c r="I39" i="4"/>
  <c r="AL38" i="4"/>
  <c r="AK38" i="4"/>
  <c r="AJ38" i="4"/>
  <c r="AI38" i="4"/>
  <c r="AH38" i="4"/>
  <c r="AF38" i="4"/>
  <c r="AD38" i="4"/>
  <c r="AE38" i="4" s="1"/>
  <c r="AA38" i="4"/>
  <c r="Z38" i="4"/>
  <c r="Y38" i="4"/>
  <c r="X38" i="4"/>
  <c r="W38" i="4"/>
  <c r="T38" i="4"/>
  <c r="S38" i="4"/>
  <c r="R38" i="4"/>
  <c r="Q38" i="4"/>
  <c r="V38" i="4" s="1"/>
  <c r="P38" i="4"/>
  <c r="O38" i="4"/>
  <c r="I38" i="4"/>
  <c r="AL37" i="4"/>
  <c r="AK37" i="4"/>
  <c r="AJ37" i="4"/>
  <c r="AI37" i="4"/>
  <c r="AH37" i="4"/>
  <c r="AF37" i="4"/>
  <c r="AD37" i="4"/>
  <c r="AE37" i="4" s="1"/>
  <c r="AA37" i="4"/>
  <c r="Y37" i="4"/>
  <c r="Z37" i="4" s="1"/>
  <c r="X37" i="4"/>
  <c r="T37" i="4"/>
  <c r="S37" i="4"/>
  <c r="R37" i="4"/>
  <c r="Q37" i="4"/>
  <c r="V37" i="4" s="1"/>
  <c r="P37" i="4"/>
  <c r="O37" i="4"/>
  <c r="I37" i="4"/>
  <c r="AL36" i="4"/>
  <c r="AK36" i="4"/>
  <c r="AJ36" i="4"/>
  <c r="AI36" i="4"/>
  <c r="AH36" i="4"/>
  <c r="AF36" i="4"/>
  <c r="AD36" i="4"/>
  <c r="AA36" i="4"/>
  <c r="Y36" i="4"/>
  <c r="Z36" i="4" s="1"/>
  <c r="X36" i="4"/>
  <c r="T36" i="4"/>
  <c r="W36" i="4" s="1"/>
  <c r="S36" i="4"/>
  <c r="R36" i="4"/>
  <c r="Q36" i="4"/>
  <c r="V36" i="4" s="1"/>
  <c r="P36" i="4"/>
  <c r="O36" i="4"/>
  <c r="I36" i="4"/>
  <c r="AL35" i="4"/>
  <c r="AK35" i="4"/>
  <c r="AJ35" i="4"/>
  <c r="AI35" i="4"/>
  <c r="AH35" i="4"/>
  <c r="AF35" i="4"/>
  <c r="AD35" i="4"/>
  <c r="AA35" i="4"/>
  <c r="Z35" i="4"/>
  <c r="Y35" i="4"/>
  <c r="X35" i="4"/>
  <c r="T35" i="4"/>
  <c r="W35" i="4" s="1"/>
  <c r="S35" i="4"/>
  <c r="R35" i="4"/>
  <c r="Q35" i="4"/>
  <c r="P35" i="4"/>
  <c r="O35" i="4"/>
  <c r="I35" i="4"/>
  <c r="AL34" i="4"/>
  <c r="AK34" i="4"/>
  <c r="AJ34" i="4"/>
  <c r="AI34" i="4"/>
  <c r="AH34" i="4"/>
  <c r="AF34" i="4"/>
  <c r="AD34" i="4"/>
  <c r="AA34" i="4"/>
  <c r="Y34" i="4"/>
  <c r="Z34" i="4" s="1"/>
  <c r="X34" i="4"/>
  <c r="T34" i="4"/>
  <c r="S34" i="4"/>
  <c r="R34" i="4"/>
  <c r="W34" i="4" s="1"/>
  <c r="Q34" i="4"/>
  <c r="P34" i="4"/>
  <c r="O34" i="4"/>
  <c r="I34" i="4"/>
  <c r="AL33" i="4"/>
  <c r="AK33" i="4"/>
  <c r="AJ33" i="4"/>
  <c r="AI33" i="4"/>
  <c r="AH33" i="4"/>
  <c r="AF33" i="4"/>
  <c r="AD33" i="4"/>
  <c r="AE33" i="4" s="1"/>
  <c r="AA33" i="4"/>
  <c r="Y33" i="4"/>
  <c r="Z33" i="4" s="1"/>
  <c r="X33" i="4"/>
  <c r="T33" i="4"/>
  <c r="S33" i="4"/>
  <c r="R33" i="4"/>
  <c r="Q33" i="4"/>
  <c r="U33" i="4" s="1"/>
  <c r="P33" i="4"/>
  <c r="O33" i="4"/>
  <c r="I33" i="4"/>
  <c r="AL32" i="4"/>
  <c r="AK32" i="4"/>
  <c r="AJ32" i="4"/>
  <c r="AI32" i="4"/>
  <c r="AH32" i="4"/>
  <c r="AF32" i="4"/>
  <c r="AD32" i="4"/>
  <c r="AE32" i="4" s="1"/>
  <c r="AA32" i="4"/>
  <c r="Y32" i="4"/>
  <c r="Z32" i="4" s="1"/>
  <c r="X32" i="4"/>
  <c r="T32" i="4"/>
  <c r="S32" i="4"/>
  <c r="R32" i="4"/>
  <c r="W32" i="4" s="1"/>
  <c r="Q32" i="4"/>
  <c r="P32" i="4"/>
  <c r="O32" i="4"/>
  <c r="I32" i="4"/>
  <c r="AL31" i="4"/>
  <c r="AK31" i="4"/>
  <c r="AJ31" i="4"/>
  <c r="AI31" i="4"/>
  <c r="AH31" i="4"/>
  <c r="AF31" i="4"/>
  <c r="AD31" i="4"/>
  <c r="AE31" i="4" s="1"/>
  <c r="AA31" i="4"/>
  <c r="Y31" i="4"/>
  <c r="Z31" i="4" s="1"/>
  <c r="X31" i="4"/>
  <c r="W31" i="4"/>
  <c r="T31" i="4"/>
  <c r="S31" i="4"/>
  <c r="R31" i="4"/>
  <c r="Q31" i="4"/>
  <c r="V31" i="4" s="1"/>
  <c r="P31" i="4"/>
  <c r="O31" i="4"/>
  <c r="I31" i="4"/>
  <c r="AL30" i="4"/>
  <c r="AK30" i="4"/>
  <c r="AJ30" i="4"/>
  <c r="AI30" i="4"/>
  <c r="AH30" i="4"/>
  <c r="AF30" i="4"/>
  <c r="AD30" i="4"/>
  <c r="AE30" i="4" s="1"/>
  <c r="AA30" i="4"/>
  <c r="Z30" i="4"/>
  <c r="Y30" i="4"/>
  <c r="X30" i="4"/>
  <c r="T30" i="4"/>
  <c r="S30" i="4"/>
  <c r="R30" i="4"/>
  <c r="W30" i="4" s="1"/>
  <c r="Q30" i="4"/>
  <c r="V30" i="4" s="1"/>
  <c r="P30" i="4"/>
  <c r="O30" i="4"/>
  <c r="I30" i="4"/>
  <c r="AL29" i="4"/>
  <c r="AK29" i="4"/>
  <c r="AJ29" i="4"/>
  <c r="AI29" i="4"/>
  <c r="AH29" i="4"/>
  <c r="AF29" i="4"/>
  <c r="AD29" i="4"/>
  <c r="AA29" i="4"/>
  <c r="Y29" i="4"/>
  <c r="Z29" i="4" s="1"/>
  <c r="X29" i="4"/>
  <c r="T29" i="4"/>
  <c r="S29" i="4"/>
  <c r="R29" i="4"/>
  <c r="W29" i="4" s="1"/>
  <c r="Q29" i="4"/>
  <c r="U29" i="4" s="1"/>
  <c r="P29" i="4"/>
  <c r="O29" i="4"/>
  <c r="I29" i="4"/>
  <c r="AL28" i="4"/>
  <c r="AK28" i="4"/>
  <c r="AJ28" i="4"/>
  <c r="AI28" i="4"/>
  <c r="AH28" i="4"/>
  <c r="AF28" i="4"/>
  <c r="AD28" i="4"/>
  <c r="AA28" i="4"/>
  <c r="Y28" i="4"/>
  <c r="Z28" i="4" s="1"/>
  <c r="X28" i="4"/>
  <c r="T28" i="4"/>
  <c r="S28" i="4"/>
  <c r="R28" i="4"/>
  <c r="Q28" i="4"/>
  <c r="V28" i="4" s="1"/>
  <c r="P28" i="4"/>
  <c r="O28" i="4"/>
  <c r="I28" i="4"/>
  <c r="AL27" i="4"/>
  <c r="AK27" i="4"/>
  <c r="AJ27" i="4"/>
  <c r="AI27" i="4"/>
  <c r="AH27" i="4"/>
  <c r="AF27" i="4"/>
  <c r="AD27" i="4"/>
  <c r="AA27" i="4"/>
  <c r="Z27" i="4"/>
  <c r="Y27" i="4"/>
  <c r="X27" i="4"/>
  <c r="T27" i="4"/>
  <c r="S27" i="4"/>
  <c r="R27" i="4"/>
  <c r="Q27" i="4"/>
  <c r="U27" i="4" s="1"/>
  <c r="P27" i="4"/>
  <c r="O27" i="4"/>
  <c r="I27" i="4"/>
  <c r="AL26" i="4"/>
  <c r="AK26" i="4"/>
  <c r="AJ26" i="4"/>
  <c r="AI26" i="4"/>
  <c r="AH26" i="4"/>
  <c r="AF26" i="4"/>
  <c r="AD26" i="4"/>
  <c r="AE26" i="4" s="1"/>
  <c r="AA26" i="4"/>
  <c r="Y26" i="4"/>
  <c r="Z26" i="4" s="1"/>
  <c r="X26" i="4"/>
  <c r="T26" i="4"/>
  <c r="S26" i="4"/>
  <c r="R26" i="4"/>
  <c r="W26" i="4" s="1"/>
  <c r="Q26" i="4"/>
  <c r="P26" i="4"/>
  <c r="O26" i="4"/>
  <c r="I26" i="4"/>
  <c r="AL25" i="4"/>
  <c r="AK25" i="4"/>
  <c r="AJ25" i="4"/>
  <c r="AI25" i="4"/>
  <c r="AH25" i="4"/>
  <c r="AF25" i="4"/>
  <c r="AD25" i="4"/>
  <c r="AE25" i="4" s="1"/>
  <c r="AA25" i="4"/>
  <c r="Z25" i="4"/>
  <c r="Y25" i="4"/>
  <c r="X25" i="4"/>
  <c r="T25" i="4"/>
  <c r="S25" i="4"/>
  <c r="R25" i="4"/>
  <c r="W25" i="4" s="1"/>
  <c r="Q25" i="4"/>
  <c r="P25" i="4"/>
  <c r="O25" i="4"/>
  <c r="I25" i="4"/>
  <c r="AL24" i="4"/>
  <c r="AK24" i="4"/>
  <c r="AJ24" i="4"/>
  <c r="AI24" i="4"/>
  <c r="AH24" i="4"/>
  <c r="AF24" i="4"/>
  <c r="AD24" i="4"/>
  <c r="AA24" i="4"/>
  <c r="Y24" i="4"/>
  <c r="Z24" i="4" s="1"/>
  <c r="X24" i="4"/>
  <c r="T24" i="4"/>
  <c r="W24" i="4" s="1"/>
  <c r="S24" i="4"/>
  <c r="R24" i="4"/>
  <c r="Q24" i="4"/>
  <c r="V24" i="4" s="1"/>
  <c r="P24" i="4"/>
  <c r="O24" i="4"/>
  <c r="I24" i="4"/>
  <c r="AL23" i="4"/>
  <c r="AK23" i="4"/>
  <c r="AJ23" i="4"/>
  <c r="AI23" i="4"/>
  <c r="AH23" i="4"/>
  <c r="AF23" i="4"/>
  <c r="AD23" i="4"/>
  <c r="AA23" i="4"/>
  <c r="Z23" i="4"/>
  <c r="Y23" i="4"/>
  <c r="X23" i="4"/>
  <c r="W23" i="4"/>
  <c r="T23" i="4"/>
  <c r="S23" i="4"/>
  <c r="R23" i="4"/>
  <c r="Q23" i="4"/>
  <c r="U23" i="4" s="1"/>
  <c r="P23" i="4"/>
  <c r="O23" i="4"/>
  <c r="I23" i="4"/>
  <c r="AL22" i="4"/>
  <c r="AK22" i="4"/>
  <c r="AJ22" i="4"/>
  <c r="AI22" i="4"/>
  <c r="AH22" i="4"/>
  <c r="AF22" i="4"/>
  <c r="AD22" i="4"/>
  <c r="AE22" i="4" s="1"/>
  <c r="AA22" i="4"/>
  <c r="Y22" i="4"/>
  <c r="Z22" i="4" s="1"/>
  <c r="X22" i="4"/>
  <c r="T22" i="4"/>
  <c r="S22" i="4"/>
  <c r="R22" i="4"/>
  <c r="W22" i="4" s="1"/>
  <c r="Q22" i="4"/>
  <c r="V22" i="4" s="1"/>
  <c r="P22" i="4"/>
  <c r="O22" i="4"/>
  <c r="I22" i="4"/>
  <c r="AL21" i="4"/>
  <c r="AK21" i="4"/>
  <c r="AJ21" i="4"/>
  <c r="AI21" i="4"/>
  <c r="AH21" i="4"/>
  <c r="AF21" i="4"/>
  <c r="AD21" i="4"/>
  <c r="AA21" i="4"/>
  <c r="Y21" i="4"/>
  <c r="Z21" i="4" s="1"/>
  <c r="X21" i="4"/>
  <c r="T21" i="4"/>
  <c r="S21" i="4"/>
  <c r="R21" i="4"/>
  <c r="W21" i="4" s="1"/>
  <c r="Q21" i="4"/>
  <c r="U21" i="4" s="1"/>
  <c r="P21" i="4"/>
  <c r="O21" i="4"/>
  <c r="I21" i="4"/>
  <c r="AL20" i="4"/>
  <c r="AK20" i="4"/>
  <c r="AJ20" i="4"/>
  <c r="AI20" i="4"/>
  <c r="AH20" i="4"/>
  <c r="AF20" i="4"/>
  <c r="AD20" i="4"/>
  <c r="AE20" i="4" s="1"/>
  <c r="AA20" i="4"/>
  <c r="Z20" i="4"/>
  <c r="Y20" i="4"/>
  <c r="X20" i="4"/>
  <c r="W20" i="4"/>
  <c r="T20" i="4"/>
  <c r="S20" i="4"/>
  <c r="R20" i="4"/>
  <c r="Q20" i="4"/>
  <c r="P20" i="4"/>
  <c r="O20" i="4"/>
  <c r="I20" i="4"/>
  <c r="AL19" i="4"/>
  <c r="AK19" i="4"/>
  <c r="AJ19" i="4"/>
  <c r="AI19" i="4"/>
  <c r="AH19" i="4"/>
  <c r="AF19" i="4"/>
  <c r="AD19" i="4"/>
  <c r="AE19" i="4" s="1"/>
  <c r="AA19" i="4"/>
  <c r="Y19" i="4"/>
  <c r="Z19" i="4" s="1"/>
  <c r="X19" i="4"/>
  <c r="W19" i="4"/>
  <c r="T19" i="4"/>
  <c r="S19" i="4"/>
  <c r="R19" i="4"/>
  <c r="Q19" i="4"/>
  <c r="V19" i="4" s="1"/>
  <c r="P19" i="4"/>
  <c r="O19" i="4"/>
  <c r="I19" i="4"/>
  <c r="AL18" i="4"/>
  <c r="AK18" i="4"/>
  <c r="AJ18" i="4"/>
  <c r="AI18" i="4"/>
  <c r="AH18" i="4"/>
  <c r="AF18" i="4"/>
  <c r="AD18" i="4"/>
  <c r="AE18" i="4" s="1"/>
  <c r="AA18" i="4"/>
  <c r="Z18" i="4"/>
  <c r="Y18" i="4"/>
  <c r="X18" i="4"/>
  <c r="T18" i="4"/>
  <c r="S18" i="4"/>
  <c r="R18" i="4"/>
  <c r="Q18" i="4"/>
  <c r="U18" i="4" s="1"/>
  <c r="P18" i="4"/>
  <c r="O18" i="4"/>
  <c r="I18" i="4"/>
  <c r="AL17" i="4"/>
  <c r="AK17" i="4"/>
  <c r="AJ17" i="4"/>
  <c r="AI17" i="4"/>
  <c r="AH17" i="4"/>
  <c r="AF17" i="4"/>
  <c r="AD17" i="4"/>
  <c r="AA17" i="4"/>
  <c r="Y17" i="4"/>
  <c r="Z17" i="4" s="1"/>
  <c r="X17" i="4"/>
  <c r="T17" i="4"/>
  <c r="S17" i="4"/>
  <c r="R17" i="4"/>
  <c r="Q17" i="4"/>
  <c r="P17" i="4"/>
  <c r="O17" i="4"/>
  <c r="I17" i="4"/>
  <c r="AL16" i="4"/>
  <c r="AK16" i="4"/>
  <c r="AI16" i="4"/>
  <c r="AJ16" i="4" s="1"/>
  <c r="AH16" i="4"/>
  <c r="AF16" i="4"/>
  <c r="Y16" i="4"/>
  <c r="Z16" i="4" s="1"/>
  <c r="S16" i="4"/>
  <c r="P16" i="4"/>
  <c r="J16" i="4"/>
  <c r="R16" i="4" s="1"/>
  <c r="I16" i="4"/>
  <c r="F16" i="4"/>
  <c r="M5" i="3" s="1"/>
  <c r="N5" i="3" s="1"/>
  <c r="G5" i="3" s="1"/>
  <c r="H5" i="3" s="1"/>
  <c r="I5" i="3" s="1"/>
  <c r="AI15" i="4"/>
  <c r="AL15" i="4" s="1"/>
  <c r="AF15" i="4"/>
  <c r="Y15" i="4"/>
  <c r="Z15" i="4" s="1"/>
  <c r="S15" i="4"/>
  <c r="T15" i="4" s="1"/>
  <c r="R15" i="4"/>
  <c r="O15" i="4"/>
  <c r="I15" i="4"/>
  <c r="AL14" i="4"/>
  <c r="AK14" i="4"/>
  <c r="AI14" i="4"/>
  <c r="AJ14" i="4" s="1"/>
  <c r="AH14" i="4"/>
  <c r="AF14" i="4"/>
  <c r="Y14" i="4"/>
  <c r="Z14" i="4" s="1"/>
  <c r="S14" i="4"/>
  <c r="T14" i="4" s="1"/>
  <c r="R14" i="4"/>
  <c r="O14" i="4"/>
  <c r="I14" i="4"/>
  <c r="AL13" i="4"/>
  <c r="AI13" i="4"/>
  <c r="AK13" i="4" s="1"/>
  <c r="AH13" i="4"/>
  <c r="AF13" i="4"/>
  <c r="AD13" i="4"/>
  <c r="Y13" i="4"/>
  <c r="Z13" i="4" s="1"/>
  <c r="S13" i="4"/>
  <c r="T13" i="4" s="1"/>
  <c r="R13" i="4"/>
  <c r="P13" i="4"/>
  <c r="I13" i="4"/>
  <c r="AI12" i="4"/>
  <c r="Y12" i="4"/>
  <c r="Z12" i="4" s="1"/>
  <c r="S12" i="4"/>
  <c r="R12" i="4"/>
  <c r="I12" i="4"/>
  <c r="AI11" i="4"/>
  <c r="Y11" i="4"/>
  <c r="Z11" i="4" s="1"/>
  <c r="S11" i="4"/>
  <c r="R11" i="4"/>
  <c r="I11" i="4"/>
  <c r="F11" i="4"/>
  <c r="AI10" i="4"/>
  <c r="Y10" i="4"/>
  <c r="S10" i="4"/>
  <c r="R10" i="4"/>
  <c r="I10" i="4"/>
  <c r="T10" i="4" s="1"/>
  <c r="AI9" i="4"/>
  <c r="Y9" i="4"/>
  <c r="Z9" i="4" s="1"/>
  <c r="S9" i="4"/>
  <c r="R9" i="4"/>
  <c r="I9" i="4"/>
  <c r="F9" i="4"/>
  <c r="AI8" i="4"/>
  <c r="Y8" i="4"/>
  <c r="S8" i="4"/>
  <c r="R8" i="4"/>
  <c r="P8" i="4"/>
  <c r="I8" i="4"/>
  <c r="AI7" i="4"/>
  <c r="Y7" i="4"/>
  <c r="Z7" i="4" s="1"/>
  <c r="S7" i="4"/>
  <c r="R7" i="4"/>
  <c r="O7" i="4"/>
  <c r="I7" i="4"/>
  <c r="F7" i="4"/>
  <c r="AI6" i="4"/>
  <c r="Y6" i="4"/>
  <c r="Z6" i="4" s="1"/>
  <c r="S6" i="4"/>
  <c r="R6" i="4"/>
  <c r="I6" i="4"/>
  <c r="O5" i="4"/>
  <c r="N5" i="4"/>
  <c r="L5" i="4"/>
  <c r="Y5" i="4" s="1"/>
  <c r="Z5" i="4" s="1"/>
  <c r="K5" i="4"/>
  <c r="J5" i="4"/>
  <c r="I5" i="4"/>
  <c r="G5" i="4"/>
  <c r="AI4" i="4"/>
  <c r="P4" i="4"/>
  <c r="N4" i="4"/>
  <c r="L4" i="4"/>
  <c r="K4" i="4"/>
  <c r="R4" i="4" s="1"/>
  <c r="J4" i="4"/>
  <c r="I4" i="4"/>
  <c r="G4" i="4"/>
  <c r="B50" i="2"/>
  <c r="F12" i="4" s="1"/>
  <c r="B47" i="2"/>
  <c r="B38" i="2"/>
  <c r="N204" i="3"/>
  <c r="M204" i="3"/>
  <c r="I204" i="3"/>
  <c r="H204" i="3"/>
  <c r="G204" i="3"/>
  <c r="F204" i="3"/>
  <c r="N203" i="3"/>
  <c r="M203" i="3"/>
  <c r="I203" i="3"/>
  <c r="H203" i="3"/>
  <c r="G203" i="3"/>
  <c r="F203" i="3"/>
  <c r="N202" i="3"/>
  <c r="M202" i="3"/>
  <c r="I202" i="3"/>
  <c r="H202" i="3"/>
  <c r="G202" i="3"/>
  <c r="F202" i="3"/>
  <c r="N201" i="3"/>
  <c r="M201" i="3"/>
  <c r="I201" i="3"/>
  <c r="H201" i="3"/>
  <c r="G201" i="3"/>
  <c r="F201" i="3"/>
  <c r="N200" i="3"/>
  <c r="M200" i="3"/>
  <c r="I200" i="3"/>
  <c r="H200" i="3"/>
  <c r="G200" i="3"/>
  <c r="F200" i="3"/>
  <c r="N199" i="3"/>
  <c r="M199" i="3"/>
  <c r="I199" i="3"/>
  <c r="H199" i="3"/>
  <c r="G199" i="3"/>
  <c r="F199" i="3"/>
  <c r="N198" i="3"/>
  <c r="M198" i="3"/>
  <c r="I198" i="3"/>
  <c r="H198" i="3"/>
  <c r="G198" i="3"/>
  <c r="F198" i="3"/>
  <c r="N197" i="3"/>
  <c r="M197" i="3"/>
  <c r="I197" i="3"/>
  <c r="H197" i="3"/>
  <c r="G197" i="3"/>
  <c r="F197" i="3"/>
  <c r="N196" i="3"/>
  <c r="M196" i="3"/>
  <c r="I196" i="3"/>
  <c r="H196" i="3"/>
  <c r="G196" i="3"/>
  <c r="F196" i="3"/>
  <c r="N195" i="3"/>
  <c r="M195" i="3"/>
  <c r="I195" i="3"/>
  <c r="H195" i="3"/>
  <c r="G195" i="3"/>
  <c r="F195" i="3"/>
  <c r="N194" i="3"/>
  <c r="M194" i="3"/>
  <c r="I194" i="3"/>
  <c r="H194" i="3"/>
  <c r="G194" i="3"/>
  <c r="F194" i="3"/>
  <c r="N193" i="3"/>
  <c r="M193" i="3"/>
  <c r="I193" i="3"/>
  <c r="H193" i="3"/>
  <c r="G193" i="3"/>
  <c r="F193" i="3"/>
  <c r="N192" i="3"/>
  <c r="M192" i="3"/>
  <c r="I192" i="3"/>
  <c r="H192" i="3"/>
  <c r="G192" i="3"/>
  <c r="F192" i="3"/>
  <c r="N191" i="3"/>
  <c r="M191" i="3"/>
  <c r="I191" i="3"/>
  <c r="H191" i="3"/>
  <c r="G191" i="3"/>
  <c r="F191" i="3"/>
  <c r="N190" i="3"/>
  <c r="M190" i="3"/>
  <c r="I190" i="3"/>
  <c r="H190" i="3"/>
  <c r="G190" i="3"/>
  <c r="F190" i="3"/>
  <c r="N189" i="3"/>
  <c r="M189" i="3"/>
  <c r="I189" i="3"/>
  <c r="H189" i="3"/>
  <c r="G189" i="3"/>
  <c r="F189" i="3"/>
  <c r="N188" i="3"/>
  <c r="M188" i="3"/>
  <c r="I188" i="3"/>
  <c r="H188" i="3"/>
  <c r="G188" i="3"/>
  <c r="F188" i="3"/>
  <c r="N187" i="3"/>
  <c r="M187" i="3"/>
  <c r="I187" i="3"/>
  <c r="H187" i="3"/>
  <c r="G187" i="3"/>
  <c r="F187" i="3"/>
  <c r="N186" i="3"/>
  <c r="M186" i="3"/>
  <c r="I186" i="3"/>
  <c r="H186" i="3"/>
  <c r="G186" i="3"/>
  <c r="F186" i="3"/>
  <c r="N185" i="3"/>
  <c r="M185" i="3"/>
  <c r="I185" i="3"/>
  <c r="H185" i="3"/>
  <c r="G185" i="3"/>
  <c r="F185" i="3"/>
  <c r="N184" i="3"/>
  <c r="M184" i="3"/>
  <c r="I184" i="3"/>
  <c r="H184" i="3"/>
  <c r="G184" i="3"/>
  <c r="F184" i="3"/>
  <c r="N183" i="3"/>
  <c r="M183" i="3"/>
  <c r="I183" i="3"/>
  <c r="H183" i="3"/>
  <c r="G183" i="3"/>
  <c r="F183" i="3"/>
  <c r="N182" i="3"/>
  <c r="M182" i="3"/>
  <c r="I182" i="3"/>
  <c r="H182" i="3"/>
  <c r="G182" i="3"/>
  <c r="F182" i="3"/>
  <c r="N181" i="3"/>
  <c r="M181" i="3"/>
  <c r="I181" i="3"/>
  <c r="H181" i="3"/>
  <c r="G181" i="3"/>
  <c r="F181" i="3"/>
  <c r="N180" i="3"/>
  <c r="M180" i="3"/>
  <c r="I180" i="3"/>
  <c r="H180" i="3"/>
  <c r="G180" i="3"/>
  <c r="F180" i="3"/>
  <c r="N179" i="3"/>
  <c r="M179" i="3"/>
  <c r="I179" i="3"/>
  <c r="H179" i="3"/>
  <c r="G179" i="3"/>
  <c r="F179" i="3"/>
  <c r="N178" i="3"/>
  <c r="M178" i="3"/>
  <c r="I178" i="3"/>
  <c r="H178" i="3"/>
  <c r="G178" i="3"/>
  <c r="F178" i="3"/>
  <c r="N177" i="3"/>
  <c r="M177" i="3"/>
  <c r="I177" i="3"/>
  <c r="H177" i="3"/>
  <c r="G177" i="3"/>
  <c r="F177" i="3"/>
  <c r="N176" i="3"/>
  <c r="M176" i="3"/>
  <c r="I176" i="3"/>
  <c r="H176" i="3"/>
  <c r="G176" i="3"/>
  <c r="F176" i="3"/>
  <c r="N175" i="3"/>
  <c r="M175" i="3"/>
  <c r="I175" i="3"/>
  <c r="H175" i="3"/>
  <c r="G175" i="3"/>
  <c r="F175" i="3"/>
  <c r="N174" i="3"/>
  <c r="M174" i="3"/>
  <c r="I174" i="3"/>
  <c r="H174" i="3"/>
  <c r="G174" i="3"/>
  <c r="F174" i="3"/>
  <c r="N173" i="3"/>
  <c r="M173" i="3"/>
  <c r="I173" i="3"/>
  <c r="H173" i="3"/>
  <c r="G173" i="3"/>
  <c r="F173" i="3"/>
  <c r="N172" i="3"/>
  <c r="M172" i="3"/>
  <c r="I172" i="3"/>
  <c r="H172" i="3"/>
  <c r="G172" i="3"/>
  <c r="F172" i="3"/>
  <c r="N171" i="3"/>
  <c r="M171" i="3"/>
  <c r="I171" i="3"/>
  <c r="H171" i="3"/>
  <c r="G171" i="3"/>
  <c r="F171" i="3"/>
  <c r="N170" i="3"/>
  <c r="M170" i="3"/>
  <c r="I170" i="3"/>
  <c r="H170" i="3"/>
  <c r="G170" i="3"/>
  <c r="F170" i="3"/>
  <c r="N169" i="3"/>
  <c r="M169" i="3"/>
  <c r="I169" i="3"/>
  <c r="H169" i="3"/>
  <c r="G169" i="3"/>
  <c r="F169" i="3"/>
  <c r="N168" i="3"/>
  <c r="M168" i="3"/>
  <c r="I168" i="3"/>
  <c r="H168" i="3"/>
  <c r="G168" i="3"/>
  <c r="F168" i="3"/>
  <c r="N167" i="3"/>
  <c r="M167" i="3"/>
  <c r="I167" i="3"/>
  <c r="H167" i="3"/>
  <c r="G167" i="3"/>
  <c r="F167" i="3"/>
  <c r="N166" i="3"/>
  <c r="M166" i="3"/>
  <c r="I166" i="3"/>
  <c r="H166" i="3"/>
  <c r="G166" i="3"/>
  <c r="F166" i="3"/>
  <c r="N165" i="3"/>
  <c r="M165" i="3"/>
  <c r="I165" i="3"/>
  <c r="H165" i="3"/>
  <c r="G165" i="3"/>
  <c r="F165" i="3"/>
  <c r="N164" i="3"/>
  <c r="M164" i="3"/>
  <c r="I164" i="3"/>
  <c r="H164" i="3"/>
  <c r="G164" i="3"/>
  <c r="F164" i="3"/>
  <c r="N163" i="3"/>
  <c r="M163" i="3"/>
  <c r="I163" i="3"/>
  <c r="H163" i="3"/>
  <c r="G163" i="3"/>
  <c r="F163" i="3"/>
  <c r="N162" i="3"/>
  <c r="M162" i="3"/>
  <c r="I162" i="3"/>
  <c r="H162" i="3"/>
  <c r="G162" i="3"/>
  <c r="F162" i="3"/>
  <c r="N161" i="3"/>
  <c r="M161" i="3"/>
  <c r="I161" i="3"/>
  <c r="H161" i="3"/>
  <c r="G161" i="3"/>
  <c r="F161" i="3"/>
  <c r="N160" i="3"/>
  <c r="M160" i="3"/>
  <c r="I160" i="3"/>
  <c r="H160" i="3"/>
  <c r="G160" i="3"/>
  <c r="F160" i="3"/>
  <c r="N159" i="3"/>
  <c r="M159" i="3"/>
  <c r="I159" i="3"/>
  <c r="H159" i="3"/>
  <c r="G159" i="3"/>
  <c r="F159" i="3"/>
  <c r="N158" i="3"/>
  <c r="M158" i="3"/>
  <c r="I158" i="3"/>
  <c r="H158" i="3"/>
  <c r="G158" i="3"/>
  <c r="F158" i="3"/>
  <c r="N157" i="3"/>
  <c r="M157" i="3"/>
  <c r="I157" i="3"/>
  <c r="H157" i="3"/>
  <c r="G157" i="3"/>
  <c r="F157" i="3"/>
  <c r="N156" i="3"/>
  <c r="M156" i="3"/>
  <c r="I156" i="3"/>
  <c r="H156" i="3"/>
  <c r="G156" i="3"/>
  <c r="F156" i="3"/>
  <c r="N155" i="3"/>
  <c r="M155" i="3"/>
  <c r="I155" i="3"/>
  <c r="H155" i="3"/>
  <c r="G155" i="3"/>
  <c r="F155" i="3"/>
  <c r="N154" i="3"/>
  <c r="M154" i="3"/>
  <c r="I154" i="3"/>
  <c r="H154" i="3"/>
  <c r="G154" i="3"/>
  <c r="F154" i="3"/>
  <c r="N153" i="3"/>
  <c r="M153" i="3"/>
  <c r="I153" i="3"/>
  <c r="H153" i="3"/>
  <c r="G153" i="3"/>
  <c r="F153" i="3"/>
  <c r="N152" i="3"/>
  <c r="M152" i="3"/>
  <c r="I152" i="3"/>
  <c r="H152" i="3"/>
  <c r="G152" i="3"/>
  <c r="F152" i="3"/>
  <c r="N151" i="3"/>
  <c r="M151" i="3"/>
  <c r="I151" i="3"/>
  <c r="H151" i="3"/>
  <c r="G151" i="3"/>
  <c r="F151" i="3"/>
  <c r="N150" i="3"/>
  <c r="M150" i="3"/>
  <c r="I150" i="3"/>
  <c r="H150" i="3"/>
  <c r="G150" i="3"/>
  <c r="F150" i="3"/>
  <c r="N149" i="3"/>
  <c r="M149" i="3"/>
  <c r="I149" i="3"/>
  <c r="H149" i="3"/>
  <c r="G149" i="3"/>
  <c r="F149" i="3"/>
  <c r="N148" i="3"/>
  <c r="M148" i="3"/>
  <c r="I148" i="3"/>
  <c r="H148" i="3"/>
  <c r="G148" i="3"/>
  <c r="F148" i="3"/>
  <c r="N147" i="3"/>
  <c r="M147" i="3"/>
  <c r="I147" i="3"/>
  <c r="H147" i="3"/>
  <c r="G147" i="3"/>
  <c r="F147" i="3"/>
  <c r="N146" i="3"/>
  <c r="M146" i="3"/>
  <c r="I146" i="3"/>
  <c r="H146" i="3"/>
  <c r="G146" i="3"/>
  <c r="F146" i="3"/>
  <c r="N145" i="3"/>
  <c r="M145" i="3"/>
  <c r="I145" i="3"/>
  <c r="H145" i="3"/>
  <c r="G145" i="3"/>
  <c r="F145" i="3"/>
  <c r="N144" i="3"/>
  <c r="M144" i="3"/>
  <c r="I144" i="3"/>
  <c r="H144" i="3"/>
  <c r="G144" i="3"/>
  <c r="F144" i="3"/>
  <c r="N143" i="3"/>
  <c r="M143" i="3"/>
  <c r="I143" i="3"/>
  <c r="H143" i="3"/>
  <c r="G143" i="3"/>
  <c r="F143" i="3"/>
  <c r="N142" i="3"/>
  <c r="M142" i="3"/>
  <c r="I142" i="3"/>
  <c r="H142" i="3"/>
  <c r="G142" i="3"/>
  <c r="F142" i="3"/>
  <c r="N141" i="3"/>
  <c r="M141" i="3"/>
  <c r="I141" i="3"/>
  <c r="H141" i="3"/>
  <c r="G141" i="3"/>
  <c r="F141" i="3"/>
  <c r="N140" i="3"/>
  <c r="M140" i="3"/>
  <c r="I140" i="3"/>
  <c r="H140" i="3"/>
  <c r="G140" i="3"/>
  <c r="F140" i="3"/>
  <c r="N139" i="3"/>
  <c r="M139" i="3"/>
  <c r="I139" i="3"/>
  <c r="H139" i="3"/>
  <c r="G139" i="3"/>
  <c r="F139" i="3"/>
  <c r="N138" i="3"/>
  <c r="M138" i="3"/>
  <c r="I138" i="3"/>
  <c r="H138" i="3"/>
  <c r="G138" i="3"/>
  <c r="F138" i="3"/>
  <c r="N137" i="3"/>
  <c r="M137" i="3"/>
  <c r="I137" i="3"/>
  <c r="H137" i="3"/>
  <c r="G137" i="3"/>
  <c r="F137" i="3"/>
  <c r="N136" i="3"/>
  <c r="M136" i="3"/>
  <c r="I136" i="3"/>
  <c r="H136" i="3"/>
  <c r="G136" i="3"/>
  <c r="F136" i="3"/>
  <c r="N135" i="3"/>
  <c r="M135" i="3"/>
  <c r="I135" i="3"/>
  <c r="H135" i="3"/>
  <c r="G135" i="3"/>
  <c r="F135" i="3"/>
  <c r="N134" i="3"/>
  <c r="M134" i="3"/>
  <c r="I134" i="3"/>
  <c r="H134" i="3"/>
  <c r="G134" i="3"/>
  <c r="F134" i="3"/>
  <c r="N133" i="3"/>
  <c r="M133" i="3"/>
  <c r="I133" i="3"/>
  <c r="H133" i="3"/>
  <c r="G133" i="3"/>
  <c r="F133" i="3"/>
  <c r="N132" i="3"/>
  <c r="M132" i="3"/>
  <c r="I132" i="3"/>
  <c r="H132" i="3"/>
  <c r="G132" i="3"/>
  <c r="F132" i="3"/>
  <c r="N131" i="3"/>
  <c r="M131" i="3"/>
  <c r="I131" i="3"/>
  <c r="H131" i="3"/>
  <c r="G131" i="3"/>
  <c r="F131" i="3"/>
  <c r="N130" i="3"/>
  <c r="M130" i="3"/>
  <c r="I130" i="3"/>
  <c r="H130" i="3"/>
  <c r="G130" i="3"/>
  <c r="F130" i="3"/>
  <c r="N129" i="3"/>
  <c r="M129" i="3"/>
  <c r="I129" i="3"/>
  <c r="H129" i="3"/>
  <c r="G129" i="3"/>
  <c r="F129" i="3"/>
  <c r="N128" i="3"/>
  <c r="M128" i="3"/>
  <c r="I128" i="3"/>
  <c r="H128" i="3"/>
  <c r="G128" i="3"/>
  <c r="F128" i="3"/>
  <c r="N127" i="3"/>
  <c r="M127" i="3"/>
  <c r="I127" i="3"/>
  <c r="H127" i="3"/>
  <c r="G127" i="3"/>
  <c r="F127" i="3"/>
  <c r="N126" i="3"/>
  <c r="M126" i="3"/>
  <c r="I126" i="3"/>
  <c r="H126" i="3"/>
  <c r="G126" i="3"/>
  <c r="F126" i="3"/>
  <c r="N125" i="3"/>
  <c r="M125" i="3"/>
  <c r="I125" i="3"/>
  <c r="H125" i="3"/>
  <c r="G125" i="3"/>
  <c r="F125" i="3"/>
  <c r="N124" i="3"/>
  <c r="M124" i="3"/>
  <c r="I124" i="3"/>
  <c r="H124" i="3"/>
  <c r="G124" i="3"/>
  <c r="F124" i="3"/>
  <c r="N123" i="3"/>
  <c r="M123" i="3"/>
  <c r="I123" i="3"/>
  <c r="H123" i="3"/>
  <c r="G123" i="3"/>
  <c r="F123" i="3"/>
  <c r="N122" i="3"/>
  <c r="M122" i="3"/>
  <c r="I122" i="3"/>
  <c r="H122" i="3"/>
  <c r="G122" i="3"/>
  <c r="F122" i="3"/>
  <c r="N121" i="3"/>
  <c r="M121" i="3"/>
  <c r="I121" i="3"/>
  <c r="H121" i="3"/>
  <c r="G121" i="3"/>
  <c r="F121" i="3"/>
  <c r="N120" i="3"/>
  <c r="M120" i="3"/>
  <c r="I120" i="3"/>
  <c r="H120" i="3"/>
  <c r="G120" i="3"/>
  <c r="F120" i="3"/>
  <c r="N119" i="3"/>
  <c r="M119" i="3"/>
  <c r="I119" i="3"/>
  <c r="H119" i="3"/>
  <c r="G119" i="3"/>
  <c r="F119" i="3"/>
  <c r="N118" i="3"/>
  <c r="M118" i="3"/>
  <c r="I118" i="3"/>
  <c r="H118" i="3"/>
  <c r="G118" i="3"/>
  <c r="F118" i="3"/>
  <c r="N117" i="3"/>
  <c r="M117" i="3"/>
  <c r="I117" i="3"/>
  <c r="H117" i="3"/>
  <c r="G117" i="3"/>
  <c r="F117" i="3"/>
  <c r="N116" i="3"/>
  <c r="M116" i="3"/>
  <c r="I116" i="3"/>
  <c r="H116" i="3"/>
  <c r="G116" i="3"/>
  <c r="F116" i="3"/>
  <c r="N115" i="3"/>
  <c r="M115" i="3"/>
  <c r="I115" i="3"/>
  <c r="H115" i="3"/>
  <c r="G115" i="3"/>
  <c r="F115" i="3"/>
  <c r="N114" i="3"/>
  <c r="M114" i="3"/>
  <c r="I114" i="3"/>
  <c r="H114" i="3"/>
  <c r="G114" i="3"/>
  <c r="F114" i="3"/>
  <c r="N113" i="3"/>
  <c r="M113" i="3"/>
  <c r="I113" i="3"/>
  <c r="H113" i="3"/>
  <c r="G113" i="3"/>
  <c r="F113" i="3"/>
  <c r="N112" i="3"/>
  <c r="M112" i="3"/>
  <c r="I112" i="3"/>
  <c r="H112" i="3"/>
  <c r="G112" i="3"/>
  <c r="F112" i="3"/>
  <c r="N111" i="3"/>
  <c r="M111" i="3"/>
  <c r="I111" i="3"/>
  <c r="H111" i="3"/>
  <c r="G111" i="3"/>
  <c r="F111" i="3"/>
  <c r="N110" i="3"/>
  <c r="M110" i="3"/>
  <c r="I110" i="3"/>
  <c r="H110" i="3"/>
  <c r="G110" i="3"/>
  <c r="F110" i="3"/>
  <c r="N109" i="3"/>
  <c r="M109" i="3"/>
  <c r="I109" i="3"/>
  <c r="H109" i="3"/>
  <c r="G109" i="3"/>
  <c r="F109" i="3"/>
  <c r="N108" i="3"/>
  <c r="M108" i="3"/>
  <c r="I108" i="3"/>
  <c r="H108" i="3"/>
  <c r="G108" i="3"/>
  <c r="F108" i="3"/>
  <c r="N107" i="3"/>
  <c r="M107" i="3"/>
  <c r="I107" i="3"/>
  <c r="H107" i="3"/>
  <c r="G107" i="3"/>
  <c r="F107" i="3"/>
  <c r="N106" i="3"/>
  <c r="M106" i="3"/>
  <c r="I106" i="3"/>
  <c r="H106" i="3"/>
  <c r="G106" i="3"/>
  <c r="F106" i="3"/>
  <c r="N105" i="3"/>
  <c r="M105" i="3"/>
  <c r="I105" i="3"/>
  <c r="H105" i="3"/>
  <c r="G105" i="3"/>
  <c r="F105" i="3"/>
  <c r="N104" i="3"/>
  <c r="M104" i="3"/>
  <c r="I104" i="3"/>
  <c r="H104" i="3"/>
  <c r="G104" i="3"/>
  <c r="F104" i="3"/>
  <c r="N103" i="3"/>
  <c r="M103" i="3"/>
  <c r="I103" i="3"/>
  <c r="H103" i="3"/>
  <c r="G103" i="3"/>
  <c r="F103" i="3"/>
  <c r="N102" i="3"/>
  <c r="M102" i="3"/>
  <c r="I102" i="3"/>
  <c r="H102" i="3"/>
  <c r="G102" i="3"/>
  <c r="F102" i="3"/>
  <c r="N101" i="3"/>
  <c r="M101" i="3"/>
  <c r="I101" i="3"/>
  <c r="H101" i="3"/>
  <c r="G101" i="3"/>
  <c r="F101" i="3"/>
  <c r="N100" i="3"/>
  <c r="M100" i="3"/>
  <c r="I100" i="3"/>
  <c r="H100" i="3"/>
  <c r="G100" i="3"/>
  <c r="F100" i="3"/>
  <c r="N99" i="3"/>
  <c r="M99" i="3"/>
  <c r="I99" i="3"/>
  <c r="H99" i="3"/>
  <c r="G99" i="3"/>
  <c r="F99" i="3"/>
  <c r="N98" i="3"/>
  <c r="M98" i="3"/>
  <c r="I98" i="3"/>
  <c r="H98" i="3"/>
  <c r="G98" i="3"/>
  <c r="F98" i="3"/>
  <c r="N97" i="3"/>
  <c r="M97" i="3"/>
  <c r="I97" i="3"/>
  <c r="H97" i="3"/>
  <c r="G97" i="3"/>
  <c r="F97" i="3"/>
  <c r="N96" i="3"/>
  <c r="M96" i="3"/>
  <c r="I96" i="3"/>
  <c r="H96" i="3"/>
  <c r="G96" i="3"/>
  <c r="F96" i="3"/>
  <c r="N95" i="3"/>
  <c r="M95" i="3"/>
  <c r="I95" i="3"/>
  <c r="H95" i="3"/>
  <c r="G95" i="3"/>
  <c r="F95" i="3"/>
  <c r="N94" i="3"/>
  <c r="M94" i="3"/>
  <c r="I94" i="3"/>
  <c r="H94" i="3"/>
  <c r="G94" i="3"/>
  <c r="F94" i="3"/>
  <c r="N93" i="3"/>
  <c r="M93" i="3"/>
  <c r="I93" i="3"/>
  <c r="H93" i="3"/>
  <c r="G93" i="3"/>
  <c r="F93" i="3"/>
  <c r="N92" i="3"/>
  <c r="M92" i="3"/>
  <c r="I92" i="3"/>
  <c r="H92" i="3"/>
  <c r="G92" i="3"/>
  <c r="F92" i="3"/>
  <c r="N91" i="3"/>
  <c r="M91" i="3"/>
  <c r="I91" i="3"/>
  <c r="H91" i="3"/>
  <c r="G91" i="3"/>
  <c r="F91" i="3"/>
  <c r="N90" i="3"/>
  <c r="M90" i="3"/>
  <c r="I90" i="3"/>
  <c r="H90" i="3"/>
  <c r="G90" i="3"/>
  <c r="F90" i="3"/>
  <c r="N89" i="3"/>
  <c r="M89" i="3"/>
  <c r="I89" i="3"/>
  <c r="H89" i="3"/>
  <c r="G89" i="3"/>
  <c r="F89" i="3"/>
  <c r="N88" i="3"/>
  <c r="M88" i="3"/>
  <c r="I88" i="3"/>
  <c r="H88" i="3"/>
  <c r="G88" i="3"/>
  <c r="F88" i="3"/>
  <c r="N87" i="3"/>
  <c r="M87" i="3"/>
  <c r="I87" i="3"/>
  <c r="H87" i="3"/>
  <c r="G87" i="3"/>
  <c r="F87" i="3"/>
  <c r="N86" i="3"/>
  <c r="M86" i="3"/>
  <c r="I86" i="3"/>
  <c r="H86" i="3"/>
  <c r="G86" i="3"/>
  <c r="F86" i="3"/>
  <c r="N85" i="3"/>
  <c r="M85" i="3"/>
  <c r="I85" i="3"/>
  <c r="H85" i="3"/>
  <c r="G85" i="3"/>
  <c r="F85" i="3"/>
  <c r="N84" i="3"/>
  <c r="M84" i="3"/>
  <c r="I84" i="3"/>
  <c r="H84" i="3"/>
  <c r="G84" i="3"/>
  <c r="F84" i="3"/>
  <c r="N83" i="3"/>
  <c r="M83" i="3"/>
  <c r="I83" i="3"/>
  <c r="H83" i="3"/>
  <c r="G83" i="3"/>
  <c r="F83" i="3"/>
  <c r="N82" i="3"/>
  <c r="M82" i="3"/>
  <c r="I82" i="3"/>
  <c r="H82" i="3"/>
  <c r="G82" i="3"/>
  <c r="F82" i="3"/>
  <c r="N81" i="3"/>
  <c r="M81" i="3"/>
  <c r="I81" i="3"/>
  <c r="H81" i="3"/>
  <c r="G81" i="3"/>
  <c r="F81" i="3"/>
  <c r="N80" i="3"/>
  <c r="M80" i="3"/>
  <c r="I80" i="3"/>
  <c r="H80" i="3"/>
  <c r="G80" i="3"/>
  <c r="F80" i="3"/>
  <c r="N79" i="3"/>
  <c r="M79" i="3"/>
  <c r="I79" i="3"/>
  <c r="H79" i="3"/>
  <c r="G79" i="3"/>
  <c r="F79" i="3"/>
  <c r="N78" i="3"/>
  <c r="M78" i="3"/>
  <c r="I78" i="3"/>
  <c r="H78" i="3"/>
  <c r="G78" i="3"/>
  <c r="F78" i="3"/>
  <c r="N77" i="3"/>
  <c r="M77" i="3"/>
  <c r="I77" i="3"/>
  <c r="H77" i="3"/>
  <c r="G77" i="3"/>
  <c r="F77" i="3"/>
  <c r="N76" i="3"/>
  <c r="M76" i="3"/>
  <c r="I76" i="3"/>
  <c r="H76" i="3"/>
  <c r="G76" i="3"/>
  <c r="F76" i="3"/>
  <c r="N75" i="3"/>
  <c r="M75" i="3"/>
  <c r="I75" i="3"/>
  <c r="H75" i="3"/>
  <c r="G75" i="3"/>
  <c r="F75" i="3"/>
  <c r="N74" i="3"/>
  <c r="M74" i="3"/>
  <c r="I74" i="3"/>
  <c r="H74" i="3"/>
  <c r="G74" i="3"/>
  <c r="F74" i="3"/>
  <c r="N73" i="3"/>
  <c r="M73" i="3"/>
  <c r="I73" i="3"/>
  <c r="H73" i="3"/>
  <c r="G73" i="3"/>
  <c r="F73" i="3"/>
  <c r="N72" i="3"/>
  <c r="M72" i="3"/>
  <c r="I72" i="3"/>
  <c r="H72" i="3"/>
  <c r="G72" i="3"/>
  <c r="F72" i="3"/>
  <c r="N71" i="3"/>
  <c r="M71" i="3"/>
  <c r="I71" i="3"/>
  <c r="H71" i="3"/>
  <c r="G71" i="3"/>
  <c r="F71" i="3"/>
  <c r="N70" i="3"/>
  <c r="M70" i="3"/>
  <c r="I70" i="3"/>
  <c r="H70" i="3"/>
  <c r="G70" i="3"/>
  <c r="F70" i="3"/>
  <c r="N69" i="3"/>
  <c r="M69" i="3"/>
  <c r="I69" i="3"/>
  <c r="H69" i="3"/>
  <c r="G69" i="3"/>
  <c r="F69" i="3"/>
  <c r="N68" i="3"/>
  <c r="M68" i="3"/>
  <c r="I68" i="3"/>
  <c r="H68" i="3"/>
  <c r="G68" i="3"/>
  <c r="F68" i="3"/>
  <c r="N67" i="3"/>
  <c r="M67" i="3"/>
  <c r="I67" i="3"/>
  <c r="H67" i="3"/>
  <c r="G67" i="3"/>
  <c r="F67" i="3"/>
  <c r="N66" i="3"/>
  <c r="M66" i="3"/>
  <c r="I66" i="3"/>
  <c r="H66" i="3"/>
  <c r="G66" i="3"/>
  <c r="F66" i="3"/>
  <c r="N65" i="3"/>
  <c r="M65" i="3"/>
  <c r="I65" i="3"/>
  <c r="H65" i="3"/>
  <c r="G65" i="3"/>
  <c r="F65" i="3"/>
  <c r="N64" i="3"/>
  <c r="M64" i="3"/>
  <c r="I64" i="3"/>
  <c r="H64" i="3"/>
  <c r="G64" i="3"/>
  <c r="F64" i="3"/>
  <c r="N63" i="3"/>
  <c r="M63" i="3"/>
  <c r="I63" i="3"/>
  <c r="H63" i="3"/>
  <c r="G63" i="3"/>
  <c r="F63" i="3"/>
  <c r="N62" i="3"/>
  <c r="M62" i="3"/>
  <c r="I62" i="3"/>
  <c r="H62" i="3"/>
  <c r="G62" i="3"/>
  <c r="F62" i="3"/>
  <c r="N61" i="3"/>
  <c r="M61" i="3"/>
  <c r="I61" i="3"/>
  <c r="H61" i="3"/>
  <c r="G61" i="3"/>
  <c r="F61" i="3"/>
  <c r="N60" i="3"/>
  <c r="M60" i="3"/>
  <c r="I60" i="3"/>
  <c r="H60" i="3"/>
  <c r="G60" i="3"/>
  <c r="F60" i="3"/>
  <c r="N59" i="3"/>
  <c r="M59" i="3"/>
  <c r="I59" i="3"/>
  <c r="H59" i="3"/>
  <c r="G59" i="3"/>
  <c r="F59" i="3"/>
  <c r="N58" i="3"/>
  <c r="M58" i="3"/>
  <c r="I58" i="3"/>
  <c r="H58" i="3"/>
  <c r="G58" i="3"/>
  <c r="F58" i="3"/>
  <c r="N57" i="3"/>
  <c r="M57" i="3"/>
  <c r="I57" i="3"/>
  <c r="H57" i="3"/>
  <c r="G57" i="3"/>
  <c r="F57" i="3"/>
  <c r="N56" i="3"/>
  <c r="M56" i="3"/>
  <c r="I56" i="3"/>
  <c r="H56" i="3"/>
  <c r="G56" i="3"/>
  <c r="F56" i="3"/>
  <c r="N55" i="3"/>
  <c r="M55" i="3"/>
  <c r="I55" i="3"/>
  <c r="H55" i="3"/>
  <c r="G55" i="3"/>
  <c r="F55" i="3"/>
  <c r="N54" i="3"/>
  <c r="M54" i="3"/>
  <c r="I54" i="3"/>
  <c r="H54" i="3"/>
  <c r="G54" i="3"/>
  <c r="F54" i="3"/>
  <c r="N53" i="3"/>
  <c r="M53" i="3"/>
  <c r="I53" i="3"/>
  <c r="H53" i="3"/>
  <c r="G53" i="3"/>
  <c r="F53" i="3"/>
  <c r="N52" i="3"/>
  <c r="M52" i="3"/>
  <c r="I52" i="3"/>
  <c r="H52" i="3"/>
  <c r="G52" i="3"/>
  <c r="F52" i="3"/>
  <c r="N51" i="3"/>
  <c r="M51" i="3"/>
  <c r="I51" i="3"/>
  <c r="H51" i="3"/>
  <c r="G51" i="3"/>
  <c r="F51" i="3"/>
  <c r="N50" i="3"/>
  <c r="M50" i="3"/>
  <c r="I50" i="3"/>
  <c r="H50" i="3"/>
  <c r="G50" i="3"/>
  <c r="F50" i="3"/>
  <c r="N49" i="3"/>
  <c r="M49" i="3"/>
  <c r="I49" i="3"/>
  <c r="H49" i="3"/>
  <c r="G49" i="3"/>
  <c r="F49" i="3"/>
  <c r="N48" i="3"/>
  <c r="M48" i="3"/>
  <c r="I48" i="3"/>
  <c r="H48" i="3"/>
  <c r="G48" i="3"/>
  <c r="F48" i="3"/>
  <c r="N47" i="3"/>
  <c r="M47" i="3"/>
  <c r="I47" i="3"/>
  <c r="H47" i="3"/>
  <c r="G47" i="3"/>
  <c r="F47" i="3"/>
  <c r="N46" i="3"/>
  <c r="M46" i="3"/>
  <c r="I46" i="3"/>
  <c r="H46" i="3"/>
  <c r="G46" i="3"/>
  <c r="F46" i="3"/>
  <c r="N45" i="3"/>
  <c r="M45" i="3"/>
  <c r="I45" i="3"/>
  <c r="H45" i="3"/>
  <c r="G45" i="3"/>
  <c r="F45" i="3"/>
  <c r="N44" i="3"/>
  <c r="M44" i="3"/>
  <c r="I44" i="3"/>
  <c r="H44" i="3"/>
  <c r="G44" i="3"/>
  <c r="F44" i="3"/>
  <c r="N43" i="3"/>
  <c r="M43" i="3"/>
  <c r="I43" i="3"/>
  <c r="H43" i="3"/>
  <c r="G43" i="3"/>
  <c r="F43" i="3"/>
  <c r="N42" i="3"/>
  <c r="M42" i="3"/>
  <c r="I42" i="3"/>
  <c r="H42" i="3"/>
  <c r="G42" i="3"/>
  <c r="F42" i="3"/>
  <c r="N41" i="3"/>
  <c r="M41" i="3"/>
  <c r="I41" i="3"/>
  <c r="H41" i="3"/>
  <c r="G41" i="3"/>
  <c r="F41" i="3"/>
  <c r="N40" i="3"/>
  <c r="M40" i="3"/>
  <c r="I40" i="3"/>
  <c r="H40" i="3"/>
  <c r="G40" i="3"/>
  <c r="F40" i="3"/>
  <c r="N39" i="3"/>
  <c r="M39" i="3"/>
  <c r="I39" i="3"/>
  <c r="H39" i="3"/>
  <c r="G39" i="3"/>
  <c r="F39" i="3"/>
  <c r="N38" i="3"/>
  <c r="M38" i="3"/>
  <c r="I38" i="3"/>
  <c r="H38" i="3"/>
  <c r="G38" i="3"/>
  <c r="F38" i="3"/>
  <c r="N37" i="3"/>
  <c r="M37" i="3"/>
  <c r="I37" i="3"/>
  <c r="H37" i="3"/>
  <c r="G37" i="3"/>
  <c r="F37" i="3"/>
  <c r="N36" i="3"/>
  <c r="M36" i="3"/>
  <c r="I36" i="3"/>
  <c r="H36" i="3"/>
  <c r="G36" i="3"/>
  <c r="F36" i="3"/>
  <c r="N35" i="3"/>
  <c r="M35" i="3"/>
  <c r="I35" i="3"/>
  <c r="H35" i="3"/>
  <c r="G35" i="3"/>
  <c r="F35" i="3"/>
  <c r="N34" i="3"/>
  <c r="M34" i="3"/>
  <c r="I34" i="3"/>
  <c r="H34" i="3"/>
  <c r="G34" i="3"/>
  <c r="F34" i="3"/>
  <c r="N33" i="3"/>
  <c r="M33" i="3"/>
  <c r="I33" i="3"/>
  <c r="H33" i="3"/>
  <c r="G33" i="3"/>
  <c r="F33" i="3"/>
  <c r="N32" i="3"/>
  <c r="M32" i="3"/>
  <c r="I32" i="3"/>
  <c r="H32" i="3"/>
  <c r="G32" i="3"/>
  <c r="F32" i="3"/>
  <c r="N31" i="3"/>
  <c r="M31" i="3"/>
  <c r="I31" i="3"/>
  <c r="H31" i="3"/>
  <c r="G31" i="3"/>
  <c r="F31" i="3"/>
  <c r="N30" i="3"/>
  <c r="M30" i="3"/>
  <c r="I30" i="3"/>
  <c r="H30" i="3"/>
  <c r="G30" i="3"/>
  <c r="F30" i="3"/>
  <c r="N29" i="3"/>
  <c r="M29" i="3"/>
  <c r="I29" i="3"/>
  <c r="H29" i="3"/>
  <c r="G29" i="3"/>
  <c r="F29" i="3"/>
  <c r="N28" i="3"/>
  <c r="M28" i="3"/>
  <c r="I28" i="3"/>
  <c r="H28" i="3"/>
  <c r="G28" i="3"/>
  <c r="F28" i="3"/>
  <c r="N27" i="3"/>
  <c r="M27" i="3"/>
  <c r="I27" i="3"/>
  <c r="H27" i="3"/>
  <c r="G27" i="3"/>
  <c r="F27" i="3"/>
  <c r="N26" i="3"/>
  <c r="M26" i="3"/>
  <c r="I26" i="3"/>
  <c r="H26" i="3"/>
  <c r="G26" i="3"/>
  <c r="F26" i="3"/>
  <c r="N25" i="3"/>
  <c r="M25" i="3"/>
  <c r="I25" i="3"/>
  <c r="H25" i="3"/>
  <c r="G25" i="3"/>
  <c r="F25" i="3"/>
  <c r="N24" i="3"/>
  <c r="M24" i="3"/>
  <c r="I24" i="3"/>
  <c r="H24" i="3"/>
  <c r="G24" i="3"/>
  <c r="F24" i="3"/>
  <c r="N23" i="3"/>
  <c r="M23" i="3"/>
  <c r="I23" i="3"/>
  <c r="H23" i="3"/>
  <c r="G23" i="3"/>
  <c r="F23" i="3"/>
  <c r="N22" i="3"/>
  <c r="M22" i="3"/>
  <c r="I22" i="3"/>
  <c r="H22" i="3"/>
  <c r="G22" i="3"/>
  <c r="F22" i="3"/>
  <c r="N21" i="3"/>
  <c r="M21" i="3"/>
  <c r="I21" i="3"/>
  <c r="H21" i="3"/>
  <c r="G21" i="3"/>
  <c r="F21" i="3"/>
  <c r="N20" i="3"/>
  <c r="M20" i="3"/>
  <c r="I20" i="3"/>
  <c r="H20" i="3"/>
  <c r="G20" i="3"/>
  <c r="F20" i="3"/>
  <c r="N19" i="3"/>
  <c r="M19" i="3"/>
  <c r="I19" i="3"/>
  <c r="H19" i="3"/>
  <c r="G19" i="3"/>
  <c r="F19" i="3"/>
  <c r="N18" i="3"/>
  <c r="M18" i="3"/>
  <c r="I18" i="3"/>
  <c r="H18" i="3"/>
  <c r="G18" i="3"/>
  <c r="F18" i="3"/>
  <c r="N17" i="3"/>
  <c r="M17" i="3"/>
  <c r="I17" i="3"/>
  <c r="H17" i="3"/>
  <c r="G17" i="3"/>
  <c r="F17" i="3"/>
  <c r="F16" i="3"/>
  <c r="M15" i="3"/>
  <c r="N15" i="3" s="1"/>
  <c r="G15" i="3" s="1"/>
  <c r="H15" i="3" s="1"/>
  <c r="F15" i="3"/>
  <c r="M14" i="3"/>
  <c r="N14" i="3" s="1"/>
  <c r="G14" i="3" s="1"/>
  <c r="H14" i="3" s="1"/>
  <c r="F14" i="3"/>
  <c r="M13" i="3"/>
  <c r="N13" i="3" s="1"/>
  <c r="G13" i="3" s="1"/>
  <c r="H13" i="3" s="1"/>
  <c r="F13" i="3"/>
  <c r="M12" i="3"/>
  <c r="N12" i="3" s="1"/>
  <c r="G12" i="3" s="1"/>
  <c r="H12" i="3" s="1"/>
  <c r="F12" i="3"/>
  <c r="M11" i="3"/>
  <c r="N11" i="3" s="1"/>
  <c r="G11" i="3" s="1"/>
  <c r="H11" i="3" s="1"/>
  <c r="F11" i="3"/>
  <c r="M10" i="3"/>
  <c r="N10" i="3" s="1"/>
  <c r="G10" i="3" s="1"/>
  <c r="H10" i="3" s="1"/>
  <c r="I10" i="3" s="1"/>
  <c r="O11" i="4" s="1"/>
  <c r="F10" i="3"/>
  <c r="F9" i="3"/>
  <c r="M8" i="3"/>
  <c r="N8" i="3" s="1"/>
  <c r="G8" i="3" s="1"/>
  <c r="H8" i="3" s="1"/>
  <c r="F8" i="3"/>
  <c r="F7" i="3"/>
  <c r="M6" i="3"/>
  <c r="N6" i="3" s="1"/>
  <c r="G6" i="3" s="1"/>
  <c r="H6" i="3" s="1"/>
  <c r="F6" i="3"/>
  <c r="F5" i="3"/>
  <c r="M4" i="3"/>
  <c r="N4" i="3" s="1"/>
  <c r="G4" i="3" s="1"/>
  <c r="H4" i="3" s="1"/>
  <c r="F4" i="3"/>
  <c r="AJ13" i="4" l="1"/>
  <c r="T12" i="4"/>
  <c r="T11" i="4"/>
  <c r="T9" i="4"/>
  <c r="T8" i="4"/>
  <c r="T7" i="4"/>
  <c r="W7" i="4" s="1"/>
  <c r="AG168" i="4"/>
  <c r="AG187" i="4"/>
  <c r="AG78" i="4"/>
  <c r="AG85" i="4"/>
  <c r="AG109" i="4"/>
  <c r="AG123" i="4"/>
  <c r="AG165" i="4"/>
  <c r="AG175" i="4"/>
  <c r="AG77" i="4"/>
  <c r="AG86" i="4"/>
  <c r="AG131" i="4"/>
  <c r="AG150" i="4"/>
  <c r="AG201" i="4"/>
  <c r="AG29" i="4"/>
  <c r="AG75" i="4"/>
  <c r="I13" i="3"/>
  <c r="AG59" i="4"/>
  <c r="AG142" i="4"/>
  <c r="AG159" i="4"/>
  <c r="AG163" i="4"/>
  <c r="AG64" i="4"/>
  <c r="AG128" i="4"/>
  <c r="AG112" i="4"/>
  <c r="AG156" i="4"/>
  <c r="AG157" i="4"/>
  <c r="AG203" i="4"/>
  <c r="AG49" i="4"/>
  <c r="AG40" i="4"/>
  <c r="AG70" i="4"/>
  <c r="AG88" i="4"/>
  <c r="AG89" i="4"/>
  <c r="AG104" i="4"/>
  <c r="AG140" i="4"/>
  <c r="AG151" i="4"/>
  <c r="AG167" i="4"/>
  <c r="AG173" i="4"/>
  <c r="AG108" i="4"/>
  <c r="AE123" i="4"/>
  <c r="AG193" i="4"/>
  <c r="AG19" i="4"/>
  <c r="AG24" i="4"/>
  <c r="AG46" i="4"/>
  <c r="AG69" i="4"/>
  <c r="AG105" i="4"/>
  <c r="AG130" i="4"/>
  <c r="AG43" i="4"/>
  <c r="AG91" i="4"/>
  <c r="AG94" i="4"/>
  <c r="AG13" i="4"/>
  <c r="AG83" i="4"/>
  <c r="AG191" i="4"/>
  <c r="AG113" i="4"/>
  <c r="AG155" i="4"/>
  <c r="AE163" i="4"/>
  <c r="AG169" i="4"/>
  <c r="L8" i="5"/>
  <c r="M8" i="5" s="1"/>
  <c r="L7" i="5"/>
  <c r="M7" i="5" s="1"/>
  <c r="L9" i="5"/>
  <c r="M9" i="5" s="1"/>
  <c r="I4" i="3"/>
  <c r="T6" i="4"/>
  <c r="U30" i="4"/>
  <c r="U93" i="4"/>
  <c r="U46" i="4"/>
  <c r="V162" i="4"/>
  <c r="U75" i="4"/>
  <c r="U107" i="4"/>
  <c r="U26" i="4"/>
  <c r="U200" i="4"/>
  <c r="U136" i="4"/>
  <c r="U153" i="4"/>
  <c r="U71" i="4"/>
  <c r="U125" i="4"/>
  <c r="U198" i="4"/>
  <c r="U111" i="4"/>
  <c r="U64" i="4"/>
  <c r="U109" i="4"/>
  <c r="U74" i="4"/>
  <c r="U184" i="4"/>
  <c r="V182" i="4"/>
  <c r="AG184" i="4"/>
  <c r="AE203" i="4"/>
  <c r="AG72" i="4"/>
  <c r="AE77" i="4"/>
  <c r="AG79" i="4"/>
  <c r="AG121" i="4"/>
  <c r="AG200" i="4"/>
  <c r="AG21" i="4"/>
  <c r="AG33" i="4"/>
  <c r="AG37" i="4"/>
  <c r="AG54" i="4"/>
  <c r="AG62" i="4"/>
  <c r="AE91" i="4"/>
  <c r="AG115" i="4"/>
  <c r="AE121" i="4"/>
  <c r="AG141" i="4"/>
  <c r="AE185" i="4"/>
  <c r="AG31" i="4"/>
  <c r="AG152" i="4"/>
  <c r="AE62" i="4"/>
  <c r="AG80" i="4"/>
  <c r="AG81" i="4"/>
  <c r="AG87" i="4"/>
  <c r="AG100" i="4"/>
  <c r="AG195" i="4"/>
  <c r="AG199" i="4"/>
  <c r="AE69" i="4"/>
  <c r="AG41" i="4"/>
  <c r="AG45" i="4"/>
  <c r="AG55" i="4"/>
  <c r="AG99" i="4"/>
  <c r="AE159" i="4"/>
  <c r="AG179" i="4"/>
  <c r="AG183" i="4"/>
  <c r="AE29" i="4"/>
  <c r="AG23" i="4"/>
  <c r="AG30" i="4"/>
  <c r="AG38" i="4"/>
  <c r="AE41" i="4"/>
  <c r="AE45" i="4"/>
  <c r="AG47" i="4"/>
  <c r="AG57" i="4"/>
  <c r="AG93" i="4"/>
  <c r="AE99" i="4"/>
  <c r="AG116" i="4"/>
  <c r="AG137" i="4"/>
  <c r="AG145" i="4"/>
  <c r="AE179" i="4"/>
  <c r="AG197" i="4"/>
  <c r="AE13" i="4"/>
  <c r="AE23" i="4"/>
  <c r="AE49" i="4"/>
  <c r="AE59" i="4"/>
  <c r="AG71" i="4"/>
  <c r="AE75" i="4"/>
  <c r="AE81" i="4"/>
  <c r="AG96" i="4"/>
  <c r="AG110" i="4"/>
  <c r="AG129" i="4"/>
  <c r="AG132" i="4"/>
  <c r="AG143" i="4"/>
  <c r="AG146" i="4"/>
  <c r="AE151" i="4"/>
  <c r="AE157" i="4"/>
  <c r="AE167" i="4"/>
  <c r="AG174" i="4"/>
  <c r="AE183" i="4"/>
  <c r="AG189" i="4"/>
  <c r="AE197" i="4"/>
  <c r="AE199" i="4"/>
  <c r="AG27" i="4"/>
  <c r="AG56" i="4"/>
  <c r="AG124" i="4"/>
  <c r="AG149" i="4"/>
  <c r="AG164" i="4"/>
  <c r="AG176" i="4"/>
  <c r="AG67" i="4"/>
  <c r="AG73" i="4"/>
  <c r="AE21" i="4"/>
  <c r="AE54" i="4"/>
  <c r="AG63" i="4"/>
  <c r="AE67" i="4"/>
  <c r="AE73" i="4"/>
  <c r="AG122" i="4"/>
  <c r="AG134" i="4"/>
  <c r="AG136" i="4"/>
  <c r="AG160" i="4"/>
  <c r="AG172" i="4"/>
  <c r="AE195" i="4"/>
  <c r="AG198" i="4"/>
  <c r="AG18" i="4"/>
  <c r="AG52" i="4"/>
  <c r="AG65" i="4"/>
  <c r="AE83" i="4"/>
  <c r="AE89" i="4"/>
  <c r="AG107" i="4"/>
  <c r="AG118" i="4"/>
  <c r="AG148" i="4"/>
  <c r="AG153" i="4"/>
  <c r="AG182" i="4"/>
  <c r="AE198" i="4"/>
  <c r="AG25" i="4"/>
  <c r="AG39" i="4"/>
  <c r="AG48" i="4"/>
  <c r="U45" i="4"/>
  <c r="U54" i="4"/>
  <c r="U56" i="4"/>
  <c r="U78" i="4"/>
  <c r="U90" i="4"/>
  <c r="U95" i="4"/>
  <c r="U144" i="4"/>
  <c r="U154" i="4"/>
  <c r="U176" i="4"/>
  <c r="U182" i="4"/>
  <c r="U39" i="4"/>
  <c r="U129" i="4"/>
  <c r="U22" i="4"/>
  <c r="U91" i="4"/>
  <c r="U174" i="4"/>
  <c r="U188" i="4"/>
  <c r="M4" i="5"/>
  <c r="V20" i="4"/>
  <c r="U128" i="4"/>
  <c r="U140" i="4"/>
  <c r="V172" i="4"/>
  <c r="V193" i="4"/>
  <c r="U168" i="4"/>
  <c r="V17" i="4"/>
  <c r="V35" i="4"/>
  <c r="U102" i="4"/>
  <c r="U118" i="4"/>
  <c r="U121" i="4"/>
  <c r="U147" i="4"/>
  <c r="U162" i="4"/>
  <c r="U164" i="4"/>
  <c r="U166" i="4"/>
  <c r="V195" i="4"/>
  <c r="U67" i="4"/>
  <c r="U130" i="4"/>
  <c r="U180" i="4"/>
  <c r="U192" i="4"/>
  <c r="U19" i="4"/>
  <c r="V23" i="4"/>
  <c r="V53" i="4"/>
  <c r="U86" i="4"/>
  <c r="U97" i="4"/>
  <c r="U113" i="4"/>
  <c r="U158" i="4"/>
  <c r="U160" i="4"/>
  <c r="U178" i="4"/>
  <c r="U36" i="4"/>
  <c r="U62" i="4"/>
  <c r="U77" i="4"/>
  <c r="U84" i="4"/>
  <c r="U163" i="4"/>
  <c r="U98" i="4"/>
  <c r="U112" i="4"/>
  <c r="V145" i="4"/>
  <c r="I14" i="3"/>
  <c r="U202" i="4"/>
  <c r="I8" i="3"/>
  <c r="O9" i="4" s="1"/>
  <c r="I12" i="3"/>
  <c r="U20" i="4"/>
  <c r="U31" i="4"/>
  <c r="U47" i="4"/>
  <c r="U50" i="4"/>
  <c r="U68" i="4"/>
  <c r="U82" i="4"/>
  <c r="U100" i="4"/>
  <c r="U105" i="4"/>
  <c r="U116" i="4"/>
  <c r="U150" i="4"/>
  <c r="U159" i="4"/>
  <c r="U175" i="4"/>
  <c r="V185" i="4"/>
  <c r="V187" i="4"/>
  <c r="I6" i="3"/>
  <c r="U38" i="4"/>
  <c r="U43" i="4"/>
  <c r="U70" i="4"/>
  <c r="U79" i="4"/>
  <c r="U85" i="4"/>
  <c r="U92" i="4"/>
  <c r="U103" i="4"/>
  <c r="U108" i="4"/>
  <c r="U139" i="4"/>
  <c r="U148" i="4"/>
  <c r="U169" i="4"/>
  <c r="U171" i="4"/>
  <c r="U173" i="4"/>
  <c r="U196" i="4"/>
  <c r="U55" i="4"/>
  <c r="U61" i="4"/>
  <c r="U66" i="4"/>
  <c r="U83" i="4"/>
  <c r="U94" i="4"/>
  <c r="U99" i="4"/>
  <c r="U110" i="4"/>
  <c r="U135" i="4"/>
  <c r="U141" i="4"/>
  <c r="U183" i="4"/>
  <c r="U69" i="4"/>
  <c r="U76" i="4"/>
  <c r="U127" i="4"/>
  <c r="V153" i="4"/>
  <c r="U190" i="4"/>
  <c r="U204" i="4"/>
  <c r="T4" i="4"/>
  <c r="W51" i="4"/>
  <c r="V51" i="4"/>
  <c r="AG61" i="4"/>
  <c r="AE61" i="4"/>
  <c r="V27" i="4"/>
  <c r="W27" i="4"/>
  <c r="W33" i="4"/>
  <c r="V33" i="4"/>
  <c r="AG111" i="4"/>
  <c r="AE111" i="4"/>
  <c r="AE144" i="4"/>
  <c r="AG144" i="4"/>
  <c r="B49" i="2"/>
  <c r="F10" i="4" s="1"/>
  <c r="M9" i="3" s="1"/>
  <c r="N9" i="3" s="1"/>
  <c r="G9" i="3" s="1"/>
  <c r="H9" i="3" s="1"/>
  <c r="I9" i="3" s="1"/>
  <c r="O10" i="4" s="1"/>
  <c r="B48" i="2"/>
  <c r="F8" i="4" s="1"/>
  <c r="M7" i="3" s="1"/>
  <c r="N7" i="3" s="1"/>
  <c r="G7" i="3" s="1"/>
  <c r="H7" i="3" s="1"/>
  <c r="I7" i="3" s="1"/>
  <c r="O8" i="4" s="1"/>
  <c r="Q8" i="4" s="1"/>
  <c r="AL9" i="4"/>
  <c r="AK9" i="4"/>
  <c r="AJ9" i="4"/>
  <c r="AL10" i="4"/>
  <c r="AK10" i="4"/>
  <c r="AJ10" i="4"/>
  <c r="AG17" i="4"/>
  <c r="AE17" i="4"/>
  <c r="W58" i="4"/>
  <c r="V58" i="4"/>
  <c r="W96" i="4"/>
  <c r="V96" i="4"/>
  <c r="I11" i="3"/>
  <c r="O12" i="4" s="1"/>
  <c r="AL7" i="4"/>
  <c r="AK7" i="4"/>
  <c r="AJ7" i="4"/>
  <c r="W6" i="4"/>
  <c r="AL8" i="4"/>
  <c r="AK8" i="4"/>
  <c r="AJ8" i="4"/>
  <c r="AK15" i="4"/>
  <c r="AJ15" i="4"/>
  <c r="I15" i="3"/>
  <c r="AL11" i="4"/>
  <c r="AK11" i="4"/>
  <c r="AJ11" i="4"/>
  <c r="AL12" i="4"/>
  <c r="AK12" i="4"/>
  <c r="AJ12" i="4"/>
  <c r="W49" i="4"/>
  <c r="V49" i="4"/>
  <c r="AG84" i="4"/>
  <c r="AE84" i="4"/>
  <c r="W125" i="4"/>
  <c r="V125" i="4"/>
  <c r="W60" i="4"/>
  <c r="U60" i="4"/>
  <c r="AE114" i="4"/>
  <c r="AG114" i="4"/>
  <c r="AG177" i="4"/>
  <c r="AE177" i="4"/>
  <c r="AK4" i="4"/>
  <c r="AJ4" i="4"/>
  <c r="AG51" i="4"/>
  <c r="AE51" i="4"/>
  <c r="W13" i="4"/>
  <c r="V25" i="4"/>
  <c r="U25" i="4"/>
  <c r="AG35" i="4"/>
  <c r="AE35" i="4"/>
  <c r="U37" i="4"/>
  <c r="AG42" i="4"/>
  <c r="AE42" i="4"/>
  <c r="V64" i="4"/>
  <c r="W64" i="4"/>
  <c r="U87" i="4"/>
  <c r="AG98" i="4"/>
  <c r="AE98" i="4"/>
  <c r="AG102" i="4"/>
  <c r="AE102" i="4"/>
  <c r="AG119" i="4"/>
  <c r="AE119" i="4"/>
  <c r="W4" i="4"/>
  <c r="S4" i="4"/>
  <c r="AL4" i="4"/>
  <c r="W8" i="4"/>
  <c r="W15" i="4"/>
  <c r="R5" i="4"/>
  <c r="W9" i="4"/>
  <c r="W10" i="4"/>
  <c r="T16" i="4"/>
  <c r="W18" i="4"/>
  <c r="V18" i="4"/>
  <c r="AG68" i="4"/>
  <c r="AE68" i="4"/>
  <c r="AG36" i="4"/>
  <c r="AE36" i="4"/>
  <c r="AG76" i="4"/>
  <c r="AE76" i="4"/>
  <c r="E16" i="5"/>
  <c r="I16" i="5" s="1"/>
  <c r="AD16" i="4"/>
  <c r="AD14" i="4"/>
  <c r="Y4" i="4"/>
  <c r="Z4" i="4" s="1"/>
  <c r="AL6" i="4"/>
  <c r="AK6" i="4"/>
  <c r="AJ6" i="4"/>
  <c r="W11" i="4"/>
  <c r="W12" i="4"/>
  <c r="W14" i="4"/>
  <c r="AD15" i="4"/>
  <c r="W17" i="4"/>
  <c r="U17" i="4"/>
  <c r="AG20" i="4"/>
  <c r="W28" i="4"/>
  <c r="U28" i="4"/>
  <c r="AG53" i="4"/>
  <c r="AG92" i="4"/>
  <c r="AE92" i="4"/>
  <c r="V21" i="4"/>
  <c r="AG22" i="4"/>
  <c r="V26" i="4"/>
  <c r="AG26" i="4"/>
  <c r="AG28" i="4"/>
  <c r="V29" i="4"/>
  <c r="U32" i="4"/>
  <c r="AG32" i="4"/>
  <c r="U34" i="4"/>
  <c r="W37" i="4"/>
  <c r="W41" i="4"/>
  <c r="V41" i="4"/>
  <c r="U48" i="4"/>
  <c r="V56" i="4"/>
  <c r="U63" i="4"/>
  <c r="AG66" i="4"/>
  <c r="AE66" i="4"/>
  <c r="AG74" i="4"/>
  <c r="AE74" i="4"/>
  <c r="AG82" i="4"/>
  <c r="AE82" i="4"/>
  <c r="AG90" i="4"/>
  <c r="AE90" i="4"/>
  <c r="V106" i="4"/>
  <c r="U106" i="4"/>
  <c r="AG106" i="4"/>
  <c r="AE106" i="4"/>
  <c r="U115" i="4"/>
  <c r="U120" i="4"/>
  <c r="W132" i="4"/>
  <c r="V132" i="4"/>
  <c r="AG135" i="4"/>
  <c r="AE135" i="4"/>
  <c r="V179" i="4"/>
  <c r="W179" i="4"/>
  <c r="AE182" i="4"/>
  <c r="W156" i="4"/>
  <c r="V156" i="4"/>
  <c r="W197" i="4"/>
  <c r="U197" i="4"/>
  <c r="M16" i="3"/>
  <c r="N16" i="3" s="1"/>
  <c r="G16" i="3" s="1"/>
  <c r="H16" i="3" s="1"/>
  <c r="I16" i="3" s="1"/>
  <c r="O16" i="4" s="1"/>
  <c r="Q16" i="4" s="1"/>
  <c r="V16" i="4" s="1"/>
  <c r="AE28" i="4"/>
  <c r="V34" i="4"/>
  <c r="AG44" i="4"/>
  <c r="AE53" i="4"/>
  <c r="U58" i="4"/>
  <c r="W59" i="4"/>
  <c r="V59" i="4"/>
  <c r="W66" i="4"/>
  <c r="V66" i="4"/>
  <c r="W74" i="4"/>
  <c r="V74" i="4"/>
  <c r="W82" i="4"/>
  <c r="V82" i="4"/>
  <c r="W90" i="4"/>
  <c r="V90" i="4"/>
  <c r="V104" i="4"/>
  <c r="U104" i="4"/>
  <c r="V110" i="4"/>
  <c r="W110" i="4"/>
  <c r="W56" i="4"/>
  <c r="W67" i="4"/>
  <c r="W72" i="4"/>
  <c r="V72" i="4"/>
  <c r="W75" i="4"/>
  <c r="W80" i="4"/>
  <c r="V80" i="4"/>
  <c r="W83" i="4"/>
  <c r="W88" i="4"/>
  <c r="V88" i="4"/>
  <c r="W91" i="4"/>
  <c r="V102" i="4"/>
  <c r="W102" i="4"/>
  <c r="W107" i="4"/>
  <c r="V119" i="4"/>
  <c r="U119" i="4"/>
  <c r="W144" i="4"/>
  <c r="V144" i="4"/>
  <c r="AG162" i="4"/>
  <c r="W42" i="4"/>
  <c r="V42" i="4"/>
  <c r="AJ5" i="4"/>
  <c r="U24" i="4"/>
  <c r="AE24" i="4"/>
  <c r="AE27" i="4"/>
  <c r="U35" i="4"/>
  <c r="V40" i="4"/>
  <c r="U44" i="4"/>
  <c r="AG50" i="4"/>
  <c r="AE50" i="4"/>
  <c r="AE52" i="4"/>
  <c r="W57" i="4"/>
  <c r="V57" i="4"/>
  <c r="AG97" i="4"/>
  <c r="AE97" i="4"/>
  <c r="W111" i="4"/>
  <c r="V123" i="4"/>
  <c r="W123" i="4"/>
  <c r="W126" i="4"/>
  <c r="V126" i="4"/>
  <c r="AG126" i="4"/>
  <c r="AE126" i="4"/>
  <c r="AG158" i="4"/>
  <c r="AK5" i="4"/>
  <c r="U42" i="4"/>
  <c r="W43" i="4"/>
  <c r="V43" i="4"/>
  <c r="W50" i="4"/>
  <c r="V50" i="4"/>
  <c r="AG60" i="4"/>
  <c r="U72" i="4"/>
  <c r="U80" i="4"/>
  <c r="U88" i="4"/>
  <c r="W97" i="4"/>
  <c r="V97" i="4"/>
  <c r="AE117" i="4"/>
  <c r="AG117" i="4"/>
  <c r="AG138" i="4"/>
  <c r="AE138" i="4"/>
  <c r="W157" i="4"/>
  <c r="U157" i="4"/>
  <c r="W158" i="4"/>
  <c r="AG166" i="4"/>
  <c r="AE166" i="4"/>
  <c r="V32" i="4"/>
  <c r="AG34" i="4"/>
  <c r="AE34" i="4"/>
  <c r="U40" i="4"/>
  <c r="AE43" i="4"/>
  <c r="V48" i="4"/>
  <c r="U52" i="4"/>
  <c r="AG58" i="4"/>
  <c r="AE58" i="4"/>
  <c r="AE60" i="4"/>
  <c r="W65" i="4"/>
  <c r="V65" i="4"/>
  <c r="W73" i="4"/>
  <c r="V73" i="4"/>
  <c r="W81" i="4"/>
  <c r="V81" i="4"/>
  <c r="W89" i="4"/>
  <c r="V89" i="4"/>
  <c r="W105" i="4"/>
  <c r="V105" i="4"/>
  <c r="W117" i="4"/>
  <c r="V117" i="4"/>
  <c r="AG120" i="4"/>
  <c r="W138" i="4"/>
  <c r="V138" i="4"/>
  <c r="V67" i="4"/>
  <c r="V75" i="4"/>
  <c r="V83" i="4"/>
  <c r="V91" i="4"/>
  <c r="V107" i="4"/>
  <c r="U117" i="4"/>
  <c r="AG133" i="4"/>
  <c r="AE133" i="4"/>
  <c r="W139" i="4"/>
  <c r="AG139" i="4"/>
  <c r="W142" i="4"/>
  <c r="V142" i="4"/>
  <c r="W152" i="4"/>
  <c r="V152" i="4"/>
  <c r="W166" i="4"/>
  <c r="V166" i="4"/>
  <c r="AG170" i="4"/>
  <c r="AE170" i="4"/>
  <c r="V177" i="4"/>
  <c r="W184" i="4"/>
  <c r="V184" i="4"/>
  <c r="V191" i="4"/>
  <c r="U191" i="4"/>
  <c r="AG204" i="4"/>
  <c r="AE204" i="4"/>
  <c r="U114" i="4"/>
  <c r="V131" i="4"/>
  <c r="W133" i="4"/>
  <c r="V133" i="4"/>
  <c r="AE139" i="4"/>
  <c r="U146" i="4"/>
  <c r="AG147" i="4"/>
  <c r="AE147" i="4"/>
  <c r="W170" i="4"/>
  <c r="V170" i="4"/>
  <c r="W174" i="4"/>
  <c r="V174" i="4"/>
  <c r="AE174" i="4"/>
  <c r="AE189" i="4"/>
  <c r="AE202" i="4"/>
  <c r="AG202" i="4"/>
  <c r="W204" i="4"/>
  <c r="V204" i="4"/>
  <c r="AG95" i="4"/>
  <c r="U101" i="4"/>
  <c r="W124" i="4"/>
  <c r="V124" i="4"/>
  <c r="W147" i="4"/>
  <c r="V147" i="4"/>
  <c r="AE194" i="4"/>
  <c r="AG194" i="4"/>
  <c r="AE95" i="4"/>
  <c r="AG101" i="4"/>
  <c r="W103" i="4"/>
  <c r="W114" i="4"/>
  <c r="V115" i="4"/>
  <c r="W118" i="4"/>
  <c r="V118" i="4"/>
  <c r="U122" i="4"/>
  <c r="W127" i="4"/>
  <c r="AG127" i="4"/>
  <c r="U133" i="4"/>
  <c r="W134" i="4"/>
  <c r="V134" i="4"/>
  <c r="U137" i="4"/>
  <c r="U149" i="4"/>
  <c r="V151" i="4"/>
  <c r="U151" i="4"/>
  <c r="AE153" i="4"/>
  <c r="W155" i="4"/>
  <c r="V155" i="4"/>
  <c r="AG161" i="4"/>
  <c r="AE161" i="4"/>
  <c r="W171" i="4"/>
  <c r="AG171" i="4"/>
  <c r="AG181" i="4"/>
  <c r="AE181" i="4"/>
  <c r="AE192" i="4"/>
  <c r="AG192" i="4"/>
  <c r="W194" i="4"/>
  <c r="V194" i="4"/>
  <c r="W202" i="4"/>
  <c r="V202" i="4"/>
  <c r="AG103" i="4"/>
  <c r="AG125" i="4"/>
  <c r="AE125" i="4"/>
  <c r="W143" i="4"/>
  <c r="V143" i="4"/>
  <c r="W148" i="4"/>
  <c r="V161" i="4"/>
  <c r="W161" i="4"/>
  <c r="V165" i="4"/>
  <c r="U165" i="4"/>
  <c r="V181" i="4"/>
  <c r="U181" i="4"/>
  <c r="W189" i="4"/>
  <c r="U189" i="4"/>
  <c r="W192" i="4"/>
  <c r="V192" i="4"/>
  <c r="V137" i="4"/>
  <c r="W146" i="4"/>
  <c r="V148" i="4"/>
  <c r="W153" i="4"/>
  <c r="V167" i="4"/>
  <c r="V169" i="4"/>
  <c r="W187" i="4"/>
  <c r="W196" i="4"/>
  <c r="AG196" i="4"/>
  <c r="AE196" i="4"/>
  <c r="W198" i="4"/>
  <c r="U199" i="4"/>
  <c r="V201" i="4"/>
  <c r="V203" i="4"/>
  <c r="U152" i="4"/>
  <c r="AE186" i="4"/>
  <c r="AG186" i="4"/>
  <c r="U194" i="4"/>
  <c r="W154" i="4"/>
  <c r="W188" i="4"/>
  <c r="AG188" i="4"/>
  <c r="AE188" i="4"/>
  <c r="W190" i="4"/>
  <c r="AG154" i="4"/>
  <c r="W178" i="4"/>
  <c r="AE178" i="4"/>
  <c r="AG178" i="4"/>
  <c r="U186" i="4"/>
  <c r="AG190" i="4"/>
  <c r="V196" i="4"/>
  <c r="L18" i="5"/>
  <c r="M18" i="5" s="1"/>
  <c r="W162" i="4"/>
  <c r="W180" i="4"/>
  <c r="AG180" i="4"/>
  <c r="AE180" i="4"/>
  <c r="W182" i="4"/>
  <c r="G6" i="7"/>
  <c r="E6" i="7"/>
  <c r="B12" i="6"/>
  <c r="B37" i="11" s="1"/>
  <c r="O4" i="4" l="1"/>
  <c r="O13" i="4"/>
  <c r="Q13" i="4" s="1"/>
  <c r="Q4" i="4"/>
  <c r="V4" i="4" s="1"/>
  <c r="X4" i="4" s="1"/>
  <c r="U8" i="4"/>
  <c r="O6" i="4"/>
  <c r="U16" i="4"/>
  <c r="X16" i="4"/>
  <c r="AG15" i="4"/>
  <c r="AH15" i="4" s="1"/>
  <c r="AE15" i="4"/>
  <c r="W16" i="4"/>
  <c r="B7" i="6"/>
  <c r="B24" i="11" s="1"/>
  <c r="Z8" i="4"/>
  <c r="B13" i="7"/>
  <c r="B14" i="7" s="1"/>
  <c r="C10" i="10"/>
  <c r="C12" i="10" s="1"/>
  <c r="K10" i="5"/>
  <c r="L10" i="5" s="1"/>
  <c r="M10" i="5" s="1"/>
  <c r="P9" i="4"/>
  <c r="Q9" i="4" s="1"/>
  <c r="V8" i="4"/>
  <c r="X8" i="4" s="1"/>
  <c r="B8" i="6"/>
  <c r="B25" i="11" s="1"/>
  <c r="Z10" i="4"/>
  <c r="AG14" i="4"/>
  <c r="AE14" i="4"/>
  <c r="T5" i="4"/>
  <c r="S5" i="4"/>
  <c r="AG16" i="4"/>
  <c r="AE16" i="4"/>
  <c r="U13" i="4" l="1"/>
  <c r="V13" i="4"/>
  <c r="X13" i="4" s="1"/>
  <c r="P5" i="4"/>
  <c r="Q5" i="4" s="1"/>
  <c r="P6" i="4" s="1"/>
  <c r="Q6" i="4" s="1"/>
  <c r="U4" i="4"/>
  <c r="G11" i="11"/>
  <c r="K5" i="5"/>
  <c r="L5" i="5" s="1"/>
  <c r="M5" i="5" s="1"/>
  <c r="AA16" i="4"/>
  <c r="AD6" i="4"/>
  <c r="AF6" i="4"/>
  <c r="AD7" i="4"/>
  <c r="AF7" i="4"/>
  <c r="W5" i="4"/>
  <c r="K11" i="5"/>
  <c r="L11" i="5" s="1"/>
  <c r="M11" i="5" s="1"/>
  <c r="P10" i="4"/>
  <c r="Q10" i="4" s="1"/>
  <c r="V9" i="4"/>
  <c r="X9" i="4" s="1"/>
  <c r="U9" i="4"/>
  <c r="AA13" i="4" l="1"/>
  <c r="G13" i="11"/>
  <c r="V6" i="4"/>
  <c r="X6" i="4" s="1"/>
  <c r="G12" i="11"/>
  <c r="V5" i="4"/>
  <c r="X5" i="4" s="1"/>
  <c r="C4" i="10"/>
  <c r="C13" i="10" s="1"/>
  <c r="C14" i="10" s="1"/>
  <c r="K6" i="5"/>
  <c r="L6" i="5" s="1"/>
  <c r="M6" i="5" s="1"/>
  <c r="U5" i="4"/>
  <c r="U6" i="4"/>
  <c r="P14" i="4"/>
  <c r="Q14" i="4" s="1"/>
  <c r="U14" i="4" s="1"/>
  <c r="K15" i="5"/>
  <c r="L15" i="5" s="1"/>
  <c r="M15" i="5" s="1"/>
  <c r="K12" i="5"/>
  <c r="L12" i="5" s="1"/>
  <c r="M12" i="5" s="1"/>
  <c r="P11" i="4"/>
  <c r="Q11" i="4" s="1"/>
  <c r="V10" i="4"/>
  <c r="X10" i="4" s="1"/>
  <c r="U10" i="4"/>
  <c r="AE6" i="4"/>
  <c r="AG6" i="4"/>
  <c r="AH6" i="4" s="1"/>
  <c r="AA6" i="4" s="1"/>
  <c r="H13" i="11" s="1"/>
  <c r="AE7" i="4"/>
  <c r="AG7" i="4"/>
  <c r="AH7" i="4" s="1"/>
  <c r="C8" i="10" l="1"/>
  <c r="V14" i="4"/>
  <c r="X14" i="4" s="1"/>
  <c r="G16" i="11"/>
  <c r="K13" i="5"/>
  <c r="L13" i="5" s="1"/>
  <c r="M13" i="5" s="1"/>
  <c r="P12" i="4"/>
  <c r="Q12" i="4" s="1"/>
  <c r="V11" i="4"/>
  <c r="X11" i="4" s="1"/>
  <c r="U11" i="4"/>
  <c r="AD12" i="4"/>
  <c r="AF12" i="4"/>
  <c r="AD5" i="4"/>
  <c r="AF5" i="4"/>
  <c r="AA14" i="4"/>
  <c r="H16" i="11" s="1"/>
  <c r="AG5" i="4" l="1"/>
  <c r="AE5" i="4"/>
  <c r="AE12" i="4"/>
  <c r="AG12" i="4"/>
  <c r="AH12" i="4" s="1"/>
  <c r="K14" i="5"/>
  <c r="L14" i="5" s="1"/>
  <c r="M14" i="5" s="1"/>
  <c r="P7" i="4"/>
  <c r="Q7" i="4" s="1"/>
  <c r="V12" i="4"/>
  <c r="X12" i="4" s="1"/>
  <c r="U12" i="4"/>
  <c r="G14" i="11" l="1"/>
  <c r="K17" i="5"/>
  <c r="L17" i="5" s="1"/>
  <c r="M17" i="5" s="1"/>
  <c r="P15" i="4"/>
  <c r="Q15" i="4" s="1"/>
  <c r="K19" i="5" s="1"/>
  <c r="L19" i="5" s="1"/>
  <c r="M19" i="5" s="1"/>
  <c r="V7" i="4"/>
  <c r="X7" i="4" s="1"/>
  <c r="U7" i="4"/>
  <c r="AA12" i="4"/>
  <c r="AH5" i="4"/>
  <c r="AA5" i="4" s="1"/>
  <c r="H12" i="11" s="1"/>
  <c r="AL5" i="4"/>
  <c r="AD11" i="4"/>
  <c r="AF11" i="4"/>
  <c r="AF4" i="4"/>
  <c r="AD4" i="4"/>
  <c r="AA7" i="4" l="1"/>
  <c r="H14" i="11" s="1"/>
  <c r="AG4" i="4"/>
  <c r="AH4" i="4" s="1"/>
  <c r="AA4" i="4" s="1"/>
  <c r="AE4" i="4"/>
  <c r="AE11" i="4"/>
  <c r="AG11" i="4"/>
  <c r="AH11" i="4" s="1"/>
  <c r="AA11" i="4" s="1"/>
  <c r="G17" i="11"/>
  <c r="U15" i="4"/>
  <c r="V15" i="4"/>
  <c r="X15" i="4" s="1"/>
  <c r="K16" i="5"/>
  <c r="L16" i="5" s="1"/>
  <c r="M16" i="5" s="1"/>
  <c r="B4" i="6" s="1"/>
  <c r="B22" i="11" s="1"/>
  <c r="AA15" i="4" l="1"/>
  <c r="H17" i="11" s="1"/>
  <c r="AD10" i="4"/>
  <c r="AF10" i="4"/>
  <c r="H11" i="11"/>
  <c r="AE10" i="4" l="1"/>
  <c r="AG10" i="4"/>
  <c r="AH10" i="4" s="1"/>
  <c r="AA10" i="4" s="1"/>
  <c r="AD9" i="4" l="1"/>
  <c r="AF9" i="4"/>
  <c r="AE9" i="4" l="1"/>
  <c r="AG9" i="4"/>
  <c r="AH9" i="4" s="1"/>
  <c r="AA9" i="4" s="1"/>
  <c r="AD8" i="4" l="1"/>
  <c r="AF8" i="4"/>
  <c r="AE8" i="4" l="1"/>
  <c r="AG8" i="4"/>
  <c r="AH8" i="4" s="1"/>
  <c r="AA8" i="4" s="1"/>
  <c r="B3" i="6" s="1"/>
  <c r="B21" i="11" l="1"/>
  <c r="B5" i="6"/>
  <c r="B23" i="11" s="1"/>
</calcChain>
</file>

<file path=xl/sharedStrings.xml><?xml version="1.0" encoding="utf-8"?>
<sst xmlns="http://schemas.openxmlformats.org/spreadsheetml/2006/main" count="730" uniqueCount="528">
  <si>
    <t>DRAINAGE HYBRIDE - TOIT + TRESFOND VERS BASSIN DE RETENTION</t>
  </si>
  <si>
    <t>Contrainte cle: pas de conduite/fosse dans le tresfond. Le ruissellement du tresfond est dirige par pente vers les bandes vertes.</t>
  </si>
  <si>
    <t>Solution recommandee: systeme hybride (noues/swales + tranchees drainantes localisees + conduites perimetriques hors tresfond).</t>
  </si>
  <si>
    <t>2) Bande sud (2.0 m): conduite/collecte vers volume de retention dans le corridor contraint.</t>
  </si>
  <si>
    <t>3) Ouest: strategie revisee en conduites (pas de noues) vers E04 puis E08 et bassin.</t>
  </si>
  <si>
    <t>Flux de calcul: Zones_tributaires -&gt; Elements_hybrides -&gt; Noeuds_stockage -&gt; verifications capacite/vitesse/volume tampon.</t>
  </si>
  <si>
    <t>Les longueurs, pentes, sections et cotes sont pre-remplies comme base; ajuster selon releve topo et contraintes de chantier.</t>
  </si>
  <si>
    <t>Types d'element supports: PIPE, SWALE, TRENCH.</t>
  </si>
  <si>
    <t>Vitesse controlee selon Inputs!B15: DESIGN (Q/A), MANNING, ou MAX.</t>
  </si>
  <si>
    <t>Ce classeur est separe de Reseau_pluvial_reference_method.xlsx (aucun ecrasement).</t>
  </si>
  <si>
    <t>Recommandation d amenagement (optimal):</t>
  </si>
  <si>
    <t>1) Collecte toiture vers noue sud (hors tresfond), 2) pente tresfond vers noue est, 3) collecteur final vers BASIN_RET.</t>
  </si>
  <si>
    <t>4) Prevoir trop-plein de securite en surface vers bassin pour evenement majeur.</t>
  </si>
  <si>
    <t>Mise a jour: bande est 2.5 m avec arbres modelisee en mode tranchee drainante + underdrain (E01/E02).</t>
  </si>
  <si>
    <t>Le gabarit de section est dans Template_est_2p5m; micro-noue de surface + underdrain en emprise contrainte.</t>
  </si>
  <si>
    <t>Labels harmonises: placeholders remplaces par P-01/P-02/P-03 et jonctions explicites (voir Convention_labels).</t>
  </si>
  <si>
    <t>Implantation mise a jour: bassin lineaire dans bande sud 2m + guidance conflits utilites ouest.</t>
  </si>
  <si>
    <t>Voir Dimensionnement_est et Contraintes_ouest_utilites pour dimensionnement et implantation recommandee.</t>
  </si>
  <si>
    <t>Presentation pass added: row color coding in Elements_hybrides and one-page Decision_Summary tab.</t>
  </si>
  <si>
    <t>Mise a jour ouest: sequence grass/pave-uni/grass/pave-uni/grass modelee en E05A..E05E.</t>
  </si>
  <si>
    <t>Connexion entre types d elements implementee via AC:AH (controle continuité d invert).</t>
  </si>
  <si>
    <t>Geometrie J-OUEST pilotee par cotes plan dans Inputs!B40:B50 (23.58 m total; 11.1 m amont; 2.3 m pave1; 5.1 m pave2).</t>
  </si>
  <si>
    <t>E05A/E05C sont repartis proportionnellement aux aires (12.5 vs 27.2 m2); E05E est le solde vers le coin sud-ouest (21.9 m2).</t>
  </si>
  <si>
    <t>Clarification labels image: Z08 = pave-uni principal 37.5 m2 (entre Z05 et Z06).</t>
  </si>
  <si>
    <t>Zone ajoutee: Z13 = tresfond haut central (aire via Inputs!B51, route E01).</t>
  </si>
  <si>
    <t>Correction topologie: E03 (P-03-&gt;J-BASSIN-IN) = 16.1 m; E04 = 20 m (J-OUEST-AVAL-&gt;J-BASSIN-IN).</t>
  </si>
  <si>
    <t>E04 ne superpose plus E03; E06 desactive pour eviter double chemin parallelle.</t>
  </si>
  <si>
    <t>Z09 est defini BASIN (empreinte bassin), non contributif par defaut (Inputs!B52=NO).</t>
  </si>
  <si>
    <t>Bassin retention longueur mise a 20 m (Inputs!B35) selon releve plan.</t>
  </si>
  <si>
    <t>Deux entrees bassin implementees: EST via E03-&gt;E07 et OUEST via E04-&gt;E08.</t>
  </si>
  <si>
    <t>E04 corrige a 4.7 m (J-OUEST-AVAL -&gt; J-BASSIN-OUEST), sans superposition avec E03.</t>
  </si>
  <si>
    <t>Traverses pave-uni ouest conservees en caniveau + conduite (E05B, E05D).</t>
  </si>
  <si>
    <t>Principe invert: fond swale a l'entree doit rester au-dessus de l'invert du tuyau d'entree + chute locale (drop).</t>
  </si>
  <si>
    <t>Nouveau controle de chute: Inputs!B54:B56 definissent tolerance et plage de drop SWALE/TRENCH -&gt; PIPE.</t>
  </si>
  <si>
    <t>Elements_hybrides: AI (type aval), AJ/AK (plage de drop), AL (Drop_check_status).</t>
  </si>
  <si>
    <t>Pour une entree bassin depuis noue/tranchee, viser AG autour de Inputs!B57 (ex. 0.10 m).</t>
  </si>
  <si>
    <t>Si AL=CHECK: ajuster invert aval/amont (AC override ou pente/longueur) ou ajouter ouvrage de chute.</t>
  </si>
  <si>
    <t>Types de surface mis a jour: PAVAGE ajoute explicitement (Inputs!B58) et applique a Z07/Z08/Z10/Z12.</t>
  </si>
  <si>
    <t>Z13 supprime de la configuration active (ligne vide).</t>
  </si>
  <si>
    <t>Raccord SWALE/TRENCH -&gt; PIPE: AD applique automatiquement une chute cible Inputs!B57 (si pas d'override AC).</t>
  </si>
  <si>
    <t>Cela represente un raccord via regard/caniveau: fond noue plus haut que l'invert de conduite aval.</t>
  </si>
  <si>
    <t>Tc automatise dans Zones_tributaires: Tc_used = (Tc base override L ou Default_tc_min) + temps transit element route.</t>
  </si>
  <si>
    <t>Temps transit = Longueur element route / (Inputs!B59 * 60).</t>
  </si>
  <si>
    <t>Inputs!B59 est une vitesse adoptee (pas la vitesse calculee hydraulique) pour eviter references circulaires.</t>
  </si>
  <si>
    <t>Important: un ecoulement gravitaire ne peut pas remonter de la conduite vers une noue plus haute sans pompage.</t>
  </si>
  <si>
    <t>Condition pratique PIPE-&gt;SWALE: radier sortie conduite &gt;= fond noue aval (ou tres legerement au-dessus), sinon CHECK.</t>
  </si>
  <si>
    <t>Le regard/ouvrage de sortie sert a dissiper/organiser la transition, pas a "lever" l eau par gravite.</t>
  </si>
  <si>
    <t>Strategie ouest revisee: traverses pave-uni traitees en caniveaux de surface (E05B, E05D), pas en conduites enterrees.</t>
  </si>
  <si>
    <t>Objectif: eviter cas pipe profond -&gt; noue aval plus haute, et garder un profil gravitaire lisible.</t>
  </si>
  <si>
    <t>Changement concept: zone grise est (tresfond) drainee vers puisards et reseau interne mecanique jusqu'a sortie sud pres bassin (E09).</t>
  </si>
  <si>
    <t>Resume surfaces disponibles dans Decision_Summary (A34:B37) et Resume_checks (B10:B12).</t>
  </si>
  <si>
    <t>Mise a jour: bande est verte scindee -&gt; 164.7 m2 vers E01/E02 + 40.8 m2 (Z13) vers puisard PEHD central/reseau mecanique (E09).</t>
  </si>
  <si>
    <t>Affichage decimal harmonise: format [&lt;1]0.0000;0.000 applique aux champs calcules Tc/temps/Q.</t>
  </si>
  <si>
    <t>INPUTS - PARAMETRES HYDRAULIQUES</t>
  </si>
  <si>
    <t>Parametre</t>
  </si>
  <si>
    <t>Valeur</t>
  </si>
  <si>
    <t>Unite</t>
  </si>
  <si>
    <t>Note</t>
  </si>
  <si>
    <t>IDF_a</t>
  </si>
  <si>
    <t>-</t>
  </si>
  <si>
    <t>i = a/(tc+b)^c</t>
  </si>
  <si>
    <t>IDF_b</t>
  </si>
  <si>
    <t>min</t>
  </si>
  <si>
    <t>Parametre IDF b</t>
  </si>
  <si>
    <t>IDF_c</t>
  </si>
  <si>
    <t>Parametre IDF c</t>
  </si>
  <si>
    <t>Flow_safety_factor</t>
  </si>
  <si>
    <t>Facteur de securite sur debit element</t>
  </si>
  <si>
    <t>n_pipe_default</t>
  </si>
  <si>
    <t>Manning conduite</t>
  </si>
  <si>
    <t>n_swale_default</t>
  </si>
  <si>
    <t>Manning noue vegetee</t>
  </si>
  <si>
    <t>n_trench_default</t>
  </si>
  <si>
    <t>Manning tranchee drainante ouverte</t>
  </si>
  <si>
    <t>C_roof</t>
  </si>
  <si>
    <t>Coef ruissellement toiture</t>
  </si>
  <si>
    <t>C_tresfond</t>
  </si>
  <si>
    <t>Coef ruissellement surface impermeable tresfond</t>
  </si>
  <si>
    <t>C_grass</t>
  </si>
  <si>
    <t>Coef ruissellement gazon</t>
  </si>
  <si>
    <t>C_other</t>
  </si>
  <si>
    <t>Coef autre surface</t>
  </si>
  <si>
    <t>Default_tc_min</t>
  </si>
  <si>
    <t>Tc si non saisi zone</t>
  </si>
  <si>
    <t>Velocity_check_method (DESIGN/MANNING/MAX)</t>
  </si>
  <si>
    <t>MAX</t>
  </si>
  <si>
    <t>Critere vitesse pour CHECK</t>
  </si>
  <si>
    <t>Min_velocity_mps</t>
  </si>
  <si>
    <t>m/s</t>
  </si>
  <si>
    <t>Seuil auto-curage</t>
  </si>
  <si>
    <t>Max_velocity_mps</t>
  </si>
  <si>
    <t>Seuil erosion</t>
  </si>
  <si>
    <t>Min_slope_m_per_m</t>
  </si>
  <si>
    <t>m/m</t>
  </si>
  <si>
    <t>Pente min de controle</t>
  </si>
  <si>
    <t>Fill_ratio_limit</t>
  </si>
  <si>
    <t>Q_design/Q_capacity max</t>
  </si>
  <si>
    <t>Default_side_slope_zH1V</t>
  </si>
  <si>
    <t>Noue/tranchee trapezoidale</t>
  </si>
  <si>
    <t>Default_flow_depth_m</t>
  </si>
  <si>
    <t>m</t>
  </si>
  <si>
    <t>Profondeur ecoulement initiale</t>
  </si>
  <si>
    <t>Trench_porosity_default</t>
  </si>
  <si>
    <t>Porosite utile stockage</t>
  </si>
  <si>
    <t>Node_buffer_time_min</t>
  </si>
  <si>
    <t>Volume tampon noeud = Qin*temps</t>
  </si>
  <si>
    <t>East_strip_total_width_m</t>
  </si>
  <si>
    <t>Largeur bande verte est disponible.</t>
  </si>
  <si>
    <t>East_surface_depression_width_m</t>
  </si>
  <si>
    <t>Largeur depression superficielle.</t>
  </si>
  <si>
    <t>East_surface_depression_depth_m</t>
  </si>
  <si>
    <t>Profondeur depression de surface.</t>
  </si>
  <si>
    <t>East_tree_soil_zone_width_m</t>
  </si>
  <si>
    <t>Zone sol vegetal / arbres.</t>
  </si>
  <si>
    <t>East_underdrain_trench_width_m</t>
  </si>
  <si>
    <t>Largeur tranchee drainante.</t>
  </si>
  <si>
    <t>East_underdrain_trench_depth_m</t>
  </si>
  <si>
    <t>Profondeur tranchee drainante.</t>
  </si>
  <si>
    <t>East_underdrain_pipe_diameter_mm</t>
  </si>
  <si>
    <t>mm</t>
  </si>
  <si>
    <t>Diametre perforé recommandé.</t>
  </si>
  <si>
    <t>East_root_barrier_offset_m</t>
  </si>
  <si>
    <t>Distance cible entre conduite et tronc.</t>
  </si>
  <si>
    <t>East_cleanout_spacing_m</t>
  </si>
  <si>
    <t>Espacement regards/cleanouts.</t>
  </si>
  <si>
    <t>East_underdrain_slope_m_per_m</t>
  </si>
  <si>
    <t>Pente longitudinale de l underdrain.</t>
  </si>
  <si>
    <t>Basin_corridor_width_m</t>
  </si>
  <si>
    <t>Largeur disponible entre batiment et cheminement pieton sud.</t>
  </si>
  <si>
    <t>Basin_corridor_length_m</t>
  </si>
  <si>
    <t>Longueur bassin retention (plan utilisateur) - remplace valeur preliminaire 29.4 m.</t>
  </si>
  <si>
    <t>Basin_target_depth_m</t>
  </si>
  <si>
    <t>Profondeur cible bassin de retention lineaire.</t>
  </si>
  <si>
    <t>Basin_ret_top_level_m</t>
  </si>
  <si>
    <t>Niveau de reference du bassin (a ajuster avec topographie).</t>
  </si>
  <si>
    <t>Basin_ret_invert_m</t>
  </si>
  <si>
    <t>Radier bassin lineaire (derive).</t>
  </si>
  <si>
    <t>Max_cover_near_utilities_m</t>
  </si>
  <si>
    <t>Profondeur max recommandee dans zone lateraux ouest (approche conservatrice).</t>
  </si>
  <si>
    <t>West_chain_total_m</t>
  </si>
  <si>
    <t>Somme E05A..E05E (chaine J-OUEST).</t>
  </si>
  <si>
    <t>West_amont_to_PU2_chain_m</t>
  </si>
  <si>
    <t>Cote plan visible (J-OUEST-AMONT jusqu'a fin zone amont avant troncon pave inferieur).</t>
  </si>
  <si>
    <t>West_pave1_short_span_m</t>
  </si>
  <si>
    <t>Traverse pave-uni courte (amont).</t>
  </si>
  <si>
    <t>West_pave2_span_m</t>
  </si>
  <si>
    <t>Traverse pave-uni inferieure (cote plan visible).</t>
  </si>
  <si>
    <t>West_grass1_area_m2</t>
  </si>
  <si>
    <t>m2</t>
  </si>
  <si>
    <t>Aire zone gazon 1 (image).</t>
  </si>
  <si>
    <t>West_grass2_area_m2</t>
  </si>
  <si>
    <t>Aire zone gazon 2 (image).</t>
  </si>
  <si>
    <t>West_grass3_area_m2</t>
  </si>
  <si>
    <t>Aire zone gazon 3 (image).</t>
  </si>
  <si>
    <t>West_grass12_total_m</t>
  </si>
  <si>
    <t>Longueur gazon amont+milieu (derivee).</t>
  </si>
  <si>
    <t>West_grass1_len_m</t>
  </si>
  <si>
    <t>Longueur E05A (repartition proportionnelle).</t>
  </si>
  <si>
    <t>West_grass2_len_m</t>
  </si>
  <si>
    <t>Longueur E05C (repartition proportionnelle).</t>
  </si>
  <si>
    <t>West_grass3_len_m</t>
  </si>
  <si>
    <t>Longueur E05E (solde vers coin sud-ouest).</t>
  </si>
  <si>
    <t>Top_central_tresfond_area_m2</t>
  </si>
  <si>
    <t>A renseigner depuis plan releve. Zone tresfond bande haute centrale.</t>
  </si>
  <si>
    <t>Include_basin_footprint_runoff (YES/NO)</t>
  </si>
  <si>
    <t>NO</t>
  </si>
  <si>
    <t>NO recommande: empreinte bassin n'est pas contributive au bassin lui-meme.</t>
  </si>
  <si>
    <t>West_swale_to_basin_inlet_m</t>
  </si>
  <si>
    <t>Distance mesuree J-OUEST-AVAL -&gt; entree ouest bassin (image utilisateur).</t>
  </si>
  <si>
    <t>Connection_equal_tolerance_m</t>
  </si>
  <si>
    <t>Tolerance pour raccord sans chute (PIPE-&gt;PIPE ou SWALE-&gt;SWALE).</t>
  </si>
  <si>
    <t>Drop_min_swale_trench_to_pipe_m</t>
  </si>
  <si>
    <t>Chute minimale recommandee pour SWALE/TRENCH vers PIPE.</t>
  </si>
  <si>
    <t>Drop_max_swale_trench_to_pipe_m</t>
  </si>
  <si>
    <t>Chute maximale recommandee avant ouvrage de chute dedie.</t>
  </si>
  <si>
    <t>Basin_inlet_target_drop_m</t>
  </si>
  <si>
    <t>Valeur cible pratique pour entree swale/trench vers conduite bassin.</t>
  </si>
  <si>
    <t>C_pavage</t>
  </si>
  <si>
    <t>Coefficient ruissellement pour surfaces pavees (pave-uni/pavage).</t>
  </si>
  <si>
    <t>Tc_travel_velocity_mps</t>
  </si>
  <si>
    <t>Vitesse adoptee pour calcul temps de transit dans element route (evite references circulaires).</t>
  </si>
  <si>
    <t>Mech_internal_outlet_length_m</t>
  </si>
  <si>
    <t>Longueur approximative conduite interne mecanique (puisards est -&gt; sortie sud pres bassin).</t>
  </si>
  <si>
    <t>Mech_internal_outlet_diameter_mm</t>
  </si>
  <si>
    <t>Diametre indicatif conduite mecanique interne (a confirmer par equipe mecanique).</t>
  </si>
  <si>
    <t>ZONES TRIBUTAIRES - TOIT / TRESFOND / VERT</t>
  </si>
  <si>
    <t>Routing des zones se fait via Element_ID (colonne J), independamment du renommage des noeuds.</t>
  </si>
  <si>
    <t>Zone_ID</t>
  </si>
  <si>
    <t>Description</t>
  </si>
  <si>
    <t>Surface_type</t>
  </si>
  <si>
    <t>Area_m2</t>
  </si>
  <si>
    <t>C_override</t>
  </si>
  <si>
    <t>C_used</t>
  </si>
  <si>
    <t>Tc_min</t>
  </si>
  <si>
    <t>Intensity_mmh</t>
  </si>
  <si>
    <t>Q_peak_m3s</t>
  </si>
  <si>
    <t>Routed_to_Element_ID</t>
  </si>
  <si>
    <t>Notes</t>
  </si>
  <si>
    <t>Tc_base_override_min</t>
  </si>
  <si>
    <t>Travel_time_routed_element_min</t>
  </si>
  <si>
    <t>Tc_auto_used_min</t>
  </si>
  <si>
    <t>Z01</t>
  </si>
  <si>
    <t>Toiture principale (bloc jaune)</t>
  </si>
  <si>
    <t>ROOF</t>
  </si>
  <si>
    <t>E03</t>
  </si>
  <si>
    <t>Routage provisoire vers entree EST; scinder est/ouest plus tard si detail aval disponible.</t>
  </si>
  <si>
    <t>Z02</t>
  </si>
  <si>
    <t>Tresfond est (gris)</t>
  </si>
  <si>
    <t>TRESFOND</t>
  </si>
  <si>
    <t>E09</t>
  </si>
  <si>
    <t>Puisards zone grise est -&gt; reseau interne mecanique -&gt; sortie sud pres bassin (pas vers bande est).</t>
  </si>
  <si>
    <t>Z03</t>
  </si>
  <si>
    <t>Bande verte est (arbres)</t>
  </si>
  <si>
    <t>GRASS</t>
  </si>
  <si>
    <t>E01</t>
  </si>
  <si>
    <t>Bande est verte reduite: 205.5 - 40.8 = 164.7 m2 (partie haute deviee vers puisard PEHD central).</t>
  </si>
  <si>
    <t>Z04</t>
  </si>
  <si>
    <t>Ouest gazon amont (12.5 m2)</t>
  </si>
  <si>
    <t>E05A</t>
  </si>
  <si>
    <t>Image: zone verte amont gauche.</t>
  </si>
  <si>
    <t>Z07</t>
  </si>
  <si>
    <t>Ouest pave-uni court (6.7 m2)</t>
  </si>
  <si>
    <t>PAVAGE</t>
  </si>
  <si>
    <t>E05B</t>
  </si>
  <si>
    <t>Surface pavage (pas tresfond).</t>
  </si>
  <si>
    <t>Z05</t>
  </si>
  <si>
    <t>Ouest gazon milieu (27.2 m2)</t>
  </si>
  <si>
    <t>E05C</t>
  </si>
  <si>
    <t>Image: bande verte milieu ouest.</t>
  </si>
  <si>
    <t>Z08</t>
  </si>
  <si>
    <t>Ouest pave-uni principal (37.5 m2)</t>
  </si>
  <si>
    <t>E05D</t>
  </si>
  <si>
    <t>Surface pavage principal (pave-uni), entre Z05 et Z06.</t>
  </si>
  <si>
    <t>Z06</t>
  </si>
  <si>
    <t>Ouest gazon aval coin sud-ouest (21.9 m2)</t>
  </si>
  <si>
    <t>E05E</t>
  </si>
  <si>
    <t>Image: zone verte pres J-OUEST-AVAL.</t>
  </si>
  <si>
    <t>Z09</t>
  </si>
  <si>
    <t>Empreinte bassin retention (zone de stockage)</t>
  </si>
  <si>
    <t>BASIN</t>
  </si>
  <si>
    <t>Non contributive par defaut (Inputs!B52=NO). Mettre YES pour sensibilité si requis.</t>
  </si>
  <si>
    <t>Z10</t>
  </si>
  <si>
    <t>Sud gris local (pavage)</t>
  </si>
  <si>
    <t>Surface pavage locale (pas tresfond), routage vers entree EST.</t>
  </si>
  <si>
    <t>Z11</t>
  </si>
  <si>
    <t>Sud est vert</t>
  </si>
  <si>
    <t>Vers noue sud</t>
  </si>
  <si>
    <t>Z12</t>
  </si>
  <si>
    <t>Sud est gris petit (pavage)</t>
  </si>
  <si>
    <t>Surface pavage petite zone sud-est (pas tresfond).</t>
  </si>
  <si>
    <t>Z13</t>
  </si>
  <si>
    <t>Petit strip vert nord (vers puisard PEHD central)</t>
  </si>
  <si>
    <t>Devie vers puisard PEHD central puis reseau interne mecanique vers bassin (pas via bande est).</t>
  </si>
  <si>
    <t>DIMENSIONNEMENT ELEMENTS HYBRIDES (PIPE / SWALE / TRENCH)</t>
  </si>
  <si>
    <t>Legend: PIPE=blue, SWALE=green, TRENCH=orange, CHECK=red; AH connection status and AL drop check use Inputs!B54:B56 thresholds.</t>
  </si>
  <si>
    <t>Element_ID</t>
  </si>
  <si>
    <t>Type</t>
  </si>
  <si>
    <t>From_Node</t>
  </si>
  <si>
    <t>To_Node</t>
  </si>
  <si>
    <t>Receives_into_Element_ID</t>
  </si>
  <si>
    <t>Length_m</t>
  </si>
  <si>
    <t>Slope_m/m</t>
  </si>
  <si>
    <t>n_override</t>
  </si>
  <si>
    <t>n_used</t>
  </si>
  <si>
    <t>Dia_pipe_mm</t>
  </si>
  <si>
    <t>Base_width_m</t>
  </si>
  <si>
    <t>Flow_depth_m</t>
  </si>
  <si>
    <t>Side_slope_z</t>
  </si>
  <si>
    <t>Porosity_trench</t>
  </si>
  <si>
    <t>Q_local_from_zones_m3s</t>
  </si>
  <si>
    <t>Q_upstream_m3s</t>
  </si>
  <si>
    <t>Q_design_m3s</t>
  </si>
  <si>
    <t>Area_flow_m2</t>
  </si>
  <si>
    <t>Hydraulic_radius_m</t>
  </si>
  <si>
    <t>Capacity_m3s</t>
  </si>
  <si>
    <t>Q_over_capacity_ratio</t>
  </si>
  <si>
    <t>Velocity_design_QA_mps</t>
  </si>
  <si>
    <t>Velocity_manning_mps</t>
  </si>
  <si>
    <t>Velocity_used_mps</t>
  </si>
  <si>
    <t>Storage_per_m_m3</t>
  </si>
  <si>
    <t>Storage_total_m3</t>
  </si>
  <si>
    <t>Check</t>
  </si>
  <si>
    <t>Invert_down_override_m</t>
  </si>
  <si>
    <t>Invert_down_used_m</t>
  </si>
  <si>
    <t>Invert_up_m</t>
  </si>
  <si>
    <t>Downstream_invert_up_m</t>
  </si>
  <si>
    <t>Connection_delta_m</t>
  </si>
  <si>
    <t>Connection_status</t>
  </si>
  <si>
    <t>Downstream_type</t>
  </si>
  <si>
    <t>Drop_min_req_m</t>
  </si>
  <si>
    <t>Drop_max_req_m</t>
  </si>
  <si>
    <t>Drop_check_status</t>
  </si>
  <si>
    <t>TRENCH</t>
  </si>
  <si>
    <t>P-01</t>
  </si>
  <si>
    <t>P-02</t>
  </si>
  <si>
    <t>E02</t>
  </si>
  <si>
    <t>Longueur corrigee selon plan: P-01 -&gt; P-02 = 9.6 m.</t>
  </si>
  <si>
    <t>P-03</t>
  </si>
  <si>
    <t>Longueur corrigee selon plan: P-02 -&gt; P-03 = 8.7 m.</t>
  </si>
  <si>
    <t>PIPE</t>
  </si>
  <si>
    <t>J-BASSIN-IN</t>
  </si>
  <si>
    <t>E07</t>
  </si>
  <si>
    <t>Entree EST: P-03 -&gt; J-BASSIN-IN (16.1 m).</t>
  </si>
  <si>
    <t>E04</t>
  </si>
  <si>
    <t>J-OUEST-AVAL</t>
  </si>
  <si>
    <t>J-BASSIN-OUEST</t>
  </si>
  <si>
    <t>E08</t>
  </si>
  <si>
    <t>Collecteur ouest final en conduite (4.7 m) vers entree ouest bassin.</t>
  </si>
  <si>
    <t>J-OUEST-AMONT</t>
  </si>
  <si>
    <t>J-OUEST-PU1</t>
  </si>
  <si>
    <t>Ouest segment amont en conduite DN250 vers E05B.</t>
  </si>
  <si>
    <t>J-OUEST-PU2</t>
  </si>
  <si>
    <t>Traverse pave-uni court en conduite DN250 (strategy ouest tout-pipe).</t>
  </si>
  <si>
    <t>J-OUEST-PU3</t>
  </si>
  <si>
    <t>Ouest segment milieu en conduite DN300 vers E05D.</t>
  </si>
  <si>
    <t>J-OUEST-PU4</t>
  </si>
  <si>
    <t>Traverse pave-uni principal en conduite DN300.</t>
  </si>
  <si>
    <t>Ouest segment aval en conduite DN300 vers E04.</t>
  </si>
  <si>
    <t>BASSIN-RET</t>
  </si>
  <si>
    <t>Courte liaison d'entree/ouvrage de regulation vers noeud de stockage BASSIN-RET.</t>
  </si>
  <si>
    <t>Entree OUEST: liaison caniveau/ouvrage vers bassin (2e entree).</t>
  </si>
  <si>
    <t>J-MECH-OUT</t>
  </si>
  <si>
    <t>Apport puisards zone grise est via reseau interne mecanique (traversant batiment) vers bassin sud.</t>
  </si>
  <si>
    <t>NOEUDS / OUVRAGES - CAPACITE DE STOCKAGE TAMPON</t>
  </si>
  <si>
    <t>Node_ID</t>
  </si>
  <si>
    <t>Node_type</t>
  </si>
  <si>
    <t>Ground_elev_m</t>
  </si>
  <si>
    <t>Invert_elev_m</t>
  </si>
  <si>
    <t>Max_depth_m</t>
  </si>
  <si>
    <t>Geometry</t>
  </si>
  <si>
    <t>Dia_or_width_m</t>
  </si>
  <si>
    <t>Length_if_rect_m</t>
  </si>
  <si>
    <t>Storage_geom_m3</t>
  </si>
  <si>
    <t>Buffer_time_min</t>
  </si>
  <si>
    <t>Qin_peak_m3s</t>
  </si>
  <si>
    <t>V_required_m3</t>
  </si>
  <si>
    <t>Node_check</t>
  </si>
  <si>
    <t>CB</t>
  </si>
  <si>
    <t>CIRC</t>
  </si>
  <si>
    <t>J-SUD-EST</t>
  </si>
  <si>
    <t>SWALE_NODE</t>
  </si>
  <si>
    <t>RECT</t>
  </si>
  <si>
    <t>J-SUD-OUEST</t>
  </si>
  <si>
    <t>MH</t>
  </si>
  <si>
    <t>RETENTION</t>
  </si>
  <si>
    <t>RESUME - CONFORMITE HYDRAULIQUE</t>
  </si>
  <si>
    <t>Elements_CHECK</t>
  </si>
  <si>
    <t>Nodes_CHECK</t>
  </si>
  <si>
    <t>Global_status</t>
  </si>
  <si>
    <t>Total_zone_Q_peak_m3s</t>
  </si>
  <si>
    <t>Total_storage_elements_m3</t>
  </si>
  <si>
    <t>Retention_node_storage_m3</t>
  </si>
  <si>
    <t>Impervious_area_total_m2 (ROOF+PAVAGE+TRESFOND)</t>
  </si>
  <si>
    <t>Grass_area_total_m2</t>
  </si>
  <si>
    <t>Impervious_fraction_of_(impervious+grass)</t>
  </si>
  <si>
    <t>GABARIT BANDE EST 2.5 m (ARBRES) - SOLUTION HYBRIDE</t>
  </si>
  <si>
    <t>Composante</t>
  </si>
  <si>
    <t>Largeur m</t>
  </si>
  <si>
    <t>Profondeur m</t>
  </si>
  <si>
    <t>Volume utile m3/m</t>
  </si>
  <si>
    <t>Depression de surface (micro-noue)</t>
  </si>
  <si>
    <t>Storage_surface_m3_per_m</t>
  </si>
  <si>
    <t>m3/m</t>
  </si>
  <si>
    <t>Captation initiale / pretaitement.</t>
  </si>
  <si>
    <t>Tranchee drainante (sous-sol)</t>
  </si>
  <si>
    <t>Porosite</t>
  </si>
  <si>
    <t>Conveyance + stockage utile.</t>
  </si>
  <si>
    <t>Sous-total stockage</t>
  </si>
  <si>
    <t>Storage_total_m3_per_m</t>
  </si>
  <si>
    <t>Base dimensionnement lineaire.</t>
  </si>
  <si>
    <t>Underdrain perforé</t>
  </si>
  <si>
    <t>Diametre_pipe_mm</t>
  </si>
  <si>
    <t>PVC/PEHD perforé, pente Inputs!B33.</t>
  </si>
  <si>
    <t>Espacement cleanout</t>
  </si>
  <si>
    <t>Spacing_m</t>
  </si>
  <si>
    <t>Aux changements de direction et max 25-30 m.</t>
  </si>
  <si>
    <t>Offset barriere racinaire</t>
  </si>
  <si>
    <t>Offset_m</t>
  </si>
  <si>
    <t>Eloigner la conduite de la zone tronc/racines.</t>
  </si>
  <si>
    <t>Controle rapide capacite lineaire</t>
  </si>
  <si>
    <t>Longueur active bande est (m)</t>
  </si>
  <si>
    <t>(input)</t>
  </si>
  <si>
    <t>Stockage lineaire m3/m</t>
  </si>
  <si>
    <t>Stockage total disponible m3</t>
  </si>
  <si>
    <t>CONVENTION DE NOMMAGE - MODELE HYBRIDE</t>
  </si>
  <si>
    <t>Placeholder</t>
  </si>
  <si>
    <t>Label projet</t>
  </si>
  <si>
    <t>Role hydraulique</t>
  </si>
  <si>
    <t>P1</t>
  </si>
  <si>
    <t>Noeud amont est</t>
  </si>
  <si>
    <t>Puisard/CB existant amont</t>
  </si>
  <si>
    <t>P2</t>
  </si>
  <si>
    <t>Noeud intermediaire est</t>
  </si>
  <si>
    <t>Puisard/CB milieu</t>
  </si>
  <si>
    <t>P3</t>
  </si>
  <si>
    <t>Noeud aval est</t>
  </si>
  <si>
    <t>Puisard/CB aval</t>
  </si>
  <si>
    <t>S_EAST</t>
  </si>
  <si>
    <t>Jonction sud est</t>
  </si>
  <si>
    <t>Point de collecte sud est</t>
  </si>
  <si>
    <t>S_MID</t>
  </si>
  <si>
    <t>Jonction sud ouest</t>
  </si>
  <si>
    <t>Point de rassemblement sud</t>
  </si>
  <si>
    <t>W_UP</t>
  </si>
  <si>
    <t>Noeud ouest amont</t>
  </si>
  <si>
    <t>Collecte bande ouest</t>
  </si>
  <si>
    <t>W_LOW</t>
  </si>
  <si>
    <t>Noeud ouest aval</t>
  </si>
  <si>
    <t>Transition vers pipe</t>
  </si>
  <si>
    <t>BASIN_IN</t>
  </si>
  <si>
    <t>Regard amont bassin</t>
  </si>
  <si>
    <t>Noeud avant bassin</t>
  </si>
  <si>
    <t>BASIN_RET</t>
  </si>
  <si>
    <t>Bassin de retention</t>
  </si>
  <si>
    <t>Exutoire final</t>
  </si>
  <si>
    <t>IMPLANTATION OUEST - CONFLITS UTILITES (AEP / PLUVIAL / SANITAIRE)</t>
  </si>
  <si>
    <t>Zone</t>
  </si>
  <si>
    <t>Contrainte</t>
  </si>
  <si>
    <t>Strategie recommandee</t>
  </si>
  <si>
    <t>Element modele</t>
  </si>
  <si>
    <t>Parametre cible</t>
  </si>
  <si>
    <t>Commentaire</t>
  </si>
  <si>
    <t>Ouest haut (grass 12.5 m2)</t>
  </si>
  <si>
    <t>Lateraux multiples</t>
  </si>
  <si>
    <t>Conduite enterree peu profonde</t>
  </si>
  <si>
    <t>E05A (PIPE)</t>
  </si>
  <si>
    <t>DN250, pente ~1.0%</t>
  </si>
  <si>
    <t>Strategie client: ouest privilegie en conduites.</t>
  </si>
  <si>
    <t>Traverse pave-uni 1 (6.7 m2)</t>
  </si>
  <si>
    <t>Traverse pietonne courte</t>
  </si>
  <si>
    <t>Conduite traversee pave-uni</t>
  </si>
  <si>
    <t>E05B (PIPE)</t>
  </si>
  <si>
    <t>Raccord vers regard intermediaire.</t>
  </si>
  <si>
    <t>Ouest milieu (27.2 m2)</t>
  </si>
  <si>
    <t>Zone vegetale</t>
  </si>
  <si>
    <t>Conduite enterree</t>
  </si>
  <si>
    <t>E05C (PIPE)</t>
  </si>
  <si>
    <t>DN300, pente ~0.9%</t>
  </si>
  <si>
    <t>Segment principal vers aval.</t>
  </si>
  <si>
    <t>Traverse pave-uni 2 (37.5 m2)</t>
  </si>
  <si>
    <t>Traverse mineralisee</t>
  </si>
  <si>
    <t>E05D (PIPE)</t>
  </si>
  <si>
    <t>Traverse mineralisee en conduite.</t>
  </si>
  <si>
    <t>Ouest aval grass (21.9 m2)</t>
  </si>
  <si>
    <t>Approche bassin</t>
  </si>
  <si>
    <t>E05E (PIPE)</t>
  </si>
  <si>
    <t>DN300, pente ~0.8%</t>
  </si>
  <si>
    <t>Vers E04 puis E08 et bassin.</t>
  </si>
  <si>
    <t>Note: verifier elevations utilites existantes et degagements minimaux avant IFC (TQC obligatoire).</t>
  </si>
  <si>
    <t>DIMENSIONNEMENT BANDE EST (2.5m) - ESTIMATION A PARTIR DES AIRES</t>
  </si>
  <si>
    <t>Item</t>
  </si>
  <si>
    <t>Formule/Source</t>
  </si>
  <si>
    <t>Critere</t>
  </si>
  <si>
    <t>Resultat</t>
  </si>
  <si>
    <t>Q_design est aval (E02)</t>
  </si>
  <si>
    <t>Elements_hybrides Q(E02)</t>
  </si>
  <si>
    <t>m3/s</t>
  </si>
  <si>
    <t>Capacite pipe 200mm (s=Inputs!B33)</t>
  </si>
  <si>
    <t>Manning plein</t>
  </si>
  <si>
    <t>Capacite pipe 250mm</t>
  </si>
  <si>
    <t>Capacite pipe 300mm</t>
  </si>
  <si>
    <t>Diametre recommande est</t>
  </si>
  <si>
    <t>Q_design / fill_limit</t>
  </si>
  <si>
    <t>Stockage lineaire surface+tranchee (m3/m)</t>
  </si>
  <si>
    <t>Template_est_2p5m</t>
  </si>
  <si>
    <t>Longueur active bande est</t>
  </si>
  <si>
    <t>E01+E02</t>
  </si>
  <si>
    <t>Stockage dispo bande est</t>
  </si>
  <si>
    <t>C10*C11</t>
  </si>
  <si>
    <t>m3</t>
  </si>
  <si>
    <t>Volume tampon requis est</t>
  </si>
  <si>
    <t>Q_design*buffer</t>
  </si>
  <si>
    <t>Check stockage est</t>
  </si>
  <si>
    <t>C12 vs C13</t>
  </si>
  <si>
    <t>DECISION SUMMARY - DRAINAGE HYBRIDE TRESFOND (PRET POUR PARTAGE)</t>
  </si>
  <si>
    <t>Project strategy</t>
  </si>
  <si>
    <t>1) Bande est (arbres): tranchee drainante + underdrain (E01/E02) au lieu d une noue profonde.</t>
  </si>
  <si>
    <t>2) Bande sud (2.0 m): noue lineaire + volume de retention dans le corridor contraint.</t>
  </si>
  <si>
    <t>3) Ouest: drainage en conduites (DN250/DN300) vers E04 puis entree ouest bassin.</t>
  </si>
  <si>
    <t>4) Zone grise est (tresfond): puisards + reseau interne mecanique vers sortie sud et bassin.</t>
  </si>
  <si>
    <t>Key dimensions and constraints</t>
  </si>
  <si>
    <t>Parameter</t>
  </si>
  <si>
    <t>Value</t>
  </si>
  <si>
    <t>Comment</t>
  </si>
  <si>
    <t>Element</t>
  </si>
  <si>
    <t>Qdesign (m3/s)</t>
  </si>
  <si>
    <t>East strip total width (m)</t>
  </si>
  <si>
    <t>&lt;= site 2.5 m</t>
  </si>
  <si>
    <t>Underdrain trench width x depth (m)</t>
  </si>
  <si>
    <t>Tree-compatible trench</t>
  </si>
  <si>
    <t>Underdrain diameter (mm)</t>
  </si>
  <si>
    <t>Initial recommendation</t>
  </si>
  <si>
    <t>West connector to basin inlet (m)</t>
  </si>
  <si>
    <t>Measured corner link J-OUEST-AVAL -&gt; J-BASSIN-OUEST</t>
  </si>
  <si>
    <t>Retention basin corridor width x length (m)</t>
  </si>
  <si>
    <t>Storage geometry at node BASSIN-RET (not an E04 reach).</t>
  </si>
  <si>
    <t>BASSIN-RET (node)</t>
  </si>
  <si>
    <t>N/A</t>
  </si>
  <si>
    <t>East inlet pipe length to basin (m)</t>
  </si>
  <si>
    <t>J-BASSIN-IN -&gt; BASSIN-RET</t>
  </si>
  <si>
    <t>West inlet pipe length to basin (m)</t>
  </si>
  <si>
    <t>J-BASSIN-OUEST -&gt; BASSIN-RET</t>
  </si>
  <si>
    <t>KPI checks</t>
  </si>
  <si>
    <t>Indicator</t>
  </si>
  <si>
    <t>Elements CHECK count</t>
  </si>
  <si>
    <t>Nodes CHECK count</t>
  </si>
  <si>
    <t>Global status</t>
  </si>
  <si>
    <t>Total peak runoff (m3/s)</t>
  </si>
  <si>
    <t>Total element storage (m3)</t>
  </si>
  <si>
    <t>Retention storage node (m3)</t>
  </si>
  <si>
    <t>Actions before IFC</t>
  </si>
  <si>
    <t>- Confirmer positions/degagements exacts des lateraux ouest (AEP/pluvial/sanitaire) avec releves TQC.</t>
  </si>
  <si>
    <t>- Valider niveau radier/top bassin avec topographie terrain et profil final du cheminement pieton.</t>
  </si>
  <si>
    <t>- Ajuster diametre underdrain est (Inputs!B30) selon Qdesign final de E02 et critere de remplissage.</t>
  </si>
  <si>
    <t>- Verifier protection racinaire et details constructifs (barriere racinaire + cleanouts + acces entretien).</t>
  </si>
  <si>
    <t>Surface summary (readable quantities)</t>
  </si>
  <si>
    <t>Impervious area total (m2)</t>
  </si>
  <si>
    <t>ROOF + PAVAGE + TRESFOND</t>
  </si>
  <si>
    <t>Grass area total (m2)</t>
  </si>
  <si>
    <t>GRASS only</t>
  </si>
  <si>
    <t>Impervious fraction</t>
  </si>
  <si>
    <t>Impervious/(Impervious+Grass)</t>
  </si>
  <si>
    <t>grass</t>
  </si>
  <si>
    <t>pavage</t>
  </si>
  <si>
    <t>empreinte bassin</t>
  </si>
  <si>
    <t>J-MH</t>
  </si>
  <si>
    <t>RACCORDEMENT</t>
  </si>
  <si>
    <t>MIRABEL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</si>
</sst>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&lt;1]0.000;0.00"/>
    <numFmt numFmtId="166" formatCode="[&lt;1]0.0000;0.000"/>
  </numFmts>
  <fonts count="5" x14ac:knownFonts="1">
    <font>
      <sz val="11"/>
      <color theme="1"/>
      <name val="Calibri"/>
      <family val="2"/>
      <charset val="1"/>
    </font>
    <font>
      <b/>
      <sz val="11"/>
      <color rgb="FFFFFFFF"/>
      <name val="Cambria"/>
      <family val="1"/>
    </font>
    <font>
      <b/>
      <sz val="11"/>
      <name val="Cambria"/>
      <family val="1"/>
    </font>
    <font>
      <i/>
      <sz val="11"/>
      <name val="Cambria"/>
      <family val="1"/>
    </font>
    <font>
      <sz val="11"/>
      <color rgb="FFFF0000"/>
      <name val="Calibri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DDEBF7"/>
      </patternFill>
    </fill>
    <fill>
      <patternFill patternType="solid">
        <fgColor rgb="FFFFF2CC"/>
        <bgColor rgb="FFFCE4D6"/>
      </patternFill>
    </fill>
    <fill>
      <patternFill patternType="solid">
        <fgColor rgb="FFE2F0D9"/>
        <bgColor rgb="FFDDEBF7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2" fillId="3" borderId="1" xfId="0" applyFont="1" applyFill="1" applyBorder="1"/>
    <xf numFmtId="0" fontId="0" fillId="0" borderId="1" xfId="0" applyBorder="1"/>
    <xf numFmtId="0" fontId="0" fillId="4" borderId="1" xfId="0" applyFill="1" applyBorder="1"/>
    <xf numFmtId="0" fontId="0" fillId="5" borderId="1" xfId="0" applyFill="1" applyBorder="1"/>
    <xf numFmtId="164" fontId="0" fillId="4" borderId="1" xfId="0" applyNumberFormat="1" applyFill="1" applyBorder="1"/>
    <xf numFmtId="0" fontId="2" fillId="3" borderId="1" xfId="0" applyFont="1" applyFill="1" applyBorder="1" applyAlignment="1">
      <alignment horizontal="center" wrapText="1"/>
    </xf>
    <xf numFmtId="165" fontId="0" fillId="4" borderId="1" xfId="0" applyNumberFormat="1" applyFill="1" applyBorder="1"/>
    <xf numFmtId="166" fontId="0" fillId="5" borderId="1" xfId="0" applyNumberFormat="1" applyFill="1" applyBorder="1"/>
    <xf numFmtId="165" fontId="0" fillId="5" borderId="1" xfId="0" applyNumberFormat="1" applyFill="1" applyBorder="1"/>
    <xf numFmtId="164" fontId="0" fillId="5" borderId="1" xfId="0" applyNumberFormat="1" applyFill="1" applyBorder="1"/>
    <xf numFmtId="2" fontId="0" fillId="4" borderId="1" xfId="0" applyNumberFormat="1" applyFill="1" applyBorder="1"/>
    <xf numFmtId="0" fontId="2" fillId="0" borderId="1" xfId="0" applyFont="1" applyBorder="1"/>
    <xf numFmtId="166" fontId="0" fillId="0" borderId="1" xfId="0" applyNumberFormat="1" applyBorder="1"/>
    <xf numFmtId="165" fontId="0" fillId="7" borderId="1" xfId="0" applyNumberFormat="1" applyFill="1" applyBorder="1"/>
    <xf numFmtId="165" fontId="0" fillId="0" borderId="1" xfId="0" applyNumberFormat="1" applyBorder="1"/>
    <xf numFmtId="0" fontId="3" fillId="0" borderId="1" xfId="0" applyFont="1" applyBorder="1"/>
    <xf numFmtId="0" fontId="0" fillId="8" borderId="0" xfId="0" applyFill="1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6" borderId="0" xfId="0" applyFont="1" applyFill="1"/>
    <xf numFmtId="0" fontId="0" fillId="0" borderId="0" xfId="0"/>
    <xf numFmtId="0" fontId="2" fillId="3" borderId="0" xfId="0" applyFont="1" applyFill="1"/>
    <xf numFmtId="2" fontId="0" fillId="5" borderId="1" xfId="0" applyNumberFormat="1" applyFill="1" applyBorder="1"/>
    <xf numFmtId="165" fontId="4" fillId="4" borderId="1" xfId="0" applyNumberFormat="1" applyFont="1" applyFill="1" applyBorder="1"/>
    <xf numFmtId="0" fontId="4" fillId="0" borderId="1" xfId="0" applyFont="1" applyBorder="1"/>
    <xf numFmtId="0" fontId="0" fillId="0" borderId="2" xfId="0" applyFill="1" applyBorder="1"/>
  </cellXfs>
  <cellStyles count="1">
    <cellStyle name="Normal" xfId="0" builtinId="0"/>
  </cellStyles>
  <dxfs count="8"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9C0006"/>
      </font>
      <fill>
        <patternFill>
          <bgColor rgb="FFFFC7CE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DDEBF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CE4D6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6"/>
  <sheetViews>
    <sheetView topLeftCell="A19" zoomScaleNormal="100" workbookViewId="0">
      <selection activeCell="A41" sqref="A41"/>
    </sheetView>
  </sheetViews>
  <sheetFormatPr baseColWidth="10" defaultColWidth="8.7109375" defaultRowHeight="15" customHeight="1" x14ac:dyDescent="0.25"/>
  <cols>
    <col min="1" max="1" width="145" customWidth="1"/>
    <col min="2" max="8" width="20" customWidth="1"/>
  </cols>
  <sheetData>
    <row r="1" spans="1:8" x14ac:dyDescent="0.25">
      <c r="A1" s="19" t="s">
        <v>0</v>
      </c>
      <c r="B1" s="19"/>
      <c r="C1" s="19"/>
      <c r="D1" s="19"/>
      <c r="E1" s="19"/>
      <c r="F1" s="19"/>
      <c r="G1" s="19"/>
      <c r="H1" s="19"/>
    </row>
    <row r="3" spans="1:8" x14ac:dyDescent="0.25">
      <c r="A3" t="s">
        <v>1</v>
      </c>
    </row>
    <row r="4" spans="1:8" x14ac:dyDescent="0.25">
      <c r="A4" t="s">
        <v>2</v>
      </c>
    </row>
    <row r="5" spans="1:8" x14ac:dyDescent="0.25">
      <c r="A5" t="s">
        <v>3</v>
      </c>
    </row>
    <row r="6" spans="1:8" x14ac:dyDescent="0.25">
      <c r="A6" t="s">
        <v>4</v>
      </c>
    </row>
    <row r="7" spans="1:8" x14ac:dyDescent="0.25">
      <c r="A7" t="s">
        <v>5</v>
      </c>
    </row>
    <row r="8" spans="1:8" x14ac:dyDescent="0.25">
      <c r="A8" t="s">
        <v>6</v>
      </c>
    </row>
    <row r="9" spans="1:8" x14ac:dyDescent="0.25">
      <c r="A9" t="s">
        <v>7</v>
      </c>
    </row>
    <row r="10" spans="1:8" x14ac:dyDescent="0.25">
      <c r="A10" t="s">
        <v>8</v>
      </c>
    </row>
    <row r="11" spans="1:8" x14ac:dyDescent="0.25">
      <c r="A11" t="s">
        <v>9</v>
      </c>
    </row>
    <row r="14" spans="1:8" x14ac:dyDescent="0.25">
      <c r="A14" s="1" t="s">
        <v>10</v>
      </c>
    </row>
    <row r="15" spans="1:8" x14ac:dyDescent="0.25">
      <c r="A15" t="s">
        <v>11</v>
      </c>
    </row>
    <row r="16" spans="1:8" x14ac:dyDescent="0.25">
      <c r="A16" t="s">
        <v>12</v>
      </c>
    </row>
    <row r="17" spans="1:1" x14ac:dyDescent="0.25">
      <c r="A17" t="s">
        <v>13</v>
      </c>
    </row>
    <row r="18" spans="1:1" x14ac:dyDescent="0.25">
      <c r="A18" t="s">
        <v>14</v>
      </c>
    </row>
    <row r="19" spans="1:1" x14ac:dyDescent="0.25">
      <c r="A19" t="s">
        <v>15</v>
      </c>
    </row>
    <row r="20" spans="1:1" x14ac:dyDescent="0.25">
      <c r="A20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24</v>
      </c>
    </row>
    <row r="29" spans="1:1" x14ac:dyDescent="0.25">
      <c r="A29" t="s">
        <v>25</v>
      </c>
    </row>
    <row r="30" spans="1:1" x14ac:dyDescent="0.25">
      <c r="A30" t="s">
        <v>26</v>
      </c>
    </row>
    <row r="31" spans="1:1" x14ac:dyDescent="0.25">
      <c r="A31" t="s">
        <v>27</v>
      </c>
    </row>
    <row r="32" spans="1:1" x14ac:dyDescent="0.25">
      <c r="A32" t="s">
        <v>28</v>
      </c>
    </row>
    <row r="33" spans="1:1" x14ac:dyDescent="0.25">
      <c r="A33" t="s">
        <v>29</v>
      </c>
    </row>
    <row r="34" spans="1:1" x14ac:dyDescent="0.25">
      <c r="A34" t="s">
        <v>30</v>
      </c>
    </row>
    <row r="35" spans="1:1" x14ac:dyDescent="0.25">
      <c r="A35" t="s">
        <v>31</v>
      </c>
    </row>
    <row r="36" spans="1:1" x14ac:dyDescent="0.25">
      <c r="A36" t="s">
        <v>32</v>
      </c>
    </row>
    <row r="37" spans="1:1" x14ac:dyDescent="0.25">
      <c r="A37" t="s">
        <v>33</v>
      </c>
    </row>
    <row r="38" spans="1:1" x14ac:dyDescent="0.25">
      <c r="A38" t="s">
        <v>34</v>
      </c>
    </row>
    <row r="39" spans="1:1" x14ac:dyDescent="0.25">
      <c r="A39" t="s">
        <v>35</v>
      </c>
    </row>
    <row r="40" spans="1:1" x14ac:dyDescent="0.25">
      <c r="A40" t="s">
        <v>36</v>
      </c>
    </row>
    <row r="41" spans="1:1" x14ac:dyDescent="0.25">
      <c r="A41" s="18" t="s">
        <v>37</v>
      </c>
    </row>
    <row r="42" spans="1:1" x14ac:dyDescent="0.25">
      <c r="A42" t="s">
        <v>38</v>
      </c>
    </row>
    <row r="43" spans="1:1" x14ac:dyDescent="0.25">
      <c r="A43" t="s">
        <v>39</v>
      </c>
    </row>
    <row r="44" spans="1:1" x14ac:dyDescent="0.25">
      <c r="A44" t="s">
        <v>40</v>
      </c>
    </row>
    <row r="45" spans="1:1" x14ac:dyDescent="0.25">
      <c r="A45" t="s">
        <v>41</v>
      </c>
    </row>
    <row r="46" spans="1:1" x14ac:dyDescent="0.25">
      <c r="A46" t="s">
        <v>42</v>
      </c>
    </row>
    <row r="47" spans="1:1" x14ac:dyDescent="0.25">
      <c r="A47" t="s">
        <v>43</v>
      </c>
    </row>
    <row r="48" spans="1:1" x14ac:dyDescent="0.25">
      <c r="A48" t="s">
        <v>44</v>
      </c>
    </row>
    <row r="49" spans="1:1" x14ac:dyDescent="0.25">
      <c r="A49" t="s">
        <v>45</v>
      </c>
    </row>
    <row r="50" spans="1:1" x14ac:dyDescent="0.25">
      <c r="A50" t="s">
        <v>46</v>
      </c>
    </row>
    <row r="51" spans="1:1" x14ac:dyDescent="0.25">
      <c r="A51" t="s">
        <v>47</v>
      </c>
    </row>
    <row r="52" spans="1:1" x14ac:dyDescent="0.25">
      <c r="A52" t="s">
        <v>48</v>
      </c>
    </row>
    <row r="53" spans="1:1" x14ac:dyDescent="0.25">
      <c r="A53" t="s">
        <v>49</v>
      </c>
    </row>
    <row r="54" spans="1:1" x14ac:dyDescent="0.25">
      <c r="A54" t="s">
        <v>50</v>
      </c>
    </row>
    <row r="55" spans="1:1" x14ac:dyDescent="0.25">
      <c r="A55" t="s">
        <v>51</v>
      </c>
    </row>
    <row r="56" spans="1:1" x14ac:dyDescent="0.25">
      <c r="A56" t="s">
        <v>52</v>
      </c>
    </row>
  </sheetData>
  <mergeCells count="1">
    <mergeCell ref="A1:H1"/>
  </mergeCells>
  <pageMargins left="0.75" right="0.75" top="1" bottom="1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zoomScale="145" zoomScaleNormal="145" workbookViewId="0">
      <pane ySplit="2" topLeftCell="A3" activePane="bottomLeft" state="frozen"/>
      <selection pane="bottomLeft" activeCell="B6" sqref="B6"/>
    </sheetView>
  </sheetViews>
  <sheetFormatPr baseColWidth="10" defaultColWidth="8.7109375" defaultRowHeight="15" customHeight="1" x14ac:dyDescent="0.25"/>
  <cols>
    <col min="1" max="1" width="44" customWidth="1"/>
    <col min="2" max="2" width="18" customWidth="1"/>
    <col min="3" max="3" width="10" customWidth="1"/>
    <col min="4" max="4" width="70" customWidth="1"/>
    <col min="5" max="6" width="20" customWidth="1"/>
  </cols>
  <sheetData>
    <row r="1" spans="1:6" x14ac:dyDescent="0.25">
      <c r="A1" s="19" t="s">
        <v>53</v>
      </c>
      <c r="B1" s="19"/>
      <c r="C1" s="19"/>
      <c r="D1" s="19"/>
      <c r="E1" s="19"/>
      <c r="F1" s="19"/>
    </row>
    <row r="2" spans="1:6" x14ac:dyDescent="0.25">
      <c r="A2" s="2" t="s">
        <v>54</v>
      </c>
      <c r="B2" s="2" t="s">
        <v>55</v>
      </c>
      <c r="C2" s="2" t="s">
        <v>56</v>
      </c>
      <c r="D2" s="2" t="s">
        <v>57</v>
      </c>
    </row>
    <row r="3" spans="1:6" x14ac:dyDescent="0.25">
      <c r="A3" s="3" t="s">
        <v>58</v>
      </c>
      <c r="B3" s="4">
        <v>7423.67</v>
      </c>
      <c r="C3" s="3" t="s">
        <v>59</v>
      </c>
      <c r="D3" s="3" t="s">
        <v>60</v>
      </c>
      <c r="E3" s="27" t="s">
        <v>527</v>
      </c>
    </row>
    <row r="4" spans="1:6" x14ac:dyDescent="0.25">
      <c r="A4" s="3" t="s">
        <v>61</v>
      </c>
      <c r="B4" s="4">
        <v>33.5</v>
      </c>
      <c r="C4" s="3" t="s">
        <v>62</v>
      </c>
      <c r="D4" s="3" t="s">
        <v>63</v>
      </c>
      <c r="E4" s="27" t="s">
        <v>527</v>
      </c>
    </row>
    <row r="5" spans="1:6" x14ac:dyDescent="0.25">
      <c r="A5" s="3" t="s">
        <v>64</v>
      </c>
      <c r="B5" s="4">
        <v>1.1479999999999999</v>
      </c>
      <c r="C5" s="3" t="s">
        <v>59</v>
      </c>
      <c r="D5" s="3" t="s">
        <v>65</v>
      </c>
      <c r="E5" s="27" t="s">
        <v>527</v>
      </c>
    </row>
    <row r="6" spans="1:6" x14ac:dyDescent="0.25">
      <c r="A6" s="3" t="s">
        <v>66</v>
      </c>
      <c r="B6" s="4">
        <v>1.1000000000000001</v>
      </c>
      <c r="C6" s="3" t="s">
        <v>59</v>
      </c>
      <c r="D6" s="3" t="s">
        <v>67</v>
      </c>
    </row>
    <row r="7" spans="1:6" x14ac:dyDescent="0.25">
      <c r="A7" s="3" t="s">
        <v>68</v>
      </c>
      <c r="B7" s="4">
        <v>1.2999999999999999E-2</v>
      </c>
      <c r="C7" s="3" t="s">
        <v>59</v>
      </c>
      <c r="D7" s="3" t="s">
        <v>69</v>
      </c>
    </row>
    <row r="8" spans="1:6" x14ac:dyDescent="0.25">
      <c r="A8" s="3" t="s">
        <v>70</v>
      </c>
      <c r="B8" s="4">
        <v>0.03</v>
      </c>
      <c r="C8" s="3" t="s">
        <v>59</v>
      </c>
      <c r="D8" s="3" t="s">
        <v>71</v>
      </c>
    </row>
    <row r="9" spans="1:6" x14ac:dyDescent="0.25">
      <c r="A9" s="3" t="s">
        <v>72</v>
      </c>
      <c r="B9" s="4">
        <v>2.8000000000000001E-2</v>
      </c>
      <c r="C9" s="3" t="s">
        <v>59</v>
      </c>
      <c r="D9" s="3" t="s">
        <v>73</v>
      </c>
    </row>
    <row r="10" spans="1:6" x14ac:dyDescent="0.25">
      <c r="A10" s="3" t="s">
        <v>74</v>
      </c>
      <c r="B10" s="4">
        <v>0.95</v>
      </c>
      <c r="C10" s="3" t="s">
        <v>59</v>
      </c>
      <c r="D10" s="3" t="s">
        <v>75</v>
      </c>
    </row>
    <row r="11" spans="1:6" x14ac:dyDescent="0.25">
      <c r="A11" s="3" t="s">
        <v>76</v>
      </c>
      <c r="B11" s="4">
        <v>0.95</v>
      </c>
      <c r="C11" s="3" t="s">
        <v>59</v>
      </c>
      <c r="D11" s="3" t="s">
        <v>77</v>
      </c>
    </row>
    <row r="12" spans="1:6" x14ac:dyDescent="0.25">
      <c r="A12" s="3" t="s">
        <v>78</v>
      </c>
      <c r="B12" s="4">
        <v>0.25</v>
      </c>
      <c r="C12" s="3" t="s">
        <v>59</v>
      </c>
      <c r="D12" s="3" t="s">
        <v>79</v>
      </c>
    </row>
    <row r="13" spans="1:6" x14ac:dyDescent="0.25">
      <c r="A13" s="3" t="s">
        <v>80</v>
      </c>
      <c r="B13" s="4">
        <v>0.6</v>
      </c>
      <c r="C13" s="3" t="s">
        <v>59</v>
      </c>
      <c r="D13" s="3" t="s">
        <v>81</v>
      </c>
    </row>
    <row r="14" spans="1:6" x14ac:dyDescent="0.25">
      <c r="A14" s="3" t="s">
        <v>82</v>
      </c>
      <c r="B14" s="4">
        <v>7</v>
      </c>
      <c r="C14" s="3" t="s">
        <v>62</v>
      </c>
      <c r="D14" s="3" t="s">
        <v>83</v>
      </c>
    </row>
    <row r="15" spans="1:6" x14ac:dyDescent="0.25">
      <c r="A15" s="3" t="s">
        <v>84</v>
      </c>
      <c r="B15" s="4" t="s">
        <v>85</v>
      </c>
      <c r="C15" s="3" t="s">
        <v>59</v>
      </c>
      <c r="D15" s="3" t="s">
        <v>86</v>
      </c>
    </row>
    <row r="16" spans="1:6" x14ac:dyDescent="0.25">
      <c r="A16" s="3" t="s">
        <v>87</v>
      </c>
      <c r="B16" s="4">
        <v>0.75</v>
      </c>
      <c r="C16" s="3" t="s">
        <v>88</v>
      </c>
      <c r="D16" s="3" t="s">
        <v>89</v>
      </c>
    </row>
    <row r="17" spans="1:4" x14ac:dyDescent="0.25">
      <c r="A17" s="3" t="s">
        <v>90</v>
      </c>
      <c r="B17" s="4">
        <v>3</v>
      </c>
      <c r="C17" s="3" t="s">
        <v>88</v>
      </c>
      <c r="D17" s="3" t="s">
        <v>91</v>
      </c>
    </row>
    <row r="18" spans="1:4" x14ac:dyDescent="0.25">
      <c r="A18" s="3" t="s">
        <v>92</v>
      </c>
      <c r="B18" s="4">
        <v>3.0000000000000001E-3</v>
      </c>
      <c r="C18" s="3" t="s">
        <v>93</v>
      </c>
      <c r="D18" s="3" t="s">
        <v>94</v>
      </c>
    </row>
    <row r="19" spans="1:4" x14ac:dyDescent="0.25">
      <c r="A19" s="3" t="s">
        <v>95</v>
      </c>
      <c r="B19" s="4">
        <v>0.8</v>
      </c>
      <c r="C19" s="3" t="s">
        <v>59</v>
      </c>
      <c r="D19" s="3" t="s">
        <v>96</v>
      </c>
    </row>
    <row r="20" spans="1:4" x14ac:dyDescent="0.25">
      <c r="A20" s="3" t="s">
        <v>97</v>
      </c>
      <c r="B20" s="4">
        <v>3</v>
      </c>
      <c r="C20" s="3" t="s">
        <v>59</v>
      </c>
      <c r="D20" s="3" t="s">
        <v>98</v>
      </c>
    </row>
    <row r="21" spans="1:4" x14ac:dyDescent="0.25">
      <c r="A21" s="3" t="s">
        <v>99</v>
      </c>
      <c r="B21" s="4">
        <v>0.3</v>
      </c>
      <c r="C21" s="3" t="s">
        <v>100</v>
      </c>
      <c r="D21" s="3" t="s">
        <v>101</v>
      </c>
    </row>
    <row r="22" spans="1:4" x14ac:dyDescent="0.25">
      <c r="A22" s="3" t="s">
        <v>102</v>
      </c>
      <c r="B22" s="4">
        <v>0.35</v>
      </c>
      <c r="C22" s="3" t="s">
        <v>59</v>
      </c>
      <c r="D22" s="3" t="s">
        <v>103</v>
      </c>
    </row>
    <row r="23" spans="1:4" x14ac:dyDescent="0.25">
      <c r="A23" s="3" t="s">
        <v>104</v>
      </c>
      <c r="B23" s="4">
        <v>6</v>
      </c>
      <c r="C23" s="3" t="s">
        <v>62</v>
      </c>
      <c r="D23" s="3" t="s">
        <v>105</v>
      </c>
    </row>
    <row r="24" spans="1:4" x14ac:dyDescent="0.25">
      <c r="A24" s="3" t="s">
        <v>106</v>
      </c>
      <c r="B24" s="4">
        <v>2.5</v>
      </c>
      <c r="C24" s="3" t="s">
        <v>100</v>
      </c>
      <c r="D24" s="3" t="s">
        <v>107</v>
      </c>
    </row>
    <row r="25" spans="1:4" x14ac:dyDescent="0.25">
      <c r="A25" s="3" t="s">
        <v>108</v>
      </c>
      <c r="B25" s="4">
        <v>0.6</v>
      </c>
      <c r="C25" s="3" t="s">
        <v>100</v>
      </c>
      <c r="D25" s="3" t="s">
        <v>109</v>
      </c>
    </row>
    <row r="26" spans="1:4" x14ac:dyDescent="0.25">
      <c r="A26" s="3" t="s">
        <v>110</v>
      </c>
      <c r="B26" s="4">
        <v>0.1</v>
      </c>
      <c r="C26" s="3" t="s">
        <v>100</v>
      </c>
      <c r="D26" s="3" t="s">
        <v>111</v>
      </c>
    </row>
    <row r="27" spans="1:4" x14ac:dyDescent="0.25">
      <c r="A27" s="3" t="s">
        <v>112</v>
      </c>
      <c r="B27" s="4">
        <v>1.1000000000000001</v>
      </c>
      <c r="C27" s="3" t="s">
        <v>100</v>
      </c>
      <c r="D27" s="3" t="s">
        <v>113</v>
      </c>
    </row>
    <row r="28" spans="1:4" x14ac:dyDescent="0.25">
      <c r="A28" s="3" t="s">
        <v>114</v>
      </c>
      <c r="B28" s="4">
        <v>0.35</v>
      </c>
      <c r="C28" s="3" t="s">
        <v>100</v>
      </c>
      <c r="D28" s="3" t="s">
        <v>115</v>
      </c>
    </row>
    <row r="29" spans="1:4" x14ac:dyDescent="0.25">
      <c r="A29" s="3" t="s">
        <v>116</v>
      </c>
      <c r="B29" s="4">
        <v>0.7</v>
      </c>
      <c r="C29" s="3" t="s">
        <v>100</v>
      </c>
      <c r="D29" s="3" t="s">
        <v>117</v>
      </c>
    </row>
    <row r="30" spans="1:4" x14ac:dyDescent="0.25">
      <c r="A30" s="3" t="s">
        <v>118</v>
      </c>
      <c r="B30" s="4">
        <v>200</v>
      </c>
      <c r="C30" s="3" t="s">
        <v>119</v>
      </c>
      <c r="D30" s="3" t="s">
        <v>120</v>
      </c>
    </row>
    <row r="31" spans="1:4" x14ac:dyDescent="0.25">
      <c r="A31" s="3" t="s">
        <v>121</v>
      </c>
      <c r="B31" s="4">
        <v>1</v>
      </c>
      <c r="C31" s="3" t="s">
        <v>100</v>
      </c>
      <c r="D31" s="3" t="s">
        <v>122</v>
      </c>
    </row>
    <row r="32" spans="1:4" x14ac:dyDescent="0.25">
      <c r="A32" s="3" t="s">
        <v>123</v>
      </c>
      <c r="B32" s="4">
        <v>25</v>
      </c>
      <c r="C32" s="3" t="s">
        <v>100</v>
      </c>
      <c r="D32" s="3" t="s">
        <v>124</v>
      </c>
    </row>
    <row r="33" spans="1:4" x14ac:dyDescent="0.25">
      <c r="A33" s="3" t="s">
        <v>125</v>
      </c>
      <c r="B33" s="4">
        <v>8.0000000000000002E-3</v>
      </c>
      <c r="C33" s="3" t="s">
        <v>93</v>
      </c>
      <c r="D33" s="3" t="s">
        <v>126</v>
      </c>
    </row>
    <row r="34" spans="1:4" x14ac:dyDescent="0.25">
      <c r="A34" s="3" t="s">
        <v>127</v>
      </c>
      <c r="B34" s="4">
        <v>2</v>
      </c>
      <c r="C34" s="3" t="s">
        <v>100</v>
      </c>
      <c r="D34" s="3" t="s">
        <v>128</v>
      </c>
    </row>
    <row r="35" spans="1:4" x14ac:dyDescent="0.25">
      <c r="A35" s="3" t="s">
        <v>129</v>
      </c>
      <c r="B35" s="4">
        <v>20</v>
      </c>
      <c r="C35" s="3" t="s">
        <v>100</v>
      </c>
      <c r="D35" s="3" t="s">
        <v>130</v>
      </c>
    </row>
    <row r="36" spans="1:4" x14ac:dyDescent="0.25">
      <c r="A36" s="3" t="s">
        <v>131</v>
      </c>
      <c r="B36" s="4">
        <v>1.32</v>
      </c>
      <c r="C36" s="3" t="s">
        <v>100</v>
      </c>
      <c r="D36" s="3" t="s">
        <v>132</v>
      </c>
    </row>
    <row r="37" spans="1:4" x14ac:dyDescent="0.25">
      <c r="A37" s="3" t="s">
        <v>133</v>
      </c>
      <c r="B37" s="4">
        <v>22.94</v>
      </c>
      <c r="C37" s="3" t="s">
        <v>100</v>
      </c>
      <c r="D37" s="3" t="s">
        <v>134</v>
      </c>
    </row>
    <row r="38" spans="1:4" x14ac:dyDescent="0.25">
      <c r="A38" s="3" t="s">
        <v>135</v>
      </c>
      <c r="B38" s="4">
        <f>B37-B36</f>
        <v>21.62</v>
      </c>
      <c r="C38" s="3" t="s">
        <v>100</v>
      </c>
      <c r="D38" s="3" t="s">
        <v>136</v>
      </c>
    </row>
    <row r="39" spans="1:4" x14ac:dyDescent="0.25">
      <c r="A39" s="3" t="s">
        <v>137</v>
      </c>
      <c r="B39" s="4">
        <v>1.2</v>
      </c>
      <c r="C39" s="3" t="s">
        <v>100</v>
      </c>
      <c r="D39" s="3" t="s">
        <v>138</v>
      </c>
    </row>
    <row r="40" spans="1:4" x14ac:dyDescent="0.25">
      <c r="A40" s="2" t="s">
        <v>139</v>
      </c>
      <c r="B40" s="4">
        <v>23.58</v>
      </c>
      <c r="C40" s="3" t="s">
        <v>100</v>
      </c>
      <c r="D40" s="3" t="s">
        <v>140</v>
      </c>
    </row>
    <row r="41" spans="1:4" x14ac:dyDescent="0.25">
      <c r="A41" s="2" t="s">
        <v>141</v>
      </c>
      <c r="B41" s="4">
        <v>11.1</v>
      </c>
      <c r="C41" s="3" t="s">
        <v>100</v>
      </c>
      <c r="D41" s="3" t="s">
        <v>142</v>
      </c>
    </row>
    <row r="42" spans="1:4" x14ac:dyDescent="0.25">
      <c r="A42" s="2" t="s">
        <v>143</v>
      </c>
      <c r="B42" s="4">
        <v>2.2999999999999998</v>
      </c>
      <c r="C42" s="3" t="s">
        <v>100</v>
      </c>
      <c r="D42" s="3" t="s">
        <v>144</v>
      </c>
    </row>
    <row r="43" spans="1:4" x14ac:dyDescent="0.25">
      <c r="A43" s="2" t="s">
        <v>145</v>
      </c>
      <c r="B43" s="4">
        <v>5.0999999999999996</v>
      </c>
      <c r="C43" s="3" t="s">
        <v>100</v>
      </c>
      <c r="D43" s="3" t="s">
        <v>146</v>
      </c>
    </row>
    <row r="44" spans="1:4" x14ac:dyDescent="0.25">
      <c r="A44" s="2" t="s">
        <v>147</v>
      </c>
      <c r="B44" s="4">
        <v>12.5</v>
      </c>
      <c r="C44" s="3" t="s">
        <v>148</v>
      </c>
      <c r="D44" s="3" t="s">
        <v>149</v>
      </c>
    </row>
    <row r="45" spans="1:4" x14ac:dyDescent="0.25">
      <c r="A45" s="2" t="s">
        <v>150</v>
      </c>
      <c r="B45" s="4">
        <v>27.2</v>
      </c>
      <c r="C45" s="3" t="s">
        <v>148</v>
      </c>
      <c r="D45" s="3" t="s">
        <v>151</v>
      </c>
    </row>
    <row r="46" spans="1:4" x14ac:dyDescent="0.25">
      <c r="A46" s="2" t="s">
        <v>152</v>
      </c>
      <c r="B46" s="4">
        <v>21.9</v>
      </c>
      <c r="C46" s="3" t="s">
        <v>148</v>
      </c>
      <c r="D46" s="3" t="s">
        <v>153</v>
      </c>
    </row>
    <row r="47" spans="1:4" x14ac:dyDescent="0.25">
      <c r="A47" s="2" t="s">
        <v>154</v>
      </c>
      <c r="B47" s="5">
        <f>B41-B42</f>
        <v>8.8000000000000007</v>
      </c>
      <c r="C47" s="3" t="s">
        <v>100</v>
      </c>
      <c r="D47" s="3" t="s">
        <v>155</v>
      </c>
    </row>
    <row r="48" spans="1:4" x14ac:dyDescent="0.25">
      <c r="A48" s="2" t="s">
        <v>156</v>
      </c>
      <c r="B48" s="24">
        <f>IFERROR(B47*B44/(B44+B45),"")</f>
        <v>2.770780856423174</v>
      </c>
      <c r="C48" s="3" t="s">
        <v>100</v>
      </c>
      <c r="D48" s="3" t="s">
        <v>157</v>
      </c>
    </row>
    <row r="49" spans="1:4" x14ac:dyDescent="0.25">
      <c r="A49" s="2" t="s">
        <v>158</v>
      </c>
      <c r="B49" s="24">
        <f>IFERROR(B47*B45/(B44+B45),"")</f>
        <v>6.0292191435768263</v>
      </c>
      <c r="C49" s="3" t="s">
        <v>100</v>
      </c>
      <c r="D49" s="3" t="s">
        <v>159</v>
      </c>
    </row>
    <row r="50" spans="1:4" x14ac:dyDescent="0.25">
      <c r="A50" s="2" t="s">
        <v>160</v>
      </c>
      <c r="B50" s="5">
        <f>B40-B41-B43</f>
        <v>7.379999999999999</v>
      </c>
      <c r="C50" s="3" t="s">
        <v>100</v>
      </c>
      <c r="D50" s="3" t="s">
        <v>161</v>
      </c>
    </row>
    <row r="51" spans="1:4" x14ac:dyDescent="0.25">
      <c r="A51" s="2" t="s">
        <v>162</v>
      </c>
      <c r="B51" s="4">
        <v>0</v>
      </c>
      <c r="C51" s="3" t="s">
        <v>148</v>
      </c>
      <c r="D51" s="3" t="s">
        <v>163</v>
      </c>
    </row>
    <row r="52" spans="1:4" x14ac:dyDescent="0.25">
      <c r="A52" s="2" t="s">
        <v>164</v>
      </c>
      <c r="B52" s="4" t="s">
        <v>165</v>
      </c>
      <c r="C52" s="3" t="s">
        <v>59</v>
      </c>
      <c r="D52" s="3" t="s">
        <v>166</v>
      </c>
    </row>
    <row r="53" spans="1:4" x14ac:dyDescent="0.25">
      <c r="A53" s="2" t="s">
        <v>167</v>
      </c>
      <c r="B53" s="4">
        <v>4.7</v>
      </c>
      <c r="C53" s="3" t="s">
        <v>100</v>
      </c>
      <c r="D53" s="3" t="s">
        <v>168</v>
      </c>
    </row>
    <row r="54" spans="1:4" x14ac:dyDescent="0.25">
      <c r="A54" s="2" t="s">
        <v>169</v>
      </c>
      <c r="B54" s="6">
        <v>0.01</v>
      </c>
      <c r="C54" s="3" t="s">
        <v>100</v>
      </c>
      <c r="D54" s="3" t="s">
        <v>170</v>
      </c>
    </row>
    <row r="55" spans="1:4" x14ac:dyDescent="0.25">
      <c r="A55" s="2" t="s">
        <v>171</v>
      </c>
      <c r="B55" s="6">
        <v>0.05</v>
      </c>
      <c r="C55" s="3" t="s">
        <v>100</v>
      </c>
      <c r="D55" s="3" t="s">
        <v>172</v>
      </c>
    </row>
    <row r="56" spans="1:4" x14ac:dyDescent="0.25">
      <c r="A56" s="2" t="s">
        <v>173</v>
      </c>
      <c r="B56" s="6">
        <v>0.3</v>
      </c>
      <c r="C56" s="3" t="s">
        <v>100</v>
      </c>
      <c r="D56" s="3" t="s">
        <v>174</v>
      </c>
    </row>
    <row r="57" spans="1:4" x14ac:dyDescent="0.25">
      <c r="A57" s="2" t="s">
        <v>175</v>
      </c>
      <c r="B57" s="6">
        <v>0.1</v>
      </c>
      <c r="C57" s="3" t="s">
        <v>100</v>
      </c>
      <c r="D57" s="3" t="s">
        <v>176</v>
      </c>
    </row>
    <row r="58" spans="1:4" x14ac:dyDescent="0.25">
      <c r="A58" s="2" t="s">
        <v>177</v>
      </c>
      <c r="B58" s="4">
        <v>0.95</v>
      </c>
      <c r="C58" s="3" t="s">
        <v>59</v>
      </c>
      <c r="D58" s="3" t="s">
        <v>178</v>
      </c>
    </row>
    <row r="59" spans="1:4" x14ac:dyDescent="0.25">
      <c r="A59" s="2" t="s">
        <v>179</v>
      </c>
      <c r="B59" s="4">
        <v>1</v>
      </c>
      <c r="C59" s="3" t="s">
        <v>88</v>
      </c>
      <c r="D59" s="3" t="s">
        <v>180</v>
      </c>
    </row>
    <row r="60" spans="1:4" x14ac:dyDescent="0.25">
      <c r="A60" s="2" t="s">
        <v>181</v>
      </c>
      <c r="B60" s="4">
        <v>12</v>
      </c>
      <c r="C60" s="3" t="s">
        <v>100</v>
      </c>
      <c r="D60" s="3" t="s">
        <v>182</v>
      </c>
    </row>
    <row r="61" spans="1:4" x14ac:dyDescent="0.25">
      <c r="A61" s="2" t="s">
        <v>183</v>
      </c>
      <c r="B61" s="4">
        <v>300</v>
      </c>
      <c r="C61" s="3" t="s">
        <v>119</v>
      </c>
      <c r="D61" s="3" t="s">
        <v>184</v>
      </c>
    </row>
  </sheetData>
  <mergeCells count="1">
    <mergeCell ref="A1:F1"/>
  </mergeCells>
  <pageMargins left="0.75" right="0.75" top="1" bottom="1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4"/>
  <sheetViews>
    <sheetView zoomScale="160" zoomScaleNormal="160" workbookViewId="0">
      <pane xSplit="2" ySplit="1" topLeftCell="E2" activePane="bottomRight" state="frozen"/>
      <selection pane="topRight" activeCell="C1" sqref="C1"/>
      <selection pane="bottomLeft" activeCell="A2" sqref="A2"/>
      <selection pane="bottomRight" activeCell="J6" sqref="J6"/>
    </sheetView>
  </sheetViews>
  <sheetFormatPr baseColWidth="10" defaultColWidth="8.7109375" defaultRowHeight="15" customHeight="1" x14ac:dyDescent="0.25"/>
  <cols>
    <col min="1" max="1" width="10" customWidth="1"/>
    <col min="2" max="2" width="40.28515625" customWidth="1"/>
    <col min="3" max="3" width="14.28515625" customWidth="1"/>
    <col min="4" max="4" width="10.85546875" customWidth="1"/>
    <col min="5" max="5" width="9.7109375" customWidth="1"/>
    <col min="6" max="6" width="9" customWidth="1"/>
    <col min="7" max="7" width="10.7109375" customWidth="1"/>
    <col min="8" max="8" width="13.5703125" customWidth="1"/>
    <col min="9" max="9" width="12" customWidth="1"/>
    <col min="10" max="10" width="18" customWidth="1"/>
    <col min="11" max="11" width="30" customWidth="1"/>
    <col min="12" max="12" width="18" customWidth="1"/>
    <col min="13" max="13" width="24" customWidth="1"/>
    <col min="14" max="14" width="17" customWidth="1"/>
  </cols>
  <sheetData>
    <row r="1" spans="1:14" x14ac:dyDescent="0.25">
      <c r="A1" s="19" t="s">
        <v>185</v>
      </c>
      <c r="B1" s="19"/>
      <c r="C1" s="19"/>
      <c r="D1" s="19"/>
      <c r="E1" s="19"/>
      <c r="F1" s="19"/>
      <c r="G1" s="19"/>
      <c r="H1" s="19"/>
      <c r="I1" s="19"/>
      <c r="J1" s="19"/>
      <c r="K1" s="19"/>
    </row>
    <row r="2" spans="1:14" x14ac:dyDescent="0.25">
      <c r="K2" t="s">
        <v>186</v>
      </c>
    </row>
    <row r="3" spans="1:14" ht="29.25" x14ac:dyDescent="0.25">
      <c r="A3" s="7" t="s">
        <v>187</v>
      </c>
      <c r="B3" s="7" t="s">
        <v>188</v>
      </c>
      <c r="C3" s="7" t="s">
        <v>189</v>
      </c>
      <c r="D3" s="7" t="s">
        <v>190</v>
      </c>
      <c r="E3" s="7" t="s">
        <v>191</v>
      </c>
      <c r="F3" s="7" t="s">
        <v>192</v>
      </c>
      <c r="G3" s="7" t="s">
        <v>193</v>
      </c>
      <c r="H3" s="7" t="s">
        <v>194</v>
      </c>
      <c r="I3" s="7" t="s">
        <v>195</v>
      </c>
      <c r="J3" s="7" t="s">
        <v>196</v>
      </c>
      <c r="K3" s="7" t="s">
        <v>197</v>
      </c>
      <c r="L3" s="7" t="s">
        <v>198</v>
      </c>
      <c r="M3" s="7" t="s">
        <v>199</v>
      </c>
      <c r="N3" s="7" t="s">
        <v>200</v>
      </c>
    </row>
    <row r="4" spans="1:14" x14ac:dyDescent="0.25">
      <c r="A4" s="3" t="s">
        <v>201</v>
      </c>
      <c r="B4" s="3" t="s">
        <v>202</v>
      </c>
      <c r="C4" s="3" t="s">
        <v>203</v>
      </c>
      <c r="D4" s="8">
        <v>1013.8</v>
      </c>
      <c r="E4" s="8"/>
      <c r="F4" s="9">
        <f>IF(E4&lt;&gt;"",E4,IF(UPPER(TRIM(C4))="BASIN",IF(UPPER(TRIM(Inputs!$B$52))="YES",Inputs!$B$12,0),IF(UPPER(TRIM(C4))="ROOF",Inputs!$B$10,IF(UPPER(TRIM(C4))="PAVAGE",Inputs!$B$58,IF(UPPER(TRIM(C4))="TRESFOND",Inputs!$B$11,IF(UPPER(TRIM(C4))="GRASS",Inputs!$B$12,Inputs!$B$13))))))</f>
        <v>0.95</v>
      </c>
      <c r="G4" s="9">
        <f t="shared" ref="G4:G67" si="0">IF(A4="","",N4)</f>
        <v>5</v>
      </c>
      <c r="H4" s="9">
        <f>IF(A4="","",Inputs!$B$3/((IF(G4="",Inputs!$B$14,G4)+Inputs!$B$4)^Inputs!$B$5))</f>
        <v>112.33361645385919</v>
      </c>
      <c r="I4" s="9">
        <f t="shared" ref="I4:I67" si="1">IF(A4="","",0.000000278*F4*D4*H4)</f>
        <v>3.0076716957319619E-2</v>
      </c>
      <c r="J4" s="3" t="s">
        <v>318</v>
      </c>
      <c r="K4" s="3" t="s">
        <v>205</v>
      </c>
      <c r="L4" s="4">
        <v>5</v>
      </c>
      <c r="M4" s="9">
        <f>IF(A4="","",IF(OR(J4="",Inputs!$B$59=""),0,IFERROR(INDEX(Elements_hybrides!$F$4:$F$204,MATCH(J4,Elements_hybrides!$A$4:$A$204,0))/(Inputs!$B$59*60),0)))</f>
        <v>0</v>
      </c>
      <c r="N4" s="9">
        <f>IF(A4="","",IF(L4="",Inputs!$B$14,L4)+M4)</f>
        <v>5</v>
      </c>
    </row>
    <row r="5" spans="1:14" x14ac:dyDescent="0.25">
      <c r="A5" s="3" t="s">
        <v>206</v>
      </c>
      <c r="B5" s="3" t="s">
        <v>207</v>
      </c>
      <c r="C5" s="3" t="s">
        <v>208</v>
      </c>
      <c r="D5" s="8">
        <v>351</v>
      </c>
      <c r="E5" s="8"/>
      <c r="F5" s="9">
        <f>IF(E5&lt;&gt;"",E5,IF(UPPER(TRIM(C5))="BASIN",IF(UPPER(TRIM(Inputs!$B$52))="YES",Inputs!$B$12,0),IF(UPPER(TRIM(C5))="ROOF",Inputs!$B$10,IF(UPPER(TRIM(C5))="PAVAGE",Inputs!$B$58,IF(UPPER(TRIM(C5))="TRESFOND",Inputs!$B$11,IF(UPPER(TRIM(C5))="GRASS",Inputs!$B$12,Inputs!$B$13))))))</f>
        <v>0.95</v>
      </c>
      <c r="G5" s="9">
        <f t="shared" si="0"/>
        <v>5</v>
      </c>
      <c r="H5" s="9">
        <f>IF(A5="","",Inputs!$B$3/((IF(G5="",Inputs!$B$14,G5)+Inputs!$B$4)^Inputs!$B$5))</f>
        <v>112.33361645385919</v>
      </c>
      <c r="I5" s="9">
        <f t="shared" si="1"/>
        <v>1.0413225145017939E-2</v>
      </c>
      <c r="J5" s="3" t="s">
        <v>318</v>
      </c>
      <c r="K5" s="3" t="s">
        <v>210</v>
      </c>
      <c r="L5" s="4">
        <v>5</v>
      </c>
      <c r="M5" s="9">
        <f>IF(A5="","",IF(OR(J5="",Inputs!$B$59=""),0,IFERROR(INDEX(Elements_hybrides!$F$4:$F$204,MATCH(J5,Elements_hybrides!$A$4:$A$204,0))/(Inputs!$B$59*60),0)))</f>
        <v>0</v>
      </c>
      <c r="N5" s="9">
        <f>IF(A5="","",IF(L5="",Inputs!$B$14,L5)+M5)</f>
        <v>5</v>
      </c>
    </row>
    <row r="6" spans="1:14" x14ac:dyDescent="0.25">
      <c r="A6" s="3" t="s">
        <v>211</v>
      </c>
      <c r="B6" s="3" t="s">
        <v>212</v>
      </c>
      <c r="C6" s="3" t="s">
        <v>213</v>
      </c>
      <c r="D6" s="8">
        <v>164.7</v>
      </c>
      <c r="E6" s="8"/>
      <c r="F6" s="9">
        <f>IF(E6&lt;&gt;"",E6,IF(UPPER(TRIM(C6))="BASIN",IF(UPPER(TRIM(Inputs!$B$52))="YES",Inputs!$B$12,0),IF(UPPER(TRIM(C6))="ROOF",Inputs!$B$10,IF(UPPER(TRIM(C6))="PAVAGE",Inputs!$B$58,IF(UPPER(TRIM(C6))="TRESFOND",Inputs!$B$11,IF(UPPER(TRIM(C6))="GRASS",Inputs!$B$12,Inputs!$B$13))))))</f>
        <v>0.25</v>
      </c>
      <c r="G6" s="9">
        <f t="shared" si="0"/>
        <v>5.2683333333333335</v>
      </c>
      <c r="H6" s="9">
        <f>IF(A6="","",Inputs!$B$3/((IF(G6="",Inputs!$B$14,G6)+Inputs!$B$4)^Inputs!$B$5))</f>
        <v>111.44149047283528</v>
      </c>
      <c r="I6" s="9">
        <f t="shared" si="1"/>
        <v>1.2756317369208797E-3</v>
      </c>
      <c r="J6" s="3" t="s">
        <v>204</v>
      </c>
      <c r="K6" s="3" t="s">
        <v>215</v>
      </c>
      <c r="L6" s="4">
        <v>5</v>
      </c>
      <c r="M6" s="9">
        <f>IF(A6="","",IF(OR(J6="",Inputs!$B$59=""),0,IFERROR(INDEX(Elements_hybrides!$F$4:$F$204,MATCH(J6,Elements_hybrides!$A$4:$A$204,0))/(Inputs!$B$59*60),0)))</f>
        <v>0.26833333333333337</v>
      </c>
      <c r="N6" s="9">
        <f>IF(A6="","",IF(L6="",Inputs!$B$14,L6)+M6)</f>
        <v>5.2683333333333335</v>
      </c>
    </row>
    <row r="7" spans="1:14" x14ac:dyDescent="0.25">
      <c r="A7" s="3" t="s">
        <v>216</v>
      </c>
      <c r="B7" s="3" t="s">
        <v>217</v>
      </c>
      <c r="C7" s="3" t="s">
        <v>213</v>
      </c>
      <c r="D7" s="8">
        <v>12.5</v>
      </c>
      <c r="E7" s="8"/>
      <c r="F7" s="9">
        <f>IF(E7&lt;&gt;"",E7,IF(UPPER(TRIM(C7))="BASIN",IF(UPPER(TRIM(Inputs!$B$52))="YES",Inputs!$B$12,0),IF(UPPER(TRIM(C7))="ROOF",Inputs!$B$10,IF(UPPER(TRIM(C7))="PAVAGE",Inputs!$B$58,IF(UPPER(TRIM(C7))="TRESFOND",Inputs!$B$11,IF(UPPER(TRIM(C7))="GRASS",Inputs!$B$12,Inputs!$B$13))))))</f>
        <v>0.25</v>
      </c>
      <c r="G7" s="9">
        <f t="shared" si="0"/>
        <v>5.0461796809403863</v>
      </c>
      <c r="H7" s="9">
        <f>IF(A7="","",Inputs!$B$3/((IF(G7="",Inputs!$B$14,G7)+Inputs!$B$4)^Inputs!$B$5))</f>
        <v>112.17913274116209</v>
      </c>
      <c r="I7" s="9">
        <f t="shared" si="1"/>
        <v>9.7455621568884559E-5</v>
      </c>
      <c r="J7" s="3" t="s">
        <v>218</v>
      </c>
      <c r="K7" s="3" t="s">
        <v>219</v>
      </c>
      <c r="L7" s="4">
        <v>5</v>
      </c>
      <c r="M7" s="9">
        <f>IF(A7="","",IF(OR(J7="",Inputs!$B$59=""),0,IFERROR(INDEX(Elements_hybrides!$F$4:$F$204,MATCH(J7,Elements_hybrides!$A$4:$A$204,0))/(Inputs!$B$59*60),0)))</f>
        <v>4.6179680940386235E-2</v>
      </c>
      <c r="N7" s="9">
        <f>IF(A7="","",IF(L7="",Inputs!$B$14,L7)+M7)</f>
        <v>5.0461796809403863</v>
      </c>
    </row>
    <row r="8" spans="1:14" x14ac:dyDescent="0.25">
      <c r="A8" s="3" t="s">
        <v>220</v>
      </c>
      <c r="B8" s="3" t="s">
        <v>221</v>
      </c>
      <c r="C8" s="3" t="s">
        <v>222</v>
      </c>
      <c r="D8" s="8">
        <v>6.7</v>
      </c>
      <c r="E8" s="8"/>
      <c r="F8" s="9">
        <f>IF(E8&lt;&gt;"",E8,IF(UPPER(TRIM(C8))="BASIN",IF(UPPER(TRIM(Inputs!$B$52))="YES",Inputs!$B$12,0),IF(UPPER(TRIM(C8))="ROOF",Inputs!$B$10,IF(UPPER(TRIM(C8))="PAVAGE",Inputs!$B$58,IF(UPPER(TRIM(C8))="TRESFOND",Inputs!$B$11,IF(UPPER(TRIM(C8))="GRASS",Inputs!$B$12,Inputs!$B$13))))))</f>
        <v>0.95</v>
      </c>
      <c r="G8" s="9">
        <f t="shared" si="0"/>
        <v>5.0383333333333331</v>
      </c>
      <c r="H8" s="9">
        <f>IF(A8="","",Inputs!$B$3/((IF(G8="",Inputs!$B$14,G8)+Inputs!$B$4)^Inputs!$B$5))</f>
        <v>112.20535288829755</v>
      </c>
      <c r="I8" s="9">
        <f t="shared" si="1"/>
        <v>1.9854400577525586E-4</v>
      </c>
      <c r="J8" s="3" t="s">
        <v>223</v>
      </c>
      <c r="K8" s="3" t="s">
        <v>224</v>
      </c>
      <c r="L8" s="4">
        <v>5</v>
      </c>
      <c r="M8" s="9">
        <f>IF(A8="","",IF(OR(J8="",Inputs!$B$59=""),0,IFERROR(INDEX(Elements_hybrides!$F$4:$F$204,MATCH(J8,Elements_hybrides!$A$4:$A$204,0))/(Inputs!$B$59*60),0)))</f>
        <v>3.833333333333333E-2</v>
      </c>
      <c r="N8" s="9">
        <f>IF(A8="","",IF(L8="",Inputs!$B$14,L8)+M8)</f>
        <v>5.0383333333333331</v>
      </c>
    </row>
    <row r="9" spans="1:14" x14ac:dyDescent="0.25">
      <c r="A9" s="3" t="s">
        <v>225</v>
      </c>
      <c r="B9" s="3" t="s">
        <v>226</v>
      </c>
      <c r="C9" s="3" t="s">
        <v>213</v>
      </c>
      <c r="D9" s="8">
        <v>27.2</v>
      </c>
      <c r="E9" s="8"/>
      <c r="F9" s="9">
        <f>IF(E9&lt;&gt;"",E9,IF(UPPER(TRIM(C9))="BASIN",IF(UPPER(TRIM(Inputs!$B$52))="YES",Inputs!$B$12,0),IF(UPPER(TRIM(C9))="ROOF",Inputs!$B$10,IF(UPPER(TRIM(C9))="PAVAGE",Inputs!$B$58,IF(UPPER(TRIM(C9))="TRESFOND",Inputs!$B$11,IF(UPPER(TRIM(C9))="GRASS",Inputs!$B$12,Inputs!$B$13))))))</f>
        <v>0.25</v>
      </c>
      <c r="G9" s="9">
        <f t="shared" si="0"/>
        <v>5.1004869857262802</v>
      </c>
      <c r="H9" s="9">
        <f>IF(A9="","",Inputs!$B$3/((IF(G9="",Inputs!$B$14,G9)+Inputs!$B$4)^Inputs!$B$5))</f>
        <v>111.997967783497</v>
      </c>
      <c r="I9" s="9">
        <f t="shared" si="1"/>
        <v>2.1172095829792272E-4</v>
      </c>
      <c r="J9" s="3" t="s">
        <v>227</v>
      </c>
      <c r="K9" s="3" t="s">
        <v>228</v>
      </c>
      <c r="L9" s="4">
        <v>5</v>
      </c>
      <c r="M9" s="9">
        <f>IF(A9="","",IF(OR(J9="",Inputs!$B$59=""),0,IFERROR(INDEX(Elements_hybrides!$F$4:$F$204,MATCH(J9,Elements_hybrides!$A$4:$A$204,0))/(Inputs!$B$59*60),0)))</f>
        <v>0.10048698572628044</v>
      </c>
      <c r="N9" s="9">
        <f>IF(A9="","",IF(L9="",Inputs!$B$14,L9)+M9)</f>
        <v>5.1004869857262802</v>
      </c>
    </row>
    <row r="10" spans="1:14" x14ac:dyDescent="0.25">
      <c r="A10" s="3" t="s">
        <v>229</v>
      </c>
      <c r="B10" s="3" t="s">
        <v>230</v>
      </c>
      <c r="C10" s="3" t="s">
        <v>222</v>
      </c>
      <c r="D10" s="8">
        <v>37.5</v>
      </c>
      <c r="E10" s="8"/>
      <c r="F10" s="9">
        <f>IF(E10&lt;&gt;"",E10,IF(UPPER(TRIM(C10))="BASIN",IF(UPPER(TRIM(Inputs!$B$52))="YES",Inputs!$B$12,0),IF(UPPER(TRIM(C10))="ROOF",Inputs!$B$10,IF(UPPER(TRIM(C10))="PAVAGE",Inputs!$B$58,IF(UPPER(TRIM(C10))="TRESFOND",Inputs!$B$11,IF(UPPER(TRIM(C10))="GRASS",Inputs!$B$12,Inputs!$B$13))))))</f>
        <v>0.95</v>
      </c>
      <c r="G10" s="9">
        <f t="shared" si="0"/>
        <v>5.085</v>
      </c>
      <c r="H10" s="9">
        <f>IF(A10="","",Inputs!$B$3/((IF(G10="",Inputs!$B$14,G10)+Inputs!$B$4)^Inputs!$B$5))</f>
        <v>112.04957534295052</v>
      </c>
      <c r="I10" s="9">
        <f t="shared" si="1"/>
        <v>1.1097109818027462E-3</v>
      </c>
      <c r="J10" s="3" t="s">
        <v>231</v>
      </c>
      <c r="K10" s="3" t="s">
        <v>232</v>
      </c>
      <c r="L10" s="4">
        <v>5</v>
      </c>
      <c r="M10" s="9">
        <f>IF(A10="","",IF(OR(J10="",Inputs!$B$59=""),0,IFERROR(INDEX(Elements_hybrides!$F$4:$F$204,MATCH(J10,Elements_hybrides!$A$4:$A$204,0))/(Inputs!$B$59*60),0)))</f>
        <v>8.4999999999999992E-2</v>
      </c>
      <c r="N10" s="9">
        <f>IF(A10="","",IF(L10="",Inputs!$B$14,L10)+M10)</f>
        <v>5.085</v>
      </c>
    </row>
    <row r="11" spans="1:14" x14ac:dyDescent="0.25">
      <c r="A11" s="3" t="s">
        <v>233</v>
      </c>
      <c r="B11" s="3" t="s">
        <v>234</v>
      </c>
      <c r="C11" s="3" t="s">
        <v>213</v>
      </c>
      <c r="D11" s="8">
        <v>21.9</v>
      </c>
      <c r="E11" s="8"/>
      <c r="F11" s="9">
        <f>IF(E11&lt;&gt;"",E11,IF(UPPER(TRIM(C11))="BASIN",IF(UPPER(TRIM(Inputs!$B$52))="YES",Inputs!$B$12,0),IF(UPPER(TRIM(C11))="ROOF",Inputs!$B$10,IF(UPPER(TRIM(C11))="PAVAGE",Inputs!$B$58,IF(UPPER(TRIM(C11))="TRESFOND",Inputs!$B$11,IF(UPPER(TRIM(C11))="GRASS",Inputs!$B$12,Inputs!$B$13))))))</f>
        <v>0.25</v>
      </c>
      <c r="G11" s="9">
        <f t="shared" si="0"/>
        <v>5.1230000000000002</v>
      </c>
      <c r="H11" s="9">
        <f>IF(A11="","",Inputs!$B$3/((IF(G11="",Inputs!$B$14,G11)+Inputs!$B$4)^Inputs!$B$5))</f>
        <v>111.92302653280883</v>
      </c>
      <c r="I11" s="9">
        <f t="shared" si="1"/>
        <v>1.7035244253426165E-4</v>
      </c>
      <c r="J11" s="3" t="s">
        <v>235</v>
      </c>
      <c r="K11" s="3" t="s">
        <v>236</v>
      </c>
      <c r="L11" s="4">
        <v>5</v>
      </c>
      <c r="M11" s="9">
        <f>IF(A11="","",IF(OR(J11="",Inputs!$B$59=""),0,IFERROR(INDEX(Elements_hybrides!$F$4:$F$204,MATCH(J11,Elements_hybrides!$A$4:$A$204,0))/(Inputs!$B$59*60),0)))</f>
        <v>0.12299999999999998</v>
      </c>
      <c r="N11" s="9">
        <f>IF(A11="","",IF(L11="",Inputs!$B$14,L11)+M11)</f>
        <v>5.1230000000000002</v>
      </c>
    </row>
    <row r="12" spans="1:14" x14ac:dyDescent="0.25">
      <c r="A12" s="3" t="s">
        <v>237</v>
      </c>
      <c r="B12" s="3" t="s">
        <v>238</v>
      </c>
      <c r="C12" s="3" t="s">
        <v>239</v>
      </c>
      <c r="D12" s="8"/>
      <c r="E12" s="8"/>
      <c r="F12" s="9">
        <f>IF(E12&lt;&gt;"",E12,IF(UPPER(TRIM(C12))="BASIN",IF(UPPER(TRIM(Inputs!$B$52))="YES",Inputs!$B$12,0),IF(UPPER(TRIM(C12))="ROOF",Inputs!$B$10,IF(UPPER(TRIM(C12))="PAVAGE",Inputs!$B$58,IF(UPPER(TRIM(C12))="TRESFOND",Inputs!$B$11,IF(UPPER(TRIM(C12))="GRASS",Inputs!$B$12,Inputs!$B$13))))))</f>
        <v>0</v>
      </c>
      <c r="G12" s="9">
        <f t="shared" si="0"/>
        <v>5</v>
      </c>
      <c r="H12" s="9">
        <f>IF(A12="","",Inputs!$B$3/((IF(G12="",Inputs!$B$14,G12)+Inputs!$B$4)^Inputs!$B$5))</f>
        <v>112.33361645385919</v>
      </c>
      <c r="I12" s="9">
        <f t="shared" si="1"/>
        <v>0</v>
      </c>
      <c r="J12" s="3"/>
      <c r="K12" s="3" t="s">
        <v>240</v>
      </c>
      <c r="L12" s="4">
        <v>5</v>
      </c>
      <c r="M12" s="9">
        <f>IF(A12="","",IF(OR(J12="",Inputs!$B$59=""),0,IFERROR(INDEX(Elements_hybrides!$F$4:$F$204,MATCH(J12,Elements_hybrides!$A$4:$A$204,0))/(Inputs!$B$59*60),0)))</f>
        <v>0</v>
      </c>
      <c r="N12" s="9">
        <f>IF(A12="","",IF(L12="",Inputs!$B$14,L12)+M12)</f>
        <v>5</v>
      </c>
    </row>
    <row r="13" spans="1:14" x14ac:dyDescent="0.25">
      <c r="A13" s="3" t="s">
        <v>241</v>
      </c>
      <c r="B13" s="3" t="s">
        <v>242</v>
      </c>
      <c r="C13" s="3" t="s">
        <v>222</v>
      </c>
      <c r="D13" s="8">
        <v>44.3</v>
      </c>
      <c r="E13" s="8"/>
      <c r="F13" s="9">
        <f>IF(E13&lt;&gt;"",E13,IF(UPPER(TRIM(C13))="BASIN",IF(UPPER(TRIM(Inputs!$B$52))="YES",Inputs!$B$12,0),IF(UPPER(TRIM(C13))="ROOF",Inputs!$B$10,IF(UPPER(TRIM(C13))="PAVAGE",Inputs!$B$58,IF(UPPER(TRIM(C13))="TRESFOND",Inputs!$B$11,IF(UPPER(TRIM(C13))="GRASS",Inputs!$B$12,Inputs!$B$13))))))</f>
        <v>0.95</v>
      </c>
      <c r="G13" s="9">
        <f t="shared" si="0"/>
        <v>5.2683333333333335</v>
      </c>
      <c r="H13" s="9">
        <f>IF(A13="","",Inputs!$B$3/((IF(G13="",Inputs!$B$14,G13)+Inputs!$B$4)^Inputs!$B$5))</f>
        <v>111.44149047283528</v>
      </c>
      <c r="I13" s="9">
        <f t="shared" si="1"/>
        <v>1.3038242051806978E-3</v>
      </c>
      <c r="J13" s="3" t="s">
        <v>204</v>
      </c>
      <c r="K13" s="3" t="s">
        <v>243</v>
      </c>
      <c r="L13" s="4">
        <v>5</v>
      </c>
      <c r="M13" s="9">
        <f>IF(A13="","",IF(OR(J13="",Inputs!$B$59=""),0,IFERROR(INDEX(Elements_hybrides!$F$4:$F$204,MATCH(J13,Elements_hybrides!$A$4:$A$204,0))/(Inputs!$B$59*60),0)))</f>
        <v>0.26833333333333337</v>
      </c>
      <c r="N13" s="9">
        <f>IF(A13="","",IF(L13="",Inputs!$B$14,L13)+M13)</f>
        <v>5.2683333333333335</v>
      </c>
    </row>
    <row r="14" spans="1:14" x14ac:dyDescent="0.25">
      <c r="A14" s="3" t="s">
        <v>244</v>
      </c>
      <c r="B14" s="3" t="s">
        <v>245</v>
      </c>
      <c r="C14" s="3" t="s">
        <v>213</v>
      </c>
      <c r="D14" s="8">
        <v>20.5</v>
      </c>
      <c r="E14" s="8"/>
      <c r="F14" s="9">
        <f>IF(E14&lt;&gt;"",E14,IF(UPPER(TRIM(C14))="BASIN",IF(UPPER(TRIM(Inputs!$B$52))="YES",Inputs!$B$12,0),IF(UPPER(TRIM(C14))="ROOF",Inputs!$B$10,IF(UPPER(TRIM(C14))="PAVAGE",Inputs!$B$58,IF(UPPER(TRIM(C14))="TRESFOND",Inputs!$B$11,IF(UPPER(TRIM(C14))="GRASS",Inputs!$B$12,Inputs!$B$13))))))</f>
        <v>0.25</v>
      </c>
      <c r="G14" s="9">
        <f t="shared" si="0"/>
        <v>5.2683333333333335</v>
      </c>
      <c r="H14" s="9">
        <f>IF(A14="","",Inputs!$B$3/((IF(G14="",Inputs!$B$14,G14)+Inputs!$B$4)^Inputs!$B$5))</f>
        <v>111.44149047283528</v>
      </c>
      <c r="I14" s="9">
        <f t="shared" si="1"/>
        <v>1.5877626355117206E-4</v>
      </c>
      <c r="J14" s="3" t="s">
        <v>204</v>
      </c>
      <c r="K14" s="3" t="s">
        <v>246</v>
      </c>
      <c r="L14" s="4">
        <v>5</v>
      </c>
      <c r="M14" s="9">
        <f>IF(A14="","",IF(OR(J14="",Inputs!$B$59=""),0,IFERROR(INDEX(Elements_hybrides!$F$4:$F$204,MATCH(J14,Elements_hybrides!$A$4:$A$204,0))/(Inputs!$B$59*60),0)))</f>
        <v>0.26833333333333337</v>
      </c>
      <c r="N14" s="9">
        <f>IF(A14="","",IF(L14="",Inputs!$B$14,L14)+M14)</f>
        <v>5.2683333333333335</v>
      </c>
    </row>
    <row r="15" spans="1:14" x14ac:dyDescent="0.25">
      <c r="A15" s="3" t="s">
        <v>247</v>
      </c>
      <c r="B15" s="3" t="s">
        <v>248</v>
      </c>
      <c r="C15" s="3" t="s">
        <v>222</v>
      </c>
      <c r="D15" s="8">
        <v>5.8</v>
      </c>
      <c r="E15" s="8"/>
      <c r="F15" s="9">
        <f>IF(E15&lt;&gt;"",E15,IF(UPPER(TRIM(C15))="BASIN",IF(UPPER(TRIM(Inputs!$B$52))="YES",Inputs!$B$12,0),IF(UPPER(TRIM(C15))="ROOF",Inputs!$B$10,IF(UPPER(TRIM(C15))="PAVAGE",Inputs!$B$58,IF(UPPER(TRIM(C15))="TRESFOND",Inputs!$B$11,IF(UPPER(TRIM(C15))="GRASS",Inputs!$B$12,Inputs!$B$13))))))</f>
        <v>0.95</v>
      </c>
      <c r="G15" s="9">
        <f t="shared" si="0"/>
        <v>8.2683333333333326</v>
      </c>
      <c r="H15" s="9">
        <f>IF(A15="","",Inputs!$B$3/((IF(G15="",Inputs!$B$14,G15)+Inputs!$B$4)^Inputs!$B$5))</f>
        <v>102.30247352882182</v>
      </c>
      <c r="I15" s="9">
        <f t="shared" si="1"/>
        <v>1.5670488290197868E-4</v>
      </c>
      <c r="J15" s="3" t="s">
        <v>204</v>
      </c>
      <c r="K15" s="3" t="s">
        <v>249</v>
      </c>
      <c r="L15" s="4">
        <v>8</v>
      </c>
      <c r="M15" s="9">
        <f>IF(A15="","",IF(OR(J15="",Inputs!$B$59=""),0,IFERROR(INDEX(Elements_hybrides!$F$4:$F$204,MATCH(J15,Elements_hybrides!$A$4:$A$204,0))/(Inputs!$B$59*60),0)))</f>
        <v>0.26833333333333337</v>
      </c>
      <c r="N15" s="9">
        <f>IF(A15="","",IF(L15="",Inputs!$B$14,L15)+M15)</f>
        <v>8.2683333333333326</v>
      </c>
    </row>
    <row r="16" spans="1:14" x14ac:dyDescent="0.25">
      <c r="A16" s="3" t="s">
        <v>250</v>
      </c>
      <c r="B16" s="3" t="s">
        <v>251</v>
      </c>
      <c r="C16" s="3" t="s">
        <v>213</v>
      </c>
      <c r="D16" s="8">
        <v>40.799999999999997</v>
      </c>
      <c r="E16" s="8"/>
      <c r="F16" s="9">
        <f>IF(E16&lt;&gt;"",E16,IF(UPPER(TRIM(C16))="BASIN",IF(UPPER(TRIM(Inputs!$B$52))="YES",Inputs!$B$12,0),IF(UPPER(TRIM(C16))="ROOF",Inputs!$B$10,IF(UPPER(TRIM(C16))="PAVAGE",Inputs!$B$58,IF(UPPER(TRIM(C16))="TRESFOND",Inputs!$B$11,IF(UPPER(TRIM(C16))="GRASS",Inputs!$B$12,Inputs!$B$13))))))</f>
        <v>0.25</v>
      </c>
      <c r="G16" s="9">
        <f t="shared" si="0"/>
        <v>7.2</v>
      </c>
      <c r="H16" s="9">
        <f>IF(A16="","",Inputs!$B$3/((IF(G16="",Inputs!$B$14,G16)+Inputs!$B$4)^Inputs!$B$5))</f>
        <v>105.39118226851828</v>
      </c>
      <c r="I16" s="9">
        <f t="shared" si="1"/>
        <v>2.988472364406104E-4</v>
      </c>
      <c r="J16" s="3" t="s">
        <v>209</v>
      </c>
      <c r="K16" s="3" t="s">
        <v>252</v>
      </c>
      <c r="L16" s="4"/>
      <c r="M16" s="9">
        <f>IF(A16="","",IF(OR(J16="",Inputs!$B$59=""),0,IFERROR(INDEX(Elements_hybrides!$F$4:$F$204,MATCH(J16,Elements_hybrides!$A$4:$A$204,0))/(Inputs!$B$59*60),0)))</f>
        <v>0.2</v>
      </c>
      <c r="N16" s="9">
        <f>IF(A16="","",IF(L16="",Inputs!$B$14,L16)+M16)</f>
        <v>7.2</v>
      </c>
    </row>
    <row r="17" spans="1:14" x14ac:dyDescent="0.25">
      <c r="A17" s="3"/>
      <c r="B17" s="3"/>
      <c r="C17" s="3"/>
      <c r="D17" s="8">
        <f>SUM(D4:D16)</f>
        <v>1746.7</v>
      </c>
      <c r="E17" s="8"/>
      <c r="F17" s="9">
        <f>IF(E17&lt;&gt;"",E17,IF(UPPER(TRIM(C17))="BASIN",IF(UPPER(TRIM(Inputs!$B$52))="YES",Inputs!$B$12,0),IF(UPPER(TRIM(C17))="ROOF",Inputs!$B$10,IF(UPPER(TRIM(C17))="PAVAGE",Inputs!$B$58,IF(UPPER(TRIM(C17))="TRESFOND",Inputs!$B$11,IF(UPPER(TRIM(C17))="GRASS",Inputs!$B$12,Inputs!$B$13))))))</f>
        <v>0.6</v>
      </c>
      <c r="G17" s="9" t="str">
        <f t="shared" si="0"/>
        <v/>
      </c>
      <c r="H17" s="9" t="str">
        <f>IF(A17="","",Inputs!$B$3/((IF(G17="",Inputs!$B$14,G17)+Inputs!$B$4)^Inputs!$B$5))</f>
        <v/>
      </c>
      <c r="I17" s="9" t="str">
        <f t="shared" si="1"/>
        <v/>
      </c>
      <c r="J17" s="3"/>
      <c r="K17" s="3"/>
      <c r="L17" s="4"/>
      <c r="M17" s="9" t="str">
        <f>IF(A17="","",IF(OR(J17="",Inputs!$B$59=""),0,IFERROR(INDEX(Elements_hybrides!$F$4:$F$204,MATCH(J17,Elements_hybrides!$A$4:$A$204,0))/(Inputs!$B$59*60),0)))</f>
        <v/>
      </c>
      <c r="N17" s="9" t="str">
        <f>IF(A17="","",IF(L17="",Inputs!$B$14,L17)+M17)</f>
        <v/>
      </c>
    </row>
    <row r="18" spans="1:14" x14ac:dyDescent="0.25">
      <c r="A18" s="3"/>
      <c r="B18" s="3"/>
      <c r="C18" s="3"/>
      <c r="D18" s="8"/>
      <c r="E18" s="8"/>
      <c r="F18" s="9">
        <f>IF(E18&lt;&gt;"",E18,IF(UPPER(TRIM(C18))="BASIN",IF(UPPER(TRIM(Inputs!$B$52))="YES",Inputs!$B$12,0),IF(UPPER(TRIM(C18))="ROOF",Inputs!$B$10,IF(UPPER(TRIM(C18))="PAVAGE",Inputs!$B$58,IF(UPPER(TRIM(C18))="TRESFOND",Inputs!$B$11,IF(UPPER(TRIM(C18))="GRASS",Inputs!$B$12,Inputs!$B$13))))))</f>
        <v>0.6</v>
      </c>
      <c r="G18" s="9" t="str">
        <f t="shared" si="0"/>
        <v/>
      </c>
      <c r="H18" s="9" t="str">
        <f>IF(A18="","",Inputs!$B$3/((IF(G18="",Inputs!$B$14,G18)+Inputs!$B$4)^Inputs!$B$5))</f>
        <v/>
      </c>
      <c r="I18" s="9" t="str">
        <f t="shared" si="1"/>
        <v/>
      </c>
      <c r="J18" s="3"/>
      <c r="K18" s="3"/>
      <c r="L18" s="4"/>
      <c r="M18" s="9" t="str">
        <f>IF(A18="","",IF(OR(J18="",Inputs!$B$59=""),0,IFERROR(INDEX(Elements_hybrides!$F$4:$F$204,MATCH(J18,Elements_hybrides!$A$4:$A$204,0))/(Inputs!$B$59*60),0)))</f>
        <v/>
      </c>
      <c r="N18" s="9" t="str">
        <f>IF(A18="","",IF(L18="",Inputs!$B$14,L18)+M18)</f>
        <v/>
      </c>
    </row>
    <row r="19" spans="1:14" x14ac:dyDescent="0.25">
      <c r="A19" s="3"/>
      <c r="B19" s="3"/>
      <c r="C19" s="3" t="s">
        <v>522</v>
      </c>
      <c r="D19" s="8">
        <f>D6+D7+D9+D11+D14</f>
        <v>246.79999999999998</v>
      </c>
      <c r="E19" s="8"/>
      <c r="F19" s="9">
        <f>IF(E19&lt;&gt;"",E19,IF(UPPER(TRIM(C19))="BASIN",IF(UPPER(TRIM(Inputs!$B$52))="YES",Inputs!$B$12,0),IF(UPPER(TRIM(C19))="ROOF",Inputs!$B$10,IF(UPPER(TRIM(C19))="PAVAGE",Inputs!$B$58,IF(UPPER(TRIM(C19))="TRESFOND",Inputs!$B$11,IF(UPPER(TRIM(C19))="GRASS",Inputs!$B$12,Inputs!$B$13))))))</f>
        <v>0.25</v>
      </c>
      <c r="G19" s="9" t="str">
        <f t="shared" si="0"/>
        <v/>
      </c>
      <c r="H19" s="9" t="str">
        <f>IF(A19="","",Inputs!$B$3/((IF(G19="",Inputs!$B$14,G19)+Inputs!$B$4)^Inputs!$B$5))</f>
        <v/>
      </c>
      <c r="I19" s="9" t="str">
        <f t="shared" si="1"/>
        <v/>
      </c>
      <c r="J19" s="3"/>
      <c r="K19" s="3"/>
      <c r="L19" s="4"/>
      <c r="M19" s="9" t="str">
        <f>IF(A19="","",IF(OR(J19="",Inputs!$B$59=""),0,IFERROR(INDEX(Elements_hybrides!$F$4:$F$204,MATCH(J19,Elements_hybrides!$A$4:$A$204,0))/(Inputs!$B$59*60),0)))</f>
        <v/>
      </c>
      <c r="N19" s="9" t="str">
        <f>IF(A19="","",IF(L19="",Inputs!$B$14,L19)+M19)</f>
        <v/>
      </c>
    </row>
    <row r="20" spans="1:14" x14ac:dyDescent="0.25">
      <c r="A20" s="3"/>
      <c r="B20" s="3"/>
      <c r="C20" s="3" t="s">
        <v>523</v>
      </c>
      <c r="D20" s="8">
        <f>D8+D10+D13+D15</f>
        <v>94.3</v>
      </c>
      <c r="E20" s="8"/>
      <c r="F20" s="9">
        <f>IF(E20&lt;&gt;"",E20,IF(UPPER(TRIM(C20))="BASIN",IF(UPPER(TRIM(Inputs!$B$52))="YES",Inputs!$B$12,0),IF(UPPER(TRIM(C20))="ROOF",Inputs!$B$10,IF(UPPER(TRIM(C20))="PAVAGE",Inputs!$B$58,IF(UPPER(TRIM(C20))="TRESFOND",Inputs!$B$11,IF(UPPER(TRIM(C20))="GRASS",Inputs!$B$12,Inputs!$B$13))))))</f>
        <v>0.95</v>
      </c>
      <c r="G20" s="9" t="str">
        <f t="shared" si="0"/>
        <v/>
      </c>
      <c r="H20" s="9" t="str">
        <f>IF(A20="","",Inputs!$B$3/((IF(G20="",Inputs!$B$14,G20)+Inputs!$B$4)^Inputs!$B$5))</f>
        <v/>
      </c>
      <c r="I20" s="9" t="str">
        <f t="shared" si="1"/>
        <v/>
      </c>
      <c r="J20" s="3"/>
      <c r="K20" s="3"/>
      <c r="L20" s="4"/>
      <c r="M20" s="9" t="str">
        <f>IF(A20="","",IF(OR(J20="",Inputs!$B$59=""),0,IFERROR(INDEX(Elements_hybrides!$F$4:$F$204,MATCH(J20,Elements_hybrides!$A$4:$A$204,0))/(Inputs!$B$59*60),0)))</f>
        <v/>
      </c>
      <c r="N20" s="9" t="str">
        <f>IF(A20="","",IF(L20="",Inputs!$B$14,L20)+M20)</f>
        <v/>
      </c>
    </row>
    <row r="21" spans="1:14" x14ac:dyDescent="0.25">
      <c r="A21" s="3"/>
      <c r="B21" s="3"/>
      <c r="C21" s="3"/>
      <c r="D21" s="8"/>
      <c r="E21" s="8"/>
      <c r="F21" s="9">
        <f>IF(E21&lt;&gt;"",E21,IF(UPPER(TRIM(C21))="BASIN",IF(UPPER(TRIM(Inputs!$B$52))="YES",Inputs!$B$12,0),IF(UPPER(TRIM(C21))="ROOF",Inputs!$B$10,IF(UPPER(TRIM(C21))="PAVAGE",Inputs!$B$58,IF(UPPER(TRIM(C21))="TRESFOND",Inputs!$B$11,IF(UPPER(TRIM(C21))="GRASS",Inputs!$B$12,Inputs!$B$13))))))</f>
        <v>0.6</v>
      </c>
      <c r="G21" s="9" t="str">
        <f t="shared" si="0"/>
        <v/>
      </c>
      <c r="H21" s="9" t="str">
        <f>IF(A21="","",Inputs!$B$3/((IF(G21="",Inputs!$B$14,G21)+Inputs!$B$4)^Inputs!$B$5))</f>
        <v/>
      </c>
      <c r="I21" s="9" t="str">
        <f t="shared" si="1"/>
        <v/>
      </c>
      <c r="J21" s="3"/>
      <c r="K21" s="3"/>
      <c r="L21" s="4"/>
      <c r="M21" s="9" t="str">
        <f>IF(A21="","",IF(OR(J21="",Inputs!$B$59=""),0,IFERROR(INDEX(Elements_hybrides!$F$4:$F$204,MATCH(J21,Elements_hybrides!$A$4:$A$204,0))/(Inputs!$B$59*60),0)))</f>
        <v/>
      </c>
      <c r="N21" s="9" t="str">
        <f>IF(A21="","",IF(L21="",Inputs!$B$14,L21)+M21)</f>
        <v/>
      </c>
    </row>
    <row r="22" spans="1:14" x14ac:dyDescent="0.25">
      <c r="A22" s="3"/>
      <c r="B22" s="3" t="s">
        <v>524</v>
      </c>
      <c r="C22" s="3"/>
      <c r="D22" s="8">
        <v>109.7</v>
      </c>
      <c r="E22" s="8"/>
      <c r="F22" s="9">
        <f>IF(E22&lt;&gt;"",E22,IF(UPPER(TRIM(C22))="BASIN",IF(UPPER(TRIM(Inputs!$B$52))="YES",Inputs!$B$12,0),IF(UPPER(TRIM(C22))="ROOF",Inputs!$B$10,IF(UPPER(TRIM(C22))="PAVAGE",Inputs!$B$58,IF(UPPER(TRIM(C22))="TRESFOND",Inputs!$B$11,IF(UPPER(TRIM(C22))="GRASS",Inputs!$B$12,Inputs!$B$13))))))</f>
        <v>0.6</v>
      </c>
      <c r="G22" s="9" t="str">
        <f t="shared" si="0"/>
        <v/>
      </c>
      <c r="H22" s="9" t="str">
        <f>IF(A22="","",Inputs!$B$3/((IF(G22="",Inputs!$B$14,G22)+Inputs!$B$4)^Inputs!$B$5))</f>
        <v/>
      </c>
      <c r="I22" s="9" t="str">
        <f t="shared" si="1"/>
        <v/>
      </c>
      <c r="J22" s="3"/>
      <c r="K22" s="3"/>
      <c r="L22" s="4"/>
      <c r="M22" s="9" t="str">
        <f>IF(A22="","",IF(OR(J22="",Inputs!$B$59=""),0,IFERROR(INDEX(Elements_hybrides!$F$4:$F$204,MATCH(J22,Elements_hybrides!$A$4:$A$204,0))/(Inputs!$B$59*60),0)))</f>
        <v/>
      </c>
      <c r="N22" s="9" t="str">
        <f>IF(A22="","",IF(L22="",Inputs!$B$14,L22)+M22)</f>
        <v/>
      </c>
    </row>
    <row r="23" spans="1:14" x14ac:dyDescent="0.25">
      <c r="A23" s="3"/>
      <c r="B23" s="3"/>
      <c r="C23" s="3"/>
      <c r="D23" s="8"/>
      <c r="E23" s="8"/>
      <c r="F23" s="9">
        <f>IF(E23&lt;&gt;"",E23,IF(UPPER(TRIM(C23))="BASIN",IF(UPPER(TRIM(Inputs!$B$52))="YES",Inputs!$B$12,0),IF(UPPER(TRIM(C23))="ROOF",Inputs!$B$10,IF(UPPER(TRIM(C23))="PAVAGE",Inputs!$B$58,IF(UPPER(TRIM(C23))="TRESFOND",Inputs!$B$11,IF(UPPER(TRIM(C23))="GRASS",Inputs!$B$12,Inputs!$B$13))))))</f>
        <v>0.6</v>
      </c>
      <c r="G23" s="9" t="str">
        <f t="shared" si="0"/>
        <v/>
      </c>
      <c r="H23" s="9" t="str">
        <f>IF(A23="","",Inputs!$B$3/((IF(G23="",Inputs!$B$14,G23)+Inputs!$B$4)^Inputs!$B$5))</f>
        <v/>
      </c>
      <c r="I23" s="9" t="str">
        <f t="shared" si="1"/>
        <v/>
      </c>
      <c r="J23" s="3"/>
      <c r="K23" s="3"/>
      <c r="L23" s="4"/>
      <c r="M23" s="9" t="str">
        <f>IF(A23="","",IF(OR(J23="",Inputs!$B$59=""),0,IFERROR(INDEX(Elements_hybrides!$F$4:$F$204,MATCH(J23,Elements_hybrides!$A$4:$A$204,0))/(Inputs!$B$59*60),0)))</f>
        <v/>
      </c>
      <c r="N23" s="9" t="str">
        <f>IF(A23="","",IF(L23="",Inputs!$B$14,L23)+M23)</f>
        <v/>
      </c>
    </row>
    <row r="24" spans="1:14" x14ac:dyDescent="0.25">
      <c r="A24" s="3"/>
      <c r="B24" s="3"/>
      <c r="C24" s="3"/>
      <c r="D24" s="8"/>
      <c r="E24" s="8"/>
      <c r="F24" s="9">
        <f>IF(E24&lt;&gt;"",E24,IF(UPPER(TRIM(C24))="BASIN",IF(UPPER(TRIM(Inputs!$B$52))="YES",Inputs!$B$12,0),IF(UPPER(TRIM(C24))="ROOF",Inputs!$B$10,IF(UPPER(TRIM(C24))="PAVAGE",Inputs!$B$58,IF(UPPER(TRIM(C24))="TRESFOND",Inputs!$B$11,IF(UPPER(TRIM(C24))="GRASS",Inputs!$B$12,Inputs!$B$13))))))</f>
        <v>0.6</v>
      </c>
      <c r="G24" s="9" t="str">
        <f t="shared" si="0"/>
        <v/>
      </c>
      <c r="H24" s="9" t="str">
        <f>IF(A24="","",Inputs!$B$3/((IF(G24="",Inputs!$B$14,G24)+Inputs!$B$4)^Inputs!$B$5))</f>
        <v/>
      </c>
      <c r="I24" s="9" t="str">
        <f t="shared" si="1"/>
        <v/>
      </c>
      <c r="J24" s="3"/>
      <c r="K24" s="3"/>
      <c r="L24" s="4"/>
      <c r="M24" s="9" t="str">
        <f>IF(A24="","",IF(OR(J24="",Inputs!$B$59=""),0,IFERROR(INDEX(Elements_hybrides!$F$4:$F$204,MATCH(J24,Elements_hybrides!$A$4:$A$204,0))/(Inputs!$B$59*60),0)))</f>
        <v/>
      </c>
      <c r="N24" s="9" t="str">
        <f>IF(A24="","",IF(L24="",Inputs!$B$14,L24)+M24)</f>
        <v/>
      </c>
    </row>
    <row r="25" spans="1:14" x14ac:dyDescent="0.25">
      <c r="A25" s="3"/>
      <c r="B25" s="3"/>
      <c r="C25" s="3"/>
      <c r="D25" s="8"/>
      <c r="E25" s="8"/>
      <c r="F25" s="9">
        <f>IF(E25&lt;&gt;"",E25,IF(UPPER(TRIM(C25))="BASIN",IF(UPPER(TRIM(Inputs!$B$52))="YES",Inputs!$B$12,0),IF(UPPER(TRIM(C25))="ROOF",Inputs!$B$10,IF(UPPER(TRIM(C25))="PAVAGE",Inputs!$B$58,IF(UPPER(TRIM(C25))="TRESFOND",Inputs!$B$11,IF(UPPER(TRIM(C25))="GRASS",Inputs!$B$12,Inputs!$B$13))))))</f>
        <v>0.6</v>
      </c>
      <c r="G25" s="9" t="str">
        <f t="shared" si="0"/>
        <v/>
      </c>
      <c r="H25" s="9" t="str">
        <f>IF(A25="","",Inputs!$B$3/((IF(G25="",Inputs!$B$14,G25)+Inputs!$B$4)^Inputs!$B$5))</f>
        <v/>
      </c>
      <c r="I25" s="9" t="str">
        <f t="shared" si="1"/>
        <v/>
      </c>
      <c r="J25" s="3"/>
      <c r="K25" s="3"/>
      <c r="L25" s="4"/>
      <c r="M25" s="9" t="str">
        <f>IF(A25="","",IF(OR(J25="",Inputs!$B$59=""),0,IFERROR(INDEX(Elements_hybrides!$F$4:$F$204,MATCH(J25,Elements_hybrides!$A$4:$A$204,0))/(Inputs!$B$59*60),0)))</f>
        <v/>
      </c>
      <c r="N25" s="9" t="str">
        <f>IF(A25="","",IF(L25="",Inputs!$B$14,L25)+M25)</f>
        <v/>
      </c>
    </row>
    <row r="26" spans="1:14" x14ac:dyDescent="0.25">
      <c r="A26" s="3"/>
      <c r="B26" s="3"/>
      <c r="C26" s="3"/>
      <c r="D26" s="8"/>
      <c r="E26" s="8"/>
      <c r="F26" s="9">
        <f>IF(E26&lt;&gt;"",E26,IF(UPPER(TRIM(C26))="BASIN",IF(UPPER(TRIM(Inputs!$B$52))="YES",Inputs!$B$12,0),IF(UPPER(TRIM(C26))="ROOF",Inputs!$B$10,IF(UPPER(TRIM(C26))="PAVAGE",Inputs!$B$58,IF(UPPER(TRIM(C26))="TRESFOND",Inputs!$B$11,IF(UPPER(TRIM(C26))="GRASS",Inputs!$B$12,Inputs!$B$13))))))</f>
        <v>0.6</v>
      </c>
      <c r="G26" s="9" t="str">
        <f t="shared" si="0"/>
        <v/>
      </c>
      <c r="H26" s="9" t="str">
        <f>IF(A26="","",Inputs!$B$3/((IF(G26="",Inputs!$B$14,G26)+Inputs!$B$4)^Inputs!$B$5))</f>
        <v/>
      </c>
      <c r="I26" s="9" t="str">
        <f t="shared" si="1"/>
        <v/>
      </c>
      <c r="J26" s="3"/>
      <c r="K26" s="3"/>
      <c r="L26" s="4"/>
      <c r="M26" s="9" t="str">
        <f>IF(A26="","",IF(OR(J26="",Inputs!$B$59=""),0,IFERROR(INDEX(Elements_hybrides!$F$4:$F$204,MATCH(J26,Elements_hybrides!$A$4:$A$204,0))/(Inputs!$B$59*60),0)))</f>
        <v/>
      </c>
      <c r="N26" s="9" t="str">
        <f>IF(A26="","",IF(L26="",Inputs!$B$14,L26)+M26)</f>
        <v/>
      </c>
    </row>
    <row r="27" spans="1:14" x14ac:dyDescent="0.25">
      <c r="A27" s="3"/>
      <c r="B27" s="3"/>
      <c r="C27" s="3"/>
      <c r="D27" s="8"/>
      <c r="E27" s="8"/>
      <c r="F27" s="9">
        <f>IF(E27&lt;&gt;"",E27,IF(UPPER(TRIM(C27))="BASIN",IF(UPPER(TRIM(Inputs!$B$52))="YES",Inputs!$B$12,0),IF(UPPER(TRIM(C27))="ROOF",Inputs!$B$10,IF(UPPER(TRIM(C27))="PAVAGE",Inputs!$B$58,IF(UPPER(TRIM(C27))="TRESFOND",Inputs!$B$11,IF(UPPER(TRIM(C27))="GRASS",Inputs!$B$12,Inputs!$B$13))))))</f>
        <v>0.6</v>
      </c>
      <c r="G27" s="9" t="str">
        <f t="shared" si="0"/>
        <v/>
      </c>
      <c r="H27" s="9" t="str">
        <f>IF(A27="","",Inputs!$B$3/((IF(G27="",Inputs!$B$14,G27)+Inputs!$B$4)^Inputs!$B$5))</f>
        <v/>
      </c>
      <c r="I27" s="9" t="str">
        <f t="shared" si="1"/>
        <v/>
      </c>
      <c r="J27" s="3"/>
      <c r="K27" s="3"/>
      <c r="L27" s="4"/>
      <c r="M27" s="9" t="str">
        <f>IF(A27="","",IF(OR(J27="",Inputs!$B$59=""),0,IFERROR(INDEX(Elements_hybrides!$F$4:$F$204,MATCH(J27,Elements_hybrides!$A$4:$A$204,0))/(Inputs!$B$59*60),0)))</f>
        <v/>
      </c>
      <c r="N27" s="9" t="str">
        <f>IF(A27="","",IF(L27="",Inputs!$B$14,L27)+M27)</f>
        <v/>
      </c>
    </row>
    <row r="28" spans="1:14" x14ac:dyDescent="0.25">
      <c r="A28" s="3"/>
      <c r="B28" s="3"/>
      <c r="C28" s="3"/>
      <c r="D28" s="8"/>
      <c r="E28" s="8"/>
      <c r="F28" s="9">
        <f>IF(E28&lt;&gt;"",E28,IF(UPPER(TRIM(C28))="BASIN",IF(UPPER(TRIM(Inputs!$B$52))="YES",Inputs!$B$12,0),IF(UPPER(TRIM(C28))="ROOF",Inputs!$B$10,IF(UPPER(TRIM(C28))="PAVAGE",Inputs!$B$58,IF(UPPER(TRIM(C28))="TRESFOND",Inputs!$B$11,IF(UPPER(TRIM(C28))="GRASS",Inputs!$B$12,Inputs!$B$13))))))</f>
        <v>0.6</v>
      </c>
      <c r="G28" s="9" t="str">
        <f t="shared" si="0"/>
        <v/>
      </c>
      <c r="H28" s="9" t="str">
        <f>IF(A28="","",Inputs!$B$3/((IF(G28="",Inputs!$B$14,G28)+Inputs!$B$4)^Inputs!$B$5))</f>
        <v/>
      </c>
      <c r="I28" s="9" t="str">
        <f t="shared" si="1"/>
        <v/>
      </c>
      <c r="J28" s="3"/>
      <c r="K28" s="3"/>
      <c r="L28" s="4"/>
      <c r="M28" s="9" t="str">
        <f>IF(A28="","",IF(OR(J28="",Inputs!$B$59=""),0,IFERROR(INDEX(Elements_hybrides!$F$4:$F$204,MATCH(J28,Elements_hybrides!$A$4:$A$204,0))/(Inputs!$B$59*60),0)))</f>
        <v/>
      </c>
      <c r="N28" s="9" t="str">
        <f>IF(A28="","",IF(L28="",Inputs!$B$14,L28)+M28)</f>
        <v/>
      </c>
    </row>
    <row r="29" spans="1:14" x14ac:dyDescent="0.25">
      <c r="A29" s="3"/>
      <c r="B29" s="3"/>
      <c r="C29" s="3"/>
      <c r="D29" s="8"/>
      <c r="E29" s="8"/>
      <c r="F29" s="9">
        <f>IF(E29&lt;&gt;"",E29,IF(UPPER(TRIM(C29))="BASIN",IF(UPPER(TRIM(Inputs!$B$52))="YES",Inputs!$B$12,0),IF(UPPER(TRIM(C29))="ROOF",Inputs!$B$10,IF(UPPER(TRIM(C29))="PAVAGE",Inputs!$B$58,IF(UPPER(TRIM(C29))="TRESFOND",Inputs!$B$11,IF(UPPER(TRIM(C29))="GRASS",Inputs!$B$12,Inputs!$B$13))))))</f>
        <v>0.6</v>
      </c>
      <c r="G29" s="9" t="str">
        <f t="shared" si="0"/>
        <v/>
      </c>
      <c r="H29" s="9" t="str">
        <f>IF(A29="","",Inputs!$B$3/((IF(G29="",Inputs!$B$14,G29)+Inputs!$B$4)^Inputs!$B$5))</f>
        <v/>
      </c>
      <c r="I29" s="9" t="str">
        <f t="shared" si="1"/>
        <v/>
      </c>
      <c r="J29" s="3"/>
      <c r="K29" s="3"/>
      <c r="L29" s="4"/>
      <c r="M29" s="9" t="str">
        <f>IF(A29="","",IF(OR(J29="",Inputs!$B$59=""),0,IFERROR(INDEX(Elements_hybrides!$F$4:$F$204,MATCH(J29,Elements_hybrides!$A$4:$A$204,0))/(Inputs!$B$59*60),0)))</f>
        <v/>
      </c>
      <c r="N29" s="9" t="str">
        <f>IF(A29="","",IF(L29="",Inputs!$B$14,L29)+M29)</f>
        <v/>
      </c>
    </row>
    <row r="30" spans="1:14" x14ac:dyDescent="0.25">
      <c r="A30" s="3"/>
      <c r="B30" s="3"/>
      <c r="C30" s="3"/>
      <c r="D30" s="8"/>
      <c r="E30" s="8"/>
      <c r="F30" s="9">
        <f>IF(E30&lt;&gt;"",E30,IF(UPPER(TRIM(C30))="BASIN",IF(UPPER(TRIM(Inputs!$B$52))="YES",Inputs!$B$12,0),IF(UPPER(TRIM(C30))="ROOF",Inputs!$B$10,IF(UPPER(TRIM(C30))="PAVAGE",Inputs!$B$58,IF(UPPER(TRIM(C30))="TRESFOND",Inputs!$B$11,IF(UPPER(TRIM(C30))="GRASS",Inputs!$B$12,Inputs!$B$13))))))</f>
        <v>0.6</v>
      </c>
      <c r="G30" s="9" t="str">
        <f t="shared" si="0"/>
        <v/>
      </c>
      <c r="H30" s="9" t="str">
        <f>IF(A30="","",Inputs!$B$3/((IF(G30="",Inputs!$B$14,G30)+Inputs!$B$4)^Inputs!$B$5))</f>
        <v/>
      </c>
      <c r="I30" s="9" t="str">
        <f t="shared" si="1"/>
        <v/>
      </c>
      <c r="J30" s="3"/>
      <c r="K30" s="3"/>
      <c r="L30" s="4"/>
      <c r="M30" s="9" t="str">
        <f>IF(A30="","",IF(OR(J30="",Inputs!$B$59=""),0,IFERROR(INDEX(Elements_hybrides!$F$4:$F$204,MATCH(J30,Elements_hybrides!$A$4:$A$204,0))/(Inputs!$B$59*60),0)))</f>
        <v/>
      </c>
      <c r="N30" s="9" t="str">
        <f>IF(A30="","",IF(L30="",Inputs!$B$14,L30)+M30)</f>
        <v/>
      </c>
    </row>
    <row r="31" spans="1:14" x14ac:dyDescent="0.25">
      <c r="A31" s="3"/>
      <c r="B31" s="3"/>
      <c r="C31" s="3"/>
      <c r="D31" s="8"/>
      <c r="E31" s="8"/>
      <c r="F31" s="9">
        <f>IF(E31&lt;&gt;"",E31,IF(UPPER(TRIM(C31))="BASIN",IF(UPPER(TRIM(Inputs!$B$52))="YES",Inputs!$B$12,0),IF(UPPER(TRIM(C31))="ROOF",Inputs!$B$10,IF(UPPER(TRIM(C31))="PAVAGE",Inputs!$B$58,IF(UPPER(TRIM(C31))="TRESFOND",Inputs!$B$11,IF(UPPER(TRIM(C31))="GRASS",Inputs!$B$12,Inputs!$B$13))))))</f>
        <v>0.6</v>
      </c>
      <c r="G31" s="9" t="str">
        <f t="shared" si="0"/>
        <v/>
      </c>
      <c r="H31" s="9" t="str">
        <f>IF(A31="","",Inputs!$B$3/((IF(G31="",Inputs!$B$14,G31)+Inputs!$B$4)^Inputs!$B$5))</f>
        <v/>
      </c>
      <c r="I31" s="9" t="str">
        <f t="shared" si="1"/>
        <v/>
      </c>
      <c r="J31" s="3"/>
      <c r="K31" s="3"/>
      <c r="L31" s="4"/>
      <c r="M31" s="9" t="str">
        <f>IF(A31="","",IF(OR(J31="",Inputs!$B$59=""),0,IFERROR(INDEX(Elements_hybrides!$F$4:$F$204,MATCH(J31,Elements_hybrides!$A$4:$A$204,0))/(Inputs!$B$59*60),0)))</f>
        <v/>
      </c>
      <c r="N31" s="9" t="str">
        <f>IF(A31="","",IF(L31="",Inputs!$B$14,L31)+M31)</f>
        <v/>
      </c>
    </row>
    <row r="32" spans="1:14" x14ac:dyDescent="0.25">
      <c r="A32" s="3"/>
      <c r="B32" s="3"/>
      <c r="C32" s="3"/>
      <c r="D32" s="8"/>
      <c r="E32" s="8"/>
      <c r="F32" s="9">
        <f>IF(E32&lt;&gt;"",E32,IF(UPPER(TRIM(C32))="BASIN",IF(UPPER(TRIM(Inputs!$B$52))="YES",Inputs!$B$12,0),IF(UPPER(TRIM(C32))="ROOF",Inputs!$B$10,IF(UPPER(TRIM(C32))="PAVAGE",Inputs!$B$58,IF(UPPER(TRIM(C32))="TRESFOND",Inputs!$B$11,IF(UPPER(TRIM(C32))="GRASS",Inputs!$B$12,Inputs!$B$13))))))</f>
        <v>0.6</v>
      </c>
      <c r="G32" s="9" t="str">
        <f t="shared" si="0"/>
        <v/>
      </c>
      <c r="H32" s="9" t="str">
        <f>IF(A32="","",Inputs!$B$3/((IF(G32="",Inputs!$B$14,G32)+Inputs!$B$4)^Inputs!$B$5))</f>
        <v/>
      </c>
      <c r="I32" s="9" t="str">
        <f t="shared" si="1"/>
        <v/>
      </c>
      <c r="J32" s="3"/>
      <c r="K32" s="3"/>
      <c r="L32" s="4"/>
      <c r="M32" s="9" t="str">
        <f>IF(A32="","",IF(OR(J32="",Inputs!$B$59=""),0,IFERROR(INDEX(Elements_hybrides!$F$4:$F$204,MATCH(J32,Elements_hybrides!$A$4:$A$204,0))/(Inputs!$B$59*60),0)))</f>
        <v/>
      </c>
      <c r="N32" s="9" t="str">
        <f>IF(A32="","",IF(L32="",Inputs!$B$14,L32)+M32)</f>
        <v/>
      </c>
    </row>
    <row r="33" spans="1:14" x14ac:dyDescent="0.25">
      <c r="A33" s="3"/>
      <c r="B33" s="3"/>
      <c r="C33" s="3"/>
      <c r="D33" s="8"/>
      <c r="E33" s="8"/>
      <c r="F33" s="9">
        <f>IF(E33&lt;&gt;"",E33,IF(UPPER(TRIM(C33))="BASIN",IF(UPPER(TRIM(Inputs!$B$52))="YES",Inputs!$B$12,0),IF(UPPER(TRIM(C33))="ROOF",Inputs!$B$10,IF(UPPER(TRIM(C33))="PAVAGE",Inputs!$B$58,IF(UPPER(TRIM(C33))="TRESFOND",Inputs!$B$11,IF(UPPER(TRIM(C33))="GRASS",Inputs!$B$12,Inputs!$B$13))))))</f>
        <v>0.6</v>
      </c>
      <c r="G33" s="9" t="str">
        <f t="shared" si="0"/>
        <v/>
      </c>
      <c r="H33" s="9" t="str">
        <f>IF(A33="","",Inputs!$B$3/((IF(G33="",Inputs!$B$14,G33)+Inputs!$B$4)^Inputs!$B$5))</f>
        <v/>
      </c>
      <c r="I33" s="9" t="str">
        <f t="shared" si="1"/>
        <v/>
      </c>
      <c r="J33" s="3"/>
      <c r="K33" s="3"/>
      <c r="L33" s="4"/>
      <c r="M33" s="9" t="str">
        <f>IF(A33="","",IF(OR(J33="",Inputs!$B$59=""),0,IFERROR(INDEX(Elements_hybrides!$F$4:$F$204,MATCH(J33,Elements_hybrides!$A$4:$A$204,0))/(Inputs!$B$59*60),0)))</f>
        <v/>
      </c>
      <c r="N33" s="9" t="str">
        <f>IF(A33="","",IF(L33="",Inputs!$B$14,L33)+M33)</f>
        <v/>
      </c>
    </row>
    <row r="34" spans="1:14" x14ac:dyDescent="0.25">
      <c r="A34" s="3"/>
      <c r="B34" s="3"/>
      <c r="C34" s="3"/>
      <c r="D34" s="8"/>
      <c r="E34" s="8"/>
      <c r="F34" s="9">
        <f>IF(E34&lt;&gt;"",E34,IF(UPPER(TRIM(C34))="BASIN",IF(UPPER(TRIM(Inputs!$B$52))="YES",Inputs!$B$12,0),IF(UPPER(TRIM(C34))="ROOF",Inputs!$B$10,IF(UPPER(TRIM(C34))="PAVAGE",Inputs!$B$58,IF(UPPER(TRIM(C34))="TRESFOND",Inputs!$B$11,IF(UPPER(TRIM(C34))="GRASS",Inputs!$B$12,Inputs!$B$13))))))</f>
        <v>0.6</v>
      </c>
      <c r="G34" s="9" t="str">
        <f t="shared" si="0"/>
        <v/>
      </c>
      <c r="H34" s="9" t="str">
        <f>IF(A34="","",Inputs!$B$3/((IF(G34="",Inputs!$B$14,G34)+Inputs!$B$4)^Inputs!$B$5))</f>
        <v/>
      </c>
      <c r="I34" s="9" t="str">
        <f t="shared" si="1"/>
        <v/>
      </c>
      <c r="J34" s="3"/>
      <c r="K34" s="3"/>
      <c r="L34" s="4"/>
      <c r="M34" s="9" t="str">
        <f>IF(A34="","",IF(OR(J34="",Inputs!$B$59=""),0,IFERROR(INDEX(Elements_hybrides!$F$4:$F$204,MATCH(J34,Elements_hybrides!$A$4:$A$204,0))/(Inputs!$B$59*60),0)))</f>
        <v/>
      </c>
      <c r="N34" s="9" t="str">
        <f>IF(A34="","",IF(L34="",Inputs!$B$14,L34)+M34)</f>
        <v/>
      </c>
    </row>
    <row r="35" spans="1:14" x14ac:dyDescent="0.25">
      <c r="A35" s="3"/>
      <c r="B35" s="3"/>
      <c r="C35" s="3"/>
      <c r="D35" s="8"/>
      <c r="E35" s="8"/>
      <c r="F35" s="9">
        <f>IF(E35&lt;&gt;"",E35,IF(UPPER(TRIM(C35))="BASIN",IF(UPPER(TRIM(Inputs!$B$52))="YES",Inputs!$B$12,0),IF(UPPER(TRIM(C35))="ROOF",Inputs!$B$10,IF(UPPER(TRIM(C35))="PAVAGE",Inputs!$B$58,IF(UPPER(TRIM(C35))="TRESFOND",Inputs!$B$11,IF(UPPER(TRIM(C35))="GRASS",Inputs!$B$12,Inputs!$B$13))))))</f>
        <v>0.6</v>
      </c>
      <c r="G35" s="9" t="str">
        <f t="shared" si="0"/>
        <v/>
      </c>
      <c r="H35" s="9" t="str">
        <f>IF(A35="","",Inputs!$B$3/((IF(G35="",Inputs!$B$14,G35)+Inputs!$B$4)^Inputs!$B$5))</f>
        <v/>
      </c>
      <c r="I35" s="9" t="str">
        <f t="shared" si="1"/>
        <v/>
      </c>
      <c r="J35" s="3"/>
      <c r="K35" s="3"/>
      <c r="L35" s="4"/>
      <c r="M35" s="9" t="str">
        <f>IF(A35="","",IF(OR(J35="",Inputs!$B$59=""),0,IFERROR(INDEX(Elements_hybrides!$F$4:$F$204,MATCH(J35,Elements_hybrides!$A$4:$A$204,0))/(Inputs!$B$59*60),0)))</f>
        <v/>
      </c>
      <c r="N35" s="9" t="str">
        <f>IF(A35="","",IF(L35="",Inputs!$B$14,L35)+M35)</f>
        <v/>
      </c>
    </row>
    <row r="36" spans="1:14" x14ac:dyDescent="0.25">
      <c r="A36" s="3"/>
      <c r="B36" s="3"/>
      <c r="C36" s="3"/>
      <c r="D36" s="8"/>
      <c r="E36" s="8"/>
      <c r="F36" s="9">
        <f>IF(E36&lt;&gt;"",E36,IF(UPPER(TRIM(C36))="BASIN",IF(UPPER(TRIM(Inputs!$B$52))="YES",Inputs!$B$12,0),IF(UPPER(TRIM(C36))="ROOF",Inputs!$B$10,IF(UPPER(TRIM(C36))="PAVAGE",Inputs!$B$58,IF(UPPER(TRIM(C36))="TRESFOND",Inputs!$B$11,IF(UPPER(TRIM(C36))="GRASS",Inputs!$B$12,Inputs!$B$13))))))</f>
        <v>0.6</v>
      </c>
      <c r="G36" s="9" t="str">
        <f t="shared" si="0"/>
        <v/>
      </c>
      <c r="H36" s="9" t="str">
        <f>IF(A36="","",Inputs!$B$3/((IF(G36="",Inputs!$B$14,G36)+Inputs!$B$4)^Inputs!$B$5))</f>
        <v/>
      </c>
      <c r="I36" s="9" t="str">
        <f t="shared" si="1"/>
        <v/>
      </c>
      <c r="J36" s="3"/>
      <c r="K36" s="3"/>
      <c r="L36" s="4"/>
      <c r="M36" s="9" t="str">
        <f>IF(A36="","",IF(OR(J36="",Inputs!$B$59=""),0,IFERROR(INDEX(Elements_hybrides!$F$4:$F$204,MATCH(J36,Elements_hybrides!$A$4:$A$204,0))/(Inputs!$B$59*60),0)))</f>
        <v/>
      </c>
      <c r="N36" s="9" t="str">
        <f>IF(A36="","",IF(L36="",Inputs!$B$14,L36)+M36)</f>
        <v/>
      </c>
    </row>
    <row r="37" spans="1:14" x14ac:dyDescent="0.25">
      <c r="A37" s="3"/>
      <c r="B37" s="3"/>
      <c r="C37" s="3"/>
      <c r="D37" s="8"/>
      <c r="E37" s="8"/>
      <c r="F37" s="9">
        <f>IF(E37&lt;&gt;"",E37,IF(UPPER(TRIM(C37))="BASIN",IF(UPPER(TRIM(Inputs!$B$52))="YES",Inputs!$B$12,0),IF(UPPER(TRIM(C37))="ROOF",Inputs!$B$10,IF(UPPER(TRIM(C37))="PAVAGE",Inputs!$B$58,IF(UPPER(TRIM(C37))="TRESFOND",Inputs!$B$11,IF(UPPER(TRIM(C37))="GRASS",Inputs!$B$12,Inputs!$B$13))))))</f>
        <v>0.6</v>
      </c>
      <c r="G37" s="9" t="str">
        <f t="shared" si="0"/>
        <v/>
      </c>
      <c r="H37" s="9" t="str">
        <f>IF(A37="","",Inputs!$B$3/((IF(G37="",Inputs!$B$14,G37)+Inputs!$B$4)^Inputs!$B$5))</f>
        <v/>
      </c>
      <c r="I37" s="9" t="str">
        <f t="shared" si="1"/>
        <v/>
      </c>
      <c r="J37" s="3"/>
      <c r="K37" s="3"/>
      <c r="L37" s="4"/>
      <c r="M37" s="9" t="str">
        <f>IF(A37="","",IF(OR(J37="",Inputs!$B$59=""),0,IFERROR(INDEX(Elements_hybrides!$F$4:$F$204,MATCH(J37,Elements_hybrides!$A$4:$A$204,0))/(Inputs!$B$59*60),0)))</f>
        <v/>
      </c>
      <c r="N37" s="9" t="str">
        <f>IF(A37="","",IF(L37="",Inputs!$B$14,L37)+M37)</f>
        <v/>
      </c>
    </row>
    <row r="38" spans="1:14" x14ac:dyDescent="0.25">
      <c r="A38" s="3"/>
      <c r="B38" s="3"/>
      <c r="C38" s="3"/>
      <c r="D38" s="8"/>
      <c r="E38" s="8"/>
      <c r="F38" s="9">
        <f>IF(E38&lt;&gt;"",E38,IF(UPPER(TRIM(C38))="BASIN",IF(UPPER(TRIM(Inputs!$B$52))="YES",Inputs!$B$12,0),IF(UPPER(TRIM(C38))="ROOF",Inputs!$B$10,IF(UPPER(TRIM(C38))="PAVAGE",Inputs!$B$58,IF(UPPER(TRIM(C38))="TRESFOND",Inputs!$B$11,IF(UPPER(TRIM(C38))="GRASS",Inputs!$B$12,Inputs!$B$13))))))</f>
        <v>0.6</v>
      </c>
      <c r="G38" s="9" t="str">
        <f t="shared" si="0"/>
        <v/>
      </c>
      <c r="H38" s="9" t="str">
        <f>IF(A38="","",Inputs!$B$3/((IF(G38="",Inputs!$B$14,G38)+Inputs!$B$4)^Inputs!$B$5))</f>
        <v/>
      </c>
      <c r="I38" s="9" t="str">
        <f t="shared" si="1"/>
        <v/>
      </c>
      <c r="J38" s="3"/>
      <c r="K38" s="3"/>
      <c r="L38" s="4"/>
      <c r="M38" s="9" t="str">
        <f>IF(A38="","",IF(OR(J38="",Inputs!$B$59=""),0,IFERROR(INDEX(Elements_hybrides!$F$4:$F$204,MATCH(J38,Elements_hybrides!$A$4:$A$204,0))/(Inputs!$B$59*60),0)))</f>
        <v/>
      </c>
      <c r="N38" s="9" t="str">
        <f>IF(A38="","",IF(L38="",Inputs!$B$14,L38)+M38)</f>
        <v/>
      </c>
    </row>
    <row r="39" spans="1:14" x14ac:dyDescent="0.25">
      <c r="A39" s="3"/>
      <c r="B39" s="3"/>
      <c r="C39" s="3"/>
      <c r="D39" s="8"/>
      <c r="E39" s="8"/>
      <c r="F39" s="9">
        <f>IF(E39&lt;&gt;"",E39,IF(UPPER(TRIM(C39))="BASIN",IF(UPPER(TRIM(Inputs!$B$52))="YES",Inputs!$B$12,0),IF(UPPER(TRIM(C39))="ROOF",Inputs!$B$10,IF(UPPER(TRIM(C39))="PAVAGE",Inputs!$B$58,IF(UPPER(TRIM(C39))="TRESFOND",Inputs!$B$11,IF(UPPER(TRIM(C39))="GRASS",Inputs!$B$12,Inputs!$B$13))))))</f>
        <v>0.6</v>
      </c>
      <c r="G39" s="9" t="str">
        <f t="shared" si="0"/>
        <v/>
      </c>
      <c r="H39" s="9" t="str">
        <f>IF(A39="","",Inputs!$B$3/((IF(G39="",Inputs!$B$14,G39)+Inputs!$B$4)^Inputs!$B$5))</f>
        <v/>
      </c>
      <c r="I39" s="9" t="str">
        <f t="shared" si="1"/>
        <v/>
      </c>
      <c r="J39" s="3"/>
      <c r="K39" s="3"/>
      <c r="L39" s="4"/>
      <c r="M39" s="9" t="str">
        <f>IF(A39="","",IF(OR(J39="",Inputs!$B$59=""),0,IFERROR(INDEX(Elements_hybrides!$F$4:$F$204,MATCH(J39,Elements_hybrides!$A$4:$A$204,0))/(Inputs!$B$59*60),0)))</f>
        <v/>
      </c>
      <c r="N39" s="9" t="str">
        <f>IF(A39="","",IF(L39="",Inputs!$B$14,L39)+M39)</f>
        <v/>
      </c>
    </row>
    <row r="40" spans="1:14" x14ac:dyDescent="0.25">
      <c r="A40" s="3"/>
      <c r="B40" s="3"/>
      <c r="C40" s="3"/>
      <c r="D40" s="8"/>
      <c r="E40" s="8"/>
      <c r="F40" s="9">
        <f>IF(E40&lt;&gt;"",E40,IF(UPPER(TRIM(C40))="BASIN",IF(UPPER(TRIM(Inputs!$B$52))="YES",Inputs!$B$12,0),IF(UPPER(TRIM(C40))="ROOF",Inputs!$B$10,IF(UPPER(TRIM(C40))="PAVAGE",Inputs!$B$58,IF(UPPER(TRIM(C40))="TRESFOND",Inputs!$B$11,IF(UPPER(TRIM(C40))="GRASS",Inputs!$B$12,Inputs!$B$13))))))</f>
        <v>0.6</v>
      </c>
      <c r="G40" s="9" t="str">
        <f t="shared" si="0"/>
        <v/>
      </c>
      <c r="H40" s="9" t="str">
        <f>IF(A40="","",Inputs!$B$3/((IF(G40="",Inputs!$B$14,G40)+Inputs!$B$4)^Inputs!$B$5))</f>
        <v/>
      </c>
      <c r="I40" s="9" t="str">
        <f t="shared" si="1"/>
        <v/>
      </c>
      <c r="J40" s="3"/>
      <c r="K40" s="3"/>
      <c r="L40" s="4"/>
      <c r="M40" s="9" t="str">
        <f>IF(A40="","",IF(OR(J40="",Inputs!$B$59=""),0,IFERROR(INDEX(Elements_hybrides!$F$4:$F$204,MATCH(J40,Elements_hybrides!$A$4:$A$204,0))/(Inputs!$B$59*60),0)))</f>
        <v/>
      </c>
      <c r="N40" s="9" t="str">
        <f>IF(A40="","",IF(L40="",Inputs!$B$14,L40)+M40)</f>
        <v/>
      </c>
    </row>
    <row r="41" spans="1:14" x14ac:dyDescent="0.25">
      <c r="A41" s="3"/>
      <c r="B41" s="3"/>
      <c r="C41" s="3"/>
      <c r="D41" s="8"/>
      <c r="E41" s="8"/>
      <c r="F41" s="9">
        <f>IF(E41&lt;&gt;"",E41,IF(UPPER(TRIM(C41))="BASIN",IF(UPPER(TRIM(Inputs!$B$52))="YES",Inputs!$B$12,0),IF(UPPER(TRIM(C41))="ROOF",Inputs!$B$10,IF(UPPER(TRIM(C41))="PAVAGE",Inputs!$B$58,IF(UPPER(TRIM(C41))="TRESFOND",Inputs!$B$11,IF(UPPER(TRIM(C41))="GRASS",Inputs!$B$12,Inputs!$B$13))))))</f>
        <v>0.6</v>
      </c>
      <c r="G41" s="9" t="str">
        <f t="shared" si="0"/>
        <v/>
      </c>
      <c r="H41" s="9" t="str">
        <f>IF(A41="","",Inputs!$B$3/((IF(G41="",Inputs!$B$14,G41)+Inputs!$B$4)^Inputs!$B$5))</f>
        <v/>
      </c>
      <c r="I41" s="9" t="str">
        <f t="shared" si="1"/>
        <v/>
      </c>
      <c r="J41" s="3"/>
      <c r="K41" s="3"/>
      <c r="L41" s="4"/>
      <c r="M41" s="9" t="str">
        <f>IF(A41="","",IF(OR(J41="",Inputs!$B$59=""),0,IFERROR(INDEX(Elements_hybrides!$F$4:$F$204,MATCH(J41,Elements_hybrides!$A$4:$A$204,0))/(Inputs!$B$59*60),0)))</f>
        <v/>
      </c>
      <c r="N41" s="9" t="str">
        <f>IF(A41="","",IF(L41="",Inputs!$B$14,L41)+M41)</f>
        <v/>
      </c>
    </row>
    <row r="42" spans="1:14" x14ac:dyDescent="0.25">
      <c r="A42" s="3"/>
      <c r="B42" s="3"/>
      <c r="C42" s="3"/>
      <c r="D42" s="8"/>
      <c r="E42" s="8"/>
      <c r="F42" s="9">
        <f>IF(E42&lt;&gt;"",E42,IF(UPPER(TRIM(C42))="BASIN",IF(UPPER(TRIM(Inputs!$B$52))="YES",Inputs!$B$12,0),IF(UPPER(TRIM(C42))="ROOF",Inputs!$B$10,IF(UPPER(TRIM(C42))="PAVAGE",Inputs!$B$58,IF(UPPER(TRIM(C42))="TRESFOND",Inputs!$B$11,IF(UPPER(TRIM(C42))="GRASS",Inputs!$B$12,Inputs!$B$13))))))</f>
        <v>0.6</v>
      </c>
      <c r="G42" s="9" t="str">
        <f t="shared" si="0"/>
        <v/>
      </c>
      <c r="H42" s="9" t="str">
        <f>IF(A42="","",Inputs!$B$3/((IF(G42="",Inputs!$B$14,G42)+Inputs!$B$4)^Inputs!$B$5))</f>
        <v/>
      </c>
      <c r="I42" s="9" t="str">
        <f t="shared" si="1"/>
        <v/>
      </c>
      <c r="J42" s="3"/>
      <c r="K42" s="3"/>
      <c r="L42" s="4"/>
      <c r="M42" s="9" t="str">
        <f>IF(A42="","",IF(OR(J42="",Inputs!$B$59=""),0,IFERROR(INDEX(Elements_hybrides!$F$4:$F$204,MATCH(J42,Elements_hybrides!$A$4:$A$204,0))/(Inputs!$B$59*60),0)))</f>
        <v/>
      </c>
      <c r="N42" s="9" t="str">
        <f>IF(A42="","",IF(L42="",Inputs!$B$14,L42)+M42)</f>
        <v/>
      </c>
    </row>
    <row r="43" spans="1:14" x14ac:dyDescent="0.25">
      <c r="A43" s="3"/>
      <c r="B43" s="3"/>
      <c r="C43" s="3"/>
      <c r="D43" s="8"/>
      <c r="E43" s="8"/>
      <c r="F43" s="9">
        <f>IF(E43&lt;&gt;"",E43,IF(UPPER(TRIM(C43))="BASIN",IF(UPPER(TRIM(Inputs!$B$52))="YES",Inputs!$B$12,0),IF(UPPER(TRIM(C43))="ROOF",Inputs!$B$10,IF(UPPER(TRIM(C43))="PAVAGE",Inputs!$B$58,IF(UPPER(TRIM(C43))="TRESFOND",Inputs!$B$11,IF(UPPER(TRIM(C43))="GRASS",Inputs!$B$12,Inputs!$B$13))))))</f>
        <v>0.6</v>
      </c>
      <c r="G43" s="9" t="str">
        <f t="shared" si="0"/>
        <v/>
      </c>
      <c r="H43" s="9" t="str">
        <f>IF(A43="","",Inputs!$B$3/((IF(G43="",Inputs!$B$14,G43)+Inputs!$B$4)^Inputs!$B$5))</f>
        <v/>
      </c>
      <c r="I43" s="9" t="str">
        <f t="shared" si="1"/>
        <v/>
      </c>
      <c r="J43" s="3"/>
      <c r="K43" s="3"/>
      <c r="L43" s="4"/>
      <c r="M43" s="9" t="str">
        <f>IF(A43="","",IF(OR(J43="",Inputs!$B$59=""),0,IFERROR(INDEX(Elements_hybrides!$F$4:$F$204,MATCH(J43,Elements_hybrides!$A$4:$A$204,0))/(Inputs!$B$59*60),0)))</f>
        <v/>
      </c>
      <c r="N43" s="9" t="str">
        <f>IF(A43="","",IF(L43="",Inputs!$B$14,L43)+M43)</f>
        <v/>
      </c>
    </row>
    <row r="44" spans="1:14" x14ac:dyDescent="0.25">
      <c r="A44" s="3"/>
      <c r="B44" s="3"/>
      <c r="C44" s="3"/>
      <c r="D44" s="8"/>
      <c r="E44" s="8"/>
      <c r="F44" s="9">
        <f>IF(E44&lt;&gt;"",E44,IF(UPPER(TRIM(C44))="BASIN",IF(UPPER(TRIM(Inputs!$B$52))="YES",Inputs!$B$12,0),IF(UPPER(TRIM(C44))="ROOF",Inputs!$B$10,IF(UPPER(TRIM(C44))="PAVAGE",Inputs!$B$58,IF(UPPER(TRIM(C44))="TRESFOND",Inputs!$B$11,IF(UPPER(TRIM(C44))="GRASS",Inputs!$B$12,Inputs!$B$13))))))</f>
        <v>0.6</v>
      </c>
      <c r="G44" s="9" t="str">
        <f t="shared" si="0"/>
        <v/>
      </c>
      <c r="H44" s="9" t="str">
        <f>IF(A44="","",Inputs!$B$3/((IF(G44="",Inputs!$B$14,G44)+Inputs!$B$4)^Inputs!$B$5))</f>
        <v/>
      </c>
      <c r="I44" s="9" t="str">
        <f t="shared" si="1"/>
        <v/>
      </c>
      <c r="J44" s="3"/>
      <c r="K44" s="3"/>
      <c r="L44" s="4"/>
      <c r="M44" s="9" t="str">
        <f>IF(A44="","",IF(OR(J44="",Inputs!$B$59=""),0,IFERROR(INDEX(Elements_hybrides!$F$4:$F$204,MATCH(J44,Elements_hybrides!$A$4:$A$204,0))/(Inputs!$B$59*60),0)))</f>
        <v/>
      </c>
      <c r="N44" s="9" t="str">
        <f>IF(A44="","",IF(L44="",Inputs!$B$14,L44)+M44)</f>
        <v/>
      </c>
    </row>
    <row r="45" spans="1:14" x14ac:dyDescent="0.25">
      <c r="A45" s="3"/>
      <c r="B45" s="3"/>
      <c r="C45" s="3"/>
      <c r="D45" s="8"/>
      <c r="E45" s="8"/>
      <c r="F45" s="9">
        <f>IF(E45&lt;&gt;"",E45,IF(UPPER(TRIM(C45))="BASIN",IF(UPPER(TRIM(Inputs!$B$52))="YES",Inputs!$B$12,0),IF(UPPER(TRIM(C45))="ROOF",Inputs!$B$10,IF(UPPER(TRIM(C45))="PAVAGE",Inputs!$B$58,IF(UPPER(TRIM(C45))="TRESFOND",Inputs!$B$11,IF(UPPER(TRIM(C45))="GRASS",Inputs!$B$12,Inputs!$B$13))))))</f>
        <v>0.6</v>
      </c>
      <c r="G45" s="9" t="str">
        <f t="shared" si="0"/>
        <v/>
      </c>
      <c r="H45" s="9" t="str">
        <f>IF(A45="","",Inputs!$B$3/((IF(G45="",Inputs!$B$14,G45)+Inputs!$B$4)^Inputs!$B$5))</f>
        <v/>
      </c>
      <c r="I45" s="9" t="str">
        <f t="shared" si="1"/>
        <v/>
      </c>
      <c r="J45" s="3"/>
      <c r="K45" s="3"/>
      <c r="L45" s="4"/>
      <c r="M45" s="9" t="str">
        <f>IF(A45="","",IF(OR(J45="",Inputs!$B$59=""),0,IFERROR(INDEX(Elements_hybrides!$F$4:$F$204,MATCH(J45,Elements_hybrides!$A$4:$A$204,0))/(Inputs!$B$59*60),0)))</f>
        <v/>
      </c>
      <c r="N45" s="9" t="str">
        <f>IF(A45="","",IF(L45="",Inputs!$B$14,L45)+M45)</f>
        <v/>
      </c>
    </row>
    <row r="46" spans="1:14" x14ac:dyDescent="0.25">
      <c r="A46" s="3"/>
      <c r="B46" s="3"/>
      <c r="C46" s="3"/>
      <c r="D46" s="8"/>
      <c r="E46" s="8"/>
      <c r="F46" s="9">
        <f>IF(E46&lt;&gt;"",E46,IF(UPPER(TRIM(C46))="BASIN",IF(UPPER(TRIM(Inputs!$B$52))="YES",Inputs!$B$12,0),IF(UPPER(TRIM(C46))="ROOF",Inputs!$B$10,IF(UPPER(TRIM(C46))="PAVAGE",Inputs!$B$58,IF(UPPER(TRIM(C46))="TRESFOND",Inputs!$B$11,IF(UPPER(TRIM(C46))="GRASS",Inputs!$B$12,Inputs!$B$13))))))</f>
        <v>0.6</v>
      </c>
      <c r="G46" s="9" t="str">
        <f t="shared" si="0"/>
        <v/>
      </c>
      <c r="H46" s="9" t="str">
        <f>IF(A46="","",Inputs!$B$3/((IF(G46="",Inputs!$B$14,G46)+Inputs!$B$4)^Inputs!$B$5))</f>
        <v/>
      </c>
      <c r="I46" s="9" t="str">
        <f t="shared" si="1"/>
        <v/>
      </c>
      <c r="J46" s="3"/>
      <c r="K46" s="3"/>
      <c r="L46" s="4"/>
      <c r="M46" s="9" t="str">
        <f>IF(A46="","",IF(OR(J46="",Inputs!$B$59=""),0,IFERROR(INDEX(Elements_hybrides!$F$4:$F$204,MATCH(J46,Elements_hybrides!$A$4:$A$204,0))/(Inputs!$B$59*60),0)))</f>
        <v/>
      </c>
      <c r="N46" s="9" t="str">
        <f>IF(A46="","",IF(L46="",Inputs!$B$14,L46)+M46)</f>
        <v/>
      </c>
    </row>
    <row r="47" spans="1:14" x14ac:dyDescent="0.25">
      <c r="A47" s="3"/>
      <c r="B47" s="3"/>
      <c r="C47" s="3"/>
      <c r="D47" s="8"/>
      <c r="E47" s="8"/>
      <c r="F47" s="9">
        <f>IF(E47&lt;&gt;"",E47,IF(UPPER(TRIM(C47))="BASIN",IF(UPPER(TRIM(Inputs!$B$52))="YES",Inputs!$B$12,0),IF(UPPER(TRIM(C47))="ROOF",Inputs!$B$10,IF(UPPER(TRIM(C47))="PAVAGE",Inputs!$B$58,IF(UPPER(TRIM(C47))="TRESFOND",Inputs!$B$11,IF(UPPER(TRIM(C47))="GRASS",Inputs!$B$12,Inputs!$B$13))))))</f>
        <v>0.6</v>
      </c>
      <c r="G47" s="9" t="str">
        <f t="shared" si="0"/>
        <v/>
      </c>
      <c r="H47" s="9" t="str">
        <f>IF(A47="","",Inputs!$B$3/((IF(G47="",Inputs!$B$14,G47)+Inputs!$B$4)^Inputs!$B$5))</f>
        <v/>
      </c>
      <c r="I47" s="9" t="str">
        <f t="shared" si="1"/>
        <v/>
      </c>
      <c r="J47" s="3"/>
      <c r="K47" s="3"/>
      <c r="L47" s="4"/>
      <c r="M47" s="9" t="str">
        <f>IF(A47="","",IF(OR(J47="",Inputs!$B$59=""),0,IFERROR(INDEX(Elements_hybrides!$F$4:$F$204,MATCH(J47,Elements_hybrides!$A$4:$A$204,0))/(Inputs!$B$59*60),0)))</f>
        <v/>
      </c>
      <c r="N47" s="9" t="str">
        <f>IF(A47="","",IF(L47="",Inputs!$B$14,L47)+M47)</f>
        <v/>
      </c>
    </row>
    <row r="48" spans="1:14" x14ac:dyDescent="0.25">
      <c r="A48" s="3"/>
      <c r="B48" s="3"/>
      <c r="C48" s="3"/>
      <c r="D48" s="8"/>
      <c r="E48" s="8"/>
      <c r="F48" s="9">
        <f>IF(E48&lt;&gt;"",E48,IF(UPPER(TRIM(C48))="BASIN",IF(UPPER(TRIM(Inputs!$B$52))="YES",Inputs!$B$12,0),IF(UPPER(TRIM(C48))="ROOF",Inputs!$B$10,IF(UPPER(TRIM(C48))="PAVAGE",Inputs!$B$58,IF(UPPER(TRIM(C48))="TRESFOND",Inputs!$B$11,IF(UPPER(TRIM(C48))="GRASS",Inputs!$B$12,Inputs!$B$13))))))</f>
        <v>0.6</v>
      </c>
      <c r="G48" s="9" t="str">
        <f t="shared" si="0"/>
        <v/>
      </c>
      <c r="H48" s="9" t="str">
        <f>IF(A48="","",Inputs!$B$3/((IF(G48="",Inputs!$B$14,G48)+Inputs!$B$4)^Inputs!$B$5))</f>
        <v/>
      </c>
      <c r="I48" s="9" t="str">
        <f t="shared" si="1"/>
        <v/>
      </c>
      <c r="J48" s="3"/>
      <c r="K48" s="3"/>
      <c r="L48" s="4"/>
      <c r="M48" s="9" t="str">
        <f>IF(A48="","",IF(OR(J48="",Inputs!$B$59=""),0,IFERROR(INDEX(Elements_hybrides!$F$4:$F$204,MATCH(J48,Elements_hybrides!$A$4:$A$204,0))/(Inputs!$B$59*60),0)))</f>
        <v/>
      </c>
      <c r="N48" s="9" t="str">
        <f>IF(A48="","",IF(L48="",Inputs!$B$14,L48)+M48)</f>
        <v/>
      </c>
    </row>
    <row r="49" spans="1:14" x14ac:dyDescent="0.25">
      <c r="A49" s="3"/>
      <c r="B49" s="3"/>
      <c r="C49" s="3"/>
      <c r="D49" s="8"/>
      <c r="E49" s="8"/>
      <c r="F49" s="9">
        <f>IF(E49&lt;&gt;"",E49,IF(UPPER(TRIM(C49))="BASIN",IF(UPPER(TRIM(Inputs!$B$52))="YES",Inputs!$B$12,0),IF(UPPER(TRIM(C49))="ROOF",Inputs!$B$10,IF(UPPER(TRIM(C49))="PAVAGE",Inputs!$B$58,IF(UPPER(TRIM(C49))="TRESFOND",Inputs!$B$11,IF(UPPER(TRIM(C49))="GRASS",Inputs!$B$12,Inputs!$B$13))))))</f>
        <v>0.6</v>
      </c>
      <c r="G49" s="9" t="str">
        <f t="shared" si="0"/>
        <v/>
      </c>
      <c r="H49" s="9" t="str">
        <f>IF(A49="","",Inputs!$B$3/((IF(G49="",Inputs!$B$14,G49)+Inputs!$B$4)^Inputs!$B$5))</f>
        <v/>
      </c>
      <c r="I49" s="9" t="str">
        <f t="shared" si="1"/>
        <v/>
      </c>
      <c r="J49" s="3"/>
      <c r="K49" s="3"/>
      <c r="L49" s="4"/>
      <c r="M49" s="9" t="str">
        <f>IF(A49="","",IF(OR(J49="",Inputs!$B$59=""),0,IFERROR(INDEX(Elements_hybrides!$F$4:$F$204,MATCH(J49,Elements_hybrides!$A$4:$A$204,0))/(Inputs!$B$59*60),0)))</f>
        <v/>
      </c>
      <c r="N49" s="9" t="str">
        <f>IF(A49="","",IF(L49="",Inputs!$B$14,L49)+M49)</f>
        <v/>
      </c>
    </row>
    <row r="50" spans="1:14" x14ac:dyDescent="0.25">
      <c r="A50" s="3"/>
      <c r="B50" s="3"/>
      <c r="C50" s="3"/>
      <c r="D50" s="8"/>
      <c r="E50" s="8"/>
      <c r="F50" s="9">
        <f>IF(E50&lt;&gt;"",E50,IF(UPPER(TRIM(C50))="BASIN",IF(UPPER(TRIM(Inputs!$B$52))="YES",Inputs!$B$12,0),IF(UPPER(TRIM(C50))="ROOF",Inputs!$B$10,IF(UPPER(TRIM(C50))="PAVAGE",Inputs!$B$58,IF(UPPER(TRIM(C50))="TRESFOND",Inputs!$B$11,IF(UPPER(TRIM(C50))="GRASS",Inputs!$B$12,Inputs!$B$13))))))</f>
        <v>0.6</v>
      </c>
      <c r="G50" s="9" t="str">
        <f t="shared" si="0"/>
        <v/>
      </c>
      <c r="H50" s="9" t="str">
        <f>IF(A50="","",Inputs!$B$3/((IF(G50="",Inputs!$B$14,G50)+Inputs!$B$4)^Inputs!$B$5))</f>
        <v/>
      </c>
      <c r="I50" s="9" t="str">
        <f t="shared" si="1"/>
        <v/>
      </c>
      <c r="J50" s="3"/>
      <c r="K50" s="3"/>
      <c r="L50" s="4"/>
      <c r="M50" s="9" t="str">
        <f>IF(A50="","",IF(OR(J50="",Inputs!$B$59=""),0,IFERROR(INDEX(Elements_hybrides!$F$4:$F$204,MATCH(J50,Elements_hybrides!$A$4:$A$204,0))/(Inputs!$B$59*60),0)))</f>
        <v/>
      </c>
      <c r="N50" s="9" t="str">
        <f>IF(A50="","",IF(L50="",Inputs!$B$14,L50)+M50)</f>
        <v/>
      </c>
    </row>
    <row r="51" spans="1:14" x14ac:dyDescent="0.25">
      <c r="A51" s="3"/>
      <c r="B51" s="3"/>
      <c r="C51" s="3"/>
      <c r="D51" s="8"/>
      <c r="E51" s="8"/>
      <c r="F51" s="9">
        <f>IF(E51&lt;&gt;"",E51,IF(UPPER(TRIM(C51))="BASIN",IF(UPPER(TRIM(Inputs!$B$52))="YES",Inputs!$B$12,0),IF(UPPER(TRIM(C51))="ROOF",Inputs!$B$10,IF(UPPER(TRIM(C51))="PAVAGE",Inputs!$B$58,IF(UPPER(TRIM(C51))="TRESFOND",Inputs!$B$11,IF(UPPER(TRIM(C51))="GRASS",Inputs!$B$12,Inputs!$B$13))))))</f>
        <v>0.6</v>
      </c>
      <c r="G51" s="9" t="str">
        <f t="shared" si="0"/>
        <v/>
      </c>
      <c r="H51" s="9" t="str">
        <f>IF(A51="","",Inputs!$B$3/((IF(G51="",Inputs!$B$14,G51)+Inputs!$B$4)^Inputs!$B$5))</f>
        <v/>
      </c>
      <c r="I51" s="9" t="str">
        <f t="shared" si="1"/>
        <v/>
      </c>
      <c r="J51" s="3"/>
      <c r="K51" s="3"/>
      <c r="L51" s="4"/>
      <c r="M51" s="9" t="str">
        <f>IF(A51="","",IF(OR(J51="",Inputs!$B$59=""),0,IFERROR(INDEX(Elements_hybrides!$F$4:$F$204,MATCH(J51,Elements_hybrides!$A$4:$A$204,0))/(Inputs!$B$59*60),0)))</f>
        <v/>
      </c>
      <c r="N51" s="9" t="str">
        <f>IF(A51="","",IF(L51="",Inputs!$B$14,L51)+M51)</f>
        <v/>
      </c>
    </row>
    <row r="52" spans="1:14" x14ac:dyDescent="0.25">
      <c r="A52" s="3"/>
      <c r="B52" s="3"/>
      <c r="C52" s="3"/>
      <c r="D52" s="8"/>
      <c r="E52" s="8"/>
      <c r="F52" s="9">
        <f>IF(E52&lt;&gt;"",E52,IF(UPPER(TRIM(C52))="BASIN",IF(UPPER(TRIM(Inputs!$B$52))="YES",Inputs!$B$12,0),IF(UPPER(TRIM(C52))="ROOF",Inputs!$B$10,IF(UPPER(TRIM(C52))="PAVAGE",Inputs!$B$58,IF(UPPER(TRIM(C52))="TRESFOND",Inputs!$B$11,IF(UPPER(TRIM(C52))="GRASS",Inputs!$B$12,Inputs!$B$13))))))</f>
        <v>0.6</v>
      </c>
      <c r="G52" s="9" t="str">
        <f t="shared" si="0"/>
        <v/>
      </c>
      <c r="H52" s="9" t="str">
        <f>IF(A52="","",Inputs!$B$3/((IF(G52="",Inputs!$B$14,G52)+Inputs!$B$4)^Inputs!$B$5))</f>
        <v/>
      </c>
      <c r="I52" s="9" t="str">
        <f t="shared" si="1"/>
        <v/>
      </c>
      <c r="J52" s="3"/>
      <c r="K52" s="3"/>
      <c r="L52" s="4"/>
      <c r="M52" s="9" t="str">
        <f>IF(A52="","",IF(OR(J52="",Inputs!$B$59=""),0,IFERROR(INDEX(Elements_hybrides!$F$4:$F$204,MATCH(J52,Elements_hybrides!$A$4:$A$204,0))/(Inputs!$B$59*60),0)))</f>
        <v/>
      </c>
      <c r="N52" s="9" t="str">
        <f>IF(A52="","",IF(L52="",Inputs!$B$14,L52)+M52)</f>
        <v/>
      </c>
    </row>
    <row r="53" spans="1:14" x14ac:dyDescent="0.25">
      <c r="A53" s="3"/>
      <c r="B53" s="3"/>
      <c r="C53" s="3"/>
      <c r="D53" s="8"/>
      <c r="E53" s="8"/>
      <c r="F53" s="9">
        <f>IF(E53&lt;&gt;"",E53,IF(UPPER(TRIM(C53))="BASIN",IF(UPPER(TRIM(Inputs!$B$52))="YES",Inputs!$B$12,0),IF(UPPER(TRIM(C53))="ROOF",Inputs!$B$10,IF(UPPER(TRIM(C53))="PAVAGE",Inputs!$B$58,IF(UPPER(TRIM(C53))="TRESFOND",Inputs!$B$11,IF(UPPER(TRIM(C53))="GRASS",Inputs!$B$12,Inputs!$B$13))))))</f>
        <v>0.6</v>
      </c>
      <c r="G53" s="9" t="str">
        <f t="shared" si="0"/>
        <v/>
      </c>
      <c r="H53" s="9" t="str">
        <f>IF(A53="","",Inputs!$B$3/((IF(G53="",Inputs!$B$14,G53)+Inputs!$B$4)^Inputs!$B$5))</f>
        <v/>
      </c>
      <c r="I53" s="9" t="str">
        <f t="shared" si="1"/>
        <v/>
      </c>
      <c r="J53" s="3"/>
      <c r="K53" s="3"/>
      <c r="L53" s="4"/>
      <c r="M53" s="9" t="str">
        <f>IF(A53="","",IF(OR(J53="",Inputs!$B$59=""),0,IFERROR(INDEX(Elements_hybrides!$F$4:$F$204,MATCH(J53,Elements_hybrides!$A$4:$A$204,0))/(Inputs!$B$59*60),0)))</f>
        <v/>
      </c>
      <c r="N53" s="9" t="str">
        <f>IF(A53="","",IF(L53="",Inputs!$B$14,L53)+M53)</f>
        <v/>
      </c>
    </row>
    <row r="54" spans="1:14" x14ac:dyDescent="0.25">
      <c r="A54" s="3"/>
      <c r="B54" s="3"/>
      <c r="C54" s="3"/>
      <c r="D54" s="8"/>
      <c r="E54" s="8"/>
      <c r="F54" s="9">
        <f>IF(E54&lt;&gt;"",E54,IF(UPPER(TRIM(C54))="BASIN",IF(UPPER(TRIM(Inputs!$B$52))="YES",Inputs!$B$12,0),IF(UPPER(TRIM(C54))="ROOF",Inputs!$B$10,IF(UPPER(TRIM(C54))="PAVAGE",Inputs!$B$58,IF(UPPER(TRIM(C54))="TRESFOND",Inputs!$B$11,IF(UPPER(TRIM(C54))="GRASS",Inputs!$B$12,Inputs!$B$13))))))</f>
        <v>0.6</v>
      </c>
      <c r="G54" s="9" t="str">
        <f t="shared" si="0"/>
        <v/>
      </c>
      <c r="H54" s="9" t="str">
        <f>IF(A54="","",Inputs!$B$3/((IF(G54="",Inputs!$B$14,G54)+Inputs!$B$4)^Inputs!$B$5))</f>
        <v/>
      </c>
      <c r="I54" s="9" t="str">
        <f t="shared" si="1"/>
        <v/>
      </c>
      <c r="J54" s="3"/>
      <c r="K54" s="3"/>
      <c r="L54" s="4"/>
      <c r="M54" s="9" t="str">
        <f>IF(A54="","",IF(OR(J54="",Inputs!$B$59=""),0,IFERROR(INDEX(Elements_hybrides!$F$4:$F$204,MATCH(J54,Elements_hybrides!$A$4:$A$204,0))/(Inputs!$B$59*60),0)))</f>
        <v/>
      </c>
      <c r="N54" s="9" t="str">
        <f>IF(A54="","",IF(L54="",Inputs!$B$14,L54)+M54)</f>
        <v/>
      </c>
    </row>
    <row r="55" spans="1:14" x14ac:dyDescent="0.25">
      <c r="A55" s="3"/>
      <c r="B55" s="3"/>
      <c r="C55" s="3"/>
      <c r="D55" s="8"/>
      <c r="E55" s="8"/>
      <c r="F55" s="9">
        <f>IF(E55&lt;&gt;"",E55,IF(UPPER(TRIM(C55))="BASIN",IF(UPPER(TRIM(Inputs!$B$52))="YES",Inputs!$B$12,0),IF(UPPER(TRIM(C55))="ROOF",Inputs!$B$10,IF(UPPER(TRIM(C55))="PAVAGE",Inputs!$B$58,IF(UPPER(TRIM(C55))="TRESFOND",Inputs!$B$11,IF(UPPER(TRIM(C55))="GRASS",Inputs!$B$12,Inputs!$B$13))))))</f>
        <v>0.6</v>
      </c>
      <c r="G55" s="9" t="str">
        <f t="shared" si="0"/>
        <v/>
      </c>
      <c r="H55" s="9" t="str">
        <f>IF(A55="","",Inputs!$B$3/((IF(G55="",Inputs!$B$14,G55)+Inputs!$B$4)^Inputs!$B$5))</f>
        <v/>
      </c>
      <c r="I55" s="9" t="str">
        <f t="shared" si="1"/>
        <v/>
      </c>
      <c r="J55" s="3"/>
      <c r="K55" s="3"/>
      <c r="L55" s="4"/>
      <c r="M55" s="9" t="str">
        <f>IF(A55="","",IF(OR(J55="",Inputs!$B$59=""),0,IFERROR(INDEX(Elements_hybrides!$F$4:$F$204,MATCH(J55,Elements_hybrides!$A$4:$A$204,0))/(Inputs!$B$59*60),0)))</f>
        <v/>
      </c>
      <c r="N55" s="9" t="str">
        <f>IF(A55="","",IF(L55="",Inputs!$B$14,L55)+M55)</f>
        <v/>
      </c>
    </row>
    <row r="56" spans="1:14" x14ac:dyDescent="0.25">
      <c r="A56" s="3"/>
      <c r="B56" s="3"/>
      <c r="C56" s="3"/>
      <c r="D56" s="8"/>
      <c r="E56" s="8"/>
      <c r="F56" s="9">
        <f>IF(E56&lt;&gt;"",E56,IF(UPPER(TRIM(C56))="BASIN",IF(UPPER(TRIM(Inputs!$B$52))="YES",Inputs!$B$12,0),IF(UPPER(TRIM(C56))="ROOF",Inputs!$B$10,IF(UPPER(TRIM(C56))="PAVAGE",Inputs!$B$58,IF(UPPER(TRIM(C56))="TRESFOND",Inputs!$B$11,IF(UPPER(TRIM(C56))="GRASS",Inputs!$B$12,Inputs!$B$13))))))</f>
        <v>0.6</v>
      </c>
      <c r="G56" s="9" t="str">
        <f t="shared" si="0"/>
        <v/>
      </c>
      <c r="H56" s="9" t="str">
        <f>IF(A56="","",Inputs!$B$3/((IF(G56="",Inputs!$B$14,G56)+Inputs!$B$4)^Inputs!$B$5))</f>
        <v/>
      </c>
      <c r="I56" s="9" t="str">
        <f t="shared" si="1"/>
        <v/>
      </c>
      <c r="J56" s="3"/>
      <c r="K56" s="3"/>
      <c r="L56" s="4"/>
      <c r="M56" s="9" t="str">
        <f>IF(A56="","",IF(OR(J56="",Inputs!$B$59=""),0,IFERROR(INDEX(Elements_hybrides!$F$4:$F$204,MATCH(J56,Elements_hybrides!$A$4:$A$204,0))/(Inputs!$B$59*60),0)))</f>
        <v/>
      </c>
      <c r="N56" s="9" t="str">
        <f>IF(A56="","",IF(L56="",Inputs!$B$14,L56)+M56)</f>
        <v/>
      </c>
    </row>
    <row r="57" spans="1:14" x14ac:dyDescent="0.25">
      <c r="A57" s="3"/>
      <c r="B57" s="3"/>
      <c r="C57" s="3"/>
      <c r="D57" s="8"/>
      <c r="E57" s="8"/>
      <c r="F57" s="9">
        <f>IF(E57&lt;&gt;"",E57,IF(UPPER(TRIM(C57))="BASIN",IF(UPPER(TRIM(Inputs!$B$52))="YES",Inputs!$B$12,0),IF(UPPER(TRIM(C57))="ROOF",Inputs!$B$10,IF(UPPER(TRIM(C57))="PAVAGE",Inputs!$B$58,IF(UPPER(TRIM(C57))="TRESFOND",Inputs!$B$11,IF(UPPER(TRIM(C57))="GRASS",Inputs!$B$12,Inputs!$B$13))))))</f>
        <v>0.6</v>
      </c>
      <c r="G57" s="9" t="str">
        <f t="shared" si="0"/>
        <v/>
      </c>
      <c r="H57" s="9" t="str">
        <f>IF(A57="","",Inputs!$B$3/((IF(G57="",Inputs!$B$14,G57)+Inputs!$B$4)^Inputs!$B$5))</f>
        <v/>
      </c>
      <c r="I57" s="9" t="str">
        <f t="shared" si="1"/>
        <v/>
      </c>
      <c r="J57" s="3"/>
      <c r="K57" s="3"/>
      <c r="L57" s="4"/>
      <c r="M57" s="9" t="str">
        <f>IF(A57="","",IF(OR(J57="",Inputs!$B$59=""),0,IFERROR(INDEX(Elements_hybrides!$F$4:$F$204,MATCH(J57,Elements_hybrides!$A$4:$A$204,0))/(Inputs!$B$59*60),0)))</f>
        <v/>
      </c>
      <c r="N57" s="9" t="str">
        <f>IF(A57="","",IF(L57="",Inputs!$B$14,L57)+M57)</f>
        <v/>
      </c>
    </row>
    <row r="58" spans="1:14" x14ac:dyDescent="0.25">
      <c r="A58" s="3"/>
      <c r="B58" s="3"/>
      <c r="C58" s="3"/>
      <c r="D58" s="8"/>
      <c r="E58" s="8"/>
      <c r="F58" s="9">
        <f>IF(E58&lt;&gt;"",E58,IF(UPPER(TRIM(C58))="BASIN",IF(UPPER(TRIM(Inputs!$B$52))="YES",Inputs!$B$12,0),IF(UPPER(TRIM(C58))="ROOF",Inputs!$B$10,IF(UPPER(TRIM(C58))="PAVAGE",Inputs!$B$58,IF(UPPER(TRIM(C58))="TRESFOND",Inputs!$B$11,IF(UPPER(TRIM(C58))="GRASS",Inputs!$B$12,Inputs!$B$13))))))</f>
        <v>0.6</v>
      </c>
      <c r="G58" s="9" t="str">
        <f t="shared" si="0"/>
        <v/>
      </c>
      <c r="H58" s="9" t="str">
        <f>IF(A58="","",Inputs!$B$3/((IF(G58="",Inputs!$B$14,G58)+Inputs!$B$4)^Inputs!$B$5))</f>
        <v/>
      </c>
      <c r="I58" s="9" t="str">
        <f t="shared" si="1"/>
        <v/>
      </c>
      <c r="J58" s="3"/>
      <c r="K58" s="3"/>
      <c r="L58" s="4"/>
      <c r="M58" s="9" t="str">
        <f>IF(A58="","",IF(OR(J58="",Inputs!$B$59=""),0,IFERROR(INDEX(Elements_hybrides!$F$4:$F$204,MATCH(J58,Elements_hybrides!$A$4:$A$204,0))/(Inputs!$B$59*60),0)))</f>
        <v/>
      </c>
      <c r="N58" s="9" t="str">
        <f>IF(A58="","",IF(L58="",Inputs!$B$14,L58)+M58)</f>
        <v/>
      </c>
    </row>
    <row r="59" spans="1:14" x14ac:dyDescent="0.25">
      <c r="A59" s="3"/>
      <c r="B59" s="3"/>
      <c r="C59" s="3"/>
      <c r="D59" s="8"/>
      <c r="E59" s="8"/>
      <c r="F59" s="9">
        <f>IF(E59&lt;&gt;"",E59,IF(UPPER(TRIM(C59))="BASIN",IF(UPPER(TRIM(Inputs!$B$52))="YES",Inputs!$B$12,0),IF(UPPER(TRIM(C59))="ROOF",Inputs!$B$10,IF(UPPER(TRIM(C59))="PAVAGE",Inputs!$B$58,IF(UPPER(TRIM(C59))="TRESFOND",Inputs!$B$11,IF(UPPER(TRIM(C59))="GRASS",Inputs!$B$12,Inputs!$B$13))))))</f>
        <v>0.6</v>
      </c>
      <c r="G59" s="9" t="str">
        <f t="shared" si="0"/>
        <v/>
      </c>
      <c r="H59" s="9" t="str">
        <f>IF(A59="","",Inputs!$B$3/((IF(G59="",Inputs!$B$14,G59)+Inputs!$B$4)^Inputs!$B$5))</f>
        <v/>
      </c>
      <c r="I59" s="9" t="str">
        <f t="shared" si="1"/>
        <v/>
      </c>
      <c r="J59" s="3"/>
      <c r="K59" s="3"/>
      <c r="L59" s="4"/>
      <c r="M59" s="9" t="str">
        <f>IF(A59="","",IF(OR(J59="",Inputs!$B$59=""),0,IFERROR(INDEX(Elements_hybrides!$F$4:$F$204,MATCH(J59,Elements_hybrides!$A$4:$A$204,0))/(Inputs!$B$59*60),0)))</f>
        <v/>
      </c>
      <c r="N59" s="9" t="str">
        <f>IF(A59="","",IF(L59="",Inputs!$B$14,L59)+M59)</f>
        <v/>
      </c>
    </row>
    <row r="60" spans="1:14" x14ac:dyDescent="0.25">
      <c r="A60" s="3"/>
      <c r="B60" s="3"/>
      <c r="C60" s="3"/>
      <c r="D60" s="8"/>
      <c r="E60" s="8"/>
      <c r="F60" s="9">
        <f>IF(E60&lt;&gt;"",E60,IF(UPPER(TRIM(C60))="BASIN",IF(UPPER(TRIM(Inputs!$B$52))="YES",Inputs!$B$12,0),IF(UPPER(TRIM(C60))="ROOF",Inputs!$B$10,IF(UPPER(TRIM(C60))="PAVAGE",Inputs!$B$58,IF(UPPER(TRIM(C60))="TRESFOND",Inputs!$B$11,IF(UPPER(TRIM(C60))="GRASS",Inputs!$B$12,Inputs!$B$13))))))</f>
        <v>0.6</v>
      </c>
      <c r="G60" s="9" t="str">
        <f t="shared" si="0"/>
        <v/>
      </c>
      <c r="H60" s="9" t="str">
        <f>IF(A60="","",Inputs!$B$3/((IF(G60="",Inputs!$B$14,G60)+Inputs!$B$4)^Inputs!$B$5))</f>
        <v/>
      </c>
      <c r="I60" s="9" t="str">
        <f t="shared" si="1"/>
        <v/>
      </c>
      <c r="J60" s="3"/>
      <c r="K60" s="3"/>
      <c r="L60" s="4"/>
      <c r="M60" s="9" t="str">
        <f>IF(A60="","",IF(OR(J60="",Inputs!$B$59=""),0,IFERROR(INDEX(Elements_hybrides!$F$4:$F$204,MATCH(J60,Elements_hybrides!$A$4:$A$204,0))/(Inputs!$B$59*60),0)))</f>
        <v/>
      </c>
      <c r="N60" s="9" t="str">
        <f>IF(A60="","",IF(L60="",Inputs!$B$14,L60)+M60)</f>
        <v/>
      </c>
    </row>
    <row r="61" spans="1:14" x14ac:dyDescent="0.25">
      <c r="A61" s="3"/>
      <c r="B61" s="3"/>
      <c r="C61" s="3"/>
      <c r="D61" s="8"/>
      <c r="E61" s="8"/>
      <c r="F61" s="9">
        <f>IF(E61&lt;&gt;"",E61,IF(UPPER(TRIM(C61))="BASIN",IF(UPPER(TRIM(Inputs!$B$52))="YES",Inputs!$B$12,0),IF(UPPER(TRIM(C61))="ROOF",Inputs!$B$10,IF(UPPER(TRIM(C61))="PAVAGE",Inputs!$B$58,IF(UPPER(TRIM(C61))="TRESFOND",Inputs!$B$11,IF(UPPER(TRIM(C61))="GRASS",Inputs!$B$12,Inputs!$B$13))))))</f>
        <v>0.6</v>
      </c>
      <c r="G61" s="9" t="str">
        <f t="shared" si="0"/>
        <v/>
      </c>
      <c r="H61" s="9" t="str">
        <f>IF(A61="","",Inputs!$B$3/((IF(G61="",Inputs!$B$14,G61)+Inputs!$B$4)^Inputs!$B$5))</f>
        <v/>
      </c>
      <c r="I61" s="9" t="str">
        <f t="shared" si="1"/>
        <v/>
      </c>
      <c r="J61" s="3"/>
      <c r="K61" s="3"/>
      <c r="L61" s="4"/>
      <c r="M61" s="9" t="str">
        <f>IF(A61="","",IF(OR(J61="",Inputs!$B$59=""),0,IFERROR(INDEX(Elements_hybrides!$F$4:$F$204,MATCH(J61,Elements_hybrides!$A$4:$A$204,0))/(Inputs!$B$59*60),0)))</f>
        <v/>
      </c>
      <c r="N61" s="9" t="str">
        <f>IF(A61="","",IF(L61="",Inputs!$B$14,L61)+M61)</f>
        <v/>
      </c>
    </row>
    <row r="62" spans="1:14" x14ac:dyDescent="0.25">
      <c r="A62" s="3"/>
      <c r="B62" s="3"/>
      <c r="C62" s="3"/>
      <c r="D62" s="8"/>
      <c r="E62" s="8"/>
      <c r="F62" s="9">
        <f>IF(E62&lt;&gt;"",E62,IF(UPPER(TRIM(C62))="BASIN",IF(UPPER(TRIM(Inputs!$B$52))="YES",Inputs!$B$12,0),IF(UPPER(TRIM(C62))="ROOF",Inputs!$B$10,IF(UPPER(TRIM(C62))="PAVAGE",Inputs!$B$58,IF(UPPER(TRIM(C62))="TRESFOND",Inputs!$B$11,IF(UPPER(TRIM(C62))="GRASS",Inputs!$B$12,Inputs!$B$13))))))</f>
        <v>0.6</v>
      </c>
      <c r="G62" s="9" t="str">
        <f t="shared" si="0"/>
        <v/>
      </c>
      <c r="H62" s="9" t="str">
        <f>IF(A62="","",Inputs!$B$3/((IF(G62="",Inputs!$B$14,G62)+Inputs!$B$4)^Inputs!$B$5))</f>
        <v/>
      </c>
      <c r="I62" s="9" t="str">
        <f t="shared" si="1"/>
        <v/>
      </c>
      <c r="J62" s="3"/>
      <c r="K62" s="3"/>
      <c r="L62" s="4"/>
      <c r="M62" s="9" t="str">
        <f>IF(A62="","",IF(OR(J62="",Inputs!$B$59=""),0,IFERROR(INDEX(Elements_hybrides!$F$4:$F$204,MATCH(J62,Elements_hybrides!$A$4:$A$204,0))/(Inputs!$B$59*60),0)))</f>
        <v/>
      </c>
      <c r="N62" s="9" t="str">
        <f>IF(A62="","",IF(L62="",Inputs!$B$14,L62)+M62)</f>
        <v/>
      </c>
    </row>
    <row r="63" spans="1:14" x14ac:dyDescent="0.25">
      <c r="A63" s="3"/>
      <c r="B63" s="3"/>
      <c r="C63" s="3"/>
      <c r="D63" s="8"/>
      <c r="E63" s="8"/>
      <c r="F63" s="9">
        <f>IF(E63&lt;&gt;"",E63,IF(UPPER(TRIM(C63))="BASIN",IF(UPPER(TRIM(Inputs!$B$52))="YES",Inputs!$B$12,0),IF(UPPER(TRIM(C63))="ROOF",Inputs!$B$10,IF(UPPER(TRIM(C63))="PAVAGE",Inputs!$B$58,IF(UPPER(TRIM(C63))="TRESFOND",Inputs!$B$11,IF(UPPER(TRIM(C63))="GRASS",Inputs!$B$12,Inputs!$B$13))))))</f>
        <v>0.6</v>
      </c>
      <c r="G63" s="9" t="str">
        <f t="shared" si="0"/>
        <v/>
      </c>
      <c r="H63" s="9" t="str">
        <f>IF(A63="","",Inputs!$B$3/((IF(G63="",Inputs!$B$14,G63)+Inputs!$B$4)^Inputs!$B$5))</f>
        <v/>
      </c>
      <c r="I63" s="9" t="str">
        <f t="shared" si="1"/>
        <v/>
      </c>
      <c r="J63" s="3"/>
      <c r="K63" s="3"/>
      <c r="L63" s="4"/>
      <c r="M63" s="9" t="str">
        <f>IF(A63="","",IF(OR(J63="",Inputs!$B$59=""),0,IFERROR(INDEX(Elements_hybrides!$F$4:$F$204,MATCH(J63,Elements_hybrides!$A$4:$A$204,0))/(Inputs!$B$59*60),0)))</f>
        <v/>
      </c>
      <c r="N63" s="9" t="str">
        <f>IF(A63="","",IF(L63="",Inputs!$B$14,L63)+M63)</f>
        <v/>
      </c>
    </row>
    <row r="64" spans="1:14" x14ac:dyDescent="0.25">
      <c r="A64" s="3"/>
      <c r="B64" s="3"/>
      <c r="C64" s="3"/>
      <c r="D64" s="8"/>
      <c r="E64" s="8"/>
      <c r="F64" s="9">
        <f>IF(E64&lt;&gt;"",E64,IF(UPPER(TRIM(C64))="BASIN",IF(UPPER(TRIM(Inputs!$B$52))="YES",Inputs!$B$12,0),IF(UPPER(TRIM(C64))="ROOF",Inputs!$B$10,IF(UPPER(TRIM(C64))="PAVAGE",Inputs!$B$58,IF(UPPER(TRIM(C64))="TRESFOND",Inputs!$B$11,IF(UPPER(TRIM(C64))="GRASS",Inputs!$B$12,Inputs!$B$13))))))</f>
        <v>0.6</v>
      </c>
      <c r="G64" s="9" t="str">
        <f t="shared" si="0"/>
        <v/>
      </c>
      <c r="H64" s="9" t="str">
        <f>IF(A64="","",Inputs!$B$3/((IF(G64="",Inputs!$B$14,G64)+Inputs!$B$4)^Inputs!$B$5))</f>
        <v/>
      </c>
      <c r="I64" s="9" t="str">
        <f t="shared" si="1"/>
        <v/>
      </c>
      <c r="J64" s="3"/>
      <c r="K64" s="3"/>
      <c r="L64" s="4"/>
      <c r="M64" s="9" t="str">
        <f>IF(A64="","",IF(OR(J64="",Inputs!$B$59=""),0,IFERROR(INDEX(Elements_hybrides!$F$4:$F$204,MATCH(J64,Elements_hybrides!$A$4:$A$204,0))/(Inputs!$B$59*60),0)))</f>
        <v/>
      </c>
      <c r="N64" s="9" t="str">
        <f>IF(A64="","",IF(L64="",Inputs!$B$14,L64)+M64)</f>
        <v/>
      </c>
    </row>
    <row r="65" spans="1:14" x14ac:dyDescent="0.25">
      <c r="A65" s="3"/>
      <c r="B65" s="3"/>
      <c r="C65" s="3"/>
      <c r="D65" s="8"/>
      <c r="E65" s="8"/>
      <c r="F65" s="9">
        <f>IF(E65&lt;&gt;"",E65,IF(UPPER(TRIM(C65))="BASIN",IF(UPPER(TRIM(Inputs!$B$52))="YES",Inputs!$B$12,0),IF(UPPER(TRIM(C65))="ROOF",Inputs!$B$10,IF(UPPER(TRIM(C65))="PAVAGE",Inputs!$B$58,IF(UPPER(TRIM(C65))="TRESFOND",Inputs!$B$11,IF(UPPER(TRIM(C65))="GRASS",Inputs!$B$12,Inputs!$B$13))))))</f>
        <v>0.6</v>
      </c>
      <c r="G65" s="9" t="str">
        <f t="shared" si="0"/>
        <v/>
      </c>
      <c r="H65" s="9" t="str">
        <f>IF(A65="","",Inputs!$B$3/((IF(G65="",Inputs!$B$14,G65)+Inputs!$B$4)^Inputs!$B$5))</f>
        <v/>
      </c>
      <c r="I65" s="9" t="str">
        <f t="shared" si="1"/>
        <v/>
      </c>
      <c r="J65" s="3"/>
      <c r="K65" s="3"/>
      <c r="L65" s="4"/>
      <c r="M65" s="9" t="str">
        <f>IF(A65="","",IF(OR(J65="",Inputs!$B$59=""),0,IFERROR(INDEX(Elements_hybrides!$F$4:$F$204,MATCH(J65,Elements_hybrides!$A$4:$A$204,0))/(Inputs!$B$59*60),0)))</f>
        <v/>
      </c>
      <c r="N65" s="9" t="str">
        <f>IF(A65="","",IF(L65="",Inputs!$B$14,L65)+M65)</f>
        <v/>
      </c>
    </row>
    <row r="66" spans="1:14" x14ac:dyDescent="0.25">
      <c r="A66" s="3"/>
      <c r="B66" s="3"/>
      <c r="C66" s="3"/>
      <c r="D66" s="8"/>
      <c r="E66" s="8"/>
      <c r="F66" s="9">
        <f>IF(E66&lt;&gt;"",E66,IF(UPPER(TRIM(C66))="BASIN",IF(UPPER(TRIM(Inputs!$B$52))="YES",Inputs!$B$12,0),IF(UPPER(TRIM(C66))="ROOF",Inputs!$B$10,IF(UPPER(TRIM(C66))="PAVAGE",Inputs!$B$58,IF(UPPER(TRIM(C66))="TRESFOND",Inputs!$B$11,IF(UPPER(TRIM(C66))="GRASS",Inputs!$B$12,Inputs!$B$13))))))</f>
        <v>0.6</v>
      </c>
      <c r="G66" s="9" t="str">
        <f t="shared" si="0"/>
        <v/>
      </c>
      <c r="H66" s="9" t="str">
        <f>IF(A66="","",Inputs!$B$3/((IF(G66="",Inputs!$B$14,G66)+Inputs!$B$4)^Inputs!$B$5))</f>
        <v/>
      </c>
      <c r="I66" s="9" t="str">
        <f t="shared" si="1"/>
        <v/>
      </c>
      <c r="J66" s="3"/>
      <c r="K66" s="3"/>
      <c r="L66" s="4"/>
      <c r="M66" s="9" t="str">
        <f>IF(A66="","",IF(OR(J66="",Inputs!$B$59=""),0,IFERROR(INDEX(Elements_hybrides!$F$4:$F$204,MATCH(J66,Elements_hybrides!$A$4:$A$204,0))/(Inputs!$B$59*60),0)))</f>
        <v/>
      </c>
      <c r="N66" s="9" t="str">
        <f>IF(A66="","",IF(L66="",Inputs!$B$14,L66)+M66)</f>
        <v/>
      </c>
    </row>
    <row r="67" spans="1:14" x14ac:dyDescent="0.25">
      <c r="A67" s="3"/>
      <c r="B67" s="3"/>
      <c r="C67" s="3"/>
      <c r="D67" s="8"/>
      <c r="E67" s="8"/>
      <c r="F67" s="9">
        <f>IF(E67&lt;&gt;"",E67,IF(UPPER(TRIM(C67))="BASIN",IF(UPPER(TRIM(Inputs!$B$52))="YES",Inputs!$B$12,0),IF(UPPER(TRIM(C67))="ROOF",Inputs!$B$10,IF(UPPER(TRIM(C67))="PAVAGE",Inputs!$B$58,IF(UPPER(TRIM(C67))="TRESFOND",Inputs!$B$11,IF(UPPER(TRIM(C67))="GRASS",Inputs!$B$12,Inputs!$B$13))))))</f>
        <v>0.6</v>
      </c>
      <c r="G67" s="9" t="str">
        <f t="shared" si="0"/>
        <v/>
      </c>
      <c r="H67" s="9" t="str">
        <f>IF(A67="","",Inputs!$B$3/((IF(G67="",Inputs!$B$14,G67)+Inputs!$B$4)^Inputs!$B$5))</f>
        <v/>
      </c>
      <c r="I67" s="9" t="str">
        <f t="shared" si="1"/>
        <v/>
      </c>
      <c r="J67" s="3"/>
      <c r="K67" s="3"/>
      <c r="L67" s="4"/>
      <c r="M67" s="9" t="str">
        <f>IF(A67="","",IF(OR(J67="",Inputs!$B$59=""),0,IFERROR(INDEX(Elements_hybrides!$F$4:$F$204,MATCH(J67,Elements_hybrides!$A$4:$A$204,0))/(Inputs!$B$59*60),0)))</f>
        <v/>
      </c>
      <c r="N67" s="9" t="str">
        <f>IF(A67="","",IF(L67="",Inputs!$B$14,L67)+M67)</f>
        <v/>
      </c>
    </row>
    <row r="68" spans="1:14" x14ac:dyDescent="0.25">
      <c r="A68" s="3"/>
      <c r="B68" s="3"/>
      <c r="C68" s="3"/>
      <c r="D68" s="8"/>
      <c r="E68" s="8"/>
      <c r="F68" s="9">
        <f>IF(E68&lt;&gt;"",E68,IF(UPPER(TRIM(C68))="BASIN",IF(UPPER(TRIM(Inputs!$B$52))="YES",Inputs!$B$12,0),IF(UPPER(TRIM(C68))="ROOF",Inputs!$B$10,IF(UPPER(TRIM(C68))="PAVAGE",Inputs!$B$58,IF(UPPER(TRIM(C68))="TRESFOND",Inputs!$B$11,IF(UPPER(TRIM(C68))="GRASS",Inputs!$B$12,Inputs!$B$13))))))</f>
        <v>0.6</v>
      </c>
      <c r="G68" s="9" t="str">
        <f t="shared" ref="G68:G131" si="2">IF(A68="","",N68)</f>
        <v/>
      </c>
      <c r="H68" s="9" t="str">
        <f>IF(A68="","",Inputs!$B$3/((IF(G68="",Inputs!$B$14,G68)+Inputs!$B$4)^Inputs!$B$5))</f>
        <v/>
      </c>
      <c r="I68" s="9" t="str">
        <f t="shared" ref="I68:I131" si="3">IF(A68="","",0.000000278*F68*D68*H68)</f>
        <v/>
      </c>
      <c r="J68" s="3"/>
      <c r="K68" s="3"/>
      <c r="L68" s="4"/>
      <c r="M68" s="9" t="str">
        <f>IF(A68="","",IF(OR(J68="",Inputs!$B$59=""),0,IFERROR(INDEX(Elements_hybrides!$F$4:$F$204,MATCH(J68,Elements_hybrides!$A$4:$A$204,0))/(Inputs!$B$59*60),0)))</f>
        <v/>
      </c>
      <c r="N68" s="9" t="str">
        <f>IF(A68="","",IF(L68="",Inputs!$B$14,L68)+M68)</f>
        <v/>
      </c>
    </row>
    <row r="69" spans="1:14" x14ac:dyDescent="0.25">
      <c r="A69" s="3"/>
      <c r="B69" s="3"/>
      <c r="C69" s="3"/>
      <c r="D69" s="8"/>
      <c r="E69" s="8"/>
      <c r="F69" s="9">
        <f>IF(E69&lt;&gt;"",E69,IF(UPPER(TRIM(C69))="BASIN",IF(UPPER(TRIM(Inputs!$B$52))="YES",Inputs!$B$12,0),IF(UPPER(TRIM(C69))="ROOF",Inputs!$B$10,IF(UPPER(TRIM(C69))="PAVAGE",Inputs!$B$58,IF(UPPER(TRIM(C69))="TRESFOND",Inputs!$B$11,IF(UPPER(TRIM(C69))="GRASS",Inputs!$B$12,Inputs!$B$13))))))</f>
        <v>0.6</v>
      </c>
      <c r="G69" s="9" t="str">
        <f t="shared" si="2"/>
        <v/>
      </c>
      <c r="H69" s="9" t="str">
        <f>IF(A69="","",Inputs!$B$3/((IF(G69="",Inputs!$B$14,G69)+Inputs!$B$4)^Inputs!$B$5))</f>
        <v/>
      </c>
      <c r="I69" s="9" t="str">
        <f t="shared" si="3"/>
        <v/>
      </c>
      <c r="J69" s="3"/>
      <c r="K69" s="3"/>
      <c r="L69" s="4"/>
      <c r="M69" s="9" t="str">
        <f>IF(A69="","",IF(OR(J69="",Inputs!$B$59=""),0,IFERROR(INDEX(Elements_hybrides!$F$4:$F$204,MATCH(J69,Elements_hybrides!$A$4:$A$204,0))/(Inputs!$B$59*60),0)))</f>
        <v/>
      </c>
      <c r="N69" s="9" t="str">
        <f>IF(A69="","",IF(L69="",Inputs!$B$14,L69)+M69)</f>
        <v/>
      </c>
    </row>
    <row r="70" spans="1:14" x14ac:dyDescent="0.25">
      <c r="A70" s="3"/>
      <c r="B70" s="3"/>
      <c r="C70" s="3"/>
      <c r="D70" s="8"/>
      <c r="E70" s="8"/>
      <c r="F70" s="9">
        <f>IF(E70&lt;&gt;"",E70,IF(UPPER(TRIM(C70))="BASIN",IF(UPPER(TRIM(Inputs!$B$52))="YES",Inputs!$B$12,0),IF(UPPER(TRIM(C70))="ROOF",Inputs!$B$10,IF(UPPER(TRIM(C70))="PAVAGE",Inputs!$B$58,IF(UPPER(TRIM(C70))="TRESFOND",Inputs!$B$11,IF(UPPER(TRIM(C70))="GRASS",Inputs!$B$12,Inputs!$B$13))))))</f>
        <v>0.6</v>
      </c>
      <c r="G70" s="9" t="str">
        <f t="shared" si="2"/>
        <v/>
      </c>
      <c r="H70" s="9" t="str">
        <f>IF(A70="","",Inputs!$B$3/((IF(G70="",Inputs!$B$14,G70)+Inputs!$B$4)^Inputs!$B$5))</f>
        <v/>
      </c>
      <c r="I70" s="9" t="str">
        <f t="shared" si="3"/>
        <v/>
      </c>
      <c r="J70" s="3"/>
      <c r="K70" s="3"/>
      <c r="L70" s="4"/>
      <c r="M70" s="9" t="str">
        <f>IF(A70="","",IF(OR(J70="",Inputs!$B$59=""),0,IFERROR(INDEX(Elements_hybrides!$F$4:$F$204,MATCH(J70,Elements_hybrides!$A$4:$A$204,0))/(Inputs!$B$59*60),0)))</f>
        <v/>
      </c>
      <c r="N70" s="9" t="str">
        <f>IF(A70="","",IF(L70="",Inputs!$B$14,L70)+M70)</f>
        <v/>
      </c>
    </row>
    <row r="71" spans="1:14" x14ac:dyDescent="0.25">
      <c r="A71" s="3"/>
      <c r="B71" s="3"/>
      <c r="C71" s="3"/>
      <c r="D71" s="8"/>
      <c r="E71" s="8"/>
      <c r="F71" s="9">
        <f>IF(E71&lt;&gt;"",E71,IF(UPPER(TRIM(C71))="BASIN",IF(UPPER(TRIM(Inputs!$B$52))="YES",Inputs!$B$12,0),IF(UPPER(TRIM(C71))="ROOF",Inputs!$B$10,IF(UPPER(TRIM(C71))="PAVAGE",Inputs!$B$58,IF(UPPER(TRIM(C71))="TRESFOND",Inputs!$B$11,IF(UPPER(TRIM(C71))="GRASS",Inputs!$B$12,Inputs!$B$13))))))</f>
        <v>0.6</v>
      </c>
      <c r="G71" s="9" t="str">
        <f t="shared" si="2"/>
        <v/>
      </c>
      <c r="H71" s="9" t="str">
        <f>IF(A71="","",Inputs!$B$3/((IF(G71="",Inputs!$B$14,G71)+Inputs!$B$4)^Inputs!$B$5))</f>
        <v/>
      </c>
      <c r="I71" s="9" t="str">
        <f t="shared" si="3"/>
        <v/>
      </c>
      <c r="J71" s="3"/>
      <c r="K71" s="3"/>
      <c r="L71" s="4"/>
      <c r="M71" s="9" t="str">
        <f>IF(A71="","",IF(OR(J71="",Inputs!$B$59=""),0,IFERROR(INDEX(Elements_hybrides!$F$4:$F$204,MATCH(J71,Elements_hybrides!$A$4:$A$204,0))/(Inputs!$B$59*60),0)))</f>
        <v/>
      </c>
      <c r="N71" s="9" t="str">
        <f>IF(A71="","",IF(L71="",Inputs!$B$14,L71)+M71)</f>
        <v/>
      </c>
    </row>
    <row r="72" spans="1:14" x14ac:dyDescent="0.25">
      <c r="A72" s="3"/>
      <c r="B72" s="3"/>
      <c r="C72" s="3"/>
      <c r="D72" s="8"/>
      <c r="E72" s="8"/>
      <c r="F72" s="9">
        <f>IF(E72&lt;&gt;"",E72,IF(UPPER(TRIM(C72))="BASIN",IF(UPPER(TRIM(Inputs!$B$52))="YES",Inputs!$B$12,0),IF(UPPER(TRIM(C72))="ROOF",Inputs!$B$10,IF(UPPER(TRIM(C72))="PAVAGE",Inputs!$B$58,IF(UPPER(TRIM(C72))="TRESFOND",Inputs!$B$11,IF(UPPER(TRIM(C72))="GRASS",Inputs!$B$12,Inputs!$B$13))))))</f>
        <v>0.6</v>
      </c>
      <c r="G72" s="9" t="str">
        <f t="shared" si="2"/>
        <v/>
      </c>
      <c r="H72" s="9" t="str">
        <f>IF(A72="","",Inputs!$B$3/((IF(G72="",Inputs!$B$14,G72)+Inputs!$B$4)^Inputs!$B$5))</f>
        <v/>
      </c>
      <c r="I72" s="9" t="str">
        <f t="shared" si="3"/>
        <v/>
      </c>
      <c r="J72" s="3"/>
      <c r="K72" s="3"/>
      <c r="L72" s="4"/>
      <c r="M72" s="9" t="str">
        <f>IF(A72="","",IF(OR(J72="",Inputs!$B$59=""),0,IFERROR(INDEX(Elements_hybrides!$F$4:$F$204,MATCH(J72,Elements_hybrides!$A$4:$A$204,0))/(Inputs!$B$59*60),0)))</f>
        <v/>
      </c>
      <c r="N72" s="9" t="str">
        <f>IF(A72="","",IF(L72="",Inputs!$B$14,L72)+M72)</f>
        <v/>
      </c>
    </row>
    <row r="73" spans="1:14" x14ac:dyDescent="0.25">
      <c r="A73" s="3"/>
      <c r="B73" s="3"/>
      <c r="C73" s="3"/>
      <c r="D73" s="8"/>
      <c r="E73" s="8"/>
      <c r="F73" s="9">
        <f>IF(E73&lt;&gt;"",E73,IF(UPPER(TRIM(C73))="BASIN",IF(UPPER(TRIM(Inputs!$B$52))="YES",Inputs!$B$12,0),IF(UPPER(TRIM(C73))="ROOF",Inputs!$B$10,IF(UPPER(TRIM(C73))="PAVAGE",Inputs!$B$58,IF(UPPER(TRIM(C73))="TRESFOND",Inputs!$B$11,IF(UPPER(TRIM(C73))="GRASS",Inputs!$B$12,Inputs!$B$13))))))</f>
        <v>0.6</v>
      </c>
      <c r="G73" s="9" t="str">
        <f t="shared" si="2"/>
        <v/>
      </c>
      <c r="H73" s="9" t="str">
        <f>IF(A73="","",Inputs!$B$3/((IF(G73="",Inputs!$B$14,G73)+Inputs!$B$4)^Inputs!$B$5))</f>
        <v/>
      </c>
      <c r="I73" s="9" t="str">
        <f t="shared" si="3"/>
        <v/>
      </c>
      <c r="J73" s="3"/>
      <c r="K73" s="3"/>
      <c r="L73" s="4"/>
      <c r="M73" s="9" t="str">
        <f>IF(A73="","",IF(OR(J73="",Inputs!$B$59=""),0,IFERROR(INDEX(Elements_hybrides!$F$4:$F$204,MATCH(J73,Elements_hybrides!$A$4:$A$204,0))/(Inputs!$B$59*60),0)))</f>
        <v/>
      </c>
      <c r="N73" s="9" t="str">
        <f>IF(A73="","",IF(L73="",Inputs!$B$14,L73)+M73)</f>
        <v/>
      </c>
    </row>
    <row r="74" spans="1:14" x14ac:dyDescent="0.25">
      <c r="A74" s="3"/>
      <c r="B74" s="3"/>
      <c r="C74" s="3"/>
      <c r="D74" s="8"/>
      <c r="E74" s="8"/>
      <c r="F74" s="9">
        <f>IF(E74&lt;&gt;"",E74,IF(UPPER(TRIM(C74))="BASIN",IF(UPPER(TRIM(Inputs!$B$52))="YES",Inputs!$B$12,0),IF(UPPER(TRIM(C74))="ROOF",Inputs!$B$10,IF(UPPER(TRIM(C74))="PAVAGE",Inputs!$B$58,IF(UPPER(TRIM(C74))="TRESFOND",Inputs!$B$11,IF(UPPER(TRIM(C74))="GRASS",Inputs!$B$12,Inputs!$B$13))))))</f>
        <v>0.6</v>
      </c>
      <c r="G74" s="9" t="str">
        <f t="shared" si="2"/>
        <v/>
      </c>
      <c r="H74" s="9" t="str">
        <f>IF(A74="","",Inputs!$B$3/((IF(G74="",Inputs!$B$14,G74)+Inputs!$B$4)^Inputs!$B$5))</f>
        <v/>
      </c>
      <c r="I74" s="9" t="str">
        <f t="shared" si="3"/>
        <v/>
      </c>
      <c r="J74" s="3"/>
      <c r="K74" s="3"/>
      <c r="L74" s="4"/>
      <c r="M74" s="9" t="str">
        <f>IF(A74="","",IF(OR(J74="",Inputs!$B$59=""),0,IFERROR(INDEX(Elements_hybrides!$F$4:$F$204,MATCH(J74,Elements_hybrides!$A$4:$A$204,0))/(Inputs!$B$59*60),0)))</f>
        <v/>
      </c>
      <c r="N74" s="9" t="str">
        <f>IF(A74="","",IF(L74="",Inputs!$B$14,L74)+M74)</f>
        <v/>
      </c>
    </row>
    <row r="75" spans="1:14" x14ac:dyDescent="0.25">
      <c r="A75" s="3"/>
      <c r="B75" s="3"/>
      <c r="C75" s="3"/>
      <c r="D75" s="8"/>
      <c r="E75" s="8"/>
      <c r="F75" s="9">
        <f>IF(E75&lt;&gt;"",E75,IF(UPPER(TRIM(C75))="BASIN",IF(UPPER(TRIM(Inputs!$B$52))="YES",Inputs!$B$12,0),IF(UPPER(TRIM(C75))="ROOF",Inputs!$B$10,IF(UPPER(TRIM(C75))="PAVAGE",Inputs!$B$58,IF(UPPER(TRIM(C75))="TRESFOND",Inputs!$B$11,IF(UPPER(TRIM(C75))="GRASS",Inputs!$B$12,Inputs!$B$13))))))</f>
        <v>0.6</v>
      </c>
      <c r="G75" s="9" t="str">
        <f t="shared" si="2"/>
        <v/>
      </c>
      <c r="H75" s="9" t="str">
        <f>IF(A75="","",Inputs!$B$3/((IF(G75="",Inputs!$B$14,G75)+Inputs!$B$4)^Inputs!$B$5))</f>
        <v/>
      </c>
      <c r="I75" s="9" t="str">
        <f t="shared" si="3"/>
        <v/>
      </c>
      <c r="J75" s="3"/>
      <c r="K75" s="3"/>
      <c r="L75" s="4"/>
      <c r="M75" s="9" t="str">
        <f>IF(A75="","",IF(OR(J75="",Inputs!$B$59=""),0,IFERROR(INDEX(Elements_hybrides!$F$4:$F$204,MATCH(J75,Elements_hybrides!$A$4:$A$204,0))/(Inputs!$B$59*60),0)))</f>
        <v/>
      </c>
      <c r="N75" s="9" t="str">
        <f>IF(A75="","",IF(L75="",Inputs!$B$14,L75)+M75)</f>
        <v/>
      </c>
    </row>
    <row r="76" spans="1:14" x14ac:dyDescent="0.25">
      <c r="A76" s="3"/>
      <c r="B76" s="3"/>
      <c r="C76" s="3"/>
      <c r="D76" s="8"/>
      <c r="E76" s="8"/>
      <c r="F76" s="9">
        <f>IF(E76&lt;&gt;"",E76,IF(UPPER(TRIM(C76))="BASIN",IF(UPPER(TRIM(Inputs!$B$52))="YES",Inputs!$B$12,0),IF(UPPER(TRIM(C76))="ROOF",Inputs!$B$10,IF(UPPER(TRIM(C76))="PAVAGE",Inputs!$B$58,IF(UPPER(TRIM(C76))="TRESFOND",Inputs!$B$11,IF(UPPER(TRIM(C76))="GRASS",Inputs!$B$12,Inputs!$B$13))))))</f>
        <v>0.6</v>
      </c>
      <c r="G76" s="9" t="str">
        <f t="shared" si="2"/>
        <v/>
      </c>
      <c r="H76" s="9" t="str">
        <f>IF(A76="","",Inputs!$B$3/((IF(G76="",Inputs!$B$14,G76)+Inputs!$B$4)^Inputs!$B$5))</f>
        <v/>
      </c>
      <c r="I76" s="9" t="str">
        <f t="shared" si="3"/>
        <v/>
      </c>
      <c r="J76" s="3"/>
      <c r="K76" s="3"/>
      <c r="L76" s="4"/>
      <c r="M76" s="9" t="str">
        <f>IF(A76="","",IF(OR(J76="",Inputs!$B$59=""),0,IFERROR(INDEX(Elements_hybrides!$F$4:$F$204,MATCH(J76,Elements_hybrides!$A$4:$A$204,0))/(Inputs!$B$59*60),0)))</f>
        <v/>
      </c>
      <c r="N76" s="9" t="str">
        <f>IF(A76="","",IF(L76="",Inputs!$B$14,L76)+M76)</f>
        <v/>
      </c>
    </row>
    <row r="77" spans="1:14" x14ac:dyDescent="0.25">
      <c r="A77" s="3"/>
      <c r="B77" s="3"/>
      <c r="C77" s="3"/>
      <c r="D77" s="8"/>
      <c r="E77" s="8"/>
      <c r="F77" s="9">
        <f>IF(E77&lt;&gt;"",E77,IF(UPPER(TRIM(C77))="BASIN",IF(UPPER(TRIM(Inputs!$B$52))="YES",Inputs!$B$12,0),IF(UPPER(TRIM(C77))="ROOF",Inputs!$B$10,IF(UPPER(TRIM(C77))="PAVAGE",Inputs!$B$58,IF(UPPER(TRIM(C77))="TRESFOND",Inputs!$B$11,IF(UPPER(TRIM(C77))="GRASS",Inputs!$B$12,Inputs!$B$13))))))</f>
        <v>0.6</v>
      </c>
      <c r="G77" s="9" t="str">
        <f t="shared" si="2"/>
        <v/>
      </c>
      <c r="H77" s="9" t="str">
        <f>IF(A77="","",Inputs!$B$3/((IF(G77="",Inputs!$B$14,G77)+Inputs!$B$4)^Inputs!$B$5))</f>
        <v/>
      </c>
      <c r="I77" s="9" t="str">
        <f t="shared" si="3"/>
        <v/>
      </c>
      <c r="J77" s="3"/>
      <c r="K77" s="3"/>
      <c r="L77" s="4"/>
      <c r="M77" s="9" t="str">
        <f>IF(A77="","",IF(OR(J77="",Inputs!$B$59=""),0,IFERROR(INDEX(Elements_hybrides!$F$4:$F$204,MATCH(J77,Elements_hybrides!$A$4:$A$204,0))/(Inputs!$B$59*60),0)))</f>
        <v/>
      </c>
      <c r="N77" s="9" t="str">
        <f>IF(A77="","",IF(L77="",Inputs!$B$14,L77)+M77)</f>
        <v/>
      </c>
    </row>
    <row r="78" spans="1:14" x14ac:dyDescent="0.25">
      <c r="A78" s="3"/>
      <c r="B78" s="3"/>
      <c r="C78" s="3"/>
      <c r="D78" s="8"/>
      <c r="E78" s="8"/>
      <c r="F78" s="9">
        <f>IF(E78&lt;&gt;"",E78,IF(UPPER(TRIM(C78))="BASIN",IF(UPPER(TRIM(Inputs!$B$52))="YES",Inputs!$B$12,0),IF(UPPER(TRIM(C78))="ROOF",Inputs!$B$10,IF(UPPER(TRIM(C78))="PAVAGE",Inputs!$B$58,IF(UPPER(TRIM(C78))="TRESFOND",Inputs!$B$11,IF(UPPER(TRIM(C78))="GRASS",Inputs!$B$12,Inputs!$B$13))))))</f>
        <v>0.6</v>
      </c>
      <c r="G78" s="9" t="str">
        <f t="shared" si="2"/>
        <v/>
      </c>
      <c r="H78" s="9" t="str">
        <f>IF(A78="","",Inputs!$B$3/((IF(G78="",Inputs!$B$14,G78)+Inputs!$B$4)^Inputs!$B$5))</f>
        <v/>
      </c>
      <c r="I78" s="9" t="str">
        <f t="shared" si="3"/>
        <v/>
      </c>
      <c r="J78" s="3"/>
      <c r="K78" s="3"/>
      <c r="L78" s="4"/>
      <c r="M78" s="9" t="str">
        <f>IF(A78="","",IF(OR(J78="",Inputs!$B$59=""),0,IFERROR(INDEX(Elements_hybrides!$F$4:$F$204,MATCH(J78,Elements_hybrides!$A$4:$A$204,0))/(Inputs!$B$59*60),0)))</f>
        <v/>
      </c>
      <c r="N78" s="9" t="str">
        <f>IF(A78="","",IF(L78="",Inputs!$B$14,L78)+M78)</f>
        <v/>
      </c>
    </row>
    <row r="79" spans="1:14" x14ac:dyDescent="0.25">
      <c r="A79" s="3"/>
      <c r="B79" s="3"/>
      <c r="C79" s="3"/>
      <c r="D79" s="8"/>
      <c r="E79" s="8"/>
      <c r="F79" s="9">
        <f>IF(E79&lt;&gt;"",E79,IF(UPPER(TRIM(C79))="BASIN",IF(UPPER(TRIM(Inputs!$B$52))="YES",Inputs!$B$12,0),IF(UPPER(TRIM(C79))="ROOF",Inputs!$B$10,IF(UPPER(TRIM(C79))="PAVAGE",Inputs!$B$58,IF(UPPER(TRIM(C79))="TRESFOND",Inputs!$B$11,IF(UPPER(TRIM(C79))="GRASS",Inputs!$B$12,Inputs!$B$13))))))</f>
        <v>0.6</v>
      </c>
      <c r="G79" s="9" t="str">
        <f t="shared" si="2"/>
        <v/>
      </c>
      <c r="H79" s="9" t="str">
        <f>IF(A79="","",Inputs!$B$3/((IF(G79="",Inputs!$B$14,G79)+Inputs!$B$4)^Inputs!$B$5))</f>
        <v/>
      </c>
      <c r="I79" s="9" t="str">
        <f t="shared" si="3"/>
        <v/>
      </c>
      <c r="J79" s="3"/>
      <c r="K79" s="3"/>
      <c r="L79" s="4"/>
      <c r="M79" s="9" t="str">
        <f>IF(A79="","",IF(OR(J79="",Inputs!$B$59=""),0,IFERROR(INDEX(Elements_hybrides!$F$4:$F$204,MATCH(J79,Elements_hybrides!$A$4:$A$204,0))/(Inputs!$B$59*60),0)))</f>
        <v/>
      </c>
      <c r="N79" s="9" t="str">
        <f>IF(A79="","",IF(L79="",Inputs!$B$14,L79)+M79)</f>
        <v/>
      </c>
    </row>
    <row r="80" spans="1:14" x14ac:dyDescent="0.25">
      <c r="A80" s="3"/>
      <c r="B80" s="3"/>
      <c r="C80" s="3"/>
      <c r="D80" s="8"/>
      <c r="E80" s="8"/>
      <c r="F80" s="9">
        <f>IF(E80&lt;&gt;"",E80,IF(UPPER(TRIM(C80))="BASIN",IF(UPPER(TRIM(Inputs!$B$52))="YES",Inputs!$B$12,0),IF(UPPER(TRIM(C80))="ROOF",Inputs!$B$10,IF(UPPER(TRIM(C80))="PAVAGE",Inputs!$B$58,IF(UPPER(TRIM(C80))="TRESFOND",Inputs!$B$11,IF(UPPER(TRIM(C80))="GRASS",Inputs!$B$12,Inputs!$B$13))))))</f>
        <v>0.6</v>
      </c>
      <c r="G80" s="9" t="str">
        <f t="shared" si="2"/>
        <v/>
      </c>
      <c r="H80" s="9" t="str">
        <f>IF(A80="","",Inputs!$B$3/((IF(G80="",Inputs!$B$14,G80)+Inputs!$B$4)^Inputs!$B$5))</f>
        <v/>
      </c>
      <c r="I80" s="9" t="str">
        <f t="shared" si="3"/>
        <v/>
      </c>
      <c r="J80" s="3"/>
      <c r="K80" s="3"/>
      <c r="L80" s="4"/>
      <c r="M80" s="9" t="str">
        <f>IF(A80="","",IF(OR(J80="",Inputs!$B$59=""),0,IFERROR(INDEX(Elements_hybrides!$F$4:$F$204,MATCH(J80,Elements_hybrides!$A$4:$A$204,0))/(Inputs!$B$59*60),0)))</f>
        <v/>
      </c>
      <c r="N80" s="9" t="str">
        <f>IF(A80="","",IF(L80="",Inputs!$B$14,L80)+M80)</f>
        <v/>
      </c>
    </row>
    <row r="81" spans="1:14" x14ac:dyDescent="0.25">
      <c r="A81" s="3"/>
      <c r="B81" s="3"/>
      <c r="C81" s="3"/>
      <c r="D81" s="8"/>
      <c r="E81" s="8"/>
      <c r="F81" s="9">
        <f>IF(E81&lt;&gt;"",E81,IF(UPPER(TRIM(C81))="BASIN",IF(UPPER(TRIM(Inputs!$B$52))="YES",Inputs!$B$12,0),IF(UPPER(TRIM(C81))="ROOF",Inputs!$B$10,IF(UPPER(TRIM(C81))="PAVAGE",Inputs!$B$58,IF(UPPER(TRIM(C81))="TRESFOND",Inputs!$B$11,IF(UPPER(TRIM(C81))="GRASS",Inputs!$B$12,Inputs!$B$13))))))</f>
        <v>0.6</v>
      </c>
      <c r="G81" s="9" t="str">
        <f t="shared" si="2"/>
        <v/>
      </c>
      <c r="H81" s="9" t="str">
        <f>IF(A81="","",Inputs!$B$3/((IF(G81="",Inputs!$B$14,G81)+Inputs!$B$4)^Inputs!$B$5))</f>
        <v/>
      </c>
      <c r="I81" s="9" t="str">
        <f t="shared" si="3"/>
        <v/>
      </c>
      <c r="J81" s="3"/>
      <c r="K81" s="3"/>
      <c r="L81" s="4"/>
      <c r="M81" s="9" t="str">
        <f>IF(A81="","",IF(OR(J81="",Inputs!$B$59=""),0,IFERROR(INDEX(Elements_hybrides!$F$4:$F$204,MATCH(J81,Elements_hybrides!$A$4:$A$204,0))/(Inputs!$B$59*60),0)))</f>
        <v/>
      </c>
      <c r="N81" s="9" t="str">
        <f>IF(A81="","",IF(L81="",Inputs!$B$14,L81)+M81)</f>
        <v/>
      </c>
    </row>
    <row r="82" spans="1:14" x14ac:dyDescent="0.25">
      <c r="A82" s="3"/>
      <c r="B82" s="3"/>
      <c r="C82" s="3"/>
      <c r="D82" s="8"/>
      <c r="E82" s="8"/>
      <c r="F82" s="9">
        <f>IF(E82&lt;&gt;"",E82,IF(UPPER(TRIM(C82))="BASIN",IF(UPPER(TRIM(Inputs!$B$52))="YES",Inputs!$B$12,0),IF(UPPER(TRIM(C82))="ROOF",Inputs!$B$10,IF(UPPER(TRIM(C82))="PAVAGE",Inputs!$B$58,IF(UPPER(TRIM(C82))="TRESFOND",Inputs!$B$11,IF(UPPER(TRIM(C82))="GRASS",Inputs!$B$12,Inputs!$B$13))))))</f>
        <v>0.6</v>
      </c>
      <c r="G82" s="9" t="str">
        <f t="shared" si="2"/>
        <v/>
      </c>
      <c r="H82" s="9" t="str">
        <f>IF(A82="","",Inputs!$B$3/((IF(G82="",Inputs!$B$14,G82)+Inputs!$B$4)^Inputs!$B$5))</f>
        <v/>
      </c>
      <c r="I82" s="9" t="str">
        <f t="shared" si="3"/>
        <v/>
      </c>
      <c r="J82" s="3"/>
      <c r="K82" s="3"/>
      <c r="L82" s="4"/>
      <c r="M82" s="9" t="str">
        <f>IF(A82="","",IF(OR(J82="",Inputs!$B$59=""),0,IFERROR(INDEX(Elements_hybrides!$F$4:$F$204,MATCH(J82,Elements_hybrides!$A$4:$A$204,0))/(Inputs!$B$59*60),0)))</f>
        <v/>
      </c>
      <c r="N82" s="9" t="str">
        <f>IF(A82="","",IF(L82="",Inputs!$B$14,L82)+M82)</f>
        <v/>
      </c>
    </row>
    <row r="83" spans="1:14" x14ac:dyDescent="0.25">
      <c r="A83" s="3"/>
      <c r="B83" s="3"/>
      <c r="C83" s="3"/>
      <c r="D83" s="8"/>
      <c r="E83" s="8"/>
      <c r="F83" s="9">
        <f>IF(E83&lt;&gt;"",E83,IF(UPPER(TRIM(C83))="BASIN",IF(UPPER(TRIM(Inputs!$B$52))="YES",Inputs!$B$12,0),IF(UPPER(TRIM(C83))="ROOF",Inputs!$B$10,IF(UPPER(TRIM(C83))="PAVAGE",Inputs!$B$58,IF(UPPER(TRIM(C83))="TRESFOND",Inputs!$B$11,IF(UPPER(TRIM(C83))="GRASS",Inputs!$B$12,Inputs!$B$13))))))</f>
        <v>0.6</v>
      </c>
      <c r="G83" s="9" t="str">
        <f t="shared" si="2"/>
        <v/>
      </c>
      <c r="H83" s="9" t="str">
        <f>IF(A83="","",Inputs!$B$3/((IF(G83="",Inputs!$B$14,G83)+Inputs!$B$4)^Inputs!$B$5))</f>
        <v/>
      </c>
      <c r="I83" s="9" t="str">
        <f t="shared" si="3"/>
        <v/>
      </c>
      <c r="J83" s="3"/>
      <c r="K83" s="3"/>
      <c r="L83" s="4"/>
      <c r="M83" s="9" t="str">
        <f>IF(A83="","",IF(OR(J83="",Inputs!$B$59=""),0,IFERROR(INDEX(Elements_hybrides!$F$4:$F$204,MATCH(J83,Elements_hybrides!$A$4:$A$204,0))/(Inputs!$B$59*60),0)))</f>
        <v/>
      </c>
      <c r="N83" s="9" t="str">
        <f>IF(A83="","",IF(L83="",Inputs!$B$14,L83)+M83)</f>
        <v/>
      </c>
    </row>
    <row r="84" spans="1:14" x14ac:dyDescent="0.25">
      <c r="A84" s="3"/>
      <c r="B84" s="3"/>
      <c r="C84" s="3"/>
      <c r="D84" s="8"/>
      <c r="E84" s="8"/>
      <c r="F84" s="9">
        <f>IF(E84&lt;&gt;"",E84,IF(UPPER(TRIM(C84))="BASIN",IF(UPPER(TRIM(Inputs!$B$52))="YES",Inputs!$B$12,0),IF(UPPER(TRIM(C84))="ROOF",Inputs!$B$10,IF(UPPER(TRIM(C84))="PAVAGE",Inputs!$B$58,IF(UPPER(TRIM(C84))="TRESFOND",Inputs!$B$11,IF(UPPER(TRIM(C84))="GRASS",Inputs!$B$12,Inputs!$B$13))))))</f>
        <v>0.6</v>
      </c>
      <c r="G84" s="9" t="str">
        <f t="shared" si="2"/>
        <v/>
      </c>
      <c r="H84" s="9" t="str">
        <f>IF(A84="","",Inputs!$B$3/((IF(G84="",Inputs!$B$14,G84)+Inputs!$B$4)^Inputs!$B$5))</f>
        <v/>
      </c>
      <c r="I84" s="9" t="str">
        <f t="shared" si="3"/>
        <v/>
      </c>
      <c r="J84" s="3"/>
      <c r="K84" s="3"/>
      <c r="L84" s="4"/>
      <c r="M84" s="9" t="str">
        <f>IF(A84="","",IF(OR(J84="",Inputs!$B$59=""),0,IFERROR(INDEX(Elements_hybrides!$F$4:$F$204,MATCH(J84,Elements_hybrides!$A$4:$A$204,0))/(Inputs!$B$59*60),0)))</f>
        <v/>
      </c>
      <c r="N84" s="9" t="str">
        <f>IF(A84="","",IF(L84="",Inputs!$B$14,L84)+M84)</f>
        <v/>
      </c>
    </row>
    <row r="85" spans="1:14" x14ac:dyDescent="0.25">
      <c r="A85" s="3"/>
      <c r="B85" s="3"/>
      <c r="C85" s="3"/>
      <c r="D85" s="8"/>
      <c r="E85" s="8"/>
      <c r="F85" s="9">
        <f>IF(E85&lt;&gt;"",E85,IF(UPPER(TRIM(C85))="BASIN",IF(UPPER(TRIM(Inputs!$B$52))="YES",Inputs!$B$12,0),IF(UPPER(TRIM(C85))="ROOF",Inputs!$B$10,IF(UPPER(TRIM(C85))="PAVAGE",Inputs!$B$58,IF(UPPER(TRIM(C85))="TRESFOND",Inputs!$B$11,IF(UPPER(TRIM(C85))="GRASS",Inputs!$B$12,Inputs!$B$13))))))</f>
        <v>0.6</v>
      </c>
      <c r="G85" s="9" t="str">
        <f t="shared" si="2"/>
        <v/>
      </c>
      <c r="H85" s="9" t="str">
        <f>IF(A85="","",Inputs!$B$3/((IF(G85="",Inputs!$B$14,G85)+Inputs!$B$4)^Inputs!$B$5))</f>
        <v/>
      </c>
      <c r="I85" s="9" t="str">
        <f t="shared" si="3"/>
        <v/>
      </c>
      <c r="J85" s="3"/>
      <c r="K85" s="3"/>
      <c r="L85" s="4"/>
      <c r="M85" s="9" t="str">
        <f>IF(A85="","",IF(OR(J85="",Inputs!$B$59=""),0,IFERROR(INDEX(Elements_hybrides!$F$4:$F$204,MATCH(J85,Elements_hybrides!$A$4:$A$204,0))/(Inputs!$B$59*60),0)))</f>
        <v/>
      </c>
      <c r="N85" s="9" t="str">
        <f>IF(A85="","",IF(L85="",Inputs!$B$14,L85)+M85)</f>
        <v/>
      </c>
    </row>
    <row r="86" spans="1:14" x14ac:dyDescent="0.25">
      <c r="A86" s="3"/>
      <c r="B86" s="3"/>
      <c r="C86" s="3"/>
      <c r="D86" s="8"/>
      <c r="E86" s="8"/>
      <c r="F86" s="9">
        <f>IF(E86&lt;&gt;"",E86,IF(UPPER(TRIM(C86))="BASIN",IF(UPPER(TRIM(Inputs!$B$52))="YES",Inputs!$B$12,0),IF(UPPER(TRIM(C86))="ROOF",Inputs!$B$10,IF(UPPER(TRIM(C86))="PAVAGE",Inputs!$B$58,IF(UPPER(TRIM(C86))="TRESFOND",Inputs!$B$11,IF(UPPER(TRIM(C86))="GRASS",Inputs!$B$12,Inputs!$B$13))))))</f>
        <v>0.6</v>
      </c>
      <c r="G86" s="9" t="str">
        <f t="shared" si="2"/>
        <v/>
      </c>
      <c r="H86" s="9" t="str">
        <f>IF(A86="","",Inputs!$B$3/((IF(G86="",Inputs!$B$14,G86)+Inputs!$B$4)^Inputs!$B$5))</f>
        <v/>
      </c>
      <c r="I86" s="9" t="str">
        <f t="shared" si="3"/>
        <v/>
      </c>
      <c r="J86" s="3"/>
      <c r="K86" s="3"/>
      <c r="L86" s="4"/>
      <c r="M86" s="9" t="str">
        <f>IF(A86="","",IF(OR(J86="",Inputs!$B$59=""),0,IFERROR(INDEX(Elements_hybrides!$F$4:$F$204,MATCH(J86,Elements_hybrides!$A$4:$A$204,0))/(Inputs!$B$59*60),0)))</f>
        <v/>
      </c>
      <c r="N86" s="9" t="str">
        <f>IF(A86="","",IF(L86="",Inputs!$B$14,L86)+M86)</f>
        <v/>
      </c>
    </row>
    <row r="87" spans="1:14" x14ac:dyDescent="0.25">
      <c r="A87" s="3"/>
      <c r="B87" s="3"/>
      <c r="C87" s="3"/>
      <c r="D87" s="8"/>
      <c r="E87" s="8"/>
      <c r="F87" s="9">
        <f>IF(E87&lt;&gt;"",E87,IF(UPPER(TRIM(C87))="BASIN",IF(UPPER(TRIM(Inputs!$B$52))="YES",Inputs!$B$12,0),IF(UPPER(TRIM(C87))="ROOF",Inputs!$B$10,IF(UPPER(TRIM(C87))="PAVAGE",Inputs!$B$58,IF(UPPER(TRIM(C87))="TRESFOND",Inputs!$B$11,IF(UPPER(TRIM(C87))="GRASS",Inputs!$B$12,Inputs!$B$13))))))</f>
        <v>0.6</v>
      </c>
      <c r="G87" s="9" t="str">
        <f t="shared" si="2"/>
        <v/>
      </c>
      <c r="H87" s="9" t="str">
        <f>IF(A87="","",Inputs!$B$3/((IF(G87="",Inputs!$B$14,G87)+Inputs!$B$4)^Inputs!$B$5))</f>
        <v/>
      </c>
      <c r="I87" s="9" t="str">
        <f t="shared" si="3"/>
        <v/>
      </c>
      <c r="J87" s="3"/>
      <c r="K87" s="3"/>
      <c r="L87" s="4"/>
      <c r="M87" s="9" t="str">
        <f>IF(A87="","",IF(OR(J87="",Inputs!$B$59=""),0,IFERROR(INDEX(Elements_hybrides!$F$4:$F$204,MATCH(J87,Elements_hybrides!$A$4:$A$204,0))/(Inputs!$B$59*60),0)))</f>
        <v/>
      </c>
      <c r="N87" s="9" t="str">
        <f>IF(A87="","",IF(L87="",Inputs!$B$14,L87)+M87)</f>
        <v/>
      </c>
    </row>
    <row r="88" spans="1:14" x14ac:dyDescent="0.25">
      <c r="A88" s="3"/>
      <c r="B88" s="3"/>
      <c r="C88" s="3"/>
      <c r="D88" s="8"/>
      <c r="E88" s="8"/>
      <c r="F88" s="9">
        <f>IF(E88&lt;&gt;"",E88,IF(UPPER(TRIM(C88))="BASIN",IF(UPPER(TRIM(Inputs!$B$52))="YES",Inputs!$B$12,0),IF(UPPER(TRIM(C88))="ROOF",Inputs!$B$10,IF(UPPER(TRIM(C88))="PAVAGE",Inputs!$B$58,IF(UPPER(TRIM(C88))="TRESFOND",Inputs!$B$11,IF(UPPER(TRIM(C88))="GRASS",Inputs!$B$12,Inputs!$B$13))))))</f>
        <v>0.6</v>
      </c>
      <c r="G88" s="9" t="str">
        <f t="shared" si="2"/>
        <v/>
      </c>
      <c r="H88" s="9" t="str">
        <f>IF(A88="","",Inputs!$B$3/((IF(G88="",Inputs!$B$14,G88)+Inputs!$B$4)^Inputs!$B$5))</f>
        <v/>
      </c>
      <c r="I88" s="9" t="str">
        <f t="shared" si="3"/>
        <v/>
      </c>
      <c r="J88" s="3"/>
      <c r="K88" s="3"/>
      <c r="L88" s="4"/>
      <c r="M88" s="9" t="str">
        <f>IF(A88="","",IF(OR(J88="",Inputs!$B$59=""),0,IFERROR(INDEX(Elements_hybrides!$F$4:$F$204,MATCH(J88,Elements_hybrides!$A$4:$A$204,0))/(Inputs!$B$59*60),0)))</f>
        <v/>
      </c>
      <c r="N88" s="9" t="str">
        <f>IF(A88="","",IF(L88="",Inputs!$B$14,L88)+M88)</f>
        <v/>
      </c>
    </row>
    <row r="89" spans="1:14" x14ac:dyDescent="0.25">
      <c r="A89" s="3"/>
      <c r="B89" s="3"/>
      <c r="C89" s="3"/>
      <c r="D89" s="8"/>
      <c r="E89" s="8"/>
      <c r="F89" s="9">
        <f>IF(E89&lt;&gt;"",E89,IF(UPPER(TRIM(C89))="BASIN",IF(UPPER(TRIM(Inputs!$B$52))="YES",Inputs!$B$12,0),IF(UPPER(TRIM(C89))="ROOF",Inputs!$B$10,IF(UPPER(TRIM(C89))="PAVAGE",Inputs!$B$58,IF(UPPER(TRIM(C89))="TRESFOND",Inputs!$B$11,IF(UPPER(TRIM(C89))="GRASS",Inputs!$B$12,Inputs!$B$13))))))</f>
        <v>0.6</v>
      </c>
      <c r="G89" s="9" t="str">
        <f t="shared" si="2"/>
        <v/>
      </c>
      <c r="H89" s="9" t="str">
        <f>IF(A89="","",Inputs!$B$3/((IF(G89="",Inputs!$B$14,G89)+Inputs!$B$4)^Inputs!$B$5))</f>
        <v/>
      </c>
      <c r="I89" s="9" t="str">
        <f t="shared" si="3"/>
        <v/>
      </c>
      <c r="J89" s="3"/>
      <c r="K89" s="3"/>
      <c r="L89" s="4"/>
      <c r="M89" s="9" t="str">
        <f>IF(A89="","",IF(OR(J89="",Inputs!$B$59=""),0,IFERROR(INDEX(Elements_hybrides!$F$4:$F$204,MATCH(J89,Elements_hybrides!$A$4:$A$204,0))/(Inputs!$B$59*60),0)))</f>
        <v/>
      </c>
      <c r="N89" s="9" t="str">
        <f>IF(A89="","",IF(L89="",Inputs!$B$14,L89)+M89)</f>
        <v/>
      </c>
    </row>
    <row r="90" spans="1:14" x14ac:dyDescent="0.25">
      <c r="A90" s="3"/>
      <c r="B90" s="3"/>
      <c r="C90" s="3"/>
      <c r="D90" s="8"/>
      <c r="E90" s="8"/>
      <c r="F90" s="9">
        <f>IF(E90&lt;&gt;"",E90,IF(UPPER(TRIM(C90))="BASIN",IF(UPPER(TRIM(Inputs!$B$52))="YES",Inputs!$B$12,0),IF(UPPER(TRIM(C90))="ROOF",Inputs!$B$10,IF(UPPER(TRIM(C90))="PAVAGE",Inputs!$B$58,IF(UPPER(TRIM(C90))="TRESFOND",Inputs!$B$11,IF(UPPER(TRIM(C90))="GRASS",Inputs!$B$12,Inputs!$B$13))))))</f>
        <v>0.6</v>
      </c>
      <c r="G90" s="9" t="str">
        <f t="shared" si="2"/>
        <v/>
      </c>
      <c r="H90" s="9" t="str">
        <f>IF(A90="","",Inputs!$B$3/((IF(G90="",Inputs!$B$14,G90)+Inputs!$B$4)^Inputs!$B$5))</f>
        <v/>
      </c>
      <c r="I90" s="9" t="str">
        <f t="shared" si="3"/>
        <v/>
      </c>
      <c r="J90" s="3"/>
      <c r="K90" s="3"/>
      <c r="L90" s="4"/>
      <c r="M90" s="9" t="str">
        <f>IF(A90="","",IF(OR(J90="",Inputs!$B$59=""),0,IFERROR(INDEX(Elements_hybrides!$F$4:$F$204,MATCH(J90,Elements_hybrides!$A$4:$A$204,0))/(Inputs!$B$59*60),0)))</f>
        <v/>
      </c>
      <c r="N90" s="9" t="str">
        <f>IF(A90="","",IF(L90="",Inputs!$B$14,L90)+M90)</f>
        <v/>
      </c>
    </row>
    <row r="91" spans="1:14" x14ac:dyDescent="0.25">
      <c r="A91" s="3"/>
      <c r="B91" s="3"/>
      <c r="C91" s="3"/>
      <c r="D91" s="8"/>
      <c r="E91" s="8"/>
      <c r="F91" s="9">
        <f>IF(E91&lt;&gt;"",E91,IF(UPPER(TRIM(C91))="BASIN",IF(UPPER(TRIM(Inputs!$B$52))="YES",Inputs!$B$12,0),IF(UPPER(TRIM(C91))="ROOF",Inputs!$B$10,IF(UPPER(TRIM(C91))="PAVAGE",Inputs!$B$58,IF(UPPER(TRIM(C91))="TRESFOND",Inputs!$B$11,IF(UPPER(TRIM(C91))="GRASS",Inputs!$B$12,Inputs!$B$13))))))</f>
        <v>0.6</v>
      </c>
      <c r="G91" s="9" t="str">
        <f t="shared" si="2"/>
        <v/>
      </c>
      <c r="H91" s="9" t="str">
        <f>IF(A91="","",Inputs!$B$3/((IF(G91="",Inputs!$B$14,G91)+Inputs!$B$4)^Inputs!$B$5))</f>
        <v/>
      </c>
      <c r="I91" s="9" t="str">
        <f t="shared" si="3"/>
        <v/>
      </c>
      <c r="J91" s="3"/>
      <c r="K91" s="3"/>
      <c r="L91" s="4"/>
      <c r="M91" s="9" t="str">
        <f>IF(A91="","",IF(OR(J91="",Inputs!$B$59=""),0,IFERROR(INDEX(Elements_hybrides!$F$4:$F$204,MATCH(J91,Elements_hybrides!$A$4:$A$204,0))/(Inputs!$B$59*60),0)))</f>
        <v/>
      </c>
      <c r="N91" s="9" t="str">
        <f>IF(A91="","",IF(L91="",Inputs!$B$14,L91)+M91)</f>
        <v/>
      </c>
    </row>
    <row r="92" spans="1:14" x14ac:dyDescent="0.25">
      <c r="A92" s="3"/>
      <c r="B92" s="3"/>
      <c r="C92" s="3"/>
      <c r="D92" s="8"/>
      <c r="E92" s="8"/>
      <c r="F92" s="9">
        <f>IF(E92&lt;&gt;"",E92,IF(UPPER(TRIM(C92))="BASIN",IF(UPPER(TRIM(Inputs!$B$52))="YES",Inputs!$B$12,0),IF(UPPER(TRIM(C92))="ROOF",Inputs!$B$10,IF(UPPER(TRIM(C92))="PAVAGE",Inputs!$B$58,IF(UPPER(TRIM(C92))="TRESFOND",Inputs!$B$11,IF(UPPER(TRIM(C92))="GRASS",Inputs!$B$12,Inputs!$B$13))))))</f>
        <v>0.6</v>
      </c>
      <c r="G92" s="9" t="str">
        <f t="shared" si="2"/>
        <v/>
      </c>
      <c r="H92" s="9" t="str">
        <f>IF(A92="","",Inputs!$B$3/((IF(G92="",Inputs!$B$14,G92)+Inputs!$B$4)^Inputs!$B$5))</f>
        <v/>
      </c>
      <c r="I92" s="9" t="str">
        <f t="shared" si="3"/>
        <v/>
      </c>
      <c r="J92" s="3"/>
      <c r="K92" s="3"/>
      <c r="L92" s="4"/>
      <c r="M92" s="9" t="str">
        <f>IF(A92="","",IF(OR(J92="",Inputs!$B$59=""),0,IFERROR(INDEX(Elements_hybrides!$F$4:$F$204,MATCH(J92,Elements_hybrides!$A$4:$A$204,0))/(Inputs!$B$59*60),0)))</f>
        <v/>
      </c>
      <c r="N92" s="9" t="str">
        <f>IF(A92="","",IF(L92="",Inputs!$B$14,L92)+M92)</f>
        <v/>
      </c>
    </row>
    <row r="93" spans="1:14" x14ac:dyDescent="0.25">
      <c r="A93" s="3"/>
      <c r="B93" s="3"/>
      <c r="C93" s="3"/>
      <c r="D93" s="8"/>
      <c r="E93" s="8"/>
      <c r="F93" s="9">
        <f>IF(E93&lt;&gt;"",E93,IF(UPPER(TRIM(C93))="BASIN",IF(UPPER(TRIM(Inputs!$B$52))="YES",Inputs!$B$12,0),IF(UPPER(TRIM(C93))="ROOF",Inputs!$B$10,IF(UPPER(TRIM(C93))="PAVAGE",Inputs!$B$58,IF(UPPER(TRIM(C93))="TRESFOND",Inputs!$B$11,IF(UPPER(TRIM(C93))="GRASS",Inputs!$B$12,Inputs!$B$13))))))</f>
        <v>0.6</v>
      </c>
      <c r="G93" s="9" t="str">
        <f t="shared" si="2"/>
        <v/>
      </c>
      <c r="H93" s="9" t="str">
        <f>IF(A93="","",Inputs!$B$3/((IF(G93="",Inputs!$B$14,G93)+Inputs!$B$4)^Inputs!$B$5))</f>
        <v/>
      </c>
      <c r="I93" s="9" t="str">
        <f t="shared" si="3"/>
        <v/>
      </c>
      <c r="J93" s="3"/>
      <c r="K93" s="3"/>
      <c r="L93" s="4"/>
      <c r="M93" s="9" t="str">
        <f>IF(A93="","",IF(OR(J93="",Inputs!$B$59=""),0,IFERROR(INDEX(Elements_hybrides!$F$4:$F$204,MATCH(J93,Elements_hybrides!$A$4:$A$204,0))/(Inputs!$B$59*60),0)))</f>
        <v/>
      </c>
      <c r="N93" s="9" t="str">
        <f>IF(A93="","",IF(L93="",Inputs!$B$14,L93)+M93)</f>
        <v/>
      </c>
    </row>
    <row r="94" spans="1:14" x14ac:dyDescent="0.25">
      <c r="A94" s="3"/>
      <c r="B94" s="3"/>
      <c r="C94" s="3"/>
      <c r="D94" s="8"/>
      <c r="E94" s="8"/>
      <c r="F94" s="9">
        <f>IF(E94&lt;&gt;"",E94,IF(UPPER(TRIM(C94))="BASIN",IF(UPPER(TRIM(Inputs!$B$52))="YES",Inputs!$B$12,0),IF(UPPER(TRIM(C94))="ROOF",Inputs!$B$10,IF(UPPER(TRIM(C94))="PAVAGE",Inputs!$B$58,IF(UPPER(TRIM(C94))="TRESFOND",Inputs!$B$11,IF(UPPER(TRIM(C94))="GRASS",Inputs!$B$12,Inputs!$B$13))))))</f>
        <v>0.6</v>
      </c>
      <c r="G94" s="9" t="str">
        <f t="shared" si="2"/>
        <v/>
      </c>
      <c r="H94" s="9" t="str">
        <f>IF(A94="","",Inputs!$B$3/((IF(G94="",Inputs!$B$14,G94)+Inputs!$B$4)^Inputs!$B$5))</f>
        <v/>
      </c>
      <c r="I94" s="9" t="str">
        <f t="shared" si="3"/>
        <v/>
      </c>
      <c r="J94" s="3"/>
      <c r="K94" s="3"/>
      <c r="L94" s="4"/>
      <c r="M94" s="9" t="str">
        <f>IF(A94="","",IF(OR(J94="",Inputs!$B$59=""),0,IFERROR(INDEX(Elements_hybrides!$F$4:$F$204,MATCH(J94,Elements_hybrides!$A$4:$A$204,0))/(Inputs!$B$59*60),0)))</f>
        <v/>
      </c>
      <c r="N94" s="9" t="str">
        <f>IF(A94="","",IF(L94="",Inputs!$B$14,L94)+M94)</f>
        <v/>
      </c>
    </row>
    <row r="95" spans="1:14" x14ac:dyDescent="0.25">
      <c r="A95" s="3"/>
      <c r="B95" s="3"/>
      <c r="C95" s="3"/>
      <c r="D95" s="8"/>
      <c r="E95" s="8"/>
      <c r="F95" s="9">
        <f>IF(E95&lt;&gt;"",E95,IF(UPPER(TRIM(C95))="BASIN",IF(UPPER(TRIM(Inputs!$B$52))="YES",Inputs!$B$12,0),IF(UPPER(TRIM(C95))="ROOF",Inputs!$B$10,IF(UPPER(TRIM(C95))="PAVAGE",Inputs!$B$58,IF(UPPER(TRIM(C95))="TRESFOND",Inputs!$B$11,IF(UPPER(TRIM(C95))="GRASS",Inputs!$B$12,Inputs!$B$13))))))</f>
        <v>0.6</v>
      </c>
      <c r="G95" s="9" t="str">
        <f t="shared" si="2"/>
        <v/>
      </c>
      <c r="H95" s="9" t="str">
        <f>IF(A95="","",Inputs!$B$3/((IF(G95="",Inputs!$B$14,G95)+Inputs!$B$4)^Inputs!$B$5))</f>
        <v/>
      </c>
      <c r="I95" s="9" t="str">
        <f t="shared" si="3"/>
        <v/>
      </c>
      <c r="J95" s="3"/>
      <c r="K95" s="3"/>
      <c r="L95" s="4"/>
      <c r="M95" s="9" t="str">
        <f>IF(A95="","",IF(OR(J95="",Inputs!$B$59=""),0,IFERROR(INDEX(Elements_hybrides!$F$4:$F$204,MATCH(J95,Elements_hybrides!$A$4:$A$204,0))/(Inputs!$B$59*60),0)))</f>
        <v/>
      </c>
      <c r="N95" s="9" t="str">
        <f>IF(A95="","",IF(L95="",Inputs!$B$14,L95)+M95)</f>
        <v/>
      </c>
    </row>
    <row r="96" spans="1:14" x14ac:dyDescent="0.25">
      <c r="A96" s="3"/>
      <c r="B96" s="3"/>
      <c r="C96" s="3"/>
      <c r="D96" s="8"/>
      <c r="E96" s="8"/>
      <c r="F96" s="9">
        <f>IF(E96&lt;&gt;"",E96,IF(UPPER(TRIM(C96))="BASIN",IF(UPPER(TRIM(Inputs!$B$52))="YES",Inputs!$B$12,0),IF(UPPER(TRIM(C96))="ROOF",Inputs!$B$10,IF(UPPER(TRIM(C96))="PAVAGE",Inputs!$B$58,IF(UPPER(TRIM(C96))="TRESFOND",Inputs!$B$11,IF(UPPER(TRIM(C96))="GRASS",Inputs!$B$12,Inputs!$B$13))))))</f>
        <v>0.6</v>
      </c>
      <c r="G96" s="9" t="str">
        <f t="shared" si="2"/>
        <v/>
      </c>
      <c r="H96" s="9" t="str">
        <f>IF(A96="","",Inputs!$B$3/((IF(G96="",Inputs!$B$14,G96)+Inputs!$B$4)^Inputs!$B$5))</f>
        <v/>
      </c>
      <c r="I96" s="9" t="str">
        <f t="shared" si="3"/>
        <v/>
      </c>
      <c r="J96" s="3"/>
      <c r="K96" s="3"/>
      <c r="L96" s="4"/>
      <c r="M96" s="9" t="str">
        <f>IF(A96="","",IF(OR(J96="",Inputs!$B$59=""),0,IFERROR(INDEX(Elements_hybrides!$F$4:$F$204,MATCH(J96,Elements_hybrides!$A$4:$A$204,0))/(Inputs!$B$59*60),0)))</f>
        <v/>
      </c>
      <c r="N96" s="9" t="str">
        <f>IF(A96="","",IF(L96="",Inputs!$B$14,L96)+M96)</f>
        <v/>
      </c>
    </row>
    <row r="97" spans="1:14" x14ac:dyDescent="0.25">
      <c r="A97" s="3"/>
      <c r="B97" s="3"/>
      <c r="C97" s="3"/>
      <c r="D97" s="8"/>
      <c r="E97" s="8"/>
      <c r="F97" s="9">
        <f>IF(E97&lt;&gt;"",E97,IF(UPPER(TRIM(C97))="BASIN",IF(UPPER(TRIM(Inputs!$B$52))="YES",Inputs!$B$12,0),IF(UPPER(TRIM(C97))="ROOF",Inputs!$B$10,IF(UPPER(TRIM(C97))="PAVAGE",Inputs!$B$58,IF(UPPER(TRIM(C97))="TRESFOND",Inputs!$B$11,IF(UPPER(TRIM(C97))="GRASS",Inputs!$B$12,Inputs!$B$13))))))</f>
        <v>0.6</v>
      </c>
      <c r="G97" s="9" t="str">
        <f t="shared" si="2"/>
        <v/>
      </c>
      <c r="H97" s="9" t="str">
        <f>IF(A97="","",Inputs!$B$3/((IF(G97="",Inputs!$B$14,G97)+Inputs!$B$4)^Inputs!$B$5))</f>
        <v/>
      </c>
      <c r="I97" s="9" t="str">
        <f t="shared" si="3"/>
        <v/>
      </c>
      <c r="J97" s="3"/>
      <c r="K97" s="3"/>
      <c r="L97" s="4"/>
      <c r="M97" s="9" t="str">
        <f>IF(A97="","",IF(OR(J97="",Inputs!$B$59=""),0,IFERROR(INDEX(Elements_hybrides!$F$4:$F$204,MATCH(J97,Elements_hybrides!$A$4:$A$204,0))/(Inputs!$B$59*60),0)))</f>
        <v/>
      </c>
      <c r="N97" s="9" t="str">
        <f>IF(A97="","",IF(L97="",Inputs!$B$14,L97)+M97)</f>
        <v/>
      </c>
    </row>
    <row r="98" spans="1:14" x14ac:dyDescent="0.25">
      <c r="A98" s="3"/>
      <c r="B98" s="3"/>
      <c r="C98" s="3"/>
      <c r="D98" s="8"/>
      <c r="E98" s="8"/>
      <c r="F98" s="9">
        <f>IF(E98&lt;&gt;"",E98,IF(UPPER(TRIM(C98))="BASIN",IF(UPPER(TRIM(Inputs!$B$52))="YES",Inputs!$B$12,0),IF(UPPER(TRIM(C98))="ROOF",Inputs!$B$10,IF(UPPER(TRIM(C98))="PAVAGE",Inputs!$B$58,IF(UPPER(TRIM(C98))="TRESFOND",Inputs!$B$11,IF(UPPER(TRIM(C98))="GRASS",Inputs!$B$12,Inputs!$B$13))))))</f>
        <v>0.6</v>
      </c>
      <c r="G98" s="9" t="str">
        <f t="shared" si="2"/>
        <v/>
      </c>
      <c r="H98" s="9" t="str">
        <f>IF(A98="","",Inputs!$B$3/((IF(G98="",Inputs!$B$14,G98)+Inputs!$B$4)^Inputs!$B$5))</f>
        <v/>
      </c>
      <c r="I98" s="9" t="str">
        <f t="shared" si="3"/>
        <v/>
      </c>
      <c r="J98" s="3"/>
      <c r="K98" s="3"/>
      <c r="L98" s="4"/>
      <c r="M98" s="9" t="str">
        <f>IF(A98="","",IF(OR(J98="",Inputs!$B$59=""),0,IFERROR(INDEX(Elements_hybrides!$F$4:$F$204,MATCH(J98,Elements_hybrides!$A$4:$A$204,0))/(Inputs!$B$59*60),0)))</f>
        <v/>
      </c>
      <c r="N98" s="9" t="str">
        <f>IF(A98="","",IF(L98="",Inputs!$B$14,L98)+M98)</f>
        <v/>
      </c>
    </row>
    <row r="99" spans="1:14" x14ac:dyDescent="0.25">
      <c r="A99" s="3"/>
      <c r="B99" s="3"/>
      <c r="C99" s="3"/>
      <c r="D99" s="8"/>
      <c r="E99" s="8"/>
      <c r="F99" s="9">
        <f>IF(E99&lt;&gt;"",E99,IF(UPPER(TRIM(C99))="BASIN",IF(UPPER(TRIM(Inputs!$B$52))="YES",Inputs!$B$12,0),IF(UPPER(TRIM(C99))="ROOF",Inputs!$B$10,IF(UPPER(TRIM(C99))="PAVAGE",Inputs!$B$58,IF(UPPER(TRIM(C99))="TRESFOND",Inputs!$B$11,IF(UPPER(TRIM(C99))="GRASS",Inputs!$B$12,Inputs!$B$13))))))</f>
        <v>0.6</v>
      </c>
      <c r="G99" s="9" t="str">
        <f t="shared" si="2"/>
        <v/>
      </c>
      <c r="H99" s="9" t="str">
        <f>IF(A99="","",Inputs!$B$3/((IF(G99="",Inputs!$B$14,G99)+Inputs!$B$4)^Inputs!$B$5))</f>
        <v/>
      </c>
      <c r="I99" s="9" t="str">
        <f t="shared" si="3"/>
        <v/>
      </c>
      <c r="J99" s="3"/>
      <c r="K99" s="3"/>
      <c r="L99" s="4"/>
      <c r="M99" s="9" t="str">
        <f>IF(A99="","",IF(OR(J99="",Inputs!$B$59=""),0,IFERROR(INDEX(Elements_hybrides!$F$4:$F$204,MATCH(J99,Elements_hybrides!$A$4:$A$204,0))/(Inputs!$B$59*60),0)))</f>
        <v/>
      </c>
      <c r="N99" s="9" t="str">
        <f>IF(A99="","",IF(L99="",Inputs!$B$14,L99)+M99)</f>
        <v/>
      </c>
    </row>
    <row r="100" spans="1:14" x14ac:dyDescent="0.25">
      <c r="A100" s="3"/>
      <c r="B100" s="3"/>
      <c r="C100" s="3"/>
      <c r="D100" s="8"/>
      <c r="E100" s="8"/>
      <c r="F100" s="9">
        <f>IF(E100&lt;&gt;"",E100,IF(UPPER(TRIM(C100))="BASIN",IF(UPPER(TRIM(Inputs!$B$52))="YES",Inputs!$B$12,0),IF(UPPER(TRIM(C100))="ROOF",Inputs!$B$10,IF(UPPER(TRIM(C100))="PAVAGE",Inputs!$B$58,IF(UPPER(TRIM(C100))="TRESFOND",Inputs!$B$11,IF(UPPER(TRIM(C100))="GRASS",Inputs!$B$12,Inputs!$B$13))))))</f>
        <v>0.6</v>
      </c>
      <c r="G100" s="9" t="str">
        <f t="shared" si="2"/>
        <v/>
      </c>
      <c r="H100" s="9" t="str">
        <f>IF(A100="","",Inputs!$B$3/((IF(G100="",Inputs!$B$14,G100)+Inputs!$B$4)^Inputs!$B$5))</f>
        <v/>
      </c>
      <c r="I100" s="9" t="str">
        <f t="shared" si="3"/>
        <v/>
      </c>
      <c r="J100" s="3"/>
      <c r="K100" s="3"/>
      <c r="L100" s="4"/>
      <c r="M100" s="9" t="str">
        <f>IF(A100="","",IF(OR(J100="",Inputs!$B$59=""),0,IFERROR(INDEX(Elements_hybrides!$F$4:$F$204,MATCH(J100,Elements_hybrides!$A$4:$A$204,0))/(Inputs!$B$59*60),0)))</f>
        <v/>
      </c>
      <c r="N100" s="9" t="str">
        <f>IF(A100="","",IF(L100="",Inputs!$B$14,L100)+M100)</f>
        <v/>
      </c>
    </row>
    <row r="101" spans="1:14" x14ac:dyDescent="0.25">
      <c r="A101" s="3"/>
      <c r="B101" s="3"/>
      <c r="C101" s="3"/>
      <c r="D101" s="8"/>
      <c r="E101" s="8"/>
      <c r="F101" s="9">
        <f>IF(E101&lt;&gt;"",E101,IF(UPPER(TRIM(C101))="BASIN",IF(UPPER(TRIM(Inputs!$B$52))="YES",Inputs!$B$12,0),IF(UPPER(TRIM(C101))="ROOF",Inputs!$B$10,IF(UPPER(TRIM(C101))="PAVAGE",Inputs!$B$58,IF(UPPER(TRIM(C101))="TRESFOND",Inputs!$B$11,IF(UPPER(TRIM(C101))="GRASS",Inputs!$B$12,Inputs!$B$13))))))</f>
        <v>0.6</v>
      </c>
      <c r="G101" s="9" t="str">
        <f t="shared" si="2"/>
        <v/>
      </c>
      <c r="H101" s="9" t="str">
        <f>IF(A101="","",Inputs!$B$3/((IF(G101="",Inputs!$B$14,G101)+Inputs!$B$4)^Inputs!$B$5))</f>
        <v/>
      </c>
      <c r="I101" s="9" t="str">
        <f t="shared" si="3"/>
        <v/>
      </c>
      <c r="J101" s="3"/>
      <c r="K101" s="3"/>
      <c r="L101" s="4"/>
      <c r="M101" s="9" t="str">
        <f>IF(A101="","",IF(OR(J101="",Inputs!$B$59=""),0,IFERROR(INDEX(Elements_hybrides!$F$4:$F$204,MATCH(J101,Elements_hybrides!$A$4:$A$204,0))/(Inputs!$B$59*60),0)))</f>
        <v/>
      </c>
      <c r="N101" s="9" t="str">
        <f>IF(A101="","",IF(L101="",Inputs!$B$14,L101)+M101)</f>
        <v/>
      </c>
    </row>
    <row r="102" spans="1:14" x14ac:dyDescent="0.25">
      <c r="A102" s="3"/>
      <c r="B102" s="3"/>
      <c r="C102" s="3"/>
      <c r="D102" s="8"/>
      <c r="E102" s="8"/>
      <c r="F102" s="9">
        <f>IF(E102&lt;&gt;"",E102,IF(UPPER(TRIM(C102))="BASIN",IF(UPPER(TRIM(Inputs!$B$52))="YES",Inputs!$B$12,0),IF(UPPER(TRIM(C102))="ROOF",Inputs!$B$10,IF(UPPER(TRIM(C102))="PAVAGE",Inputs!$B$58,IF(UPPER(TRIM(C102))="TRESFOND",Inputs!$B$11,IF(UPPER(TRIM(C102))="GRASS",Inputs!$B$12,Inputs!$B$13))))))</f>
        <v>0.6</v>
      </c>
      <c r="G102" s="9" t="str">
        <f t="shared" si="2"/>
        <v/>
      </c>
      <c r="H102" s="9" t="str">
        <f>IF(A102="","",Inputs!$B$3/((IF(G102="",Inputs!$B$14,G102)+Inputs!$B$4)^Inputs!$B$5))</f>
        <v/>
      </c>
      <c r="I102" s="9" t="str">
        <f t="shared" si="3"/>
        <v/>
      </c>
      <c r="J102" s="3"/>
      <c r="K102" s="3"/>
      <c r="L102" s="4"/>
      <c r="M102" s="9" t="str">
        <f>IF(A102="","",IF(OR(J102="",Inputs!$B$59=""),0,IFERROR(INDEX(Elements_hybrides!$F$4:$F$204,MATCH(J102,Elements_hybrides!$A$4:$A$204,0))/(Inputs!$B$59*60),0)))</f>
        <v/>
      </c>
      <c r="N102" s="9" t="str">
        <f>IF(A102="","",IF(L102="",Inputs!$B$14,L102)+M102)</f>
        <v/>
      </c>
    </row>
    <row r="103" spans="1:14" x14ac:dyDescent="0.25">
      <c r="A103" s="3"/>
      <c r="B103" s="3"/>
      <c r="C103" s="3"/>
      <c r="D103" s="8"/>
      <c r="E103" s="8"/>
      <c r="F103" s="9">
        <f>IF(E103&lt;&gt;"",E103,IF(UPPER(TRIM(C103))="BASIN",IF(UPPER(TRIM(Inputs!$B$52))="YES",Inputs!$B$12,0),IF(UPPER(TRIM(C103))="ROOF",Inputs!$B$10,IF(UPPER(TRIM(C103))="PAVAGE",Inputs!$B$58,IF(UPPER(TRIM(C103))="TRESFOND",Inputs!$B$11,IF(UPPER(TRIM(C103))="GRASS",Inputs!$B$12,Inputs!$B$13))))))</f>
        <v>0.6</v>
      </c>
      <c r="G103" s="9" t="str">
        <f t="shared" si="2"/>
        <v/>
      </c>
      <c r="H103" s="9" t="str">
        <f>IF(A103="","",Inputs!$B$3/((IF(G103="",Inputs!$B$14,G103)+Inputs!$B$4)^Inputs!$B$5))</f>
        <v/>
      </c>
      <c r="I103" s="9" t="str">
        <f t="shared" si="3"/>
        <v/>
      </c>
      <c r="J103" s="3"/>
      <c r="K103" s="3"/>
      <c r="L103" s="4"/>
      <c r="M103" s="9" t="str">
        <f>IF(A103="","",IF(OR(J103="",Inputs!$B$59=""),0,IFERROR(INDEX(Elements_hybrides!$F$4:$F$204,MATCH(J103,Elements_hybrides!$A$4:$A$204,0))/(Inputs!$B$59*60),0)))</f>
        <v/>
      </c>
      <c r="N103" s="9" t="str">
        <f>IF(A103="","",IF(L103="",Inputs!$B$14,L103)+M103)</f>
        <v/>
      </c>
    </row>
    <row r="104" spans="1:14" x14ac:dyDescent="0.25">
      <c r="A104" s="3"/>
      <c r="B104" s="3"/>
      <c r="C104" s="3"/>
      <c r="D104" s="8"/>
      <c r="E104" s="8"/>
      <c r="F104" s="9">
        <f>IF(E104&lt;&gt;"",E104,IF(UPPER(TRIM(C104))="BASIN",IF(UPPER(TRIM(Inputs!$B$52))="YES",Inputs!$B$12,0),IF(UPPER(TRIM(C104))="ROOF",Inputs!$B$10,IF(UPPER(TRIM(C104))="PAVAGE",Inputs!$B$58,IF(UPPER(TRIM(C104))="TRESFOND",Inputs!$B$11,IF(UPPER(TRIM(C104))="GRASS",Inputs!$B$12,Inputs!$B$13))))))</f>
        <v>0.6</v>
      </c>
      <c r="G104" s="9" t="str">
        <f t="shared" si="2"/>
        <v/>
      </c>
      <c r="H104" s="9" t="str">
        <f>IF(A104="","",Inputs!$B$3/((IF(G104="",Inputs!$B$14,G104)+Inputs!$B$4)^Inputs!$B$5))</f>
        <v/>
      </c>
      <c r="I104" s="9" t="str">
        <f t="shared" si="3"/>
        <v/>
      </c>
      <c r="J104" s="3"/>
      <c r="K104" s="3"/>
      <c r="L104" s="4"/>
      <c r="M104" s="9" t="str">
        <f>IF(A104="","",IF(OR(J104="",Inputs!$B$59=""),0,IFERROR(INDEX(Elements_hybrides!$F$4:$F$204,MATCH(J104,Elements_hybrides!$A$4:$A$204,0))/(Inputs!$B$59*60),0)))</f>
        <v/>
      </c>
      <c r="N104" s="9" t="str">
        <f>IF(A104="","",IF(L104="",Inputs!$B$14,L104)+M104)</f>
        <v/>
      </c>
    </row>
    <row r="105" spans="1:14" x14ac:dyDescent="0.25">
      <c r="A105" s="3"/>
      <c r="B105" s="3"/>
      <c r="C105" s="3"/>
      <c r="D105" s="8"/>
      <c r="E105" s="8"/>
      <c r="F105" s="9">
        <f>IF(E105&lt;&gt;"",E105,IF(UPPER(TRIM(C105))="BASIN",IF(UPPER(TRIM(Inputs!$B$52))="YES",Inputs!$B$12,0),IF(UPPER(TRIM(C105))="ROOF",Inputs!$B$10,IF(UPPER(TRIM(C105))="PAVAGE",Inputs!$B$58,IF(UPPER(TRIM(C105))="TRESFOND",Inputs!$B$11,IF(UPPER(TRIM(C105))="GRASS",Inputs!$B$12,Inputs!$B$13))))))</f>
        <v>0.6</v>
      </c>
      <c r="G105" s="9" t="str">
        <f t="shared" si="2"/>
        <v/>
      </c>
      <c r="H105" s="9" t="str">
        <f>IF(A105="","",Inputs!$B$3/((IF(G105="",Inputs!$B$14,G105)+Inputs!$B$4)^Inputs!$B$5))</f>
        <v/>
      </c>
      <c r="I105" s="9" t="str">
        <f t="shared" si="3"/>
        <v/>
      </c>
      <c r="J105" s="3"/>
      <c r="K105" s="3"/>
      <c r="L105" s="4"/>
      <c r="M105" s="9" t="str">
        <f>IF(A105="","",IF(OR(J105="",Inputs!$B$59=""),0,IFERROR(INDEX(Elements_hybrides!$F$4:$F$204,MATCH(J105,Elements_hybrides!$A$4:$A$204,0))/(Inputs!$B$59*60),0)))</f>
        <v/>
      </c>
      <c r="N105" s="9" t="str">
        <f>IF(A105="","",IF(L105="",Inputs!$B$14,L105)+M105)</f>
        <v/>
      </c>
    </row>
    <row r="106" spans="1:14" x14ac:dyDescent="0.25">
      <c r="A106" s="3"/>
      <c r="B106" s="3"/>
      <c r="C106" s="3"/>
      <c r="D106" s="8"/>
      <c r="E106" s="8"/>
      <c r="F106" s="9">
        <f>IF(E106&lt;&gt;"",E106,IF(UPPER(TRIM(C106))="BASIN",IF(UPPER(TRIM(Inputs!$B$52))="YES",Inputs!$B$12,0),IF(UPPER(TRIM(C106))="ROOF",Inputs!$B$10,IF(UPPER(TRIM(C106))="PAVAGE",Inputs!$B$58,IF(UPPER(TRIM(C106))="TRESFOND",Inputs!$B$11,IF(UPPER(TRIM(C106))="GRASS",Inputs!$B$12,Inputs!$B$13))))))</f>
        <v>0.6</v>
      </c>
      <c r="G106" s="9" t="str">
        <f t="shared" si="2"/>
        <v/>
      </c>
      <c r="H106" s="9" t="str">
        <f>IF(A106="","",Inputs!$B$3/((IF(G106="",Inputs!$B$14,G106)+Inputs!$B$4)^Inputs!$B$5))</f>
        <v/>
      </c>
      <c r="I106" s="9" t="str">
        <f t="shared" si="3"/>
        <v/>
      </c>
      <c r="J106" s="3"/>
      <c r="K106" s="3"/>
      <c r="L106" s="4"/>
      <c r="M106" s="9" t="str">
        <f>IF(A106="","",IF(OR(J106="",Inputs!$B$59=""),0,IFERROR(INDEX(Elements_hybrides!$F$4:$F$204,MATCH(J106,Elements_hybrides!$A$4:$A$204,0))/(Inputs!$B$59*60),0)))</f>
        <v/>
      </c>
      <c r="N106" s="9" t="str">
        <f>IF(A106="","",IF(L106="",Inputs!$B$14,L106)+M106)</f>
        <v/>
      </c>
    </row>
    <row r="107" spans="1:14" x14ac:dyDescent="0.25">
      <c r="A107" s="3"/>
      <c r="B107" s="3"/>
      <c r="C107" s="3"/>
      <c r="D107" s="8"/>
      <c r="E107" s="8"/>
      <c r="F107" s="9">
        <f>IF(E107&lt;&gt;"",E107,IF(UPPER(TRIM(C107))="BASIN",IF(UPPER(TRIM(Inputs!$B$52))="YES",Inputs!$B$12,0),IF(UPPER(TRIM(C107))="ROOF",Inputs!$B$10,IF(UPPER(TRIM(C107))="PAVAGE",Inputs!$B$58,IF(UPPER(TRIM(C107))="TRESFOND",Inputs!$B$11,IF(UPPER(TRIM(C107))="GRASS",Inputs!$B$12,Inputs!$B$13))))))</f>
        <v>0.6</v>
      </c>
      <c r="G107" s="9" t="str">
        <f t="shared" si="2"/>
        <v/>
      </c>
      <c r="H107" s="9" t="str">
        <f>IF(A107="","",Inputs!$B$3/((IF(G107="",Inputs!$B$14,G107)+Inputs!$B$4)^Inputs!$B$5))</f>
        <v/>
      </c>
      <c r="I107" s="9" t="str">
        <f t="shared" si="3"/>
        <v/>
      </c>
      <c r="J107" s="3"/>
      <c r="K107" s="3"/>
      <c r="L107" s="4"/>
      <c r="M107" s="9" t="str">
        <f>IF(A107="","",IF(OR(J107="",Inputs!$B$59=""),0,IFERROR(INDEX(Elements_hybrides!$F$4:$F$204,MATCH(J107,Elements_hybrides!$A$4:$A$204,0))/(Inputs!$B$59*60),0)))</f>
        <v/>
      </c>
      <c r="N107" s="9" t="str">
        <f>IF(A107="","",IF(L107="",Inputs!$B$14,L107)+M107)</f>
        <v/>
      </c>
    </row>
    <row r="108" spans="1:14" x14ac:dyDescent="0.25">
      <c r="A108" s="3"/>
      <c r="B108" s="3"/>
      <c r="C108" s="3"/>
      <c r="D108" s="8"/>
      <c r="E108" s="8"/>
      <c r="F108" s="9">
        <f>IF(E108&lt;&gt;"",E108,IF(UPPER(TRIM(C108))="BASIN",IF(UPPER(TRIM(Inputs!$B$52))="YES",Inputs!$B$12,0),IF(UPPER(TRIM(C108))="ROOF",Inputs!$B$10,IF(UPPER(TRIM(C108))="PAVAGE",Inputs!$B$58,IF(UPPER(TRIM(C108))="TRESFOND",Inputs!$B$11,IF(UPPER(TRIM(C108))="GRASS",Inputs!$B$12,Inputs!$B$13))))))</f>
        <v>0.6</v>
      </c>
      <c r="G108" s="9" t="str">
        <f t="shared" si="2"/>
        <v/>
      </c>
      <c r="H108" s="9" t="str">
        <f>IF(A108="","",Inputs!$B$3/((IF(G108="",Inputs!$B$14,G108)+Inputs!$B$4)^Inputs!$B$5))</f>
        <v/>
      </c>
      <c r="I108" s="9" t="str">
        <f t="shared" si="3"/>
        <v/>
      </c>
      <c r="J108" s="3"/>
      <c r="K108" s="3"/>
      <c r="L108" s="4"/>
      <c r="M108" s="9" t="str">
        <f>IF(A108="","",IF(OR(J108="",Inputs!$B$59=""),0,IFERROR(INDEX(Elements_hybrides!$F$4:$F$204,MATCH(J108,Elements_hybrides!$A$4:$A$204,0))/(Inputs!$B$59*60),0)))</f>
        <v/>
      </c>
      <c r="N108" s="9" t="str">
        <f>IF(A108="","",IF(L108="",Inputs!$B$14,L108)+M108)</f>
        <v/>
      </c>
    </row>
    <row r="109" spans="1:14" x14ac:dyDescent="0.25">
      <c r="A109" s="3"/>
      <c r="B109" s="3"/>
      <c r="C109" s="3"/>
      <c r="D109" s="8"/>
      <c r="E109" s="8"/>
      <c r="F109" s="9">
        <f>IF(E109&lt;&gt;"",E109,IF(UPPER(TRIM(C109))="BASIN",IF(UPPER(TRIM(Inputs!$B$52))="YES",Inputs!$B$12,0),IF(UPPER(TRIM(C109))="ROOF",Inputs!$B$10,IF(UPPER(TRIM(C109))="PAVAGE",Inputs!$B$58,IF(UPPER(TRIM(C109))="TRESFOND",Inputs!$B$11,IF(UPPER(TRIM(C109))="GRASS",Inputs!$B$12,Inputs!$B$13))))))</f>
        <v>0.6</v>
      </c>
      <c r="G109" s="9" t="str">
        <f t="shared" si="2"/>
        <v/>
      </c>
      <c r="H109" s="9" t="str">
        <f>IF(A109="","",Inputs!$B$3/((IF(G109="",Inputs!$B$14,G109)+Inputs!$B$4)^Inputs!$B$5))</f>
        <v/>
      </c>
      <c r="I109" s="9" t="str">
        <f t="shared" si="3"/>
        <v/>
      </c>
      <c r="J109" s="3"/>
      <c r="K109" s="3"/>
      <c r="L109" s="4"/>
      <c r="M109" s="9" t="str">
        <f>IF(A109="","",IF(OR(J109="",Inputs!$B$59=""),0,IFERROR(INDEX(Elements_hybrides!$F$4:$F$204,MATCH(J109,Elements_hybrides!$A$4:$A$204,0))/(Inputs!$B$59*60),0)))</f>
        <v/>
      </c>
      <c r="N109" s="9" t="str">
        <f>IF(A109="","",IF(L109="",Inputs!$B$14,L109)+M109)</f>
        <v/>
      </c>
    </row>
    <row r="110" spans="1:14" x14ac:dyDescent="0.25">
      <c r="A110" s="3"/>
      <c r="B110" s="3"/>
      <c r="C110" s="3"/>
      <c r="D110" s="8"/>
      <c r="E110" s="8"/>
      <c r="F110" s="9">
        <f>IF(E110&lt;&gt;"",E110,IF(UPPER(TRIM(C110))="BASIN",IF(UPPER(TRIM(Inputs!$B$52))="YES",Inputs!$B$12,0),IF(UPPER(TRIM(C110))="ROOF",Inputs!$B$10,IF(UPPER(TRIM(C110))="PAVAGE",Inputs!$B$58,IF(UPPER(TRIM(C110))="TRESFOND",Inputs!$B$11,IF(UPPER(TRIM(C110))="GRASS",Inputs!$B$12,Inputs!$B$13))))))</f>
        <v>0.6</v>
      </c>
      <c r="G110" s="9" t="str">
        <f t="shared" si="2"/>
        <v/>
      </c>
      <c r="H110" s="9" t="str">
        <f>IF(A110="","",Inputs!$B$3/((IF(G110="",Inputs!$B$14,G110)+Inputs!$B$4)^Inputs!$B$5))</f>
        <v/>
      </c>
      <c r="I110" s="9" t="str">
        <f t="shared" si="3"/>
        <v/>
      </c>
      <c r="J110" s="3"/>
      <c r="K110" s="3"/>
      <c r="L110" s="4"/>
      <c r="M110" s="9" t="str">
        <f>IF(A110="","",IF(OR(J110="",Inputs!$B$59=""),0,IFERROR(INDEX(Elements_hybrides!$F$4:$F$204,MATCH(J110,Elements_hybrides!$A$4:$A$204,0))/(Inputs!$B$59*60),0)))</f>
        <v/>
      </c>
      <c r="N110" s="9" t="str">
        <f>IF(A110="","",IF(L110="",Inputs!$B$14,L110)+M110)</f>
        <v/>
      </c>
    </row>
    <row r="111" spans="1:14" x14ac:dyDescent="0.25">
      <c r="A111" s="3"/>
      <c r="B111" s="3"/>
      <c r="C111" s="3"/>
      <c r="D111" s="8"/>
      <c r="E111" s="8"/>
      <c r="F111" s="9">
        <f>IF(E111&lt;&gt;"",E111,IF(UPPER(TRIM(C111))="BASIN",IF(UPPER(TRIM(Inputs!$B$52))="YES",Inputs!$B$12,0),IF(UPPER(TRIM(C111))="ROOF",Inputs!$B$10,IF(UPPER(TRIM(C111))="PAVAGE",Inputs!$B$58,IF(UPPER(TRIM(C111))="TRESFOND",Inputs!$B$11,IF(UPPER(TRIM(C111))="GRASS",Inputs!$B$12,Inputs!$B$13))))))</f>
        <v>0.6</v>
      </c>
      <c r="G111" s="9" t="str">
        <f t="shared" si="2"/>
        <v/>
      </c>
      <c r="H111" s="9" t="str">
        <f>IF(A111="","",Inputs!$B$3/((IF(G111="",Inputs!$B$14,G111)+Inputs!$B$4)^Inputs!$B$5))</f>
        <v/>
      </c>
      <c r="I111" s="9" t="str">
        <f t="shared" si="3"/>
        <v/>
      </c>
      <c r="J111" s="3"/>
      <c r="K111" s="3"/>
      <c r="L111" s="4"/>
      <c r="M111" s="9" t="str">
        <f>IF(A111="","",IF(OR(J111="",Inputs!$B$59=""),0,IFERROR(INDEX(Elements_hybrides!$F$4:$F$204,MATCH(J111,Elements_hybrides!$A$4:$A$204,0))/(Inputs!$B$59*60),0)))</f>
        <v/>
      </c>
      <c r="N111" s="9" t="str">
        <f>IF(A111="","",IF(L111="",Inputs!$B$14,L111)+M111)</f>
        <v/>
      </c>
    </row>
    <row r="112" spans="1:14" x14ac:dyDescent="0.25">
      <c r="A112" s="3"/>
      <c r="B112" s="3"/>
      <c r="C112" s="3"/>
      <c r="D112" s="8"/>
      <c r="E112" s="8"/>
      <c r="F112" s="9">
        <f>IF(E112&lt;&gt;"",E112,IF(UPPER(TRIM(C112))="BASIN",IF(UPPER(TRIM(Inputs!$B$52))="YES",Inputs!$B$12,0),IF(UPPER(TRIM(C112))="ROOF",Inputs!$B$10,IF(UPPER(TRIM(C112))="PAVAGE",Inputs!$B$58,IF(UPPER(TRIM(C112))="TRESFOND",Inputs!$B$11,IF(UPPER(TRIM(C112))="GRASS",Inputs!$B$12,Inputs!$B$13))))))</f>
        <v>0.6</v>
      </c>
      <c r="G112" s="9" t="str">
        <f t="shared" si="2"/>
        <v/>
      </c>
      <c r="H112" s="9" t="str">
        <f>IF(A112="","",Inputs!$B$3/((IF(G112="",Inputs!$B$14,G112)+Inputs!$B$4)^Inputs!$B$5))</f>
        <v/>
      </c>
      <c r="I112" s="9" t="str">
        <f t="shared" si="3"/>
        <v/>
      </c>
      <c r="J112" s="3"/>
      <c r="K112" s="3"/>
      <c r="L112" s="4"/>
      <c r="M112" s="9" t="str">
        <f>IF(A112="","",IF(OR(J112="",Inputs!$B$59=""),0,IFERROR(INDEX(Elements_hybrides!$F$4:$F$204,MATCH(J112,Elements_hybrides!$A$4:$A$204,0))/(Inputs!$B$59*60),0)))</f>
        <v/>
      </c>
      <c r="N112" s="9" t="str">
        <f>IF(A112="","",IF(L112="",Inputs!$B$14,L112)+M112)</f>
        <v/>
      </c>
    </row>
    <row r="113" spans="1:14" x14ac:dyDescent="0.25">
      <c r="A113" s="3"/>
      <c r="B113" s="3"/>
      <c r="C113" s="3"/>
      <c r="D113" s="8"/>
      <c r="E113" s="8"/>
      <c r="F113" s="9">
        <f>IF(E113&lt;&gt;"",E113,IF(UPPER(TRIM(C113))="BASIN",IF(UPPER(TRIM(Inputs!$B$52))="YES",Inputs!$B$12,0),IF(UPPER(TRIM(C113))="ROOF",Inputs!$B$10,IF(UPPER(TRIM(C113))="PAVAGE",Inputs!$B$58,IF(UPPER(TRIM(C113))="TRESFOND",Inputs!$B$11,IF(UPPER(TRIM(C113))="GRASS",Inputs!$B$12,Inputs!$B$13))))))</f>
        <v>0.6</v>
      </c>
      <c r="G113" s="9" t="str">
        <f t="shared" si="2"/>
        <v/>
      </c>
      <c r="H113" s="9" t="str">
        <f>IF(A113="","",Inputs!$B$3/((IF(G113="",Inputs!$B$14,G113)+Inputs!$B$4)^Inputs!$B$5))</f>
        <v/>
      </c>
      <c r="I113" s="9" t="str">
        <f t="shared" si="3"/>
        <v/>
      </c>
      <c r="J113" s="3"/>
      <c r="K113" s="3"/>
      <c r="L113" s="4"/>
      <c r="M113" s="9" t="str">
        <f>IF(A113="","",IF(OR(J113="",Inputs!$B$59=""),0,IFERROR(INDEX(Elements_hybrides!$F$4:$F$204,MATCH(J113,Elements_hybrides!$A$4:$A$204,0))/(Inputs!$B$59*60),0)))</f>
        <v/>
      </c>
      <c r="N113" s="9" t="str">
        <f>IF(A113="","",IF(L113="",Inputs!$B$14,L113)+M113)</f>
        <v/>
      </c>
    </row>
    <row r="114" spans="1:14" x14ac:dyDescent="0.25">
      <c r="A114" s="3"/>
      <c r="B114" s="3"/>
      <c r="C114" s="3"/>
      <c r="D114" s="8"/>
      <c r="E114" s="8"/>
      <c r="F114" s="9">
        <f>IF(E114&lt;&gt;"",E114,IF(UPPER(TRIM(C114))="BASIN",IF(UPPER(TRIM(Inputs!$B$52))="YES",Inputs!$B$12,0),IF(UPPER(TRIM(C114))="ROOF",Inputs!$B$10,IF(UPPER(TRIM(C114))="PAVAGE",Inputs!$B$58,IF(UPPER(TRIM(C114))="TRESFOND",Inputs!$B$11,IF(UPPER(TRIM(C114))="GRASS",Inputs!$B$12,Inputs!$B$13))))))</f>
        <v>0.6</v>
      </c>
      <c r="G114" s="9" t="str">
        <f t="shared" si="2"/>
        <v/>
      </c>
      <c r="H114" s="9" t="str">
        <f>IF(A114="","",Inputs!$B$3/((IF(G114="",Inputs!$B$14,G114)+Inputs!$B$4)^Inputs!$B$5))</f>
        <v/>
      </c>
      <c r="I114" s="9" t="str">
        <f t="shared" si="3"/>
        <v/>
      </c>
      <c r="J114" s="3"/>
      <c r="K114" s="3"/>
      <c r="L114" s="4"/>
      <c r="M114" s="9" t="str">
        <f>IF(A114="","",IF(OR(J114="",Inputs!$B$59=""),0,IFERROR(INDEX(Elements_hybrides!$F$4:$F$204,MATCH(J114,Elements_hybrides!$A$4:$A$204,0))/(Inputs!$B$59*60),0)))</f>
        <v/>
      </c>
      <c r="N114" s="9" t="str">
        <f>IF(A114="","",IF(L114="",Inputs!$B$14,L114)+M114)</f>
        <v/>
      </c>
    </row>
    <row r="115" spans="1:14" x14ac:dyDescent="0.25">
      <c r="A115" s="3"/>
      <c r="B115" s="3"/>
      <c r="C115" s="3"/>
      <c r="D115" s="8"/>
      <c r="E115" s="8"/>
      <c r="F115" s="9">
        <f>IF(E115&lt;&gt;"",E115,IF(UPPER(TRIM(C115))="BASIN",IF(UPPER(TRIM(Inputs!$B$52))="YES",Inputs!$B$12,0),IF(UPPER(TRIM(C115))="ROOF",Inputs!$B$10,IF(UPPER(TRIM(C115))="PAVAGE",Inputs!$B$58,IF(UPPER(TRIM(C115))="TRESFOND",Inputs!$B$11,IF(UPPER(TRIM(C115))="GRASS",Inputs!$B$12,Inputs!$B$13))))))</f>
        <v>0.6</v>
      </c>
      <c r="G115" s="9" t="str">
        <f t="shared" si="2"/>
        <v/>
      </c>
      <c r="H115" s="9" t="str">
        <f>IF(A115="","",Inputs!$B$3/((IF(G115="",Inputs!$B$14,G115)+Inputs!$B$4)^Inputs!$B$5))</f>
        <v/>
      </c>
      <c r="I115" s="9" t="str">
        <f t="shared" si="3"/>
        <v/>
      </c>
      <c r="J115" s="3"/>
      <c r="K115" s="3"/>
      <c r="L115" s="4"/>
      <c r="M115" s="9" t="str">
        <f>IF(A115="","",IF(OR(J115="",Inputs!$B$59=""),0,IFERROR(INDEX(Elements_hybrides!$F$4:$F$204,MATCH(J115,Elements_hybrides!$A$4:$A$204,0))/(Inputs!$B$59*60),0)))</f>
        <v/>
      </c>
      <c r="N115" s="9" t="str">
        <f>IF(A115="","",IF(L115="",Inputs!$B$14,L115)+M115)</f>
        <v/>
      </c>
    </row>
    <row r="116" spans="1:14" x14ac:dyDescent="0.25">
      <c r="A116" s="3"/>
      <c r="B116" s="3"/>
      <c r="C116" s="3"/>
      <c r="D116" s="8"/>
      <c r="E116" s="8"/>
      <c r="F116" s="9">
        <f>IF(E116&lt;&gt;"",E116,IF(UPPER(TRIM(C116))="BASIN",IF(UPPER(TRIM(Inputs!$B$52))="YES",Inputs!$B$12,0),IF(UPPER(TRIM(C116))="ROOF",Inputs!$B$10,IF(UPPER(TRIM(C116))="PAVAGE",Inputs!$B$58,IF(UPPER(TRIM(C116))="TRESFOND",Inputs!$B$11,IF(UPPER(TRIM(C116))="GRASS",Inputs!$B$12,Inputs!$B$13))))))</f>
        <v>0.6</v>
      </c>
      <c r="G116" s="9" t="str">
        <f t="shared" si="2"/>
        <v/>
      </c>
      <c r="H116" s="9" t="str">
        <f>IF(A116="","",Inputs!$B$3/((IF(G116="",Inputs!$B$14,G116)+Inputs!$B$4)^Inputs!$B$5))</f>
        <v/>
      </c>
      <c r="I116" s="9" t="str">
        <f t="shared" si="3"/>
        <v/>
      </c>
      <c r="J116" s="3"/>
      <c r="K116" s="3"/>
      <c r="L116" s="4"/>
      <c r="M116" s="9" t="str">
        <f>IF(A116="","",IF(OR(J116="",Inputs!$B$59=""),0,IFERROR(INDEX(Elements_hybrides!$F$4:$F$204,MATCH(J116,Elements_hybrides!$A$4:$A$204,0))/(Inputs!$B$59*60),0)))</f>
        <v/>
      </c>
      <c r="N116" s="9" t="str">
        <f>IF(A116="","",IF(L116="",Inputs!$B$14,L116)+M116)</f>
        <v/>
      </c>
    </row>
    <row r="117" spans="1:14" x14ac:dyDescent="0.25">
      <c r="A117" s="3"/>
      <c r="B117" s="3"/>
      <c r="C117" s="3"/>
      <c r="D117" s="8"/>
      <c r="E117" s="8"/>
      <c r="F117" s="9">
        <f>IF(E117&lt;&gt;"",E117,IF(UPPER(TRIM(C117))="BASIN",IF(UPPER(TRIM(Inputs!$B$52))="YES",Inputs!$B$12,0),IF(UPPER(TRIM(C117))="ROOF",Inputs!$B$10,IF(UPPER(TRIM(C117))="PAVAGE",Inputs!$B$58,IF(UPPER(TRIM(C117))="TRESFOND",Inputs!$B$11,IF(UPPER(TRIM(C117))="GRASS",Inputs!$B$12,Inputs!$B$13))))))</f>
        <v>0.6</v>
      </c>
      <c r="G117" s="9" t="str">
        <f t="shared" si="2"/>
        <v/>
      </c>
      <c r="H117" s="9" t="str">
        <f>IF(A117="","",Inputs!$B$3/((IF(G117="",Inputs!$B$14,G117)+Inputs!$B$4)^Inputs!$B$5))</f>
        <v/>
      </c>
      <c r="I117" s="9" t="str">
        <f t="shared" si="3"/>
        <v/>
      </c>
      <c r="J117" s="3"/>
      <c r="K117" s="3"/>
      <c r="L117" s="4"/>
      <c r="M117" s="9" t="str">
        <f>IF(A117="","",IF(OR(J117="",Inputs!$B$59=""),0,IFERROR(INDEX(Elements_hybrides!$F$4:$F$204,MATCH(J117,Elements_hybrides!$A$4:$A$204,0))/(Inputs!$B$59*60),0)))</f>
        <v/>
      </c>
      <c r="N117" s="9" t="str">
        <f>IF(A117="","",IF(L117="",Inputs!$B$14,L117)+M117)</f>
        <v/>
      </c>
    </row>
    <row r="118" spans="1:14" x14ac:dyDescent="0.25">
      <c r="A118" s="3"/>
      <c r="B118" s="3"/>
      <c r="C118" s="3"/>
      <c r="D118" s="8"/>
      <c r="E118" s="8"/>
      <c r="F118" s="9">
        <f>IF(E118&lt;&gt;"",E118,IF(UPPER(TRIM(C118))="BASIN",IF(UPPER(TRIM(Inputs!$B$52))="YES",Inputs!$B$12,0),IF(UPPER(TRIM(C118))="ROOF",Inputs!$B$10,IF(UPPER(TRIM(C118))="PAVAGE",Inputs!$B$58,IF(UPPER(TRIM(C118))="TRESFOND",Inputs!$B$11,IF(UPPER(TRIM(C118))="GRASS",Inputs!$B$12,Inputs!$B$13))))))</f>
        <v>0.6</v>
      </c>
      <c r="G118" s="9" t="str">
        <f t="shared" si="2"/>
        <v/>
      </c>
      <c r="H118" s="9" t="str">
        <f>IF(A118="","",Inputs!$B$3/((IF(G118="",Inputs!$B$14,G118)+Inputs!$B$4)^Inputs!$B$5))</f>
        <v/>
      </c>
      <c r="I118" s="9" t="str">
        <f t="shared" si="3"/>
        <v/>
      </c>
      <c r="J118" s="3"/>
      <c r="K118" s="3"/>
      <c r="L118" s="4"/>
      <c r="M118" s="9" t="str">
        <f>IF(A118="","",IF(OR(J118="",Inputs!$B$59=""),0,IFERROR(INDEX(Elements_hybrides!$F$4:$F$204,MATCH(J118,Elements_hybrides!$A$4:$A$204,0))/(Inputs!$B$59*60),0)))</f>
        <v/>
      </c>
      <c r="N118" s="9" t="str">
        <f>IF(A118="","",IF(L118="",Inputs!$B$14,L118)+M118)</f>
        <v/>
      </c>
    </row>
    <row r="119" spans="1:14" x14ac:dyDescent="0.25">
      <c r="A119" s="3"/>
      <c r="B119" s="3"/>
      <c r="C119" s="3"/>
      <c r="D119" s="8"/>
      <c r="E119" s="8"/>
      <c r="F119" s="9">
        <f>IF(E119&lt;&gt;"",E119,IF(UPPER(TRIM(C119))="BASIN",IF(UPPER(TRIM(Inputs!$B$52))="YES",Inputs!$B$12,0),IF(UPPER(TRIM(C119))="ROOF",Inputs!$B$10,IF(UPPER(TRIM(C119))="PAVAGE",Inputs!$B$58,IF(UPPER(TRIM(C119))="TRESFOND",Inputs!$B$11,IF(UPPER(TRIM(C119))="GRASS",Inputs!$B$12,Inputs!$B$13))))))</f>
        <v>0.6</v>
      </c>
      <c r="G119" s="9" t="str">
        <f t="shared" si="2"/>
        <v/>
      </c>
      <c r="H119" s="9" t="str">
        <f>IF(A119="","",Inputs!$B$3/((IF(G119="",Inputs!$B$14,G119)+Inputs!$B$4)^Inputs!$B$5))</f>
        <v/>
      </c>
      <c r="I119" s="9" t="str">
        <f t="shared" si="3"/>
        <v/>
      </c>
      <c r="J119" s="3"/>
      <c r="K119" s="3"/>
      <c r="L119" s="4"/>
      <c r="M119" s="9" t="str">
        <f>IF(A119="","",IF(OR(J119="",Inputs!$B$59=""),0,IFERROR(INDEX(Elements_hybrides!$F$4:$F$204,MATCH(J119,Elements_hybrides!$A$4:$A$204,0))/(Inputs!$B$59*60),0)))</f>
        <v/>
      </c>
      <c r="N119" s="9" t="str">
        <f>IF(A119="","",IF(L119="",Inputs!$B$14,L119)+M119)</f>
        <v/>
      </c>
    </row>
    <row r="120" spans="1:14" x14ac:dyDescent="0.25">
      <c r="A120" s="3"/>
      <c r="B120" s="3"/>
      <c r="C120" s="3"/>
      <c r="D120" s="8"/>
      <c r="E120" s="8"/>
      <c r="F120" s="9">
        <f>IF(E120&lt;&gt;"",E120,IF(UPPER(TRIM(C120))="BASIN",IF(UPPER(TRIM(Inputs!$B$52))="YES",Inputs!$B$12,0),IF(UPPER(TRIM(C120))="ROOF",Inputs!$B$10,IF(UPPER(TRIM(C120))="PAVAGE",Inputs!$B$58,IF(UPPER(TRIM(C120))="TRESFOND",Inputs!$B$11,IF(UPPER(TRIM(C120))="GRASS",Inputs!$B$12,Inputs!$B$13))))))</f>
        <v>0.6</v>
      </c>
      <c r="G120" s="9" t="str">
        <f t="shared" si="2"/>
        <v/>
      </c>
      <c r="H120" s="9" t="str">
        <f>IF(A120="","",Inputs!$B$3/((IF(G120="",Inputs!$B$14,G120)+Inputs!$B$4)^Inputs!$B$5))</f>
        <v/>
      </c>
      <c r="I120" s="9" t="str">
        <f t="shared" si="3"/>
        <v/>
      </c>
      <c r="J120" s="3"/>
      <c r="K120" s="3"/>
      <c r="L120" s="4"/>
      <c r="M120" s="9" t="str">
        <f>IF(A120="","",IF(OR(J120="",Inputs!$B$59=""),0,IFERROR(INDEX(Elements_hybrides!$F$4:$F$204,MATCH(J120,Elements_hybrides!$A$4:$A$204,0))/(Inputs!$B$59*60),0)))</f>
        <v/>
      </c>
      <c r="N120" s="9" t="str">
        <f>IF(A120="","",IF(L120="",Inputs!$B$14,L120)+M120)</f>
        <v/>
      </c>
    </row>
    <row r="121" spans="1:14" x14ac:dyDescent="0.25">
      <c r="A121" s="3"/>
      <c r="B121" s="3"/>
      <c r="C121" s="3"/>
      <c r="D121" s="8"/>
      <c r="E121" s="8"/>
      <c r="F121" s="9">
        <f>IF(E121&lt;&gt;"",E121,IF(UPPER(TRIM(C121))="BASIN",IF(UPPER(TRIM(Inputs!$B$52))="YES",Inputs!$B$12,0),IF(UPPER(TRIM(C121))="ROOF",Inputs!$B$10,IF(UPPER(TRIM(C121))="PAVAGE",Inputs!$B$58,IF(UPPER(TRIM(C121))="TRESFOND",Inputs!$B$11,IF(UPPER(TRIM(C121))="GRASS",Inputs!$B$12,Inputs!$B$13))))))</f>
        <v>0.6</v>
      </c>
      <c r="G121" s="9" t="str">
        <f t="shared" si="2"/>
        <v/>
      </c>
      <c r="H121" s="9" t="str">
        <f>IF(A121="","",Inputs!$B$3/((IF(G121="",Inputs!$B$14,G121)+Inputs!$B$4)^Inputs!$B$5))</f>
        <v/>
      </c>
      <c r="I121" s="9" t="str">
        <f t="shared" si="3"/>
        <v/>
      </c>
      <c r="J121" s="3"/>
      <c r="K121" s="3"/>
      <c r="L121" s="4"/>
      <c r="M121" s="9" t="str">
        <f>IF(A121="","",IF(OR(J121="",Inputs!$B$59=""),0,IFERROR(INDEX(Elements_hybrides!$F$4:$F$204,MATCH(J121,Elements_hybrides!$A$4:$A$204,0))/(Inputs!$B$59*60),0)))</f>
        <v/>
      </c>
      <c r="N121" s="9" t="str">
        <f>IF(A121="","",IF(L121="",Inputs!$B$14,L121)+M121)</f>
        <v/>
      </c>
    </row>
    <row r="122" spans="1:14" x14ac:dyDescent="0.25">
      <c r="A122" s="3"/>
      <c r="B122" s="3"/>
      <c r="C122" s="3"/>
      <c r="D122" s="8"/>
      <c r="E122" s="8"/>
      <c r="F122" s="9">
        <f>IF(E122&lt;&gt;"",E122,IF(UPPER(TRIM(C122))="BASIN",IF(UPPER(TRIM(Inputs!$B$52))="YES",Inputs!$B$12,0),IF(UPPER(TRIM(C122))="ROOF",Inputs!$B$10,IF(UPPER(TRIM(C122))="PAVAGE",Inputs!$B$58,IF(UPPER(TRIM(C122))="TRESFOND",Inputs!$B$11,IF(UPPER(TRIM(C122))="GRASS",Inputs!$B$12,Inputs!$B$13))))))</f>
        <v>0.6</v>
      </c>
      <c r="G122" s="9" t="str">
        <f t="shared" si="2"/>
        <v/>
      </c>
      <c r="H122" s="9" t="str">
        <f>IF(A122="","",Inputs!$B$3/((IF(G122="",Inputs!$B$14,G122)+Inputs!$B$4)^Inputs!$B$5))</f>
        <v/>
      </c>
      <c r="I122" s="9" t="str">
        <f t="shared" si="3"/>
        <v/>
      </c>
      <c r="J122" s="3"/>
      <c r="K122" s="3"/>
      <c r="L122" s="4"/>
      <c r="M122" s="9" t="str">
        <f>IF(A122="","",IF(OR(J122="",Inputs!$B$59=""),0,IFERROR(INDEX(Elements_hybrides!$F$4:$F$204,MATCH(J122,Elements_hybrides!$A$4:$A$204,0))/(Inputs!$B$59*60),0)))</f>
        <v/>
      </c>
      <c r="N122" s="9" t="str">
        <f>IF(A122="","",IF(L122="",Inputs!$B$14,L122)+M122)</f>
        <v/>
      </c>
    </row>
    <row r="123" spans="1:14" x14ac:dyDescent="0.25">
      <c r="A123" s="3"/>
      <c r="B123" s="3"/>
      <c r="C123" s="3"/>
      <c r="D123" s="8"/>
      <c r="E123" s="8"/>
      <c r="F123" s="9">
        <f>IF(E123&lt;&gt;"",E123,IF(UPPER(TRIM(C123))="BASIN",IF(UPPER(TRIM(Inputs!$B$52))="YES",Inputs!$B$12,0),IF(UPPER(TRIM(C123))="ROOF",Inputs!$B$10,IF(UPPER(TRIM(C123))="PAVAGE",Inputs!$B$58,IF(UPPER(TRIM(C123))="TRESFOND",Inputs!$B$11,IF(UPPER(TRIM(C123))="GRASS",Inputs!$B$12,Inputs!$B$13))))))</f>
        <v>0.6</v>
      </c>
      <c r="G123" s="9" t="str">
        <f t="shared" si="2"/>
        <v/>
      </c>
      <c r="H123" s="9" t="str">
        <f>IF(A123="","",Inputs!$B$3/((IF(G123="",Inputs!$B$14,G123)+Inputs!$B$4)^Inputs!$B$5))</f>
        <v/>
      </c>
      <c r="I123" s="9" t="str">
        <f t="shared" si="3"/>
        <v/>
      </c>
      <c r="J123" s="3"/>
      <c r="K123" s="3"/>
      <c r="L123" s="4"/>
      <c r="M123" s="9" t="str">
        <f>IF(A123="","",IF(OR(J123="",Inputs!$B$59=""),0,IFERROR(INDEX(Elements_hybrides!$F$4:$F$204,MATCH(J123,Elements_hybrides!$A$4:$A$204,0))/(Inputs!$B$59*60),0)))</f>
        <v/>
      </c>
      <c r="N123" s="9" t="str">
        <f>IF(A123="","",IF(L123="",Inputs!$B$14,L123)+M123)</f>
        <v/>
      </c>
    </row>
    <row r="124" spans="1:14" x14ac:dyDescent="0.25">
      <c r="A124" s="3"/>
      <c r="B124" s="3"/>
      <c r="C124" s="3"/>
      <c r="D124" s="8"/>
      <c r="E124" s="8"/>
      <c r="F124" s="9">
        <f>IF(E124&lt;&gt;"",E124,IF(UPPER(TRIM(C124))="BASIN",IF(UPPER(TRIM(Inputs!$B$52))="YES",Inputs!$B$12,0),IF(UPPER(TRIM(C124))="ROOF",Inputs!$B$10,IF(UPPER(TRIM(C124))="PAVAGE",Inputs!$B$58,IF(UPPER(TRIM(C124))="TRESFOND",Inputs!$B$11,IF(UPPER(TRIM(C124))="GRASS",Inputs!$B$12,Inputs!$B$13))))))</f>
        <v>0.6</v>
      </c>
      <c r="G124" s="9" t="str">
        <f t="shared" si="2"/>
        <v/>
      </c>
      <c r="H124" s="9" t="str">
        <f>IF(A124="","",Inputs!$B$3/((IF(G124="",Inputs!$B$14,G124)+Inputs!$B$4)^Inputs!$B$5))</f>
        <v/>
      </c>
      <c r="I124" s="9" t="str">
        <f t="shared" si="3"/>
        <v/>
      </c>
      <c r="J124" s="3"/>
      <c r="K124" s="3"/>
      <c r="L124" s="4"/>
      <c r="M124" s="9" t="str">
        <f>IF(A124="","",IF(OR(J124="",Inputs!$B$59=""),0,IFERROR(INDEX(Elements_hybrides!$F$4:$F$204,MATCH(J124,Elements_hybrides!$A$4:$A$204,0))/(Inputs!$B$59*60),0)))</f>
        <v/>
      </c>
      <c r="N124" s="9" t="str">
        <f>IF(A124="","",IF(L124="",Inputs!$B$14,L124)+M124)</f>
        <v/>
      </c>
    </row>
    <row r="125" spans="1:14" x14ac:dyDescent="0.25">
      <c r="A125" s="3"/>
      <c r="B125" s="3"/>
      <c r="C125" s="3"/>
      <c r="D125" s="8"/>
      <c r="E125" s="8"/>
      <c r="F125" s="9">
        <f>IF(E125&lt;&gt;"",E125,IF(UPPER(TRIM(C125))="BASIN",IF(UPPER(TRIM(Inputs!$B$52))="YES",Inputs!$B$12,0),IF(UPPER(TRIM(C125))="ROOF",Inputs!$B$10,IF(UPPER(TRIM(C125))="PAVAGE",Inputs!$B$58,IF(UPPER(TRIM(C125))="TRESFOND",Inputs!$B$11,IF(UPPER(TRIM(C125))="GRASS",Inputs!$B$12,Inputs!$B$13))))))</f>
        <v>0.6</v>
      </c>
      <c r="G125" s="9" t="str">
        <f t="shared" si="2"/>
        <v/>
      </c>
      <c r="H125" s="9" t="str">
        <f>IF(A125="","",Inputs!$B$3/((IF(G125="",Inputs!$B$14,G125)+Inputs!$B$4)^Inputs!$B$5))</f>
        <v/>
      </c>
      <c r="I125" s="9" t="str">
        <f t="shared" si="3"/>
        <v/>
      </c>
      <c r="J125" s="3"/>
      <c r="K125" s="3"/>
      <c r="L125" s="4"/>
      <c r="M125" s="9" t="str">
        <f>IF(A125="","",IF(OR(J125="",Inputs!$B$59=""),0,IFERROR(INDEX(Elements_hybrides!$F$4:$F$204,MATCH(J125,Elements_hybrides!$A$4:$A$204,0))/(Inputs!$B$59*60),0)))</f>
        <v/>
      </c>
      <c r="N125" s="9" t="str">
        <f>IF(A125="","",IF(L125="",Inputs!$B$14,L125)+M125)</f>
        <v/>
      </c>
    </row>
    <row r="126" spans="1:14" x14ac:dyDescent="0.25">
      <c r="A126" s="3"/>
      <c r="B126" s="3"/>
      <c r="C126" s="3"/>
      <c r="D126" s="8"/>
      <c r="E126" s="8"/>
      <c r="F126" s="9">
        <f>IF(E126&lt;&gt;"",E126,IF(UPPER(TRIM(C126))="BASIN",IF(UPPER(TRIM(Inputs!$B$52))="YES",Inputs!$B$12,0),IF(UPPER(TRIM(C126))="ROOF",Inputs!$B$10,IF(UPPER(TRIM(C126))="PAVAGE",Inputs!$B$58,IF(UPPER(TRIM(C126))="TRESFOND",Inputs!$B$11,IF(UPPER(TRIM(C126))="GRASS",Inputs!$B$12,Inputs!$B$13))))))</f>
        <v>0.6</v>
      </c>
      <c r="G126" s="9" t="str">
        <f t="shared" si="2"/>
        <v/>
      </c>
      <c r="H126" s="9" t="str">
        <f>IF(A126="","",Inputs!$B$3/((IF(G126="",Inputs!$B$14,G126)+Inputs!$B$4)^Inputs!$B$5))</f>
        <v/>
      </c>
      <c r="I126" s="9" t="str">
        <f t="shared" si="3"/>
        <v/>
      </c>
      <c r="J126" s="3"/>
      <c r="K126" s="3"/>
      <c r="L126" s="4"/>
      <c r="M126" s="9" t="str">
        <f>IF(A126="","",IF(OR(J126="",Inputs!$B$59=""),0,IFERROR(INDEX(Elements_hybrides!$F$4:$F$204,MATCH(J126,Elements_hybrides!$A$4:$A$204,0))/(Inputs!$B$59*60),0)))</f>
        <v/>
      </c>
      <c r="N126" s="9" t="str">
        <f>IF(A126="","",IF(L126="",Inputs!$B$14,L126)+M126)</f>
        <v/>
      </c>
    </row>
    <row r="127" spans="1:14" x14ac:dyDescent="0.25">
      <c r="A127" s="3"/>
      <c r="B127" s="3"/>
      <c r="C127" s="3"/>
      <c r="D127" s="8"/>
      <c r="E127" s="8"/>
      <c r="F127" s="9">
        <f>IF(E127&lt;&gt;"",E127,IF(UPPER(TRIM(C127))="BASIN",IF(UPPER(TRIM(Inputs!$B$52))="YES",Inputs!$B$12,0),IF(UPPER(TRIM(C127))="ROOF",Inputs!$B$10,IF(UPPER(TRIM(C127))="PAVAGE",Inputs!$B$58,IF(UPPER(TRIM(C127))="TRESFOND",Inputs!$B$11,IF(UPPER(TRIM(C127))="GRASS",Inputs!$B$12,Inputs!$B$13))))))</f>
        <v>0.6</v>
      </c>
      <c r="G127" s="9" t="str">
        <f t="shared" si="2"/>
        <v/>
      </c>
      <c r="H127" s="9" t="str">
        <f>IF(A127="","",Inputs!$B$3/((IF(G127="",Inputs!$B$14,G127)+Inputs!$B$4)^Inputs!$B$5))</f>
        <v/>
      </c>
      <c r="I127" s="9" t="str">
        <f t="shared" si="3"/>
        <v/>
      </c>
      <c r="J127" s="3"/>
      <c r="K127" s="3"/>
      <c r="L127" s="4"/>
      <c r="M127" s="9" t="str">
        <f>IF(A127="","",IF(OR(J127="",Inputs!$B$59=""),0,IFERROR(INDEX(Elements_hybrides!$F$4:$F$204,MATCH(J127,Elements_hybrides!$A$4:$A$204,0))/(Inputs!$B$59*60),0)))</f>
        <v/>
      </c>
      <c r="N127" s="9" t="str">
        <f>IF(A127="","",IF(L127="",Inputs!$B$14,L127)+M127)</f>
        <v/>
      </c>
    </row>
    <row r="128" spans="1:14" x14ac:dyDescent="0.25">
      <c r="A128" s="3"/>
      <c r="B128" s="3"/>
      <c r="C128" s="3"/>
      <c r="D128" s="8"/>
      <c r="E128" s="8"/>
      <c r="F128" s="9">
        <f>IF(E128&lt;&gt;"",E128,IF(UPPER(TRIM(C128))="BASIN",IF(UPPER(TRIM(Inputs!$B$52))="YES",Inputs!$B$12,0),IF(UPPER(TRIM(C128))="ROOF",Inputs!$B$10,IF(UPPER(TRIM(C128))="PAVAGE",Inputs!$B$58,IF(UPPER(TRIM(C128))="TRESFOND",Inputs!$B$11,IF(UPPER(TRIM(C128))="GRASS",Inputs!$B$12,Inputs!$B$13))))))</f>
        <v>0.6</v>
      </c>
      <c r="G128" s="9" t="str">
        <f t="shared" si="2"/>
        <v/>
      </c>
      <c r="H128" s="9" t="str">
        <f>IF(A128="","",Inputs!$B$3/((IF(G128="",Inputs!$B$14,G128)+Inputs!$B$4)^Inputs!$B$5))</f>
        <v/>
      </c>
      <c r="I128" s="9" t="str">
        <f t="shared" si="3"/>
        <v/>
      </c>
      <c r="J128" s="3"/>
      <c r="K128" s="3"/>
      <c r="L128" s="4"/>
      <c r="M128" s="9" t="str">
        <f>IF(A128="","",IF(OR(J128="",Inputs!$B$59=""),0,IFERROR(INDEX(Elements_hybrides!$F$4:$F$204,MATCH(J128,Elements_hybrides!$A$4:$A$204,0))/(Inputs!$B$59*60),0)))</f>
        <v/>
      </c>
      <c r="N128" s="9" t="str">
        <f>IF(A128="","",IF(L128="",Inputs!$B$14,L128)+M128)</f>
        <v/>
      </c>
    </row>
    <row r="129" spans="1:14" x14ac:dyDescent="0.25">
      <c r="A129" s="3"/>
      <c r="B129" s="3"/>
      <c r="C129" s="3"/>
      <c r="D129" s="8"/>
      <c r="E129" s="8"/>
      <c r="F129" s="9">
        <f>IF(E129&lt;&gt;"",E129,IF(UPPER(TRIM(C129))="BASIN",IF(UPPER(TRIM(Inputs!$B$52))="YES",Inputs!$B$12,0),IF(UPPER(TRIM(C129))="ROOF",Inputs!$B$10,IF(UPPER(TRIM(C129))="PAVAGE",Inputs!$B$58,IF(UPPER(TRIM(C129))="TRESFOND",Inputs!$B$11,IF(UPPER(TRIM(C129))="GRASS",Inputs!$B$12,Inputs!$B$13))))))</f>
        <v>0.6</v>
      </c>
      <c r="G129" s="9" t="str">
        <f t="shared" si="2"/>
        <v/>
      </c>
      <c r="H129" s="9" t="str">
        <f>IF(A129="","",Inputs!$B$3/((IF(G129="",Inputs!$B$14,G129)+Inputs!$B$4)^Inputs!$B$5))</f>
        <v/>
      </c>
      <c r="I129" s="9" t="str">
        <f t="shared" si="3"/>
        <v/>
      </c>
      <c r="J129" s="3"/>
      <c r="K129" s="3"/>
      <c r="L129" s="4"/>
      <c r="M129" s="9" t="str">
        <f>IF(A129="","",IF(OR(J129="",Inputs!$B$59=""),0,IFERROR(INDEX(Elements_hybrides!$F$4:$F$204,MATCH(J129,Elements_hybrides!$A$4:$A$204,0))/(Inputs!$B$59*60),0)))</f>
        <v/>
      </c>
      <c r="N129" s="9" t="str">
        <f>IF(A129="","",IF(L129="",Inputs!$B$14,L129)+M129)</f>
        <v/>
      </c>
    </row>
    <row r="130" spans="1:14" x14ac:dyDescent="0.25">
      <c r="A130" s="3"/>
      <c r="B130" s="3"/>
      <c r="C130" s="3"/>
      <c r="D130" s="8"/>
      <c r="E130" s="8"/>
      <c r="F130" s="9">
        <f>IF(E130&lt;&gt;"",E130,IF(UPPER(TRIM(C130))="BASIN",IF(UPPER(TRIM(Inputs!$B$52))="YES",Inputs!$B$12,0),IF(UPPER(TRIM(C130))="ROOF",Inputs!$B$10,IF(UPPER(TRIM(C130))="PAVAGE",Inputs!$B$58,IF(UPPER(TRIM(C130))="TRESFOND",Inputs!$B$11,IF(UPPER(TRIM(C130))="GRASS",Inputs!$B$12,Inputs!$B$13))))))</f>
        <v>0.6</v>
      </c>
      <c r="G130" s="9" t="str">
        <f t="shared" si="2"/>
        <v/>
      </c>
      <c r="H130" s="9" t="str">
        <f>IF(A130="","",Inputs!$B$3/((IF(G130="",Inputs!$B$14,G130)+Inputs!$B$4)^Inputs!$B$5))</f>
        <v/>
      </c>
      <c r="I130" s="9" t="str">
        <f t="shared" si="3"/>
        <v/>
      </c>
      <c r="J130" s="3"/>
      <c r="K130" s="3"/>
      <c r="L130" s="4"/>
      <c r="M130" s="9" t="str">
        <f>IF(A130="","",IF(OR(J130="",Inputs!$B$59=""),0,IFERROR(INDEX(Elements_hybrides!$F$4:$F$204,MATCH(J130,Elements_hybrides!$A$4:$A$204,0))/(Inputs!$B$59*60),0)))</f>
        <v/>
      </c>
      <c r="N130" s="9" t="str">
        <f>IF(A130="","",IF(L130="",Inputs!$B$14,L130)+M130)</f>
        <v/>
      </c>
    </row>
    <row r="131" spans="1:14" x14ac:dyDescent="0.25">
      <c r="A131" s="3"/>
      <c r="B131" s="3"/>
      <c r="C131" s="3"/>
      <c r="D131" s="8"/>
      <c r="E131" s="8"/>
      <c r="F131" s="9">
        <f>IF(E131&lt;&gt;"",E131,IF(UPPER(TRIM(C131))="BASIN",IF(UPPER(TRIM(Inputs!$B$52))="YES",Inputs!$B$12,0),IF(UPPER(TRIM(C131))="ROOF",Inputs!$B$10,IF(UPPER(TRIM(C131))="PAVAGE",Inputs!$B$58,IF(UPPER(TRIM(C131))="TRESFOND",Inputs!$B$11,IF(UPPER(TRIM(C131))="GRASS",Inputs!$B$12,Inputs!$B$13))))))</f>
        <v>0.6</v>
      </c>
      <c r="G131" s="9" t="str">
        <f t="shared" si="2"/>
        <v/>
      </c>
      <c r="H131" s="9" t="str">
        <f>IF(A131="","",Inputs!$B$3/((IF(G131="",Inputs!$B$14,G131)+Inputs!$B$4)^Inputs!$B$5))</f>
        <v/>
      </c>
      <c r="I131" s="9" t="str">
        <f t="shared" si="3"/>
        <v/>
      </c>
      <c r="J131" s="3"/>
      <c r="K131" s="3"/>
      <c r="L131" s="4"/>
      <c r="M131" s="9" t="str">
        <f>IF(A131="","",IF(OR(J131="",Inputs!$B$59=""),0,IFERROR(INDEX(Elements_hybrides!$F$4:$F$204,MATCH(J131,Elements_hybrides!$A$4:$A$204,0))/(Inputs!$B$59*60),0)))</f>
        <v/>
      </c>
      <c r="N131" s="9" t="str">
        <f>IF(A131="","",IF(L131="",Inputs!$B$14,L131)+M131)</f>
        <v/>
      </c>
    </row>
    <row r="132" spans="1:14" x14ac:dyDescent="0.25">
      <c r="A132" s="3"/>
      <c r="B132" s="3"/>
      <c r="C132" s="3"/>
      <c r="D132" s="8"/>
      <c r="E132" s="8"/>
      <c r="F132" s="9">
        <f>IF(E132&lt;&gt;"",E132,IF(UPPER(TRIM(C132))="BASIN",IF(UPPER(TRIM(Inputs!$B$52))="YES",Inputs!$B$12,0),IF(UPPER(TRIM(C132))="ROOF",Inputs!$B$10,IF(UPPER(TRIM(C132))="PAVAGE",Inputs!$B$58,IF(UPPER(TRIM(C132))="TRESFOND",Inputs!$B$11,IF(UPPER(TRIM(C132))="GRASS",Inputs!$B$12,Inputs!$B$13))))))</f>
        <v>0.6</v>
      </c>
      <c r="G132" s="9" t="str">
        <f t="shared" ref="G132:G195" si="4">IF(A132="","",N132)</f>
        <v/>
      </c>
      <c r="H132" s="9" t="str">
        <f>IF(A132="","",Inputs!$B$3/((IF(G132="",Inputs!$B$14,G132)+Inputs!$B$4)^Inputs!$B$5))</f>
        <v/>
      </c>
      <c r="I132" s="9" t="str">
        <f t="shared" ref="I132:I195" si="5">IF(A132="","",0.000000278*F132*D132*H132)</f>
        <v/>
      </c>
      <c r="J132" s="3"/>
      <c r="K132" s="3"/>
      <c r="L132" s="4"/>
      <c r="M132" s="9" t="str">
        <f>IF(A132="","",IF(OR(J132="",Inputs!$B$59=""),0,IFERROR(INDEX(Elements_hybrides!$F$4:$F$204,MATCH(J132,Elements_hybrides!$A$4:$A$204,0))/(Inputs!$B$59*60),0)))</f>
        <v/>
      </c>
      <c r="N132" s="9" t="str">
        <f>IF(A132="","",IF(L132="",Inputs!$B$14,L132)+M132)</f>
        <v/>
      </c>
    </row>
    <row r="133" spans="1:14" x14ac:dyDescent="0.25">
      <c r="A133" s="3"/>
      <c r="B133" s="3"/>
      <c r="C133" s="3"/>
      <c r="D133" s="8"/>
      <c r="E133" s="8"/>
      <c r="F133" s="9">
        <f>IF(E133&lt;&gt;"",E133,IF(UPPER(TRIM(C133))="BASIN",IF(UPPER(TRIM(Inputs!$B$52))="YES",Inputs!$B$12,0),IF(UPPER(TRIM(C133))="ROOF",Inputs!$B$10,IF(UPPER(TRIM(C133))="PAVAGE",Inputs!$B$58,IF(UPPER(TRIM(C133))="TRESFOND",Inputs!$B$11,IF(UPPER(TRIM(C133))="GRASS",Inputs!$B$12,Inputs!$B$13))))))</f>
        <v>0.6</v>
      </c>
      <c r="G133" s="9" t="str">
        <f t="shared" si="4"/>
        <v/>
      </c>
      <c r="H133" s="9" t="str">
        <f>IF(A133="","",Inputs!$B$3/((IF(G133="",Inputs!$B$14,G133)+Inputs!$B$4)^Inputs!$B$5))</f>
        <v/>
      </c>
      <c r="I133" s="9" t="str">
        <f t="shared" si="5"/>
        <v/>
      </c>
      <c r="J133" s="3"/>
      <c r="K133" s="3"/>
      <c r="L133" s="4"/>
      <c r="M133" s="9" t="str">
        <f>IF(A133="","",IF(OR(J133="",Inputs!$B$59=""),0,IFERROR(INDEX(Elements_hybrides!$F$4:$F$204,MATCH(J133,Elements_hybrides!$A$4:$A$204,0))/(Inputs!$B$59*60),0)))</f>
        <v/>
      </c>
      <c r="N133" s="9" t="str">
        <f>IF(A133="","",IF(L133="",Inputs!$B$14,L133)+M133)</f>
        <v/>
      </c>
    </row>
    <row r="134" spans="1:14" x14ac:dyDescent="0.25">
      <c r="A134" s="3"/>
      <c r="B134" s="3"/>
      <c r="C134" s="3"/>
      <c r="D134" s="8"/>
      <c r="E134" s="8"/>
      <c r="F134" s="9">
        <f>IF(E134&lt;&gt;"",E134,IF(UPPER(TRIM(C134))="BASIN",IF(UPPER(TRIM(Inputs!$B$52))="YES",Inputs!$B$12,0),IF(UPPER(TRIM(C134))="ROOF",Inputs!$B$10,IF(UPPER(TRIM(C134))="PAVAGE",Inputs!$B$58,IF(UPPER(TRIM(C134))="TRESFOND",Inputs!$B$11,IF(UPPER(TRIM(C134))="GRASS",Inputs!$B$12,Inputs!$B$13))))))</f>
        <v>0.6</v>
      </c>
      <c r="G134" s="9" t="str">
        <f t="shared" si="4"/>
        <v/>
      </c>
      <c r="H134" s="9" t="str">
        <f>IF(A134="","",Inputs!$B$3/((IF(G134="",Inputs!$B$14,G134)+Inputs!$B$4)^Inputs!$B$5))</f>
        <v/>
      </c>
      <c r="I134" s="9" t="str">
        <f t="shared" si="5"/>
        <v/>
      </c>
      <c r="J134" s="3"/>
      <c r="K134" s="3"/>
      <c r="L134" s="4"/>
      <c r="M134" s="9" t="str">
        <f>IF(A134="","",IF(OR(J134="",Inputs!$B$59=""),0,IFERROR(INDEX(Elements_hybrides!$F$4:$F$204,MATCH(J134,Elements_hybrides!$A$4:$A$204,0))/(Inputs!$B$59*60),0)))</f>
        <v/>
      </c>
      <c r="N134" s="9" t="str">
        <f>IF(A134="","",IF(L134="",Inputs!$B$14,L134)+M134)</f>
        <v/>
      </c>
    </row>
    <row r="135" spans="1:14" x14ac:dyDescent="0.25">
      <c r="A135" s="3"/>
      <c r="B135" s="3"/>
      <c r="C135" s="3"/>
      <c r="D135" s="8"/>
      <c r="E135" s="8"/>
      <c r="F135" s="9">
        <f>IF(E135&lt;&gt;"",E135,IF(UPPER(TRIM(C135))="BASIN",IF(UPPER(TRIM(Inputs!$B$52))="YES",Inputs!$B$12,0),IF(UPPER(TRIM(C135))="ROOF",Inputs!$B$10,IF(UPPER(TRIM(C135))="PAVAGE",Inputs!$B$58,IF(UPPER(TRIM(C135))="TRESFOND",Inputs!$B$11,IF(UPPER(TRIM(C135))="GRASS",Inputs!$B$12,Inputs!$B$13))))))</f>
        <v>0.6</v>
      </c>
      <c r="G135" s="9" t="str">
        <f t="shared" si="4"/>
        <v/>
      </c>
      <c r="H135" s="9" t="str">
        <f>IF(A135="","",Inputs!$B$3/((IF(G135="",Inputs!$B$14,G135)+Inputs!$B$4)^Inputs!$B$5))</f>
        <v/>
      </c>
      <c r="I135" s="9" t="str">
        <f t="shared" si="5"/>
        <v/>
      </c>
      <c r="J135" s="3"/>
      <c r="K135" s="3"/>
      <c r="L135" s="4"/>
      <c r="M135" s="9" t="str">
        <f>IF(A135="","",IF(OR(J135="",Inputs!$B$59=""),0,IFERROR(INDEX(Elements_hybrides!$F$4:$F$204,MATCH(J135,Elements_hybrides!$A$4:$A$204,0))/(Inputs!$B$59*60),0)))</f>
        <v/>
      </c>
      <c r="N135" s="9" t="str">
        <f>IF(A135="","",IF(L135="",Inputs!$B$14,L135)+M135)</f>
        <v/>
      </c>
    </row>
    <row r="136" spans="1:14" x14ac:dyDescent="0.25">
      <c r="A136" s="3"/>
      <c r="B136" s="3"/>
      <c r="C136" s="3"/>
      <c r="D136" s="8"/>
      <c r="E136" s="8"/>
      <c r="F136" s="9">
        <f>IF(E136&lt;&gt;"",E136,IF(UPPER(TRIM(C136))="BASIN",IF(UPPER(TRIM(Inputs!$B$52))="YES",Inputs!$B$12,0),IF(UPPER(TRIM(C136))="ROOF",Inputs!$B$10,IF(UPPER(TRIM(C136))="PAVAGE",Inputs!$B$58,IF(UPPER(TRIM(C136))="TRESFOND",Inputs!$B$11,IF(UPPER(TRIM(C136))="GRASS",Inputs!$B$12,Inputs!$B$13))))))</f>
        <v>0.6</v>
      </c>
      <c r="G136" s="9" t="str">
        <f t="shared" si="4"/>
        <v/>
      </c>
      <c r="H136" s="9" t="str">
        <f>IF(A136="","",Inputs!$B$3/((IF(G136="",Inputs!$B$14,G136)+Inputs!$B$4)^Inputs!$B$5))</f>
        <v/>
      </c>
      <c r="I136" s="9" t="str">
        <f t="shared" si="5"/>
        <v/>
      </c>
      <c r="J136" s="3"/>
      <c r="K136" s="3"/>
      <c r="L136" s="4"/>
      <c r="M136" s="9" t="str">
        <f>IF(A136="","",IF(OR(J136="",Inputs!$B$59=""),0,IFERROR(INDEX(Elements_hybrides!$F$4:$F$204,MATCH(J136,Elements_hybrides!$A$4:$A$204,0))/(Inputs!$B$59*60),0)))</f>
        <v/>
      </c>
      <c r="N136" s="9" t="str">
        <f>IF(A136="","",IF(L136="",Inputs!$B$14,L136)+M136)</f>
        <v/>
      </c>
    </row>
    <row r="137" spans="1:14" x14ac:dyDescent="0.25">
      <c r="A137" s="3"/>
      <c r="B137" s="3"/>
      <c r="C137" s="3"/>
      <c r="D137" s="8"/>
      <c r="E137" s="8"/>
      <c r="F137" s="9">
        <f>IF(E137&lt;&gt;"",E137,IF(UPPER(TRIM(C137))="BASIN",IF(UPPER(TRIM(Inputs!$B$52))="YES",Inputs!$B$12,0),IF(UPPER(TRIM(C137))="ROOF",Inputs!$B$10,IF(UPPER(TRIM(C137))="PAVAGE",Inputs!$B$58,IF(UPPER(TRIM(C137))="TRESFOND",Inputs!$B$11,IF(UPPER(TRIM(C137))="GRASS",Inputs!$B$12,Inputs!$B$13))))))</f>
        <v>0.6</v>
      </c>
      <c r="G137" s="9" t="str">
        <f t="shared" si="4"/>
        <v/>
      </c>
      <c r="H137" s="9" t="str">
        <f>IF(A137="","",Inputs!$B$3/((IF(G137="",Inputs!$B$14,G137)+Inputs!$B$4)^Inputs!$B$5))</f>
        <v/>
      </c>
      <c r="I137" s="9" t="str">
        <f t="shared" si="5"/>
        <v/>
      </c>
      <c r="J137" s="3"/>
      <c r="K137" s="3"/>
      <c r="L137" s="4"/>
      <c r="M137" s="9" t="str">
        <f>IF(A137="","",IF(OR(J137="",Inputs!$B$59=""),0,IFERROR(INDEX(Elements_hybrides!$F$4:$F$204,MATCH(J137,Elements_hybrides!$A$4:$A$204,0))/(Inputs!$B$59*60),0)))</f>
        <v/>
      </c>
      <c r="N137" s="9" t="str">
        <f>IF(A137="","",IF(L137="",Inputs!$B$14,L137)+M137)</f>
        <v/>
      </c>
    </row>
    <row r="138" spans="1:14" x14ac:dyDescent="0.25">
      <c r="A138" s="3"/>
      <c r="B138" s="3"/>
      <c r="C138" s="3"/>
      <c r="D138" s="8"/>
      <c r="E138" s="8"/>
      <c r="F138" s="9">
        <f>IF(E138&lt;&gt;"",E138,IF(UPPER(TRIM(C138))="BASIN",IF(UPPER(TRIM(Inputs!$B$52))="YES",Inputs!$B$12,0),IF(UPPER(TRIM(C138))="ROOF",Inputs!$B$10,IF(UPPER(TRIM(C138))="PAVAGE",Inputs!$B$58,IF(UPPER(TRIM(C138))="TRESFOND",Inputs!$B$11,IF(UPPER(TRIM(C138))="GRASS",Inputs!$B$12,Inputs!$B$13))))))</f>
        <v>0.6</v>
      </c>
      <c r="G138" s="9" t="str">
        <f t="shared" si="4"/>
        <v/>
      </c>
      <c r="H138" s="9" t="str">
        <f>IF(A138="","",Inputs!$B$3/((IF(G138="",Inputs!$B$14,G138)+Inputs!$B$4)^Inputs!$B$5))</f>
        <v/>
      </c>
      <c r="I138" s="9" t="str">
        <f t="shared" si="5"/>
        <v/>
      </c>
      <c r="J138" s="3"/>
      <c r="K138" s="3"/>
      <c r="L138" s="4"/>
      <c r="M138" s="9" t="str">
        <f>IF(A138="","",IF(OR(J138="",Inputs!$B$59=""),0,IFERROR(INDEX(Elements_hybrides!$F$4:$F$204,MATCH(J138,Elements_hybrides!$A$4:$A$204,0))/(Inputs!$B$59*60),0)))</f>
        <v/>
      </c>
      <c r="N138" s="9" t="str">
        <f>IF(A138="","",IF(L138="",Inputs!$B$14,L138)+M138)</f>
        <v/>
      </c>
    </row>
    <row r="139" spans="1:14" x14ac:dyDescent="0.25">
      <c r="A139" s="3"/>
      <c r="B139" s="3"/>
      <c r="C139" s="3"/>
      <c r="D139" s="8"/>
      <c r="E139" s="8"/>
      <c r="F139" s="9">
        <f>IF(E139&lt;&gt;"",E139,IF(UPPER(TRIM(C139))="BASIN",IF(UPPER(TRIM(Inputs!$B$52))="YES",Inputs!$B$12,0),IF(UPPER(TRIM(C139))="ROOF",Inputs!$B$10,IF(UPPER(TRIM(C139))="PAVAGE",Inputs!$B$58,IF(UPPER(TRIM(C139))="TRESFOND",Inputs!$B$11,IF(UPPER(TRIM(C139))="GRASS",Inputs!$B$12,Inputs!$B$13))))))</f>
        <v>0.6</v>
      </c>
      <c r="G139" s="9" t="str">
        <f t="shared" si="4"/>
        <v/>
      </c>
      <c r="H139" s="9" t="str">
        <f>IF(A139="","",Inputs!$B$3/((IF(G139="",Inputs!$B$14,G139)+Inputs!$B$4)^Inputs!$B$5))</f>
        <v/>
      </c>
      <c r="I139" s="9" t="str">
        <f t="shared" si="5"/>
        <v/>
      </c>
      <c r="J139" s="3"/>
      <c r="K139" s="3"/>
      <c r="L139" s="4"/>
      <c r="M139" s="9" t="str">
        <f>IF(A139="","",IF(OR(J139="",Inputs!$B$59=""),0,IFERROR(INDEX(Elements_hybrides!$F$4:$F$204,MATCH(J139,Elements_hybrides!$A$4:$A$204,0))/(Inputs!$B$59*60),0)))</f>
        <v/>
      </c>
      <c r="N139" s="9" t="str">
        <f>IF(A139="","",IF(L139="",Inputs!$B$14,L139)+M139)</f>
        <v/>
      </c>
    </row>
    <row r="140" spans="1:14" x14ac:dyDescent="0.25">
      <c r="A140" s="3"/>
      <c r="B140" s="3"/>
      <c r="C140" s="3"/>
      <c r="D140" s="8"/>
      <c r="E140" s="8"/>
      <c r="F140" s="9">
        <f>IF(E140&lt;&gt;"",E140,IF(UPPER(TRIM(C140))="BASIN",IF(UPPER(TRIM(Inputs!$B$52))="YES",Inputs!$B$12,0),IF(UPPER(TRIM(C140))="ROOF",Inputs!$B$10,IF(UPPER(TRIM(C140))="PAVAGE",Inputs!$B$58,IF(UPPER(TRIM(C140))="TRESFOND",Inputs!$B$11,IF(UPPER(TRIM(C140))="GRASS",Inputs!$B$12,Inputs!$B$13))))))</f>
        <v>0.6</v>
      </c>
      <c r="G140" s="9" t="str">
        <f t="shared" si="4"/>
        <v/>
      </c>
      <c r="H140" s="9" t="str">
        <f>IF(A140="","",Inputs!$B$3/((IF(G140="",Inputs!$B$14,G140)+Inputs!$B$4)^Inputs!$B$5))</f>
        <v/>
      </c>
      <c r="I140" s="9" t="str">
        <f t="shared" si="5"/>
        <v/>
      </c>
      <c r="J140" s="3"/>
      <c r="K140" s="3"/>
      <c r="L140" s="4"/>
      <c r="M140" s="9" t="str">
        <f>IF(A140="","",IF(OR(J140="",Inputs!$B$59=""),0,IFERROR(INDEX(Elements_hybrides!$F$4:$F$204,MATCH(J140,Elements_hybrides!$A$4:$A$204,0))/(Inputs!$B$59*60),0)))</f>
        <v/>
      </c>
      <c r="N140" s="9" t="str">
        <f>IF(A140="","",IF(L140="",Inputs!$B$14,L140)+M140)</f>
        <v/>
      </c>
    </row>
    <row r="141" spans="1:14" x14ac:dyDescent="0.25">
      <c r="A141" s="3"/>
      <c r="B141" s="3"/>
      <c r="C141" s="3"/>
      <c r="D141" s="8"/>
      <c r="E141" s="8"/>
      <c r="F141" s="9">
        <f>IF(E141&lt;&gt;"",E141,IF(UPPER(TRIM(C141))="BASIN",IF(UPPER(TRIM(Inputs!$B$52))="YES",Inputs!$B$12,0),IF(UPPER(TRIM(C141))="ROOF",Inputs!$B$10,IF(UPPER(TRIM(C141))="PAVAGE",Inputs!$B$58,IF(UPPER(TRIM(C141))="TRESFOND",Inputs!$B$11,IF(UPPER(TRIM(C141))="GRASS",Inputs!$B$12,Inputs!$B$13))))))</f>
        <v>0.6</v>
      </c>
      <c r="G141" s="9" t="str">
        <f t="shared" si="4"/>
        <v/>
      </c>
      <c r="H141" s="9" t="str">
        <f>IF(A141="","",Inputs!$B$3/((IF(G141="",Inputs!$B$14,G141)+Inputs!$B$4)^Inputs!$B$5))</f>
        <v/>
      </c>
      <c r="I141" s="9" t="str">
        <f t="shared" si="5"/>
        <v/>
      </c>
      <c r="J141" s="3"/>
      <c r="K141" s="3"/>
      <c r="L141" s="4"/>
      <c r="M141" s="9" t="str">
        <f>IF(A141="","",IF(OR(J141="",Inputs!$B$59=""),0,IFERROR(INDEX(Elements_hybrides!$F$4:$F$204,MATCH(J141,Elements_hybrides!$A$4:$A$204,0))/(Inputs!$B$59*60),0)))</f>
        <v/>
      </c>
      <c r="N141" s="9" t="str">
        <f>IF(A141="","",IF(L141="",Inputs!$B$14,L141)+M141)</f>
        <v/>
      </c>
    </row>
    <row r="142" spans="1:14" x14ac:dyDescent="0.25">
      <c r="A142" s="3"/>
      <c r="B142" s="3"/>
      <c r="C142" s="3"/>
      <c r="D142" s="8"/>
      <c r="E142" s="8"/>
      <c r="F142" s="9">
        <f>IF(E142&lt;&gt;"",E142,IF(UPPER(TRIM(C142))="BASIN",IF(UPPER(TRIM(Inputs!$B$52))="YES",Inputs!$B$12,0),IF(UPPER(TRIM(C142))="ROOF",Inputs!$B$10,IF(UPPER(TRIM(C142))="PAVAGE",Inputs!$B$58,IF(UPPER(TRIM(C142))="TRESFOND",Inputs!$B$11,IF(UPPER(TRIM(C142))="GRASS",Inputs!$B$12,Inputs!$B$13))))))</f>
        <v>0.6</v>
      </c>
      <c r="G142" s="9" t="str">
        <f t="shared" si="4"/>
        <v/>
      </c>
      <c r="H142" s="9" t="str">
        <f>IF(A142="","",Inputs!$B$3/((IF(G142="",Inputs!$B$14,G142)+Inputs!$B$4)^Inputs!$B$5))</f>
        <v/>
      </c>
      <c r="I142" s="9" t="str">
        <f t="shared" si="5"/>
        <v/>
      </c>
      <c r="J142" s="3"/>
      <c r="K142" s="3"/>
      <c r="L142" s="4"/>
      <c r="M142" s="9" t="str">
        <f>IF(A142="","",IF(OR(J142="",Inputs!$B$59=""),0,IFERROR(INDEX(Elements_hybrides!$F$4:$F$204,MATCH(J142,Elements_hybrides!$A$4:$A$204,0))/(Inputs!$B$59*60),0)))</f>
        <v/>
      </c>
      <c r="N142" s="9" t="str">
        <f>IF(A142="","",IF(L142="",Inputs!$B$14,L142)+M142)</f>
        <v/>
      </c>
    </row>
    <row r="143" spans="1:14" x14ac:dyDescent="0.25">
      <c r="A143" s="3"/>
      <c r="B143" s="3"/>
      <c r="C143" s="3"/>
      <c r="D143" s="8"/>
      <c r="E143" s="8"/>
      <c r="F143" s="9">
        <f>IF(E143&lt;&gt;"",E143,IF(UPPER(TRIM(C143))="BASIN",IF(UPPER(TRIM(Inputs!$B$52))="YES",Inputs!$B$12,0),IF(UPPER(TRIM(C143))="ROOF",Inputs!$B$10,IF(UPPER(TRIM(C143))="PAVAGE",Inputs!$B$58,IF(UPPER(TRIM(C143))="TRESFOND",Inputs!$B$11,IF(UPPER(TRIM(C143))="GRASS",Inputs!$B$12,Inputs!$B$13))))))</f>
        <v>0.6</v>
      </c>
      <c r="G143" s="9" t="str">
        <f t="shared" si="4"/>
        <v/>
      </c>
      <c r="H143" s="9" t="str">
        <f>IF(A143="","",Inputs!$B$3/((IF(G143="",Inputs!$B$14,G143)+Inputs!$B$4)^Inputs!$B$5))</f>
        <v/>
      </c>
      <c r="I143" s="9" t="str">
        <f t="shared" si="5"/>
        <v/>
      </c>
      <c r="J143" s="3"/>
      <c r="K143" s="3"/>
      <c r="L143" s="4"/>
      <c r="M143" s="9" t="str">
        <f>IF(A143="","",IF(OR(J143="",Inputs!$B$59=""),0,IFERROR(INDEX(Elements_hybrides!$F$4:$F$204,MATCH(J143,Elements_hybrides!$A$4:$A$204,0))/(Inputs!$B$59*60),0)))</f>
        <v/>
      </c>
      <c r="N143" s="9" t="str">
        <f>IF(A143="","",IF(L143="",Inputs!$B$14,L143)+M143)</f>
        <v/>
      </c>
    </row>
    <row r="144" spans="1:14" x14ac:dyDescent="0.25">
      <c r="A144" s="3"/>
      <c r="B144" s="3"/>
      <c r="C144" s="3"/>
      <c r="D144" s="8"/>
      <c r="E144" s="8"/>
      <c r="F144" s="9">
        <f>IF(E144&lt;&gt;"",E144,IF(UPPER(TRIM(C144))="BASIN",IF(UPPER(TRIM(Inputs!$B$52))="YES",Inputs!$B$12,0),IF(UPPER(TRIM(C144))="ROOF",Inputs!$B$10,IF(UPPER(TRIM(C144))="PAVAGE",Inputs!$B$58,IF(UPPER(TRIM(C144))="TRESFOND",Inputs!$B$11,IF(UPPER(TRIM(C144))="GRASS",Inputs!$B$12,Inputs!$B$13))))))</f>
        <v>0.6</v>
      </c>
      <c r="G144" s="9" t="str">
        <f t="shared" si="4"/>
        <v/>
      </c>
      <c r="H144" s="9" t="str">
        <f>IF(A144="","",Inputs!$B$3/((IF(G144="",Inputs!$B$14,G144)+Inputs!$B$4)^Inputs!$B$5))</f>
        <v/>
      </c>
      <c r="I144" s="9" t="str">
        <f t="shared" si="5"/>
        <v/>
      </c>
      <c r="J144" s="3"/>
      <c r="K144" s="3"/>
      <c r="L144" s="4"/>
      <c r="M144" s="9" t="str">
        <f>IF(A144="","",IF(OR(J144="",Inputs!$B$59=""),0,IFERROR(INDEX(Elements_hybrides!$F$4:$F$204,MATCH(J144,Elements_hybrides!$A$4:$A$204,0))/(Inputs!$B$59*60),0)))</f>
        <v/>
      </c>
      <c r="N144" s="9" t="str">
        <f>IF(A144="","",IF(L144="",Inputs!$B$14,L144)+M144)</f>
        <v/>
      </c>
    </row>
    <row r="145" spans="1:14" x14ac:dyDescent="0.25">
      <c r="A145" s="3"/>
      <c r="B145" s="3"/>
      <c r="C145" s="3"/>
      <c r="D145" s="8"/>
      <c r="E145" s="8"/>
      <c r="F145" s="9">
        <f>IF(E145&lt;&gt;"",E145,IF(UPPER(TRIM(C145))="BASIN",IF(UPPER(TRIM(Inputs!$B$52))="YES",Inputs!$B$12,0),IF(UPPER(TRIM(C145))="ROOF",Inputs!$B$10,IF(UPPER(TRIM(C145))="PAVAGE",Inputs!$B$58,IF(UPPER(TRIM(C145))="TRESFOND",Inputs!$B$11,IF(UPPER(TRIM(C145))="GRASS",Inputs!$B$12,Inputs!$B$13))))))</f>
        <v>0.6</v>
      </c>
      <c r="G145" s="9" t="str">
        <f t="shared" si="4"/>
        <v/>
      </c>
      <c r="H145" s="9" t="str">
        <f>IF(A145="","",Inputs!$B$3/((IF(G145="",Inputs!$B$14,G145)+Inputs!$B$4)^Inputs!$B$5))</f>
        <v/>
      </c>
      <c r="I145" s="9" t="str">
        <f t="shared" si="5"/>
        <v/>
      </c>
      <c r="J145" s="3"/>
      <c r="K145" s="3"/>
      <c r="L145" s="4"/>
      <c r="M145" s="9" t="str">
        <f>IF(A145="","",IF(OR(J145="",Inputs!$B$59=""),0,IFERROR(INDEX(Elements_hybrides!$F$4:$F$204,MATCH(J145,Elements_hybrides!$A$4:$A$204,0))/(Inputs!$B$59*60),0)))</f>
        <v/>
      </c>
      <c r="N145" s="9" t="str">
        <f>IF(A145="","",IF(L145="",Inputs!$B$14,L145)+M145)</f>
        <v/>
      </c>
    </row>
    <row r="146" spans="1:14" x14ac:dyDescent="0.25">
      <c r="A146" s="3"/>
      <c r="B146" s="3"/>
      <c r="C146" s="3"/>
      <c r="D146" s="8"/>
      <c r="E146" s="8"/>
      <c r="F146" s="9">
        <f>IF(E146&lt;&gt;"",E146,IF(UPPER(TRIM(C146))="BASIN",IF(UPPER(TRIM(Inputs!$B$52))="YES",Inputs!$B$12,0),IF(UPPER(TRIM(C146))="ROOF",Inputs!$B$10,IF(UPPER(TRIM(C146))="PAVAGE",Inputs!$B$58,IF(UPPER(TRIM(C146))="TRESFOND",Inputs!$B$11,IF(UPPER(TRIM(C146))="GRASS",Inputs!$B$12,Inputs!$B$13))))))</f>
        <v>0.6</v>
      </c>
      <c r="G146" s="9" t="str">
        <f t="shared" si="4"/>
        <v/>
      </c>
      <c r="H146" s="9" t="str">
        <f>IF(A146="","",Inputs!$B$3/((IF(G146="",Inputs!$B$14,G146)+Inputs!$B$4)^Inputs!$B$5))</f>
        <v/>
      </c>
      <c r="I146" s="9" t="str">
        <f t="shared" si="5"/>
        <v/>
      </c>
      <c r="J146" s="3"/>
      <c r="K146" s="3"/>
      <c r="L146" s="4"/>
      <c r="M146" s="9" t="str">
        <f>IF(A146="","",IF(OR(J146="",Inputs!$B$59=""),0,IFERROR(INDEX(Elements_hybrides!$F$4:$F$204,MATCH(J146,Elements_hybrides!$A$4:$A$204,0))/(Inputs!$B$59*60),0)))</f>
        <v/>
      </c>
      <c r="N146" s="9" t="str">
        <f>IF(A146="","",IF(L146="",Inputs!$B$14,L146)+M146)</f>
        <v/>
      </c>
    </row>
    <row r="147" spans="1:14" x14ac:dyDescent="0.25">
      <c r="A147" s="3"/>
      <c r="B147" s="3"/>
      <c r="C147" s="3"/>
      <c r="D147" s="8"/>
      <c r="E147" s="8"/>
      <c r="F147" s="9">
        <f>IF(E147&lt;&gt;"",E147,IF(UPPER(TRIM(C147))="BASIN",IF(UPPER(TRIM(Inputs!$B$52))="YES",Inputs!$B$12,0),IF(UPPER(TRIM(C147))="ROOF",Inputs!$B$10,IF(UPPER(TRIM(C147))="PAVAGE",Inputs!$B$58,IF(UPPER(TRIM(C147))="TRESFOND",Inputs!$B$11,IF(UPPER(TRIM(C147))="GRASS",Inputs!$B$12,Inputs!$B$13))))))</f>
        <v>0.6</v>
      </c>
      <c r="G147" s="9" t="str">
        <f t="shared" si="4"/>
        <v/>
      </c>
      <c r="H147" s="9" t="str">
        <f>IF(A147="","",Inputs!$B$3/((IF(G147="",Inputs!$B$14,G147)+Inputs!$B$4)^Inputs!$B$5))</f>
        <v/>
      </c>
      <c r="I147" s="9" t="str">
        <f t="shared" si="5"/>
        <v/>
      </c>
      <c r="J147" s="3"/>
      <c r="K147" s="3"/>
      <c r="L147" s="4"/>
      <c r="M147" s="9" t="str">
        <f>IF(A147="","",IF(OR(J147="",Inputs!$B$59=""),0,IFERROR(INDEX(Elements_hybrides!$F$4:$F$204,MATCH(J147,Elements_hybrides!$A$4:$A$204,0))/(Inputs!$B$59*60),0)))</f>
        <v/>
      </c>
      <c r="N147" s="9" t="str">
        <f>IF(A147="","",IF(L147="",Inputs!$B$14,L147)+M147)</f>
        <v/>
      </c>
    </row>
    <row r="148" spans="1:14" x14ac:dyDescent="0.25">
      <c r="A148" s="3"/>
      <c r="B148" s="3"/>
      <c r="C148" s="3"/>
      <c r="D148" s="8"/>
      <c r="E148" s="8"/>
      <c r="F148" s="9">
        <f>IF(E148&lt;&gt;"",E148,IF(UPPER(TRIM(C148))="BASIN",IF(UPPER(TRIM(Inputs!$B$52))="YES",Inputs!$B$12,0),IF(UPPER(TRIM(C148))="ROOF",Inputs!$B$10,IF(UPPER(TRIM(C148))="PAVAGE",Inputs!$B$58,IF(UPPER(TRIM(C148))="TRESFOND",Inputs!$B$11,IF(UPPER(TRIM(C148))="GRASS",Inputs!$B$12,Inputs!$B$13))))))</f>
        <v>0.6</v>
      </c>
      <c r="G148" s="9" t="str">
        <f t="shared" si="4"/>
        <v/>
      </c>
      <c r="H148" s="9" t="str">
        <f>IF(A148="","",Inputs!$B$3/((IF(G148="",Inputs!$B$14,G148)+Inputs!$B$4)^Inputs!$B$5))</f>
        <v/>
      </c>
      <c r="I148" s="9" t="str">
        <f t="shared" si="5"/>
        <v/>
      </c>
      <c r="J148" s="3"/>
      <c r="K148" s="3"/>
      <c r="L148" s="4"/>
      <c r="M148" s="9" t="str">
        <f>IF(A148="","",IF(OR(J148="",Inputs!$B$59=""),0,IFERROR(INDEX(Elements_hybrides!$F$4:$F$204,MATCH(J148,Elements_hybrides!$A$4:$A$204,0))/(Inputs!$B$59*60),0)))</f>
        <v/>
      </c>
      <c r="N148" s="9" t="str">
        <f>IF(A148="","",IF(L148="",Inputs!$B$14,L148)+M148)</f>
        <v/>
      </c>
    </row>
    <row r="149" spans="1:14" x14ac:dyDescent="0.25">
      <c r="A149" s="3"/>
      <c r="B149" s="3"/>
      <c r="C149" s="3"/>
      <c r="D149" s="8"/>
      <c r="E149" s="8"/>
      <c r="F149" s="9">
        <f>IF(E149&lt;&gt;"",E149,IF(UPPER(TRIM(C149))="BASIN",IF(UPPER(TRIM(Inputs!$B$52))="YES",Inputs!$B$12,0),IF(UPPER(TRIM(C149))="ROOF",Inputs!$B$10,IF(UPPER(TRIM(C149))="PAVAGE",Inputs!$B$58,IF(UPPER(TRIM(C149))="TRESFOND",Inputs!$B$11,IF(UPPER(TRIM(C149))="GRASS",Inputs!$B$12,Inputs!$B$13))))))</f>
        <v>0.6</v>
      </c>
      <c r="G149" s="9" t="str">
        <f t="shared" si="4"/>
        <v/>
      </c>
      <c r="H149" s="9" t="str">
        <f>IF(A149="","",Inputs!$B$3/((IF(G149="",Inputs!$B$14,G149)+Inputs!$B$4)^Inputs!$B$5))</f>
        <v/>
      </c>
      <c r="I149" s="9" t="str">
        <f t="shared" si="5"/>
        <v/>
      </c>
      <c r="J149" s="3"/>
      <c r="K149" s="3"/>
      <c r="L149" s="4"/>
      <c r="M149" s="9" t="str">
        <f>IF(A149="","",IF(OR(J149="",Inputs!$B$59=""),0,IFERROR(INDEX(Elements_hybrides!$F$4:$F$204,MATCH(J149,Elements_hybrides!$A$4:$A$204,0))/(Inputs!$B$59*60),0)))</f>
        <v/>
      </c>
      <c r="N149" s="9" t="str">
        <f>IF(A149="","",IF(L149="",Inputs!$B$14,L149)+M149)</f>
        <v/>
      </c>
    </row>
    <row r="150" spans="1:14" x14ac:dyDescent="0.25">
      <c r="A150" s="3"/>
      <c r="B150" s="3"/>
      <c r="C150" s="3"/>
      <c r="D150" s="8"/>
      <c r="E150" s="8"/>
      <c r="F150" s="9">
        <f>IF(E150&lt;&gt;"",E150,IF(UPPER(TRIM(C150))="BASIN",IF(UPPER(TRIM(Inputs!$B$52))="YES",Inputs!$B$12,0),IF(UPPER(TRIM(C150))="ROOF",Inputs!$B$10,IF(UPPER(TRIM(C150))="PAVAGE",Inputs!$B$58,IF(UPPER(TRIM(C150))="TRESFOND",Inputs!$B$11,IF(UPPER(TRIM(C150))="GRASS",Inputs!$B$12,Inputs!$B$13))))))</f>
        <v>0.6</v>
      </c>
      <c r="G150" s="9" t="str">
        <f t="shared" si="4"/>
        <v/>
      </c>
      <c r="H150" s="9" t="str">
        <f>IF(A150="","",Inputs!$B$3/((IF(G150="",Inputs!$B$14,G150)+Inputs!$B$4)^Inputs!$B$5))</f>
        <v/>
      </c>
      <c r="I150" s="9" t="str">
        <f t="shared" si="5"/>
        <v/>
      </c>
      <c r="J150" s="3"/>
      <c r="K150" s="3"/>
      <c r="L150" s="4"/>
      <c r="M150" s="9" t="str">
        <f>IF(A150="","",IF(OR(J150="",Inputs!$B$59=""),0,IFERROR(INDEX(Elements_hybrides!$F$4:$F$204,MATCH(J150,Elements_hybrides!$A$4:$A$204,0))/(Inputs!$B$59*60),0)))</f>
        <v/>
      </c>
      <c r="N150" s="9" t="str">
        <f>IF(A150="","",IF(L150="",Inputs!$B$14,L150)+M150)</f>
        <v/>
      </c>
    </row>
    <row r="151" spans="1:14" x14ac:dyDescent="0.25">
      <c r="A151" s="3"/>
      <c r="B151" s="3"/>
      <c r="C151" s="3"/>
      <c r="D151" s="8"/>
      <c r="E151" s="8"/>
      <c r="F151" s="9">
        <f>IF(E151&lt;&gt;"",E151,IF(UPPER(TRIM(C151))="BASIN",IF(UPPER(TRIM(Inputs!$B$52))="YES",Inputs!$B$12,0),IF(UPPER(TRIM(C151))="ROOF",Inputs!$B$10,IF(UPPER(TRIM(C151))="PAVAGE",Inputs!$B$58,IF(UPPER(TRIM(C151))="TRESFOND",Inputs!$B$11,IF(UPPER(TRIM(C151))="GRASS",Inputs!$B$12,Inputs!$B$13))))))</f>
        <v>0.6</v>
      </c>
      <c r="G151" s="9" t="str">
        <f t="shared" si="4"/>
        <v/>
      </c>
      <c r="H151" s="9" t="str">
        <f>IF(A151="","",Inputs!$B$3/((IF(G151="",Inputs!$B$14,G151)+Inputs!$B$4)^Inputs!$B$5))</f>
        <v/>
      </c>
      <c r="I151" s="9" t="str">
        <f t="shared" si="5"/>
        <v/>
      </c>
      <c r="J151" s="3"/>
      <c r="K151" s="3"/>
      <c r="L151" s="4"/>
      <c r="M151" s="9" t="str">
        <f>IF(A151="","",IF(OR(J151="",Inputs!$B$59=""),0,IFERROR(INDEX(Elements_hybrides!$F$4:$F$204,MATCH(J151,Elements_hybrides!$A$4:$A$204,0))/(Inputs!$B$59*60),0)))</f>
        <v/>
      </c>
      <c r="N151" s="9" t="str">
        <f>IF(A151="","",IF(L151="",Inputs!$B$14,L151)+M151)</f>
        <v/>
      </c>
    </row>
    <row r="152" spans="1:14" x14ac:dyDescent="0.25">
      <c r="A152" s="3"/>
      <c r="B152" s="3"/>
      <c r="C152" s="3"/>
      <c r="D152" s="8"/>
      <c r="E152" s="8"/>
      <c r="F152" s="9">
        <f>IF(E152&lt;&gt;"",E152,IF(UPPER(TRIM(C152))="BASIN",IF(UPPER(TRIM(Inputs!$B$52))="YES",Inputs!$B$12,0),IF(UPPER(TRIM(C152))="ROOF",Inputs!$B$10,IF(UPPER(TRIM(C152))="PAVAGE",Inputs!$B$58,IF(UPPER(TRIM(C152))="TRESFOND",Inputs!$B$11,IF(UPPER(TRIM(C152))="GRASS",Inputs!$B$12,Inputs!$B$13))))))</f>
        <v>0.6</v>
      </c>
      <c r="G152" s="9" t="str">
        <f t="shared" si="4"/>
        <v/>
      </c>
      <c r="H152" s="9" t="str">
        <f>IF(A152="","",Inputs!$B$3/((IF(G152="",Inputs!$B$14,G152)+Inputs!$B$4)^Inputs!$B$5))</f>
        <v/>
      </c>
      <c r="I152" s="9" t="str">
        <f t="shared" si="5"/>
        <v/>
      </c>
      <c r="J152" s="3"/>
      <c r="K152" s="3"/>
      <c r="L152" s="4"/>
      <c r="M152" s="9" t="str">
        <f>IF(A152="","",IF(OR(J152="",Inputs!$B$59=""),0,IFERROR(INDEX(Elements_hybrides!$F$4:$F$204,MATCH(J152,Elements_hybrides!$A$4:$A$204,0))/(Inputs!$B$59*60),0)))</f>
        <v/>
      </c>
      <c r="N152" s="9" t="str">
        <f>IF(A152="","",IF(L152="",Inputs!$B$14,L152)+M152)</f>
        <v/>
      </c>
    </row>
    <row r="153" spans="1:14" x14ac:dyDescent="0.25">
      <c r="A153" s="3"/>
      <c r="B153" s="3"/>
      <c r="C153" s="3"/>
      <c r="D153" s="8"/>
      <c r="E153" s="8"/>
      <c r="F153" s="9">
        <f>IF(E153&lt;&gt;"",E153,IF(UPPER(TRIM(C153))="BASIN",IF(UPPER(TRIM(Inputs!$B$52))="YES",Inputs!$B$12,0),IF(UPPER(TRIM(C153))="ROOF",Inputs!$B$10,IF(UPPER(TRIM(C153))="PAVAGE",Inputs!$B$58,IF(UPPER(TRIM(C153))="TRESFOND",Inputs!$B$11,IF(UPPER(TRIM(C153))="GRASS",Inputs!$B$12,Inputs!$B$13))))))</f>
        <v>0.6</v>
      </c>
      <c r="G153" s="9" t="str">
        <f t="shared" si="4"/>
        <v/>
      </c>
      <c r="H153" s="9" t="str">
        <f>IF(A153="","",Inputs!$B$3/((IF(G153="",Inputs!$B$14,G153)+Inputs!$B$4)^Inputs!$B$5))</f>
        <v/>
      </c>
      <c r="I153" s="9" t="str">
        <f t="shared" si="5"/>
        <v/>
      </c>
      <c r="J153" s="3"/>
      <c r="K153" s="3"/>
      <c r="L153" s="4"/>
      <c r="M153" s="9" t="str">
        <f>IF(A153="","",IF(OR(J153="",Inputs!$B$59=""),0,IFERROR(INDEX(Elements_hybrides!$F$4:$F$204,MATCH(J153,Elements_hybrides!$A$4:$A$204,0))/(Inputs!$B$59*60),0)))</f>
        <v/>
      </c>
      <c r="N153" s="9" t="str">
        <f>IF(A153="","",IF(L153="",Inputs!$B$14,L153)+M153)</f>
        <v/>
      </c>
    </row>
    <row r="154" spans="1:14" x14ac:dyDescent="0.25">
      <c r="A154" s="3"/>
      <c r="B154" s="3"/>
      <c r="C154" s="3"/>
      <c r="D154" s="8"/>
      <c r="E154" s="8"/>
      <c r="F154" s="9">
        <f>IF(E154&lt;&gt;"",E154,IF(UPPER(TRIM(C154))="BASIN",IF(UPPER(TRIM(Inputs!$B$52))="YES",Inputs!$B$12,0),IF(UPPER(TRIM(C154))="ROOF",Inputs!$B$10,IF(UPPER(TRIM(C154))="PAVAGE",Inputs!$B$58,IF(UPPER(TRIM(C154))="TRESFOND",Inputs!$B$11,IF(UPPER(TRIM(C154))="GRASS",Inputs!$B$12,Inputs!$B$13))))))</f>
        <v>0.6</v>
      </c>
      <c r="G154" s="9" t="str">
        <f t="shared" si="4"/>
        <v/>
      </c>
      <c r="H154" s="9" t="str">
        <f>IF(A154="","",Inputs!$B$3/((IF(G154="",Inputs!$B$14,G154)+Inputs!$B$4)^Inputs!$B$5))</f>
        <v/>
      </c>
      <c r="I154" s="9" t="str">
        <f t="shared" si="5"/>
        <v/>
      </c>
      <c r="J154" s="3"/>
      <c r="K154" s="3"/>
      <c r="L154" s="4"/>
      <c r="M154" s="9" t="str">
        <f>IF(A154="","",IF(OR(J154="",Inputs!$B$59=""),0,IFERROR(INDEX(Elements_hybrides!$F$4:$F$204,MATCH(J154,Elements_hybrides!$A$4:$A$204,0))/(Inputs!$B$59*60),0)))</f>
        <v/>
      </c>
      <c r="N154" s="9" t="str">
        <f>IF(A154="","",IF(L154="",Inputs!$B$14,L154)+M154)</f>
        <v/>
      </c>
    </row>
    <row r="155" spans="1:14" x14ac:dyDescent="0.25">
      <c r="A155" s="3"/>
      <c r="B155" s="3"/>
      <c r="C155" s="3"/>
      <c r="D155" s="8"/>
      <c r="E155" s="8"/>
      <c r="F155" s="9">
        <f>IF(E155&lt;&gt;"",E155,IF(UPPER(TRIM(C155))="BASIN",IF(UPPER(TRIM(Inputs!$B$52))="YES",Inputs!$B$12,0),IF(UPPER(TRIM(C155))="ROOF",Inputs!$B$10,IF(UPPER(TRIM(C155))="PAVAGE",Inputs!$B$58,IF(UPPER(TRIM(C155))="TRESFOND",Inputs!$B$11,IF(UPPER(TRIM(C155))="GRASS",Inputs!$B$12,Inputs!$B$13))))))</f>
        <v>0.6</v>
      </c>
      <c r="G155" s="9" t="str">
        <f t="shared" si="4"/>
        <v/>
      </c>
      <c r="H155" s="9" t="str">
        <f>IF(A155="","",Inputs!$B$3/((IF(G155="",Inputs!$B$14,G155)+Inputs!$B$4)^Inputs!$B$5))</f>
        <v/>
      </c>
      <c r="I155" s="9" t="str">
        <f t="shared" si="5"/>
        <v/>
      </c>
      <c r="J155" s="3"/>
      <c r="K155" s="3"/>
      <c r="L155" s="4"/>
      <c r="M155" s="9" t="str">
        <f>IF(A155="","",IF(OR(J155="",Inputs!$B$59=""),0,IFERROR(INDEX(Elements_hybrides!$F$4:$F$204,MATCH(J155,Elements_hybrides!$A$4:$A$204,0))/(Inputs!$B$59*60),0)))</f>
        <v/>
      </c>
      <c r="N155" s="9" t="str">
        <f>IF(A155="","",IF(L155="",Inputs!$B$14,L155)+M155)</f>
        <v/>
      </c>
    </row>
    <row r="156" spans="1:14" x14ac:dyDescent="0.25">
      <c r="A156" s="3"/>
      <c r="B156" s="3"/>
      <c r="C156" s="3"/>
      <c r="D156" s="8"/>
      <c r="E156" s="8"/>
      <c r="F156" s="9">
        <f>IF(E156&lt;&gt;"",E156,IF(UPPER(TRIM(C156))="BASIN",IF(UPPER(TRIM(Inputs!$B$52))="YES",Inputs!$B$12,0),IF(UPPER(TRIM(C156))="ROOF",Inputs!$B$10,IF(UPPER(TRIM(C156))="PAVAGE",Inputs!$B$58,IF(UPPER(TRIM(C156))="TRESFOND",Inputs!$B$11,IF(UPPER(TRIM(C156))="GRASS",Inputs!$B$12,Inputs!$B$13))))))</f>
        <v>0.6</v>
      </c>
      <c r="G156" s="9" t="str">
        <f t="shared" si="4"/>
        <v/>
      </c>
      <c r="H156" s="9" t="str">
        <f>IF(A156="","",Inputs!$B$3/((IF(G156="",Inputs!$B$14,G156)+Inputs!$B$4)^Inputs!$B$5))</f>
        <v/>
      </c>
      <c r="I156" s="9" t="str">
        <f t="shared" si="5"/>
        <v/>
      </c>
      <c r="J156" s="3"/>
      <c r="K156" s="3"/>
      <c r="L156" s="4"/>
      <c r="M156" s="9" t="str">
        <f>IF(A156="","",IF(OR(J156="",Inputs!$B$59=""),0,IFERROR(INDEX(Elements_hybrides!$F$4:$F$204,MATCH(J156,Elements_hybrides!$A$4:$A$204,0))/(Inputs!$B$59*60),0)))</f>
        <v/>
      </c>
      <c r="N156" s="9" t="str">
        <f>IF(A156="","",IF(L156="",Inputs!$B$14,L156)+M156)</f>
        <v/>
      </c>
    </row>
    <row r="157" spans="1:14" x14ac:dyDescent="0.25">
      <c r="A157" s="3"/>
      <c r="B157" s="3"/>
      <c r="C157" s="3"/>
      <c r="D157" s="8"/>
      <c r="E157" s="8"/>
      <c r="F157" s="9">
        <f>IF(E157&lt;&gt;"",E157,IF(UPPER(TRIM(C157))="BASIN",IF(UPPER(TRIM(Inputs!$B$52))="YES",Inputs!$B$12,0),IF(UPPER(TRIM(C157))="ROOF",Inputs!$B$10,IF(UPPER(TRIM(C157))="PAVAGE",Inputs!$B$58,IF(UPPER(TRIM(C157))="TRESFOND",Inputs!$B$11,IF(UPPER(TRIM(C157))="GRASS",Inputs!$B$12,Inputs!$B$13))))))</f>
        <v>0.6</v>
      </c>
      <c r="G157" s="9" t="str">
        <f t="shared" si="4"/>
        <v/>
      </c>
      <c r="H157" s="9" t="str">
        <f>IF(A157="","",Inputs!$B$3/((IF(G157="",Inputs!$B$14,G157)+Inputs!$B$4)^Inputs!$B$5))</f>
        <v/>
      </c>
      <c r="I157" s="9" t="str">
        <f t="shared" si="5"/>
        <v/>
      </c>
      <c r="J157" s="3"/>
      <c r="K157" s="3"/>
      <c r="L157" s="4"/>
      <c r="M157" s="9" t="str">
        <f>IF(A157="","",IF(OR(J157="",Inputs!$B$59=""),0,IFERROR(INDEX(Elements_hybrides!$F$4:$F$204,MATCH(J157,Elements_hybrides!$A$4:$A$204,0))/(Inputs!$B$59*60),0)))</f>
        <v/>
      </c>
      <c r="N157" s="9" t="str">
        <f>IF(A157="","",IF(L157="",Inputs!$B$14,L157)+M157)</f>
        <v/>
      </c>
    </row>
    <row r="158" spans="1:14" x14ac:dyDescent="0.25">
      <c r="A158" s="3"/>
      <c r="B158" s="3"/>
      <c r="C158" s="3"/>
      <c r="D158" s="8"/>
      <c r="E158" s="8"/>
      <c r="F158" s="9">
        <f>IF(E158&lt;&gt;"",E158,IF(UPPER(TRIM(C158))="BASIN",IF(UPPER(TRIM(Inputs!$B$52))="YES",Inputs!$B$12,0),IF(UPPER(TRIM(C158))="ROOF",Inputs!$B$10,IF(UPPER(TRIM(C158))="PAVAGE",Inputs!$B$58,IF(UPPER(TRIM(C158))="TRESFOND",Inputs!$B$11,IF(UPPER(TRIM(C158))="GRASS",Inputs!$B$12,Inputs!$B$13))))))</f>
        <v>0.6</v>
      </c>
      <c r="G158" s="9" t="str">
        <f t="shared" si="4"/>
        <v/>
      </c>
      <c r="H158" s="9" t="str">
        <f>IF(A158="","",Inputs!$B$3/((IF(G158="",Inputs!$B$14,G158)+Inputs!$B$4)^Inputs!$B$5))</f>
        <v/>
      </c>
      <c r="I158" s="9" t="str">
        <f t="shared" si="5"/>
        <v/>
      </c>
      <c r="J158" s="3"/>
      <c r="K158" s="3"/>
      <c r="L158" s="4"/>
      <c r="M158" s="9" t="str">
        <f>IF(A158="","",IF(OR(J158="",Inputs!$B$59=""),0,IFERROR(INDEX(Elements_hybrides!$F$4:$F$204,MATCH(J158,Elements_hybrides!$A$4:$A$204,0))/(Inputs!$B$59*60),0)))</f>
        <v/>
      </c>
      <c r="N158" s="9" t="str">
        <f>IF(A158="","",IF(L158="",Inputs!$B$14,L158)+M158)</f>
        <v/>
      </c>
    </row>
    <row r="159" spans="1:14" x14ac:dyDescent="0.25">
      <c r="A159" s="3"/>
      <c r="B159" s="3"/>
      <c r="C159" s="3"/>
      <c r="D159" s="8"/>
      <c r="E159" s="8"/>
      <c r="F159" s="9">
        <f>IF(E159&lt;&gt;"",E159,IF(UPPER(TRIM(C159))="BASIN",IF(UPPER(TRIM(Inputs!$B$52))="YES",Inputs!$B$12,0),IF(UPPER(TRIM(C159))="ROOF",Inputs!$B$10,IF(UPPER(TRIM(C159))="PAVAGE",Inputs!$B$58,IF(UPPER(TRIM(C159))="TRESFOND",Inputs!$B$11,IF(UPPER(TRIM(C159))="GRASS",Inputs!$B$12,Inputs!$B$13))))))</f>
        <v>0.6</v>
      </c>
      <c r="G159" s="9" t="str">
        <f t="shared" si="4"/>
        <v/>
      </c>
      <c r="H159" s="9" t="str">
        <f>IF(A159="","",Inputs!$B$3/((IF(G159="",Inputs!$B$14,G159)+Inputs!$B$4)^Inputs!$B$5))</f>
        <v/>
      </c>
      <c r="I159" s="9" t="str">
        <f t="shared" si="5"/>
        <v/>
      </c>
      <c r="J159" s="3"/>
      <c r="K159" s="3"/>
      <c r="L159" s="4"/>
      <c r="M159" s="9" t="str">
        <f>IF(A159="","",IF(OR(J159="",Inputs!$B$59=""),0,IFERROR(INDEX(Elements_hybrides!$F$4:$F$204,MATCH(J159,Elements_hybrides!$A$4:$A$204,0))/(Inputs!$B$59*60),0)))</f>
        <v/>
      </c>
      <c r="N159" s="9" t="str">
        <f>IF(A159="","",IF(L159="",Inputs!$B$14,L159)+M159)</f>
        <v/>
      </c>
    </row>
    <row r="160" spans="1:14" x14ac:dyDescent="0.25">
      <c r="A160" s="3"/>
      <c r="B160" s="3"/>
      <c r="C160" s="3"/>
      <c r="D160" s="8"/>
      <c r="E160" s="8"/>
      <c r="F160" s="9">
        <f>IF(E160&lt;&gt;"",E160,IF(UPPER(TRIM(C160))="BASIN",IF(UPPER(TRIM(Inputs!$B$52))="YES",Inputs!$B$12,0),IF(UPPER(TRIM(C160))="ROOF",Inputs!$B$10,IF(UPPER(TRIM(C160))="PAVAGE",Inputs!$B$58,IF(UPPER(TRIM(C160))="TRESFOND",Inputs!$B$11,IF(UPPER(TRIM(C160))="GRASS",Inputs!$B$12,Inputs!$B$13))))))</f>
        <v>0.6</v>
      </c>
      <c r="G160" s="9" t="str">
        <f t="shared" si="4"/>
        <v/>
      </c>
      <c r="H160" s="9" t="str">
        <f>IF(A160="","",Inputs!$B$3/((IF(G160="",Inputs!$B$14,G160)+Inputs!$B$4)^Inputs!$B$5))</f>
        <v/>
      </c>
      <c r="I160" s="9" t="str">
        <f t="shared" si="5"/>
        <v/>
      </c>
      <c r="J160" s="3"/>
      <c r="K160" s="3"/>
      <c r="L160" s="4"/>
      <c r="M160" s="9" t="str">
        <f>IF(A160="","",IF(OR(J160="",Inputs!$B$59=""),0,IFERROR(INDEX(Elements_hybrides!$F$4:$F$204,MATCH(J160,Elements_hybrides!$A$4:$A$204,0))/(Inputs!$B$59*60),0)))</f>
        <v/>
      </c>
      <c r="N160" s="9" t="str">
        <f>IF(A160="","",IF(L160="",Inputs!$B$14,L160)+M160)</f>
        <v/>
      </c>
    </row>
    <row r="161" spans="1:14" x14ac:dyDescent="0.25">
      <c r="A161" s="3"/>
      <c r="B161" s="3"/>
      <c r="C161" s="3"/>
      <c r="D161" s="8"/>
      <c r="E161" s="8"/>
      <c r="F161" s="9">
        <f>IF(E161&lt;&gt;"",E161,IF(UPPER(TRIM(C161))="BASIN",IF(UPPER(TRIM(Inputs!$B$52))="YES",Inputs!$B$12,0),IF(UPPER(TRIM(C161))="ROOF",Inputs!$B$10,IF(UPPER(TRIM(C161))="PAVAGE",Inputs!$B$58,IF(UPPER(TRIM(C161))="TRESFOND",Inputs!$B$11,IF(UPPER(TRIM(C161))="GRASS",Inputs!$B$12,Inputs!$B$13))))))</f>
        <v>0.6</v>
      </c>
      <c r="G161" s="9" t="str">
        <f t="shared" si="4"/>
        <v/>
      </c>
      <c r="H161" s="9" t="str">
        <f>IF(A161="","",Inputs!$B$3/((IF(G161="",Inputs!$B$14,G161)+Inputs!$B$4)^Inputs!$B$5))</f>
        <v/>
      </c>
      <c r="I161" s="9" t="str">
        <f t="shared" si="5"/>
        <v/>
      </c>
      <c r="J161" s="3"/>
      <c r="K161" s="3"/>
      <c r="L161" s="4"/>
      <c r="M161" s="9" t="str">
        <f>IF(A161="","",IF(OR(J161="",Inputs!$B$59=""),0,IFERROR(INDEX(Elements_hybrides!$F$4:$F$204,MATCH(J161,Elements_hybrides!$A$4:$A$204,0))/(Inputs!$B$59*60),0)))</f>
        <v/>
      </c>
      <c r="N161" s="9" t="str">
        <f>IF(A161="","",IF(L161="",Inputs!$B$14,L161)+M161)</f>
        <v/>
      </c>
    </row>
    <row r="162" spans="1:14" x14ac:dyDescent="0.25">
      <c r="A162" s="3"/>
      <c r="B162" s="3"/>
      <c r="C162" s="3"/>
      <c r="D162" s="8"/>
      <c r="E162" s="8"/>
      <c r="F162" s="9">
        <f>IF(E162&lt;&gt;"",E162,IF(UPPER(TRIM(C162))="BASIN",IF(UPPER(TRIM(Inputs!$B$52))="YES",Inputs!$B$12,0),IF(UPPER(TRIM(C162))="ROOF",Inputs!$B$10,IF(UPPER(TRIM(C162))="PAVAGE",Inputs!$B$58,IF(UPPER(TRIM(C162))="TRESFOND",Inputs!$B$11,IF(UPPER(TRIM(C162))="GRASS",Inputs!$B$12,Inputs!$B$13))))))</f>
        <v>0.6</v>
      </c>
      <c r="G162" s="9" t="str">
        <f t="shared" si="4"/>
        <v/>
      </c>
      <c r="H162" s="9" t="str">
        <f>IF(A162="","",Inputs!$B$3/((IF(G162="",Inputs!$B$14,G162)+Inputs!$B$4)^Inputs!$B$5))</f>
        <v/>
      </c>
      <c r="I162" s="9" t="str">
        <f t="shared" si="5"/>
        <v/>
      </c>
      <c r="J162" s="3"/>
      <c r="K162" s="3"/>
      <c r="L162" s="4"/>
      <c r="M162" s="9" t="str">
        <f>IF(A162="","",IF(OR(J162="",Inputs!$B$59=""),0,IFERROR(INDEX(Elements_hybrides!$F$4:$F$204,MATCH(J162,Elements_hybrides!$A$4:$A$204,0))/(Inputs!$B$59*60),0)))</f>
        <v/>
      </c>
      <c r="N162" s="9" t="str">
        <f>IF(A162="","",IF(L162="",Inputs!$B$14,L162)+M162)</f>
        <v/>
      </c>
    </row>
    <row r="163" spans="1:14" x14ac:dyDescent="0.25">
      <c r="A163" s="3"/>
      <c r="B163" s="3"/>
      <c r="C163" s="3"/>
      <c r="D163" s="8"/>
      <c r="E163" s="8"/>
      <c r="F163" s="9">
        <f>IF(E163&lt;&gt;"",E163,IF(UPPER(TRIM(C163))="BASIN",IF(UPPER(TRIM(Inputs!$B$52))="YES",Inputs!$B$12,0),IF(UPPER(TRIM(C163))="ROOF",Inputs!$B$10,IF(UPPER(TRIM(C163))="PAVAGE",Inputs!$B$58,IF(UPPER(TRIM(C163))="TRESFOND",Inputs!$B$11,IF(UPPER(TRIM(C163))="GRASS",Inputs!$B$12,Inputs!$B$13))))))</f>
        <v>0.6</v>
      </c>
      <c r="G163" s="9" t="str">
        <f t="shared" si="4"/>
        <v/>
      </c>
      <c r="H163" s="9" t="str">
        <f>IF(A163="","",Inputs!$B$3/((IF(G163="",Inputs!$B$14,G163)+Inputs!$B$4)^Inputs!$B$5))</f>
        <v/>
      </c>
      <c r="I163" s="9" t="str">
        <f t="shared" si="5"/>
        <v/>
      </c>
      <c r="J163" s="3"/>
      <c r="K163" s="3"/>
      <c r="L163" s="4"/>
      <c r="M163" s="9" t="str">
        <f>IF(A163="","",IF(OR(J163="",Inputs!$B$59=""),0,IFERROR(INDEX(Elements_hybrides!$F$4:$F$204,MATCH(J163,Elements_hybrides!$A$4:$A$204,0))/(Inputs!$B$59*60),0)))</f>
        <v/>
      </c>
      <c r="N163" s="9" t="str">
        <f>IF(A163="","",IF(L163="",Inputs!$B$14,L163)+M163)</f>
        <v/>
      </c>
    </row>
    <row r="164" spans="1:14" x14ac:dyDescent="0.25">
      <c r="A164" s="3"/>
      <c r="B164" s="3"/>
      <c r="C164" s="3"/>
      <c r="D164" s="8"/>
      <c r="E164" s="8"/>
      <c r="F164" s="9">
        <f>IF(E164&lt;&gt;"",E164,IF(UPPER(TRIM(C164))="BASIN",IF(UPPER(TRIM(Inputs!$B$52))="YES",Inputs!$B$12,0),IF(UPPER(TRIM(C164))="ROOF",Inputs!$B$10,IF(UPPER(TRIM(C164))="PAVAGE",Inputs!$B$58,IF(UPPER(TRIM(C164))="TRESFOND",Inputs!$B$11,IF(UPPER(TRIM(C164))="GRASS",Inputs!$B$12,Inputs!$B$13))))))</f>
        <v>0.6</v>
      </c>
      <c r="G164" s="9" t="str">
        <f t="shared" si="4"/>
        <v/>
      </c>
      <c r="H164" s="9" t="str">
        <f>IF(A164="","",Inputs!$B$3/((IF(G164="",Inputs!$B$14,G164)+Inputs!$B$4)^Inputs!$B$5))</f>
        <v/>
      </c>
      <c r="I164" s="9" t="str">
        <f t="shared" si="5"/>
        <v/>
      </c>
      <c r="J164" s="3"/>
      <c r="K164" s="3"/>
      <c r="L164" s="4"/>
      <c r="M164" s="9" t="str">
        <f>IF(A164="","",IF(OR(J164="",Inputs!$B$59=""),0,IFERROR(INDEX(Elements_hybrides!$F$4:$F$204,MATCH(J164,Elements_hybrides!$A$4:$A$204,0))/(Inputs!$B$59*60),0)))</f>
        <v/>
      </c>
      <c r="N164" s="9" t="str">
        <f>IF(A164="","",IF(L164="",Inputs!$B$14,L164)+M164)</f>
        <v/>
      </c>
    </row>
    <row r="165" spans="1:14" x14ac:dyDescent="0.25">
      <c r="A165" s="3"/>
      <c r="B165" s="3"/>
      <c r="C165" s="3"/>
      <c r="D165" s="8"/>
      <c r="E165" s="8"/>
      <c r="F165" s="9">
        <f>IF(E165&lt;&gt;"",E165,IF(UPPER(TRIM(C165))="BASIN",IF(UPPER(TRIM(Inputs!$B$52))="YES",Inputs!$B$12,0),IF(UPPER(TRIM(C165))="ROOF",Inputs!$B$10,IF(UPPER(TRIM(C165))="PAVAGE",Inputs!$B$58,IF(UPPER(TRIM(C165))="TRESFOND",Inputs!$B$11,IF(UPPER(TRIM(C165))="GRASS",Inputs!$B$12,Inputs!$B$13))))))</f>
        <v>0.6</v>
      </c>
      <c r="G165" s="9" t="str">
        <f t="shared" si="4"/>
        <v/>
      </c>
      <c r="H165" s="9" t="str">
        <f>IF(A165="","",Inputs!$B$3/((IF(G165="",Inputs!$B$14,G165)+Inputs!$B$4)^Inputs!$B$5))</f>
        <v/>
      </c>
      <c r="I165" s="9" t="str">
        <f t="shared" si="5"/>
        <v/>
      </c>
      <c r="J165" s="3"/>
      <c r="K165" s="3"/>
      <c r="L165" s="4"/>
      <c r="M165" s="9" t="str">
        <f>IF(A165="","",IF(OR(J165="",Inputs!$B$59=""),0,IFERROR(INDEX(Elements_hybrides!$F$4:$F$204,MATCH(J165,Elements_hybrides!$A$4:$A$204,0))/(Inputs!$B$59*60),0)))</f>
        <v/>
      </c>
      <c r="N165" s="9" t="str">
        <f>IF(A165="","",IF(L165="",Inputs!$B$14,L165)+M165)</f>
        <v/>
      </c>
    </row>
    <row r="166" spans="1:14" x14ac:dyDescent="0.25">
      <c r="A166" s="3"/>
      <c r="B166" s="3"/>
      <c r="C166" s="3"/>
      <c r="D166" s="8"/>
      <c r="E166" s="8"/>
      <c r="F166" s="9">
        <f>IF(E166&lt;&gt;"",E166,IF(UPPER(TRIM(C166))="BASIN",IF(UPPER(TRIM(Inputs!$B$52))="YES",Inputs!$B$12,0),IF(UPPER(TRIM(C166))="ROOF",Inputs!$B$10,IF(UPPER(TRIM(C166))="PAVAGE",Inputs!$B$58,IF(UPPER(TRIM(C166))="TRESFOND",Inputs!$B$11,IF(UPPER(TRIM(C166))="GRASS",Inputs!$B$12,Inputs!$B$13))))))</f>
        <v>0.6</v>
      </c>
      <c r="G166" s="9" t="str">
        <f t="shared" si="4"/>
        <v/>
      </c>
      <c r="H166" s="9" t="str">
        <f>IF(A166="","",Inputs!$B$3/((IF(G166="",Inputs!$B$14,G166)+Inputs!$B$4)^Inputs!$B$5))</f>
        <v/>
      </c>
      <c r="I166" s="9" t="str">
        <f t="shared" si="5"/>
        <v/>
      </c>
      <c r="J166" s="3"/>
      <c r="K166" s="3"/>
      <c r="L166" s="4"/>
      <c r="M166" s="9" t="str">
        <f>IF(A166="","",IF(OR(J166="",Inputs!$B$59=""),0,IFERROR(INDEX(Elements_hybrides!$F$4:$F$204,MATCH(J166,Elements_hybrides!$A$4:$A$204,0))/(Inputs!$B$59*60),0)))</f>
        <v/>
      </c>
      <c r="N166" s="9" t="str">
        <f>IF(A166="","",IF(L166="",Inputs!$B$14,L166)+M166)</f>
        <v/>
      </c>
    </row>
    <row r="167" spans="1:14" x14ac:dyDescent="0.25">
      <c r="A167" s="3"/>
      <c r="B167" s="3"/>
      <c r="C167" s="3"/>
      <c r="D167" s="8"/>
      <c r="E167" s="8"/>
      <c r="F167" s="9">
        <f>IF(E167&lt;&gt;"",E167,IF(UPPER(TRIM(C167))="BASIN",IF(UPPER(TRIM(Inputs!$B$52))="YES",Inputs!$B$12,0),IF(UPPER(TRIM(C167))="ROOF",Inputs!$B$10,IF(UPPER(TRIM(C167))="PAVAGE",Inputs!$B$58,IF(UPPER(TRIM(C167))="TRESFOND",Inputs!$B$11,IF(UPPER(TRIM(C167))="GRASS",Inputs!$B$12,Inputs!$B$13))))))</f>
        <v>0.6</v>
      </c>
      <c r="G167" s="9" t="str">
        <f t="shared" si="4"/>
        <v/>
      </c>
      <c r="H167" s="9" t="str">
        <f>IF(A167="","",Inputs!$B$3/((IF(G167="",Inputs!$B$14,G167)+Inputs!$B$4)^Inputs!$B$5))</f>
        <v/>
      </c>
      <c r="I167" s="9" t="str">
        <f t="shared" si="5"/>
        <v/>
      </c>
      <c r="J167" s="3"/>
      <c r="K167" s="3"/>
      <c r="L167" s="4"/>
      <c r="M167" s="9" t="str">
        <f>IF(A167="","",IF(OR(J167="",Inputs!$B$59=""),0,IFERROR(INDEX(Elements_hybrides!$F$4:$F$204,MATCH(J167,Elements_hybrides!$A$4:$A$204,0))/(Inputs!$B$59*60),0)))</f>
        <v/>
      </c>
      <c r="N167" s="9" t="str">
        <f>IF(A167="","",IF(L167="",Inputs!$B$14,L167)+M167)</f>
        <v/>
      </c>
    </row>
    <row r="168" spans="1:14" x14ac:dyDescent="0.25">
      <c r="A168" s="3"/>
      <c r="B168" s="3"/>
      <c r="C168" s="3"/>
      <c r="D168" s="8"/>
      <c r="E168" s="8"/>
      <c r="F168" s="9">
        <f>IF(E168&lt;&gt;"",E168,IF(UPPER(TRIM(C168))="BASIN",IF(UPPER(TRIM(Inputs!$B$52))="YES",Inputs!$B$12,0),IF(UPPER(TRIM(C168))="ROOF",Inputs!$B$10,IF(UPPER(TRIM(C168))="PAVAGE",Inputs!$B$58,IF(UPPER(TRIM(C168))="TRESFOND",Inputs!$B$11,IF(UPPER(TRIM(C168))="GRASS",Inputs!$B$12,Inputs!$B$13))))))</f>
        <v>0.6</v>
      </c>
      <c r="G168" s="9" t="str">
        <f t="shared" si="4"/>
        <v/>
      </c>
      <c r="H168" s="9" t="str">
        <f>IF(A168="","",Inputs!$B$3/((IF(G168="",Inputs!$B$14,G168)+Inputs!$B$4)^Inputs!$B$5))</f>
        <v/>
      </c>
      <c r="I168" s="9" t="str">
        <f t="shared" si="5"/>
        <v/>
      </c>
      <c r="J168" s="3"/>
      <c r="K168" s="3"/>
      <c r="L168" s="4"/>
      <c r="M168" s="9" t="str">
        <f>IF(A168="","",IF(OR(J168="",Inputs!$B$59=""),0,IFERROR(INDEX(Elements_hybrides!$F$4:$F$204,MATCH(J168,Elements_hybrides!$A$4:$A$204,0))/(Inputs!$B$59*60),0)))</f>
        <v/>
      </c>
      <c r="N168" s="9" t="str">
        <f>IF(A168="","",IF(L168="",Inputs!$B$14,L168)+M168)</f>
        <v/>
      </c>
    </row>
    <row r="169" spans="1:14" x14ac:dyDescent="0.25">
      <c r="A169" s="3"/>
      <c r="B169" s="3"/>
      <c r="C169" s="3"/>
      <c r="D169" s="8"/>
      <c r="E169" s="8"/>
      <c r="F169" s="9">
        <f>IF(E169&lt;&gt;"",E169,IF(UPPER(TRIM(C169))="BASIN",IF(UPPER(TRIM(Inputs!$B$52))="YES",Inputs!$B$12,0),IF(UPPER(TRIM(C169))="ROOF",Inputs!$B$10,IF(UPPER(TRIM(C169))="PAVAGE",Inputs!$B$58,IF(UPPER(TRIM(C169))="TRESFOND",Inputs!$B$11,IF(UPPER(TRIM(C169))="GRASS",Inputs!$B$12,Inputs!$B$13))))))</f>
        <v>0.6</v>
      </c>
      <c r="G169" s="9" t="str">
        <f t="shared" si="4"/>
        <v/>
      </c>
      <c r="H169" s="9" t="str">
        <f>IF(A169="","",Inputs!$B$3/((IF(G169="",Inputs!$B$14,G169)+Inputs!$B$4)^Inputs!$B$5))</f>
        <v/>
      </c>
      <c r="I169" s="9" t="str">
        <f t="shared" si="5"/>
        <v/>
      </c>
      <c r="J169" s="3"/>
      <c r="K169" s="3"/>
      <c r="L169" s="4"/>
      <c r="M169" s="9" t="str">
        <f>IF(A169="","",IF(OR(J169="",Inputs!$B$59=""),0,IFERROR(INDEX(Elements_hybrides!$F$4:$F$204,MATCH(J169,Elements_hybrides!$A$4:$A$204,0))/(Inputs!$B$59*60),0)))</f>
        <v/>
      </c>
      <c r="N169" s="9" t="str">
        <f>IF(A169="","",IF(L169="",Inputs!$B$14,L169)+M169)</f>
        <v/>
      </c>
    </row>
    <row r="170" spans="1:14" x14ac:dyDescent="0.25">
      <c r="A170" s="3"/>
      <c r="B170" s="3"/>
      <c r="C170" s="3"/>
      <c r="D170" s="8"/>
      <c r="E170" s="8"/>
      <c r="F170" s="9">
        <f>IF(E170&lt;&gt;"",E170,IF(UPPER(TRIM(C170))="BASIN",IF(UPPER(TRIM(Inputs!$B$52))="YES",Inputs!$B$12,0),IF(UPPER(TRIM(C170))="ROOF",Inputs!$B$10,IF(UPPER(TRIM(C170))="PAVAGE",Inputs!$B$58,IF(UPPER(TRIM(C170))="TRESFOND",Inputs!$B$11,IF(UPPER(TRIM(C170))="GRASS",Inputs!$B$12,Inputs!$B$13))))))</f>
        <v>0.6</v>
      </c>
      <c r="G170" s="9" t="str">
        <f t="shared" si="4"/>
        <v/>
      </c>
      <c r="H170" s="9" t="str">
        <f>IF(A170="","",Inputs!$B$3/((IF(G170="",Inputs!$B$14,G170)+Inputs!$B$4)^Inputs!$B$5))</f>
        <v/>
      </c>
      <c r="I170" s="9" t="str">
        <f t="shared" si="5"/>
        <v/>
      </c>
      <c r="J170" s="3"/>
      <c r="K170" s="3"/>
      <c r="L170" s="4"/>
      <c r="M170" s="9" t="str">
        <f>IF(A170="","",IF(OR(J170="",Inputs!$B$59=""),0,IFERROR(INDEX(Elements_hybrides!$F$4:$F$204,MATCH(J170,Elements_hybrides!$A$4:$A$204,0))/(Inputs!$B$59*60),0)))</f>
        <v/>
      </c>
      <c r="N170" s="9" t="str">
        <f>IF(A170="","",IF(L170="",Inputs!$B$14,L170)+M170)</f>
        <v/>
      </c>
    </row>
    <row r="171" spans="1:14" x14ac:dyDescent="0.25">
      <c r="A171" s="3"/>
      <c r="B171" s="3"/>
      <c r="C171" s="3"/>
      <c r="D171" s="8"/>
      <c r="E171" s="8"/>
      <c r="F171" s="9">
        <f>IF(E171&lt;&gt;"",E171,IF(UPPER(TRIM(C171))="BASIN",IF(UPPER(TRIM(Inputs!$B$52))="YES",Inputs!$B$12,0),IF(UPPER(TRIM(C171))="ROOF",Inputs!$B$10,IF(UPPER(TRIM(C171))="PAVAGE",Inputs!$B$58,IF(UPPER(TRIM(C171))="TRESFOND",Inputs!$B$11,IF(UPPER(TRIM(C171))="GRASS",Inputs!$B$12,Inputs!$B$13))))))</f>
        <v>0.6</v>
      </c>
      <c r="G171" s="9" t="str">
        <f t="shared" si="4"/>
        <v/>
      </c>
      <c r="H171" s="9" t="str">
        <f>IF(A171="","",Inputs!$B$3/((IF(G171="",Inputs!$B$14,G171)+Inputs!$B$4)^Inputs!$B$5))</f>
        <v/>
      </c>
      <c r="I171" s="9" t="str">
        <f t="shared" si="5"/>
        <v/>
      </c>
      <c r="J171" s="3"/>
      <c r="K171" s="3"/>
      <c r="L171" s="4"/>
      <c r="M171" s="9" t="str">
        <f>IF(A171="","",IF(OR(J171="",Inputs!$B$59=""),0,IFERROR(INDEX(Elements_hybrides!$F$4:$F$204,MATCH(J171,Elements_hybrides!$A$4:$A$204,0))/(Inputs!$B$59*60),0)))</f>
        <v/>
      </c>
      <c r="N171" s="9" t="str">
        <f>IF(A171="","",IF(L171="",Inputs!$B$14,L171)+M171)</f>
        <v/>
      </c>
    </row>
    <row r="172" spans="1:14" x14ac:dyDescent="0.25">
      <c r="A172" s="3"/>
      <c r="B172" s="3"/>
      <c r="C172" s="3"/>
      <c r="D172" s="8"/>
      <c r="E172" s="8"/>
      <c r="F172" s="9">
        <f>IF(E172&lt;&gt;"",E172,IF(UPPER(TRIM(C172))="BASIN",IF(UPPER(TRIM(Inputs!$B$52))="YES",Inputs!$B$12,0),IF(UPPER(TRIM(C172))="ROOF",Inputs!$B$10,IF(UPPER(TRIM(C172))="PAVAGE",Inputs!$B$58,IF(UPPER(TRIM(C172))="TRESFOND",Inputs!$B$11,IF(UPPER(TRIM(C172))="GRASS",Inputs!$B$12,Inputs!$B$13))))))</f>
        <v>0.6</v>
      </c>
      <c r="G172" s="9" t="str">
        <f t="shared" si="4"/>
        <v/>
      </c>
      <c r="H172" s="9" t="str">
        <f>IF(A172="","",Inputs!$B$3/((IF(G172="",Inputs!$B$14,G172)+Inputs!$B$4)^Inputs!$B$5))</f>
        <v/>
      </c>
      <c r="I172" s="9" t="str">
        <f t="shared" si="5"/>
        <v/>
      </c>
      <c r="J172" s="3"/>
      <c r="K172" s="3"/>
      <c r="L172" s="4"/>
      <c r="M172" s="9" t="str">
        <f>IF(A172="","",IF(OR(J172="",Inputs!$B$59=""),0,IFERROR(INDEX(Elements_hybrides!$F$4:$F$204,MATCH(J172,Elements_hybrides!$A$4:$A$204,0))/(Inputs!$B$59*60),0)))</f>
        <v/>
      </c>
      <c r="N172" s="9" t="str">
        <f>IF(A172="","",IF(L172="",Inputs!$B$14,L172)+M172)</f>
        <v/>
      </c>
    </row>
    <row r="173" spans="1:14" x14ac:dyDescent="0.25">
      <c r="A173" s="3"/>
      <c r="B173" s="3"/>
      <c r="C173" s="3"/>
      <c r="D173" s="8"/>
      <c r="E173" s="8"/>
      <c r="F173" s="9">
        <f>IF(E173&lt;&gt;"",E173,IF(UPPER(TRIM(C173))="BASIN",IF(UPPER(TRIM(Inputs!$B$52))="YES",Inputs!$B$12,0),IF(UPPER(TRIM(C173))="ROOF",Inputs!$B$10,IF(UPPER(TRIM(C173))="PAVAGE",Inputs!$B$58,IF(UPPER(TRIM(C173))="TRESFOND",Inputs!$B$11,IF(UPPER(TRIM(C173))="GRASS",Inputs!$B$12,Inputs!$B$13))))))</f>
        <v>0.6</v>
      </c>
      <c r="G173" s="9" t="str">
        <f t="shared" si="4"/>
        <v/>
      </c>
      <c r="H173" s="9" t="str">
        <f>IF(A173="","",Inputs!$B$3/((IF(G173="",Inputs!$B$14,G173)+Inputs!$B$4)^Inputs!$B$5))</f>
        <v/>
      </c>
      <c r="I173" s="9" t="str">
        <f t="shared" si="5"/>
        <v/>
      </c>
      <c r="J173" s="3"/>
      <c r="K173" s="3"/>
      <c r="L173" s="4"/>
      <c r="M173" s="9" t="str">
        <f>IF(A173="","",IF(OR(J173="",Inputs!$B$59=""),0,IFERROR(INDEX(Elements_hybrides!$F$4:$F$204,MATCH(J173,Elements_hybrides!$A$4:$A$204,0))/(Inputs!$B$59*60),0)))</f>
        <v/>
      </c>
      <c r="N173" s="9" t="str">
        <f>IF(A173="","",IF(L173="",Inputs!$B$14,L173)+M173)</f>
        <v/>
      </c>
    </row>
    <row r="174" spans="1:14" x14ac:dyDescent="0.25">
      <c r="A174" s="3"/>
      <c r="B174" s="3"/>
      <c r="C174" s="3"/>
      <c r="D174" s="8"/>
      <c r="E174" s="8"/>
      <c r="F174" s="9">
        <f>IF(E174&lt;&gt;"",E174,IF(UPPER(TRIM(C174))="BASIN",IF(UPPER(TRIM(Inputs!$B$52))="YES",Inputs!$B$12,0),IF(UPPER(TRIM(C174))="ROOF",Inputs!$B$10,IF(UPPER(TRIM(C174))="PAVAGE",Inputs!$B$58,IF(UPPER(TRIM(C174))="TRESFOND",Inputs!$B$11,IF(UPPER(TRIM(C174))="GRASS",Inputs!$B$12,Inputs!$B$13))))))</f>
        <v>0.6</v>
      </c>
      <c r="G174" s="9" t="str">
        <f t="shared" si="4"/>
        <v/>
      </c>
      <c r="H174" s="9" t="str">
        <f>IF(A174="","",Inputs!$B$3/((IF(G174="",Inputs!$B$14,G174)+Inputs!$B$4)^Inputs!$B$5))</f>
        <v/>
      </c>
      <c r="I174" s="9" t="str">
        <f t="shared" si="5"/>
        <v/>
      </c>
      <c r="J174" s="3"/>
      <c r="K174" s="3"/>
      <c r="L174" s="4"/>
      <c r="M174" s="9" t="str">
        <f>IF(A174="","",IF(OR(J174="",Inputs!$B$59=""),0,IFERROR(INDEX(Elements_hybrides!$F$4:$F$204,MATCH(J174,Elements_hybrides!$A$4:$A$204,0))/(Inputs!$B$59*60),0)))</f>
        <v/>
      </c>
      <c r="N174" s="9" t="str">
        <f>IF(A174="","",IF(L174="",Inputs!$B$14,L174)+M174)</f>
        <v/>
      </c>
    </row>
    <row r="175" spans="1:14" x14ac:dyDescent="0.25">
      <c r="A175" s="3"/>
      <c r="B175" s="3"/>
      <c r="C175" s="3"/>
      <c r="D175" s="8"/>
      <c r="E175" s="8"/>
      <c r="F175" s="9">
        <f>IF(E175&lt;&gt;"",E175,IF(UPPER(TRIM(C175))="BASIN",IF(UPPER(TRIM(Inputs!$B$52))="YES",Inputs!$B$12,0),IF(UPPER(TRIM(C175))="ROOF",Inputs!$B$10,IF(UPPER(TRIM(C175))="PAVAGE",Inputs!$B$58,IF(UPPER(TRIM(C175))="TRESFOND",Inputs!$B$11,IF(UPPER(TRIM(C175))="GRASS",Inputs!$B$12,Inputs!$B$13))))))</f>
        <v>0.6</v>
      </c>
      <c r="G175" s="9" t="str">
        <f t="shared" si="4"/>
        <v/>
      </c>
      <c r="H175" s="9" t="str">
        <f>IF(A175="","",Inputs!$B$3/((IF(G175="",Inputs!$B$14,G175)+Inputs!$B$4)^Inputs!$B$5))</f>
        <v/>
      </c>
      <c r="I175" s="9" t="str">
        <f t="shared" si="5"/>
        <v/>
      </c>
      <c r="J175" s="3"/>
      <c r="K175" s="3"/>
      <c r="L175" s="4"/>
      <c r="M175" s="9" t="str">
        <f>IF(A175="","",IF(OR(J175="",Inputs!$B$59=""),0,IFERROR(INDEX(Elements_hybrides!$F$4:$F$204,MATCH(J175,Elements_hybrides!$A$4:$A$204,0))/(Inputs!$B$59*60),0)))</f>
        <v/>
      </c>
      <c r="N175" s="9" t="str">
        <f>IF(A175="","",IF(L175="",Inputs!$B$14,L175)+M175)</f>
        <v/>
      </c>
    </row>
    <row r="176" spans="1:14" x14ac:dyDescent="0.25">
      <c r="A176" s="3"/>
      <c r="B176" s="3"/>
      <c r="C176" s="3"/>
      <c r="D176" s="8"/>
      <c r="E176" s="8"/>
      <c r="F176" s="9">
        <f>IF(E176&lt;&gt;"",E176,IF(UPPER(TRIM(C176))="BASIN",IF(UPPER(TRIM(Inputs!$B$52))="YES",Inputs!$B$12,0),IF(UPPER(TRIM(C176))="ROOF",Inputs!$B$10,IF(UPPER(TRIM(C176))="PAVAGE",Inputs!$B$58,IF(UPPER(TRIM(C176))="TRESFOND",Inputs!$B$11,IF(UPPER(TRIM(C176))="GRASS",Inputs!$B$12,Inputs!$B$13))))))</f>
        <v>0.6</v>
      </c>
      <c r="G176" s="9" t="str">
        <f t="shared" si="4"/>
        <v/>
      </c>
      <c r="H176" s="9" t="str">
        <f>IF(A176="","",Inputs!$B$3/((IF(G176="",Inputs!$B$14,G176)+Inputs!$B$4)^Inputs!$B$5))</f>
        <v/>
      </c>
      <c r="I176" s="9" t="str">
        <f t="shared" si="5"/>
        <v/>
      </c>
      <c r="J176" s="3"/>
      <c r="K176" s="3"/>
      <c r="L176" s="4"/>
      <c r="M176" s="9" t="str">
        <f>IF(A176="","",IF(OR(J176="",Inputs!$B$59=""),0,IFERROR(INDEX(Elements_hybrides!$F$4:$F$204,MATCH(J176,Elements_hybrides!$A$4:$A$204,0))/(Inputs!$B$59*60),0)))</f>
        <v/>
      </c>
      <c r="N176" s="9" t="str">
        <f>IF(A176="","",IF(L176="",Inputs!$B$14,L176)+M176)</f>
        <v/>
      </c>
    </row>
    <row r="177" spans="1:14" x14ac:dyDescent="0.25">
      <c r="A177" s="3"/>
      <c r="B177" s="3"/>
      <c r="C177" s="3"/>
      <c r="D177" s="8"/>
      <c r="E177" s="8"/>
      <c r="F177" s="9">
        <f>IF(E177&lt;&gt;"",E177,IF(UPPER(TRIM(C177))="BASIN",IF(UPPER(TRIM(Inputs!$B$52))="YES",Inputs!$B$12,0),IF(UPPER(TRIM(C177))="ROOF",Inputs!$B$10,IF(UPPER(TRIM(C177))="PAVAGE",Inputs!$B$58,IF(UPPER(TRIM(C177))="TRESFOND",Inputs!$B$11,IF(UPPER(TRIM(C177))="GRASS",Inputs!$B$12,Inputs!$B$13))))))</f>
        <v>0.6</v>
      </c>
      <c r="G177" s="9" t="str">
        <f t="shared" si="4"/>
        <v/>
      </c>
      <c r="H177" s="9" t="str">
        <f>IF(A177="","",Inputs!$B$3/((IF(G177="",Inputs!$B$14,G177)+Inputs!$B$4)^Inputs!$B$5))</f>
        <v/>
      </c>
      <c r="I177" s="9" t="str">
        <f t="shared" si="5"/>
        <v/>
      </c>
      <c r="J177" s="3"/>
      <c r="K177" s="3"/>
      <c r="L177" s="4"/>
      <c r="M177" s="9" t="str">
        <f>IF(A177="","",IF(OR(J177="",Inputs!$B$59=""),0,IFERROR(INDEX(Elements_hybrides!$F$4:$F$204,MATCH(J177,Elements_hybrides!$A$4:$A$204,0))/(Inputs!$B$59*60),0)))</f>
        <v/>
      </c>
      <c r="N177" s="9" t="str">
        <f>IF(A177="","",IF(L177="",Inputs!$B$14,L177)+M177)</f>
        <v/>
      </c>
    </row>
    <row r="178" spans="1:14" x14ac:dyDescent="0.25">
      <c r="A178" s="3"/>
      <c r="B178" s="3"/>
      <c r="C178" s="3"/>
      <c r="D178" s="8"/>
      <c r="E178" s="8"/>
      <c r="F178" s="9">
        <f>IF(E178&lt;&gt;"",E178,IF(UPPER(TRIM(C178))="BASIN",IF(UPPER(TRIM(Inputs!$B$52))="YES",Inputs!$B$12,0),IF(UPPER(TRIM(C178))="ROOF",Inputs!$B$10,IF(UPPER(TRIM(C178))="PAVAGE",Inputs!$B$58,IF(UPPER(TRIM(C178))="TRESFOND",Inputs!$B$11,IF(UPPER(TRIM(C178))="GRASS",Inputs!$B$12,Inputs!$B$13))))))</f>
        <v>0.6</v>
      </c>
      <c r="G178" s="9" t="str">
        <f t="shared" si="4"/>
        <v/>
      </c>
      <c r="H178" s="9" t="str">
        <f>IF(A178="","",Inputs!$B$3/((IF(G178="",Inputs!$B$14,G178)+Inputs!$B$4)^Inputs!$B$5))</f>
        <v/>
      </c>
      <c r="I178" s="9" t="str">
        <f t="shared" si="5"/>
        <v/>
      </c>
      <c r="J178" s="3"/>
      <c r="K178" s="3"/>
      <c r="L178" s="4"/>
      <c r="M178" s="9" t="str">
        <f>IF(A178="","",IF(OR(J178="",Inputs!$B$59=""),0,IFERROR(INDEX(Elements_hybrides!$F$4:$F$204,MATCH(J178,Elements_hybrides!$A$4:$A$204,0))/(Inputs!$B$59*60),0)))</f>
        <v/>
      </c>
      <c r="N178" s="9" t="str">
        <f>IF(A178="","",IF(L178="",Inputs!$B$14,L178)+M178)</f>
        <v/>
      </c>
    </row>
    <row r="179" spans="1:14" x14ac:dyDescent="0.25">
      <c r="A179" s="3"/>
      <c r="B179" s="3"/>
      <c r="C179" s="3"/>
      <c r="D179" s="8"/>
      <c r="E179" s="8"/>
      <c r="F179" s="9">
        <f>IF(E179&lt;&gt;"",E179,IF(UPPER(TRIM(C179))="BASIN",IF(UPPER(TRIM(Inputs!$B$52))="YES",Inputs!$B$12,0),IF(UPPER(TRIM(C179))="ROOF",Inputs!$B$10,IF(UPPER(TRIM(C179))="PAVAGE",Inputs!$B$58,IF(UPPER(TRIM(C179))="TRESFOND",Inputs!$B$11,IF(UPPER(TRIM(C179))="GRASS",Inputs!$B$12,Inputs!$B$13))))))</f>
        <v>0.6</v>
      </c>
      <c r="G179" s="9" t="str">
        <f t="shared" si="4"/>
        <v/>
      </c>
      <c r="H179" s="9" t="str">
        <f>IF(A179="","",Inputs!$B$3/((IF(G179="",Inputs!$B$14,G179)+Inputs!$B$4)^Inputs!$B$5))</f>
        <v/>
      </c>
      <c r="I179" s="9" t="str">
        <f t="shared" si="5"/>
        <v/>
      </c>
      <c r="J179" s="3"/>
      <c r="K179" s="3"/>
      <c r="L179" s="4"/>
      <c r="M179" s="9" t="str">
        <f>IF(A179="","",IF(OR(J179="",Inputs!$B$59=""),0,IFERROR(INDEX(Elements_hybrides!$F$4:$F$204,MATCH(J179,Elements_hybrides!$A$4:$A$204,0))/(Inputs!$B$59*60),0)))</f>
        <v/>
      </c>
      <c r="N179" s="9" t="str">
        <f>IF(A179="","",IF(L179="",Inputs!$B$14,L179)+M179)</f>
        <v/>
      </c>
    </row>
    <row r="180" spans="1:14" x14ac:dyDescent="0.25">
      <c r="A180" s="3"/>
      <c r="B180" s="3"/>
      <c r="C180" s="3"/>
      <c r="D180" s="8"/>
      <c r="E180" s="8"/>
      <c r="F180" s="9">
        <f>IF(E180&lt;&gt;"",E180,IF(UPPER(TRIM(C180))="BASIN",IF(UPPER(TRIM(Inputs!$B$52))="YES",Inputs!$B$12,0),IF(UPPER(TRIM(C180))="ROOF",Inputs!$B$10,IF(UPPER(TRIM(C180))="PAVAGE",Inputs!$B$58,IF(UPPER(TRIM(C180))="TRESFOND",Inputs!$B$11,IF(UPPER(TRIM(C180))="GRASS",Inputs!$B$12,Inputs!$B$13))))))</f>
        <v>0.6</v>
      </c>
      <c r="G180" s="9" t="str">
        <f t="shared" si="4"/>
        <v/>
      </c>
      <c r="H180" s="9" t="str">
        <f>IF(A180="","",Inputs!$B$3/((IF(G180="",Inputs!$B$14,G180)+Inputs!$B$4)^Inputs!$B$5))</f>
        <v/>
      </c>
      <c r="I180" s="9" t="str">
        <f t="shared" si="5"/>
        <v/>
      </c>
      <c r="J180" s="3"/>
      <c r="K180" s="3"/>
      <c r="L180" s="4"/>
      <c r="M180" s="9" t="str">
        <f>IF(A180="","",IF(OR(J180="",Inputs!$B$59=""),0,IFERROR(INDEX(Elements_hybrides!$F$4:$F$204,MATCH(J180,Elements_hybrides!$A$4:$A$204,0))/(Inputs!$B$59*60),0)))</f>
        <v/>
      </c>
      <c r="N180" s="9" t="str">
        <f>IF(A180="","",IF(L180="",Inputs!$B$14,L180)+M180)</f>
        <v/>
      </c>
    </row>
    <row r="181" spans="1:14" x14ac:dyDescent="0.25">
      <c r="A181" s="3"/>
      <c r="B181" s="3"/>
      <c r="C181" s="3"/>
      <c r="D181" s="8"/>
      <c r="E181" s="8"/>
      <c r="F181" s="9">
        <f>IF(E181&lt;&gt;"",E181,IF(UPPER(TRIM(C181))="BASIN",IF(UPPER(TRIM(Inputs!$B$52))="YES",Inputs!$B$12,0),IF(UPPER(TRIM(C181))="ROOF",Inputs!$B$10,IF(UPPER(TRIM(C181))="PAVAGE",Inputs!$B$58,IF(UPPER(TRIM(C181))="TRESFOND",Inputs!$B$11,IF(UPPER(TRIM(C181))="GRASS",Inputs!$B$12,Inputs!$B$13))))))</f>
        <v>0.6</v>
      </c>
      <c r="G181" s="9" t="str">
        <f t="shared" si="4"/>
        <v/>
      </c>
      <c r="H181" s="9" t="str">
        <f>IF(A181="","",Inputs!$B$3/((IF(G181="",Inputs!$B$14,G181)+Inputs!$B$4)^Inputs!$B$5))</f>
        <v/>
      </c>
      <c r="I181" s="9" t="str">
        <f t="shared" si="5"/>
        <v/>
      </c>
      <c r="J181" s="3"/>
      <c r="K181" s="3"/>
      <c r="L181" s="4"/>
      <c r="M181" s="9" t="str">
        <f>IF(A181="","",IF(OR(J181="",Inputs!$B$59=""),0,IFERROR(INDEX(Elements_hybrides!$F$4:$F$204,MATCH(J181,Elements_hybrides!$A$4:$A$204,0))/(Inputs!$B$59*60),0)))</f>
        <v/>
      </c>
      <c r="N181" s="9" t="str">
        <f>IF(A181="","",IF(L181="",Inputs!$B$14,L181)+M181)</f>
        <v/>
      </c>
    </row>
    <row r="182" spans="1:14" x14ac:dyDescent="0.25">
      <c r="A182" s="3"/>
      <c r="B182" s="3"/>
      <c r="C182" s="3"/>
      <c r="D182" s="8"/>
      <c r="E182" s="8"/>
      <c r="F182" s="9">
        <f>IF(E182&lt;&gt;"",E182,IF(UPPER(TRIM(C182))="BASIN",IF(UPPER(TRIM(Inputs!$B$52))="YES",Inputs!$B$12,0),IF(UPPER(TRIM(C182))="ROOF",Inputs!$B$10,IF(UPPER(TRIM(C182))="PAVAGE",Inputs!$B$58,IF(UPPER(TRIM(C182))="TRESFOND",Inputs!$B$11,IF(UPPER(TRIM(C182))="GRASS",Inputs!$B$12,Inputs!$B$13))))))</f>
        <v>0.6</v>
      </c>
      <c r="G182" s="9" t="str">
        <f t="shared" si="4"/>
        <v/>
      </c>
      <c r="H182" s="9" t="str">
        <f>IF(A182="","",Inputs!$B$3/((IF(G182="",Inputs!$B$14,G182)+Inputs!$B$4)^Inputs!$B$5))</f>
        <v/>
      </c>
      <c r="I182" s="9" t="str">
        <f t="shared" si="5"/>
        <v/>
      </c>
      <c r="J182" s="3"/>
      <c r="K182" s="3"/>
      <c r="L182" s="4"/>
      <c r="M182" s="9" t="str">
        <f>IF(A182="","",IF(OR(J182="",Inputs!$B$59=""),0,IFERROR(INDEX(Elements_hybrides!$F$4:$F$204,MATCH(J182,Elements_hybrides!$A$4:$A$204,0))/(Inputs!$B$59*60),0)))</f>
        <v/>
      </c>
      <c r="N182" s="9" t="str">
        <f>IF(A182="","",IF(L182="",Inputs!$B$14,L182)+M182)</f>
        <v/>
      </c>
    </row>
    <row r="183" spans="1:14" x14ac:dyDescent="0.25">
      <c r="A183" s="3"/>
      <c r="B183" s="3"/>
      <c r="C183" s="3"/>
      <c r="D183" s="8"/>
      <c r="E183" s="8"/>
      <c r="F183" s="9">
        <f>IF(E183&lt;&gt;"",E183,IF(UPPER(TRIM(C183))="BASIN",IF(UPPER(TRIM(Inputs!$B$52))="YES",Inputs!$B$12,0),IF(UPPER(TRIM(C183))="ROOF",Inputs!$B$10,IF(UPPER(TRIM(C183))="PAVAGE",Inputs!$B$58,IF(UPPER(TRIM(C183))="TRESFOND",Inputs!$B$11,IF(UPPER(TRIM(C183))="GRASS",Inputs!$B$12,Inputs!$B$13))))))</f>
        <v>0.6</v>
      </c>
      <c r="G183" s="9" t="str">
        <f t="shared" si="4"/>
        <v/>
      </c>
      <c r="H183" s="9" t="str">
        <f>IF(A183="","",Inputs!$B$3/((IF(G183="",Inputs!$B$14,G183)+Inputs!$B$4)^Inputs!$B$5))</f>
        <v/>
      </c>
      <c r="I183" s="9" t="str">
        <f t="shared" si="5"/>
        <v/>
      </c>
      <c r="J183" s="3"/>
      <c r="K183" s="3"/>
      <c r="L183" s="4"/>
      <c r="M183" s="9" t="str">
        <f>IF(A183="","",IF(OR(J183="",Inputs!$B$59=""),0,IFERROR(INDEX(Elements_hybrides!$F$4:$F$204,MATCH(J183,Elements_hybrides!$A$4:$A$204,0))/(Inputs!$B$59*60),0)))</f>
        <v/>
      </c>
      <c r="N183" s="9" t="str">
        <f>IF(A183="","",IF(L183="",Inputs!$B$14,L183)+M183)</f>
        <v/>
      </c>
    </row>
    <row r="184" spans="1:14" x14ac:dyDescent="0.25">
      <c r="A184" s="3"/>
      <c r="B184" s="3"/>
      <c r="C184" s="3"/>
      <c r="D184" s="8"/>
      <c r="E184" s="8"/>
      <c r="F184" s="9">
        <f>IF(E184&lt;&gt;"",E184,IF(UPPER(TRIM(C184))="BASIN",IF(UPPER(TRIM(Inputs!$B$52))="YES",Inputs!$B$12,0),IF(UPPER(TRIM(C184))="ROOF",Inputs!$B$10,IF(UPPER(TRIM(C184))="PAVAGE",Inputs!$B$58,IF(UPPER(TRIM(C184))="TRESFOND",Inputs!$B$11,IF(UPPER(TRIM(C184))="GRASS",Inputs!$B$12,Inputs!$B$13))))))</f>
        <v>0.6</v>
      </c>
      <c r="G184" s="9" t="str">
        <f t="shared" si="4"/>
        <v/>
      </c>
      <c r="H184" s="9" t="str">
        <f>IF(A184="","",Inputs!$B$3/((IF(G184="",Inputs!$B$14,G184)+Inputs!$B$4)^Inputs!$B$5))</f>
        <v/>
      </c>
      <c r="I184" s="9" t="str">
        <f t="shared" si="5"/>
        <v/>
      </c>
      <c r="J184" s="3"/>
      <c r="K184" s="3"/>
      <c r="L184" s="4"/>
      <c r="M184" s="9" t="str">
        <f>IF(A184="","",IF(OR(J184="",Inputs!$B$59=""),0,IFERROR(INDEX(Elements_hybrides!$F$4:$F$204,MATCH(J184,Elements_hybrides!$A$4:$A$204,0))/(Inputs!$B$59*60),0)))</f>
        <v/>
      </c>
      <c r="N184" s="9" t="str">
        <f>IF(A184="","",IF(L184="",Inputs!$B$14,L184)+M184)</f>
        <v/>
      </c>
    </row>
    <row r="185" spans="1:14" x14ac:dyDescent="0.25">
      <c r="A185" s="3"/>
      <c r="B185" s="3"/>
      <c r="C185" s="3"/>
      <c r="D185" s="8"/>
      <c r="E185" s="8"/>
      <c r="F185" s="9">
        <f>IF(E185&lt;&gt;"",E185,IF(UPPER(TRIM(C185))="BASIN",IF(UPPER(TRIM(Inputs!$B$52))="YES",Inputs!$B$12,0),IF(UPPER(TRIM(C185))="ROOF",Inputs!$B$10,IF(UPPER(TRIM(C185))="PAVAGE",Inputs!$B$58,IF(UPPER(TRIM(C185))="TRESFOND",Inputs!$B$11,IF(UPPER(TRIM(C185))="GRASS",Inputs!$B$12,Inputs!$B$13))))))</f>
        <v>0.6</v>
      </c>
      <c r="G185" s="9" t="str">
        <f t="shared" si="4"/>
        <v/>
      </c>
      <c r="H185" s="9" t="str">
        <f>IF(A185="","",Inputs!$B$3/((IF(G185="",Inputs!$B$14,G185)+Inputs!$B$4)^Inputs!$B$5))</f>
        <v/>
      </c>
      <c r="I185" s="9" t="str">
        <f t="shared" si="5"/>
        <v/>
      </c>
      <c r="J185" s="3"/>
      <c r="K185" s="3"/>
      <c r="L185" s="4"/>
      <c r="M185" s="9" t="str">
        <f>IF(A185="","",IF(OR(J185="",Inputs!$B$59=""),0,IFERROR(INDEX(Elements_hybrides!$F$4:$F$204,MATCH(J185,Elements_hybrides!$A$4:$A$204,0))/(Inputs!$B$59*60),0)))</f>
        <v/>
      </c>
      <c r="N185" s="9" t="str">
        <f>IF(A185="","",IF(L185="",Inputs!$B$14,L185)+M185)</f>
        <v/>
      </c>
    </row>
    <row r="186" spans="1:14" x14ac:dyDescent="0.25">
      <c r="A186" s="3"/>
      <c r="B186" s="3"/>
      <c r="C186" s="3"/>
      <c r="D186" s="8"/>
      <c r="E186" s="8"/>
      <c r="F186" s="9">
        <f>IF(E186&lt;&gt;"",E186,IF(UPPER(TRIM(C186))="BASIN",IF(UPPER(TRIM(Inputs!$B$52))="YES",Inputs!$B$12,0),IF(UPPER(TRIM(C186))="ROOF",Inputs!$B$10,IF(UPPER(TRIM(C186))="PAVAGE",Inputs!$B$58,IF(UPPER(TRIM(C186))="TRESFOND",Inputs!$B$11,IF(UPPER(TRIM(C186))="GRASS",Inputs!$B$12,Inputs!$B$13))))))</f>
        <v>0.6</v>
      </c>
      <c r="G186" s="9" t="str">
        <f t="shared" si="4"/>
        <v/>
      </c>
      <c r="H186" s="9" t="str">
        <f>IF(A186="","",Inputs!$B$3/((IF(G186="",Inputs!$B$14,G186)+Inputs!$B$4)^Inputs!$B$5))</f>
        <v/>
      </c>
      <c r="I186" s="9" t="str">
        <f t="shared" si="5"/>
        <v/>
      </c>
      <c r="J186" s="3"/>
      <c r="K186" s="3"/>
      <c r="L186" s="4"/>
      <c r="M186" s="9" t="str">
        <f>IF(A186="","",IF(OR(J186="",Inputs!$B$59=""),0,IFERROR(INDEX(Elements_hybrides!$F$4:$F$204,MATCH(J186,Elements_hybrides!$A$4:$A$204,0))/(Inputs!$B$59*60),0)))</f>
        <v/>
      </c>
      <c r="N186" s="9" t="str">
        <f>IF(A186="","",IF(L186="",Inputs!$B$14,L186)+M186)</f>
        <v/>
      </c>
    </row>
    <row r="187" spans="1:14" x14ac:dyDescent="0.25">
      <c r="A187" s="3"/>
      <c r="B187" s="3"/>
      <c r="C187" s="3"/>
      <c r="D187" s="8"/>
      <c r="E187" s="8"/>
      <c r="F187" s="9">
        <f>IF(E187&lt;&gt;"",E187,IF(UPPER(TRIM(C187))="BASIN",IF(UPPER(TRIM(Inputs!$B$52))="YES",Inputs!$B$12,0),IF(UPPER(TRIM(C187))="ROOF",Inputs!$B$10,IF(UPPER(TRIM(C187))="PAVAGE",Inputs!$B$58,IF(UPPER(TRIM(C187))="TRESFOND",Inputs!$B$11,IF(UPPER(TRIM(C187))="GRASS",Inputs!$B$12,Inputs!$B$13))))))</f>
        <v>0.6</v>
      </c>
      <c r="G187" s="9" t="str">
        <f t="shared" si="4"/>
        <v/>
      </c>
      <c r="H187" s="9" t="str">
        <f>IF(A187="","",Inputs!$B$3/((IF(G187="",Inputs!$B$14,G187)+Inputs!$B$4)^Inputs!$B$5))</f>
        <v/>
      </c>
      <c r="I187" s="9" t="str">
        <f t="shared" si="5"/>
        <v/>
      </c>
      <c r="J187" s="3"/>
      <c r="K187" s="3"/>
      <c r="L187" s="4"/>
      <c r="M187" s="9" t="str">
        <f>IF(A187="","",IF(OR(J187="",Inputs!$B$59=""),0,IFERROR(INDEX(Elements_hybrides!$F$4:$F$204,MATCH(J187,Elements_hybrides!$A$4:$A$204,0))/(Inputs!$B$59*60),0)))</f>
        <v/>
      </c>
      <c r="N187" s="9" t="str">
        <f>IF(A187="","",IF(L187="",Inputs!$B$14,L187)+M187)</f>
        <v/>
      </c>
    </row>
    <row r="188" spans="1:14" x14ac:dyDescent="0.25">
      <c r="A188" s="3"/>
      <c r="B188" s="3"/>
      <c r="C188" s="3"/>
      <c r="D188" s="8"/>
      <c r="E188" s="8"/>
      <c r="F188" s="9">
        <f>IF(E188&lt;&gt;"",E188,IF(UPPER(TRIM(C188))="BASIN",IF(UPPER(TRIM(Inputs!$B$52))="YES",Inputs!$B$12,0),IF(UPPER(TRIM(C188))="ROOF",Inputs!$B$10,IF(UPPER(TRIM(C188))="PAVAGE",Inputs!$B$58,IF(UPPER(TRIM(C188))="TRESFOND",Inputs!$B$11,IF(UPPER(TRIM(C188))="GRASS",Inputs!$B$12,Inputs!$B$13))))))</f>
        <v>0.6</v>
      </c>
      <c r="G188" s="9" t="str">
        <f t="shared" si="4"/>
        <v/>
      </c>
      <c r="H188" s="9" t="str">
        <f>IF(A188="","",Inputs!$B$3/((IF(G188="",Inputs!$B$14,G188)+Inputs!$B$4)^Inputs!$B$5))</f>
        <v/>
      </c>
      <c r="I188" s="9" t="str">
        <f t="shared" si="5"/>
        <v/>
      </c>
      <c r="J188" s="3"/>
      <c r="K188" s="3"/>
      <c r="L188" s="4"/>
      <c r="M188" s="9" t="str">
        <f>IF(A188="","",IF(OR(J188="",Inputs!$B$59=""),0,IFERROR(INDEX(Elements_hybrides!$F$4:$F$204,MATCH(J188,Elements_hybrides!$A$4:$A$204,0))/(Inputs!$B$59*60),0)))</f>
        <v/>
      </c>
      <c r="N188" s="9" t="str">
        <f>IF(A188="","",IF(L188="",Inputs!$B$14,L188)+M188)</f>
        <v/>
      </c>
    </row>
    <row r="189" spans="1:14" x14ac:dyDescent="0.25">
      <c r="A189" s="3"/>
      <c r="B189" s="3"/>
      <c r="C189" s="3"/>
      <c r="D189" s="8"/>
      <c r="E189" s="8"/>
      <c r="F189" s="9">
        <f>IF(E189&lt;&gt;"",E189,IF(UPPER(TRIM(C189))="BASIN",IF(UPPER(TRIM(Inputs!$B$52))="YES",Inputs!$B$12,0),IF(UPPER(TRIM(C189))="ROOF",Inputs!$B$10,IF(UPPER(TRIM(C189))="PAVAGE",Inputs!$B$58,IF(UPPER(TRIM(C189))="TRESFOND",Inputs!$B$11,IF(UPPER(TRIM(C189))="GRASS",Inputs!$B$12,Inputs!$B$13))))))</f>
        <v>0.6</v>
      </c>
      <c r="G189" s="9" t="str">
        <f t="shared" si="4"/>
        <v/>
      </c>
      <c r="H189" s="9" t="str">
        <f>IF(A189="","",Inputs!$B$3/((IF(G189="",Inputs!$B$14,G189)+Inputs!$B$4)^Inputs!$B$5))</f>
        <v/>
      </c>
      <c r="I189" s="9" t="str">
        <f t="shared" si="5"/>
        <v/>
      </c>
      <c r="J189" s="3"/>
      <c r="K189" s="3"/>
      <c r="L189" s="4"/>
      <c r="M189" s="9" t="str">
        <f>IF(A189="","",IF(OR(J189="",Inputs!$B$59=""),0,IFERROR(INDEX(Elements_hybrides!$F$4:$F$204,MATCH(J189,Elements_hybrides!$A$4:$A$204,0))/(Inputs!$B$59*60),0)))</f>
        <v/>
      </c>
      <c r="N189" s="9" t="str">
        <f>IF(A189="","",IF(L189="",Inputs!$B$14,L189)+M189)</f>
        <v/>
      </c>
    </row>
    <row r="190" spans="1:14" x14ac:dyDescent="0.25">
      <c r="A190" s="3"/>
      <c r="B190" s="3"/>
      <c r="C190" s="3"/>
      <c r="D190" s="8"/>
      <c r="E190" s="8"/>
      <c r="F190" s="9">
        <f>IF(E190&lt;&gt;"",E190,IF(UPPER(TRIM(C190))="BASIN",IF(UPPER(TRIM(Inputs!$B$52))="YES",Inputs!$B$12,0),IF(UPPER(TRIM(C190))="ROOF",Inputs!$B$10,IF(UPPER(TRIM(C190))="PAVAGE",Inputs!$B$58,IF(UPPER(TRIM(C190))="TRESFOND",Inputs!$B$11,IF(UPPER(TRIM(C190))="GRASS",Inputs!$B$12,Inputs!$B$13))))))</f>
        <v>0.6</v>
      </c>
      <c r="G190" s="9" t="str">
        <f t="shared" si="4"/>
        <v/>
      </c>
      <c r="H190" s="9" t="str">
        <f>IF(A190="","",Inputs!$B$3/((IF(G190="",Inputs!$B$14,G190)+Inputs!$B$4)^Inputs!$B$5))</f>
        <v/>
      </c>
      <c r="I190" s="9" t="str">
        <f t="shared" si="5"/>
        <v/>
      </c>
      <c r="J190" s="3"/>
      <c r="K190" s="3"/>
      <c r="L190" s="4"/>
      <c r="M190" s="9" t="str">
        <f>IF(A190="","",IF(OR(J190="",Inputs!$B$59=""),0,IFERROR(INDEX(Elements_hybrides!$F$4:$F$204,MATCH(J190,Elements_hybrides!$A$4:$A$204,0))/(Inputs!$B$59*60),0)))</f>
        <v/>
      </c>
      <c r="N190" s="9" t="str">
        <f>IF(A190="","",IF(L190="",Inputs!$B$14,L190)+M190)</f>
        <v/>
      </c>
    </row>
    <row r="191" spans="1:14" x14ac:dyDescent="0.25">
      <c r="A191" s="3"/>
      <c r="B191" s="3"/>
      <c r="C191" s="3"/>
      <c r="D191" s="8"/>
      <c r="E191" s="8"/>
      <c r="F191" s="9">
        <f>IF(E191&lt;&gt;"",E191,IF(UPPER(TRIM(C191))="BASIN",IF(UPPER(TRIM(Inputs!$B$52))="YES",Inputs!$B$12,0),IF(UPPER(TRIM(C191))="ROOF",Inputs!$B$10,IF(UPPER(TRIM(C191))="PAVAGE",Inputs!$B$58,IF(UPPER(TRIM(C191))="TRESFOND",Inputs!$B$11,IF(UPPER(TRIM(C191))="GRASS",Inputs!$B$12,Inputs!$B$13))))))</f>
        <v>0.6</v>
      </c>
      <c r="G191" s="9" t="str">
        <f t="shared" si="4"/>
        <v/>
      </c>
      <c r="H191" s="9" t="str">
        <f>IF(A191="","",Inputs!$B$3/((IF(G191="",Inputs!$B$14,G191)+Inputs!$B$4)^Inputs!$B$5))</f>
        <v/>
      </c>
      <c r="I191" s="9" t="str">
        <f t="shared" si="5"/>
        <v/>
      </c>
      <c r="J191" s="3"/>
      <c r="K191" s="3"/>
      <c r="L191" s="4"/>
      <c r="M191" s="9" t="str">
        <f>IF(A191="","",IF(OR(J191="",Inputs!$B$59=""),0,IFERROR(INDEX(Elements_hybrides!$F$4:$F$204,MATCH(J191,Elements_hybrides!$A$4:$A$204,0))/(Inputs!$B$59*60),0)))</f>
        <v/>
      </c>
      <c r="N191" s="9" t="str">
        <f>IF(A191="","",IF(L191="",Inputs!$B$14,L191)+M191)</f>
        <v/>
      </c>
    </row>
    <row r="192" spans="1:14" x14ac:dyDescent="0.25">
      <c r="A192" s="3"/>
      <c r="B192" s="3"/>
      <c r="C192" s="3"/>
      <c r="D192" s="8"/>
      <c r="E192" s="8"/>
      <c r="F192" s="9">
        <f>IF(E192&lt;&gt;"",E192,IF(UPPER(TRIM(C192))="BASIN",IF(UPPER(TRIM(Inputs!$B$52))="YES",Inputs!$B$12,0),IF(UPPER(TRIM(C192))="ROOF",Inputs!$B$10,IF(UPPER(TRIM(C192))="PAVAGE",Inputs!$B$58,IF(UPPER(TRIM(C192))="TRESFOND",Inputs!$B$11,IF(UPPER(TRIM(C192))="GRASS",Inputs!$B$12,Inputs!$B$13))))))</f>
        <v>0.6</v>
      </c>
      <c r="G192" s="9" t="str">
        <f t="shared" si="4"/>
        <v/>
      </c>
      <c r="H192" s="9" t="str">
        <f>IF(A192="","",Inputs!$B$3/((IF(G192="",Inputs!$B$14,G192)+Inputs!$B$4)^Inputs!$B$5))</f>
        <v/>
      </c>
      <c r="I192" s="9" t="str">
        <f t="shared" si="5"/>
        <v/>
      </c>
      <c r="J192" s="3"/>
      <c r="K192" s="3"/>
      <c r="L192" s="4"/>
      <c r="M192" s="9" t="str">
        <f>IF(A192="","",IF(OR(J192="",Inputs!$B$59=""),0,IFERROR(INDEX(Elements_hybrides!$F$4:$F$204,MATCH(J192,Elements_hybrides!$A$4:$A$204,0))/(Inputs!$B$59*60),0)))</f>
        <v/>
      </c>
      <c r="N192" s="9" t="str">
        <f>IF(A192="","",IF(L192="",Inputs!$B$14,L192)+M192)</f>
        <v/>
      </c>
    </row>
    <row r="193" spans="1:14" x14ac:dyDescent="0.25">
      <c r="A193" s="3"/>
      <c r="B193" s="3"/>
      <c r="C193" s="3"/>
      <c r="D193" s="8"/>
      <c r="E193" s="8"/>
      <c r="F193" s="9">
        <f>IF(E193&lt;&gt;"",E193,IF(UPPER(TRIM(C193))="BASIN",IF(UPPER(TRIM(Inputs!$B$52))="YES",Inputs!$B$12,0),IF(UPPER(TRIM(C193))="ROOF",Inputs!$B$10,IF(UPPER(TRIM(C193))="PAVAGE",Inputs!$B$58,IF(UPPER(TRIM(C193))="TRESFOND",Inputs!$B$11,IF(UPPER(TRIM(C193))="GRASS",Inputs!$B$12,Inputs!$B$13))))))</f>
        <v>0.6</v>
      </c>
      <c r="G193" s="9" t="str">
        <f t="shared" si="4"/>
        <v/>
      </c>
      <c r="H193" s="9" t="str">
        <f>IF(A193="","",Inputs!$B$3/((IF(G193="",Inputs!$B$14,G193)+Inputs!$B$4)^Inputs!$B$5))</f>
        <v/>
      </c>
      <c r="I193" s="9" t="str">
        <f t="shared" si="5"/>
        <v/>
      </c>
      <c r="J193" s="3"/>
      <c r="K193" s="3"/>
      <c r="L193" s="4"/>
      <c r="M193" s="9" t="str">
        <f>IF(A193="","",IF(OR(J193="",Inputs!$B$59=""),0,IFERROR(INDEX(Elements_hybrides!$F$4:$F$204,MATCH(J193,Elements_hybrides!$A$4:$A$204,0))/(Inputs!$B$59*60),0)))</f>
        <v/>
      </c>
      <c r="N193" s="9" t="str">
        <f>IF(A193="","",IF(L193="",Inputs!$B$14,L193)+M193)</f>
        <v/>
      </c>
    </row>
    <row r="194" spans="1:14" x14ac:dyDescent="0.25">
      <c r="A194" s="3"/>
      <c r="B194" s="3"/>
      <c r="C194" s="3"/>
      <c r="D194" s="8"/>
      <c r="E194" s="8"/>
      <c r="F194" s="9">
        <f>IF(E194&lt;&gt;"",E194,IF(UPPER(TRIM(C194))="BASIN",IF(UPPER(TRIM(Inputs!$B$52))="YES",Inputs!$B$12,0),IF(UPPER(TRIM(C194))="ROOF",Inputs!$B$10,IF(UPPER(TRIM(C194))="PAVAGE",Inputs!$B$58,IF(UPPER(TRIM(C194))="TRESFOND",Inputs!$B$11,IF(UPPER(TRIM(C194))="GRASS",Inputs!$B$12,Inputs!$B$13))))))</f>
        <v>0.6</v>
      </c>
      <c r="G194" s="9" t="str">
        <f t="shared" si="4"/>
        <v/>
      </c>
      <c r="H194" s="9" t="str">
        <f>IF(A194="","",Inputs!$B$3/((IF(G194="",Inputs!$B$14,G194)+Inputs!$B$4)^Inputs!$B$5))</f>
        <v/>
      </c>
      <c r="I194" s="9" t="str">
        <f t="shared" si="5"/>
        <v/>
      </c>
      <c r="J194" s="3"/>
      <c r="K194" s="3"/>
      <c r="L194" s="4"/>
      <c r="M194" s="9" t="str">
        <f>IF(A194="","",IF(OR(J194="",Inputs!$B$59=""),0,IFERROR(INDEX(Elements_hybrides!$F$4:$F$204,MATCH(J194,Elements_hybrides!$A$4:$A$204,0))/(Inputs!$B$59*60),0)))</f>
        <v/>
      </c>
      <c r="N194" s="9" t="str">
        <f>IF(A194="","",IF(L194="",Inputs!$B$14,L194)+M194)</f>
        <v/>
      </c>
    </row>
    <row r="195" spans="1:14" x14ac:dyDescent="0.25">
      <c r="A195" s="3"/>
      <c r="B195" s="3"/>
      <c r="C195" s="3"/>
      <c r="D195" s="8"/>
      <c r="E195" s="8"/>
      <c r="F195" s="9">
        <f>IF(E195&lt;&gt;"",E195,IF(UPPER(TRIM(C195))="BASIN",IF(UPPER(TRIM(Inputs!$B$52))="YES",Inputs!$B$12,0),IF(UPPER(TRIM(C195))="ROOF",Inputs!$B$10,IF(UPPER(TRIM(C195))="PAVAGE",Inputs!$B$58,IF(UPPER(TRIM(C195))="TRESFOND",Inputs!$B$11,IF(UPPER(TRIM(C195))="GRASS",Inputs!$B$12,Inputs!$B$13))))))</f>
        <v>0.6</v>
      </c>
      <c r="G195" s="9" t="str">
        <f t="shared" si="4"/>
        <v/>
      </c>
      <c r="H195" s="9" t="str">
        <f>IF(A195="","",Inputs!$B$3/((IF(G195="",Inputs!$B$14,G195)+Inputs!$B$4)^Inputs!$B$5))</f>
        <v/>
      </c>
      <c r="I195" s="9" t="str">
        <f t="shared" si="5"/>
        <v/>
      </c>
      <c r="J195" s="3"/>
      <c r="K195" s="3"/>
      <c r="L195" s="4"/>
      <c r="M195" s="9" t="str">
        <f>IF(A195="","",IF(OR(J195="",Inputs!$B$59=""),0,IFERROR(INDEX(Elements_hybrides!$F$4:$F$204,MATCH(J195,Elements_hybrides!$A$4:$A$204,0))/(Inputs!$B$59*60),0)))</f>
        <v/>
      </c>
      <c r="N195" s="9" t="str">
        <f>IF(A195="","",IF(L195="",Inputs!$B$14,L195)+M195)</f>
        <v/>
      </c>
    </row>
    <row r="196" spans="1:14" x14ac:dyDescent="0.25">
      <c r="A196" s="3"/>
      <c r="B196" s="3"/>
      <c r="C196" s="3"/>
      <c r="D196" s="8"/>
      <c r="E196" s="8"/>
      <c r="F196" s="9">
        <f>IF(E196&lt;&gt;"",E196,IF(UPPER(TRIM(C196))="BASIN",IF(UPPER(TRIM(Inputs!$B$52))="YES",Inputs!$B$12,0),IF(UPPER(TRIM(C196))="ROOF",Inputs!$B$10,IF(UPPER(TRIM(C196))="PAVAGE",Inputs!$B$58,IF(UPPER(TRIM(C196))="TRESFOND",Inputs!$B$11,IF(UPPER(TRIM(C196))="GRASS",Inputs!$B$12,Inputs!$B$13))))))</f>
        <v>0.6</v>
      </c>
      <c r="G196" s="9" t="str">
        <f t="shared" ref="G196:G204" si="6">IF(A196="","",N196)</f>
        <v/>
      </c>
      <c r="H196" s="9" t="str">
        <f>IF(A196="","",Inputs!$B$3/((IF(G196="",Inputs!$B$14,G196)+Inputs!$B$4)^Inputs!$B$5))</f>
        <v/>
      </c>
      <c r="I196" s="9" t="str">
        <f t="shared" ref="I196:I204" si="7">IF(A196="","",0.000000278*F196*D196*H196)</f>
        <v/>
      </c>
      <c r="J196" s="3"/>
      <c r="K196" s="3"/>
      <c r="L196" s="4"/>
      <c r="M196" s="9" t="str">
        <f>IF(A196="","",IF(OR(J196="",Inputs!$B$59=""),0,IFERROR(INDEX(Elements_hybrides!$F$4:$F$204,MATCH(J196,Elements_hybrides!$A$4:$A$204,0))/(Inputs!$B$59*60),0)))</f>
        <v/>
      </c>
      <c r="N196" s="9" t="str">
        <f>IF(A196="","",IF(L196="",Inputs!$B$14,L196)+M196)</f>
        <v/>
      </c>
    </row>
    <row r="197" spans="1:14" x14ac:dyDescent="0.25">
      <c r="A197" s="3"/>
      <c r="B197" s="3"/>
      <c r="C197" s="3"/>
      <c r="D197" s="8"/>
      <c r="E197" s="8"/>
      <c r="F197" s="9">
        <f>IF(E197&lt;&gt;"",E197,IF(UPPER(TRIM(C197))="BASIN",IF(UPPER(TRIM(Inputs!$B$52))="YES",Inputs!$B$12,0),IF(UPPER(TRIM(C197))="ROOF",Inputs!$B$10,IF(UPPER(TRIM(C197))="PAVAGE",Inputs!$B$58,IF(UPPER(TRIM(C197))="TRESFOND",Inputs!$B$11,IF(UPPER(TRIM(C197))="GRASS",Inputs!$B$12,Inputs!$B$13))))))</f>
        <v>0.6</v>
      </c>
      <c r="G197" s="9" t="str">
        <f t="shared" si="6"/>
        <v/>
      </c>
      <c r="H197" s="9" t="str">
        <f>IF(A197="","",Inputs!$B$3/((IF(G197="",Inputs!$B$14,G197)+Inputs!$B$4)^Inputs!$B$5))</f>
        <v/>
      </c>
      <c r="I197" s="9" t="str">
        <f t="shared" si="7"/>
        <v/>
      </c>
      <c r="J197" s="3"/>
      <c r="K197" s="3"/>
      <c r="L197" s="4"/>
      <c r="M197" s="9" t="str">
        <f>IF(A197="","",IF(OR(J197="",Inputs!$B$59=""),0,IFERROR(INDEX(Elements_hybrides!$F$4:$F$204,MATCH(J197,Elements_hybrides!$A$4:$A$204,0))/(Inputs!$B$59*60),0)))</f>
        <v/>
      </c>
      <c r="N197" s="9" t="str">
        <f>IF(A197="","",IF(L197="",Inputs!$B$14,L197)+M197)</f>
        <v/>
      </c>
    </row>
    <row r="198" spans="1:14" x14ac:dyDescent="0.25">
      <c r="A198" s="3"/>
      <c r="B198" s="3"/>
      <c r="C198" s="3"/>
      <c r="D198" s="8"/>
      <c r="E198" s="8"/>
      <c r="F198" s="9">
        <f>IF(E198&lt;&gt;"",E198,IF(UPPER(TRIM(C198))="BASIN",IF(UPPER(TRIM(Inputs!$B$52))="YES",Inputs!$B$12,0),IF(UPPER(TRIM(C198))="ROOF",Inputs!$B$10,IF(UPPER(TRIM(C198))="PAVAGE",Inputs!$B$58,IF(UPPER(TRIM(C198))="TRESFOND",Inputs!$B$11,IF(UPPER(TRIM(C198))="GRASS",Inputs!$B$12,Inputs!$B$13))))))</f>
        <v>0.6</v>
      </c>
      <c r="G198" s="9" t="str">
        <f t="shared" si="6"/>
        <v/>
      </c>
      <c r="H198" s="9" t="str">
        <f>IF(A198="","",Inputs!$B$3/((IF(G198="",Inputs!$B$14,G198)+Inputs!$B$4)^Inputs!$B$5))</f>
        <v/>
      </c>
      <c r="I198" s="9" t="str">
        <f t="shared" si="7"/>
        <v/>
      </c>
      <c r="J198" s="3"/>
      <c r="K198" s="3"/>
      <c r="L198" s="4"/>
      <c r="M198" s="9" t="str">
        <f>IF(A198="","",IF(OR(J198="",Inputs!$B$59=""),0,IFERROR(INDEX(Elements_hybrides!$F$4:$F$204,MATCH(J198,Elements_hybrides!$A$4:$A$204,0))/(Inputs!$B$59*60),0)))</f>
        <v/>
      </c>
      <c r="N198" s="9" t="str">
        <f>IF(A198="","",IF(L198="",Inputs!$B$14,L198)+M198)</f>
        <v/>
      </c>
    </row>
    <row r="199" spans="1:14" x14ac:dyDescent="0.25">
      <c r="A199" s="3"/>
      <c r="B199" s="3"/>
      <c r="C199" s="3"/>
      <c r="D199" s="8"/>
      <c r="E199" s="8"/>
      <c r="F199" s="9">
        <f>IF(E199&lt;&gt;"",E199,IF(UPPER(TRIM(C199))="BASIN",IF(UPPER(TRIM(Inputs!$B$52))="YES",Inputs!$B$12,0),IF(UPPER(TRIM(C199))="ROOF",Inputs!$B$10,IF(UPPER(TRIM(C199))="PAVAGE",Inputs!$B$58,IF(UPPER(TRIM(C199))="TRESFOND",Inputs!$B$11,IF(UPPER(TRIM(C199))="GRASS",Inputs!$B$12,Inputs!$B$13))))))</f>
        <v>0.6</v>
      </c>
      <c r="G199" s="9" t="str">
        <f t="shared" si="6"/>
        <v/>
      </c>
      <c r="H199" s="9" t="str">
        <f>IF(A199="","",Inputs!$B$3/((IF(G199="",Inputs!$B$14,G199)+Inputs!$B$4)^Inputs!$B$5))</f>
        <v/>
      </c>
      <c r="I199" s="9" t="str">
        <f t="shared" si="7"/>
        <v/>
      </c>
      <c r="J199" s="3"/>
      <c r="K199" s="3"/>
      <c r="L199" s="4"/>
      <c r="M199" s="9" t="str">
        <f>IF(A199="","",IF(OR(J199="",Inputs!$B$59=""),0,IFERROR(INDEX(Elements_hybrides!$F$4:$F$204,MATCH(J199,Elements_hybrides!$A$4:$A$204,0))/(Inputs!$B$59*60),0)))</f>
        <v/>
      </c>
      <c r="N199" s="9" t="str">
        <f>IF(A199="","",IF(L199="",Inputs!$B$14,L199)+M199)</f>
        <v/>
      </c>
    </row>
    <row r="200" spans="1:14" x14ac:dyDescent="0.25">
      <c r="A200" s="3"/>
      <c r="B200" s="3"/>
      <c r="C200" s="3"/>
      <c r="D200" s="8"/>
      <c r="E200" s="8"/>
      <c r="F200" s="9">
        <f>IF(E200&lt;&gt;"",E200,IF(UPPER(TRIM(C200))="BASIN",IF(UPPER(TRIM(Inputs!$B$52))="YES",Inputs!$B$12,0),IF(UPPER(TRIM(C200))="ROOF",Inputs!$B$10,IF(UPPER(TRIM(C200))="PAVAGE",Inputs!$B$58,IF(UPPER(TRIM(C200))="TRESFOND",Inputs!$B$11,IF(UPPER(TRIM(C200))="GRASS",Inputs!$B$12,Inputs!$B$13))))))</f>
        <v>0.6</v>
      </c>
      <c r="G200" s="9" t="str">
        <f t="shared" si="6"/>
        <v/>
      </c>
      <c r="H200" s="9" t="str">
        <f>IF(A200="","",Inputs!$B$3/((IF(G200="",Inputs!$B$14,G200)+Inputs!$B$4)^Inputs!$B$5))</f>
        <v/>
      </c>
      <c r="I200" s="9" t="str">
        <f t="shared" si="7"/>
        <v/>
      </c>
      <c r="J200" s="3"/>
      <c r="K200" s="3"/>
      <c r="L200" s="4"/>
      <c r="M200" s="9" t="str">
        <f>IF(A200="","",IF(OR(J200="",Inputs!$B$59=""),0,IFERROR(INDEX(Elements_hybrides!$F$4:$F$204,MATCH(J200,Elements_hybrides!$A$4:$A$204,0))/(Inputs!$B$59*60),0)))</f>
        <v/>
      </c>
      <c r="N200" s="9" t="str">
        <f>IF(A200="","",IF(L200="",Inputs!$B$14,L200)+M200)</f>
        <v/>
      </c>
    </row>
    <row r="201" spans="1:14" x14ac:dyDescent="0.25">
      <c r="A201" s="3"/>
      <c r="B201" s="3"/>
      <c r="C201" s="3"/>
      <c r="D201" s="8"/>
      <c r="E201" s="8"/>
      <c r="F201" s="9">
        <f>IF(E201&lt;&gt;"",E201,IF(UPPER(TRIM(C201))="BASIN",IF(UPPER(TRIM(Inputs!$B$52))="YES",Inputs!$B$12,0),IF(UPPER(TRIM(C201))="ROOF",Inputs!$B$10,IF(UPPER(TRIM(C201))="PAVAGE",Inputs!$B$58,IF(UPPER(TRIM(C201))="TRESFOND",Inputs!$B$11,IF(UPPER(TRIM(C201))="GRASS",Inputs!$B$12,Inputs!$B$13))))))</f>
        <v>0.6</v>
      </c>
      <c r="G201" s="9" t="str">
        <f t="shared" si="6"/>
        <v/>
      </c>
      <c r="H201" s="9" t="str">
        <f>IF(A201="","",Inputs!$B$3/((IF(G201="",Inputs!$B$14,G201)+Inputs!$B$4)^Inputs!$B$5))</f>
        <v/>
      </c>
      <c r="I201" s="9" t="str">
        <f t="shared" si="7"/>
        <v/>
      </c>
      <c r="J201" s="3"/>
      <c r="K201" s="3"/>
      <c r="L201" s="4"/>
      <c r="M201" s="9" t="str">
        <f>IF(A201="","",IF(OR(J201="",Inputs!$B$59=""),0,IFERROR(INDEX(Elements_hybrides!$F$4:$F$204,MATCH(J201,Elements_hybrides!$A$4:$A$204,0))/(Inputs!$B$59*60),0)))</f>
        <v/>
      </c>
      <c r="N201" s="9" t="str">
        <f>IF(A201="","",IF(L201="",Inputs!$B$14,L201)+M201)</f>
        <v/>
      </c>
    </row>
    <row r="202" spans="1:14" x14ac:dyDescent="0.25">
      <c r="A202" s="3"/>
      <c r="B202" s="3"/>
      <c r="C202" s="3"/>
      <c r="D202" s="8"/>
      <c r="E202" s="8"/>
      <c r="F202" s="9">
        <f>IF(E202&lt;&gt;"",E202,IF(UPPER(TRIM(C202))="BASIN",IF(UPPER(TRIM(Inputs!$B$52))="YES",Inputs!$B$12,0),IF(UPPER(TRIM(C202))="ROOF",Inputs!$B$10,IF(UPPER(TRIM(C202))="PAVAGE",Inputs!$B$58,IF(UPPER(TRIM(C202))="TRESFOND",Inputs!$B$11,IF(UPPER(TRIM(C202))="GRASS",Inputs!$B$12,Inputs!$B$13))))))</f>
        <v>0.6</v>
      </c>
      <c r="G202" s="9" t="str">
        <f t="shared" si="6"/>
        <v/>
      </c>
      <c r="H202" s="9" t="str">
        <f>IF(A202="","",Inputs!$B$3/((IF(G202="",Inputs!$B$14,G202)+Inputs!$B$4)^Inputs!$B$5))</f>
        <v/>
      </c>
      <c r="I202" s="9" t="str">
        <f t="shared" si="7"/>
        <v/>
      </c>
      <c r="J202" s="3"/>
      <c r="K202" s="3"/>
      <c r="L202" s="4"/>
      <c r="M202" s="9" t="str">
        <f>IF(A202="","",IF(OR(J202="",Inputs!$B$59=""),0,IFERROR(INDEX(Elements_hybrides!$F$4:$F$204,MATCH(J202,Elements_hybrides!$A$4:$A$204,0))/(Inputs!$B$59*60),0)))</f>
        <v/>
      </c>
      <c r="N202" s="9" t="str">
        <f>IF(A202="","",IF(L202="",Inputs!$B$14,L202)+M202)</f>
        <v/>
      </c>
    </row>
    <row r="203" spans="1:14" x14ac:dyDescent="0.25">
      <c r="A203" s="3"/>
      <c r="B203" s="3"/>
      <c r="C203" s="3"/>
      <c r="D203" s="8"/>
      <c r="E203" s="8"/>
      <c r="F203" s="9">
        <f>IF(E203&lt;&gt;"",E203,IF(UPPER(TRIM(C203))="BASIN",IF(UPPER(TRIM(Inputs!$B$52))="YES",Inputs!$B$12,0),IF(UPPER(TRIM(C203))="ROOF",Inputs!$B$10,IF(UPPER(TRIM(C203))="PAVAGE",Inputs!$B$58,IF(UPPER(TRIM(C203))="TRESFOND",Inputs!$B$11,IF(UPPER(TRIM(C203))="GRASS",Inputs!$B$12,Inputs!$B$13))))))</f>
        <v>0.6</v>
      </c>
      <c r="G203" s="9" t="str">
        <f t="shared" si="6"/>
        <v/>
      </c>
      <c r="H203" s="9" t="str">
        <f>IF(A203="","",Inputs!$B$3/((IF(G203="",Inputs!$B$14,G203)+Inputs!$B$4)^Inputs!$B$5))</f>
        <v/>
      </c>
      <c r="I203" s="9" t="str">
        <f t="shared" si="7"/>
        <v/>
      </c>
      <c r="J203" s="3"/>
      <c r="K203" s="3"/>
      <c r="L203" s="4"/>
      <c r="M203" s="9" t="str">
        <f>IF(A203="","",IF(OR(J203="",Inputs!$B$59=""),0,IFERROR(INDEX(Elements_hybrides!$F$4:$F$204,MATCH(J203,Elements_hybrides!$A$4:$A$204,0))/(Inputs!$B$59*60),0)))</f>
        <v/>
      </c>
      <c r="N203" s="9" t="str">
        <f>IF(A203="","",IF(L203="",Inputs!$B$14,L203)+M203)</f>
        <v/>
      </c>
    </row>
    <row r="204" spans="1:14" x14ac:dyDescent="0.25">
      <c r="A204" s="3"/>
      <c r="B204" s="3"/>
      <c r="C204" s="3"/>
      <c r="D204" s="8"/>
      <c r="E204" s="8"/>
      <c r="F204" s="9">
        <f>IF(E204&lt;&gt;"",E204,IF(UPPER(TRIM(C204))="BASIN",IF(UPPER(TRIM(Inputs!$B$52))="YES",Inputs!$B$12,0),IF(UPPER(TRIM(C204))="ROOF",Inputs!$B$10,IF(UPPER(TRIM(C204))="PAVAGE",Inputs!$B$58,IF(UPPER(TRIM(C204))="TRESFOND",Inputs!$B$11,IF(UPPER(TRIM(C204))="GRASS",Inputs!$B$12,Inputs!$B$13))))))</f>
        <v>0.6</v>
      </c>
      <c r="G204" s="9" t="str">
        <f t="shared" si="6"/>
        <v/>
      </c>
      <c r="H204" s="9" t="str">
        <f>IF(A204="","",Inputs!$B$3/((IF(G204="",Inputs!$B$14,G204)+Inputs!$B$4)^Inputs!$B$5))</f>
        <v/>
      </c>
      <c r="I204" s="9" t="str">
        <f t="shared" si="7"/>
        <v/>
      </c>
      <c r="J204" s="3"/>
      <c r="K204" s="3"/>
      <c r="L204" s="4"/>
      <c r="M204" s="9" t="str">
        <f>IF(A204="","",IF(OR(J204="",Inputs!$B$59=""),0,IFERROR(INDEX(Elements_hybrides!$F$4:$F$204,MATCH(J204,Elements_hybrides!$A$4:$A$204,0))/(Inputs!$B$59*60),0)))</f>
        <v/>
      </c>
      <c r="N204" s="9" t="str">
        <f>IF(A204="","",IF(L204="",Inputs!$B$14,L204)+M204)</f>
        <v/>
      </c>
    </row>
  </sheetData>
  <mergeCells count="1">
    <mergeCell ref="A1:K1"/>
  </mergeCells>
  <pageMargins left="0.75" right="0.75" top="1" bottom="1" header="0.511811023622047" footer="0.511811023622047"/>
  <pageSetup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204"/>
  <sheetViews>
    <sheetView tabSelected="1" zoomScale="145" zoomScaleNormal="145" workbookViewId="0">
      <pane ySplit="3" topLeftCell="A4" activePane="bottomLeft" state="frozen"/>
      <selection pane="bottomLeft" activeCell="D14" sqref="D14"/>
    </sheetView>
  </sheetViews>
  <sheetFormatPr baseColWidth="10" defaultColWidth="8.7109375" defaultRowHeight="15" customHeight="1" x14ac:dyDescent="0.25"/>
  <cols>
    <col min="1" max="2" width="10" customWidth="1"/>
    <col min="3" max="3" width="15" customWidth="1"/>
    <col min="4" max="4" width="14" customWidth="1"/>
    <col min="5" max="5" width="18" customWidth="1"/>
    <col min="6" max="8" width="10" customWidth="1"/>
    <col min="9" max="9" width="9" customWidth="1"/>
    <col min="10" max="14" width="11" customWidth="1"/>
    <col min="15" max="15" width="14" customWidth="1"/>
    <col min="16" max="17" width="12" customWidth="1"/>
    <col min="18" max="18" width="11" customWidth="1"/>
    <col min="19" max="19" width="12" customWidth="1"/>
    <col min="20" max="20" width="11" customWidth="1"/>
    <col min="21" max="23" width="12" customWidth="1"/>
    <col min="24" max="24" width="11" customWidth="1"/>
    <col min="25" max="25" width="12" customWidth="1"/>
    <col min="26" max="26" width="11" customWidth="1"/>
    <col min="27" max="27" width="9" customWidth="1"/>
    <col min="28" max="28" width="34" customWidth="1"/>
    <col min="29" max="29" width="16.7109375" customWidth="1"/>
    <col min="30" max="30" width="13" customWidth="1"/>
    <col min="31" max="31" width="11" customWidth="1"/>
    <col min="32" max="32" width="14" customWidth="1"/>
    <col min="33" max="34" width="12" customWidth="1"/>
    <col min="35" max="38" width="14" customWidth="1"/>
  </cols>
  <sheetData>
    <row r="1" spans="1:38" x14ac:dyDescent="0.25">
      <c r="A1" s="19" t="s">
        <v>253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</row>
    <row r="2" spans="1:38" x14ac:dyDescent="0.25">
      <c r="A2" s="20" t="s">
        <v>254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</row>
    <row r="3" spans="1:38" ht="43.5" x14ac:dyDescent="0.25">
      <c r="A3" s="7" t="s">
        <v>255</v>
      </c>
      <c r="B3" s="7" t="s">
        <v>256</v>
      </c>
      <c r="C3" s="7" t="s">
        <v>257</v>
      </c>
      <c r="D3" s="7" t="s">
        <v>258</v>
      </c>
      <c r="E3" s="7" t="s">
        <v>259</v>
      </c>
      <c r="F3" s="7" t="s">
        <v>260</v>
      </c>
      <c r="G3" s="7" t="s">
        <v>261</v>
      </c>
      <c r="H3" s="7" t="s">
        <v>262</v>
      </c>
      <c r="I3" s="7" t="s">
        <v>263</v>
      </c>
      <c r="J3" s="7" t="s">
        <v>264</v>
      </c>
      <c r="K3" s="7" t="s">
        <v>265</v>
      </c>
      <c r="L3" s="7" t="s">
        <v>266</v>
      </c>
      <c r="M3" s="7" t="s">
        <v>267</v>
      </c>
      <c r="N3" s="7" t="s">
        <v>268</v>
      </c>
      <c r="O3" s="7" t="s">
        <v>269</v>
      </c>
      <c r="P3" s="7" t="s">
        <v>270</v>
      </c>
      <c r="Q3" s="7" t="s">
        <v>271</v>
      </c>
      <c r="R3" s="7" t="s">
        <v>272</v>
      </c>
      <c r="S3" s="7" t="s">
        <v>273</v>
      </c>
      <c r="T3" s="7" t="s">
        <v>274</v>
      </c>
      <c r="U3" s="7" t="s">
        <v>275</v>
      </c>
      <c r="V3" s="7" t="s">
        <v>276</v>
      </c>
      <c r="W3" s="7" t="s">
        <v>277</v>
      </c>
      <c r="X3" s="7" t="s">
        <v>278</v>
      </c>
      <c r="Y3" s="7" t="s">
        <v>279</v>
      </c>
      <c r="Z3" s="7" t="s">
        <v>280</v>
      </c>
      <c r="AA3" s="7" t="s">
        <v>281</v>
      </c>
      <c r="AB3" s="7" t="s">
        <v>197</v>
      </c>
      <c r="AC3" s="7" t="s">
        <v>282</v>
      </c>
      <c r="AD3" s="7" t="s">
        <v>283</v>
      </c>
      <c r="AE3" s="7" t="s">
        <v>284</v>
      </c>
      <c r="AF3" s="7" t="s">
        <v>285</v>
      </c>
      <c r="AG3" s="7" t="s">
        <v>286</v>
      </c>
      <c r="AH3" s="7" t="s">
        <v>287</v>
      </c>
      <c r="AI3" s="7" t="s">
        <v>288</v>
      </c>
      <c r="AJ3" s="7" t="s">
        <v>289</v>
      </c>
      <c r="AK3" s="7" t="s">
        <v>290</v>
      </c>
      <c r="AL3" s="7" t="s">
        <v>291</v>
      </c>
    </row>
    <row r="4" spans="1:38" x14ac:dyDescent="0.25">
      <c r="A4" s="3" t="s">
        <v>214</v>
      </c>
      <c r="B4" s="3" t="s">
        <v>292</v>
      </c>
      <c r="C4" s="3" t="s">
        <v>293</v>
      </c>
      <c r="D4" s="3" t="s">
        <v>294</v>
      </c>
      <c r="E4" s="3" t="s">
        <v>295</v>
      </c>
      <c r="F4" s="8">
        <v>9.6</v>
      </c>
      <c r="G4" s="8">
        <f>Inputs!$B$33</f>
        <v>8.0000000000000002E-3</v>
      </c>
      <c r="H4" s="8"/>
      <c r="I4" s="10">
        <f>IF(A4="","",IF(H4&lt;&gt;"",H4,IF(UPPER(TRIM(B4))="PIPE",Inputs!$B$7,IF(UPPER(TRIM(B4))="SWALE",Inputs!$B$8,Inputs!$B$9))))</f>
        <v>2.8000000000000001E-2</v>
      </c>
      <c r="J4" s="8">
        <f>Inputs!$B$30</f>
        <v>200</v>
      </c>
      <c r="K4" s="8">
        <f>Inputs!$B$28</f>
        <v>0.35</v>
      </c>
      <c r="L4" s="8">
        <f>Inputs!$B$29</f>
        <v>0.7</v>
      </c>
      <c r="M4" s="8">
        <v>0</v>
      </c>
      <c r="N4" s="8">
        <f>Inputs!$B$22</f>
        <v>0.35</v>
      </c>
      <c r="O4" s="10">
        <f>IF(A4="","",SUMIFS(Zones_tributaires!$I:$I,Zones_tributaires!$J:$J,$A4))</f>
        <v>0</v>
      </c>
      <c r="P4" s="10">
        <f t="shared" ref="P4:P67" si="0">IF(A4="","",SUMIFS($Q$4:$Q$204,$E$4:$E$204,$A4))</f>
        <v>0</v>
      </c>
      <c r="Q4" s="10">
        <f>IF(A4="","",(O4+P4)*Inputs!$B$6)</f>
        <v>0</v>
      </c>
      <c r="R4" s="10">
        <f t="shared" ref="R4:R67" si="1">IF(A4="","",IF(UPPER(TRIM(B4))="PIPE",PI()*(J4/1000)^2/4,IF(OR(K4="",L4=""),"",L4*(K4+M4*L4))))</f>
        <v>0.24499999999999997</v>
      </c>
      <c r="S4" s="10">
        <f t="shared" ref="S4:S67" si="2">IF(A4="","",IF(UPPER(TRIM(B4))="PIPE",(J4/1000)/4,IF(OR(R4="",K4="",L4=""),"",R4/(K4+2*L4*SQRT(1+M4^2)))))</f>
        <v>0.13999999999999999</v>
      </c>
      <c r="T4" s="10">
        <f t="shared" ref="T4:T67" si="3">IF(A4="","",IF(OR(I4="",R4="",S4="",G4=""),"",(1/I4)*R4*(S4^(2/3))*SQRT(G4)))</f>
        <v>0.21101098768399049</v>
      </c>
      <c r="U4" s="10">
        <f>IF(OR(T4="",Q4=""),"",Q4/(T4*Inputs!$B$19))</f>
        <v>0</v>
      </c>
      <c r="V4" s="10">
        <f t="shared" ref="V4:V67" si="4">IF(OR(R4="",Q4=""),"",Q4/R4)</f>
        <v>0</v>
      </c>
      <c r="W4" s="10">
        <f t="shared" ref="W4:W67" si="5">IF(OR(R4="",T4=""),"",T4/R4)</f>
        <v>0.86126933748567558</v>
      </c>
      <c r="X4" s="10">
        <f>IF(A4="","",IF(OR(UPPER(TRIM(Inputs!$B$15))="MANNING",UPPER(TRIM(Inputs!$B$15))="M"),W4,IF(OR(UPPER(TRIM(Inputs!$B$15))="MAX",UPPER(TRIM(Inputs!$B$15))="X"),MAX(V4,W4),V4)))</f>
        <v>0.86126933748567558</v>
      </c>
      <c r="Y4" s="10">
        <f t="shared" ref="Y4:Y67" si="6">IF(A4="","",IF(UPPER(TRIM(B4))="TRENCH",K4*L4*N4,IF(UPPER(TRIM(B4))="SWALE",K4*L4,0)))</f>
        <v>8.5749999999999979E-2</v>
      </c>
      <c r="Z4" s="10">
        <f t="shared" ref="Z4:Z67" si="7">IF(OR(Y4="",F4=""),"",Y4*F4)</f>
        <v>0.82319999999999982</v>
      </c>
      <c r="AA4" s="3" t="str">
        <f>IF(A4="","",IF(OR(U4&gt;1,AND(X4&lt;&gt;"",X4&lt;Inputs!$B$16),AND(X4&lt;&gt;"",X4&gt;Inputs!$B$17),G4&lt;Inputs!$B$18,AH4="CHECK"),"CHECK","OK"))</f>
        <v>OK</v>
      </c>
      <c r="AB4" s="3" t="s">
        <v>296</v>
      </c>
      <c r="AC4" s="8"/>
      <c r="AD4" s="10">
        <f>IF(A4="","",IF(AC4&lt;&gt;"",AC4,IF(E4="",Inputs!$B$38,IFERROR(INDEX($AE$4:$AE$204,MATCH(E4,$A$4:$A$204,0))+IF(OR(AND(UPPER(TRIM(B4))="SWALE",UPPER(TRIM(AI4))="PIPE"),AND(UPPER(TRIM(B4))="TRENCH",UPPER(TRIM(AI4))="PIPE")),Inputs!$B$57,0),""))))</f>
        <v>21.891200000000001</v>
      </c>
      <c r="AE4" s="10">
        <f t="shared" ref="AE4:AE67" si="8">IF(OR(AD4="",F4="",G4=""),"",AD4+F4*G4)</f>
        <v>21.968</v>
      </c>
      <c r="AF4" s="10">
        <f t="shared" ref="AF4:AF67" si="9">IF(OR(E4="",A4=""),"",IFERROR(INDEX($AE$4:$AE$204,MATCH(E4,$A$4:$A$204,0)),""))</f>
        <v>21.891200000000001</v>
      </c>
      <c r="AG4" s="10">
        <f t="shared" ref="AG4:AG67" si="10">IF(OR(AD4="",AF4=""),"",AD4-AF4)</f>
        <v>0</v>
      </c>
      <c r="AH4" s="3" t="str">
        <f>IF(A4="","",IF(E4="","TERMINAL",IF(OR(AND(UPPER(TRIM(B4))="SWALE",UPPER(TRIM(AI4))="PIPE"),AND(UPPER(TRIM(B4))="TRENCH",UPPER(TRIM(AI4))="PIPE")),IF(OR(AG4="",AJ4="",AK4=""),"INFO",IF(AND(AG4&gt;=AJ4,AG4&lt;=AK4),"OK","CHECK")),IF(AG4="","INFO",IF(ABS(AG4)&lt;=Inputs!$B$54,"OK","CHECK")))))</f>
        <v>OK</v>
      </c>
      <c r="AI4" s="11" t="str">
        <f t="shared" ref="AI4:AI67" si="11">IF(A4="","",IF(E4="","",IFERROR(INDEX($B$4:$B$204,MATCH(E4,$A$4:$A$204,0)),"")))</f>
        <v>TRENCH</v>
      </c>
      <c r="AJ4" s="11">
        <f>IF(A4="","",IF(OR(AND(UPPER(TRIM(B4))="SWALE",UPPER(TRIM(AI4))="PIPE"),AND(UPPER(TRIM(B4))="TRENCH",UPPER(TRIM(AI4))="PIPE")),Inputs!$B$55,0))</f>
        <v>0</v>
      </c>
      <c r="AK4" s="11">
        <f>IF(A4="","",IF(OR(AND(UPPER(TRIM(B4))="SWALE",UPPER(TRIM(AI4))="PIPE"),AND(UPPER(TRIM(B4))="TRENCH",UPPER(TRIM(AI4))="PIPE")),Inputs!$B$56,Inputs!$B$54))</f>
        <v>0.01</v>
      </c>
      <c r="AL4" s="3" t="str">
        <f t="shared" ref="AL4:AL67" si="12">IF(A4="","",IF(E4="","TERMINAL",IF(OR(AND(UPPER(TRIM(B4))="SWALE",UPPER(TRIM(AI4))="PIPE"),AND(UPPER(TRIM(B4))="TRENCH",UPPER(TRIM(AI4))="PIPE")),IF(OR(AG4="",AJ4="",AK4=""),"INFO",IF(AND(AG4&gt;=AJ4,AG4&lt;=AK4),"OK","CHECK")),"N/A")))</f>
        <v>N/A</v>
      </c>
    </row>
    <row r="5" spans="1:38" x14ac:dyDescent="0.25">
      <c r="A5" s="3" t="s">
        <v>295</v>
      </c>
      <c r="B5" s="3" t="s">
        <v>292</v>
      </c>
      <c r="C5" s="3" t="s">
        <v>294</v>
      </c>
      <c r="D5" s="3" t="s">
        <v>297</v>
      </c>
      <c r="E5" s="3" t="s">
        <v>204</v>
      </c>
      <c r="F5" s="8">
        <v>8.6999999999999993</v>
      </c>
      <c r="G5" s="8">
        <f>Inputs!$B$33</f>
        <v>8.0000000000000002E-3</v>
      </c>
      <c r="H5" s="8"/>
      <c r="I5" s="10">
        <f>IF(A5="","",IF(H5&lt;&gt;"",H5,IF(UPPER(TRIM(B5))="PIPE",Inputs!$B$7,IF(UPPER(TRIM(B5))="SWALE",Inputs!$B$8,Inputs!$B$9))))</f>
        <v>2.8000000000000001E-2</v>
      </c>
      <c r="J5" s="8">
        <f>Inputs!$B$30</f>
        <v>200</v>
      </c>
      <c r="K5" s="8">
        <f>Inputs!$B$28</f>
        <v>0.35</v>
      </c>
      <c r="L5" s="8">
        <f>Inputs!$B$29</f>
        <v>0.7</v>
      </c>
      <c r="M5" s="8">
        <v>0</v>
      </c>
      <c r="N5" s="8">
        <f>Inputs!$B$22</f>
        <v>0.35</v>
      </c>
      <c r="O5" s="10">
        <f>IF(A5="","",SUMIFS(Zones_tributaires!$I:$I,Zones_tributaires!$J:$J,$A5))</f>
        <v>0</v>
      </c>
      <c r="P5" s="10">
        <f t="shared" si="0"/>
        <v>0</v>
      </c>
      <c r="Q5" s="10">
        <f>IF(A5="","",(O5+P5)*Inputs!$B$6)</f>
        <v>0</v>
      </c>
      <c r="R5" s="10">
        <f t="shared" si="1"/>
        <v>0.24499999999999997</v>
      </c>
      <c r="S5" s="10">
        <f t="shared" si="2"/>
        <v>0.13999999999999999</v>
      </c>
      <c r="T5" s="10">
        <f t="shared" si="3"/>
        <v>0.21101098768399049</v>
      </c>
      <c r="U5" s="10">
        <f>IF(OR(T5="",Q5=""),"",Q5/(T5*Inputs!$B$19))</f>
        <v>0</v>
      </c>
      <c r="V5" s="10">
        <f t="shared" si="4"/>
        <v>0</v>
      </c>
      <c r="W5" s="10">
        <f t="shared" si="5"/>
        <v>0.86126933748567558</v>
      </c>
      <c r="X5" s="10">
        <f>IF(A5="","",IF(OR(UPPER(TRIM(Inputs!$B$15))="MANNING",UPPER(TRIM(Inputs!$B$15))="M"),W5,IF(OR(UPPER(TRIM(Inputs!$B$15))="MAX",UPPER(TRIM(Inputs!$B$15))="X"),MAX(V5,W5),V5)))</f>
        <v>0.86126933748567558</v>
      </c>
      <c r="Y5" s="10">
        <f t="shared" si="6"/>
        <v>8.5749999999999979E-2</v>
      </c>
      <c r="Z5" s="10">
        <f t="shared" si="7"/>
        <v>0.74602499999999972</v>
      </c>
      <c r="AA5" s="3" t="str">
        <f>IF(A5="","",IF(OR(U5&gt;1,AND(X5&lt;&gt;"",X5&lt;Inputs!$B$16),AND(X5&lt;&gt;"",X5&gt;Inputs!$B$17),G5&lt;Inputs!$B$18,AH5="CHECK"),"CHECK","OK"))</f>
        <v>OK</v>
      </c>
      <c r="AB5" s="3" t="s">
        <v>298</v>
      </c>
      <c r="AC5" s="8"/>
      <c r="AD5" s="10">
        <f>IF(A5="","",IF(AC5&lt;&gt;"",AC5,IF(E5="",Inputs!$B$38,IFERROR(INDEX($AE$4:$AE$204,MATCH(E5,$A$4:$A$204,0))+IF(OR(AND(UPPER(TRIM(B5))="SWALE",UPPER(TRIM(AI5))="PIPE"),AND(UPPER(TRIM(B5))="TRENCH",UPPER(TRIM(AI5))="PIPE")),Inputs!$B$57,0),""))))</f>
        <v>21.8216</v>
      </c>
      <c r="AE5" s="10">
        <f t="shared" si="8"/>
        <v>21.891200000000001</v>
      </c>
      <c r="AF5" s="10">
        <f t="shared" si="9"/>
        <v>21.721599999999999</v>
      </c>
      <c r="AG5" s="10">
        <f t="shared" si="10"/>
        <v>0.10000000000000142</v>
      </c>
      <c r="AH5" s="3" t="str">
        <f>IF(A5="","",IF(E5="","TERMINAL",IF(OR(AND(UPPER(TRIM(B5))="SWALE",UPPER(TRIM(AI5))="PIPE"),AND(UPPER(TRIM(B5))="TRENCH",UPPER(TRIM(AI5))="PIPE")),IF(OR(AG5="",AJ5="",AK5=""),"INFO",IF(AND(AG5&gt;=AJ5,AG5&lt;=AK5),"OK","CHECK")),IF(AG5="","INFO",IF(ABS(AG5)&lt;=Inputs!$B$54,"OK","CHECK")))))</f>
        <v>OK</v>
      </c>
      <c r="AI5" s="11" t="str">
        <f>IF(A5="","",IF(E5="","",IFERROR(INDEX($B$4:$B$204,MATCH(E5,$A$4:$A$204,0)),"")))</f>
        <v>PIPE</v>
      </c>
      <c r="AJ5" s="11">
        <f>IF(A5="","",IF(OR(AND(UPPER(TRIM(B5))="SWALE",UPPER(TRIM(AI5))="PIPE"),AND(UPPER(TRIM(B5))="TRENCH",UPPER(TRIM(AI5))="PIPE")),Inputs!$B$55,0))</f>
        <v>0.05</v>
      </c>
      <c r="AK5" s="11">
        <f>IF(A5="","",IF(OR(AND(UPPER(TRIM(B5))="SWALE",UPPER(TRIM(AI5))="PIPE"),AND(UPPER(TRIM(B5))="TRENCH",UPPER(TRIM(AI5))="PIPE")),Inputs!$B$56,Inputs!$B$54))</f>
        <v>0.3</v>
      </c>
      <c r="AL5" s="3" t="str">
        <f t="shared" si="12"/>
        <v>OK</v>
      </c>
    </row>
    <row r="6" spans="1:38" x14ac:dyDescent="0.25">
      <c r="A6" s="3" t="s">
        <v>204</v>
      </c>
      <c r="B6" s="3" t="s">
        <v>299</v>
      </c>
      <c r="C6" s="3" t="s">
        <v>297</v>
      </c>
      <c r="D6" s="3" t="s">
        <v>300</v>
      </c>
      <c r="E6" s="3" t="s">
        <v>301</v>
      </c>
      <c r="F6" s="8">
        <v>16.100000000000001</v>
      </c>
      <c r="G6" s="8">
        <v>6.0000000000000001E-3</v>
      </c>
      <c r="H6" s="8"/>
      <c r="I6" s="10">
        <f>IF(A6="","",IF(H6&lt;&gt;"",H6,IF(UPPER(TRIM(B6))="PIPE",Inputs!$B$7,IF(UPPER(TRIM(B6))="SWALE",Inputs!$B$8,Inputs!$B$9))))</f>
        <v>1.2999999999999999E-2</v>
      </c>
      <c r="J6" s="8">
        <v>200</v>
      </c>
      <c r="K6" s="8"/>
      <c r="L6" s="8"/>
      <c r="M6" s="8"/>
      <c r="N6" s="8">
        <v>0</v>
      </c>
      <c r="O6" s="10">
        <f>IF(A6="","",SUMIFS(Zones_tributaires!$I:$I,Zones_tributaires!$J:$J,$A6))</f>
        <v>2.8949370885547284E-3</v>
      </c>
      <c r="P6" s="10">
        <f t="shared" si="0"/>
        <v>0</v>
      </c>
      <c r="Q6" s="10">
        <f>IF(A6="","",(O6+P6)*Inputs!$B$6)</f>
        <v>3.1844307974102015E-3</v>
      </c>
      <c r="R6" s="10">
        <f t="shared" si="1"/>
        <v>3.1415926535897934E-2</v>
      </c>
      <c r="S6" s="10">
        <f t="shared" si="2"/>
        <v>0.05</v>
      </c>
      <c r="T6" s="10">
        <f t="shared" si="3"/>
        <v>2.5405562508629399E-2</v>
      </c>
      <c r="U6" s="10">
        <f>IF(OR(T6="",Q6=""),"",Q6/(T6*Inputs!$B$19))</f>
        <v>0.15667980173281734</v>
      </c>
      <c r="V6" s="10">
        <f t="shared" si="4"/>
        <v>0.1013635804683799</v>
      </c>
      <c r="W6" s="10">
        <f t="shared" si="5"/>
        <v>0.80868417105570034</v>
      </c>
      <c r="X6" s="10">
        <f>IF(A6="","",IF(OR(UPPER(TRIM(Inputs!$B$15))="MANNING",UPPER(TRIM(Inputs!$B$15))="M"),W6,IF(OR(UPPER(TRIM(Inputs!$B$15))="MAX",UPPER(TRIM(Inputs!$B$15))="X"),MAX(V6,W6),V6)))</f>
        <v>0.80868417105570034</v>
      </c>
      <c r="Y6" s="10">
        <f t="shared" si="6"/>
        <v>0</v>
      </c>
      <c r="Z6" s="10">
        <f t="shared" si="7"/>
        <v>0</v>
      </c>
      <c r="AA6" s="3" t="str">
        <f>IF(A6="","",IF(OR(U6&gt;1,AND(X6&lt;&gt;"",X6&lt;Inputs!$B$16),AND(X6&lt;&gt;"",X6&gt;Inputs!$B$17),G6&lt;Inputs!$B$18,AH6="CHECK"),"CHECK","OK"))</f>
        <v>OK</v>
      </c>
      <c r="AB6" s="3" t="s">
        <v>302</v>
      </c>
      <c r="AC6" s="8"/>
      <c r="AD6" s="10">
        <f>IF(A6="","",IF(AC6&lt;&gt;"",AC6,IF(E6="",Inputs!$B$38,IFERROR(INDEX($AE$4:$AE$204,MATCH(E6,$A$4:$A$204,0))+IF(OR(AND(UPPER(TRIM(B6))="SWALE",UPPER(TRIM(AI6))="PIPE"),AND(UPPER(TRIM(B6))="TRENCH",UPPER(TRIM(AI6))="PIPE")),Inputs!$B$57,0),""))))</f>
        <v>21.625</v>
      </c>
      <c r="AE6" s="10">
        <f t="shared" si="8"/>
        <v>21.721599999999999</v>
      </c>
      <c r="AF6" s="10">
        <f t="shared" si="9"/>
        <v>21.625</v>
      </c>
      <c r="AG6" s="10">
        <f t="shared" si="10"/>
        <v>0</v>
      </c>
      <c r="AH6" s="3" t="str">
        <f>IF(A6="","",IF(E6="","TERMINAL",IF(OR(AND(UPPER(TRIM(B6))="SWALE",UPPER(TRIM(AI6))="PIPE"),AND(UPPER(TRIM(B6))="TRENCH",UPPER(TRIM(AI6))="PIPE")),IF(OR(AG6="",AJ6="",AK6=""),"INFO",IF(AND(AG6&gt;=AJ6,AG6&lt;=AK6),"OK","CHECK")),IF(AG6="","INFO",IF(ABS(AG6)&lt;=Inputs!$B$54,"OK","CHECK")))))</f>
        <v>OK</v>
      </c>
      <c r="AI6" s="11" t="str">
        <f t="shared" si="11"/>
        <v>PIPE</v>
      </c>
      <c r="AJ6" s="11">
        <f>IF(A6="","",IF(OR(AND(UPPER(TRIM(B6))="SWALE",UPPER(TRIM(AI6))="PIPE"),AND(UPPER(TRIM(B6))="TRENCH",UPPER(TRIM(AI6))="PIPE")),Inputs!$B$55,0))</f>
        <v>0</v>
      </c>
      <c r="AK6" s="11">
        <f>IF(A6="","",IF(OR(AND(UPPER(TRIM(B6))="SWALE",UPPER(TRIM(AI6))="PIPE"),AND(UPPER(TRIM(B6))="TRENCH",UPPER(TRIM(AI6))="PIPE")),Inputs!$B$56,Inputs!$B$54))</f>
        <v>0.01</v>
      </c>
      <c r="AL6" s="3" t="str">
        <f t="shared" si="12"/>
        <v>N/A</v>
      </c>
    </row>
    <row r="7" spans="1:38" x14ac:dyDescent="0.25">
      <c r="A7" s="3" t="s">
        <v>303</v>
      </c>
      <c r="B7" s="3" t="s">
        <v>299</v>
      </c>
      <c r="C7" s="3" t="s">
        <v>304</v>
      </c>
      <c r="D7" s="3" t="s">
        <v>305</v>
      </c>
      <c r="E7" s="3" t="s">
        <v>306</v>
      </c>
      <c r="F7" s="8">
        <f>Inputs!$B$53</f>
        <v>4.7</v>
      </c>
      <c r="G7" s="8">
        <v>4.0000000000000001E-3</v>
      </c>
      <c r="H7" s="8"/>
      <c r="I7" s="10">
        <f>IF(A7="","",IF(H7&lt;&gt;"",H7,IF(UPPER(TRIM(B7))="PIPE",Inputs!$B$7,IF(UPPER(TRIM(B7))="SWALE",Inputs!$B$8,Inputs!$B$9))))</f>
        <v>1.2999999999999999E-2</v>
      </c>
      <c r="J7" s="8">
        <v>250</v>
      </c>
      <c r="K7" s="8"/>
      <c r="L7" s="8"/>
      <c r="M7" s="8"/>
      <c r="N7" s="8">
        <v>0</v>
      </c>
      <c r="O7" s="10">
        <f>IF(A7="","",SUMIFS(Zones_tributaires!$I:$I,Zones_tributaires!$J:$J,$A7))</f>
        <v>0</v>
      </c>
      <c r="P7" s="10">
        <f t="shared" si="0"/>
        <v>2.2595801022120025E-3</v>
      </c>
      <c r="Q7" s="10">
        <f>IF(A7="","",(O7+P7)*Inputs!$B$6)</f>
        <v>2.4855381124332027E-3</v>
      </c>
      <c r="R7" s="10">
        <f t="shared" si="1"/>
        <v>4.9087385212340517E-2</v>
      </c>
      <c r="S7" s="10">
        <f t="shared" si="2"/>
        <v>6.25E-2</v>
      </c>
      <c r="T7" s="10">
        <f t="shared" si="3"/>
        <v>3.7610567542413195E-2</v>
      </c>
      <c r="U7" s="10">
        <f>IF(OR(T7="",Q7=""),"",Q7/(T7*Inputs!$B$19))</f>
        <v>8.2607704258592929E-2</v>
      </c>
      <c r="V7" s="10">
        <f t="shared" si="4"/>
        <v>5.0634966635141547E-2</v>
      </c>
      <c r="W7" s="10">
        <f t="shared" si="5"/>
        <v>0.76619619031893227</v>
      </c>
      <c r="X7" s="10">
        <f>IF(A7="","",IF(OR(UPPER(TRIM(Inputs!$B$15))="MANNING",UPPER(TRIM(Inputs!$B$15))="M"),W7,IF(OR(UPPER(TRIM(Inputs!$B$15))="MAX",UPPER(TRIM(Inputs!$B$15))="X"),MAX(V7,W7),V7)))</f>
        <v>0.76619619031893227</v>
      </c>
      <c r="Y7" s="10">
        <f t="shared" si="6"/>
        <v>0</v>
      </c>
      <c r="Z7" s="10">
        <f t="shared" si="7"/>
        <v>0</v>
      </c>
      <c r="AA7" s="3" t="str">
        <f>IF(A7="","",IF(OR(U7&gt;1,AND(X7&lt;&gt;"",X7&lt;Inputs!$B$16),AND(X7&lt;&gt;"",X7&gt;Inputs!$B$17),G7&lt;Inputs!$B$18,AH7="CHECK"),"CHECK","OK"))</f>
        <v>OK</v>
      </c>
      <c r="AB7" s="3" t="s">
        <v>307</v>
      </c>
      <c r="AC7" s="8"/>
      <c r="AD7" s="10" t="str">
        <f>IF(A7="","",IF(AC7&lt;&gt;"",AC7,IF(E7="",Inputs!$B$38,IFERROR(INDEX($AE$4:$AE$204,MATCH(E7,$A$4:$A$204,0))+IF(OR(AND(UPPER(TRIM(B7))="SWALE",UPPER(TRIM(AI7))="PIPE"),AND(UPPER(TRIM(B7))="TRENCH",UPPER(TRIM(AI7))="PIPE")),Inputs!$B$57,0),""))))</f>
        <v/>
      </c>
      <c r="AE7" s="10" t="str">
        <f t="shared" si="8"/>
        <v/>
      </c>
      <c r="AF7" s="10" t="str">
        <f t="shared" si="9"/>
        <v/>
      </c>
      <c r="AG7" s="10" t="str">
        <f t="shared" si="10"/>
        <v/>
      </c>
      <c r="AH7" s="3" t="str">
        <f>IF(A7="","",IF(E7="","TERMINAL",IF(OR(AND(UPPER(TRIM(B7))="SWALE",UPPER(TRIM(AI7))="PIPE"),AND(UPPER(TRIM(B7))="TRENCH",UPPER(TRIM(AI7))="PIPE")),IF(OR(AG7="",AJ7="",AK7=""),"INFO",IF(AND(AG7&gt;=AJ7,AG7&lt;=AK7),"OK","CHECK")),IF(AG7="","INFO",IF(ABS(AG7)&lt;=Inputs!$B$54,"OK","CHECK")))))</f>
        <v>INFO</v>
      </c>
      <c r="AI7" s="11" t="str">
        <f t="shared" si="11"/>
        <v>PIPE</v>
      </c>
      <c r="AJ7" s="11">
        <f>IF(A7="","",IF(OR(AND(UPPER(TRIM(B7))="SWALE",UPPER(TRIM(AI7))="PIPE"),AND(UPPER(TRIM(B7))="TRENCH",UPPER(TRIM(AI7))="PIPE")),Inputs!$B$55,0))</f>
        <v>0</v>
      </c>
      <c r="AK7" s="11">
        <f>IF(A7="","",IF(OR(AND(UPPER(TRIM(B7))="SWALE",UPPER(TRIM(AI7))="PIPE"),AND(UPPER(TRIM(B7))="TRENCH",UPPER(TRIM(AI7))="PIPE")),Inputs!$B$56,Inputs!$B$54))</f>
        <v>0.01</v>
      </c>
      <c r="AL7" s="3" t="str">
        <f t="shared" si="12"/>
        <v>N/A</v>
      </c>
    </row>
    <row r="8" spans="1:38" x14ac:dyDescent="0.25">
      <c r="A8" s="3" t="s">
        <v>218</v>
      </c>
      <c r="B8" s="3" t="s">
        <v>299</v>
      </c>
      <c r="C8" s="3" t="s">
        <v>308</v>
      </c>
      <c r="D8" s="3" t="s">
        <v>309</v>
      </c>
      <c r="E8" s="3" t="s">
        <v>223</v>
      </c>
      <c r="F8" s="12">
        <f>Inputs!$B$48</f>
        <v>2.770780856423174</v>
      </c>
      <c r="G8" s="8">
        <v>0.01</v>
      </c>
      <c r="H8" s="8"/>
      <c r="I8" s="10">
        <f>IF(A8="","",IF(H8&lt;&gt;"",H8,IF(UPPER(TRIM(B8))="PIPE",Inputs!$B$7,IF(UPPER(TRIM(B8))="SWALE",Inputs!$B$8,Inputs!$B$9))))</f>
        <v>1.2999999999999999E-2</v>
      </c>
      <c r="J8" s="8">
        <v>200</v>
      </c>
      <c r="K8" s="8"/>
      <c r="L8" s="8"/>
      <c r="M8" s="8"/>
      <c r="N8" s="8">
        <v>0</v>
      </c>
      <c r="O8" s="10">
        <f>IF(A8="","",SUMIFS(Zones_tributaires!$I:$I,Zones_tributaires!$J:$J,$A8))</f>
        <v>9.7455621568884559E-5</v>
      </c>
      <c r="P8" s="10">
        <f t="shared" si="0"/>
        <v>0</v>
      </c>
      <c r="Q8" s="10">
        <f>IF(A8="","",(O8+P8)*Inputs!$B$6)</f>
        <v>1.0720118372577302E-4</v>
      </c>
      <c r="R8" s="10">
        <f t="shared" si="1"/>
        <v>3.1415926535897934E-2</v>
      </c>
      <c r="S8" s="10">
        <f t="shared" si="2"/>
        <v>0.05</v>
      </c>
      <c r="T8" s="10">
        <f t="shared" si="3"/>
        <v>3.279844016565106E-2</v>
      </c>
      <c r="U8" s="10">
        <f>IF(OR(T8="",Q8=""),"",Q8/(T8*Inputs!$B$19))</f>
        <v>4.0856052598974655E-3</v>
      </c>
      <c r="V8" s="10">
        <f t="shared" si="4"/>
        <v>3.4123196590518439E-3</v>
      </c>
      <c r="W8" s="10">
        <f t="shared" si="5"/>
        <v>1.0440067756134257</v>
      </c>
      <c r="X8" s="10">
        <f>IF(A8="","",IF(OR(UPPER(TRIM(Inputs!$B$15))="MANNING",UPPER(TRIM(Inputs!$B$15))="M"),W8,IF(OR(UPPER(TRIM(Inputs!$B$15))="MAX",UPPER(TRIM(Inputs!$B$15))="X"),MAX(V8,W8),V8)))</f>
        <v>1.0440067756134257</v>
      </c>
      <c r="Y8" s="10">
        <f t="shared" si="6"/>
        <v>0</v>
      </c>
      <c r="Z8" s="10">
        <f t="shared" si="7"/>
        <v>0</v>
      </c>
      <c r="AA8" s="3" t="str">
        <f>IF(A8="","",IF(OR(U8&gt;1,AND(X8&lt;&gt;"",X8&lt;Inputs!$B$16),AND(X8&lt;&gt;"",X8&gt;Inputs!$B$17),G8&lt;Inputs!$B$18,AH8="CHECK"),"CHECK","OK"))</f>
        <v>OK</v>
      </c>
      <c r="AB8" s="3" t="s">
        <v>310</v>
      </c>
      <c r="AC8" s="8"/>
      <c r="AD8" s="10" t="str">
        <f>IF(A8="","",IF(AC8&lt;&gt;"",AC8,IF(E8="",Inputs!$B$38,IFERROR(INDEX($AE$4:$AE$204,MATCH(E8,$A$4:$A$204,0))+IF(OR(AND(UPPER(TRIM(B8))="SWALE",UPPER(TRIM(AI8))="PIPE"),AND(UPPER(TRIM(B8))="TRENCH",UPPER(TRIM(AI8))="PIPE")),Inputs!$B$57,0),""))))</f>
        <v/>
      </c>
      <c r="AE8" s="10" t="str">
        <f t="shared" si="8"/>
        <v/>
      </c>
      <c r="AF8" s="10" t="str">
        <f t="shared" si="9"/>
        <v/>
      </c>
      <c r="AG8" s="10" t="str">
        <f t="shared" si="10"/>
        <v/>
      </c>
      <c r="AH8" s="3" t="str">
        <f>IF(A8="","",IF(E8="","TERMINAL",IF(OR(AND(UPPER(TRIM(B8))="SWALE",UPPER(TRIM(AI8))="PIPE"),AND(UPPER(TRIM(B8))="TRENCH",UPPER(TRIM(AI8))="PIPE")),IF(OR(AG8="",AJ8="",AK8=""),"INFO",IF(AND(AG8&gt;=AJ8,AG8&lt;=AK8),"OK","CHECK")),IF(AG8="","INFO",IF(ABS(AG8)&lt;=Inputs!$B$54,"OK","CHECK")))))</f>
        <v>INFO</v>
      </c>
      <c r="AI8" s="11" t="str">
        <f t="shared" si="11"/>
        <v>PIPE</v>
      </c>
      <c r="AJ8" s="11">
        <f>IF(A8="","",IF(OR(AND(UPPER(TRIM(B8))="SWALE",UPPER(TRIM(AI8))="PIPE"),AND(UPPER(TRIM(B8))="TRENCH",UPPER(TRIM(AI8))="PIPE")),Inputs!$B$55,0))</f>
        <v>0</v>
      </c>
      <c r="AK8" s="11">
        <f>IF(A8="","",IF(OR(AND(UPPER(TRIM(B8))="SWALE",UPPER(TRIM(AI8))="PIPE"),AND(UPPER(TRIM(B8))="TRENCH",UPPER(TRIM(AI8))="PIPE")),Inputs!$B$56,Inputs!$B$54))</f>
        <v>0.01</v>
      </c>
      <c r="AL8" s="3" t="str">
        <f t="shared" si="12"/>
        <v>N/A</v>
      </c>
    </row>
    <row r="9" spans="1:38" x14ac:dyDescent="0.25">
      <c r="A9" s="3" t="s">
        <v>223</v>
      </c>
      <c r="B9" s="3" t="s">
        <v>299</v>
      </c>
      <c r="C9" s="3" t="s">
        <v>309</v>
      </c>
      <c r="D9" s="3" t="s">
        <v>311</v>
      </c>
      <c r="E9" s="3" t="s">
        <v>227</v>
      </c>
      <c r="F9" s="12">
        <f>Inputs!$B$42</f>
        <v>2.2999999999999998</v>
      </c>
      <c r="G9" s="8">
        <v>0.01</v>
      </c>
      <c r="H9" s="8"/>
      <c r="I9" s="10">
        <f>IF(A9="","",IF(H9&lt;&gt;"",H9,IF(UPPER(TRIM(B9))="PIPE",Inputs!$B$7,IF(UPPER(TRIM(B9))="SWALE",Inputs!$B$8,Inputs!$B$9))))</f>
        <v>1.2999999999999999E-2</v>
      </c>
      <c r="J9" s="8">
        <v>200</v>
      </c>
      <c r="K9" s="8"/>
      <c r="L9" s="8"/>
      <c r="M9" s="8"/>
      <c r="N9" s="8">
        <v>0</v>
      </c>
      <c r="O9" s="10">
        <f>IF(A9="","",SUMIFS(Zones_tributaires!$I:$I,Zones_tributaires!$J:$J,$A9))</f>
        <v>1.9854400577525586E-4</v>
      </c>
      <c r="P9" s="10">
        <f t="shared" si="0"/>
        <v>1.0720118372577302E-4</v>
      </c>
      <c r="Q9" s="10">
        <f>IF(A9="","",(O9+P9)*Inputs!$B$6)</f>
        <v>3.3631970845113176E-4</v>
      </c>
      <c r="R9" s="10">
        <f t="shared" si="1"/>
        <v>3.1415926535897934E-2</v>
      </c>
      <c r="S9" s="10">
        <f t="shared" si="2"/>
        <v>0.05</v>
      </c>
      <c r="T9" s="10">
        <f t="shared" si="3"/>
        <v>3.279844016565106E-2</v>
      </c>
      <c r="U9" s="10">
        <f>IF(OR(T9="",Q9=""),"",Q9/(T9*Inputs!$B$19))</f>
        <v>1.2817671616108991E-2</v>
      </c>
      <c r="V9" s="10">
        <f t="shared" si="4"/>
        <v>1.0705388811844541E-2</v>
      </c>
      <c r="W9" s="10">
        <f t="shared" si="5"/>
        <v>1.0440067756134257</v>
      </c>
      <c r="X9" s="10">
        <f>IF(A9="","",IF(OR(UPPER(TRIM(Inputs!$B$15))="MANNING",UPPER(TRIM(Inputs!$B$15))="M"),W9,IF(OR(UPPER(TRIM(Inputs!$B$15))="MAX",UPPER(TRIM(Inputs!$B$15))="X"),MAX(V9,W9),V9)))</f>
        <v>1.0440067756134257</v>
      </c>
      <c r="Y9" s="10">
        <f t="shared" si="6"/>
        <v>0</v>
      </c>
      <c r="Z9" s="10">
        <f t="shared" si="7"/>
        <v>0</v>
      </c>
      <c r="AA9" s="3" t="str">
        <f>IF(A9="","",IF(OR(U9&gt;1,AND(X9&lt;&gt;"",X9&lt;Inputs!$B$16),AND(X9&lt;&gt;"",X9&gt;Inputs!$B$17),G9&lt;Inputs!$B$18,AH9="CHECK"),"CHECK","OK"))</f>
        <v>OK</v>
      </c>
      <c r="AB9" s="3" t="s">
        <v>312</v>
      </c>
      <c r="AC9" s="8"/>
      <c r="AD9" s="10" t="str">
        <f>IF(A9="","",IF(AC9&lt;&gt;"",AC9,IF(E9="",Inputs!$B$38,IFERROR(INDEX($AE$4:$AE$204,MATCH(E9,$A$4:$A$204,0))+IF(OR(AND(UPPER(TRIM(B9))="SWALE",UPPER(TRIM(AI9))="PIPE"),AND(UPPER(TRIM(B9))="TRENCH",UPPER(TRIM(AI9))="PIPE")),Inputs!$B$57,0),""))))</f>
        <v/>
      </c>
      <c r="AE9" s="10" t="str">
        <f t="shared" si="8"/>
        <v/>
      </c>
      <c r="AF9" s="10" t="str">
        <f t="shared" si="9"/>
        <v/>
      </c>
      <c r="AG9" s="10" t="str">
        <f t="shared" si="10"/>
        <v/>
      </c>
      <c r="AH9" s="3" t="str">
        <f>IF(A9="","",IF(E9="","TERMINAL",IF(OR(AND(UPPER(TRIM(B9))="SWALE",UPPER(TRIM(AI9))="PIPE"),AND(UPPER(TRIM(B9))="TRENCH",UPPER(TRIM(AI9))="PIPE")),IF(OR(AG9="",AJ9="",AK9=""),"INFO",IF(AND(AG9&gt;=AJ9,AG9&lt;=AK9),"OK","CHECK")),IF(AG9="","INFO",IF(ABS(AG9)&lt;=Inputs!$B$54,"OK","CHECK")))))</f>
        <v>INFO</v>
      </c>
      <c r="AI9" s="11" t="str">
        <f t="shared" si="11"/>
        <v>PIPE</v>
      </c>
      <c r="AJ9" s="11">
        <f>IF(A9="","",IF(OR(AND(UPPER(TRIM(B9))="SWALE",UPPER(TRIM(AI9))="PIPE"),AND(UPPER(TRIM(B9))="TRENCH",UPPER(TRIM(AI9))="PIPE")),Inputs!$B$55,0))</f>
        <v>0</v>
      </c>
      <c r="AK9" s="11">
        <f>IF(A9="","",IF(OR(AND(UPPER(TRIM(B9))="SWALE",UPPER(TRIM(AI9))="PIPE"),AND(UPPER(TRIM(B9))="TRENCH",UPPER(TRIM(AI9))="PIPE")),Inputs!$B$56,Inputs!$B$54))</f>
        <v>0.01</v>
      </c>
      <c r="AL9" s="3" t="str">
        <f t="shared" si="12"/>
        <v>N/A</v>
      </c>
    </row>
    <row r="10" spans="1:38" x14ac:dyDescent="0.25">
      <c r="A10" s="3" t="s">
        <v>227</v>
      </c>
      <c r="B10" s="3" t="s">
        <v>299</v>
      </c>
      <c r="C10" s="3" t="s">
        <v>311</v>
      </c>
      <c r="D10" s="3" t="s">
        <v>313</v>
      </c>
      <c r="E10" s="3" t="s">
        <v>231</v>
      </c>
      <c r="F10" s="12">
        <f>Inputs!$B$49</f>
        <v>6.0292191435768263</v>
      </c>
      <c r="G10" s="8">
        <v>8.9999999999999993E-3</v>
      </c>
      <c r="H10" s="8"/>
      <c r="I10" s="10">
        <f>IF(A10="","",IF(H10&lt;&gt;"",H10,IF(UPPER(TRIM(B10))="PIPE",Inputs!$B$7,IF(UPPER(TRIM(B10))="SWALE",Inputs!$B$8,Inputs!$B$9))))</f>
        <v>1.2999999999999999E-2</v>
      </c>
      <c r="J10" s="8">
        <v>200</v>
      </c>
      <c r="K10" s="8"/>
      <c r="L10" s="8"/>
      <c r="M10" s="8"/>
      <c r="N10" s="8">
        <v>0</v>
      </c>
      <c r="O10" s="10">
        <f>IF(A10="","",SUMIFS(Zones_tributaires!$I:$I,Zones_tributaires!$J:$J,$A10))</f>
        <v>2.1172095829792272E-4</v>
      </c>
      <c r="P10" s="10">
        <f t="shared" si="0"/>
        <v>3.3631970845113176E-4</v>
      </c>
      <c r="Q10" s="10">
        <f>IF(A10="","",(O10+P10)*Inputs!$B$6)</f>
        <v>6.0284473342395997E-4</v>
      </c>
      <c r="R10" s="10">
        <f t="shared" si="1"/>
        <v>3.1415926535897934E-2</v>
      </c>
      <c r="S10" s="10">
        <f t="shared" si="2"/>
        <v>0.05</v>
      </c>
      <c r="T10" s="10">
        <f t="shared" si="3"/>
        <v>3.1115332387262287E-2</v>
      </c>
      <c r="U10" s="10">
        <f>IF(OR(T10="",Q10=""),"",Q10/(T10*Inputs!$B$19))</f>
        <v>2.4218154169178465E-2</v>
      </c>
      <c r="V10" s="10">
        <f t="shared" si="4"/>
        <v>1.9189143848267833E-2</v>
      </c>
      <c r="W10" s="10">
        <f t="shared" si="5"/>
        <v>0.99043179107602741</v>
      </c>
      <c r="X10" s="10">
        <f>IF(A10="","",IF(OR(UPPER(TRIM(Inputs!$B$15))="MANNING",UPPER(TRIM(Inputs!$B$15))="M"),W10,IF(OR(UPPER(TRIM(Inputs!$B$15))="MAX",UPPER(TRIM(Inputs!$B$15))="X"),MAX(V10,W10),V10)))</f>
        <v>0.99043179107602741</v>
      </c>
      <c r="Y10" s="10">
        <f t="shared" si="6"/>
        <v>0</v>
      </c>
      <c r="Z10" s="10">
        <f t="shared" si="7"/>
        <v>0</v>
      </c>
      <c r="AA10" s="3" t="str">
        <f>IF(A10="","",IF(OR(U10&gt;1,AND(X10&lt;&gt;"",X10&lt;Inputs!$B$16),AND(X10&lt;&gt;"",X10&gt;Inputs!$B$17),G10&lt;Inputs!$B$18,AH10="CHECK"),"CHECK","OK"))</f>
        <v>OK</v>
      </c>
      <c r="AB10" s="3" t="s">
        <v>314</v>
      </c>
      <c r="AC10" s="8"/>
      <c r="AD10" s="10" t="str">
        <f>IF(A10="","",IF(AC10&lt;&gt;"",AC10,IF(E10="",Inputs!$B$38,IFERROR(INDEX($AE$4:$AE$204,MATCH(E10,$A$4:$A$204,0))+IF(OR(AND(UPPER(TRIM(B10))="SWALE",UPPER(TRIM(AI10))="PIPE"),AND(UPPER(TRIM(B10))="TRENCH",UPPER(TRIM(AI10))="PIPE")),Inputs!$B$57,0),""))))</f>
        <v/>
      </c>
      <c r="AE10" s="10" t="str">
        <f t="shared" si="8"/>
        <v/>
      </c>
      <c r="AF10" s="10" t="str">
        <f t="shared" si="9"/>
        <v/>
      </c>
      <c r="AG10" s="10" t="str">
        <f t="shared" si="10"/>
        <v/>
      </c>
      <c r="AH10" s="3" t="str">
        <f>IF(A10="","",IF(E10="","TERMINAL",IF(OR(AND(UPPER(TRIM(B10))="SWALE",UPPER(TRIM(AI10))="PIPE"),AND(UPPER(TRIM(B10))="TRENCH",UPPER(TRIM(AI10))="PIPE")),IF(OR(AG10="",AJ10="",AK10=""),"INFO",IF(AND(AG10&gt;=AJ10,AG10&lt;=AK10),"OK","CHECK")),IF(AG10="","INFO",IF(ABS(AG10)&lt;=Inputs!$B$54,"OK","CHECK")))))</f>
        <v>INFO</v>
      </c>
      <c r="AI10" s="11" t="str">
        <f t="shared" si="11"/>
        <v>PIPE</v>
      </c>
      <c r="AJ10" s="11">
        <f>IF(A10="","",IF(OR(AND(UPPER(TRIM(B10))="SWALE",UPPER(TRIM(AI10))="PIPE"),AND(UPPER(TRIM(B10))="TRENCH",UPPER(TRIM(AI10))="PIPE")),Inputs!$B$55,0))</f>
        <v>0</v>
      </c>
      <c r="AK10" s="11">
        <f>IF(A10="","",IF(OR(AND(UPPER(TRIM(B10))="SWALE",UPPER(TRIM(AI10))="PIPE"),AND(UPPER(TRIM(B10))="TRENCH",UPPER(TRIM(AI10))="PIPE")),Inputs!$B$56,Inputs!$B$54))</f>
        <v>0.01</v>
      </c>
      <c r="AL10" s="3" t="str">
        <f t="shared" si="12"/>
        <v>N/A</v>
      </c>
    </row>
    <row r="11" spans="1:38" x14ac:dyDescent="0.25">
      <c r="A11" s="3" t="s">
        <v>231</v>
      </c>
      <c r="B11" s="3" t="s">
        <v>299</v>
      </c>
      <c r="C11" s="3" t="s">
        <v>313</v>
      </c>
      <c r="D11" s="3" t="s">
        <v>315</v>
      </c>
      <c r="E11" s="3" t="s">
        <v>235</v>
      </c>
      <c r="F11" s="12">
        <f>Inputs!$B$43</f>
        <v>5.0999999999999996</v>
      </c>
      <c r="G11" s="8">
        <v>8.9999999999999993E-3</v>
      </c>
      <c r="H11" s="8"/>
      <c r="I11" s="10">
        <f>IF(A11="","",IF(H11&lt;&gt;"",H11,IF(UPPER(TRIM(B11))="PIPE",Inputs!$B$7,IF(UPPER(TRIM(B11))="SWALE",Inputs!$B$8,Inputs!$B$9))))</f>
        <v>1.2999999999999999E-2</v>
      </c>
      <c r="J11" s="8">
        <v>200</v>
      </c>
      <c r="K11" s="8"/>
      <c r="L11" s="8"/>
      <c r="M11" s="8"/>
      <c r="N11" s="8">
        <v>0</v>
      </c>
      <c r="O11" s="10">
        <f>IF(A11="","",SUMIFS(Zones_tributaires!$I:$I,Zones_tributaires!$J:$J,$A11))</f>
        <v>1.1097109818027462E-3</v>
      </c>
      <c r="P11" s="10">
        <f t="shared" si="0"/>
        <v>6.0284473342395997E-4</v>
      </c>
      <c r="Q11" s="10">
        <f>IF(A11="","",(O11+P11)*Inputs!$B$6)</f>
        <v>1.8838112867493768E-3</v>
      </c>
      <c r="R11" s="10">
        <f t="shared" si="1"/>
        <v>3.1415926535897934E-2</v>
      </c>
      <c r="S11" s="10">
        <f t="shared" si="2"/>
        <v>0.05</v>
      </c>
      <c r="T11" s="10">
        <f t="shared" si="3"/>
        <v>3.1115332387262287E-2</v>
      </c>
      <c r="U11" s="10">
        <f>IF(OR(T11="",Q11=""),"",Q11/(T11*Inputs!$B$19))</f>
        <v>7.5678577979796643E-2</v>
      </c>
      <c r="V11" s="10">
        <f t="shared" si="4"/>
        <v>5.9963575627693437E-2</v>
      </c>
      <c r="W11" s="10">
        <f t="shared" si="5"/>
        <v>0.99043179107602741</v>
      </c>
      <c r="X11" s="10">
        <f>IF(A11="","",IF(OR(UPPER(TRIM(Inputs!$B$15))="MANNING",UPPER(TRIM(Inputs!$B$15))="M"),W11,IF(OR(UPPER(TRIM(Inputs!$B$15))="MAX",UPPER(TRIM(Inputs!$B$15))="X"),MAX(V11,W11),V11)))</f>
        <v>0.99043179107602741</v>
      </c>
      <c r="Y11" s="10">
        <f t="shared" si="6"/>
        <v>0</v>
      </c>
      <c r="Z11" s="10">
        <f t="shared" si="7"/>
        <v>0</v>
      </c>
      <c r="AA11" s="3" t="str">
        <f>IF(A11="","",IF(OR(U11&gt;1,AND(X11&lt;&gt;"",X11&lt;Inputs!$B$16),AND(X11&lt;&gt;"",X11&gt;Inputs!$B$17),G11&lt;Inputs!$B$18,AH11="CHECK"),"CHECK","OK"))</f>
        <v>OK</v>
      </c>
      <c r="AB11" s="3" t="s">
        <v>316</v>
      </c>
      <c r="AC11" s="8"/>
      <c r="AD11" s="10" t="str">
        <f>IF(A11="","",IF(AC11&lt;&gt;"",AC11,IF(E11="",Inputs!$B$38,IFERROR(INDEX($AE$4:$AE$204,MATCH(E11,$A$4:$A$204,0))+IF(OR(AND(UPPER(TRIM(B11))="SWALE",UPPER(TRIM(AI11))="PIPE"),AND(UPPER(TRIM(B11))="TRENCH",UPPER(TRIM(AI11))="PIPE")),Inputs!$B$57,0),""))))</f>
        <v/>
      </c>
      <c r="AE11" s="10" t="str">
        <f t="shared" si="8"/>
        <v/>
      </c>
      <c r="AF11" s="10" t="str">
        <f t="shared" si="9"/>
        <v/>
      </c>
      <c r="AG11" s="10" t="str">
        <f t="shared" si="10"/>
        <v/>
      </c>
      <c r="AH11" s="3" t="str">
        <f>IF(A11="","",IF(E11="","TERMINAL",IF(OR(AND(UPPER(TRIM(B11))="SWALE",UPPER(TRIM(AI11))="PIPE"),AND(UPPER(TRIM(B11))="TRENCH",UPPER(TRIM(AI11))="PIPE")),IF(OR(AG11="",AJ11="",AK11=""),"INFO",IF(AND(AG11&gt;=AJ11,AG11&lt;=AK11),"OK","CHECK")),IF(AG11="","INFO",IF(ABS(AG11)&lt;=Inputs!$B$54,"OK","CHECK")))))</f>
        <v>INFO</v>
      </c>
      <c r="AI11" s="11" t="str">
        <f t="shared" si="11"/>
        <v>PIPE</v>
      </c>
      <c r="AJ11" s="11">
        <f>IF(A11="","",IF(OR(AND(UPPER(TRIM(B11))="SWALE",UPPER(TRIM(AI11))="PIPE"),AND(UPPER(TRIM(B11))="TRENCH",UPPER(TRIM(AI11))="PIPE")),Inputs!$B$55,0))</f>
        <v>0</v>
      </c>
      <c r="AK11" s="11">
        <f>IF(A11="","",IF(OR(AND(UPPER(TRIM(B11))="SWALE",UPPER(TRIM(AI11))="PIPE"),AND(UPPER(TRIM(B11))="TRENCH",UPPER(TRIM(AI11))="PIPE")),Inputs!$B$56,Inputs!$B$54))</f>
        <v>0.01</v>
      </c>
      <c r="AL11" s="3" t="str">
        <f t="shared" si="12"/>
        <v>N/A</v>
      </c>
    </row>
    <row r="12" spans="1:38" x14ac:dyDescent="0.25">
      <c r="A12" s="3" t="s">
        <v>235</v>
      </c>
      <c r="B12" s="3" t="s">
        <v>299</v>
      </c>
      <c r="C12" s="3" t="s">
        <v>315</v>
      </c>
      <c r="D12" s="3" t="s">
        <v>304</v>
      </c>
      <c r="E12" s="3" t="s">
        <v>303</v>
      </c>
      <c r="F12" s="12">
        <f>Inputs!$B$50</f>
        <v>7.379999999999999</v>
      </c>
      <c r="G12" s="8">
        <v>8.0000000000000002E-3</v>
      </c>
      <c r="H12" s="8"/>
      <c r="I12" s="10">
        <f>IF(A12="","",IF(H12&lt;&gt;"",H12,IF(UPPER(TRIM(B12))="PIPE",Inputs!$B$7,IF(UPPER(TRIM(B12))="SWALE",Inputs!$B$8,Inputs!$B$9))))</f>
        <v>1.2999999999999999E-2</v>
      </c>
      <c r="J12" s="8">
        <v>200</v>
      </c>
      <c r="K12" s="8"/>
      <c r="L12" s="8"/>
      <c r="M12" s="8"/>
      <c r="N12" s="8">
        <v>0</v>
      </c>
      <c r="O12" s="10">
        <f>IF(A12="","",SUMIFS(Zones_tributaires!$I:$I,Zones_tributaires!$J:$J,$A12))</f>
        <v>1.7035244253426165E-4</v>
      </c>
      <c r="P12" s="10">
        <f t="shared" si="0"/>
        <v>1.8838112867493768E-3</v>
      </c>
      <c r="Q12" s="10">
        <f>IF(A12="","",(O12+P12)*Inputs!$B$6)</f>
        <v>2.2595801022120025E-3</v>
      </c>
      <c r="R12" s="10">
        <f t="shared" si="1"/>
        <v>3.1415926535897934E-2</v>
      </c>
      <c r="S12" s="10">
        <f t="shared" si="2"/>
        <v>0.05</v>
      </c>
      <c r="T12" s="10">
        <f t="shared" si="3"/>
        <v>2.9335816706542093E-2</v>
      </c>
      <c r="U12" s="10">
        <f>IF(OR(T12="",Q12=""),"",Q12/(T12*Inputs!$B$19))</f>
        <v>9.6280773636519393E-2</v>
      </c>
      <c r="V12" s="10">
        <f t="shared" si="4"/>
        <v>7.192466851582606E-2</v>
      </c>
      <c r="W12" s="10">
        <f t="shared" si="5"/>
        <v>0.9337880476967958</v>
      </c>
      <c r="X12" s="10">
        <f>IF(A12="","",IF(OR(UPPER(TRIM(Inputs!$B$15))="MANNING",UPPER(TRIM(Inputs!$B$15))="M"),W12,IF(OR(UPPER(TRIM(Inputs!$B$15))="MAX",UPPER(TRIM(Inputs!$B$15))="X"),MAX(V12,W12),V12)))</f>
        <v>0.9337880476967958</v>
      </c>
      <c r="Y12" s="10">
        <f t="shared" si="6"/>
        <v>0</v>
      </c>
      <c r="Z12" s="10">
        <f t="shared" si="7"/>
        <v>0</v>
      </c>
      <c r="AA12" s="3" t="str">
        <f>IF(A12="","",IF(OR(U12&gt;1,AND(X12&lt;&gt;"",X12&lt;Inputs!$B$16),AND(X12&lt;&gt;"",X12&gt;Inputs!$B$17),G12&lt;Inputs!$B$18,AH12="CHECK"),"CHECK","OK"))</f>
        <v>OK</v>
      </c>
      <c r="AB12" s="3" t="s">
        <v>317</v>
      </c>
      <c r="AC12" s="8"/>
      <c r="AD12" s="10" t="str">
        <f>IF(A12="","",IF(AC12&lt;&gt;"",AC12,IF(E12="",Inputs!$B$38,IFERROR(INDEX($AE$4:$AE$204,MATCH(E12,$A$4:$A$204,0))+IF(OR(AND(UPPER(TRIM(B12))="SWALE",UPPER(TRIM(AI12))="PIPE"),AND(UPPER(TRIM(B12))="TRENCH",UPPER(TRIM(AI12))="PIPE")),Inputs!$B$57,0),""))))</f>
        <v/>
      </c>
      <c r="AE12" s="10" t="str">
        <f t="shared" si="8"/>
        <v/>
      </c>
      <c r="AF12" s="10" t="str">
        <f t="shared" si="9"/>
        <v/>
      </c>
      <c r="AG12" s="10" t="str">
        <f t="shared" si="10"/>
        <v/>
      </c>
      <c r="AH12" s="3" t="str">
        <f>IF(A12="","",IF(E12="","TERMINAL",IF(OR(AND(UPPER(TRIM(B12))="SWALE",UPPER(TRIM(AI12))="PIPE"),AND(UPPER(TRIM(B12))="TRENCH",UPPER(TRIM(AI12))="PIPE")),IF(OR(AG12="",AJ12="",AK12=""),"INFO",IF(AND(AG12&gt;=AJ12,AG12&lt;=AK12),"OK","CHECK")),IF(AG12="","INFO",IF(ABS(AG12)&lt;=Inputs!$B$54,"OK","CHECK")))))</f>
        <v>INFO</v>
      </c>
      <c r="AI12" s="11" t="str">
        <f t="shared" si="11"/>
        <v>PIPE</v>
      </c>
      <c r="AJ12" s="11">
        <f>IF(A12="","",IF(OR(AND(UPPER(TRIM(B12))="SWALE",UPPER(TRIM(AI12))="PIPE"),AND(UPPER(TRIM(B12))="TRENCH",UPPER(TRIM(AI12))="PIPE")),Inputs!$B$55,0))</f>
        <v>0</v>
      </c>
      <c r="AK12" s="11">
        <f>IF(A12="","",IF(OR(AND(UPPER(TRIM(B12))="SWALE",UPPER(TRIM(AI12))="PIPE"),AND(UPPER(TRIM(B12))="TRENCH",UPPER(TRIM(AI12))="PIPE")),Inputs!$B$56,Inputs!$B$54))</f>
        <v>0.01</v>
      </c>
      <c r="AL12" s="3" t="str">
        <f t="shared" si="12"/>
        <v>N/A</v>
      </c>
    </row>
    <row r="13" spans="1:38" x14ac:dyDescent="0.25">
      <c r="A13" s="3" t="s">
        <v>318</v>
      </c>
      <c r="B13" s="3"/>
      <c r="C13" s="3" t="s">
        <v>344</v>
      </c>
      <c r="D13" s="3" t="s">
        <v>305</v>
      </c>
      <c r="E13" s="3"/>
      <c r="F13" s="8"/>
      <c r="G13" s="8"/>
      <c r="H13" s="8"/>
      <c r="I13" s="10">
        <f>IF(A13="","",IF(H13&lt;&gt;"",H13,IF(UPPER(TRIM(B13))="PIPE",Inputs!$B$7,IF(UPPER(TRIM(B13))="SWALE",Inputs!$B$8,Inputs!$B$9))))</f>
        <v>2.8000000000000001E-2</v>
      </c>
      <c r="J13" s="8"/>
      <c r="K13" s="8"/>
      <c r="L13" s="8"/>
      <c r="M13" s="8"/>
      <c r="N13" s="8"/>
      <c r="O13" s="10">
        <f>IF(A13="","",SUMIFS(Zones_tributaires!$I:$I,Zones_tributaires!$J:$J,$A13))</f>
        <v>4.0489942102337556E-2</v>
      </c>
      <c r="P13" s="10">
        <f t="shared" si="0"/>
        <v>0</v>
      </c>
      <c r="Q13" s="10">
        <f>IF(A13="","",(O13+P13)*Inputs!$B$6)</f>
        <v>4.4538936312571317E-2</v>
      </c>
      <c r="R13" s="10" t="str">
        <f t="shared" si="1"/>
        <v/>
      </c>
      <c r="S13" s="10" t="str">
        <f t="shared" si="2"/>
        <v/>
      </c>
      <c r="T13" s="10" t="str">
        <f t="shared" si="3"/>
        <v/>
      </c>
      <c r="U13" s="10" t="str">
        <f>IF(OR(T13="",Q13=""),"",Q13/(T13*Inputs!$B$19))</f>
        <v/>
      </c>
      <c r="V13" s="10" t="str">
        <f t="shared" si="4"/>
        <v/>
      </c>
      <c r="W13" s="10" t="str">
        <f t="shared" si="5"/>
        <v/>
      </c>
      <c r="X13" s="10">
        <f>IF(A13="","",IF(OR(UPPER(TRIM(Inputs!$B$15))="MANNING",UPPER(TRIM(Inputs!$B$15))="M"),W13,IF(OR(UPPER(TRIM(Inputs!$B$15))="MAX",UPPER(TRIM(Inputs!$B$15))="X"),MAX(V13,W13),V13)))</f>
        <v>0</v>
      </c>
      <c r="Y13" s="10">
        <f t="shared" si="6"/>
        <v>0</v>
      </c>
      <c r="Z13" s="10" t="str">
        <f t="shared" si="7"/>
        <v/>
      </c>
      <c r="AA13" s="3" t="str">
        <f>IF(A13="","",IF(OR(U13&gt;1,AND(X13&lt;&gt;"",X13&lt;Inputs!$B$16),AND(X13&lt;&gt;"",X13&gt;Inputs!$B$17),G13&lt;Inputs!$B$18,AH13="CHECK"),"CHECK","OK"))</f>
        <v>CHECK</v>
      </c>
      <c r="AB13" s="3"/>
      <c r="AC13" s="8"/>
      <c r="AD13" s="10">
        <f>IF(A13="","",IF(AC13&lt;&gt;"",AC13,IF(E13="",Inputs!$B$38,IFERROR(INDEX($AE$4:$AE$204,MATCH(E13,$A$4:$A$204,0))+IF(OR(AND(UPPER(TRIM(B13))="SWALE",UPPER(TRIM(AI13))="PIPE"),AND(UPPER(TRIM(B13))="TRENCH",UPPER(TRIM(AI13))="PIPE")),Inputs!$B$57,0),""))))</f>
        <v>21.62</v>
      </c>
      <c r="AE13" s="10" t="str">
        <f t="shared" si="8"/>
        <v/>
      </c>
      <c r="AF13" s="10" t="str">
        <f t="shared" si="9"/>
        <v/>
      </c>
      <c r="AG13" s="10" t="str">
        <f t="shared" si="10"/>
        <v/>
      </c>
      <c r="AH13" s="3" t="str">
        <f>IF(A13="","",IF(E13="","TERMINAL",IF(OR(AND(UPPER(TRIM(B13))="SWALE",UPPER(TRIM(AI13))="PIPE"),AND(UPPER(TRIM(B13))="TRENCH",UPPER(TRIM(AI13))="PIPE")),IF(OR(AG13="",AJ13="",AK13=""),"INFO",IF(AND(AG13&gt;=AJ13,AG13&lt;=AK13),"OK","CHECK")),IF(AG13="","INFO",IF(ABS(AG13)&lt;=Inputs!$B$54,"OK","CHECK")))))</f>
        <v>TERMINAL</v>
      </c>
      <c r="AI13" s="11" t="str">
        <f t="shared" si="11"/>
        <v/>
      </c>
      <c r="AJ13" s="11">
        <f>IF(A13="","",IF(OR(AND(UPPER(TRIM(B13))="SWALE",UPPER(TRIM(AI13))="PIPE"),AND(UPPER(TRIM(B13))="TRENCH",UPPER(TRIM(AI13))="PIPE")),Inputs!$B$55,0))</f>
        <v>0</v>
      </c>
      <c r="AK13" s="11">
        <f>IF(A13="","",IF(OR(AND(UPPER(TRIM(B13))="SWALE",UPPER(TRIM(AI13))="PIPE"),AND(UPPER(TRIM(B13))="TRENCH",UPPER(TRIM(AI13))="PIPE")),Inputs!$B$56,Inputs!$B$54))</f>
        <v>0.01</v>
      </c>
      <c r="AL13" s="3" t="str">
        <f t="shared" si="12"/>
        <v>TERMINAL</v>
      </c>
    </row>
    <row r="14" spans="1:38" x14ac:dyDescent="0.25">
      <c r="A14" s="3" t="s">
        <v>301</v>
      </c>
      <c r="B14" s="3" t="s">
        <v>299</v>
      </c>
      <c r="C14" s="3" t="s">
        <v>300</v>
      </c>
      <c r="D14" s="3" t="s">
        <v>318</v>
      </c>
      <c r="E14" s="3"/>
      <c r="F14" s="8">
        <v>1</v>
      </c>
      <c r="G14" s="8">
        <v>5.0000000000000001E-3</v>
      </c>
      <c r="H14" s="8"/>
      <c r="I14" s="10">
        <f>IF(A14="","",IF(H14&lt;&gt;"",H14,IF(UPPER(TRIM(B14))="PIPE",Inputs!$B$7,IF(UPPER(TRIM(B14))="SWALE",Inputs!$B$8,Inputs!$B$9))))</f>
        <v>1.2999999999999999E-2</v>
      </c>
      <c r="J14" s="8">
        <v>300</v>
      </c>
      <c r="K14" s="8"/>
      <c r="L14" s="8"/>
      <c r="M14" s="8"/>
      <c r="N14" s="8">
        <v>0</v>
      </c>
      <c r="O14" s="10">
        <f>IF(A14="","",SUMIFS(Zones_tributaires!$I:$I,Zones_tributaires!$J:$J,$A14))</f>
        <v>0</v>
      </c>
      <c r="P14" s="10">
        <f t="shared" si="0"/>
        <v>3.1844307974102015E-3</v>
      </c>
      <c r="Q14" s="10">
        <f>IF(A14="","",(O14+P14)*Inputs!$B$6)</f>
        <v>3.502873877151222E-3</v>
      </c>
      <c r="R14" s="10">
        <f t="shared" si="1"/>
        <v>7.0685834705770348E-2</v>
      </c>
      <c r="S14" s="10">
        <f t="shared" si="2"/>
        <v>7.4999999999999997E-2</v>
      </c>
      <c r="T14" s="10">
        <f t="shared" si="3"/>
        <v>6.8377762104960424E-2</v>
      </c>
      <c r="U14" s="10">
        <f>IF(OR(T14="",Q14=""),"",Q14/(T14*Inputs!$B$19))</f>
        <v>6.4035326861353728E-2</v>
      </c>
      <c r="V14" s="10">
        <f t="shared" si="4"/>
        <v>4.9555528228985735E-2</v>
      </c>
      <c r="W14" s="10">
        <f t="shared" si="5"/>
        <v>0.96734745213921192</v>
      </c>
      <c r="X14" s="10">
        <f>IF(A14="","",IF(OR(UPPER(TRIM(Inputs!$B$15))="MANNING",UPPER(TRIM(Inputs!$B$15))="M"),W14,IF(OR(UPPER(TRIM(Inputs!$B$15))="MAX",UPPER(TRIM(Inputs!$B$15))="X"),MAX(V14,W14),V14)))</f>
        <v>0.96734745213921192</v>
      </c>
      <c r="Y14" s="10">
        <f t="shared" si="6"/>
        <v>0</v>
      </c>
      <c r="Z14" s="10">
        <f t="shared" si="7"/>
        <v>0</v>
      </c>
      <c r="AA14" s="3" t="str">
        <f>IF(A14="","",IF(OR(U14&gt;1,AND(X14&lt;&gt;"",X14&lt;Inputs!$B$16),AND(X14&lt;&gt;"",X14&gt;Inputs!$B$17),G14&lt;Inputs!$B$18,AH14="CHECK"),"CHECK","OK"))</f>
        <v>OK</v>
      </c>
      <c r="AB14" s="3" t="s">
        <v>319</v>
      </c>
      <c r="AC14" s="8"/>
      <c r="AD14" s="10">
        <f>IF(A14="","",IF(AC14&lt;&gt;"",AC14,IF(E14="",Inputs!$B$38,IFERROR(INDEX($AE$4:$AE$204,MATCH(E14,$A$4:$A$204,0))+IF(OR(AND(UPPER(TRIM(B14))="SWALE",UPPER(TRIM(AI14))="PIPE"),AND(UPPER(TRIM(B14))="TRENCH",UPPER(TRIM(AI14))="PIPE")),Inputs!$B$57,0),""))))</f>
        <v>21.62</v>
      </c>
      <c r="AE14" s="10">
        <f t="shared" si="8"/>
        <v>21.625</v>
      </c>
      <c r="AF14" s="10" t="str">
        <f t="shared" si="9"/>
        <v/>
      </c>
      <c r="AG14" s="10" t="str">
        <f t="shared" si="10"/>
        <v/>
      </c>
      <c r="AH14" s="3" t="str">
        <f>IF(A14="","",IF(E14="","TERMINAL",IF(OR(AND(UPPER(TRIM(B14))="SWALE",UPPER(TRIM(AI14))="PIPE"),AND(UPPER(TRIM(B14))="TRENCH",UPPER(TRIM(AI14))="PIPE")),IF(OR(AG14="",AJ14="",AK14=""),"INFO",IF(AND(AG14&gt;=AJ14,AG14&lt;=AK14),"OK","CHECK")),IF(AG14="","INFO",IF(ABS(AG14)&lt;=Inputs!$B$54,"OK","CHECK")))))</f>
        <v>TERMINAL</v>
      </c>
      <c r="AI14" s="11" t="str">
        <f t="shared" si="11"/>
        <v/>
      </c>
      <c r="AJ14" s="11">
        <f>IF(A14="","",IF(OR(AND(UPPER(TRIM(B14))="SWALE",UPPER(TRIM(AI14))="PIPE"),AND(UPPER(TRIM(B14))="TRENCH",UPPER(TRIM(AI14))="PIPE")),Inputs!$B$55,0))</f>
        <v>0</v>
      </c>
      <c r="AK14" s="11">
        <f>IF(A14="","",IF(OR(AND(UPPER(TRIM(B14))="SWALE",UPPER(TRIM(AI14))="PIPE"),AND(UPPER(TRIM(B14))="TRENCH",UPPER(TRIM(AI14))="PIPE")),Inputs!$B$56,Inputs!$B$54))</f>
        <v>0.01</v>
      </c>
      <c r="AL14" s="3" t="str">
        <f t="shared" si="12"/>
        <v>TERMINAL</v>
      </c>
    </row>
    <row r="15" spans="1:38" x14ac:dyDescent="0.25">
      <c r="A15" s="3" t="s">
        <v>306</v>
      </c>
      <c r="B15" s="3" t="s">
        <v>299</v>
      </c>
      <c r="C15" s="3" t="s">
        <v>305</v>
      </c>
      <c r="D15" s="26" t="s">
        <v>525</v>
      </c>
      <c r="E15" s="26" t="s">
        <v>526</v>
      </c>
      <c r="F15" s="25">
        <v>16.489999999999998</v>
      </c>
      <c r="G15" s="8">
        <v>5.0000000000000001E-3</v>
      </c>
      <c r="H15" s="8"/>
      <c r="I15" s="10">
        <f>IF(A15="","",IF(H15&lt;&gt;"",H15,IF(UPPER(TRIM(B15))="PIPE",Inputs!$B$7,IF(UPPER(TRIM(B15))="SWALE",Inputs!$B$8,Inputs!$B$9))))</f>
        <v>1.2999999999999999E-2</v>
      </c>
      <c r="J15" s="8">
        <v>300</v>
      </c>
      <c r="K15" s="8"/>
      <c r="L15" s="8"/>
      <c r="M15" s="8"/>
      <c r="N15" s="8">
        <v>0</v>
      </c>
      <c r="O15" s="10">
        <f>IF(A15="","",SUMIFS(Zones_tributaires!$I:$I,Zones_tributaires!$J:$J,$A15))</f>
        <v>0</v>
      </c>
      <c r="P15" s="10">
        <f t="shared" si="0"/>
        <v>2.4855381124332027E-3</v>
      </c>
      <c r="Q15" s="10">
        <f>IF(A15="","",(O15+P15)*Inputs!$B$6)</f>
        <v>2.7340919236765234E-3</v>
      </c>
      <c r="R15" s="10">
        <f t="shared" si="1"/>
        <v>7.0685834705770348E-2</v>
      </c>
      <c r="S15" s="10">
        <f t="shared" si="2"/>
        <v>7.4999999999999997E-2</v>
      </c>
      <c r="T15" s="10">
        <f t="shared" si="3"/>
        <v>6.8377762104960424E-2</v>
      </c>
      <c r="U15" s="10">
        <f>IF(OR(T15="",Q15=""),"",Q15/(T15*Inputs!$B$19))</f>
        <v>4.9981379901693587E-2</v>
      </c>
      <c r="V15" s="10">
        <f t="shared" si="4"/>
        <v>3.8679488401844243E-2</v>
      </c>
      <c r="W15" s="10">
        <f t="shared" si="5"/>
        <v>0.96734745213921192</v>
      </c>
      <c r="X15" s="10">
        <f>IF(A15="","",IF(OR(UPPER(TRIM(Inputs!$B$15))="MANNING",UPPER(TRIM(Inputs!$B$15))="M"),W15,IF(OR(UPPER(TRIM(Inputs!$B$15))="MAX",UPPER(TRIM(Inputs!$B$15))="X"),MAX(V15,W15),V15)))</f>
        <v>0.96734745213921192</v>
      </c>
      <c r="Y15" s="10">
        <f t="shared" si="6"/>
        <v>0</v>
      </c>
      <c r="Z15" s="10">
        <f t="shared" si="7"/>
        <v>0</v>
      </c>
      <c r="AA15" s="3" t="str">
        <f>IF(A15="","",IF(OR(U15&gt;1,AND(X15&lt;&gt;"",X15&lt;Inputs!$B$16),AND(X15&lt;&gt;"",X15&gt;Inputs!$B$17),G15&lt;Inputs!$B$18,AH15="CHECK"),"CHECK","OK"))</f>
        <v>OK</v>
      </c>
      <c r="AB15" s="3" t="s">
        <v>320</v>
      </c>
      <c r="AC15" s="8"/>
      <c r="AD15" s="10" t="str">
        <f>IF(A15="","",IF(AC15&lt;&gt;"",AC15,IF(E15="",Inputs!$B$38,IFERROR(INDEX($AE$4:$AE$204,MATCH(E15,$A$4:$A$204,0))+IF(OR(AND(UPPER(TRIM(B15))="SWALE",UPPER(TRIM(AI15))="PIPE"),AND(UPPER(TRIM(B15))="TRENCH",UPPER(TRIM(AI15))="PIPE")),Inputs!$B$57,0),""))))</f>
        <v/>
      </c>
      <c r="AE15" s="10" t="str">
        <f t="shared" si="8"/>
        <v/>
      </c>
      <c r="AF15" s="10" t="str">
        <f t="shared" si="9"/>
        <v/>
      </c>
      <c r="AG15" s="10" t="str">
        <f t="shared" si="10"/>
        <v/>
      </c>
      <c r="AH15" s="3" t="str">
        <f>IF(A15="","",IF(E15="","TERMINAL",IF(OR(AND(UPPER(TRIM(B15))="SWALE",UPPER(TRIM(AI15))="PIPE"),AND(UPPER(TRIM(B15))="TRENCH",UPPER(TRIM(AI15))="PIPE")),IF(OR(AG15="",AJ15="",AK15=""),"INFO",IF(AND(AG15&gt;=AJ15,AG15&lt;=AK15),"OK","CHECK")),IF(AG15="","INFO",IF(ABS(AG15)&lt;=Inputs!$B$54,"OK","CHECK")))))</f>
        <v>INFO</v>
      </c>
      <c r="AI15" s="11" t="str">
        <f t="shared" si="11"/>
        <v/>
      </c>
      <c r="AJ15" s="11">
        <f>IF(A15="","",IF(OR(AND(UPPER(TRIM(B15))="SWALE",UPPER(TRIM(AI15))="PIPE"),AND(UPPER(TRIM(B15))="TRENCH",UPPER(TRIM(AI15))="PIPE")),Inputs!$B$55,0))</f>
        <v>0</v>
      </c>
      <c r="AK15" s="11">
        <f>IF(A15="","",IF(OR(AND(UPPER(TRIM(B15))="SWALE",UPPER(TRIM(AI15))="PIPE"),AND(UPPER(TRIM(B15))="TRENCH",UPPER(TRIM(AI15))="PIPE")),Inputs!$B$56,Inputs!$B$54))</f>
        <v>0.01</v>
      </c>
      <c r="AL15" s="3" t="str">
        <f t="shared" si="12"/>
        <v>N/A</v>
      </c>
    </row>
    <row r="16" spans="1:38" x14ac:dyDescent="0.25">
      <c r="A16" s="3" t="s">
        <v>209</v>
      </c>
      <c r="B16" s="3" t="s">
        <v>299</v>
      </c>
      <c r="C16" s="3" t="s">
        <v>321</v>
      </c>
      <c r="D16" s="3" t="s">
        <v>318</v>
      </c>
      <c r="E16" s="3"/>
      <c r="F16" s="8">
        <f>Inputs!$B$60</f>
        <v>12</v>
      </c>
      <c r="G16" s="8">
        <v>5.0000000000000001E-3</v>
      </c>
      <c r="H16" s="8"/>
      <c r="I16" s="10">
        <f>IF(A16="","",IF(H16&lt;&gt;"",H16,IF(UPPER(TRIM(B16))="PIPE",Inputs!$B$7,IF(UPPER(TRIM(B16))="SWALE",Inputs!$B$8,Inputs!$B$9))))</f>
        <v>1.2999999999999999E-2</v>
      </c>
      <c r="J16" s="8">
        <f>Inputs!$B$61</f>
        <v>300</v>
      </c>
      <c r="K16" s="8"/>
      <c r="L16" s="8"/>
      <c r="M16" s="8"/>
      <c r="N16" s="8">
        <v>0</v>
      </c>
      <c r="O16" s="10">
        <f>IF(A16="","",SUMIFS(Zones_tributaires!$I:$I,Zones_tributaires!$J:$J,$A16))</f>
        <v>2.988472364406104E-4</v>
      </c>
      <c r="P16" s="10">
        <f t="shared" si="0"/>
        <v>0</v>
      </c>
      <c r="Q16" s="10">
        <f>IF(A16="","",(O16+P16)*Inputs!$B$6)</f>
        <v>3.2873196008467145E-4</v>
      </c>
      <c r="R16" s="10">
        <f t="shared" si="1"/>
        <v>7.0685834705770348E-2</v>
      </c>
      <c r="S16" s="10">
        <f t="shared" si="2"/>
        <v>7.4999999999999997E-2</v>
      </c>
      <c r="T16" s="10">
        <f t="shared" si="3"/>
        <v>6.8377762104960424E-2</v>
      </c>
      <c r="U16" s="10">
        <f>IF(OR(T16="",Q16=""),"",Q16/(T16*Inputs!$B$19))</f>
        <v>6.0094822857039614E-3</v>
      </c>
      <c r="V16" s="10">
        <f t="shared" si="4"/>
        <v>4.650605902201164E-3</v>
      </c>
      <c r="W16" s="10">
        <f t="shared" si="5"/>
        <v>0.96734745213921192</v>
      </c>
      <c r="X16" s="10">
        <f>IF(A16="","",IF(OR(UPPER(TRIM(Inputs!$B$15))="MANNING",UPPER(TRIM(Inputs!$B$15))="M"),W16,IF(OR(UPPER(TRIM(Inputs!$B$15))="MAX",UPPER(TRIM(Inputs!$B$15))="X"),MAX(V16,W16),V16)))</f>
        <v>0.96734745213921192</v>
      </c>
      <c r="Y16" s="10">
        <f t="shared" si="6"/>
        <v>0</v>
      </c>
      <c r="Z16" s="10">
        <f t="shared" si="7"/>
        <v>0</v>
      </c>
      <c r="AA16" s="3" t="str">
        <f>IF(A16="","",IF(OR(U16&gt;1,AND(X16&lt;&gt;"",X16&lt;Inputs!$B$16),AND(X16&lt;&gt;"",X16&gt;Inputs!$B$17),G16&lt;Inputs!$B$18,AH16="CHECK"),"CHECK","OK"))</f>
        <v>OK</v>
      </c>
      <c r="AB16" s="3" t="s">
        <v>322</v>
      </c>
      <c r="AC16" s="8"/>
      <c r="AD16" s="10">
        <f>IF(A16="","",IF(AC16&lt;&gt;"",AC16,IF(E16="",Inputs!$B$38,IFERROR(INDEX($AE$4:$AE$204,MATCH(E16,$A$4:$A$204,0))+IF(OR(AND(UPPER(TRIM(B16))="SWALE",UPPER(TRIM(AI16))="PIPE"),AND(UPPER(TRIM(B16))="TRENCH",UPPER(TRIM(AI16))="PIPE")),Inputs!$B$57,0),""))))</f>
        <v>21.62</v>
      </c>
      <c r="AE16" s="10">
        <f t="shared" si="8"/>
        <v>21.68</v>
      </c>
      <c r="AF16" s="10" t="str">
        <f t="shared" si="9"/>
        <v/>
      </c>
      <c r="AG16" s="10" t="str">
        <f t="shared" si="10"/>
        <v/>
      </c>
      <c r="AH16" s="3" t="str">
        <f>IF(A16="","",IF(E16="","TERMINAL",IF(OR(AND(UPPER(TRIM(B16))="SWALE",UPPER(TRIM(AI16))="PIPE"),AND(UPPER(TRIM(B16))="TRENCH",UPPER(TRIM(AI16))="PIPE")),IF(OR(AG16="",AJ16="",AK16=""),"INFO",IF(AND(AG16&gt;=AJ16,AG16&lt;=AK16),"OK","CHECK")),IF(AG16="","INFO",IF(ABS(AG16)&lt;=Inputs!$B$54,"OK","CHECK")))))</f>
        <v>TERMINAL</v>
      </c>
      <c r="AI16" s="11" t="str">
        <f t="shared" si="11"/>
        <v/>
      </c>
      <c r="AJ16" s="11">
        <f>IF(A16="","",IF(OR(AND(UPPER(TRIM(B16))="SWALE",UPPER(TRIM(AI16))="PIPE"),AND(UPPER(TRIM(B16))="TRENCH",UPPER(TRIM(AI16))="PIPE")),Inputs!$B$55,0))</f>
        <v>0</v>
      </c>
      <c r="AK16" s="11">
        <f>IF(A16="","",IF(OR(AND(UPPER(TRIM(B16))="SWALE",UPPER(TRIM(AI16))="PIPE"),AND(UPPER(TRIM(B16))="TRENCH",UPPER(TRIM(AI16))="PIPE")),Inputs!$B$56,Inputs!$B$54))</f>
        <v>0.01</v>
      </c>
      <c r="AL16" s="3" t="str">
        <f t="shared" si="12"/>
        <v>TERMINAL</v>
      </c>
    </row>
    <row r="17" spans="1:38" x14ac:dyDescent="0.25">
      <c r="A17" s="3"/>
      <c r="B17" s="3"/>
      <c r="C17" s="3"/>
      <c r="D17" s="3"/>
      <c r="E17" s="3"/>
      <c r="F17" s="8"/>
      <c r="G17" s="8"/>
      <c r="H17" s="8"/>
      <c r="I17" s="10" t="str">
        <f>IF(A17="","",IF(H17&lt;&gt;"",H17,IF(UPPER(TRIM(B17))="PIPE",Inputs!$B$7,IF(UPPER(TRIM(B17))="SWALE",Inputs!$B$8,Inputs!$B$9))))</f>
        <v/>
      </c>
      <c r="J17" s="8"/>
      <c r="K17" s="8"/>
      <c r="L17" s="8"/>
      <c r="M17" s="8"/>
      <c r="N17" s="8"/>
      <c r="O17" s="10" t="str">
        <f>IF(A17="","",SUMIFS(Zones_tributaires!$I:$I,Zones_tributaires!$J:$J,$A17))</f>
        <v/>
      </c>
      <c r="P17" s="10" t="str">
        <f t="shared" si="0"/>
        <v/>
      </c>
      <c r="Q17" s="10" t="str">
        <f>IF(A17="","",(O17+P17)*Inputs!$B$6)</f>
        <v/>
      </c>
      <c r="R17" s="10" t="str">
        <f t="shared" si="1"/>
        <v/>
      </c>
      <c r="S17" s="10" t="str">
        <f t="shared" si="2"/>
        <v/>
      </c>
      <c r="T17" s="10" t="str">
        <f t="shared" si="3"/>
        <v/>
      </c>
      <c r="U17" s="10" t="str">
        <f>IF(OR(T17="",Q17=""),"",Q17/(T17*Inputs!$B$19))</f>
        <v/>
      </c>
      <c r="V17" s="10" t="str">
        <f t="shared" si="4"/>
        <v/>
      </c>
      <c r="W17" s="10" t="str">
        <f t="shared" si="5"/>
        <v/>
      </c>
      <c r="X17" s="10" t="str">
        <f>IF(A17="","",IF(OR(UPPER(TRIM(Inputs!$B$15))="MANNING",UPPER(TRIM(Inputs!$B$15))="M"),W17,IF(OR(UPPER(TRIM(Inputs!$B$15))="MAX",UPPER(TRIM(Inputs!$B$15))="X"),MAX(V17,W17),V17)))</f>
        <v/>
      </c>
      <c r="Y17" s="10" t="str">
        <f t="shared" si="6"/>
        <v/>
      </c>
      <c r="Z17" s="10" t="str">
        <f t="shared" si="7"/>
        <v/>
      </c>
      <c r="AA17" s="3" t="str">
        <f>IF(A17="","",IF(OR(U17&gt;1,AND(X17&lt;&gt;"",X17&lt;Inputs!$B$16),AND(X17&lt;&gt;"",X17&gt;Inputs!$B$17),G17&lt;Inputs!$B$18,AH17="CHECK"),"CHECK","OK"))</f>
        <v/>
      </c>
      <c r="AB17" s="3"/>
      <c r="AC17" s="8"/>
      <c r="AD17" s="10" t="str">
        <f>IF(A17="","",IF(AC17&lt;&gt;"",AC17,IF(E17="",Inputs!$B$38,IFERROR(INDEX($AE$4:$AE$204,MATCH(E17,$A$4:$A$204,0))+IF(OR(AND(UPPER(TRIM(B17))="SWALE",UPPER(TRIM(AI17))="PIPE"),AND(UPPER(TRIM(B17))="TRENCH",UPPER(TRIM(AI17))="PIPE")),Inputs!$B$57,0),""))))</f>
        <v/>
      </c>
      <c r="AE17" s="10" t="str">
        <f t="shared" si="8"/>
        <v/>
      </c>
      <c r="AF17" s="10" t="str">
        <f t="shared" si="9"/>
        <v/>
      </c>
      <c r="AG17" s="10" t="str">
        <f t="shared" si="10"/>
        <v/>
      </c>
      <c r="AH17" s="3" t="str">
        <f>IF(A17="","",IF(E17="","TERMINAL",IF(OR(AND(UPPER(TRIM(B17))="SWALE",UPPER(TRIM(AI17))="PIPE"),AND(UPPER(TRIM(B17))="TRENCH",UPPER(TRIM(AI17))="PIPE")),IF(OR(AG17="",AJ17="",AK17=""),"INFO",IF(AND(AG17&gt;=AJ17,AG17&lt;=AK17),"OK","CHECK")),IF(AG17="","INFO",IF(ABS(AG17)&lt;=Inputs!$B$54,"OK","CHECK")))))</f>
        <v/>
      </c>
      <c r="AI17" s="11" t="str">
        <f t="shared" si="11"/>
        <v/>
      </c>
      <c r="AJ17" s="11" t="str">
        <f>IF(A17="","",IF(OR(AND(UPPER(TRIM(B17))="SWALE",UPPER(TRIM(AI17))="PIPE"),AND(UPPER(TRIM(B17))="TRENCH",UPPER(TRIM(AI17))="PIPE")),Inputs!$B$55,0))</f>
        <v/>
      </c>
      <c r="AK17" s="11" t="str">
        <f>IF(A17="","",IF(OR(AND(UPPER(TRIM(B17))="SWALE",UPPER(TRIM(AI17))="PIPE"),AND(UPPER(TRIM(B17))="TRENCH",UPPER(TRIM(AI17))="PIPE")),Inputs!$B$56,Inputs!$B$54))</f>
        <v/>
      </c>
      <c r="AL17" s="3" t="str">
        <f t="shared" si="12"/>
        <v/>
      </c>
    </row>
    <row r="18" spans="1:38" x14ac:dyDescent="0.25">
      <c r="A18" s="3"/>
      <c r="B18" s="3"/>
      <c r="C18" s="3"/>
      <c r="D18" s="3"/>
      <c r="E18" s="3"/>
      <c r="F18" s="8"/>
      <c r="G18" s="8"/>
      <c r="H18" s="8"/>
      <c r="I18" s="10" t="str">
        <f>IF(A18="","",IF(H18&lt;&gt;"",H18,IF(UPPER(TRIM(B18))="PIPE",Inputs!$B$7,IF(UPPER(TRIM(B18))="SWALE",Inputs!$B$8,Inputs!$B$9))))</f>
        <v/>
      </c>
      <c r="J18" s="8"/>
      <c r="K18" s="8"/>
      <c r="L18" s="8"/>
      <c r="M18" s="8"/>
      <c r="N18" s="8"/>
      <c r="O18" s="10" t="str">
        <f>IF(A18="","",SUMIFS(Zones_tributaires!$I:$I,Zones_tributaires!$J:$J,$A18))</f>
        <v/>
      </c>
      <c r="P18" s="10" t="str">
        <f t="shared" si="0"/>
        <v/>
      </c>
      <c r="Q18" s="10" t="str">
        <f>IF(A18="","",(O18+P18)*Inputs!$B$6)</f>
        <v/>
      </c>
      <c r="R18" s="10" t="str">
        <f t="shared" si="1"/>
        <v/>
      </c>
      <c r="S18" s="10" t="str">
        <f t="shared" si="2"/>
        <v/>
      </c>
      <c r="T18" s="10" t="str">
        <f t="shared" si="3"/>
        <v/>
      </c>
      <c r="U18" s="10" t="str">
        <f>IF(OR(T18="",Q18=""),"",Q18/(T18*Inputs!$B$19))</f>
        <v/>
      </c>
      <c r="V18" s="10" t="str">
        <f t="shared" si="4"/>
        <v/>
      </c>
      <c r="W18" s="10" t="str">
        <f t="shared" si="5"/>
        <v/>
      </c>
      <c r="X18" s="10" t="str">
        <f>IF(A18="","",IF(OR(UPPER(TRIM(Inputs!$B$15))="MANNING",UPPER(TRIM(Inputs!$B$15))="M"),W18,IF(OR(UPPER(TRIM(Inputs!$B$15))="MAX",UPPER(TRIM(Inputs!$B$15))="X"),MAX(V18,W18),V18)))</f>
        <v/>
      </c>
      <c r="Y18" s="10" t="str">
        <f t="shared" si="6"/>
        <v/>
      </c>
      <c r="Z18" s="10" t="str">
        <f t="shared" si="7"/>
        <v/>
      </c>
      <c r="AA18" s="3" t="str">
        <f>IF(A18="","",IF(OR(U18&gt;1,AND(X18&lt;&gt;"",X18&lt;Inputs!$B$16),AND(X18&lt;&gt;"",X18&gt;Inputs!$B$17),G18&lt;Inputs!$B$18,AH18="CHECK"),"CHECK","OK"))</f>
        <v/>
      </c>
      <c r="AB18" s="3"/>
      <c r="AC18" s="8"/>
      <c r="AD18" s="10" t="str">
        <f>IF(A18="","",IF(AC18&lt;&gt;"",AC18,IF(E18="",Inputs!$B$38,IFERROR(INDEX($AE$4:$AE$204,MATCH(E18,$A$4:$A$204,0))+IF(OR(AND(UPPER(TRIM(B18))="SWALE",UPPER(TRIM(AI18))="PIPE"),AND(UPPER(TRIM(B18))="TRENCH",UPPER(TRIM(AI18))="PIPE")),Inputs!$B$57,0),""))))</f>
        <v/>
      </c>
      <c r="AE18" s="10" t="str">
        <f t="shared" si="8"/>
        <v/>
      </c>
      <c r="AF18" s="10" t="str">
        <f t="shared" si="9"/>
        <v/>
      </c>
      <c r="AG18" s="10" t="str">
        <f t="shared" si="10"/>
        <v/>
      </c>
      <c r="AH18" s="3" t="str">
        <f>IF(A18="","",IF(E18="","TERMINAL",IF(OR(AND(UPPER(TRIM(B18))="SWALE",UPPER(TRIM(AI18))="PIPE"),AND(UPPER(TRIM(B18))="TRENCH",UPPER(TRIM(AI18))="PIPE")),IF(OR(AG18="",AJ18="",AK18=""),"INFO",IF(AND(AG18&gt;=AJ18,AG18&lt;=AK18),"OK","CHECK")),IF(AG18="","INFO",IF(ABS(AG18)&lt;=Inputs!$B$54,"OK","CHECK")))))</f>
        <v/>
      </c>
      <c r="AI18" s="11" t="str">
        <f t="shared" si="11"/>
        <v/>
      </c>
      <c r="AJ18" s="11" t="str">
        <f>IF(A18="","",IF(OR(AND(UPPER(TRIM(B18))="SWALE",UPPER(TRIM(AI18))="PIPE"),AND(UPPER(TRIM(B18))="TRENCH",UPPER(TRIM(AI18))="PIPE")),Inputs!$B$55,0))</f>
        <v/>
      </c>
      <c r="AK18" s="11" t="str">
        <f>IF(A18="","",IF(OR(AND(UPPER(TRIM(B18))="SWALE",UPPER(TRIM(AI18))="PIPE"),AND(UPPER(TRIM(B18))="TRENCH",UPPER(TRIM(AI18))="PIPE")),Inputs!$B$56,Inputs!$B$54))</f>
        <v/>
      </c>
      <c r="AL18" s="3" t="str">
        <f t="shared" si="12"/>
        <v/>
      </c>
    </row>
    <row r="19" spans="1:38" x14ac:dyDescent="0.25">
      <c r="A19" s="3"/>
      <c r="B19" s="3"/>
      <c r="C19" s="3"/>
      <c r="D19" s="3"/>
      <c r="E19" s="3"/>
      <c r="F19" s="8"/>
      <c r="G19" s="8"/>
      <c r="H19" s="8"/>
      <c r="I19" s="10" t="str">
        <f>IF(A19="","",IF(H19&lt;&gt;"",H19,IF(UPPER(TRIM(B19))="PIPE",Inputs!$B$7,IF(UPPER(TRIM(B19))="SWALE",Inputs!$B$8,Inputs!$B$9))))</f>
        <v/>
      </c>
      <c r="J19" s="8"/>
      <c r="K19" s="8"/>
      <c r="L19" s="8"/>
      <c r="M19" s="8"/>
      <c r="N19" s="8"/>
      <c r="O19" s="10" t="str">
        <f>IF(A19="","",SUMIFS(Zones_tributaires!$I:$I,Zones_tributaires!$J:$J,$A19))</f>
        <v/>
      </c>
      <c r="P19" s="10" t="str">
        <f t="shared" si="0"/>
        <v/>
      </c>
      <c r="Q19" s="10" t="str">
        <f>IF(A19="","",(O19+P19)*Inputs!$B$6)</f>
        <v/>
      </c>
      <c r="R19" s="10" t="str">
        <f t="shared" si="1"/>
        <v/>
      </c>
      <c r="S19" s="10" t="str">
        <f t="shared" si="2"/>
        <v/>
      </c>
      <c r="T19" s="10" t="str">
        <f t="shared" si="3"/>
        <v/>
      </c>
      <c r="U19" s="10" t="str">
        <f>IF(OR(T19="",Q19=""),"",Q19/(T19*Inputs!$B$19))</f>
        <v/>
      </c>
      <c r="V19" s="10" t="str">
        <f t="shared" si="4"/>
        <v/>
      </c>
      <c r="W19" s="10" t="str">
        <f t="shared" si="5"/>
        <v/>
      </c>
      <c r="X19" s="10" t="str">
        <f>IF(A19="","",IF(OR(UPPER(TRIM(Inputs!$B$15))="MANNING",UPPER(TRIM(Inputs!$B$15))="M"),W19,IF(OR(UPPER(TRIM(Inputs!$B$15))="MAX",UPPER(TRIM(Inputs!$B$15))="X"),MAX(V19,W19),V19)))</f>
        <v/>
      </c>
      <c r="Y19" s="10" t="str">
        <f t="shared" si="6"/>
        <v/>
      </c>
      <c r="Z19" s="10" t="str">
        <f t="shared" si="7"/>
        <v/>
      </c>
      <c r="AA19" s="3" t="str">
        <f>IF(A19="","",IF(OR(U19&gt;1,AND(X19&lt;&gt;"",X19&lt;Inputs!$B$16),AND(X19&lt;&gt;"",X19&gt;Inputs!$B$17),G19&lt;Inputs!$B$18,AH19="CHECK"),"CHECK","OK"))</f>
        <v/>
      </c>
      <c r="AB19" s="3"/>
      <c r="AC19" s="8"/>
      <c r="AD19" s="10" t="str">
        <f>IF(A19="","",IF(AC19&lt;&gt;"",AC19,IF(E19="",Inputs!$B$38,IFERROR(INDEX($AE$4:$AE$204,MATCH(E19,$A$4:$A$204,0))+IF(OR(AND(UPPER(TRIM(B19))="SWALE",UPPER(TRIM(AI19))="PIPE"),AND(UPPER(TRIM(B19))="TRENCH",UPPER(TRIM(AI19))="PIPE")),Inputs!$B$57,0),""))))</f>
        <v/>
      </c>
      <c r="AE19" s="10" t="str">
        <f t="shared" si="8"/>
        <v/>
      </c>
      <c r="AF19" s="10" t="str">
        <f t="shared" si="9"/>
        <v/>
      </c>
      <c r="AG19" s="10" t="str">
        <f t="shared" si="10"/>
        <v/>
      </c>
      <c r="AH19" s="3" t="str">
        <f>IF(A19="","",IF(E19="","TERMINAL",IF(OR(AND(UPPER(TRIM(B19))="SWALE",UPPER(TRIM(AI19))="PIPE"),AND(UPPER(TRIM(B19))="TRENCH",UPPER(TRIM(AI19))="PIPE")),IF(OR(AG19="",AJ19="",AK19=""),"INFO",IF(AND(AG19&gt;=AJ19,AG19&lt;=AK19),"OK","CHECK")),IF(AG19="","INFO",IF(ABS(AG19)&lt;=Inputs!$B$54,"OK","CHECK")))))</f>
        <v/>
      </c>
      <c r="AI19" s="11" t="str">
        <f t="shared" si="11"/>
        <v/>
      </c>
      <c r="AJ19" s="11" t="str">
        <f>IF(A19="","",IF(OR(AND(UPPER(TRIM(B19))="SWALE",UPPER(TRIM(AI19))="PIPE"),AND(UPPER(TRIM(B19))="TRENCH",UPPER(TRIM(AI19))="PIPE")),Inputs!$B$55,0))</f>
        <v/>
      </c>
      <c r="AK19" s="11" t="str">
        <f>IF(A19="","",IF(OR(AND(UPPER(TRIM(B19))="SWALE",UPPER(TRIM(AI19))="PIPE"),AND(UPPER(TRIM(B19))="TRENCH",UPPER(TRIM(AI19))="PIPE")),Inputs!$B$56,Inputs!$B$54))</f>
        <v/>
      </c>
      <c r="AL19" s="3" t="str">
        <f t="shared" si="12"/>
        <v/>
      </c>
    </row>
    <row r="20" spans="1:38" x14ac:dyDescent="0.25">
      <c r="A20" s="3"/>
      <c r="B20" s="3"/>
      <c r="C20" s="3"/>
      <c r="D20" s="3"/>
      <c r="E20" s="3"/>
      <c r="F20" s="8"/>
      <c r="G20" s="8"/>
      <c r="H20" s="8"/>
      <c r="I20" s="10" t="str">
        <f>IF(A20="","",IF(H20&lt;&gt;"",H20,IF(UPPER(TRIM(B20))="PIPE",Inputs!$B$7,IF(UPPER(TRIM(B20))="SWALE",Inputs!$B$8,Inputs!$B$9))))</f>
        <v/>
      </c>
      <c r="J20" s="8"/>
      <c r="K20" s="8"/>
      <c r="L20" s="8"/>
      <c r="M20" s="8"/>
      <c r="N20" s="8"/>
      <c r="O20" s="10" t="str">
        <f>IF(A20="","",SUMIFS(Zones_tributaires!$I:$I,Zones_tributaires!$J:$J,$A20))</f>
        <v/>
      </c>
      <c r="P20" s="10" t="str">
        <f t="shared" si="0"/>
        <v/>
      </c>
      <c r="Q20" s="10" t="str">
        <f>IF(A20="","",(O20+P20)*Inputs!$B$6)</f>
        <v/>
      </c>
      <c r="R20" s="10" t="str">
        <f t="shared" si="1"/>
        <v/>
      </c>
      <c r="S20" s="10" t="str">
        <f t="shared" si="2"/>
        <v/>
      </c>
      <c r="T20" s="10" t="str">
        <f t="shared" si="3"/>
        <v/>
      </c>
      <c r="U20" s="10" t="str">
        <f>IF(OR(T20="",Q20=""),"",Q20/(T20*Inputs!$B$19))</f>
        <v/>
      </c>
      <c r="V20" s="10" t="str">
        <f t="shared" si="4"/>
        <v/>
      </c>
      <c r="W20" s="10" t="str">
        <f t="shared" si="5"/>
        <v/>
      </c>
      <c r="X20" s="10" t="str">
        <f>IF(A20="","",IF(OR(UPPER(TRIM(Inputs!$B$15))="MANNING",UPPER(TRIM(Inputs!$B$15))="M"),W20,IF(OR(UPPER(TRIM(Inputs!$B$15))="MAX",UPPER(TRIM(Inputs!$B$15))="X"),MAX(V20,W20),V20)))</f>
        <v/>
      </c>
      <c r="Y20" s="10" t="str">
        <f t="shared" si="6"/>
        <v/>
      </c>
      <c r="Z20" s="10" t="str">
        <f t="shared" si="7"/>
        <v/>
      </c>
      <c r="AA20" s="3" t="str">
        <f>IF(A20="","",IF(OR(U20&gt;1,AND(X20&lt;&gt;"",X20&lt;Inputs!$B$16),AND(X20&lt;&gt;"",X20&gt;Inputs!$B$17),G20&lt;Inputs!$B$18,AH20="CHECK"),"CHECK","OK"))</f>
        <v/>
      </c>
      <c r="AB20" s="3"/>
      <c r="AC20" s="8"/>
      <c r="AD20" s="10" t="str">
        <f>IF(A20="","",IF(AC20&lt;&gt;"",AC20,IF(E20="",Inputs!$B$38,IFERROR(INDEX($AE$4:$AE$204,MATCH(E20,$A$4:$A$204,0))+IF(OR(AND(UPPER(TRIM(B20))="SWALE",UPPER(TRIM(AI20))="PIPE"),AND(UPPER(TRIM(B20))="TRENCH",UPPER(TRIM(AI20))="PIPE")),Inputs!$B$57,0),""))))</f>
        <v/>
      </c>
      <c r="AE20" s="10" t="str">
        <f t="shared" si="8"/>
        <v/>
      </c>
      <c r="AF20" s="10" t="str">
        <f t="shared" si="9"/>
        <v/>
      </c>
      <c r="AG20" s="10" t="str">
        <f t="shared" si="10"/>
        <v/>
      </c>
      <c r="AH20" s="3" t="str">
        <f>IF(A20="","",IF(E20="","TERMINAL",IF(OR(AND(UPPER(TRIM(B20))="SWALE",UPPER(TRIM(AI20))="PIPE"),AND(UPPER(TRIM(B20))="TRENCH",UPPER(TRIM(AI20))="PIPE")),IF(OR(AG20="",AJ20="",AK20=""),"INFO",IF(AND(AG20&gt;=AJ20,AG20&lt;=AK20),"OK","CHECK")),IF(AG20="","INFO",IF(ABS(AG20)&lt;=Inputs!$B$54,"OK","CHECK")))))</f>
        <v/>
      </c>
      <c r="AI20" s="11" t="str">
        <f t="shared" si="11"/>
        <v/>
      </c>
      <c r="AJ20" s="11" t="str">
        <f>IF(A20="","",IF(OR(AND(UPPER(TRIM(B20))="SWALE",UPPER(TRIM(AI20))="PIPE"),AND(UPPER(TRIM(B20))="TRENCH",UPPER(TRIM(AI20))="PIPE")),Inputs!$B$55,0))</f>
        <v/>
      </c>
      <c r="AK20" s="11" t="str">
        <f>IF(A20="","",IF(OR(AND(UPPER(TRIM(B20))="SWALE",UPPER(TRIM(AI20))="PIPE"),AND(UPPER(TRIM(B20))="TRENCH",UPPER(TRIM(AI20))="PIPE")),Inputs!$B$56,Inputs!$B$54))</f>
        <v/>
      </c>
      <c r="AL20" s="3" t="str">
        <f t="shared" si="12"/>
        <v/>
      </c>
    </row>
    <row r="21" spans="1:38" x14ac:dyDescent="0.25">
      <c r="A21" s="3"/>
      <c r="B21" s="3"/>
      <c r="C21" s="3"/>
      <c r="D21" s="3"/>
      <c r="E21" s="3"/>
      <c r="F21" s="8"/>
      <c r="G21" s="8"/>
      <c r="H21" s="8"/>
      <c r="I21" s="10" t="str">
        <f>IF(A21="","",IF(H21&lt;&gt;"",H21,IF(UPPER(TRIM(B21))="PIPE",Inputs!$B$7,IF(UPPER(TRIM(B21))="SWALE",Inputs!$B$8,Inputs!$B$9))))</f>
        <v/>
      </c>
      <c r="J21" s="8"/>
      <c r="K21" s="8"/>
      <c r="L21" s="8"/>
      <c r="M21" s="8"/>
      <c r="N21" s="8">
        <v>0</v>
      </c>
      <c r="O21" s="10" t="str">
        <f>IF(A21="","",SUMIFS(Zones_tributaires!$I:$I,Zones_tributaires!$J:$J,$A21))</f>
        <v/>
      </c>
      <c r="P21" s="10" t="str">
        <f t="shared" si="0"/>
        <v/>
      </c>
      <c r="Q21" s="10" t="str">
        <f>IF(A21="","",(O21+P21)*Inputs!$B$6)</f>
        <v/>
      </c>
      <c r="R21" s="10" t="str">
        <f t="shared" si="1"/>
        <v/>
      </c>
      <c r="S21" s="10" t="str">
        <f t="shared" si="2"/>
        <v/>
      </c>
      <c r="T21" s="10" t="str">
        <f t="shared" si="3"/>
        <v/>
      </c>
      <c r="U21" s="10" t="str">
        <f>IF(OR(T21="",Q21=""),"",Q21/(T21*Inputs!$B$19))</f>
        <v/>
      </c>
      <c r="V21" s="10" t="str">
        <f t="shared" si="4"/>
        <v/>
      </c>
      <c r="W21" s="10" t="str">
        <f t="shared" si="5"/>
        <v/>
      </c>
      <c r="X21" s="10" t="str">
        <f>IF(A21="","",IF(OR(UPPER(TRIM(Inputs!$B$15))="MANNING",UPPER(TRIM(Inputs!$B$15))="M"),W21,IF(OR(UPPER(TRIM(Inputs!$B$15))="MAX",UPPER(TRIM(Inputs!$B$15))="X"),MAX(V21,W21),V21)))</f>
        <v/>
      </c>
      <c r="Y21" s="10" t="str">
        <f t="shared" si="6"/>
        <v/>
      </c>
      <c r="Z21" s="10" t="str">
        <f t="shared" si="7"/>
        <v/>
      </c>
      <c r="AA21" s="3" t="str">
        <f>IF(A21="","",IF(OR(U21&gt;1,AND(X21&lt;&gt;"",X21&lt;Inputs!$B$16),AND(X21&lt;&gt;"",X21&gt;Inputs!$B$17),G21&lt;Inputs!$B$18,AH21="CHECK"),"CHECK","OK"))</f>
        <v/>
      </c>
      <c r="AB21" s="3"/>
      <c r="AC21" s="8"/>
      <c r="AD21" s="10" t="str">
        <f>IF(A21="","",IF(AC21&lt;&gt;"",AC21,IF(E21="",Inputs!$B$38,IFERROR(INDEX($AE$4:$AE$204,MATCH(E21,$A$4:$A$204,0))+IF(OR(AND(UPPER(TRIM(B21))="SWALE",UPPER(TRIM(AI21))="PIPE"),AND(UPPER(TRIM(B21))="TRENCH",UPPER(TRIM(AI21))="PIPE")),Inputs!$B$57,0),""))))</f>
        <v/>
      </c>
      <c r="AE21" s="10" t="str">
        <f t="shared" si="8"/>
        <v/>
      </c>
      <c r="AF21" s="10" t="str">
        <f t="shared" si="9"/>
        <v/>
      </c>
      <c r="AG21" s="10" t="str">
        <f t="shared" si="10"/>
        <v/>
      </c>
      <c r="AH21" s="3" t="str">
        <f>IF(A21="","",IF(E21="","TERMINAL",IF(OR(AND(UPPER(TRIM(B21))="SWALE",UPPER(TRIM(AI21))="PIPE"),AND(UPPER(TRIM(B21))="TRENCH",UPPER(TRIM(AI21))="PIPE")),IF(OR(AG21="",AJ21="",AK21=""),"INFO",IF(AND(AG21&gt;=AJ21,AG21&lt;=AK21),"OK","CHECK")),IF(AG21="","INFO",IF(ABS(AG21)&lt;=Inputs!$B$54,"OK","CHECK")))))</f>
        <v/>
      </c>
      <c r="AI21" s="11" t="str">
        <f t="shared" si="11"/>
        <v/>
      </c>
      <c r="AJ21" s="11" t="str">
        <f>IF(A21="","",IF(OR(AND(UPPER(TRIM(B21))="SWALE",UPPER(TRIM(AI21))="PIPE"),AND(UPPER(TRIM(B21))="TRENCH",UPPER(TRIM(AI21))="PIPE")),Inputs!$B$55,0))</f>
        <v/>
      </c>
      <c r="AK21" s="11" t="str">
        <f>IF(A21="","",IF(OR(AND(UPPER(TRIM(B21))="SWALE",UPPER(TRIM(AI21))="PIPE"),AND(UPPER(TRIM(B21))="TRENCH",UPPER(TRIM(AI21))="PIPE")),Inputs!$B$56,Inputs!$B$54))</f>
        <v/>
      </c>
      <c r="AL21" s="3" t="str">
        <f t="shared" si="12"/>
        <v/>
      </c>
    </row>
    <row r="22" spans="1:38" x14ac:dyDescent="0.25">
      <c r="A22" s="3"/>
      <c r="B22" s="3"/>
      <c r="C22" s="3"/>
      <c r="D22" s="3"/>
      <c r="E22" s="3"/>
      <c r="F22" s="8"/>
      <c r="G22" s="8"/>
      <c r="H22" s="8"/>
      <c r="I22" s="10" t="str">
        <f>IF(A22="","",IF(H22&lt;&gt;"",H22,IF(UPPER(TRIM(B22))="PIPE",Inputs!$B$7,IF(UPPER(TRIM(B22))="SWALE",Inputs!$B$8,Inputs!$B$9))))</f>
        <v/>
      </c>
      <c r="J22" s="8"/>
      <c r="K22" s="8"/>
      <c r="L22" s="8"/>
      <c r="M22" s="8"/>
      <c r="N22" s="8">
        <v>0</v>
      </c>
      <c r="O22" s="10" t="str">
        <f>IF(A22="","",SUMIFS(Zones_tributaires!$I:$I,Zones_tributaires!$J:$J,$A22))</f>
        <v/>
      </c>
      <c r="P22" s="10" t="str">
        <f t="shared" si="0"/>
        <v/>
      </c>
      <c r="Q22" s="10" t="str">
        <f>IF(A22="","",(O22+P22)*Inputs!$B$6)</f>
        <v/>
      </c>
      <c r="R22" s="10" t="str">
        <f t="shared" si="1"/>
        <v/>
      </c>
      <c r="S22" s="10" t="str">
        <f t="shared" si="2"/>
        <v/>
      </c>
      <c r="T22" s="10" t="str">
        <f t="shared" si="3"/>
        <v/>
      </c>
      <c r="U22" s="10" t="str">
        <f>IF(OR(T22="",Q22=""),"",Q22/(T22*Inputs!$B$19))</f>
        <v/>
      </c>
      <c r="V22" s="10" t="str">
        <f t="shared" si="4"/>
        <v/>
      </c>
      <c r="W22" s="10" t="str">
        <f t="shared" si="5"/>
        <v/>
      </c>
      <c r="X22" s="10" t="str">
        <f>IF(A22="","",IF(OR(UPPER(TRIM(Inputs!$B$15))="MANNING",UPPER(TRIM(Inputs!$B$15))="M"),W22,IF(OR(UPPER(TRIM(Inputs!$B$15))="MAX",UPPER(TRIM(Inputs!$B$15))="X"),MAX(V22,W22),V22)))</f>
        <v/>
      </c>
      <c r="Y22" s="10" t="str">
        <f t="shared" si="6"/>
        <v/>
      </c>
      <c r="Z22" s="10" t="str">
        <f t="shared" si="7"/>
        <v/>
      </c>
      <c r="AA22" s="3" t="str">
        <f>IF(A22="","",IF(OR(U22&gt;1,AND(X22&lt;&gt;"",X22&lt;Inputs!$B$16),AND(X22&lt;&gt;"",X22&gt;Inputs!$B$17),G22&lt;Inputs!$B$18,AH22="CHECK"),"CHECK","OK"))</f>
        <v/>
      </c>
      <c r="AB22" s="3"/>
      <c r="AC22" s="8"/>
      <c r="AD22" s="10" t="str">
        <f>IF(A22="","",IF(AC22&lt;&gt;"",AC22,IF(E22="",Inputs!$B$38,IFERROR(INDEX($AE$4:$AE$204,MATCH(E22,$A$4:$A$204,0))+IF(OR(AND(UPPER(TRIM(B22))="SWALE",UPPER(TRIM(AI22))="PIPE"),AND(UPPER(TRIM(B22))="TRENCH",UPPER(TRIM(AI22))="PIPE")),Inputs!$B$57,0),""))))</f>
        <v/>
      </c>
      <c r="AE22" s="10" t="str">
        <f t="shared" si="8"/>
        <v/>
      </c>
      <c r="AF22" s="10" t="str">
        <f t="shared" si="9"/>
        <v/>
      </c>
      <c r="AG22" s="10" t="str">
        <f t="shared" si="10"/>
        <v/>
      </c>
      <c r="AH22" s="3" t="str">
        <f>IF(A22="","",IF(E22="","TERMINAL",IF(OR(AND(UPPER(TRIM(B22))="SWALE",UPPER(TRIM(AI22))="PIPE"),AND(UPPER(TRIM(B22))="TRENCH",UPPER(TRIM(AI22))="PIPE")),IF(OR(AG22="",AJ22="",AK22=""),"INFO",IF(AND(AG22&gt;=AJ22,AG22&lt;=AK22),"OK","CHECK")),IF(AG22="","INFO",IF(ABS(AG22)&lt;=Inputs!$B$54,"OK","CHECK")))))</f>
        <v/>
      </c>
      <c r="AI22" s="11" t="str">
        <f t="shared" si="11"/>
        <v/>
      </c>
      <c r="AJ22" s="11" t="str">
        <f>IF(A22="","",IF(OR(AND(UPPER(TRIM(B22))="SWALE",UPPER(TRIM(AI22))="PIPE"),AND(UPPER(TRIM(B22))="TRENCH",UPPER(TRIM(AI22))="PIPE")),Inputs!$B$55,0))</f>
        <v/>
      </c>
      <c r="AK22" s="11" t="str">
        <f>IF(A22="","",IF(OR(AND(UPPER(TRIM(B22))="SWALE",UPPER(TRIM(AI22))="PIPE"),AND(UPPER(TRIM(B22))="TRENCH",UPPER(TRIM(AI22))="PIPE")),Inputs!$B$56,Inputs!$B$54))</f>
        <v/>
      </c>
      <c r="AL22" s="3" t="str">
        <f t="shared" si="12"/>
        <v/>
      </c>
    </row>
    <row r="23" spans="1:38" x14ac:dyDescent="0.25">
      <c r="A23" s="3"/>
      <c r="B23" s="3"/>
      <c r="C23" s="3"/>
      <c r="D23" s="3"/>
      <c r="E23" s="3"/>
      <c r="F23" s="8"/>
      <c r="G23" s="8"/>
      <c r="H23" s="8"/>
      <c r="I23" s="10" t="str">
        <f>IF(A23="","",IF(H23&lt;&gt;"",H23,IF(UPPER(TRIM(B23))="PIPE",Inputs!$B$7,IF(UPPER(TRIM(B23))="SWALE",Inputs!$B$8,Inputs!$B$9))))</f>
        <v/>
      </c>
      <c r="J23" s="8"/>
      <c r="K23" s="8"/>
      <c r="L23" s="8"/>
      <c r="M23" s="8"/>
      <c r="N23" s="8">
        <v>0</v>
      </c>
      <c r="O23" s="10" t="str">
        <f>IF(A23="","",SUMIFS(Zones_tributaires!$I:$I,Zones_tributaires!$J:$J,$A23))</f>
        <v/>
      </c>
      <c r="P23" s="10" t="str">
        <f t="shared" si="0"/>
        <v/>
      </c>
      <c r="Q23" s="10" t="str">
        <f>IF(A23="","",(O23+P23)*Inputs!$B$6)</f>
        <v/>
      </c>
      <c r="R23" s="10" t="str">
        <f t="shared" si="1"/>
        <v/>
      </c>
      <c r="S23" s="10" t="str">
        <f t="shared" si="2"/>
        <v/>
      </c>
      <c r="T23" s="10" t="str">
        <f t="shared" si="3"/>
        <v/>
      </c>
      <c r="U23" s="10" t="str">
        <f>IF(OR(T23="",Q23=""),"",Q23/(T23*Inputs!$B$19))</f>
        <v/>
      </c>
      <c r="V23" s="10" t="str">
        <f t="shared" si="4"/>
        <v/>
      </c>
      <c r="W23" s="10" t="str">
        <f t="shared" si="5"/>
        <v/>
      </c>
      <c r="X23" s="10" t="str">
        <f>IF(A23="","",IF(OR(UPPER(TRIM(Inputs!$B$15))="MANNING",UPPER(TRIM(Inputs!$B$15))="M"),W23,IF(OR(UPPER(TRIM(Inputs!$B$15))="MAX",UPPER(TRIM(Inputs!$B$15))="X"),MAX(V23,W23),V23)))</f>
        <v/>
      </c>
      <c r="Y23" s="10" t="str">
        <f t="shared" si="6"/>
        <v/>
      </c>
      <c r="Z23" s="10" t="str">
        <f t="shared" si="7"/>
        <v/>
      </c>
      <c r="AA23" s="3" t="str">
        <f>IF(A23="","",IF(OR(U23&gt;1,AND(X23&lt;&gt;"",X23&lt;Inputs!$B$16),AND(X23&lt;&gt;"",X23&gt;Inputs!$B$17),G23&lt;Inputs!$B$18,AH23="CHECK"),"CHECK","OK"))</f>
        <v/>
      </c>
      <c r="AB23" s="3"/>
      <c r="AC23" s="8"/>
      <c r="AD23" s="10" t="str">
        <f>IF(A23="","",IF(AC23&lt;&gt;"",AC23,IF(E23="",Inputs!$B$38,IFERROR(INDEX($AE$4:$AE$204,MATCH(E23,$A$4:$A$204,0))+IF(OR(AND(UPPER(TRIM(B23))="SWALE",UPPER(TRIM(AI23))="PIPE"),AND(UPPER(TRIM(B23))="TRENCH",UPPER(TRIM(AI23))="PIPE")),Inputs!$B$57,0),""))))</f>
        <v/>
      </c>
      <c r="AE23" s="10" t="str">
        <f t="shared" si="8"/>
        <v/>
      </c>
      <c r="AF23" s="10" t="str">
        <f t="shared" si="9"/>
        <v/>
      </c>
      <c r="AG23" s="10" t="str">
        <f t="shared" si="10"/>
        <v/>
      </c>
      <c r="AH23" s="3" t="str">
        <f>IF(A23="","",IF(E23="","TERMINAL",IF(OR(AND(UPPER(TRIM(B23))="SWALE",UPPER(TRIM(AI23))="PIPE"),AND(UPPER(TRIM(B23))="TRENCH",UPPER(TRIM(AI23))="PIPE")),IF(OR(AG23="",AJ23="",AK23=""),"INFO",IF(AND(AG23&gt;=AJ23,AG23&lt;=AK23),"OK","CHECK")),IF(AG23="","INFO",IF(ABS(AG23)&lt;=Inputs!$B$54,"OK","CHECK")))))</f>
        <v/>
      </c>
      <c r="AI23" s="11" t="str">
        <f t="shared" si="11"/>
        <v/>
      </c>
      <c r="AJ23" s="11" t="str">
        <f>IF(A23="","",IF(OR(AND(UPPER(TRIM(B23))="SWALE",UPPER(TRIM(AI23))="PIPE"),AND(UPPER(TRIM(B23))="TRENCH",UPPER(TRIM(AI23))="PIPE")),Inputs!$B$55,0))</f>
        <v/>
      </c>
      <c r="AK23" s="11" t="str">
        <f>IF(A23="","",IF(OR(AND(UPPER(TRIM(B23))="SWALE",UPPER(TRIM(AI23))="PIPE"),AND(UPPER(TRIM(B23))="TRENCH",UPPER(TRIM(AI23))="PIPE")),Inputs!$B$56,Inputs!$B$54))</f>
        <v/>
      </c>
      <c r="AL23" s="3" t="str">
        <f t="shared" si="12"/>
        <v/>
      </c>
    </row>
    <row r="24" spans="1:38" x14ac:dyDescent="0.25">
      <c r="A24" s="3"/>
      <c r="B24" s="3"/>
      <c r="C24" s="3"/>
      <c r="D24" s="3"/>
      <c r="E24" s="3"/>
      <c r="F24" s="8"/>
      <c r="G24" s="8"/>
      <c r="H24" s="8"/>
      <c r="I24" s="10" t="str">
        <f>IF(A24="","",IF(H24&lt;&gt;"",H24,IF(UPPER(TRIM(B24))="PIPE",Inputs!$B$7,IF(UPPER(TRIM(B24))="SWALE",Inputs!$B$8,Inputs!$B$9))))</f>
        <v/>
      </c>
      <c r="J24" s="8"/>
      <c r="K24" s="8"/>
      <c r="L24" s="8"/>
      <c r="M24" s="8"/>
      <c r="N24" s="8">
        <v>0</v>
      </c>
      <c r="O24" s="10" t="str">
        <f>IF(A24="","",SUMIFS(Zones_tributaires!$I:$I,Zones_tributaires!$J:$J,$A24))</f>
        <v/>
      </c>
      <c r="P24" s="10" t="str">
        <f t="shared" si="0"/>
        <v/>
      </c>
      <c r="Q24" s="10" t="str">
        <f>IF(A24="","",(O24+P24)*Inputs!$B$6)</f>
        <v/>
      </c>
      <c r="R24" s="10" t="str">
        <f t="shared" si="1"/>
        <v/>
      </c>
      <c r="S24" s="10" t="str">
        <f t="shared" si="2"/>
        <v/>
      </c>
      <c r="T24" s="10" t="str">
        <f t="shared" si="3"/>
        <v/>
      </c>
      <c r="U24" s="10" t="str">
        <f>IF(OR(T24="",Q24=""),"",Q24/(T24*Inputs!$B$19))</f>
        <v/>
      </c>
      <c r="V24" s="10" t="str">
        <f t="shared" si="4"/>
        <v/>
      </c>
      <c r="W24" s="10" t="str">
        <f t="shared" si="5"/>
        <v/>
      </c>
      <c r="X24" s="10" t="str">
        <f>IF(A24="","",IF(OR(UPPER(TRIM(Inputs!$B$15))="MANNING",UPPER(TRIM(Inputs!$B$15))="M"),W24,IF(OR(UPPER(TRIM(Inputs!$B$15))="MAX",UPPER(TRIM(Inputs!$B$15))="X"),MAX(V24,W24),V24)))</f>
        <v/>
      </c>
      <c r="Y24" s="10" t="str">
        <f t="shared" si="6"/>
        <v/>
      </c>
      <c r="Z24" s="10" t="str">
        <f t="shared" si="7"/>
        <v/>
      </c>
      <c r="AA24" s="3" t="str">
        <f>IF(A24="","",IF(OR(U24&gt;1,AND(X24&lt;&gt;"",X24&lt;Inputs!$B$16),AND(X24&lt;&gt;"",X24&gt;Inputs!$B$17),G24&lt;Inputs!$B$18,AH24="CHECK"),"CHECK","OK"))</f>
        <v/>
      </c>
      <c r="AB24" s="3"/>
      <c r="AC24" s="8"/>
      <c r="AD24" s="10" t="str">
        <f>IF(A24="","",IF(AC24&lt;&gt;"",AC24,IF(E24="",Inputs!$B$38,IFERROR(INDEX($AE$4:$AE$204,MATCH(E24,$A$4:$A$204,0))+IF(OR(AND(UPPER(TRIM(B24))="SWALE",UPPER(TRIM(AI24))="PIPE"),AND(UPPER(TRIM(B24))="TRENCH",UPPER(TRIM(AI24))="PIPE")),Inputs!$B$57,0),""))))</f>
        <v/>
      </c>
      <c r="AE24" s="10" t="str">
        <f t="shared" si="8"/>
        <v/>
      </c>
      <c r="AF24" s="10" t="str">
        <f t="shared" si="9"/>
        <v/>
      </c>
      <c r="AG24" s="10" t="str">
        <f t="shared" si="10"/>
        <v/>
      </c>
      <c r="AH24" s="3" t="str">
        <f>IF(A24="","",IF(E24="","TERMINAL",IF(OR(AND(UPPER(TRIM(B24))="SWALE",UPPER(TRIM(AI24))="PIPE"),AND(UPPER(TRIM(B24))="TRENCH",UPPER(TRIM(AI24))="PIPE")),IF(OR(AG24="",AJ24="",AK24=""),"INFO",IF(AND(AG24&gt;=AJ24,AG24&lt;=AK24),"OK","CHECK")),IF(AG24="","INFO",IF(ABS(AG24)&lt;=Inputs!$B$54,"OK","CHECK")))))</f>
        <v/>
      </c>
      <c r="AI24" s="11" t="str">
        <f t="shared" si="11"/>
        <v/>
      </c>
      <c r="AJ24" s="11" t="str">
        <f>IF(A24="","",IF(OR(AND(UPPER(TRIM(B24))="SWALE",UPPER(TRIM(AI24))="PIPE"),AND(UPPER(TRIM(B24))="TRENCH",UPPER(TRIM(AI24))="PIPE")),Inputs!$B$55,0))</f>
        <v/>
      </c>
      <c r="AK24" s="11" t="str">
        <f>IF(A24="","",IF(OR(AND(UPPER(TRIM(B24))="SWALE",UPPER(TRIM(AI24))="PIPE"),AND(UPPER(TRIM(B24))="TRENCH",UPPER(TRIM(AI24))="PIPE")),Inputs!$B$56,Inputs!$B$54))</f>
        <v/>
      </c>
      <c r="AL24" s="3" t="str">
        <f t="shared" si="12"/>
        <v/>
      </c>
    </row>
    <row r="25" spans="1:38" x14ac:dyDescent="0.25">
      <c r="A25" s="3"/>
      <c r="B25" s="3"/>
      <c r="C25" s="3"/>
      <c r="D25" s="3"/>
      <c r="E25" s="3"/>
      <c r="F25" s="8"/>
      <c r="G25" s="8"/>
      <c r="H25" s="8"/>
      <c r="I25" s="10" t="str">
        <f>IF(A25="","",IF(H25&lt;&gt;"",H25,IF(UPPER(TRIM(B25))="PIPE",Inputs!$B$7,IF(UPPER(TRIM(B25))="SWALE",Inputs!$B$8,Inputs!$B$9))))</f>
        <v/>
      </c>
      <c r="J25" s="8"/>
      <c r="K25" s="8"/>
      <c r="L25" s="8"/>
      <c r="M25" s="8"/>
      <c r="N25" s="8">
        <v>0</v>
      </c>
      <c r="O25" s="10" t="str">
        <f>IF(A25="","",SUMIFS(Zones_tributaires!$I:$I,Zones_tributaires!$J:$J,$A25))</f>
        <v/>
      </c>
      <c r="P25" s="10" t="str">
        <f t="shared" si="0"/>
        <v/>
      </c>
      <c r="Q25" s="10" t="str">
        <f>IF(A25="","",(O25+P25)*Inputs!$B$6)</f>
        <v/>
      </c>
      <c r="R25" s="10" t="str">
        <f t="shared" si="1"/>
        <v/>
      </c>
      <c r="S25" s="10" t="str">
        <f t="shared" si="2"/>
        <v/>
      </c>
      <c r="T25" s="10" t="str">
        <f t="shared" si="3"/>
        <v/>
      </c>
      <c r="U25" s="10" t="str">
        <f>IF(OR(T25="",Q25=""),"",Q25/(T25*Inputs!$B$19))</f>
        <v/>
      </c>
      <c r="V25" s="10" t="str">
        <f t="shared" si="4"/>
        <v/>
      </c>
      <c r="W25" s="10" t="str">
        <f t="shared" si="5"/>
        <v/>
      </c>
      <c r="X25" s="10" t="str">
        <f>IF(A25="","",IF(OR(UPPER(TRIM(Inputs!$B$15))="MANNING",UPPER(TRIM(Inputs!$B$15))="M"),W25,IF(OR(UPPER(TRIM(Inputs!$B$15))="MAX",UPPER(TRIM(Inputs!$B$15))="X"),MAX(V25,W25),V25)))</f>
        <v/>
      </c>
      <c r="Y25" s="10" t="str">
        <f t="shared" si="6"/>
        <v/>
      </c>
      <c r="Z25" s="10" t="str">
        <f t="shared" si="7"/>
        <v/>
      </c>
      <c r="AA25" s="3" t="str">
        <f>IF(A25="","",IF(OR(U25&gt;1,AND(X25&lt;&gt;"",X25&lt;Inputs!$B$16),AND(X25&lt;&gt;"",X25&gt;Inputs!$B$17),G25&lt;Inputs!$B$18,AH25="CHECK"),"CHECK","OK"))</f>
        <v/>
      </c>
      <c r="AB25" s="3"/>
      <c r="AC25" s="8"/>
      <c r="AD25" s="10" t="str">
        <f>IF(A25="","",IF(AC25&lt;&gt;"",AC25,IF(E25="",Inputs!$B$38,IFERROR(INDEX($AE$4:$AE$204,MATCH(E25,$A$4:$A$204,0))+IF(OR(AND(UPPER(TRIM(B25))="SWALE",UPPER(TRIM(AI25))="PIPE"),AND(UPPER(TRIM(B25))="TRENCH",UPPER(TRIM(AI25))="PIPE")),Inputs!$B$57,0),""))))</f>
        <v/>
      </c>
      <c r="AE25" s="10" t="str">
        <f t="shared" si="8"/>
        <v/>
      </c>
      <c r="AF25" s="10" t="str">
        <f t="shared" si="9"/>
        <v/>
      </c>
      <c r="AG25" s="10" t="str">
        <f t="shared" si="10"/>
        <v/>
      </c>
      <c r="AH25" s="3" t="str">
        <f>IF(A25="","",IF(E25="","TERMINAL",IF(OR(AND(UPPER(TRIM(B25))="SWALE",UPPER(TRIM(AI25))="PIPE"),AND(UPPER(TRIM(B25))="TRENCH",UPPER(TRIM(AI25))="PIPE")),IF(OR(AG25="",AJ25="",AK25=""),"INFO",IF(AND(AG25&gt;=AJ25,AG25&lt;=AK25),"OK","CHECK")),IF(AG25="","INFO",IF(ABS(AG25)&lt;=Inputs!$B$54,"OK","CHECK")))))</f>
        <v/>
      </c>
      <c r="AI25" s="11" t="str">
        <f t="shared" si="11"/>
        <v/>
      </c>
      <c r="AJ25" s="11" t="str">
        <f>IF(A25="","",IF(OR(AND(UPPER(TRIM(B25))="SWALE",UPPER(TRIM(AI25))="PIPE"),AND(UPPER(TRIM(B25))="TRENCH",UPPER(TRIM(AI25))="PIPE")),Inputs!$B$55,0))</f>
        <v/>
      </c>
      <c r="AK25" s="11" t="str">
        <f>IF(A25="","",IF(OR(AND(UPPER(TRIM(B25))="SWALE",UPPER(TRIM(AI25))="PIPE"),AND(UPPER(TRIM(B25))="TRENCH",UPPER(TRIM(AI25))="PIPE")),Inputs!$B$56,Inputs!$B$54))</f>
        <v/>
      </c>
      <c r="AL25" s="3" t="str">
        <f t="shared" si="12"/>
        <v/>
      </c>
    </row>
    <row r="26" spans="1:38" x14ac:dyDescent="0.25">
      <c r="A26" s="3"/>
      <c r="B26" s="3"/>
      <c r="C26" s="3"/>
      <c r="D26" s="3"/>
      <c r="E26" s="3"/>
      <c r="F26" s="8"/>
      <c r="G26" s="8"/>
      <c r="H26" s="8"/>
      <c r="I26" s="10" t="str">
        <f>IF(A26="","",IF(H26&lt;&gt;"",H26,IF(UPPER(TRIM(B26))="PIPE",Inputs!$B$7,IF(UPPER(TRIM(B26))="SWALE",Inputs!$B$8,Inputs!$B$9))))</f>
        <v/>
      </c>
      <c r="J26" s="8"/>
      <c r="K26" s="8"/>
      <c r="L26" s="8"/>
      <c r="M26" s="8"/>
      <c r="N26" s="8">
        <v>0</v>
      </c>
      <c r="O26" s="10" t="str">
        <f>IF(A26="","",SUMIFS(Zones_tributaires!$I:$I,Zones_tributaires!$J:$J,$A26))</f>
        <v/>
      </c>
      <c r="P26" s="10" t="str">
        <f t="shared" si="0"/>
        <v/>
      </c>
      <c r="Q26" s="10" t="str">
        <f>IF(A26="","",(O26+P26)*Inputs!$B$6)</f>
        <v/>
      </c>
      <c r="R26" s="10" t="str">
        <f t="shared" si="1"/>
        <v/>
      </c>
      <c r="S26" s="10" t="str">
        <f t="shared" si="2"/>
        <v/>
      </c>
      <c r="T26" s="10" t="str">
        <f t="shared" si="3"/>
        <v/>
      </c>
      <c r="U26" s="10" t="str">
        <f>IF(OR(T26="",Q26=""),"",Q26/(T26*Inputs!$B$19))</f>
        <v/>
      </c>
      <c r="V26" s="10" t="str">
        <f t="shared" si="4"/>
        <v/>
      </c>
      <c r="W26" s="10" t="str">
        <f t="shared" si="5"/>
        <v/>
      </c>
      <c r="X26" s="10" t="str">
        <f>IF(A26="","",IF(OR(UPPER(TRIM(Inputs!$B$15))="MANNING",UPPER(TRIM(Inputs!$B$15))="M"),W26,IF(OR(UPPER(TRIM(Inputs!$B$15))="MAX",UPPER(TRIM(Inputs!$B$15))="X"),MAX(V26,W26),V26)))</f>
        <v/>
      </c>
      <c r="Y26" s="10" t="str">
        <f t="shared" si="6"/>
        <v/>
      </c>
      <c r="Z26" s="10" t="str">
        <f t="shared" si="7"/>
        <v/>
      </c>
      <c r="AA26" s="3" t="str">
        <f>IF(A26="","",IF(OR(U26&gt;1,AND(X26&lt;&gt;"",X26&lt;Inputs!$B$16),AND(X26&lt;&gt;"",X26&gt;Inputs!$B$17),G26&lt;Inputs!$B$18,AH26="CHECK"),"CHECK","OK"))</f>
        <v/>
      </c>
      <c r="AB26" s="3"/>
      <c r="AC26" s="8"/>
      <c r="AD26" s="10" t="str">
        <f>IF(A26="","",IF(AC26&lt;&gt;"",AC26,IF(E26="",Inputs!$B$38,IFERROR(INDEX($AE$4:$AE$204,MATCH(E26,$A$4:$A$204,0))+IF(OR(AND(UPPER(TRIM(B26))="SWALE",UPPER(TRIM(AI26))="PIPE"),AND(UPPER(TRIM(B26))="TRENCH",UPPER(TRIM(AI26))="PIPE")),Inputs!$B$57,0),""))))</f>
        <v/>
      </c>
      <c r="AE26" s="10" t="str">
        <f t="shared" si="8"/>
        <v/>
      </c>
      <c r="AF26" s="10" t="str">
        <f t="shared" si="9"/>
        <v/>
      </c>
      <c r="AG26" s="10" t="str">
        <f t="shared" si="10"/>
        <v/>
      </c>
      <c r="AH26" s="3" t="str">
        <f>IF(A26="","",IF(E26="","TERMINAL",IF(OR(AND(UPPER(TRIM(B26))="SWALE",UPPER(TRIM(AI26))="PIPE"),AND(UPPER(TRIM(B26))="TRENCH",UPPER(TRIM(AI26))="PIPE")),IF(OR(AG26="",AJ26="",AK26=""),"INFO",IF(AND(AG26&gt;=AJ26,AG26&lt;=AK26),"OK","CHECK")),IF(AG26="","INFO",IF(ABS(AG26)&lt;=Inputs!$B$54,"OK","CHECK")))))</f>
        <v/>
      </c>
      <c r="AI26" s="11" t="str">
        <f t="shared" si="11"/>
        <v/>
      </c>
      <c r="AJ26" s="11" t="str">
        <f>IF(A26="","",IF(OR(AND(UPPER(TRIM(B26))="SWALE",UPPER(TRIM(AI26))="PIPE"),AND(UPPER(TRIM(B26))="TRENCH",UPPER(TRIM(AI26))="PIPE")),Inputs!$B$55,0))</f>
        <v/>
      </c>
      <c r="AK26" s="11" t="str">
        <f>IF(A26="","",IF(OR(AND(UPPER(TRIM(B26))="SWALE",UPPER(TRIM(AI26))="PIPE"),AND(UPPER(TRIM(B26))="TRENCH",UPPER(TRIM(AI26))="PIPE")),Inputs!$B$56,Inputs!$B$54))</f>
        <v/>
      </c>
      <c r="AL26" s="3" t="str">
        <f t="shared" si="12"/>
        <v/>
      </c>
    </row>
    <row r="27" spans="1:38" x14ac:dyDescent="0.25">
      <c r="A27" s="3"/>
      <c r="B27" s="3"/>
      <c r="C27" s="3"/>
      <c r="D27" s="3"/>
      <c r="E27" s="3"/>
      <c r="F27" s="8"/>
      <c r="G27" s="8"/>
      <c r="H27" s="8"/>
      <c r="I27" s="10" t="str">
        <f>IF(A27="","",IF(H27&lt;&gt;"",H27,IF(UPPER(TRIM(B27))="PIPE",Inputs!$B$7,IF(UPPER(TRIM(B27))="SWALE",Inputs!$B$8,Inputs!$B$9))))</f>
        <v/>
      </c>
      <c r="J27" s="8"/>
      <c r="K27" s="8"/>
      <c r="L27" s="8"/>
      <c r="M27" s="8"/>
      <c r="N27" s="8">
        <v>0</v>
      </c>
      <c r="O27" s="10" t="str">
        <f>IF(A27="","",SUMIFS(Zones_tributaires!$I:$I,Zones_tributaires!$J:$J,$A27))</f>
        <v/>
      </c>
      <c r="P27" s="10" t="str">
        <f t="shared" si="0"/>
        <v/>
      </c>
      <c r="Q27" s="10" t="str">
        <f>IF(A27="","",(O27+P27)*Inputs!$B$6)</f>
        <v/>
      </c>
      <c r="R27" s="10" t="str">
        <f t="shared" si="1"/>
        <v/>
      </c>
      <c r="S27" s="10" t="str">
        <f t="shared" si="2"/>
        <v/>
      </c>
      <c r="T27" s="10" t="str">
        <f t="shared" si="3"/>
        <v/>
      </c>
      <c r="U27" s="10" t="str">
        <f>IF(OR(T27="",Q27=""),"",Q27/(T27*Inputs!$B$19))</f>
        <v/>
      </c>
      <c r="V27" s="10" t="str">
        <f t="shared" si="4"/>
        <v/>
      </c>
      <c r="W27" s="10" t="str">
        <f t="shared" si="5"/>
        <v/>
      </c>
      <c r="X27" s="10" t="str">
        <f>IF(A27="","",IF(OR(UPPER(TRIM(Inputs!$B$15))="MANNING",UPPER(TRIM(Inputs!$B$15))="M"),W27,IF(OR(UPPER(TRIM(Inputs!$B$15))="MAX",UPPER(TRIM(Inputs!$B$15))="X"),MAX(V27,W27),V27)))</f>
        <v/>
      </c>
      <c r="Y27" s="10" t="str">
        <f t="shared" si="6"/>
        <v/>
      </c>
      <c r="Z27" s="10" t="str">
        <f t="shared" si="7"/>
        <v/>
      </c>
      <c r="AA27" s="3" t="str">
        <f>IF(A27="","",IF(OR(U27&gt;1,AND(X27&lt;&gt;"",X27&lt;Inputs!$B$16),AND(X27&lt;&gt;"",X27&gt;Inputs!$B$17),G27&lt;Inputs!$B$18,AH27="CHECK"),"CHECK","OK"))</f>
        <v/>
      </c>
      <c r="AB27" s="3"/>
      <c r="AC27" s="8"/>
      <c r="AD27" s="10" t="str">
        <f>IF(A27="","",IF(AC27&lt;&gt;"",AC27,IF(E27="",Inputs!$B$38,IFERROR(INDEX($AE$4:$AE$204,MATCH(E27,$A$4:$A$204,0))+IF(OR(AND(UPPER(TRIM(B27))="SWALE",UPPER(TRIM(AI27))="PIPE"),AND(UPPER(TRIM(B27))="TRENCH",UPPER(TRIM(AI27))="PIPE")),Inputs!$B$57,0),""))))</f>
        <v/>
      </c>
      <c r="AE27" s="10" t="str">
        <f t="shared" si="8"/>
        <v/>
      </c>
      <c r="AF27" s="10" t="str">
        <f t="shared" si="9"/>
        <v/>
      </c>
      <c r="AG27" s="10" t="str">
        <f t="shared" si="10"/>
        <v/>
      </c>
      <c r="AH27" s="3" t="str">
        <f>IF(A27="","",IF(E27="","TERMINAL",IF(OR(AND(UPPER(TRIM(B27))="SWALE",UPPER(TRIM(AI27))="PIPE"),AND(UPPER(TRIM(B27))="TRENCH",UPPER(TRIM(AI27))="PIPE")),IF(OR(AG27="",AJ27="",AK27=""),"INFO",IF(AND(AG27&gt;=AJ27,AG27&lt;=AK27),"OK","CHECK")),IF(AG27="","INFO",IF(ABS(AG27)&lt;=Inputs!$B$54,"OK","CHECK")))))</f>
        <v/>
      </c>
      <c r="AI27" s="11" t="str">
        <f t="shared" si="11"/>
        <v/>
      </c>
      <c r="AJ27" s="11" t="str">
        <f>IF(A27="","",IF(OR(AND(UPPER(TRIM(B27))="SWALE",UPPER(TRIM(AI27))="PIPE"),AND(UPPER(TRIM(B27))="TRENCH",UPPER(TRIM(AI27))="PIPE")),Inputs!$B$55,0))</f>
        <v/>
      </c>
      <c r="AK27" s="11" t="str">
        <f>IF(A27="","",IF(OR(AND(UPPER(TRIM(B27))="SWALE",UPPER(TRIM(AI27))="PIPE"),AND(UPPER(TRIM(B27))="TRENCH",UPPER(TRIM(AI27))="PIPE")),Inputs!$B$56,Inputs!$B$54))</f>
        <v/>
      </c>
      <c r="AL27" s="3" t="str">
        <f t="shared" si="12"/>
        <v/>
      </c>
    </row>
    <row r="28" spans="1:38" x14ac:dyDescent="0.25">
      <c r="A28" s="3"/>
      <c r="B28" s="3"/>
      <c r="C28" s="3"/>
      <c r="D28" s="3"/>
      <c r="E28" s="3"/>
      <c r="F28" s="8"/>
      <c r="G28" s="8"/>
      <c r="H28" s="8"/>
      <c r="I28" s="10" t="str">
        <f>IF(A28="","",IF(H28&lt;&gt;"",H28,IF(UPPER(TRIM(B28))="PIPE",Inputs!$B$7,IF(UPPER(TRIM(B28))="SWALE",Inputs!$B$8,Inputs!$B$9))))</f>
        <v/>
      </c>
      <c r="J28" s="8"/>
      <c r="K28" s="8"/>
      <c r="L28" s="8"/>
      <c r="M28" s="8"/>
      <c r="N28" s="8">
        <v>0</v>
      </c>
      <c r="O28" s="10" t="str">
        <f>IF(A28="","",SUMIFS(Zones_tributaires!$I:$I,Zones_tributaires!$J:$J,$A28))</f>
        <v/>
      </c>
      <c r="P28" s="10" t="str">
        <f t="shared" si="0"/>
        <v/>
      </c>
      <c r="Q28" s="10" t="str">
        <f>IF(A28="","",(O28+P28)*Inputs!$B$6)</f>
        <v/>
      </c>
      <c r="R28" s="10" t="str">
        <f t="shared" si="1"/>
        <v/>
      </c>
      <c r="S28" s="10" t="str">
        <f t="shared" si="2"/>
        <v/>
      </c>
      <c r="T28" s="10" t="str">
        <f t="shared" si="3"/>
        <v/>
      </c>
      <c r="U28" s="10" t="str">
        <f>IF(OR(T28="",Q28=""),"",Q28/(T28*Inputs!$B$19))</f>
        <v/>
      </c>
      <c r="V28" s="10" t="str">
        <f t="shared" si="4"/>
        <v/>
      </c>
      <c r="W28" s="10" t="str">
        <f t="shared" si="5"/>
        <v/>
      </c>
      <c r="X28" s="10" t="str">
        <f>IF(A28="","",IF(OR(UPPER(TRIM(Inputs!$B$15))="MANNING",UPPER(TRIM(Inputs!$B$15))="M"),W28,IF(OR(UPPER(TRIM(Inputs!$B$15))="MAX",UPPER(TRIM(Inputs!$B$15))="X"),MAX(V28,W28),V28)))</f>
        <v/>
      </c>
      <c r="Y28" s="10" t="str">
        <f t="shared" si="6"/>
        <v/>
      </c>
      <c r="Z28" s="10" t="str">
        <f t="shared" si="7"/>
        <v/>
      </c>
      <c r="AA28" s="3" t="str">
        <f>IF(A28="","",IF(OR(U28&gt;1,AND(X28&lt;&gt;"",X28&lt;Inputs!$B$16),AND(X28&lt;&gt;"",X28&gt;Inputs!$B$17),G28&lt;Inputs!$B$18,AH28="CHECK"),"CHECK","OK"))</f>
        <v/>
      </c>
      <c r="AB28" s="3"/>
      <c r="AC28" s="8"/>
      <c r="AD28" s="10" t="str">
        <f>IF(A28="","",IF(AC28&lt;&gt;"",AC28,IF(E28="",Inputs!$B$38,IFERROR(INDEX($AE$4:$AE$204,MATCH(E28,$A$4:$A$204,0))+IF(OR(AND(UPPER(TRIM(B28))="SWALE",UPPER(TRIM(AI28))="PIPE"),AND(UPPER(TRIM(B28))="TRENCH",UPPER(TRIM(AI28))="PIPE")),Inputs!$B$57,0),""))))</f>
        <v/>
      </c>
      <c r="AE28" s="10" t="str">
        <f t="shared" si="8"/>
        <v/>
      </c>
      <c r="AF28" s="10" t="str">
        <f t="shared" si="9"/>
        <v/>
      </c>
      <c r="AG28" s="10" t="str">
        <f t="shared" si="10"/>
        <v/>
      </c>
      <c r="AH28" s="3" t="str">
        <f>IF(A28="","",IF(E28="","TERMINAL",IF(OR(AND(UPPER(TRIM(B28))="SWALE",UPPER(TRIM(AI28))="PIPE"),AND(UPPER(TRIM(B28))="TRENCH",UPPER(TRIM(AI28))="PIPE")),IF(OR(AG28="",AJ28="",AK28=""),"INFO",IF(AND(AG28&gt;=AJ28,AG28&lt;=AK28),"OK","CHECK")),IF(AG28="","INFO",IF(ABS(AG28)&lt;=Inputs!$B$54,"OK","CHECK")))))</f>
        <v/>
      </c>
      <c r="AI28" s="11" t="str">
        <f t="shared" si="11"/>
        <v/>
      </c>
      <c r="AJ28" s="11" t="str">
        <f>IF(A28="","",IF(OR(AND(UPPER(TRIM(B28))="SWALE",UPPER(TRIM(AI28))="PIPE"),AND(UPPER(TRIM(B28))="TRENCH",UPPER(TRIM(AI28))="PIPE")),Inputs!$B$55,0))</f>
        <v/>
      </c>
      <c r="AK28" s="11" t="str">
        <f>IF(A28="","",IF(OR(AND(UPPER(TRIM(B28))="SWALE",UPPER(TRIM(AI28))="PIPE"),AND(UPPER(TRIM(B28))="TRENCH",UPPER(TRIM(AI28))="PIPE")),Inputs!$B$56,Inputs!$B$54))</f>
        <v/>
      </c>
      <c r="AL28" s="3" t="str">
        <f t="shared" si="12"/>
        <v/>
      </c>
    </row>
    <row r="29" spans="1:38" x14ac:dyDescent="0.25">
      <c r="A29" s="3"/>
      <c r="B29" s="3"/>
      <c r="C29" s="3"/>
      <c r="D29" s="3"/>
      <c r="E29" s="3"/>
      <c r="F29" s="8"/>
      <c r="G29" s="8"/>
      <c r="H29" s="8"/>
      <c r="I29" s="10" t="str">
        <f>IF(A29="","",IF(H29&lt;&gt;"",H29,IF(UPPER(TRIM(B29))="PIPE",Inputs!$B$7,IF(UPPER(TRIM(B29))="SWALE",Inputs!$B$8,Inputs!$B$9))))</f>
        <v/>
      </c>
      <c r="J29" s="8"/>
      <c r="K29" s="8"/>
      <c r="L29" s="8"/>
      <c r="M29" s="8"/>
      <c r="N29" s="8">
        <v>0</v>
      </c>
      <c r="O29" s="10" t="str">
        <f>IF(A29="","",SUMIFS(Zones_tributaires!$I:$I,Zones_tributaires!$J:$J,$A29))</f>
        <v/>
      </c>
      <c r="P29" s="10" t="str">
        <f t="shared" si="0"/>
        <v/>
      </c>
      <c r="Q29" s="10" t="str">
        <f>IF(A29="","",(O29+P29)*Inputs!$B$6)</f>
        <v/>
      </c>
      <c r="R29" s="10" t="str">
        <f t="shared" si="1"/>
        <v/>
      </c>
      <c r="S29" s="10" t="str">
        <f t="shared" si="2"/>
        <v/>
      </c>
      <c r="T29" s="10" t="str">
        <f t="shared" si="3"/>
        <v/>
      </c>
      <c r="U29" s="10" t="str">
        <f>IF(OR(T29="",Q29=""),"",Q29/(T29*Inputs!$B$19))</f>
        <v/>
      </c>
      <c r="V29" s="10" t="str">
        <f t="shared" si="4"/>
        <v/>
      </c>
      <c r="W29" s="10" t="str">
        <f t="shared" si="5"/>
        <v/>
      </c>
      <c r="X29" s="10" t="str">
        <f>IF(A29="","",IF(OR(UPPER(TRIM(Inputs!$B$15))="MANNING",UPPER(TRIM(Inputs!$B$15))="M"),W29,IF(OR(UPPER(TRIM(Inputs!$B$15))="MAX",UPPER(TRIM(Inputs!$B$15))="X"),MAX(V29,W29),V29)))</f>
        <v/>
      </c>
      <c r="Y29" s="10" t="str">
        <f t="shared" si="6"/>
        <v/>
      </c>
      <c r="Z29" s="10" t="str">
        <f t="shared" si="7"/>
        <v/>
      </c>
      <c r="AA29" s="3" t="str">
        <f>IF(A29="","",IF(OR(U29&gt;1,AND(X29&lt;&gt;"",X29&lt;Inputs!$B$16),AND(X29&lt;&gt;"",X29&gt;Inputs!$B$17),G29&lt;Inputs!$B$18,AH29="CHECK"),"CHECK","OK"))</f>
        <v/>
      </c>
      <c r="AB29" s="3"/>
      <c r="AC29" s="8"/>
      <c r="AD29" s="10" t="str">
        <f>IF(A29="","",IF(AC29&lt;&gt;"",AC29,IF(E29="",Inputs!$B$38,IFERROR(INDEX($AE$4:$AE$204,MATCH(E29,$A$4:$A$204,0))+IF(OR(AND(UPPER(TRIM(B29))="SWALE",UPPER(TRIM(AI29))="PIPE"),AND(UPPER(TRIM(B29))="TRENCH",UPPER(TRIM(AI29))="PIPE")),Inputs!$B$57,0),""))))</f>
        <v/>
      </c>
      <c r="AE29" s="10" t="str">
        <f t="shared" si="8"/>
        <v/>
      </c>
      <c r="AF29" s="10" t="str">
        <f t="shared" si="9"/>
        <v/>
      </c>
      <c r="AG29" s="10" t="str">
        <f t="shared" si="10"/>
        <v/>
      </c>
      <c r="AH29" s="3" t="str">
        <f>IF(A29="","",IF(E29="","TERMINAL",IF(OR(AND(UPPER(TRIM(B29))="SWALE",UPPER(TRIM(AI29))="PIPE"),AND(UPPER(TRIM(B29))="TRENCH",UPPER(TRIM(AI29))="PIPE")),IF(OR(AG29="",AJ29="",AK29=""),"INFO",IF(AND(AG29&gt;=AJ29,AG29&lt;=AK29),"OK","CHECK")),IF(AG29="","INFO",IF(ABS(AG29)&lt;=Inputs!$B$54,"OK","CHECK")))))</f>
        <v/>
      </c>
      <c r="AI29" s="11" t="str">
        <f t="shared" si="11"/>
        <v/>
      </c>
      <c r="AJ29" s="11" t="str">
        <f>IF(A29="","",IF(OR(AND(UPPER(TRIM(B29))="SWALE",UPPER(TRIM(AI29))="PIPE"),AND(UPPER(TRIM(B29))="TRENCH",UPPER(TRIM(AI29))="PIPE")),Inputs!$B$55,0))</f>
        <v/>
      </c>
      <c r="AK29" s="11" t="str">
        <f>IF(A29="","",IF(OR(AND(UPPER(TRIM(B29))="SWALE",UPPER(TRIM(AI29))="PIPE"),AND(UPPER(TRIM(B29))="TRENCH",UPPER(TRIM(AI29))="PIPE")),Inputs!$B$56,Inputs!$B$54))</f>
        <v/>
      </c>
      <c r="AL29" s="3" t="str">
        <f t="shared" si="12"/>
        <v/>
      </c>
    </row>
    <row r="30" spans="1:38" x14ac:dyDescent="0.25">
      <c r="A30" s="3"/>
      <c r="B30" s="3"/>
      <c r="C30" s="3"/>
      <c r="D30" s="3"/>
      <c r="E30" s="3"/>
      <c r="F30" s="8"/>
      <c r="G30" s="8"/>
      <c r="H30" s="8"/>
      <c r="I30" s="10" t="str">
        <f>IF(A30="","",IF(H30&lt;&gt;"",H30,IF(UPPER(TRIM(B30))="PIPE",Inputs!$B$7,IF(UPPER(TRIM(B30))="SWALE",Inputs!$B$8,Inputs!$B$9))))</f>
        <v/>
      </c>
      <c r="J30" s="8"/>
      <c r="K30" s="8"/>
      <c r="L30" s="8"/>
      <c r="M30" s="8"/>
      <c r="N30" s="8">
        <v>0</v>
      </c>
      <c r="O30" s="10" t="str">
        <f>IF(A30="","",SUMIFS(Zones_tributaires!$I:$I,Zones_tributaires!$J:$J,$A30))</f>
        <v/>
      </c>
      <c r="P30" s="10" t="str">
        <f t="shared" si="0"/>
        <v/>
      </c>
      <c r="Q30" s="10" t="str">
        <f>IF(A30="","",(O30+P30)*Inputs!$B$6)</f>
        <v/>
      </c>
      <c r="R30" s="10" t="str">
        <f t="shared" si="1"/>
        <v/>
      </c>
      <c r="S30" s="10" t="str">
        <f t="shared" si="2"/>
        <v/>
      </c>
      <c r="T30" s="10" t="str">
        <f t="shared" si="3"/>
        <v/>
      </c>
      <c r="U30" s="10" t="str">
        <f>IF(OR(T30="",Q30=""),"",Q30/(T30*Inputs!$B$19))</f>
        <v/>
      </c>
      <c r="V30" s="10" t="str">
        <f t="shared" si="4"/>
        <v/>
      </c>
      <c r="W30" s="10" t="str">
        <f t="shared" si="5"/>
        <v/>
      </c>
      <c r="X30" s="10" t="str">
        <f>IF(A30="","",IF(OR(UPPER(TRIM(Inputs!$B$15))="MANNING",UPPER(TRIM(Inputs!$B$15))="M"),W30,IF(OR(UPPER(TRIM(Inputs!$B$15))="MAX",UPPER(TRIM(Inputs!$B$15))="X"),MAX(V30,W30),V30)))</f>
        <v/>
      </c>
      <c r="Y30" s="10" t="str">
        <f t="shared" si="6"/>
        <v/>
      </c>
      <c r="Z30" s="10" t="str">
        <f t="shared" si="7"/>
        <v/>
      </c>
      <c r="AA30" s="3" t="str">
        <f>IF(A30="","",IF(OR(U30&gt;1,AND(X30&lt;&gt;"",X30&lt;Inputs!$B$16),AND(X30&lt;&gt;"",X30&gt;Inputs!$B$17),G30&lt;Inputs!$B$18,AH30="CHECK"),"CHECK","OK"))</f>
        <v/>
      </c>
      <c r="AB30" s="3"/>
      <c r="AC30" s="8"/>
      <c r="AD30" s="10" t="str">
        <f>IF(A30="","",IF(AC30&lt;&gt;"",AC30,IF(E30="",Inputs!$B$38,IFERROR(INDEX($AE$4:$AE$204,MATCH(E30,$A$4:$A$204,0))+IF(OR(AND(UPPER(TRIM(B30))="SWALE",UPPER(TRIM(AI30))="PIPE"),AND(UPPER(TRIM(B30))="TRENCH",UPPER(TRIM(AI30))="PIPE")),Inputs!$B$57,0),""))))</f>
        <v/>
      </c>
      <c r="AE30" s="10" t="str">
        <f t="shared" si="8"/>
        <v/>
      </c>
      <c r="AF30" s="10" t="str">
        <f t="shared" si="9"/>
        <v/>
      </c>
      <c r="AG30" s="10" t="str">
        <f t="shared" si="10"/>
        <v/>
      </c>
      <c r="AH30" s="3" t="str">
        <f>IF(A30="","",IF(E30="","TERMINAL",IF(OR(AND(UPPER(TRIM(B30))="SWALE",UPPER(TRIM(AI30))="PIPE"),AND(UPPER(TRIM(B30))="TRENCH",UPPER(TRIM(AI30))="PIPE")),IF(OR(AG30="",AJ30="",AK30=""),"INFO",IF(AND(AG30&gt;=AJ30,AG30&lt;=AK30),"OK","CHECK")),IF(AG30="","INFO",IF(ABS(AG30)&lt;=Inputs!$B$54,"OK","CHECK")))))</f>
        <v/>
      </c>
      <c r="AI30" s="11" t="str">
        <f t="shared" si="11"/>
        <v/>
      </c>
      <c r="AJ30" s="11" t="str">
        <f>IF(A30="","",IF(OR(AND(UPPER(TRIM(B30))="SWALE",UPPER(TRIM(AI30))="PIPE"),AND(UPPER(TRIM(B30))="TRENCH",UPPER(TRIM(AI30))="PIPE")),Inputs!$B$55,0))</f>
        <v/>
      </c>
      <c r="AK30" s="11" t="str">
        <f>IF(A30="","",IF(OR(AND(UPPER(TRIM(B30))="SWALE",UPPER(TRIM(AI30))="PIPE"),AND(UPPER(TRIM(B30))="TRENCH",UPPER(TRIM(AI30))="PIPE")),Inputs!$B$56,Inputs!$B$54))</f>
        <v/>
      </c>
      <c r="AL30" s="3" t="str">
        <f t="shared" si="12"/>
        <v/>
      </c>
    </row>
    <row r="31" spans="1:38" x14ac:dyDescent="0.25">
      <c r="A31" s="3"/>
      <c r="B31" s="3"/>
      <c r="C31" s="3"/>
      <c r="D31" s="3"/>
      <c r="E31" s="3"/>
      <c r="F31" s="8"/>
      <c r="G31" s="8"/>
      <c r="H31" s="8"/>
      <c r="I31" s="10" t="str">
        <f>IF(A31="","",IF(H31&lt;&gt;"",H31,IF(UPPER(TRIM(B31))="PIPE",Inputs!$B$7,IF(UPPER(TRIM(B31))="SWALE",Inputs!$B$8,Inputs!$B$9))))</f>
        <v/>
      </c>
      <c r="J31" s="8"/>
      <c r="K31" s="8"/>
      <c r="L31" s="8"/>
      <c r="M31" s="8"/>
      <c r="N31" s="8">
        <v>0</v>
      </c>
      <c r="O31" s="10" t="str">
        <f>IF(A31="","",SUMIFS(Zones_tributaires!$I:$I,Zones_tributaires!$J:$J,$A31))</f>
        <v/>
      </c>
      <c r="P31" s="10" t="str">
        <f t="shared" si="0"/>
        <v/>
      </c>
      <c r="Q31" s="10" t="str">
        <f>IF(A31="","",(O31+P31)*Inputs!$B$6)</f>
        <v/>
      </c>
      <c r="R31" s="10" t="str">
        <f t="shared" si="1"/>
        <v/>
      </c>
      <c r="S31" s="10" t="str">
        <f t="shared" si="2"/>
        <v/>
      </c>
      <c r="T31" s="10" t="str">
        <f t="shared" si="3"/>
        <v/>
      </c>
      <c r="U31" s="10" t="str">
        <f>IF(OR(T31="",Q31=""),"",Q31/(T31*Inputs!$B$19))</f>
        <v/>
      </c>
      <c r="V31" s="10" t="str">
        <f t="shared" si="4"/>
        <v/>
      </c>
      <c r="W31" s="10" t="str">
        <f t="shared" si="5"/>
        <v/>
      </c>
      <c r="X31" s="10" t="str">
        <f>IF(A31="","",IF(OR(UPPER(TRIM(Inputs!$B$15))="MANNING",UPPER(TRIM(Inputs!$B$15))="M"),W31,IF(OR(UPPER(TRIM(Inputs!$B$15))="MAX",UPPER(TRIM(Inputs!$B$15))="X"),MAX(V31,W31),V31)))</f>
        <v/>
      </c>
      <c r="Y31" s="10" t="str">
        <f t="shared" si="6"/>
        <v/>
      </c>
      <c r="Z31" s="10" t="str">
        <f t="shared" si="7"/>
        <v/>
      </c>
      <c r="AA31" s="3" t="str">
        <f>IF(A31="","",IF(OR(U31&gt;1,AND(X31&lt;&gt;"",X31&lt;Inputs!$B$16),AND(X31&lt;&gt;"",X31&gt;Inputs!$B$17),G31&lt;Inputs!$B$18,AH31="CHECK"),"CHECK","OK"))</f>
        <v/>
      </c>
      <c r="AB31" s="3"/>
      <c r="AC31" s="8"/>
      <c r="AD31" s="10" t="str">
        <f>IF(A31="","",IF(AC31&lt;&gt;"",AC31,IF(E31="",Inputs!$B$38,IFERROR(INDEX($AE$4:$AE$204,MATCH(E31,$A$4:$A$204,0))+IF(OR(AND(UPPER(TRIM(B31))="SWALE",UPPER(TRIM(AI31))="PIPE"),AND(UPPER(TRIM(B31))="TRENCH",UPPER(TRIM(AI31))="PIPE")),Inputs!$B$57,0),""))))</f>
        <v/>
      </c>
      <c r="AE31" s="10" t="str">
        <f t="shared" si="8"/>
        <v/>
      </c>
      <c r="AF31" s="10" t="str">
        <f t="shared" si="9"/>
        <v/>
      </c>
      <c r="AG31" s="10" t="str">
        <f t="shared" si="10"/>
        <v/>
      </c>
      <c r="AH31" s="3" t="str">
        <f>IF(A31="","",IF(E31="","TERMINAL",IF(OR(AND(UPPER(TRIM(B31))="SWALE",UPPER(TRIM(AI31))="PIPE"),AND(UPPER(TRIM(B31))="TRENCH",UPPER(TRIM(AI31))="PIPE")),IF(OR(AG31="",AJ31="",AK31=""),"INFO",IF(AND(AG31&gt;=AJ31,AG31&lt;=AK31),"OK","CHECK")),IF(AG31="","INFO",IF(ABS(AG31)&lt;=Inputs!$B$54,"OK","CHECK")))))</f>
        <v/>
      </c>
      <c r="AI31" s="11" t="str">
        <f t="shared" si="11"/>
        <v/>
      </c>
      <c r="AJ31" s="11" t="str">
        <f>IF(A31="","",IF(OR(AND(UPPER(TRIM(B31))="SWALE",UPPER(TRIM(AI31))="PIPE"),AND(UPPER(TRIM(B31))="TRENCH",UPPER(TRIM(AI31))="PIPE")),Inputs!$B$55,0))</f>
        <v/>
      </c>
      <c r="AK31" s="11" t="str">
        <f>IF(A31="","",IF(OR(AND(UPPER(TRIM(B31))="SWALE",UPPER(TRIM(AI31))="PIPE"),AND(UPPER(TRIM(B31))="TRENCH",UPPER(TRIM(AI31))="PIPE")),Inputs!$B$56,Inputs!$B$54))</f>
        <v/>
      </c>
      <c r="AL31" s="3" t="str">
        <f t="shared" si="12"/>
        <v/>
      </c>
    </row>
    <row r="32" spans="1:38" x14ac:dyDescent="0.25">
      <c r="A32" s="3"/>
      <c r="B32" s="3"/>
      <c r="C32" s="3"/>
      <c r="D32" s="3"/>
      <c r="E32" s="3"/>
      <c r="F32" s="8"/>
      <c r="G32" s="8"/>
      <c r="H32" s="8"/>
      <c r="I32" s="10" t="str">
        <f>IF(A32="","",IF(H32&lt;&gt;"",H32,IF(UPPER(TRIM(B32))="PIPE",Inputs!$B$7,IF(UPPER(TRIM(B32))="SWALE",Inputs!$B$8,Inputs!$B$9))))</f>
        <v/>
      </c>
      <c r="J32" s="8"/>
      <c r="K32" s="8"/>
      <c r="L32" s="8"/>
      <c r="M32" s="8"/>
      <c r="N32" s="8">
        <v>0</v>
      </c>
      <c r="O32" s="10" t="str">
        <f>IF(A32="","",SUMIFS(Zones_tributaires!$I:$I,Zones_tributaires!$J:$J,$A32))</f>
        <v/>
      </c>
      <c r="P32" s="10" t="str">
        <f t="shared" si="0"/>
        <v/>
      </c>
      <c r="Q32" s="10" t="str">
        <f>IF(A32="","",(O32+P32)*Inputs!$B$6)</f>
        <v/>
      </c>
      <c r="R32" s="10" t="str">
        <f t="shared" si="1"/>
        <v/>
      </c>
      <c r="S32" s="10" t="str">
        <f t="shared" si="2"/>
        <v/>
      </c>
      <c r="T32" s="10" t="str">
        <f t="shared" si="3"/>
        <v/>
      </c>
      <c r="U32" s="10" t="str">
        <f>IF(OR(T32="",Q32=""),"",Q32/(T32*Inputs!$B$19))</f>
        <v/>
      </c>
      <c r="V32" s="10" t="str">
        <f t="shared" si="4"/>
        <v/>
      </c>
      <c r="W32" s="10" t="str">
        <f t="shared" si="5"/>
        <v/>
      </c>
      <c r="X32" s="10" t="str">
        <f>IF(A32="","",IF(OR(UPPER(TRIM(Inputs!$B$15))="MANNING",UPPER(TRIM(Inputs!$B$15))="M"),W32,IF(OR(UPPER(TRIM(Inputs!$B$15))="MAX",UPPER(TRIM(Inputs!$B$15))="X"),MAX(V32,W32),V32)))</f>
        <v/>
      </c>
      <c r="Y32" s="10" t="str">
        <f t="shared" si="6"/>
        <v/>
      </c>
      <c r="Z32" s="10" t="str">
        <f t="shared" si="7"/>
        <v/>
      </c>
      <c r="AA32" s="3" t="str">
        <f>IF(A32="","",IF(OR(U32&gt;1,AND(X32&lt;&gt;"",X32&lt;Inputs!$B$16),AND(X32&lt;&gt;"",X32&gt;Inputs!$B$17),G32&lt;Inputs!$B$18,AH32="CHECK"),"CHECK","OK"))</f>
        <v/>
      </c>
      <c r="AB32" s="3"/>
      <c r="AC32" s="8"/>
      <c r="AD32" s="10" t="str">
        <f>IF(A32="","",IF(AC32&lt;&gt;"",AC32,IF(E32="",Inputs!$B$38,IFERROR(INDEX($AE$4:$AE$204,MATCH(E32,$A$4:$A$204,0))+IF(OR(AND(UPPER(TRIM(B32))="SWALE",UPPER(TRIM(AI32))="PIPE"),AND(UPPER(TRIM(B32))="TRENCH",UPPER(TRIM(AI32))="PIPE")),Inputs!$B$57,0),""))))</f>
        <v/>
      </c>
      <c r="AE32" s="10" t="str">
        <f t="shared" si="8"/>
        <v/>
      </c>
      <c r="AF32" s="10" t="str">
        <f t="shared" si="9"/>
        <v/>
      </c>
      <c r="AG32" s="10" t="str">
        <f t="shared" si="10"/>
        <v/>
      </c>
      <c r="AH32" s="3" t="str">
        <f>IF(A32="","",IF(E32="","TERMINAL",IF(OR(AND(UPPER(TRIM(B32))="SWALE",UPPER(TRIM(AI32))="PIPE"),AND(UPPER(TRIM(B32))="TRENCH",UPPER(TRIM(AI32))="PIPE")),IF(OR(AG32="",AJ32="",AK32=""),"INFO",IF(AND(AG32&gt;=AJ32,AG32&lt;=AK32),"OK","CHECK")),IF(AG32="","INFO",IF(ABS(AG32)&lt;=Inputs!$B$54,"OK","CHECK")))))</f>
        <v/>
      </c>
      <c r="AI32" s="11" t="str">
        <f t="shared" si="11"/>
        <v/>
      </c>
      <c r="AJ32" s="11" t="str">
        <f>IF(A32="","",IF(OR(AND(UPPER(TRIM(B32))="SWALE",UPPER(TRIM(AI32))="PIPE"),AND(UPPER(TRIM(B32))="TRENCH",UPPER(TRIM(AI32))="PIPE")),Inputs!$B$55,0))</f>
        <v/>
      </c>
      <c r="AK32" s="11" t="str">
        <f>IF(A32="","",IF(OR(AND(UPPER(TRIM(B32))="SWALE",UPPER(TRIM(AI32))="PIPE"),AND(UPPER(TRIM(B32))="TRENCH",UPPER(TRIM(AI32))="PIPE")),Inputs!$B$56,Inputs!$B$54))</f>
        <v/>
      </c>
      <c r="AL32" s="3" t="str">
        <f t="shared" si="12"/>
        <v/>
      </c>
    </row>
    <row r="33" spans="1:38" x14ac:dyDescent="0.25">
      <c r="A33" s="3"/>
      <c r="B33" s="3"/>
      <c r="C33" s="3"/>
      <c r="D33" s="3"/>
      <c r="E33" s="3"/>
      <c r="F33" s="8"/>
      <c r="G33" s="8"/>
      <c r="H33" s="8"/>
      <c r="I33" s="10" t="str">
        <f>IF(A33="","",IF(H33&lt;&gt;"",H33,IF(UPPER(TRIM(B33))="PIPE",Inputs!$B$7,IF(UPPER(TRIM(B33))="SWALE",Inputs!$B$8,Inputs!$B$9))))</f>
        <v/>
      </c>
      <c r="J33" s="8"/>
      <c r="K33" s="8"/>
      <c r="L33" s="8"/>
      <c r="M33" s="8"/>
      <c r="N33" s="8">
        <v>0</v>
      </c>
      <c r="O33" s="10" t="str">
        <f>IF(A33="","",SUMIFS(Zones_tributaires!$I:$I,Zones_tributaires!$J:$J,$A33))</f>
        <v/>
      </c>
      <c r="P33" s="10" t="str">
        <f t="shared" si="0"/>
        <v/>
      </c>
      <c r="Q33" s="10" t="str">
        <f>IF(A33="","",(O33+P33)*Inputs!$B$6)</f>
        <v/>
      </c>
      <c r="R33" s="10" t="str">
        <f t="shared" si="1"/>
        <v/>
      </c>
      <c r="S33" s="10" t="str">
        <f t="shared" si="2"/>
        <v/>
      </c>
      <c r="T33" s="10" t="str">
        <f t="shared" si="3"/>
        <v/>
      </c>
      <c r="U33" s="10" t="str">
        <f>IF(OR(T33="",Q33=""),"",Q33/(T33*Inputs!$B$19))</f>
        <v/>
      </c>
      <c r="V33" s="10" t="str">
        <f t="shared" si="4"/>
        <v/>
      </c>
      <c r="W33" s="10" t="str">
        <f t="shared" si="5"/>
        <v/>
      </c>
      <c r="X33" s="10" t="str">
        <f>IF(A33="","",IF(OR(UPPER(TRIM(Inputs!$B$15))="MANNING",UPPER(TRIM(Inputs!$B$15))="M"),W33,IF(OR(UPPER(TRIM(Inputs!$B$15))="MAX",UPPER(TRIM(Inputs!$B$15))="X"),MAX(V33,W33),V33)))</f>
        <v/>
      </c>
      <c r="Y33" s="10" t="str">
        <f t="shared" si="6"/>
        <v/>
      </c>
      <c r="Z33" s="10" t="str">
        <f t="shared" si="7"/>
        <v/>
      </c>
      <c r="AA33" s="3" t="str">
        <f>IF(A33="","",IF(OR(U33&gt;1,AND(X33&lt;&gt;"",X33&lt;Inputs!$B$16),AND(X33&lt;&gt;"",X33&gt;Inputs!$B$17),G33&lt;Inputs!$B$18,AH33="CHECK"),"CHECK","OK"))</f>
        <v/>
      </c>
      <c r="AB33" s="3"/>
      <c r="AC33" s="8"/>
      <c r="AD33" s="10" t="str">
        <f>IF(A33="","",IF(AC33&lt;&gt;"",AC33,IF(E33="",Inputs!$B$38,IFERROR(INDEX($AE$4:$AE$204,MATCH(E33,$A$4:$A$204,0))+IF(OR(AND(UPPER(TRIM(B33))="SWALE",UPPER(TRIM(AI33))="PIPE"),AND(UPPER(TRIM(B33))="TRENCH",UPPER(TRIM(AI33))="PIPE")),Inputs!$B$57,0),""))))</f>
        <v/>
      </c>
      <c r="AE33" s="10" t="str">
        <f t="shared" si="8"/>
        <v/>
      </c>
      <c r="AF33" s="10" t="str">
        <f t="shared" si="9"/>
        <v/>
      </c>
      <c r="AG33" s="10" t="str">
        <f t="shared" si="10"/>
        <v/>
      </c>
      <c r="AH33" s="3" t="str">
        <f>IF(A33="","",IF(E33="","TERMINAL",IF(OR(AND(UPPER(TRIM(B33))="SWALE",UPPER(TRIM(AI33))="PIPE"),AND(UPPER(TRIM(B33))="TRENCH",UPPER(TRIM(AI33))="PIPE")),IF(OR(AG33="",AJ33="",AK33=""),"INFO",IF(AND(AG33&gt;=AJ33,AG33&lt;=AK33),"OK","CHECK")),IF(AG33="","INFO",IF(ABS(AG33)&lt;=Inputs!$B$54,"OK","CHECK")))))</f>
        <v/>
      </c>
      <c r="AI33" s="11" t="str">
        <f t="shared" si="11"/>
        <v/>
      </c>
      <c r="AJ33" s="11" t="str">
        <f>IF(A33="","",IF(OR(AND(UPPER(TRIM(B33))="SWALE",UPPER(TRIM(AI33))="PIPE"),AND(UPPER(TRIM(B33))="TRENCH",UPPER(TRIM(AI33))="PIPE")),Inputs!$B$55,0))</f>
        <v/>
      </c>
      <c r="AK33" s="11" t="str">
        <f>IF(A33="","",IF(OR(AND(UPPER(TRIM(B33))="SWALE",UPPER(TRIM(AI33))="PIPE"),AND(UPPER(TRIM(B33))="TRENCH",UPPER(TRIM(AI33))="PIPE")),Inputs!$B$56,Inputs!$B$54))</f>
        <v/>
      </c>
      <c r="AL33" s="3" t="str">
        <f t="shared" si="12"/>
        <v/>
      </c>
    </row>
    <row r="34" spans="1:38" x14ac:dyDescent="0.25">
      <c r="A34" s="3"/>
      <c r="B34" s="3"/>
      <c r="C34" s="3"/>
      <c r="D34" s="3"/>
      <c r="E34" s="3"/>
      <c r="F34" s="8"/>
      <c r="G34" s="8"/>
      <c r="H34" s="8"/>
      <c r="I34" s="10" t="str">
        <f>IF(A34="","",IF(H34&lt;&gt;"",H34,IF(UPPER(TRIM(B34))="PIPE",Inputs!$B$7,IF(UPPER(TRIM(B34))="SWALE",Inputs!$B$8,Inputs!$B$9))))</f>
        <v/>
      </c>
      <c r="J34" s="8"/>
      <c r="K34" s="8"/>
      <c r="L34" s="8"/>
      <c r="M34" s="8"/>
      <c r="N34" s="8">
        <v>0</v>
      </c>
      <c r="O34" s="10" t="str">
        <f>IF(A34="","",SUMIFS(Zones_tributaires!$I:$I,Zones_tributaires!$J:$J,$A34))</f>
        <v/>
      </c>
      <c r="P34" s="10" t="str">
        <f t="shared" si="0"/>
        <v/>
      </c>
      <c r="Q34" s="10" t="str">
        <f>IF(A34="","",(O34+P34)*Inputs!$B$6)</f>
        <v/>
      </c>
      <c r="R34" s="10" t="str">
        <f t="shared" si="1"/>
        <v/>
      </c>
      <c r="S34" s="10" t="str">
        <f t="shared" si="2"/>
        <v/>
      </c>
      <c r="T34" s="10" t="str">
        <f t="shared" si="3"/>
        <v/>
      </c>
      <c r="U34" s="10" t="str">
        <f>IF(OR(T34="",Q34=""),"",Q34/(T34*Inputs!$B$19))</f>
        <v/>
      </c>
      <c r="V34" s="10" t="str">
        <f t="shared" si="4"/>
        <v/>
      </c>
      <c r="W34" s="10" t="str">
        <f t="shared" si="5"/>
        <v/>
      </c>
      <c r="X34" s="10" t="str">
        <f>IF(A34="","",IF(OR(UPPER(TRIM(Inputs!$B$15))="MANNING",UPPER(TRIM(Inputs!$B$15))="M"),W34,IF(OR(UPPER(TRIM(Inputs!$B$15))="MAX",UPPER(TRIM(Inputs!$B$15))="X"),MAX(V34,W34),V34)))</f>
        <v/>
      </c>
      <c r="Y34" s="10" t="str">
        <f t="shared" si="6"/>
        <v/>
      </c>
      <c r="Z34" s="10" t="str">
        <f t="shared" si="7"/>
        <v/>
      </c>
      <c r="AA34" s="3" t="str">
        <f>IF(A34="","",IF(OR(U34&gt;1,AND(X34&lt;&gt;"",X34&lt;Inputs!$B$16),AND(X34&lt;&gt;"",X34&gt;Inputs!$B$17),G34&lt;Inputs!$B$18,AH34="CHECK"),"CHECK","OK"))</f>
        <v/>
      </c>
      <c r="AB34" s="3"/>
      <c r="AC34" s="8"/>
      <c r="AD34" s="10" t="str">
        <f>IF(A34="","",IF(AC34&lt;&gt;"",AC34,IF(E34="",Inputs!$B$38,IFERROR(INDEX($AE$4:$AE$204,MATCH(E34,$A$4:$A$204,0))+IF(OR(AND(UPPER(TRIM(B34))="SWALE",UPPER(TRIM(AI34))="PIPE"),AND(UPPER(TRIM(B34))="TRENCH",UPPER(TRIM(AI34))="PIPE")),Inputs!$B$57,0),""))))</f>
        <v/>
      </c>
      <c r="AE34" s="10" t="str">
        <f t="shared" si="8"/>
        <v/>
      </c>
      <c r="AF34" s="10" t="str">
        <f t="shared" si="9"/>
        <v/>
      </c>
      <c r="AG34" s="10" t="str">
        <f t="shared" si="10"/>
        <v/>
      </c>
      <c r="AH34" s="3" t="str">
        <f>IF(A34="","",IF(E34="","TERMINAL",IF(OR(AND(UPPER(TRIM(B34))="SWALE",UPPER(TRIM(AI34))="PIPE"),AND(UPPER(TRIM(B34))="TRENCH",UPPER(TRIM(AI34))="PIPE")),IF(OR(AG34="",AJ34="",AK34=""),"INFO",IF(AND(AG34&gt;=AJ34,AG34&lt;=AK34),"OK","CHECK")),IF(AG34="","INFO",IF(ABS(AG34)&lt;=Inputs!$B$54,"OK","CHECK")))))</f>
        <v/>
      </c>
      <c r="AI34" s="11" t="str">
        <f t="shared" si="11"/>
        <v/>
      </c>
      <c r="AJ34" s="11" t="str">
        <f>IF(A34="","",IF(OR(AND(UPPER(TRIM(B34))="SWALE",UPPER(TRIM(AI34))="PIPE"),AND(UPPER(TRIM(B34))="TRENCH",UPPER(TRIM(AI34))="PIPE")),Inputs!$B$55,0))</f>
        <v/>
      </c>
      <c r="AK34" s="11" t="str">
        <f>IF(A34="","",IF(OR(AND(UPPER(TRIM(B34))="SWALE",UPPER(TRIM(AI34))="PIPE"),AND(UPPER(TRIM(B34))="TRENCH",UPPER(TRIM(AI34))="PIPE")),Inputs!$B$56,Inputs!$B$54))</f>
        <v/>
      </c>
      <c r="AL34" s="3" t="str">
        <f t="shared" si="12"/>
        <v/>
      </c>
    </row>
    <row r="35" spans="1:38" x14ac:dyDescent="0.25">
      <c r="A35" s="3"/>
      <c r="B35" s="3"/>
      <c r="C35" s="3"/>
      <c r="D35" s="3"/>
      <c r="E35" s="3"/>
      <c r="F35" s="8"/>
      <c r="G35" s="8"/>
      <c r="H35" s="8"/>
      <c r="I35" s="10" t="str">
        <f>IF(A35="","",IF(H35&lt;&gt;"",H35,IF(UPPER(TRIM(B35))="PIPE",Inputs!$B$7,IF(UPPER(TRIM(B35))="SWALE",Inputs!$B$8,Inputs!$B$9))))</f>
        <v/>
      </c>
      <c r="J35" s="8"/>
      <c r="K35" s="8"/>
      <c r="L35" s="8"/>
      <c r="M35" s="8"/>
      <c r="N35" s="8">
        <v>0</v>
      </c>
      <c r="O35" s="10" t="str">
        <f>IF(A35="","",SUMIFS(Zones_tributaires!$I:$I,Zones_tributaires!$J:$J,$A35))</f>
        <v/>
      </c>
      <c r="P35" s="10" t="str">
        <f t="shared" si="0"/>
        <v/>
      </c>
      <c r="Q35" s="10" t="str">
        <f>IF(A35="","",(O35+P35)*Inputs!$B$6)</f>
        <v/>
      </c>
      <c r="R35" s="10" t="str">
        <f t="shared" si="1"/>
        <v/>
      </c>
      <c r="S35" s="10" t="str">
        <f t="shared" si="2"/>
        <v/>
      </c>
      <c r="T35" s="10" t="str">
        <f t="shared" si="3"/>
        <v/>
      </c>
      <c r="U35" s="10" t="str">
        <f>IF(OR(T35="",Q35=""),"",Q35/(T35*Inputs!$B$19))</f>
        <v/>
      </c>
      <c r="V35" s="10" t="str">
        <f t="shared" si="4"/>
        <v/>
      </c>
      <c r="W35" s="10" t="str">
        <f t="shared" si="5"/>
        <v/>
      </c>
      <c r="X35" s="10" t="str">
        <f>IF(A35="","",IF(OR(UPPER(TRIM(Inputs!$B$15))="MANNING",UPPER(TRIM(Inputs!$B$15))="M"),W35,IF(OR(UPPER(TRIM(Inputs!$B$15))="MAX",UPPER(TRIM(Inputs!$B$15))="X"),MAX(V35,W35),V35)))</f>
        <v/>
      </c>
      <c r="Y35" s="10" t="str">
        <f t="shared" si="6"/>
        <v/>
      </c>
      <c r="Z35" s="10" t="str">
        <f t="shared" si="7"/>
        <v/>
      </c>
      <c r="AA35" s="3" t="str">
        <f>IF(A35="","",IF(OR(U35&gt;1,AND(X35&lt;&gt;"",X35&lt;Inputs!$B$16),AND(X35&lt;&gt;"",X35&gt;Inputs!$B$17),G35&lt;Inputs!$B$18,AH35="CHECK"),"CHECK","OK"))</f>
        <v/>
      </c>
      <c r="AB35" s="3"/>
      <c r="AC35" s="8"/>
      <c r="AD35" s="10" t="str">
        <f>IF(A35="","",IF(AC35&lt;&gt;"",AC35,IF(E35="",Inputs!$B$38,IFERROR(INDEX($AE$4:$AE$204,MATCH(E35,$A$4:$A$204,0))+IF(OR(AND(UPPER(TRIM(B35))="SWALE",UPPER(TRIM(AI35))="PIPE"),AND(UPPER(TRIM(B35))="TRENCH",UPPER(TRIM(AI35))="PIPE")),Inputs!$B$57,0),""))))</f>
        <v/>
      </c>
      <c r="AE35" s="10" t="str">
        <f t="shared" si="8"/>
        <v/>
      </c>
      <c r="AF35" s="10" t="str">
        <f t="shared" si="9"/>
        <v/>
      </c>
      <c r="AG35" s="10" t="str">
        <f t="shared" si="10"/>
        <v/>
      </c>
      <c r="AH35" s="3" t="str">
        <f>IF(A35="","",IF(E35="","TERMINAL",IF(OR(AND(UPPER(TRIM(B35))="SWALE",UPPER(TRIM(AI35))="PIPE"),AND(UPPER(TRIM(B35))="TRENCH",UPPER(TRIM(AI35))="PIPE")),IF(OR(AG35="",AJ35="",AK35=""),"INFO",IF(AND(AG35&gt;=AJ35,AG35&lt;=AK35),"OK","CHECK")),IF(AG35="","INFO",IF(ABS(AG35)&lt;=Inputs!$B$54,"OK","CHECK")))))</f>
        <v/>
      </c>
      <c r="AI35" s="11" t="str">
        <f t="shared" si="11"/>
        <v/>
      </c>
      <c r="AJ35" s="11" t="str">
        <f>IF(A35="","",IF(OR(AND(UPPER(TRIM(B35))="SWALE",UPPER(TRIM(AI35))="PIPE"),AND(UPPER(TRIM(B35))="TRENCH",UPPER(TRIM(AI35))="PIPE")),Inputs!$B$55,0))</f>
        <v/>
      </c>
      <c r="AK35" s="11" t="str">
        <f>IF(A35="","",IF(OR(AND(UPPER(TRIM(B35))="SWALE",UPPER(TRIM(AI35))="PIPE"),AND(UPPER(TRIM(B35))="TRENCH",UPPER(TRIM(AI35))="PIPE")),Inputs!$B$56,Inputs!$B$54))</f>
        <v/>
      </c>
      <c r="AL35" s="3" t="str">
        <f t="shared" si="12"/>
        <v/>
      </c>
    </row>
    <row r="36" spans="1:38" x14ac:dyDescent="0.25">
      <c r="A36" s="3"/>
      <c r="B36" s="3"/>
      <c r="C36" s="3"/>
      <c r="D36" s="3"/>
      <c r="E36" s="3"/>
      <c r="F36" s="8"/>
      <c r="G36" s="8"/>
      <c r="H36" s="8"/>
      <c r="I36" s="10" t="str">
        <f>IF(A36="","",IF(H36&lt;&gt;"",H36,IF(UPPER(TRIM(B36))="PIPE",Inputs!$B$7,IF(UPPER(TRIM(B36))="SWALE",Inputs!$B$8,Inputs!$B$9))))</f>
        <v/>
      </c>
      <c r="J36" s="8"/>
      <c r="K36" s="8"/>
      <c r="L36" s="8"/>
      <c r="M36" s="8"/>
      <c r="N36" s="8">
        <v>0</v>
      </c>
      <c r="O36" s="10" t="str">
        <f>IF(A36="","",SUMIFS(Zones_tributaires!$I:$I,Zones_tributaires!$J:$J,$A36))</f>
        <v/>
      </c>
      <c r="P36" s="10" t="str">
        <f t="shared" si="0"/>
        <v/>
      </c>
      <c r="Q36" s="10" t="str">
        <f>IF(A36="","",(O36+P36)*Inputs!$B$6)</f>
        <v/>
      </c>
      <c r="R36" s="10" t="str">
        <f t="shared" si="1"/>
        <v/>
      </c>
      <c r="S36" s="10" t="str">
        <f t="shared" si="2"/>
        <v/>
      </c>
      <c r="T36" s="10" t="str">
        <f t="shared" si="3"/>
        <v/>
      </c>
      <c r="U36" s="10" t="str">
        <f>IF(OR(T36="",Q36=""),"",Q36/(T36*Inputs!$B$19))</f>
        <v/>
      </c>
      <c r="V36" s="10" t="str">
        <f t="shared" si="4"/>
        <v/>
      </c>
      <c r="W36" s="10" t="str">
        <f t="shared" si="5"/>
        <v/>
      </c>
      <c r="X36" s="10" t="str">
        <f>IF(A36="","",IF(OR(UPPER(TRIM(Inputs!$B$15))="MANNING",UPPER(TRIM(Inputs!$B$15))="M"),W36,IF(OR(UPPER(TRIM(Inputs!$B$15))="MAX",UPPER(TRIM(Inputs!$B$15))="X"),MAX(V36,W36),V36)))</f>
        <v/>
      </c>
      <c r="Y36" s="10" t="str">
        <f t="shared" si="6"/>
        <v/>
      </c>
      <c r="Z36" s="10" t="str">
        <f t="shared" si="7"/>
        <v/>
      </c>
      <c r="AA36" s="3" t="str">
        <f>IF(A36="","",IF(OR(U36&gt;1,AND(X36&lt;&gt;"",X36&lt;Inputs!$B$16),AND(X36&lt;&gt;"",X36&gt;Inputs!$B$17),G36&lt;Inputs!$B$18,AH36="CHECK"),"CHECK","OK"))</f>
        <v/>
      </c>
      <c r="AB36" s="3"/>
      <c r="AC36" s="8"/>
      <c r="AD36" s="10" t="str">
        <f>IF(A36="","",IF(AC36&lt;&gt;"",AC36,IF(E36="",Inputs!$B$38,IFERROR(INDEX($AE$4:$AE$204,MATCH(E36,$A$4:$A$204,0))+IF(OR(AND(UPPER(TRIM(B36))="SWALE",UPPER(TRIM(AI36))="PIPE"),AND(UPPER(TRIM(B36))="TRENCH",UPPER(TRIM(AI36))="PIPE")),Inputs!$B$57,0),""))))</f>
        <v/>
      </c>
      <c r="AE36" s="10" t="str">
        <f t="shared" si="8"/>
        <v/>
      </c>
      <c r="AF36" s="10" t="str">
        <f t="shared" si="9"/>
        <v/>
      </c>
      <c r="AG36" s="10" t="str">
        <f t="shared" si="10"/>
        <v/>
      </c>
      <c r="AH36" s="3" t="str">
        <f>IF(A36="","",IF(E36="","TERMINAL",IF(OR(AND(UPPER(TRIM(B36))="SWALE",UPPER(TRIM(AI36))="PIPE"),AND(UPPER(TRIM(B36))="TRENCH",UPPER(TRIM(AI36))="PIPE")),IF(OR(AG36="",AJ36="",AK36=""),"INFO",IF(AND(AG36&gt;=AJ36,AG36&lt;=AK36),"OK","CHECK")),IF(AG36="","INFO",IF(ABS(AG36)&lt;=Inputs!$B$54,"OK","CHECK")))))</f>
        <v/>
      </c>
      <c r="AI36" s="11" t="str">
        <f t="shared" si="11"/>
        <v/>
      </c>
      <c r="AJ36" s="11" t="str">
        <f>IF(A36="","",IF(OR(AND(UPPER(TRIM(B36))="SWALE",UPPER(TRIM(AI36))="PIPE"),AND(UPPER(TRIM(B36))="TRENCH",UPPER(TRIM(AI36))="PIPE")),Inputs!$B$55,0))</f>
        <v/>
      </c>
      <c r="AK36" s="11" t="str">
        <f>IF(A36="","",IF(OR(AND(UPPER(TRIM(B36))="SWALE",UPPER(TRIM(AI36))="PIPE"),AND(UPPER(TRIM(B36))="TRENCH",UPPER(TRIM(AI36))="PIPE")),Inputs!$B$56,Inputs!$B$54))</f>
        <v/>
      </c>
      <c r="AL36" s="3" t="str">
        <f t="shared" si="12"/>
        <v/>
      </c>
    </row>
    <row r="37" spans="1:38" x14ac:dyDescent="0.25">
      <c r="A37" s="3"/>
      <c r="B37" s="3"/>
      <c r="C37" s="3"/>
      <c r="D37" s="3"/>
      <c r="E37" s="3"/>
      <c r="F37" s="8"/>
      <c r="G37" s="8"/>
      <c r="H37" s="8"/>
      <c r="I37" s="10" t="str">
        <f>IF(A37="","",IF(H37&lt;&gt;"",H37,IF(UPPER(TRIM(B37))="PIPE",Inputs!$B$7,IF(UPPER(TRIM(B37))="SWALE",Inputs!$B$8,Inputs!$B$9))))</f>
        <v/>
      </c>
      <c r="J37" s="8"/>
      <c r="K37" s="8"/>
      <c r="L37" s="8"/>
      <c r="M37" s="8"/>
      <c r="N37" s="8">
        <v>0</v>
      </c>
      <c r="O37" s="10" t="str">
        <f>IF(A37="","",SUMIFS(Zones_tributaires!$I:$I,Zones_tributaires!$J:$J,$A37))</f>
        <v/>
      </c>
      <c r="P37" s="10" t="str">
        <f t="shared" si="0"/>
        <v/>
      </c>
      <c r="Q37" s="10" t="str">
        <f>IF(A37="","",(O37+P37)*Inputs!$B$6)</f>
        <v/>
      </c>
      <c r="R37" s="10" t="str">
        <f t="shared" si="1"/>
        <v/>
      </c>
      <c r="S37" s="10" t="str">
        <f t="shared" si="2"/>
        <v/>
      </c>
      <c r="T37" s="10" t="str">
        <f t="shared" si="3"/>
        <v/>
      </c>
      <c r="U37" s="10" t="str">
        <f>IF(OR(T37="",Q37=""),"",Q37/(T37*Inputs!$B$19))</f>
        <v/>
      </c>
      <c r="V37" s="10" t="str">
        <f t="shared" si="4"/>
        <v/>
      </c>
      <c r="W37" s="10" t="str">
        <f t="shared" si="5"/>
        <v/>
      </c>
      <c r="X37" s="10" t="str">
        <f>IF(A37="","",IF(OR(UPPER(TRIM(Inputs!$B$15))="MANNING",UPPER(TRIM(Inputs!$B$15))="M"),W37,IF(OR(UPPER(TRIM(Inputs!$B$15))="MAX",UPPER(TRIM(Inputs!$B$15))="X"),MAX(V37,W37),V37)))</f>
        <v/>
      </c>
      <c r="Y37" s="10" t="str">
        <f t="shared" si="6"/>
        <v/>
      </c>
      <c r="Z37" s="10" t="str">
        <f t="shared" si="7"/>
        <v/>
      </c>
      <c r="AA37" s="3" t="str">
        <f>IF(A37="","",IF(OR(U37&gt;1,AND(X37&lt;&gt;"",X37&lt;Inputs!$B$16),AND(X37&lt;&gt;"",X37&gt;Inputs!$B$17),G37&lt;Inputs!$B$18,AH37="CHECK"),"CHECK","OK"))</f>
        <v/>
      </c>
      <c r="AB37" s="3"/>
      <c r="AC37" s="8"/>
      <c r="AD37" s="10" t="str">
        <f>IF(A37="","",IF(AC37&lt;&gt;"",AC37,IF(E37="",Inputs!$B$38,IFERROR(INDEX($AE$4:$AE$204,MATCH(E37,$A$4:$A$204,0))+IF(OR(AND(UPPER(TRIM(B37))="SWALE",UPPER(TRIM(AI37))="PIPE"),AND(UPPER(TRIM(B37))="TRENCH",UPPER(TRIM(AI37))="PIPE")),Inputs!$B$57,0),""))))</f>
        <v/>
      </c>
      <c r="AE37" s="10" t="str">
        <f t="shared" si="8"/>
        <v/>
      </c>
      <c r="AF37" s="10" t="str">
        <f t="shared" si="9"/>
        <v/>
      </c>
      <c r="AG37" s="10" t="str">
        <f t="shared" si="10"/>
        <v/>
      </c>
      <c r="AH37" s="3" t="str">
        <f>IF(A37="","",IF(E37="","TERMINAL",IF(OR(AND(UPPER(TRIM(B37))="SWALE",UPPER(TRIM(AI37))="PIPE"),AND(UPPER(TRIM(B37))="TRENCH",UPPER(TRIM(AI37))="PIPE")),IF(OR(AG37="",AJ37="",AK37=""),"INFO",IF(AND(AG37&gt;=AJ37,AG37&lt;=AK37),"OK","CHECK")),IF(AG37="","INFO",IF(ABS(AG37)&lt;=Inputs!$B$54,"OK","CHECK")))))</f>
        <v/>
      </c>
      <c r="AI37" s="11" t="str">
        <f t="shared" si="11"/>
        <v/>
      </c>
      <c r="AJ37" s="11" t="str">
        <f>IF(A37="","",IF(OR(AND(UPPER(TRIM(B37))="SWALE",UPPER(TRIM(AI37))="PIPE"),AND(UPPER(TRIM(B37))="TRENCH",UPPER(TRIM(AI37))="PIPE")),Inputs!$B$55,0))</f>
        <v/>
      </c>
      <c r="AK37" s="11" t="str">
        <f>IF(A37="","",IF(OR(AND(UPPER(TRIM(B37))="SWALE",UPPER(TRIM(AI37))="PIPE"),AND(UPPER(TRIM(B37))="TRENCH",UPPER(TRIM(AI37))="PIPE")),Inputs!$B$56,Inputs!$B$54))</f>
        <v/>
      </c>
      <c r="AL37" s="3" t="str">
        <f t="shared" si="12"/>
        <v/>
      </c>
    </row>
    <row r="38" spans="1:38" x14ac:dyDescent="0.25">
      <c r="A38" s="3"/>
      <c r="B38" s="3"/>
      <c r="C38" s="3"/>
      <c r="D38" s="3"/>
      <c r="E38" s="3"/>
      <c r="F38" s="8"/>
      <c r="G38" s="8"/>
      <c r="H38" s="8"/>
      <c r="I38" s="10" t="str">
        <f>IF(A38="","",IF(H38&lt;&gt;"",H38,IF(UPPER(TRIM(B38))="PIPE",Inputs!$B$7,IF(UPPER(TRIM(B38))="SWALE",Inputs!$B$8,Inputs!$B$9))))</f>
        <v/>
      </c>
      <c r="J38" s="8"/>
      <c r="K38" s="8"/>
      <c r="L38" s="8"/>
      <c r="M38" s="8"/>
      <c r="N38" s="8">
        <v>0</v>
      </c>
      <c r="O38" s="10" t="str">
        <f>IF(A38="","",SUMIFS(Zones_tributaires!$I:$I,Zones_tributaires!$J:$J,$A38))</f>
        <v/>
      </c>
      <c r="P38" s="10" t="str">
        <f t="shared" si="0"/>
        <v/>
      </c>
      <c r="Q38" s="10" t="str">
        <f>IF(A38="","",(O38+P38)*Inputs!$B$6)</f>
        <v/>
      </c>
      <c r="R38" s="10" t="str">
        <f t="shared" si="1"/>
        <v/>
      </c>
      <c r="S38" s="10" t="str">
        <f t="shared" si="2"/>
        <v/>
      </c>
      <c r="T38" s="10" t="str">
        <f t="shared" si="3"/>
        <v/>
      </c>
      <c r="U38" s="10" t="str">
        <f>IF(OR(T38="",Q38=""),"",Q38/(T38*Inputs!$B$19))</f>
        <v/>
      </c>
      <c r="V38" s="10" t="str">
        <f t="shared" si="4"/>
        <v/>
      </c>
      <c r="W38" s="10" t="str">
        <f t="shared" si="5"/>
        <v/>
      </c>
      <c r="X38" s="10" t="str">
        <f>IF(A38="","",IF(OR(UPPER(TRIM(Inputs!$B$15))="MANNING",UPPER(TRIM(Inputs!$B$15))="M"),W38,IF(OR(UPPER(TRIM(Inputs!$B$15))="MAX",UPPER(TRIM(Inputs!$B$15))="X"),MAX(V38,W38),V38)))</f>
        <v/>
      </c>
      <c r="Y38" s="10" t="str">
        <f t="shared" si="6"/>
        <v/>
      </c>
      <c r="Z38" s="10" t="str">
        <f t="shared" si="7"/>
        <v/>
      </c>
      <c r="AA38" s="3" t="str">
        <f>IF(A38="","",IF(OR(U38&gt;1,AND(X38&lt;&gt;"",X38&lt;Inputs!$B$16),AND(X38&lt;&gt;"",X38&gt;Inputs!$B$17),G38&lt;Inputs!$B$18,AH38="CHECK"),"CHECK","OK"))</f>
        <v/>
      </c>
      <c r="AB38" s="3"/>
      <c r="AC38" s="8"/>
      <c r="AD38" s="10" t="str">
        <f>IF(A38="","",IF(AC38&lt;&gt;"",AC38,IF(E38="",Inputs!$B$38,IFERROR(INDEX($AE$4:$AE$204,MATCH(E38,$A$4:$A$204,0))+IF(OR(AND(UPPER(TRIM(B38))="SWALE",UPPER(TRIM(AI38))="PIPE"),AND(UPPER(TRIM(B38))="TRENCH",UPPER(TRIM(AI38))="PIPE")),Inputs!$B$57,0),""))))</f>
        <v/>
      </c>
      <c r="AE38" s="10" t="str">
        <f t="shared" si="8"/>
        <v/>
      </c>
      <c r="AF38" s="10" t="str">
        <f t="shared" si="9"/>
        <v/>
      </c>
      <c r="AG38" s="10" t="str">
        <f t="shared" si="10"/>
        <v/>
      </c>
      <c r="AH38" s="3" t="str">
        <f>IF(A38="","",IF(E38="","TERMINAL",IF(OR(AND(UPPER(TRIM(B38))="SWALE",UPPER(TRIM(AI38))="PIPE"),AND(UPPER(TRIM(B38))="TRENCH",UPPER(TRIM(AI38))="PIPE")),IF(OR(AG38="",AJ38="",AK38=""),"INFO",IF(AND(AG38&gt;=AJ38,AG38&lt;=AK38),"OK","CHECK")),IF(AG38="","INFO",IF(ABS(AG38)&lt;=Inputs!$B$54,"OK","CHECK")))))</f>
        <v/>
      </c>
      <c r="AI38" s="11" t="str">
        <f t="shared" si="11"/>
        <v/>
      </c>
      <c r="AJ38" s="11" t="str">
        <f>IF(A38="","",IF(OR(AND(UPPER(TRIM(B38))="SWALE",UPPER(TRIM(AI38))="PIPE"),AND(UPPER(TRIM(B38))="TRENCH",UPPER(TRIM(AI38))="PIPE")),Inputs!$B$55,0))</f>
        <v/>
      </c>
      <c r="AK38" s="11" t="str">
        <f>IF(A38="","",IF(OR(AND(UPPER(TRIM(B38))="SWALE",UPPER(TRIM(AI38))="PIPE"),AND(UPPER(TRIM(B38))="TRENCH",UPPER(TRIM(AI38))="PIPE")),Inputs!$B$56,Inputs!$B$54))</f>
        <v/>
      </c>
      <c r="AL38" s="3" t="str">
        <f t="shared" si="12"/>
        <v/>
      </c>
    </row>
    <row r="39" spans="1:38" x14ac:dyDescent="0.25">
      <c r="A39" s="3"/>
      <c r="B39" s="3"/>
      <c r="C39" s="3"/>
      <c r="D39" s="3"/>
      <c r="E39" s="3"/>
      <c r="F39" s="8"/>
      <c r="G39" s="8"/>
      <c r="H39" s="8"/>
      <c r="I39" s="10" t="str">
        <f>IF(A39="","",IF(H39&lt;&gt;"",H39,IF(UPPER(TRIM(B39))="PIPE",Inputs!$B$7,IF(UPPER(TRIM(B39))="SWALE",Inputs!$B$8,Inputs!$B$9))))</f>
        <v/>
      </c>
      <c r="J39" s="8"/>
      <c r="K39" s="8"/>
      <c r="L39" s="8"/>
      <c r="M39" s="8"/>
      <c r="N39" s="8">
        <v>0</v>
      </c>
      <c r="O39" s="10" t="str">
        <f>IF(A39="","",SUMIFS(Zones_tributaires!$I:$I,Zones_tributaires!$J:$J,$A39))</f>
        <v/>
      </c>
      <c r="P39" s="10" t="str">
        <f t="shared" si="0"/>
        <v/>
      </c>
      <c r="Q39" s="10" t="str">
        <f>IF(A39="","",(O39+P39)*Inputs!$B$6)</f>
        <v/>
      </c>
      <c r="R39" s="10" t="str">
        <f t="shared" si="1"/>
        <v/>
      </c>
      <c r="S39" s="10" t="str">
        <f t="shared" si="2"/>
        <v/>
      </c>
      <c r="T39" s="10" t="str">
        <f t="shared" si="3"/>
        <v/>
      </c>
      <c r="U39" s="10" t="str">
        <f>IF(OR(T39="",Q39=""),"",Q39/(T39*Inputs!$B$19))</f>
        <v/>
      </c>
      <c r="V39" s="10" t="str">
        <f t="shared" si="4"/>
        <v/>
      </c>
      <c r="W39" s="10" t="str">
        <f t="shared" si="5"/>
        <v/>
      </c>
      <c r="X39" s="10" t="str">
        <f>IF(A39="","",IF(OR(UPPER(TRIM(Inputs!$B$15))="MANNING",UPPER(TRIM(Inputs!$B$15))="M"),W39,IF(OR(UPPER(TRIM(Inputs!$B$15))="MAX",UPPER(TRIM(Inputs!$B$15))="X"),MAX(V39,W39),V39)))</f>
        <v/>
      </c>
      <c r="Y39" s="10" t="str">
        <f t="shared" si="6"/>
        <v/>
      </c>
      <c r="Z39" s="10" t="str">
        <f t="shared" si="7"/>
        <v/>
      </c>
      <c r="AA39" s="3" t="str">
        <f>IF(A39="","",IF(OR(U39&gt;1,AND(X39&lt;&gt;"",X39&lt;Inputs!$B$16),AND(X39&lt;&gt;"",X39&gt;Inputs!$B$17),G39&lt;Inputs!$B$18,AH39="CHECK"),"CHECK","OK"))</f>
        <v/>
      </c>
      <c r="AB39" s="3"/>
      <c r="AC39" s="8"/>
      <c r="AD39" s="10" t="str">
        <f>IF(A39="","",IF(AC39&lt;&gt;"",AC39,IF(E39="",Inputs!$B$38,IFERROR(INDEX($AE$4:$AE$204,MATCH(E39,$A$4:$A$204,0))+IF(OR(AND(UPPER(TRIM(B39))="SWALE",UPPER(TRIM(AI39))="PIPE"),AND(UPPER(TRIM(B39))="TRENCH",UPPER(TRIM(AI39))="PIPE")),Inputs!$B$57,0),""))))</f>
        <v/>
      </c>
      <c r="AE39" s="10" t="str">
        <f t="shared" si="8"/>
        <v/>
      </c>
      <c r="AF39" s="10" t="str">
        <f t="shared" si="9"/>
        <v/>
      </c>
      <c r="AG39" s="10" t="str">
        <f t="shared" si="10"/>
        <v/>
      </c>
      <c r="AH39" s="3" t="str">
        <f>IF(A39="","",IF(E39="","TERMINAL",IF(OR(AND(UPPER(TRIM(B39))="SWALE",UPPER(TRIM(AI39))="PIPE"),AND(UPPER(TRIM(B39))="TRENCH",UPPER(TRIM(AI39))="PIPE")),IF(OR(AG39="",AJ39="",AK39=""),"INFO",IF(AND(AG39&gt;=AJ39,AG39&lt;=AK39),"OK","CHECK")),IF(AG39="","INFO",IF(ABS(AG39)&lt;=Inputs!$B$54,"OK","CHECK")))))</f>
        <v/>
      </c>
      <c r="AI39" s="11" t="str">
        <f t="shared" si="11"/>
        <v/>
      </c>
      <c r="AJ39" s="11" t="str">
        <f>IF(A39="","",IF(OR(AND(UPPER(TRIM(B39))="SWALE",UPPER(TRIM(AI39))="PIPE"),AND(UPPER(TRIM(B39))="TRENCH",UPPER(TRIM(AI39))="PIPE")),Inputs!$B$55,0))</f>
        <v/>
      </c>
      <c r="AK39" s="11" t="str">
        <f>IF(A39="","",IF(OR(AND(UPPER(TRIM(B39))="SWALE",UPPER(TRIM(AI39))="PIPE"),AND(UPPER(TRIM(B39))="TRENCH",UPPER(TRIM(AI39))="PIPE")),Inputs!$B$56,Inputs!$B$54))</f>
        <v/>
      </c>
      <c r="AL39" s="3" t="str">
        <f t="shared" si="12"/>
        <v/>
      </c>
    </row>
    <row r="40" spans="1:38" x14ac:dyDescent="0.25">
      <c r="A40" s="3"/>
      <c r="B40" s="3"/>
      <c r="C40" s="3"/>
      <c r="D40" s="3"/>
      <c r="E40" s="3"/>
      <c r="F40" s="8"/>
      <c r="G40" s="8"/>
      <c r="H40" s="8"/>
      <c r="I40" s="10" t="str">
        <f>IF(A40="","",IF(H40&lt;&gt;"",H40,IF(UPPER(TRIM(B40))="PIPE",Inputs!$B$7,IF(UPPER(TRIM(B40))="SWALE",Inputs!$B$8,Inputs!$B$9))))</f>
        <v/>
      </c>
      <c r="J40" s="8"/>
      <c r="K40" s="8"/>
      <c r="L40" s="8"/>
      <c r="M40" s="8"/>
      <c r="N40" s="8">
        <v>0</v>
      </c>
      <c r="O40" s="10" t="str">
        <f>IF(A40="","",SUMIFS(Zones_tributaires!$I:$I,Zones_tributaires!$J:$J,$A40))</f>
        <v/>
      </c>
      <c r="P40" s="10" t="str">
        <f t="shared" si="0"/>
        <v/>
      </c>
      <c r="Q40" s="10" t="str">
        <f>IF(A40="","",(O40+P40)*Inputs!$B$6)</f>
        <v/>
      </c>
      <c r="R40" s="10" t="str">
        <f t="shared" si="1"/>
        <v/>
      </c>
      <c r="S40" s="10" t="str">
        <f t="shared" si="2"/>
        <v/>
      </c>
      <c r="T40" s="10" t="str">
        <f t="shared" si="3"/>
        <v/>
      </c>
      <c r="U40" s="10" t="str">
        <f>IF(OR(T40="",Q40=""),"",Q40/(T40*Inputs!$B$19))</f>
        <v/>
      </c>
      <c r="V40" s="10" t="str">
        <f t="shared" si="4"/>
        <v/>
      </c>
      <c r="W40" s="10" t="str">
        <f t="shared" si="5"/>
        <v/>
      </c>
      <c r="X40" s="10" t="str">
        <f>IF(A40="","",IF(OR(UPPER(TRIM(Inputs!$B$15))="MANNING",UPPER(TRIM(Inputs!$B$15))="M"),W40,IF(OR(UPPER(TRIM(Inputs!$B$15))="MAX",UPPER(TRIM(Inputs!$B$15))="X"),MAX(V40,W40),V40)))</f>
        <v/>
      </c>
      <c r="Y40" s="10" t="str">
        <f t="shared" si="6"/>
        <v/>
      </c>
      <c r="Z40" s="10" t="str">
        <f t="shared" si="7"/>
        <v/>
      </c>
      <c r="AA40" s="3" t="str">
        <f>IF(A40="","",IF(OR(U40&gt;1,AND(X40&lt;&gt;"",X40&lt;Inputs!$B$16),AND(X40&lt;&gt;"",X40&gt;Inputs!$B$17),G40&lt;Inputs!$B$18,AH40="CHECK"),"CHECK","OK"))</f>
        <v/>
      </c>
      <c r="AB40" s="3"/>
      <c r="AC40" s="8"/>
      <c r="AD40" s="10" t="str">
        <f>IF(A40="","",IF(AC40&lt;&gt;"",AC40,IF(E40="",Inputs!$B$38,IFERROR(INDEX($AE$4:$AE$204,MATCH(E40,$A$4:$A$204,0))+IF(OR(AND(UPPER(TRIM(B40))="SWALE",UPPER(TRIM(AI40))="PIPE"),AND(UPPER(TRIM(B40))="TRENCH",UPPER(TRIM(AI40))="PIPE")),Inputs!$B$57,0),""))))</f>
        <v/>
      </c>
      <c r="AE40" s="10" t="str">
        <f t="shared" si="8"/>
        <v/>
      </c>
      <c r="AF40" s="10" t="str">
        <f t="shared" si="9"/>
        <v/>
      </c>
      <c r="AG40" s="10" t="str">
        <f t="shared" si="10"/>
        <v/>
      </c>
      <c r="AH40" s="3" t="str">
        <f>IF(A40="","",IF(E40="","TERMINAL",IF(OR(AND(UPPER(TRIM(B40))="SWALE",UPPER(TRIM(AI40))="PIPE"),AND(UPPER(TRIM(B40))="TRENCH",UPPER(TRIM(AI40))="PIPE")),IF(OR(AG40="",AJ40="",AK40=""),"INFO",IF(AND(AG40&gt;=AJ40,AG40&lt;=AK40),"OK","CHECK")),IF(AG40="","INFO",IF(ABS(AG40)&lt;=Inputs!$B$54,"OK","CHECK")))))</f>
        <v/>
      </c>
      <c r="AI40" s="11" t="str">
        <f t="shared" si="11"/>
        <v/>
      </c>
      <c r="AJ40" s="11" t="str">
        <f>IF(A40="","",IF(OR(AND(UPPER(TRIM(B40))="SWALE",UPPER(TRIM(AI40))="PIPE"),AND(UPPER(TRIM(B40))="TRENCH",UPPER(TRIM(AI40))="PIPE")),Inputs!$B$55,0))</f>
        <v/>
      </c>
      <c r="AK40" s="11" t="str">
        <f>IF(A40="","",IF(OR(AND(UPPER(TRIM(B40))="SWALE",UPPER(TRIM(AI40))="PIPE"),AND(UPPER(TRIM(B40))="TRENCH",UPPER(TRIM(AI40))="PIPE")),Inputs!$B$56,Inputs!$B$54))</f>
        <v/>
      </c>
      <c r="AL40" s="3" t="str">
        <f t="shared" si="12"/>
        <v/>
      </c>
    </row>
    <row r="41" spans="1:38" x14ac:dyDescent="0.25">
      <c r="A41" s="3"/>
      <c r="B41" s="3"/>
      <c r="C41" s="3"/>
      <c r="D41" s="3"/>
      <c r="E41" s="3"/>
      <c r="F41" s="8"/>
      <c r="G41" s="8"/>
      <c r="H41" s="8"/>
      <c r="I41" s="10" t="str">
        <f>IF(A41="","",IF(H41&lt;&gt;"",H41,IF(UPPER(TRIM(B41))="PIPE",Inputs!$B$7,IF(UPPER(TRIM(B41))="SWALE",Inputs!$B$8,Inputs!$B$9))))</f>
        <v/>
      </c>
      <c r="J41" s="8"/>
      <c r="K41" s="8"/>
      <c r="L41" s="8"/>
      <c r="M41" s="8"/>
      <c r="N41" s="8">
        <v>0</v>
      </c>
      <c r="O41" s="10" t="str">
        <f>IF(A41="","",SUMIFS(Zones_tributaires!$I:$I,Zones_tributaires!$J:$J,$A41))</f>
        <v/>
      </c>
      <c r="P41" s="10" t="str">
        <f t="shared" si="0"/>
        <v/>
      </c>
      <c r="Q41" s="10" t="str">
        <f>IF(A41="","",(O41+P41)*Inputs!$B$6)</f>
        <v/>
      </c>
      <c r="R41" s="10" t="str">
        <f t="shared" si="1"/>
        <v/>
      </c>
      <c r="S41" s="10" t="str">
        <f t="shared" si="2"/>
        <v/>
      </c>
      <c r="T41" s="10" t="str">
        <f t="shared" si="3"/>
        <v/>
      </c>
      <c r="U41" s="10" t="str">
        <f>IF(OR(T41="",Q41=""),"",Q41/(T41*Inputs!$B$19))</f>
        <v/>
      </c>
      <c r="V41" s="10" t="str">
        <f t="shared" si="4"/>
        <v/>
      </c>
      <c r="W41" s="10" t="str">
        <f t="shared" si="5"/>
        <v/>
      </c>
      <c r="X41" s="10" t="str">
        <f>IF(A41="","",IF(OR(UPPER(TRIM(Inputs!$B$15))="MANNING",UPPER(TRIM(Inputs!$B$15))="M"),W41,IF(OR(UPPER(TRIM(Inputs!$B$15))="MAX",UPPER(TRIM(Inputs!$B$15))="X"),MAX(V41,W41),V41)))</f>
        <v/>
      </c>
      <c r="Y41" s="10" t="str">
        <f t="shared" si="6"/>
        <v/>
      </c>
      <c r="Z41" s="10" t="str">
        <f t="shared" si="7"/>
        <v/>
      </c>
      <c r="AA41" s="3" t="str">
        <f>IF(A41="","",IF(OR(U41&gt;1,AND(X41&lt;&gt;"",X41&lt;Inputs!$B$16),AND(X41&lt;&gt;"",X41&gt;Inputs!$B$17),G41&lt;Inputs!$B$18,AH41="CHECK"),"CHECK","OK"))</f>
        <v/>
      </c>
      <c r="AB41" s="3"/>
      <c r="AC41" s="8"/>
      <c r="AD41" s="10" t="str">
        <f>IF(A41="","",IF(AC41&lt;&gt;"",AC41,IF(E41="",Inputs!$B$38,IFERROR(INDEX($AE$4:$AE$204,MATCH(E41,$A$4:$A$204,0))+IF(OR(AND(UPPER(TRIM(B41))="SWALE",UPPER(TRIM(AI41))="PIPE"),AND(UPPER(TRIM(B41))="TRENCH",UPPER(TRIM(AI41))="PIPE")),Inputs!$B$57,0),""))))</f>
        <v/>
      </c>
      <c r="AE41" s="10" t="str">
        <f t="shared" si="8"/>
        <v/>
      </c>
      <c r="AF41" s="10" t="str">
        <f t="shared" si="9"/>
        <v/>
      </c>
      <c r="AG41" s="10" t="str">
        <f t="shared" si="10"/>
        <v/>
      </c>
      <c r="AH41" s="3" t="str">
        <f>IF(A41="","",IF(E41="","TERMINAL",IF(OR(AND(UPPER(TRIM(B41))="SWALE",UPPER(TRIM(AI41))="PIPE"),AND(UPPER(TRIM(B41))="TRENCH",UPPER(TRIM(AI41))="PIPE")),IF(OR(AG41="",AJ41="",AK41=""),"INFO",IF(AND(AG41&gt;=AJ41,AG41&lt;=AK41),"OK","CHECK")),IF(AG41="","INFO",IF(ABS(AG41)&lt;=Inputs!$B$54,"OK","CHECK")))))</f>
        <v/>
      </c>
      <c r="AI41" s="11" t="str">
        <f t="shared" si="11"/>
        <v/>
      </c>
      <c r="AJ41" s="11" t="str">
        <f>IF(A41="","",IF(OR(AND(UPPER(TRIM(B41))="SWALE",UPPER(TRIM(AI41))="PIPE"),AND(UPPER(TRIM(B41))="TRENCH",UPPER(TRIM(AI41))="PIPE")),Inputs!$B$55,0))</f>
        <v/>
      </c>
      <c r="AK41" s="11" t="str">
        <f>IF(A41="","",IF(OR(AND(UPPER(TRIM(B41))="SWALE",UPPER(TRIM(AI41))="PIPE"),AND(UPPER(TRIM(B41))="TRENCH",UPPER(TRIM(AI41))="PIPE")),Inputs!$B$56,Inputs!$B$54))</f>
        <v/>
      </c>
      <c r="AL41" s="3" t="str">
        <f t="shared" si="12"/>
        <v/>
      </c>
    </row>
    <row r="42" spans="1:38" x14ac:dyDescent="0.25">
      <c r="A42" s="3"/>
      <c r="B42" s="3"/>
      <c r="C42" s="3"/>
      <c r="D42" s="3"/>
      <c r="E42" s="3"/>
      <c r="F42" s="8"/>
      <c r="G42" s="8"/>
      <c r="H42" s="8"/>
      <c r="I42" s="10" t="str">
        <f>IF(A42="","",IF(H42&lt;&gt;"",H42,IF(UPPER(TRIM(B42))="PIPE",Inputs!$B$7,IF(UPPER(TRIM(B42))="SWALE",Inputs!$B$8,Inputs!$B$9))))</f>
        <v/>
      </c>
      <c r="J42" s="8"/>
      <c r="K42" s="8"/>
      <c r="L42" s="8"/>
      <c r="M42" s="8"/>
      <c r="N42" s="8">
        <v>0</v>
      </c>
      <c r="O42" s="10" t="str">
        <f>IF(A42="","",SUMIFS(Zones_tributaires!$I:$I,Zones_tributaires!$J:$J,$A42))</f>
        <v/>
      </c>
      <c r="P42" s="10" t="str">
        <f t="shared" si="0"/>
        <v/>
      </c>
      <c r="Q42" s="10" t="str">
        <f>IF(A42="","",(O42+P42)*Inputs!$B$6)</f>
        <v/>
      </c>
      <c r="R42" s="10" t="str">
        <f t="shared" si="1"/>
        <v/>
      </c>
      <c r="S42" s="10" t="str">
        <f t="shared" si="2"/>
        <v/>
      </c>
      <c r="T42" s="10" t="str">
        <f t="shared" si="3"/>
        <v/>
      </c>
      <c r="U42" s="10" t="str">
        <f>IF(OR(T42="",Q42=""),"",Q42/(T42*Inputs!$B$19))</f>
        <v/>
      </c>
      <c r="V42" s="10" t="str">
        <f t="shared" si="4"/>
        <v/>
      </c>
      <c r="W42" s="10" t="str">
        <f t="shared" si="5"/>
        <v/>
      </c>
      <c r="X42" s="10" t="str">
        <f>IF(A42="","",IF(OR(UPPER(TRIM(Inputs!$B$15))="MANNING",UPPER(TRIM(Inputs!$B$15))="M"),W42,IF(OR(UPPER(TRIM(Inputs!$B$15))="MAX",UPPER(TRIM(Inputs!$B$15))="X"),MAX(V42,W42),V42)))</f>
        <v/>
      </c>
      <c r="Y42" s="10" t="str">
        <f t="shared" si="6"/>
        <v/>
      </c>
      <c r="Z42" s="10" t="str">
        <f t="shared" si="7"/>
        <v/>
      </c>
      <c r="AA42" s="3" t="str">
        <f>IF(A42="","",IF(OR(U42&gt;1,AND(X42&lt;&gt;"",X42&lt;Inputs!$B$16),AND(X42&lt;&gt;"",X42&gt;Inputs!$B$17),G42&lt;Inputs!$B$18,AH42="CHECK"),"CHECK","OK"))</f>
        <v/>
      </c>
      <c r="AB42" s="3"/>
      <c r="AC42" s="8"/>
      <c r="AD42" s="10" t="str">
        <f>IF(A42="","",IF(AC42&lt;&gt;"",AC42,IF(E42="",Inputs!$B$38,IFERROR(INDEX($AE$4:$AE$204,MATCH(E42,$A$4:$A$204,0))+IF(OR(AND(UPPER(TRIM(B42))="SWALE",UPPER(TRIM(AI42))="PIPE"),AND(UPPER(TRIM(B42))="TRENCH",UPPER(TRIM(AI42))="PIPE")),Inputs!$B$57,0),""))))</f>
        <v/>
      </c>
      <c r="AE42" s="10" t="str">
        <f t="shared" si="8"/>
        <v/>
      </c>
      <c r="AF42" s="10" t="str">
        <f t="shared" si="9"/>
        <v/>
      </c>
      <c r="AG42" s="10" t="str">
        <f t="shared" si="10"/>
        <v/>
      </c>
      <c r="AH42" s="3" t="str">
        <f>IF(A42="","",IF(E42="","TERMINAL",IF(OR(AND(UPPER(TRIM(B42))="SWALE",UPPER(TRIM(AI42))="PIPE"),AND(UPPER(TRIM(B42))="TRENCH",UPPER(TRIM(AI42))="PIPE")),IF(OR(AG42="",AJ42="",AK42=""),"INFO",IF(AND(AG42&gt;=AJ42,AG42&lt;=AK42),"OK","CHECK")),IF(AG42="","INFO",IF(ABS(AG42)&lt;=Inputs!$B$54,"OK","CHECK")))))</f>
        <v/>
      </c>
      <c r="AI42" s="11" t="str">
        <f t="shared" si="11"/>
        <v/>
      </c>
      <c r="AJ42" s="11" t="str">
        <f>IF(A42="","",IF(OR(AND(UPPER(TRIM(B42))="SWALE",UPPER(TRIM(AI42))="PIPE"),AND(UPPER(TRIM(B42))="TRENCH",UPPER(TRIM(AI42))="PIPE")),Inputs!$B$55,0))</f>
        <v/>
      </c>
      <c r="AK42" s="11" t="str">
        <f>IF(A42="","",IF(OR(AND(UPPER(TRIM(B42))="SWALE",UPPER(TRIM(AI42))="PIPE"),AND(UPPER(TRIM(B42))="TRENCH",UPPER(TRIM(AI42))="PIPE")),Inputs!$B$56,Inputs!$B$54))</f>
        <v/>
      </c>
      <c r="AL42" s="3" t="str">
        <f t="shared" si="12"/>
        <v/>
      </c>
    </row>
    <row r="43" spans="1:38" x14ac:dyDescent="0.25">
      <c r="A43" s="3"/>
      <c r="B43" s="3"/>
      <c r="C43" s="3"/>
      <c r="D43" s="3"/>
      <c r="E43" s="3"/>
      <c r="F43" s="8"/>
      <c r="G43" s="8"/>
      <c r="H43" s="8"/>
      <c r="I43" s="10" t="str">
        <f>IF(A43="","",IF(H43&lt;&gt;"",H43,IF(UPPER(TRIM(B43))="PIPE",Inputs!$B$7,IF(UPPER(TRIM(B43))="SWALE",Inputs!$B$8,Inputs!$B$9))))</f>
        <v/>
      </c>
      <c r="J43" s="8"/>
      <c r="K43" s="8"/>
      <c r="L43" s="8"/>
      <c r="M43" s="8"/>
      <c r="N43" s="8">
        <v>0</v>
      </c>
      <c r="O43" s="10" t="str">
        <f>IF(A43="","",SUMIFS(Zones_tributaires!$I:$I,Zones_tributaires!$J:$J,$A43))</f>
        <v/>
      </c>
      <c r="P43" s="10" t="str">
        <f t="shared" si="0"/>
        <v/>
      </c>
      <c r="Q43" s="10" t="str">
        <f>IF(A43="","",(O43+P43)*Inputs!$B$6)</f>
        <v/>
      </c>
      <c r="R43" s="10" t="str">
        <f t="shared" si="1"/>
        <v/>
      </c>
      <c r="S43" s="10" t="str">
        <f t="shared" si="2"/>
        <v/>
      </c>
      <c r="T43" s="10" t="str">
        <f t="shared" si="3"/>
        <v/>
      </c>
      <c r="U43" s="10" t="str">
        <f>IF(OR(T43="",Q43=""),"",Q43/(T43*Inputs!$B$19))</f>
        <v/>
      </c>
      <c r="V43" s="10" t="str">
        <f t="shared" si="4"/>
        <v/>
      </c>
      <c r="W43" s="10" t="str">
        <f t="shared" si="5"/>
        <v/>
      </c>
      <c r="X43" s="10" t="str">
        <f>IF(A43="","",IF(OR(UPPER(TRIM(Inputs!$B$15))="MANNING",UPPER(TRIM(Inputs!$B$15))="M"),W43,IF(OR(UPPER(TRIM(Inputs!$B$15))="MAX",UPPER(TRIM(Inputs!$B$15))="X"),MAX(V43,W43),V43)))</f>
        <v/>
      </c>
      <c r="Y43" s="10" t="str">
        <f t="shared" si="6"/>
        <v/>
      </c>
      <c r="Z43" s="10" t="str">
        <f t="shared" si="7"/>
        <v/>
      </c>
      <c r="AA43" s="3" t="str">
        <f>IF(A43="","",IF(OR(U43&gt;1,AND(X43&lt;&gt;"",X43&lt;Inputs!$B$16),AND(X43&lt;&gt;"",X43&gt;Inputs!$B$17),G43&lt;Inputs!$B$18,AH43="CHECK"),"CHECK","OK"))</f>
        <v/>
      </c>
      <c r="AB43" s="3"/>
      <c r="AC43" s="8"/>
      <c r="AD43" s="10" t="str">
        <f>IF(A43="","",IF(AC43&lt;&gt;"",AC43,IF(E43="",Inputs!$B$38,IFERROR(INDEX($AE$4:$AE$204,MATCH(E43,$A$4:$A$204,0))+IF(OR(AND(UPPER(TRIM(B43))="SWALE",UPPER(TRIM(AI43))="PIPE"),AND(UPPER(TRIM(B43))="TRENCH",UPPER(TRIM(AI43))="PIPE")),Inputs!$B$57,0),""))))</f>
        <v/>
      </c>
      <c r="AE43" s="10" t="str">
        <f t="shared" si="8"/>
        <v/>
      </c>
      <c r="AF43" s="10" t="str">
        <f t="shared" si="9"/>
        <v/>
      </c>
      <c r="AG43" s="10" t="str">
        <f t="shared" si="10"/>
        <v/>
      </c>
      <c r="AH43" s="3" t="str">
        <f>IF(A43="","",IF(E43="","TERMINAL",IF(OR(AND(UPPER(TRIM(B43))="SWALE",UPPER(TRIM(AI43))="PIPE"),AND(UPPER(TRIM(B43))="TRENCH",UPPER(TRIM(AI43))="PIPE")),IF(OR(AG43="",AJ43="",AK43=""),"INFO",IF(AND(AG43&gt;=AJ43,AG43&lt;=AK43),"OK","CHECK")),IF(AG43="","INFO",IF(ABS(AG43)&lt;=Inputs!$B$54,"OK","CHECK")))))</f>
        <v/>
      </c>
      <c r="AI43" s="11" t="str">
        <f t="shared" si="11"/>
        <v/>
      </c>
      <c r="AJ43" s="11" t="str">
        <f>IF(A43="","",IF(OR(AND(UPPER(TRIM(B43))="SWALE",UPPER(TRIM(AI43))="PIPE"),AND(UPPER(TRIM(B43))="TRENCH",UPPER(TRIM(AI43))="PIPE")),Inputs!$B$55,0))</f>
        <v/>
      </c>
      <c r="AK43" s="11" t="str">
        <f>IF(A43="","",IF(OR(AND(UPPER(TRIM(B43))="SWALE",UPPER(TRIM(AI43))="PIPE"),AND(UPPER(TRIM(B43))="TRENCH",UPPER(TRIM(AI43))="PIPE")),Inputs!$B$56,Inputs!$B$54))</f>
        <v/>
      </c>
      <c r="AL43" s="3" t="str">
        <f t="shared" si="12"/>
        <v/>
      </c>
    </row>
    <row r="44" spans="1:38" x14ac:dyDescent="0.25">
      <c r="A44" s="3"/>
      <c r="B44" s="3"/>
      <c r="C44" s="3"/>
      <c r="D44" s="3"/>
      <c r="E44" s="3"/>
      <c r="F44" s="8"/>
      <c r="G44" s="8"/>
      <c r="H44" s="8"/>
      <c r="I44" s="10" t="str">
        <f>IF(A44="","",IF(H44&lt;&gt;"",H44,IF(UPPER(TRIM(B44))="PIPE",Inputs!$B$7,IF(UPPER(TRIM(B44))="SWALE",Inputs!$B$8,Inputs!$B$9))))</f>
        <v/>
      </c>
      <c r="J44" s="8"/>
      <c r="K44" s="8"/>
      <c r="L44" s="8"/>
      <c r="M44" s="8"/>
      <c r="N44" s="8">
        <v>0</v>
      </c>
      <c r="O44" s="10" t="str">
        <f>IF(A44="","",SUMIFS(Zones_tributaires!$I:$I,Zones_tributaires!$J:$J,$A44))</f>
        <v/>
      </c>
      <c r="P44" s="10" t="str">
        <f t="shared" si="0"/>
        <v/>
      </c>
      <c r="Q44" s="10" t="str">
        <f>IF(A44="","",(O44+P44)*Inputs!$B$6)</f>
        <v/>
      </c>
      <c r="R44" s="10" t="str">
        <f t="shared" si="1"/>
        <v/>
      </c>
      <c r="S44" s="10" t="str">
        <f t="shared" si="2"/>
        <v/>
      </c>
      <c r="T44" s="10" t="str">
        <f t="shared" si="3"/>
        <v/>
      </c>
      <c r="U44" s="10" t="str">
        <f>IF(OR(T44="",Q44=""),"",Q44/(T44*Inputs!$B$19))</f>
        <v/>
      </c>
      <c r="V44" s="10" t="str">
        <f t="shared" si="4"/>
        <v/>
      </c>
      <c r="W44" s="10" t="str">
        <f t="shared" si="5"/>
        <v/>
      </c>
      <c r="X44" s="10" t="str">
        <f>IF(A44="","",IF(OR(UPPER(TRIM(Inputs!$B$15))="MANNING",UPPER(TRIM(Inputs!$B$15))="M"),W44,IF(OR(UPPER(TRIM(Inputs!$B$15))="MAX",UPPER(TRIM(Inputs!$B$15))="X"),MAX(V44,W44),V44)))</f>
        <v/>
      </c>
      <c r="Y44" s="10" t="str">
        <f t="shared" si="6"/>
        <v/>
      </c>
      <c r="Z44" s="10" t="str">
        <f t="shared" si="7"/>
        <v/>
      </c>
      <c r="AA44" s="3" t="str">
        <f>IF(A44="","",IF(OR(U44&gt;1,AND(X44&lt;&gt;"",X44&lt;Inputs!$B$16),AND(X44&lt;&gt;"",X44&gt;Inputs!$B$17),G44&lt;Inputs!$B$18,AH44="CHECK"),"CHECK","OK"))</f>
        <v/>
      </c>
      <c r="AB44" s="3"/>
      <c r="AC44" s="8"/>
      <c r="AD44" s="10" t="str">
        <f>IF(A44="","",IF(AC44&lt;&gt;"",AC44,IF(E44="",Inputs!$B$38,IFERROR(INDEX($AE$4:$AE$204,MATCH(E44,$A$4:$A$204,0))+IF(OR(AND(UPPER(TRIM(B44))="SWALE",UPPER(TRIM(AI44))="PIPE"),AND(UPPER(TRIM(B44))="TRENCH",UPPER(TRIM(AI44))="PIPE")),Inputs!$B$57,0),""))))</f>
        <v/>
      </c>
      <c r="AE44" s="10" t="str">
        <f t="shared" si="8"/>
        <v/>
      </c>
      <c r="AF44" s="10" t="str">
        <f t="shared" si="9"/>
        <v/>
      </c>
      <c r="AG44" s="10" t="str">
        <f t="shared" si="10"/>
        <v/>
      </c>
      <c r="AH44" s="3" t="str">
        <f>IF(A44="","",IF(E44="","TERMINAL",IF(OR(AND(UPPER(TRIM(B44))="SWALE",UPPER(TRIM(AI44))="PIPE"),AND(UPPER(TRIM(B44))="TRENCH",UPPER(TRIM(AI44))="PIPE")),IF(OR(AG44="",AJ44="",AK44=""),"INFO",IF(AND(AG44&gt;=AJ44,AG44&lt;=AK44),"OK","CHECK")),IF(AG44="","INFO",IF(ABS(AG44)&lt;=Inputs!$B$54,"OK","CHECK")))))</f>
        <v/>
      </c>
      <c r="AI44" s="11" t="str">
        <f t="shared" si="11"/>
        <v/>
      </c>
      <c r="AJ44" s="11" t="str">
        <f>IF(A44="","",IF(OR(AND(UPPER(TRIM(B44))="SWALE",UPPER(TRIM(AI44))="PIPE"),AND(UPPER(TRIM(B44))="TRENCH",UPPER(TRIM(AI44))="PIPE")),Inputs!$B$55,0))</f>
        <v/>
      </c>
      <c r="AK44" s="11" t="str">
        <f>IF(A44="","",IF(OR(AND(UPPER(TRIM(B44))="SWALE",UPPER(TRIM(AI44))="PIPE"),AND(UPPER(TRIM(B44))="TRENCH",UPPER(TRIM(AI44))="PIPE")),Inputs!$B$56,Inputs!$B$54))</f>
        <v/>
      </c>
      <c r="AL44" s="3" t="str">
        <f t="shared" si="12"/>
        <v/>
      </c>
    </row>
    <row r="45" spans="1:38" x14ac:dyDescent="0.25">
      <c r="A45" s="3"/>
      <c r="B45" s="3"/>
      <c r="C45" s="3"/>
      <c r="D45" s="3"/>
      <c r="E45" s="3"/>
      <c r="F45" s="8"/>
      <c r="G45" s="8"/>
      <c r="H45" s="8"/>
      <c r="I45" s="10" t="str">
        <f>IF(A45="","",IF(H45&lt;&gt;"",H45,IF(UPPER(TRIM(B45))="PIPE",Inputs!$B$7,IF(UPPER(TRIM(B45))="SWALE",Inputs!$B$8,Inputs!$B$9))))</f>
        <v/>
      </c>
      <c r="J45" s="8"/>
      <c r="K45" s="8"/>
      <c r="L45" s="8"/>
      <c r="M45" s="8"/>
      <c r="N45" s="8">
        <v>0</v>
      </c>
      <c r="O45" s="10" t="str">
        <f>IF(A45="","",SUMIFS(Zones_tributaires!$I:$I,Zones_tributaires!$J:$J,$A45))</f>
        <v/>
      </c>
      <c r="P45" s="10" t="str">
        <f t="shared" si="0"/>
        <v/>
      </c>
      <c r="Q45" s="10" t="str">
        <f>IF(A45="","",(O45+P45)*Inputs!$B$6)</f>
        <v/>
      </c>
      <c r="R45" s="10" t="str">
        <f t="shared" si="1"/>
        <v/>
      </c>
      <c r="S45" s="10" t="str">
        <f t="shared" si="2"/>
        <v/>
      </c>
      <c r="T45" s="10" t="str">
        <f t="shared" si="3"/>
        <v/>
      </c>
      <c r="U45" s="10" t="str">
        <f>IF(OR(T45="",Q45=""),"",Q45/(T45*Inputs!$B$19))</f>
        <v/>
      </c>
      <c r="V45" s="10" t="str">
        <f t="shared" si="4"/>
        <v/>
      </c>
      <c r="W45" s="10" t="str">
        <f t="shared" si="5"/>
        <v/>
      </c>
      <c r="X45" s="10" t="str">
        <f>IF(A45="","",IF(OR(UPPER(TRIM(Inputs!$B$15))="MANNING",UPPER(TRIM(Inputs!$B$15))="M"),W45,IF(OR(UPPER(TRIM(Inputs!$B$15))="MAX",UPPER(TRIM(Inputs!$B$15))="X"),MAX(V45,W45),V45)))</f>
        <v/>
      </c>
      <c r="Y45" s="10" t="str">
        <f t="shared" si="6"/>
        <v/>
      </c>
      <c r="Z45" s="10" t="str">
        <f t="shared" si="7"/>
        <v/>
      </c>
      <c r="AA45" s="3" t="str">
        <f>IF(A45="","",IF(OR(U45&gt;1,AND(X45&lt;&gt;"",X45&lt;Inputs!$B$16),AND(X45&lt;&gt;"",X45&gt;Inputs!$B$17),G45&lt;Inputs!$B$18,AH45="CHECK"),"CHECK","OK"))</f>
        <v/>
      </c>
      <c r="AB45" s="3"/>
      <c r="AC45" s="8"/>
      <c r="AD45" s="10" t="str">
        <f>IF(A45="","",IF(AC45&lt;&gt;"",AC45,IF(E45="",Inputs!$B$38,IFERROR(INDEX($AE$4:$AE$204,MATCH(E45,$A$4:$A$204,0))+IF(OR(AND(UPPER(TRIM(B45))="SWALE",UPPER(TRIM(AI45))="PIPE"),AND(UPPER(TRIM(B45))="TRENCH",UPPER(TRIM(AI45))="PIPE")),Inputs!$B$57,0),""))))</f>
        <v/>
      </c>
      <c r="AE45" s="10" t="str">
        <f t="shared" si="8"/>
        <v/>
      </c>
      <c r="AF45" s="10" t="str">
        <f t="shared" si="9"/>
        <v/>
      </c>
      <c r="AG45" s="10" t="str">
        <f t="shared" si="10"/>
        <v/>
      </c>
      <c r="AH45" s="3" t="str">
        <f>IF(A45="","",IF(E45="","TERMINAL",IF(OR(AND(UPPER(TRIM(B45))="SWALE",UPPER(TRIM(AI45))="PIPE"),AND(UPPER(TRIM(B45))="TRENCH",UPPER(TRIM(AI45))="PIPE")),IF(OR(AG45="",AJ45="",AK45=""),"INFO",IF(AND(AG45&gt;=AJ45,AG45&lt;=AK45),"OK","CHECK")),IF(AG45="","INFO",IF(ABS(AG45)&lt;=Inputs!$B$54,"OK","CHECK")))))</f>
        <v/>
      </c>
      <c r="AI45" s="11" t="str">
        <f t="shared" si="11"/>
        <v/>
      </c>
      <c r="AJ45" s="11" t="str">
        <f>IF(A45="","",IF(OR(AND(UPPER(TRIM(B45))="SWALE",UPPER(TRIM(AI45))="PIPE"),AND(UPPER(TRIM(B45))="TRENCH",UPPER(TRIM(AI45))="PIPE")),Inputs!$B$55,0))</f>
        <v/>
      </c>
      <c r="AK45" s="11" t="str">
        <f>IF(A45="","",IF(OR(AND(UPPER(TRIM(B45))="SWALE",UPPER(TRIM(AI45))="PIPE"),AND(UPPER(TRIM(B45))="TRENCH",UPPER(TRIM(AI45))="PIPE")),Inputs!$B$56,Inputs!$B$54))</f>
        <v/>
      </c>
      <c r="AL45" s="3" t="str">
        <f t="shared" si="12"/>
        <v/>
      </c>
    </row>
    <row r="46" spans="1:38" x14ac:dyDescent="0.25">
      <c r="A46" s="3"/>
      <c r="B46" s="3"/>
      <c r="C46" s="3"/>
      <c r="D46" s="3"/>
      <c r="E46" s="3"/>
      <c r="F46" s="8"/>
      <c r="G46" s="8"/>
      <c r="H46" s="8"/>
      <c r="I46" s="10" t="str">
        <f>IF(A46="","",IF(H46&lt;&gt;"",H46,IF(UPPER(TRIM(B46))="PIPE",Inputs!$B$7,IF(UPPER(TRIM(B46))="SWALE",Inputs!$B$8,Inputs!$B$9))))</f>
        <v/>
      </c>
      <c r="J46" s="8"/>
      <c r="K46" s="8"/>
      <c r="L46" s="8"/>
      <c r="M46" s="8"/>
      <c r="N46" s="8">
        <v>0</v>
      </c>
      <c r="O46" s="10" t="str">
        <f>IF(A46="","",SUMIFS(Zones_tributaires!$I:$I,Zones_tributaires!$J:$J,$A46))</f>
        <v/>
      </c>
      <c r="P46" s="10" t="str">
        <f t="shared" si="0"/>
        <v/>
      </c>
      <c r="Q46" s="10" t="str">
        <f>IF(A46="","",(O46+P46)*Inputs!$B$6)</f>
        <v/>
      </c>
      <c r="R46" s="10" t="str">
        <f t="shared" si="1"/>
        <v/>
      </c>
      <c r="S46" s="10" t="str">
        <f t="shared" si="2"/>
        <v/>
      </c>
      <c r="T46" s="10" t="str">
        <f t="shared" si="3"/>
        <v/>
      </c>
      <c r="U46" s="10" t="str">
        <f>IF(OR(T46="",Q46=""),"",Q46/(T46*Inputs!$B$19))</f>
        <v/>
      </c>
      <c r="V46" s="10" t="str">
        <f t="shared" si="4"/>
        <v/>
      </c>
      <c r="W46" s="10" t="str">
        <f t="shared" si="5"/>
        <v/>
      </c>
      <c r="X46" s="10" t="str">
        <f>IF(A46="","",IF(OR(UPPER(TRIM(Inputs!$B$15))="MANNING",UPPER(TRIM(Inputs!$B$15))="M"),W46,IF(OR(UPPER(TRIM(Inputs!$B$15))="MAX",UPPER(TRIM(Inputs!$B$15))="X"),MAX(V46,W46),V46)))</f>
        <v/>
      </c>
      <c r="Y46" s="10" t="str">
        <f t="shared" si="6"/>
        <v/>
      </c>
      <c r="Z46" s="10" t="str">
        <f t="shared" si="7"/>
        <v/>
      </c>
      <c r="AA46" s="3" t="str">
        <f>IF(A46="","",IF(OR(U46&gt;1,AND(X46&lt;&gt;"",X46&lt;Inputs!$B$16),AND(X46&lt;&gt;"",X46&gt;Inputs!$B$17),G46&lt;Inputs!$B$18,AH46="CHECK"),"CHECK","OK"))</f>
        <v/>
      </c>
      <c r="AB46" s="3"/>
      <c r="AC46" s="8"/>
      <c r="AD46" s="10" t="str">
        <f>IF(A46="","",IF(AC46&lt;&gt;"",AC46,IF(E46="",Inputs!$B$38,IFERROR(INDEX($AE$4:$AE$204,MATCH(E46,$A$4:$A$204,0))+IF(OR(AND(UPPER(TRIM(B46))="SWALE",UPPER(TRIM(AI46))="PIPE"),AND(UPPER(TRIM(B46))="TRENCH",UPPER(TRIM(AI46))="PIPE")),Inputs!$B$57,0),""))))</f>
        <v/>
      </c>
      <c r="AE46" s="10" t="str">
        <f t="shared" si="8"/>
        <v/>
      </c>
      <c r="AF46" s="10" t="str">
        <f t="shared" si="9"/>
        <v/>
      </c>
      <c r="AG46" s="10" t="str">
        <f t="shared" si="10"/>
        <v/>
      </c>
      <c r="AH46" s="3" t="str">
        <f>IF(A46="","",IF(E46="","TERMINAL",IF(OR(AND(UPPER(TRIM(B46))="SWALE",UPPER(TRIM(AI46))="PIPE"),AND(UPPER(TRIM(B46))="TRENCH",UPPER(TRIM(AI46))="PIPE")),IF(OR(AG46="",AJ46="",AK46=""),"INFO",IF(AND(AG46&gt;=AJ46,AG46&lt;=AK46),"OK","CHECK")),IF(AG46="","INFO",IF(ABS(AG46)&lt;=Inputs!$B$54,"OK","CHECK")))))</f>
        <v/>
      </c>
      <c r="AI46" s="11" t="str">
        <f t="shared" si="11"/>
        <v/>
      </c>
      <c r="AJ46" s="11" t="str">
        <f>IF(A46="","",IF(OR(AND(UPPER(TRIM(B46))="SWALE",UPPER(TRIM(AI46))="PIPE"),AND(UPPER(TRIM(B46))="TRENCH",UPPER(TRIM(AI46))="PIPE")),Inputs!$B$55,0))</f>
        <v/>
      </c>
      <c r="AK46" s="11" t="str">
        <f>IF(A46="","",IF(OR(AND(UPPER(TRIM(B46))="SWALE",UPPER(TRIM(AI46))="PIPE"),AND(UPPER(TRIM(B46))="TRENCH",UPPER(TRIM(AI46))="PIPE")),Inputs!$B$56,Inputs!$B$54))</f>
        <v/>
      </c>
      <c r="AL46" s="3" t="str">
        <f t="shared" si="12"/>
        <v/>
      </c>
    </row>
    <row r="47" spans="1:38" x14ac:dyDescent="0.25">
      <c r="A47" s="3"/>
      <c r="B47" s="3"/>
      <c r="C47" s="3"/>
      <c r="D47" s="3"/>
      <c r="E47" s="3"/>
      <c r="F47" s="8"/>
      <c r="G47" s="8"/>
      <c r="H47" s="8"/>
      <c r="I47" s="10" t="str">
        <f>IF(A47="","",IF(H47&lt;&gt;"",H47,IF(UPPER(TRIM(B47))="PIPE",Inputs!$B$7,IF(UPPER(TRIM(B47))="SWALE",Inputs!$B$8,Inputs!$B$9))))</f>
        <v/>
      </c>
      <c r="J47" s="8"/>
      <c r="K47" s="8"/>
      <c r="L47" s="8"/>
      <c r="M47" s="8"/>
      <c r="N47" s="8">
        <v>0</v>
      </c>
      <c r="O47" s="10" t="str">
        <f>IF(A47="","",SUMIFS(Zones_tributaires!$I:$I,Zones_tributaires!$J:$J,$A47))</f>
        <v/>
      </c>
      <c r="P47" s="10" t="str">
        <f t="shared" si="0"/>
        <v/>
      </c>
      <c r="Q47" s="10" t="str">
        <f>IF(A47="","",(O47+P47)*Inputs!$B$6)</f>
        <v/>
      </c>
      <c r="R47" s="10" t="str">
        <f t="shared" si="1"/>
        <v/>
      </c>
      <c r="S47" s="10" t="str">
        <f t="shared" si="2"/>
        <v/>
      </c>
      <c r="T47" s="10" t="str">
        <f t="shared" si="3"/>
        <v/>
      </c>
      <c r="U47" s="10" t="str">
        <f>IF(OR(T47="",Q47=""),"",Q47/(T47*Inputs!$B$19))</f>
        <v/>
      </c>
      <c r="V47" s="10" t="str">
        <f t="shared" si="4"/>
        <v/>
      </c>
      <c r="W47" s="10" t="str">
        <f t="shared" si="5"/>
        <v/>
      </c>
      <c r="X47" s="10" t="str">
        <f>IF(A47="","",IF(OR(UPPER(TRIM(Inputs!$B$15))="MANNING",UPPER(TRIM(Inputs!$B$15))="M"),W47,IF(OR(UPPER(TRIM(Inputs!$B$15))="MAX",UPPER(TRIM(Inputs!$B$15))="X"),MAX(V47,W47),V47)))</f>
        <v/>
      </c>
      <c r="Y47" s="10" t="str">
        <f t="shared" si="6"/>
        <v/>
      </c>
      <c r="Z47" s="10" t="str">
        <f t="shared" si="7"/>
        <v/>
      </c>
      <c r="AA47" s="3" t="str">
        <f>IF(A47="","",IF(OR(U47&gt;1,AND(X47&lt;&gt;"",X47&lt;Inputs!$B$16),AND(X47&lt;&gt;"",X47&gt;Inputs!$B$17),G47&lt;Inputs!$B$18,AH47="CHECK"),"CHECK","OK"))</f>
        <v/>
      </c>
      <c r="AB47" s="3"/>
      <c r="AC47" s="8"/>
      <c r="AD47" s="10" t="str">
        <f>IF(A47="","",IF(AC47&lt;&gt;"",AC47,IF(E47="",Inputs!$B$38,IFERROR(INDEX($AE$4:$AE$204,MATCH(E47,$A$4:$A$204,0))+IF(OR(AND(UPPER(TRIM(B47))="SWALE",UPPER(TRIM(AI47))="PIPE"),AND(UPPER(TRIM(B47))="TRENCH",UPPER(TRIM(AI47))="PIPE")),Inputs!$B$57,0),""))))</f>
        <v/>
      </c>
      <c r="AE47" s="10" t="str">
        <f t="shared" si="8"/>
        <v/>
      </c>
      <c r="AF47" s="10" t="str">
        <f t="shared" si="9"/>
        <v/>
      </c>
      <c r="AG47" s="10" t="str">
        <f t="shared" si="10"/>
        <v/>
      </c>
      <c r="AH47" s="3" t="str">
        <f>IF(A47="","",IF(E47="","TERMINAL",IF(OR(AND(UPPER(TRIM(B47))="SWALE",UPPER(TRIM(AI47))="PIPE"),AND(UPPER(TRIM(B47))="TRENCH",UPPER(TRIM(AI47))="PIPE")),IF(OR(AG47="",AJ47="",AK47=""),"INFO",IF(AND(AG47&gt;=AJ47,AG47&lt;=AK47),"OK","CHECK")),IF(AG47="","INFO",IF(ABS(AG47)&lt;=Inputs!$B$54,"OK","CHECK")))))</f>
        <v/>
      </c>
      <c r="AI47" s="11" t="str">
        <f t="shared" si="11"/>
        <v/>
      </c>
      <c r="AJ47" s="11" t="str">
        <f>IF(A47="","",IF(OR(AND(UPPER(TRIM(B47))="SWALE",UPPER(TRIM(AI47))="PIPE"),AND(UPPER(TRIM(B47))="TRENCH",UPPER(TRIM(AI47))="PIPE")),Inputs!$B$55,0))</f>
        <v/>
      </c>
      <c r="AK47" s="11" t="str">
        <f>IF(A47="","",IF(OR(AND(UPPER(TRIM(B47))="SWALE",UPPER(TRIM(AI47))="PIPE"),AND(UPPER(TRIM(B47))="TRENCH",UPPER(TRIM(AI47))="PIPE")),Inputs!$B$56,Inputs!$B$54))</f>
        <v/>
      </c>
      <c r="AL47" s="3" t="str">
        <f t="shared" si="12"/>
        <v/>
      </c>
    </row>
    <row r="48" spans="1:38" x14ac:dyDescent="0.25">
      <c r="A48" s="3"/>
      <c r="B48" s="3"/>
      <c r="C48" s="3"/>
      <c r="D48" s="3"/>
      <c r="E48" s="3"/>
      <c r="F48" s="8"/>
      <c r="G48" s="8"/>
      <c r="H48" s="8"/>
      <c r="I48" s="10" t="str">
        <f>IF(A48="","",IF(H48&lt;&gt;"",H48,IF(UPPER(TRIM(B48))="PIPE",Inputs!$B$7,IF(UPPER(TRIM(B48))="SWALE",Inputs!$B$8,Inputs!$B$9))))</f>
        <v/>
      </c>
      <c r="J48" s="8"/>
      <c r="K48" s="8"/>
      <c r="L48" s="8"/>
      <c r="M48" s="8"/>
      <c r="N48" s="8">
        <v>0</v>
      </c>
      <c r="O48" s="10" t="str">
        <f>IF(A48="","",SUMIFS(Zones_tributaires!$I:$I,Zones_tributaires!$J:$J,$A48))</f>
        <v/>
      </c>
      <c r="P48" s="10" t="str">
        <f t="shared" si="0"/>
        <v/>
      </c>
      <c r="Q48" s="10" t="str">
        <f>IF(A48="","",(O48+P48)*Inputs!$B$6)</f>
        <v/>
      </c>
      <c r="R48" s="10" t="str">
        <f t="shared" si="1"/>
        <v/>
      </c>
      <c r="S48" s="10" t="str">
        <f t="shared" si="2"/>
        <v/>
      </c>
      <c r="T48" s="10" t="str">
        <f t="shared" si="3"/>
        <v/>
      </c>
      <c r="U48" s="10" t="str">
        <f>IF(OR(T48="",Q48=""),"",Q48/(T48*Inputs!$B$19))</f>
        <v/>
      </c>
      <c r="V48" s="10" t="str">
        <f t="shared" si="4"/>
        <v/>
      </c>
      <c r="W48" s="10" t="str">
        <f t="shared" si="5"/>
        <v/>
      </c>
      <c r="X48" s="10" t="str">
        <f>IF(A48="","",IF(OR(UPPER(TRIM(Inputs!$B$15))="MANNING",UPPER(TRIM(Inputs!$B$15))="M"),W48,IF(OR(UPPER(TRIM(Inputs!$B$15))="MAX",UPPER(TRIM(Inputs!$B$15))="X"),MAX(V48,W48),V48)))</f>
        <v/>
      </c>
      <c r="Y48" s="10" t="str">
        <f t="shared" si="6"/>
        <v/>
      </c>
      <c r="Z48" s="10" t="str">
        <f t="shared" si="7"/>
        <v/>
      </c>
      <c r="AA48" s="3" t="str">
        <f>IF(A48="","",IF(OR(U48&gt;1,AND(X48&lt;&gt;"",X48&lt;Inputs!$B$16),AND(X48&lt;&gt;"",X48&gt;Inputs!$B$17),G48&lt;Inputs!$B$18,AH48="CHECK"),"CHECK","OK"))</f>
        <v/>
      </c>
      <c r="AB48" s="3"/>
      <c r="AC48" s="8"/>
      <c r="AD48" s="10" t="str">
        <f>IF(A48="","",IF(AC48&lt;&gt;"",AC48,IF(E48="",Inputs!$B$38,IFERROR(INDEX($AE$4:$AE$204,MATCH(E48,$A$4:$A$204,0))+IF(OR(AND(UPPER(TRIM(B48))="SWALE",UPPER(TRIM(AI48))="PIPE"),AND(UPPER(TRIM(B48))="TRENCH",UPPER(TRIM(AI48))="PIPE")),Inputs!$B$57,0),""))))</f>
        <v/>
      </c>
      <c r="AE48" s="10" t="str">
        <f t="shared" si="8"/>
        <v/>
      </c>
      <c r="AF48" s="10" t="str">
        <f t="shared" si="9"/>
        <v/>
      </c>
      <c r="AG48" s="10" t="str">
        <f t="shared" si="10"/>
        <v/>
      </c>
      <c r="AH48" s="3" t="str">
        <f>IF(A48="","",IF(E48="","TERMINAL",IF(OR(AND(UPPER(TRIM(B48))="SWALE",UPPER(TRIM(AI48))="PIPE"),AND(UPPER(TRIM(B48))="TRENCH",UPPER(TRIM(AI48))="PIPE")),IF(OR(AG48="",AJ48="",AK48=""),"INFO",IF(AND(AG48&gt;=AJ48,AG48&lt;=AK48),"OK","CHECK")),IF(AG48="","INFO",IF(ABS(AG48)&lt;=Inputs!$B$54,"OK","CHECK")))))</f>
        <v/>
      </c>
      <c r="AI48" s="11" t="str">
        <f t="shared" si="11"/>
        <v/>
      </c>
      <c r="AJ48" s="11" t="str">
        <f>IF(A48="","",IF(OR(AND(UPPER(TRIM(B48))="SWALE",UPPER(TRIM(AI48))="PIPE"),AND(UPPER(TRIM(B48))="TRENCH",UPPER(TRIM(AI48))="PIPE")),Inputs!$B$55,0))</f>
        <v/>
      </c>
      <c r="AK48" s="11" t="str">
        <f>IF(A48="","",IF(OR(AND(UPPER(TRIM(B48))="SWALE",UPPER(TRIM(AI48))="PIPE"),AND(UPPER(TRIM(B48))="TRENCH",UPPER(TRIM(AI48))="PIPE")),Inputs!$B$56,Inputs!$B$54))</f>
        <v/>
      </c>
      <c r="AL48" s="3" t="str">
        <f t="shared" si="12"/>
        <v/>
      </c>
    </row>
    <row r="49" spans="1:38" x14ac:dyDescent="0.25">
      <c r="A49" s="3"/>
      <c r="B49" s="3"/>
      <c r="C49" s="3"/>
      <c r="D49" s="3"/>
      <c r="E49" s="3"/>
      <c r="F49" s="8"/>
      <c r="G49" s="8"/>
      <c r="H49" s="8"/>
      <c r="I49" s="10" t="str">
        <f>IF(A49="","",IF(H49&lt;&gt;"",H49,IF(UPPER(TRIM(B49))="PIPE",Inputs!$B$7,IF(UPPER(TRIM(B49))="SWALE",Inputs!$B$8,Inputs!$B$9))))</f>
        <v/>
      </c>
      <c r="J49" s="8"/>
      <c r="K49" s="8"/>
      <c r="L49" s="8"/>
      <c r="M49" s="8"/>
      <c r="N49" s="8">
        <v>0</v>
      </c>
      <c r="O49" s="10" t="str">
        <f>IF(A49="","",SUMIFS(Zones_tributaires!$I:$I,Zones_tributaires!$J:$J,$A49))</f>
        <v/>
      </c>
      <c r="P49" s="10" t="str">
        <f t="shared" si="0"/>
        <v/>
      </c>
      <c r="Q49" s="10" t="str">
        <f>IF(A49="","",(O49+P49)*Inputs!$B$6)</f>
        <v/>
      </c>
      <c r="R49" s="10" t="str">
        <f t="shared" si="1"/>
        <v/>
      </c>
      <c r="S49" s="10" t="str">
        <f t="shared" si="2"/>
        <v/>
      </c>
      <c r="T49" s="10" t="str">
        <f t="shared" si="3"/>
        <v/>
      </c>
      <c r="U49" s="10" t="str">
        <f>IF(OR(T49="",Q49=""),"",Q49/(T49*Inputs!$B$19))</f>
        <v/>
      </c>
      <c r="V49" s="10" t="str">
        <f t="shared" si="4"/>
        <v/>
      </c>
      <c r="W49" s="10" t="str">
        <f t="shared" si="5"/>
        <v/>
      </c>
      <c r="X49" s="10" t="str">
        <f>IF(A49="","",IF(OR(UPPER(TRIM(Inputs!$B$15))="MANNING",UPPER(TRIM(Inputs!$B$15))="M"),W49,IF(OR(UPPER(TRIM(Inputs!$B$15))="MAX",UPPER(TRIM(Inputs!$B$15))="X"),MAX(V49,W49),V49)))</f>
        <v/>
      </c>
      <c r="Y49" s="10" t="str">
        <f t="shared" si="6"/>
        <v/>
      </c>
      <c r="Z49" s="10" t="str">
        <f t="shared" si="7"/>
        <v/>
      </c>
      <c r="AA49" s="3" t="str">
        <f>IF(A49="","",IF(OR(U49&gt;1,AND(X49&lt;&gt;"",X49&lt;Inputs!$B$16),AND(X49&lt;&gt;"",X49&gt;Inputs!$B$17),G49&lt;Inputs!$B$18,AH49="CHECK"),"CHECK","OK"))</f>
        <v/>
      </c>
      <c r="AB49" s="3"/>
      <c r="AC49" s="8"/>
      <c r="AD49" s="10" t="str">
        <f>IF(A49="","",IF(AC49&lt;&gt;"",AC49,IF(E49="",Inputs!$B$38,IFERROR(INDEX($AE$4:$AE$204,MATCH(E49,$A$4:$A$204,0))+IF(OR(AND(UPPER(TRIM(B49))="SWALE",UPPER(TRIM(AI49))="PIPE"),AND(UPPER(TRIM(B49))="TRENCH",UPPER(TRIM(AI49))="PIPE")),Inputs!$B$57,0),""))))</f>
        <v/>
      </c>
      <c r="AE49" s="10" t="str">
        <f t="shared" si="8"/>
        <v/>
      </c>
      <c r="AF49" s="10" t="str">
        <f t="shared" si="9"/>
        <v/>
      </c>
      <c r="AG49" s="10" t="str">
        <f t="shared" si="10"/>
        <v/>
      </c>
      <c r="AH49" s="3" t="str">
        <f>IF(A49="","",IF(E49="","TERMINAL",IF(OR(AND(UPPER(TRIM(B49))="SWALE",UPPER(TRIM(AI49))="PIPE"),AND(UPPER(TRIM(B49))="TRENCH",UPPER(TRIM(AI49))="PIPE")),IF(OR(AG49="",AJ49="",AK49=""),"INFO",IF(AND(AG49&gt;=AJ49,AG49&lt;=AK49),"OK","CHECK")),IF(AG49="","INFO",IF(ABS(AG49)&lt;=Inputs!$B$54,"OK","CHECK")))))</f>
        <v/>
      </c>
      <c r="AI49" s="11" t="str">
        <f t="shared" si="11"/>
        <v/>
      </c>
      <c r="AJ49" s="11" t="str">
        <f>IF(A49="","",IF(OR(AND(UPPER(TRIM(B49))="SWALE",UPPER(TRIM(AI49))="PIPE"),AND(UPPER(TRIM(B49))="TRENCH",UPPER(TRIM(AI49))="PIPE")),Inputs!$B$55,0))</f>
        <v/>
      </c>
      <c r="AK49" s="11" t="str">
        <f>IF(A49="","",IF(OR(AND(UPPER(TRIM(B49))="SWALE",UPPER(TRIM(AI49))="PIPE"),AND(UPPER(TRIM(B49))="TRENCH",UPPER(TRIM(AI49))="PIPE")),Inputs!$B$56,Inputs!$B$54))</f>
        <v/>
      </c>
      <c r="AL49" s="3" t="str">
        <f t="shared" si="12"/>
        <v/>
      </c>
    </row>
    <row r="50" spans="1:38" x14ac:dyDescent="0.25">
      <c r="A50" s="3"/>
      <c r="B50" s="3"/>
      <c r="C50" s="3"/>
      <c r="D50" s="3"/>
      <c r="E50" s="3"/>
      <c r="F50" s="8"/>
      <c r="G50" s="8"/>
      <c r="H50" s="8"/>
      <c r="I50" s="10" t="str">
        <f>IF(A50="","",IF(H50&lt;&gt;"",H50,IF(UPPER(TRIM(B50))="PIPE",Inputs!$B$7,IF(UPPER(TRIM(B50))="SWALE",Inputs!$B$8,Inputs!$B$9))))</f>
        <v/>
      </c>
      <c r="J50" s="8"/>
      <c r="K50" s="8"/>
      <c r="L50" s="8"/>
      <c r="M50" s="8"/>
      <c r="N50" s="8">
        <v>0</v>
      </c>
      <c r="O50" s="10" t="str">
        <f>IF(A50="","",SUMIFS(Zones_tributaires!$I:$I,Zones_tributaires!$J:$J,$A50))</f>
        <v/>
      </c>
      <c r="P50" s="10" t="str">
        <f t="shared" si="0"/>
        <v/>
      </c>
      <c r="Q50" s="10" t="str">
        <f>IF(A50="","",(O50+P50)*Inputs!$B$6)</f>
        <v/>
      </c>
      <c r="R50" s="10" t="str">
        <f t="shared" si="1"/>
        <v/>
      </c>
      <c r="S50" s="10" t="str">
        <f t="shared" si="2"/>
        <v/>
      </c>
      <c r="T50" s="10" t="str">
        <f t="shared" si="3"/>
        <v/>
      </c>
      <c r="U50" s="10" t="str">
        <f>IF(OR(T50="",Q50=""),"",Q50/(T50*Inputs!$B$19))</f>
        <v/>
      </c>
      <c r="V50" s="10" t="str">
        <f t="shared" si="4"/>
        <v/>
      </c>
      <c r="W50" s="10" t="str">
        <f t="shared" si="5"/>
        <v/>
      </c>
      <c r="X50" s="10" t="str">
        <f>IF(A50="","",IF(OR(UPPER(TRIM(Inputs!$B$15))="MANNING",UPPER(TRIM(Inputs!$B$15))="M"),W50,IF(OR(UPPER(TRIM(Inputs!$B$15))="MAX",UPPER(TRIM(Inputs!$B$15))="X"),MAX(V50,W50),V50)))</f>
        <v/>
      </c>
      <c r="Y50" s="10" t="str">
        <f t="shared" si="6"/>
        <v/>
      </c>
      <c r="Z50" s="10" t="str">
        <f t="shared" si="7"/>
        <v/>
      </c>
      <c r="AA50" s="3" t="str">
        <f>IF(A50="","",IF(OR(U50&gt;1,AND(X50&lt;&gt;"",X50&lt;Inputs!$B$16),AND(X50&lt;&gt;"",X50&gt;Inputs!$B$17),G50&lt;Inputs!$B$18,AH50="CHECK"),"CHECK","OK"))</f>
        <v/>
      </c>
      <c r="AB50" s="3"/>
      <c r="AC50" s="8"/>
      <c r="AD50" s="10" t="str">
        <f>IF(A50="","",IF(AC50&lt;&gt;"",AC50,IF(E50="",Inputs!$B$38,IFERROR(INDEX($AE$4:$AE$204,MATCH(E50,$A$4:$A$204,0))+IF(OR(AND(UPPER(TRIM(B50))="SWALE",UPPER(TRIM(AI50))="PIPE"),AND(UPPER(TRIM(B50))="TRENCH",UPPER(TRIM(AI50))="PIPE")),Inputs!$B$57,0),""))))</f>
        <v/>
      </c>
      <c r="AE50" s="10" t="str">
        <f t="shared" si="8"/>
        <v/>
      </c>
      <c r="AF50" s="10" t="str">
        <f t="shared" si="9"/>
        <v/>
      </c>
      <c r="AG50" s="10" t="str">
        <f t="shared" si="10"/>
        <v/>
      </c>
      <c r="AH50" s="3" t="str">
        <f>IF(A50="","",IF(E50="","TERMINAL",IF(OR(AND(UPPER(TRIM(B50))="SWALE",UPPER(TRIM(AI50))="PIPE"),AND(UPPER(TRIM(B50))="TRENCH",UPPER(TRIM(AI50))="PIPE")),IF(OR(AG50="",AJ50="",AK50=""),"INFO",IF(AND(AG50&gt;=AJ50,AG50&lt;=AK50),"OK","CHECK")),IF(AG50="","INFO",IF(ABS(AG50)&lt;=Inputs!$B$54,"OK","CHECK")))))</f>
        <v/>
      </c>
      <c r="AI50" s="11" t="str">
        <f t="shared" si="11"/>
        <v/>
      </c>
      <c r="AJ50" s="11" t="str">
        <f>IF(A50="","",IF(OR(AND(UPPER(TRIM(B50))="SWALE",UPPER(TRIM(AI50))="PIPE"),AND(UPPER(TRIM(B50))="TRENCH",UPPER(TRIM(AI50))="PIPE")),Inputs!$B$55,0))</f>
        <v/>
      </c>
      <c r="AK50" s="11" t="str">
        <f>IF(A50="","",IF(OR(AND(UPPER(TRIM(B50))="SWALE",UPPER(TRIM(AI50))="PIPE"),AND(UPPER(TRIM(B50))="TRENCH",UPPER(TRIM(AI50))="PIPE")),Inputs!$B$56,Inputs!$B$54))</f>
        <v/>
      </c>
      <c r="AL50" s="3" t="str">
        <f t="shared" si="12"/>
        <v/>
      </c>
    </row>
    <row r="51" spans="1:38" x14ac:dyDescent="0.25">
      <c r="A51" s="3"/>
      <c r="B51" s="3"/>
      <c r="C51" s="3"/>
      <c r="D51" s="3"/>
      <c r="E51" s="3"/>
      <c r="F51" s="8"/>
      <c r="G51" s="8"/>
      <c r="H51" s="8"/>
      <c r="I51" s="10" t="str">
        <f>IF(A51="","",IF(H51&lt;&gt;"",H51,IF(UPPER(TRIM(B51))="PIPE",Inputs!$B$7,IF(UPPER(TRIM(B51))="SWALE",Inputs!$B$8,Inputs!$B$9))))</f>
        <v/>
      </c>
      <c r="J51" s="8"/>
      <c r="K51" s="8"/>
      <c r="L51" s="8"/>
      <c r="M51" s="8"/>
      <c r="N51" s="8">
        <v>0</v>
      </c>
      <c r="O51" s="10" t="str">
        <f>IF(A51="","",SUMIFS(Zones_tributaires!$I:$I,Zones_tributaires!$J:$J,$A51))</f>
        <v/>
      </c>
      <c r="P51" s="10" t="str">
        <f t="shared" si="0"/>
        <v/>
      </c>
      <c r="Q51" s="10" t="str">
        <f>IF(A51="","",(O51+P51)*Inputs!$B$6)</f>
        <v/>
      </c>
      <c r="R51" s="10" t="str">
        <f t="shared" si="1"/>
        <v/>
      </c>
      <c r="S51" s="10" t="str">
        <f t="shared" si="2"/>
        <v/>
      </c>
      <c r="T51" s="10" t="str">
        <f t="shared" si="3"/>
        <v/>
      </c>
      <c r="U51" s="10" t="str">
        <f>IF(OR(T51="",Q51=""),"",Q51/(T51*Inputs!$B$19))</f>
        <v/>
      </c>
      <c r="V51" s="10" t="str">
        <f t="shared" si="4"/>
        <v/>
      </c>
      <c r="W51" s="10" t="str">
        <f t="shared" si="5"/>
        <v/>
      </c>
      <c r="X51" s="10" t="str">
        <f>IF(A51="","",IF(OR(UPPER(TRIM(Inputs!$B$15))="MANNING",UPPER(TRIM(Inputs!$B$15))="M"),W51,IF(OR(UPPER(TRIM(Inputs!$B$15))="MAX",UPPER(TRIM(Inputs!$B$15))="X"),MAX(V51,W51),V51)))</f>
        <v/>
      </c>
      <c r="Y51" s="10" t="str">
        <f t="shared" si="6"/>
        <v/>
      </c>
      <c r="Z51" s="10" t="str">
        <f t="shared" si="7"/>
        <v/>
      </c>
      <c r="AA51" s="3" t="str">
        <f>IF(A51="","",IF(OR(U51&gt;1,AND(X51&lt;&gt;"",X51&lt;Inputs!$B$16),AND(X51&lt;&gt;"",X51&gt;Inputs!$B$17),G51&lt;Inputs!$B$18,AH51="CHECK"),"CHECK","OK"))</f>
        <v/>
      </c>
      <c r="AB51" s="3"/>
      <c r="AC51" s="8"/>
      <c r="AD51" s="10" t="str">
        <f>IF(A51="","",IF(AC51&lt;&gt;"",AC51,IF(E51="",Inputs!$B$38,IFERROR(INDEX($AE$4:$AE$204,MATCH(E51,$A$4:$A$204,0))+IF(OR(AND(UPPER(TRIM(B51))="SWALE",UPPER(TRIM(AI51))="PIPE"),AND(UPPER(TRIM(B51))="TRENCH",UPPER(TRIM(AI51))="PIPE")),Inputs!$B$57,0),""))))</f>
        <v/>
      </c>
      <c r="AE51" s="10" t="str">
        <f t="shared" si="8"/>
        <v/>
      </c>
      <c r="AF51" s="10" t="str">
        <f t="shared" si="9"/>
        <v/>
      </c>
      <c r="AG51" s="10" t="str">
        <f t="shared" si="10"/>
        <v/>
      </c>
      <c r="AH51" s="3" t="str">
        <f>IF(A51="","",IF(E51="","TERMINAL",IF(OR(AND(UPPER(TRIM(B51))="SWALE",UPPER(TRIM(AI51))="PIPE"),AND(UPPER(TRIM(B51))="TRENCH",UPPER(TRIM(AI51))="PIPE")),IF(OR(AG51="",AJ51="",AK51=""),"INFO",IF(AND(AG51&gt;=AJ51,AG51&lt;=AK51),"OK","CHECK")),IF(AG51="","INFO",IF(ABS(AG51)&lt;=Inputs!$B$54,"OK","CHECK")))))</f>
        <v/>
      </c>
      <c r="AI51" s="11" t="str">
        <f t="shared" si="11"/>
        <v/>
      </c>
      <c r="AJ51" s="11" t="str">
        <f>IF(A51="","",IF(OR(AND(UPPER(TRIM(B51))="SWALE",UPPER(TRIM(AI51))="PIPE"),AND(UPPER(TRIM(B51))="TRENCH",UPPER(TRIM(AI51))="PIPE")),Inputs!$B$55,0))</f>
        <v/>
      </c>
      <c r="AK51" s="11" t="str">
        <f>IF(A51="","",IF(OR(AND(UPPER(TRIM(B51))="SWALE",UPPER(TRIM(AI51))="PIPE"),AND(UPPER(TRIM(B51))="TRENCH",UPPER(TRIM(AI51))="PIPE")),Inputs!$B$56,Inputs!$B$54))</f>
        <v/>
      </c>
      <c r="AL51" s="3" t="str">
        <f t="shared" si="12"/>
        <v/>
      </c>
    </row>
    <row r="52" spans="1:38" x14ac:dyDescent="0.25">
      <c r="A52" s="3"/>
      <c r="B52" s="3"/>
      <c r="C52" s="3"/>
      <c r="D52" s="3"/>
      <c r="E52" s="3"/>
      <c r="F52" s="8"/>
      <c r="G52" s="8"/>
      <c r="H52" s="8"/>
      <c r="I52" s="10" t="str">
        <f>IF(A52="","",IF(H52&lt;&gt;"",H52,IF(UPPER(TRIM(B52))="PIPE",Inputs!$B$7,IF(UPPER(TRIM(B52))="SWALE",Inputs!$B$8,Inputs!$B$9))))</f>
        <v/>
      </c>
      <c r="J52" s="8"/>
      <c r="K52" s="8"/>
      <c r="L52" s="8"/>
      <c r="M52" s="8"/>
      <c r="N52" s="8">
        <v>0</v>
      </c>
      <c r="O52" s="10" t="str">
        <f>IF(A52="","",SUMIFS(Zones_tributaires!$I:$I,Zones_tributaires!$J:$J,$A52))</f>
        <v/>
      </c>
      <c r="P52" s="10" t="str">
        <f t="shared" si="0"/>
        <v/>
      </c>
      <c r="Q52" s="10" t="str">
        <f>IF(A52="","",(O52+P52)*Inputs!$B$6)</f>
        <v/>
      </c>
      <c r="R52" s="10" t="str">
        <f t="shared" si="1"/>
        <v/>
      </c>
      <c r="S52" s="10" t="str">
        <f t="shared" si="2"/>
        <v/>
      </c>
      <c r="T52" s="10" t="str">
        <f t="shared" si="3"/>
        <v/>
      </c>
      <c r="U52" s="10" t="str">
        <f>IF(OR(T52="",Q52=""),"",Q52/(T52*Inputs!$B$19))</f>
        <v/>
      </c>
      <c r="V52" s="10" t="str">
        <f t="shared" si="4"/>
        <v/>
      </c>
      <c r="W52" s="10" t="str">
        <f t="shared" si="5"/>
        <v/>
      </c>
      <c r="X52" s="10" t="str">
        <f>IF(A52="","",IF(OR(UPPER(TRIM(Inputs!$B$15))="MANNING",UPPER(TRIM(Inputs!$B$15))="M"),W52,IF(OR(UPPER(TRIM(Inputs!$B$15))="MAX",UPPER(TRIM(Inputs!$B$15))="X"),MAX(V52,W52),V52)))</f>
        <v/>
      </c>
      <c r="Y52" s="10" t="str">
        <f t="shared" si="6"/>
        <v/>
      </c>
      <c r="Z52" s="10" t="str">
        <f t="shared" si="7"/>
        <v/>
      </c>
      <c r="AA52" s="3" t="str">
        <f>IF(A52="","",IF(OR(U52&gt;1,AND(X52&lt;&gt;"",X52&lt;Inputs!$B$16),AND(X52&lt;&gt;"",X52&gt;Inputs!$B$17),G52&lt;Inputs!$B$18,AH52="CHECK"),"CHECK","OK"))</f>
        <v/>
      </c>
      <c r="AB52" s="3"/>
      <c r="AC52" s="8"/>
      <c r="AD52" s="10" t="str">
        <f>IF(A52="","",IF(AC52&lt;&gt;"",AC52,IF(E52="",Inputs!$B$38,IFERROR(INDEX($AE$4:$AE$204,MATCH(E52,$A$4:$A$204,0))+IF(OR(AND(UPPER(TRIM(B52))="SWALE",UPPER(TRIM(AI52))="PIPE"),AND(UPPER(TRIM(B52))="TRENCH",UPPER(TRIM(AI52))="PIPE")),Inputs!$B$57,0),""))))</f>
        <v/>
      </c>
      <c r="AE52" s="10" t="str">
        <f t="shared" si="8"/>
        <v/>
      </c>
      <c r="AF52" s="10" t="str">
        <f t="shared" si="9"/>
        <v/>
      </c>
      <c r="AG52" s="10" t="str">
        <f t="shared" si="10"/>
        <v/>
      </c>
      <c r="AH52" s="3" t="str">
        <f>IF(A52="","",IF(E52="","TERMINAL",IF(OR(AND(UPPER(TRIM(B52))="SWALE",UPPER(TRIM(AI52))="PIPE"),AND(UPPER(TRIM(B52))="TRENCH",UPPER(TRIM(AI52))="PIPE")),IF(OR(AG52="",AJ52="",AK52=""),"INFO",IF(AND(AG52&gt;=AJ52,AG52&lt;=AK52),"OK","CHECK")),IF(AG52="","INFO",IF(ABS(AG52)&lt;=Inputs!$B$54,"OK","CHECK")))))</f>
        <v/>
      </c>
      <c r="AI52" s="11" t="str">
        <f t="shared" si="11"/>
        <v/>
      </c>
      <c r="AJ52" s="11" t="str">
        <f>IF(A52="","",IF(OR(AND(UPPER(TRIM(B52))="SWALE",UPPER(TRIM(AI52))="PIPE"),AND(UPPER(TRIM(B52))="TRENCH",UPPER(TRIM(AI52))="PIPE")),Inputs!$B$55,0))</f>
        <v/>
      </c>
      <c r="AK52" s="11" t="str">
        <f>IF(A52="","",IF(OR(AND(UPPER(TRIM(B52))="SWALE",UPPER(TRIM(AI52))="PIPE"),AND(UPPER(TRIM(B52))="TRENCH",UPPER(TRIM(AI52))="PIPE")),Inputs!$B$56,Inputs!$B$54))</f>
        <v/>
      </c>
      <c r="AL52" s="3" t="str">
        <f t="shared" si="12"/>
        <v/>
      </c>
    </row>
    <row r="53" spans="1:38" x14ac:dyDescent="0.25">
      <c r="A53" s="3"/>
      <c r="B53" s="3"/>
      <c r="C53" s="3"/>
      <c r="D53" s="3"/>
      <c r="E53" s="3"/>
      <c r="F53" s="8"/>
      <c r="G53" s="8"/>
      <c r="H53" s="8"/>
      <c r="I53" s="10" t="str">
        <f>IF(A53="","",IF(H53&lt;&gt;"",H53,IF(UPPER(TRIM(B53))="PIPE",Inputs!$B$7,IF(UPPER(TRIM(B53))="SWALE",Inputs!$B$8,Inputs!$B$9))))</f>
        <v/>
      </c>
      <c r="J53" s="8"/>
      <c r="K53" s="8"/>
      <c r="L53" s="8"/>
      <c r="M53" s="8"/>
      <c r="N53" s="8">
        <v>0</v>
      </c>
      <c r="O53" s="10" t="str">
        <f>IF(A53="","",SUMIFS(Zones_tributaires!$I:$I,Zones_tributaires!$J:$J,$A53))</f>
        <v/>
      </c>
      <c r="P53" s="10" t="str">
        <f t="shared" si="0"/>
        <v/>
      </c>
      <c r="Q53" s="10" t="str">
        <f>IF(A53="","",(O53+P53)*Inputs!$B$6)</f>
        <v/>
      </c>
      <c r="R53" s="10" t="str">
        <f t="shared" si="1"/>
        <v/>
      </c>
      <c r="S53" s="10" t="str">
        <f t="shared" si="2"/>
        <v/>
      </c>
      <c r="T53" s="10" t="str">
        <f t="shared" si="3"/>
        <v/>
      </c>
      <c r="U53" s="10" t="str">
        <f>IF(OR(T53="",Q53=""),"",Q53/(T53*Inputs!$B$19))</f>
        <v/>
      </c>
      <c r="V53" s="10" t="str">
        <f t="shared" si="4"/>
        <v/>
      </c>
      <c r="W53" s="10" t="str">
        <f t="shared" si="5"/>
        <v/>
      </c>
      <c r="X53" s="10" t="str">
        <f>IF(A53="","",IF(OR(UPPER(TRIM(Inputs!$B$15))="MANNING",UPPER(TRIM(Inputs!$B$15))="M"),W53,IF(OR(UPPER(TRIM(Inputs!$B$15))="MAX",UPPER(TRIM(Inputs!$B$15))="X"),MAX(V53,W53),V53)))</f>
        <v/>
      </c>
      <c r="Y53" s="10" t="str">
        <f t="shared" si="6"/>
        <v/>
      </c>
      <c r="Z53" s="10" t="str">
        <f t="shared" si="7"/>
        <v/>
      </c>
      <c r="AA53" s="3" t="str">
        <f>IF(A53="","",IF(OR(U53&gt;1,AND(X53&lt;&gt;"",X53&lt;Inputs!$B$16),AND(X53&lt;&gt;"",X53&gt;Inputs!$B$17),G53&lt;Inputs!$B$18,AH53="CHECK"),"CHECK","OK"))</f>
        <v/>
      </c>
      <c r="AB53" s="3"/>
      <c r="AC53" s="8"/>
      <c r="AD53" s="10" t="str">
        <f>IF(A53="","",IF(AC53&lt;&gt;"",AC53,IF(E53="",Inputs!$B$38,IFERROR(INDEX($AE$4:$AE$204,MATCH(E53,$A$4:$A$204,0))+IF(OR(AND(UPPER(TRIM(B53))="SWALE",UPPER(TRIM(AI53))="PIPE"),AND(UPPER(TRIM(B53))="TRENCH",UPPER(TRIM(AI53))="PIPE")),Inputs!$B$57,0),""))))</f>
        <v/>
      </c>
      <c r="AE53" s="10" t="str">
        <f t="shared" si="8"/>
        <v/>
      </c>
      <c r="AF53" s="10" t="str">
        <f t="shared" si="9"/>
        <v/>
      </c>
      <c r="AG53" s="10" t="str">
        <f t="shared" si="10"/>
        <v/>
      </c>
      <c r="AH53" s="3" t="str">
        <f>IF(A53="","",IF(E53="","TERMINAL",IF(OR(AND(UPPER(TRIM(B53))="SWALE",UPPER(TRIM(AI53))="PIPE"),AND(UPPER(TRIM(B53))="TRENCH",UPPER(TRIM(AI53))="PIPE")),IF(OR(AG53="",AJ53="",AK53=""),"INFO",IF(AND(AG53&gt;=AJ53,AG53&lt;=AK53),"OK","CHECK")),IF(AG53="","INFO",IF(ABS(AG53)&lt;=Inputs!$B$54,"OK","CHECK")))))</f>
        <v/>
      </c>
      <c r="AI53" s="11" t="str">
        <f t="shared" si="11"/>
        <v/>
      </c>
      <c r="AJ53" s="11" t="str">
        <f>IF(A53="","",IF(OR(AND(UPPER(TRIM(B53))="SWALE",UPPER(TRIM(AI53))="PIPE"),AND(UPPER(TRIM(B53))="TRENCH",UPPER(TRIM(AI53))="PIPE")),Inputs!$B$55,0))</f>
        <v/>
      </c>
      <c r="AK53" s="11" t="str">
        <f>IF(A53="","",IF(OR(AND(UPPER(TRIM(B53))="SWALE",UPPER(TRIM(AI53))="PIPE"),AND(UPPER(TRIM(B53))="TRENCH",UPPER(TRIM(AI53))="PIPE")),Inputs!$B$56,Inputs!$B$54))</f>
        <v/>
      </c>
      <c r="AL53" s="3" t="str">
        <f t="shared" si="12"/>
        <v/>
      </c>
    </row>
    <row r="54" spans="1:38" x14ac:dyDescent="0.25">
      <c r="A54" s="3"/>
      <c r="B54" s="3"/>
      <c r="C54" s="3"/>
      <c r="D54" s="3"/>
      <c r="E54" s="3"/>
      <c r="F54" s="8"/>
      <c r="G54" s="8"/>
      <c r="H54" s="8"/>
      <c r="I54" s="10" t="str">
        <f>IF(A54="","",IF(H54&lt;&gt;"",H54,IF(UPPER(TRIM(B54))="PIPE",Inputs!$B$7,IF(UPPER(TRIM(B54))="SWALE",Inputs!$B$8,Inputs!$B$9))))</f>
        <v/>
      </c>
      <c r="J54" s="8"/>
      <c r="K54" s="8"/>
      <c r="L54" s="8"/>
      <c r="M54" s="8"/>
      <c r="N54" s="8">
        <v>0</v>
      </c>
      <c r="O54" s="10" t="str">
        <f>IF(A54="","",SUMIFS(Zones_tributaires!$I:$I,Zones_tributaires!$J:$J,$A54))</f>
        <v/>
      </c>
      <c r="P54" s="10" t="str">
        <f t="shared" si="0"/>
        <v/>
      </c>
      <c r="Q54" s="10" t="str">
        <f>IF(A54="","",(O54+P54)*Inputs!$B$6)</f>
        <v/>
      </c>
      <c r="R54" s="10" t="str">
        <f t="shared" si="1"/>
        <v/>
      </c>
      <c r="S54" s="10" t="str">
        <f t="shared" si="2"/>
        <v/>
      </c>
      <c r="T54" s="10" t="str">
        <f t="shared" si="3"/>
        <v/>
      </c>
      <c r="U54" s="10" t="str">
        <f>IF(OR(T54="",Q54=""),"",Q54/(T54*Inputs!$B$19))</f>
        <v/>
      </c>
      <c r="V54" s="10" t="str">
        <f t="shared" si="4"/>
        <v/>
      </c>
      <c r="W54" s="10" t="str">
        <f t="shared" si="5"/>
        <v/>
      </c>
      <c r="X54" s="10" t="str">
        <f>IF(A54="","",IF(OR(UPPER(TRIM(Inputs!$B$15))="MANNING",UPPER(TRIM(Inputs!$B$15))="M"),W54,IF(OR(UPPER(TRIM(Inputs!$B$15))="MAX",UPPER(TRIM(Inputs!$B$15))="X"),MAX(V54,W54),V54)))</f>
        <v/>
      </c>
      <c r="Y54" s="10" t="str">
        <f t="shared" si="6"/>
        <v/>
      </c>
      <c r="Z54" s="10" t="str">
        <f t="shared" si="7"/>
        <v/>
      </c>
      <c r="AA54" s="3" t="str">
        <f>IF(A54="","",IF(OR(U54&gt;1,AND(X54&lt;&gt;"",X54&lt;Inputs!$B$16),AND(X54&lt;&gt;"",X54&gt;Inputs!$B$17),G54&lt;Inputs!$B$18,AH54="CHECK"),"CHECK","OK"))</f>
        <v/>
      </c>
      <c r="AB54" s="3"/>
      <c r="AC54" s="8"/>
      <c r="AD54" s="10" t="str">
        <f>IF(A54="","",IF(AC54&lt;&gt;"",AC54,IF(E54="",Inputs!$B$38,IFERROR(INDEX($AE$4:$AE$204,MATCH(E54,$A$4:$A$204,0))+IF(OR(AND(UPPER(TRIM(B54))="SWALE",UPPER(TRIM(AI54))="PIPE"),AND(UPPER(TRIM(B54))="TRENCH",UPPER(TRIM(AI54))="PIPE")),Inputs!$B$57,0),""))))</f>
        <v/>
      </c>
      <c r="AE54" s="10" t="str">
        <f t="shared" si="8"/>
        <v/>
      </c>
      <c r="AF54" s="10" t="str">
        <f t="shared" si="9"/>
        <v/>
      </c>
      <c r="AG54" s="10" t="str">
        <f t="shared" si="10"/>
        <v/>
      </c>
      <c r="AH54" s="3" t="str">
        <f>IF(A54="","",IF(E54="","TERMINAL",IF(OR(AND(UPPER(TRIM(B54))="SWALE",UPPER(TRIM(AI54))="PIPE"),AND(UPPER(TRIM(B54))="TRENCH",UPPER(TRIM(AI54))="PIPE")),IF(OR(AG54="",AJ54="",AK54=""),"INFO",IF(AND(AG54&gt;=AJ54,AG54&lt;=AK54),"OK","CHECK")),IF(AG54="","INFO",IF(ABS(AG54)&lt;=Inputs!$B$54,"OK","CHECK")))))</f>
        <v/>
      </c>
      <c r="AI54" s="11" t="str">
        <f t="shared" si="11"/>
        <v/>
      </c>
      <c r="AJ54" s="11" t="str">
        <f>IF(A54="","",IF(OR(AND(UPPER(TRIM(B54))="SWALE",UPPER(TRIM(AI54))="PIPE"),AND(UPPER(TRIM(B54))="TRENCH",UPPER(TRIM(AI54))="PIPE")),Inputs!$B$55,0))</f>
        <v/>
      </c>
      <c r="AK54" s="11" t="str">
        <f>IF(A54="","",IF(OR(AND(UPPER(TRIM(B54))="SWALE",UPPER(TRIM(AI54))="PIPE"),AND(UPPER(TRIM(B54))="TRENCH",UPPER(TRIM(AI54))="PIPE")),Inputs!$B$56,Inputs!$B$54))</f>
        <v/>
      </c>
      <c r="AL54" s="3" t="str">
        <f t="shared" si="12"/>
        <v/>
      </c>
    </row>
    <row r="55" spans="1:38" x14ac:dyDescent="0.25">
      <c r="A55" s="3"/>
      <c r="B55" s="3"/>
      <c r="C55" s="3"/>
      <c r="D55" s="3"/>
      <c r="E55" s="3"/>
      <c r="F55" s="8"/>
      <c r="G55" s="8"/>
      <c r="H55" s="8"/>
      <c r="I55" s="10" t="str">
        <f>IF(A55="","",IF(H55&lt;&gt;"",H55,IF(UPPER(TRIM(B55))="PIPE",Inputs!$B$7,IF(UPPER(TRIM(B55))="SWALE",Inputs!$B$8,Inputs!$B$9))))</f>
        <v/>
      </c>
      <c r="J55" s="8"/>
      <c r="K55" s="8"/>
      <c r="L55" s="8"/>
      <c r="M55" s="8"/>
      <c r="N55" s="8">
        <v>0</v>
      </c>
      <c r="O55" s="10" t="str">
        <f>IF(A55="","",SUMIFS(Zones_tributaires!$I:$I,Zones_tributaires!$J:$J,$A55))</f>
        <v/>
      </c>
      <c r="P55" s="10" t="str">
        <f t="shared" si="0"/>
        <v/>
      </c>
      <c r="Q55" s="10" t="str">
        <f>IF(A55="","",(O55+P55)*Inputs!$B$6)</f>
        <v/>
      </c>
      <c r="R55" s="10" t="str">
        <f t="shared" si="1"/>
        <v/>
      </c>
      <c r="S55" s="10" t="str">
        <f t="shared" si="2"/>
        <v/>
      </c>
      <c r="T55" s="10" t="str">
        <f t="shared" si="3"/>
        <v/>
      </c>
      <c r="U55" s="10" t="str">
        <f>IF(OR(T55="",Q55=""),"",Q55/(T55*Inputs!$B$19))</f>
        <v/>
      </c>
      <c r="V55" s="10" t="str">
        <f t="shared" si="4"/>
        <v/>
      </c>
      <c r="W55" s="10" t="str">
        <f t="shared" si="5"/>
        <v/>
      </c>
      <c r="X55" s="10" t="str">
        <f>IF(A55="","",IF(OR(UPPER(TRIM(Inputs!$B$15))="MANNING",UPPER(TRIM(Inputs!$B$15))="M"),W55,IF(OR(UPPER(TRIM(Inputs!$B$15))="MAX",UPPER(TRIM(Inputs!$B$15))="X"),MAX(V55,W55),V55)))</f>
        <v/>
      </c>
      <c r="Y55" s="10" t="str">
        <f t="shared" si="6"/>
        <v/>
      </c>
      <c r="Z55" s="10" t="str">
        <f t="shared" si="7"/>
        <v/>
      </c>
      <c r="AA55" s="3" t="str">
        <f>IF(A55="","",IF(OR(U55&gt;1,AND(X55&lt;&gt;"",X55&lt;Inputs!$B$16),AND(X55&lt;&gt;"",X55&gt;Inputs!$B$17),G55&lt;Inputs!$B$18,AH55="CHECK"),"CHECK","OK"))</f>
        <v/>
      </c>
      <c r="AB55" s="3"/>
      <c r="AC55" s="8"/>
      <c r="AD55" s="10" t="str">
        <f>IF(A55="","",IF(AC55&lt;&gt;"",AC55,IF(E55="",Inputs!$B$38,IFERROR(INDEX($AE$4:$AE$204,MATCH(E55,$A$4:$A$204,0))+IF(OR(AND(UPPER(TRIM(B55))="SWALE",UPPER(TRIM(AI55))="PIPE"),AND(UPPER(TRIM(B55))="TRENCH",UPPER(TRIM(AI55))="PIPE")),Inputs!$B$57,0),""))))</f>
        <v/>
      </c>
      <c r="AE55" s="10" t="str">
        <f t="shared" si="8"/>
        <v/>
      </c>
      <c r="AF55" s="10" t="str">
        <f t="shared" si="9"/>
        <v/>
      </c>
      <c r="AG55" s="10" t="str">
        <f t="shared" si="10"/>
        <v/>
      </c>
      <c r="AH55" s="3" t="str">
        <f>IF(A55="","",IF(E55="","TERMINAL",IF(OR(AND(UPPER(TRIM(B55))="SWALE",UPPER(TRIM(AI55))="PIPE"),AND(UPPER(TRIM(B55))="TRENCH",UPPER(TRIM(AI55))="PIPE")),IF(OR(AG55="",AJ55="",AK55=""),"INFO",IF(AND(AG55&gt;=AJ55,AG55&lt;=AK55),"OK","CHECK")),IF(AG55="","INFO",IF(ABS(AG55)&lt;=Inputs!$B$54,"OK","CHECK")))))</f>
        <v/>
      </c>
      <c r="AI55" s="11" t="str">
        <f t="shared" si="11"/>
        <v/>
      </c>
      <c r="AJ55" s="11" t="str">
        <f>IF(A55="","",IF(OR(AND(UPPER(TRIM(B55))="SWALE",UPPER(TRIM(AI55))="PIPE"),AND(UPPER(TRIM(B55))="TRENCH",UPPER(TRIM(AI55))="PIPE")),Inputs!$B$55,0))</f>
        <v/>
      </c>
      <c r="AK55" s="11" t="str">
        <f>IF(A55="","",IF(OR(AND(UPPER(TRIM(B55))="SWALE",UPPER(TRIM(AI55))="PIPE"),AND(UPPER(TRIM(B55))="TRENCH",UPPER(TRIM(AI55))="PIPE")),Inputs!$B$56,Inputs!$B$54))</f>
        <v/>
      </c>
      <c r="AL55" s="3" t="str">
        <f t="shared" si="12"/>
        <v/>
      </c>
    </row>
    <row r="56" spans="1:38" x14ac:dyDescent="0.25">
      <c r="A56" s="3"/>
      <c r="B56" s="3"/>
      <c r="C56" s="3"/>
      <c r="D56" s="3"/>
      <c r="E56" s="3"/>
      <c r="F56" s="8"/>
      <c r="G56" s="8"/>
      <c r="H56" s="8"/>
      <c r="I56" s="10" t="str">
        <f>IF(A56="","",IF(H56&lt;&gt;"",H56,IF(UPPER(TRIM(B56))="PIPE",Inputs!$B$7,IF(UPPER(TRIM(B56))="SWALE",Inputs!$B$8,Inputs!$B$9))))</f>
        <v/>
      </c>
      <c r="J56" s="8"/>
      <c r="K56" s="8"/>
      <c r="L56" s="8"/>
      <c r="M56" s="8"/>
      <c r="N56" s="8">
        <v>0</v>
      </c>
      <c r="O56" s="10" t="str">
        <f>IF(A56="","",SUMIFS(Zones_tributaires!$I:$I,Zones_tributaires!$J:$J,$A56))</f>
        <v/>
      </c>
      <c r="P56" s="10" t="str">
        <f t="shared" si="0"/>
        <v/>
      </c>
      <c r="Q56" s="10" t="str">
        <f>IF(A56="","",(O56+P56)*Inputs!$B$6)</f>
        <v/>
      </c>
      <c r="R56" s="10" t="str">
        <f t="shared" si="1"/>
        <v/>
      </c>
      <c r="S56" s="10" t="str">
        <f t="shared" si="2"/>
        <v/>
      </c>
      <c r="T56" s="10" t="str">
        <f t="shared" si="3"/>
        <v/>
      </c>
      <c r="U56" s="10" t="str">
        <f>IF(OR(T56="",Q56=""),"",Q56/(T56*Inputs!$B$19))</f>
        <v/>
      </c>
      <c r="V56" s="10" t="str">
        <f t="shared" si="4"/>
        <v/>
      </c>
      <c r="W56" s="10" t="str">
        <f t="shared" si="5"/>
        <v/>
      </c>
      <c r="X56" s="10" t="str">
        <f>IF(A56="","",IF(OR(UPPER(TRIM(Inputs!$B$15))="MANNING",UPPER(TRIM(Inputs!$B$15))="M"),W56,IF(OR(UPPER(TRIM(Inputs!$B$15))="MAX",UPPER(TRIM(Inputs!$B$15))="X"),MAX(V56,W56),V56)))</f>
        <v/>
      </c>
      <c r="Y56" s="10" t="str">
        <f t="shared" si="6"/>
        <v/>
      </c>
      <c r="Z56" s="10" t="str">
        <f t="shared" si="7"/>
        <v/>
      </c>
      <c r="AA56" s="3" t="str">
        <f>IF(A56="","",IF(OR(U56&gt;1,AND(X56&lt;&gt;"",X56&lt;Inputs!$B$16),AND(X56&lt;&gt;"",X56&gt;Inputs!$B$17),G56&lt;Inputs!$B$18,AH56="CHECK"),"CHECK","OK"))</f>
        <v/>
      </c>
      <c r="AB56" s="3"/>
      <c r="AC56" s="8"/>
      <c r="AD56" s="10" t="str">
        <f>IF(A56="","",IF(AC56&lt;&gt;"",AC56,IF(E56="",Inputs!$B$38,IFERROR(INDEX($AE$4:$AE$204,MATCH(E56,$A$4:$A$204,0))+IF(OR(AND(UPPER(TRIM(B56))="SWALE",UPPER(TRIM(AI56))="PIPE"),AND(UPPER(TRIM(B56))="TRENCH",UPPER(TRIM(AI56))="PIPE")),Inputs!$B$57,0),""))))</f>
        <v/>
      </c>
      <c r="AE56" s="10" t="str">
        <f t="shared" si="8"/>
        <v/>
      </c>
      <c r="AF56" s="10" t="str">
        <f t="shared" si="9"/>
        <v/>
      </c>
      <c r="AG56" s="10" t="str">
        <f t="shared" si="10"/>
        <v/>
      </c>
      <c r="AH56" s="3" t="str">
        <f>IF(A56="","",IF(E56="","TERMINAL",IF(OR(AND(UPPER(TRIM(B56))="SWALE",UPPER(TRIM(AI56))="PIPE"),AND(UPPER(TRIM(B56))="TRENCH",UPPER(TRIM(AI56))="PIPE")),IF(OR(AG56="",AJ56="",AK56=""),"INFO",IF(AND(AG56&gt;=AJ56,AG56&lt;=AK56),"OK","CHECK")),IF(AG56="","INFO",IF(ABS(AG56)&lt;=Inputs!$B$54,"OK","CHECK")))))</f>
        <v/>
      </c>
      <c r="AI56" s="11" t="str">
        <f t="shared" si="11"/>
        <v/>
      </c>
      <c r="AJ56" s="11" t="str">
        <f>IF(A56="","",IF(OR(AND(UPPER(TRIM(B56))="SWALE",UPPER(TRIM(AI56))="PIPE"),AND(UPPER(TRIM(B56))="TRENCH",UPPER(TRIM(AI56))="PIPE")),Inputs!$B$55,0))</f>
        <v/>
      </c>
      <c r="AK56" s="11" t="str">
        <f>IF(A56="","",IF(OR(AND(UPPER(TRIM(B56))="SWALE",UPPER(TRIM(AI56))="PIPE"),AND(UPPER(TRIM(B56))="TRENCH",UPPER(TRIM(AI56))="PIPE")),Inputs!$B$56,Inputs!$B$54))</f>
        <v/>
      </c>
      <c r="AL56" s="3" t="str">
        <f t="shared" si="12"/>
        <v/>
      </c>
    </row>
    <row r="57" spans="1:38" x14ac:dyDescent="0.25">
      <c r="A57" s="3"/>
      <c r="B57" s="3"/>
      <c r="C57" s="3"/>
      <c r="D57" s="3"/>
      <c r="E57" s="3"/>
      <c r="F57" s="8"/>
      <c r="G57" s="8"/>
      <c r="H57" s="8"/>
      <c r="I57" s="10" t="str">
        <f>IF(A57="","",IF(H57&lt;&gt;"",H57,IF(UPPER(TRIM(B57))="PIPE",Inputs!$B$7,IF(UPPER(TRIM(B57))="SWALE",Inputs!$B$8,Inputs!$B$9))))</f>
        <v/>
      </c>
      <c r="J57" s="8"/>
      <c r="K57" s="8"/>
      <c r="L57" s="8"/>
      <c r="M57" s="8"/>
      <c r="N57" s="8">
        <v>0</v>
      </c>
      <c r="O57" s="10" t="str">
        <f>IF(A57="","",SUMIFS(Zones_tributaires!$I:$I,Zones_tributaires!$J:$J,$A57))</f>
        <v/>
      </c>
      <c r="P57" s="10" t="str">
        <f t="shared" si="0"/>
        <v/>
      </c>
      <c r="Q57" s="10" t="str">
        <f>IF(A57="","",(O57+P57)*Inputs!$B$6)</f>
        <v/>
      </c>
      <c r="R57" s="10" t="str">
        <f t="shared" si="1"/>
        <v/>
      </c>
      <c r="S57" s="10" t="str">
        <f t="shared" si="2"/>
        <v/>
      </c>
      <c r="T57" s="10" t="str">
        <f t="shared" si="3"/>
        <v/>
      </c>
      <c r="U57" s="10" t="str">
        <f>IF(OR(T57="",Q57=""),"",Q57/(T57*Inputs!$B$19))</f>
        <v/>
      </c>
      <c r="V57" s="10" t="str">
        <f t="shared" si="4"/>
        <v/>
      </c>
      <c r="W57" s="10" t="str">
        <f t="shared" si="5"/>
        <v/>
      </c>
      <c r="X57" s="10" t="str">
        <f>IF(A57="","",IF(OR(UPPER(TRIM(Inputs!$B$15))="MANNING",UPPER(TRIM(Inputs!$B$15))="M"),W57,IF(OR(UPPER(TRIM(Inputs!$B$15))="MAX",UPPER(TRIM(Inputs!$B$15))="X"),MAX(V57,W57),V57)))</f>
        <v/>
      </c>
      <c r="Y57" s="10" t="str">
        <f t="shared" si="6"/>
        <v/>
      </c>
      <c r="Z57" s="10" t="str">
        <f t="shared" si="7"/>
        <v/>
      </c>
      <c r="AA57" s="3" t="str">
        <f>IF(A57="","",IF(OR(U57&gt;1,AND(X57&lt;&gt;"",X57&lt;Inputs!$B$16),AND(X57&lt;&gt;"",X57&gt;Inputs!$B$17),G57&lt;Inputs!$B$18,AH57="CHECK"),"CHECK","OK"))</f>
        <v/>
      </c>
      <c r="AB57" s="3"/>
      <c r="AC57" s="8"/>
      <c r="AD57" s="10" t="str">
        <f>IF(A57="","",IF(AC57&lt;&gt;"",AC57,IF(E57="",Inputs!$B$38,IFERROR(INDEX($AE$4:$AE$204,MATCH(E57,$A$4:$A$204,0))+IF(OR(AND(UPPER(TRIM(B57))="SWALE",UPPER(TRIM(AI57))="PIPE"),AND(UPPER(TRIM(B57))="TRENCH",UPPER(TRIM(AI57))="PIPE")),Inputs!$B$57,0),""))))</f>
        <v/>
      </c>
      <c r="AE57" s="10" t="str">
        <f t="shared" si="8"/>
        <v/>
      </c>
      <c r="AF57" s="10" t="str">
        <f t="shared" si="9"/>
        <v/>
      </c>
      <c r="AG57" s="10" t="str">
        <f t="shared" si="10"/>
        <v/>
      </c>
      <c r="AH57" s="3" t="str">
        <f>IF(A57="","",IF(E57="","TERMINAL",IF(OR(AND(UPPER(TRIM(B57))="SWALE",UPPER(TRIM(AI57))="PIPE"),AND(UPPER(TRIM(B57))="TRENCH",UPPER(TRIM(AI57))="PIPE")),IF(OR(AG57="",AJ57="",AK57=""),"INFO",IF(AND(AG57&gt;=AJ57,AG57&lt;=AK57),"OK","CHECK")),IF(AG57="","INFO",IF(ABS(AG57)&lt;=Inputs!$B$54,"OK","CHECK")))))</f>
        <v/>
      </c>
      <c r="AI57" s="11" t="str">
        <f t="shared" si="11"/>
        <v/>
      </c>
      <c r="AJ57" s="11" t="str">
        <f>IF(A57="","",IF(OR(AND(UPPER(TRIM(B57))="SWALE",UPPER(TRIM(AI57))="PIPE"),AND(UPPER(TRIM(B57))="TRENCH",UPPER(TRIM(AI57))="PIPE")),Inputs!$B$55,0))</f>
        <v/>
      </c>
      <c r="AK57" s="11" t="str">
        <f>IF(A57="","",IF(OR(AND(UPPER(TRIM(B57))="SWALE",UPPER(TRIM(AI57))="PIPE"),AND(UPPER(TRIM(B57))="TRENCH",UPPER(TRIM(AI57))="PIPE")),Inputs!$B$56,Inputs!$B$54))</f>
        <v/>
      </c>
      <c r="AL57" s="3" t="str">
        <f t="shared" si="12"/>
        <v/>
      </c>
    </row>
    <row r="58" spans="1:38" x14ac:dyDescent="0.25">
      <c r="A58" s="3"/>
      <c r="B58" s="3"/>
      <c r="C58" s="3"/>
      <c r="D58" s="3"/>
      <c r="E58" s="3"/>
      <c r="F58" s="8"/>
      <c r="G58" s="8"/>
      <c r="H58" s="8"/>
      <c r="I58" s="10" t="str">
        <f>IF(A58="","",IF(H58&lt;&gt;"",H58,IF(UPPER(TRIM(B58))="PIPE",Inputs!$B$7,IF(UPPER(TRIM(B58))="SWALE",Inputs!$B$8,Inputs!$B$9))))</f>
        <v/>
      </c>
      <c r="J58" s="8"/>
      <c r="K58" s="8"/>
      <c r="L58" s="8"/>
      <c r="M58" s="8"/>
      <c r="N58" s="8">
        <v>0</v>
      </c>
      <c r="O58" s="10" t="str">
        <f>IF(A58="","",SUMIFS(Zones_tributaires!$I:$I,Zones_tributaires!$J:$J,$A58))</f>
        <v/>
      </c>
      <c r="P58" s="10" t="str">
        <f t="shared" si="0"/>
        <v/>
      </c>
      <c r="Q58" s="10" t="str">
        <f>IF(A58="","",(O58+P58)*Inputs!$B$6)</f>
        <v/>
      </c>
      <c r="R58" s="10" t="str">
        <f t="shared" si="1"/>
        <v/>
      </c>
      <c r="S58" s="10" t="str">
        <f t="shared" si="2"/>
        <v/>
      </c>
      <c r="T58" s="10" t="str">
        <f t="shared" si="3"/>
        <v/>
      </c>
      <c r="U58" s="10" t="str">
        <f>IF(OR(T58="",Q58=""),"",Q58/(T58*Inputs!$B$19))</f>
        <v/>
      </c>
      <c r="V58" s="10" t="str">
        <f t="shared" si="4"/>
        <v/>
      </c>
      <c r="W58" s="10" t="str">
        <f t="shared" si="5"/>
        <v/>
      </c>
      <c r="X58" s="10" t="str">
        <f>IF(A58="","",IF(OR(UPPER(TRIM(Inputs!$B$15))="MANNING",UPPER(TRIM(Inputs!$B$15))="M"),W58,IF(OR(UPPER(TRIM(Inputs!$B$15))="MAX",UPPER(TRIM(Inputs!$B$15))="X"),MAX(V58,W58),V58)))</f>
        <v/>
      </c>
      <c r="Y58" s="10" t="str">
        <f t="shared" si="6"/>
        <v/>
      </c>
      <c r="Z58" s="10" t="str">
        <f t="shared" si="7"/>
        <v/>
      </c>
      <c r="AA58" s="3" t="str">
        <f>IF(A58="","",IF(OR(U58&gt;1,AND(X58&lt;&gt;"",X58&lt;Inputs!$B$16),AND(X58&lt;&gt;"",X58&gt;Inputs!$B$17),G58&lt;Inputs!$B$18,AH58="CHECK"),"CHECK","OK"))</f>
        <v/>
      </c>
      <c r="AB58" s="3"/>
      <c r="AC58" s="8"/>
      <c r="AD58" s="10" t="str">
        <f>IF(A58="","",IF(AC58&lt;&gt;"",AC58,IF(E58="",Inputs!$B$38,IFERROR(INDEX($AE$4:$AE$204,MATCH(E58,$A$4:$A$204,0))+IF(OR(AND(UPPER(TRIM(B58))="SWALE",UPPER(TRIM(AI58))="PIPE"),AND(UPPER(TRIM(B58))="TRENCH",UPPER(TRIM(AI58))="PIPE")),Inputs!$B$57,0),""))))</f>
        <v/>
      </c>
      <c r="AE58" s="10" t="str">
        <f t="shared" si="8"/>
        <v/>
      </c>
      <c r="AF58" s="10" t="str">
        <f t="shared" si="9"/>
        <v/>
      </c>
      <c r="AG58" s="10" t="str">
        <f t="shared" si="10"/>
        <v/>
      </c>
      <c r="AH58" s="3" t="str">
        <f>IF(A58="","",IF(E58="","TERMINAL",IF(OR(AND(UPPER(TRIM(B58))="SWALE",UPPER(TRIM(AI58))="PIPE"),AND(UPPER(TRIM(B58))="TRENCH",UPPER(TRIM(AI58))="PIPE")),IF(OR(AG58="",AJ58="",AK58=""),"INFO",IF(AND(AG58&gt;=AJ58,AG58&lt;=AK58),"OK","CHECK")),IF(AG58="","INFO",IF(ABS(AG58)&lt;=Inputs!$B$54,"OK","CHECK")))))</f>
        <v/>
      </c>
      <c r="AI58" s="11" t="str">
        <f t="shared" si="11"/>
        <v/>
      </c>
      <c r="AJ58" s="11" t="str">
        <f>IF(A58="","",IF(OR(AND(UPPER(TRIM(B58))="SWALE",UPPER(TRIM(AI58))="PIPE"),AND(UPPER(TRIM(B58))="TRENCH",UPPER(TRIM(AI58))="PIPE")),Inputs!$B$55,0))</f>
        <v/>
      </c>
      <c r="AK58" s="11" t="str">
        <f>IF(A58="","",IF(OR(AND(UPPER(TRIM(B58))="SWALE",UPPER(TRIM(AI58))="PIPE"),AND(UPPER(TRIM(B58))="TRENCH",UPPER(TRIM(AI58))="PIPE")),Inputs!$B$56,Inputs!$B$54))</f>
        <v/>
      </c>
      <c r="AL58" s="3" t="str">
        <f t="shared" si="12"/>
        <v/>
      </c>
    </row>
    <row r="59" spans="1:38" x14ac:dyDescent="0.25">
      <c r="A59" s="3"/>
      <c r="B59" s="3"/>
      <c r="C59" s="3"/>
      <c r="D59" s="3"/>
      <c r="E59" s="3"/>
      <c r="F59" s="8"/>
      <c r="G59" s="8"/>
      <c r="H59" s="8"/>
      <c r="I59" s="10" t="str">
        <f>IF(A59="","",IF(H59&lt;&gt;"",H59,IF(UPPER(TRIM(B59))="PIPE",Inputs!$B$7,IF(UPPER(TRIM(B59))="SWALE",Inputs!$B$8,Inputs!$B$9))))</f>
        <v/>
      </c>
      <c r="J59" s="8"/>
      <c r="K59" s="8"/>
      <c r="L59" s="8"/>
      <c r="M59" s="8"/>
      <c r="N59" s="8">
        <v>0</v>
      </c>
      <c r="O59" s="10" t="str">
        <f>IF(A59="","",SUMIFS(Zones_tributaires!$I:$I,Zones_tributaires!$J:$J,$A59))</f>
        <v/>
      </c>
      <c r="P59" s="10" t="str">
        <f t="shared" si="0"/>
        <v/>
      </c>
      <c r="Q59" s="10" t="str">
        <f>IF(A59="","",(O59+P59)*Inputs!$B$6)</f>
        <v/>
      </c>
      <c r="R59" s="10" t="str">
        <f t="shared" si="1"/>
        <v/>
      </c>
      <c r="S59" s="10" t="str">
        <f t="shared" si="2"/>
        <v/>
      </c>
      <c r="T59" s="10" t="str">
        <f t="shared" si="3"/>
        <v/>
      </c>
      <c r="U59" s="10" t="str">
        <f>IF(OR(T59="",Q59=""),"",Q59/(T59*Inputs!$B$19))</f>
        <v/>
      </c>
      <c r="V59" s="10" t="str">
        <f t="shared" si="4"/>
        <v/>
      </c>
      <c r="W59" s="10" t="str">
        <f t="shared" si="5"/>
        <v/>
      </c>
      <c r="X59" s="10" t="str">
        <f>IF(A59="","",IF(OR(UPPER(TRIM(Inputs!$B$15))="MANNING",UPPER(TRIM(Inputs!$B$15))="M"),W59,IF(OR(UPPER(TRIM(Inputs!$B$15))="MAX",UPPER(TRIM(Inputs!$B$15))="X"),MAX(V59,W59),V59)))</f>
        <v/>
      </c>
      <c r="Y59" s="10" t="str">
        <f t="shared" si="6"/>
        <v/>
      </c>
      <c r="Z59" s="10" t="str">
        <f t="shared" si="7"/>
        <v/>
      </c>
      <c r="AA59" s="3" t="str">
        <f>IF(A59="","",IF(OR(U59&gt;1,AND(X59&lt;&gt;"",X59&lt;Inputs!$B$16),AND(X59&lt;&gt;"",X59&gt;Inputs!$B$17),G59&lt;Inputs!$B$18,AH59="CHECK"),"CHECK","OK"))</f>
        <v/>
      </c>
      <c r="AB59" s="3"/>
      <c r="AC59" s="8"/>
      <c r="AD59" s="10" t="str">
        <f>IF(A59="","",IF(AC59&lt;&gt;"",AC59,IF(E59="",Inputs!$B$38,IFERROR(INDEX($AE$4:$AE$204,MATCH(E59,$A$4:$A$204,0))+IF(OR(AND(UPPER(TRIM(B59))="SWALE",UPPER(TRIM(AI59))="PIPE"),AND(UPPER(TRIM(B59))="TRENCH",UPPER(TRIM(AI59))="PIPE")),Inputs!$B$57,0),""))))</f>
        <v/>
      </c>
      <c r="AE59" s="10" t="str">
        <f t="shared" si="8"/>
        <v/>
      </c>
      <c r="AF59" s="10" t="str">
        <f t="shared" si="9"/>
        <v/>
      </c>
      <c r="AG59" s="10" t="str">
        <f t="shared" si="10"/>
        <v/>
      </c>
      <c r="AH59" s="3" t="str">
        <f>IF(A59="","",IF(E59="","TERMINAL",IF(OR(AND(UPPER(TRIM(B59))="SWALE",UPPER(TRIM(AI59))="PIPE"),AND(UPPER(TRIM(B59))="TRENCH",UPPER(TRIM(AI59))="PIPE")),IF(OR(AG59="",AJ59="",AK59=""),"INFO",IF(AND(AG59&gt;=AJ59,AG59&lt;=AK59),"OK","CHECK")),IF(AG59="","INFO",IF(ABS(AG59)&lt;=Inputs!$B$54,"OK","CHECK")))))</f>
        <v/>
      </c>
      <c r="AI59" s="11" t="str">
        <f t="shared" si="11"/>
        <v/>
      </c>
      <c r="AJ59" s="11" t="str">
        <f>IF(A59="","",IF(OR(AND(UPPER(TRIM(B59))="SWALE",UPPER(TRIM(AI59))="PIPE"),AND(UPPER(TRIM(B59))="TRENCH",UPPER(TRIM(AI59))="PIPE")),Inputs!$B$55,0))</f>
        <v/>
      </c>
      <c r="AK59" s="11" t="str">
        <f>IF(A59="","",IF(OR(AND(UPPER(TRIM(B59))="SWALE",UPPER(TRIM(AI59))="PIPE"),AND(UPPER(TRIM(B59))="TRENCH",UPPER(TRIM(AI59))="PIPE")),Inputs!$B$56,Inputs!$B$54))</f>
        <v/>
      </c>
      <c r="AL59" s="3" t="str">
        <f t="shared" si="12"/>
        <v/>
      </c>
    </row>
    <row r="60" spans="1:38" x14ac:dyDescent="0.25">
      <c r="A60" s="3"/>
      <c r="B60" s="3"/>
      <c r="C60" s="3"/>
      <c r="D60" s="3"/>
      <c r="E60" s="3"/>
      <c r="F60" s="8"/>
      <c r="G60" s="8"/>
      <c r="H60" s="8"/>
      <c r="I60" s="10" t="str">
        <f>IF(A60="","",IF(H60&lt;&gt;"",H60,IF(UPPER(TRIM(B60))="PIPE",Inputs!$B$7,IF(UPPER(TRIM(B60))="SWALE",Inputs!$B$8,Inputs!$B$9))))</f>
        <v/>
      </c>
      <c r="J60" s="8"/>
      <c r="K60" s="8"/>
      <c r="L60" s="8"/>
      <c r="M60" s="8"/>
      <c r="N60" s="8">
        <v>0</v>
      </c>
      <c r="O60" s="10" t="str">
        <f>IF(A60="","",SUMIFS(Zones_tributaires!$I:$I,Zones_tributaires!$J:$J,$A60))</f>
        <v/>
      </c>
      <c r="P60" s="10" t="str">
        <f t="shared" si="0"/>
        <v/>
      </c>
      <c r="Q60" s="10" t="str">
        <f>IF(A60="","",(O60+P60)*Inputs!$B$6)</f>
        <v/>
      </c>
      <c r="R60" s="10" t="str">
        <f t="shared" si="1"/>
        <v/>
      </c>
      <c r="S60" s="10" t="str">
        <f t="shared" si="2"/>
        <v/>
      </c>
      <c r="T60" s="10" t="str">
        <f t="shared" si="3"/>
        <v/>
      </c>
      <c r="U60" s="10" t="str">
        <f>IF(OR(T60="",Q60=""),"",Q60/(T60*Inputs!$B$19))</f>
        <v/>
      </c>
      <c r="V60" s="10" t="str">
        <f t="shared" si="4"/>
        <v/>
      </c>
      <c r="W60" s="10" t="str">
        <f t="shared" si="5"/>
        <v/>
      </c>
      <c r="X60" s="10" t="str">
        <f>IF(A60="","",IF(OR(UPPER(TRIM(Inputs!$B$15))="MANNING",UPPER(TRIM(Inputs!$B$15))="M"),W60,IF(OR(UPPER(TRIM(Inputs!$B$15))="MAX",UPPER(TRIM(Inputs!$B$15))="X"),MAX(V60,W60),V60)))</f>
        <v/>
      </c>
      <c r="Y60" s="10" t="str">
        <f t="shared" si="6"/>
        <v/>
      </c>
      <c r="Z60" s="10" t="str">
        <f t="shared" si="7"/>
        <v/>
      </c>
      <c r="AA60" s="3" t="str">
        <f>IF(A60="","",IF(OR(U60&gt;1,AND(X60&lt;&gt;"",X60&lt;Inputs!$B$16),AND(X60&lt;&gt;"",X60&gt;Inputs!$B$17),G60&lt;Inputs!$B$18,AH60="CHECK"),"CHECK","OK"))</f>
        <v/>
      </c>
      <c r="AB60" s="3"/>
      <c r="AC60" s="8"/>
      <c r="AD60" s="10" t="str">
        <f>IF(A60="","",IF(AC60&lt;&gt;"",AC60,IF(E60="",Inputs!$B$38,IFERROR(INDEX($AE$4:$AE$204,MATCH(E60,$A$4:$A$204,0))+IF(OR(AND(UPPER(TRIM(B60))="SWALE",UPPER(TRIM(AI60))="PIPE"),AND(UPPER(TRIM(B60))="TRENCH",UPPER(TRIM(AI60))="PIPE")),Inputs!$B$57,0),""))))</f>
        <v/>
      </c>
      <c r="AE60" s="10" t="str">
        <f t="shared" si="8"/>
        <v/>
      </c>
      <c r="AF60" s="10" t="str">
        <f t="shared" si="9"/>
        <v/>
      </c>
      <c r="AG60" s="10" t="str">
        <f t="shared" si="10"/>
        <v/>
      </c>
      <c r="AH60" s="3" t="str">
        <f>IF(A60="","",IF(E60="","TERMINAL",IF(OR(AND(UPPER(TRIM(B60))="SWALE",UPPER(TRIM(AI60))="PIPE"),AND(UPPER(TRIM(B60))="TRENCH",UPPER(TRIM(AI60))="PIPE")),IF(OR(AG60="",AJ60="",AK60=""),"INFO",IF(AND(AG60&gt;=AJ60,AG60&lt;=AK60),"OK","CHECK")),IF(AG60="","INFO",IF(ABS(AG60)&lt;=Inputs!$B$54,"OK","CHECK")))))</f>
        <v/>
      </c>
      <c r="AI60" s="11" t="str">
        <f t="shared" si="11"/>
        <v/>
      </c>
      <c r="AJ60" s="11" t="str">
        <f>IF(A60="","",IF(OR(AND(UPPER(TRIM(B60))="SWALE",UPPER(TRIM(AI60))="PIPE"),AND(UPPER(TRIM(B60))="TRENCH",UPPER(TRIM(AI60))="PIPE")),Inputs!$B$55,0))</f>
        <v/>
      </c>
      <c r="AK60" s="11" t="str">
        <f>IF(A60="","",IF(OR(AND(UPPER(TRIM(B60))="SWALE",UPPER(TRIM(AI60))="PIPE"),AND(UPPER(TRIM(B60))="TRENCH",UPPER(TRIM(AI60))="PIPE")),Inputs!$B$56,Inputs!$B$54))</f>
        <v/>
      </c>
      <c r="AL60" s="3" t="str">
        <f t="shared" si="12"/>
        <v/>
      </c>
    </row>
    <row r="61" spans="1:38" x14ac:dyDescent="0.25">
      <c r="A61" s="3"/>
      <c r="B61" s="3"/>
      <c r="C61" s="3"/>
      <c r="D61" s="3"/>
      <c r="E61" s="3"/>
      <c r="F61" s="8"/>
      <c r="G61" s="8"/>
      <c r="H61" s="8"/>
      <c r="I61" s="10" t="str">
        <f>IF(A61="","",IF(H61&lt;&gt;"",H61,IF(UPPER(TRIM(B61))="PIPE",Inputs!$B$7,IF(UPPER(TRIM(B61))="SWALE",Inputs!$B$8,Inputs!$B$9))))</f>
        <v/>
      </c>
      <c r="J61" s="8"/>
      <c r="K61" s="8"/>
      <c r="L61" s="8"/>
      <c r="M61" s="8"/>
      <c r="N61" s="8">
        <v>0</v>
      </c>
      <c r="O61" s="10" t="str">
        <f>IF(A61="","",SUMIFS(Zones_tributaires!$I:$I,Zones_tributaires!$J:$J,$A61))</f>
        <v/>
      </c>
      <c r="P61" s="10" t="str">
        <f t="shared" si="0"/>
        <v/>
      </c>
      <c r="Q61" s="10" t="str">
        <f>IF(A61="","",(O61+P61)*Inputs!$B$6)</f>
        <v/>
      </c>
      <c r="R61" s="10" t="str">
        <f t="shared" si="1"/>
        <v/>
      </c>
      <c r="S61" s="10" t="str">
        <f t="shared" si="2"/>
        <v/>
      </c>
      <c r="T61" s="10" t="str">
        <f t="shared" si="3"/>
        <v/>
      </c>
      <c r="U61" s="10" t="str">
        <f>IF(OR(T61="",Q61=""),"",Q61/(T61*Inputs!$B$19))</f>
        <v/>
      </c>
      <c r="V61" s="10" t="str">
        <f t="shared" si="4"/>
        <v/>
      </c>
      <c r="W61" s="10" t="str">
        <f t="shared" si="5"/>
        <v/>
      </c>
      <c r="X61" s="10" t="str">
        <f>IF(A61="","",IF(OR(UPPER(TRIM(Inputs!$B$15))="MANNING",UPPER(TRIM(Inputs!$B$15))="M"),W61,IF(OR(UPPER(TRIM(Inputs!$B$15))="MAX",UPPER(TRIM(Inputs!$B$15))="X"),MAX(V61,W61),V61)))</f>
        <v/>
      </c>
      <c r="Y61" s="10" t="str">
        <f t="shared" si="6"/>
        <v/>
      </c>
      <c r="Z61" s="10" t="str">
        <f t="shared" si="7"/>
        <v/>
      </c>
      <c r="AA61" s="3" t="str">
        <f>IF(A61="","",IF(OR(U61&gt;1,AND(X61&lt;&gt;"",X61&lt;Inputs!$B$16),AND(X61&lt;&gt;"",X61&gt;Inputs!$B$17),G61&lt;Inputs!$B$18,AH61="CHECK"),"CHECK","OK"))</f>
        <v/>
      </c>
      <c r="AB61" s="3"/>
      <c r="AC61" s="8"/>
      <c r="AD61" s="10" t="str">
        <f>IF(A61="","",IF(AC61&lt;&gt;"",AC61,IF(E61="",Inputs!$B$38,IFERROR(INDEX($AE$4:$AE$204,MATCH(E61,$A$4:$A$204,0))+IF(OR(AND(UPPER(TRIM(B61))="SWALE",UPPER(TRIM(AI61))="PIPE"),AND(UPPER(TRIM(B61))="TRENCH",UPPER(TRIM(AI61))="PIPE")),Inputs!$B$57,0),""))))</f>
        <v/>
      </c>
      <c r="AE61" s="10" t="str">
        <f t="shared" si="8"/>
        <v/>
      </c>
      <c r="AF61" s="10" t="str">
        <f t="shared" si="9"/>
        <v/>
      </c>
      <c r="AG61" s="10" t="str">
        <f t="shared" si="10"/>
        <v/>
      </c>
      <c r="AH61" s="3" t="str">
        <f>IF(A61="","",IF(E61="","TERMINAL",IF(OR(AND(UPPER(TRIM(B61))="SWALE",UPPER(TRIM(AI61))="PIPE"),AND(UPPER(TRIM(B61))="TRENCH",UPPER(TRIM(AI61))="PIPE")),IF(OR(AG61="",AJ61="",AK61=""),"INFO",IF(AND(AG61&gt;=AJ61,AG61&lt;=AK61),"OK","CHECK")),IF(AG61="","INFO",IF(ABS(AG61)&lt;=Inputs!$B$54,"OK","CHECK")))))</f>
        <v/>
      </c>
      <c r="AI61" s="11" t="str">
        <f t="shared" si="11"/>
        <v/>
      </c>
      <c r="AJ61" s="11" t="str">
        <f>IF(A61="","",IF(OR(AND(UPPER(TRIM(B61))="SWALE",UPPER(TRIM(AI61))="PIPE"),AND(UPPER(TRIM(B61))="TRENCH",UPPER(TRIM(AI61))="PIPE")),Inputs!$B$55,0))</f>
        <v/>
      </c>
      <c r="AK61" s="11" t="str">
        <f>IF(A61="","",IF(OR(AND(UPPER(TRIM(B61))="SWALE",UPPER(TRIM(AI61))="PIPE"),AND(UPPER(TRIM(B61))="TRENCH",UPPER(TRIM(AI61))="PIPE")),Inputs!$B$56,Inputs!$B$54))</f>
        <v/>
      </c>
      <c r="AL61" s="3" t="str">
        <f t="shared" si="12"/>
        <v/>
      </c>
    </row>
    <row r="62" spans="1:38" x14ac:dyDescent="0.25">
      <c r="A62" s="3"/>
      <c r="B62" s="3"/>
      <c r="C62" s="3"/>
      <c r="D62" s="3"/>
      <c r="E62" s="3"/>
      <c r="F62" s="8"/>
      <c r="G62" s="8"/>
      <c r="H62" s="8"/>
      <c r="I62" s="10" t="str">
        <f>IF(A62="","",IF(H62&lt;&gt;"",H62,IF(UPPER(TRIM(B62))="PIPE",Inputs!$B$7,IF(UPPER(TRIM(B62))="SWALE",Inputs!$B$8,Inputs!$B$9))))</f>
        <v/>
      </c>
      <c r="J62" s="8"/>
      <c r="K62" s="8"/>
      <c r="L62" s="8"/>
      <c r="M62" s="8"/>
      <c r="N62" s="8">
        <v>0</v>
      </c>
      <c r="O62" s="10" t="str">
        <f>IF(A62="","",SUMIFS(Zones_tributaires!$I:$I,Zones_tributaires!$J:$J,$A62))</f>
        <v/>
      </c>
      <c r="P62" s="10" t="str">
        <f t="shared" si="0"/>
        <v/>
      </c>
      <c r="Q62" s="10" t="str">
        <f>IF(A62="","",(O62+P62)*Inputs!$B$6)</f>
        <v/>
      </c>
      <c r="R62" s="10" t="str">
        <f t="shared" si="1"/>
        <v/>
      </c>
      <c r="S62" s="10" t="str">
        <f t="shared" si="2"/>
        <v/>
      </c>
      <c r="T62" s="10" t="str">
        <f t="shared" si="3"/>
        <v/>
      </c>
      <c r="U62" s="10" t="str">
        <f>IF(OR(T62="",Q62=""),"",Q62/(T62*Inputs!$B$19))</f>
        <v/>
      </c>
      <c r="V62" s="10" t="str">
        <f t="shared" si="4"/>
        <v/>
      </c>
      <c r="W62" s="10" t="str">
        <f t="shared" si="5"/>
        <v/>
      </c>
      <c r="X62" s="10" t="str">
        <f>IF(A62="","",IF(OR(UPPER(TRIM(Inputs!$B$15))="MANNING",UPPER(TRIM(Inputs!$B$15))="M"),W62,IF(OR(UPPER(TRIM(Inputs!$B$15))="MAX",UPPER(TRIM(Inputs!$B$15))="X"),MAX(V62,W62),V62)))</f>
        <v/>
      </c>
      <c r="Y62" s="10" t="str">
        <f t="shared" si="6"/>
        <v/>
      </c>
      <c r="Z62" s="10" t="str">
        <f t="shared" si="7"/>
        <v/>
      </c>
      <c r="AA62" s="3" t="str">
        <f>IF(A62="","",IF(OR(U62&gt;1,AND(X62&lt;&gt;"",X62&lt;Inputs!$B$16),AND(X62&lt;&gt;"",X62&gt;Inputs!$B$17),G62&lt;Inputs!$B$18,AH62="CHECK"),"CHECK","OK"))</f>
        <v/>
      </c>
      <c r="AB62" s="3"/>
      <c r="AC62" s="8"/>
      <c r="AD62" s="10" t="str">
        <f>IF(A62="","",IF(AC62&lt;&gt;"",AC62,IF(E62="",Inputs!$B$38,IFERROR(INDEX($AE$4:$AE$204,MATCH(E62,$A$4:$A$204,0))+IF(OR(AND(UPPER(TRIM(B62))="SWALE",UPPER(TRIM(AI62))="PIPE"),AND(UPPER(TRIM(B62))="TRENCH",UPPER(TRIM(AI62))="PIPE")),Inputs!$B$57,0),""))))</f>
        <v/>
      </c>
      <c r="AE62" s="10" t="str">
        <f t="shared" si="8"/>
        <v/>
      </c>
      <c r="AF62" s="10" t="str">
        <f t="shared" si="9"/>
        <v/>
      </c>
      <c r="AG62" s="10" t="str">
        <f t="shared" si="10"/>
        <v/>
      </c>
      <c r="AH62" s="3" t="str">
        <f>IF(A62="","",IF(E62="","TERMINAL",IF(OR(AND(UPPER(TRIM(B62))="SWALE",UPPER(TRIM(AI62))="PIPE"),AND(UPPER(TRIM(B62))="TRENCH",UPPER(TRIM(AI62))="PIPE")),IF(OR(AG62="",AJ62="",AK62=""),"INFO",IF(AND(AG62&gt;=AJ62,AG62&lt;=AK62),"OK","CHECK")),IF(AG62="","INFO",IF(ABS(AG62)&lt;=Inputs!$B$54,"OK","CHECK")))))</f>
        <v/>
      </c>
      <c r="AI62" s="11" t="str">
        <f t="shared" si="11"/>
        <v/>
      </c>
      <c r="AJ62" s="11" t="str">
        <f>IF(A62="","",IF(OR(AND(UPPER(TRIM(B62))="SWALE",UPPER(TRIM(AI62))="PIPE"),AND(UPPER(TRIM(B62))="TRENCH",UPPER(TRIM(AI62))="PIPE")),Inputs!$B$55,0))</f>
        <v/>
      </c>
      <c r="AK62" s="11" t="str">
        <f>IF(A62="","",IF(OR(AND(UPPER(TRIM(B62))="SWALE",UPPER(TRIM(AI62))="PIPE"),AND(UPPER(TRIM(B62))="TRENCH",UPPER(TRIM(AI62))="PIPE")),Inputs!$B$56,Inputs!$B$54))</f>
        <v/>
      </c>
      <c r="AL62" s="3" t="str">
        <f t="shared" si="12"/>
        <v/>
      </c>
    </row>
    <row r="63" spans="1:38" x14ac:dyDescent="0.25">
      <c r="A63" s="3"/>
      <c r="B63" s="3"/>
      <c r="C63" s="3"/>
      <c r="D63" s="3"/>
      <c r="E63" s="3"/>
      <c r="F63" s="8"/>
      <c r="G63" s="8"/>
      <c r="H63" s="8"/>
      <c r="I63" s="10" t="str">
        <f>IF(A63="","",IF(H63&lt;&gt;"",H63,IF(UPPER(TRIM(B63))="PIPE",Inputs!$B$7,IF(UPPER(TRIM(B63))="SWALE",Inputs!$B$8,Inputs!$B$9))))</f>
        <v/>
      </c>
      <c r="J63" s="8"/>
      <c r="K63" s="8"/>
      <c r="L63" s="8"/>
      <c r="M63" s="8"/>
      <c r="N63" s="8">
        <v>0</v>
      </c>
      <c r="O63" s="10" t="str">
        <f>IF(A63="","",SUMIFS(Zones_tributaires!$I:$I,Zones_tributaires!$J:$J,$A63))</f>
        <v/>
      </c>
      <c r="P63" s="10" t="str">
        <f t="shared" si="0"/>
        <v/>
      </c>
      <c r="Q63" s="10" t="str">
        <f>IF(A63="","",(O63+P63)*Inputs!$B$6)</f>
        <v/>
      </c>
      <c r="R63" s="10" t="str">
        <f t="shared" si="1"/>
        <v/>
      </c>
      <c r="S63" s="10" t="str">
        <f t="shared" si="2"/>
        <v/>
      </c>
      <c r="T63" s="10" t="str">
        <f t="shared" si="3"/>
        <v/>
      </c>
      <c r="U63" s="10" t="str">
        <f>IF(OR(T63="",Q63=""),"",Q63/(T63*Inputs!$B$19))</f>
        <v/>
      </c>
      <c r="V63" s="10" t="str">
        <f t="shared" si="4"/>
        <v/>
      </c>
      <c r="W63" s="10" t="str">
        <f t="shared" si="5"/>
        <v/>
      </c>
      <c r="X63" s="10" t="str">
        <f>IF(A63="","",IF(OR(UPPER(TRIM(Inputs!$B$15))="MANNING",UPPER(TRIM(Inputs!$B$15))="M"),W63,IF(OR(UPPER(TRIM(Inputs!$B$15))="MAX",UPPER(TRIM(Inputs!$B$15))="X"),MAX(V63,W63),V63)))</f>
        <v/>
      </c>
      <c r="Y63" s="10" t="str">
        <f t="shared" si="6"/>
        <v/>
      </c>
      <c r="Z63" s="10" t="str">
        <f t="shared" si="7"/>
        <v/>
      </c>
      <c r="AA63" s="3" t="str">
        <f>IF(A63="","",IF(OR(U63&gt;1,AND(X63&lt;&gt;"",X63&lt;Inputs!$B$16),AND(X63&lt;&gt;"",X63&gt;Inputs!$B$17),G63&lt;Inputs!$B$18,AH63="CHECK"),"CHECK","OK"))</f>
        <v/>
      </c>
      <c r="AB63" s="3"/>
      <c r="AC63" s="8"/>
      <c r="AD63" s="10" t="str">
        <f>IF(A63="","",IF(AC63&lt;&gt;"",AC63,IF(E63="",Inputs!$B$38,IFERROR(INDEX($AE$4:$AE$204,MATCH(E63,$A$4:$A$204,0))+IF(OR(AND(UPPER(TRIM(B63))="SWALE",UPPER(TRIM(AI63))="PIPE"),AND(UPPER(TRIM(B63))="TRENCH",UPPER(TRIM(AI63))="PIPE")),Inputs!$B$57,0),""))))</f>
        <v/>
      </c>
      <c r="AE63" s="10" t="str">
        <f t="shared" si="8"/>
        <v/>
      </c>
      <c r="AF63" s="10" t="str">
        <f t="shared" si="9"/>
        <v/>
      </c>
      <c r="AG63" s="10" t="str">
        <f t="shared" si="10"/>
        <v/>
      </c>
      <c r="AH63" s="3" t="str">
        <f>IF(A63="","",IF(E63="","TERMINAL",IF(OR(AND(UPPER(TRIM(B63))="SWALE",UPPER(TRIM(AI63))="PIPE"),AND(UPPER(TRIM(B63))="TRENCH",UPPER(TRIM(AI63))="PIPE")),IF(OR(AG63="",AJ63="",AK63=""),"INFO",IF(AND(AG63&gt;=AJ63,AG63&lt;=AK63),"OK","CHECK")),IF(AG63="","INFO",IF(ABS(AG63)&lt;=Inputs!$B$54,"OK","CHECK")))))</f>
        <v/>
      </c>
      <c r="AI63" s="11" t="str">
        <f t="shared" si="11"/>
        <v/>
      </c>
      <c r="AJ63" s="11" t="str">
        <f>IF(A63="","",IF(OR(AND(UPPER(TRIM(B63))="SWALE",UPPER(TRIM(AI63))="PIPE"),AND(UPPER(TRIM(B63))="TRENCH",UPPER(TRIM(AI63))="PIPE")),Inputs!$B$55,0))</f>
        <v/>
      </c>
      <c r="AK63" s="11" t="str">
        <f>IF(A63="","",IF(OR(AND(UPPER(TRIM(B63))="SWALE",UPPER(TRIM(AI63))="PIPE"),AND(UPPER(TRIM(B63))="TRENCH",UPPER(TRIM(AI63))="PIPE")),Inputs!$B$56,Inputs!$B$54))</f>
        <v/>
      </c>
      <c r="AL63" s="3" t="str">
        <f t="shared" si="12"/>
        <v/>
      </c>
    </row>
    <row r="64" spans="1:38" x14ac:dyDescent="0.25">
      <c r="A64" s="3"/>
      <c r="B64" s="3"/>
      <c r="C64" s="3"/>
      <c r="D64" s="3"/>
      <c r="E64" s="3"/>
      <c r="F64" s="8"/>
      <c r="G64" s="8"/>
      <c r="H64" s="8"/>
      <c r="I64" s="10" t="str">
        <f>IF(A64="","",IF(H64&lt;&gt;"",H64,IF(UPPER(TRIM(B64))="PIPE",Inputs!$B$7,IF(UPPER(TRIM(B64))="SWALE",Inputs!$B$8,Inputs!$B$9))))</f>
        <v/>
      </c>
      <c r="J64" s="8"/>
      <c r="K64" s="8"/>
      <c r="L64" s="8"/>
      <c r="M64" s="8"/>
      <c r="N64" s="8">
        <v>0</v>
      </c>
      <c r="O64" s="10" t="str">
        <f>IF(A64="","",SUMIFS(Zones_tributaires!$I:$I,Zones_tributaires!$J:$J,$A64))</f>
        <v/>
      </c>
      <c r="P64" s="10" t="str">
        <f t="shared" si="0"/>
        <v/>
      </c>
      <c r="Q64" s="10" t="str">
        <f>IF(A64="","",(O64+P64)*Inputs!$B$6)</f>
        <v/>
      </c>
      <c r="R64" s="10" t="str">
        <f t="shared" si="1"/>
        <v/>
      </c>
      <c r="S64" s="10" t="str">
        <f t="shared" si="2"/>
        <v/>
      </c>
      <c r="T64" s="10" t="str">
        <f t="shared" si="3"/>
        <v/>
      </c>
      <c r="U64" s="10" t="str">
        <f>IF(OR(T64="",Q64=""),"",Q64/(T64*Inputs!$B$19))</f>
        <v/>
      </c>
      <c r="V64" s="10" t="str">
        <f t="shared" si="4"/>
        <v/>
      </c>
      <c r="W64" s="10" t="str">
        <f t="shared" si="5"/>
        <v/>
      </c>
      <c r="X64" s="10" t="str">
        <f>IF(A64="","",IF(OR(UPPER(TRIM(Inputs!$B$15))="MANNING",UPPER(TRIM(Inputs!$B$15))="M"),W64,IF(OR(UPPER(TRIM(Inputs!$B$15))="MAX",UPPER(TRIM(Inputs!$B$15))="X"),MAX(V64,W64),V64)))</f>
        <v/>
      </c>
      <c r="Y64" s="10" t="str">
        <f t="shared" si="6"/>
        <v/>
      </c>
      <c r="Z64" s="10" t="str">
        <f t="shared" si="7"/>
        <v/>
      </c>
      <c r="AA64" s="3" t="str">
        <f>IF(A64="","",IF(OR(U64&gt;1,AND(X64&lt;&gt;"",X64&lt;Inputs!$B$16),AND(X64&lt;&gt;"",X64&gt;Inputs!$B$17),G64&lt;Inputs!$B$18,AH64="CHECK"),"CHECK","OK"))</f>
        <v/>
      </c>
      <c r="AB64" s="3"/>
      <c r="AC64" s="8"/>
      <c r="AD64" s="10" t="str">
        <f>IF(A64="","",IF(AC64&lt;&gt;"",AC64,IF(E64="",Inputs!$B$38,IFERROR(INDEX($AE$4:$AE$204,MATCH(E64,$A$4:$A$204,0))+IF(OR(AND(UPPER(TRIM(B64))="SWALE",UPPER(TRIM(AI64))="PIPE"),AND(UPPER(TRIM(B64))="TRENCH",UPPER(TRIM(AI64))="PIPE")),Inputs!$B$57,0),""))))</f>
        <v/>
      </c>
      <c r="AE64" s="10" t="str">
        <f t="shared" si="8"/>
        <v/>
      </c>
      <c r="AF64" s="10" t="str">
        <f t="shared" si="9"/>
        <v/>
      </c>
      <c r="AG64" s="10" t="str">
        <f t="shared" si="10"/>
        <v/>
      </c>
      <c r="AH64" s="3" t="str">
        <f>IF(A64="","",IF(E64="","TERMINAL",IF(OR(AND(UPPER(TRIM(B64))="SWALE",UPPER(TRIM(AI64))="PIPE"),AND(UPPER(TRIM(B64))="TRENCH",UPPER(TRIM(AI64))="PIPE")),IF(OR(AG64="",AJ64="",AK64=""),"INFO",IF(AND(AG64&gt;=AJ64,AG64&lt;=AK64),"OK","CHECK")),IF(AG64="","INFO",IF(ABS(AG64)&lt;=Inputs!$B$54,"OK","CHECK")))))</f>
        <v/>
      </c>
      <c r="AI64" s="11" t="str">
        <f t="shared" si="11"/>
        <v/>
      </c>
      <c r="AJ64" s="11" t="str">
        <f>IF(A64="","",IF(OR(AND(UPPER(TRIM(B64))="SWALE",UPPER(TRIM(AI64))="PIPE"),AND(UPPER(TRIM(B64))="TRENCH",UPPER(TRIM(AI64))="PIPE")),Inputs!$B$55,0))</f>
        <v/>
      </c>
      <c r="AK64" s="11" t="str">
        <f>IF(A64="","",IF(OR(AND(UPPER(TRIM(B64))="SWALE",UPPER(TRIM(AI64))="PIPE"),AND(UPPER(TRIM(B64))="TRENCH",UPPER(TRIM(AI64))="PIPE")),Inputs!$B$56,Inputs!$B$54))</f>
        <v/>
      </c>
      <c r="AL64" s="3" t="str">
        <f t="shared" si="12"/>
        <v/>
      </c>
    </row>
    <row r="65" spans="1:38" x14ac:dyDescent="0.25">
      <c r="A65" s="3"/>
      <c r="B65" s="3"/>
      <c r="C65" s="3"/>
      <c r="D65" s="3"/>
      <c r="E65" s="3"/>
      <c r="F65" s="8"/>
      <c r="G65" s="8"/>
      <c r="H65" s="8"/>
      <c r="I65" s="10" t="str">
        <f>IF(A65="","",IF(H65&lt;&gt;"",H65,IF(UPPER(TRIM(B65))="PIPE",Inputs!$B$7,IF(UPPER(TRIM(B65))="SWALE",Inputs!$B$8,Inputs!$B$9))))</f>
        <v/>
      </c>
      <c r="J65" s="8"/>
      <c r="K65" s="8"/>
      <c r="L65" s="8"/>
      <c r="M65" s="8"/>
      <c r="N65" s="8">
        <v>0</v>
      </c>
      <c r="O65" s="10" t="str">
        <f>IF(A65="","",SUMIFS(Zones_tributaires!$I:$I,Zones_tributaires!$J:$J,$A65))</f>
        <v/>
      </c>
      <c r="P65" s="10" t="str">
        <f t="shared" si="0"/>
        <v/>
      </c>
      <c r="Q65" s="10" t="str">
        <f>IF(A65="","",(O65+P65)*Inputs!$B$6)</f>
        <v/>
      </c>
      <c r="R65" s="10" t="str">
        <f t="shared" si="1"/>
        <v/>
      </c>
      <c r="S65" s="10" t="str">
        <f t="shared" si="2"/>
        <v/>
      </c>
      <c r="T65" s="10" t="str">
        <f t="shared" si="3"/>
        <v/>
      </c>
      <c r="U65" s="10" t="str">
        <f>IF(OR(T65="",Q65=""),"",Q65/(T65*Inputs!$B$19))</f>
        <v/>
      </c>
      <c r="V65" s="10" t="str">
        <f t="shared" si="4"/>
        <v/>
      </c>
      <c r="W65" s="10" t="str">
        <f t="shared" si="5"/>
        <v/>
      </c>
      <c r="X65" s="10" t="str">
        <f>IF(A65="","",IF(OR(UPPER(TRIM(Inputs!$B$15))="MANNING",UPPER(TRIM(Inputs!$B$15))="M"),W65,IF(OR(UPPER(TRIM(Inputs!$B$15))="MAX",UPPER(TRIM(Inputs!$B$15))="X"),MAX(V65,W65),V65)))</f>
        <v/>
      </c>
      <c r="Y65" s="10" t="str">
        <f t="shared" si="6"/>
        <v/>
      </c>
      <c r="Z65" s="10" t="str">
        <f t="shared" si="7"/>
        <v/>
      </c>
      <c r="AA65" s="3" t="str">
        <f>IF(A65="","",IF(OR(U65&gt;1,AND(X65&lt;&gt;"",X65&lt;Inputs!$B$16),AND(X65&lt;&gt;"",X65&gt;Inputs!$B$17),G65&lt;Inputs!$B$18,AH65="CHECK"),"CHECK","OK"))</f>
        <v/>
      </c>
      <c r="AB65" s="3"/>
      <c r="AC65" s="8"/>
      <c r="AD65" s="10" t="str">
        <f>IF(A65="","",IF(AC65&lt;&gt;"",AC65,IF(E65="",Inputs!$B$38,IFERROR(INDEX($AE$4:$AE$204,MATCH(E65,$A$4:$A$204,0))+IF(OR(AND(UPPER(TRIM(B65))="SWALE",UPPER(TRIM(AI65))="PIPE"),AND(UPPER(TRIM(B65))="TRENCH",UPPER(TRIM(AI65))="PIPE")),Inputs!$B$57,0),""))))</f>
        <v/>
      </c>
      <c r="AE65" s="10" t="str">
        <f t="shared" si="8"/>
        <v/>
      </c>
      <c r="AF65" s="10" t="str">
        <f t="shared" si="9"/>
        <v/>
      </c>
      <c r="AG65" s="10" t="str">
        <f t="shared" si="10"/>
        <v/>
      </c>
      <c r="AH65" s="3" t="str">
        <f>IF(A65="","",IF(E65="","TERMINAL",IF(OR(AND(UPPER(TRIM(B65))="SWALE",UPPER(TRIM(AI65))="PIPE"),AND(UPPER(TRIM(B65))="TRENCH",UPPER(TRIM(AI65))="PIPE")),IF(OR(AG65="",AJ65="",AK65=""),"INFO",IF(AND(AG65&gt;=AJ65,AG65&lt;=AK65),"OK","CHECK")),IF(AG65="","INFO",IF(ABS(AG65)&lt;=Inputs!$B$54,"OK","CHECK")))))</f>
        <v/>
      </c>
      <c r="AI65" s="11" t="str">
        <f t="shared" si="11"/>
        <v/>
      </c>
      <c r="AJ65" s="11" t="str">
        <f>IF(A65="","",IF(OR(AND(UPPER(TRIM(B65))="SWALE",UPPER(TRIM(AI65))="PIPE"),AND(UPPER(TRIM(B65))="TRENCH",UPPER(TRIM(AI65))="PIPE")),Inputs!$B$55,0))</f>
        <v/>
      </c>
      <c r="AK65" s="11" t="str">
        <f>IF(A65="","",IF(OR(AND(UPPER(TRIM(B65))="SWALE",UPPER(TRIM(AI65))="PIPE"),AND(UPPER(TRIM(B65))="TRENCH",UPPER(TRIM(AI65))="PIPE")),Inputs!$B$56,Inputs!$B$54))</f>
        <v/>
      </c>
      <c r="AL65" s="3" t="str">
        <f t="shared" si="12"/>
        <v/>
      </c>
    </row>
    <row r="66" spans="1:38" x14ac:dyDescent="0.25">
      <c r="A66" s="3"/>
      <c r="B66" s="3"/>
      <c r="C66" s="3"/>
      <c r="D66" s="3"/>
      <c r="E66" s="3"/>
      <c r="F66" s="8"/>
      <c r="G66" s="8"/>
      <c r="H66" s="8"/>
      <c r="I66" s="10" t="str">
        <f>IF(A66="","",IF(H66&lt;&gt;"",H66,IF(UPPER(TRIM(B66))="PIPE",Inputs!$B$7,IF(UPPER(TRIM(B66))="SWALE",Inputs!$B$8,Inputs!$B$9))))</f>
        <v/>
      </c>
      <c r="J66" s="8"/>
      <c r="K66" s="8"/>
      <c r="L66" s="8"/>
      <c r="M66" s="8"/>
      <c r="N66" s="8">
        <v>0</v>
      </c>
      <c r="O66" s="10" t="str">
        <f>IF(A66="","",SUMIFS(Zones_tributaires!$I:$I,Zones_tributaires!$J:$J,$A66))</f>
        <v/>
      </c>
      <c r="P66" s="10" t="str">
        <f t="shared" si="0"/>
        <v/>
      </c>
      <c r="Q66" s="10" t="str">
        <f>IF(A66="","",(O66+P66)*Inputs!$B$6)</f>
        <v/>
      </c>
      <c r="R66" s="10" t="str">
        <f t="shared" si="1"/>
        <v/>
      </c>
      <c r="S66" s="10" t="str">
        <f t="shared" si="2"/>
        <v/>
      </c>
      <c r="T66" s="10" t="str">
        <f t="shared" si="3"/>
        <v/>
      </c>
      <c r="U66" s="10" t="str">
        <f>IF(OR(T66="",Q66=""),"",Q66/(T66*Inputs!$B$19))</f>
        <v/>
      </c>
      <c r="V66" s="10" t="str">
        <f t="shared" si="4"/>
        <v/>
      </c>
      <c r="W66" s="10" t="str">
        <f t="shared" si="5"/>
        <v/>
      </c>
      <c r="X66" s="10" t="str">
        <f>IF(A66="","",IF(OR(UPPER(TRIM(Inputs!$B$15))="MANNING",UPPER(TRIM(Inputs!$B$15))="M"),W66,IF(OR(UPPER(TRIM(Inputs!$B$15))="MAX",UPPER(TRIM(Inputs!$B$15))="X"),MAX(V66,W66),V66)))</f>
        <v/>
      </c>
      <c r="Y66" s="10" t="str">
        <f t="shared" si="6"/>
        <v/>
      </c>
      <c r="Z66" s="10" t="str">
        <f t="shared" si="7"/>
        <v/>
      </c>
      <c r="AA66" s="3" t="str">
        <f>IF(A66="","",IF(OR(U66&gt;1,AND(X66&lt;&gt;"",X66&lt;Inputs!$B$16),AND(X66&lt;&gt;"",X66&gt;Inputs!$B$17),G66&lt;Inputs!$B$18,AH66="CHECK"),"CHECK","OK"))</f>
        <v/>
      </c>
      <c r="AB66" s="3"/>
      <c r="AC66" s="8"/>
      <c r="AD66" s="10" t="str">
        <f>IF(A66="","",IF(AC66&lt;&gt;"",AC66,IF(E66="",Inputs!$B$38,IFERROR(INDEX($AE$4:$AE$204,MATCH(E66,$A$4:$A$204,0))+IF(OR(AND(UPPER(TRIM(B66))="SWALE",UPPER(TRIM(AI66))="PIPE"),AND(UPPER(TRIM(B66))="TRENCH",UPPER(TRIM(AI66))="PIPE")),Inputs!$B$57,0),""))))</f>
        <v/>
      </c>
      <c r="AE66" s="10" t="str">
        <f t="shared" si="8"/>
        <v/>
      </c>
      <c r="AF66" s="10" t="str">
        <f t="shared" si="9"/>
        <v/>
      </c>
      <c r="AG66" s="10" t="str">
        <f t="shared" si="10"/>
        <v/>
      </c>
      <c r="AH66" s="3" t="str">
        <f>IF(A66="","",IF(E66="","TERMINAL",IF(OR(AND(UPPER(TRIM(B66))="SWALE",UPPER(TRIM(AI66))="PIPE"),AND(UPPER(TRIM(B66))="TRENCH",UPPER(TRIM(AI66))="PIPE")),IF(OR(AG66="",AJ66="",AK66=""),"INFO",IF(AND(AG66&gt;=AJ66,AG66&lt;=AK66),"OK","CHECK")),IF(AG66="","INFO",IF(ABS(AG66)&lt;=Inputs!$B$54,"OK","CHECK")))))</f>
        <v/>
      </c>
      <c r="AI66" s="11" t="str">
        <f t="shared" si="11"/>
        <v/>
      </c>
      <c r="AJ66" s="11" t="str">
        <f>IF(A66="","",IF(OR(AND(UPPER(TRIM(B66))="SWALE",UPPER(TRIM(AI66))="PIPE"),AND(UPPER(TRIM(B66))="TRENCH",UPPER(TRIM(AI66))="PIPE")),Inputs!$B$55,0))</f>
        <v/>
      </c>
      <c r="AK66" s="11" t="str">
        <f>IF(A66="","",IF(OR(AND(UPPER(TRIM(B66))="SWALE",UPPER(TRIM(AI66))="PIPE"),AND(UPPER(TRIM(B66))="TRENCH",UPPER(TRIM(AI66))="PIPE")),Inputs!$B$56,Inputs!$B$54))</f>
        <v/>
      </c>
      <c r="AL66" s="3" t="str">
        <f t="shared" si="12"/>
        <v/>
      </c>
    </row>
    <row r="67" spans="1:38" x14ac:dyDescent="0.25">
      <c r="A67" s="3"/>
      <c r="B67" s="3"/>
      <c r="C67" s="3"/>
      <c r="D67" s="3"/>
      <c r="E67" s="3"/>
      <c r="F67" s="8"/>
      <c r="G67" s="8"/>
      <c r="H67" s="8"/>
      <c r="I67" s="10" t="str">
        <f>IF(A67="","",IF(H67&lt;&gt;"",H67,IF(UPPER(TRIM(B67))="PIPE",Inputs!$B$7,IF(UPPER(TRIM(B67))="SWALE",Inputs!$B$8,Inputs!$B$9))))</f>
        <v/>
      </c>
      <c r="J67" s="8"/>
      <c r="K67" s="8"/>
      <c r="L67" s="8"/>
      <c r="M67" s="8"/>
      <c r="N67" s="8">
        <v>0</v>
      </c>
      <c r="O67" s="10" t="str">
        <f>IF(A67="","",SUMIFS(Zones_tributaires!$I:$I,Zones_tributaires!$J:$J,$A67))</f>
        <v/>
      </c>
      <c r="P67" s="10" t="str">
        <f t="shared" si="0"/>
        <v/>
      </c>
      <c r="Q67" s="10" t="str">
        <f>IF(A67="","",(O67+P67)*Inputs!$B$6)</f>
        <v/>
      </c>
      <c r="R67" s="10" t="str">
        <f t="shared" si="1"/>
        <v/>
      </c>
      <c r="S67" s="10" t="str">
        <f t="shared" si="2"/>
        <v/>
      </c>
      <c r="T67" s="10" t="str">
        <f t="shared" si="3"/>
        <v/>
      </c>
      <c r="U67" s="10" t="str">
        <f>IF(OR(T67="",Q67=""),"",Q67/(T67*Inputs!$B$19))</f>
        <v/>
      </c>
      <c r="V67" s="10" t="str">
        <f t="shared" si="4"/>
        <v/>
      </c>
      <c r="W67" s="10" t="str">
        <f t="shared" si="5"/>
        <v/>
      </c>
      <c r="X67" s="10" t="str">
        <f>IF(A67="","",IF(OR(UPPER(TRIM(Inputs!$B$15))="MANNING",UPPER(TRIM(Inputs!$B$15))="M"),W67,IF(OR(UPPER(TRIM(Inputs!$B$15))="MAX",UPPER(TRIM(Inputs!$B$15))="X"),MAX(V67,W67),V67)))</f>
        <v/>
      </c>
      <c r="Y67" s="10" t="str">
        <f t="shared" si="6"/>
        <v/>
      </c>
      <c r="Z67" s="10" t="str">
        <f t="shared" si="7"/>
        <v/>
      </c>
      <c r="AA67" s="3" t="str">
        <f>IF(A67="","",IF(OR(U67&gt;1,AND(X67&lt;&gt;"",X67&lt;Inputs!$B$16),AND(X67&lt;&gt;"",X67&gt;Inputs!$B$17),G67&lt;Inputs!$B$18,AH67="CHECK"),"CHECK","OK"))</f>
        <v/>
      </c>
      <c r="AB67" s="3"/>
      <c r="AC67" s="8"/>
      <c r="AD67" s="10" t="str">
        <f>IF(A67="","",IF(AC67&lt;&gt;"",AC67,IF(E67="",Inputs!$B$38,IFERROR(INDEX($AE$4:$AE$204,MATCH(E67,$A$4:$A$204,0))+IF(OR(AND(UPPER(TRIM(B67))="SWALE",UPPER(TRIM(AI67))="PIPE"),AND(UPPER(TRIM(B67))="TRENCH",UPPER(TRIM(AI67))="PIPE")),Inputs!$B$57,0),""))))</f>
        <v/>
      </c>
      <c r="AE67" s="10" t="str">
        <f t="shared" si="8"/>
        <v/>
      </c>
      <c r="AF67" s="10" t="str">
        <f t="shared" si="9"/>
        <v/>
      </c>
      <c r="AG67" s="10" t="str">
        <f t="shared" si="10"/>
        <v/>
      </c>
      <c r="AH67" s="3" t="str">
        <f>IF(A67="","",IF(E67="","TERMINAL",IF(OR(AND(UPPER(TRIM(B67))="SWALE",UPPER(TRIM(AI67))="PIPE"),AND(UPPER(TRIM(B67))="TRENCH",UPPER(TRIM(AI67))="PIPE")),IF(OR(AG67="",AJ67="",AK67=""),"INFO",IF(AND(AG67&gt;=AJ67,AG67&lt;=AK67),"OK","CHECK")),IF(AG67="","INFO",IF(ABS(AG67)&lt;=Inputs!$B$54,"OK","CHECK")))))</f>
        <v/>
      </c>
      <c r="AI67" s="11" t="str">
        <f t="shared" si="11"/>
        <v/>
      </c>
      <c r="AJ67" s="11" t="str">
        <f>IF(A67="","",IF(OR(AND(UPPER(TRIM(B67))="SWALE",UPPER(TRIM(AI67))="PIPE"),AND(UPPER(TRIM(B67))="TRENCH",UPPER(TRIM(AI67))="PIPE")),Inputs!$B$55,0))</f>
        <v/>
      </c>
      <c r="AK67" s="11" t="str">
        <f>IF(A67="","",IF(OR(AND(UPPER(TRIM(B67))="SWALE",UPPER(TRIM(AI67))="PIPE"),AND(UPPER(TRIM(B67))="TRENCH",UPPER(TRIM(AI67))="PIPE")),Inputs!$B$56,Inputs!$B$54))</f>
        <v/>
      </c>
      <c r="AL67" s="3" t="str">
        <f t="shared" si="12"/>
        <v/>
      </c>
    </row>
    <row r="68" spans="1:38" x14ac:dyDescent="0.25">
      <c r="A68" s="3"/>
      <c r="B68" s="3"/>
      <c r="C68" s="3"/>
      <c r="D68" s="3"/>
      <c r="E68" s="3"/>
      <c r="F68" s="8"/>
      <c r="G68" s="8"/>
      <c r="H68" s="8"/>
      <c r="I68" s="10" t="str">
        <f>IF(A68="","",IF(H68&lt;&gt;"",H68,IF(UPPER(TRIM(B68))="PIPE",Inputs!$B$7,IF(UPPER(TRIM(B68))="SWALE",Inputs!$B$8,Inputs!$B$9))))</f>
        <v/>
      </c>
      <c r="J68" s="8"/>
      <c r="K68" s="8"/>
      <c r="L68" s="8"/>
      <c r="M68" s="8"/>
      <c r="N68" s="8">
        <v>0</v>
      </c>
      <c r="O68" s="10" t="str">
        <f>IF(A68="","",SUMIFS(Zones_tributaires!$I:$I,Zones_tributaires!$J:$J,$A68))</f>
        <v/>
      </c>
      <c r="P68" s="10" t="str">
        <f t="shared" ref="P68:P131" si="13">IF(A68="","",SUMIFS($Q$4:$Q$204,$E$4:$E$204,$A68))</f>
        <v/>
      </c>
      <c r="Q68" s="10" t="str">
        <f>IF(A68="","",(O68+P68)*Inputs!$B$6)</f>
        <v/>
      </c>
      <c r="R68" s="10" t="str">
        <f t="shared" ref="R68:R131" si="14">IF(A68="","",IF(UPPER(TRIM(B68))="PIPE",PI()*(J68/1000)^2/4,IF(OR(K68="",L68=""),"",L68*(K68+M68*L68))))</f>
        <v/>
      </c>
      <c r="S68" s="10" t="str">
        <f t="shared" ref="S68:S131" si="15">IF(A68="","",IF(UPPER(TRIM(B68))="PIPE",(J68/1000)/4,IF(OR(R68="",K68="",L68=""),"",R68/(K68+2*L68*SQRT(1+M68^2)))))</f>
        <v/>
      </c>
      <c r="T68" s="10" t="str">
        <f t="shared" ref="T68:T131" si="16">IF(A68="","",IF(OR(I68="",R68="",S68="",G68=""),"",(1/I68)*R68*(S68^(2/3))*SQRT(G68)))</f>
        <v/>
      </c>
      <c r="U68" s="10" t="str">
        <f>IF(OR(T68="",Q68=""),"",Q68/(T68*Inputs!$B$19))</f>
        <v/>
      </c>
      <c r="V68" s="10" t="str">
        <f t="shared" ref="V68:V131" si="17">IF(OR(R68="",Q68=""),"",Q68/R68)</f>
        <v/>
      </c>
      <c r="W68" s="10" t="str">
        <f t="shared" ref="W68:W131" si="18">IF(OR(R68="",T68=""),"",T68/R68)</f>
        <v/>
      </c>
      <c r="X68" s="10" t="str">
        <f>IF(A68="","",IF(OR(UPPER(TRIM(Inputs!$B$15))="MANNING",UPPER(TRIM(Inputs!$B$15))="M"),W68,IF(OR(UPPER(TRIM(Inputs!$B$15))="MAX",UPPER(TRIM(Inputs!$B$15))="X"),MAX(V68,W68),V68)))</f>
        <v/>
      </c>
      <c r="Y68" s="10" t="str">
        <f t="shared" ref="Y68:Y131" si="19">IF(A68="","",IF(UPPER(TRIM(B68))="TRENCH",K68*L68*N68,IF(UPPER(TRIM(B68))="SWALE",K68*L68,0)))</f>
        <v/>
      </c>
      <c r="Z68" s="10" t="str">
        <f t="shared" ref="Z68:Z131" si="20">IF(OR(Y68="",F68=""),"",Y68*F68)</f>
        <v/>
      </c>
      <c r="AA68" s="3" t="str">
        <f>IF(A68="","",IF(OR(U68&gt;1,AND(X68&lt;&gt;"",X68&lt;Inputs!$B$16),AND(X68&lt;&gt;"",X68&gt;Inputs!$B$17),G68&lt;Inputs!$B$18,AH68="CHECK"),"CHECK","OK"))</f>
        <v/>
      </c>
      <c r="AB68" s="3"/>
      <c r="AC68" s="8"/>
      <c r="AD68" s="10" t="str">
        <f>IF(A68="","",IF(AC68&lt;&gt;"",AC68,IF(E68="",Inputs!$B$38,IFERROR(INDEX($AE$4:$AE$204,MATCH(E68,$A$4:$A$204,0))+IF(OR(AND(UPPER(TRIM(B68))="SWALE",UPPER(TRIM(AI68))="PIPE"),AND(UPPER(TRIM(B68))="TRENCH",UPPER(TRIM(AI68))="PIPE")),Inputs!$B$57,0),""))))</f>
        <v/>
      </c>
      <c r="AE68" s="10" t="str">
        <f t="shared" ref="AE68:AE131" si="21">IF(OR(AD68="",F68="",G68=""),"",AD68+F68*G68)</f>
        <v/>
      </c>
      <c r="AF68" s="10" t="str">
        <f t="shared" ref="AF68:AF131" si="22">IF(OR(E68="",A68=""),"",IFERROR(INDEX($AE$4:$AE$204,MATCH(E68,$A$4:$A$204,0)),""))</f>
        <v/>
      </c>
      <c r="AG68" s="10" t="str">
        <f t="shared" ref="AG68:AG131" si="23">IF(OR(AD68="",AF68=""),"",AD68-AF68)</f>
        <v/>
      </c>
      <c r="AH68" s="3" t="str">
        <f>IF(A68="","",IF(E68="","TERMINAL",IF(OR(AND(UPPER(TRIM(B68))="SWALE",UPPER(TRIM(AI68))="PIPE"),AND(UPPER(TRIM(B68))="TRENCH",UPPER(TRIM(AI68))="PIPE")),IF(OR(AG68="",AJ68="",AK68=""),"INFO",IF(AND(AG68&gt;=AJ68,AG68&lt;=AK68),"OK","CHECK")),IF(AG68="","INFO",IF(ABS(AG68)&lt;=Inputs!$B$54,"OK","CHECK")))))</f>
        <v/>
      </c>
      <c r="AI68" s="11" t="str">
        <f t="shared" ref="AI68:AI131" si="24">IF(A68="","",IF(E68="","",IFERROR(INDEX($B$4:$B$204,MATCH(E68,$A$4:$A$204,0)),"")))</f>
        <v/>
      </c>
      <c r="AJ68" s="11" t="str">
        <f>IF(A68="","",IF(OR(AND(UPPER(TRIM(B68))="SWALE",UPPER(TRIM(AI68))="PIPE"),AND(UPPER(TRIM(B68))="TRENCH",UPPER(TRIM(AI68))="PIPE")),Inputs!$B$55,0))</f>
        <v/>
      </c>
      <c r="AK68" s="11" t="str">
        <f>IF(A68="","",IF(OR(AND(UPPER(TRIM(B68))="SWALE",UPPER(TRIM(AI68))="PIPE"),AND(UPPER(TRIM(B68))="TRENCH",UPPER(TRIM(AI68))="PIPE")),Inputs!$B$56,Inputs!$B$54))</f>
        <v/>
      </c>
      <c r="AL68" s="3" t="str">
        <f t="shared" ref="AL68:AL131" si="25">IF(A68="","",IF(E68="","TERMINAL",IF(OR(AND(UPPER(TRIM(B68))="SWALE",UPPER(TRIM(AI68))="PIPE"),AND(UPPER(TRIM(B68))="TRENCH",UPPER(TRIM(AI68))="PIPE")),IF(OR(AG68="",AJ68="",AK68=""),"INFO",IF(AND(AG68&gt;=AJ68,AG68&lt;=AK68),"OK","CHECK")),"N/A")))</f>
        <v/>
      </c>
    </row>
    <row r="69" spans="1:38" x14ac:dyDescent="0.25">
      <c r="A69" s="3"/>
      <c r="B69" s="3"/>
      <c r="C69" s="3"/>
      <c r="D69" s="3"/>
      <c r="E69" s="3"/>
      <c r="F69" s="8"/>
      <c r="G69" s="8"/>
      <c r="H69" s="8"/>
      <c r="I69" s="10" t="str">
        <f>IF(A69="","",IF(H69&lt;&gt;"",H69,IF(UPPER(TRIM(B69))="PIPE",Inputs!$B$7,IF(UPPER(TRIM(B69))="SWALE",Inputs!$B$8,Inputs!$B$9))))</f>
        <v/>
      </c>
      <c r="J69" s="8"/>
      <c r="K69" s="8"/>
      <c r="L69" s="8"/>
      <c r="M69" s="8"/>
      <c r="N69" s="8">
        <v>0</v>
      </c>
      <c r="O69" s="10" t="str">
        <f>IF(A69="","",SUMIFS(Zones_tributaires!$I:$I,Zones_tributaires!$J:$J,$A69))</f>
        <v/>
      </c>
      <c r="P69" s="10" t="str">
        <f t="shared" si="13"/>
        <v/>
      </c>
      <c r="Q69" s="10" t="str">
        <f>IF(A69="","",(O69+P69)*Inputs!$B$6)</f>
        <v/>
      </c>
      <c r="R69" s="10" t="str">
        <f t="shared" si="14"/>
        <v/>
      </c>
      <c r="S69" s="10" t="str">
        <f t="shared" si="15"/>
        <v/>
      </c>
      <c r="T69" s="10" t="str">
        <f t="shared" si="16"/>
        <v/>
      </c>
      <c r="U69" s="10" t="str">
        <f>IF(OR(T69="",Q69=""),"",Q69/(T69*Inputs!$B$19))</f>
        <v/>
      </c>
      <c r="V69" s="10" t="str">
        <f t="shared" si="17"/>
        <v/>
      </c>
      <c r="W69" s="10" t="str">
        <f t="shared" si="18"/>
        <v/>
      </c>
      <c r="X69" s="10" t="str">
        <f>IF(A69="","",IF(OR(UPPER(TRIM(Inputs!$B$15))="MANNING",UPPER(TRIM(Inputs!$B$15))="M"),W69,IF(OR(UPPER(TRIM(Inputs!$B$15))="MAX",UPPER(TRIM(Inputs!$B$15))="X"),MAX(V69,W69),V69)))</f>
        <v/>
      </c>
      <c r="Y69" s="10" t="str">
        <f t="shared" si="19"/>
        <v/>
      </c>
      <c r="Z69" s="10" t="str">
        <f t="shared" si="20"/>
        <v/>
      </c>
      <c r="AA69" s="3" t="str">
        <f>IF(A69="","",IF(OR(U69&gt;1,AND(X69&lt;&gt;"",X69&lt;Inputs!$B$16),AND(X69&lt;&gt;"",X69&gt;Inputs!$B$17),G69&lt;Inputs!$B$18,AH69="CHECK"),"CHECK","OK"))</f>
        <v/>
      </c>
      <c r="AB69" s="3"/>
      <c r="AC69" s="8"/>
      <c r="AD69" s="10" t="str">
        <f>IF(A69="","",IF(AC69&lt;&gt;"",AC69,IF(E69="",Inputs!$B$38,IFERROR(INDEX($AE$4:$AE$204,MATCH(E69,$A$4:$A$204,0))+IF(OR(AND(UPPER(TRIM(B69))="SWALE",UPPER(TRIM(AI69))="PIPE"),AND(UPPER(TRIM(B69))="TRENCH",UPPER(TRIM(AI69))="PIPE")),Inputs!$B$57,0),""))))</f>
        <v/>
      </c>
      <c r="AE69" s="10" t="str">
        <f t="shared" si="21"/>
        <v/>
      </c>
      <c r="AF69" s="10" t="str">
        <f t="shared" si="22"/>
        <v/>
      </c>
      <c r="AG69" s="10" t="str">
        <f t="shared" si="23"/>
        <v/>
      </c>
      <c r="AH69" s="3" t="str">
        <f>IF(A69="","",IF(E69="","TERMINAL",IF(OR(AND(UPPER(TRIM(B69))="SWALE",UPPER(TRIM(AI69))="PIPE"),AND(UPPER(TRIM(B69))="TRENCH",UPPER(TRIM(AI69))="PIPE")),IF(OR(AG69="",AJ69="",AK69=""),"INFO",IF(AND(AG69&gt;=AJ69,AG69&lt;=AK69),"OK","CHECK")),IF(AG69="","INFO",IF(ABS(AG69)&lt;=Inputs!$B$54,"OK","CHECK")))))</f>
        <v/>
      </c>
      <c r="AI69" s="11" t="str">
        <f t="shared" si="24"/>
        <v/>
      </c>
      <c r="AJ69" s="11" t="str">
        <f>IF(A69="","",IF(OR(AND(UPPER(TRIM(B69))="SWALE",UPPER(TRIM(AI69))="PIPE"),AND(UPPER(TRIM(B69))="TRENCH",UPPER(TRIM(AI69))="PIPE")),Inputs!$B$55,0))</f>
        <v/>
      </c>
      <c r="AK69" s="11" t="str">
        <f>IF(A69="","",IF(OR(AND(UPPER(TRIM(B69))="SWALE",UPPER(TRIM(AI69))="PIPE"),AND(UPPER(TRIM(B69))="TRENCH",UPPER(TRIM(AI69))="PIPE")),Inputs!$B$56,Inputs!$B$54))</f>
        <v/>
      </c>
      <c r="AL69" s="3" t="str">
        <f t="shared" si="25"/>
        <v/>
      </c>
    </row>
    <row r="70" spans="1:38" x14ac:dyDescent="0.25">
      <c r="A70" s="3"/>
      <c r="B70" s="3"/>
      <c r="C70" s="3"/>
      <c r="D70" s="3"/>
      <c r="E70" s="3"/>
      <c r="F70" s="8"/>
      <c r="G70" s="8"/>
      <c r="H70" s="8"/>
      <c r="I70" s="10" t="str">
        <f>IF(A70="","",IF(H70&lt;&gt;"",H70,IF(UPPER(TRIM(B70))="PIPE",Inputs!$B$7,IF(UPPER(TRIM(B70))="SWALE",Inputs!$B$8,Inputs!$B$9))))</f>
        <v/>
      </c>
      <c r="J70" s="8"/>
      <c r="K70" s="8"/>
      <c r="L70" s="8"/>
      <c r="M70" s="8"/>
      <c r="N70" s="8">
        <v>0</v>
      </c>
      <c r="O70" s="10" t="str">
        <f>IF(A70="","",SUMIFS(Zones_tributaires!$I:$I,Zones_tributaires!$J:$J,$A70))</f>
        <v/>
      </c>
      <c r="P70" s="10" t="str">
        <f t="shared" si="13"/>
        <v/>
      </c>
      <c r="Q70" s="10" t="str">
        <f>IF(A70="","",(O70+P70)*Inputs!$B$6)</f>
        <v/>
      </c>
      <c r="R70" s="10" t="str">
        <f t="shared" si="14"/>
        <v/>
      </c>
      <c r="S70" s="10" t="str">
        <f t="shared" si="15"/>
        <v/>
      </c>
      <c r="T70" s="10" t="str">
        <f t="shared" si="16"/>
        <v/>
      </c>
      <c r="U70" s="10" t="str">
        <f>IF(OR(T70="",Q70=""),"",Q70/(T70*Inputs!$B$19))</f>
        <v/>
      </c>
      <c r="V70" s="10" t="str">
        <f t="shared" si="17"/>
        <v/>
      </c>
      <c r="W70" s="10" t="str">
        <f t="shared" si="18"/>
        <v/>
      </c>
      <c r="X70" s="10" t="str">
        <f>IF(A70="","",IF(OR(UPPER(TRIM(Inputs!$B$15))="MANNING",UPPER(TRIM(Inputs!$B$15))="M"),W70,IF(OR(UPPER(TRIM(Inputs!$B$15))="MAX",UPPER(TRIM(Inputs!$B$15))="X"),MAX(V70,W70),V70)))</f>
        <v/>
      </c>
      <c r="Y70" s="10" t="str">
        <f t="shared" si="19"/>
        <v/>
      </c>
      <c r="Z70" s="10" t="str">
        <f t="shared" si="20"/>
        <v/>
      </c>
      <c r="AA70" s="3" t="str">
        <f>IF(A70="","",IF(OR(U70&gt;1,AND(X70&lt;&gt;"",X70&lt;Inputs!$B$16),AND(X70&lt;&gt;"",X70&gt;Inputs!$B$17),G70&lt;Inputs!$B$18,AH70="CHECK"),"CHECK","OK"))</f>
        <v/>
      </c>
      <c r="AB70" s="3"/>
      <c r="AC70" s="8"/>
      <c r="AD70" s="10" t="str">
        <f>IF(A70="","",IF(AC70&lt;&gt;"",AC70,IF(E70="",Inputs!$B$38,IFERROR(INDEX($AE$4:$AE$204,MATCH(E70,$A$4:$A$204,0))+IF(OR(AND(UPPER(TRIM(B70))="SWALE",UPPER(TRIM(AI70))="PIPE"),AND(UPPER(TRIM(B70))="TRENCH",UPPER(TRIM(AI70))="PIPE")),Inputs!$B$57,0),""))))</f>
        <v/>
      </c>
      <c r="AE70" s="10" t="str">
        <f t="shared" si="21"/>
        <v/>
      </c>
      <c r="AF70" s="10" t="str">
        <f t="shared" si="22"/>
        <v/>
      </c>
      <c r="AG70" s="10" t="str">
        <f t="shared" si="23"/>
        <v/>
      </c>
      <c r="AH70" s="3" t="str">
        <f>IF(A70="","",IF(E70="","TERMINAL",IF(OR(AND(UPPER(TRIM(B70))="SWALE",UPPER(TRIM(AI70))="PIPE"),AND(UPPER(TRIM(B70))="TRENCH",UPPER(TRIM(AI70))="PIPE")),IF(OR(AG70="",AJ70="",AK70=""),"INFO",IF(AND(AG70&gt;=AJ70,AG70&lt;=AK70),"OK","CHECK")),IF(AG70="","INFO",IF(ABS(AG70)&lt;=Inputs!$B$54,"OK","CHECK")))))</f>
        <v/>
      </c>
      <c r="AI70" s="11" t="str">
        <f t="shared" si="24"/>
        <v/>
      </c>
      <c r="AJ70" s="11" t="str">
        <f>IF(A70="","",IF(OR(AND(UPPER(TRIM(B70))="SWALE",UPPER(TRIM(AI70))="PIPE"),AND(UPPER(TRIM(B70))="TRENCH",UPPER(TRIM(AI70))="PIPE")),Inputs!$B$55,0))</f>
        <v/>
      </c>
      <c r="AK70" s="11" t="str">
        <f>IF(A70="","",IF(OR(AND(UPPER(TRIM(B70))="SWALE",UPPER(TRIM(AI70))="PIPE"),AND(UPPER(TRIM(B70))="TRENCH",UPPER(TRIM(AI70))="PIPE")),Inputs!$B$56,Inputs!$B$54))</f>
        <v/>
      </c>
      <c r="AL70" s="3" t="str">
        <f t="shared" si="25"/>
        <v/>
      </c>
    </row>
    <row r="71" spans="1:38" x14ac:dyDescent="0.25">
      <c r="A71" s="3"/>
      <c r="B71" s="3"/>
      <c r="C71" s="3"/>
      <c r="D71" s="3"/>
      <c r="E71" s="3"/>
      <c r="F71" s="8"/>
      <c r="G71" s="8"/>
      <c r="H71" s="8"/>
      <c r="I71" s="10" t="str">
        <f>IF(A71="","",IF(H71&lt;&gt;"",H71,IF(UPPER(TRIM(B71))="PIPE",Inputs!$B$7,IF(UPPER(TRIM(B71))="SWALE",Inputs!$B$8,Inputs!$B$9))))</f>
        <v/>
      </c>
      <c r="J71" s="8"/>
      <c r="K71" s="8"/>
      <c r="L71" s="8"/>
      <c r="M71" s="8"/>
      <c r="N71" s="8">
        <v>0</v>
      </c>
      <c r="O71" s="10" t="str">
        <f>IF(A71="","",SUMIFS(Zones_tributaires!$I:$I,Zones_tributaires!$J:$J,$A71))</f>
        <v/>
      </c>
      <c r="P71" s="10" t="str">
        <f t="shared" si="13"/>
        <v/>
      </c>
      <c r="Q71" s="10" t="str">
        <f>IF(A71="","",(O71+P71)*Inputs!$B$6)</f>
        <v/>
      </c>
      <c r="R71" s="10" t="str">
        <f t="shared" si="14"/>
        <v/>
      </c>
      <c r="S71" s="10" t="str">
        <f t="shared" si="15"/>
        <v/>
      </c>
      <c r="T71" s="10" t="str">
        <f t="shared" si="16"/>
        <v/>
      </c>
      <c r="U71" s="10" t="str">
        <f>IF(OR(T71="",Q71=""),"",Q71/(T71*Inputs!$B$19))</f>
        <v/>
      </c>
      <c r="V71" s="10" t="str">
        <f t="shared" si="17"/>
        <v/>
      </c>
      <c r="W71" s="10" t="str">
        <f t="shared" si="18"/>
        <v/>
      </c>
      <c r="X71" s="10" t="str">
        <f>IF(A71="","",IF(OR(UPPER(TRIM(Inputs!$B$15))="MANNING",UPPER(TRIM(Inputs!$B$15))="M"),W71,IF(OR(UPPER(TRIM(Inputs!$B$15))="MAX",UPPER(TRIM(Inputs!$B$15))="X"),MAX(V71,W71),V71)))</f>
        <v/>
      </c>
      <c r="Y71" s="10" t="str">
        <f t="shared" si="19"/>
        <v/>
      </c>
      <c r="Z71" s="10" t="str">
        <f t="shared" si="20"/>
        <v/>
      </c>
      <c r="AA71" s="3" t="str">
        <f>IF(A71="","",IF(OR(U71&gt;1,AND(X71&lt;&gt;"",X71&lt;Inputs!$B$16),AND(X71&lt;&gt;"",X71&gt;Inputs!$B$17),G71&lt;Inputs!$B$18,AH71="CHECK"),"CHECK","OK"))</f>
        <v/>
      </c>
      <c r="AB71" s="3"/>
      <c r="AC71" s="8"/>
      <c r="AD71" s="10" t="str">
        <f>IF(A71="","",IF(AC71&lt;&gt;"",AC71,IF(E71="",Inputs!$B$38,IFERROR(INDEX($AE$4:$AE$204,MATCH(E71,$A$4:$A$204,0))+IF(OR(AND(UPPER(TRIM(B71))="SWALE",UPPER(TRIM(AI71))="PIPE"),AND(UPPER(TRIM(B71))="TRENCH",UPPER(TRIM(AI71))="PIPE")),Inputs!$B$57,0),""))))</f>
        <v/>
      </c>
      <c r="AE71" s="10" t="str">
        <f t="shared" si="21"/>
        <v/>
      </c>
      <c r="AF71" s="10" t="str">
        <f t="shared" si="22"/>
        <v/>
      </c>
      <c r="AG71" s="10" t="str">
        <f t="shared" si="23"/>
        <v/>
      </c>
      <c r="AH71" s="3" t="str">
        <f>IF(A71="","",IF(E71="","TERMINAL",IF(OR(AND(UPPER(TRIM(B71))="SWALE",UPPER(TRIM(AI71))="PIPE"),AND(UPPER(TRIM(B71))="TRENCH",UPPER(TRIM(AI71))="PIPE")),IF(OR(AG71="",AJ71="",AK71=""),"INFO",IF(AND(AG71&gt;=AJ71,AG71&lt;=AK71),"OK","CHECK")),IF(AG71="","INFO",IF(ABS(AG71)&lt;=Inputs!$B$54,"OK","CHECK")))))</f>
        <v/>
      </c>
      <c r="AI71" s="11" t="str">
        <f t="shared" si="24"/>
        <v/>
      </c>
      <c r="AJ71" s="11" t="str">
        <f>IF(A71="","",IF(OR(AND(UPPER(TRIM(B71))="SWALE",UPPER(TRIM(AI71))="PIPE"),AND(UPPER(TRIM(B71))="TRENCH",UPPER(TRIM(AI71))="PIPE")),Inputs!$B$55,0))</f>
        <v/>
      </c>
      <c r="AK71" s="11" t="str">
        <f>IF(A71="","",IF(OR(AND(UPPER(TRIM(B71))="SWALE",UPPER(TRIM(AI71))="PIPE"),AND(UPPER(TRIM(B71))="TRENCH",UPPER(TRIM(AI71))="PIPE")),Inputs!$B$56,Inputs!$B$54))</f>
        <v/>
      </c>
      <c r="AL71" s="3" t="str">
        <f t="shared" si="25"/>
        <v/>
      </c>
    </row>
    <row r="72" spans="1:38" x14ac:dyDescent="0.25">
      <c r="A72" s="3"/>
      <c r="B72" s="3"/>
      <c r="C72" s="3"/>
      <c r="D72" s="3"/>
      <c r="E72" s="3"/>
      <c r="F72" s="8"/>
      <c r="G72" s="8"/>
      <c r="H72" s="8"/>
      <c r="I72" s="10" t="str">
        <f>IF(A72="","",IF(H72&lt;&gt;"",H72,IF(UPPER(TRIM(B72))="PIPE",Inputs!$B$7,IF(UPPER(TRIM(B72))="SWALE",Inputs!$B$8,Inputs!$B$9))))</f>
        <v/>
      </c>
      <c r="J72" s="8"/>
      <c r="K72" s="8"/>
      <c r="L72" s="8"/>
      <c r="M72" s="8"/>
      <c r="N72" s="8">
        <v>0</v>
      </c>
      <c r="O72" s="10" t="str">
        <f>IF(A72="","",SUMIFS(Zones_tributaires!$I:$I,Zones_tributaires!$J:$J,$A72))</f>
        <v/>
      </c>
      <c r="P72" s="10" t="str">
        <f t="shared" si="13"/>
        <v/>
      </c>
      <c r="Q72" s="10" t="str">
        <f>IF(A72="","",(O72+P72)*Inputs!$B$6)</f>
        <v/>
      </c>
      <c r="R72" s="10" t="str">
        <f t="shared" si="14"/>
        <v/>
      </c>
      <c r="S72" s="10" t="str">
        <f t="shared" si="15"/>
        <v/>
      </c>
      <c r="T72" s="10" t="str">
        <f t="shared" si="16"/>
        <v/>
      </c>
      <c r="U72" s="10" t="str">
        <f>IF(OR(T72="",Q72=""),"",Q72/(T72*Inputs!$B$19))</f>
        <v/>
      </c>
      <c r="V72" s="10" t="str">
        <f t="shared" si="17"/>
        <v/>
      </c>
      <c r="W72" s="10" t="str">
        <f t="shared" si="18"/>
        <v/>
      </c>
      <c r="X72" s="10" t="str">
        <f>IF(A72="","",IF(OR(UPPER(TRIM(Inputs!$B$15))="MANNING",UPPER(TRIM(Inputs!$B$15))="M"),W72,IF(OR(UPPER(TRIM(Inputs!$B$15))="MAX",UPPER(TRIM(Inputs!$B$15))="X"),MAX(V72,W72),V72)))</f>
        <v/>
      </c>
      <c r="Y72" s="10" t="str">
        <f t="shared" si="19"/>
        <v/>
      </c>
      <c r="Z72" s="10" t="str">
        <f t="shared" si="20"/>
        <v/>
      </c>
      <c r="AA72" s="3" t="str">
        <f>IF(A72="","",IF(OR(U72&gt;1,AND(X72&lt;&gt;"",X72&lt;Inputs!$B$16),AND(X72&lt;&gt;"",X72&gt;Inputs!$B$17),G72&lt;Inputs!$B$18,AH72="CHECK"),"CHECK","OK"))</f>
        <v/>
      </c>
      <c r="AB72" s="3"/>
      <c r="AC72" s="8"/>
      <c r="AD72" s="10" t="str">
        <f>IF(A72="","",IF(AC72&lt;&gt;"",AC72,IF(E72="",Inputs!$B$38,IFERROR(INDEX($AE$4:$AE$204,MATCH(E72,$A$4:$A$204,0))+IF(OR(AND(UPPER(TRIM(B72))="SWALE",UPPER(TRIM(AI72))="PIPE"),AND(UPPER(TRIM(B72))="TRENCH",UPPER(TRIM(AI72))="PIPE")),Inputs!$B$57,0),""))))</f>
        <v/>
      </c>
      <c r="AE72" s="10" t="str">
        <f t="shared" si="21"/>
        <v/>
      </c>
      <c r="AF72" s="10" t="str">
        <f t="shared" si="22"/>
        <v/>
      </c>
      <c r="AG72" s="10" t="str">
        <f t="shared" si="23"/>
        <v/>
      </c>
      <c r="AH72" s="3" t="str">
        <f>IF(A72="","",IF(E72="","TERMINAL",IF(OR(AND(UPPER(TRIM(B72))="SWALE",UPPER(TRIM(AI72))="PIPE"),AND(UPPER(TRIM(B72))="TRENCH",UPPER(TRIM(AI72))="PIPE")),IF(OR(AG72="",AJ72="",AK72=""),"INFO",IF(AND(AG72&gt;=AJ72,AG72&lt;=AK72),"OK","CHECK")),IF(AG72="","INFO",IF(ABS(AG72)&lt;=Inputs!$B$54,"OK","CHECK")))))</f>
        <v/>
      </c>
      <c r="AI72" s="11" t="str">
        <f t="shared" si="24"/>
        <v/>
      </c>
      <c r="AJ72" s="11" t="str">
        <f>IF(A72="","",IF(OR(AND(UPPER(TRIM(B72))="SWALE",UPPER(TRIM(AI72))="PIPE"),AND(UPPER(TRIM(B72))="TRENCH",UPPER(TRIM(AI72))="PIPE")),Inputs!$B$55,0))</f>
        <v/>
      </c>
      <c r="AK72" s="11" t="str">
        <f>IF(A72="","",IF(OR(AND(UPPER(TRIM(B72))="SWALE",UPPER(TRIM(AI72))="PIPE"),AND(UPPER(TRIM(B72))="TRENCH",UPPER(TRIM(AI72))="PIPE")),Inputs!$B$56,Inputs!$B$54))</f>
        <v/>
      </c>
      <c r="AL72" s="3" t="str">
        <f t="shared" si="25"/>
        <v/>
      </c>
    </row>
    <row r="73" spans="1:38" x14ac:dyDescent="0.25">
      <c r="A73" s="3"/>
      <c r="B73" s="3"/>
      <c r="C73" s="3"/>
      <c r="D73" s="3"/>
      <c r="E73" s="3"/>
      <c r="F73" s="8"/>
      <c r="G73" s="8"/>
      <c r="H73" s="8"/>
      <c r="I73" s="10" t="str">
        <f>IF(A73="","",IF(H73&lt;&gt;"",H73,IF(UPPER(TRIM(B73))="PIPE",Inputs!$B$7,IF(UPPER(TRIM(B73))="SWALE",Inputs!$B$8,Inputs!$B$9))))</f>
        <v/>
      </c>
      <c r="J73" s="8"/>
      <c r="K73" s="8"/>
      <c r="L73" s="8"/>
      <c r="M73" s="8"/>
      <c r="N73" s="8">
        <v>0</v>
      </c>
      <c r="O73" s="10" t="str">
        <f>IF(A73="","",SUMIFS(Zones_tributaires!$I:$I,Zones_tributaires!$J:$J,$A73))</f>
        <v/>
      </c>
      <c r="P73" s="10" t="str">
        <f t="shared" si="13"/>
        <v/>
      </c>
      <c r="Q73" s="10" t="str">
        <f>IF(A73="","",(O73+P73)*Inputs!$B$6)</f>
        <v/>
      </c>
      <c r="R73" s="10" t="str">
        <f t="shared" si="14"/>
        <v/>
      </c>
      <c r="S73" s="10" t="str">
        <f t="shared" si="15"/>
        <v/>
      </c>
      <c r="T73" s="10" t="str">
        <f t="shared" si="16"/>
        <v/>
      </c>
      <c r="U73" s="10" t="str">
        <f>IF(OR(T73="",Q73=""),"",Q73/(T73*Inputs!$B$19))</f>
        <v/>
      </c>
      <c r="V73" s="10" t="str">
        <f t="shared" si="17"/>
        <v/>
      </c>
      <c r="W73" s="10" t="str">
        <f t="shared" si="18"/>
        <v/>
      </c>
      <c r="X73" s="10" t="str">
        <f>IF(A73="","",IF(OR(UPPER(TRIM(Inputs!$B$15))="MANNING",UPPER(TRIM(Inputs!$B$15))="M"),W73,IF(OR(UPPER(TRIM(Inputs!$B$15))="MAX",UPPER(TRIM(Inputs!$B$15))="X"),MAX(V73,W73),V73)))</f>
        <v/>
      </c>
      <c r="Y73" s="10" t="str">
        <f t="shared" si="19"/>
        <v/>
      </c>
      <c r="Z73" s="10" t="str">
        <f t="shared" si="20"/>
        <v/>
      </c>
      <c r="AA73" s="3" t="str">
        <f>IF(A73="","",IF(OR(U73&gt;1,AND(X73&lt;&gt;"",X73&lt;Inputs!$B$16),AND(X73&lt;&gt;"",X73&gt;Inputs!$B$17),G73&lt;Inputs!$B$18,AH73="CHECK"),"CHECK","OK"))</f>
        <v/>
      </c>
      <c r="AB73" s="3"/>
      <c r="AC73" s="8"/>
      <c r="AD73" s="10" t="str">
        <f>IF(A73="","",IF(AC73&lt;&gt;"",AC73,IF(E73="",Inputs!$B$38,IFERROR(INDEX($AE$4:$AE$204,MATCH(E73,$A$4:$A$204,0))+IF(OR(AND(UPPER(TRIM(B73))="SWALE",UPPER(TRIM(AI73))="PIPE"),AND(UPPER(TRIM(B73))="TRENCH",UPPER(TRIM(AI73))="PIPE")),Inputs!$B$57,0),""))))</f>
        <v/>
      </c>
      <c r="AE73" s="10" t="str">
        <f t="shared" si="21"/>
        <v/>
      </c>
      <c r="AF73" s="10" t="str">
        <f t="shared" si="22"/>
        <v/>
      </c>
      <c r="AG73" s="10" t="str">
        <f t="shared" si="23"/>
        <v/>
      </c>
      <c r="AH73" s="3" t="str">
        <f>IF(A73="","",IF(E73="","TERMINAL",IF(OR(AND(UPPER(TRIM(B73))="SWALE",UPPER(TRIM(AI73))="PIPE"),AND(UPPER(TRIM(B73))="TRENCH",UPPER(TRIM(AI73))="PIPE")),IF(OR(AG73="",AJ73="",AK73=""),"INFO",IF(AND(AG73&gt;=AJ73,AG73&lt;=AK73),"OK","CHECK")),IF(AG73="","INFO",IF(ABS(AG73)&lt;=Inputs!$B$54,"OK","CHECK")))))</f>
        <v/>
      </c>
      <c r="AI73" s="11" t="str">
        <f t="shared" si="24"/>
        <v/>
      </c>
      <c r="AJ73" s="11" t="str">
        <f>IF(A73="","",IF(OR(AND(UPPER(TRIM(B73))="SWALE",UPPER(TRIM(AI73))="PIPE"),AND(UPPER(TRIM(B73))="TRENCH",UPPER(TRIM(AI73))="PIPE")),Inputs!$B$55,0))</f>
        <v/>
      </c>
      <c r="AK73" s="11" t="str">
        <f>IF(A73="","",IF(OR(AND(UPPER(TRIM(B73))="SWALE",UPPER(TRIM(AI73))="PIPE"),AND(UPPER(TRIM(B73))="TRENCH",UPPER(TRIM(AI73))="PIPE")),Inputs!$B$56,Inputs!$B$54))</f>
        <v/>
      </c>
      <c r="AL73" s="3" t="str">
        <f t="shared" si="25"/>
        <v/>
      </c>
    </row>
    <row r="74" spans="1:38" x14ac:dyDescent="0.25">
      <c r="A74" s="3"/>
      <c r="B74" s="3"/>
      <c r="C74" s="3"/>
      <c r="D74" s="3"/>
      <c r="E74" s="3"/>
      <c r="F74" s="8"/>
      <c r="G74" s="8"/>
      <c r="H74" s="8"/>
      <c r="I74" s="10" t="str">
        <f>IF(A74="","",IF(H74&lt;&gt;"",H74,IF(UPPER(TRIM(B74))="PIPE",Inputs!$B$7,IF(UPPER(TRIM(B74))="SWALE",Inputs!$B$8,Inputs!$B$9))))</f>
        <v/>
      </c>
      <c r="J74" s="8"/>
      <c r="K74" s="8"/>
      <c r="L74" s="8"/>
      <c r="M74" s="8"/>
      <c r="N74" s="8">
        <v>0</v>
      </c>
      <c r="O74" s="10" t="str">
        <f>IF(A74="","",SUMIFS(Zones_tributaires!$I:$I,Zones_tributaires!$J:$J,$A74))</f>
        <v/>
      </c>
      <c r="P74" s="10" t="str">
        <f t="shared" si="13"/>
        <v/>
      </c>
      <c r="Q74" s="10" t="str">
        <f>IF(A74="","",(O74+P74)*Inputs!$B$6)</f>
        <v/>
      </c>
      <c r="R74" s="10" t="str">
        <f t="shared" si="14"/>
        <v/>
      </c>
      <c r="S74" s="10" t="str">
        <f t="shared" si="15"/>
        <v/>
      </c>
      <c r="T74" s="10" t="str">
        <f t="shared" si="16"/>
        <v/>
      </c>
      <c r="U74" s="10" t="str">
        <f>IF(OR(T74="",Q74=""),"",Q74/(T74*Inputs!$B$19))</f>
        <v/>
      </c>
      <c r="V74" s="10" t="str">
        <f t="shared" si="17"/>
        <v/>
      </c>
      <c r="W74" s="10" t="str">
        <f t="shared" si="18"/>
        <v/>
      </c>
      <c r="X74" s="10" t="str">
        <f>IF(A74="","",IF(OR(UPPER(TRIM(Inputs!$B$15))="MANNING",UPPER(TRIM(Inputs!$B$15))="M"),W74,IF(OR(UPPER(TRIM(Inputs!$B$15))="MAX",UPPER(TRIM(Inputs!$B$15))="X"),MAX(V74,W74),V74)))</f>
        <v/>
      </c>
      <c r="Y74" s="10" t="str">
        <f t="shared" si="19"/>
        <v/>
      </c>
      <c r="Z74" s="10" t="str">
        <f t="shared" si="20"/>
        <v/>
      </c>
      <c r="AA74" s="3" t="str">
        <f>IF(A74="","",IF(OR(U74&gt;1,AND(X74&lt;&gt;"",X74&lt;Inputs!$B$16),AND(X74&lt;&gt;"",X74&gt;Inputs!$B$17),G74&lt;Inputs!$B$18,AH74="CHECK"),"CHECK","OK"))</f>
        <v/>
      </c>
      <c r="AB74" s="3"/>
      <c r="AC74" s="8"/>
      <c r="AD74" s="10" t="str">
        <f>IF(A74="","",IF(AC74&lt;&gt;"",AC74,IF(E74="",Inputs!$B$38,IFERROR(INDEX($AE$4:$AE$204,MATCH(E74,$A$4:$A$204,0))+IF(OR(AND(UPPER(TRIM(B74))="SWALE",UPPER(TRIM(AI74))="PIPE"),AND(UPPER(TRIM(B74))="TRENCH",UPPER(TRIM(AI74))="PIPE")),Inputs!$B$57,0),""))))</f>
        <v/>
      </c>
      <c r="AE74" s="10" t="str">
        <f t="shared" si="21"/>
        <v/>
      </c>
      <c r="AF74" s="10" t="str">
        <f t="shared" si="22"/>
        <v/>
      </c>
      <c r="AG74" s="10" t="str">
        <f t="shared" si="23"/>
        <v/>
      </c>
      <c r="AH74" s="3" t="str">
        <f>IF(A74="","",IF(E74="","TERMINAL",IF(OR(AND(UPPER(TRIM(B74))="SWALE",UPPER(TRIM(AI74))="PIPE"),AND(UPPER(TRIM(B74))="TRENCH",UPPER(TRIM(AI74))="PIPE")),IF(OR(AG74="",AJ74="",AK74=""),"INFO",IF(AND(AG74&gt;=AJ74,AG74&lt;=AK74),"OK","CHECK")),IF(AG74="","INFO",IF(ABS(AG74)&lt;=Inputs!$B$54,"OK","CHECK")))))</f>
        <v/>
      </c>
      <c r="AI74" s="11" t="str">
        <f t="shared" si="24"/>
        <v/>
      </c>
      <c r="AJ74" s="11" t="str">
        <f>IF(A74="","",IF(OR(AND(UPPER(TRIM(B74))="SWALE",UPPER(TRIM(AI74))="PIPE"),AND(UPPER(TRIM(B74))="TRENCH",UPPER(TRIM(AI74))="PIPE")),Inputs!$B$55,0))</f>
        <v/>
      </c>
      <c r="AK74" s="11" t="str">
        <f>IF(A74="","",IF(OR(AND(UPPER(TRIM(B74))="SWALE",UPPER(TRIM(AI74))="PIPE"),AND(UPPER(TRIM(B74))="TRENCH",UPPER(TRIM(AI74))="PIPE")),Inputs!$B$56,Inputs!$B$54))</f>
        <v/>
      </c>
      <c r="AL74" s="3" t="str">
        <f t="shared" si="25"/>
        <v/>
      </c>
    </row>
    <row r="75" spans="1:38" x14ac:dyDescent="0.25">
      <c r="A75" s="3"/>
      <c r="B75" s="3"/>
      <c r="C75" s="3"/>
      <c r="D75" s="3"/>
      <c r="E75" s="3"/>
      <c r="F75" s="8"/>
      <c r="G75" s="8"/>
      <c r="H75" s="8"/>
      <c r="I75" s="10" t="str">
        <f>IF(A75="","",IF(H75&lt;&gt;"",H75,IF(UPPER(TRIM(B75))="PIPE",Inputs!$B$7,IF(UPPER(TRIM(B75))="SWALE",Inputs!$B$8,Inputs!$B$9))))</f>
        <v/>
      </c>
      <c r="J75" s="8"/>
      <c r="K75" s="8"/>
      <c r="L75" s="8"/>
      <c r="M75" s="8"/>
      <c r="N75" s="8">
        <v>0</v>
      </c>
      <c r="O75" s="10" t="str">
        <f>IF(A75="","",SUMIFS(Zones_tributaires!$I:$I,Zones_tributaires!$J:$J,$A75))</f>
        <v/>
      </c>
      <c r="P75" s="10" t="str">
        <f t="shared" si="13"/>
        <v/>
      </c>
      <c r="Q75" s="10" t="str">
        <f>IF(A75="","",(O75+P75)*Inputs!$B$6)</f>
        <v/>
      </c>
      <c r="R75" s="10" t="str">
        <f t="shared" si="14"/>
        <v/>
      </c>
      <c r="S75" s="10" t="str">
        <f t="shared" si="15"/>
        <v/>
      </c>
      <c r="T75" s="10" t="str">
        <f t="shared" si="16"/>
        <v/>
      </c>
      <c r="U75" s="10" t="str">
        <f>IF(OR(T75="",Q75=""),"",Q75/(T75*Inputs!$B$19))</f>
        <v/>
      </c>
      <c r="V75" s="10" t="str">
        <f t="shared" si="17"/>
        <v/>
      </c>
      <c r="W75" s="10" t="str">
        <f t="shared" si="18"/>
        <v/>
      </c>
      <c r="X75" s="10" t="str">
        <f>IF(A75="","",IF(OR(UPPER(TRIM(Inputs!$B$15))="MANNING",UPPER(TRIM(Inputs!$B$15))="M"),W75,IF(OR(UPPER(TRIM(Inputs!$B$15))="MAX",UPPER(TRIM(Inputs!$B$15))="X"),MAX(V75,W75),V75)))</f>
        <v/>
      </c>
      <c r="Y75" s="10" t="str">
        <f t="shared" si="19"/>
        <v/>
      </c>
      <c r="Z75" s="10" t="str">
        <f t="shared" si="20"/>
        <v/>
      </c>
      <c r="AA75" s="3" t="str">
        <f>IF(A75="","",IF(OR(U75&gt;1,AND(X75&lt;&gt;"",X75&lt;Inputs!$B$16),AND(X75&lt;&gt;"",X75&gt;Inputs!$B$17),G75&lt;Inputs!$B$18,AH75="CHECK"),"CHECK","OK"))</f>
        <v/>
      </c>
      <c r="AB75" s="3"/>
      <c r="AC75" s="8"/>
      <c r="AD75" s="10" t="str">
        <f>IF(A75="","",IF(AC75&lt;&gt;"",AC75,IF(E75="",Inputs!$B$38,IFERROR(INDEX($AE$4:$AE$204,MATCH(E75,$A$4:$A$204,0))+IF(OR(AND(UPPER(TRIM(B75))="SWALE",UPPER(TRIM(AI75))="PIPE"),AND(UPPER(TRIM(B75))="TRENCH",UPPER(TRIM(AI75))="PIPE")),Inputs!$B$57,0),""))))</f>
        <v/>
      </c>
      <c r="AE75" s="10" t="str">
        <f t="shared" si="21"/>
        <v/>
      </c>
      <c r="AF75" s="10" t="str">
        <f t="shared" si="22"/>
        <v/>
      </c>
      <c r="AG75" s="10" t="str">
        <f t="shared" si="23"/>
        <v/>
      </c>
      <c r="AH75" s="3" t="str">
        <f>IF(A75="","",IF(E75="","TERMINAL",IF(OR(AND(UPPER(TRIM(B75))="SWALE",UPPER(TRIM(AI75))="PIPE"),AND(UPPER(TRIM(B75))="TRENCH",UPPER(TRIM(AI75))="PIPE")),IF(OR(AG75="",AJ75="",AK75=""),"INFO",IF(AND(AG75&gt;=AJ75,AG75&lt;=AK75),"OK","CHECK")),IF(AG75="","INFO",IF(ABS(AG75)&lt;=Inputs!$B$54,"OK","CHECK")))))</f>
        <v/>
      </c>
      <c r="AI75" s="11" t="str">
        <f t="shared" si="24"/>
        <v/>
      </c>
      <c r="AJ75" s="11" t="str">
        <f>IF(A75="","",IF(OR(AND(UPPER(TRIM(B75))="SWALE",UPPER(TRIM(AI75))="PIPE"),AND(UPPER(TRIM(B75))="TRENCH",UPPER(TRIM(AI75))="PIPE")),Inputs!$B$55,0))</f>
        <v/>
      </c>
      <c r="AK75" s="11" t="str">
        <f>IF(A75="","",IF(OR(AND(UPPER(TRIM(B75))="SWALE",UPPER(TRIM(AI75))="PIPE"),AND(UPPER(TRIM(B75))="TRENCH",UPPER(TRIM(AI75))="PIPE")),Inputs!$B$56,Inputs!$B$54))</f>
        <v/>
      </c>
      <c r="AL75" s="3" t="str">
        <f t="shared" si="25"/>
        <v/>
      </c>
    </row>
    <row r="76" spans="1:38" x14ac:dyDescent="0.25">
      <c r="A76" s="3"/>
      <c r="B76" s="3"/>
      <c r="C76" s="3"/>
      <c r="D76" s="3"/>
      <c r="E76" s="3"/>
      <c r="F76" s="8"/>
      <c r="G76" s="8"/>
      <c r="H76" s="8"/>
      <c r="I76" s="10" t="str">
        <f>IF(A76="","",IF(H76&lt;&gt;"",H76,IF(UPPER(TRIM(B76))="PIPE",Inputs!$B$7,IF(UPPER(TRIM(B76))="SWALE",Inputs!$B$8,Inputs!$B$9))))</f>
        <v/>
      </c>
      <c r="J76" s="8"/>
      <c r="K76" s="8"/>
      <c r="L76" s="8"/>
      <c r="M76" s="8"/>
      <c r="N76" s="8">
        <v>0</v>
      </c>
      <c r="O76" s="10" t="str">
        <f>IF(A76="","",SUMIFS(Zones_tributaires!$I:$I,Zones_tributaires!$J:$J,$A76))</f>
        <v/>
      </c>
      <c r="P76" s="10" t="str">
        <f t="shared" si="13"/>
        <v/>
      </c>
      <c r="Q76" s="10" t="str">
        <f>IF(A76="","",(O76+P76)*Inputs!$B$6)</f>
        <v/>
      </c>
      <c r="R76" s="10" t="str">
        <f t="shared" si="14"/>
        <v/>
      </c>
      <c r="S76" s="10" t="str">
        <f t="shared" si="15"/>
        <v/>
      </c>
      <c r="T76" s="10" t="str">
        <f t="shared" si="16"/>
        <v/>
      </c>
      <c r="U76" s="10" t="str">
        <f>IF(OR(T76="",Q76=""),"",Q76/(T76*Inputs!$B$19))</f>
        <v/>
      </c>
      <c r="V76" s="10" t="str">
        <f t="shared" si="17"/>
        <v/>
      </c>
      <c r="W76" s="10" t="str">
        <f t="shared" si="18"/>
        <v/>
      </c>
      <c r="X76" s="10" t="str">
        <f>IF(A76="","",IF(OR(UPPER(TRIM(Inputs!$B$15))="MANNING",UPPER(TRIM(Inputs!$B$15))="M"),W76,IF(OR(UPPER(TRIM(Inputs!$B$15))="MAX",UPPER(TRIM(Inputs!$B$15))="X"),MAX(V76,W76),V76)))</f>
        <v/>
      </c>
      <c r="Y76" s="10" t="str">
        <f t="shared" si="19"/>
        <v/>
      </c>
      <c r="Z76" s="10" t="str">
        <f t="shared" si="20"/>
        <v/>
      </c>
      <c r="AA76" s="3" t="str">
        <f>IF(A76="","",IF(OR(U76&gt;1,AND(X76&lt;&gt;"",X76&lt;Inputs!$B$16),AND(X76&lt;&gt;"",X76&gt;Inputs!$B$17),G76&lt;Inputs!$B$18,AH76="CHECK"),"CHECK","OK"))</f>
        <v/>
      </c>
      <c r="AB76" s="3"/>
      <c r="AC76" s="8"/>
      <c r="AD76" s="10" t="str">
        <f>IF(A76="","",IF(AC76&lt;&gt;"",AC76,IF(E76="",Inputs!$B$38,IFERROR(INDEX($AE$4:$AE$204,MATCH(E76,$A$4:$A$204,0))+IF(OR(AND(UPPER(TRIM(B76))="SWALE",UPPER(TRIM(AI76))="PIPE"),AND(UPPER(TRIM(B76))="TRENCH",UPPER(TRIM(AI76))="PIPE")),Inputs!$B$57,0),""))))</f>
        <v/>
      </c>
      <c r="AE76" s="10" t="str">
        <f t="shared" si="21"/>
        <v/>
      </c>
      <c r="AF76" s="10" t="str">
        <f t="shared" si="22"/>
        <v/>
      </c>
      <c r="AG76" s="10" t="str">
        <f t="shared" si="23"/>
        <v/>
      </c>
      <c r="AH76" s="3" t="str">
        <f>IF(A76="","",IF(E76="","TERMINAL",IF(OR(AND(UPPER(TRIM(B76))="SWALE",UPPER(TRIM(AI76))="PIPE"),AND(UPPER(TRIM(B76))="TRENCH",UPPER(TRIM(AI76))="PIPE")),IF(OR(AG76="",AJ76="",AK76=""),"INFO",IF(AND(AG76&gt;=AJ76,AG76&lt;=AK76),"OK","CHECK")),IF(AG76="","INFO",IF(ABS(AG76)&lt;=Inputs!$B$54,"OK","CHECK")))))</f>
        <v/>
      </c>
      <c r="AI76" s="11" t="str">
        <f t="shared" si="24"/>
        <v/>
      </c>
      <c r="AJ76" s="11" t="str">
        <f>IF(A76="","",IF(OR(AND(UPPER(TRIM(B76))="SWALE",UPPER(TRIM(AI76))="PIPE"),AND(UPPER(TRIM(B76))="TRENCH",UPPER(TRIM(AI76))="PIPE")),Inputs!$B$55,0))</f>
        <v/>
      </c>
      <c r="AK76" s="11" t="str">
        <f>IF(A76="","",IF(OR(AND(UPPER(TRIM(B76))="SWALE",UPPER(TRIM(AI76))="PIPE"),AND(UPPER(TRIM(B76))="TRENCH",UPPER(TRIM(AI76))="PIPE")),Inputs!$B$56,Inputs!$B$54))</f>
        <v/>
      </c>
      <c r="AL76" s="3" t="str">
        <f t="shared" si="25"/>
        <v/>
      </c>
    </row>
    <row r="77" spans="1:38" x14ac:dyDescent="0.25">
      <c r="A77" s="3"/>
      <c r="B77" s="3"/>
      <c r="C77" s="3"/>
      <c r="D77" s="3"/>
      <c r="E77" s="3"/>
      <c r="F77" s="8"/>
      <c r="G77" s="8"/>
      <c r="H77" s="8"/>
      <c r="I77" s="10" t="str">
        <f>IF(A77="","",IF(H77&lt;&gt;"",H77,IF(UPPER(TRIM(B77))="PIPE",Inputs!$B$7,IF(UPPER(TRIM(B77))="SWALE",Inputs!$B$8,Inputs!$B$9))))</f>
        <v/>
      </c>
      <c r="J77" s="8"/>
      <c r="K77" s="8"/>
      <c r="L77" s="8"/>
      <c r="M77" s="8"/>
      <c r="N77" s="8">
        <v>0</v>
      </c>
      <c r="O77" s="10" t="str">
        <f>IF(A77="","",SUMIFS(Zones_tributaires!$I:$I,Zones_tributaires!$J:$J,$A77))</f>
        <v/>
      </c>
      <c r="P77" s="10" t="str">
        <f t="shared" si="13"/>
        <v/>
      </c>
      <c r="Q77" s="10" t="str">
        <f>IF(A77="","",(O77+P77)*Inputs!$B$6)</f>
        <v/>
      </c>
      <c r="R77" s="10" t="str">
        <f t="shared" si="14"/>
        <v/>
      </c>
      <c r="S77" s="10" t="str">
        <f t="shared" si="15"/>
        <v/>
      </c>
      <c r="T77" s="10" t="str">
        <f t="shared" si="16"/>
        <v/>
      </c>
      <c r="U77" s="10" t="str">
        <f>IF(OR(T77="",Q77=""),"",Q77/(T77*Inputs!$B$19))</f>
        <v/>
      </c>
      <c r="V77" s="10" t="str">
        <f t="shared" si="17"/>
        <v/>
      </c>
      <c r="W77" s="10" t="str">
        <f t="shared" si="18"/>
        <v/>
      </c>
      <c r="X77" s="10" t="str">
        <f>IF(A77="","",IF(OR(UPPER(TRIM(Inputs!$B$15))="MANNING",UPPER(TRIM(Inputs!$B$15))="M"),W77,IF(OR(UPPER(TRIM(Inputs!$B$15))="MAX",UPPER(TRIM(Inputs!$B$15))="X"),MAX(V77,W77),V77)))</f>
        <v/>
      </c>
      <c r="Y77" s="10" t="str">
        <f t="shared" si="19"/>
        <v/>
      </c>
      <c r="Z77" s="10" t="str">
        <f t="shared" si="20"/>
        <v/>
      </c>
      <c r="AA77" s="3" t="str">
        <f>IF(A77="","",IF(OR(U77&gt;1,AND(X77&lt;&gt;"",X77&lt;Inputs!$B$16),AND(X77&lt;&gt;"",X77&gt;Inputs!$B$17),G77&lt;Inputs!$B$18,AH77="CHECK"),"CHECK","OK"))</f>
        <v/>
      </c>
      <c r="AB77" s="3"/>
      <c r="AC77" s="8"/>
      <c r="AD77" s="10" t="str">
        <f>IF(A77="","",IF(AC77&lt;&gt;"",AC77,IF(E77="",Inputs!$B$38,IFERROR(INDEX($AE$4:$AE$204,MATCH(E77,$A$4:$A$204,0))+IF(OR(AND(UPPER(TRIM(B77))="SWALE",UPPER(TRIM(AI77))="PIPE"),AND(UPPER(TRIM(B77))="TRENCH",UPPER(TRIM(AI77))="PIPE")),Inputs!$B$57,0),""))))</f>
        <v/>
      </c>
      <c r="AE77" s="10" t="str">
        <f t="shared" si="21"/>
        <v/>
      </c>
      <c r="AF77" s="10" t="str">
        <f t="shared" si="22"/>
        <v/>
      </c>
      <c r="AG77" s="10" t="str">
        <f t="shared" si="23"/>
        <v/>
      </c>
      <c r="AH77" s="3" t="str">
        <f>IF(A77="","",IF(E77="","TERMINAL",IF(OR(AND(UPPER(TRIM(B77))="SWALE",UPPER(TRIM(AI77))="PIPE"),AND(UPPER(TRIM(B77))="TRENCH",UPPER(TRIM(AI77))="PIPE")),IF(OR(AG77="",AJ77="",AK77=""),"INFO",IF(AND(AG77&gt;=AJ77,AG77&lt;=AK77),"OK","CHECK")),IF(AG77="","INFO",IF(ABS(AG77)&lt;=Inputs!$B$54,"OK","CHECK")))))</f>
        <v/>
      </c>
      <c r="AI77" s="11" t="str">
        <f t="shared" si="24"/>
        <v/>
      </c>
      <c r="AJ77" s="11" t="str">
        <f>IF(A77="","",IF(OR(AND(UPPER(TRIM(B77))="SWALE",UPPER(TRIM(AI77))="PIPE"),AND(UPPER(TRIM(B77))="TRENCH",UPPER(TRIM(AI77))="PIPE")),Inputs!$B$55,0))</f>
        <v/>
      </c>
      <c r="AK77" s="11" t="str">
        <f>IF(A77="","",IF(OR(AND(UPPER(TRIM(B77))="SWALE",UPPER(TRIM(AI77))="PIPE"),AND(UPPER(TRIM(B77))="TRENCH",UPPER(TRIM(AI77))="PIPE")),Inputs!$B$56,Inputs!$B$54))</f>
        <v/>
      </c>
      <c r="AL77" s="3" t="str">
        <f t="shared" si="25"/>
        <v/>
      </c>
    </row>
    <row r="78" spans="1:38" x14ac:dyDescent="0.25">
      <c r="A78" s="3"/>
      <c r="B78" s="3"/>
      <c r="C78" s="3"/>
      <c r="D78" s="3"/>
      <c r="E78" s="3"/>
      <c r="F78" s="8"/>
      <c r="G78" s="8"/>
      <c r="H78" s="8"/>
      <c r="I78" s="10" t="str">
        <f>IF(A78="","",IF(H78&lt;&gt;"",H78,IF(UPPER(TRIM(B78))="PIPE",Inputs!$B$7,IF(UPPER(TRIM(B78))="SWALE",Inputs!$B$8,Inputs!$B$9))))</f>
        <v/>
      </c>
      <c r="J78" s="8"/>
      <c r="K78" s="8"/>
      <c r="L78" s="8"/>
      <c r="M78" s="8"/>
      <c r="N78" s="8">
        <v>0</v>
      </c>
      <c r="O78" s="10" t="str">
        <f>IF(A78="","",SUMIFS(Zones_tributaires!$I:$I,Zones_tributaires!$J:$J,$A78))</f>
        <v/>
      </c>
      <c r="P78" s="10" t="str">
        <f t="shared" si="13"/>
        <v/>
      </c>
      <c r="Q78" s="10" t="str">
        <f>IF(A78="","",(O78+P78)*Inputs!$B$6)</f>
        <v/>
      </c>
      <c r="R78" s="10" t="str">
        <f t="shared" si="14"/>
        <v/>
      </c>
      <c r="S78" s="10" t="str">
        <f t="shared" si="15"/>
        <v/>
      </c>
      <c r="T78" s="10" t="str">
        <f t="shared" si="16"/>
        <v/>
      </c>
      <c r="U78" s="10" t="str">
        <f>IF(OR(T78="",Q78=""),"",Q78/(T78*Inputs!$B$19))</f>
        <v/>
      </c>
      <c r="V78" s="10" t="str">
        <f t="shared" si="17"/>
        <v/>
      </c>
      <c r="W78" s="10" t="str">
        <f t="shared" si="18"/>
        <v/>
      </c>
      <c r="X78" s="10" t="str">
        <f>IF(A78="","",IF(OR(UPPER(TRIM(Inputs!$B$15))="MANNING",UPPER(TRIM(Inputs!$B$15))="M"),W78,IF(OR(UPPER(TRIM(Inputs!$B$15))="MAX",UPPER(TRIM(Inputs!$B$15))="X"),MAX(V78,W78),V78)))</f>
        <v/>
      </c>
      <c r="Y78" s="10" t="str">
        <f t="shared" si="19"/>
        <v/>
      </c>
      <c r="Z78" s="10" t="str">
        <f t="shared" si="20"/>
        <v/>
      </c>
      <c r="AA78" s="3" t="str">
        <f>IF(A78="","",IF(OR(U78&gt;1,AND(X78&lt;&gt;"",X78&lt;Inputs!$B$16),AND(X78&lt;&gt;"",X78&gt;Inputs!$B$17),G78&lt;Inputs!$B$18,AH78="CHECK"),"CHECK","OK"))</f>
        <v/>
      </c>
      <c r="AB78" s="3"/>
      <c r="AC78" s="8"/>
      <c r="AD78" s="10" t="str">
        <f>IF(A78="","",IF(AC78&lt;&gt;"",AC78,IF(E78="",Inputs!$B$38,IFERROR(INDEX($AE$4:$AE$204,MATCH(E78,$A$4:$A$204,0))+IF(OR(AND(UPPER(TRIM(B78))="SWALE",UPPER(TRIM(AI78))="PIPE"),AND(UPPER(TRIM(B78))="TRENCH",UPPER(TRIM(AI78))="PIPE")),Inputs!$B$57,0),""))))</f>
        <v/>
      </c>
      <c r="AE78" s="10" t="str">
        <f t="shared" si="21"/>
        <v/>
      </c>
      <c r="AF78" s="10" t="str">
        <f t="shared" si="22"/>
        <v/>
      </c>
      <c r="AG78" s="10" t="str">
        <f t="shared" si="23"/>
        <v/>
      </c>
      <c r="AH78" s="3" t="str">
        <f>IF(A78="","",IF(E78="","TERMINAL",IF(OR(AND(UPPER(TRIM(B78))="SWALE",UPPER(TRIM(AI78))="PIPE"),AND(UPPER(TRIM(B78))="TRENCH",UPPER(TRIM(AI78))="PIPE")),IF(OR(AG78="",AJ78="",AK78=""),"INFO",IF(AND(AG78&gt;=AJ78,AG78&lt;=AK78),"OK","CHECK")),IF(AG78="","INFO",IF(ABS(AG78)&lt;=Inputs!$B$54,"OK","CHECK")))))</f>
        <v/>
      </c>
      <c r="AI78" s="11" t="str">
        <f t="shared" si="24"/>
        <v/>
      </c>
      <c r="AJ78" s="11" t="str">
        <f>IF(A78="","",IF(OR(AND(UPPER(TRIM(B78))="SWALE",UPPER(TRIM(AI78))="PIPE"),AND(UPPER(TRIM(B78))="TRENCH",UPPER(TRIM(AI78))="PIPE")),Inputs!$B$55,0))</f>
        <v/>
      </c>
      <c r="AK78" s="11" t="str">
        <f>IF(A78="","",IF(OR(AND(UPPER(TRIM(B78))="SWALE",UPPER(TRIM(AI78))="PIPE"),AND(UPPER(TRIM(B78))="TRENCH",UPPER(TRIM(AI78))="PIPE")),Inputs!$B$56,Inputs!$B$54))</f>
        <v/>
      </c>
      <c r="AL78" s="3" t="str">
        <f t="shared" si="25"/>
        <v/>
      </c>
    </row>
    <row r="79" spans="1:38" x14ac:dyDescent="0.25">
      <c r="A79" s="3"/>
      <c r="B79" s="3"/>
      <c r="C79" s="3"/>
      <c r="D79" s="3"/>
      <c r="E79" s="3"/>
      <c r="F79" s="8"/>
      <c r="G79" s="8"/>
      <c r="H79" s="8"/>
      <c r="I79" s="10" t="str">
        <f>IF(A79="","",IF(H79&lt;&gt;"",H79,IF(UPPER(TRIM(B79))="PIPE",Inputs!$B$7,IF(UPPER(TRIM(B79))="SWALE",Inputs!$B$8,Inputs!$B$9))))</f>
        <v/>
      </c>
      <c r="J79" s="8"/>
      <c r="K79" s="8"/>
      <c r="L79" s="8"/>
      <c r="M79" s="8"/>
      <c r="N79" s="8">
        <v>0</v>
      </c>
      <c r="O79" s="10" t="str">
        <f>IF(A79="","",SUMIFS(Zones_tributaires!$I:$I,Zones_tributaires!$J:$J,$A79))</f>
        <v/>
      </c>
      <c r="P79" s="10" t="str">
        <f t="shared" si="13"/>
        <v/>
      </c>
      <c r="Q79" s="10" t="str">
        <f>IF(A79="","",(O79+P79)*Inputs!$B$6)</f>
        <v/>
      </c>
      <c r="R79" s="10" t="str">
        <f t="shared" si="14"/>
        <v/>
      </c>
      <c r="S79" s="10" t="str">
        <f t="shared" si="15"/>
        <v/>
      </c>
      <c r="T79" s="10" t="str">
        <f t="shared" si="16"/>
        <v/>
      </c>
      <c r="U79" s="10" t="str">
        <f>IF(OR(T79="",Q79=""),"",Q79/(T79*Inputs!$B$19))</f>
        <v/>
      </c>
      <c r="V79" s="10" t="str">
        <f t="shared" si="17"/>
        <v/>
      </c>
      <c r="W79" s="10" t="str">
        <f t="shared" si="18"/>
        <v/>
      </c>
      <c r="X79" s="10" t="str">
        <f>IF(A79="","",IF(OR(UPPER(TRIM(Inputs!$B$15))="MANNING",UPPER(TRIM(Inputs!$B$15))="M"),W79,IF(OR(UPPER(TRIM(Inputs!$B$15))="MAX",UPPER(TRIM(Inputs!$B$15))="X"),MAX(V79,W79),V79)))</f>
        <v/>
      </c>
      <c r="Y79" s="10" t="str">
        <f t="shared" si="19"/>
        <v/>
      </c>
      <c r="Z79" s="10" t="str">
        <f t="shared" si="20"/>
        <v/>
      </c>
      <c r="AA79" s="3" t="str">
        <f>IF(A79="","",IF(OR(U79&gt;1,AND(X79&lt;&gt;"",X79&lt;Inputs!$B$16),AND(X79&lt;&gt;"",X79&gt;Inputs!$B$17),G79&lt;Inputs!$B$18,AH79="CHECK"),"CHECK","OK"))</f>
        <v/>
      </c>
      <c r="AB79" s="3"/>
      <c r="AC79" s="8"/>
      <c r="AD79" s="10" t="str">
        <f>IF(A79="","",IF(AC79&lt;&gt;"",AC79,IF(E79="",Inputs!$B$38,IFERROR(INDEX($AE$4:$AE$204,MATCH(E79,$A$4:$A$204,0))+IF(OR(AND(UPPER(TRIM(B79))="SWALE",UPPER(TRIM(AI79))="PIPE"),AND(UPPER(TRIM(B79))="TRENCH",UPPER(TRIM(AI79))="PIPE")),Inputs!$B$57,0),""))))</f>
        <v/>
      </c>
      <c r="AE79" s="10" t="str">
        <f t="shared" si="21"/>
        <v/>
      </c>
      <c r="AF79" s="10" t="str">
        <f t="shared" si="22"/>
        <v/>
      </c>
      <c r="AG79" s="10" t="str">
        <f t="shared" si="23"/>
        <v/>
      </c>
      <c r="AH79" s="3" t="str">
        <f>IF(A79="","",IF(E79="","TERMINAL",IF(OR(AND(UPPER(TRIM(B79))="SWALE",UPPER(TRIM(AI79))="PIPE"),AND(UPPER(TRIM(B79))="TRENCH",UPPER(TRIM(AI79))="PIPE")),IF(OR(AG79="",AJ79="",AK79=""),"INFO",IF(AND(AG79&gt;=AJ79,AG79&lt;=AK79),"OK","CHECK")),IF(AG79="","INFO",IF(ABS(AG79)&lt;=Inputs!$B$54,"OK","CHECK")))))</f>
        <v/>
      </c>
      <c r="AI79" s="11" t="str">
        <f t="shared" si="24"/>
        <v/>
      </c>
      <c r="AJ79" s="11" t="str">
        <f>IF(A79="","",IF(OR(AND(UPPER(TRIM(B79))="SWALE",UPPER(TRIM(AI79))="PIPE"),AND(UPPER(TRIM(B79))="TRENCH",UPPER(TRIM(AI79))="PIPE")),Inputs!$B$55,0))</f>
        <v/>
      </c>
      <c r="AK79" s="11" t="str">
        <f>IF(A79="","",IF(OR(AND(UPPER(TRIM(B79))="SWALE",UPPER(TRIM(AI79))="PIPE"),AND(UPPER(TRIM(B79))="TRENCH",UPPER(TRIM(AI79))="PIPE")),Inputs!$B$56,Inputs!$B$54))</f>
        <v/>
      </c>
      <c r="AL79" s="3" t="str">
        <f t="shared" si="25"/>
        <v/>
      </c>
    </row>
    <row r="80" spans="1:38" x14ac:dyDescent="0.25">
      <c r="A80" s="3"/>
      <c r="B80" s="3"/>
      <c r="C80" s="3"/>
      <c r="D80" s="3"/>
      <c r="E80" s="3"/>
      <c r="F80" s="8"/>
      <c r="G80" s="8"/>
      <c r="H80" s="8"/>
      <c r="I80" s="10" t="str">
        <f>IF(A80="","",IF(H80&lt;&gt;"",H80,IF(UPPER(TRIM(B80))="PIPE",Inputs!$B$7,IF(UPPER(TRIM(B80))="SWALE",Inputs!$B$8,Inputs!$B$9))))</f>
        <v/>
      </c>
      <c r="J80" s="8"/>
      <c r="K80" s="8"/>
      <c r="L80" s="8"/>
      <c r="M80" s="8"/>
      <c r="N80" s="8">
        <v>0</v>
      </c>
      <c r="O80" s="10" t="str">
        <f>IF(A80="","",SUMIFS(Zones_tributaires!$I:$I,Zones_tributaires!$J:$J,$A80))</f>
        <v/>
      </c>
      <c r="P80" s="10" t="str">
        <f t="shared" si="13"/>
        <v/>
      </c>
      <c r="Q80" s="10" t="str">
        <f>IF(A80="","",(O80+P80)*Inputs!$B$6)</f>
        <v/>
      </c>
      <c r="R80" s="10" t="str">
        <f t="shared" si="14"/>
        <v/>
      </c>
      <c r="S80" s="10" t="str">
        <f t="shared" si="15"/>
        <v/>
      </c>
      <c r="T80" s="10" t="str">
        <f t="shared" si="16"/>
        <v/>
      </c>
      <c r="U80" s="10" t="str">
        <f>IF(OR(T80="",Q80=""),"",Q80/(T80*Inputs!$B$19))</f>
        <v/>
      </c>
      <c r="V80" s="10" t="str">
        <f t="shared" si="17"/>
        <v/>
      </c>
      <c r="W80" s="10" t="str">
        <f t="shared" si="18"/>
        <v/>
      </c>
      <c r="X80" s="10" t="str">
        <f>IF(A80="","",IF(OR(UPPER(TRIM(Inputs!$B$15))="MANNING",UPPER(TRIM(Inputs!$B$15))="M"),W80,IF(OR(UPPER(TRIM(Inputs!$B$15))="MAX",UPPER(TRIM(Inputs!$B$15))="X"),MAX(V80,W80),V80)))</f>
        <v/>
      </c>
      <c r="Y80" s="10" t="str">
        <f t="shared" si="19"/>
        <v/>
      </c>
      <c r="Z80" s="10" t="str">
        <f t="shared" si="20"/>
        <v/>
      </c>
      <c r="AA80" s="3" t="str">
        <f>IF(A80="","",IF(OR(U80&gt;1,AND(X80&lt;&gt;"",X80&lt;Inputs!$B$16),AND(X80&lt;&gt;"",X80&gt;Inputs!$B$17),G80&lt;Inputs!$B$18,AH80="CHECK"),"CHECK","OK"))</f>
        <v/>
      </c>
      <c r="AB80" s="3"/>
      <c r="AC80" s="8"/>
      <c r="AD80" s="10" t="str">
        <f>IF(A80="","",IF(AC80&lt;&gt;"",AC80,IF(E80="",Inputs!$B$38,IFERROR(INDEX($AE$4:$AE$204,MATCH(E80,$A$4:$A$204,0))+IF(OR(AND(UPPER(TRIM(B80))="SWALE",UPPER(TRIM(AI80))="PIPE"),AND(UPPER(TRIM(B80))="TRENCH",UPPER(TRIM(AI80))="PIPE")),Inputs!$B$57,0),""))))</f>
        <v/>
      </c>
      <c r="AE80" s="10" t="str">
        <f t="shared" si="21"/>
        <v/>
      </c>
      <c r="AF80" s="10" t="str">
        <f t="shared" si="22"/>
        <v/>
      </c>
      <c r="AG80" s="10" t="str">
        <f t="shared" si="23"/>
        <v/>
      </c>
      <c r="AH80" s="3" t="str">
        <f>IF(A80="","",IF(E80="","TERMINAL",IF(OR(AND(UPPER(TRIM(B80))="SWALE",UPPER(TRIM(AI80))="PIPE"),AND(UPPER(TRIM(B80))="TRENCH",UPPER(TRIM(AI80))="PIPE")),IF(OR(AG80="",AJ80="",AK80=""),"INFO",IF(AND(AG80&gt;=AJ80,AG80&lt;=AK80),"OK","CHECK")),IF(AG80="","INFO",IF(ABS(AG80)&lt;=Inputs!$B$54,"OK","CHECK")))))</f>
        <v/>
      </c>
      <c r="AI80" s="11" t="str">
        <f t="shared" si="24"/>
        <v/>
      </c>
      <c r="AJ80" s="11" t="str">
        <f>IF(A80="","",IF(OR(AND(UPPER(TRIM(B80))="SWALE",UPPER(TRIM(AI80))="PIPE"),AND(UPPER(TRIM(B80))="TRENCH",UPPER(TRIM(AI80))="PIPE")),Inputs!$B$55,0))</f>
        <v/>
      </c>
      <c r="AK80" s="11" t="str">
        <f>IF(A80="","",IF(OR(AND(UPPER(TRIM(B80))="SWALE",UPPER(TRIM(AI80))="PIPE"),AND(UPPER(TRIM(B80))="TRENCH",UPPER(TRIM(AI80))="PIPE")),Inputs!$B$56,Inputs!$B$54))</f>
        <v/>
      </c>
      <c r="AL80" s="3" t="str">
        <f t="shared" si="25"/>
        <v/>
      </c>
    </row>
    <row r="81" spans="1:38" x14ac:dyDescent="0.25">
      <c r="A81" s="3"/>
      <c r="B81" s="3"/>
      <c r="C81" s="3"/>
      <c r="D81" s="3"/>
      <c r="E81" s="3"/>
      <c r="F81" s="8"/>
      <c r="G81" s="8"/>
      <c r="H81" s="8"/>
      <c r="I81" s="10" t="str">
        <f>IF(A81="","",IF(H81&lt;&gt;"",H81,IF(UPPER(TRIM(B81))="PIPE",Inputs!$B$7,IF(UPPER(TRIM(B81))="SWALE",Inputs!$B$8,Inputs!$B$9))))</f>
        <v/>
      </c>
      <c r="J81" s="8"/>
      <c r="K81" s="8"/>
      <c r="L81" s="8"/>
      <c r="M81" s="8"/>
      <c r="N81" s="8">
        <v>0</v>
      </c>
      <c r="O81" s="10" t="str">
        <f>IF(A81="","",SUMIFS(Zones_tributaires!$I:$I,Zones_tributaires!$J:$J,$A81))</f>
        <v/>
      </c>
      <c r="P81" s="10" t="str">
        <f t="shared" si="13"/>
        <v/>
      </c>
      <c r="Q81" s="10" t="str">
        <f>IF(A81="","",(O81+P81)*Inputs!$B$6)</f>
        <v/>
      </c>
      <c r="R81" s="10" t="str">
        <f t="shared" si="14"/>
        <v/>
      </c>
      <c r="S81" s="10" t="str">
        <f t="shared" si="15"/>
        <v/>
      </c>
      <c r="T81" s="10" t="str">
        <f t="shared" si="16"/>
        <v/>
      </c>
      <c r="U81" s="10" t="str">
        <f>IF(OR(T81="",Q81=""),"",Q81/(T81*Inputs!$B$19))</f>
        <v/>
      </c>
      <c r="V81" s="10" t="str">
        <f t="shared" si="17"/>
        <v/>
      </c>
      <c r="W81" s="10" t="str">
        <f t="shared" si="18"/>
        <v/>
      </c>
      <c r="X81" s="10" t="str">
        <f>IF(A81="","",IF(OR(UPPER(TRIM(Inputs!$B$15))="MANNING",UPPER(TRIM(Inputs!$B$15))="M"),W81,IF(OR(UPPER(TRIM(Inputs!$B$15))="MAX",UPPER(TRIM(Inputs!$B$15))="X"),MAX(V81,W81),V81)))</f>
        <v/>
      </c>
      <c r="Y81" s="10" t="str">
        <f t="shared" si="19"/>
        <v/>
      </c>
      <c r="Z81" s="10" t="str">
        <f t="shared" si="20"/>
        <v/>
      </c>
      <c r="AA81" s="3" t="str">
        <f>IF(A81="","",IF(OR(U81&gt;1,AND(X81&lt;&gt;"",X81&lt;Inputs!$B$16),AND(X81&lt;&gt;"",X81&gt;Inputs!$B$17),G81&lt;Inputs!$B$18,AH81="CHECK"),"CHECK","OK"))</f>
        <v/>
      </c>
      <c r="AB81" s="3"/>
      <c r="AC81" s="8"/>
      <c r="AD81" s="10" t="str">
        <f>IF(A81="","",IF(AC81&lt;&gt;"",AC81,IF(E81="",Inputs!$B$38,IFERROR(INDEX($AE$4:$AE$204,MATCH(E81,$A$4:$A$204,0))+IF(OR(AND(UPPER(TRIM(B81))="SWALE",UPPER(TRIM(AI81))="PIPE"),AND(UPPER(TRIM(B81))="TRENCH",UPPER(TRIM(AI81))="PIPE")),Inputs!$B$57,0),""))))</f>
        <v/>
      </c>
      <c r="AE81" s="10" t="str">
        <f t="shared" si="21"/>
        <v/>
      </c>
      <c r="AF81" s="10" t="str">
        <f t="shared" si="22"/>
        <v/>
      </c>
      <c r="AG81" s="10" t="str">
        <f t="shared" si="23"/>
        <v/>
      </c>
      <c r="AH81" s="3" t="str">
        <f>IF(A81="","",IF(E81="","TERMINAL",IF(OR(AND(UPPER(TRIM(B81))="SWALE",UPPER(TRIM(AI81))="PIPE"),AND(UPPER(TRIM(B81))="TRENCH",UPPER(TRIM(AI81))="PIPE")),IF(OR(AG81="",AJ81="",AK81=""),"INFO",IF(AND(AG81&gt;=AJ81,AG81&lt;=AK81),"OK","CHECK")),IF(AG81="","INFO",IF(ABS(AG81)&lt;=Inputs!$B$54,"OK","CHECK")))))</f>
        <v/>
      </c>
      <c r="AI81" s="11" t="str">
        <f t="shared" si="24"/>
        <v/>
      </c>
      <c r="AJ81" s="11" t="str">
        <f>IF(A81="","",IF(OR(AND(UPPER(TRIM(B81))="SWALE",UPPER(TRIM(AI81))="PIPE"),AND(UPPER(TRIM(B81))="TRENCH",UPPER(TRIM(AI81))="PIPE")),Inputs!$B$55,0))</f>
        <v/>
      </c>
      <c r="AK81" s="11" t="str">
        <f>IF(A81="","",IF(OR(AND(UPPER(TRIM(B81))="SWALE",UPPER(TRIM(AI81))="PIPE"),AND(UPPER(TRIM(B81))="TRENCH",UPPER(TRIM(AI81))="PIPE")),Inputs!$B$56,Inputs!$B$54))</f>
        <v/>
      </c>
      <c r="AL81" s="3" t="str">
        <f t="shared" si="25"/>
        <v/>
      </c>
    </row>
    <row r="82" spans="1:38" x14ac:dyDescent="0.25">
      <c r="A82" s="3"/>
      <c r="B82" s="3"/>
      <c r="C82" s="3"/>
      <c r="D82" s="3"/>
      <c r="E82" s="3"/>
      <c r="F82" s="8"/>
      <c r="G82" s="8"/>
      <c r="H82" s="8"/>
      <c r="I82" s="10" t="str">
        <f>IF(A82="","",IF(H82&lt;&gt;"",H82,IF(UPPER(TRIM(B82))="PIPE",Inputs!$B$7,IF(UPPER(TRIM(B82))="SWALE",Inputs!$B$8,Inputs!$B$9))))</f>
        <v/>
      </c>
      <c r="J82" s="8"/>
      <c r="K82" s="8"/>
      <c r="L82" s="8"/>
      <c r="M82" s="8"/>
      <c r="N82" s="8">
        <v>0</v>
      </c>
      <c r="O82" s="10" t="str">
        <f>IF(A82="","",SUMIFS(Zones_tributaires!$I:$I,Zones_tributaires!$J:$J,$A82))</f>
        <v/>
      </c>
      <c r="P82" s="10" t="str">
        <f t="shared" si="13"/>
        <v/>
      </c>
      <c r="Q82" s="10" t="str">
        <f>IF(A82="","",(O82+P82)*Inputs!$B$6)</f>
        <v/>
      </c>
      <c r="R82" s="10" t="str">
        <f t="shared" si="14"/>
        <v/>
      </c>
      <c r="S82" s="10" t="str">
        <f t="shared" si="15"/>
        <v/>
      </c>
      <c r="T82" s="10" t="str">
        <f t="shared" si="16"/>
        <v/>
      </c>
      <c r="U82" s="10" t="str">
        <f>IF(OR(T82="",Q82=""),"",Q82/(T82*Inputs!$B$19))</f>
        <v/>
      </c>
      <c r="V82" s="10" t="str">
        <f t="shared" si="17"/>
        <v/>
      </c>
      <c r="W82" s="10" t="str">
        <f t="shared" si="18"/>
        <v/>
      </c>
      <c r="X82" s="10" t="str">
        <f>IF(A82="","",IF(OR(UPPER(TRIM(Inputs!$B$15))="MANNING",UPPER(TRIM(Inputs!$B$15))="M"),W82,IF(OR(UPPER(TRIM(Inputs!$B$15))="MAX",UPPER(TRIM(Inputs!$B$15))="X"),MAX(V82,W82),V82)))</f>
        <v/>
      </c>
      <c r="Y82" s="10" t="str">
        <f t="shared" si="19"/>
        <v/>
      </c>
      <c r="Z82" s="10" t="str">
        <f t="shared" si="20"/>
        <v/>
      </c>
      <c r="AA82" s="3" t="str">
        <f>IF(A82="","",IF(OR(U82&gt;1,AND(X82&lt;&gt;"",X82&lt;Inputs!$B$16),AND(X82&lt;&gt;"",X82&gt;Inputs!$B$17),G82&lt;Inputs!$B$18,AH82="CHECK"),"CHECK","OK"))</f>
        <v/>
      </c>
      <c r="AB82" s="3"/>
      <c r="AC82" s="8"/>
      <c r="AD82" s="10" t="str">
        <f>IF(A82="","",IF(AC82&lt;&gt;"",AC82,IF(E82="",Inputs!$B$38,IFERROR(INDEX($AE$4:$AE$204,MATCH(E82,$A$4:$A$204,0))+IF(OR(AND(UPPER(TRIM(B82))="SWALE",UPPER(TRIM(AI82))="PIPE"),AND(UPPER(TRIM(B82))="TRENCH",UPPER(TRIM(AI82))="PIPE")),Inputs!$B$57,0),""))))</f>
        <v/>
      </c>
      <c r="AE82" s="10" t="str">
        <f t="shared" si="21"/>
        <v/>
      </c>
      <c r="AF82" s="10" t="str">
        <f t="shared" si="22"/>
        <v/>
      </c>
      <c r="AG82" s="10" t="str">
        <f t="shared" si="23"/>
        <v/>
      </c>
      <c r="AH82" s="3" t="str">
        <f>IF(A82="","",IF(E82="","TERMINAL",IF(OR(AND(UPPER(TRIM(B82))="SWALE",UPPER(TRIM(AI82))="PIPE"),AND(UPPER(TRIM(B82))="TRENCH",UPPER(TRIM(AI82))="PIPE")),IF(OR(AG82="",AJ82="",AK82=""),"INFO",IF(AND(AG82&gt;=AJ82,AG82&lt;=AK82),"OK","CHECK")),IF(AG82="","INFO",IF(ABS(AG82)&lt;=Inputs!$B$54,"OK","CHECK")))))</f>
        <v/>
      </c>
      <c r="AI82" s="11" t="str">
        <f t="shared" si="24"/>
        <v/>
      </c>
      <c r="AJ82" s="11" t="str">
        <f>IF(A82="","",IF(OR(AND(UPPER(TRIM(B82))="SWALE",UPPER(TRIM(AI82))="PIPE"),AND(UPPER(TRIM(B82))="TRENCH",UPPER(TRIM(AI82))="PIPE")),Inputs!$B$55,0))</f>
        <v/>
      </c>
      <c r="AK82" s="11" t="str">
        <f>IF(A82="","",IF(OR(AND(UPPER(TRIM(B82))="SWALE",UPPER(TRIM(AI82))="PIPE"),AND(UPPER(TRIM(B82))="TRENCH",UPPER(TRIM(AI82))="PIPE")),Inputs!$B$56,Inputs!$B$54))</f>
        <v/>
      </c>
      <c r="AL82" s="3" t="str">
        <f t="shared" si="25"/>
        <v/>
      </c>
    </row>
    <row r="83" spans="1:38" x14ac:dyDescent="0.25">
      <c r="A83" s="3"/>
      <c r="B83" s="3"/>
      <c r="C83" s="3"/>
      <c r="D83" s="3"/>
      <c r="E83" s="3"/>
      <c r="F83" s="8"/>
      <c r="G83" s="8"/>
      <c r="H83" s="8"/>
      <c r="I83" s="10" t="str">
        <f>IF(A83="","",IF(H83&lt;&gt;"",H83,IF(UPPER(TRIM(B83))="PIPE",Inputs!$B$7,IF(UPPER(TRIM(B83))="SWALE",Inputs!$B$8,Inputs!$B$9))))</f>
        <v/>
      </c>
      <c r="J83" s="8"/>
      <c r="K83" s="8"/>
      <c r="L83" s="8"/>
      <c r="M83" s="8"/>
      <c r="N83" s="8">
        <v>0</v>
      </c>
      <c r="O83" s="10" t="str">
        <f>IF(A83="","",SUMIFS(Zones_tributaires!$I:$I,Zones_tributaires!$J:$J,$A83))</f>
        <v/>
      </c>
      <c r="P83" s="10" t="str">
        <f t="shared" si="13"/>
        <v/>
      </c>
      <c r="Q83" s="10" t="str">
        <f>IF(A83="","",(O83+P83)*Inputs!$B$6)</f>
        <v/>
      </c>
      <c r="R83" s="10" t="str">
        <f t="shared" si="14"/>
        <v/>
      </c>
      <c r="S83" s="10" t="str">
        <f t="shared" si="15"/>
        <v/>
      </c>
      <c r="T83" s="10" t="str">
        <f t="shared" si="16"/>
        <v/>
      </c>
      <c r="U83" s="10" t="str">
        <f>IF(OR(T83="",Q83=""),"",Q83/(T83*Inputs!$B$19))</f>
        <v/>
      </c>
      <c r="V83" s="10" t="str">
        <f t="shared" si="17"/>
        <v/>
      </c>
      <c r="W83" s="10" t="str">
        <f t="shared" si="18"/>
        <v/>
      </c>
      <c r="X83" s="10" t="str">
        <f>IF(A83="","",IF(OR(UPPER(TRIM(Inputs!$B$15))="MANNING",UPPER(TRIM(Inputs!$B$15))="M"),W83,IF(OR(UPPER(TRIM(Inputs!$B$15))="MAX",UPPER(TRIM(Inputs!$B$15))="X"),MAX(V83,W83),V83)))</f>
        <v/>
      </c>
      <c r="Y83" s="10" t="str">
        <f t="shared" si="19"/>
        <v/>
      </c>
      <c r="Z83" s="10" t="str">
        <f t="shared" si="20"/>
        <v/>
      </c>
      <c r="AA83" s="3" t="str">
        <f>IF(A83="","",IF(OR(U83&gt;1,AND(X83&lt;&gt;"",X83&lt;Inputs!$B$16),AND(X83&lt;&gt;"",X83&gt;Inputs!$B$17),G83&lt;Inputs!$B$18,AH83="CHECK"),"CHECK","OK"))</f>
        <v/>
      </c>
      <c r="AB83" s="3"/>
      <c r="AC83" s="8"/>
      <c r="AD83" s="10" t="str">
        <f>IF(A83="","",IF(AC83&lt;&gt;"",AC83,IF(E83="",Inputs!$B$38,IFERROR(INDEX($AE$4:$AE$204,MATCH(E83,$A$4:$A$204,0))+IF(OR(AND(UPPER(TRIM(B83))="SWALE",UPPER(TRIM(AI83))="PIPE"),AND(UPPER(TRIM(B83))="TRENCH",UPPER(TRIM(AI83))="PIPE")),Inputs!$B$57,0),""))))</f>
        <v/>
      </c>
      <c r="AE83" s="10" t="str">
        <f t="shared" si="21"/>
        <v/>
      </c>
      <c r="AF83" s="10" t="str">
        <f t="shared" si="22"/>
        <v/>
      </c>
      <c r="AG83" s="10" t="str">
        <f t="shared" si="23"/>
        <v/>
      </c>
      <c r="AH83" s="3" t="str">
        <f>IF(A83="","",IF(E83="","TERMINAL",IF(OR(AND(UPPER(TRIM(B83))="SWALE",UPPER(TRIM(AI83))="PIPE"),AND(UPPER(TRIM(B83))="TRENCH",UPPER(TRIM(AI83))="PIPE")),IF(OR(AG83="",AJ83="",AK83=""),"INFO",IF(AND(AG83&gt;=AJ83,AG83&lt;=AK83),"OK","CHECK")),IF(AG83="","INFO",IF(ABS(AG83)&lt;=Inputs!$B$54,"OK","CHECK")))))</f>
        <v/>
      </c>
      <c r="AI83" s="11" t="str">
        <f t="shared" si="24"/>
        <v/>
      </c>
      <c r="AJ83" s="11" t="str">
        <f>IF(A83="","",IF(OR(AND(UPPER(TRIM(B83))="SWALE",UPPER(TRIM(AI83))="PIPE"),AND(UPPER(TRIM(B83))="TRENCH",UPPER(TRIM(AI83))="PIPE")),Inputs!$B$55,0))</f>
        <v/>
      </c>
      <c r="AK83" s="11" t="str">
        <f>IF(A83="","",IF(OR(AND(UPPER(TRIM(B83))="SWALE",UPPER(TRIM(AI83))="PIPE"),AND(UPPER(TRIM(B83))="TRENCH",UPPER(TRIM(AI83))="PIPE")),Inputs!$B$56,Inputs!$B$54))</f>
        <v/>
      </c>
      <c r="AL83" s="3" t="str">
        <f t="shared" si="25"/>
        <v/>
      </c>
    </row>
    <row r="84" spans="1:38" x14ac:dyDescent="0.25">
      <c r="A84" s="3"/>
      <c r="B84" s="3"/>
      <c r="C84" s="3"/>
      <c r="D84" s="3"/>
      <c r="E84" s="3"/>
      <c r="F84" s="8"/>
      <c r="G84" s="8"/>
      <c r="H84" s="8"/>
      <c r="I84" s="10" t="str">
        <f>IF(A84="","",IF(H84&lt;&gt;"",H84,IF(UPPER(TRIM(B84))="PIPE",Inputs!$B$7,IF(UPPER(TRIM(B84))="SWALE",Inputs!$B$8,Inputs!$B$9))))</f>
        <v/>
      </c>
      <c r="J84" s="8"/>
      <c r="K84" s="8"/>
      <c r="L84" s="8"/>
      <c r="M84" s="8"/>
      <c r="N84" s="8">
        <v>0</v>
      </c>
      <c r="O84" s="10" t="str">
        <f>IF(A84="","",SUMIFS(Zones_tributaires!$I:$I,Zones_tributaires!$J:$J,$A84))</f>
        <v/>
      </c>
      <c r="P84" s="10" t="str">
        <f t="shared" si="13"/>
        <v/>
      </c>
      <c r="Q84" s="10" t="str">
        <f>IF(A84="","",(O84+P84)*Inputs!$B$6)</f>
        <v/>
      </c>
      <c r="R84" s="10" t="str">
        <f t="shared" si="14"/>
        <v/>
      </c>
      <c r="S84" s="10" t="str">
        <f t="shared" si="15"/>
        <v/>
      </c>
      <c r="T84" s="10" t="str">
        <f t="shared" si="16"/>
        <v/>
      </c>
      <c r="U84" s="10" t="str">
        <f>IF(OR(T84="",Q84=""),"",Q84/(T84*Inputs!$B$19))</f>
        <v/>
      </c>
      <c r="V84" s="10" t="str">
        <f t="shared" si="17"/>
        <v/>
      </c>
      <c r="W84" s="10" t="str">
        <f t="shared" si="18"/>
        <v/>
      </c>
      <c r="X84" s="10" t="str">
        <f>IF(A84="","",IF(OR(UPPER(TRIM(Inputs!$B$15))="MANNING",UPPER(TRIM(Inputs!$B$15))="M"),W84,IF(OR(UPPER(TRIM(Inputs!$B$15))="MAX",UPPER(TRIM(Inputs!$B$15))="X"),MAX(V84,W84),V84)))</f>
        <v/>
      </c>
      <c r="Y84" s="10" t="str">
        <f t="shared" si="19"/>
        <v/>
      </c>
      <c r="Z84" s="10" t="str">
        <f t="shared" si="20"/>
        <v/>
      </c>
      <c r="AA84" s="3" t="str">
        <f>IF(A84="","",IF(OR(U84&gt;1,AND(X84&lt;&gt;"",X84&lt;Inputs!$B$16),AND(X84&lt;&gt;"",X84&gt;Inputs!$B$17),G84&lt;Inputs!$B$18,AH84="CHECK"),"CHECK","OK"))</f>
        <v/>
      </c>
      <c r="AB84" s="3"/>
      <c r="AC84" s="8"/>
      <c r="AD84" s="10" t="str">
        <f>IF(A84="","",IF(AC84&lt;&gt;"",AC84,IF(E84="",Inputs!$B$38,IFERROR(INDEX($AE$4:$AE$204,MATCH(E84,$A$4:$A$204,0))+IF(OR(AND(UPPER(TRIM(B84))="SWALE",UPPER(TRIM(AI84))="PIPE"),AND(UPPER(TRIM(B84))="TRENCH",UPPER(TRIM(AI84))="PIPE")),Inputs!$B$57,0),""))))</f>
        <v/>
      </c>
      <c r="AE84" s="10" t="str">
        <f t="shared" si="21"/>
        <v/>
      </c>
      <c r="AF84" s="10" t="str">
        <f t="shared" si="22"/>
        <v/>
      </c>
      <c r="AG84" s="10" t="str">
        <f t="shared" si="23"/>
        <v/>
      </c>
      <c r="AH84" s="3" t="str">
        <f>IF(A84="","",IF(E84="","TERMINAL",IF(OR(AND(UPPER(TRIM(B84))="SWALE",UPPER(TRIM(AI84))="PIPE"),AND(UPPER(TRIM(B84))="TRENCH",UPPER(TRIM(AI84))="PIPE")),IF(OR(AG84="",AJ84="",AK84=""),"INFO",IF(AND(AG84&gt;=AJ84,AG84&lt;=AK84),"OK","CHECK")),IF(AG84="","INFO",IF(ABS(AG84)&lt;=Inputs!$B$54,"OK","CHECK")))))</f>
        <v/>
      </c>
      <c r="AI84" s="11" t="str">
        <f t="shared" si="24"/>
        <v/>
      </c>
      <c r="AJ84" s="11" t="str">
        <f>IF(A84="","",IF(OR(AND(UPPER(TRIM(B84))="SWALE",UPPER(TRIM(AI84))="PIPE"),AND(UPPER(TRIM(B84))="TRENCH",UPPER(TRIM(AI84))="PIPE")),Inputs!$B$55,0))</f>
        <v/>
      </c>
      <c r="AK84" s="11" t="str">
        <f>IF(A84="","",IF(OR(AND(UPPER(TRIM(B84))="SWALE",UPPER(TRIM(AI84))="PIPE"),AND(UPPER(TRIM(B84))="TRENCH",UPPER(TRIM(AI84))="PIPE")),Inputs!$B$56,Inputs!$B$54))</f>
        <v/>
      </c>
      <c r="AL84" s="3" t="str">
        <f t="shared" si="25"/>
        <v/>
      </c>
    </row>
    <row r="85" spans="1:38" x14ac:dyDescent="0.25">
      <c r="A85" s="3"/>
      <c r="B85" s="3"/>
      <c r="C85" s="3"/>
      <c r="D85" s="3"/>
      <c r="E85" s="3"/>
      <c r="F85" s="8"/>
      <c r="G85" s="8"/>
      <c r="H85" s="8"/>
      <c r="I85" s="10" t="str">
        <f>IF(A85="","",IF(H85&lt;&gt;"",H85,IF(UPPER(TRIM(B85))="PIPE",Inputs!$B$7,IF(UPPER(TRIM(B85))="SWALE",Inputs!$B$8,Inputs!$B$9))))</f>
        <v/>
      </c>
      <c r="J85" s="8"/>
      <c r="K85" s="8"/>
      <c r="L85" s="8"/>
      <c r="M85" s="8"/>
      <c r="N85" s="8">
        <v>0</v>
      </c>
      <c r="O85" s="10" t="str">
        <f>IF(A85="","",SUMIFS(Zones_tributaires!$I:$I,Zones_tributaires!$J:$J,$A85))</f>
        <v/>
      </c>
      <c r="P85" s="10" t="str">
        <f t="shared" si="13"/>
        <v/>
      </c>
      <c r="Q85" s="10" t="str">
        <f>IF(A85="","",(O85+P85)*Inputs!$B$6)</f>
        <v/>
      </c>
      <c r="R85" s="10" t="str">
        <f t="shared" si="14"/>
        <v/>
      </c>
      <c r="S85" s="10" t="str">
        <f t="shared" si="15"/>
        <v/>
      </c>
      <c r="T85" s="10" t="str">
        <f t="shared" si="16"/>
        <v/>
      </c>
      <c r="U85" s="10" t="str">
        <f>IF(OR(T85="",Q85=""),"",Q85/(T85*Inputs!$B$19))</f>
        <v/>
      </c>
      <c r="V85" s="10" t="str">
        <f t="shared" si="17"/>
        <v/>
      </c>
      <c r="W85" s="10" t="str">
        <f t="shared" si="18"/>
        <v/>
      </c>
      <c r="X85" s="10" t="str">
        <f>IF(A85="","",IF(OR(UPPER(TRIM(Inputs!$B$15))="MANNING",UPPER(TRIM(Inputs!$B$15))="M"),W85,IF(OR(UPPER(TRIM(Inputs!$B$15))="MAX",UPPER(TRIM(Inputs!$B$15))="X"),MAX(V85,W85),V85)))</f>
        <v/>
      </c>
      <c r="Y85" s="10" t="str">
        <f t="shared" si="19"/>
        <v/>
      </c>
      <c r="Z85" s="10" t="str">
        <f t="shared" si="20"/>
        <v/>
      </c>
      <c r="AA85" s="3" t="str">
        <f>IF(A85="","",IF(OR(U85&gt;1,AND(X85&lt;&gt;"",X85&lt;Inputs!$B$16),AND(X85&lt;&gt;"",X85&gt;Inputs!$B$17),G85&lt;Inputs!$B$18,AH85="CHECK"),"CHECK","OK"))</f>
        <v/>
      </c>
      <c r="AB85" s="3"/>
      <c r="AC85" s="8"/>
      <c r="AD85" s="10" t="str">
        <f>IF(A85="","",IF(AC85&lt;&gt;"",AC85,IF(E85="",Inputs!$B$38,IFERROR(INDEX($AE$4:$AE$204,MATCH(E85,$A$4:$A$204,0))+IF(OR(AND(UPPER(TRIM(B85))="SWALE",UPPER(TRIM(AI85))="PIPE"),AND(UPPER(TRIM(B85))="TRENCH",UPPER(TRIM(AI85))="PIPE")),Inputs!$B$57,0),""))))</f>
        <v/>
      </c>
      <c r="AE85" s="10" t="str">
        <f t="shared" si="21"/>
        <v/>
      </c>
      <c r="AF85" s="10" t="str">
        <f t="shared" si="22"/>
        <v/>
      </c>
      <c r="AG85" s="10" t="str">
        <f t="shared" si="23"/>
        <v/>
      </c>
      <c r="AH85" s="3" t="str">
        <f>IF(A85="","",IF(E85="","TERMINAL",IF(OR(AND(UPPER(TRIM(B85))="SWALE",UPPER(TRIM(AI85))="PIPE"),AND(UPPER(TRIM(B85))="TRENCH",UPPER(TRIM(AI85))="PIPE")),IF(OR(AG85="",AJ85="",AK85=""),"INFO",IF(AND(AG85&gt;=AJ85,AG85&lt;=AK85),"OK","CHECK")),IF(AG85="","INFO",IF(ABS(AG85)&lt;=Inputs!$B$54,"OK","CHECK")))))</f>
        <v/>
      </c>
      <c r="AI85" s="11" t="str">
        <f t="shared" si="24"/>
        <v/>
      </c>
      <c r="AJ85" s="11" t="str">
        <f>IF(A85="","",IF(OR(AND(UPPER(TRIM(B85))="SWALE",UPPER(TRIM(AI85))="PIPE"),AND(UPPER(TRIM(B85))="TRENCH",UPPER(TRIM(AI85))="PIPE")),Inputs!$B$55,0))</f>
        <v/>
      </c>
      <c r="AK85" s="11" t="str">
        <f>IF(A85="","",IF(OR(AND(UPPER(TRIM(B85))="SWALE",UPPER(TRIM(AI85))="PIPE"),AND(UPPER(TRIM(B85))="TRENCH",UPPER(TRIM(AI85))="PIPE")),Inputs!$B$56,Inputs!$B$54))</f>
        <v/>
      </c>
      <c r="AL85" s="3" t="str">
        <f t="shared" si="25"/>
        <v/>
      </c>
    </row>
    <row r="86" spans="1:38" x14ac:dyDescent="0.25">
      <c r="A86" s="3"/>
      <c r="B86" s="3"/>
      <c r="C86" s="3"/>
      <c r="D86" s="3"/>
      <c r="E86" s="3"/>
      <c r="F86" s="8"/>
      <c r="G86" s="8"/>
      <c r="H86" s="8"/>
      <c r="I86" s="10" t="str">
        <f>IF(A86="","",IF(H86&lt;&gt;"",H86,IF(UPPER(TRIM(B86))="PIPE",Inputs!$B$7,IF(UPPER(TRIM(B86))="SWALE",Inputs!$B$8,Inputs!$B$9))))</f>
        <v/>
      </c>
      <c r="J86" s="8"/>
      <c r="K86" s="8"/>
      <c r="L86" s="8"/>
      <c r="M86" s="8"/>
      <c r="N86" s="8">
        <v>0</v>
      </c>
      <c r="O86" s="10" t="str">
        <f>IF(A86="","",SUMIFS(Zones_tributaires!$I:$I,Zones_tributaires!$J:$J,$A86))</f>
        <v/>
      </c>
      <c r="P86" s="10" t="str">
        <f t="shared" si="13"/>
        <v/>
      </c>
      <c r="Q86" s="10" t="str">
        <f>IF(A86="","",(O86+P86)*Inputs!$B$6)</f>
        <v/>
      </c>
      <c r="R86" s="10" t="str">
        <f t="shared" si="14"/>
        <v/>
      </c>
      <c r="S86" s="10" t="str">
        <f t="shared" si="15"/>
        <v/>
      </c>
      <c r="T86" s="10" t="str">
        <f t="shared" si="16"/>
        <v/>
      </c>
      <c r="U86" s="10" t="str">
        <f>IF(OR(T86="",Q86=""),"",Q86/(T86*Inputs!$B$19))</f>
        <v/>
      </c>
      <c r="V86" s="10" t="str">
        <f t="shared" si="17"/>
        <v/>
      </c>
      <c r="W86" s="10" t="str">
        <f t="shared" si="18"/>
        <v/>
      </c>
      <c r="X86" s="10" t="str">
        <f>IF(A86="","",IF(OR(UPPER(TRIM(Inputs!$B$15))="MANNING",UPPER(TRIM(Inputs!$B$15))="M"),W86,IF(OR(UPPER(TRIM(Inputs!$B$15))="MAX",UPPER(TRIM(Inputs!$B$15))="X"),MAX(V86,W86),V86)))</f>
        <v/>
      </c>
      <c r="Y86" s="10" t="str">
        <f t="shared" si="19"/>
        <v/>
      </c>
      <c r="Z86" s="10" t="str">
        <f t="shared" si="20"/>
        <v/>
      </c>
      <c r="AA86" s="3" t="str">
        <f>IF(A86="","",IF(OR(U86&gt;1,AND(X86&lt;&gt;"",X86&lt;Inputs!$B$16),AND(X86&lt;&gt;"",X86&gt;Inputs!$B$17),G86&lt;Inputs!$B$18,AH86="CHECK"),"CHECK","OK"))</f>
        <v/>
      </c>
      <c r="AB86" s="3"/>
      <c r="AC86" s="8"/>
      <c r="AD86" s="10" t="str">
        <f>IF(A86="","",IF(AC86&lt;&gt;"",AC86,IF(E86="",Inputs!$B$38,IFERROR(INDEX($AE$4:$AE$204,MATCH(E86,$A$4:$A$204,0))+IF(OR(AND(UPPER(TRIM(B86))="SWALE",UPPER(TRIM(AI86))="PIPE"),AND(UPPER(TRIM(B86))="TRENCH",UPPER(TRIM(AI86))="PIPE")),Inputs!$B$57,0),""))))</f>
        <v/>
      </c>
      <c r="AE86" s="10" t="str">
        <f t="shared" si="21"/>
        <v/>
      </c>
      <c r="AF86" s="10" t="str">
        <f t="shared" si="22"/>
        <v/>
      </c>
      <c r="AG86" s="10" t="str">
        <f t="shared" si="23"/>
        <v/>
      </c>
      <c r="AH86" s="3" t="str">
        <f>IF(A86="","",IF(E86="","TERMINAL",IF(OR(AND(UPPER(TRIM(B86))="SWALE",UPPER(TRIM(AI86))="PIPE"),AND(UPPER(TRIM(B86))="TRENCH",UPPER(TRIM(AI86))="PIPE")),IF(OR(AG86="",AJ86="",AK86=""),"INFO",IF(AND(AG86&gt;=AJ86,AG86&lt;=AK86),"OK","CHECK")),IF(AG86="","INFO",IF(ABS(AG86)&lt;=Inputs!$B$54,"OK","CHECK")))))</f>
        <v/>
      </c>
      <c r="AI86" s="11" t="str">
        <f t="shared" si="24"/>
        <v/>
      </c>
      <c r="AJ86" s="11" t="str">
        <f>IF(A86="","",IF(OR(AND(UPPER(TRIM(B86))="SWALE",UPPER(TRIM(AI86))="PIPE"),AND(UPPER(TRIM(B86))="TRENCH",UPPER(TRIM(AI86))="PIPE")),Inputs!$B$55,0))</f>
        <v/>
      </c>
      <c r="AK86" s="11" t="str">
        <f>IF(A86="","",IF(OR(AND(UPPER(TRIM(B86))="SWALE",UPPER(TRIM(AI86))="PIPE"),AND(UPPER(TRIM(B86))="TRENCH",UPPER(TRIM(AI86))="PIPE")),Inputs!$B$56,Inputs!$B$54))</f>
        <v/>
      </c>
      <c r="AL86" s="3" t="str">
        <f t="shared" si="25"/>
        <v/>
      </c>
    </row>
    <row r="87" spans="1:38" x14ac:dyDescent="0.25">
      <c r="A87" s="3"/>
      <c r="B87" s="3"/>
      <c r="C87" s="3"/>
      <c r="D87" s="3"/>
      <c r="E87" s="3"/>
      <c r="F87" s="8"/>
      <c r="G87" s="8"/>
      <c r="H87" s="8"/>
      <c r="I87" s="10" t="str">
        <f>IF(A87="","",IF(H87&lt;&gt;"",H87,IF(UPPER(TRIM(B87))="PIPE",Inputs!$B$7,IF(UPPER(TRIM(B87))="SWALE",Inputs!$B$8,Inputs!$B$9))))</f>
        <v/>
      </c>
      <c r="J87" s="8"/>
      <c r="K87" s="8"/>
      <c r="L87" s="8"/>
      <c r="M87" s="8"/>
      <c r="N87" s="8">
        <v>0</v>
      </c>
      <c r="O87" s="10" t="str">
        <f>IF(A87="","",SUMIFS(Zones_tributaires!$I:$I,Zones_tributaires!$J:$J,$A87))</f>
        <v/>
      </c>
      <c r="P87" s="10" t="str">
        <f t="shared" si="13"/>
        <v/>
      </c>
      <c r="Q87" s="10" t="str">
        <f>IF(A87="","",(O87+P87)*Inputs!$B$6)</f>
        <v/>
      </c>
      <c r="R87" s="10" t="str">
        <f t="shared" si="14"/>
        <v/>
      </c>
      <c r="S87" s="10" t="str">
        <f t="shared" si="15"/>
        <v/>
      </c>
      <c r="T87" s="10" t="str">
        <f t="shared" si="16"/>
        <v/>
      </c>
      <c r="U87" s="10" t="str">
        <f>IF(OR(T87="",Q87=""),"",Q87/(T87*Inputs!$B$19))</f>
        <v/>
      </c>
      <c r="V87" s="10" t="str">
        <f t="shared" si="17"/>
        <v/>
      </c>
      <c r="W87" s="10" t="str">
        <f t="shared" si="18"/>
        <v/>
      </c>
      <c r="X87" s="10" t="str">
        <f>IF(A87="","",IF(OR(UPPER(TRIM(Inputs!$B$15))="MANNING",UPPER(TRIM(Inputs!$B$15))="M"),W87,IF(OR(UPPER(TRIM(Inputs!$B$15))="MAX",UPPER(TRIM(Inputs!$B$15))="X"),MAX(V87,W87),V87)))</f>
        <v/>
      </c>
      <c r="Y87" s="10" t="str">
        <f t="shared" si="19"/>
        <v/>
      </c>
      <c r="Z87" s="10" t="str">
        <f t="shared" si="20"/>
        <v/>
      </c>
      <c r="AA87" s="3" t="str">
        <f>IF(A87="","",IF(OR(U87&gt;1,AND(X87&lt;&gt;"",X87&lt;Inputs!$B$16),AND(X87&lt;&gt;"",X87&gt;Inputs!$B$17),G87&lt;Inputs!$B$18,AH87="CHECK"),"CHECK","OK"))</f>
        <v/>
      </c>
      <c r="AB87" s="3"/>
      <c r="AC87" s="8"/>
      <c r="AD87" s="10" t="str">
        <f>IF(A87="","",IF(AC87&lt;&gt;"",AC87,IF(E87="",Inputs!$B$38,IFERROR(INDEX($AE$4:$AE$204,MATCH(E87,$A$4:$A$204,0))+IF(OR(AND(UPPER(TRIM(B87))="SWALE",UPPER(TRIM(AI87))="PIPE"),AND(UPPER(TRIM(B87))="TRENCH",UPPER(TRIM(AI87))="PIPE")),Inputs!$B$57,0),""))))</f>
        <v/>
      </c>
      <c r="AE87" s="10" t="str">
        <f t="shared" si="21"/>
        <v/>
      </c>
      <c r="AF87" s="10" t="str">
        <f t="shared" si="22"/>
        <v/>
      </c>
      <c r="AG87" s="10" t="str">
        <f t="shared" si="23"/>
        <v/>
      </c>
      <c r="AH87" s="3" t="str">
        <f>IF(A87="","",IF(E87="","TERMINAL",IF(OR(AND(UPPER(TRIM(B87))="SWALE",UPPER(TRIM(AI87))="PIPE"),AND(UPPER(TRIM(B87))="TRENCH",UPPER(TRIM(AI87))="PIPE")),IF(OR(AG87="",AJ87="",AK87=""),"INFO",IF(AND(AG87&gt;=AJ87,AG87&lt;=AK87),"OK","CHECK")),IF(AG87="","INFO",IF(ABS(AG87)&lt;=Inputs!$B$54,"OK","CHECK")))))</f>
        <v/>
      </c>
      <c r="AI87" s="11" t="str">
        <f t="shared" si="24"/>
        <v/>
      </c>
      <c r="AJ87" s="11" t="str">
        <f>IF(A87="","",IF(OR(AND(UPPER(TRIM(B87))="SWALE",UPPER(TRIM(AI87))="PIPE"),AND(UPPER(TRIM(B87))="TRENCH",UPPER(TRIM(AI87))="PIPE")),Inputs!$B$55,0))</f>
        <v/>
      </c>
      <c r="AK87" s="11" t="str">
        <f>IF(A87="","",IF(OR(AND(UPPER(TRIM(B87))="SWALE",UPPER(TRIM(AI87))="PIPE"),AND(UPPER(TRIM(B87))="TRENCH",UPPER(TRIM(AI87))="PIPE")),Inputs!$B$56,Inputs!$B$54))</f>
        <v/>
      </c>
      <c r="AL87" s="3" t="str">
        <f t="shared" si="25"/>
        <v/>
      </c>
    </row>
    <row r="88" spans="1:38" x14ac:dyDescent="0.25">
      <c r="A88" s="3"/>
      <c r="B88" s="3"/>
      <c r="C88" s="3"/>
      <c r="D88" s="3"/>
      <c r="E88" s="3"/>
      <c r="F88" s="8"/>
      <c r="G88" s="8"/>
      <c r="H88" s="8"/>
      <c r="I88" s="10" t="str">
        <f>IF(A88="","",IF(H88&lt;&gt;"",H88,IF(UPPER(TRIM(B88))="PIPE",Inputs!$B$7,IF(UPPER(TRIM(B88))="SWALE",Inputs!$B$8,Inputs!$B$9))))</f>
        <v/>
      </c>
      <c r="J88" s="8"/>
      <c r="K88" s="8"/>
      <c r="L88" s="8"/>
      <c r="M88" s="8"/>
      <c r="N88" s="8">
        <v>0</v>
      </c>
      <c r="O88" s="10" t="str">
        <f>IF(A88="","",SUMIFS(Zones_tributaires!$I:$I,Zones_tributaires!$J:$J,$A88))</f>
        <v/>
      </c>
      <c r="P88" s="10" t="str">
        <f t="shared" si="13"/>
        <v/>
      </c>
      <c r="Q88" s="10" t="str">
        <f>IF(A88="","",(O88+P88)*Inputs!$B$6)</f>
        <v/>
      </c>
      <c r="R88" s="10" t="str">
        <f t="shared" si="14"/>
        <v/>
      </c>
      <c r="S88" s="10" t="str">
        <f t="shared" si="15"/>
        <v/>
      </c>
      <c r="T88" s="10" t="str">
        <f t="shared" si="16"/>
        <v/>
      </c>
      <c r="U88" s="10" t="str">
        <f>IF(OR(T88="",Q88=""),"",Q88/(T88*Inputs!$B$19))</f>
        <v/>
      </c>
      <c r="V88" s="10" t="str">
        <f t="shared" si="17"/>
        <v/>
      </c>
      <c r="W88" s="10" t="str">
        <f t="shared" si="18"/>
        <v/>
      </c>
      <c r="X88" s="10" t="str">
        <f>IF(A88="","",IF(OR(UPPER(TRIM(Inputs!$B$15))="MANNING",UPPER(TRIM(Inputs!$B$15))="M"),W88,IF(OR(UPPER(TRIM(Inputs!$B$15))="MAX",UPPER(TRIM(Inputs!$B$15))="X"),MAX(V88,W88),V88)))</f>
        <v/>
      </c>
      <c r="Y88" s="10" t="str">
        <f t="shared" si="19"/>
        <v/>
      </c>
      <c r="Z88" s="10" t="str">
        <f t="shared" si="20"/>
        <v/>
      </c>
      <c r="AA88" s="3" t="str">
        <f>IF(A88="","",IF(OR(U88&gt;1,AND(X88&lt;&gt;"",X88&lt;Inputs!$B$16),AND(X88&lt;&gt;"",X88&gt;Inputs!$B$17),G88&lt;Inputs!$B$18,AH88="CHECK"),"CHECK","OK"))</f>
        <v/>
      </c>
      <c r="AB88" s="3"/>
      <c r="AC88" s="8"/>
      <c r="AD88" s="10" t="str">
        <f>IF(A88="","",IF(AC88&lt;&gt;"",AC88,IF(E88="",Inputs!$B$38,IFERROR(INDEX($AE$4:$AE$204,MATCH(E88,$A$4:$A$204,0))+IF(OR(AND(UPPER(TRIM(B88))="SWALE",UPPER(TRIM(AI88))="PIPE"),AND(UPPER(TRIM(B88))="TRENCH",UPPER(TRIM(AI88))="PIPE")),Inputs!$B$57,0),""))))</f>
        <v/>
      </c>
      <c r="AE88" s="10" t="str">
        <f t="shared" si="21"/>
        <v/>
      </c>
      <c r="AF88" s="10" t="str">
        <f t="shared" si="22"/>
        <v/>
      </c>
      <c r="AG88" s="10" t="str">
        <f t="shared" si="23"/>
        <v/>
      </c>
      <c r="AH88" s="3" t="str">
        <f>IF(A88="","",IF(E88="","TERMINAL",IF(OR(AND(UPPER(TRIM(B88))="SWALE",UPPER(TRIM(AI88))="PIPE"),AND(UPPER(TRIM(B88))="TRENCH",UPPER(TRIM(AI88))="PIPE")),IF(OR(AG88="",AJ88="",AK88=""),"INFO",IF(AND(AG88&gt;=AJ88,AG88&lt;=AK88),"OK","CHECK")),IF(AG88="","INFO",IF(ABS(AG88)&lt;=Inputs!$B$54,"OK","CHECK")))))</f>
        <v/>
      </c>
      <c r="AI88" s="11" t="str">
        <f t="shared" si="24"/>
        <v/>
      </c>
      <c r="AJ88" s="11" t="str">
        <f>IF(A88="","",IF(OR(AND(UPPER(TRIM(B88))="SWALE",UPPER(TRIM(AI88))="PIPE"),AND(UPPER(TRIM(B88))="TRENCH",UPPER(TRIM(AI88))="PIPE")),Inputs!$B$55,0))</f>
        <v/>
      </c>
      <c r="AK88" s="11" t="str">
        <f>IF(A88="","",IF(OR(AND(UPPER(TRIM(B88))="SWALE",UPPER(TRIM(AI88))="PIPE"),AND(UPPER(TRIM(B88))="TRENCH",UPPER(TRIM(AI88))="PIPE")),Inputs!$B$56,Inputs!$B$54))</f>
        <v/>
      </c>
      <c r="AL88" s="3" t="str">
        <f t="shared" si="25"/>
        <v/>
      </c>
    </row>
    <row r="89" spans="1:38" x14ac:dyDescent="0.25">
      <c r="A89" s="3"/>
      <c r="B89" s="3"/>
      <c r="C89" s="3"/>
      <c r="D89" s="3"/>
      <c r="E89" s="3"/>
      <c r="F89" s="8"/>
      <c r="G89" s="8"/>
      <c r="H89" s="8"/>
      <c r="I89" s="10" t="str">
        <f>IF(A89="","",IF(H89&lt;&gt;"",H89,IF(UPPER(TRIM(B89))="PIPE",Inputs!$B$7,IF(UPPER(TRIM(B89))="SWALE",Inputs!$B$8,Inputs!$B$9))))</f>
        <v/>
      </c>
      <c r="J89" s="8"/>
      <c r="K89" s="8"/>
      <c r="L89" s="8"/>
      <c r="M89" s="8"/>
      <c r="N89" s="8">
        <v>0</v>
      </c>
      <c r="O89" s="10" t="str">
        <f>IF(A89="","",SUMIFS(Zones_tributaires!$I:$I,Zones_tributaires!$J:$J,$A89))</f>
        <v/>
      </c>
      <c r="P89" s="10" t="str">
        <f t="shared" si="13"/>
        <v/>
      </c>
      <c r="Q89" s="10" t="str">
        <f>IF(A89="","",(O89+P89)*Inputs!$B$6)</f>
        <v/>
      </c>
      <c r="R89" s="10" t="str">
        <f t="shared" si="14"/>
        <v/>
      </c>
      <c r="S89" s="10" t="str">
        <f t="shared" si="15"/>
        <v/>
      </c>
      <c r="T89" s="10" t="str">
        <f t="shared" si="16"/>
        <v/>
      </c>
      <c r="U89" s="10" t="str">
        <f>IF(OR(T89="",Q89=""),"",Q89/(T89*Inputs!$B$19))</f>
        <v/>
      </c>
      <c r="V89" s="10" t="str">
        <f t="shared" si="17"/>
        <v/>
      </c>
      <c r="W89" s="10" t="str">
        <f t="shared" si="18"/>
        <v/>
      </c>
      <c r="X89" s="10" t="str">
        <f>IF(A89="","",IF(OR(UPPER(TRIM(Inputs!$B$15))="MANNING",UPPER(TRIM(Inputs!$B$15))="M"),W89,IF(OR(UPPER(TRIM(Inputs!$B$15))="MAX",UPPER(TRIM(Inputs!$B$15))="X"),MAX(V89,W89),V89)))</f>
        <v/>
      </c>
      <c r="Y89" s="10" t="str">
        <f t="shared" si="19"/>
        <v/>
      </c>
      <c r="Z89" s="10" t="str">
        <f t="shared" si="20"/>
        <v/>
      </c>
      <c r="AA89" s="3" t="str">
        <f>IF(A89="","",IF(OR(U89&gt;1,AND(X89&lt;&gt;"",X89&lt;Inputs!$B$16),AND(X89&lt;&gt;"",X89&gt;Inputs!$B$17),G89&lt;Inputs!$B$18,AH89="CHECK"),"CHECK","OK"))</f>
        <v/>
      </c>
      <c r="AB89" s="3"/>
      <c r="AC89" s="8"/>
      <c r="AD89" s="10" t="str">
        <f>IF(A89="","",IF(AC89&lt;&gt;"",AC89,IF(E89="",Inputs!$B$38,IFERROR(INDEX($AE$4:$AE$204,MATCH(E89,$A$4:$A$204,0))+IF(OR(AND(UPPER(TRIM(B89))="SWALE",UPPER(TRIM(AI89))="PIPE"),AND(UPPER(TRIM(B89))="TRENCH",UPPER(TRIM(AI89))="PIPE")),Inputs!$B$57,0),""))))</f>
        <v/>
      </c>
      <c r="AE89" s="10" t="str">
        <f t="shared" si="21"/>
        <v/>
      </c>
      <c r="AF89" s="10" t="str">
        <f t="shared" si="22"/>
        <v/>
      </c>
      <c r="AG89" s="10" t="str">
        <f t="shared" si="23"/>
        <v/>
      </c>
      <c r="AH89" s="3" t="str">
        <f>IF(A89="","",IF(E89="","TERMINAL",IF(OR(AND(UPPER(TRIM(B89))="SWALE",UPPER(TRIM(AI89))="PIPE"),AND(UPPER(TRIM(B89))="TRENCH",UPPER(TRIM(AI89))="PIPE")),IF(OR(AG89="",AJ89="",AK89=""),"INFO",IF(AND(AG89&gt;=AJ89,AG89&lt;=AK89),"OK","CHECK")),IF(AG89="","INFO",IF(ABS(AG89)&lt;=Inputs!$B$54,"OK","CHECK")))))</f>
        <v/>
      </c>
      <c r="AI89" s="11" t="str">
        <f t="shared" si="24"/>
        <v/>
      </c>
      <c r="AJ89" s="11" t="str">
        <f>IF(A89="","",IF(OR(AND(UPPER(TRIM(B89))="SWALE",UPPER(TRIM(AI89))="PIPE"),AND(UPPER(TRIM(B89))="TRENCH",UPPER(TRIM(AI89))="PIPE")),Inputs!$B$55,0))</f>
        <v/>
      </c>
      <c r="AK89" s="11" t="str">
        <f>IF(A89="","",IF(OR(AND(UPPER(TRIM(B89))="SWALE",UPPER(TRIM(AI89))="PIPE"),AND(UPPER(TRIM(B89))="TRENCH",UPPER(TRIM(AI89))="PIPE")),Inputs!$B$56,Inputs!$B$54))</f>
        <v/>
      </c>
      <c r="AL89" s="3" t="str">
        <f t="shared" si="25"/>
        <v/>
      </c>
    </row>
    <row r="90" spans="1:38" x14ac:dyDescent="0.25">
      <c r="A90" s="3"/>
      <c r="B90" s="3"/>
      <c r="C90" s="3"/>
      <c r="D90" s="3"/>
      <c r="E90" s="3"/>
      <c r="F90" s="8"/>
      <c r="G90" s="8"/>
      <c r="H90" s="8"/>
      <c r="I90" s="10" t="str">
        <f>IF(A90="","",IF(H90&lt;&gt;"",H90,IF(UPPER(TRIM(B90))="PIPE",Inputs!$B$7,IF(UPPER(TRIM(B90))="SWALE",Inputs!$B$8,Inputs!$B$9))))</f>
        <v/>
      </c>
      <c r="J90" s="8"/>
      <c r="K90" s="8"/>
      <c r="L90" s="8"/>
      <c r="M90" s="8"/>
      <c r="N90" s="8">
        <v>0</v>
      </c>
      <c r="O90" s="10" t="str">
        <f>IF(A90="","",SUMIFS(Zones_tributaires!$I:$I,Zones_tributaires!$J:$J,$A90))</f>
        <v/>
      </c>
      <c r="P90" s="10" t="str">
        <f t="shared" si="13"/>
        <v/>
      </c>
      <c r="Q90" s="10" t="str">
        <f>IF(A90="","",(O90+P90)*Inputs!$B$6)</f>
        <v/>
      </c>
      <c r="R90" s="10" t="str">
        <f t="shared" si="14"/>
        <v/>
      </c>
      <c r="S90" s="10" t="str">
        <f t="shared" si="15"/>
        <v/>
      </c>
      <c r="T90" s="10" t="str">
        <f t="shared" si="16"/>
        <v/>
      </c>
      <c r="U90" s="10" t="str">
        <f>IF(OR(T90="",Q90=""),"",Q90/(T90*Inputs!$B$19))</f>
        <v/>
      </c>
      <c r="V90" s="10" t="str">
        <f t="shared" si="17"/>
        <v/>
      </c>
      <c r="W90" s="10" t="str">
        <f t="shared" si="18"/>
        <v/>
      </c>
      <c r="X90" s="10" t="str">
        <f>IF(A90="","",IF(OR(UPPER(TRIM(Inputs!$B$15))="MANNING",UPPER(TRIM(Inputs!$B$15))="M"),W90,IF(OR(UPPER(TRIM(Inputs!$B$15))="MAX",UPPER(TRIM(Inputs!$B$15))="X"),MAX(V90,W90),V90)))</f>
        <v/>
      </c>
      <c r="Y90" s="10" t="str">
        <f t="shared" si="19"/>
        <v/>
      </c>
      <c r="Z90" s="10" t="str">
        <f t="shared" si="20"/>
        <v/>
      </c>
      <c r="AA90" s="3" t="str">
        <f>IF(A90="","",IF(OR(U90&gt;1,AND(X90&lt;&gt;"",X90&lt;Inputs!$B$16),AND(X90&lt;&gt;"",X90&gt;Inputs!$B$17),G90&lt;Inputs!$B$18,AH90="CHECK"),"CHECK","OK"))</f>
        <v/>
      </c>
      <c r="AB90" s="3"/>
      <c r="AC90" s="8"/>
      <c r="AD90" s="10" t="str">
        <f>IF(A90="","",IF(AC90&lt;&gt;"",AC90,IF(E90="",Inputs!$B$38,IFERROR(INDEX($AE$4:$AE$204,MATCH(E90,$A$4:$A$204,0))+IF(OR(AND(UPPER(TRIM(B90))="SWALE",UPPER(TRIM(AI90))="PIPE"),AND(UPPER(TRIM(B90))="TRENCH",UPPER(TRIM(AI90))="PIPE")),Inputs!$B$57,0),""))))</f>
        <v/>
      </c>
      <c r="AE90" s="10" t="str">
        <f t="shared" si="21"/>
        <v/>
      </c>
      <c r="AF90" s="10" t="str">
        <f t="shared" si="22"/>
        <v/>
      </c>
      <c r="AG90" s="10" t="str">
        <f t="shared" si="23"/>
        <v/>
      </c>
      <c r="AH90" s="3" t="str">
        <f>IF(A90="","",IF(E90="","TERMINAL",IF(OR(AND(UPPER(TRIM(B90))="SWALE",UPPER(TRIM(AI90))="PIPE"),AND(UPPER(TRIM(B90))="TRENCH",UPPER(TRIM(AI90))="PIPE")),IF(OR(AG90="",AJ90="",AK90=""),"INFO",IF(AND(AG90&gt;=AJ90,AG90&lt;=AK90),"OK","CHECK")),IF(AG90="","INFO",IF(ABS(AG90)&lt;=Inputs!$B$54,"OK","CHECK")))))</f>
        <v/>
      </c>
      <c r="AI90" s="11" t="str">
        <f t="shared" si="24"/>
        <v/>
      </c>
      <c r="AJ90" s="11" t="str">
        <f>IF(A90="","",IF(OR(AND(UPPER(TRIM(B90))="SWALE",UPPER(TRIM(AI90))="PIPE"),AND(UPPER(TRIM(B90))="TRENCH",UPPER(TRIM(AI90))="PIPE")),Inputs!$B$55,0))</f>
        <v/>
      </c>
      <c r="AK90" s="11" t="str">
        <f>IF(A90="","",IF(OR(AND(UPPER(TRIM(B90))="SWALE",UPPER(TRIM(AI90))="PIPE"),AND(UPPER(TRIM(B90))="TRENCH",UPPER(TRIM(AI90))="PIPE")),Inputs!$B$56,Inputs!$B$54))</f>
        <v/>
      </c>
      <c r="AL90" s="3" t="str">
        <f t="shared" si="25"/>
        <v/>
      </c>
    </row>
    <row r="91" spans="1:38" x14ac:dyDescent="0.25">
      <c r="A91" s="3"/>
      <c r="B91" s="3"/>
      <c r="C91" s="3"/>
      <c r="D91" s="3"/>
      <c r="E91" s="3"/>
      <c r="F91" s="8"/>
      <c r="G91" s="8"/>
      <c r="H91" s="8"/>
      <c r="I91" s="10" t="str">
        <f>IF(A91="","",IF(H91&lt;&gt;"",H91,IF(UPPER(TRIM(B91))="PIPE",Inputs!$B$7,IF(UPPER(TRIM(B91))="SWALE",Inputs!$B$8,Inputs!$B$9))))</f>
        <v/>
      </c>
      <c r="J91" s="8"/>
      <c r="K91" s="8"/>
      <c r="L91" s="8"/>
      <c r="M91" s="8"/>
      <c r="N91" s="8">
        <v>0</v>
      </c>
      <c r="O91" s="10" t="str">
        <f>IF(A91="","",SUMIFS(Zones_tributaires!$I:$I,Zones_tributaires!$J:$J,$A91))</f>
        <v/>
      </c>
      <c r="P91" s="10" t="str">
        <f t="shared" si="13"/>
        <v/>
      </c>
      <c r="Q91" s="10" t="str">
        <f>IF(A91="","",(O91+P91)*Inputs!$B$6)</f>
        <v/>
      </c>
      <c r="R91" s="10" t="str">
        <f t="shared" si="14"/>
        <v/>
      </c>
      <c r="S91" s="10" t="str">
        <f t="shared" si="15"/>
        <v/>
      </c>
      <c r="T91" s="10" t="str">
        <f t="shared" si="16"/>
        <v/>
      </c>
      <c r="U91" s="10" t="str">
        <f>IF(OR(T91="",Q91=""),"",Q91/(T91*Inputs!$B$19))</f>
        <v/>
      </c>
      <c r="V91" s="10" t="str">
        <f t="shared" si="17"/>
        <v/>
      </c>
      <c r="W91" s="10" t="str">
        <f t="shared" si="18"/>
        <v/>
      </c>
      <c r="X91" s="10" t="str">
        <f>IF(A91="","",IF(OR(UPPER(TRIM(Inputs!$B$15))="MANNING",UPPER(TRIM(Inputs!$B$15))="M"),W91,IF(OR(UPPER(TRIM(Inputs!$B$15))="MAX",UPPER(TRIM(Inputs!$B$15))="X"),MAX(V91,W91),V91)))</f>
        <v/>
      </c>
      <c r="Y91" s="10" t="str">
        <f t="shared" si="19"/>
        <v/>
      </c>
      <c r="Z91" s="10" t="str">
        <f t="shared" si="20"/>
        <v/>
      </c>
      <c r="AA91" s="3" t="str">
        <f>IF(A91="","",IF(OR(U91&gt;1,AND(X91&lt;&gt;"",X91&lt;Inputs!$B$16),AND(X91&lt;&gt;"",X91&gt;Inputs!$B$17),G91&lt;Inputs!$B$18,AH91="CHECK"),"CHECK","OK"))</f>
        <v/>
      </c>
      <c r="AB91" s="3"/>
      <c r="AC91" s="8"/>
      <c r="AD91" s="10" t="str">
        <f>IF(A91="","",IF(AC91&lt;&gt;"",AC91,IF(E91="",Inputs!$B$38,IFERROR(INDEX($AE$4:$AE$204,MATCH(E91,$A$4:$A$204,0))+IF(OR(AND(UPPER(TRIM(B91))="SWALE",UPPER(TRIM(AI91))="PIPE"),AND(UPPER(TRIM(B91))="TRENCH",UPPER(TRIM(AI91))="PIPE")),Inputs!$B$57,0),""))))</f>
        <v/>
      </c>
      <c r="AE91" s="10" t="str">
        <f t="shared" si="21"/>
        <v/>
      </c>
      <c r="AF91" s="10" t="str">
        <f t="shared" si="22"/>
        <v/>
      </c>
      <c r="AG91" s="10" t="str">
        <f t="shared" si="23"/>
        <v/>
      </c>
      <c r="AH91" s="3" t="str">
        <f>IF(A91="","",IF(E91="","TERMINAL",IF(OR(AND(UPPER(TRIM(B91))="SWALE",UPPER(TRIM(AI91))="PIPE"),AND(UPPER(TRIM(B91))="TRENCH",UPPER(TRIM(AI91))="PIPE")),IF(OR(AG91="",AJ91="",AK91=""),"INFO",IF(AND(AG91&gt;=AJ91,AG91&lt;=AK91),"OK","CHECK")),IF(AG91="","INFO",IF(ABS(AG91)&lt;=Inputs!$B$54,"OK","CHECK")))))</f>
        <v/>
      </c>
      <c r="AI91" s="11" t="str">
        <f t="shared" si="24"/>
        <v/>
      </c>
      <c r="AJ91" s="11" t="str">
        <f>IF(A91="","",IF(OR(AND(UPPER(TRIM(B91))="SWALE",UPPER(TRIM(AI91))="PIPE"),AND(UPPER(TRIM(B91))="TRENCH",UPPER(TRIM(AI91))="PIPE")),Inputs!$B$55,0))</f>
        <v/>
      </c>
      <c r="AK91" s="11" t="str">
        <f>IF(A91="","",IF(OR(AND(UPPER(TRIM(B91))="SWALE",UPPER(TRIM(AI91))="PIPE"),AND(UPPER(TRIM(B91))="TRENCH",UPPER(TRIM(AI91))="PIPE")),Inputs!$B$56,Inputs!$B$54))</f>
        <v/>
      </c>
      <c r="AL91" s="3" t="str">
        <f t="shared" si="25"/>
        <v/>
      </c>
    </row>
    <row r="92" spans="1:38" x14ac:dyDescent="0.25">
      <c r="A92" s="3"/>
      <c r="B92" s="3"/>
      <c r="C92" s="3"/>
      <c r="D92" s="3"/>
      <c r="E92" s="3"/>
      <c r="F92" s="8"/>
      <c r="G92" s="8"/>
      <c r="H92" s="8"/>
      <c r="I92" s="10" t="str">
        <f>IF(A92="","",IF(H92&lt;&gt;"",H92,IF(UPPER(TRIM(B92))="PIPE",Inputs!$B$7,IF(UPPER(TRIM(B92))="SWALE",Inputs!$B$8,Inputs!$B$9))))</f>
        <v/>
      </c>
      <c r="J92" s="8"/>
      <c r="K92" s="8"/>
      <c r="L92" s="8"/>
      <c r="M92" s="8"/>
      <c r="N92" s="8">
        <v>0</v>
      </c>
      <c r="O92" s="10" t="str">
        <f>IF(A92="","",SUMIFS(Zones_tributaires!$I:$I,Zones_tributaires!$J:$J,$A92))</f>
        <v/>
      </c>
      <c r="P92" s="10" t="str">
        <f t="shared" si="13"/>
        <v/>
      </c>
      <c r="Q92" s="10" t="str">
        <f>IF(A92="","",(O92+P92)*Inputs!$B$6)</f>
        <v/>
      </c>
      <c r="R92" s="10" t="str">
        <f t="shared" si="14"/>
        <v/>
      </c>
      <c r="S92" s="10" t="str">
        <f t="shared" si="15"/>
        <v/>
      </c>
      <c r="T92" s="10" t="str">
        <f t="shared" si="16"/>
        <v/>
      </c>
      <c r="U92" s="10" t="str">
        <f>IF(OR(T92="",Q92=""),"",Q92/(T92*Inputs!$B$19))</f>
        <v/>
      </c>
      <c r="V92" s="10" t="str">
        <f t="shared" si="17"/>
        <v/>
      </c>
      <c r="W92" s="10" t="str">
        <f t="shared" si="18"/>
        <v/>
      </c>
      <c r="X92" s="10" t="str">
        <f>IF(A92="","",IF(OR(UPPER(TRIM(Inputs!$B$15))="MANNING",UPPER(TRIM(Inputs!$B$15))="M"),W92,IF(OR(UPPER(TRIM(Inputs!$B$15))="MAX",UPPER(TRIM(Inputs!$B$15))="X"),MAX(V92,W92),V92)))</f>
        <v/>
      </c>
      <c r="Y92" s="10" t="str">
        <f t="shared" si="19"/>
        <v/>
      </c>
      <c r="Z92" s="10" t="str">
        <f t="shared" si="20"/>
        <v/>
      </c>
      <c r="AA92" s="3" t="str">
        <f>IF(A92="","",IF(OR(U92&gt;1,AND(X92&lt;&gt;"",X92&lt;Inputs!$B$16),AND(X92&lt;&gt;"",X92&gt;Inputs!$B$17),G92&lt;Inputs!$B$18,AH92="CHECK"),"CHECK","OK"))</f>
        <v/>
      </c>
      <c r="AB92" s="3"/>
      <c r="AC92" s="8"/>
      <c r="AD92" s="10" t="str">
        <f>IF(A92="","",IF(AC92&lt;&gt;"",AC92,IF(E92="",Inputs!$B$38,IFERROR(INDEX($AE$4:$AE$204,MATCH(E92,$A$4:$A$204,0))+IF(OR(AND(UPPER(TRIM(B92))="SWALE",UPPER(TRIM(AI92))="PIPE"),AND(UPPER(TRIM(B92))="TRENCH",UPPER(TRIM(AI92))="PIPE")),Inputs!$B$57,0),""))))</f>
        <v/>
      </c>
      <c r="AE92" s="10" t="str">
        <f t="shared" si="21"/>
        <v/>
      </c>
      <c r="AF92" s="10" t="str">
        <f t="shared" si="22"/>
        <v/>
      </c>
      <c r="AG92" s="10" t="str">
        <f t="shared" si="23"/>
        <v/>
      </c>
      <c r="AH92" s="3" t="str">
        <f>IF(A92="","",IF(E92="","TERMINAL",IF(OR(AND(UPPER(TRIM(B92))="SWALE",UPPER(TRIM(AI92))="PIPE"),AND(UPPER(TRIM(B92))="TRENCH",UPPER(TRIM(AI92))="PIPE")),IF(OR(AG92="",AJ92="",AK92=""),"INFO",IF(AND(AG92&gt;=AJ92,AG92&lt;=AK92),"OK","CHECK")),IF(AG92="","INFO",IF(ABS(AG92)&lt;=Inputs!$B$54,"OK","CHECK")))))</f>
        <v/>
      </c>
      <c r="AI92" s="11" t="str">
        <f t="shared" si="24"/>
        <v/>
      </c>
      <c r="AJ92" s="11" t="str">
        <f>IF(A92="","",IF(OR(AND(UPPER(TRIM(B92))="SWALE",UPPER(TRIM(AI92))="PIPE"),AND(UPPER(TRIM(B92))="TRENCH",UPPER(TRIM(AI92))="PIPE")),Inputs!$B$55,0))</f>
        <v/>
      </c>
      <c r="AK92" s="11" t="str">
        <f>IF(A92="","",IF(OR(AND(UPPER(TRIM(B92))="SWALE",UPPER(TRIM(AI92))="PIPE"),AND(UPPER(TRIM(B92))="TRENCH",UPPER(TRIM(AI92))="PIPE")),Inputs!$B$56,Inputs!$B$54))</f>
        <v/>
      </c>
      <c r="AL92" s="3" t="str">
        <f t="shared" si="25"/>
        <v/>
      </c>
    </row>
    <row r="93" spans="1:38" x14ac:dyDescent="0.25">
      <c r="A93" s="3"/>
      <c r="B93" s="3"/>
      <c r="C93" s="3"/>
      <c r="D93" s="3"/>
      <c r="E93" s="3"/>
      <c r="F93" s="8"/>
      <c r="G93" s="8"/>
      <c r="H93" s="8"/>
      <c r="I93" s="10" t="str">
        <f>IF(A93="","",IF(H93&lt;&gt;"",H93,IF(UPPER(TRIM(B93))="PIPE",Inputs!$B$7,IF(UPPER(TRIM(B93))="SWALE",Inputs!$B$8,Inputs!$B$9))))</f>
        <v/>
      </c>
      <c r="J93" s="8"/>
      <c r="K93" s="8"/>
      <c r="L93" s="8"/>
      <c r="M93" s="8"/>
      <c r="N93" s="8">
        <v>0</v>
      </c>
      <c r="O93" s="10" t="str">
        <f>IF(A93="","",SUMIFS(Zones_tributaires!$I:$I,Zones_tributaires!$J:$J,$A93))</f>
        <v/>
      </c>
      <c r="P93" s="10" t="str">
        <f t="shared" si="13"/>
        <v/>
      </c>
      <c r="Q93" s="10" t="str">
        <f>IF(A93="","",(O93+P93)*Inputs!$B$6)</f>
        <v/>
      </c>
      <c r="R93" s="10" t="str">
        <f t="shared" si="14"/>
        <v/>
      </c>
      <c r="S93" s="10" t="str">
        <f t="shared" si="15"/>
        <v/>
      </c>
      <c r="T93" s="10" t="str">
        <f t="shared" si="16"/>
        <v/>
      </c>
      <c r="U93" s="10" t="str">
        <f>IF(OR(T93="",Q93=""),"",Q93/(T93*Inputs!$B$19))</f>
        <v/>
      </c>
      <c r="V93" s="10" t="str">
        <f t="shared" si="17"/>
        <v/>
      </c>
      <c r="W93" s="10" t="str">
        <f t="shared" si="18"/>
        <v/>
      </c>
      <c r="X93" s="10" t="str">
        <f>IF(A93="","",IF(OR(UPPER(TRIM(Inputs!$B$15))="MANNING",UPPER(TRIM(Inputs!$B$15))="M"),W93,IF(OR(UPPER(TRIM(Inputs!$B$15))="MAX",UPPER(TRIM(Inputs!$B$15))="X"),MAX(V93,W93),V93)))</f>
        <v/>
      </c>
      <c r="Y93" s="10" t="str">
        <f t="shared" si="19"/>
        <v/>
      </c>
      <c r="Z93" s="10" t="str">
        <f t="shared" si="20"/>
        <v/>
      </c>
      <c r="AA93" s="3" t="str">
        <f>IF(A93="","",IF(OR(U93&gt;1,AND(X93&lt;&gt;"",X93&lt;Inputs!$B$16),AND(X93&lt;&gt;"",X93&gt;Inputs!$B$17),G93&lt;Inputs!$B$18,AH93="CHECK"),"CHECK","OK"))</f>
        <v/>
      </c>
      <c r="AB93" s="3"/>
      <c r="AC93" s="8"/>
      <c r="AD93" s="10" t="str">
        <f>IF(A93="","",IF(AC93&lt;&gt;"",AC93,IF(E93="",Inputs!$B$38,IFERROR(INDEX($AE$4:$AE$204,MATCH(E93,$A$4:$A$204,0))+IF(OR(AND(UPPER(TRIM(B93))="SWALE",UPPER(TRIM(AI93))="PIPE"),AND(UPPER(TRIM(B93))="TRENCH",UPPER(TRIM(AI93))="PIPE")),Inputs!$B$57,0),""))))</f>
        <v/>
      </c>
      <c r="AE93" s="10" t="str">
        <f t="shared" si="21"/>
        <v/>
      </c>
      <c r="AF93" s="10" t="str">
        <f t="shared" si="22"/>
        <v/>
      </c>
      <c r="AG93" s="10" t="str">
        <f t="shared" si="23"/>
        <v/>
      </c>
      <c r="AH93" s="3" t="str">
        <f>IF(A93="","",IF(E93="","TERMINAL",IF(OR(AND(UPPER(TRIM(B93))="SWALE",UPPER(TRIM(AI93))="PIPE"),AND(UPPER(TRIM(B93))="TRENCH",UPPER(TRIM(AI93))="PIPE")),IF(OR(AG93="",AJ93="",AK93=""),"INFO",IF(AND(AG93&gt;=AJ93,AG93&lt;=AK93),"OK","CHECK")),IF(AG93="","INFO",IF(ABS(AG93)&lt;=Inputs!$B$54,"OK","CHECK")))))</f>
        <v/>
      </c>
      <c r="AI93" s="11" t="str">
        <f t="shared" si="24"/>
        <v/>
      </c>
      <c r="AJ93" s="11" t="str">
        <f>IF(A93="","",IF(OR(AND(UPPER(TRIM(B93))="SWALE",UPPER(TRIM(AI93))="PIPE"),AND(UPPER(TRIM(B93))="TRENCH",UPPER(TRIM(AI93))="PIPE")),Inputs!$B$55,0))</f>
        <v/>
      </c>
      <c r="AK93" s="11" t="str">
        <f>IF(A93="","",IF(OR(AND(UPPER(TRIM(B93))="SWALE",UPPER(TRIM(AI93))="PIPE"),AND(UPPER(TRIM(B93))="TRENCH",UPPER(TRIM(AI93))="PIPE")),Inputs!$B$56,Inputs!$B$54))</f>
        <v/>
      </c>
      <c r="AL93" s="3" t="str">
        <f t="shared" si="25"/>
        <v/>
      </c>
    </row>
    <row r="94" spans="1:38" x14ac:dyDescent="0.25">
      <c r="A94" s="3"/>
      <c r="B94" s="3"/>
      <c r="C94" s="3"/>
      <c r="D94" s="3"/>
      <c r="E94" s="3"/>
      <c r="F94" s="8"/>
      <c r="G94" s="8"/>
      <c r="H94" s="8"/>
      <c r="I94" s="10" t="str">
        <f>IF(A94="","",IF(H94&lt;&gt;"",H94,IF(UPPER(TRIM(B94))="PIPE",Inputs!$B$7,IF(UPPER(TRIM(B94))="SWALE",Inputs!$B$8,Inputs!$B$9))))</f>
        <v/>
      </c>
      <c r="J94" s="8"/>
      <c r="K94" s="8"/>
      <c r="L94" s="8"/>
      <c r="M94" s="8"/>
      <c r="N94" s="8">
        <v>0</v>
      </c>
      <c r="O94" s="10" t="str">
        <f>IF(A94="","",SUMIFS(Zones_tributaires!$I:$I,Zones_tributaires!$J:$J,$A94))</f>
        <v/>
      </c>
      <c r="P94" s="10" t="str">
        <f t="shared" si="13"/>
        <v/>
      </c>
      <c r="Q94" s="10" t="str">
        <f>IF(A94="","",(O94+P94)*Inputs!$B$6)</f>
        <v/>
      </c>
      <c r="R94" s="10" t="str">
        <f t="shared" si="14"/>
        <v/>
      </c>
      <c r="S94" s="10" t="str">
        <f t="shared" si="15"/>
        <v/>
      </c>
      <c r="T94" s="10" t="str">
        <f t="shared" si="16"/>
        <v/>
      </c>
      <c r="U94" s="10" t="str">
        <f>IF(OR(T94="",Q94=""),"",Q94/(T94*Inputs!$B$19))</f>
        <v/>
      </c>
      <c r="V94" s="10" t="str">
        <f t="shared" si="17"/>
        <v/>
      </c>
      <c r="W94" s="10" t="str">
        <f t="shared" si="18"/>
        <v/>
      </c>
      <c r="X94" s="10" t="str">
        <f>IF(A94="","",IF(OR(UPPER(TRIM(Inputs!$B$15))="MANNING",UPPER(TRIM(Inputs!$B$15))="M"),W94,IF(OR(UPPER(TRIM(Inputs!$B$15))="MAX",UPPER(TRIM(Inputs!$B$15))="X"),MAX(V94,W94),V94)))</f>
        <v/>
      </c>
      <c r="Y94" s="10" t="str">
        <f t="shared" si="19"/>
        <v/>
      </c>
      <c r="Z94" s="10" t="str">
        <f t="shared" si="20"/>
        <v/>
      </c>
      <c r="AA94" s="3" t="str">
        <f>IF(A94="","",IF(OR(U94&gt;1,AND(X94&lt;&gt;"",X94&lt;Inputs!$B$16),AND(X94&lt;&gt;"",X94&gt;Inputs!$B$17),G94&lt;Inputs!$B$18,AH94="CHECK"),"CHECK","OK"))</f>
        <v/>
      </c>
      <c r="AB94" s="3"/>
      <c r="AC94" s="8"/>
      <c r="AD94" s="10" t="str">
        <f>IF(A94="","",IF(AC94&lt;&gt;"",AC94,IF(E94="",Inputs!$B$38,IFERROR(INDEX($AE$4:$AE$204,MATCH(E94,$A$4:$A$204,0))+IF(OR(AND(UPPER(TRIM(B94))="SWALE",UPPER(TRIM(AI94))="PIPE"),AND(UPPER(TRIM(B94))="TRENCH",UPPER(TRIM(AI94))="PIPE")),Inputs!$B$57,0),""))))</f>
        <v/>
      </c>
      <c r="AE94" s="10" t="str">
        <f t="shared" si="21"/>
        <v/>
      </c>
      <c r="AF94" s="10" t="str">
        <f t="shared" si="22"/>
        <v/>
      </c>
      <c r="AG94" s="10" t="str">
        <f t="shared" si="23"/>
        <v/>
      </c>
      <c r="AH94" s="3" t="str">
        <f>IF(A94="","",IF(E94="","TERMINAL",IF(OR(AND(UPPER(TRIM(B94))="SWALE",UPPER(TRIM(AI94))="PIPE"),AND(UPPER(TRIM(B94))="TRENCH",UPPER(TRIM(AI94))="PIPE")),IF(OR(AG94="",AJ94="",AK94=""),"INFO",IF(AND(AG94&gt;=AJ94,AG94&lt;=AK94),"OK","CHECK")),IF(AG94="","INFO",IF(ABS(AG94)&lt;=Inputs!$B$54,"OK","CHECK")))))</f>
        <v/>
      </c>
      <c r="AI94" s="11" t="str">
        <f t="shared" si="24"/>
        <v/>
      </c>
      <c r="AJ94" s="11" t="str">
        <f>IF(A94="","",IF(OR(AND(UPPER(TRIM(B94))="SWALE",UPPER(TRIM(AI94))="PIPE"),AND(UPPER(TRIM(B94))="TRENCH",UPPER(TRIM(AI94))="PIPE")),Inputs!$B$55,0))</f>
        <v/>
      </c>
      <c r="AK94" s="11" t="str">
        <f>IF(A94="","",IF(OR(AND(UPPER(TRIM(B94))="SWALE",UPPER(TRIM(AI94))="PIPE"),AND(UPPER(TRIM(B94))="TRENCH",UPPER(TRIM(AI94))="PIPE")),Inputs!$B$56,Inputs!$B$54))</f>
        <v/>
      </c>
      <c r="AL94" s="3" t="str">
        <f t="shared" si="25"/>
        <v/>
      </c>
    </row>
    <row r="95" spans="1:38" x14ac:dyDescent="0.25">
      <c r="A95" s="3"/>
      <c r="B95" s="3"/>
      <c r="C95" s="3"/>
      <c r="D95" s="3"/>
      <c r="E95" s="3"/>
      <c r="F95" s="8"/>
      <c r="G95" s="8"/>
      <c r="H95" s="8"/>
      <c r="I95" s="10" t="str">
        <f>IF(A95="","",IF(H95&lt;&gt;"",H95,IF(UPPER(TRIM(B95))="PIPE",Inputs!$B$7,IF(UPPER(TRIM(B95))="SWALE",Inputs!$B$8,Inputs!$B$9))))</f>
        <v/>
      </c>
      <c r="J95" s="8"/>
      <c r="K95" s="8"/>
      <c r="L95" s="8"/>
      <c r="M95" s="8"/>
      <c r="N95" s="8">
        <v>0</v>
      </c>
      <c r="O95" s="10" t="str">
        <f>IF(A95="","",SUMIFS(Zones_tributaires!$I:$I,Zones_tributaires!$J:$J,$A95))</f>
        <v/>
      </c>
      <c r="P95" s="10" t="str">
        <f t="shared" si="13"/>
        <v/>
      </c>
      <c r="Q95" s="10" t="str">
        <f>IF(A95="","",(O95+P95)*Inputs!$B$6)</f>
        <v/>
      </c>
      <c r="R95" s="10" t="str">
        <f t="shared" si="14"/>
        <v/>
      </c>
      <c r="S95" s="10" t="str">
        <f t="shared" si="15"/>
        <v/>
      </c>
      <c r="T95" s="10" t="str">
        <f t="shared" si="16"/>
        <v/>
      </c>
      <c r="U95" s="10" t="str">
        <f>IF(OR(T95="",Q95=""),"",Q95/(T95*Inputs!$B$19))</f>
        <v/>
      </c>
      <c r="V95" s="10" t="str">
        <f t="shared" si="17"/>
        <v/>
      </c>
      <c r="W95" s="10" t="str">
        <f t="shared" si="18"/>
        <v/>
      </c>
      <c r="X95" s="10" t="str">
        <f>IF(A95="","",IF(OR(UPPER(TRIM(Inputs!$B$15))="MANNING",UPPER(TRIM(Inputs!$B$15))="M"),W95,IF(OR(UPPER(TRIM(Inputs!$B$15))="MAX",UPPER(TRIM(Inputs!$B$15))="X"),MAX(V95,W95),V95)))</f>
        <v/>
      </c>
      <c r="Y95" s="10" t="str">
        <f t="shared" si="19"/>
        <v/>
      </c>
      <c r="Z95" s="10" t="str">
        <f t="shared" si="20"/>
        <v/>
      </c>
      <c r="AA95" s="3" t="str">
        <f>IF(A95="","",IF(OR(U95&gt;1,AND(X95&lt;&gt;"",X95&lt;Inputs!$B$16),AND(X95&lt;&gt;"",X95&gt;Inputs!$B$17),G95&lt;Inputs!$B$18,AH95="CHECK"),"CHECK","OK"))</f>
        <v/>
      </c>
      <c r="AB95" s="3"/>
      <c r="AC95" s="8"/>
      <c r="AD95" s="10" t="str">
        <f>IF(A95="","",IF(AC95&lt;&gt;"",AC95,IF(E95="",Inputs!$B$38,IFERROR(INDEX($AE$4:$AE$204,MATCH(E95,$A$4:$A$204,0))+IF(OR(AND(UPPER(TRIM(B95))="SWALE",UPPER(TRIM(AI95))="PIPE"),AND(UPPER(TRIM(B95))="TRENCH",UPPER(TRIM(AI95))="PIPE")),Inputs!$B$57,0),""))))</f>
        <v/>
      </c>
      <c r="AE95" s="10" t="str">
        <f t="shared" si="21"/>
        <v/>
      </c>
      <c r="AF95" s="10" t="str">
        <f t="shared" si="22"/>
        <v/>
      </c>
      <c r="AG95" s="10" t="str">
        <f t="shared" si="23"/>
        <v/>
      </c>
      <c r="AH95" s="3" t="str">
        <f>IF(A95="","",IF(E95="","TERMINAL",IF(OR(AND(UPPER(TRIM(B95))="SWALE",UPPER(TRIM(AI95))="PIPE"),AND(UPPER(TRIM(B95))="TRENCH",UPPER(TRIM(AI95))="PIPE")),IF(OR(AG95="",AJ95="",AK95=""),"INFO",IF(AND(AG95&gt;=AJ95,AG95&lt;=AK95),"OK","CHECK")),IF(AG95="","INFO",IF(ABS(AG95)&lt;=Inputs!$B$54,"OK","CHECK")))))</f>
        <v/>
      </c>
      <c r="AI95" s="11" t="str">
        <f t="shared" si="24"/>
        <v/>
      </c>
      <c r="AJ95" s="11" t="str">
        <f>IF(A95="","",IF(OR(AND(UPPER(TRIM(B95))="SWALE",UPPER(TRIM(AI95))="PIPE"),AND(UPPER(TRIM(B95))="TRENCH",UPPER(TRIM(AI95))="PIPE")),Inputs!$B$55,0))</f>
        <v/>
      </c>
      <c r="AK95" s="11" t="str">
        <f>IF(A95="","",IF(OR(AND(UPPER(TRIM(B95))="SWALE",UPPER(TRIM(AI95))="PIPE"),AND(UPPER(TRIM(B95))="TRENCH",UPPER(TRIM(AI95))="PIPE")),Inputs!$B$56,Inputs!$B$54))</f>
        <v/>
      </c>
      <c r="AL95" s="3" t="str">
        <f t="shared" si="25"/>
        <v/>
      </c>
    </row>
    <row r="96" spans="1:38" x14ac:dyDescent="0.25">
      <c r="A96" s="3"/>
      <c r="B96" s="3"/>
      <c r="C96" s="3"/>
      <c r="D96" s="3"/>
      <c r="E96" s="3"/>
      <c r="F96" s="8"/>
      <c r="G96" s="8"/>
      <c r="H96" s="8"/>
      <c r="I96" s="10" t="str">
        <f>IF(A96="","",IF(H96&lt;&gt;"",H96,IF(UPPER(TRIM(B96))="PIPE",Inputs!$B$7,IF(UPPER(TRIM(B96))="SWALE",Inputs!$B$8,Inputs!$B$9))))</f>
        <v/>
      </c>
      <c r="J96" s="8"/>
      <c r="K96" s="8"/>
      <c r="L96" s="8"/>
      <c r="M96" s="8"/>
      <c r="N96" s="8">
        <v>0</v>
      </c>
      <c r="O96" s="10" t="str">
        <f>IF(A96="","",SUMIFS(Zones_tributaires!$I:$I,Zones_tributaires!$J:$J,$A96))</f>
        <v/>
      </c>
      <c r="P96" s="10" t="str">
        <f t="shared" si="13"/>
        <v/>
      </c>
      <c r="Q96" s="10" t="str">
        <f>IF(A96="","",(O96+P96)*Inputs!$B$6)</f>
        <v/>
      </c>
      <c r="R96" s="10" t="str">
        <f t="shared" si="14"/>
        <v/>
      </c>
      <c r="S96" s="10" t="str">
        <f t="shared" si="15"/>
        <v/>
      </c>
      <c r="T96" s="10" t="str">
        <f t="shared" si="16"/>
        <v/>
      </c>
      <c r="U96" s="10" t="str">
        <f>IF(OR(T96="",Q96=""),"",Q96/(T96*Inputs!$B$19))</f>
        <v/>
      </c>
      <c r="V96" s="10" t="str">
        <f t="shared" si="17"/>
        <v/>
      </c>
      <c r="W96" s="10" t="str">
        <f t="shared" si="18"/>
        <v/>
      </c>
      <c r="X96" s="10" t="str">
        <f>IF(A96="","",IF(OR(UPPER(TRIM(Inputs!$B$15))="MANNING",UPPER(TRIM(Inputs!$B$15))="M"),W96,IF(OR(UPPER(TRIM(Inputs!$B$15))="MAX",UPPER(TRIM(Inputs!$B$15))="X"),MAX(V96,W96),V96)))</f>
        <v/>
      </c>
      <c r="Y96" s="10" t="str">
        <f t="shared" si="19"/>
        <v/>
      </c>
      <c r="Z96" s="10" t="str">
        <f t="shared" si="20"/>
        <v/>
      </c>
      <c r="AA96" s="3" t="str">
        <f>IF(A96="","",IF(OR(U96&gt;1,AND(X96&lt;&gt;"",X96&lt;Inputs!$B$16),AND(X96&lt;&gt;"",X96&gt;Inputs!$B$17),G96&lt;Inputs!$B$18,AH96="CHECK"),"CHECK","OK"))</f>
        <v/>
      </c>
      <c r="AB96" s="3"/>
      <c r="AC96" s="8"/>
      <c r="AD96" s="10" t="str">
        <f>IF(A96="","",IF(AC96&lt;&gt;"",AC96,IF(E96="",Inputs!$B$38,IFERROR(INDEX($AE$4:$AE$204,MATCH(E96,$A$4:$A$204,0))+IF(OR(AND(UPPER(TRIM(B96))="SWALE",UPPER(TRIM(AI96))="PIPE"),AND(UPPER(TRIM(B96))="TRENCH",UPPER(TRIM(AI96))="PIPE")),Inputs!$B$57,0),""))))</f>
        <v/>
      </c>
      <c r="AE96" s="10" t="str">
        <f t="shared" si="21"/>
        <v/>
      </c>
      <c r="AF96" s="10" t="str">
        <f t="shared" si="22"/>
        <v/>
      </c>
      <c r="AG96" s="10" t="str">
        <f t="shared" si="23"/>
        <v/>
      </c>
      <c r="AH96" s="3" t="str">
        <f>IF(A96="","",IF(E96="","TERMINAL",IF(OR(AND(UPPER(TRIM(B96))="SWALE",UPPER(TRIM(AI96))="PIPE"),AND(UPPER(TRIM(B96))="TRENCH",UPPER(TRIM(AI96))="PIPE")),IF(OR(AG96="",AJ96="",AK96=""),"INFO",IF(AND(AG96&gt;=AJ96,AG96&lt;=AK96),"OK","CHECK")),IF(AG96="","INFO",IF(ABS(AG96)&lt;=Inputs!$B$54,"OK","CHECK")))))</f>
        <v/>
      </c>
      <c r="AI96" s="11" t="str">
        <f t="shared" si="24"/>
        <v/>
      </c>
      <c r="AJ96" s="11" t="str">
        <f>IF(A96="","",IF(OR(AND(UPPER(TRIM(B96))="SWALE",UPPER(TRIM(AI96))="PIPE"),AND(UPPER(TRIM(B96))="TRENCH",UPPER(TRIM(AI96))="PIPE")),Inputs!$B$55,0))</f>
        <v/>
      </c>
      <c r="AK96" s="11" t="str">
        <f>IF(A96="","",IF(OR(AND(UPPER(TRIM(B96))="SWALE",UPPER(TRIM(AI96))="PIPE"),AND(UPPER(TRIM(B96))="TRENCH",UPPER(TRIM(AI96))="PIPE")),Inputs!$B$56,Inputs!$B$54))</f>
        <v/>
      </c>
      <c r="AL96" s="3" t="str">
        <f t="shared" si="25"/>
        <v/>
      </c>
    </row>
    <row r="97" spans="1:38" x14ac:dyDescent="0.25">
      <c r="A97" s="3"/>
      <c r="B97" s="3"/>
      <c r="C97" s="3"/>
      <c r="D97" s="3"/>
      <c r="E97" s="3"/>
      <c r="F97" s="8"/>
      <c r="G97" s="8"/>
      <c r="H97" s="8"/>
      <c r="I97" s="10" t="str">
        <f>IF(A97="","",IF(H97&lt;&gt;"",H97,IF(UPPER(TRIM(B97))="PIPE",Inputs!$B$7,IF(UPPER(TRIM(B97))="SWALE",Inputs!$B$8,Inputs!$B$9))))</f>
        <v/>
      </c>
      <c r="J97" s="8"/>
      <c r="K97" s="8"/>
      <c r="L97" s="8"/>
      <c r="M97" s="8"/>
      <c r="N97" s="8">
        <v>0</v>
      </c>
      <c r="O97" s="10" t="str">
        <f>IF(A97="","",SUMIFS(Zones_tributaires!$I:$I,Zones_tributaires!$J:$J,$A97))</f>
        <v/>
      </c>
      <c r="P97" s="10" t="str">
        <f t="shared" si="13"/>
        <v/>
      </c>
      <c r="Q97" s="10" t="str">
        <f>IF(A97="","",(O97+P97)*Inputs!$B$6)</f>
        <v/>
      </c>
      <c r="R97" s="10" t="str">
        <f t="shared" si="14"/>
        <v/>
      </c>
      <c r="S97" s="10" t="str">
        <f t="shared" si="15"/>
        <v/>
      </c>
      <c r="T97" s="10" t="str">
        <f t="shared" si="16"/>
        <v/>
      </c>
      <c r="U97" s="10" t="str">
        <f>IF(OR(T97="",Q97=""),"",Q97/(T97*Inputs!$B$19))</f>
        <v/>
      </c>
      <c r="V97" s="10" t="str">
        <f t="shared" si="17"/>
        <v/>
      </c>
      <c r="W97" s="10" t="str">
        <f t="shared" si="18"/>
        <v/>
      </c>
      <c r="X97" s="10" t="str">
        <f>IF(A97="","",IF(OR(UPPER(TRIM(Inputs!$B$15))="MANNING",UPPER(TRIM(Inputs!$B$15))="M"),W97,IF(OR(UPPER(TRIM(Inputs!$B$15))="MAX",UPPER(TRIM(Inputs!$B$15))="X"),MAX(V97,W97),V97)))</f>
        <v/>
      </c>
      <c r="Y97" s="10" t="str">
        <f t="shared" si="19"/>
        <v/>
      </c>
      <c r="Z97" s="10" t="str">
        <f t="shared" si="20"/>
        <v/>
      </c>
      <c r="AA97" s="3" t="str">
        <f>IF(A97="","",IF(OR(U97&gt;1,AND(X97&lt;&gt;"",X97&lt;Inputs!$B$16),AND(X97&lt;&gt;"",X97&gt;Inputs!$B$17),G97&lt;Inputs!$B$18,AH97="CHECK"),"CHECK","OK"))</f>
        <v/>
      </c>
      <c r="AB97" s="3"/>
      <c r="AC97" s="8"/>
      <c r="AD97" s="10" t="str">
        <f>IF(A97="","",IF(AC97&lt;&gt;"",AC97,IF(E97="",Inputs!$B$38,IFERROR(INDEX($AE$4:$AE$204,MATCH(E97,$A$4:$A$204,0))+IF(OR(AND(UPPER(TRIM(B97))="SWALE",UPPER(TRIM(AI97))="PIPE"),AND(UPPER(TRIM(B97))="TRENCH",UPPER(TRIM(AI97))="PIPE")),Inputs!$B$57,0),""))))</f>
        <v/>
      </c>
      <c r="AE97" s="10" t="str">
        <f t="shared" si="21"/>
        <v/>
      </c>
      <c r="AF97" s="10" t="str">
        <f t="shared" si="22"/>
        <v/>
      </c>
      <c r="AG97" s="10" t="str">
        <f t="shared" si="23"/>
        <v/>
      </c>
      <c r="AH97" s="3" t="str">
        <f>IF(A97="","",IF(E97="","TERMINAL",IF(OR(AND(UPPER(TRIM(B97))="SWALE",UPPER(TRIM(AI97))="PIPE"),AND(UPPER(TRIM(B97))="TRENCH",UPPER(TRIM(AI97))="PIPE")),IF(OR(AG97="",AJ97="",AK97=""),"INFO",IF(AND(AG97&gt;=AJ97,AG97&lt;=AK97),"OK","CHECK")),IF(AG97="","INFO",IF(ABS(AG97)&lt;=Inputs!$B$54,"OK","CHECK")))))</f>
        <v/>
      </c>
      <c r="AI97" s="11" t="str">
        <f t="shared" si="24"/>
        <v/>
      </c>
      <c r="AJ97" s="11" t="str">
        <f>IF(A97="","",IF(OR(AND(UPPER(TRIM(B97))="SWALE",UPPER(TRIM(AI97))="PIPE"),AND(UPPER(TRIM(B97))="TRENCH",UPPER(TRIM(AI97))="PIPE")),Inputs!$B$55,0))</f>
        <v/>
      </c>
      <c r="AK97" s="11" t="str">
        <f>IF(A97="","",IF(OR(AND(UPPER(TRIM(B97))="SWALE",UPPER(TRIM(AI97))="PIPE"),AND(UPPER(TRIM(B97))="TRENCH",UPPER(TRIM(AI97))="PIPE")),Inputs!$B$56,Inputs!$B$54))</f>
        <v/>
      </c>
      <c r="AL97" s="3" t="str">
        <f t="shared" si="25"/>
        <v/>
      </c>
    </row>
    <row r="98" spans="1:38" x14ac:dyDescent="0.25">
      <c r="A98" s="3"/>
      <c r="B98" s="3"/>
      <c r="C98" s="3"/>
      <c r="D98" s="3"/>
      <c r="E98" s="3"/>
      <c r="F98" s="8"/>
      <c r="G98" s="8"/>
      <c r="H98" s="8"/>
      <c r="I98" s="10" t="str">
        <f>IF(A98="","",IF(H98&lt;&gt;"",H98,IF(UPPER(TRIM(B98))="PIPE",Inputs!$B$7,IF(UPPER(TRIM(B98))="SWALE",Inputs!$B$8,Inputs!$B$9))))</f>
        <v/>
      </c>
      <c r="J98" s="8"/>
      <c r="K98" s="8"/>
      <c r="L98" s="8"/>
      <c r="M98" s="8"/>
      <c r="N98" s="8">
        <v>0</v>
      </c>
      <c r="O98" s="10" t="str">
        <f>IF(A98="","",SUMIFS(Zones_tributaires!$I:$I,Zones_tributaires!$J:$J,$A98))</f>
        <v/>
      </c>
      <c r="P98" s="10" t="str">
        <f t="shared" si="13"/>
        <v/>
      </c>
      <c r="Q98" s="10" t="str">
        <f>IF(A98="","",(O98+P98)*Inputs!$B$6)</f>
        <v/>
      </c>
      <c r="R98" s="10" t="str">
        <f t="shared" si="14"/>
        <v/>
      </c>
      <c r="S98" s="10" t="str">
        <f t="shared" si="15"/>
        <v/>
      </c>
      <c r="T98" s="10" t="str">
        <f t="shared" si="16"/>
        <v/>
      </c>
      <c r="U98" s="10" t="str">
        <f>IF(OR(T98="",Q98=""),"",Q98/(T98*Inputs!$B$19))</f>
        <v/>
      </c>
      <c r="V98" s="10" t="str">
        <f t="shared" si="17"/>
        <v/>
      </c>
      <c r="W98" s="10" t="str">
        <f t="shared" si="18"/>
        <v/>
      </c>
      <c r="X98" s="10" t="str">
        <f>IF(A98="","",IF(OR(UPPER(TRIM(Inputs!$B$15))="MANNING",UPPER(TRIM(Inputs!$B$15))="M"),W98,IF(OR(UPPER(TRIM(Inputs!$B$15))="MAX",UPPER(TRIM(Inputs!$B$15))="X"),MAX(V98,W98),V98)))</f>
        <v/>
      </c>
      <c r="Y98" s="10" t="str">
        <f t="shared" si="19"/>
        <v/>
      </c>
      <c r="Z98" s="10" t="str">
        <f t="shared" si="20"/>
        <v/>
      </c>
      <c r="AA98" s="3" t="str">
        <f>IF(A98="","",IF(OR(U98&gt;1,AND(X98&lt;&gt;"",X98&lt;Inputs!$B$16),AND(X98&lt;&gt;"",X98&gt;Inputs!$B$17),G98&lt;Inputs!$B$18,AH98="CHECK"),"CHECK","OK"))</f>
        <v/>
      </c>
      <c r="AB98" s="3"/>
      <c r="AC98" s="8"/>
      <c r="AD98" s="10" t="str">
        <f>IF(A98="","",IF(AC98&lt;&gt;"",AC98,IF(E98="",Inputs!$B$38,IFERROR(INDEX($AE$4:$AE$204,MATCH(E98,$A$4:$A$204,0))+IF(OR(AND(UPPER(TRIM(B98))="SWALE",UPPER(TRIM(AI98))="PIPE"),AND(UPPER(TRIM(B98))="TRENCH",UPPER(TRIM(AI98))="PIPE")),Inputs!$B$57,0),""))))</f>
        <v/>
      </c>
      <c r="AE98" s="10" t="str">
        <f t="shared" si="21"/>
        <v/>
      </c>
      <c r="AF98" s="10" t="str">
        <f t="shared" si="22"/>
        <v/>
      </c>
      <c r="AG98" s="10" t="str">
        <f t="shared" si="23"/>
        <v/>
      </c>
      <c r="AH98" s="3" t="str">
        <f>IF(A98="","",IF(E98="","TERMINAL",IF(OR(AND(UPPER(TRIM(B98))="SWALE",UPPER(TRIM(AI98))="PIPE"),AND(UPPER(TRIM(B98))="TRENCH",UPPER(TRIM(AI98))="PIPE")),IF(OR(AG98="",AJ98="",AK98=""),"INFO",IF(AND(AG98&gt;=AJ98,AG98&lt;=AK98),"OK","CHECK")),IF(AG98="","INFO",IF(ABS(AG98)&lt;=Inputs!$B$54,"OK","CHECK")))))</f>
        <v/>
      </c>
      <c r="AI98" s="11" t="str">
        <f t="shared" si="24"/>
        <v/>
      </c>
      <c r="AJ98" s="11" t="str">
        <f>IF(A98="","",IF(OR(AND(UPPER(TRIM(B98))="SWALE",UPPER(TRIM(AI98))="PIPE"),AND(UPPER(TRIM(B98))="TRENCH",UPPER(TRIM(AI98))="PIPE")),Inputs!$B$55,0))</f>
        <v/>
      </c>
      <c r="AK98" s="11" t="str">
        <f>IF(A98="","",IF(OR(AND(UPPER(TRIM(B98))="SWALE",UPPER(TRIM(AI98))="PIPE"),AND(UPPER(TRIM(B98))="TRENCH",UPPER(TRIM(AI98))="PIPE")),Inputs!$B$56,Inputs!$B$54))</f>
        <v/>
      </c>
      <c r="AL98" s="3" t="str">
        <f t="shared" si="25"/>
        <v/>
      </c>
    </row>
    <row r="99" spans="1:38" x14ac:dyDescent="0.25">
      <c r="A99" s="3"/>
      <c r="B99" s="3"/>
      <c r="C99" s="3"/>
      <c r="D99" s="3"/>
      <c r="E99" s="3"/>
      <c r="F99" s="8"/>
      <c r="G99" s="8"/>
      <c r="H99" s="8"/>
      <c r="I99" s="10" t="str">
        <f>IF(A99="","",IF(H99&lt;&gt;"",H99,IF(UPPER(TRIM(B99))="PIPE",Inputs!$B$7,IF(UPPER(TRIM(B99))="SWALE",Inputs!$B$8,Inputs!$B$9))))</f>
        <v/>
      </c>
      <c r="J99" s="8"/>
      <c r="K99" s="8"/>
      <c r="L99" s="8"/>
      <c r="M99" s="8"/>
      <c r="N99" s="8">
        <v>0</v>
      </c>
      <c r="O99" s="10" t="str">
        <f>IF(A99="","",SUMIFS(Zones_tributaires!$I:$I,Zones_tributaires!$J:$J,$A99))</f>
        <v/>
      </c>
      <c r="P99" s="10" t="str">
        <f t="shared" si="13"/>
        <v/>
      </c>
      <c r="Q99" s="10" t="str">
        <f>IF(A99="","",(O99+P99)*Inputs!$B$6)</f>
        <v/>
      </c>
      <c r="R99" s="10" t="str">
        <f t="shared" si="14"/>
        <v/>
      </c>
      <c r="S99" s="10" t="str">
        <f t="shared" si="15"/>
        <v/>
      </c>
      <c r="T99" s="10" t="str">
        <f t="shared" si="16"/>
        <v/>
      </c>
      <c r="U99" s="10" t="str">
        <f>IF(OR(T99="",Q99=""),"",Q99/(T99*Inputs!$B$19))</f>
        <v/>
      </c>
      <c r="V99" s="10" t="str">
        <f t="shared" si="17"/>
        <v/>
      </c>
      <c r="W99" s="10" t="str">
        <f t="shared" si="18"/>
        <v/>
      </c>
      <c r="X99" s="10" t="str">
        <f>IF(A99="","",IF(OR(UPPER(TRIM(Inputs!$B$15))="MANNING",UPPER(TRIM(Inputs!$B$15))="M"),W99,IF(OR(UPPER(TRIM(Inputs!$B$15))="MAX",UPPER(TRIM(Inputs!$B$15))="X"),MAX(V99,W99),V99)))</f>
        <v/>
      </c>
      <c r="Y99" s="10" t="str">
        <f t="shared" si="19"/>
        <v/>
      </c>
      <c r="Z99" s="10" t="str">
        <f t="shared" si="20"/>
        <v/>
      </c>
      <c r="AA99" s="3" t="str">
        <f>IF(A99="","",IF(OR(U99&gt;1,AND(X99&lt;&gt;"",X99&lt;Inputs!$B$16),AND(X99&lt;&gt;"",X99&gt;Inputs!$B$17),G99&lt;Inputs!$B$18,AH99="CHECK"),"CHECK","OK"))</f>
        <v/>
      </c>
      <c r="AB99" s="3"/>
      <c r="AC99" s="8"/>
      <c r="AD99" s="10" t="str">
        <f>IF(A99="","",IF(AC99&lt;&gt;"",AC99,IF(E99="",Inputs!$B$38,IFERROR(INDEX($AE$4:$AE$204,MATCH(E99,$A$4:$A$204,0))+IF(OR(AND(UPPER(TRIM(B99))="SWALE",UPPER(TRIM(AI99))="PIPE"),AND(UPPER(TRIM(B99))="TRENCH",UPPER(TRIM(AI99))="PIPE")),Inputs!$B$57,0),""))))</f>
        <v/>
      </c>
      <c r="AE99" s="10" t="str">
        <f t="shared" si="21"/>
        <v/>
      </c>
      <c r="AF99" s="10" t="str">
        <f t="shared" si="22"/>
        <v/>
      </c>
      <c r="AG99" s="10" t="str">
        <f t="shared" si="23"/>
        <v/>
      </c>
      <c r="AH99" s="3" t="str">
        <f>IF(A99="","",IF(E99="","TERMINAL",IF(OR(AND(UPPER(TRIM(B99))="SWALE",UPPER(TRIM(AI99))="PIPE"),AND(UPPER(TRIM(B99))="TRENCH",UPPER(TRIM(AI99))="PIPE")),IF(OR(AG99="",AJ99="",AK99=""),"INFO",IF(AND(AG99&gt;=AJ99,AG99&lt;=AK99),"OK","CHECK")),IF(AG99="","INFO",IF(ABS(AG99)&lt;=Inputs!$B$54,"OK","CHECK")))))</f>
        <v/>
      </c>
      <c r="AI99" s="11" t="str">
        <f t="shared" si="24"/>
        <v/>
      </c>
      <c r="AJ99" s="11" t="str">
        <f>IF(A99="","",IF(OR(AND(UPPER(TRIM(B99))="SWALE",UPPER(TRIM(AI99))="PIPE"),AND(UPPER(TRIM(B99))="TRENCH",UPPER(TRIM(AI99))="PIPE")),Inputs!$B$55,0))</f>
        <v/>
      </c>
      <c r="AK99" s="11" t="str">
        <f>IF(A99="","",IF(OR(AND(UPPER(TRIM(B99))="SWALE",UPPER(TRIM(AI99))="PIPE"),AND(UPPER(TRIM(B99))="TRENCH",UPPER(TRIM(AI99))="PIPE")),Inputs!$B$56,Inputs!$B$54))</f>
        <v/>
      </c>
      <c r="AL99" s="3" t="str">
        <f t="shared" si="25"/>
        <v/>
      </c>
    </row>
    <row r="100" spans="1:38" x14ac:dyDescent="0.25">
      <c r="A100" s="3"/>
      <c r="B100" s="3"/>
      <c r="C100" s="3"/>
      <c r="D100" s="3"/>
      <c r="E100" s="3"/>
      <c r="F100" s="8"/>
      <c r="G100" s="8"/>
      <c r="H100" s="8"/>
      <c r="I100" s="10" t="str">
        <f>IF(A100="","",IF(H100&lt;&gt;"",H100,IF(UPPER(TRIM(B100))="PIPE",Inputs!$B$7,IF(UPPER(TRIM(B100))="SWALE",Inputs!$B$8,Inputs!$B$9))))</f>
        <v/>
      </c>
      <c r="J100" s="8"/>
      <c r="K100" s="8"/>
      <c r="L100" s="8"/>
      <c r="M100" s="8"/>
      <c r="N100" s="8">
        <v>0</v>
      </c>
      <c r="O100" s="10" t="str">
        <f>IF(A100="","",SUMIFS(Zones_tributaires!$I:$I,Zones_tributaires!$J:$J,$A100))</f>
        <v/>
      </c>
      <c r="P100" s="10" t="str">
        <f t="shared" si="13"/>
        <v/>
      </c>
      <c r="Q100" s="10" t="str">
        <f>IF(A100="","",(O100+P100)*Inputs!$B$6)</f>
        <v/>
      </c>
      <c r="R100" s="10" t="str">
        <f t="shared" si="14"/>
        <v/>
      </c>
      <c r="S100" s="10" t="str">
        <f t="shared" si="15"/>
        <v/>
      </c>
      <c r="T100" s="10" t="str">
        <f t="shared" si="16"/>
        <v/>
      </c>
      <c r="U100" s="10" t="str">
        <f>IF(OR(T100="",Q100=""),"",Q100/(T100*Inputs!$B$19))</f>
        <v/>
      </c>
      <c r="V100" s="10" t="str">
        <f t="shared" si="17"/>
        <v/>
      </c>
      <c r="W100" s="10" t="str">
        <f t="shared" si="18"/>
        <v/>
      </c>
      <c r="X100" s="10" t="str">
        <f>IF(A100="","",IF(OR(UPPER(TRIM(Inputs!$B$15))="MANNING",UPPER(TRIM(Inputs!$B$15))="M"),W100,IF(OR(UPPER(TRIM(Inputs!$B$15))="MAX",UPPER(TRIM(Inputs!$B$15))="X"),MAX(V100,W100),V100)))</f>
        <v/>
      </c>
      <c r="Y100" s="10" t="str">
        <f t="shared" si="19"/>
        <v/>
      </c>
      <c r="Z100" s="10" t="str">
        <f t="shared" si="20"/>
        <v/>
      </c>
      <c r="AA100" s="3" t="str">
        <f>IF(A100="","",IF(OR(U100&gt;1,AND(X100&lt;&gt;"",X100&lt;Inputs!$B$16),AND(X100&lt;&gt;"",X100&gt;Inputs!$B$17),G100&lt;Inputs!$B$18,AH100="CHECK"),"CHECK","OK"))</f>
        <v/>
      </c>
      <c r="AB100" s="3"/>
      <c r="AC100" s="8"/>
      <c r="AD100" s="10" t="str">
        <f>IF(A100="","",IF(AC100&lt;&gt;"",AC100,IF(E100="",Inputs!$B$38,IFERROR(INDEX($AE$4:$AE$204,MATCH(E100,$A$4:$A$204,0))+IF(OR(AND(UPPER(TRIM(B100))="SWALE",UPPER(TRIM(AI100))="PIPE"),AND(UPPER(TRIM(B100))="TRENCH",UPPER(TRIM(AI100))="PIPE")),Inputs!$B$57,0),""))))</f>
        <v/>
      </c>
      <c r="AE100" s="10" t="str">
        <f t="shared" si="21"/>
        <v/>
      </c>
      <c r="AF100" s="10" t="str">
        <f t="shared" si="22"/>
        <v/>
      </c>
      <c r="AG100" s="10" t="str">
        <f t="shared" si="23"/>
        <v/>
      </c>
      <c r="AH100" s="3" t="str">
        <f>IF(A100="","",IF(E100="","TERMINAL",IF(OR(AND(UPPER(TRIM(B100))="SWALE",UPPER(TRIM(AI100))="PIPE"),AND(UPPER(TRIM(B100))="TRENCH",UPPER(TRIM(AI100))="PIPE")),IF(OR(AG100="",AJ100="",AK100=""),"INFO",IF(AND(AG100&gt;=AJ100,AG100&lt;=AK100),"OK","CHECK")),IF(AG100="","INFO",IF(ABS(AG100)&lt;=Inputs!$B$54,"OK","CHECK")))))</f>
        <v/>
      </c>
      <c r="AI100" s="11" t="str">
        <f t="shared" si="24"/>
        <v/>
      </c>
      <c r="AJ100" s="11" t="str">
        <f>IF(A100="","",IF(OR(AND(UPPER(TRIM(B100))="SWALE",UPPER(TRIM(AI100))="PIPE"),AND(UPPER(TRIM(B100))="TRENCH",UPPER(TRIM(AI100))="PIPE")),Inputs!$B$55,0))</f>
        <v/>
      </c>
      <c r="AK100" s="11" t="str">
        <f>IF(A100="","",IF(OR(AND(UPPER(TRIM(B100))="SWALE",UPPER(TRIM(AI100))="PIPE"),AND(UPPER(TRIM(B100))="TRENCH",UPPER(TRIM(AI100))="PIPE")),Inputs!$B$56,Inputs!$B$54))</f>
        <v/>
      </c>
      <c r="AL100" s="3" t="str">
        <f t="shared" si="25"/>
        <v/>
      </c>
    </row>
    <row r="101" spans="1:38" x14ac:dyDescent="0.25">
      <c r="A101" s="3"/>
      <c r="B101" s="3"/>
      <c r="C101" s="3"/>
      <c r="D101" s="3"/>
      <c r="E101" s="3"/>
      <c r="F101" s="8"/>
      <c r="G101" s="8"/>
      <c r="H101" s="8"/>
      <c r="I101" s="10" t="str">
        <f>IF(A101="","",IF(H101&lt;&gt;"",H101,IF(UPPER(TRIM(B101))="PIPE",Inputs!$B$7,IF(UPPER(TRIM(B101))="SWALE",Inputs!$B$8,Inputs!$B$9))))</f>
        <v/>
      </c>
      <c r="J101" s="8"/>
      <c r="K101" s="8"/>
      <c r="L101" s="8"/>
      <c r="M101" s="8"/>
      <c r="N101" s="8">
        <v>0</v>
      </c>
      <c r="O101" s="10" t="str">
        <f>IF(A101="","",SUMIFS(Zones_tributaires!$I:$I,Zones_tributaires!$J:$J,$A101))</f>
        <v/>
      </c>
      <c r="P101" s="10" t="str">
        <f t="shared" si="13"/>
        <v/>
      </c>
      <c r="Q101" s="10" t="str">
        <f>IF(A101="","",(O101+P101)*Inputs!$B$6)</f>
        <v/>
      </c>
      <c r="R101" s="10" t="str">
        <f t="shared" si="14"/>
        <v/>
      </c>
      <c r="S101" s="10" t="str">
        <f t="shared" si="15"/>
        <v/>
      </c>
      <c r="T101" s="10" t="str">
        <f t="shared" si="16"/>
        <v/>
      </c>
      <c r="U101" s="10" t="str">
        <f>IF(OR(T101="",Q101=""),"",Q101/(T101*Inputs!$B$19))</f>
        <v/>
      </c>
      <c r="V101" s="10" t="str">
        <f t="shared" si="17"/>
        <v/>
      </c>
      <c r="W101" s="10" t="str">
        <f t="shared" si="18"/>
        <v/>
      </c>
      <c r="X101" s="10" t="str">
        <f>IF(A101="","",IF(OR(UPPER(TRIM(Inputs!$B$15))="MANNING",UPPER(TRIM(Inputs!$B$15))="M"),W101,IF(OR(UPPER(TRIM(Inputs!$B$15))="MAX",UPPER(TRIM(Inputs!$B$15))="X"),MAX(V101,W101),V101)))</f>
        <v/>
      </c>
      <c r="Y101" s="10" t="str">
        <f t="shared" si="19"/>
        <v/>
      </c>
      <c r="Z101" s="10" t="str">
        <f t="shared" si="20"/>
        <v/>
      </c>
      <c r="AA101" s="3" t="str">
        <f>IF(A101="","",IF(OR(U101&gt;1,AND(X101&lt;&gt;"",X101&lt;Inputs!$B$16),AND(X101&lt;&gt;"",X101&gt;Inputs!$B$17),G101&lt;Inputs!$B$18,AH101="CHECK"),"CHECK","OK"))</f>
        <v/>
      </c>
      <c r="AB101" s="3"/>
      <c r="AC101" s="8"/>
      <c r="AD101" s="10" t="str">
        <f>IF(A101="","",IF(AC101&lt;&gt;"",AC101,IF(E101="",Inputs!$B$38,IFERROR(INDEX($AE$4:$AE$204,MATCH(E101,$A$4:$A$204,0))+IF(OR(AND(UPPER(TRIM(B101))="SWALE",UPPER(TRIM(AI101))="PIPE"),AND(UPPER(TRIM(B101))="TRENCH",UPPER(TRIM(AI101))="PIPE")),Inputs!$B$57,0),""))))</f>
        <v/>
      </c>
      <c r="AE101" s="10" t="str">
        <f t="shared" si="21"/>
        <v/>
      </c>
      <c r="AF101" s="10" t="str">
        <f t="shared" si="22"/>
        <v/>
      </c>
      <c r="AG101" s="10" t="str">
        <f t="shared" si="23"/>
        <v/>
      </c>
      <c r="AH101" s="3" t="str">
        <f>IF(A101="","",IF(E101="","TERMINAL",IF(OR(AND(UPPER(TRIM(B101))="SWALE",UPPER(TRIM(AI101))="PIPE"),AND(UPPER(TRIM(B101))="TRENCH",UPPER(TRIM(AI101))="PIPE")),IF(OR(AG101="",AJ101="",AK101=""),"INFO",IF(AND(AG101&gt;=AJ101,AG101&lt;=AK101),"OK","CHECK")),IF(AG101="","INFO",IF(ABS(AG101)&lt;=Inputs!$B$54,"OK","CHECK")))))</f>
        <v/>
      </c>
      <c r="AI101" s="11" t="str">
        <f t="shared" si="24"/>
        <v/>
      </c>
      <c r="AJ101" s="11" t="str">
        <f>IF(A101="","",IF(OR(AND(UPPER(TRIM(B101))="SWALE",UPPER(TRIM(AI101))="PIPE"),AND(UPPER(TRIM(B101))="TRENCH",UPPER(TRIM(AI101))="PIPE")),Inputs!$B$55,0))</f>
        <v/>
      </c>
      <c r="AK101" s="11" t="str">
        <f>IF(A101="","",IF(OR(AND(UPPER(TRIM(B101))="SWALE",UPPER(TRIM(AI101))="PIPE"),AND(UPPER(TRIM(B101))="TRENCH",UPPER(TRIM(AI101))="PIPE")),Inputs!$B$56,Inputs!$B$54))</f>
        <v/>
      </c>
      <c r="AL101" s="3" t="str">
        <f t="shared" si="25"/>
        <v/>
      </c>
    </row>
    <row r="102" spans="1:38" x14ac:dyDescent="0.25">
      <c r="A102" s="3"/>
      <c r="B102" s="3"/>
      <c r="C102" s="3"/>
      <c r="D102" s="3"/>
      <c r="E102" s="3"/>
      <c r="F102" s="8"/>
      <c r="G102" s="8"/>
      <c r="H102" s="8"/>
      <c r="I102" s="10" t="str">
        <f>IF(A102="","",IF(H102&lt;&gt;"",H102,IF(UPPER(TRIM(B102))="PIPE",Inputs!$B$7,IF(UPPER(TRIM(B102))="SWALE",Inputs!$B$8,Inputs!$B$9))))</f>
        <v/>
      </c>
      <c r="J102" s="8"/>
      <c r="K102" s="8"/>
      <c r="L102" s="8"/>
      <c r="M102" s="8"/>
      <c r="N102" s="8">
        <v>0</v>
      </c>
      <c r="O102" s="10" t="str">
        <f>IF(A102="","",SUMIFS(Zones_tributaires!$I:$I,Zones_tributaires!$J:$J,$A102))</f>
        <v/>
      </c>
      <c r="P102" s="10" t="str">
        <f t="shared" si="13"/>
        <v/>
      </c>
      <c r="Q102" s="10" t="str">
        <f>IF(A102="","",(O102+P102)*Inputs!$B$6)</f>
        <v/>
      </c>
      <c r="R102" s="10" t="str">
        <f t="shared" si="14"/>
        <v/>
      </c>
      <c r="S102" s="10" t="str">
        <f t="shared" si="15"/>
        <v/>
      </c>
      <c r="T102" s="10" t="str">
        <f t="shared" si="16"/>
        <v/>
      </c>
      <c r="U102" s="10" t="str">
        <f>IF(OR(T102="",Q102=""),"",Q102/(T102*Inputs!$B$19))</f>
        <v/>
      </c>
      <c r="V102" s="10" t="str">
        <f t="shared" si="17"/>
        <v/>
      </c>
      <c r="W102" s="10" t="str">
        <f t="shared" si="18"/>
        <v/>
      </c>
      <c r="X102" s="10" t="str">
        <f>IF(A102="","",IF(OR(UPPER(TRIM(Inputs!$B$15))="MANNING",UPPER(TRIM(Inputs!$B$15))="M"),W102,IF(OR(UPPER(TRIM(Inputs!$B$15))="MAX",UPPER(TRIM(Inputs!$B$15))="X"),MAX(V102,W102),V102)))</f>
        <v/>
      </c>
      <c r="Y102" s="10" t="str">
        <f t="shared" si="19"/>
        <v/>
      </c>
      <c r="Z102" s="10" t="str">
        <f t="shared" si="20"/>
        <v/>
      </c>
      <c r="AA102" s="3" t="str">
        <f>IF(A102="","",IF(OR(U102&gt;1,AND(X102&lt;&gt;"",X102&lt;Inputs!$B$16),AND(X102&lt;&gt;"",X102&gt;Inputs!$B$17),G102&lt;Inputs!$B$18,AH102="CHECK"),"CHECK","OK"))</f>
        <v/>
      </c>
      <c r="AB102" s="3"/>
      <c r="AC102" s="8"/>
      <c r="AD102" s="10" t="str">
        <f>IF(A102="","",IF(AC102&lt;&gt;"",AC102,IF(E102="",Inputs!$B$38,IFERROR(INDEX($AE$4:$AE$204,MATCH(E102,$A$4:$A$204,0))+IF(OR(AND(UPPER(TRIM(B102))="SWALE",UPPER(TRIM(AI102))="PIPE"),AND(UPPER(TRIM(B102))="TRENCH",UPPER(TRIM(AI102))="PIPE")),Inputs!$B$57,0),""))))</f>
        <v/>
      </c>
      <c r="AE102" s="10" t="str">
        <f t="shared" si="21"/>
        <v/>
      </c>
      <c r="AF102" s="10" t="str">
        <f t="shared" si="22"/>
        <v/>
      </c>
      <c r="AG102" s="10" t="str">
        <f t="shared" si="23"/>
        <v/>
      </c>
      <c r="AH102" s="3" t="str">
        <f>IF(A102="","",IF(E102="","TERMINAL",IF(OR(AND(UPPER(TRIM(B102))="SWALE",UPPER(TRIM(AI102))="PIPE"),AND(UPPER(TRIM(B102))="TRENCH",UPPER(TRIM(AI102))="PIPE")),IF(OR(AG102="",AJ102="",AK102=""),"INFO",IF(AND(AG102&gt;=AJ102,AG102&lt;=AK102),"OK","CHECK")),IF(AG102="","INFO",IF(ABS(AG102)&lt;=Inputs!$B$54,"OK","CHECK")))))</f>
        <v/>
      </c>
      <c r="AI102" s="11" t="str">
        <f t="shared" si="24"/>
        <v/>
      </c>
      <c r="AJ102" s="11" t="str">
        <f>IF(A102="","",IF(OR(AND(UPPER(TRIM(B102))="SWALE",UPPER(TRIM(AI102))="PIPE"),AND(UPPER(TRIM(B102))="TRENCH",UPPER(TRIM(AI102))="PIPE")),Inputs!$B$55,0))</f>
        <v/>
      </c>
      <c r="AK102" s="11" t="str">
        <f>IF(A102="","",IF(OR(AND(UPPER(TRIM(B102))="SWALE",UPPER(TRIM(AI102))="PIPE"),AND(UPPER(TRIM(B102))="TRENCH",UPPER(TRIM(AI102))="PIPE")),Inputs!$B$56,Inputs!$B$54))</f>
        <v/>
      </c>
      <c r="AL102" s="3" t="str">
        <f t="shared" si="25"/>
        <v/>
      </c>
    </row>
    <row r="103" spans="1:38" x14ac:dyDescent="0.25">
      <c r="A103" s="3"/>
      <c r="B103" s="3"/>
      <c r="C103" s="3"/>
      <c r="D103" s="3"/>
      <c r="E103" s="3"/>
      <c r="F103" s="8"/>
      <c r="G103" s="8"/>
      <c r="H103" s="8"/>
      <c r="I103" s="10" t="str">
        <f>IF(A103="","",IF(H103&lt;&gt;"",H103,IF(UPPER(TRIM(B103))="PIPE",Inputs!$B$7,IF(UPPER(TRIM(B103))="SWALE",Inputs!$B$8,Inputs!$B$9))))</f>
        <v/>
      </c>
      <c r="J103" s="8"/>
      <c r="K103" s="8"/>
      <c r="L103" s="8"/>
      <c r="M103" s="8"/>
      <c r="N103" s="8">
        <v>0</v>
      </c>
      <c r="O103" s="10" t="str">
        <f>IF(A103="","",SUMIFS(Zones_tributaires!$I:$I,Zones_tributaires!$J:$J,$A103))</f>
        <v/>
      </c>
      <c r="P103" s="10" t="str">
        <f t="shared" si="13"/>
        <v/>
      </c>
      <c r="Q103" s="10" t="str">
        <f>IF(A103="","",(O103+P103)*Inputs!$B$6)</f>
        <v/>
      </c>
      <c r="R103" s="10" t="str">
        <f t="shared" si="14"/>
        <v/>
      </c>
      <c r="S103" s="10" t="str">
        <f t="shared" si="15"/>
        <v/>
      </c>
      <c r="T103" s="10" t="str">
        <f t="shared" si="16"/>
        <v/>
      </c>
      <c r="U103" s="10" t="str">
        <f>IF(OR(T103="",Q103=""),"",Q103/(T103*Inputs!$B$19))</f>
        <v/>
      </c>
      <c r="V103" s="10" t="str">
        <f t="shared" si="17"/>
        <v/>
      </c>
      <c r="W103" s="10" t="str">
        <f t="shared" si="18"/>
        <v/>
      </c>
      <c r="X103" s="10" t="str">
        <f>IF(A103="","",IF(OR(UPPER(TRIM(Inputs!$B$15))="MANNING",UPPER(TRIM(Inputs!$B$15))="M"),W103,IF(OR(UPPER(TRIM(Inputs!$B$15))="MAX",UPPER(TRIM(Inputs!$B$15))="X"),MAX(V103,W103),V103)))</f>
        <v/>
      </c>
      <c r="Y103" s="10" t="str">
        <f t="shared" si="19"/>
        <v/>
      </c>
      <c r="Z103" s="10" t="str">
        <f t="shared" si="20"/>
        <v/>
      </c>
      <c r="AA103" s="3" t="str">
        <f>IF(A103="","",IF(OR(U103&gt;1,AND(X103&lt;&gt;"",X103&lt;Inputs!$B$16),AND(X103&lt;&gt;"",X103&gt;Inputs!$B$17),G103&lt;Inputs!$B$18,AH103="CHECK"),"CHECK","OK"))</f>
        <v/>
      </c>
      <c r="AB103" s="3"/>
      <c r="AC103" s="8"/>
      <c r="AD103" s="10" t="str">
        <f>IF(A103="","",IF(AC103&lt;&gt;"",AC103,IF(E103="",Inputs!$B$38,IFERROR(INDEX($AE$4:$AE$204,MATCH(E103,$A$4:$A$204,0))+IF(OR(AND(UPPER(TRIM(B103))="SWALE",UPPER(TRIM(AI103))="PIPE"),AND(UPPER(TRIM(B103))="TRENCH",UPPER(TRIM(AI103))="PIPE")),Inputs!$B$57,0),""))))</f>
        <v/>
      </c>
      <c r="AE103" s="10" t="str">
        <f t="shared" si="21"/>
        <v/>
      </c>
      <c r="AF103" s="10" t="str">
        <f t="shared" si="22"/>
        <v/>
      </c>
      <c r="AG103" s="10" t="str">
        <f t="shared" si="23"/>
        <v/>
      </c>
      <c r="AH103" s="3" t="str">
        <f>IF(A103="","",IF(E103="","TERMINAL",IF(OR(AND(UPPER(TRIM(B103))="SWALE",UPPER(TRIM(AI103))="PIPE"),AND(UPPER(TRIM(B103))="TRENCH",UPPER(TRIM(AI103))="PIPE")),IF(OR(AG103="",AJ103="",AK103=""),"INFO",IF(AND(AG103&gt;=AJ103,AG103&lt;=AK103),"OK","CHECK")),IF(AG103="","INFO",IF(ABS(AG103)&lt;=Inputs!$B$54,"OK","CHECK")))))</f>
        <v/>
      </c>
      <c r="AI103" s="11" t="str">
        <f t="shared" si="24"/>
        <v/>
      </c>
      <c r="AJ103" s="11" t="str">
        <f>IF(A103="","",IF(OR(AND(UPPER(TRIM(B103))="SWALE",UPPER(TRIM(AI103))="PIPE"),AND(UPPER(TRIM(B103))="TRENCH",UPPER(TRIM(AI103))="PIPE")),Inputs!$B$55,0))</f>
        <v/>
      </c>
      <c r="AK103" s="11" t="str">
        <f>IF(A103="","",IF(OR(AND(UPPER(TRIM(B103))="SWALE",UPPER(TRIM(AI103))="PIPE"),AND(UPPER(TRIM(B103))="TRENCH",UPPER(TRIM(AI103))="PIPE")),Inputs!$B$56,Inputs!$B$54))</f>
        <v/>
      </c>
      <c r="AL103" s="3" t="str">
        <f t="shared" si="25"/>
        <v/>
      </c>
    </row>
    <row r="104" spans="1:38" x14ac:dyDescent="0.25">
      <c r="A104" s="3"/>
      <c r="B104" s="3"/>
      <c r="C104" s="3"/>
      <c r="D104" s="3"/>
      <c r="E104" s="3"/>
      <c r="F104" s="8"/>
      <c r="G104" s="8"/>
      <c r="H104" s="8"/>
      <c r="I104" s="10" t="str">
        <f>IF(A104="","",IF(H104&lt;&gt;"",H104,IF(UPPER(TRIM(B104))="PIPE",Inputs!$B$7,IF(UPPER(TRIM(B104))="SWALE",Inputs!$B$8,Inputs!$B$9))))</f>
        <v/>
      </c>
      <c r="J104" s="8"/>
      <c r="K104" s="8"/>
      <c r="L104" s="8"/>
      <c r="M104" s="8"/>
      <c r="N104" s="8">
        <v>0</v>
      </c>
      <c r="O104" s="10" t="str">
        <f>IF(A104="","",SUMIFS(Zones_tributaires!$I:$I,Zones_tributaires!$J:$J,$A104))</f>
        <v/>
      </c>
      <c r="P104" s="10" t="str">
        <f t="shared" si="13"/>
        <v/>
      </c>
      <c r="Q104" s="10" t="str">
        <f>IF(A104="","",(O104+P104)*Inputs!$B$6)</f>
        <v/>
      </c>
      <c r="R104" s="10" t="str">
        <f t="shared" si="14"/>
        <v/>
      </c>
      <c r="S104" s="10" t="str">
        <f t="shared" si="15"/>
        <v/>
      </c>
      <c r="T104" s="10" t="str">
        <f t="shared" si="16"/>
        <v/>
      </c>
      <c r="U104" s="10" t="str">
        <f>IF(OR(T104="",Q104=""),"",Q104/(T104*Inputs!$B$19))</f>
        <v/>
      </c>
      <c r="V104" s="10" t="str">
        <f t="shared" si="17"/>
        <v/>
      </c>
      <c r="W104" s="10" t="str">
        <f t="shared" si="18"/>
        <v/>
      </c>
      <c r="X104" s="10" t="str">
        <f>IF(A104="","",IF(OR(UPPER(TRIM(Inputs!$B$15))="MANNING",UPPER(TRIM(Inputs!$B$15))="M"),W104,IF(OR(UPPER(TRIM(Inputs!$B$15))="MAX",UPPER(TRIM(Inputs!$B$15))="X"),MAX(V104,W104),V104)))</f>
        <v/>
      </c>
      <c r="Y104" s="10" t="str">
        <f t="shared" si="19"/>
        <v/>
      </c>
      <c r="Z104" s="10" t="str">
        <f t="shared" si="20"/>
        <v/>
      </c>
      <c r="AA104" s="3" t="str">
        <f>IF(A104="","",IF(OR(U104&gt;1,AND(X104&lt;&gt;"",X104&lt;Inputs!$B$16),AND(X104&lt;&gt;"",X104&gt;Inputs!$B$17),G104&lt;Inputs!$B$18,AH104="CHECK"),"CHECK","OK"))</f>
        <v/>
      </c>
      <c r="AB104" s="3"/>
      <c r="AC104" s="8"/>
      <c r="AD104" s="10" t="str">
        <f>IF(A104="","",IF(AC104&lt;&gt;"",AC104,IF(E104="",Inputs!$B$38,IFERROR(INDEX($AE$4:$AE$204,MATCH(E104,$A$4:$A$204,0))+IF(OR(AND(UPPER(TRIM(B104))="SWALE",UPPER(TRIM(AI104))="PIPE"),AND(UPPER(TRIM(B104))="TRENCH",UPPER(TRIM(AI104))="PIPE")),Inputs!$B$57,0),""))))</f>
        <v/>
      </c>
      <c r="AE104" s="10" t="str">
        <f t="shared" si="21"/>
        <v/>
      </c>
      <c r="AF104" s="10" t="str">
        <f t="shared" si="22"/>
        <v/>
      </c>
      <c r="AG104" s="10" t="str">
        <f t="shared" si="23"/>
        <v/>
      </c>
      <c r="AH104" s="3" t="str">
        <f>IF(A104="","",IF(E104="","TERMINAL",IF(OR(AND(UPPER(TRIM(B104))="SWALE",UPPER(TRIM(AI104))="PIPE"),AND(UPPER(TRIM(B104))="TRENCH",UPPER(TRIM(AI104))="PIPE")),IF(OR(AG104="",AJ104="",AK104=""),"INFO",IF(AND(AG104&gt;=AJ104,AG104&lt;=AK104),"OK","CHECK")),IF(AG104="","INFO",IF(ABS(AG104)&lt;=Inputs!$B$54,"OK","CHECK")))))</f>
        <v/>
      </c>
      <c r="AI104" s="11" t="str">
        <f t="shared" si="24"/>
        <v/>
      </c>
      <c r="AJ104" s="11" t="str">
        <f>IF(A104="","",IF(OR(AND(UPPER(TRIM(B104))="SWALE",UPPER(TRIM(AI104))="PIPE"),AND(UPPER(TRIM(B104))="TRENCH",UPPER(TRIM(AI104))="PIPE")),Inputs!$B$55,0))</f>
        <v/>
      </c>
      <c r="AK104" s="11" t="str">
        <f>IF(A104="","",IF(OR(AND(UPPER(TRIM(B104))="SWALE",UPPER(TRIM(AI104))="PIPE"),AND(UPPER(TRIM(B104))="TRENCH",UPPER(TRIM(AI104))="PIPE")),Inputs!$B$56,Inputs!$B$54))</f>
        <v/>
      </c>
      <c r="AL104" s="3" t="str">
        <f t="shared" si="25"/>
        <v/>
      </c>
    </row>
    <row r="105" spans="1:38" x14ac:dyDescent="0.25">
      <c r="A105" s="3"/>
      <c r="B105" s="3"/>
      <c r="C105" s="3"/>
      <c r="D105" s="3"/>
      <c r="E105" s="3"/>
      <c r="F105" s="8"/>
      <c r="G105" s="8"/>
      <c r="H105" s="8"/>
      <c r="I105" s="10" t="str">
        <f>IF(A105="","",IF(H105&lt;&gt;"",H105,IF(UPPER(TRIM(B105))="PIPE",Inputs!$B$7,IF(UPPER(TRIM(B105))="SWALE",Inputs!$B$8,Inputs!$B$9))))</f>
        <v/>
      </c>
      <c r="J105" s="8"/>
      <c r="K105" s="8"/>
      <c r="L105" s="8"/>
      <c r="M105" s="8"/>
      <c r="N105" s="8">
        <v>0</v>
      </c>
      <c r="O105" s="10" t="str">
        <f>IF(A105="","",SUMIFS(Zones_tributaires!$I:$I,Zones_tributaires!$J:$J,$A105))</f>
        <v/>
      </c>
      <c r="P105" s="10" t="str">
        <f t="shared" si="13"/>
        <v/>
      </c>
      <c r="Q105" s="10" t="str">
        <f>IF(A105="","",(O105+P105)*Inputs!$B$6)</f>
        <v/>
      </c>
      <c r="R105" s="10" t="str">
        <f t="shared" si="14"/>
        <v/>
      </c>
      <c r="S105" s="10" t="str">
        <f t="shared" si="15"/>
        <v/>
      </c>
      <c r="T105" s="10" t="str">
        <f t="shared" si="16"/>
        <v/>
      </c>
      <c r="U105" s="10" t="str">
        <f>IF(OR(T105="",Q105=""),"",Q105/(T105*Inputs!$B$19))</f>
        <v/>
      </c>
      <c r="V105" s="10" t="str">
        <f t="shared" si="17"/>
        <v/>
      </c>
      <c r="W105" s="10" t="str">
        <f t="shared" si="18"/>
        <v/>
      </c>
      <c r="X105" s="10" t="str">
        <f>IF(A105="","",IF(OR(UPPER(TRIM(Inputs!$B$15))="MANNING",UPPER(TRIM(Inputs!$B$15))="M"),W105,IF(OR(UPPER(TRIM(Inputs!$B$15))="MAX",UPPER(TRIM(Inputs!$B$15))="X"),MAX(V105,W105),V105)))</f>
        <v/>
      </c>
      <c r="Y105" s="10" t="str">
        <f t="shared" si="19"/>
        <v/>
      </c>
      <c r="Z105" s="10" t="str">
        <f t="shared" si="20"/>
        <v/>
      </c>
      <c r="AA105" s="3" t="str">
        <f>IF(A105="","",IF(OR(U105&gt;1,AND(X105&lt;&gt;"",X105&lt;Inputs!$B$16),AND(X105&lt;&gt;"",X105&gt;Inputs!$B$17),G105&lt;Inputs!$B$18,AH105="CHECK"),"CHECK","OK"))</f>
        <v/>
      </c>
      <c r="AB105" s="3"/>
      <c r="AC105" s="8"/>
      <c r="AD105" s="10" t="str">
        <f>IF(A105="","",IF(AC105&lt;&gt;"",AC105,IF(E105="",Inputs!$B$38,IFERROR(INDEX($AE$4:$AE$204,MATCH(E105,$A$4:$A$204,0))+IF(OR(AND(UPPER(TRIM(B105))="SWALE",UPPER(TRIM(AI105))="PIPE"),AND(UPPER(TRIM(B105))="TRENCH",UPPER(TRIM(AI105))="PIPE")),Inputs!$B$57,0),""))))</f>
        <v/>
      </c>
      <c r="AE105" s="10" t="str">
        <f t="shared" si="21"/>
        <v/>
      </c>
      <c r="AF105" s="10" t="str">
        <f t="shared" si="22"/>
        <v/>
      </c>
      <c r="AG105" s="10" t="str">
        <f t="shared" si="23"/>
        <v/>
      </c>
      <c r="AH105" s="3" t="str">
        <f>IF(A105="","",IF(E105="","TERMINAL",IF(OR(AND(UPPER(TRIM(B105))="SWALE",UPPER(TRIM(AI105))="PIPE"),AND(UPPER(TRIM(B105))="TRENCH",UPPER(TRIM(AI105))="PIPE")),IF(OR(AG105="",AJ105="",AK105=""),"INFO",IF(AND(AG105&gt;=AJ105,AG105&lt;=AK105),"OK","CHECK")),IF(AG105="","INFO",IF(ABS(AG105)&lt;=Inputs!$B$54,"OK","CHECK")))))</f>
        <v/>
      </c>
      <c r="AI105" s="11" t="str">
        <f t="shared" si="24"/>
        <v/>
      </c>
      <c r="AJ105" s="11" t="str">
        <f>IF(A105="","",IF(OR(AND(UPPER(TRIM(B105))="SWALE",UPPER(TRIM(AI105))="PIPE"),AND(UPPER(TRIM(B105))="TRENCH",UPPER(TRIM(AI105))="PIPE")),Inputs!$B$55,0))</f>
        <v/>
      </c>
      <c r="AK105" s="11" t="str">
        <f>IF(A105="","",IF(OR(AND(UPPER(TRIM(B105))="SWALE",UPPER(TRIM(AI105))="PIPE"),AND(UPPER(TRIM(B105))="TRENCH",UPPER(TRIM(AI105))="PIPE")),Inputs!$B$56,Inputs!$B$54))</f>
        <v/>
      </c>
      <c r="AL105" s="3" t="str">
        <f t="shared" si="25"/>
        <v/>
      </c>
    </row>
    <row r="106" spans="1:38" x14ac:dyDescent="0.25">
      <c r="A106" s="3"/>
      <c r="B106" s="3"/>
      <c r="C106" s="3"/>
      <c r="D106" s="3"/>
      <c r="E106" s="3"/>
      <c r="F106" s="8"/>
      <c r="G106" s="8"/>
      <c r="H106" s="8"/>
      <c r="I106" s="10" t="str">
        <f>IF(A106="","",IF(H106&lt;&gt;"",H106,IF(UPPER(TRIM(B106))="PIPE",Inputs!$B$7,IF(UPPER(TRIM(B106))="SWALE",Inputs!$B$8,Inputs!$B$9))))</f>
        <v/>
      </c>
      <c r="J106" s="8"/>
      <c r="K106" s="8"/>
      <c r="L106" s="8"/>
      <c r="M106" s="8"/>
      <c r="N106" s="8">
        <v>0</v>
      </c>
      <c r="O106" s="10" t="str">
        <f>IF(A106="","",SUMIFS(Zones_tributaires!$I:$I,Zones_tributaires!$J:$J,$A106))</f>
        <v/>
      </c>
      <c r="P106" s="10" t="str">
        <f t="shared" si="13"/>
        <v/>
      </c>
      <c r="Q106" s="10" t="str">
        <f>IF(A106="","",(O106+P106)*Inputs!$B$6)</f>
        <v/>
      </c>
      <c r="R106" s="10" t="str">
        <f t="shared" si="14"/>
        <v/>
      </c>
      <c r="S106" s="10" t="str">
        <f t="shared" si="15"/>
        <v/>
      </c>
      <c r="T106" s="10" t="str">
        <f t="shared" si="16"/>
        <v/>
      </c>
      <c r="U106" s="10" t="str">
        <f>IF(OR(T106="",Q106=""),"",Q106/(T106*Inputs!$B$19))</f>
        <v/>
      </c>
      <c r="V106" s="10" t="str">
        <f t="shared" si="17"/>
        <v/>
      </c>
      <c r="W106" s="10" t="str">
        <f t="shared" si="18"/>
        <v/>
      </c>
      <c r="X106" s="10" t="str">
        <f>IF(A106="","",IF(OR(UPPER(TRIM(Inputs!$B$15))="MANNING",UPPER(TRIM(Inputs!$B$15))="M"),W106,IF(OR(UPPER(TRIM(Inputs!$B$15))="MAX",UPPER(TRIM(Inputs!$B$15))="X"),MAX(V106,W106),V106)))</f>
        <v/>
      </c>
      <c r="Y106" s="10" t="str">
        <f t="shared" si="19"/>
        <v/>
      </c>
      <c r="Z106" s="10" t="str">
        <f t="shared" si="20"/>
        <v/>
      </c>
      <c r="AA106" s="3" t="str">
        <f>IF(A106="","",IF(OR(U106&gt;1,AND(X106&lt;&gt;"",X106&lt;Inputs!$B$16),AND(X106&lt;&gt;"",X106&gt;Inputs!$B$17),G106&lt;Inputs!$B$18,AH106="CHECK"),"CHECK","OK"))</f>
        <v/>
      </c>
      <c r="AB106" s="3"/>
      <c r="AC106" s="8"/>
      <c r="AD106" s="10" t="str">
        <f>IF(A106="","",IF(AC106&lt;&gt;"",AC106,IF(E106="",Inputs!$B$38,IFERROR(INDEX($AE$4:$AE$204,MATCH(E106,$A$4:$A$204,0))+IF(OR(AND(UPPER(TRIM(B106))="SWALE",UPPER(TRIM(AI106))="PIPE"),AND(UPPER(TRIM(B106))="TRENCH",UPPER(TRIM(AI106))="PIPE")),Inputs!$B$57,0),""))))</f>
        <v/>
      </c>
      <c r="AE106" s="10" t="str">
        <f t="shared" si="21"/>
        <v/>
      </c>
      <c r="AF106" s="10" t="str">
        <f t="shared" si="22"/>
        <v/>
      </c>
      <c r="AG106" s="10" t="str">
        <f t="shared" si="23"/>
        <v/>
      </c>
      <c r="AH106" s="3" t="str">
        <f>IF(A106="","",IF(E106="","TERMINAL",IF(OR(AND(UPPER(TRIM(B106))="SWALE",UPPER(TRIM(AI106))="PIPE"),AND(UPPER(TRIM(B106))="TRENCH",UPPER(TRIM(AI106))="PIPE")),IF(OR(AG106="",AJ106="",AK106=""),"INFO",IF(AND(AG106&gt;=AJ106,AG106&lt;=AK106),"OK","CHECK")),IF(AG106="","INFO",IF(ABS(AG106)&lt;=Inputs!$B$54,"OK","CHECK")))))</f>
        <v/>
      </c>
      <c r="AI106" s="11" t="str">
        <f t="shared" si="24"/>
        <v/>
      </c>
      <c r="AJ106" s="11" t="str">
        <f>IF(A106="","",IF(OR(AND(UPPER(TRIM(B106))="SWALE",UPPER(TRIM(AI106))="PIPE"),AND(UPPER(TRIM(B106))="TRENCH",UPPER(TRIM(AI106))="PIPE")),Inputs!$B$55,0))</f>
        <v/>
      </c>
      <c r="AK106" s="11" t="str">
        <f>IF(A106="","",IF(OR(AND(UPPER(TRIM(B106))="SWALE",UPPER(TRIM(AI106))="PIPE"),AND(UPPER(TRIM(B106))="TRENCH",UPPER(TRIM(AI106))="PIPE")),Inputs!$B$56,Inputs!$B$54))</f>
        <v/>
      </c>
      <c r="AL106" s="3" t="str">
        <f t="shared" si="25"/>
        <v/>
      </c>
    </row>
    <row r="107" spans="1:38" x14ac:dyDescent="0.25">
      <c r="A107" s="3"/>
      <c r="B107" s="3"/>
      <c r="C107" s="3"/>
      <c r="D107" s="3"/>
      <c r="E107" s="3"/>
      <c r="F107" s="8"/>
      <c r="G107" s="8"/>
      <c r="H107" s="8"/>
      <c r="I107" s="10" t="str">
        <f>IF(A107="","",IF(H107&lt;&gt;"",H107,IF(UPPER(TRIM(B107))="PIPE",Inputs!$B$7,IF(UPPER(TRIM(B107))="SWALE",Inputs!$B$8,Inputs!$B$9))))</f>
        <v/>
      </c>
      <c r="J107" s="8"/>
      <c r="K107" s="8"/>
      <c r="L107" s="8"/>
      <c r="M107" s="8"/>
      <c r="N107" s="8">
        <v>0</v>
      </c>
      <c r="O107" s="10" t="str">
        <f>IF(A107="","",SUMIFS(Zones_tributaires!$I:$I,Zones_tributaires!$J:$J,$A107))</f>
        <v/>
      </c>
      <c r="P107" s="10" t="str">
        <f t="shared" si="13"/>
        <v/>
      </c>
      <c r="Q107" s="10" t="str">
        <f>IF(A107="","",(O107+P107)*Inputs!$B$6)</f>
        <v/>
      </c>
      <c r="R107" s="10" t="str">
        <f t="shared" si="14"/>
        <v/>
      </c>
      <c r="S107" s="10" t="str">
        <f t="shared" si="15"/>
        <v/>
      </c>
      <c r="T107" s="10" t="str">
        <f t="shared" si="16"/>
        <v/>
      </c>
      <c r="U107" s="10" t="str">
        <f>IF(OR(T107="",Q107=""),"",Q107/(T107*Inputs!$B$19))</f>
        <v/>
      </c>
      <c r="V107" s="10" t="str">
        <f t="shared" si="17"/>
        <v/>
      </c>
      <c r="W107" s="10" t="str">
        <f t="shared" si="18"/>
        <v/>
      </c>
      <c r="X107" s="10" t="str">
        <f>IF(A107="","",IF(OR(UPPER(TRIM(Inputs!$B$15))="MANNING",UPPER(TRIM(Inputs!$B$15))="M"),W107,IF(OR(UPPER(TRIM(Inputs!$B$15))="MAX",UPPER(TRIM(Inputs!$B$15))="X"),MAX(V107,W107),V107)))</f>
        <v/>
      </c>
      <c r="Y107" s="10" t="str">
        <f t="shared" si="19"/>
        <v/>
      </c>
      <c r="Z107" s="10" t="str">
        <f t="shared" si="20"/>
        <v/>
      </c>
      <c r="AA107" s="3" t="str">
        <f>IF(A107="","",IF(OR(U107&gt;1,AND(X107&lt;&gt;"",X107&lt;Inputs!$B$16),AND(X107&lt;&gt;"",X107&gt;Inputs!$B$17),G107&lt;Inputs!$B$18,AH107="CHECK"),"CHECK","OK"))</f>
        <v/>
      </c>
      <c r="AB107" s="3"/>
      <c r="AC107" s="8"/>
      <c r="AD107" s="10" t="str">
        <f>IF(A107="","",IF(AC107&lt;&gt;"",AC107,IF(E107="",Inputs!$B$38,IFERROR(INDEX($AE$4:$AE$204,MATCH(E107,$A$4:$A$204,0))+IF(OR(AND(UPPER(TRIM(B107))="SWALE",UPPER(TRIM(AI107))="PIPE"),AND(UPPER(TRIM(B107))="TRENCH",UPPER(TRIM(AI107))="PIPE")),Inputs!$B$57,0),""))))</f>
        <v/>
      </c>
      <c r="AE107" s="10" t="str">
        <f t="shared" si="21"/>
        <v/>
      </c>
      <c r="AF107" s="10" t="str">
        <f t="shared" si="22"/>
        <v/>
      </c>
      <c r="AG107" s="10" t="str">
        <f t="shared" si="23"/>
        <v/>
      </c>
      <c r="AH107" s="3" t="str">
        <f>IF(A107="","",IF(E107="","TERMINAL",IF(OR(AND(UPPER(TRIM(B107))="SWALE",UPPER(TRIM(AI107))="PIPE"),AND(UPPER(TRIM(B107))="TRENCH",UPPER(TRIM(AI107))="PIPE")),IF(OR(AG107="",AJ107="",AK107=""),"INFO",IF(AND(AG107&gt;=AJ107,AG107&lt;=AK107),"OK","CHECK")),IF(AG107="","INFO",IF(ABS(AG107)&lt;=Inputs!$B$54,"OK","CHECK")))))</f>
        <v/>
      </c>
      <c r="AI107" s="11" t="str">
        <f t="shared" si="24"/>
        <v/>
      </c>
      <c r="AJ107" s="11" t="str">
        <f>IF(A107="","",IF(OR(AND(UPPER(TRIM(B107))="SWALE",UPPER(TRIM(AI107))="PIPE"),AND(UPPER(TRIM(B107))="TRENCH",UPPER(TRIM(AI107))="PIPE")),Inputs!$B$55,0))</f>
        <v/>
      </c>
      <c r="AK107" s="11" t="str">
        <f>IF(A107="","",IF(OR(AND(UPPER(TRIM(B107))="SWALE",UPPER(TRIM(AI107))="PIPE"),AND(UPPER(TRIM(B107))="TRENCH",UPPER(TRIM(AI107))="PIPE")),Inputs!$B$56,Inputs!$B$54))</f>
        <v/>
      </c>
      <c r="AL107" s="3" t="str">
        <f t="shared" si="25"/>
        <v/>
      </c>
    </row>
    <row r="108" spans="1:38" x14ac:dyDescent="0.25">
      <c r="A108" s="3"/>
      <c r="B108" s="3"/>
      <c r="C108" s="3"/>
      <c r="D108" s="3"/>
      <c r="E108" s="3"/>
      <c r="F108" s="8"/>
      <c r="G108" s="8"/>
      <c r="H108" s="8"/>
      <c r="I108" s="10" t="str">
        <f>IF(A108="","",IF(H108&lt;&gt;"",H108,IF(UPPER(TRIM(B108))="PIPE",Inputs!$B$7,IF(UPPER(TRIM(B108))="SWALE",Inputs!$B$8,Inputs!$B$9))))</f>
        <v/>
      </c>
      <c r="J108" s="8"/>
      <c r="K108" s="8"/>
      <c r="L108" s="8"/>
      <c r="M108" s="8"/>
      <c r="N108" s="8">
        <v>0</v>
      </c>
      <c r="O108" s="10" t="str">
        <f>IF(A108="","",SUMIFS(Zones_tributaires!$I:$I,Zones_tributaires!$J:$J,$A108))</f>
        <v/>
      </c>
      <c r="P108" s="10" t="str">
        <f t="shared" si="13"/>
        <v/>
      </c>
      <c r="Q108" s="10" t="str">
        <f>IF(A108="","",(O108+P108)*Inputs!$B$6)</f>
        <v/>
      </c>
      <c r="R108" s="10" t="str">
        <f t="shared" si="14"/>
        <v/>
      </c>
      <c r="S108" s="10" t="str">
        <f t="shared" si="15"/>
        <v/>
      </c>
      <c r="T108" s="10" t="str">
        <f t="shared" si="16"/>
        <v/>
      </c>
      <c r="U108" s="10" t="str">
        <f>IF(OR(T108="",Q108=""),"",Q108/(T108*Inputs!$B$19))</f>
        <v/>
      </c>
      <c r="V108" s="10" t="str">
        <f t="shared" si="17"/>
        <v/>
      </c>
      <c r="W108" s="10" t="str">
        <f t="shared" si="18"/>
        <v/>
      </c>
      <c r="X108" s="10" t="str">
        <f>IF(A108="","",IF(OR(UPPER(TRIM(Inputs!$B$15))="MANNING",UPPER(TRIM(Inputs!$B$15))="M"),W108,IF(OR(UPPER(TRIM(Inputs!$B$15))="MAX",UPPER(TRIM(Inputs!$B$15))="X"),MAX(V108,W108),V108)))</f>
        <v/>
      </c>
      <c r="Y108" s="10" t="str">
        <f t="shared" si="19"/>
        <v/>
      </c>
      <c r="Z108" s="10" t="str">
        <f t="shared" si="20"/>
        <v/>
      </c>
      <c r="AA108" s="3" t="str">
        <f>IF(A108="","",IF(OR(U108&gt;1,AND(X108&lt;&gt;"",X108&lt;Inputs!$B$16),AND(X108&lt;&gt;"",X108&gt;Inputs!$B$17),G108&lt;Inputs!$B$18,AH108="CHECK"),"CHECK","OK"))</f>
        <v/>
      </c>
      <c r="AB108" s="3"/>
      <c r="AC108" s="8"/>
      <c r="AD108" s="10" t="str">
        <f>IF(A108="","",IF(AC108&lt;&gt;"",AC108,IF(E108="",Inputs!$B$38,IFERROR(INDEX($AE$4:$AE$204,MATCH(E108,$A$4:$A$204,0))+IF(OR(AND(UPPER(TRIM(B108))="SWALE",UPPER(TRIM(AI108))="PIPE"),AND(UPPER(TRIM(B108))="TRENCH",UPPER(TRIM(AI108))="PIPE")),Inputs!$B$57,0),""))))</f>
        <v/>
      </c>
      <c r="AE108" s="10" t="str">
        <f t="shared" si="21"/>
        <v/>
      </c>
      <c r="AF108" s="10" t="str">
        <f t="shared" si="22"/>
        <v/>
      </c>
      <c r="AG108" s="10" t="str">
        <f t="shared" si="23"/>
        <v/>
      </c>
      <c r="AH108" s="3" t="str">
        <f>IF(A108="","",IF(E108="","TERMINAL",IF(OR(AND(UPPER(TRIM(B108))="SWALE",UPPER(TRIM(AI108))="PIPE"),AND(UPPER(TRIM(B108))="TRENCH",UPPER(TRIM(AI108))="PIPE")),IF(OR(AG108="",AJ108="",AK108=""),"INFO",IF(AND(AG108&gt;=AJ108,AG108&lt;=AK108),"OK","CHECK")),IF(AG108="","INFO",IF(ABS(AG108)&lt;=Inputs!$B$54,"OK","CHECK")))))</f>
        <v/>
      </c>
      <c r="AI108" s="11" t="str">
        <f t="shared" si="24"/>
        <v/>
      </c>
      <c r="AJ108" s="11" t="str">
        <f>IF(A108="","",IF(OR(AND(UPPER(TRIM(B108))="SWALE",UPPER(TRIM(AI108))="PIPE"),AND(UPPER(TRIM(B108))="TRENCH",UPPER(TRIM(AI108))="PIPE")),Inputs!$B$55,0))</f>
        <v/>
      </c>
      <c r="AK108" s="11" t="str">
        <f>IF(A108="","",IF(OR(AND(UPPER(TRIM(B108))="SWALE",UPPER(TRIM(AI108))="PIPE"),AND(UPPER(TRIM(B108))="TRENCH",UPPER(TRIM(AI108))="PIPE")),Inputs!$B$56,Inputs!$B$54))</f>
        <v/>
      </c>
      <c r="AL108" s="3" t="str">
        <f t="shared" si="25"/>
        <v/>
      </c>
    </row>
    <row r="109" spans="1:38" x14ac:dyDescent="0.25">
      <c r="A109" s="3"/>
      <c r="B109" s="3"/>
      <c r="C109" s="3"/>
      <c r="D109" s="3"/>
      <c r="E109" s="3"/>
      <c r="F109" s="8"/>
      <c r="G109" s="8"/>
      <c r="H109" s="8"/>
      <c r="I109" s="10" t="str">
        <f>IF(A109="","",IF(H109&lt;&gt;"",H109,IF(UPPER(TRIM(B109))="PIPE",Inputs!$B$7,IF(UPPER(TRIM(B109))="SWALE",Inputs!$B$8,Inputs!$B$9))))</f>
        <v/>
      </c>
      <c r="J109" s="8"/>
      <c r="K109" s="8"/>
      <c r="L109" s="8"/>
      <c r="M109" s="8"/>
      <c r="N109" s="8">
        <v>0</v>
      </c>
      <c r="O109" s="10" t="str">
        <f>IF(A109="","",SUMIFS(Zones_tributaires!$I:$I,Zones_tributaires!$J:$J,$A109))</f>
        <v/>
      </c>
      <c r="P109" s="10" t="str">
        <f t="shared" si="13"/>
        <v/>
      </c>
      <c r="Q109" s="10" t="str">
        <f>IF(A109="","",(O109+P109)*Inputs!$B$6)</f>
        <v/>
      </c>
      <c r="R109" s="10" t="str">
        <f t="shared" si="14"/>
        <v/>
      </c>
      <c r="S109" s="10" t="str">
        <f t="shared" si="15"/>
        <v/>
      </c>
      <c r="T109" s="10" t="str">
        <f t="shared" si="16"/>
        <v/>
      </c>
      <c r="U109" s="10" t="str">
        <f>IF(OR(T109="",Q109=""),"",Q109/(T109*Inputs!$B$19))</f>
        <v/>
      </c>
      <c r="V109" s="10" t="str">
        <f t="shared" si="17"/>
        <v/>
      </c>
      <c r="W109" s="10" t="str">
        <f t="shared" si="18"/>
        <v/>
      </c>
      <c r="X109" s="10" t="str">
        <f>IF(A109="","",IF(OR(UPPER(TRIM(Inputs!$B$15))="MANNING",UPPER(TRIM(Inputs!$B$15))="M"),W109,IF(OR(UPPER(TRIM(Inputs!$B$15))="MAX",UPPER(TRIM(Inputs!$B$15))="X"),MAX(V109,W109),V109)))</f>
        <v/>
      </c>
      <c r="Y109" s="10" t="str">
        <f t="shared" si="19"/>
        <v/>
      </c>
      <c r="Z109" s="10" t="str">
        <f t="shared" si="20"/>
        <v/>
      </c>
      <c r="AA109" s="3" t="str">
        <f>IF(A109="","",IF(OR(U109&gt;1,AND(X109&lt;&gt;"",X109&lt;Inputs!$B$16),AND(X109&lt;&gt;"",X109&gt;Inputs!$B$17),G109&lt;Inputs!$B$18,AH109="CHECK"),"CHECK","OK"))</f>
        <v/>
      </c>
      <c r="AB109" s="3"/>
      <c r="AC109" s="8"/>
      <c r="AD109" s="10" t="str">
        <f>IF(A109="","",IF(AC109&lt;&gt;"",AC109,IF(E109="",Inputs!$B$38,IFERROR(INDEX($AE$4:$AE$204,MATCH(E109,$A$4:$A$204,0))+IF(OR(AND(UPPER(TRIM(B109))="SWALE",UPPER(TRIM(AI109))="PIPE"),AND(UPPER(TRIM(B109))="TRENCH",UPPER(TRIM(AI109))="PIPE")),Inputs!$B$57,0),""))))</f>
        <v/>
      </c>
      <c r="AE109" s="10" t="str">
        <f t="shared" si="21"/>
        <v/>
      </c>
      <c r="AF109" s="10" t="str">
        <f t="shared" si="22"/>
        <v/>
      </c>
      <c r="AG109" s="10" t="str">
        <f t="shared" si="23"/>
        <v/>
      </c>
      <c r="AH109" s="3" t="str">
        <f>IF(A109="","",IF(E109="","TERMINAL",IF(OR(AND(UPPER(TRIM(B109))="SWALE",UPPER(TRIM(AI109))="PIPE"),AND(UPPER(TRIM(B109))="TRENCH",UPPER(TRIM(AI109))="PIPE")),IF(OR(AG109="",AJ109="",AK109=""),"INFO",IF(AND(AG109&gt;=AJ109,AG109&lt;=AK109),"OK","CHECK")),IF(AG109="","INFO",IF(ABS(AG109)&lt;=Inputs!$B$54,"OK","CHECK")))))</f>
        <v/>
      </c>
      <c r="AI109" s="11" t="str">
        <f t="shared" si="24"/>
        <v/>
      </c>
      <c r="AJ109" s="11" t="str">
        <f>IF(A109="","",IF(OR(AND(UPPER(TRIM(B109))="SWALE",UPPER(TRIM(AI109))="PIPE"),AND(UPPER(TRIM(B109))="TRENCH",UPPER(TRIM(AI109))="PIPE")),Inputs!$B$55,0))</f>
        <v/>
      </c>
      <c r="AK109" s="11" t="str">
        <f>IF(A109="","",IF(OR(AND(UPPER(TRIM(B109))="SWALE",UPPER(TRIM(AI109))="PIPE"),AND(UPPER(TRIM(B109))="TRENCH",UPPER(TRIM(AI109))="PIPE")),Inputs!$B$56,Inputs!$B$54))</f>
        <v/>
      </c>
      <c r="AL109" s="3" t="str">
        <f t="shared" si="25"/>
        <v/>
      </c>
    </row>
    <row r="110" spans="1:38" x14ac:dyDescent="0.25">
      <c r="A110" s="3"/>
      <c r="B110" s="3"/>
      <c r="C110" s="3"/>
      <c r="D110" s="3"/>
      <c r="E110" s="3"/>
      <c r="F110" s="8"/>
      <c r="G110" s="8"/>
      <c r="H110" s="8"/>
      <c r="I110" s="10" t="str">
        <f>IF(A110="","",IF(H110&lt;&gt;"",H110,IF(UPPER(TRIM(B110))="PIPE",Inputs!$B$7,IF(UPPER(TRIM(B110))="SWALE",Inputs!$B$8,Inputs!$B$9))))</f>
        <v/>
      </c>
      <c r="J110" s="8"/>
      <c r="K110" s="8"/>
      <c r="L110" s="8"/>
      <c r="M110" s="8"/>
      <c r="N110" s="8">
        <v>0</v>
      </c>
      <c r="O110" s="10" t="str">
        <f>IF(A110="","",SUMIFS(Zones_tributaires!$I:$I,Zones_tributaires!$J:$J,$A110))</f>
        <v/>
      </c>
      <c r="P110" s="10" t="str">
        <f t="shared" si="13"/>
        <v/>
      </c>
      <c r="Q110" s="10" t="str">
        <f>IF(A110="","",(O110+P110)*Inputs!$B$6)</f>
        <v/>
      </c>
      <c r="R110" s="10" t="str">
        <f t="shared" si="14"/>
        <v/>
      </c>
      <c r="S110" s="10" t="str">
        <f t="shared" si="15"/>
        <v/>
      </c>
      <c r="T110" s="10" t="str">
        <f t="shared" si="16"/>
        <v/>
      </c>
      <c r="U110" s="10" t="str">
        <f>IF(OR(T110="",Q110=""),"",Q110/(T110*Inputs!$B$19))</f>
        <v/>
      </c>
      <c r="V110" s="10" t="str">
        <f t="shared" si="17"/>
        <v/>
      </c>
      <c r="W110" s="10" t="str">
        <f t="shared" si="18"/>
        <v/>
      </c>
      <c r="X110" s="10" t="str">
        <f>IF(A110="","",IF(OR(UPPER(TRIM(Inputs!$B$15))="MANNING",UPPER(TRIM(Inputs!$B$15))="M"),W110,IF(OR(UPPER(TRIM(Inputs!$B$15))="MAX",UPPER(TRIM(Inputs!$B$15))="X"),MAX(V110,W110),V110)))</f>
        <v/>
      </c>
      <c r="Y110" s="10" t="str">
        <f t="shared" si="19"/>
        <v/>
      </c>
      <c r="Z110" s="10" t="str">
        <f t="shared" si="20"/>
        <v/>
      </c>
      <c r="AA110" s="3" t="str">
        <f>IF(A110="","",IF(OR(U110&gt;1,AND(X110&lt;&gt;"",X110&lt;Inputs!$B$16),AND(X110&lt;&gt;"",X110&gt;Inputs!$B$17),G110&lt;Inputs!$B$18,AH110="CHECK"),"CHECK","OK"))</f>
        <v/>
      </c>
      <c r="AB110" s="3"/>
      <c r="AC110" s="8"/>
      <c r="AD110" s="10" t="str">
        <f>IF(A110="","",IF(AC110&lt;&gt;"",AC110,IF(E110="",Inputs!$B$38,IFERROR(INDEX($AE$4:$AE$204,MATCH(E110,$A$4:$A$204,0))+IF(OR(AND(UPPER(TRIM(B110))="SWALE",UPPER(TRIM(AI110))="PIPE"),AND(UPPER(TRIM(B110))="TRENCH",UPPER(TRIM(AI110))="PIPE")),Inputs!$B$57,0),""))))</f>
        <v/>
      </c>
      <c r="AE110" s="10" t="str">
        <f t="shared" si="21"/>
        <v/>
      </c>
      <c r="AF110" s="10" t="str">
        <f t="shared" si="22"/>
        <v/>
      </c>
      <c r="AG110" s="10" t="str">
        <f t="shared" si="23"/>
        <v/>
      </c>
      <c r="AH110" s="3" t="str">
        <f>IF(A110="","",IF(E110="","TERMINAL",IF(OR(AND(UPPER(TRIM(B110))="SWALE",UPPER(TRIM(AI110))="PIPE"),AND(UPPER(TRIM(B110))="TRENCH",UPPER(TRIM(AI110))="PIPE")),IF(OR(AG110="",AJ110="",AK110=""),"INFO",IF(AND(AG110&gt;=AJ110,AG110&lt;=AK110),"OK","CHECK")),IF(AG110="","INFO",IF(ABS(AG110)&lt;=Inputs!$B$54,"OK","CHECK")))))</f>
        <v/>
      </c>
      <c r="AI110" s="11" t="str">
        <f t="shared" si="24"/>
        <v/>
      </c>
      <c r="AJ110" s="11" t="str">
        <f>IF(A110="","",IF(OR(AND(UPPER(TRIM(B110))="SWALE",UPPER(TRIM(AI110))="PIPE"),AND(UPPER(TRIM(B110))="TRENCH",UPPER(TRIM(AI110))="PIPE")),Inputs!$B$55,0))</f>
        <v/>
      </c>
      <c r="AK110" s="11" t="str">
        <f>IF(A110="","",IF(OR(AND(UPPER(TRIM(B110))="SWALE",UPPER(TRIM(AI110))="PIPE"),AND(UPPER(TRIM(B110))="TRENCH",UPPER(TRIM(AI110))="PIPE")),Inputs!$B$56,Inputs!$B$54))</f>
        <v/>
      </c>
      <c r="AL110" s="3" t="str">
        <f t="shared" si="25"/>
        <v/>
      </c>
    </row>
    <row r="111" spans="1:38" x14ac:dyDescent="0.25">
      <c r="A111" s="3"/>
      <c r="B111" s="3"/>
      <c r="C111" s="3"/>
      <c r="D111" s="3"/>
      <c r="E111" s="3"/>
      <c r="F111" s="8"/>
      <c r="G111" s="8"/>
      <c r="H111" s="8"/>
      <c r="I111" s="10" t="str">
        <f>IF(A111="","",IF(H111&lt;&gt;"",H111,IF(UPPER(TRIM(B111))="PIPE",Inputs!$B$7,IF(UPPER(TRIM(B111))="SWALE",Inputs!$B$8,Inputs!$B$9))))</f>
        <v/>
      </c>
      <c r="J111" s="8"/>
      <c r="K111" s="8"/>
      <c r="L111" s="8"/>
      <c r="M111" s="8"/>
      <c r="N111" s="8">
        <v>0</v>
      </c>
      <c r="O111" s="10" t="str">
        <f>IF(A111="","",SUMIFS(Zones_tributaires!$I:$I,Zones_tributaires!$J:$J,$A111))</f>
        <v/>
      </c>
      <c r="P111" s="10" t="str">
        <f t="shared" si="13"/>
        <v/>
      </c>
      <c r="Q111" s="10" t="str">
        <f>IF(A111="","",(O111+P111)*Inputs!$B$6)</f>
        <v/>
      </c>
      <c r="R111" s="10" t="str">
        <f t="shared" si="14"/>
        <v/>
      </c>
      <c r="S111" s="10" t="str">
        <f t="shared" si="15"/>
        <v/>
      </c>
      <c r="T111" s="10" t="str">
        <f t="shared" si="16"/>
        <v/>
      </c>
      <c r="U111" s="10" t="str">
        <f>IF(OR(T111="",Q111=""),"",Q111/(T111*Inputs!$B$19))</f>
        <v/>
      </c>
      <c r="V111" s="10" t="str">
        <f t="shared" si="17"/>
        <v/>
      </c>
      <c r="W111" s="10" t="str">
        <f t="shared" si="18"/>
        <v/>
      </c>
      <c r="X111" s="10" t="str">
        <f>IF(A111="","",IF(OR(UPPER(TRIM(Inputs!$B$15))="MANNING",UPPER(TRIM(Inputs!$B$15))="M"),W111,IF(OR(UPPER(TRIM(Inputs!$B$15))="MAX",UPPER(TRIM(Inputs!$B$15))="X"),MAX(V111,W111),V111)))</f>
        <v/>
      </c>
      <c r="Y111" s="10" t="str">
        <f t="shared" si="19"/>
        <v/>
      </c>
      <c r="Z111" s="10" t="str">
        <f t="shared" si="20"/>
        <v/>
      </c>
      <c r="AA111" s="3" t="str">
        <f>IF(A111="","",IF(OR(U111&gt;1,AND(X111&lt;&gt;"",X111&lt;Inputs!$B$16),AND(X111&lt;&gt;"",X111&gt;Inputs!$B$17),G111&lt;Inputs!$B$18,AH111="CHECK"),"CHECK","OK"))</f>
        <v/>
      </c>
      <c r="AB111" s="3"/>
      <c r="AC111" s="8"/>
      <c r="AD111" s="10" t="str">
        <f>IF(A111="","",IF(AC111&lt;&gt;"",AC111,IF(E111="",Inputs!$B$38,IFERROR(INDEX($AE$4:$AE$204,MATCH(E111,$A$4:$A$204,0))+IF(OR(AND(UPPER(TRIM(B111))="SWALE",UPPER(TRIM(AI111))="PIPE"),AND(UPPER(TRIM(B111))="TRENCH",UPPER(TRIM(AI111))="PIPE")),Inputs!$B$57,0),""))))</f>
        <v/>
      </c>
      <c r="AE111" s="10" t="str">
        <f t="shared" si="21"/>
        <v/>
      </c>
      <c r="AF111" s="10" t="str">
        <f t="shared" si="22"/>
        <v/>
      </c>
      <c r="AG111" s="10" t="str">
        <f t="shared" si="23"/>
        <v/>
      </c>
      <c r="AH111" s="3" t="str">
        <f>IF(A111="","",IF(E111="","TERMINAL",IF(OR(AND(UPPER(TRIM(B111))="SWALE",UPPER(TRIM(AI111))="PIPE"),AND(UPPER(TRIM(B111))="TRENCH",UPPER(TRIM(AI111))="PIPE")),IF(OR(AG111="",AJ111="",AK111=""),"INFO",IF(AND(AG111&gt;=AJ111,AG111&lt;=AK111),"OK","CHECK")),IF(AG111="","INFO",IF(ABS(AG111)&lt;=Inputs!$B$54,"OK","CHECK")))))</f>
        <v/>
      </c>
      <c r="AI111" s="11" t="str">
        <f t="shared" si="24"/>
        <v/>
      </c>
      <c r="AJ111" s="11" t="str">
        <f>IF(A111="","",IF(OR(AND(UPPER(TRIM(B111))="SWALE",UPPER(TRIM(AI111))="PIPE"),AND(UPPER(TRIM(B111))="TRENCH",UPPER(TRIM(AI111))="PIPE")),Inputs!$B$55,0))</f>
        <v/>
      </c>
      <c r="AK111" s="11" t="str">
        <f>IF(A111="","",IF(OR(AND(UPPER(TRIM(B111))="SWALE",UPPER(TRIM(AI111))="PIPE"),AND(UPPER(TRIM(B111))="TRENCH",UPPER(TRIM(AI111))="PIPE")),Inputs!$B$56,Inputs!$B$54))</f>
        <v/>
      </c>
      <c r="AL111" s="3" t="str">
        <f t="shared" si="25"/>
        <v/>
      </c>
    </row>
    <row r="112" spans="1:38" x14ac:dyDescent="0.25">
      <c r="A112" s="3"/>
      <c r="B112" s="3"/>
      <c r="C112" s="3"/>
      <c r="D112" s="3"/>
      <c r="E112" s="3"/>
      <c r="F112" s="8"/>
      <c r="G112" s="8"/>
      <c r="H112" s="8"/>
      <c r="I112" s="10" t="str">
        <f>IF(A112="","",IF(H112&lt;&gt;"",H112,IF(UPPER(TRIM(B112))="PIPE",Inputs!$B$7,IF(UPPER(TRIM(B112))="SWALE",Inputs!$B$8,Inputs!$B$9))))</f>
        <v/>
      </c>
      <c r="J112" s="8"/>
      <c r="K112" s="8"/>
      <c r="L112" s="8"/>
      <c r="M112" s="8"/>
      <c r="N112" s="8">
        <v>0</v>
      </c>
      <c r="O112" s="10" t="str">
        <f>IF(A112="","",SUMIFS(Zones_tributaires!$I:$I,Zones_tributaires!$J:$J,$A112))</f>
        <v/>
      </c>
      <c r="P112" s="10" t="str">
        <f t="shared" si="13"/>
        <v/>
      </c>
      <c r="Q112" s="10" t="str">
        <f>IF(A112="","",(O112+P112)*Inputs!$B$6)</f>
        <v/>
      </c>
      <c r="R112" s="10" t="str">
        <f t="shared" si="14"/>
        <v/>
      </c>
      <c r="S112" s="10" t="str">
        <f t="shared" si="15"/>
        <v/>
      </c>
      <c r="T112" s="10" t="str">
        <f t="shared" si="16"/>
        <v/>
      </c>
      <c r="U112" s="10" t="str">
        <f>IF(OR(T112="",Q112=""),"",Q112/(T112*Inputs!$B$19))</f>
        <v/>
      </c>
      <c r="V112" s="10" t="str">
        <f t="shared" si="17"/>
        <v/>
      </c>
      <c r="W112" s="10" t="str">
        <f t="shared" si="18"/>
        <v/>
      </c>
      <c r="X112" s="10" t="str">
        <f>IF(A112="","",IF(OR(UPPER(TRIM(Inputs!$B$15))="MANNING",UPPER(TRIM(Inputs!$B$15))="M"),W112,IF(OR(UPPER(TRIM(Inputs!$B$15))="MAX",UPPER(TRIM(Inputs!$B$15))="X"),MAX(V112,W112),V112)))</f>
        <v/>
      </c>
      <c r="Y112" s="10" t="str">
        <f t="shared" si="19"/>
        <v/>
      </c>
      <c r="Z112" s="10" t="str">
        <f t="shared" si="20"/>
        <v/>
      </c>
      <c r="AA112" s="3" t="str">
        <f>IF(A112="","",IF(OR(U112&gt;1,AND(X112&lt;&gt;"",X112&lt;Inputs!$B$16),AND(X112&lt;&gt;"",X112&gt;Inputs!$B$17),G112&lt;Inputs!$B$18,AH112="CHECK"),"CHECK","OK"))</f>
        <v/>
      </c>
      <c r="AB112" s="3"/>
      <c r="AC112" s="8"/>
      <c r="AD112" s="10" t="str">
        <f>IF(A112="","",IF(AC112&lt;&gt;"",AC112,IF(E112="",Inputs!$B$38,IFERROR(INDEX($AE$4:$AE$204,MATCH(E112,$A$4:$A$204,0))+IF(OR(AND(UPPER(TRIM(B112))="SWALE",UPPER(TRIM(AI112))="PIPE"),AND(UPPER(TRIM(B112))="TRENCH",UPPER(TRIM(AI112))="PIPE")),Inputs!$B$57,0),""))))</f>
        <v/>
      </c>
      <c r="AE112" s="10" t="str">
        <f t="shared" si="21"/>
        <v/>
      </c>
      <c r="AF112" s="10" t="str">
        <f t="shared" si="22"/>
        <v/>
      </c>
      <c r="AG112" s="10" t="str">
        <f t="shared" si="23"/>
        <v/>
      </c>
      <c r="AH112" s="3" t="str">
        <f>IF(A112="","",IF(E112="","TERMINAL",IF(OR(AND(UPPER(TRIM(B112))="SWALE",UPPER(TRIM(AI112))="PIPE"),AND(UPPER(TRIM(B112))="TRENCH",UPPER(TRIM(AI112))="PIPE")),IF(OR(AG112="",AJ112="",AK112=""),"INFO",IF(AND(AG112&gt;=AJ112,AG112&lt;=AK112),"OK","CHECK")),IF(AG112="","INFO",IF(ABS(AG112)&lt;=Inputs!$B$54,"OK","CHECK")))))</f>
        <v/>
      </c>
      <c r="AI112" s="11" t="str">
        <f t="shared" si="24"/>
        <v/>
      </c>
      <c r="AJ112" s="11" t="str">
        <f>IF(A112="","",IF(OR(AND(UPPER(TRIM(B112))="SWALE",UPPER(TRIM(AI112))="PIPE"),AND(UPPER(TRIM(B112))="TRENCH",UPPER(TRIM(AI112))="PIPE")),Inputs!$B$55,0))</f>
        <v/>
      </c>
      <c r="AK112" s="11" t="str">
        <f>IF(A112="","",IF(OR(AND(UPPER(TRIM(B112))="SWALE",UPPER(TRIM(AI112))="PIPE"),AND(UPPER(TRIM(B112))="TRENCH",UPPER(TRIM(AI112))="PIPE")),Inputs!$B$56,Inputs!$B$54))</f>
        <v/>
      </c>
      <c r="AL112" s="3" t="str">
        <f t="shared" si="25"/>
        <v/>
      </c>
    </row>
    <row r="113" spans="1:38" x14ac:dyDescent="0.25">
      <c r="A113" s="3"/>
      <c r="B113" s="3"/>
      <c r="C113" s="3"/>
      <c r="D113" s="3"/>
      <c r="E113" s="3"/>
      <c r="F113" s="8"/>
      <c r="G113" s="8"/>
      <c r="H113" s="8"/>
      <c r="I113" s="10" t="str">
        <f>IF(A113="","",IF(H113&lt;&gt;"",H113,IF(UPPER(TRIM(B113))="PIPE",Inputs!$B$7,IF(UPPER(TRIM(B113))="SWALE",Inputs!$B$8,Inputs!$B$9))))</f>
        <v/>
      </c>
      <c r="J113" s="8"/>
      <c r="K113" s="8"/>
      <c r="L113" s="8"/>
      <c r="M113" s="8"/>
      <c r="N113" s="8">
        <v>0</v>
      </c>
      <c r="O113" s="10" t="str">
        <f>IF(A113="","",SUMIFS(Zones_tributaires!$I:$I,Zones_tributaires!$J:$J,$A113))</f>
        <v/>
      </c>
      <c r="P113" s="10" t="str">
        <f t="shared" si="13"/>
        <v/>
      </c>
      <c r="Q113" s="10" t="str">
        <f>IF(A113="","",(O113+P113)*Inputs!$B$6)</f>
        <v/>
      </c>
      <c r="R113" s="10" t="str">
        <f t="shared" si="14"/>
        <v/>
      </c>
      <c r="S113" s="10" t="str">
        <f t="shared" si="15"/>
        <v/>
      </c>
      <c r="T113" s="10" t="str">
        <f t="shared" si="16"/>
        <v/>
      </c>
      <c r="U113" s="10" t="str">
        <f>IF(OR(T113="",Q113=""),"",Q113/(T113*Inputs!$B$19))</f>
        <v/>
      </c>
      <c r="V113" s="10" t="str">
        <f t="shared" si="17"/>
        <v/>
      </c>
      <c r="W113" s="10" t="str">
        <f t="shared" si="18"/>
        <v/>
      </c>
      <c r="X113" s="10" t="str">
        <f>IF(A113="","",IF(OR(UPPER(TRIM(Inputs!$B$15))="MANNING",UPPER(TRIM(Inputs!$B$15))="M"),W113,IF(OR(UPPER(TRIM(Inputs!$B$15))="MAX",UPPER(TRIM(Inputs!$B$15))="X"),MAX(V113,W113),V113)))</f>
        <v/>
      </c>
      <c r="Y113" s="10" t="str">
        <f t="shared" si="19"/>
        <v/>
      </c>
      <c r="Z113" s="10" t="str">
        <f t="shared" si="20"/>
        <v/>
      </c>
      <c r="AA113" s="3" t="str">
        <f>IF(A113="","",IF(OR(U113&gt;1,AND(X113&lt;&gt;"",X113&lt;Inputs!$B$16),AND(X113&lt;&gt;"",X113&gt;Inputs!$B$17),G113&lt;Inputs!$B$18,AH113="CHECK"),"CHECK","OK"))</f>
        <v/>
      </c>
      <c r="AB113" s="3"/>
      <c r="AC113" s="8"/>
      <c r="AD113" s="10" t="str">
        <f>IF(A113="","",IF(AC113&lt;&gt;"",AC113,IF(E113="",Inputs!$B$38,IFERROR(INDEX($AE$4:$AE$204,MATCH(E113,$A$4:$A$204,0))+IF(OR(AND(UPPER(TRIM(B113))="SWALE",UPPER(TRIM(AI113))="PIPE"),AND(UPPER(TRIM(B113))="TRENCH",UPPER(TRIM(AI113))="PIPE")),Inputs!$B$57,0),""))))</f>
        <v/>
      </c>
      <c r="AE113" s="10" t="str">
        <f t="shared" si="21"/>
        <v/>
      </c>
      <c r="AF113" s="10" t="str">
        <f t="shared" si="22"/>
        <v/>
      </c>
      <c r="AG113" s="10" t="str">
        <f t="shared" si="23"/>
        <v/>
      </c>
      <c r="AH113" s="3" t="str">
        <f>IF(A113="","",IF(E113="","TERMINAL",IF(OR(AND(UPPER(TRIM(B113))="SWALE",UPPER(TRIM(AI113))="PIPE"),AND(UPPER(TRIM(B113))="TRENCH",UPPER(TRIM(AI113))="PIPE")),IF(OR(AG113="",AJ113="",AK113=""),"INFO",IF(AND(AG113&gt;=AJ113,AG113&lt;=AK113),"OK","CHECK")),IF(AG113="","INFO",IF(ABS(AG113)&lt;=Inputs!$B$54,"OK","CHECK")))))</f>
        <v/>
      </c>
      <c r="AI113" s="11" t="str">
        <f t="shared" si="24"/>
        <v/>
      </c>
      <c r="AJ113" s="11" t="str">
        <f>IF(A113="","",IF(OR(AND(UPPER(TRIM(B113))="SWALE",UPPER(TRIM(AI113))="PIPE"),AND(UPPER(TRIM(B113))="TRENCH",UPPER(TRIM(AI113))="PIPE")),Inputs!$B$55,0))</f>
        <v/>
      </c>
      <c r="AK113" s="11" t="str">
        <f>IF(A113="","",IF(OR(AND(UPPER(TRIM(B113))="SWALE",UPPER(TRIM(AI113))="PIPE"),AND(UPPER(TRIM(B113))="TRENCH",UPPER(TRIM(AI113))="PIPE")),Inputs!$B$56,Inputs!$B$54))</f>
        <v/>
      </c>
      <c r="AL113" s="3" t="str">
        <f t="shared" si="25"/>
        <v/>
      </c>
    </row>
    <row r="114" spans="1:38" x14ac:dyDescent="0.25">
      <c r="A114" s="3"/>
      <c r="B114" s="3"/>
      <c r="C114" s="3"/>
      <c r="D114" s="3"/>
      <c r="E114" s="3"/>
      <c r="F114" s="8"/>
      <c r="G114" s="8"/>
      <c r="H114" s="8"/>
      <c r="I114" s="10" t="str">
        <f>IF(A114="","",IF(H114&lt;&gt;"",H114,IF(UPPER(TRIM(B114))="PIPE",Inputs!$B$7,IF(UPPER(TRIM(B114))="SWALE",Inputs!$B$8,Inputs!$B$9))))</f>
        <v/>
      </c>
      <c r="J114" s="8"/>
      <c r="K114" s="8"/>
      <c r="L114" s="8"/>
      <c r="M114" s="8"/>
      <c r="N114" s="8">
        <v>0</v>
      </c>
      <c r="O114" s="10" t="str">
        <f>IF(A114="","",SUMIFS(Zones_tributaires!$I:$I,Zones_tributaires!$J:$J,$A114))</f>
        <v/>
      </c>
      <c r="P114" s="10" t="str">
        <f t="shared" si="13"/>
        <v/>
      </c>
      <c r="Q114" s="10" t="str">
        <f>IF(A114="","",(O114+P114)*Inputs!$B$6)</f>
        <v/>
      </c>
      <c r="R114" s="10" t="str">
        <f t="shared" si="14"/>
        <v/>
      </c>
      <c r="S114" s="10" t="str">
        <f t="shared" si="15"/>
        <v/>
      </c>
      <c r="T114" s="10" t="str">
        <f t="shared" si="16"/>
        <v/>
      </c>
      <c r="U114" s="10" t="str">
        <f>IF(OR(T114="",Q114=""),"",Q114/(T114*Inputs!$B$19))</f>
        <v/>
      </c>
      <c r="V114" s="10" t="str">
        <f t="shared" si="17"/>
        <v/>
      </c>
      <c r="W114" s="10" t="str">
        <f t="shared" si="18"/>
        <v/>
      </c>
      <c r="X114" s="10" t="str">
        <f>IF(A114="","",IF(OR(UPPER(TRIM(Inputs!$B$15))="MANNING",UPPER(TRIM(Inputs!$B$15))="M"),W114,IF(OR(UPPER(TRIM(Inputs!$B$15))="MAX",UPPER(TRIM(Inputs!$B$15))="X"),MAX(V114,W114),V114)))</f>
        <v/>
      </c>
      <c r="Y114" s="10" t="str">
        <f t="shared" si="19"/>
        <v/>
      </c>
      <c r="Z114" s="10" t="str">
        <f t="shared" si="20"/>
        <v/>
      </c>
      <c r="AA114" s="3" t="str">
        <f>IF(A114="","",IF(OR(U114&gt;1,AND(X114&lt;&gt;"",X114&lt;Inputs!$B$16),AND(X114&lt;&gt;"",X114&gt;Inputs!$B$17),G114&lt;Inputs!$B$18,AH114="CHECK"),"CHECK","OK"))</f>
        <v/>
      </c>
      <c r="AB114" s="3"/>
      <c r="AC114" s="8"/>
      <c r="AD114" s="10" t="str">
        <f>IF(A114="","",IF(AC114&lt;&gt;"",AC114,IF(E114="",Inputs!$B$38,IFERROR(INDEX($AE$4:$AE$204,MATCH(E114,$A$4:$A$204,0))+IF(OR(AND(UPPER(TRIM(B114))="SWALE",UPPER(TRIM(AI114))="PIPE"),AND(UPPER(TRIM(B114))="TRENCH",UPPER(TRIM(AI114))="PIPE")),Inputs!$B$57,0),""))))</f>
        <v/>
      </c>
      <c r="AE114" s="10" t="str">
        <f t="shared" si="21"/>
        <v/>
      </c>
      <c r="AF114" s="10" t="str">
        <f t="shared" si="22"/>
        <v/>
      </c>
      <c r="AG114" s="10" t="str">
        <f t="shared" si="23"/>
        <v/>
      </c>
      <c r="AH114" s="3" t="str">
        <f>IF(A114="","",IF(E114="","TERMINAL",IF(OR(AND(UPPER(TRIM(B114))="SWALE",UPPER(TRIM(AI114))="PIPE"),AND(UPPER(TRIM(B114))="TRENCH",UPPER(TRIM(AI114))="PIPE")),IF(OR(AG114="",AJ114="",AK114=""),"INFO",IF(AND(AG114&gt;=AJ114,AG114&lt;=AK114),"OK","CHECK")),IF(AG114="","INFO",IF(ABS(AG114)&lt;=Inputs!$B$54,"OK","CHECK")))))</f>
        <v/>
      </c>
      <c r="AI114" s="11" t="str">
        <f t="shared" si="24"/>
        <v/>
      </c>
      <c r="AJ114" s="11" t="str">
        <f>IF(A114="","",IF(OR(AND(UPPER(TRIM(B114))="SWALE",UPPER(TRIM(AI114))="PIPE"),AND(UPPER(TRIM(B114))="TRENCH",UPPER(TRIM(AI114))="PIPE")),Inputs!$B$55,0))</f>
        <v/>
      </c>
      <c r="AK114" s="11" t="str">
        <f>IF(A114="","",IF(OR(AND(UPPER(TRIM(B114))="SWALE",UPPER(TRIM(AI114))="PIPE"),AND(UPPER(TRIM(B114))="TRENCH",UPPER(TRIM(AI114))="PIPE")),Inputs!$B$56,Inputs!$B$54))</f>
        <v/>
      </c>
      <c r="AL114" s="3" t="str">
        <f t="shared" si="25"/>
        <v/>
      </c>
    </row>
    <row r="115" spans="1:38" x14ac:dyDescent="0.25">
      <c r="A115" s="3"/>
      <c r="B115" s="3"/>
      <c r="C115" s="3"/>
      <c r="D115" s="3"/>
      <c r="E115" s="3"/>
      <c r="F115" s="8"/>
      <c r="G115" s="8"/>
      <c r="H115" s="8"/>
      <c r="I115" s="10" t="str">
        <f>IF(A115="","",IF(H115&lt;&gt;"",H115,IF(UPPER(TRIM(B115))="PIPE",Inputs!$B$7,IF(UPPER(TRIM(B115))="SWALE",Inputs!$B$8,Inputs!$B$9))))</f>
        <v/>
      </c>
      <c r="J115" s="8"/>
      <c r="K115" s="8"/>
      <c r="L115" s="8"/>
      <c r="M115" s="8"/>
      <c r="N115" s="8">
        <v>0</v>
      </c>
      <c r="O115" s="10" t="str">
        <f>IF(A115="","",SUMIFS(Zones_tributaires!$I:$I,Zones_tributaires!$J:$J,$A115))</f>
        <v/>
      </c>
      <c r="P115" s="10" t="str">
        <f t="shared" si="13"/>
        <v/>
      </c>
      <c r="Q115" s="10" t="str">
        <f>IF(A115="","",(O115+P115)*Inputs!$B$6)</f>
        <v/>
      </c>
      <c r="R115" s="10" t="str">
        <f t="shared" si="14"/>
        <v/>
      </c>
      <c r="S115" s="10" t="str">
        <f t="shared" si="15"/>
        <v/>
      </c>
      <c r="T115" s="10" t="str">
        <f t="shared" si="16"/>
        <v/>
      </c>
      <c r="U115" s="10" t="str">
        <f>IF(OR(T115="",Q115=""),"",Q115/(T115*Inputs!$B$19))</f>
        <v/>
      </c>
      <c r="V115" s="10" t="str">
        <f t="shared" si="17"/>
        <v/>
      </c>
      <c r="W115" s="10" t="str">
        <f t="shared" si="18"/>
        <v/>
      </c>
      <c r="X115" s="10" t="str">
        <f>IF(A115="","",IF(OR(UPPER(TRIM(Inputs!$B$15))="MANNING",UPPER(TRIM(Inputs!$B$15))="M"),W115,IF(OR(UPPER(TRIM(Inputs!$B$15))="MAX",UPPER(TRIM(Inputs!$B$15))="X"),MAX(V115,W115),V115)))</f>
        <v/>
      </c>
      <c r="Y115" s="10" t="str">
        <f t="shared" si="19"/>
        <v/>
      </c>
      <c r="Z115" s="10" t="str">
        <f t="shared" si="20"/>
        <v/>
      </c>
      <c r="AA115" s="3" t="str">
        <f>IF(A115="","",IF(OR(U115&gt;1,AND(X115&lt;&gt;"",X115&lt;Inputs!$B$16),AND(X115&lt;&gt;"",X115&gt;Inputs!$B$17),G115&lt;Inputs!$B$18,AH115="CHECK"),"CHECK","OK"))</f>
        <v/>
      </c>
      <c r="AB115" s="3"/>
      <c r="AC115" s="8"/>
      <c r="AD115" s="10" t="str">
        <f>IF(A115="","",IF(AC115&lt;&gt;"",AC115,IF(E115="",Inputs!$B$38,IFERROR(INDEX($AE$4:$AE$204,MATCH(E115,$A$4:$A$204,0))+IF(OR(AND(UPPER(TRIM(B115))="SWALE",UPPER(TRIM(AI115))="PIPE"),AND(UPPER(TRIM(B115))="TRENCH",UPPER(TRIM(AI115))="PIPE")),Inputs!$B$57,0),""))))</f>
        <v/>
      </c>
      <c r="AE115" s="10" t="str">
        <f t="shared" si="21"/>
        <v/>
      </c>
      <c r="AF115" s="10" t="str">
        <f t="shared" si="22"/>
        <v/>
      </c>
      <c r="AG115" s="10" t="str">
        <f t="shared" si="23"/>
        <v/>
      </c>
      <c r="AH115" s="3" t="str">
        <f>IF(A115="","",IF(E115="","TERMINAL",IF(OR(AND(UPPER(TRIM(B115))="SWALE",UPPER(TRIM(AI115))="PIPE"),AND(UPPER(TRIM(B115))="TRENCH",UPPER(TRIM(AI115))="PIPE")),IF(OR(AG115="",AJ115="",AK115=""),"INFO",IF(AND(AG115&gt;=AJ115,AG115&lt;=AK115),"OK","CHECK")),IF(AG115="","INFO",IF(ABS(AG115)&lt;=Inputs!$B$54,"OK","CHECK")))))</f>
        <v/>
      </c>
      <c r="AI115" s="11" t="str">
        <f t="shared" si="24"/>
        <v/>
      </c>
      <c r="AJ115" s="11" t="str">
        <f>IF(A115="","",IF(OR(AND(UPPER(TRIM(B115))="SWALE",UPPER(TRIM(AI115))="PIPE"),AND(UPPER(TRIM(B115))="TRENCH",UPPER(TRIM(AI115))="PIPE")),Inputs!$B$55,0))</f>
        <v/>
      </c>
      <c r="AK115" s="11" t="str">
        <f>IF(A115="","",IF(OR(AND(UPPER(TRIM(B115))="SWALE",UPPER(TRIM(AI115))="PIPE"),AND(UPPER(TRIM(B115))="TRENCH",UPPER(TRIM(AI115))="PIPE")),Inputs!$B$56,Inputs!$B$54))</f>
        <v/>
      </c>
      <c r="AL115" s="3" t="str">
        <f t="shared" si="25"/>
        <v/>
      </c>
    </row>
    <row r="116" spans="1:38" x14ac:dyDescent="0.25">
      <c r="A116" s="3"/>
      <c r="B116" s="3"/>
      <c r="C116" s="3"/>
      <c r="D116" s="3"/>
      <c r="E116" s="3"/>
      <c r="F116" s="8"/>
      <c r="G116" s="8"/>
      <c r="H116" s="8"/>
      <c r="I116" s="10" t="str">
        <f>IF(A116="","",IF(H116&lt;&gt;"",H116,IF(UPPER(TRIM(B116))="PIPE",Inputs!$B$7,IF(UPPER(TRIM(B116))="SWALE",Inputs!$B$8,Inputs!$B$9))))</f>
        <v/>
      </c>
      <c r="J116" s="8"/>
      <c r="K116" s="8"/>
      <c r="L116" s="8"/>
      <c r="M116" s="8"/>
      <c r="N116" s="8">
        <v>0</v>
      </c>
      <c r="O116" s="10" t="str">
        <f>IF(A116="","",SUMIFS(Zones_tributaires!$I:$I,Zones_tributaires!$J:$J,$A116))</f>
        <v/>
      </c>
      <c r="P116" s="10" t="str">
        <f t="shared" si="13"/>
        <v/>
      </c>
      <c r="Q116" s="10" t="str">
        <f>IF(A116="","",(O116+P116)*Inputs!$B$6)</f>
        <v/>
      </c>
      <c r="R116" s="10" t="str">
        <f t="shared" si="14"/>
        <v/>
      </c>
      <c r="S116" s="10" t="str">
        <f t="shared" si="15"/>
        <v/>
      </c>
      <c r="T116" s="10" t="str">
        <f t="shared" si="16"/>
        <v/>
      </c>
      <c r="U116" s="10" t="str">
        <f>IF(OR(T116="",Q116=""),"",Q116/(T116*Inputs!$B$19))</f>
        <v/>
      </c>
      <c r="V116" s="10" t="str">
        <f t="shared" si="17"/>
        <v/>
      </c>
      <c r="W116" s="10" t="str">
        <f t="shared" si="18"/>
        <v/>
      </c>
      <c r="X116" s="10" t="str">
        <f>IF(A116="","",IF(OR(UPPER(TRIM(Inputs!$B$15))="MANNING",UPPER(TRIM(Inputs!$B$15))="M"),W116,IF(OR(UPPER(TRIM(Inputs!$B$15))="MAX",UPPER(TRIM(Inputs!$B$15))="X"),MAX(V116,W116),V116)))</f>
        <v/>
      </c>
      <c r="Y116" s="10" t="str">
        <f t="shared" si="19"/>
        <v/>
      </c>
      <c r="Z116" s="10" t="str">
        <f t="shared" si="20"/>
        <v/>
      </c>
      <c r="AA116" s="3" t="str">
        <f>IF(A116="","",IF(OR(U116&gt;1,AND(X116&lt;&gt;"",X116&lt;Inputs!$B$16),AND(X116&lt;&gt;"",X116&gt;Inputs!$B$17),G116&lt;Inputs!$B$18,AH116="CHECK"),"CHECK","OK"))</f>
        <v/>
      </c>
      <c r="AB116" s="3"/>
      <c r="AC116" s="8"/>
      <c r="AD116" s="10" t="str">
        <f>IF(A116="","",IF(AC116&lt;&gt;"",AC116,IF(E116="",Inputs!$B$38,IFERROR(INDEX($AE$4:$AE$204,MATCH(E116,$A$4:$A$204,0))+IF(OR(AND(UPPER(TRIM(B116))="SWALE",UPPER(TRIM(AI116))="PIPE"),AND(UPPER(TRIM(B116))="TRENCH",UPPER(TRIM(AI116))="PIPE")),Inputs!$B$57,0),""))))</f>
        <v/>
      </c>
      <c r="AE116" s="10" t="str">
        <f t="shared" si="21"/>
        <v/>
      </c>
      <c r="AF116" s="10" t="str">
        <f t="shared" si="22"/>
        <v/>
      </c>
      <c r="AG116" s="10" t="str">
        <f t="shared" si="23"/>
        <v/>
      </c>
      <c r="AH116" s="3" t="str">
        <f>IF(A116="","",IF(E116="","TERMINAL",IF(OR(AND(UPPER(TRIM(B116))="SWALE",UPPER(TRIM(AI116))="PIPE"),AND(UPPER(TRIM(B116))="TRENCH",UPPER(TRIM(AI116))="PIPE")),IF(OR(AG116="",AJ116="",AK116=""),"INFO",IF(AND(AG116&gt;=AJ116,AG116&lt;=AK116),"OK","CHECK")),IF(AG116="","INFO",IF(ABS(AG116)&lt;=Inputs!$B$54,"OK","CHECK")))))</f>
        <v/>
      </c>
      <c r="AI116" s="11" t="str">
        <f t="shared" si="24"/>
        <v/>
      </c>
      <c r="AJ116" s="11" t="str">
        <f>IF(A116="","",IF(OR(AND(UPPER(TRIM(B116))="SWALE",UPPER(TRIM(AI116))="PIPE"),AND(UPPER(TRIM(B116))="TRENCH",UPPER(TRIM(AI116))="PIPE")),Inputs!$B$55,0))</f>
        <v/>
      </c>
      <c r="AK116" s="11" t="str">
        <f>IF(A116="","",IF(OR(AND(UPPER(TRIM(B116))="SWALE",UPPER(TRIM(AI116))="PIPE"),AND(UPPER(TRIM(B116))="TRENCH",UPPER(TRIM(AI116))="PIPE")),Inputs!$B$56,Inputs!$B$54))</f>
        <v/>
      </c>
      <c r="AL116" s="3" t="str">
        <f t="shared" si="25"/>
        <v/>
      </c>
    </row>
    <row r="117" spans="1:38" x14ac:dyDescent="0.25">
      <c r="A117" s="3"/>
      <c r="B117" s="3"/>
      <c r="C117" s="3"/>
      <c r="D117" s="3"/>
      <c r="E117" s="3"/>
      <c r="F117" s="8"/>
      <c r="G117" s="8"/>
      <c r="H117" s="8"/>
      <c r="I117" s="10" t="str">
        <f>IF(A117="","",IF(H117&lt;&gt;"",H117,IF(UPPER(TRIM(B117))="PIPE",Inputs!$B$7,IF(UPPER(TRIM(B117))="SWALE",Inputs!$B$8,Inputs!$B$9))))</f>
        <v/>
      </c>
      <c r="J117" s="8"/>
      <c r="K117" s="8"/>
      <c r="L117" s="8"/>
      <c r="M117" s="8"/>
      <c r="N117" s="8">
        <v>0</v>
      </c>
      <c r="O117" s="10" t="str">
        <f>IF(A117="","",SUMIFS(Zones_tributaires!$I:$I,Zones_tributaires!$J:$J,$A117))</f>
        <v/>
      </c>
      <c r="P117" s="10" t="str">
        <f t="shared" si="13"/>
        <v/>
      </c>
      <c r="Q117" s="10" t="str">
        <f>IF(A117="","",(O117+P117)*Inputs!$B$6)</f>
        <v/>
      </c>
      <c r="R117" s="10" t="str">
        <f t="shared" si="14"/>
        <v/>
      </c>
      <c r="S117" s="10" t="str">
        <f t="shared" si="15"/>
        <v/>
      </c>
      <c r="T117" s="10" t="str">
        <f t="shared" si="16"/>
        <v/>
      </c>
      <c r="U117" s="10" t="str">
        <f>IF(OR(T117="",Q117=""),"",Q117/(T117*Inputs!$B$19))</f>
        <v/>
      </c>
      <c r="V117" s="10" t="str">
        <f t="shared" si="17"/>
        <v/>
      </c>
      <c r="W117" s="10" t="str">
        <f t="shared" si="18"/>
        <v/>
      </c>
      <c r="X117" s="10" t="str">
        <f>IF(A117="","",IF(OR(UPPER(TRIM(Inputs!$B$15))="MANNING",UPPER(TRIM(Inputs!$B$15))="M"),W117,IF(OR(UPPER(TRIM(Inputs!$B$15))="MAX",UPPER(TRIM(Inputs!$B$15))="X"),MAX(V117,W117),V117)))</f>
        <v/>
      </c>
      <c r="Y117" s="10" t="str">
        <f t="shared" si="19"/>
        <v/>
      </c>
      <c r="Z117" s="10" t="str">
        <f t="shared" si="20"/>
        <v/>
      </c>
      <c r="AA117" s="3" t="str">
        <f>IF(A117="","",IF(OR(U117&gt;1,AND(X117&lt;&gt;"",X117&lt;Inputs!$B$16),AND(X117&lt;&gt;"",X117&gt;Inputs!$B$17),G117&lt;Inputs!$B$18,AH117="CHECK"),"CHECK","OK"))</f>
        <v/>
      </c>
      <c r="AB117" s="3"/>
      <c r="AC117" s="8"/>
      <c r="AD117" s="10" t="str">
        <f>IF(A117="","",IF(AC117&lt;&gt;"",AC117,IF(E117="",Inputs!$B$38,IFERROR(INDEX($AE$4:$AE$204,MATCH(E117,$A$4:$A$204,0))+IF(OR(AND(UPPER(TRIM(B117))="SWALE",UPPER(TRIM(AI117))="PIPE"),AND(UPPER(TRIM(B117))="TRENCH",UPPER(TRIM(AI117))="PIPE")),Inputs!$B$57,0),""))))</f>
        <v/>
      </c>
      <c r="AE117" s="10" t="str">
        <f t="shared" si="21"/>
        <v/>
      </c>
      <c r="AF117" s="10" t="str">
        <f t="shared" si="22"/>
        <v/>
      </c>
      <c r="AG117" s="10" t="str">
        <f t="shared" si="23"/>
        <v/>
      </c>
      <c r="AH117" s="3" t="str">
        <f>IF(A117="","",IF(E117="","TERMINAL",IF(OR(AND(UPPER(TRIM(B117))="SWALE",UPPER(TRIM(AI117))="PIPE"),AND(UPPER(TRIM(B117))="TRENCH",UPPER(TRIM(AI117))="PIPE")),IF(OR(AG117="",AJ117="",AK117=""),"INFO",IF(AND(AG117&gt;=AJ117,AG117&lt;=AK117),"OK","CHECK")),IF(AG117="","INFO",IF(ABS(AG117)&lt;=Inputs!$B$54,"OK","CHECK")))))</f>
        <v/>
      </c>
      <c r="AI117" s="11" t="str">
        <f t="shared" si="24"/>
        <v/>
      </c>
      <c r="AJ117" s="11" t="str">
        <f>IF(A117="","",IF(OR(AND(UPPER(TRIM(B117))="SWALE",UPPER(TRIM(AI117))="PIPE"),AND(UPPER(TRIM(B117))="TRENCH",UPPER(TRIM(AI117))="PIPE")),Inputs!$B$55,0))</f>
        <v/>
      </c>
      <c r="AK117" s="11" t="str">
        <f>IF(A117="","",IF(OR(AND(UPPER(TRIM(B117))="SWALE",UPPER(TRIM(AI117))="PIPE"),AND(UPPER(TRIM(B117))="TRENCH",UPPER(TRIM(AI117))="PIPE")),Inputs!$B$56,Inputs!$B$54))</f>
        <v/>
      </c>
      <c r="AL117" s="3" t="str">
        <f t="shared" si="25"/>
        <v/>
      </c>
    </row>
    <row r="118" spans="1:38" x14ac:dyDescent="0.25">
      <c r="A118" s="3"/>
      <c r="B118" s="3"/>
      <c r="C118" s="3"/>
      <c r="D118" s="3"/>
      <c r="E118" s="3"/>
      <c r="F118" s="8"/>
      <c r="G118" s="8"/>
      <c r="H118" s="8"/>
      <c r="I118" s="10" t="str">
        <f>IF(A118="","",IF(H118&lt;&gt;"",H118,IF(UPPER(TRIM(B118))="PIPE",Inputs!$B$7,IF(UPPER(TRIM(B118))="SWALE",Inputs!$B$8,Inputs!$B$9))))</f>
        <v/>
      </c>
      <c r="J118" s="8"/>
      <c r="K118" s="8"/>
      <c r="L118" s="8"/>
      <c r="M118" s="8"/>
      <c r="N118" s="8">
        <v>0</v>
      </c>
      <c r="O118" s="10" t="str">
        <f>IF(A118="","",SUMIFS(Zones_tributaires!$I:$I,Zones_tributaires!$J:$J,$A118))</f>
        <v/>
      </c>
      <c r="P118" s="10" t="str">
        <f t="shared" si="13"/>
        <v/>
      </c>
      <c r="Q118" s="10" t="str">
        <f>IF(A118="","",(O118+P118)*Inputs!$B$6)</f>
        <v/>
      </c>
      <c r="R118" s="10" t="str">
        <f t="shared" si="14"/>
        <v/>
      </c>
      <c r="S118" s="10" t="str">
        <f t="shared" si="15"/>
        <v/>
      </c>
      <c r="T118" s="10" t="str">
        <f t="shared" si="16"/>
        <v/>
      </c>
      <c r="U118" s="10" t="str">
        <f>IF(OR(T118="",Q118=""),"",Q118/(T118*Inputs!$B$19))</f>
        <v/>
      </c>
      <c r="V118" s="10" t="str">
        <f t="shared" si="17"/>
        <v/>
      </c>
      <c r="W118" s="10" t="str">
        <f t="shared" si="18"/>
        <v/>
      </c>
      <c r="X118" s="10" t="str">
        <f>IF(A118="","",IF(OR(UPPER(TRIM(Inputs!$B$15))="MANNING",UPPER(TRIM(Inputs!$B$15))="M"),W118,IF(OR(UPPER(TRIM(Inputs!$B$15))="MAX",UPPER(TRIM(Inputs!$B$15))="X"),MAX(V118,W118),V118)))</f>
        <v/>
      </c>
      <c r="Y118" s="10" t="str">
        <f t="shared" si="19"/>
        <v/>
      </c>
      <c r="Z118" s="10" t="str">
        <f t="shared" si="20"/>
        <v/>
      </c>
      <c r="AA118" s="3" t="str">
        <f>IF(A118="","",IF(OR(U118&gt;1,AND(X118&lt;&gt;"",X118&lt;Inputs!$B$16),AND(X118&lt;&gt;"",X118&gt;Inputs!$B$17),G118&lt;Inputs!$B$18,AH118="CHECK"),"CHECK","OK"))</f>
        <v/>
      </c>
      <c r="AB118" s="3"/>
      <c r="AC118" s="8"/>
      <c r="AD118" s="10" t="str">
        <f>IF(A118="","",IF(AC118&lt;&gt;"",AC118,IF(E118="",Inputs!$B$38,IFERROR(INDEX($AE$4:$AE$204,MATCH(E118,$A$4:$A$204,0))+IF(OR(AND(UPPER(TRIM(B118))="SWALE",UPPER(TRIM(AI118))="PIPE"),AND(UPPER(TRIM(B118))="TRENCH",UPPER(TRIM(AI118))="PIPE")),Inputs!$B$57,0),""))))</f>
        <v/>
      </c>
      <c r="AE118" s="10" t="str">
        <f t="shared" si="21"/>
        <v/>
      </c>
      <c r="AF118" s="10" t="str">
        <f t="shared" si="22"/>
        <v/>
      </c>
      <c r="AG118" s="10" t="str">
        <f t="shared" si="23"/>
        <v/>
      </c>
      <c r="AH118" s="3" t="str">
        <f>IF(A118="","",IF(E118="","TERMINAL",IF(OR(AND(UPPER(TRIM(B118))="SWALE",UPPER(TRIM(AI118))="PIPE"),AND(UPPER(TRIM(B118))="TRENCH",UPPER(TRIM(AI118))="PIPE")),IF(OR(AG118="",AJ118="",AK118=""),"INFO",IF(AND(AG118&gt;=AJ118,AG118&lt;=AK118),"OK","CHECK")),IF(AG118="","INFO",IF(ABS(AG118)&lt;=Inputs!$B$54,"OK","CHECK")))))</f>
        <v/>
      </c>
      <c r="AI118" s="11" t="str">
        <f t="shared" si="24"/>
        <v/>
      </c>
      <c r="AJ118" s="11" t="str">
        <f>IF(A118="","",IF(OR(AND(UPPER(TRIM(B118))="SWALE",UPPER(TRIM(AI118))="PIPE"),AND(UPPER(TRIM(B118))="TRENCH",UPPER(TRIM(AI118))="PIPE")),Inputs!$B$55,0))</f>
        <v/>
      </c>
      <c r="AK118" s="11" t="str">
        <f>IF(A118="","",IF(OR(AND(UPPER(TRIM(B118))="SWALE",UPPER(TRIM(AI118))="PIPE"),AND(UPPER(TRIM(B118))="TRENCH",UPPER(TRIM(AI118))="PIPE")),Inputs!$B$56,Inputs!$B$54))</f>
        <v/>
      </c>
      <c r="AL118" s="3" t="str">
        <f t="shared" si="25"/>
        <v/>
      </c>
    </row>
    <row r="119" spans="1:38" x14ac:dyDescent="0.25">
      <c r="A119" s="3"/>
      <c r="B119" s="3"/>
      <c r="C119" s="3"/>
      <c r="D119" s="3"/>
      <c r="E119" s="3"/>
      <c r="F119" s="8"/>
      <c r="G119" s="8"/>
      <c r="H119" s="8"/>
      <c r="I119" s="10" t="str">
        <f>IF(A119="","",IF(H119&lt;&gt;"",H119,IF(UPPER(TRIM(B119))="PIPE",Inputs!$B$7,IF(UPPER(TRIM(B119))="SWALE",Inputs!$B$8,Inputs!$B$9))))</f>
        <v/>
      </c>
      <c r="J119" s="8"/>
      <c r="K119" s="8"/>
      <c r="L119" s="8"/>
      <c r="M119" s="8"/>
      <c r="N119" s="8">
        <v>0</v>
      </c>
      <c r="O119" s="10" t="str">
        <f>IF(A119="","",SUMIFS(Zones_tributaires!$I:$I,Zones_tributaires!$J:$J,$A119))</f>
        <v/>
      </c>
      <c r="P119" s="10" t="str">
        <f t="shared" si="13"/>
        <v/>
      </c>
      <c r="Q119" s="10" t="str">
        <f>IF(A119="","",(O119+P119)*Inputs!$B$6)</f>
        <v/>
      </c>
      <c r="R119" s="10" t="str">
        <f t="shared" si="14"/>
        <v/>
      </c>
      <c r="S119" s="10" t="str">
        <f t="shared" si="15"/>
        <v/>
      </c>
      <c r="T119" s="10" t="str">
        <f t="shared" si="16"/>
        <v/>
      </c>
      <c r="U119" s="10" t="str">
        <f>IF(OR(T119="",Q119=""),"",Q119/(T119*Inputs!$B$19))</f>
        <v/>
      </c>
      <c r="V119" s="10" t="str">
        <f t="shared" si="17"/>
        <v/>
      </c>
      <c r="W119" s="10" t="str">
        <f t="shared" si="18"/>
        <v/>
      </c>
      <c r="X119" s="10" t="str">
        <f>IF(A119="","",IF(OR(UPPER(TRIM(Inputs!$B$15))="MANNING",UPPER(TRIM(Inputs!$B$15))="M"),W119,IF(OR(UPPER(TRIM(Inputs!$B$15))="MAX",UPPER(TRIM(Inputs!$B$15))="X"),MAX(V119,W119),V119)))</f>
        <v/>
      </c>
      <c r="Y119" s="10" t="str">
        <f t="shared" si="19"/>
        <v/>
      </c>
      <c r="Z119" s="10" t="str">
        <f t="shared" si="20"/>
        <v/>
      </c>
      <c r="AA119" s="3" t="str">
        <f>IF(A119="","",IF(OR(U119&gt;1,AND(X119&lt;&gt;"",X119&lt;Inputs!$B$16),AND(X119&lt;&gt;"",X119&gt;Inputs!$B$17),G119&lt;Inputs!$B$18,AH119="CHECK"),"CHECK","OK"))</f>
        <v/>
      </c>
      <c r="AB119" s="3"/>
      <c r="AC119" s="8"/>
      <c r="AD119" s="10" t="str">
        <f>IF(A119="","",IF(AC119&lt;&gt;"",AC119,IF(E119="",Inputs!$B$38,IFERROR(INDEX($AE$4:$AE$204,MATCH(E119,$A$4:$A$204,0))+IF(OR(AND(UPPER(TRIM(B119))="SWALE",UPPER(TRIM(AI119))="PIPE"),AND(UPPER(TRIM(B119))="TRENCH",UPPER(TRIM(AI119))="PIPE")),Inputs!$B$57,0),""))))</f>
        <v/>
      </c>
      <c r="AE119" s="10" t="str">
        <f t="shared" si="21"/>
        <v/>
      </c>
      <c r="AF119" s="10" t="str">
        <f t="shared" si="22"/>
        <v/>
      </c>
      <c r="AG119" s="10" t="str">
        <f t="shared" si="23"/>
        <v/>
      </c>
      <c r="AH119" s="3" t="str">
        <f>IF(A119="","",IF(E119="","TERMINAL",IF(OR(AND(UPPER(TRIM(B119))="SWALE",UPPER(TRIM(AI119))="PIPE"),AND(UPPER(TRIM(B119))="TRENCH",UPPER(TRIM(AI119))="PIPE")),IF(OR(AG119="",AJ119="",AK119=""),"INFO",IF(AND(AG119&gt;=AJ119,AG119&lt;=AK119),"OK","CHECK")),IF(AG119="","INFO",IF(ABS(AG119)&lt;=Inputs!$B$54,"OK","CHECK")))))</f>
        <v/>
      </c>
      <c r="AI119" s="11" t="str">
        <f t="shared" si="24"/>
        <v/>
      </c>
      <c r="AJ119" s="11" t="str">
        <f>IF(A119="","",IF(OR(AND(UPPER(TRIM(B119))="SWALE",UPPER(TRIM(AI119))="PIPE"),AND(UPPER(TRIM(B119))="TRENCH",UPPER(TRIM(AI119))="PIPE")),Inputs!$B$55,0))</f>
        <v/>
      </c>
      <c r="AK119" s="11" t="str">
        <f>IF(A119="","",IF(OR(AND(UPPER(TRIM(B119))="SWALE",UPPER(TRIM(AI119))="PIPE"),AND(UPPER(TRIM(B119))="TRENCH",UPPER(TRIM(AI119))="PIPE")),Inputs!$B$56,Inputs!$B$54))</f>
        <v/>
      </c>
      <c r="AL119" s="3" t="str">
        <f t="shared" si="25"/>
        <v/>
      </c>
    </row>
    <row r="120" spans="1:38" x14ac:dyDescent="0.25">
      <c r="A120" s="3"/>
      <c r="B120" s="3"/>
      <c r="C120" s="3"/>
      <c r="D120" s="3"/>
      <c r="E120" s="3"/>
      <c r="F120" s="8"/>
      <c r="G120" s="8"/>
      <c r="H120" s="8"/>
      <c r="I120" s="10" t="str">
        <f>IF(A120="","",IF(H120&lt;&gt;"",H120,IF(UPPER(TRIM(B120))="PIPE",Inputs!$B$7,IF(UPPER(TRIM(B120))="SWALE",Inputs!$B$8,Inputs!$B$9))))</f>
        <v/>
      </c>
      <c r="J120" s="8"/>
      <c r="K120" s="8"/>
      <c r="L120" s="8"/>
      <c r="M120" s="8"/>
      <c r="N120" s="8">
        <v>0</v>
      </c>
      <c r="O120" s="10" t="str">
        <f>IF(A120="","",SUMIFS(Zones_tributaires!$I:$I,Zones_tributaires!$J:$J,$A120))</f>
        <v/>
      </c>
      <c r="P120" s="10" t="str">
        <f t="shared" si="13"/>
        <v/>
      </c>
      <c r="Q120" s="10" t="str">
        <f>IF(A120="","",(O120+P120)*Inputs!$B$6)</f>
        <v/>
      </c>
      <c r="R120" s="10" t="str">
        <f t="shared" si="14"/>
        <v/>
      </c>
      <c r="S120" s="10" t="str">
        <f t="shared" si="15"/>
        <v/>
      </c>
      <c r="T120" s="10" t="str">
        <f t="shared" si="16"/>
        <v/>
      </c>
      <c r="U120" s="10" t="str">
        <f>IF(OR(T120="",Q120=""),"",Q120/(T120*Inputs!$B$19))</f>
        <v/>
      </c>
      <c r="V120" s="10" t="str">
        <f t="shared" si="17"/>
        <v/>
      </c>
      <c r="W120" s="10" t="str">
        <f t="shared" si="18"/>
        <v/>
      </c>
      <c r="X120" s="10" t="str">
        <f>IF(A120="","",IF(OR(UPPER(TRIM(Inputs!$B$15))="MANNING",UPPER(TRIM(Inputs!$B$15))="M"),W120,IF(OR(UPPER(TRIM(Inputs!$B$15))="MAX",UPPER(TRIM(Inputs!$B$15))="X"),MAX(V120,W120),V120)))</f>
        <v/>
      </c>
      <c r="Y120" s="10" t="str">
        <f t="shared" si="19"/>
        <v/>
      </c>
      <c r="Z120" s="10" t="str">
        <f t="shared" si="20"/>
        <v/>
      </c>
      <c r="AA120" s="3" t="str">
        <f>IF(A120="","",IF(OR(U120&gt;1,AND(X120&lt;&gt;"",X120&lt;Inputs!$B$16),AND(X120&lt;&gt;"",X120&gt;Inputs!$B$17),G120&lt;Inputs!$B$18,AH120="CHECK"),"CHECK","OK"))</f>
        <v/>
      </c>
      <c r="AB120" s="3"/>
      <c r="AC120" s="8"/>
      <c r="AD120" s="10" t="str">
        <f>IF(A120="","",IF(AC120&lt;&gt;"",AC120,IF(E120="",Inputs!$B$38,IFERROR(INDEX($AE$4:$AE$204,MATCH(E120,$A$4:$A$204,0))+IF(OR(AND(UPPER(TRIM(B120))="SWALE",UPPER(TRIM(AI120))="PIPE"),AND(UPPER(TRIM(B120))="TRENCH",UPPER(TRIM(AI120))="PIPE")),Inputs!$B$57,0),""))))</f>
        <v/>
      </c>
      <c r="AE120" s="10" t="str">
        <f t="shared" si="21"/>
        <v/>
      </c>
      <c r="AF120" s="10" t="str">
        <f t="shared" si="22"/>
        <v/>
      </c>
      <c r="AG120" s="10" t="str">
        <f t="shared" si="23"/>
        <v/>
      </c>
      <c r="AH120" s="3" t="str">
        <f>IF(A120="","",IF(E120="","TERMINAL",IF(OR(AND(UPPER(TRIM(B120))="SWALE",UPPER(TRIM(AI120))="PIPE"),AND(UPPER(TRIM(B120))="TRENCH",UPPER(TRIM(AI120))="PIPE")),IF(OR(AG120="",AJ120="",AK120=""),"INFO",IF(AND(AG120&gt;=AJ120,AG120&lt;=AK120),"OK","CHECK")),IF(AG120="","INFO",IF(ABS(AG120)&lt;=Inputs!$B$54,"OK","CHECK")))))</f>
        <v/>
      </c>
      <c r="AI120" s="11" t="str">
        <f t="shared" si="24"/>
        <v/>
      </c>
      <c r="AJ120" s="11" t="str">
        <f>IF(A120="","",IF(OR(AND(UPPER(TRIM(B120))="SWALE",UPPER(TRIM(AI120))="PIPE"),AND(UPPER(TRIM(B120))="TRENCH",UPPER(TRIM(AI120))="PIPE")),Inputs!$B$55,0))</f>
        <v/>
      </c>
      <c r="AK120" s="11" t="str">
        <f>IF(A120="","",IF(OR(AND(UPPER(TRIM(B120))="SWALE",UPPER(TRIM(AI120))="PIPE"),AND(UPPER(TRIM(B120))="TRENCH",UPPER(TRIM(AI120))="PIPE")),Inputs!$B$56,Inputs!$B$54))</f>
        <v/>
      </c>
      <c r="AL120" s="3" t="str">
        <f t="shared" si="25"/>
        <v/>
      </c>
    </row>
    <row r="121" spans="1:38" x14ac:dyDescent="0.25">
      <c r="A121" s="3"/>
      <c r="B121" s="3"/>
      <c r="C121" s="3"/>
      <c r="D121" s="3"/>
      <c r="E121" s="3"/>
      <c r="F121" s="8"/>
      <c r="G121" s="8"/>
      <c r="H121" s="8"/>
      <c r="I121" s="10" t="str">
        <f>IF(A121="","",IF(H121&lt;&gt;"",H121,IF(UPPER(TRIM(B121))="PIPE",Inputs!$B$7,IF(UPPER(TRIM(B121))="SWALE",Inputs!$B$8,Inputs!$B$9))))</f>
        <v/>
      </c>
      <c r="J121" s="8"/>
      <c r="K121" s="8"/>
      <c r="L121" s="8"/>
      <c r="M121" s="8"/>
      <c r="N121" s="8">
        <v>0</v>
      </c>
      <c r="O121" s="10" t="str">
        <f>IF(A121="","",SUMIFS(Zones_tributaires!$I:$I,Zones_tributaires!$J:$J,$A121))</f>
        <v/>
      </c>
      <c r="P121" s="10" t="str">
        <f t="shared" si="13"/>
        <v/>
      </c>
      <c r="Q121" s="10" t="str">
        <f>IF(A121="","",(O121+P121)*Inputs!$B$6)</f>
        <v/>
      </c>
      <c r="R121" s="10" t="str">
        <f t="shared" si="14"/>
        <v/>
      </c>
      <c r="S121" s="10" t="str">
        <f t="shared" si="15"/>
        <v/>
      </c>
      <c r="T121" s="10" t="str">
        <f t="shared" si="16"/>
        <v/>
      </c>
      <c r="U121" s="10" t="str">
        <f>IF(OR(T121="",Q121=""),"",Q121/(T121*Inputs!$B$19))</f>
        <v/>
      </c>
      <c r="V121" s="10" t="str">
        <f t="shared" si="17"/>
        <v/>
      </c>
      <c r="W121" s="10" t="str">
        <f t="shared" si="18"/>
        <v/>
      </c>
      <c r="X121" s="10" t="str">
        <f>IF(A121="","",IF(OR(UPPER(TRIM(Inputs!$B$15))="MANNING",UPPER(TRIM(Inputs!$B$15))="M"),W121,IF(OR(UPPER(TRIM(Inputs!$B$15))="MAX",UPPER(TRIM(Inputs!$B$15))="X"),MAX(V121,W121),V121)))</f>
        <v/>
      </c>
      <c r="Y121" s="10" t="str">
        <f t="shared" si="19"/>
        <v/>
      </c>
      <c r="Z121" s="10" t="str">
        <f t="shared" si="20"/>
        <v/>
      </c>
      <c r="AA121" s="3" t="str">
        <f>IF(A121="","",IF(OR(U121&gt;1,AND(X121&lt;&gt;"",X121&lt;Inputs!$B$16),AND(X121&lt;&gt;"",X121&gt;Inputs!$B$17),G121&lt;Inputs!$B$18,AH121="CHECK"),"CHECK","OK"))</f>
        <v/>
      </c>
      <c r="AB121" s="3"/>
      <c r="AC121" s="8"/>
      <c r="AD121" s="10" t="str">
        <f>IF(A121="","",IF(AC121&lt;&gt;"",AC121,IF(E121="",Inputs!$B$38,IFERROR(INDEX($AE$4:$AE$204,MATCH(E121,$A$4:$A$204,0))+IF(OR(AND(UPPER(TRIM(B121))="SWALE",UPPER(TRIM(AI121))="PIPE"),AND(UPPER(TRIM(B121))="TRENCH",UPPER(TRIM(AI121))="PIPE")),Inputs!$B$57,0),""))))</f>
        <v/>
      </c>
      <c r="AE121" s="10" t="str">
        <f t="shared" si="21"/>
        <v/>
      </c>
      <c r="AF121" s="10" t="str">
        <f t="shared" si="22"/>
        <v/>
      </c>
      <c r="AG121" s="10" t="str">
        <f t="shared" si="23"/>
        <v/>
      </c>
      <c r="AH121" s="3" t="str">
        <f>IF(A121="","",IF(E121="","TERMINAL",IF(OR(AND(UPPER(TRIM(B121))="SWALE",UPPER(TRIM(AI121))="PIPE"),AND(UPPER(TRIM(B121))="TRENCH",UPPER(TRIM(AI121))="PIPE")),IF(OR(AG121="",AJ121="",AK121=""),"INFO",IF(AND(AG121&gt;=AJ121,AG121&lt;=AK121),"OK","CHECK")),IF(AG121="","INFO",IF(ABS(AG121)&lt;=Inputs!$B$54,"OK","CHECK")))))</f>
        <v/>
      </c>
      <c r="AI121" s="11" t="str">
        <f t="shared" si="24"/>
        <v/>
      </c>
      <c r="AJ121" s="11" t="str">
        <f>IF(A121="","",IF(OR(AND(UPPER(TRIM(B121))="SWALE",UPPER(TRIM(AI121))="PIPE"),AND(UPPER(TRIM(B121))="TRENCH",UPPER(TRIM(AI121))="PIPE")),Inputs!$B$55,0))</f>
        <v/>
      </c>
      <c r="AK121" s="11" t="str">
        <f>IF(A121="","",IF(OR(AND(UPPER(TRIM(B121))="SWALE",UPPER(TRIM(AI121))="PIPE"),AND(UPPER(TRIM(B121))="TRENCH",UPPER(TRIM(AI121))="PIPE")),Inputs!$B$56,Inputs!$B$54))</f>
        <v/>
      </c>
      <c r="AL121" s="3" t="str">
        <f t="shared" si="25"/>
        <v/>
      </c>
    </row>
    <row r="122" spans="1:38" x14ac:dyDescent="0.25">
      <c r="A122" s="3"/>
      <c r="B122" s="3"/>
      <c r="C122" s="3"/>
      <c r="D122" s="3"/>
      <c r="E122" s="3"/>
      <c r="F122" s="8"/>
      <c r="G122" s="8"/>
      <c r="H122" s="8"/>
      <c r="I122" s="10" t="str">
        <f>IF(A122="","",IF(H122&lt;&gt;"",H122,IF(UPPER(TRIM(B122))="PIPE",Inputs!$B$7,IF(UPPER(TRIM(B122))="SWALE",Inputs!$B$8,Inputs!$B$9))))</f>
        <v/>
      </c>
      <c r="J122" s="8"/>
      <c r="K122" s="8"/>
      <c r="L122" s="8"/>
      <c r="M122" s="8"/>
      <c r="N122" s="8">
        <v>0</v>
      </c>
      <c r="O122" s="10" t="str">
        <f>IF(A122="","",SUMIFS(Zones_tributaires!$I:$I,Zones_tributaires!$J:$J,$A122))</f>
        <v/>
      </c>
      <c r="P122" s="10" t="str">
        <f t="shared" si="13"/>
        <v/>
      </c>
      <c r="Q122" s="10" t="str">
        <f>IF(A122="","",(O122+P122)*Inputs!$B$6)</f>
        <v/>
      </c>
      <c r="R122" s="10" t="str">
        <f t="shared" si="14"/>
        <v/>
      </c>
      <c r="S122" s="10" t="str">
        <f t="shared" si="15"/>
        <v/>
      </c>
      <c r="T122" s="10" t="str">
        <f t="shared" si="16"/>
        <v/>
      </c>
      <c r="U122" s="10" t="str">
        <f>IF(OR(T122="",Q122=""),"",Q122/(T122*Inputs!$B$19))</f>
        <v/>
      </c>
      <c r="V122" s="10" t="str">
        <f t="shared" si="17"/>
        <v/>
      </c>
      <c r="W122" s="10" t="str">
        <f t="shared" si="18"/>
        <v/>
      </c>
      <c r="X122" s="10" t="str">
        <f>IF(A122="","",IF(OR(UPPER(TRIM(Inputs!$B$15))="MANNING",UPPER(TRIM(Inputs!$B$15))="M"),W122,IF(OR(UPPER(TRIM(Inputs!$B$15))="MAX",UPPER(TRIM(Inputs!$B$15))="X"),MAX(V122,W122),V122)))</f>
        <v/>
      </c>
      <c r="Y122" s="10" t="str">
        <f t="shared" si="19"/>
        <v/>
      </c>
      <c r="Z122" s="10" t="str">
        <f t="shared" si="20"/>
        <v/>
      </c>
      <c r="AA122" s="3" t="str">
        <f>IF(A122="","",IF(OR(U122&gt;1,AND(X122&lt;&gt;"",X122&lt;Inputs!$B$16),AND(X122&lt;&gt;"",X122&gt;Inputs!$B$17),G122&lt;Inputs!$B$18,AH122="CHECK"),"CHECK","OK"))</f>
        <v/>
      </c>
      <c r="AB122" s="3"/>
      <c r="AC122" s="8"/>
      <c r="AD122" s="10" t="str">
        <f>IF(A122="","",IF(AC122&lt;&gt;"",AC122,IF(E122="",Inputs!$B$38,IFERROR(INDEX($AE$4:$AE$204,MATCH(E122,$A$4:$A$204,0))+IF(OR(AND(UPPER(TRIM(B122))="SWALE",UPPER(TRIM(AI122))="PIPE"),AND(UPPER(TRIM(B122))="TRENCH",UPPER(TRIM(AI122))="PIPE")),Inputs!$B$57,0),""))))</f>
        <v/>
      </c>
      <c r="AE122" s="10" t="str">
        <f t="shared" si="21"/>
        <v/>
      </c>
      <c r="AF122" s="10" t="str">
        <f t="shared" si="22"/>
        <v/>
      </c>
      <c r="AG122" s="10" t="str">
        <f t="shared" si="23"/>
        <v/>
      </c>
      <c r="AH122" s="3" t="str">
        <f>IF(A122="","",IF(E122="","TERMINAL",IF(OR(AND(UPPER(TRIM(B122))="SWALE",UPPER(TRIM(AI122))="PIPE"),AND(UPPER(TRIM(B122))="TRENCH",UPPER(TRIM(AI122))="PIPE")),IF(OR(AG122="",AJ122="",AK122=""),"INFO",IF(AND(AG122&gt;=AJ122,AG122&lt;=AK122),"OK","CHECK")),IF(AG122="","INFO",IF(ABS(AG122)&lt;=Inputs!$B$54,"OK","CHECK")))))</f>
        <v/>
      </c>
      <c r="AI122" s="11" t="str">
        <f t="shared" si="24"/>
        <v/>
      </c>
      <c r="AJ122" s="11" t="str">
        <f>IF(A122="","",IF(OR(AND(UPPER(TRIM(B122))="SWALE",UPPER(TRIM(AI122))="PIPE"),AND(UPPER(TRIM(B122))="TRENCH",UPPER(TRIM(AI122))="PIPE")),Inputs!$B$55,0))</f>
        <v/>
      </c>
      <c r="AK122" s="11" t="str">
        <f>IF(A122="","",IF(OR(AND(UPPER(TRIM(B122))="SWALE",UPPER(TRIM(AI122))="PIPE"),AND(UPPER(TRIM(B122))="TRENCH",UPPER(TRIM(AI122))="PIPE")),Inputs!$B$56,Inputs!$B$54))</f>
        <v/>
      </c>
      <c r="AL122" s="3" t="str">
        <f t="shared" si="25"/>
        <v/>
      </c>
    </row>
    <row r="123" spans="1:38" x14ac:dyDescent="0.25">
      <c r="A123" s="3"/>
      <c r="B123" s="3"/>
      <c r="C123" s="3"/>
      <c r="D123" s="3"/>
      <c r="E123" s="3"/>
      <c r="F123" s="8"/>
      <c r="G123" s="8"/>
      <c r="H123" s="8"/>
      <c r="I123" s="10" t="str">
        <f>IF(A123="","",IF(H123&lt;&gt;"",H123,IF(UPPER(TRIM(B123))="PIPE",Inputs!$B$7,IF(UPPER(TRIM(B123))="SWALE",Inputs!$B$8,Inputs!$B$9))))</f>
        <v/>
      </c>
      <c r="J123" s="8"/>
      <c r="K123" s="8"/>
      <c r="L123" s="8"/>
      <c r="M123" s="8"/>
      <c r="N123" s="8">
        <v>0</v>
      </c>
      <c r="O123" s="10" t="str">
        <f>IF(A123="","",SUMIFS(Zones_tributaires!$I:$I,Zones_tributaires!$J:$J,$A123))</f>
        <v/>
      </c>
      <c r="P123" s="10" t="str">
        <f t="shared" si="13"/>
        <v/>
      </c>
      <c r="Q123" s="10" t="str">
        <f>IF(A123="","",(O123+P123)*Inputs!$B$6)</f>
        <v/>
      </c>
      <c r="R123" s="10" t="str">
        <f t="shared" si="14"/>
        <v/>
      </c>
      <c r="S123" s="10" t="str">
        <f t="shared" si="15"/>
        <v/>
      </c>
      <c r="T123" s="10" t="str">
        <f t="shared" si="16"/>
        <v/>
      </c>
      <c r="U123" s="10" t="str">
        <f>IF(OR(T123="",Q123=""),"",Q123/(T123*Inputs!$B$19))</f>
        <v/>
      </c>
      <c r="V123" s="10" t="str">
        <f t="shared" si="17"/>
        <v/>
      </c>
      <c r="W123" s="10" t="str">
        <f t="shared" si="18"/>
        <v/>
      </c>
      <c r="X123" s="10" t="str">
        <f>IF(A123="","",IF(OR(UPPER(TRIM(Inputs!$B$15))="MANNING",UPPER(TRIM(Inputs!$B$15))="M"),W123,IF(OR(UPPER(TRIM(Inputs!$B$15))="MAX",UPPER(TRIM(Inputs!$B$15))="X"),MAX(V123,W123),V123)))</f>
        <v/>
      </c>
      <c r="Y123" s="10" t="str">
        <f t="shared" si="19"/>
        <v/>
      </c>
      <c r="Z123" s="10" t="str">
        <f t="shared" si="20"/>
        <v/>
      </c>
      <c r="AA123" s="3" t="str">
        <f>IF(A123="","",IF(OR(U123&gt;1,AND(X123&lt;&gt;"",X123&lt;Inputs!$B$16),AND(X123&lt;&gt;"",X123&gt;Inputs!$B$17),G123&lt;Inputs!$B$18,AH123="CHECK"),"CHECK","OK"))</f>
        <v/>
      </c>
      <c r="AB123" s="3"/>
      <c r="AC123" s="8"/>
      <c r="AD123" s="10" t="str">
        <f>IF(A123="","",IF(AC123&lt;&gt;"",AC123,IF(E123="",Inputs!$B$38,IFERROR(INDEX($AE$4:$AE$204,MATCH(E123,$A$4:$A$204,0))+IF(OR(AND(UPPER(TRIM(B123))="SWALE",UPPER(TRIM(AI123))="PIPE"),AND(UPPER(TRIM(B123))="TRENCH",UPPER(TRIM(AI123))="PIPE")),Inputs!$B$57,0),""))))</f>
        <v/>
      </c>
      <c r="AE123" s="10" t="str">
        <f t="shared" si="21"/>
        <v/>
      </c>
      <c r="AF123" s="10" t="str">
        <f t="shared" si="22"/>
        <v/>
      </c>
      <c r="AG123" s="10" t="str">
        <f t="shared" si="23"/>
        <v/>
      </c>
      <c r="AH123" s="3" t="str">
        <f>IF(A123="","",IF(E123="","TERMINAL",IF(OR(AND(UPPER(TRIM(B123))="SWALE",UPPER(TRIM(AI123))="PIPE"),AND(UPPER(TRIM(B123))="TRENCH",UPPER(TRIM(AI123))="PIPE")),IF(OR(AG123="",AJ123="",AK123=""),"INFO",IF(AND(AG123&gt;=AJ123,AG123&lt;=AK123),"OK","CHECK")),IF(AG123="","INFO",IF(ABS(AG123)&lt;=Inputs!$B$54,"OK","CHECK")))))</f>
        <v/>
      </c>
      <c r="AI123" s="11" t="str">
        <f t="shared" si="24"/>
        <v/>
      </c>
      <c r="AJ123" s="11" t="str">
        <f>IF(A123="","",IF(OR(AND(UPPER(TRIM(B123))="SWALE",UPPER(TRIM(AI123))="PIPE"),AND(UPPER(TRIM(B123))="TRENCH",UPPER(TRIM(AI123))="PIPE")),Inputs!$B$55,0))</f>
        <v/>
      </c>
      <c r="AK123" s="11" t="str">
        <f>IF(A123="","",IF(OR(AND(UPPER(TRIM(B123))="SWALE",UPPER(TRIM(AI123))="PIPE"),AND(UPPER(TRIM(B123))="TRENCH",UPPER(TRIM(AI123))="PIPE")),Inputs!$B$56,Inputs!$B$54))</f>
        <v/>
      </c>
      <c r="AL123" s="3" t="str">
        <f t="shared" si="25"/>
        <v/>
      </c>
    </row>
    <row r="124" spans="1:38" x14ac:dyDescent="0.25">
      <c r="A124" s="3"/>
      <c r="B124" s="3"/>
      <c r="C124" s="3"/>
      <c r="D124" s="3"/>
      <c r="E124" s="3"/>
      <c r="F124" s="8"/>
      <c r="G124" s="8"/>
      <c r="H124" s="8"/>
      <c r="I124" s="10" t="str">
        <f>IF(A124="","",IF(H124&lt;&gt;"",H124,IF(UPPER(TRIM(B124))="PIPE",Inputs!$B$7,IF(UPPER(TRIM(B124))="SWALE",Inputs!$B$8,Inputs!$B$9))))</f>
        <v/>
      </c>
      <c r="J124" s="8"/>
      <c r="K124" s="8"/>
      <c r="L124" s="8"/>
      <c r="M124" s="8"/>
      <c r="N124" s="8">
        <v>0</v>
      </c>
      <c r="O124" s="10" t="str">
        <f>IF(A124="","",SUMIFS(Zones_tributaires!$I:$I,Zones_tributaires!$J:$J,$A124))</f>
        <v/>
      </c>
      <c r="P124" s="10" t="str">
        <f t="shared" si="13"/>
        <v/>
      </c>
      <c r="Q124" s="10" t="str">
        <f>IF(A124="","",(O124+P124)*Inputs!$B$6)</f>
        <v/>
      </c>
      <c r="R124" s="10" t="str">
        <f t="shared" si="14"/>
        <v/>
      </c>
      <c r="S124" s="10" t="str">
        <f t="shared" si="15"/>
        <v/>
      </c>
      <c r="T124" s="10" t="str">
        <f t="shared" si="16"/>
        <v/>
      </c>
      <c r="U124" s="10" t="str">
        <f>IF(OR(T124="",Q124=""),"",Q124/(T124*Inputs!$B$19))</f>
        <v/>
      </c>
      <c r="V124" s="10" t="str">
        <f t="shared" si="17"/>
        <v/>
      </c>
      <c r="W124" s="10" t="str">
        <f t="shared" si="18"/>
        <v/>
      </c>
      <c r="X124" s="10" t="str">
        <f>IF(A124="","",IF(OR(UPPER(TRIM(Inputs!$B$15))="MANNING",UPPER(TRIM(Inputs!$B$15))="M"),W124,IF(OR(UPPER(TRIM(Inputs!$B$15))="MAX",UPPER(TRIM(Inputs!$B$15))="X"),MAX(V124,W124),V124)))</f>
        <v/>
      </c>
      <c r="Y124" s="10" t="str">
        <f t="shared" si="19"/>
        <v/>
      </c>
      <c r="Z124" s="10" t="str">
        <f t="shared" si="20"/>
        <v/>
      </c>
      <c r="AA124" s="3" t="str">
        <f>IF(A124="","",IF(OR(U124&gt;1,AND(X124&lt;&gt;"",X124&lt;Inputs!$B$16),AND(X124&lt;&gt;"",X124&gt;Inputs!$B$17),G124&lt;Inputs!$B$18,AH124="CHECK"),"CHECK","OK"))</f>
        <v/>
      </c>
      <c r="AB124" s="3"/>
      <c r="AC124" s="8"/>
      <c r="AD124" s="10" t="str">
        <f>IF(A124="","",IF(AC124&lt;&gt;"",AC124,IF(E124="",Inputs!$B$38,IFERROR(INDEX($AE$4:$AE$204,MATCH(E124,$A$4:$A$204,0))+IF(OR(AND(UPPER(TRIM(B124))="SWALE",UPPER(TRIM(AI124))="PIPE"),AND(UPPER(TRIM(B124))="TRENCH",UPPER(TRIM(AI124))="PIPE")),Inputs!$B$57,0),""))))</f>
        <v/>
      </c>
      <c r="AE124" s="10" t="str">
        <f t="shared" si="21"/>
        <v/>
      </c>
      <c r="AF124" s="10" t="str">
        <f t="shared" si="22"/>
        <v/>
      </c>
      <c r="AG124" s="10" t="str">
        <f t="shared" si="23"/>
        <v/>
      </c>
      <c r="AH124" s="3" t="str">
        <f>IF(A124="","",IF(E124="","TERMINAL",IF(OR(AND(UPPER(TRIM(B124))="SWALE",UPPER(TRIM(AI124))="PIPE"),AND(UPPER(TRIM(B124))="TRENCH",UPPER(TRIM(AI124))="PIPE")),IF(OR(AG124="",AJ124="",AK124=""),"INFO",IF(AND(AG124&gt;=AJ124,AG124&lt;=AK124),"OK","CHECK")),IF(AG124="","INFO",IF(ABS(AG124)&lt;=Inputs!$B$54,"OK","CHECK")))))</f>
        <v/>
      </c>
      <c r="AI124" s="11" t="str">
        <f t="shared" si="24"/>
        <v/>
      </c>
      <c r="AJ124" s="11" t="str">
        <f>IF(A124="","",IF(OR(AND(UPPER(TRIM(B124))="SWALE",UPPER(TRIM(AI124))="PIPE"),AND(UPPER(TRIM(B124))="TRENCH",UPPER(TRIM(AI124))="PIPE")),Inputs!$B$55,0))</f>
        <v/>
      </c>
      <c r="AK124" s="11" t="str">
        <f>IF(A124="","",IF(OR(AND(UPPER(TRIM(B124))="SWALE",UPPER(TRIM(AI124))="PIPE"),AND(UPPER(TRIM(B124))="TRENCH",UPPER(TRIM(AI124))="PIPE")),Inputs!$B$56,Inputs!$B$54))</f>
        <v/>
      </c>
      <c r="AL124" s="3" t="str">
        <f t="shared" si="25"/>
        <v/>
      </c>
    </row>
    <row r="125" spans="1:38" x14ac:dyDescent="0.25">
      <c r="A125" s="3"/>
      <c r="B125" s="3"/>
      <c r="C125" s="3"/>
      <c r="D125" s="3"/>
      <c r="E125" s="3"/>
      <c r="F125" s="8"/>
      <c r="G125" s="8"/>
      <c r="H125" s="8"/>
      <c r="I125" s="10" t="str">
        <f>IF(A125="","",IF(H125&lt;&gt;"",H125,IF(UPPER(TRIM(B125))="PIPE",Inputs!$B$7,IF(UPPER(TRIM(B125))="SWALE",Inputs!$B$8,Inputs!$B$9))))</f>
        <v/>
      </c>
      <c r="J125" s="8"/>
      <c r="K125" s="8"/>
      <c r="L125" s="8"/>
      <c r="M125" s="8"/>
      <c r="N125" s="8">
        <v>0</v>
      </c>
      <c r="O125" s="10" t="str">
        <f>IF(A125="","",SUMIFS(Zones_tributaires!$I:$I,Zones_tributaires!$J:$J,$A125))</f>
        <v/>
      </c>
      <c r="P125" s="10" t="str">
        <f t="shared" si="13"/>
        <v/>
      </c>
      <c r="Q125" s="10" t="str">
        <f>IF(A125="","",(O125+P125)*Inputs!$B$6)</f>
        <v/>
      </c>
      <c r="R125" s="10" t="str">
        <f t="shared" si="14"/>
        <v/>
      </c>
      <c r="S125" s="10" t="str">
        <f t="shared" si="15"/>
        <v/>
      </c>
      <c r="T125" s="10" t="str">
        <f t="shared" si="16"/>
        <v/>
      </c>
      <c r="U125" s="10" t="str">
        <f>IF(OR(T125="",Q125=""),"",Q125/(T125*Inputs!$B$19))</f>
        <v/>
      </c>
      <c r="V125" s="10" t="str">
        <f t="shared" si="17"/>
        <v/>
      </c>
      <c r="W125" s="10" t="str">
        <f t="shared" si="18"/>
        <v/>
      </c>
      <c r="X125" s="10" t="str">
        <f>IF(A125="","",IF(OR(UPPER(TRIM(Inputs!$B$15))="MANNING",UPPER(TRIM(Inputs!$B$15))="M"),W125,IF(OR(UPPER(TRIM(Inputs!$B$15))="MAX",UPPER(TRIM(Inputs!$B$15))="X"),MAX(V125,W125),V125)))</f>
        <v/>
      </c>
      <c r="Y125" s="10" t="str">
        <f t="shared" si="19"/>
        <v/>
      </c>
      <c r="Z125" s="10" t="str">
        <f t="shared" si="20"/>
        <v/>
      </c>
      <c r="AA125" s="3" t="str">
        <f>IF(A125="","",IF(OR(U125&gt;1,AND(X125&lt;&gt;"",X125&lt;Inputs!$B$16),AND(X125&lt;&gt;"",X125&gt;Inputs!$B$17),G125&lt;Inputs!$B$18,AH125="CHECK"),"CHECK","OK"))</f>
        <v/>
      </c>
      <c r="AB125" s="3"/>
      <c r="AC125" s="8"/>
      <c r="AD125" s="10" t="str">
        <f>IF(A125="","",IF(AC125&lt;&gt;"",AC125,IF(E125="",Inputs!$B$38,IFERROR(INDEX($AE$4:$AE$204,MATCH(E125,$A$4:$A$204,0))+IF(OR(AND(UPPER(TRIM(B125))="SWALE",UPPER(TRIM(AI125))="PIPE"),AND(UPPER(TRIM(B125))="TRENCH",UPPER(TRIM(AI125))="PIPE")),Inputs!$B$57,0),""))))</f>
        <v/>
      </c>
      <c r="AE125" s="10" t="str">
        <f t="shared" si="21"/>
        <v/>
      </c>
      <c r="AF125" s="10" t="str">
        <f t="shared" si="22"/>
        <v/>
      </c>
      <c r="AG125" s="10" t="str">
        <f t="shared" si="23"/>
        <v/>
      </c>
      <c r="AH125" s="3" t="str">
        <f>IF(A125="","",IF(E125="","TERMINAL",IF(OR(AND(UPPER(TRIM(B125))="SWALE",UPPER(TRIM(AI125))="PIPE"),AND(UPPER(TRIM(B125))="TRENCH",UPPER(TRIM(AI125))="PIPE")),IF(OR(AG125="",AJ125="",AK125=""),"INFO",IF(AND(AG125&gt;=AJ125,AG125&lt;=AK125),"OK","CHECK")),IF(AG125="","INFO",IF(ABS(AG125)&lt;=Inputs!$B$54,"OK","CHECK")))))</f>
        <v/>
      </c>
      <c r="AI125" s="11" t="str">
        <f t="shared" si="24"/>
        <v/>
      </c>
      <c r="AJ125" s="11" t="str">
        <f>IF(A125="","",IF(OR(AND(UPPER(TRIM(B125))="SWALE",UPPER(TRIM(AI125))="PIPE"),AND(UPPER(TRIM(B125))="TRENCH",UPPER(TRIM(AI125))="PIPE")),Inputs!$B$55,0))</f>
        <v/>
      </c>
      <c r="AK125" s="11" t="str">
        <f>IF(A125="","",IF(OR(AND(UPPER(TRIM(B125))="SWALE",UPPER(TRIM(AI125))="PIPE"),AND(UPPER(TRIM(B125))="TRENCH",UPPER(TRIM(AI125))="PIPE")),Inputs!$B$56,Inputs!$B$54))</f>
        <v/>
      </c>
      <c r="AL125" s="3" t="str">
        <f t="shared" si="25"/>
        <v/>
      </c>
    </row>
    <row r="126" spans="1:38" x14ac:dyDescent="0.25">
      <c r="A126" s="3"/>
      <c r="B126" s="3"/>
      <c r="C126" s="3"/>
      <c r="D126" s="3"/>
      <c r="E126" s="3"/>
      <c r="F126" s="8"/>
      <c r="G126" s="8"/>
      <c r="H126" s="8"/>
      <c r="I126" s="10" t="str">
        <f>IF(A126="","",IF(H126&lt;&gt;"",H126,IF(UPPER(TRIM(B126))="PIPE",Inputs!$B$7,IF(UPPER(TRIM(B126))="SWALE",Inputs!$B$8,Inputs!$B$9))))</f>
        <v/>
      </c>
      <c r="J126" s="8"/>
      <c r="K126" s="8"/>
      <c r="L126" s="8"/>
      <c r="M126" s="8"/>
      <c r="N126" s="8">
        <v>0</v>
      </c>
      <c r="O126" s="10" t="str">
        <f>IF(A126="","",SUMIFS(Zones_tributaires!$I:$I,Zones_tributaires!$J:$J,$A126))</f>
        <v/>
      </c>
      <c r="P126" s="10" t="str">
        <f t="shared" si="13"/>
        <v/>
      </c>
      <c r="Q126" s="10" t="str">
        <f>IF(A126="","",(O126+P126)*Inputs!$B$6)</f>
        <v/>
      </c>
      <c r="R126" s="10" t="str">
        <f t="shared" si="14"/>
        <v/>
      </c>
      <c r="S126" s="10" t="str">
        <f t="shared" si="15"/>
        <v/>
      </c>
      <c r="T126" s="10" t="str">
        <f t="shared" si="16"/>
        <v/>
      </c>
      <c r="U126" s="10" t="str">
        <f>IF(OR(T126="",Q126=""),"",Q126/(T126*Inputs!$B$19))</f>
        <v/>
      </c>
      <c r="V126" s="10" t="str">
        <f t="shared" si="17"/>
        <v/>
      </c>
      <c r="W126" s="10" t="str">
        <f t="shared" si="18"/>
        <v/>
      </c>
      <c r="X126" s="10" t="str">
        <f>IF(A126="","",IF(OR(UPPER(TRIM(Inputs!$B$15))="MANNING",UPPER(TRIM(Inputs!$B$15))="M"),W126,IF(OR(UPPER(TRIM(Inputs!$B$15))="MAX",UPPER(TRIM(Inputs!$B$15))="X"),MAX(V126,W126),V126)))</f>
        <v/>
      </c>
      <c r="Y126" s="10" t="str">
        <f t="shared" si="19"/>
        <v/>
      </c>
      <c r="Z126" s="10" t="str">
        <f t="shared" si="20"/>
        <v/>
      </c>
      <c r="AA126" s="3" t="str">
        <f>IF(A126="","",IF(OR(U126&gt;1,AND(X126&lt;&gt;"",X126&lt;Inputs!$B$16),AND(X126&lt;&gt;"",X126&gt;Inputs!$B$17),G126&lt;Inputs!$B$18,AH126="CHECK"),"CHECK","OK"))</f>
        <v/>
      </c>
      <c r="AB126" s="3"/>
      <c r="AC126" s="8"/>
      <c r="AD126" s="10" t="str">
        <f>IF(A126="","",IF(AC126&lt;&gt;"",AC126,IF(E126="",Inputs!$B$38,IFERROR(INDEX($AE$4:$AE$204,MATCH(E126,$A$4:$A$204,0))+IF(OR(AND(UPPER(TRIM(B126))="SWALE",UPPER(TRIM(AI126))="PIPE"),AND(UPPER(TRIM(B126))="TRENCH",UPPER(TRIM(AI126))="PIPE")),Inputs!$B$57,0),""))))</f>
        <v/>
      </c>
      <c r="AE126" s="10" t="str">
        <f t="shared" si="21"/>
        <v/>
      </c>
      <c r="AF126" s="10" t="str">
        <f t="shared" si="22"/>
        <v/>
      </c>
      <c r="AG126" s="10" t="str">
        <f t="shared" si="23"/>
        <v/>
      </c>
      <c r="AH126" s="3" t="str">
        <f>IF(A126="","",IF(E126="","TERMINAL",IF(OR(AND(UPPER(TRIM(B126))="SWALE",UPPER(TRIM(AI126))="PIPE"),AND(UPPER(TRIM(B126))="TRENCH",UPPER(TRIM(AI126))="PIPE")),IF(OR(AG126="",AJ126="",AK126=""),"INFO",IF(AND(AG126&gt;=AJ126,AG126&lt;=AK126),"OK","CHECK")),IF(AG126="","INFO",IF(ABS(AG126)&lt;=Inputs!$B$54,"OK","CHECK")))))</f>
        <v/>
      </c>
      <c r="AI126" s="11" t="str">
        <f t="shared" si="24"/>
        <v/>
      </c>
      <c r="AJ126" s="11" t="str">
        <f>IF(A126="","",IF(OR(AND(UPPER(TRIM(B126))="SWALE",UPPER(TRIM(AI126))="PIPE"),AND(UPPER(TRIM(B126))="TRENCH",UPPER(TRIM(AI126))="PIPE")),Inputs!$B$55,0))</f>
        <v/>
      </c>
      <c r="AK126" s="11" t="str">
        <f>IF(A126="","",IF(OR(AND(UPPER(TRIM(B126))="SWALE",UPPER(TRIM(AI126))="PIPE"),AND(UPPER(TRIM(B126))="TRENCH",UPPER(TRIM(AI126))="PIPE")),Inputs!$B$56,Inputs!$B$54))</f>
        <v/>
      </c>
      <c r="AL126" s="3" t="str">
        <f t="shared" si="25"/>
        <v/>
      </c>
    </row>
    <row r="127" spans="1:38" x14ac:dyDescent="0.25">
      <c r="A127" s="3"/>
      <c r="B127" s="3"/>
      <c r="C127" s="3"/>
      <c r="D127" s="3"/>
      <c r="E127" s="3"/>
      <c r="F127" s="8"/>
      <c r="G127" s="8"/>
      <c r="H127" s="8"/>
      <c r="I127" s="10" t="str">
        <f>IF(A127="","",IF(H127&lt;&gt;"",H127,IF(UPPER(TRIM(B127))="PIPE",Inputs!$B$7,IF(UPPER(TRIM(B127))="SWALE",Inputs!$B$8,Inputs!$B$9))))</f>
        <v/>
      </c>
      <c r="J127" s="8"/>
      <c r="K127" s="8"/>
      <c r="L127" s="8"/>
      <c r="M127" s="8"/>
      <c r="N127" s="8">
        <v>0</v>
      </c>
      <c r="O127" s="10" t="str">
        <f>IF(A127="","",SUMIFS(Zones_tributaires!$I:$I,Zones_tributaires!$J:$J,$A127))</f>
        <v/>
      </c>
      <c r="P127" s="10" t="str">
        <f t="shared" si="13"/>
        <v/>
      </c>
      <c r="Q127" s="10" t="str">
        <f>IF(A127="","",(O127+P127)*Inputs!$B$6)</f>
        <v/>
      </c>
      <c r="R127" s="10" t="str">
        <f t="shared" si="14"/>
        <v/>
      </c>
      <c r="S127" s="10" t="str">
        <f t="shared" si="15"/>
        <v/>
      </c>
      <c r="T127" s="10" t="str">
        <f t="shared" si="16"/>
        <v/>
      </c>
      <c r="U127" s="10" t="str">
        <f>IF(OR(T127="",Q127=""),"",Q127/(T127*Inputs!$B$19))</f>
        <v/>
      </c>
      <c r="V127" s="10" t="str">
        <f t="shared" si="17"/>
        <v/>
      </c>
      <c r="W127" s="10" t="str">
        <f t="shared" si="18"/>
        <v/>
      </c>
      <c r="X127" s="10" t="str">
        <f>IF(A127="","",IF(OR(UPPER(TRIM(Inputs!$B$15))="MANNING",UPPER(TRIM(Inputs!$B$15))="M"),W127,IF(OR(UPPER(TRIM(Inputs!$B$15))="MAX",UPPER(TRIM(Inputs!$B$15))="X"),MAX(V127,W127),V127)))</f>
        <v/>
      </c>
      <c r="Y127" s="10" t="str">
        <f t="shared" si="19"/>
        <v/>
      </c>
      <c r="Z127" s="10" t="str">
        <f t="shared" si="20"/>
        <v/>
      </c>
      <c r="AA127" s="3" t="str">
        <f>IF(A127="","",IF(OR(U127&gt;1,AND(X127&lt;&gt;"",X127&lt;Inputs!$B$16),AND(X127&lt;&gt;"",X127&gt;Inputs!$B$17),G127&lt;Inputs!$B$18,AH127="CHECK"),"CHECK","OK"))</f>
        <v/>
      </c>
      <c r="AB127" s="3"/>
      <c r="AC127" s="8"/>
      <c r="AD127" s="10" t="str">
        <f>IF(A127="","",IF(AC127&lt;&gt;"",AC127,IF(E127="",Inputs!$B$38,IFERROR(INDEX($AE$4:$AE$204,MATCH(E127,$A$4:$A$204,0))+IF(OR(AND(UPPER(TRIM(B127))="SWALE",UPPER(TRIM(AI127))="PIPE"),AND(UPPER(TRIM(B127))="TRENCH",UPPER(TRIM(AI127))="PIPE")),Inputs!$B$57,0),""))))</f>
        <v/>
      </c>
      <c r="AE127" s="10" t="str">
        <f t="shared" si="21"/>
        <v/>
      </c>
      <c r="AF127" s="10" t="str">
        <f t="shared" si="22"/>
        <v/>
      </c>
      <c r="AG127" s="10" t="str">
        <f t="shared" si="23"/>
        <v/>
      </c>
      <c r="AH127" s="3" t="str">
        <f>IF(A127="","",IF(E127="","TERMINAL",IF(OR(AND(UPPER(TRIM(B127))="SWALE",UPPER(TRIM(AI127))="PIPE"),AND(UPPER(TRIM(B127))="TRENCH",UPPER(TRIM(AI127))="PIPE")),IF(OR(AG127="",AJ127="",AK127=""),"INFO",IF(AND(AG127&gt;=AJ127,AG127&lt;=AK127),"OK","CHECK")),IF(AG127="","INFO",IF(ABS(AG127)&lt;=Inputs!$B$54,"OK","CHECK")))))</f>
        <v/>
      </c>
      <c r="AI127" s="11" t="str">
        <f t="shared" si="24"/>
        <v/>
      </c>
      <c r="AJ127" s="11" t="str">
        <f>IF(A127="","",IF(OR(AND(UPPER(TRIM(B127))="SWALE",UPPER(TRIM(AI127))="PIPE"),AND(UPPER(TRIM(B127))="TRENCH",UPPER(TRIM(AI127))="PIPE")),Inputs!$B$55,0))</f>
        <v/>
      </c>
      <c r="AK127" s="11" t="str">
        <f>IF(A127="","",IF(OR(AND(UPPER(TRIM(B127))="SWALE",UPPER(TRIM(AI127))="PIPE"),AND(UPPER(TRIM(B127))="TRENCH",UPPER(TRIM(AI127))="PIPE")),Inputs!$B$56,Inputs!$B$54))</f>
        <v/>
      </c>
      <c r="AL127" s="3" t="str">
        <f t="shared" si="25"/>
        <v/>
      </c>
    </row>
    <row r="128" spans="1:38" x14ac:dyDescent="0.25">
      <c r="A128" s="3"/>
      <c r="B128" s="3"/>
      <c r="C128" s="3"/>
      <c r="D128" s="3"/>
      <c r="E128" s="3"/>
      <c r="F128" s="8"/>
      <c r="G128" s="8"/>
      <c r="H128" s="8"/>
      <c r="I128" s="10" t="str">
        <f>IF(A128="","",IF(H128&lt;&gt;"",H128,IF(UPPER(TRIM(B128))="PIPE",Inputs!$B$7,IF(UPPER(TRIM(B128))="SWALE",Inputs!$B$8,Inputs!$B$9))))</f>
        <v/>
      </c>
      <c r="J128" s="8"/>
      <c r="K128" s="8"/>
      <c r="L128" s="8"/>
      <c r="M128" s="8"/>
      <c r="N128" s="8">
        <v>0</v>
      </c>
      <c r="O128" s="10" t="str">
        <f>IF(A128="","",SUMIFS(Zones_tributaires!$I:$I,Zones_tributaires!$J:$J,$A128))</f>
        <v/>
      </c>
      <c r="P128" s="10" t="str">
        <f t="shared" si="13"/>
        <v/>
      </c>
      <c r="Q128" s="10" t="str">
        <f>IF(A128="","",(O128+P128)*Inputs!$B$6)</f>
        <v/>
      </c>
      <c r="R128" s="10" t="str">
        <f t="shared" si="14"/>
        <v/>
      </c>
      <c r="S128" s="10" t="str">
        <f t="shared" si="15"/>
        <v/>
      </c>
      <c r="T128" s="10" t="str">
        <f t="shared" si="16"/>
        <v/>
      </c>
      <c r="U128" s="10" t="str">
        <f>IF(OR(T128="",Q128=""),"",Q128/(T128*Inputs!$B$19))</f>
        <v/>
      </c>
      <c r="V128" s="10" t="str">
        <f t="shared" si="17"/>
        <v/>
      </c>
      <c r="W128" s="10" t="str">
        <f t="shared" si="18"/>
        <v/>
      </c>
      <c r="X128" s="10" t="str">
        <f>IF(A128="","",IF(OR(UPPER(TRIM(Inputs!$B$15))="MANNING",UPPER(TRIM(Inputs!$B$15))="M"),W128,IF(OR(UPPER(TRIM(Inputs!$B$15))="MAX",UPPER(TRIM(Inputs!$B$15))="X"),MAX(V128,W128),V128)))</f>
        <v/>
      </c>
      <c r="Y128" s="10" t="str">
        <f t="shared" si="19"/>
        <v/>
      </c>
      <c r="Z128" s="10" t="str">
        <f t="shared" si="20"/>
        <v/>
      </c>
      <c r="AA128" s="3" t="str">
        <f>IF(A128="","",IF(OR(U128&gt;1,AND(X128&lt;&gt;"",X128&lt;Inputs!$B$16),AND(X128&lt;&gt;"",X128&gt;Inputs!$B$17),G128&lt;Inputs!$B$18,AH128="CHECK"),"CHECK","OK"))</f>
        <v/>
      </c>
      <c r="AB128" s="3"/>
      <c r="AC128" s="8"/>
      <c r="AD128" s="10" t="str">
        <f>IF(A128="","",IF(AC128&lt;&gt;"",AC128,IF(E128="",Inputs!$B$38,IFERROR(INDEX($AE$4:$AE$204,MATCH(E128,$A$4:$A$204,0))+IF(OR(AND(UPPER(TRIM(B128))="SWALE",UPPER(TRIM(AI128))="PIPE"),AND(UPPER(TRIM(B128))="TRENCH",UPPER(TRIM(AI128))="PIPE")),Inputs!$B$57,0),""))))</f>
        <v/>
      </c>
      <c r="AE128" s="10" t="str">
        <f t="shared" si="21"/>
        <v/>
      </c>
      <c r="AF128" s="10" t="str">
        <f t="shared" si="22"/>
        <v/>
      </c>
      <c r="AG128" s="10" t="str">
        <f t="shared" si="23"/>
        <v/>
      </c>
      <c r="AH128" s="3" t="str">
        <f>IF(A128="","",IF(E128="","TERMINAL",IF(OR(AND(UPPER(TRIM(B128))="SWALE",UPPER(TRIM(AI128))="PIPE"),AND(UPPER(TRIM(B128))="TRENCH",UPPER(TRIM(AI128))="PIPE")),IF(OR(AG128="",AJ128="",AK128=""),"INFO",IF(AND(AG128&gt;=AJ128,AG128&lt;=AK128),"OK","CHECK")),IF(AG128="","INFO",IF(ABS(AG128)&lt;=Inputs!$B$54,"OK","CHECK")))))</f>
        <v/>
      </c>
      <c r="AI128" s="11" t="str">
        <f t="shared" si="24"/>
        <v/>
      </c>
      <c r="AJ128" s="11" t="str">
        <f>IF(A128="","",IF(OR(AND(UPPER(TRIM(B128))="SWALE",UPPER(TRIM(AI128))="PIPE"),AND(UPPER(TRIM(B128))="TRENCH",UPPER(TRIM(AI128))="PIPE")),Inputs!$B$55,0))</f>
        <v/>
      </c>
      <c r="AK128" s="11" t="str">
        <f>IF(A128="","",IF(OR(AND(UPPER(TRIM(B128))="SWALE",UPPER(TRIM(AI128))="PIPE"),AND(UPPER(TRIM(B128))="TRENCH",UPPER(TRIM(AI128))="PIPE")),Inputs!$B$56,Inputs!$B$54))</f>
        <v/>
      </c>
      <c r="AL128" s="3" t="str">
        <f t="shared" si="25"/>
        <v/>
      </c>
    </row>
    <row r="129" spans="1:38" x14ac:dyDescent="0.25">
      <c r="A129" s="3"/>
      <c r="B129" s="3"/>
      <c r="C129" s="3"/>
      <c r="D129" s="3"/>
      <c r="E129" s="3"/>
      <c r="F129" s="8"/>
      <c r="G129" s="8"/>
      <c r="H129" s="8"/>
      <c r="I129" s="10" t="str">
        <f>IF(A129="","",IF(H129&lt;&gt;"",H129,IF(UPPER(TRIM(B129))="PIPE",Inputs!$B$7,IF(UPPER(TRIM(B129))="SWALE",Inputs!$B$8,Inputs!$B$9))))</f>
        <v/>
      </c>
      <c r="J129" s="8"/>
      <c r="K129" s="8"/>
      <c r="L129" s="8"/>
      <c r="M129" s="8"/>
      <c r="N129" s="8">
        <v>0</v>
      </c>
      <c r="O129" s="10" t="str">
        <f>IF(A129="","",SUMIFS(Zones_tributaires!$I:$I,Zones_tributaires!$J:$J,$A129))</f>
        <v/>
      </c>
      <c r="P129" s="10" t="str">
        <f t="shared" si="13"/>
        <v/>
      </c>
      <c r="Q129" s="10" t="str">
        <f>IF(A129="","",(O129+P129)*Inputs!$B$6)</f>
        <v/>
      </c>
      <c r="R129" s="10" t="str">
        <f t="shared" si="14"/>
        <v/>
      </c>
      <c r="S129" s="10" t="str">
        <f t="shared" si="15"/>
        <v/>
      </c>
      <c r="T129" s="10" t="str">
        <f t="shared" si="16"/>
        <v/>
      </c>
      <c r="U129" s="10" t="str">
        <f>IF(OR(T129="",Q129=""),"",Q129/(T129*Inputs!$B$19))</f>
        <v/>
      </c>
      <c r="V129" s="10" t="str">
        <f t="shared" si="17"/>
        <v/>
      </c>
      <c r="W129" s="10" t="str">
        <f t="shared" si="18"/>
        <v/>
      </c>
      <c r="X129" s="10" t="str">
        <f>IF(A129="","",IF(OR(UPPER(TRIM(Inputs!$B$15))="MANNING",UPPER(TRIM(Inputs!$B$15))="M"),W129,IF(OR(UPPER(TRIM(Inputs!$B$15))="MAX",UPPER(TRIM(Inputs!$B$15))="X"),MAX(V129,W129),V129)))</f>
        <v/>
      </c>
      <c r="Y129" s="10" t="str">
        <f t="shared" si="19"/>
        <v/>
      </c>
      <c r="Z129" s="10" t="str">
        <f t="shared" si="20"/>
        <v/>
      </c>
      <c r="AA129" s="3" t="str">
        <f>IF(A129="","",IF(OR(U129&gt;1,AND(X129&lt;&gt;"",X129&lt;Inputs!$B$16),AND(X129&lt;&gt;"",X129&gt;Inputs!$B$17),G129&lt;Inputs!$B$18,AH129="CHECK"),"CHECK","OK"))</f>
        <v/>
      </c>
      <c r="AB129" s="3"/>
      <c r="AC129" s="8"/>
      <c r="AD129" s="10" t="str">
        <f>IF(A129="","",IF(AC129&lt;&gt;"",AC129,IF(E129="",Inputs!$B$38,IFERROR(INDEX($AE$4:$AE$204,MATCH(E129,$A$4:$A$204,0))+IF(OR(AND(UPPER(TRIM(B129))="SWALE",UPPER(TRIM(AI129))="PIPE"),AND(UPPER(TRIM(B129))="TRENCH",UPPER(TRIM(AI129))="PIPE")),Inputs!$B$57,0),""))))</f>
        <v/>
      </c>
      <c r="AE129" s="10" t="str">
        <f t="shared" si="21"/>
        <v/>
      </c>
      <c r="AF129" s="10" t="str">
        <f t="shared" si="22"/>
        <v/>
      </c>
      <c r="AG129" s="10" t="str">
        <f t="shared" si="23"/>
        <v/>
      </c>
      <c r="AH129" s="3" t="str">
        <f>IF(A129="","",IF(E129="","TERMINAL",IF(OR(AND(UPPER(TRIM(B129))="SWALE",UPPER(TRIM(AI129))="PIPE"),AND(UPPER(TRIM(B129))="TRENCH",UPPER(TRIM(AI129))="PIPE")),IF(OR(AG129="",AJ129="",AK129=""),"INFO",IF(AND(AG129&gt;=AJ129,AG129&lt;=AK129),"OK","CHECK")),IF(AG129="","INFO",IF(ABS(AG129)&lt;=Inputs!$B$54,"OK","CHECK")))))</f>
        <v/>
      </c>
      <c r="AI129" s="11" t="str">
        <f t="shared" si="24"/>
        <v/>
      </c>
      <c r="AJ129" s="11" t="str">
        <f>IF(A129="","",IF(OR(AND(UPPER(TRIM(B129))="SWALE",UPPER(TRIM(AI129))="PIPE"),AND(UPPER(TRIM(B129))="TRENCH",UPPER(TRIM(AI129))="PIPE")),Inputs!$B$55,0))</f>
        <v/>
      </c>
      <c r="AK129" s="11" t="str">
        <f>IF(A129="","",IF(OR(AND(UPPER(TRIM(B129))="SWALE",UPPER(TRIM(AI129))="PIPE"),AND(UPPER(TRIM(B129))="TRENCH",UPPER(TRIM(AI129))="PIPE")),Inputs!$B$56,Inputs!$B$54))</f>
        <v/>
      </c>
      <c r="AL129" s="3" t="str">
        <f t="shared" si="25"/>
        <v/>
      </c>
    </row>
    <row r="130" spans="1:38" x14ac:dyDescent="0.25">
      <c r="A130" s="3"/>
      <c r="B130" s="3"/>
      <c r="C130" s="3"/>
      <c r="D130" s="3"/>
      <c r="E130" s="3"/>
      <c r="F130" s="8"/>
      <c r="G130" s="8"/>
      <c r="H130" s="8"/>
      <c r="I130" s="10" t="str">
        <f>IF(A130="","",IF(H130&lt;&gt;"",H130,IF(UPPER(TRIM(B130))="PIPE",Inputs!$B$7,IF(UPPER(TRIM(B130))="SWALE",Inputs!$B$8,Inputs!$B$9))))</f>
        <v/>
      </c>
      <c r="J130" s="8"/>
      <c r="K130" s="8"/>
      <c r="L130" s="8"/>
      <c r="M130" s="8"/>
      <c r="N130" s="8">
        <v>0</v>
      </c>
      <c r="O130" s="10" t="str">
        <f>IF(A130="","",SUMIFS(Zones_tributaires!$I:$I,Zones_tributaires!$J:$J,$A130))</f>
        <v/>
      </c>
      <c r="P130" s="10" t="str">
        <f t="shared" si="13"/>
        <v/>
      </c>
      <c r="Q130" s="10" t="str">
        <f>IF(A130="","",(O130+P130)*Inputs!$B$6)</f>
        <v/>
      </c>
      <c r="R130" s="10" t="str">
        <f t="shared" si="14"/>
        <v/>
      </c>
      <c r="S130" s="10" t="str">
        <f t="shared" si="15"/>
        <v/>
      </c>
      <c r="T130" s="10" t="str">
        <f t="shared" si="16"/>
        <v/>
      </c>
      <c r="U130" s="10" t="str">
        <f>IF(OR(T130="",Q130=""),"",Q130/(T130*Inputs!$B$19))</f>
        <v/>
      </c>
      <c r="V130" s="10" t="str">
        <f t="shared" si="17"/>
        <v/>
      </c>
      <c r="W130" s="10" t="str">
        <f t="shared" si="18"/>
        <v/>
      </c>
      <c r="X130" s="10" t="str">
        <f>IF(A130="","",IF(OR(UPPER(TRIM(Inputs!$B$15))="MANNING",UPPER(TRIM(Inputs!$B$15))="M"),W130,IF(OR(UPPER(TRIM(Inputs!$B$15))="MAX",UPPER(TRIM(Inputs!$B$15))="X"),MAX(V130,W130),V130)))</f>
        <v/>
      </c>
      <c r="Y130" s="10" t="str">
        <f t="shared" si="19"/>
        <v/>
      </c>
      <c r="Z130" s="10" t="str">
        <f t="shared" si="20"/>
        <v/>
      </c>
      <c r="AA130" s="3" t="str">
        <f>IF(A130="","",IF(OR(U130&gt;1,AND(X130&lt;&gt;"",X130&lt;Inputs!$B$16),AND(X130&lt;&gt;"",X130&gt;Inputs!$B$17),G130&lt;Inputs!$B$18,AH130="CHECK"),"CHECK","OK"))</f>
        <v/>
      </c>
      <c r="AB130" s="3"/>
      <c r="AC130" s="8"/>
      <c r="AD130" s="10" t="str">
        <f>IF(A130="","",IF(AC130&lt;&gt;"",AC130,IF(E130="",Inputs!$B$38,IFERROR(INDEX($AE$4:$AE$204,MATCH(E130,$A$4:$A$204,0))+IF(OR(AND(UPPER(TRIM(B130))="SWALE",UPPER(TRIM(AI130))="PIPE"),AND(UPPER(TRIM(B130))="TRENCH",UPPER(TRIM(AI130))="PIPE")),Inputs!$B$57,0),""))))</f>
        <v/>
      </c>
      <c r="AE130" s="10" t="str">
        <f t="shared" si="21"/>
        <v/>
      </c>
      <c r="AF130" s="10" t="str">
        <f t="shared" si="22"/>
        <v/>
      </c>
      <c r="AG130" s="10" t="str">
        <f t="shared" si="23"/>
        <v/>
      </c>
      <c r="AH130" s="3" t="str">
        <f>IF(A130="","",IF(E130="","TERMINAL",IF(OR(AND(UPPER(TRIM(B130))="SWALE",UPPER(TRIM(AI130))="PIPE"),AND(UPPER(TRIM(B130))="TRENCH",UPPER(TRIM(AI130))="PIPE")),IF(OR(AG130="",AJ130="",AK130=""),"INFO",IF(AND(AG130&gt;=AJ130,AG130&lt;=AK130),"OK","CHECK")),IF(AG130="","INFO",IF(ABS(AG130)&lt;=Inputs!$B$54,"OK","CHECK")))))</f>
        <v/>
      </c>
      <c r="AI130" s="11" t="str">
        <f t="shared" si="24"/>
        <v/>
      </c>
      <c r="AJ130" s="11" t="str">
        <f>IF(A130="","",IF(OR(AND(UPPER(TRIM(B130))="SWALE",UPPER(TRIM(AI130))="PIPE"),AND(UPPER(TRIM(B130))="TRENCH",UPPER(TRIM(AI130))="PIPE")),Inputs!$B$55,0))</f>
        <v/>
      </c>
      <c r="AK130" s="11" t="str">
        <f>IF(A130="","",IF(OR(AND(UPPER(TRIM(B130))="SWALE",UPPER(TRIM(AI130))="PIPE"),AND(UPPER(TRIM(B130))="TRENCH",UPPER(TRIM(AI130))="PIPE")),Inputs!$B$56,Inputs!$B$54))</f>
        <v/>
      </c>
      <c r="AL130" s="3" t="str">
        <f t="shared" si="25"/>
        <v/>
      </c>
    </row>
    <row r="131" spans="1:38" x14ac:dyDescent="0.25">
      <c r="A131" s="3"/>
      <c r="B131" s="3"/>
      <c r="C131" s="3"/>
      <c r="D131" s="3"/>
      <c r="E131" s="3"/>
      <c r="F131" s="8"/>
      <c r="G131" s="8"/>
      <c r="H131" s="8"/>
      <c r="I131" s="10" t="str">
        <f>IF(A131="","",IF(H131&lt;&gt;"",H131,IF(UPPER(TRIM(B131))="PIPE",Inputs!$B$7,IF(UPPER(TRIM(B131))="SWALE",Inputs!$B$8,Inputs!$B$9))))</f>
        <v/>
      </c>
      <c r="J131" s="8"/>
      <c r="K131" s="8"/>
      <c r="L131" s="8"/>
      <c r="M131" s="8"/>
      <c r="N131" s="8">
        <v>0</v>
      </c>
      <c r="O131" s="10" t="str">
        <f>IF(A131="","",SUMIFS(Zones_tributaires!$I:$I,Zones_tributaires!$J:$J,$A131))</f>
        <v/>
      </c>
      <c r="P131" s="10" t="str">
        <f t="shared" si="13"/>
        <v/>
      </c>
      <c r="Q131" s="10" t="str">
        <f>IF(A131="","",(O131+P131)*Inputs!$B$6)</f>
        <v/>
      </c>
      <c r="R131" s="10" t="str">
        <f t="shared" si="14"/>
        <v/>
      </c>
      <c r="S131" s="10" t="str">
        <f t="shared" si="15"/>
        <v/>
      </c>
      <c r="T131" s="10" t="str">
        <f t="shared" si="16"/>
        <v/>
      </c>
      <c r="U131" s="10" t="str">
        <f>IF(OR(T131="",Q131=""),"",Q131/(T131*Inputs!$B$19))</f>
        <v/>
      </c>
      <c r="V131" s="10" t="str">
        <f t="shared" si="17"/>
        <v/>
      </c>
      <c r="W131" s="10" t="str">
        <f t="shared" si="18"/>
        <v/>
      </c>
      <c r="X131" s="10" t="str">
        <f>IF(A131="","",IF(OR(UPPER(TRIM(Inputs!$B$15))="MANNING",UPPER(TRIM(Inputs!$B$15))="M"),W131,IF(OR(UPPER(TRIM(Inputs!$B$15))="MAX",UPPER(TRIM(Inputs!$B$15))="X"),MAX(V131,W131),V131)))</f>
        <v/>
      </c>
      <c r="Y131" s="10" t="str">
        <f t="shared" si="19"/>
        <v/>
      </c>
      <c r="Z131" s="10" t="str">
        <f t="shared" si="20"/>
        <v/>
      </c>
      <c r="AA131" s="3" t="str">
        <f>IF(A131="","",IF(OR(U131&gt;1,AND(X131&lt;&gt;"",X131&lt;Inputs!$B$16),AND(X131&lt;&gt;"",X131&gt;Inputs!$B$17),G131&lt;Inputs!$B$18,AH131="CHECK"),"CHECK","OK"))</f>
        <v/>
      </c>
      <c r="AB131" s="3"/>
      <c r="AC131" s="8"/>
      <c r="AD131" s="10" t="str">
        <f>IF(A131="","",IF(AC131&lt;&gt;"",AC131,IF(E131="",Inputs!$B$38,IFERROR(INDEX($AE$4:$AE$204,MATCH(E131,$A$4:$A$204,0))+IF(OR(AND(UPPER(TRIM(B131))="SWALE",UPPER(TRIM(AI131))="PIPE"),AND(UPPER(TRIM(B131))="TRENCH",UPPER(TRIM(AI131))="PIPE")),Inputs!$B$57,0),""))))</f>
        <v/>
      </c>
      <c r="AE131" s="10" t="str">
        <f t="shared" si="21"/>
        <v/>
      </c>
      <c r="AF131" s="10" t="str">
        <f t="shared" si="22"/>
        <v/>
      </c>
      <c r="AG131" s="10" t="str">
        <f t="shared" si="23"/>
        <v/>
      </c>
      <c r="AH131" s="3" t="str">
        <f>IF(A131="","",IF(E131="","TERMINAL",IF(OR(AND(UPPER(TRIM(B131))="SWALE",UPPER(TRIM(AI131))="PIPE"),AND(UPPER(TRIM(B131))="TRENCH",UPPER(TRIM(AI131))="PIPE")),IF(OR(AG131="",AJ131="",AK131=""),"INFO",IF(AND(AG131&gt;=AJ131,AG131&lt;=AK131),"OK","CHECK")),IF(AG131="","INFO",IF(ABS(AG131)&lt;=Inputs!$B$54,"OK","CHECK")))))</f>
        <v/>
      </c>
      <c r="AI131" s="11" t="str">
        <f t="shared" si="24"/>
        <v/>
      </c>
      <c r="AJ131" s="11" t="str">
        <f>IF(A131="","",IF(OR(AND(UPPER(TRIM(B131))="SWALE",UPPER(TRIM(AI131))="PIPE"),AND(UPPER(TRIM(B131))="TRENCH",UPPER(TRIM(AI131))="PIPE")),Inputs!$B$55,0))</f>
        <v/>
      </c>
      <c r="AK131" s="11" t="str">
        <f>IF(A131="","",IF(OR(AND(UPPER(TRIM(B131))="SWALE",UPPER(TRIM(AI131))="PIPE"),AND(UPPER(TRIM(B131))="TRENCH",UPPER(TRIM(AI131))="PIPE")),Inputs!$B$56,Inputs!$B$54))</f>
        <v/>
      </c>
      <c r="AL131" s="3" t="str">
        <f t="shared" si="25"/>
        <v/>
      </c>
    </row>
    <row r="132" spans="1:38" x14ac:dyDescent="0.25">
      <c r="A132" s="3"/>
      <c r="B132" s="3"/>
      <c r="C132" s="3"/>
      <c r="D132" s="3"/>
      <c r="E132" s="3"/>
      <c r="F132" s="8"/>
      <c r="G132" s="8"/>
      <c r="H132" s="8"/>
      <c r="I132" s="10" t="str">
        <f>IF(A132="","",IF(H132&lt;&gt;"",H132,IF(UPPER(TRIM(B132))="PIPE",Inputs!$B$7,IF(UPPER(TRIM(B132))="SWALE",Inputs!$B$8,Inputs!$B$9))))</f>
        <v/>
      </c>
      <c r="J132" s="8"/>
      <c r="K132" s="8"/>
      <c r="L132" s="8"/>
      <c r="M132" s="8"/>
      <c r="N132" s="8">
        <v>0</v>
      </c>
      <c r="O132" s="10" t="str">
        <f>IF(A132="","",SUMIFS(Zones_tributaires!$I:$I,Zones_tributaires!$J:$J,$A132))</f>
        <v/>
      </c>
      <c r="P132" s="10" t="str">
        <f t="shared" ref="P132:P195" si="26">IF(A132="","",SUMIFS($Q$4:$Q$204,$E$4:$E$204,$A132))</f>
        <v/>
      </c>
      <c r="Q132" s="10" t="str">
        <f>IF(A132="","",(O132+P132)*Inputs!$B$6)</f>
        <v/>
      </c>
      <c r="R132" s="10" t="str">
        <f t="shared" ref="R132:R195" si="27">IF(A132="","",IF(UPPER(TRIM(B132))="PIPE",PI()*(J132/1000)^2/4,IF(OR(K132="",L132=""),"",L132*(K132+M132*L132))))</f>
        <v/>
      </c>
      <c r="S132" s="10" t="str">
        <f t="shared" ref="S132:S195" si="28">IF(A132="","",IF(UPPER(TRIM(B132))="PIPE",(J132/1000)/4,IF(OR(R132="",K132="",L132=""),"",R132/(K132+2*L132*SQRT(1+M132^2)))))</f>
        <v/>
      </c>
      <c r="T132" s="10" t="str">
        <f t="shared" ref="T132:T195" si="29">IF(A132="","",IF(OR(I132="",R132="",S132="",G132=""),"",(1/I132)*R132*(S132^(2/3))*SQRT(G132)))</f>
        <v/>
      </c>
      <c r="U132" s="10" t="str">
        <f>IF(OR(T132="",Q132=""),"",Q132/(T132*Inputs!$B$19))</f>
        <v/>
      </c>
      <c r="V132" s="10" t="str">
        <f t="shared" ref="V132:V195" si="30">IF(OR(R132="",Q132=""),"",Q132/R132)</f>
        <v/>
      </c>
      <c r="W132" s="10" t="str">
        <f t="shared" ref="W132:W195" si="31">IF(OR(R132="",T132=""),"",T132/R132)</f>
        <v/>
      </c>
      <c r="X132" s="10" t="str">
        <f>IF(A132="","",IF(OR(UPPER(TRIM(Inputs!$B$15))="MANNING",UPPER(TRIM(Inputs!$B$15))="M"),W132,IF(OR(UPPER(TRIM(Inputs!$B$15))="MAX",UPPER(TRIM(Inputs!$B$15))="X"),MAX(V132,W132),V132)))</f>
        <v/>
      </c>
      <c r="Y132" s="10" t="str">
        <f t="shared" ref="Y132:Y195" si="32">IF(A132="","",IF(UPPER(TRIM(B132))="TRENCH",K132*L132*N132,IF(UPPER(TRIM(B132))="SWALE",K132*L132,0)))</f>
        <v/>
      </c>
      <c r="Z132" s="10" t="str">
        <f t="shared" ref="Z132:Z195" si="33">IF(OR(Y132="",F132=""),"",Y132*F132)</f>
        <v/>
      </c>
      <c r="AA132" s="3" t="str">
        <f>IF(A132="","",IF(OR(U132&gt;1,AND(X132&lt;&gt;"",X132&lt;Inputs!$B$16),AND(X132&lt;&gt;"",X132&gt;Inputs!$B$17),G132&lt;Inputs!$B$18,AH132="CHECK"),"CHECK","OK"))</f>
        <v/>
      </c>
      <c r="AB132" s="3"/>
      <c r="AC132" s="8"/>
      <c r="AD132" s="10" t="str">
        <f>IF(A132="","",IF(AC132&lt;&gt;"",AC132,IF(E132="",Inputs!$B$38,IFERROR(INDEX($AE$4:$AE$204,MATCH(E132,$A$4:$A$204,0))+IF(OR(AND(UPPER(TRIM(B132))="SWALE",UPPER(TRIM(AI132))="PIPE"),AND(UPPER(TRIM(B132))="TRENCH",UPPER(TRIM(AI132))="PIPE")),Inputs!$B$57,0),""))))</f>
        <v/>
      </c>
      <c r="AE132" s="10" t="str">
        <f t="shared" ref="AE132:AE195" si="34">IF(OR(AD132="",F132="",G132=""),"",AD132+F132*G132)</f>
        <v/>
      </c>
      <c r="AF132" s="10" t="str">
        <f t="shared" ref="AF132:AF195" si="35">IF(OR(E132="",A132=""),"",IFERROR(INDEX($AE$4:$AE$204,MATCH(E132,$A$4:$A$204,0)),""))</f>
        <v/>
      </c>
      <c r="AG132" s="10" t="str">
        <f t="shared" ref="AG132:AG195" si="36">IF(OR(AD132="",AF132=""),"",AD132-AF132)</f>
        <v/>
      </c>
      <c r="AH132" s="3" t="str">
        <f>IF(A132="","",IF(E132="","TERMINAL",IF(OR(AND(UPPER(TRIM(B132))="SWALE",UPPER(TRIM(AI132))="PIPE"),AND(UPPER(TRIM(B132))="TRENCH",UPPER(TRIM(AI132))="PIPE")),IF(OR(AG132="",AJ132="",AK132=""),"INFO",IF(AND(AG132&gt;=AJ132,AG132&lt;=AK132),"OK","CHECK")),IF(AG132="","INFO",IF(ABS(AG132)&lt;=Inputs!$B$54,"OK","CHECK")))))</f>
        <v/>
      </c>
      <c r="AI132" s="11" t="str">
        <f t="shared" ref="AI132:AI195" si="37">IF(A132="","",IF(E132="","",IFERROR(INDEX($B$4:$B$204,MATCH(E132,$A$4:$A$204,0)),"")))</f>
        <v/>
      </c>
      <c r="AJ132" s="11" t="str">
        <f>IF(A132="","",IF(OR(AND(UPPER(TRIM(B132))="SWALE",UPPER(TRIM(AI132))="PIPE"),AND(UPPER(TRIM(B132))="TRENCH",UPPER(TRIM(AI132))="PIPE")),Inputs!$B$55,0))</f>
        <v/>
      </c>
      <c r="AK132" s="11" t="str">
        <f>IF(A132="","",IF(OR(AND(UPPER(TRIM(B132))="SWALE",UPPER(TRIM(AI132))="PIPE"),AND(UPPER(TRIM(B132))="TRENCH",UPPER(TRIM(AI132))="PIPE")),Inputs!$B$56,Inputs!$B$54))</f>
        <v/>
      </c>
      <c r="AL132" s="3" t="str">
        <f t="shared" ref="AL132:AL195" si="38">IF(A132="","",IF(E132="","TERMINAL",IF(OR(AND(UPPER(TRIM(B132))="SWALE",UPPER(TRIM(AI132))="PIPE"),AND(UPPER(TRIM(B132))="TRENCH",UPPER(TRIM(AI132))="PIPE")),IF(OR(AG132="",AJ132="",AK132=""),"INFO",IF(AND(AG132&gt;=AJ132,AG132&lt;=AK132),"OK","CHECK")),"N/A")))</f>
        <v/>
      </c>
    </row>
    <row r="133" spans="1:38" x14ac:dyDescent="0.25">
      <c r="A133" s="3"/>
      <c r="B133" s="3"/>
      <c r="C133" s="3"/>
      <c r="D133" s="3"/>
      <c r="E133" s="3"/>
      <c r="F133" s="8"/>
      <c r="G133" s="8"/>
      <c r="H133" s="8"/>
      <c r="I133" s="10" t="str">
        <f>IF(A133="","",IF(H133&lt;&gt;"",H133,IF(UPPER(TRIM(B133))="PIPE",Inputs!$B$7,IF(UPPER(TRIM(B133))="SWALE",Inputs!$B$8,Inputs!$B$9))))</f>
        <v/>
      </c>
      <c r="J133" s="8"/>
      <c r="K133" s="8"/>
      <c r="L133" s="8"/>
      <c r="M133" s="8"/>
      <c r="N133" s="8">
        <v>0</v>
      </c>
      <c r="O133" s="10" t="str">
        <f>IF(A133="","",SUMIFS(Zones_tributaires!$I:$I,Zones_tributaires!$J:$J,$A133))</f>
        <v/>
      </c>
      <c r="P133" s="10" t="str">
        <f t="shared" si="26"/>
        <v/>
      </c>
      <c r="Q133" s="10" t="str">
        <f>IF(A133="","",(O133+P133)*Inputs!$B$6)</f>
        <v/>
      </c>
      <c r="R133" s="10" t="str">
        <f t="shared" si="27"/>
        <v/>
      </c>
      <c r="S133" s="10" t="str">
        <f t="shared" si="28"/>
        <v/>
      </c>
      <c r="T133" s="10" t="str">
        <f t="shared" si="29"/>
        <v/>
      </c>
      <c r="U133" s="10" t="str">
        <f>IF(OR(T133="",Q133=""),"",Q133/(T133*Inputs!$B$19))</f>
        <v/>
      </c>
      <c r="V133" s="10" t="str">
        <f t="shared" si="30"/>
        <v/>
      </c>
      <c r="W133" s="10" t="str">
        <f t="shared" si="31"/>
        <v/>
      </c>
      <c r="X133" s="10" t="str">
        <f>IF(A133="","",IF(OR(UPPER(TRIM(Inputs!$B$15))="MANNING",UPPER(TRIM(Inputs!$B$15))="M"),W133,IF(OR(UPPER(TRIM(Inputs!$B$15))="MAX",UPPER(TRIM(Inputs!$B$15))="X"),MAX(V133,W133),V133)))</f>
        <v/>
      </c>
      <c r="Y133" s="10" t="str">
        <f t="shared" si="32"/>
        <v/>
      </c>
      <c r="Z133" s="10" t="str">
        <f t="shared" si="33"/>
        <v/>
      </c>
      <c r="AA133" s="3" t="str">
        <f>IF(A133="","",IF(OR(U133&gt;1,AND(X133&lt;&gt;"",X133&lt;Inputs!$B$16),AND(X133&lt;&gt;"",X133&gt;Inputs!$B$17),G133&lt;Inputs!$B$18,AH133="CHECK"),"CHECK","OK"))</f>
        <v/>
      </c>
      <c r="AB133" s="3"/>
      <c r="AC133" s="8"/>
      <c r="AD133" s="10" t="str">
        <f>IF(A133="","",IF(AC133&lt;&gt;"",AC133,IF(E133="",Inputs!$B$38,IFERROR(INDEX($AE$4:$AE$204,MATCH(E133,$A$4:$A$204,0))+IF(OR(AND(UPPER(TRIM(B133))="SWALE",UPPER(TRIM(AI133))="PIPE"),AND(UPPER(TRIM(B133))="TRENCH",UPPER(TRIM(AI133))="PIPE")),Inputs!$B$57,0),""))))</f>
        <v/>
      </c>
      <c r="AE133" s="10" t="str">
        <f t="shared" si="34"/>
        <v/>
      </c>
      <c r="AF133" s="10" t="str">
        <f t="shared" si="35"/>
        <v/>
      </c>
      <c r="AG133" s="10" t="str">
        <f t="shared" si="36"/>
        <v/>
      </c>
      <c r="AH133" s="3" t="str">
        <f>IF(A133="","",IF(E133="","TERMINAL",IF(OR(AND(UPPER(TRIM(B133))="SWALE",UPPER(TRIM(AI133))="PIPE"),AND(UPPER(TRIM(B133))="TRENCH",UPPER(TRIM(AI133))="PIPE")),IF(OR(AG133="",AJ133="",AK133=""),"INFO",IF(AND(AG133&gt;=AJ133,AG133&lt;=AK133),"OK","CHECK")),IF(AG133="","INFO",IF(ABS(AG133)&lt;=Inputs!$B$54,"OK","CHECK")))))</f>
        <v/>
      </c>
      <c r="AI133" s="11" t="str">
        <f t="shared" si="37"/>
        <v/>
      </c>
      <c r="AJ133" s="11" t="str">
        <f>IF(A133="","",IF(OR(AND(UPPER(TRIM(B133))="SWALE",UPPER(TRIM(AI133))="PIPE"),AND(UPPER(TRIM(B133))="TRENCH",UPPER(TRIM(AI133))="PIPE")),Inputs!$B$55,0))</f>
        <v/>
      </c>
      <c r="AK133" s="11" t="str">
        <f>IF(A133="","",IF(OR(AND(UPPER(TRIM(B133))="SWALE",UPPER(TRIM(AI133))="PIPE"),AND(UPPER(TRIM(B133))="TRENCH",UPPER(TRIM(AI133))="PIPE")),Inputs!$B$56,Inputs!$B$54))</f>
        <v/>
      </c>
      <c r="AL133" s="3" t="str">
        <f t="shared" si="38"/>
        <v/>
      </c>
    </row>
    <row r="134" spans="1:38" x14ac:dyDescent="0.25">
      <c r="A134" s="3"/>
      <c r="B134" s="3"/>
      <c r="C134" s="3"/>
      <c r="D134" s="3"/>
      <c r="E134" s="3"/>
      <c r="F134" s="8"/>
      <c r="G134" s="8"/>
      <c r="H134" s="8"/>
      <c r="I134" s="10" t="str">
        <f>IF(A134="","",IF(H134&lt;&gt;"",H134,IF(UPPER(TRIM(B134))="PIPE",Inputs!$B$7,IF(UPPER(TRIM(B134))="SWALE",Inputs!$B$8,Inputs!$B$9))))</f>
        <v/>
      </c>
      <c r="J134" s="8"/>
      <c r="K134" s="8"/>
      <c r="L134" s="8"/>
      <c r="M134" s="8"/>
      <c r="N134" s="8">
        <v>0</v>
      </c>
      <c r="O134" s="10" t="str">
        <f>IF(A134="","",SUMIFS(Zones_tributaires!$I:$I,Zones_tributaires!$J:$J,$A134))</f>
        <v/>
      </c>
      <c r="P134" s="10" t="str">
        <f t="shared" si="26"/>
        <v/>
      </c>
      <c r="Q134" s="10" t="str">
        <f>IF(A134="","",(O134+P134)*Inputs!$B$6)</f>
        <v/>
      </c>
      <c r="R134" s="10" t="str">
        <f t="shared" si="27"/>
        <v/>
      </c>
      <c r="S134" s="10" t="str">
        <f t="shared" si="28"/>
        <v/>
      </c>
      <c r="T134" s="10" t="str">
        <f t="shared" si="29"/>
        <v/>
      </c>
      <c r="U134" s="10" t="str">
        <f>IF(OR(T134="",Q134=""),"",Q134/(T134*Inputs!$B$19))</f>
        <v/>
      </c>
      <c r="V134" s="10" t="str">
        <f t="shared" si="30"/>
        <v/>
      </c>
      <c r="W134" s="10" t="str">
        <f t="shared" si="31"/>
        <v/>
      </c>
      <c r="X134" s="10" t="str">
        <f>IF(A134="","",IF(OR(UPPER(TRIM(Inputs!$B$15))="MANNING",UPPER(TRIM(Inputs!$B$15))="M"),W134,IF(OR(UPPER(TRIM(Inputs!$B$15))="MAX",UPPER(TRIM(Inputs!$B$15))="X"),MAX(V134,W134),V134)))</f>
        <v/>
      </c>
      <c r="Y134" s="10" t="str">
        <f t="shared" si="32"/>
        <v/>
      </c>
      <c r="Z134" s="10" t="str">
        <f t="shared" si="33"/>
        <v/>
      </c>
      <c r="AA134" s="3" t="str">
        <f>IF(A134="","",IF(OR(U134&gt;1,AND(X134&lt;&gt;"",X134&lt;Inputs!$B$16),AND(X134&lt;&gt;"",X134&gt;Inputs!$B$17),G134&lt;Inputs!$B$18,AH134="CHECK"),"CHECK","OK"))</f>
        <v/>
      </c>
      <c r="AB134" s="3"/>
      <c r="AC134" s="8"/>
      <c r="AD134" s="10" t="str">
        <f>IF(A134="","",IF(AC134&lt;&gt;"",AC134,IF(E134="",Inputs!$B$38,IFERROR(INDEX($AE$4:$AE$204,MATCH(E134,$A$4:$A$204,0))+IF(OR(AND(UPPER(TRIM(B134))="SWALE",UPPER(TRIM(AI134))="PIPE"),AND(UPPER(TRIM(B134))="TRENCH",UPPER(TRIM(AI134))="PIPE")),Inputs!$B$57,0),""))))</f>
        <v/>
      </c>
      <c r="AE134" s="10" t="str">
        <f t="shared" si="34"/>
        <v/>
      </c>
      <c r="AF134" s="10" t="str">
        <f t="shared" si="35"/>
        <v/>
      </c>
      <c r="AG134" s="10" t="str">
        <f t="shared" si="36"/>
        <v/>
      </c>
      <c r="AH134" s="3" t="str">
        <f>IF(A134="","",IF(E134="","TERMINAL",IF(OR(AND(UPPER(TRIM(B134))="SWALE",UPPER(TRIM(AI134))="PIPE"),AND(UPPER(TRIM(B134))="TRENCH",UPPER(TRIM(AI134))="PIPE")),IF(OR(AG134="",AJ134="",AK134=""),"INFO",IF(AND(AG134&gt;=AJ134,AG134&lt;=AK134),"OK","CHECK")),IF(AG134="","INFO",IF(ABS(AG134)&lt;=Inputs!$B$54,"OK","CHECK")))))</f>
        <v/>
      </c>
      <c r="AI134" s="11" t="str">
        <f t="shared" si="37"/>
        <v/>
      </c>
      <c r="AJ134" s="11" t="str">
        <f>IF(A134="","",IF(OR(AND(UPPER(TRIM(B134))="SWALE",UPPER(TRIM(AI134))="PIPE"),AND(UPPER(TRIM(B134))="TRENCH",UPPER(TRIM(AI134))="PIPE")),Inputs!$B$55,0))</f>
        <v/>
      </c>
      <c r="AK134" s="11" t="str">
        <f>IF(A134="","",IF(OR(AND(UPPER(TRIM(B134))="SWALE",UPPER(TRIM(AI134))="PIPE"),AND(UPPER(TRIM(B134))="TRENCH",UPPER(TRIM(AI134))="PIPE")),Inputs!$B$56,Inputs!$B$54))</f>
        <v/>
      </c>
      <c r="AL134" s="3" t="str">
        <f t="shared" si="38"/>
        <v/>
      </c>
    </row>
    <row r="135" spans="1:38" x14ac:dyDescent="0.25">
      <c r="A135" s="3"/>
      <c r="B135" s="3"/>
      <c r="C135" s="3"/>
      <c r="D135" s="3"/>
      <c r="E135" s="3"/>
      <c r="F135" s="8"/>
      <c r="G135" s="8"/>
      <c r="H135" s="8"/>
      <c r="I135" s="10" t="str">
        <f>IF(A135="","",IF(H135&lt;&gt;"",H135,IF(UPPER(TRIM(B135))="PIPE",Inputs!$B$7,IF(UPPER(TRIM(B135))="SWALE",Inputs!$B$8,Inputs!$B$9))))</f>
        <v/>
      </c>
      <c r="J135" s="8"/>
      <c r="K135" s="8"/>
      <c r="L135" s="8"/>
      <c r="M135" s="8"/>
      <c r="N135" s="8">
        <v>0</v>
      </c>
      <c r="O135" s="10" t="str">
        <f>IF(A135="","",SUMIFS(Zones_tributaires!$I:$I,Zones_tributaires!$J:$J,$A135))</f>
        <v/>
      </c>
      <c r="P135" s="10" t="str">
        <f t="shared" si="26"/>
        <v/>
      </c>
      <c r="Q135" s="10" t="str">
        <f>IF(A135="","",(O135+P135)*Inputs!$B$6)</f>
        <v/>
      </c>
      <c r="R135" s="10" t="str">
        <f t="shared" si="27"/>
        <v/>
      </c>
      <c r="S135" s="10" t="str">
        <f t="shared" si="28"/>
        <v/>
      </c>
      <c r="T135" s="10" t="str">
        <f t="shared" si="29"/>
        <v/>
      </c>
      <c r="U135" s="10" t="str">
        <f>IF(OR(T135="",Q135=""),"",Q135/(T135*Inputs!$B$19))</f>
        <v/>
      </c>
      <c r="V135" s="10" t="str">
        <f t="shared" si="30"/>
        <v/>
      </c>
      <c r="W135" s="10" t="str">
        <f t="shared" si="31"/>
        <v/>
      </c>
      <c r="X135" s="10" t="str">
        <f>IF(A135="","",IF(OR(UPPER(TRIM(Inputs!$B$15))="MANNING",UPPER(TRIM(Inputs!$B$15))="M"),W135,IF(OR(UPPER(TRIM(Inputs!$B$15))="MAX",UPPER(TRIM(Inputs!$B$15))="X"),MAX(V135,W135),V135)))</f>
        <v/>
      </c>
      <c r="Y135" s="10" t="str">
        <f t="shared" si="32"/>
        <v/>
      </c>
      <c r="Z135" s="10" t="str">
        <f t="shared" si="33"/>
        <v/>
      </c>
      <c r="AA135" s="3" t="str">
        <f>IF(A135="","",IF(OR(U135&gt;1,AND(X135&lt;&gt;"",X135&lt;Inputs!$B$16),AND(X135&lt;&gt;"",X135&gt;Inputs!$B$17),G135&lt;Inputs!$B$18,AH135="CHECK"),"CHECK","OK"))</f>
        <v/>
      </c>
      <c r="AB135" s="3"/>
      <c r="AC135" s="8"/>
      <c r="AD135" s="10" t="str">
        <f>IF(A135="","",IF(AC135&lt;&gt;"",AC135,IF(E135="",Inputs!$B$38,IFERROR(INDEX($AE$4:$AE$204,MATCH(E135,$A$4:$A$204,0))+IF(OR(AND(UPPER(TRIM(B135))="SWALE",UPPER(TRIM(AI135))="PIPE"),AND(UPPER(TRIM(B135))="TRENCH",UPPER(TRIM(AI135))="PIPE")),Inputs!$B$57,0),""))))</f>
        <v/>
      </c>
      <c r="AE135" s="10" t="str">
        <f t="shared" si="34"/>
        <v/>
      </c>
      <c r="AF135" s="10" t="str">
        <f t="shared" si="35"/>
        <v/>
      </c>
      <c r="AG135" s="10" t="str">
        <f t="shared" si="36"/>
        <v/>
      </c>
      <c r="AH135" s="3" t="str">
        <f>IF(A135="","",IF(E135="","TERMINAL",IF(OR(AND(UPPER(TRIM(B135))="SWALE",UPPER(TRIM(AI135))="PIPE"),AND(UPPER(TRIM(B135))="TRENCH",UPPER(TRIM(AI135))="PIPE")),IF(OR(AG135="",AJ135="",AK135=""),"INFO",IF(AND(AG135&gt;=AJ135,AG135&lt;=AK135),"OK","CHECK")),IF(AG135="","INFO",IF(ABS(AG135)&lt;=Inputs!$B$54,"OK","CHECK")))))</f>
        <v/>
      </c>
      <c r="AI135" s="11" t="str">
        <f t="shared" si="37"/>
        <v/>
      </c>
      <c r="AJ135" s="11" t="str">
        <f>IF(A135="","",IF(OR(AND(UPPER(TRIM(B135))="SWALE",UPPER(TRIM(AI135))="PIPE"),AND(UPPER(TRIM(B135))="TRENCH",UPPER(TRIM(AI135))="PIPE")),Inputs!$B$55,0))</f>
        <v/>
      </c>
      <c r="AK135" s="11" t="str">
        <f>IF(A135="","",IF(OR(AND(UPPER(TRIM(B135))="SWALE",UPPER(TRIM(AI135))="PIPE"),AND(UPPER(TRIM(B135))="TRENCH",UPPER(TRIM(AI135))="PIPE")),Inputs!$B$56,Inputs!$B$54))</f>
        <v/>
      </c>
      <c r="AL135" s="3" t="str">
        <f t="shared" si="38"/>
        <v/>
      </c>
    </row>
    <row r="136" spans="1:38" x14ac:dyDescent="0.25">
      <c r="A136" s="3"/>
      <c r="B136" s="3"/>
      <c r="C136" s="3"/>
      <c r="D136" s="3"/>
      <c r="E136" s="3"/>
      <c r="F136" s="8"/>
      <c r="G136" s="8"/>
      <c r="H136" s="8"/>
      <c r="I136" s="10" t="str">
        <f>IF(A136="","",IF(H136&lt;&gt;"",H136,IF(UPPER(TRIM(B136))="PIPE",Inputs!$B$7,IF(UPPER(TRIM(B136))="SWALE",Inputs!$B$8,Inputs!$B$9))))</f>
        <v/>
      </c>
      <c r="J136" s="8"/>
      <c r="K136" s="8"/>
      <c r="L136" s="8"/>
      <c r="M136" s="8"/>
      <c r="N136" s="8">
        <v>0</v>
      </c>
      <c r="O136" s="10" t="str">
        <f>IF(A136="","",SUMIFS(Zones_tributaires!$I:$I,Zones_tributaires!$J:$J,$A136))</f>
        <v/>
      </c>
      <c r="P136" s="10" t="str">
        <f t="shared" si="26"/>
        <v/>
      </c>
      <c r="Q136" s="10" t="str">
        <f>IF(A136="","",(O136+P136)*Inputs!$B$6)</f>
        <v/>
      </c>
      <c r="R136" s="10" t="str">
        <f t="shared" si="27"/>
        <v/>
      </c>
      <c r="S136" s="10" t="str">
        <f t="shared" si="28"/>
        <v/>
      </c>
      <c r="T136" s="10" t="str">
        <f t="shared" si="29"/>
        <v/>
      </c>
      <c r="U136" s="10" t="str">
        <f>IF(OR(T136="",Q136=""),"",Q136/(T136*Inputs!$B$19))</f>
        <v/>
      </c>
      <c r="V136" s="10" t="str">
        <f t="shared" si="30"/>
        <v/>
      </c>
      <c r="W136" s="10" t="str">
        <f t="shared" si="31"/>
        <v/>
      </c>
      <c r="X136" s="10" t="str">
        <f>IF(A136="","",IF(OR(UPPER(TRIM(Inputs!$B$15))="MANNING",UPPER(TRIM(Inputs!$B$15))="M"),W136,IF(OR(UPPER(TRIM(Inputs!$B$15))="MAX",UPPER(TRIM(Inputs!$B$15))="X"),MAX(V136,W136),V136)))</f>
        <v/>
      </c>
      <c r="Y136" s="10" t="str">
        <f t="shared" si="32"/>
        <v/>
      </c>
      <c r="Z136" s="10" t="str">
        <f t="shared" si="33"/>
        <v/>
      </c>
      <c r="AA136" s="3" t="str">
        <f>IF(A136="","",IF(OR(U136&gt;1,AND(X136&lt;&gt;"",X136&lt;Inputs!$B$16),AND(X136&lt;&gt;"",X136&gt;Inputs!$B$17),G136&lt;Inputs!$B$18,AH136="CHECK"),"CHECK","OK"))</f>
        <v/>
      </c>
      <c r="AB136" s="3"/>
      <c r="AC136" s="8"/>
      <c r="AD136" s="10" t="str">
        <f>IF(A136="","",IF(AC136&lt;&gt;"",AC136,IF(E136="",Inputs!$B$38,IFERROR(INDEX($AE$4:$AE$204,MATCH(E136,$A$4:$A$204,0))+IF(OR(AND(UPPER(TRIM(B136))="SWALE",UPPER(TRIM(AI136))="PIPE"),AND(UPPER(TRIM(B136))="TRENCH",UPPER(TRIM(AI136))="PIPE")),Inputs!$B$57,0),""))))</f>
        <v/>
      </c>
      <c r="AE136" s="10" t="str">
        <f t="shared" si="34"/>
        <v/>
      </c>
      <c r="AF136" s="10" t="str">
        <f t="shared" si="35"/>
        <v/>
      </c>
      <c r="AG136" s="10" t="str">
        <f t="shared" si="36"/>
        <v/>
      </c>
      <c r="AH136" s="3" t="str">
        <f>IF(A136="","",IF(E136="","TERMINAL",IF(OR(AND(UPPER(TRIM(B136))="SWALE",UPPER(TRIM(AI136))="PIPE"),AND(UPPER(TRIM(B136))="TRENCH",UPPER(TRIM(AI136))="PIPE")),IF(OR(AG136="",AJ136="",AK136=""),"INFO",IF(AND(AG136&gt;=AJ136,AG136&lt;=AK136),"OK","CHECK")),IF(AG136="","INFO",IF(ABS(AG136)&lt;=Inputs!$B$54,"OK","CHECK")))))</f>
        <v/>
      </c>
      <c r="AI136" s="11" t="str">
        <f t="shared" si="37"/>
        <v/>
      </c>
      <c r="AJ136" s="11" t="str">
        <f>IF(A136="","",IF(OR(AND(UPPER(TRIM(B136))="SWALE",UPPER(TRIM(AI136))="PIPE"),AND(UPPER(TRIM(B136))="TRENCH",UPPER(TRIM(AI136))="PIPE")),Inputs!$B$55,0))</f>
        <v/>
      </c>
      <c r="AK136" s="11" t="str">
        <f>IF(A136="","",IF(OR(AND(UPPER(TRIM(B136))="SWALE",UPPER(TRIM(AI136))="PIPE"),AND(UPPER(TRIM(B136))="TRENCH",UPPER(TRIM(AI136))="PIPE")),Inputs!$B$56,Inputs!$B$54))</f>
        <v/>
      </c>
      <c r="AL136" s="3" t="str">
        <f t="shared" si="38"/>
        <v/>
      </c>
    </row>
    <row r="137" spans="1:38" x14ac:dyDescent="0.25">
      <c r="A137" s="3"/>
      <c r="B137" s="3"/>
      <c r="C137" s="3"/>
      <c r="D137" s="3"/>
      <c r="E137" s="3"/>
      <c r="F137" s="8"/>
      <c r="G137" s="8"/>
      <c r="H137" s="8"/>
      <c r="I137" s="10" t="str">
        <f>IF(A137="","",IF(H137&lt;&gt;"",H137,IF(UPPER(TRIM(B137))="PIPE",Inputs!$B$7,IF(UPPER(TRIM(B137))="SWALE",Inputs!$B$8,Inputs!$B$9))))</f>
        <v/>
      </c>
      <c r="J137" s="8"/>
      <c r="K137" s="8"/>
      <c r="L137" s="8"/>
      <c r="M137" s="8"/>
      <c r="N137" s="8">
        <v>0</v>
      </c>
      <c r="O137" s="10" t="str">
        <f>IF(A137="","",SUMIFS(Zones_tributaires!$I:$I,Zones_tributaires!$J:$J,$A137))</f>
        <v/>
      </c>
      <c r="P137" s="10" t="str">
        <f t="shared" si="26"/>
        <v/>
      </c>
      <c r="Q137" s="10" t="str">
        <f>IF(A137="","",(O137+P137)*Inputs!$B$6)</f>
        <v/>
      </c>
      <c r="R137" s="10" t="str">
        <f t="shared" si="27"/>
        <v/>
      </c>
      <c r="S137" s="10" t="str">
        <f t="shared" si="28"/>
        <v/>
      </c>
      <c r="T137" s="10" t="str">
        <f t="shared" si="29"/>
        <v/>
      </c>
      <c r="U137" s="10" t="str">
        <f>IF(OR(T137="",Q137=""),"",Q137/(T137*Inputs!$B$19))</f>
        <v/>
      </c>
      <c r="V137" s="10" t="str">
        <f t="shared" si="30"/>
        <v/>
      </c>
      <c r="W137" s="10" t="str">
        <f t="shared" si="31"/>
        <v/>
      </c>
      <c r="X137" s="10" t="str">
        <f>IF(A137="","",IF(OR(UPPER(TRIM(Inputs!$B$15))="MANNING",UPPER(TRIM(Inputs!$B$15))="M"),W137,IF(OR(UPPER(TRIM(Inputs!$B$15))="MAX",UPPER(TRIM(Inputs!$B$15))="X"),MAX(V137,W137),V137)))</f>
        <v/>
      </c>
      <c r="Y137" s="10" t="str">
        <f t="shared" si="32"/>
        <v/>
      </c>
      <c r="Z137" s="10" t="str">
        <f t="shared" si="33"/>
        <v/>
      </c>
      <c r="AA137" s="3" t="str">
        <f>IF(A137="","",IF(OR(U137&gt;1,AND(X137&lt;&gt;"",X137&lt;Inputs!$B$16),AND(X137&lt;&gt;"",X137&gt;Inputs!$B$17),G137&lt;Inputs!$B$18,AH137="CHECK"),"CHECK","OK"))</f>
        <v/>
      </c>
      <c r="AB137" s="3"/>
      <c r="AC137" s="8"/>
      <c r="AD137" s="10" t="str">
        <f>IF(A137="","",IF(AC137&lt;&gt;"",AC137,IF(E137="",Inputs!$B$38,IFERROR(INDEX($AE$4:$AE$204,MATCH(E137,$A$4:$A$204,0))+IF(OR(AND(UPPER(TRIM(B137))="SWALE",UPPER(TRIM(AI137))="PIPE"),AND(UPPER(TRIM(B137))="TRENCH",UPPER(TRIM(AI137))="PIPE")),Inputs!$B$57,0),""))))</f>
        <v/>
      </c>
      <c r="AE137" s="10" t="str">
        <f t="shared" si="34"/>
        <v/>
      </c>
      <c r="AF137" s="10" t="str">
        <f t="shared" si="35"/>
        <v/>
      </c>
      <c r="AG137" s="10" t="str">
        <f t="shared" si="36"/>
        <v/>
      </c>
      <c r="AH137" s="3" t="str">
        <f>IF(A137="","",IF(E137="","TERMINAL",IF(OR(AND(UPPER(TRIM(B137))="SWALE",UPPER(TRIM(AI137))="PIPE"),AND(UPPER(TRIM(B137))="TRENCH",UPPER(TRIM(AI137))="PIPE")),IF(OR(AG137="",AJ137="",AK137=""),"INFO",IF(AND(AG137&gt;=AJ137,AG137&lt;=AK137),"OK","CHECK")),IF(AG137="","INFO",IF(ABS(AG137)&lt;=Inputs!$B$54,"OK","CHECK")))))</f>
        <v/>
      </c>
      <c r="AI137" s="11" t="str">
        <f t="shared" si="37"/>
        <v/>
      </c>
      <c r="AJ137" s="11" t="str">
        <f>IF(A137="","",IF(OR(AND(UPPER(TRIM(B137))="SWALE",UPPER(TRIM(AI137))="PIPE"),AND(UPPER(TRIM(B137))="TRENCH",UPPER(TRIM(AI137))="PIPE")),Inputs!$B$55,0))</f>
        <v/>
      </c>
      <c r="AK137" s="11" t="str">
        <f>IF(A137="","",IF(OR(AND(UPPER(TRIM(B137))="SWALE",UPPER(TRIM(AI137))="PIPE"),AND(UPPER(TRIM(B137))="TRENCH",UPPER(TRIM(AI137))="PIPE")),Inputs!$B$56,Inputs!$B$54))</f>
        <v/>
      </c>
      <c r="AL137" s="3" t="str">
        <f t="shared" si="38"/>
        <v/>
      </c>
    </row>
    <row r="138" spans="1:38" x14ac:dyDescent="0.25">
      <c r="A138" s="3"/>
      <c r="B138" s="3"/>
      <c r="C138" s="3"/>
      <c r="D138" s="3"/>
      <c r="E138" s="3"/>
      <c r="F138" s="8"/>
      <c r="G138" s="8"/>
      <c r="H138" s="8"/>
      <c r="I138" s="10" t="str">
        <f>IF(A138="","",IF(H138&lt;&gt;"",H138,IF(UPPER(TRIM(B138))="PIPE",Inputs!$B$7,IF(UPPER(TRIM(B138))="SWALE",Inputs!$B$8,Inputs!$B$9))))</f>
        <v/>
      </c>
      <c r="J138" s="8"/>
      <c r="K138" s="8"/>
      <c r="L138" s="8"/>
      <c r="M138" s="8"/>
      <c r="N138" s="8">
        <v>0</v>
      </c>
      <c r="O138" s="10" t="str">
        <f>IF(A138="","",SUMIFS(Zones_tributaires!$I:$I,Zones_tributaires!$J:$J,$A138))</f>
        <v/>
      </c>
      <c r="P138" s="10" t="str">
        <f t="shared" si="26"/>
        <v/>
      </c>
      <c r="Q138" s="10" t="str">
        <f>IF(A138="","",(O138+P138)*Inputs!$B$6)</f>
        <v/>
      </c>
      <c r="R138" s="10" t="str">
        <f t="shared" si="27"/>
        <v/>
      </c>
      <c r="S138" s="10" t="str">
        <f t="shared" si="28"/>
        <v/>
      </c>
      <c r="T138" s="10" t="str">
        <f t="shared" si="29"/>
        <v/>
      </c>
      <c r="U138" s="10" t="str">
        <f>IF(OR(T138="",Q138=""),"",Q138/(T138*Inputs!$B$19))</f>
        <v/>
      </c>
      <c r="V138" s="10" t="str">
        <f t="shared" si="30"/>
        <v/>
      </c>
      <c r="W138" s="10" t="str">
        <f t="shared" si="31"/>
        <v/>
      </c>
      <c r="X138" s="10" t="str">
        <f>IF(A138="","",IF(OR(UPPER(TRIM(Inputs!$B$15))="MANNING",UPPER(TRIM(Inputs!$B$15))="M"),W138,IF(OR(UPPER(TRIM(Inputs!$B$15))="MAX",UPPER(TRIM(Inputs!$B$15))="X"),MAX(V138,W138),V138)))</f>
        <v/>
      </c>
      <c r="Y138" s="10" t="str">
        <f t="shared" si="32"/>
        <v/>
      </c>
      <c r="Z138" s="10" t="str">
        <f t="shared" si="33"/>
        <v/>
      </c>
      <c r="AA138" s="3" t="str">
        <f>IF(A138="","",IF(OR(U138&gt;1,AND(X138&lt;&gt;"",X138&lt;Inputs!$B$16),AND(X138&lt;&gt;"",X138&gt;Inputs!$B$17),G138&lt;Inputs!$B$18,AH138="CHECK"),"CHECK","OK"))</f>
        <v/>
      </c>
      <c r="AB138" s="3"/>
      <c r="AC138" s="8"/>
      <c r="AD138" s="10" t="str">
        <f>IF(A138="","",IF(AC138&lt;&gt;"",AC138,IF(E138="",Inputs!$B$38,IFERROR(INDEX($AE$4:$AE$204,MATCH(E138,$A$4:$A$204,0))+IF(OR(AND(UPPER(TRIM(B138))="SWALE",UPPER(TRIM(AI138))="PIPE"),AND(UPPER(TRIM(B138))="TRENCH",UPPER(TRIM(AI138))="PIPE")),Inputs!$B$57,0),""))))</f>
        <v/>
      </c>
      <c r="AE138" s="10" t="str">
        <f t="shared" si="34"/>
        <v/>
      </c>
      <c r="AF138" s="10" t="str">
        <f t="shared" si="35"/>
        <v/>
      </c>
      <c r="AG138" s="10" t="str">
        <f t="shared" si="36"/>
        <v/>
      </c>
      <c r="AH138" s="3" t="str">
        <f>IF(A138="","",IF(E138="","TERMINAL",IF(OR(AND(UPPER(TRIM(B138))="SWALE",UPPER(TRIM(AI138))="PIPE"),AND(UPPER(TRIM(B138))="TRENCH",UPPER(TRIM(AI138))="PIPE")),IF(OR(AG138="",AJ138="",AK138=""),"INFO",IF(AND(AG138&gt;=AJ138,AG138&lt;=AK138),"OK","CHECK")),IF(AG138="","INFO",IF(ABS(AG138)&lt;=Inputs!$B$54,"OK","CHECK")))))</f>
        <v/>
      </c>
      <c r="AI138" s="11" t="str">
        <f t="shared" si="37"/>
        <v/>
      </c>
      <c r="AJ138" s="11" t="str">
        <f>IF(A138="","",IF(OR(AND(UPPER(TRIM(B138))="SWALE",UPPER(TRIM(AI138))="PIPE"),AND(UPPER(TRIM(B138))="TRENCH",UPPER(TRIM(AI138))="PIPE")),Inputs!$B$55,0))</f>
        <v/>
      </c>
      <c r="AK138" s="11" t="str">
        <f>IF(A138="","",IF(OR(AND(UPPER(TRIM(B138))="SWALE",UPPER(TRIM(AI138))="PIPE"),AND(UPPER(TRIM(B138))="TRENCH",UPPER(TRIM(AI138))="PIPE")),Inputs!$B$56,Inputs!$B$54))</f>
        <v/>
      </c>
      <c r="AL138" s="3" t="str">
        <f t="shared" si="38"/>
        <v/>
      </c>
    </row>
    <row r="139" spans="1:38" x14ac:dyDescent="0.25">
      <c r="A139" s="3"/>
      <c r="B139" s="3"/>
      <c r="C139" s="3"/>
      <c r="D139" s="3"/>
      <c r="E139" s="3"/>
      <c r="F139" s="8"/>
      <c r="G139" s="8"/>
      <c r="H139" s="8"/>
      <c r="I139" s="10" t="str">
        <f>IF(A139="","",IF(H139&lt;&gt;"",H139,IF(UPPER(TRIM(B139))="PIPE",Inputs!$B$7,IF(UPPER(TRIM(B139))="SWALE",Inputs!$B$8,Inputs!$B$9))))</f>
        <v/>
      </c>
      <c r="J139" s="8"/>
      <c r="K139" s="8"/>
      <c r="L139" s="8"/>
      <c r="M139" s="8"/>
      <c r="N139" s="8">
        <v>0</v>
      </c>
      <c r="O139" s="10" t="str">
        <f>IF(A139="","",SUMIFS(Zones_tributaires!$I:$I,Zones_tributaires!$J:$J,$A139))</f>
        <v/>
      </c>
      <c r="P139" s="10" t="str">
        <f t="shared" si="26"/>
        <v/>
      </c>
      <c r="Q139" s="10" t="str">
        <f>IF(A139="","",(O139+P139)*Inputs!$B$6)</f>
        <v/>
      </c>
      <c r="R139" s="10" t="str">
        <f t="shared" si="27"/>
        <v/>
      </c>
      <c r="S139" s="10" t="str">
        <f t="shared" si="28"/>
        <v/>
      </c>
      <c r="T139" s="10" t="str">
        <f t="shared" si="29"/>
        <v/>
      </c>
      <c r="U139" s="10" t="str">
        <f>IF(OR(T139="",Q139=""),"",Q139/(T139*Inputs!$B$19))</f>
        <v/>
      </c>
      <c r="V139" s="10" t="str">
        <f t="shared" si="30"/>
        <v/>
      </c>
      <c r="W139" s="10" t="str">
        <f t="shared" si="31"/>
        <v/>
      </c>
      <c r="X139" s="10" t="str">
        <f>IF(A139="","",IF(OR(UPPER(TRIM(Inputs!$B$15))="MANNING",UPPER(TRIM(Inputs!$B$15))="M"),W139,IF(OR(UPPER(TRIM(Inputs!$B$15))="MAX",UPPER(TRIM(Inputs!$B$15))="X"),MAX(V139,W139),V139)))</f>
        <v/>
      </c>
      <c r="Y139" s="10" t="str">
        <f t="shared" si="32"/>
        <v/>
      </c>
      <c r="Z139" s="10" t="str">
        <f t="shared" si="33"/>
        <v/>
      </c>
      <c r="AA139" s="3" t="str">
        <f>IF(A139="","",IF(OR(U139&gt;1,AND(X139&lt;&gt;"",X139&lt;Inputs!$B$16),AND(X139&lt;&gt;"",X139&gt;Inputs!$B$17),G139&lt;Inputs!$B$18,AH139="CHECK"),"CHECK","OK"))</f>
        <v/>
      </c>
      <c r="AB139" s="3"/>
      <c r="AC139" s="8"/>
      <c r="AD139" s="10" t="str">
        <f>IF(A139="","",IF(AC139&lt;&gt;"",AC139,IF(E139="",Inputs!$B$38,IFERROR(INDEX($AE$4:$AE$204,MATCH(E139,$A$4:$A$204,0))+IF(OR(AND(UPPER(TRIM(B139))="SWALE",UPPER(TRIM(AI139))="PIPE"),AND(UPPER(TRIM(B139))="TRENCH",UPPER(TRIM(AI139))="PIPE")),Inputs!$B$57,0),""))))</f>
        <v/>
      </c>
      <c r="AE139" s="10" t="str">
        <f t="shared" si="34"/>
        <v/>
      </c>
      <c r="AF139" s="10" t="str">
        <f t="shared" si="35"/>
        <v/>
      </c>
      <c r="AG139" s="10" t="str">
        <f t="shared" si="36"/>
        <v/>
      </c>
      <c r="AH139" s="3" t="str">
        <f>IF(A139="","",IF(E139="","TERMINAL",IF(OR(AND(UPPER(TRIM(B139))="SWALE",UPPER(TRIM(AI139))="PIPE"),AND(UPPER(TRIM(B139))="TRENCH",UPPER(TRIM(AI139))="PIPE")),IF(OR(AG139="",AJ139="",AK139=""),"INFO",IF(AND(AG139&gt;=AJ139,AG139&lt;=AK139),"OK","CHECK")),IF(AG139="","INFO",IF(ABS(AG139)&lt;=Inputs!$B$54,"OK","CHECK")))))</f>
        <v/>
      </c>
      <c r="AI139" s="11" t="str">
        <f t="shared" si="37"/>
        <v/>
      </c>
      <c r="AJ139" s="11" t="str">
        <f>IF(A139="","",IF(OR(AND(UPPER(TRIM(B139))="SWALE",UPPER(TRIM(AI139))="PIPE"),AND(UPPER(TRIM(B139))="TRENCH",UPPER(TRIM(AI139))="PIPE")),Inputs!$B$55,0))</f>
        <v/>
      </c>
      <c r="AK139" s="11" t="str">
        <f>IF(A139="","",IF(OR(AND(UPPER(TRIM(B139))="SWALE",UPPER(TRIM(AI139))="PIPE"),AND(UPPER(TRIM(B139))="TRENCH",UPPER(TRIM(AI139))="PIPE")),Inputs!$B$56,Inputs!$B$54))</f>
        <v/>
      </c>
      <c r="AL139" s="3" t="str">
        <f t="shared" si="38"/>
        <v/>
      </c>
    </row>
    <row r="140" spans="1:38" x14ac:dyDescent="0.25">
      <c r="A140" s="3"/>
      <c r="B140" s="3"/>
      <c r="C140" s="3"/>
      <c r="D140" s="3"/>
      <c r="E140" s="3"/>
      <c r="F140" s="8"/>
      <c r="G140" s="8"/>
      <c r="H140" s="8"/>
      <c r="I140" s="10" t="str">
        <f>IF(A140="","",IF(H140&lt;&gt;"",H140,IF(UPPER(TRIM(B140))="PIPE",Inputs!$B$7,IF(UPPER(TRIM(B140))="SWALE",Inputs!$B$8,Inputs!$B$9))))</f>
        <v/>
      </c>
      <c r="J140" s="8"/>
      <c r="K140" s="8"/>
      <c r="L140" s="8"/>
      <c r="M140" s="8"/>
      <c r="N140" s="8">
        <v>0</v>
      </c>
      <c r="O140" s="10" t="str">
        <f>IF(A140="","",SUMIFS(Zones_tributaires!$I:$I,Zones_tributaires!$J:$J,$A140))</f>
        <v/>
      </c>
      <c r="P140" s="10" t="str">
        <f t="shared" si="26"/>
        <v/>
      </c>
      <c r="Q140" s="10" t="str">
        <f>IF(A140="","",(O140+P140)*Inputs!$B$6)</f>
        <v/>
      </c>
      <c r="R140" s="10" t="str">
        <f t="shared" si="27"/>
        <v/>
      </c>
      <c r="S140" s="10" t="str">
        <f t="shared" si="28"/>
        <v/>
      </c>
      <c r="T140" s="10" t="str">
        <f t="shared" si="29"/>
        <v/>
      </c>
      <c r="U140" s="10" t="str">
        <f>IF(OR(T140="",Q140=""),"",Q140/(T140*Inputs!$B$19))</f>
        <v/>
      </c>
      <c r="V140" s="10" t="str">
        <f t="shared" si="30"/>
        <v/>
      </c>
      <c r="W140" s="10" t="str">
        <f t="shared" si="31"/>
        <v/>
      </c>
      <c r="X140" s="10" t="str">
        <f>IF(A140="","",IF(OR(UPPER(TRIM(Inputs!$B$15))="MANNING",UPPER(TRIM(Inputs!$B$15))="M"),W140,IF(OR(UPPER(TRIM(Inputs!$B$15))="MAX",UPPER(TRIM(Inputs!$B$15))="X"),MAX(V140,W140),V140)))</f>
        <v/>
      </c>
      <c r="Y140" s="10" t="str">
        <f t="shared" si="32"/>
        <v/>
      </c>
      <c r="Z140" s="10" t="str">
        <f t="shared" si="33"/>
        <v/>
      </c>
      <c r="AA140" s="3" t="str">
        <f>IF(A140="","",IF(OR(U140&gt;1,AND(X140&lt;&gt;"",X140&lt;Inputs!$B$16),AND(X140&lt;&gt;"",X140&gt;Inputs!$B$17),G140&lt;Inputs!$B$18,AH140="CHECK"),"CHECK","OK"))</f>
        <v/>
      </c>
      <c r="AB140" s="3"/>
      <c r="AC140" s="8"/>
      <c r="AD140" s="10" t="str">
        <f>IF(A140="","",IF(AC140&lt;&gt;"",AC140,IF(E140="",Inputs!$B$38,IFERROR(INDEX($AE$4:$AE$204,MATCH(E140,$A$4:$A$204,0))+IF(OR(AND(UPPER(TRIM(B140))="SWALE",UPPER(TRIM(AI140))="PIPE"),AND(UPPER(TRIM(B140))="TRENCH",UPPER(TRIM(AI140))="PIPE")),Inputs!$B$57,0),""))))</f>
        <v/>
      </c>
      <c r="AE140" s="10" t="str">
        <f t="shared" si="34"/>
        <v/>
      </c>
      <c r="AF140" s="10" t="str">
        <f t="shared" si="35"/>
        <v/>
      </c>
      <c r="AG140" s="10" t="str">
        <f t="shared" si="36"/>
        <v/>
      </c>
      <c r="AH140" s="3" t="str">
        <f>IF(A140="","",IF(E140="","TERMINAL",IF(OR(AND(UPPER(TRIM(B140))="SWALE",UPPER(TRIM(AI140))="PIPE"),AND(UPPER(TRIM(B140))="TRENCH",UPPER(TRIM(AI140))="PIPE")),IF(OR(AG140="",AJ140="",AK140=""),"INFO",IF(AND(AG140&gt;=AJ140,AG140&lt;=AK140),"OK","CHECK")),IF(AG140="","INFO",IF(ABS(AG140)&lt;=Inputs!$B$54,"OK","CHECK")))))</f>
        <v/>
      </c>
      <c r="AI140" s="11" t="str">
        <f t="shared" si="37"/>
        <v/>
      </c>
      <c r="AJ140" s="11" t="str">
        <f>IF(A140="","",IF(OR(AND(UPPER(TRIM(B140))="SWALE",UPPER(TRIM(AI140))="PIPE"),AND(UPPER(TRIM(B140))="TRENCH",UPPER(TRIM(AI140))="PIPE")),Inputs!$B$55,0))</f>
        <v/>
      </c>
      <c r="AK140" s="11" t="str">
        <f>IF(A140="","",IF(OR(AND(UPPER(TRIM(B140))="SWALE",UPPER(TRIM(AI140))="PIPE"),AND(UPPER(TRIM(B140))="TRENCH",UPPER(TRIM(AI140))="PIPE")),Inputs!$B$56,Inputs!$B$54))</f>
        <v/>
      </c>
      <c r="AL140" s="3" t="str">
        <f t="shared" si="38"/>
        <v/>
      </c>
    </row>
    <row r="141" spans="1:38" x14ac:dyDescent="0.25">
      <c r="A141" s="3"/>
      <c r="B141" s="3"/>
      <c r="C141" s="3"/>
      <c r="D141" s="3"/>
      <c r="E141" s="3"/>
      <c r="F141" s="8"/>
      <c r="G141" s="8"/>
      <c r="H141" s="8"/>
      <c r="I141" s="10" t="str">
        <f>IF(A141="","",IF(H141&lt;&gt;"",H141,IF(UPPER(TRIM(B141))="PIPE",Inputs!$B$7,IF(UPPER(TRIM(B141))="SWALE",Inputs!$B$8,Inputs!$B$9))))</f>
        <v/>
      </c>
      <c r="J141" s="8"/>
      <c r="K141" s="8"/>
      <c r="L141" s="8"/>
      <c r="M141" s="8"/>
      <c r="N141" s="8">
        <v>0</v>
      </c>
      <c r="O141" s="10" t="str">
        <f>IF(A141="","",SUMIFS(Zones_tributaires!$I:$I,Zones_tributaires!$J:$J,$A141))</f>
        <v/>
      </c>
      <c r="P141" s="10" t="str">
        <f t="shared" si="26"/>
        <v/>
      </c>
      <c r="Q141" s="10" t="str">
        <f>IF(A141="","",(O141+P141)*Inputs!$B$6)</f>
        <v/>
      </c>
      <c r="R141" s="10" t="str">
        <f t="shared" si="27"/>
        <v/>
      </c>
      <c r="S141" s="10" t="str">
        <f t="shared" si="28"/>
        <v/>
      </c>
      <c r="T141" s="10" t="str">
        <f t="shared" si="29"/>
        <v/>
      </c>
      <c r="U141" s="10" t="str">
        <f>IF(OR(T141="",Q141=""),"",Q141/(T141*Inputs!$B$19))</f>
        <v/>
      </c>
      <c r="V141" s="10" t="str">
        <f t="shared" si="30"/>
        <v/>
      </c>
      <c r="W141" s="10" t="str">
        <f t="shared" si="31"/>
        <v/>
      </c>
      <c r="X141" s="10" t="str">
        <f>IF(A141="","",IF(OR(UPPER(TRIM(Inputs!$B$15))="MANNING",UPPER(TRIM(Inputs!$B$15))="M"),W141,IF(OR(UPPER(TRIM(Inputs!$B$15))="MAX",UPPER(TRIM(Inputs!$B$15))="X"),MAX(V141,W141),V141)))</f>
        <v/>
      </c>
      <c r="Y141" s="10" t="str">
        <f t="shared" si="32"/>
        <v/>
      </c>
      <c r="Z141" s="10" t="str">
        <f t="shared" si="33"/>
        <v/>
      </c>
      <c r="AA141" s="3" t="str">
        <f>IF(A141="","",IF(OR(U141&gt;1,AND(X141&lt;&gt;"",X141&lt;Inputs!$B$16),AND(X141&lt;&gt;"",X141&gt;Inputs!$B$17),G141&lt;Inputs!$B$18,AH141="CHECK"),"CHECK","OK"))</f>
        <v/>
      </c>
      <c r="AB141" s="3"/>
      <c r="AC141" s="8"/>
      <c r="AD141" s="10" t="str">
        <f>IF(A141="","",IF(AC141&lt;&gt;"",AC141,IF(E141="",Inputs!$B$38,IFERROR(INDEX($AE$4:$AE$204,MATCH(E141,$A$4:$A$204,0))+IF(OR(AND(UPPER(TRIM(B141))="SWALE",UPPER(TRIM(AI141))="PIPE"),AND(UPPER(TRIM(B141))="TRENCH",UPPER(TRIM(AI141))="PIPE")),Inputs!$B$57,0),""))))</f>
        <v/>
      </c>
      <c r="AE141" s="10" t="str">
        <f t="shared" si="34"/>
        <v/>
      </c>
      <c r="AF141" s="10" t="str">
        <f t="shared" si="35"/>
        <v/>
      </c>
      <c r="AG141" s="10" t="str">
        <f t="shared" si="36"/>
        <v/>
      </c>
      <c r="AH141" s="3" t="str">
        <f>IF(A141="","",IF(E141="","TERMINAL",IF(OR(AND(UPPER(TRIM(B141))="SWALE",UPPER(TRIM(AI141))="PIPE"),AND(UPPER(TRIM(B141))="TRENCH",UPPER(TRIM(AI141))="PIPE")),IF(OR(AG141="",AJ141="",AK141=""),"INFO",IF(AND(AG141&gt;=AJ141,AG141&lt;=AK141),"OK","CHECK")),IF(AG141="","INFO",IF(ABS(AG141)&lt;=Inputs!$B$54,"OK","CHECK")))))</f>
        <v/>
      </c>
      <c r="AI141" s="11" t="str">
        <f t="shared" si="37"/>
        <v/>
      </c>
      <c r="AJ141" s="11" t="str">
        <f>IF(A141="","",IF(OR(AND(UPPER(TRIM(B141))="SWALE",UPPER(TRIM(AI141))="PIPE"),AND(UPPER(TRIM(B141))="TRENCH",UPPER(TRIM(AI141))="PIPE")),Inputs!$B$55,0))</f>
        <v/>
      </c>
      <c r="AK141" s="11" t="str">
        <f>IF(A141="","",IF(OR(AND(UPPER(TRIM(B141))="SWALE",UPPER(TRIM(AI141))="PIPE"),AND(UPPER(TRIM(B141))="TRENCH",UPPER(TRIM(AI141))="PIPE")),Inputs!$B$56,Inputs!$B$54))</f>
        <v/>
      </c>
      <c r="AL141" s="3" t="str">
        <f t="shared" si="38"/>
        <v/>
      </c>
    </row>
    <row r="142" spans="1:38" x14ac:dyDescent="0.25">
      <c r="A142" s="3"/>
      <c r="B142" s="3"/>
      <c r="C142" s="3"/>
      <c r="D142" s="3"/>
      <c r="E142" s="3"/>
      <c r="F142" s="8"/>
      <c r="G142" s="8"/>
      <c r="H142" s="8"/>
      <c r="I142" s="10" t="str">
        <f>IF(A142="","",IF(H142&lt;&gt;"",H142,IF(UPPER(TRIM(B142))="PIPE",Inputs!$B$7,IF(UPPER(TRIM(B142))="SWALE",Inputs!$B$8,Inputs!$B$9))))</f>
        <v/>
      </c>
      <c r="J142" s="8"/>
      <c r="K142" s="8"/>
      <c r="L142" s="8"/>
      <c r="M142" s="8"/>
      <c r="N142" s="8">
        <v>0</v>
      </c>
      <c r="O142" s="10" t="str">
        <f>IF(A142="","",SUMIFS(Zones_tributaires!$I:$I,Zones_tributaires!$J:$J,$A142))</f>
        <v/>
      </c>
      <c r="P142" s="10" t="str">
        <f t="shared" si="26"/>
        <v/>
      </c>
      <c r="Q142" s="10" t="str">
        <f>IF(A142="","",(O142+P142)*Inputs!$B$6)</f>
        <v/>
      </c>
      <c r="R142" s="10" t="str">
        <f t="shared" si="27"/>
        <v/>
      </c>
      <c r="S142" s="10" t="str">
        <f t="shared" si="28"/>
        <v/>
      </c>
      <c r="T142" s="10" t="str">
        <f t="shared" si="29"/>
        <v/>
      </c>
      <c r="U142" s="10" t="str">
        <f>IF(OR(T142="",Q142=""),"",Q142/(T142*Inputs!$B$19))</f>
        <v/>
      </c>
      <c r="V142" s="10" t="str">
        <f t="shared" si="30"/>
        <v/>
      </c>
      <c r="W142" s="10" t="str">
        <f t="shared" si="31"/>
        <v/>
      </c>
      <c r="X142" s="10" t="str">
        <f>IF(A142="","",IF(OR(UPPER(TRIM(Inputs!$B$15))="MANNING",UPPER(TRIM(Inputs!$B$15))="M"),W142,IF(OR(UPPER(TRIM(Inputs!$B$15))="MAX",UPPER(TRIM(Inputs!$B$15))="X"),MAX(V142,W142),V142)))</f>
        <v/>
      </c>
      <c r="Y142" s="10" t="str">
        <f t="shared" si="32"/>
        <v/>
      </c>
      <c r="Z142" s="10" t="str">
        <f t="shared" si="33"/>
        <v/>
      </c>
      <c r="AA142" s="3" t="str">
        <f>IF(A142="","",IF(OR(U142&gt;1,AND(X142&lt;&gt;"",X142&lt;Inputs!$B$16),AND(X142&lt;&gt;"",X142&gt;Inputs!$B$17),G142&lt;Inputs!$B$18,AH142="CHECK"),"CHECK","OK"))</f>
        <v/>
      </c>
      <c r="AB142" s="3"/>
      <c r="AC142" s="8"/>
      <c r="AD142" s="10" t="str">
        <f>IF(A142="","",IF(AC142&lt;&gt;"",AC142,IF(E142="",Inputs!$B$38,IFERROR(INDEX($AE$4:$AE$204,MATCH(E142,$A$4:$A$204,0))+IF(OR(AND(UPPER(TRIM(B142))="SWALE",UPPER(TRIM(AI142))="PIPE"),AND(UPPER(TRIM(B142))="TRENCH",UPPER(TRIM(AI142))="PIPE")),Inputs!$B$57,0),""))))</f>
        <v/>
      </c>
      <c r="AE142" s="10" t="str">
        <f t="shared" si="34"/>
        <v/>
      </c>
      <c r="AF142" s="10" t="str">
        <f t="shared" si="35"/>
        <v/>
      </c>
      <c r="AG142" s="10" t="str">
        <f t="shared" si="36"/>
        <v/>
      </c>
      <c r="AH142" s="3" t="str">
        <f>IF(A142="","",IF(E142="","TERMINAL",IF(OR(AND(UPPER(TRIM(B142))="SWALE",UPPER(TRIM(AI142))="PIPE"),AND(UPPER(TRIM(B142))="TRENCH",UPPER(TRIM(AI142))="PIPE")),IF(OR(AG142="",AJ142="",AK142=""),"INFO",IF(AND(AG142&gt;=AJ142,AG142&lt;=AK142),"OK","CHECK")),IF(AG142="","INFO",IF(ABS(AG142)&lt;=Inputs!$B$54,"OK","CHECK")))))</f>
        <v/>
      </c>
      <c r="AI142" s="11" t="str">
        <f t="shared" si="37"/>
        <v/>
      </c>
      <c r="AJ142" s="11" t="str">
        <f>IF(A142="","",IF(OR(AND(UPPER(TRIM(B142))="SWALE",UPPER(TRIM(AI142))="PIPE"),AND(UPPER(TRIM(B142))="TRENCH",UPPER(TRIM(AI142))="PIPE")),Inputs!$B$55,0))</f>
        <v/>
      </c>
      <c r="AK142" s="11" t="str">
        <f>IF(A142="","",IF(OR(AND(UPPER(TRIM(B142))="SWALE",UPPER(TRIM(AI142))="PIPE"),AND(UPPER(TRIM(B142))="TRENCH",UPPER(TRIM(AI142))="PIPE")),Inputs!$B$56,Inputs!$B$54))</f>
        <v/>
      </c>
      <c r="AL142" s="3" t="str">
        <f t="shared" si="38"/>
        <v/>
      </c>
    </row>
    <row r="143" spans="1:38" x14ac:dyDescent="0.25">
      <c r="A143" s="3"/>
      <c r="B143" s="3"/>
      <c r="C143" s="3"/>
      <c r="D143" s="3"/>
      <c r="E143" s="3"/>
      <c r="F143" s="8"/>
      <c r="G143" s="8"/>
      <c r="H143" s="8"/>
      <c r="I143" s="10" t="str">
        <f>IF(A143="","",IF(H143&lt;&gt;"",H143,IF(UPPER(TRIM(B143))="PIPE",Inputs!$B$7,IF(UPPER(TRIM(B143))="SWALE",Inputs!$B$8,Inputs!$B$9))))</f>
        <v/>
      </c>
      <c r="J143" s="8"/>
      <c r="K143" s="8"/>
      <c r="L143" s="8"/>
      <c r="M143" s="8"/>
      <c r="N143" s="8">
        <v>0</v>
      </c>
      <c r="O143" s="10" t="str">
        <f>IF(A143="","",SUMIFS(Zones_tributaires!$I:$I,Zones_tributaires!$J:$J,$A143))</f>
        <v/>
      </c>
      <c r="P143" s="10" t="str">
        <f t="shared" si="26"/>
        <v/>
      </c>
      <c r="Q143" s="10" t="str">
        <f>IF(A143="","",(O143+P143)*Inputs!$B$6)</f>
        <v/>
      </c>
      <c r="R143" s="10" t="str">
        <f t="shared" si="27"/>
        <v/>
      </c>
      <c r="S143" s="10" t="str">
        <f t="shared" si="28"/>
        <v/>
      </c>
      <c r="T143" s="10" t="str">
        <f t="shared" si="29"/>
        <v/>
      </c>
      <c r="U143" s="10" t="str">
        <f>IF(OR(T143="",Q143=""),"",Q143/(T143*Inputs!$B$19))</f>
        <v/>
      </c>
      <c r="V143" s="10" t="str">
        <f t="shared" si="30"/>
        <v/>
      </c>
      <c r="W143" s="10" t="str">
        <f t="shared" si="31"/>
        <v/>
      </c>
      <c r="X143" s="10" t="str">
        <f>IF(A143="","",IF(OR(UPPER(TRIM(Inputs!$B$15))="MANNING",UPPER(TRIM(Inputs!$B$15))="M"),W143,IF(OR(UPPER(TRIM(Inputs!$B$15))="MAX",UPPER(TRIM(Inputs!$B$15))="X"),MAX(V143,W143),V143)))</f>
        <v/>
      </c>
      <c r="Y143" s="10" t="str">
        <f t="shared" si="32"/>
        <v/>
      </c>
      <c r="Z143" s="10" t="str">
        <f t="shared" si="33"/>
        <v/>
      </c>
      <c r="AA143" s="3" t="str">
        <f>IF(A143="","",IF(OR(U143&gt;1,AND(X143&lt;&gt;"",X143&lt;Inputs!$B$16),AND(X143&lt;&gt;"",X143&gt;Inputs!$B$17),G143&lt;Inputs!$B$18,AH143="CHECK"),"CHECK","OK"))</f>
        <v/>
      </c>
      <c r="AB143" s="3"/>
      <c r="AC143" s="8"/>
      <c r="AD143" s="10" t="str">
        <f>IF(A143="","",IF(AC143&lt;&gt;"",AC143,IF(E143="",Inputs!$B$38,IFERROR(INDEX($AE$4:$AE$204,MATCH(E143,$A$4:$A$204,0))+IF(OR(AND(UPPER(TRIM(B143))="SWALE",UPPER(TRIM(AI143))="PIPE"),AND(UPPER(TRIM(B143))="TRENCH",UPPER(TRIM(AI143))="PIPE")),Inputs!$B$57,0),""))))</f>
        <v/>
      </c>
      <c r="AE143" s="10" t="str">
        <f t="shared" si="34"/>
        <v/>
      </c>
      <c r="AF143" s="10" t="str">
        <f t="shared" si="35"/>
        <v/>
      </c>
      <c r="AG143" s="10" t="str">
        <f t="shared" si="36"/>
        <v/>
      </c>
      <c r="AH143" s="3" t="str">
        <f>IF(A143="","",IF(E143="","TERMINAL",IF(OR(AND(UPPER(TRIM(B143))="SWALE",UPPER(TRIM(AI143))="PIPE"),AND(UPPER(TRIM(B143))="TRENCH",UPPER(TRIM(AI143))="PIPE")),IF(OR(AG143="",AJ143="",AK143=""),"INFO",IF(AND(AG143&gt;=AJ143,AG143&lt;=AK143),"OK","CHECK")),IF(AG143="","INFO",IF(ABS(AG143)&lt;=Inputs!$B$54,"OK","CHECK")))))</f>
        <v/>
      </c>
      <c r="AI143" s="11" t="str">
        <f t="shared" si="37"/>
        <v/>
      </c>
      <c r="AJ143" s="11" t="str">
        <f>IF(A143="","",IF(OR(AND(UPPER(TRIM(B143))="SWALE",UPPER(TRIM(AI143))="PIPE"),AND(UPPER(TRIM(B143))="TRENCH",UPPER(TRIM(AI143))="PIPE")),Inputs!$B$55,0))</f>
        <v/>
      </c>
      <c r="AK143" s="11" t="str">
        <f>IF(A143="","",IF(OR(AND(UPPER(TRIM(B143))="SWALE",UPPER(TRIM(AI143))="PIPE"),AND(UPPER(TRIM(B143))="TRENCH",UPPER(TRIM(AI143))="PIPE")),Inputs!$B$56,Inputs!$B$54))</f>
        <v/>
      </c>
      <c r="AL143" s="3" t="str">
        <f t="shared" si="38"/>
        <v/>
      </c>
    </row>
    <row r="144" spans="1:38" x14ac:dyDescent="0.25">
      <c r="A144" s="3"/>
      <c r="B144" s="3"/>
      <c r="C144" s="3"/>
      <c r="D144" s="3"/>
      <c r="E144" s="3"/>
      <c r="F144" s="8"/>
      <c r="G144" s="8"/>
      <c r="H144" s="8"/>
      <c r="I144" s="10" t="str">
        <f>IF(A144="","",IF(H144&lt;&gt;"",H144,IF(UPPER(TRIM(B144))="PIPE",Inputs!$B$7,IF(UPPER(TRIM(B144))="SWALE",Inputs!$B$8,Inputs!$B$9))))</f>
        <v/>
      </c>
      <c r="J144" s="8"/>
      <c r="K144" s="8"/>
      <c r="L144" s="8"/>
      <c r="M144" s="8"/>
      <c r="N144" s="8">
        <v>0</v>
      </c>
      <c r="O144" s="10" t="str">
        <f>IF(A144="","",SUMIFS(Zones_tributaires!$I:$I,Zones_tributaires!$J:$J,$A144))</f>
        <v/>
      </c>
      <c r="P144" s="10" t="str">
        <f t="shared" si="26"/>
        <v/>
      </c>
      <c r="Q144" s="10" t="str">
        <f>IF(A144="","",(O144+P144)*Inputs!$B$6)</f>
        <v/>
      </c>
      <c r="R144" s="10" t="str">
        <f t="shared" si="27"/>
        <v/>
      </c>
      <c r="S144" s="10" t="str">
        <f t="shared" si="28"/>
        <v/>
      </c>
      <c r="T144" s="10" t="str">
        <f t="shared" si="29"/>
        <v/>
      </c>
      <c r="U144" s="10" t="str">
        <f>IF(OR(T144="",Q144=""),"",Q144/(T144*Inputs!$B$19))</f>
        <v/>
      </c>
      <c r="V144" s="10" t="str">
        <f t="shared" si="30"/>
        <v/>
      </c>
      <c r="W144" s="10" t="str">
        <f t="shared" si="31"/>
        <v/>
      </c>
      <c r="X144" s="10" t="str">
        <f>IF(A144="","",IF(OR(UPPER(TRIM(Inputs!$B$15))="MANNING",UPPER(TRIM(Inputs!$B$15))="M"),W144,IF(OR(UPPER(TRIM(Inputs!$B$15))="MAX",UPPER(TRIM(Inputs!$B$15))="X"),MAX(V144,W144),V144)))</f>
        <v/>
      </c>
      <c r="Y144" s="10" t="str">
        <f t="shared" si="32"/>
        <v/>
      </c>
      <c r="Z144" s="10" t="str">
        <f t="shared" si="33"/>
        <v/>
      </c>
      <c r="AA144" s="3" t="str">
        <f>IF(A144="","",IF(OR(U144&gt;1,AND(X144&lt;&gt;"",X144&lt;Inputs!$B$16),AND(X144&lt;&gt;"",X144&gt;Inputs!$B$17),G144&lt;Inputs!$B$18,AH144="CHECK"),"CHECK","OK"))</f>
        <v/>
      </c>
      <c r="AB144" s="3"/>
      <c r="AC144" s="8"/>
      <c r="AD144" s="10" t="str">
        <f>IF(A144="","",IF(AC144&lt;&gt;"",AC144,IF(E144="",Inputs!$B$38,IFERROR(INDEX($AE$4:$AE$204,MATCH(E144,$A$4:$A$204,0))+IF(OR(AND(UPPER(TRIM(B144))="SWALE",UPPER(TRIM(AI144))="PIPE"),AND(UPPER(TRIM(B144))="TRENCH",UPPER(TRIM(AI144))="PIPE")),Inputs!$B$57,0),""))))</f>
        <v/>
      </c>
      <c r="AE144" s="10" t="str">
        <f t="shared" si="34"/>
        <v/>
      </c>
      <c r="AF144" s="10" t="str">
        <f t="shared" si="35"/>
        <v/>
      </c>
      <c r="AG144" s="10" t="str">
        <f t="shared" si="36"/>
        <v/>
      </c>
      <c r="AH144" s="3" t="str">
        <f>IF(A144="","",IF(E144="","TERMINAL",IF(OR(AND(UPPER(TRIM(B144))="SWALE",UPPER(TRIM(AI144))="PIPE"),AND(UPPER(TRIM(B144))="TRENCH",UPPER(TRIM(AI144))="PIPE")),IF(OR(AG144="",AJ144="",AK144=""),"INFO",IF(AND(AG144&gt;=AJ144,AG144&lt;=AK144),"OK","CHECK")),IF(AG144="","INFO",IF(ABS(AG144)&lt;=Inputs!$B$54,"OK","CHECK")))))</f>
        <v/>
      </c>
      <c r="AI144" s="11" t="str">
        <f t="shared" si="37"/>
        <v/>
      </c>
      <c r="AJ144" s="11" t="str">
        <f>IF(A144="","",IF(OR(AND(UPPER(TRIM(B144))="SWALE",UPPER(TRIM(AI144))="PIPE"),AND(UPPER(TRIM(B144))="TRENCH",UPPER(TRIM(AI144))="PIPE")),Inputs!$B$55,0))</f>
        <v/>
      </c>
      <c r="AK144" s="11" t="str">
        <f>IF(A144="","",IF(OR(AND(UPPER(TRIM(B144))="SWALE",UPPER(TRIM(AI144))="PIPE"),AND(UPPER(TRIM(B144))="TRENCH",UPPER(TRIM(AI144))="PIPE")),Inputs!$B$56,Inputs!$B$54))</f>
        <v/>
      </c>
      <c r="AL144" s="3" t="str">
        <f t="shared" si="38"/>
        <v/>
      </c>
    </row>
    <row r="145" spans="1:38" x14ac:dyDescent="0.25">
      <c r="A145" s="3"/>
      <c r="B145" s="3"/>
      <c r="C145" s="3"/>
      <c r="D145" s="3"/>
      <c r="E145" s="3"/>
      <c r="F145" s="8"/>
      <c r="G145" s="8"/>
      <c r="H145" s="8"/>
      <c r="I145" s="10" t="str">
        <f>IF(A145="","",IF(H145&lt;&gt;"",H145,IF(UPPER(TRIM(B145))="PIPE",Inputs!$B$7,IF(UPPER(TRIM(B145))="SWALE",Inputs!$B$8,Inputs!$B$9))))</f>
        <v/>
      </c>
      <c r="J145" s="8"/>
      <c r="K145" s="8"/>
      <c r="L145" s="8"/>
      <c r="M145" s="8"/>
      <c r="N145" s="8">
        <v>0</v>
      </c>
      <c r="O145" s="10" t="str">
        <f>IF(A145="","",SUMIFS(Zones_tributaires!$I:$I,Zones_tributaires!$J:$J,$A145))</f>
        <v/>
      </c>
      <c r="P145" s="10" t="str">
        <f t="shared" si="26"/>
        <v/>
      </c>
      <c r="Q145" s="10" t="str">
        <f>IF(A145="","",(O145+P145)*Inputs!$B$6)</f>
        <v/>
      </c>
      <c r="R145" s="10" t="str">
        <f t="shared" si="27"/>
        <v/>
      </c>
      <c r="S145" s="10" t="str">
        <f t="shared" si="28"/>
        <v/>
      </c>
      <c r="T145" s="10" t="str">
        <f t="shared" si="29"/>
        <v/>
      </c>
      <c r="U145" s="10" t="str">
        <f>IF(OR(T145="",Q145=""),"",Q145/(T145*Inputs!$B$19))</f>
        <v/>
      </c>
      <c r="V145" s="10" t="str">
        <f t="shared" si="30"/>
        <v/>
      </c>
      <c r="W145" s="10" t="str">
        <f t="shared" si="31"/>
        <v/>
      </c>
      <c r="X145" s="10" t="str">
        <f>IF(A145="","",IF(OR(UPPER(TRIM(Inputs!$B$15))="MANNING",UPPER(TRIM(Inputs!$B$15))="M"),W145,IF(OR(UPPER(TRIM(Inputs!$B$15))="MAX",UPPER(TRIM(Inputs!$B$15))="X"),MAX(V145,W145),V145)))</f>
        <v/>
      </c>
      <c r="Y145" s="10" t="str">
        <f t="shared" si="32"/>
        <v/>
      </c>
      <c r="Z145" s="10" t="str">
        <f t="shared" si="33"/>
        <v/>
      </c>
      <c r="AA145" s="3" t="str">
        <f>IF(A145="","",IF(OR(U145&gt;1,AND(X145&lt;&gt;"",X145&lt;Inputs!$B$16),AND(X145&lt;&gt;"",X145&gt;Inputs!$B$17),G145&lt;Inputs!$B$18,AH145="CHECK"),"CHECK","OK"))</f>
        <v/>
      </c>
      <c r="AB145" s="3"/>
      <c r="AC145" s="8"/>
      <c r="AD145" s="10" t="str">
        <f>IF(A145="","",IF(AC145&lt;&gt;"",AC145,IF(E145="",Inputs!$B$38,IFERROR(INDEX($AE$4:$AE$204,MATCH(E145,$A$4:$A$204,0))+IF(OR(AND(UPPER(TRIM(B145))="SWALE",UPPER(TRIM(AI145))="PIPE"),AND(UPPER(TRIM(B145))="TRENCH",UPPER(TRIM(AI145))="PIPE")),Inputs!$B$57,0),""))))</f>
        <v/>
      </c>
      <c r="AE145" s="10" t="str">
        <f t="shared" si="34"/>
        <v/>
      </c>
      <c r="AF145" s="10" t="str">
        <f t="shared" si="35"/>
        <v/>
      </c>
      <c r="AG145" s="10" t="str">
        <f t="shared" si="36"/>
        <v/>
      </c>
      <c r="AH145" s="3" t="str">
        <f>IF(A145="","",IF(E145="","TERMINAL",IF(OR(AND(UPPER(TRIM(B145))="SWALE",UPPER(TRIM(AI145))="PIPE"),AND(UPPER(TRIM(B145))="TRENCH",UPPER(TRIM(AI145))="PIPE")),IF(OR(AG145="",AJ145="",AK145=""),"INFO",IF(AND(AG145&gt;=AJ145,AG145&lt;=AK145),"OK","CHECK")),IF(AG145="","INFO",IF(ABS(AG145)&lt;=Inputs!$B$54,"OK","CHECK")))))</f>
        <v/>
      </c>
      <c r="AI145" s="11" t="str">
        <f t="shared" si="37"/>
        <v/>
      </c>
      <c r="AJ145" s="11" t="str">
        <f>IF(A145="","",IF(OR(AND(UPPER(TRIM(B145))="SWALE",UPPER(TRIM(AI145))="PIPE"),AND(UPPER(TRIM(B145))="TRENCH",UPPER(TRIM(AI145))="PIPE")),Inputs!$B$55,0))</f>
        <v/>
      </c>
      <c r="AK145" s="11" t="str">
        <f>IF(A145="","",IF(OR(AND(UPPER(TRIM(B145))="SWALE",UPPER(TRIM(AI145))="PIPE"),AND(UPPER(TRIM(B145))="TRENCH",UPPER(TRIM(AI145))="PIPE")),Inputs!$B$56,Inputs!$B$54))</f>
        <v/>
      </c>
      <c r="AL145" s="3" t="str">
        <f t="shared" si="38"/>
        <v/>
      </c>
    </row>
    <row r="146" spans="1:38" x14ac:dyDescent="0.25">
      <c r="A146" s="3"/>
      <c r="B146" s="3"/>
      <c r="C146" s="3"/>
      <c r="D146" s="3"/>
      <c r="E146" s="3"/>
      <c r="F146" s="8"/>
      <c r="G146" s="8"/>
      <c r="H146" s="8"/>
      <c r="I146" s="10" t="str">
        <f>IF(A146="","",IF(H146&lt;&gt;"",H146,IF(UPPER(TRIM(B146))="PIPE",Inputs!$B$7,IF(UPPER(TRIM(B146))="SWALE",Inputs!$B$8,Inputs!$B$9))))</f>
        <v/>
      </c>
      <c r="J146" s="8"/>
      <c r="K146" s="8"/>
      <c r="L146" s="8"/>
      <c r="M146" s="8"/>
      <c r="N146" s="8">
        <v>0</v>
      </c>
      <c r="O146" s="10" t="str">
        <f>IF(A146="","",SUMIFS(Zones_tributaires!$I:$I,Zones_tributaires!$J:$J,$A146))</f>
        <v/>
      </c>
      <c r="P146" s="10" t="str">
        <f t="shared" si="26"/>
        <v/>
      </c>
      <c r="Q146" s="10" t="str">
        <f>IF(A146="","",(O146+P146)*Inputs!$B$6)</f>
        <v/>
      </c>
      <c r="R146" s="10" t="str">
        <f t="shared" si="27"/>
        <v/>
      </c>
      <c r="S146" s="10" t="str">
        <f t="shared" si="28"/>
        <v/>
      </c>
      <c r="T146" s="10" t="str">
        <f t="shared" si="29"/>
        <v/>
      </c>
      <c r="U146" s="10" t="str">
        <f>IF(OR(T146="",Q146=""),"",Q146/(T146*Inputs!$B$19))</f>
        <v/>
      </c>
      <c r="V146" s="10" t="str">
        <f t="shared" si="30"/>
        <v/>
      </c>
      <c r="W146" s="10" t="str">
        <f t="shared" si="31"/>
        <v/>
      </c>
      <c r="X146" s="10" t="str">
        <f>IF(A146="","",IF(OR(UPPER(TRIM(Inputs!$B$15))="MANNING",UPPER(TRIM(Inputs!$B$15))="M"),W146,IF(OR(UPPER(TRIM(Inputs!$B$15))="MAX",UPPER(TRIM(Inputs!$B$15))="X"),MAX(V146,W146),V146)))</f>
        <v/>
      </c>
      <c r="Y146" s="10" t="str">
        <f t="shared" si="32"/>
        <v/>
      </c>
      <c r="Z146" s="10" t="str">
        <f t="shared" si="33"/>
        <v/>
      </c>
      <c r="AA146" s="3" t="str">
        <f>IF(A146="","",IF(OR(U146&gt;1,AND(X146&lt;&gt;"",X146&lt;Inputs!$B$16),AND(X146&lt;&gt;"",X146&gt;Inputs!$B$17),G146&lt;Inputs!$B$18,AH146="CHECK"),"CHECK","OK"))</f>
        <v/>
      </c>
      <c r="AB146" s="3"/>
      <c r="AC146" s="8"/>
      <c r="AD146" s="10" t="str">
        <f>IF(A146="","",IF(AC146&lt;&gt;"",AC146,IF(E146="",Inputs!$B$38,IFERROR(INDEX($AE$4:$AE$204,MATCH(E146,$A$4:$A$204,0))+IF(OR(AND(UPPER(TRIM(B146))="SWALE",UPPER(TRIM(AI146))="PIPE"),AND(UPPER(TRIM(B146))="TRENCH",UPPER(TRIM(AI146))="PIPE")),Inputs!$B$57,0),""))))</f>
        <v/>
      </c>
      <c r="AE146" s="10" t="str">
        <f t="shared" si="34"/>
        <v/>
      </c>
      <c r="AF146" s="10" t="str">
        <f t="shared" si="35"/>
        <v/>
      </c>
      <c r="AG146" s="10" t="str">
        <f t="shared" si="36"/>
        <v/>
      </c>
      <c r="AH146" s="3" t="str">
        <f>IF(A146="","",IF(E146="","TERMINAL",IF(OR(AND(UPPER(TRIM(B146))="SWALE",UPPER(TRIM(AI146))="PIPE"),AND(UPPER(TRIM(B146))="TRENCH",UPPER(TRIM(AI146))="PIPE")),IF(OR(AG146="",AJ146="",AK146=""),"INFO",IF(AND(AG146&gt;=AJ146,AG146&lt;=AK146),"OK","CHECK")),IF(AG146="","INFO",IF(ABS(AG146)&lt;=Inputs!$B$54,"OK","CHECK")))))</f>
        <v/>
      </c>
      <c r="AI146" s="11" t="str">
        <f t="shared" si="37"/>
        <v/>
      </c>
      <c r="AJ146" s="11" t="str">
        <f>IF(A146="","",IF(OR(AND(UPPER(TRIM(B146))="SWALE",UPPER(TRIM(AI146))="PIPE"),AND(UPPER(TRIM(B146))="TRENCH",UPPER(TRIM(AI146))="PIPE")),Inputs!$B$55,0))</f>
        <v/>
      </c>
      <c r="AK146" s="11" t="str">
        <f>IF(A146="","",IF(OR(AND(UPPER(TRIM(B146))="SWALE",UPPER(TRIM(AI146))="PIPE"),AND(UPPER(TRIM(B146))="TRENCH",UPPER(TRIM(AI146))="PIPE")),Inputs!$B$56,Inputs!$B$54))</f>
        <v/>
      </c>
      <c r="AL146" s="3" t="str">
        <f t="shared" si="38"/>
        <v/>
      </c>
    </row>
    <row r="147" spans="1:38" x14ac:dyDescent="0.25">
      <c r="A147" s="3"/>
      <c r="B147" s="3"/>
      <c r="C147" s="3"/>
      <c r="D147" s="3"/>
      <c r="E147" s="3"/>
      <c r="F147" s="8"/>
      <c r="G147" s="8"/>
      <c r="H147" s="8"/>
      <c r="I147" s="10" t="str">
        <f>IF(A147="","",IF(H147&lt;&gt;"",H147,IF(UPPER(TRIM(B147))="PIPE",Inputs!$B$7,IF(UPPER(TRIM(B147))="SWALE",Inputs!$B$8,Inputs!$B$9))))</f>
        <v/>
      </c>
      <c r="J147" s="8"/>
      <c r="K147" s="8"/>
      <c r="L147" s="8"/>
      <c r="M147" s="8"/>
      <c r="N147" s="8">
        <v>0</v>
      </c>
      <c r="O147" s="10" t="str">
        <f>IF(A147="","",SUMIFS(Zones_tributaires!$I:$I,Zones_tributaires!$J:$J,$A147))</f>
        <v/>
      </c>
      <c r="P147" s="10" t="str">
        <f t="shared" si="26"/>
        <v/>
      </c>
      <c r="Q147" s="10" t="str">
        <f>IF(A147="","",(O147+P147)*Inputs!$B$6)</f>
        <v/>
      </c>
      <c r="R147" s="10" t="str">
        <f t="shared" si="27"/>
        <v/>
      </c>
      <c r="S147" s="10" t="str">
        <f t="shared" si="28"/>
        <v/>
      </c>
      <c r="T147" s="10" t="str">
        <f t="shared" si="29"/>
        <v/>
      </c>
      <c r="U147" s="10" t="str">
        <f>IF(OR(T147="",Q147=""),"",Q147/(T147*Inputs!$B$19))</f>
        <v/>
      </c>
      <c r="V147" s="10" t="str">
        <f t="shared" si="30"/>
        <v/>
      </c>
      <c r="W147" s="10" t="str">
        <f t="shared" si="31"/>
        <v/>
      </c>
      <c r="X147" s="10" t="str">
        <f>IF(A147="","",IF(OR(UPPER(TRIM(Inputs!$B$15))="MANNING",UPPER(TRIM(Inputs!$B$15))="M"),W147,IF(OR(UPPER(TRIM(Inputs!$B$15))="MAX",UPPER(TRIM(Inputs!$B$15))="X"),MAX(V147,W147),V147)))</f>
        <v/>
      </c>
      <c r="Y147" s="10" t="str">
        <f t="shared" si="32"/>
        <v/>
      </c>
      <c r="Z147" s="10" t="str">
        <f t="shared" si="33"/>
        <v/>
      </c>
      <c r="AA147" s="3" t="str">
        <f>IF(A147="","",IF(OR(U147&gt;1,AND(X147&lt;&gt;"",X147&lt;Inputs!$B$16),AND(X147&lt;&gt;"",X147&gt;Inputs!$B$17),G147&lt;Inputs!$B$18,AH147="CHECK"),"CHECK","OK"))</f>
        <v/>
      </c>
      <c r="AB147" s="3"/>
      <c r="AC147" s="8"/>
      <c r="AD147" s="10" t="str">
        <f>IF(A147="","",IF(AC147&lt;&gt;"",AC147,IF(E147="",Inputs!$B$38,IFERROR(INDEX($AE$4:$AE$204,MATCH(E147,$A$4:$A$204,0))+IF(OR(AND(UPPER(TRIM(B147))="SWALE",UPPER(TRIM(AI147))="PIPE"),AND(UPPER(TRIM(B147))="TRENCH",UPPER(TRIM(AI147))="PIPE")),Inputs!$B$57,0),""))))</f>
        <v/>
      </c>
      <c r="AE147" s="10" t="str">
        <f t="shared" si="34"/>
        <v/>
      </c>
      <c r="AF147" s="10" t="str">
        <f t="shared" si="35"/>
        <v/>
      </c>
      <c r="AG147" s="10" t="str">
        <f t="shared" si="36"/>
        <v/>
      </c>
      <c r="AH147" s="3" t="str">
        <f>IF(A147="","",IF(E147="","TERMINAL",IF(OR(AND(UPPER(TRIM(B147))="SWALE",UPPER(TRIM(AI147))="PIPE"),AND(UPPER(TRIM(B147))="TRENCH",UPPER(TRIM(AI147))="PIPE")),IF(OR(AG147="",AJ147="",AK147=""),"INFO",IF(AND(AG147&gt;=AJ147,AG147&lt;=AK147),"OK","CHECK")),IF(AG147="","INFO",IF(ABS(AG147)&lt;=Inputs!$B$54,"OK","CHECK")))))</f>
        <v/>
      </c>
      <c r="AI147" s="11" t="str">
        <f t="shared" si="37"/>
        <v/>
      </c>
      <c r="AJ147" s="11" t="str">
        <f>IF(A147="","",IF(OR(AND(UPPER(TRIM(B147))="SWALE",UPPER(TRIM(AI147))="PIPE"),AND(UPPER(TRIM(B147))="TRENCH",UPPER(TRIM(AI147))="PIPE")),Inputs!$B$55,0))</f>
        <v/>
      </c>
      <c r="AK147" s="11" t="str">
        <f>IF(A147="","",IF(OR(AND(UPPER(TRIM(B147))="SWALE",UPPER(TRIM(AI147))="PIPE"),AND(UPPER(TRIM(B147))="TRENCH",UPPER(TRIM(AI147))="PIPE")),Inputs!$B$56,Inputs!$B$54))</f>
        <v/>
      </c>
      <c r="AL147" s="3" t="str">
        <f t="shared" si="38"/>
        <v/>
      </c>
    </row>
    <row r="148" spans="1:38" x14ac:dyDescent="0.25">
      <c r="A148" s="3"/>
      <c r="B148" s="3"/>
      <c r="C148" s="3"/>
      <c r="D148" s="3"/>
      <c r="E148" s="3"/>
      <c r="F148" s="8"/>
      <c r="G148" s="8"/>
      <c r="H148" s="8"/>
      <c r="I148" s="10" t="str">
        <f>IF(A148="","",IF(H148&lt;&gt;"",H148,IF(UPPER(TRIM(B148))="PIPE",Inputs!$B$7,IF(UPPER(TRIM(B148))="SWALE",Inputs!$B$8,Inputs!$B$9))))</f>
        <v/>
      </c>
      <c r="J148" s="8"/>
      <c r="K148" s="8"/>
      <c r="L148" s="8"/>
      <c r="M148" s="8"/>
      <c r="N148" s="8">
        <v>0</v>
      </c>
      <c r="O148" s="10" t="str">
        <f>IF(A148="","",SUMIFS(Zones_tributaires!$I:$I,Zones_tributaires!$J:$J,$A148))</f>
        <v/>
      </c>
      <c r="P148" s="10" t="str">
        <f t="shared" si="26"/>
        <v/>
      </c>
      <c r="Q148" s="10" t="str">
        <f>IF(A148="","",(O148+P148)*Inputs!$B$6)</f>
        <v/>
      </c>
      <c r="R148" s="10" t="str">
        <f t="shared" si="27"/>
        <v/>
      </c>
      <c r="S148" s="10" t="str">
        <f t="shared" si="28"/>
        <v/>
      </c>
      <c r="T148" s="10" t="str">
        <f t="shared" si="29"/>
        <v/>
      </c>
      <c r="U148" s="10" t="str">
        <f>IF(OR(T148="",Q148=""),"",Q148/(T148*Inputs!$B$19))</f>
        <v/>
      </c>
      <c r="V148" s="10" t="str">
        <f t="shared" si="30"/>
        <v/>
      </c>
      <c r="W148" s="10" t="str">
        <f t="shared" si="31"/>
        <v/>
      </c>
      <c r="X148" s="10" t="str">
        <f>IF(A148="","",IF(OR(UPPER(TRIM(Inputs!$B$15))="MANNING",UPPER(TRIM(Inputs!$B$15))="M"),W148,IF(OR(UPPER(TRIM(Inputs!$B$15))="MAX",UPPER(TRIM(Inputs!$B$15))="X"),MAX(V148,W148),V148)))</f>
        <v/>
      </c>
      <c r="Y148" s="10" t="str">
        <f t="shared" si="32"/>
        <v/>
      </c>
      <c r="Z148" s="10" t="str">
        <f t="shared" si="33"/>
        <v/>
      </c>
      <c r="AA148" s="3" t="str">
        <f>IF(A148="","",IF(OR(U148&gt;1,AND(X148&lt;&gt;"",X148&lt;Inputs!$B$16),AND(X148&lt;&gt;"",X148&gt;Inputs!$B$17),G148&lt;Inputs!$B$18,AH148="CHECK"),"CHECK","OK"))</f>
        <v/>
      </c>
      <c r="AB148" s="3"/>
      <c r="AC148" s="8"/>
      <c r="AD148" s="10" t="str">
        <f>IF(A148="","",IF(AC148&lt;&gt;"",AC148,IF(E148="",Inputs!$B$38,IFERROR(INDEX($AE$4:$AE$204,MATCH(E148,$A$4:$A$204,0))+IF(OR(AND(UPPER(TRIM(B148))="SWALE",UPPER(TRIM(AI148))="PIPE"),AND(UPPER(TRIM(B148))="TRENCH",UPPER(TRIM(AI148))="PIPE")),Inputs!$B$57,0),""))))</f>
        <v/>
      </c>
      <c r="AE148" s="10" t="str">
        <f t="shared" si="34"/>
        <v/>
      </c>
      <c r="AF148" s="10" t="str">
        <f t="shared" si="35"/>
        <v/>
      </c>
      <c r="AG148" s="10" t="str">
        <f t="shared" si="36"/>
        <v/>
      </c>
      <c r="AH148" s="3" t="str">
        <f>IF(A148="","",IF(E148="","TERMINAL",IF(OR(AND(UPPER(TRIM(B148))="SWALE",UPPER(TRIM(AI148))="PIPE"),AND(UPPER(TRIM(B148))="TRENCH",UPPER(TRIM(AI148))="PIPE")),IF(OR(AG148="",AJ148="",AK148=""),"INFO",IF(AND(AG148&gt;=AJ148,AG148&lt;=AK148),"OK","CHECK")),IF(AG148="","INFO",IF(ABS(AG148)&lt;=Inputs!$B$54,"OK","CHECK")))))</f>
        <v/>
      </c>
      <c r="AI148" s="11" t="str">
        <f t="shared" si="37"/>
        <v/>
      </c>
      <c r="AJ148" s="11" t="str">
        <f>IF(A148="","",IF(OR(AND(UPPER(TRIM(B148))="SWALE",UPPER(TRIM(AI148))="PIPE"),AND(UPPER(TRIM(B148))="TRENCH",UPPER(TRIM(AI148))="PIPE")),Inputs!$B$55,0))</f>
        <v/>
      </c>
      <c r="AK148" s="11" t="str">
        <f>IF(A148="","",IF(OR(AND(UPPER(TRIM(B148))="SWALE",UPPER(TRIM(AI148))="PIPE"),AND(UPPER(TRIM(B148))="TRENCH",UPPER(TRIM(AI148))="PIPE")),Inputs!$B$56,Inputs!$B$54))</f>
        <v/>
      </c>
      <c r="AL148" s="3" t="str">
        <f t="shared" si="38"/>
        <v/>
      </c>
    </row>
    <row r="149" spans="1:38" x14ac:dyDescent="0.25">
      <c r="A149" s="3"/>
      <c r="B149" s="3"/>
      <c r="C149" s="3"/>
      <c r="D149" s="3"/>
      <c r="E149" s="3"/>
      <c r="F149" s="8"/>
      <c r="G149" s="8"/>
      <c r="H149" s="8"/>
      <c r="I149" s="10" t="str">
        <f>IF(A149="","",IF(H149&lt;&gt;"",H149,IF(UPPER(TRIM(B149))="PIPE",Inputs!$B$7,IF(UPPER(TRIM(B149))="SWALE",Inputs!$B$8,Inputs!$B$9))))</f>
        <v/>
      </c>
      <c r="J149" s="8"/>
      <c r="K149" s="8"/>
      <c r="L149" s="8"/>
      <c r="M149" s="8"/>
      <c r="N149" s="8">
        <v>0</v>
      </c>
      <c r="O149" s="10" t="str">
        <f>IF(A149="","",SUMIFS(Zones_tributaires!$I:$I,Zones_tributaires!$J:$J,$A149))</f>
        <v/>
      </c>
      <c r="P149" s="10" t="str">
        <f t="shared" si="26"/>
        <v/>
      </c>
      <c r="Q149" s="10" t="str">
        <f>IF(A149="","",(O149+P149)*Inputs!$B$6)</f>
        <v/>
      </c>
      <c r="R149" s="10" t="str">
        <f t="shared" si="27"/>
        <v/>
      </c>
      <c r="S149" s="10" t="str">
        <f t="shared" si="28"/>
        <v/>
      </c>
      <c r="T149" s="10" t="str">
        <f t="shared" si="29"/>
        <v/>
      </c>
      <c r="U149" s="10" t="str">
        <f>IF(OR(T149="",Q149=""),"",Q149/(T149*Inputs!$B$19))</f>
        <v/>
      </c>
      <c r="V149" s="10" t="str">
        <f t="shared" si="30"/>
        <v/>
      </c>
      <c r="W149" s="10" t="str">
        <f t="shared" si="31"/>
        <v/>
      </c>
      <c r="X149" s="10" t="str">
        <f>IF(A149="","",IF(OR(UPPER(TRIM(Inputs!$B$15))="MANNING",UPPER(TRIM(Inputs!$B$15))="M"),W149,IF(OR(UPPER(TRIM(Inputs!$B$15))="MAX",UPPER(TRIM(Inputs!$B$15))="X"),MAX(V149,W149),V149)))</f>
        <v/>
      </c>
      <c r="Y149" s="10" t="str">
        <f t="shared" si="32"/>
        <v/>
      </c>
      <c r="Z149" s="10" t="str">
        <f t="shared" si="33"/>
        <v/>
      </c>
      <c r="AA149" s="3" t="str">
        <f>IF(A149="","",IF(OR(U149&gt;1,AND(X149&lt;&gt;"",X149&lt;Inputs!$B$16),AND(X149&lt;&gt;"",X149&gt;Inputs!$B$17),G149&lt;Inputs!$B$18,AH149="CHECK"),"CHECK","OK"))</f>
        <v/>
      </c>
      <c r="AB149" s="3"/>
      <c r="AC149" s="8"/>
      <c r="AD149" s="10" t="str">
        <f>IF(A149="","",IF(AC149&lt;&gt;"",AC149,IF(E149="",Inputs!$B$38,IFERROR(INDEX($AE$4:$AE$204,MATCH(E149,$A$4:$A$204,0))+IF(OR(AND(UPPER(TRIM(B149))="SWALE",UPPER(TRIM(AI149))="PIPE"),AND(UPPER(TRIM(B149))="TRENCH",UPPER(TRIM(AI149))="PIPE")),Inputs!$B$57,0),""))))</f>
        <v/>
      </c>
      <c r="AE149" s="10" t="str">
        <f t="shared" si="34"/>
        <v/>
      </c>
      <c r="AF149" s="10" t="str">
        <f t="shared" si="35"/>
        <v/>
      </c>
      <c r="AG149" s="10" t="str">
        <f t="shared" si="36"/>
        <v/>
      </c>
      <c r="AH149" s="3" t="str">
        <f>IF(A149="","",IF(E149="","TERMINAL",IF(OR(AND(UPPER(TRIM(B149))="SWALE",UPPER(TRIM(AI149))="PIPE"),AND(UPPER(TRIM(B149))="TRENCH",UPPER(TRIM(AI149))="PIPE")),IF(OR(AG149="",AJ149="",AK149=""),"INFO",IF(AND(AG149&gt;=AJ149,AG149&lt;=AK149),"OK","CHECK")),IF(AG149="","INFO",IF(ABS(AG149)&lt;=Inputs!$B$54,"OK","CHECK")))))</f>
        <v/>
      </c>
      <c r="AI149" s="11" t="str">
        <f t="shared" si="37"/>
        <v/>
      </c>
      <c r="AJ149" s="11" t="str">
        <f>IF(A149="","",IF(OR(AND(UPPER(TRIM(B149))="SWALE",UPPER(TRIM(AI149))="PIPE"),AND(UPPER(TRIM(B149))="TRENCH",UPPER(TRIM(AI149))="PIPE")),Inputs!$B$55,0))</f>
        <v/>
      </c>
      <c r="AK149" s="11" t="str">
        <f>IF(A149="","",IF(OR(AND(UPPER(TRIM(B149))="SWALE",UPPER(TRIM(AI149))="PIPE"),AND(UPPER(TRIM(B149))="TRENCH",UPPER(TRIM(AI149))="PIPE")),Inputs!$B$56,Inputs!$B$54))</f>
        <v/>
      </c>
      <c r="AL149" s="3" t="str">
        <f t="shared" si="38"/>
        <v/>
      </c>
    </row>
    <row r="150" spans="1:38" x14ac:dyDescent="0.25">
      <c r="A150" s="3"/>
      <c r="B150" s="3"/>
      <c r="C150" s="3"/>
      <c r="D150" s="3"/>
      <c r="E150" s="3"/>
      <c r="F150" s="8"/>
      <c r="G150" s="8"/>
      <c r="H150" s="8"/>
      <c r="I150" s="10" t="str">
        <f>IF(A150="","",IF(H150&lt;&gt;"",H150,IF(UPPER(TRIM(B150))="PIPE",Inputs!$B$7,IF(UPPER(TRIM(B150))="SWALE",Inputs!$B$8,Inputs!$B$9))))</f>
        <v/>
      </c>
      <c r="J150" s="8"/>
      <c r="K150" s="8"/>
      <c r="L150" s="8"/>
      <c r="M150" s="8"/>
      <c r="N150" s="8">
        <v>0</v>
      </c>
      <c r="O150" s="10" t="str">
        <f>IF(A150="","",SUMIFS(Zones_tributaires!$I:$I,Zones_tributaires!$J:$J,$A150))</f>
        <v/>
      </c>
      <c r="P150" s="10" t="str">
        <f t="shared" si="26"/>
        <v/>
      </c>
      <c r="Q150" s="10" t="str">
        <f>IF(A150="","",(O150+P150)*Inputs!$B$6)</f>
        <v/>
      </c>
      <c r="R150" s="10" t="str">
        <f t="shared" si="27"/>
        <v/>
      </c>
      <c r="S150" s="10" t="str">
        <f t="shared" si="28"/>
        <v/>
      </c>
      <c r="T150" s="10" t="str">
        <f t="shared" si="29"/>
        <v/>
      </c>
      <c r="U150" s="10" t="str">
        <f>IF(OR(T150="",Q150=""),"",Q150/(T150*Inputs!$B$19))</f>
        <v/>
      </c>
      <c r="V150" s="10" t="str">
        <f t="shared" si="30"/>
        <v/>
      </c>
      <c r="W150" s="10" t="str">
        <f t="shared" si="31"/>
        <v/>
      </c>
      <c r="X150" s="10" t="str">
        <f>IF(A150="","",IF(OR(UPPER(TRIM(Inputs!$B$15))="MANNING",UPPER(TRIM(Inputs!$B$15))="M"),W150,IF(OR(UPPER(TRIM(Inputs!$B$15))="MAX",UPPER(TRIM(Inputs!$B$15))="X"),MAX(V150,W150),V150)))</f>
        <v/>
      </c>
      <c r="Y150" s="10" t="str">
        <f t="shared" si="32"/>
        <v/>
      </c>
      <c r="Z150" s="10" t="str">
        <f t="shared" si="33"/>
        <v/>
      </c>
      <c r="AA150" s="3" t="str">
        <f>IF(A150="","",IF(OR(U150&gt;1,AND(X150&lt;&gt;"",X150&lt;Inputs!$B$16),AND(X150&lt;&gt;"",X150&gt;Inputs!$B$17),G150&lt;Inputs!$B$18,AH150="CHECK"),"CHECK","OK"))</f>
        <v/>
      </c>
      <c r="AB150" s="3"/>
      <c r="AC150" s="8"/>
      <c r="AD150" s="10" t="str">
        <f>IF(A150="","",IF(AC150&lt;&gt;"",AC150,IF(E150="",Inputs!$B$38,IFERROR(INDEX($AE$4:$AE$204,MATCH(E150,$A$4:$A$204,0))+IF(OR(AND(UPPER(TRIM(B150))="SWALE",UPPER(TRIM(AI150))="PIPE"),AND(UPPER(TRIM(B150))="TRENCH",UPPER(TRIM(AI150))="PIPE")),Inputs!$B$57,0),""))))</f>
        <v/>
      </c>
      <c r="AE150" s="10" t="str">
        <f t="shared" si="34"/>
        <v/>
      </c>
      <c r="AF150" s="10" t="str">
        <f t="shared" si="35"/>
        <v/>
      </c>
      <c r="AG150" s="10" t="str">
        <f t="shared" si="36"/>
        <v/>
      </c>
      <c r="AH150" s="3" t="str">
        <f>IF(A150="","",IF(E150="","TERMINAL",IF(OR(AND(UPPER(TRIM(B150))="SWALE",UPPER(TRIM(AI150))="PIPE"),AND(UPPER(TRIM(B150))="TRENCH",UPPER(TRIM(AI150))="PIPE")),IF(OR(AG150="",AJ150="",AK150=""),"INFO",IF(AND(AG150&gt;=AJ150,AG150&lt;=AK150),"OK","CHECK")),IF(AG150="","INFO",IF(ABS(AG150)&lt;=Inputs!$B$54,"OK","CHECK")))))</f>
        <v/>
      </c>
      <c r="AI150" s="11" t="str">
        <f t="shared" si="37"/>
        <v/>
      </c>
      <c r="AJ150" s="11" t="str">
        <f>IF(A150="","",IF(OR(AND(UPPER(TRIM(B150))="SWALE",UPPER(TRIM(AI150))="PIPE"),AND(UPPER(TRIM(B150))="TRENCH",UPPER(TRIM(AI150))="PIPE")),Inputs!$B$55,0))</f>
        <v/>
      </c>
      <c r="AK150" s="11" t="str">
        <f>IF(A150="","",IF(OR(AND(UPPER(TRIM(B150))="SWALE",UPPER(TRIM(AI150))="PIPE"),AND(UPPER(TRIM(B150))="TRENCH",UPPER(TRIM(AI150))="PIPE")),Inputs!$B$56,Inputs!$B$54))</f>
        <v/>
      </c>
      <c r="AL150" s="3" t="str">
        <f t="shared" si="38"/>
        <v/>
      </c>
    </row>
    <row r="151" spans="1:38" x14ac:dyDescent="0.25">
      <c r="A151" s="3"/>
      <c r="B151" s="3"/>
      <c r="C151" s="3"/>
      <c r="D151" s="3"/>
      <c r="E151" s="3"/>
      <c r="F151" s="8"/>
      <c r="G151" s="8"/>
      <c r="H151" s="8"/>
      <c r="I151" s="10" t="str">
        <f>IF(A151="","",IF(H151&lt;&gt;"",H151,IF(UPPER(TRIM(B151))="PIPE",Inputs!$B$7,IF(UPPER(TRIM(B151))="SWALE",Inputs!$B$8,Inputs!$B$9))))</f>
        <v/>
      </c>
      <c r="J151" s="8"/>
      <c r="K151" s="8"/>
      <c r="L151" s="8"/>
      <c r="M151" s="8"/>
      <c r="N151" s="8">
        <v>0</v>
      </c>
      <c r="O151" s="10" t="str">
        <f>IF(A151="","",SUMIFS(Zones_tributaires!$I:$I,Zones_tributaires!$J:$J,$A151))</f>
        <v/>
      </c>
      <c r="P151" s="10" t="str">
        <f t="shared" si="26"/>
        <v/>
      </c>
      <c r="Q151" s="10" t="str">
        <f>IF(A151="","",(O151+P151)*Inputs!$B$6)</f>
        <v/>
      </c>
      <c r="R151" s="10" t="str">
        <f t="shared" si="27"/>
        <v/>
      </c>
      <c r="S151" s="10" t="str">
        <f t="shared" si="28"/>
        <v/>
      </c>
      <c r="T151" s="10" t="str">
        <f t="shared" si="29"/>
        <v/>
      </c>
      <c r="U151" s="10" t="str">
        <f>IF(OR(T151="",Q151=""),"",Q151/(T151*Inputs!$B$19))</f>
        <v/>
      </c>
      <c r="V151" s="10" t="str">
        <f t="shared" si="30"/>
        <v/>
      </c>
      <c r="W151" s="10" t="str">
        <f t="shared" si="31"/>
        <v/>
      </c>
      <c r="X151" s="10" t="str">
        <f>IF(A151="","",IF(OR(UPPER(TRIM(Inputs!$B$15))="MANNING",UPPER(TRIM(Inputs!$B$15))="M"),W151,IF(OR(UPPER(TRIM(Inputs!$B$15))="MAX",UPPER(TRIM(Inputs!$B$15))="X"),MAX(V151,W151),V151)))</f>
        <v/>
      </c>
      <c r="Y151" s="10" t="str">
        <f t="shared" si="32"/>
        <v/>
      </c>
      <c r="Z151" s="10" t="str">
        <f t="shared" si="33"/>
        <v/>
      </c>
      <c r="AA151" s="3" t="str">
        <f>IF(A151="","",IF(OR(U151&gt;1,AND(X151&lt;&gt;"",X151&lt;Inputs!$B$16),AND(X151&lt;&gt;"",X151&gt;Inputs!$B$17),G151&lt;Inputs!$B$18,AH151="CHECK"),"CHECK","OK"))</f>
        <v/>
      </c>
      <c r="AB151" s="3"/>
      <c r="AC151" s="8"/>
      <c r="AD151" s="10" t="str">
        <f>IF(A151="","",IF(AC151&lt;&gt;"",AC151,IF(E151="",Inputs!$B$38,IFERROR(INDEX($AE$4:$AE$204,MATCH(E151,$A$4:$A$204,0))+IF(OR(AND(UPPER(TRIM(B151))="SWALE",UPPER(TRIM(AI151))="PIPE"),AND(UPPER(TRIM(B151))="TRENCH",UPPER(TRIM(AI151))="PIPE")),Inputs!$B$57,0),""))))</f>
        <v/>
      </c>
      <c r="AE151" s="10" t="str">
        <f t="shared" si="34"/>
        <v/>
      </c>
      <c r="AF151" s="10" t="str">
        <f t="shared" si="35"/>
        <v/>
      </c>
      <c r="AG151" s="10" t="str">
        <f t="shared" si="36"/>
        <v/>
      </c>
      <c r="AH151" s="3" t="str">
        <f>IF(A151="","",IF(E151="","TERMINAL",IF(OR(AND(UPPER(TRIM(B151))="SWALE",UPPER(TRIM(AI151))="PIPE"),AND(UPPER(TRIM(B151))="TRENCH",UPPER(TRIM(AI151))="PIPE")),IF(OR(AG151="",AJ151="",AK151=""),"INFO",IF(AND(AG151&gt;=AJ151,AG151&lt;=AK151),"OK","CHECK")),IF(AG151="","INFO",IF(ABS(AG151)&lt;=Inputs!$B$54,"OK","CHECK")))))</f>
        <v/>
      </c>
      <c r="AI151" s="11" t="str">
        <f t="shared" si="37"/>
        <v/>
      </c>
      <c r="AJ151" s="11" t="str">
        <f>IF(A151="","",IF(OR(AND(UPPER(TRIM(B151))="SWALE",UPPER(TRIM(AI151))="PIPE"),AND(UPPER(TRIM(B151))="TRENCH",UPPER(TRIM(AI151))="PIPE")),Inputs!$B$55,0))</f>
        <v/>
      </c>
      <c r="AK151" s="11" t="str">
        <f>IF(A151="","",IF(OR(AND(UPPER(TRIM(B151))="SWALE",UPPER(TRIM(AI151))="PIPE"),AND(UPPER(TRIM(B151))="TRENCH",UPPER(TRIM(AI151))="PIPE")),Inputs!$B$56,Inputs!$B$54))</f>
        <v/>
      </c>
      <c r="AL151" s="3" t="str">
        <f t="shared" si="38"/>
        <v/>
      </c>
    </row>
    <row r="152" spans="1:38" x14ac:dyDescent="0.25">
      <c r="A152" s="3"/>
      <c r="B152" s="3"/>
      <c r="C152" s="3"/>
      <c r="D152" s="3"/>
      <c r="E152" s="3"/>
      <c r="F152" s="8"/>
      <c r="G152" s="8"/>
      <c r="H152" s="8"/>
      <c r="I152" s="10" t="str">
        <f>IF(A152="","",IF(H152&lt;&gt;"",H152,IF(UPPER(TRIM(B152))="PIPE",Inputs!$B$7,IF(UPPER(TRIM(B152))="SWALE",Inputs!$B$8,Inputs!$B$9))))</f>
        <v/>
      </c>
      <c r="J152" s="8"/>
      <c r="K152" s="8"/>
      <c r="L152" s="8"/>
      <c r="M152" s="8"/>
      <c r="N152" s="8">
        <v>0</v>
      </c>
      <c r="O152" s="10" t="str">
        <f>IF(A152="","",SUMIFS(Zones_tributaires!$I:$I,Zones_tributaires!$J:$J,$A152))</f>
        <v/>
      </c>
      <c r="P152" s="10" t="str">
        <f t="shared" si="26"/>
        <v/>
      </c>
      <c r="Q152" s="10" t="str">
        <f>IF(A152="","",(O152+P152)*Inputs!$B$6)</f>
        <v/>
      </c>
      <c r="R152" s="10" t="str">
        <f t="shared" si="27"/>
        <v/>
      </c>
      <c r="S152" s="10" t="str">
        <f t="shared" si="28"/>
        <v/>
      </c>
      <c r="T152" s="10" t="str">
        <f t="shared" si="29"/>
        <v/>
      </c>
      <c r="U152" s="10" t="str">
        <f>IF(OR(T152="",Q152=""),"",Q152/(T152*Inputs!$B$19))</f>
        <v/>
      </c>
      <c r="V152" s="10" t="str">
        <f t="shared" si="30"/>
        <v/>
      </c>
      <c r="W152" s="10" t="str">
        <f t="shared" si="31"/>
        <v/>
      </c>
      <c r="X152" s="10" t="str">
        <f>IF(A152="","",IF(OR(UPPER(TRIM(Inputs!$B$15))="MANNING",UPPER(TRIM(Inputs!$B$15))="M"),W152,IF(OR(UPPER(TRIM(Inputs!$B$15))="MAX",UPPER(TRIM(Inputs!$B$15))="X"),MAX(V152,W152),V152)))</f>
        <v/>
      </c>
      <c r="Y152" s="10" t="str">
        <f t="shared" si="32"/>
        <v/>
      </c>
      <c r="Z152" s="10" t="str">
        <f t="shared" si="33"/>
        <v/>
      </c>
      <c r="AA152" s="3" t="str">
        <f>IF(A152="","",IF(OR(U152&gt;1,AND(X152&lt;&gt;"",X152&lt;Inputs!$B$16),AND(X152&lt;&gt;"",X152&gt;Inputs!$B$17),G152&lt;Inputs!$B$18,AH152="CHECK"),"CHECK","OK"))</f>
        <v/>
      </c>
      <c r="AB152" s="3"/>
      <c r="AC152" s="8"/>
      <c r="AD152" s="10" t="str">
        <f>IF(A152="","",IF(AC152&lt;&gt;"",AC152,IF(E152="",Inputs!$B$38,IFERROR(INDEX($AE$4:$AE$204,MATCH(E152,$A$4:$A$204,0))+IF(OR(AND(UPPER(TRIM(B152))="SWALE",UPPER(TRIM(AI152))="PIPE"),AND(UPPER(TRIM(B152))="TRENCH",UPPER(TRIM(AI152))="PIPE")),Inputs!$B$57,0),""))))</f>
        <v/>
      </c>
      <c r="AE152" s="10" t="str">
        <f t="shared" si="34"/>
        <v/>
      </c>
      <c r="AF152" s="10" t="str">
        <f t="shared" si="35"/>
        <v/>
      </c>
      <c r="AG152" s="10" t="str">
        <f t="shared" si="36"/>
        <v/>
      </c>
      <c r="AH152" s="3" t="str">
        <f>IF(A152="","",IF(E152="","TERMINAL",IF(OR(AND(UPPER(TRIM(B152))="SWALE",UPPER(TRIM(AI152))="PIPE"),AND(UPPER(TRIM(B152))="TRENCH",UPPER(TRIM(AI152))="PIPE")),IF(OR(AG152="",AJ152="",AK152=""),"INFO",IF(AND(AG152&gt;=AJ152,AG152&lt;=AK152),"OK","CHECK")),IF(AG152="","INFO",IF(ABS(AG152)&lt;=Inputs!$B$54,"OK","CHECK")))))</f>
        <v/>
      </c>
      <c r="AI152" s="11" t="str">
        <f t="shared" si="37"/>
        <v/>
      </c>
      <c r="AJ152" s="11" t="str">
        <f>IF(A152="","",IF(OR(AND(UPPER(TRIM(B152))="SWALE",UPPER(TRIM(AI152))="PIPE"),AND(UPPER(TRIM(B152))="TRENCH",UPPER(TRIM(AI152))="PIPE")),Inputs!$B$55,0))</f>
        <v/>
      </c>
      <c r="AK152" s="11" t="str">
        <f>IF(A152="","",IF(OR(AND(UPPER(TRIM(B152))="SWALE",UPPER(TRIM(AI152))="PIPE"),AND(UPPER(TRIM(B152))="TRENCH",UPPER(TRIM(AI152))="PIPE")),Inputs!$B$56,Inputs!$B$54))</f>
        <v/>
      </c>
      <c r="AL152" s="3" t="str">
        <f t="shared" si="38"/>
        <v/>
      </c>
    </row>
    <row r="153" spans="1:38" x14ac:dyDescent="0.25">
      <c r="A153" s="3"/>
      <c r="B153" s="3"/>
      <c r="C153" s="3"/>
      <c r="D153" s="3"/>
      <c r="E153" s="3"/>
      <c r="F153" s="8"/>
      <c r="G153" s="8"/>
      <c r="H153" s="8"/>
      <c r="I153" s="10" t="str">
        <f>IF(A153="","",IF(H153&lt;&gt;"",H153,IF(UPPER(TRIM(B153))="PIPE",Inputs!$B$7,IF(UPPER(TRIM(B153))="SWALE",Inputs!$B$8,Inputs!$B$9))))</f>
        <v/>
      </c>
      <c r="J153" s="8"/>
      <c r="K153" s="8"/>
      <c r="L153" s="8"/>
      <c r="M153" s="8"/>
      <c r="N153" s="8">
        <v>0</v>
      </c>
      <c r="O153" s="10" t="str">
        <f>IF(A153="","",SUMIFS(Zones_tributaires!$I:$I,Zones_tributaires!$J:$J,$A153))</f>
        <v/>
      </c>
      <c r="P153" s="10" t="str">
        <f t="shared" si="26"/>
        <v/>
      </c>
      <c r="Q153" s="10" t="str">
        <f>IF(A153="","",(O153+P153)*Inputs!$B$6)</f>
        <v/>
      </c>
      <c r="R153" s="10" t="str">
        <f t="shared" si="27"/>
        <v/>
      </c>
      <c r="S153" s="10" t="str">
        <f t="shared" si="28"/>
        <v/>
      </c>
      <c r="T153" s="10" t="str">
        <f t="shared" si="29"/>
        <v/>
      </c>
      <c r="U153" s="10" t="str">
        <f>IF(OR(T153="",Q153=""),"",Q153/(T153*Inputs!$B$19))</f>
        <v/>
      </c>
      <c r="V153" s="10" t="str">
        <f t="shared" si="30"/>
        <v/>
      </c>
      <c r="W153" s="10" t="str">
        <f t="shared" si="31"/>
        <v/>
      </c>
      <c r="X153" s="10" t="str">
        <f>IF(A153="","",IF(OR(UPPER(TRIM(Inputs!$B$15))="MANNING",UPPER(TRIM(Inputs!$B$15))="M"),W153,IF(OR(UPPER(TRIM(Inputs!$B$15))="MAX",UPPER(TRIM(Inputs!$B$15))="X"),MAX(V153,W153),V153)))</f>
        <v/>
      </c>
      <c r="Y153" s="10" t="str">
        <f t="shared" si="32"/>
        <v/>
      </c>
      <c r="Z153" s="10" t="str">
        <f t="shared" si="33"/>
        <v/>
      </c>
      <c r="AA153" s="3" t="str">
        <f>IF(A153="","",IF(OR(U153&gt;1,AND(X153&lt;&gt;"",X153&lt;Inputs!$B$16),AND(X153&lt;&gt;"",X153&gt;Inputs!$B$17),G153&lt;Inputs!$B$18,AH153="CHECK"),"CHECK","OK"))</f>
        <v/>
      </c>
      <c r="AB153" s="3"/>
      <c r="AC153" s="8"/>
      <c r="AD153" s="10" t="str">
        <f>IF(A153="","",IF(AC153&lt;&gt;"",AC153,IF(E153="",Inputs!$B$38,IFERROR(INDEX($AE$4:$AE$204,MATCH(E153,$A$4:$A$204,0))+IF(OR(AND(UPPER(TRIM(B153))="SWALE",UPPER(TRIM(AI153))="PIPE"),AND(UPPER(TRIM(B153))="TRENCH",UPPER(TRIM(AI153))="PIPE")),Inputs!$B$57,0),""))))</f>
        <v/>
      </c>
      <c r="AE153" s="10" t="str">
        <f t="shared" si="34"/>
        <v/>
      </c>
      <c r="AF153" s="10" t="str">
        <f t="shared" si="35"/>
        <v/>
      </c>
      <c r="AG153" s="10" t="str">
        <f t="shared" si="36"/>
        <v/>
      </c>
      <c r="AH153" s="3" t="str">
        <f>IF(A153="","",IF(E153="","TERMINAL",IF(OR(AND(UPPER(TRIM(B153))="SWALE",UPPER(TRIM(AI153))="PIPE"),AND(UPPER(TRIM(B153))="TRENCH",UPPER(TRIM(AI153))="PIPE")),IF(OR(AG153="",AJ153="",AK153=""),"INFO",IF(AND(AG153&gt;=AJ153,AG153&lt;=AK153),"OK","CHECK")),IF(AG153="","INFO",IF(ABS(AG153)&lt;=Inputs!$B$54,"OK","CHECK")))))</f>
        <v/>
      </c>
      <c r="AI153" s="11" t="str">
        <f t="shared" si="37"/>
        <v/>
      </c>
      <c r="AJ153" s="11" t="str">
        <f>IF(A153="","",IF(OR(AND(UPPER(TRIM(B153))="SWALE",UPPER(TRIM(AI153))="PIPE"),AND(UPPER(TRIM(B153))="TRENCH",UPPER(TRIM(AI153))="PIPE")),Inputs!$B$55,0))</f>
        <v/>
      </c>
      <c r="AK153" s="11" t="str">
        <f>IF(A153="","",IF(OR(AND(UPPER(TRIM(B153))="SWALE",UPPER(TRIM(AI153))="PIPE"),AND(UPPER(TRIM(B153))="TRENCH",UPPER(TRIM(AI153))="PIPE")),Inputs!$B$56,Inputs!$B$54))</f>
        <v/>
      </c>
      <c r="AL153" s="3" t="str">
        <f t="shared" si="38"/>
        <v/>
      </c>
    </row>
    <row r="154" spans="1:38" x14ac:dyDescent="0.25">
      <c r="A154" s="3"/>
      <c r="B154" s="3"/>
      <c r="C154" s="3"/>
      <c r="D154" s="3"/>
      <c r="E154" s="3"/>
      <c r="F154" s="8"/>
      <c r="G154" s="8"/>
      <c r="H154" s="8"/>
      <c r="I154" s="10" t="str">
        <f>IF(A154="","",IF(H154&lt;&gt;"",H154,IF(UPPER(TRIM(B154))="PIPE",Inputs!$B$7,IF(UPPER(TRIM(B154))="SWALE",Inputs!$B$8,Inputs!$B$9))))</f>
        <v/>
      </c>
      <c r="J154" s="8"/>
      <c r="K154" s="8"/>
      <c r="L154" s="8"/>
      <c r="M154" s="8"/>
      <c r="N154" s="8">
        <v>0</v>
      </c>
      <c r="O154" s="10" t="str">
        <f>IF(A154="","",SUMIFS(Zones_tributaires!$I:$I,Zones_tributaires!$J:$J,$A154))</f>
        <v/>
      </c>
      <c r="P154" s="10" t="str">
        <f t="shared" si="26"/>
        <v/>
      </c>
      <c r="Q154" s="10" t="str">
        <f>IF(A154="","",(O154+P154)*Inputs!$B$6)</f>
        <v/>
      </c>
      <c r="R154" s="10" t="str">
        <f t="shared" si="27"/>
        <v/>
      </c>
      <c r="S154" s="10" t="str">
        <f t="shared" si="28"/>
        <v/>
      </c>
      <c r="T154" s="10" t="str">
        <f t="shared" si="29"/>
        <v/>
      </c>
      <c r="U154" s="10" t="str">
        <f>IF(OR(T154="",Q154=""),"",Q154/(T154*Inputs!$B$19))</f>
        <v/>
      </c>
      <c r="V154" s="10" t="str">
        <f t="shared" si="30"/>
        <v/>
      </c>
      <c r="W154" s="10" t="str">
        <f t="shared" si="31"/>
        <v/>
      </c>
      <c r="X154" s="10" t="str">
        <f>IF(A154="","",IF(OR(UPPER(TRIM(Inputs!$B$15))="MANNING",UPPER(TRIM(Inputs!$B$15))="M"),W154,IF(OR(UPPER(TRIM(Inputs!$B$15))="MAX",UPPER(TRIM(Inputs!$B$15))="X"),MAX(V154,W154),V154)))</f>
        <v/>
      </c>
      <c r="Y154" s="10" t="str">
        <f t="shared" si="32"/>
        <v/>
      </c>
      <c r="Z154" s="10" t="str">
        <f t="shared" si="33"/>
        <v/>
      </c>
      <c r="AA154" s="3" t="str">
        <f>IF(A154="","",IF(OR(U154&gt;1,AND(X154&lt;&gt;"",X154&lt;Inputs!$B$16),AND(X154&lt;&gt;"",X154&gt;Inputs!$B$17),G154&lt;Inputs!$B$18,AH154="CHECK"),"CHECK","OK"))</f>
        <v/>
      </c>
      <c r="AB154" s="3"/>
      <c r="AC154" s="8"/>
      <c r="AD154" s="10" t="str">
        <f>IF(A154="","",IF(AC154&lt;&gt;"",AC154,IF(E154="",Inputs!$B$38,IFERROR(INDEX($AE$4:$AE$204,MATCH(E154,$A$4:$A$204,0))+IF(OR(AND(UPPER(TRIM(B154))="SWALE",UPPER(TRIM(AI154))="PIPE"),AND(UPPER(TRIM(B154))="TRENCH",UPPER(TRIM(AI154))="PIPE")),Inputs!$B$57,0),""))))</f>
        <v/>
      </c>
      <c r="AE154" s="10" t="str">
        <f t="shared" si="34"/>
        <v/>
      </c>
      <c r="AF154" s="10" t="str">
        <f t="shared" si="35"/>
        <v/>
      </c>
      <c r="AG154" s="10" t="str">
        <f t="shared" si="36"/>
        <v/>
      </c>
      <c r="AH154" s="3" t="str">
        <f>IF(A154="","",IF(E154="","TERMINAL",IF(OR(AND(UPPER(TRIM(B154))="SWALE",UPPER(TRIM(AI154))="PIPE"),AND(UPPER(TRIM(B154))="TRENCH",UPPER(TRIM(AI154))="PIPE")),IF(OR(AG154="",AJ154="",AK154=""),"INFO",IF(AND(AG154&gt;=AJ154,AG154&lt;=AK154),"OK","CHECK")),IF(AG154="","INFO",IF(ABS(AG154)&lt;=Inputs!$B$54,"OK","CHECK")))))</f>
        <v/>
      </c>
      <c r="AI154" s="11" t="str">
        <f t="shared" si="37"/>
        <v/>
      </c>
      <c r="AJ154" s="11" t="str">
        <f>IF(A154="","",IF(OR(AND(UPPER(TRIM(B154))="SWALE",UPPER(TRIM(AI154))="PIPE"),AND(UPPER(TRIM(B154))="TRENCH",UPPER(TRIM(AI154))="PIPE")),Inputs!$B$55,0))</f>
        <v/>
      </c>
      <c r="AK154" s="11" t="str">
        <f>IF(A154="","",IF(OR(AND(UPPER(TRIM(B154))="SWALE",UPPER(TRIM(AI154))="PIPE"),AND(UPPER(TRIM(B154))="TRENCH",UPPER(TRIM(AI154))="PIPE")),Inputs!$B$56,Inputs!$B$54))</f>
        <v/>
      </c>
      <c r="AL154" s="3" t="str">
        <f t="shared" si="38"/>
        <v/>
      </c>
    </row>
    <row r="155" spans="1:38" x14ac:dyDescent="0.25">
      <c r="A155" s="3"/>
      <c r="B155" s="3"/>
      <c r="C155" s="3"/>
      <c r="D155" s="3"/>
      <c r="E155" s="3"/>
      <c r="F155" s="8"/>
      <c r="G155" s="8"/>
      <c r="H155" s="8"/>
      <c r="I155" s="10" t="str">
        <f>IF(A155="","",IF(H155&lt;&gt;"",H155,IF(UPPER(TRIM(B155))="PIPE",Inputs!$B$7,IF(UPPER(TRIM(B155))="SWALE",Inputs!$B$8,Inputs!$B$9))))</f>
        <v/>
      </c>
      <c r="J155" s="8"/>
      <c r="K155" s="8"/>
      <c r="L155" s="8"/>
      <c r="M155" s="8"/>
      <c r="N155" s="8">
        <v>0</v>
      </c>
      <c r="O155" s="10" t="str">
        <f>IF(A155="","",SUMIFS(Zones_tributaires!$I:$I,Zones_tributaires!$J:$J,$A155))</f>
        <v/>
      </c>
      <c r="P155" s="10" t="str">
        <f t="shared" si="26"/>
        <v/>
      </c>
      <c r="Q155" s="10" t="str">
        <f>IF(A155="","",(O155+P155)*Inputs!$B$6)</f>
        <v/>
      </c>
      <c r="R155" s="10" t="str">
        <f t="shared" si="27"/>
        <v/>
      </c>
      <c r="S155" s="10" t="str">
        <f t="shared" si="28"/>
        <v/>
      </c>
      <c r="T155" s="10" t="str">
        <f t="shared" si="29"/>
        <v/>
      </c>
      <c r="U155" s="10" t="str">
        <f>IF(OR(T155="",Q155=""),"",Q155/(T155*Inputs!$B$19))</f>
        <v/>
      </c>
      <c r="V155" s="10" t="str">
        <f t="shared" si="30"/>
        <v/>
      </c>
      <c r="W155" s="10" t="str">
        <f t="shared" si="31"/>
        <v/>
      </c>
      <c r="X155" s="10" t="str">
        <f>IF(A155="","",IF(OR(UPPER(TRIM(Inputs!$B$15))="MANNING",UPPER(TRIM(Inputs!$B$15))="M"),W155,IF(OR(UPPER(TRIM(Inputs!$B$15))="MAX",UPPER(TRIM(Inputs!$B$15))="X"),MAX(V155,W155),V155)))</f>
        <v/>
      </c>
      <c r="Y155" s="10" t="str">
        <f t="shared" si="32"/>
        <v/>
      </c>
      <c r="Z155" s="10" t="str">
        <f t="shared" si="33"/>
        <v/>
      </c>
      <c r="AA155" s="3" t="str">
        <f>IF(A155="","",IF(OR(U155&gt;1,AND(X155&lt;&gt;"",X155&lt;Inputs!$B$16),AND(X155&lt;&gt;"",X155&gt;Inputs!$B$17),G155&lt;Inputs!$B$18,AH155="CHECK"),"CHECK","OK"))</f>
        <v/>
      </c>
      <c r="AB155" s="3"/>
      <c r="AC155" s="8"/>
      <c r="AD155" s="10" t="str">
        <f>IF(A155="","",IF(AC155&lt;&gt;"",AC155,IF(E155="",Inputs!$B$38,IFERROR(INDEX($AE$4:$AE$204,MATCH(E155,$A$4:$A$204,0))+IF(OR(AND(UPPER(TRIM(B155))="SWALE",UPPER(TRIM(AI155))="PIPE"),AND(UPPER(TRIM(B155))="TRENCH",UPPER(TRIM(AI155))="PIPE")),Inputs!$B$57,0),""))))</f>
        <v/>
      </c>
      <c r="AE155" s="10" t="str">
        <f t="shared" si="34"/>
        <v/>
      </c>
      <c r="AF155" s="10" t="str">
        <f t="shared" si="35"/>
        <v/>
      </c>
      <c r="AG155" s="10" t="str">
        <f t="shared" si="36"/>
        <v/>
      </c>
      <c r="AH155" s="3" t="str">
        <f>IF(A155="","",IF(E155="","TERMINAL",IF(OR(AND(UPPER(TRIM(B155))="SWALE",UPPER(TRIM(AI155))="PIPE"),AND(UPPER(TRIM(B155))="TRENCH",UPPER(TRIM(AI155))="PIPE")),IF(OR(AG155="",AJ155="",AK155=""),"INFO",IF(AND(AG155&gt;=AJ155,AG155&lt;=AK155),"OK","CHECK")),IF(AG155="","INFO",IF(ABS(AG155)&lt;=Inputs!$B$54,"OK","CHECK")))))</f>
        <v/>
      </c>
      <c r="AI155" s="11" t="str">
        <f t="shared" si="37"/>
        <v/>
      </c>
      <c r="AJ155" s="11" t="str">
        <f>IF(A155="","",IF(OR(AND(UPPER(TRIM(B155))="SWALE",UPPER(TRIM(AI155))="PIPE"),AND(UPPER(TRIM(B155))="TRENCH",UPPER(TRIM(AI155))="PIPE")),Inputs!$B$55,0))</f>
        <v/>
      </c>
      <c r="AK155" s="11" t="str">
        <f>IF(A155="","",IF(OR(AND(UPPER(TRIM(B155))="SWALE",UPPER(TRIM(AI155))="PIPE"),AND(UPPER(TRIM(B155))="TRENCH",UPPER(TRIM(AI155))="PIPE")),Inputs!$B$56,Inputs!$B$54))</f>
        <v/>
      </c>
      <c r="AL155" s="3" t="str">
        <f t="shared" si="38"/>
        <v/>
      </c>
    </row>
    <row r="156" spans="1:38" x14ac:dyDescent="0.25">
      <c r="A156" s="3"/>
      <c r="B156" s="3"/>
      <c r="C156" s="3"/>
      <c r="D156" s="3"/>
      <c r="E156" s="3"/>
      <c r="F156" s="8"/>
      <c r="G156" s="8"/>
      <c r="H156" s="8"/>
      <c r="I156" s="10" t="str">
        <f>IF(A156="","",IF(H156&lt;&gt;"",H156,IF(UPPER(TRIM(B156))="PIPE",Inputs!$B$7,IF(UPPER(TRIM(B156))="SWALE",Inputs!$B$8,Inputs!$B$9))))</f>
        <v/>
      </c>
      <c r="J156" s="8"/>
      <c r="K156" s="8"/>
      <c r="L156" s="8"/>
      <c r="M156" s="8"/>
      <c r="N156" s="8">
        <v>0</v>
      </c>
      <c r="O156" s="10" t="str">
        <f>IF(A156="","",SUMIFS(Zones_tributaires!$I:$I,Zones_tributaires!$J:$J,$A156))</f>
        <v/>
      </c>
      <c r="P156" s="10" t="str">
        <f t="shared" si="26"/>
        <v/>
      </c>
      <c r="Q156" s="10" t="str">
        <f>IF(A156="","",(O156+P156)*Inputs!$B$6)</f>
        <v/>
      </c>
      <c r="R156" s="10" t="str">
        <f t="shared" si="27"/>
        <v/>
      </c>
      <c r="S156" s="10" t="str">
        <f t="shared" si="28"/>
        <v/>
      </c>
      <c r="T156" s="10" t="str">
        <f t="shared" si="29"/>
        <v/>
      </c>
      <c r="U156" s="10" t="str">
        <f>IF(OR(T156="",Q156=""),"",Q156/(T156*Inputs!$B$19))</f>
        <v/>
      </c>
      <c r="V156" s="10" t="str">
        <f t="shared" si="30"/>
        <v/>
      </c>
      <c r="W156" s="10" t="str">
        <f t="shared" si="31"/>
        <v/>
      </c>
      <c r="X156" s="10" t="str">
        <f>IF(A156="","",IF(OR(UPPER(TRIM(Inputs!$B$15))="MANNING",UPPER(TRIM(Inputs!$B$15))="M"),W156,IF(OR(UPPER(TRIM(Inputs!$B$15))="MAX",UPPER(TRIM(Inputs!$B$15))="X"),MAX(V156,W156),V156)))</f>
        <v/>
      </c>
      <c r="Y156" s="10" t="str">
        <f t="shared" si="32"/>
        <v/>
      </c>
      <c r="Z156" s="10" t="str">
        <f t="shared" si="33"/>
        <v/>
      </c>
      <c r="AA156" s="3" t="str">
        <f>IF(A156="","",IF(OR(U156&gt;1,AND(X156&lt;&gt;"",X156&lt;Inputs!$B$16),AND(X156&lt;&gt;"",X156&gt;Inputs!$B$17),G156&lt;Inputs!$B$18,AH156="CHECK"),"CHECK","OK"))</f>
        <v/>
      </c>
      <c r="AB156" s="3"/>
      <c r="AC156" s="8"/>
      <c r="AD156" s="10" t="str">
        <f>IF(A156="","",IF(AC156&lt;&gt;"",AC156,IF(E156="",Inputs!$B$38,IFERROR(INDEX($AE$4:$AE$204,MATCH(E156,$A$4:$A$204,0))+IF(OR(AND(UPPER(TRIM(B156))="SWALE",UPPER(TRIM(AI156))="PIPE"),AND(UPPER(TRIM(B156))="TRENCH",UPPER(TRIM(AI156))="PIPE")),Inputs!$B$57,0),""))))</f>
        <v/>
      </c>
      <c r="AE156" s="10" t="str">
        <f t="shared" si="34"/>
        <v/>
      </c>
      <c r="AF156" s="10" t="str">
        <f t="shared" si="35"/>
        <v/>
      </c>
      <c r="AG156" s="10" t="str">
        <f t="shared" si="36"/>
        <v/>
      </c>
      <c r="AH156" s="3" t="str">
        <f>IF(A156="","",IF(E156="","TERMINAL",IF(OR(AND(UPPER(TRIM(B156))="SWALE",UPPER(TRIM(AI156))="PIPE"),AND(UPPER(TRIM(B156))="TRENCH",UPPER(TRIM(AI156))="PIPE")),IF(OR(AG156="",AJ156="",AK156=""),"INFO",IF(AND(AG156&gt;=AJ156,AG156&lt;=AK156),"OK","CHECK")),IF(AG156="","INFO",IF(ABS(AG156)&lt;=Inputs!$B$54,"OK","CHECK")))))</f>
        <v/>
      </c>
      <c r="AI156" s="11" t="str">
        <f t="shared" si="37"/>
        <v/>
      </c>
      <c r="AJ156" s="11" t="str">
        <f>IF(A156="","",IF(OR(AND(UPPER(TRIM(B156))="SWALE",UPPER(TRIM(AI156))="PIPE"),AND(UPPER(TRIM(B156))="TRENCH",UPPER(TRIM(AI156))="PIPE")),Inputs!$B$55,0))</f>
        <v/>
      </c>
      <c r="AK156" s="11" t="str">
        <f>IF(A156="","",IF(OR(AND(UPPER(TRIM(B156))="SWALE",UPPER(TRIM(AI156))="PIPE"),AND(UPPER(TRIM(B156))="TRENCH",UPPER(TRIM(AI156))="PIPE")),Inputs!$B$56,Inputs!$B$54))</f>
        <v/>
      </c>
      <c r="AL156" s="3" t="str">
        <f t="shared" si="38"/>
        <v/>
      </c>
    </row>
    <row r="157" spans="1:38" x14ac:dyDescent="0.25">
      <c r="A157" s="3"/>
      <c r="B157" s="3"/>
      <c r="C157" s="3"/>
      <c r="D157" s="3"/>
      <c r="E157" s="3"/>
      <c r="F157" s="8"/>
      <c r="G157" s="8"/>
      <c r="H157" s="8"/>
      <c r="I157" s="10" t="str">
        <f>IF(A157="","",IF(H157&lt;&gt;"",H157,IF(UPPER(TRIM(B157))="PIPE",Inputs!$B$7,IF(UPPER(TRIM(B157))="SWALE",Inputs!$B$8,Inputs!$B$9))))</f>
        <v/>
      </c>
      <c r="J157" s="8"/>
      <c r="K157" s="8"/>
      <c r="L157" s="8"/>
      <c r="M157" s="8"/>
      <c r="N157" s="8">
        <v>0</v>
      </c>
      <c r="O157" s="10" t="str">
        <f>IF(A157="","",SUMIFS(Zones_tributaires!$I:$I,Zones_tributaires!$J:$J,$A157))</f>
        <v/>
      </c>
      <c r="P157" s="10" t="str">
        <f t="shared" si="26"/>
        <v/>
      </c>
      <c r="Q157" s="10" t="str">
        <f>IF(A157="","",(O157+P157)*Inputs!$B$6)</f>
        <v/>
      </c>
      <c r="R157" s="10" t="str">
        <f t="shared" si="27"/>
        <v/>
      </c>
      <c r="S157" s="10" t="str">
        <f t="shared" si="28"/>
        <v/>
      </c>
      <c r="T157" s="10" t="str">
        <f t="shared" si="29"/>
        <v/>
      </c>
      <c r="U157" s="10" t="str">
        <f>IF(OR(T157="",Q157=""),"",Q157/(T157*Inputs!$B$19))</f>
        <v/>
      </c>
      <c r="V157" s="10" t="str">
        <f t="shared" si="30"/>
        <v/>
      </c>
      <c r="W157" s="10" t="str">
        <f t="shared" si="31"/>
        <v/>
      </c>
      <c r="X157" s="10" t="str">
        <f>IF(A157="","",IF(OR(UPPER(TRIM(Inputs!$B$15))="MANNING",UPPER(TRIM(Inputs!$B$15))="M"),W157,IF(OR(UPPER(TRIM(Inputs!$B$15))="MAX",UPPER(TRIM(Inputs!$B$15))="X"),MAX(V157,W157),V157)))</f>
        <v/>
      </c>
      <c r="Y157" s="10" t="str">
        <f t="shared" si="32"/>
        <v/>
      </c>
      <c r="Z157" s="10" t="str">
        <f t="shared" si="33"/>
        <v/>
      </c>
      <c r="AA157" s="3" t="str">
        <f>IF(A157="","",IF(OR(U157&gt;1,AND(X157&lt;&gt;"",X157&lt;Inputs!$B$16),AND(X157&lt;&gt;"",X157&gt;Inputs!$B$17),G157&lt;Inputs!$B$18,AH157="CHECK"),"CHECK","OK"))</f>
        <v/>
      </c>
      <c r="AB157" s="3"/>
      <c r="AC157" s="8"/>
      <c r="AD157" s="10" t="str">
        <f>IF(A157="","",IF(AC157&lt;&gt;"",AC157,IF(E157="",Inputs!$B$38,IFERROR(INDEX($AE$4:$AE$204,MATCH(E157,$A$4:$A$204,0))+IF(OR(AND(UPPER(TRIM(B157))="SWALE",UPPER(TRIM(AI157))="PIPE"),AND(UPPER(TRIM(B157))="TRENCH",UPPER(TRIM(AI157))="PIPE")),Inputs!$B$57,0),""))))</f>
        <v/>
      </c>
      <c r="AE157" s="10" t="str">
        <f t="shared" si="34"/>
        <v/>
      </c>
      <c r="AF157" s="10" t="str">
        <f t="shared" si="35"/>
        <v/>
      </c>
      <c r="AG157" s="10" t="str">
        <f t="shared" si="36"/>
        <v/>
      </c>
      <c r="AH157" s="3" t="str">
        <f>IF(A157="","",IF(E157="","TERMINAL",IF(OR(AND(UPPER(TRIM(B157))="SWALE",UPPER(TRIM(AI157))="PIPE"),AND(UPPER(TRIM(B157))="TRENCH",UPPER(TRIM(AI157))="PIPE")),IF(OR(AG157="",AJ157="",AK157=""),"INFO",IF(AND(AG157&gt;=AJ157,AG157&lt;=AK157),"OK","CHECK")),IF(AG157="","INFO",IF(ABS(AG157)&lt;=Inputs!$B$54,"OK","CHECK")))))</f>
        <v/>
      </c>
      <c r="AI157" s="11" t="str">
        <f t="shared" si="37"/>
        <v/>
      </c>
      <c r="AJ157" s="11" t="str">
        <f>IF(A157="","",IF(OR(AND(UPPER(TRIM(B157))="SWALE",UPPER(TRIM(AI157))="PIPE"),AND(UPPER(TRIM(B157))="TRENCH",UPPER(TRIM(AI157))="PIPE")),Inputs!$B$55,0))</f>
        <v/>
      </c>
      <c r="AK157" s="11" t="str">
        <f>IF(A157="","",IF(OR(AND(UPPER(TRIM(B157))="SWALE",UPPER(TRIM(AI157))="PIPE"),AND(UPPER(TRIM(B157))="TRENCH",UPPER(TRIM(AI157))="PIPE")),Inputs!$B$56,Inputs!$B$54))</f>
        <v/>
      </c>
      <c r="AL157" s="3" t="str">
        <f t="shared" si="38"/>
        <v/>
      </c>
    </row>
    <row r="158" spans="1:38" x14ac:dyDescent="0.25">
      <c r="A158" s="3"/>
      <c r="B158" s="3"/>
      <c r="C158" s="3"/>
      <c r="D158" s="3"/>
      <c r="E158" s="3"/>
      <c r="F158" s="8"/>
      <c r="G158" s="8"/>
      <c r="H158" s="8"/>
      <c r="I158" s="10" t="str">
        <f>IF(A158="","",IF(H158&lt;&gt;"",H158,IF(UPPER(TRIM(B158))="PIPE",Inputs!$B$7,IF(UPPER(TRIM(B158))="SWALE",Inputs!$B$8,Inputs!$B$9))))</f>
        <v/>
      </c>
      <c r="J158" s="8"/>
      <c r="K158" s="8"/>
      <c r="L158" s="8"/>
      <c r="M158" s="8"/>
      <c r="N158" s="8">
        <v>0</v>
      </c>
      <c r="O158" s="10" t="str">
        <f>IF(A158="","",SUMIFS(Zones_tributaires!$I:$I,Zones_tributaires!$J:$J,$A158))</f>
        <v/>
      </c>
      <c r="P158" s="10" t="str">
        <f t="shared" si="26"/>
        <v/>
      </c>
      <c r="Q158" s="10" t="str">
        <f>IF(A158="","",(O158+P158)*Inputs!$B$6)</f>
        <v/>
      </c>
      <c r="R158" s="10" t="str">
        <f t="shared" si="27"/>
        <v/>
      </c>
      <c r="S158" s="10" t="str">
        <f t="shared" si="28"/>
        <v/>
      </c>
      <c r="T158" s="10" t="str">
        <f t="shared" si="29"/>
        <v/>
      </c>
      <c r="U158" s="10" t="str">
        <f>IF(OR(T158="",Q158=""),"",Q158/(T158*Inputs!$B$19))</f>
        <v/>
      </c>
      <c r="V158" s="10" t="str">
        <f t="shared" si="30"/>
        <v/>
      </c>
      <c r="W158" s="10" t="str">
        <f t="shared" si="31"/>
        <v/>
      </c>
      <c r="X158" s="10" t="str">
        <f>IF(A158="","",IF(OR(UPPER(TRIM(Inputs!$B$15))="MANNING",UPPER(TRIM(Inputs!$B$15))="M"),W158,IF(OR(UPPER(TRIM(Inputs!$B$15))="MAX",UPPER(TRIM(Inputs!$B$15))="X"),MAX(V158,W158),V158)))</f>
        <v/>
      </c>
      <c r="Y158" s="10" t="str">
        <f t="shared" si="32"/>
        <v/>
      </c>
      <c r="Z158" s="10" t="str">
        <f t="shared" si="33"/>
        <v/>
      </c>
      <c r="AA158" s="3" t="str">
        <f>IF(A158="","",IF(OR(U158&gt;1,AND(X158&lt;&gt;"",X158&lt;Inputs!$B$16),AND(X158&lt;&gt;"",X158&gt;Inputs!$B$17),G158&lt;Inputs!$B$18,AH158="CHECK"),"CHECK","OK"))</f>
        <v/>
      </c>
      <c r="AB158" s="3"/>
      <c r="AC158" s="8"/>
      <c r="AD158" s="10" t="str">
        <f>IF(A158="","",IF(AC158&lt;&gt;"",AC158,IF(E158="",Inputs!$B$38,IFERROR(INDEX($AE$4:$AE$204,MATCH(E158,$A$4:$A$204,0))+IF(OR(AND(UPPER(TRIM(B158))="SWALE",UPPER(TRIM(AI158))="PIPE"),AND(UPPER(TRIM(B158))="TRENCH",UPPER(TRIM(AI158))="PIPE")),Inputs!$B$57,0),""))))</f>
        <v/>
      </c>
      <c r="AE158" s="10" t="str">
        <f t="shared" si="34"/>
        <v/>
      </c>
      <c r="AF158" s="10" t="str">
        <f t="shared" si="35"/>
        <v/>
      </c>
      <c r="AG158" s="10" t="str">
        <f t="shared" si="36"/>
        <v/>
      </c>
      <c r="AH158" s="3" t="str">
        <f>IF(A158="","",IF(E158="","TERMINAL",IF(OR(AND(UPPER(TRIM(B158))="SWALE",UPPER(TRIM(AI158))="PIPE"),AND(UPPER(TRIM(B158))="TRENCH",UPPER(TRIM(AI158))="PIPE")),IF(OR(AG158="",AJ158="",AK158=""),"INFO",IF(AND(AG158&gt;=AJ158,AG158&lt;=AK158),"OK","CHECK")),IF(AG158="","INFO",IF(ABS(AG158)&lt;=Inputs!$B$54,"OK","CHECK")))))</f>
        <v/>
      </c>
      <c r="AI158" s="11" t="str">
        <f t="shared" si="37"/>
        <v/>
      </c>
      <c r="AJ158" s="11" t="str">
        <f>IF(A158="","",IF(OR(AND(UPPER(TRIM(B158))="SWALE",UPPER(TRIM(AI158))="PIPE"),AND(UPPER(TRIM(B158))="TRENCH",UPPER(TRIM(AI158))="PIPE")),Inputs!$B$55,0))</f>
        <v/>
      </c>
      <c r="AK158" s="11" t="str">
        <f>IF(A158="","",IF(OR(AND(UPPER(TRIM(B158))="SWALE",UPPER(TRIM(AI158))="PIPE"),AND(UPPER(TRIM(B158))="TRENCH",UPPER(TRIM(AI158))="PIPE")),Inputs!$B$56,Inputs!$B$54))</f>
        <v/>
      </c>
      <c r="AL158" s="3" t="str">
        <f t="shared" si="38"/>
        <v/>
      </c>
    </row>
    <row r="159" spans="1:38" x14ac:dyDescent="0.25">
      <c r="A159" s="3"/>
      <c r="B159" s="3"/>
      <c r="C159" s="3"/>
      <c r="D159" s="3"/>
      <c r="E159" s="3"/>
      <c r="F159" s="8"/>
      <c r="G159" s="8"/>
      <c r="H159" s="8"/>
      <c r="I159" s="10" t="str">
        <f>IF(A159="","",IF(H159&lt;&gt;"",H159,IF(UPPER(TRIM(B159))="PIPE",Inputs!$B$7,IF(UPPER(TRIM(B159))="SWALE",Inputs!$B$8,Inputs!$B$9))))</f>
        <v/>
      </c>
      <c r="J159" s="8"/>
      <c r="K159" s="8"/>
      <c r="L159" s="8"/>
      <c r="M159" s="8"/>
      <c r="N159" s="8">
        <v>0</v>
      </c>
      <c r="O159" s="10" t="str">
        <f>IF(A159="","",SUMIFS(Zones_tributaires!$I:$I,Zones_tributaires!$J:$J,$A159))</f>
        <v/>
      </c>
      <c r="P159" s="10" t="str">
        <f t="shared" si="26"/>
        <v/>
      </c>
      <c r="Q159" s="10" t="str">
        <f>IF(A159="","",(O159+P159)*Inputs!$B$6)</f>
        <v/>
      </c>
      <c r="R159" s="10" t="str">
        <f t="shared" si="27"/>
        <v/>
      </c>
      <c r="S159" s="10" t="str">
        <f t="shared" si="28"/>
        <v/>
      </c>
      <c r="T159" s="10" t="str">
        <f t="shared" si="29"/>
        <v/>
      </c>
      <c r="U159" s="10" t="str">
        <f>IF(OR(T159="",Q159=""),"",Q159/(T159*Inputs!$B$19))</f>
        <v/>
      </c>
      <c r="V159" s="10" t="str">
        <f t="shared" si="30"/>
        <v/>
      </c>
      <c r="W159" s="10" t="str">
        <f t="shared" si="31"/>
        <v/>
      </c>
      <c r="X159" s="10" t="str">
        <f>IF(A159="","",IF(OR(UPPER(TRIM(Inputs!$B$15))="MANNING",UPPER(TRIM(Inputs!$B$15))="M"),W159,IF(OR(UPPER(TRIM(Inputs!$B$15))="MAX",UPPER(TRIM(Inputs!$B$15))="X"),MAX(V159,W159),V159)))</f>
        <v/>
      </c>
      <c r="Y159" s="10" t="str">
        <f t="shared" si="32"/>
        <v/>
      </c>
      <c r="Z159" s="10" t="str">
        <f t="shared" si="33"/>
        <v/>
      </c>
      <c r="AA159" s="3" t="str">
        <f>IF(A159="","",IF(OR(U159&gt;1,AND(X159&lt;&gt;"",X159&lt;Inputs!$B$16),AND(X159&lt;&gt;"",X159&gt;Inputs!$B$17),G159&lt;Inputs!$B$18,AH159="CHECK"),"CHECK","OK"))</f>
        <v/>
      </c>
      <c r="AB159" s="3"/>
      <c r="AC159" s="8"/>
      <c r="AD159" s="10" t="str">
        <f>IF(A159="","",IF(AC159&lt;&gt;"",AC159,IF(E159="",Inputs!$B$38,IFERROR(INDEX($AE$4:$AE$204,MATCH(E159,$A$4:$A$204,0))+IF(OR(AND(UPPER(TRIM(B159))="SWALE",UPPER(TRIM(AI159))="PIPE"),AND(UPPER(TRIM(B159))="TRENCH",UPPER(TRIM(AI159))="PIPE")),Inputs!$B$57,0),""))))</f>
        <v/>
      </c>
      <c r="AE159" s="10" t="str">
        <f t="shared" si="34"/>
        <v/>
      </c>
      <c r="AF159" s="10" t="str">
        <f t="shared" si="35"/>
        <v/>
      </c>
      <c r="AG159" s="10" t="str">
        <f t="shared" si="36"/>
        <v/>
      </c>
      <c r="AH159" s="3" t="str">
        <f>IF(A159="","",IF(E159="","TERMINAL",IF(OR(AND(UPPER(TRIM(B159))="SWALE",UPPER(TRIM(AI159))="PIPE"),AND(UPPER(TRIM(B159))="TRENCH",UPPER(TRIM(AI159))="PIPE")),IF(OR(AG159="",AJ159="",AK159=""),"INFO",IF(AND(AG159&gt;=AJ159,AG159&lt;=AK159),"OK","CHECK")),IF(AG159="","INFO",IF(ABS(AG159)&lt;=Inputs!$B$54,"OK","CHECK")))))</f>
        <v/>
      </c>
      <c r="AI159" s="11" t="str">
        <f t="shared" si="37"/>
        <v/>
      </c>
      <c r="AJ159" s="11" t="str">
        <f>IF(A159="","",IF(OR(AND(UPPER(TRIM(B159))="SWALE",UPPER(TRIM(AI159))="PIPE"),AND(UPPER(TRIM(B159))="TRENCH",UPPER(TRIM(AI159))="PIPE")),Inputs!$B$55,0))</f>
        <v/>
      </c>
      <c r="AK159" s="11" t="str">
        <f>IF(A159="","",IF(OR(AND(UPPER(TRIM(B159))="SWALE",UPPER(TRIM(AI159))="PIPE"),AND(UPPER(TRIM(B159))="TRENCH",UPPER(TRIM(AI159))="PIPE")),Inputs!$B$56,Inputs!$B$54))</f>
        <v/>
      </c>
      <c r="AL159" s="3" t="str">
        <f t="shared" si="38"/>
        <v/>
      </c>
    </row>
    <row r="160" spans="1:38" x14ac:dyDescent="0.25">
      <c r="A160" s="3"/>
      <c r="B160" s="3"/>
      <c r="C160" s="3"/>
      <c r="D160" s="3"/>
      <c r="E160" s="3"/>
      <c r="F160" s="8"/>
      <c r="G160" s="8"/>
      <c r="H160" s="8"/>
      <c r="I160" s="10" t="str">
        <f>IF(A160="","",IF(H160&lt;&gt;"",H160,IF(UPPER(TRIM(B160))="PIPE",Inputs!$B$7,IF(UPPER(TRIM(B160))="SWALE",Inputs!$B$8,Inputs!$B$9))))</f>
        <v/>
      </c>
      <c r="J160" s="8"/>
      <c r="K160" s="8"/>
      <c r="L160" s="8"/>
      <c r="M160" s="8"/>
      <c r="N160" s="8">
        <v>0</v>
      </c>
      <c r="O160" s="10" t="str">
        <f>IF(A160="","",SUMIFS(Zones_tributaires!$I:$I,Zones_tributaires!$J:$J,$A160))</f>
        <v/>
      </c>
      <c r="P160" s="10" t="str">
        <f t="shared" si="26"/>
        <v/>
      </c>
      <c r="Q160" s="10" t="str">
        <f>IF(A160="","",(O160+P160)*Inputs!$B$6)</f>
        <v/>
      </c>
      <c r="R160" s="10" t="str">
        <f t="shared" si="27"/>
        <v/>
      </c>
      <c r="S160" s="10" t="str">
        <f t="shared" si="28"/>
        <v/>
      </c>
      <c r="T160" s="10" t="str">
        <f t="shared" si="29"/>
        <v/>
      </c>
      <c r="U160" s="10" t="str">
        <f>IF(OR(T160="",Q160=""),"",Q160/(T160*Inputs!$B$19))</f>
        <v/>
      </c>
      <c r="V160" s="10" t="str">
        <f t="shared" si="30"/>
        <v/>
      </c>
      <c r="W160" s="10" t="str">
        <f t="shared" si="31"/>
        <v/>
      </c>
      <c r="X160" s="10" t="str">
        <f>IF(A160="","",IF(OR(UPPER(TRIM(Inputs!$B$15))="MANNING",UPPER(TRIM(Inputs!$B$15))="M"),W160,IF(OR(UPPER(TRIM(Inputs!$B$15))="MAX",UPPER(TRIM(Inputs!$B$15))="X"),MAX(V160,W160),V160)))</f>
        <v/>
      </c>
      <c r="Y160" s="10" t="str">
        <f t="shared" si="32"/>
        <v/>
      </c>
      <c r="Z160" s="10" t="str">
        <f t="shared" si="33"/>
        <v/>
      </c>
      <c r="AA160" s="3" t="str">
        <f>IF(A160="","",IF(OR(U160&gt;1,AND(X160&lt;&gt;"",X160&lt;Inputs!$B$16),AND(X160&lt;&gt;"",X160&gt;Inputs!$B$17),G160&lt;Inputs!$B$18,AH160="CHECK"),"CHECK","OK"))</f>
        <v/>
      </c>
      <c r="AB160" s="3"/>
      <c r="AC160" s="8"/>
      <c r="AD160" s="10" t="str">
        <f>IF(A160="","",IF(AC160&lt;&gt;"",AC160,IF(E160="",Inputs!$B$38,IFERROR(INDEX($AE$4:$AE$204,MATCH(E160,$A$4:$A$204,0))+IF(OR(AND(UPPER(TRIM(B160))="SWALE",UPPER(TRIM(AI160))="PIPE"),AND(UPPER(TRIM(B160))="TRENCH",UPPER(TRIM(AI160))="PIPE")),Inputs!$B$57,0),""))))</f>
        <v/>
      </c>
      <c r="AE160" s="10" t="str">
        <f t="shared" si="34"/>
        <v/>
      </c>
      <c r="AF160" s="10" t="str">
        <f t="shared" si="35"/>
        <v/>
      </c>
      <c r="AG160" s="10" t="str">
        <f t="shared" si="36"/>
        <v/>
      </c>
      <c r="AH160" s="3" t="str">
        <f>IF(A160="","",IF(E160="","TERMINAL",IF(OR(AND(UPPER(TRIM(B160))="SWALE",UPPER(TRIM(AI160))="PIPE"),AND(UPPER(TRIM(B160))="TRENCH",UPPER(TRIM(AI160))="PIPE")),IF(OR(AG160="",AJ160="",AK160=""),"INFO",IF(AND(AG160&gt;=AJ160,AG160&lt;=AK160),"OK","CHECK")),IF(AG160="","INFO",IF(ABS(AG160)&lt;=Inputs!$B$54,"OK","CHECK")))))</f>
        <v/>
      </c>
      <c r="AI160" s="11" t="str">
        <f t="shared" si="37"/>
        <v/>
      </c>
      <c r="AJ160" s="11" t="str">
        <f>IF(A160="","",IF(OR(AND(UPPER(TRIM(B160))="SWALE",UPPER(TRIM(AI160))="PIPE"),AND(UPPER(TRIM(B160))="TRENCH",UPPER(TRIM(AI160))="PIPE")),Inputs!$B$55,0))</f>
        <v/>
      </c>
      <c r="AK160" s="11" t="str">
        <f>IF(A160="","",IF(OR(AND(UPPER(TRIM(B160))="SWALE",UPPER(TRIM(AI160))="PIPE"),AND(UPPER(TRIM(B160))="TRENCH",UPPER(TRIM(AI160))="PIPE")),Inputs!$B$56,Inputs!$B$54))</f>
        <v/>
      </c>
      <c r="AL160" s="3" t="str">
        <f t="shared" si="38"/>
        <v/>
      </c>
    </row>
    <row r="161" spans="1:38" x14ac:dyDescent="0.25">
      <c r="A161" s="3"/>
      <c r="B161" s="3"/>
      <c r="C161" s="3"/>
      <c r="D161" s="3"/>
      <c r="E161" s="3"/>
      <c r="F161" s="8"/>
      <c r="G161" s="8"/>
      <c r="H161" s="8"/>
      <c r="I161" s="10" t="str">
        <f>IF(A161="","",IF(H161&lt;&gt;"",H161,IF(UPPER(TRIM(B161))="PIPE",Inputs!$B$7,IF(UPPER(TRIM(B161))="SWALE",Inputs!$B$8,Inputs!$B$9))))</f>
        <v/>
      </c>
      <c r="J161" s="8"/>
      <c r="K161" s="8"/>
      <c r="L161" s="8"/>
      <c r="M161" s="8"/>
      <c r="N161" s="8">
        <v>0</v>
      </c>
      <c r="O161" s="10" t="str">
        <f>IF(A161="","",SUMIFS(Zones_tributaires!$I:$I,Zones_tributaires!$J:$J,$A161))</f>
        <v/>
      </c>
      <c r="P161" s="10" t="str">
        <f t="shared" si="26"/>
        <v/>
      </c>
      <c r="Q161" s="10" t="str">
        <f>IF(A161="","",(O161+P161)*Inputs!$B$6)</f>
        <v/>
      </c>
      <c r="R161" s="10" t="str">
        <f t="shared" si="27"/>
        <v/>
      </c>
      <c r="S161" s="10" t="str">
        <f t="shared" si="28"/>
        <v/>
      </c>
      <c r="T161" s="10" t="str">
        <f t="shared" si="29"/>
        <v/>
      </c>
      <c r="U161" s="10" t="str">
        <f>IF(OR(T161="",Q161=""),"",Q161/(T161*Inputs!$B$19))</f>
        <v/>
      </c>
      <c r="V161" s="10" t="str">
        <f t="shared" si="30"/>
        <v/>
      </c>
      <c r="W161" s="10" t="str">
        <f t="shared" si="31"/>
        <v/>
      </c>
      <c r="X161" s="10" t="str">
        <f>IF(A161="","",IF(OR(UPPER(TRIM(Inputs!$B$15))="MANNING",UPPER(TRIM(Inputs!$B$15))="M"),W161,IF(OR(UPPER(TRIM(Inputs!$B$15))="MAX",UPPER(TRIM(Inputs!$B$15))="X"),MAX(V161,W161),V161)))</f>
        <v/>
      </c>
      <c r="Y161" s="10" t="str">
        <f t="shared" si="32"/>
        <v/>
      </c>
      <c r="Z161" s="10" t="str">
        <f t="shared" si="33"/>
        <v/>
      </c>
      <c r="AA161" s="3" t="str">
        <f>IF(A161="","",IF(OR(U161&gt;1,AND(X161&lt;&gt;"",X161&lt;Inputs!$B$16),AND(X161&lt;&gt;"",X161&gt;Inputs!$B$17),G161&lt;Inputs!$B$18,AH161="CHECK"),"CHECK","OK"))</f>
        <v/>
      </c>
      <c r="AB161" s="3"/>
      <c r="AC161" s="8"/>
      <c r="AD161" s="10" t="str">
        <f>IF(A161="","",IF(AC161&lt;&gt;"",AC161,IF(E161="",Inputs!$B$38,IFERROR(INDEX($AE$4:$AE$204,MATCH(E161,$A$4:$A$204,0))+IF(OR(AND(UPPER(TRIM(B161))="SWALE",UPPER(TRIM(AI161))="PIPE"),AND(UPPER(TRIM(B161))="TRENCH",UPPER(TRIM(AI161))="PIPE")),Inputs!$B$57,0),""))))</f>
        <v/>
      </c>
      <c r="AE161" s="10" t="str">
        <f t="shared" si="34"/>
        <v/>
      </c>
      <c r="AF161" s="10" t="str">
        <f t="shared" si="35"/>
        <v/>
      </c>
      <c r="AG161" s="10" t="str">
        <f t="shared" si="36"/>
        <v/>
      </c>
      <c r="AH161" s="3" t="str">
        <f>IF(A161="","",IF(E161="","TERMINAL",IF(OR(AND(UPPER(TRIM(B161))="SWALE",UPPER(TRIM(AI161))="PIPE"),AND(UPPER(TRIM(B161))="TRENCH",UPPER(TRIM(AI161))="PIPE")),IF(OR(AG161="",AJ161="",AK161=""),"INFO",IF(AND(AG161&gt;=AJ161,AG161&lt;=AK161),"OK","CHECK")),IF(AG161="","INFO",IF(ABS(AG161)&lt;=Inputs!$B$54,"OK","CHECK")))))</f>
        <v/>
      </c>
      <c r="AI161" s="11" t="str">
        <f t="shared" si="37"/>
        <v/>
      </c>
      <c r="AJ161" s="11" t="str">
        <f>IF(A161="","",IF(OR(AND(UPPER(TRIM(B161))="SWALE",UPPER(TRIM(AI161))="PIPE"),AND(UPPER(TRIM(B161))="TRENCH",UPPER(TRIM(AI161))="PIPE")),Inputs!$B$55,0))</f>
        <v/>
      </c>
      <c r="AK161" s="11" t="str">
        <f>IF(A161="","",IF(OR(AND(UPPER(TRIM(B161))="SWALE",UPPER(TRIM(AI161))="PIPE"),AND(UPPER(TRIM(B161))="TRENCH",UPPER(TRIM(AI161))="PIPE")),Inputs!$B$56,Inputs!$B$54))</f>
        <v/>
      </c>
      <c r="AL161" s="3" t="str">
        <f t="shared" si="38"/>
        <v/>
      </c>
    </row>
    <row r="162" spans="1:38" x14ac:dyDescent="0.25">
      <c r="A162" s="3"/>
      <c r="B162" s="3"/>
      <c r="C162" s="3"/>
      <c r="D162" s="3"/>
      <c r="E162" s="3"/>
      <c r="F162" s="8"/>
      <c r="G162" s="8"/>
      <c r="H162" s="8"/>
      <c r="I162" s="10" t="str">
        <f>IF(A162="","",IF(H162&lt;&gt;"",H162,IF(UPPER(TRIM(B162))="PIPE",Inputs!$B$7,IF(UPPER(TRIM(B162))="SWALE",Inputs!$B$8,Inputs!$B$9))))</f>
        <v/>
      </c>
      <c r="J162" s="8"/>
      <c r="K162" s="8"/>
      <c r="L162" s="8"/>
      <c r="M162" s="8"/>
      <c r="N162" s="8">
        <v>0</v>
      </c>
      <c r="O162" s="10" t="str">
        <f>IF(A162="","",SUMIFS(Zones_tributaires!$I:$I,Zones_tributaires!$J:$J,$A162))</f>
        <v/>
      </c>
      <c r="P162" s="10" t="str">
        <f t="shared" si="26"/>
        <v/>
      </c>
      <c r="Q162" s="10" t="str">
        <f>IF(A162="","",(O162+P162)*Inputs!$B$6)</f>
        <v/>
      </c>
      <c r="R162" s="10" t="str">
        <f t="shared" si="27"/>
        <v/>
      </c>
      <c r="S162" s="10" t="str">
        <f t="shared" si="28"/>
        <v/>
      </c>
      <c r="T162" s="10" t="str">
        <f t="shared" si="29"/>
        <v/>
      </c>
      <c r="U162" s="10" t="str">
        <f>IF(OR(T162="",Q162=""),"",Q162/(T162*Inputs!$B$19))</f>
        <v/>
      </c>
      <c r="V162" s="10" t="str">
        <f t="shared" si="30"/>
        <v/>
      </c>
      <c r="W162" s="10" t="str">
        <f t="shared" si="31"/>
        <v/>
      </c>
      <c r="X162" s="10" t="str">
        <f>IF(A162="","",IF(OR(UPPER(TRIM(Inputs!$B$15))="MANNING",UPPER(TRIM(Inputs!$B$15))="M"),W162,IF(OR(UPPER(TRIM(Inputs!$B$15))="MAX",UPPER(TRIM(Inputs!$B$15))="X"),MAX(V162,W162),V162)))</f>
        <v/>
      </c>
      <c r="Y162" s="10" t="str">
        <f t="shared" si="32"/>
        <v/>
      </c>
      <c r="Z162" s="10" t="str">
        <f t="shared" si="33"/>
        <v/>
      </c>
      <c r="AA162" s="3" t="str">
        <f>IF(A162="","",IF(OR(U162&gt;1,AND(X162&lt;&gt;"",X162&lt;Inputs!$B$16),AND(X162&lt;&gt;"",X162&gt;Inputs!$B$17),G162&lt;Inputs!$B$18,AH162="CHECK"),"CHECK","OK"))</f>
        <v/>
      </c>
      <c r="AB162" s="3"/>
      <c r="AC162" s="8"/>
      <c r="AD162" s="10" t="str">
        <f>IF(A162="","",IF(AC162&lt;&gt;"",AC162,IF(E162="",Inputs!$B$38,IFERROR(INDEX($AE$4:$AE$204,MATCH(E162,$A$4:$A$204,0))+IF(OR(AND(UPPER(TRIM(B162))="SWALE",UPPER(TRIM(AI162))="PIPE"),AND(UPPER(TRIM(B162))="TRENCH",UPPER(TRIM(AI162))="PIPE")),Inputs!$B$57,0),""))))</f>
        <v/>
      </c>
      <c r="AE162" s="10" t="str">
        <f t="shared" si="34"/>
        <v/>
      </c>
      <c r="AF162" s="10" t="str">
        <f t="shared" si="35"/>
        <v/>
      </c>
      <c r="AG162" s="10" t="str">
        <f t="shared" si="36"/>
        <v/>
      </c>
      <c r="AH162" s="3" t="str">
        <f>IF(A162="","",IF(E162="","TERMINAL",IF(OR(AND(UPPER(TRIM(B162))="SWALE",UPPER(TRIM(AI162))="PIPE"),AND(UPPER(TRIM(B162))="TRENCH",UPPER(TRIM(AI162))="PIPE")),IF(OR(AG162="",AJ162="",AK162=""),"INFO",IF(AND(AG162&gt;=AJ162,AG162&lt;=AK162),"OK","CHECK")),IF(AG162="","INFO",IF(ABS(AG162)&lt;=Inputs!$B$54,"OK","CHECK")))))</f>
        <v/>
      </c>
      <c r="AI162" s="11" t="str">
        <f t="shared" si="37"/>
        <v/>
      </c>
      <c r="AJ162" s="11" t="str">
        <f>IF(A162="","",IF(OR(AND(UPPER(TRIM(B162))="SWALE",UPPER(TRIM(AI162))="PIPE"),AND(UPPER(TRIM(B162))="TRENCH",UPPER(TRIM(AI162))="PIPE")),Inputs!$B$55,0))</f>
        <v/>
      </c>
      <c r="AK162" s="11" t="str">
        <f>IF(A162="","",IF(OR(AND(UPPER(TRIM(B162))="SWALE",UPPER(TRIM(AI162))="PIPE"),AND(UPPER(TRIM(B162))="TRENCH",UPPER(TRIM(AI162))="PIPE")),Inputs!$B$56,Inputs!$B$54))</f>
        <v/>
      </c>
      <c r="AL162" s="3" t="str">
        <f t="shared" si="38"/>
        <v/>
      </c>
    </row>
    <row r="163" spans="1:38" x14ac:dyDescent="0.25">
      <c r="A163" s="3"/>
      <c r="B163" s="3"/>
      <c r="C163" s="3"/>
      <c r="D163" s="3"/>
      <c r="E163" s="3"/>
      <c r="F163" s="8"/>
      <c r="G163" s="8"/>
      <c r="H163" s="8"/>
      <c r="I163" s="10" t="str">
        <f>IF(A163="","",IF(H163&lt;&gt;"",H163,IF(UPPER(TRIM(B163))="PIPE",Inputs!$B$7,IF(UPPER(TRIM(B163))="SWALE",Inputs!$B$8,Inputs!$B$9))))</f>
        <v/>
      </c>
      <c r="J163" s="8"/>
      <c r="K163" s="8"/>
      <c r="L163" s="8"/>
      <c r="M163" s="8"/>
      <c r="N163" s="8">
        <v>0</v>
      </c>
      <c r="O163" s="10" t="str">
        <f>IF(A163="","",SUMIFS(Zones_tributaires!$I:$I,Zones_tributaires!$J:$J,$A163))</f>
        <v/>
      </c>
      <c r="P163" s="10" t="str">
        <f t="shared" si="26"/>
        <v/>
      </c>
      <c r="Q163" s="10" t="str">
        <f>IF(A163="","",(O163+P163)*Inputs!$B$6)</f>
        <v/>
      </c>
      <c r="R163" s="10" t="str">
        <f t="shared" si="27"/>
        <v/>
      </c>
      <c r="S163" s="10" t="str">
        <f t="shared" si="28"/>
        <v/>
      </c>
      <c r="T163" s="10" t="str">
        <f t="shared" si="29"/>
        <v/>
      </c>
      <c r="U163" s="10" t="str">
        <f>IF(OR(T163="",Q163=""),"",Q163/(T163*Inputs!$B$19))</f>
        <v/>
      </c>
      <c r="V163" s="10" t="str">
        <f t="shared" si="30"/>
        <v/>
      </c>
      <c r="W163" s="10" t="str">
        <f t="shared" si="31"/>
        <v/>
      </c>
      <c r="X163" s="10" t="str">
        <f>IF(A163="","",IF(OR(UPPER(TRIM(Inputs!$B$15))="MANNING",UPPER(TRIM(Inputs!$B$15))="M"),W163,IF(OR(UPPER(TRIM(Inputs!$B$15))="MAX",UPPER(TRIM(Inputs!$B$15))="X"),MAX(V163,W163),V163)))</f>
        <v/>
      </c>
      <c r="Y163" s="10" t="str">
        <f t="shared" si="32"/>
        <v/>
      </c>
      <c r="Z163" s="10" t="str">
        <f t="shared" si="33"/>
        <v/>
      </c>
      <c r="AA163" s="3" t="str">
        <f>IF(A163="","",IF(OR(U163&gt;1,AND(X163&lt;&gt;"",X163&lt;Inputs!$B$16),AND(X163&lt;&gt;"",X163&gt;Inputs!$B$17),G163&lt;Inputs!$B$18,AH163="CHECK"),"CHECK","OK"))</f>
        <v/>
      </c>
      <c r="AB163" s="3"/>
      <c r="AC163" s="8"/>
      <c r="AD163" s="10" t="str">
        <f>IF(A163="","",IF(AC163&lt;&gt;"",AC163,IF(E163="",Inputs!$B$38,IFERROR(INDEX($AE$4:$AE$204,MATCH(E163,$A$4:$A$204,0))+IF(OR(AND(UPPER(TRIM(B163))="SWALE",UPPER(TRIM(AI163))="PIPE"),AND(UPPER(TRIM(B163))="TRENCH",UPPER(TRIM(AI163))="PIPE")),Inputs!$B$57,0),""))))</f>
        <v/>
      </c>
      <c r="AE163" s="10" t="str">
        <f t="shared" si="34"/>
        <v/>
      </c>
      <c r="AF163" s="10" t="str">
        <f t="shared" si="35"/>
        <v/>
      </c>
      <c r="AG163" s="10" t="str">
        <f t="shared" si="36"/>
        <v/>
      </c>
      <c r="AH163" s="3" t="str">
        <f>IF(A163="","",IF(E163="","TERMINAL",IF(OR(AND(UPPER(TRIM(B163))="SWALE",UPPER(TRIM(AI163))="PIPE"),AND(UPPER(TRIM(B163))="TRENCH",UPPER(TRIM(AI163))="PIPE")),IF(OR(AG163="",AJ163="",AK163=""),"INFO",IF(AND(AG163&gt;=AJ163,AG163&lt;=AK163),"OK","CHECK")),IF(AG163="","INFO",IF(ABS(AG163)&lt;=Inputs!$B$54,"OK","CHECK")))))</f>
        <v/>
      </c>
      <c r="AI163" s="11" t="str">
        <f t="shared" si="37"/>
        <v/>
      </c>
      <c r="AJ163" s="11" t="str">
        <f>IF(A163="","",IF(OR(AND(UPPER(TRIM(B163))="SWALE",UPPER(TRIM(AI163))="PIPE"),AND(UPPER(TRIM(B163))="TRENCH",UPPER(TRIM(AI163))="PIPE")),Inputs!$B$55,0))</f>
        <v/>
      </c>
      <c r="AK163" s="11" t="str">
        <f>IF(A163="","",IF(OR(AND(UPPER(TRIM(B163))="SWALE",UPPER(TRIM(AI163))="PIPE"),AND(UPPER(TRIM(B163))="TRENCH",UPPER(TRIM(AI163))="PIPE")),Inputs!$B$56,Inputs!$B$54))</f>
        <v/>
      </c>
      <c r="AL163" s="3" t="str">
        <f t="shared" si="38"/>
        <v/>
      </c>
    </row>
    <row r="164" spans="1:38" x14ac:dyDescent="0.25">
      <c r="A164" s="3"/>
      <c r="B164" s="3"/>
      <c r="C164" s="3"/>
      <c r="D164" s="3"/>
      <c r="E164" s="3"/>
      <c r="F164" s="8"/>
      <c r="G164" s="8"/>
      <c r="H164" s="8"/>
      <c r="I164" s="10" t="str">
        <f>IF(A164="","",IF(H164&lt;&gt;"",H164,IF(UPPER(TRIM(B164))="PIPE",Inputs!$B$7,IF(UPPER(TRIM(B164))="SWALE",Inputs!$B$8,Inputs!$B$9))))</f>
        <v/>
      </c>
      <c r="J164" s="8"/>
      <c r="K164" s="8"/>
      <c r="L164" s="8"/>
      <c r="M164" s="8"/>
      <c r="N164" s="8">
        <v>0</v>
      </c>
      <c r="O164" s="10" t="str">
        <f>IF(A164="","",SUMIFS(Zones_tributaires!$I:$I,Zones_tributaires!$J:$J,$A164))</f>
        <v/>
      </c>
      <c r="P164" s="10" t="str">
        <f t="shared" si="26"/>
        <v/>
      </c>
      <c r="Q164" s="10" t="str">
        <f>IF(A164="","",(O164+P164)*Inputs!$B$6)</f>
        <v/>
      </c>
      <c r="R164" s="10" t="str">
        <f t="shared" si="27"/>
        <v/>
      </c>
      <c r="S164" s="10" t="str">
        <f t="shared" si="28"/>
        <v/>
      </c>
      <c r="T164" s="10" t="str">
        <f t="shared" si="29"/>
        <v/>
      </c>
      <c r="U164" s="10" t="str">
        <f>IF(OR(T164="",Q164=""),"",Q164/(T164*Inputs!$B$19))</f>
        <v/>
      </c>
      <c r="V164" s="10" t="str">
        <f t="shared" si="30"/>
        <v/>
      </c>
      <c r="W164" s="10" t="str">
        <f t="shared" si="31"/>
        <v/>
      </c>
      <c r="X164" s="10" t="str">
        <f>IF(A164="","",IF(OR(UPPER(TRIM(Inputs!$B$15))="MANNING",UPPER(TRIM(Inputs!$B$15))="M"),W164,IF(OR(UPPER(TRIM(Inputs!$B$15))="MAX",UPPER(TRIM(Inputs!$B$15))="X"),MAX(V164,W164),V164)))</f>
        <v/>
      </c>
      <c r="Y164" s="10" t="str">
        <f t="shared" si="32"/>
        <v/>
      </c>
      <c r="Z164" s="10" t="str">
        <f t="shared" si="33"/>
        <v/>
      </c>
      <c r="AA164" s="3" t="str">
        <f>IF(A164="","",IF(OR(U164&gt;1,AND(X164&lt;&gt;"",X164&lt;Inputs!$B$16),AND(X164&lt;&gt;"",X164&gt;Inputs!$B$17),G164&lt;Inputs!$B$18,AH164="CHECK"),"CHECK","OK"))</f>
        <v/>
      </c>
      <c r="AB164" s="3"/>
      <c r="AC164" s="8"/>
      <c r="AD164" s="10" t="str">
        <f>IF(A164="","",IF(AC164&lt;&gt;"",AC164,IF(E164="",Inputs!$B$38,IFERROR(INDEX($AE$4:$AE$204,MATCH(E164,$A$4:$A$204,0))+IF(OR(AND(UPPER(TRIM(B164))="SWALE",UPPER(TRIM(AI164))="PIPE"),AND(UPPER(TRIM(B164))="TRENCH",UPPER(TRIM(AI164))="PIPE")),Inputs!$B$57,0),""))))</f>
        <v/>
      </c>
      <c r="AE164" s="10" t="str">
        <f t="shared" si="34"/>
        <v/>
      </c>
      <c r="AF164" s="10" t="str">
        <f t="shared" si="35"/>
        <v/>
      </c>
      <c r="AG164" s="10" t="str">
        <f t="shared" si="36"/>
        <v/>
      </c>
      <c r="AH164" s="3" t="str">
        <f>IF(A164="","",IF(E164="","TERMINAL",IF(OR(AND(UPPER(TRIM(B164))="SWALE",UPPER(TRIM(AI164))="PIPE"),AND(UPPER(TRIM(B164))="TRENCH",UPPER(TRIM(AI164))="PIPE")),IF(OR(AG164="",AJ164="",AK164=""),"INFO",IF(AND(AG164&gt;=AJ164,AG164&lt;=AK164),"OK","CHECK")),IF(AG164="","INFO",IF(ABS(AG164)&lt;=Inputs!$B$54,"OK","CHECK")))))</f>
        <v/>
      </c>
      <c r="AI164" s="11" t="str">
        <f t="shared" si="37"/>
        <v/>
      </c>
      <c r="AJ164" s="11" t="str">
        <f>IF(A164="","",IF(OR(AND(UPPER(TRIM(B164))="SWALE",UPPER(TRIM(AI164))="PIPE"),AND(UPPER(TRIM(B164))="TRENCH",UPPER(TRIM(AI164))="PIPE")),Inputs!$B$55,0))</f>
        <v/>
      </c>
      <c r="AK164" s="11" t="str">
        <f>IF(A164="","",IF(OR(AND(UPPER(TRIM(B164))="SWALE",UPPER(TRIM(AI164))="PIPE"),AND(UPPER(TRIM(B164))="TRENCH",UPPER(TRIM(AI164))="PIPE")),Inputs!$B$56,Inputs!$B$54))</f>
        <v/>
      </c>
      <c r="AL164" s="3" t="str">
        <f t="shared" si="38"/>
        <v/>
      </c>
    </row>
    <row r="165" spans="1:38" x14ac:dyDescent="0.25">
      <c r="A165" s="3"/>
      <c r="B165" s="3"/>
      <c r="C165" s="3"/>
      <c r="D165" s="3"/>
      <c r="E165" s="3"/>
      <c r="F165" s="8"/>
      <c r="G165" s="8"/>
      <c r="H165" s="8"/>
      <c r="I165" s="10" t="str">
        <f>IF(A165="","",IF(H165&lt;&gt;"",H165,IF(UPPER(TRIM(B165))="PIPE",Inputs!$B$7,IF(UPPER(TRIM(B165))="SWALE",Inputs!$B$8,Inputs!$B$9))))</f>
        <v/>
      </c>
      <c r="J165" s="8"/>
      <c r="K165" s="8"/>
      <c r="L165" s="8"/>
      <c r="M165" s="8"/>
      <c r="N165" s="8">
        <v>0</v>
      </c>
      <c r="O165" s="10" t="str">
        <f>IF(A165="","",SUMIFS(Zones_tributaires!$I:$I,Zones_tributaires!$J:$J,$A165))</f>
        <v/>
      </c>
      <c r="P165" s="10" t="str">
        <f t="shared" si="26"/>
        <v/>
      </c>
      <c r="Q165" s="10" t="str">
        <f>IF(A165="","",(O165+P165)*Inputs!$B$6)</f>
        <v/>
      </c>
      <c r="R165" s="10" t="str">
        <f t="shared" si="27"/>
        <v/>
      </c>
      <c r="S165" s="10" t="str">
        <f t="shared" si="28"/>
        <v/>
      </c>
      <c r="T165" s="10" t="str">
        <f t="shared" si="29"/>
        <v/>
      </c>
      <c r="U165" s="10" t="str">
        <f>IF(OR(T165="",Q165=""),"",Q165/(T165*Inputs!$B$19))</f>
        <v/>
      </c>
      <c r="V165" s="10" t="str">
        <f t="shared" si="30"/>
        <v/>
      </c>
      <c r="W165" s="10" t="str">
        <f t="shared" si="31"/>
        <v/>
      </c>
      <c r="X165" s="10" t="str">
        <f>IF(A165="","",IF(OR(UPPER(TRIM(Inputs!$B$15))="MANNING",UPPER(TRIM(Inputs!$B$15))="M"),W165,IF(OR(UPPER(TRIM(Inputs!$B$15))="MAX",UPPER(TRIM(Inputs!$B$15))="X"),MAX(V165,W165),V165)))</f>
        <v/>
      </c>
      <c r="Y165" s="10" t="str">
        <f t="shared" si="32"/>
        <v/>
      </c>
      <c r="Z165" s="10" t="str">
        <f t="shared" si="33"/>
        <v/>
      </c>
      <c r="AA165" s="3" t="str">
        <f>IF(A165="","",IF(OR(U165&gt;1,AND(X165&lt;&gt;"",X165&lt;Inputs!$B$16),AND(X165&lt;&gt;"",X165&gt;Inputs!$B$17),G165&lt;Inputs!$B$18,AH165="CHECK"),"CHECK","OK"))</f>
        <v/>
      </c>
      <c r="AB165" s="3"/>
      <c r="AC165" s="8"/>
      <c r="AD165" s="10" t="str">
        <f>IF(A165="","",IF(AC165&lt;&gt;"",AC165,IF(E165="",Inputs!$B$38,IFERROR(INDEX($AE$4:$AE$204,MATCH(E165,$A$4:$A$204,0))+IF(OR(AND(UPPER(TRIM(B165))="SWALE",UPPER(TRIM(AI165))="PIPE"),AND(UPPER(TRIM(B165))="TRENCH",UPPER(TRIM(AI165))="PIPE")),Inputs!$B$57,0),""))))</f>
        <v/>
      </c>
      <c r="AE165" s="10" t="str">
        <f t="shared" si="34"/>
        <v/>
      </c>
      <c r="AF165" s="10" t="str">
        <f t="shared" si="35"/>
        <v/>
      </c>
      <c r="AG165" s="10" t="str">
        <f t="shared" si="36"/>
        <v/>
      </c>
      <c r="AH165" s="3" t="str">
        <f>IF(A165="","",IF(E165="","TERMINAL",IF(OR(AND(UPPER(TRIM(B165))="SWALE",UPPER(TRIM(AI165))="PIPE"),AND(UPPER(TRIM(B165))="TRENCH",UPPER(TRIM(AI165))="PIPE")),IF(OR(AG165="",AJ165="",AK165=""),"INFO",IF(AND(AG165&gt;=AJ165,AG165&lt;=AK165),"OK","CHECK")),IF(AG165="","INFO",IF(ABS(AG165)&lt;=Inputs!$B$54,"OK","CHECK")))))</f>
        <v/>
      </c>
      <c r="AI165" s="11" t="str">
        <f t="shared" si="37"/>
        <v/>
      </c>
      <c r="AJ165" s="11" t="str">
        <f>IF(A165="","",IF(OR(AND(UPPER(TRIM(B165))="SWALE",UPPER(TRIM(AI165))="PIPE"),AND(UPPER(TRIM(B165))="TRENCH",UPPER(TRIM(AI165))="PIPE")),Inputs!$B$55,0))</f>
        <v/>
      </c>
      <c r="AK165" s="11" t="str">
        <f>IF(A165="","",IF(OR(AND(UPPER(TRIM(B165))="SWALE",UPPER(TRIM(AI165))="PIPE"),AND(UPPER(TRIM(B165))="TRENCH",UPPER(TRIM(AI165))="PIPE")),Inputs!$B$56,Inputs!$B$54))</f>
        <v/>
      </c>
      <c r="AL165" s="3" t="str">
        <f t="shared" si="38"/>
        <v/>
      </c>
    </row>
    <row r="166" spans="1:38" x14ac:dyDescent="0.25">
      <c r="A166" s="3"/>
      <c r="B166" s="3"/>
      <c r="C166" s="3"/>
      <c r="D166" s="3"/>
      <c r="E166" s="3"/>
      <c r="F166" s="8"/>
      <c r="G166" s="8"/>
      <c r="H166" s="8"/>
      <c r="I166" s="10" t="str">
        <f>IF(A166="","",IF(H166&lt;&gt;"",H166,IF(UPPER(TRIM(B166))="PIPE",Inputs!$B$7,IF(UPPER(TRIM(B166))="SWALE",Inputs!$B$8,Inputs!$B$9))))</f>
        <v/>
      </c>
      <c r="J166" s="8"/>
      <c r="K166" s="8"/>
      <c r="L166" s="8"/>
      <c r="M166" s="8"/>
      <c r="N166" s="8">
        <v>0</v>
      </c>
      <c r="O166" s="10" t="str">
        <f>IF(A166="","",SUMIFS(Zones_tributaires!$I:$I,Zones_tributaires!$J:$J,$A166))</f>
        <v/>
      </c>
      <c r="P166" s="10" t="str">
        <f t="shared" si="26"/>
        <v/>
      </c>
      <c r="Q166" s="10" t="str">
        <f>IF(A166="","",(O166+P166)*Inputs!$B$6)</f>
        <v/>
      </c>
      <c r="R166" s="10" t="str">
        <f t="shared" si="27"/>
        <v/>
      </c>
      <c r="S166" s="10" t="str">
        <f t="shared" si="28"/>
        <v/>
      </c>
      <c r="T166" s="10" t="str">
        <f t="shared" si="29"/>
        <v/>
      </c>
      <c r="U166" s="10" t="str">
        <f>IF(OR(T166="",Q166=""),"",Q166/(T166*Inputs!$B$19))</f>
        <v/>
      </c>
      <c r="V166" s="10" t="str">
        <f t="shared" si="30"/>
        <v/>
      </c>
      <c r="W166" s="10" t="str">
        <f t="shared" si="31"/>
        <v/>
      </c>
      <c r="X166" s="10" t="str">
        <f>IF(A166="","",IF(OR(UPPER(TRIM(Inputs!$B$15))="MANNING",UPPER(TRIM(Inputs!$B$15))="M"),W166,IF(OR(UPPER(TRIM(Inputs!$B$15))="MAX",UPPER(TRIM(Inputs!$B$15))="X"),MAX(V166,W166),V166)))</f>
        <v/>
      </c>
      <c r="Y166" s="10" t="str">
        <f t="shared" si="32"/>
        <v/>
      </c>
      <c r="Z166" s="10" t="str">
        <f t="shared" si="33"/>
        <v/>
      </c>
      <c r="AA166" s="3" t="str">
        <f>IF(A166="","",IF(OR(U166&gt;1,AND(X166&lt;&gt;"",X166&lt;Inputs!$B$16),AND(X166&lt;&gt;"",X166&gt;Inputs!$B$17),G166&lt;Inputs!$B$18,AH166="CHECK"),"CHECK","OK"))</f>
        <v/>
      </c>
      <c r="AB166" s="3"/>
      <c r="AC166" s="8"/>
      <c r="AD166" s="10" t="str">
        <f>IF(A166="","",IF(AC166&lt;&gt;"",AC166,IF(E166="",Inputs!$B$38,IFERROR(INDEX($AE$4:$AE$204,MATCH(E166,$A$4:$A$204,0))+IF(OR(AND(UPPER(TRIM(B166))="SWALE",UPPER(TRIM(AI166))="PIPE"),AND(UPPER(TRIM(B166))="TRENCH",UPPER(TRIM(AI166))="PIPE")),Inputs!$B$57,0),""))))</f>
        <v/>
      </c>
      <c r="AE166" s="10" t="str">
        <f t="shared" si="34"/>
        <v/>
      </c>
      <c r="AF166" s="10" t="str">
        <f t="shared" si="35"/>
        <v/>
      </c>
      <c r="AG166" s="10" t="str">
        <f t="shared" si="36"/>
        <v/>
      </c>
      <c r="AH166" s="3" t="str">
        <f>IF(A166="","",IF(E166="","TERMINAL",IF(OR(AND(UPPER(TRIM(B166))="SWALE",UPPER(TRIM(AI166))="PIPE"),AND(UPPER(TRIM(B166))="TRENCH",UPPER(TRIM(AI166))="PIPE")),IF(OR(AG166="",AJ166="",AK166=""),"INFO",IF(AND(AG166&gt;=AJ166,AG166&lt;=AK166),"OK","CHECK")),IF(AG166="","INFO",IF(ABS(AG166)&lt;=Inputs!$B$54,"OK","CHECK")))))</f>
        <v/>
      </c>
      <c r="AI166" s="11" t="str">
        <f t="shared" si="37"/>
        <v/>
      </c>
      <c r="AJ166" s="11" t="str">
        <f>IF(A166="","",IF(OR(AND(UPPER(TRIM(B166))="SWALE",UPPER(TRIM(AI166))="PIPE"),AND(UPPER(TRIM(B166))="TRENCH",UPPER(TRIM(AI166))="PIPE")),Inputs!$B$55,0))</f>
        <v/>
      </c>
      <c r="AK166" s="11" t="str">
        <f>IF(A166="","",IF(OR(AND(UPPER(TRIM(B166))="SWALE",UPPER(TRIM(AI166))="PIPE"),AND(UPPER(TRIM(B166))="TRENCH",UPPER(TRIM(AI166))="PIPE")),Inputs!$B$56,Inputs!$B$54))</f>
        <v/>
      </c>
      <c r="AL166" s="3" t="str">
        <f t="shared" si="38"/>
        <v/>
      </c>
    </row>
    <row r="167" spans="1:38" x14ac:dyDescent="0.25">
      <c r="A167" s="3"/>
      <c r="B167" s="3"/>
      <c r="C167" s="3"/>
      <c r="D167" s="3"/>
      <c r="E167" s="3"/>
      <c r="F167" s="8"/>
      <c r="G167" s="8"/>
      <c r="H167" s="8"/>
      <c r="I167" s="10" t="str">
        <f>IF(A167="","",IF(H167&lt;&gt;"",H167,IF(UPPER(TRIM(B167))="PIPE",Inputs!$B$7,IF(UPPER(TRIM(B167))="SWALE",Inputs!$B$8,Inputs!$B$9))))</f>
        <v/>
      </c>
      <c r="J167" s="8"/>
      <c r="K167" s="8"/>
      <c r="L167" s="8"/>
      <c r="M167" s="8"/>
      <c r="N167" s="8">
        <v>0</v>
      </c>
      <c r="O167" s="10" t="str">
        <f>IF(A167="","",SUMIFS(Zones_tributaires!$I:$I,Zones_tributaires!$J:$J,$A167))</f>
        <v/>
      </c>
      <c r="P167" s="10" t="str">
        <f t="shared" si="26"/>
        <v/>
      </c>
      <c r="Q167" s="10" t="str">
        <f>IF(A167="","",(O167+P167)*Inputs!$B$6)</f>
        <v/>
      </c>
      <c r="R167" s="10" t="str">
        <f t="shared" si="27"/>
        <v/>
      </c>
      <c r="S167" s="10" t="str">
        <f t="shared" si="28"/>
        <v/>
      </c>
      <c r="T167" s="10" t="str">
        <f t="shared" si="29"/>
        <v/>
      </c>
      <c r="U167" s="10" t="str">
        <f>IF(OR(T167="",Q167=""),"",Q167/(T167*Inputs!$B$19))</f>
        <v/>
      </c>
      <c r="V167" s="10" t="str">
        <f t="shared" si="30"/>
        <v/>
      </c>
      <c r="W167" s="10" t="str">
        <f t="shared" si="31"/>
        <v/>
      </c>
      <c r="X167" s="10" t="str">
        <f>IF(A167="","",IF(OR(UPPER(TRIM(Inputs!$B$15))="MANNING",UPPER(TRIM(Inputs!$B$15))="M"),W167,IF(OR(UPPER(TRIM(Inputs!$B$15))="MAX",UPPER(TRIM(Inputs!$B$15))="X"),MAX(V167,W167),V167)))</f>
        <v/>
      </c>
      <c r="Y167" s="10" t="str">
        <f t="shared" si="32"/>
        <v/>
      </c>
      <c r="Z167" s="10" t="str">
        <f t="shared" si="33"/>
        <v/>
      </c>
      <c r="AA167" s="3" t="str">
        <f>IF(A167="","",IF(OR(U167&gt;1,AND(X167&lt;&gt;"",X167&lt;Inputs!$B$16),AND(X167&lt;&gt;"",X167&gt;Inputs!$B$17),G167&lt;Inputs!$B$18,AH167="CHECK"),"CHECK","OK"))</f>
        <v/>
      </c>
      <c r="AB167" s="3"/>
      <c r="AC167" s="8"/>
      <c r="AD167" s="10" t="str">
        <f>IF(A167="","",IF(AC167&lt;&gt;"",AC167,IF(E167="",Inputs!$B$38,IFERROR(INDEX($AE$4:$AE$204,MATCH(E167,$A$4:$A$204,0))+IF(OR(AND(UPPER(TRIM(B167))="SWALE",UPPER(TRIM(AI167))="PIPE"),AND(UPPER(TRIM(B167))="TRENCH",UPPER(TRIM(AI167))="PIPE")),Inputs!$B$57,0),""))))</f>
        <v/>
      </c>
      <c r="AE167" s="10" t="str">
        <f t="shared" si="34"/>
        <v/>
      </c>
      <c r="AF167" s="10" t="str">
        <f t="shared" si="35"/>
        <v/>
      </c>
      <c r="AG167" s="10" t="str">
        <f t="shared" si="36"/>
        <v/>
      </c>
      <c r="AH167" s="3" t="str">
        <f>IF(A167="","",IF(E167="","TERMINAL",IF(OR(AND(UPPER(TRIM(B167))="SWALE",UPPER(TRIM(AI167))="PIPE"),AND(UPPER(TRIM(B167))="TRENCH",UPPER(TRIM(AI167))="PIPE")),IF(OR(AG167="",AJ167="",AK167=""),"INFO",IF(AND(AG167&gt;=AJ167,AG167&lt;=AK167),"OK","CHECK")),IF(AG167="","INFO",IF(ABS(AG167)&lt;=Inputs!$B$54,"OK","CHECK")))))</f>
        <v/>
      </c>
      <c r="AI167" s="11" t="str">
        <f t="shared" si="37"/>
        <v/>
      </c>
      <c r="AJ167" s="11" t="str">
        <f>IF(A167="","",IF(OR(AND(UPPER(TRIM(B167))="SWALE",UPPER(TRIM(AI167))="PIPE"),AND(UPPER(TRIM(B167))="TRENCH",UPPER(TRIM(AI167))="PIPE")),Inputs!$B$55,0))</f>
        <v/>
      </c>
      <c r="AK167" s="11" t="str">
        <f>IF(A167="","",IF(OR(AND(UPPER(TRIM(B167))="SWALE",UPPER(TRIM(AI167))="PIPE"),AND(UPPER(TRIM(B167))="TRENCH",UPPER(TRIM(AI167))="PIPE")),Inputs!$B$56,Inputs!$B$54))</f>
        <v/>
      </c>
      <c r="AL167" s="3" t="str">
        <f t="shared" si="38"/>
        <v/>
      </c>
    </row>
    <row r="168" spans="1:38" x14ac:dyDescent="0.25">
      <c r="A168" s="3"/>
      <c r="B168" s="3"/>
      <c r="C168" s="3"/>
      <c r="D168" s="3"/>
      <c r="E168" s="3"/>
      <c r="F168" s="8"/>
      <c r="G168" s="8"/>
      <c r="H168" s="8"/>
      <c r="I168" s="10" t="str">
        <f>IF(A168="","",IF(H168&lt;&gt;"",H168,IF(UPPER(TRIM(B168))="PIPE",Inputs!$B$7,IF(UPPER(TRIM(B168))="SWALE",Inputs!$B$8,Inputs!$B$9))))</f>
        <v/>
      </c>
      <c r="J168" s="8"/>
      <c r="K168" s="8"/>
      <c r="L168" s="8"/>
      <c r="M168" s="8"/>
      <c r="N168" s="8">
        <v>0</v>
      </c>
      <c r="O168" s="10" t="str">
        <f>IF(A168="","",SUMIFS(Zones_tributaires!$I:$I,Zones_tributaires!$J:$J,$A168))</f>
        <v/>
      </c>
      <c r="P168" s="10" t="str">
        <f t="shared" si="26"/>
        <v/>
      </c>
      <c r="Q168" s="10" t="str">
        <f>IF(A168="","",(O168+P168)*Inputs!$B$6)</f>
        <v/>
      </c>
      <c r="R168" s="10" t="str">
        <f t="shared" si="27"/>
        <v/>
      </c>
      <c r="S168" s="10" t="str">
        <f t="shared" si="28"/>
        <v/>
      </c>
      <c r="T168" s="10" t="str">
        <f t="shared" si="29"/>
        <v/>
      </c>
      <c r="U168" s="10" t="str">
        <f>IF(OR(T168="",Q168=""),"",Q168/(T168*Inputs!$B$19))</f>
        <v/>
      </c>
      <c r="V168" s="10" t="str">
        <f t="shared" si="30"/>
        <v/>
      </c>
      <c r="W168" s="10" t="str">
        <f t="shared" si="31"/>
        <v/>
      </c>
      <c r="X168" s="10" t="str">
        <f>IF(A168="","",IF(OR(UPPER(TRIM(Inputs!$B$15))="MANNING",UPPER(TRIM(Inputs!$B$15))="M"),W168,IF(OR(UPPER(TRIM(Inputs!$B$15))="MAX",UPPER(TRIM(Inputs!$B$15))="X"),MAX(V168,W168),V168)))</f>
        <v/>
      </c>
      <c r="Y168" s="10" t="str">
        <f t="shared" si="32"/>
        <v/>
      </c>
      <c r="Z168" s="10" t="str">
        <f t="shared" si="33"/>
        <v/>
      </c>
      <c r="AA168" s="3" t="str">
        <f>IF(A168="","",IF(OR(U168&gt;1,AND(X168&lt;&gt;"",X168&lt;Inputs!$B$16),AND(X168&lt;&gt;"",X168&gt;Inputs!$B$17),G168&lt;Inputs!$B$18,AH168="CHECK"),"CHECK","OK"))</f>
        <v/>
      </c>
      <c r="AB168" s="3"/>
      <c r="AC168" s="8"/>
      <c r="AD168" s="10" t="str">
        <f>IF(A168="","",IF(AC168&lt;&gt;"",AC168,IF(E168="",Inputs!$B$38,IFERROR(INDEX($AE$4:$AE$204,MATCH(E168,$A$4:$A$204,0))+IF(OR(AND(UPPER(TRIM(B168))="SWALE",UPPER(TRIM(AI168))="PIPE"),AND(UPPER(TRIM(B168))="TRENCH",UPPER(TRIM(AI168))="PIPE")),Inputs!$B$57,0),""))))</f>
        <v/>
      </c>
      <c r="AE168" s="10" t="str">
        <f t="shared" si="34"/>
        <v/>
      </c>
      <c r="AF168" s="10" t="str">
        <f t="shared" si="35"/>
        <v/>
      </c>
      <c r="AG168" s="10" t="str">
        <f t="shared" si="36"/>
        <v/>
      </c>
      <c r="AH168" s="3" t="str">
        <f>IF(A168="","",IF(E168="","TERMINAL",IF(OR(AND(UPPER(TRIM(B168))="SWALE",UPPER(TRIM(AI168))="PIPE"),AND(UPPER(TRIM(B168))="TRENCH",UPPER(TRIM(AI168))="PIPE")),IF(OR(AG168="",AJ168="",AK168=""),"INFO",IF(AND(AG168&gt;=AJ168,AG168&lt;=AK168),"OK","CHECK")),IF(AG168="","INFO",IF(ABS(AG168)&lt;=Inputs!$B$54,"OK","CHECK")))))</f>
        <v/>
      </c>
      <c r="AI168" s="11" t="str">
        <f t="shared" si="37"/>
        <v/>
      </c>
      <c r="AJ168" s="11" t="str">
        <f>IF(A168="","",IF(OR(AND(UPPER(TRIM(B168))="SWALE",UPPER(TRIM(AI168))="PIPE"),AND(UPPER(TRIM(B168))="TRENCH",UPPER(TRIM(AI168))="PIPE")),Inputs!$B$55,0))</f>
        <v/>
      </c>
      <c r="AK168" s="11" t="str">
        <f>IF(A168="","",IF(OR(AND(UPPER(TRIM(B168))="SWALE",UPPER(TRIM(AI168))="PIPE"),AND(UPPER(TRIM(B168))="TRENCH",UPPER(TRIM(AI168))="PIPE")),Inputs!$B$56,Inputs!$B$54))</f>
        <v/>
      </c>
      <c r="AL168" s="3" t="str">
        <f t="shared" si="38"/>
        <v/>
      </c>
    </row>
    <row r="169" spans="1:38" x14ac:dyDescent="0.25">
      <c r="A169" s="3"/>
      <c r="B169" s="3"/>
      <c r="C169" s="3"/>
      <c r="D169" s="3"/>
      <c r="E169" s="3"/>
      <c r="F169" s="8"/>
      <c r="G169" s="8"/>
      <c r="H169" s="8"/>
      <c r="I169" s="10" t="str">
        <f>IF(A169="","",IF(H169&lt;&gt;"",H169,IF(UPPER(TRIM(B169))="PIPE",Inputs!$B$7,IF(UPPER(TRIM(B169))="SWALE",Inputs!$B$8,Inputs!$B$9))))</f>
        <v/>
      </c>
      <c r="J169" s="8"/>
      <c r="K169" s="8"/>
      <c r="L169" s="8"/>
      <c r="M169" s="8"/>
      <c r="N169" s="8">
        <v>0</v>
      </c>
      <c r="O169" s="10" t="str">
        <f>IF(A169="","",SUMIFS(Zones_tributaires!$I:$I,Zones_tributaires!$J:$J,$A169))</f>
        <v/>
      </c>
      <c r="P169" s="10" t="str">
        <f t="shared" si="26"/>
        <v/>
      </c>
      <c r="Q169" s="10" t="str">
        <f>IF(A169="","",(O169+P169)*Inputs!$B$6)</f>
        <v/>
      </c>
      <c r="R169" s="10" t="str">
        <f t="shared" si="27"/>
        <v/>
      </c>
      <c r="S169" s="10" t="str">
        <f t="shared" si="28"/>
        <v/>
      </c>
      <c r="T169" s="10" t="str">
        <f t="shared" si="29"/>
        <v/>
      </c>
      <c r="U169" s="10" t="str">
        <f>IF(OR(T169="",Q169=""),"",Q169/(T169*Inputs!$B$19))</f>
        <v/>
      </c>
      <c r="V169" s="10" t="str">
        <f t="shared" si="30"/>
        <v/>
      </c>
      <c r="W169" s="10" t="str">
        <f t="shared" si="31"/>
        <v/>
      </c>
      <c r="X169" s="10" t="str">
        <f>IF(A169="","",IF(OR(UPPER(TRIM(Inputs!$B$15))="MANNING",UPPER(TRIM(Inputs!$B$15))="M"),W169,IF(OR(UPPER(TRIM(Inputs!$B$15))="MAX",UPPER(TRIM(Inputs!$B$15))="X"),MAX(V169,W169),V169)))</f>
        <v/>
      </c>
      <c r="Y169" s="10" t="str">
        <f t="shared" si="32"/>
        <v/>
      </c>
      <c r="Z169" s="10" t="str">
        <f t="shared" si="33"/>
        <v/>
      </c>
      <c r="AA169" s="3" t="str">
        <f>IF(A169="","",IF(OR(U169&gt;1,AND(X169&lt;&gt;"",X169&lt;Inputs!$B$16),AND(X169&lt;&gt;"",X169&gt;Inputs!$B$17),G169&lt;Inputs!$B$18,AH169="CHECK"),"CHECK","OK"))</f>
        <v/>
      </c>
      <c r="AB169" s="3"/>
      <c r="AC169" s="8"/>
      <c r="AD169" s="10" t="str">
        <f>IF(A169="","",IF(AC169&lt;&gt;"",AC169,IF(E169="",Inputs!$B$38,IFERROR(INDEX($AE$4:$AE$204,MATCH(E169,$A$4:$A$204,0))+IF(OR(AND(UPPER(TRIM(B169))="SWALE",UPPER(TRIM(AI169))="PIPE"),AND(UPPER(TRIM(B169))="TRENCH",UPPER(TRIM(AI169))="PIPE")),Inputs!$B$57,0),""))))</f>
        <v/>
      </c>
      <c r="AE169" s="10" t="str">
        <f t="shared" si="34"/>
        <v/>
      </c>
      <c r="AF169" s="10" t="str">
        <f t="shared" si="35"/>
        <v/>
      </c>
      <c r="AG169" s="10" t="str">
        <f t="shared" si="36"/>
        <v/>
      </c>
      <c r="AH169" s="3" t="str">
        <f>IF(A169="","",IF(E169="","TERMINAL",IF(OR(AND(UPPER(TRIM(B169))="SWALE",UPPER(TRIM(AI169))="PIPE"),AND(UPPER(TRIM(B169))="TRENCH",UPPER(TRIM(AI169))="PIPE")),IF(OR(AG169="",AJ169="",AK169=""),"INFO",IF(AND(AG169&gt;=AJ169,AG169&lt;=AK169),"OK","CHECK")),IF(AG169="","INFO",IF(ABS(AG169)&lt;=Inputs!$B$54,"OK","CHECK")))))</f>
        <v/>
      </c>
      <c r="AI169" s="11" t="str">
        <f t="shared" si="37"/>
        <v/>
      </c>
      <c r="AJ169" s="11" t="str">
        <f>IF(A169="","",IF(OR(AND(UPPER(TRIM(B169))="SWALE",UPPER(TRIM(AI169))="PIPE"),AND(UPPER(TRIM(B169))="TRENCH",UPPER(TRIM(AI169))="PIPE")),Inputs!$B$55,0))</f>
        <v/>
      </c>
      <c r="AK169" s="11" t="str">
        <f>IF(A169="","",IF(OR(AND(UPPER(TRIM(B169))="SWALE",UPPER(TRIM(AI169))="PIPE"),AND(UPPER(TRIM(B169))="TRENCH",UPPER(TRIM(AI169))="PIPE")),Inputs!$B$56,Inputs!$B$54))</f>
        <v/>
      </c>
      <c r="AL169" s="3" t="str">
        <f t="shared" si="38"/>
        <v/>
      </c>
    </row>
    <row r="170" spans="1:38" x14ac:dyDescent="0.25">
      <c r="A170" s="3"/>
      <c r="B170" s="3"/>
      <c r="C170" s="3"/>
      <c r="D170" s="3"/>
      <c r="E170" s="3"/>
      <c r="F170" s="8"/>
      <c r="G170" s="8"/>
      <c r="H170" s="8"/>
      <c r="I170" s="10" t="str">
        <f>IF(A170="","",IF(H170&lt;&gt;"",H170,IF(UPPER(TRIM(B170))="PIPE",Inputs!$B$7,IF(UPPER(TRIM(B170))="SWALE",Inputs!$B$8,Inputs!$B$9))))</f>
        <v/>
      </c>
      <c r="J170" s="8"/>
      <c r="K170" s="8"/>
      <c r="L170" s="8"/>
      <c r="M170" s="8"/>
      <c r="N170" s="8">
        <v>0</v>
      </c>
      <c r="O170" s="10" t="str">
        <f>IF(A170="","",SUMIFS(Zones_tributaires!$I:$I,Zones_tributaires!$J:$J,$A170))</f>
        <v/>
      </c>
      <c r="P170" s="10" t="str">
        <f t="shared" si="26"/>
        <v/>
      </c>
      <c r="Q170" s="10" t="str">
        <f>IF(A170="","",(O170+P170)*Inputs!$B$6)</f>
        <v/>
      </c>
      <c r="R170" s="10" t="str">
        <f t="shared" si="27"/>
        <v/>
      </c>
      <c r="S170" s="10" t="str">
        <f t="shared" si="28"/>
        <v/>
      </c>
      <c r="T170" s="10" t="str">
        <f t="shared" si="29"/>
        <v/>
      </c>
      <c r="U170" s="10" t="str">
        <f>IF(OR(T170="",Q170=""),"",Q170/(T170*Inputs!$B$19))</f>
        <v/>
      </c>
      <c r="V170" s="10" t="str">
        <f t="shared" si="30"/>
        <v/>
      </c>
      <c r="W170" s="10" t="str">
        <f t="shared" si="31"/>
        <v/>
      </c>
      <c r="X170" s="10" t="str">
        <f>IF(A170="","",IF(OR(UPPER(TRIM(Inputs!$B$15))="MANNING",UPPER(TRIM(Inputs!$B$15))="M"),W170,IF(OR(UPPER(TRIM(Inputs!$B$15))="MAX",UPPER(TRIM(Inputs!$B$15))="X"),MAX(V170,W170),V170)))</f>
        <v/>
      </c>
      <c r="Y170" s="10" t="str">
        <f t="shared" si="32"/>
        <v/>
      </c>
      <c r="Z170" s="10" t="str">
        <f t="shared" si="33"/>
        <v/>
      </c>
      <c r="AA170" s="3" t="str">
        <f>IF(A170="","",IF(OR(U170&gt;1,AND(X170&lt;&gt;"",X170&lt;Inputs!$B$16),AND(X170&lt;&gt;"",X170&gt;Inputs!$B$17),G170&lt;Inputs!$B$18,AH170="CHECK"),"CHECK","OK"))</f>
        <v/>
      </c>
      <c r="AB170" s="3"/>
      <c r="AC170" s="8"/>
      <c r="AD170" s="10" t="str">
        <f>IF(A170="","",IF(AC170&lt;&gt;"",AC170,IF(E170="",Inputs!$B$38,IFERROR(INDEX($AE$4:$AE$204,MATCH(E170,$A$4:$A$204,0))+IF(OR(AND(UPPER(TRIM(B170))="SWALE",UPPER(TRIM(AI170))="PIPE"),AND(UPPER(TRIM(B170))="TRENCH",UPPER(TRIM(AI170))="PIPE")),Inputs!$B$57,0),""))))</f>
        <v/>
      </c>
      <c r="AE170" s="10" t="str">
        <f t="shared" si="34"/>
        <v/>
      </c>
      <c r="AF170" s="10" t="str">
        <f t="shared" si="35"/>
        <v/>
      </c>
      <c r="AG170" s="10" t="str">
        <f t="shared" si="36"/>
        <v/>
      </c>
      <c r="AH170" s="3" t="str">
        <f>IF(A170="","",IF(E170="","TERMINAL",IF(OR(AND(UPPER(TRIM(B170))="SWALE",UPPER(TRIM(AI170))="PIPE"),AND(UPPER(TRIM(B170))="TRENCH",UPPER(TRIM(AI170))="PIPE")),IF(OR(AG170="",AJ170="",AK170=""),"INFO",IF(AND(AG170&gt;=AJ170,AG170&lt;=AK170),"OK","CHECK")),IF(AG170="","INFO",IF(ABS(AG170)&lt;=Inputs!$B$54,"OK","CHECK")))))</f>
        <v/>
      </c>
      <c r="AI170" s="11" t="str">
        <f t="shared" si="37"/>
        <v/>
      </c>
      <c r="AJ170" s="11" t="str">
        <f>IF(A170="","",IF(OR(AND(UPPER(TRIM(B170))="SWALE",UPPER(TRIM(AI170))="PIPE"),AND(UPPER(TRIM(B170))="TRENCH",UPPER(TRIM(AI170))="PIPE")),Inputs!$B$55,0))</f>
        <v/>
      </c>
      <c r="AK170" s="11" t="str">
        <f>IF(A170="","",IF(OR(AND(UPPER(TRIM(B170))="SWALE",UPPER(TRIM(AI170))="PIPE"),AND(UPPER(TRIM(B170))="TRENCH",UPPER(TRIM(AI170))="PIPE")),Inputs!$B$56,Inputs!$B$54))</f>
        <v/>
      </c>
      <c r="AL170" s="3" t="str">
        <f t="shared" si="38"/>
        <v/>
      </c>
    </row>
    <row r="171" spans="1:38" x14ac:dyDescent="0.25">
      <c r="A171" s="3"/>
      <c r="B171" s="3"/>
      <c r="C171" s="3"/>
      <c r="D171" s="3"/>
      <c r="E171" s="3"/>
      <c r="F171" s="8"/>
      <c r="G171" s="8"/>
      <c r="H171" s="8"/>
      <c r="I171" s="10" t="str">
        <f>IF(A171="","",IF(H171&lt;&gt;"",H171,IF(UPPER(TRIM(B171))="PIPE",Inputs!$B$7,IF(UPPER(TRIM(B171))="SWALE",Inputs!$B$8,Inputs!$B$9))))</f>
        <v/>
      </c>
      <c r="J171" s="8"/>
      <c r="K171" s="8"/>
      <c r="L171" s="8"/>
      <c r="M171" s="8"/>
      <c r="N171" s="8">
        <v>0</v>
      </c>
      <c r="O171" s="10" t="str">
        <f>IF(A171="","",SUMIFS(Zones_tributaires!$I:$I,Zones_tributaires!$J:$J,$A171))</f>
        <v/>
      </c>
      <c r="P171" s="10" t="str">
        <f t="shared" si="26"/>
        <v/>
      </c>
      <c r="Q171" s="10" t="str">
        <f>IF(A171="","",(O171+P171)*Inputs!$B$6)</f>
        <v/>
      </c>
      <c r="R171" s="10" t="str">
        <f t="shared" si="27"/>
        <v/>
      </c>
      <c r="S171" s="10" t="str">
        <f t="shared" si="28"/>
        <v/>
      </c>
      <c r="T171" s="10" t="str">
        <f t="shared" si="29"/>
        <v/>
      </c>
      <c r="U171" s="10" t="str">
        <f>IF(OR(T171="",Q171=""),"",Q171/(T171*Inputs!$B$19))</f>
        <v/>
      </c>
      <c r="V171" s="10" t="str">
        <f t="shared" si="30"/>
        <v/>
      </c>
      <c r="W171" s="10" t="str">
        <f t="shared" si="31"/>
        <v/>
      </c>
      <c r="X171" s="10" t="str">
        <f>IF(A171="","",IF(OR(UPPER(TRIM(Inputs!$B$15))="MANNING",UPPER(TRIM(Inputs!$B$15))="M"),W171,IF(OR(UPPER(TRIM(Inputs!$B$15))="MAX",UPPER(TRIM(Inputs!$B$15))="X"),MAX(V171,W171),V171)))</f>
        <v/>
      </c>
      <c r="Y171" s="10" t="str">
        <f t="shared" si="32"/>
        <v/>
      </c>
      <c r="Z171" s="10" t="str">
        <f t="shared" si="33"/>
        <v/>
      </c>
      <c r="AA171" s="3" t="str">
        <f>IF(A171="","",IF(OR(U171&gt;1,AND(X171&lt;&gt;"",X171&lt;Inputs!$B$16),AND(X171&lt;&gt;"",X171&gt;Inputs!$B$17),G171&lt;Inputs!$B$18,AH171="CHECK"),"CHECK","OK"))</f>
        <v/>
      </c>
      <c r="AB171" s="3"/>
      <c r="AC171" s="8"/>
      <c r="AD171" s="10" t="str">
        <f>IF(A171="","",IF(AC171&lt;&gt;"",AC171,IF(E171="",Inputs!$B$38,IFERROR(INDEX($AE$4:$AE$204,MATCH(E171,$A$4:$A$204,0))+IF(OR(AND(UPPER(TRIM(B171))="SWALE",UPPER(TRIM(AI171))="PIPE"),AND(UPPER(TRIM(B171))="TRENCH",UPPER(TRIM(AI171))="PIPE")),Inputs!$B$57,0),""))))</f>
        <v/>
      </c>
      <c r="AE171" s="10" t="str">
        <f t="shared" si="34"/>
        <v/>
      </c>
      <c r="AF171" s="10" t="str">
        <f t="shared" si="35"/>
        <v/>
      </c>
      <c r="AG171" s="10" t="str">
        <f t="shared" si="36"/>
        <v/>
      </c>
      <c r="AH171" s="3" t="str">
        <f>IF(A171="","",IF(E171="","TERMINAL",IF(OR(AND(UPPER(TRIM(B171))="SWALE",UPPER(TRIM(AI171))="PIPE"),AND(UPPER(TRIM(B171))="TRENCH",UPPER(TRIM(AI171))="PIPE")),IF(OR(AG171="",AJ171="",AK171=""),"INFO",IF(AND(AG171&gt;=AJ171,AG171&lt;=AK171),"OK","CHECK")),IF(AG171="","INFO",IF(ABS(AG171)&lt;=Inputs!$B$54,"OK","CHECK")))))</f>
        <v/>
      </c>
      <c r="AI171" s="11" t="str">
        <f t="shared" si="37"/>
        <v/>
      </c>
      <c r="AJ171" s="11" t="str">
        <f>IF(A171="","",IF(OR(AND(UPPER(TRIM(B171))="SWALE",UPPER(TRIM(AI171))="PIPE"),AND(UPPER(TRIM(B171))="TRENCH",UPPER(TRIM(AI171))="PIPE")),Inputs!$B$55,0))</f>
        <v/>
      </c>
      <c r="AK171" s="11" t="str">
        <f>IF(A171="","",IF(OR(AND(UPPER(TRIM(B171))="SWALE",UPPER(TRIM(AI171))="PIPE"),AND(UPPER(TRIM(B171))="TRENCH",UPPER(TRIM(AI171))="PIPE")),Inputs!$B$56,Inputs!$B$54))</f>
        <v/>
      </c>
      <c r="AL171" s="3" t="str">
        <f t="shared" si="38"/>
        <v/>
      </c>
    </row>
    <row r="172" spans="1:38" x14ac:dyDescent="0.25">
      <c r="A172" s="3"/>
      <c r="B172" s="3"/>
      <c r="C172" s="3"/>
      <c r="D172" s="3"/>
      <c r="E172" s="3"/>
      <c r="F172" s="8"/>
      <c r="G172" s="8"/>
      <c r="H172" s="8"/>
      <c r="I172" s="10" t="str">
        <f>IF(A172="","",IF(H172&lt;&gt;"",H172,IF(UPPER(TRIM(B172))="PIPE",Inputs!$B$7,IF(UPPER(TRIM(B172))="SWALE",Inputs!$B$8,Inputs!$B$9))))</f>
        <v/>
      </c>
      <c r="J172" s="8"/>
      <c r="K172" s="8"/>
      <c r="L172" s="8"/>
      <c r="M172" s="8"/>
      <c r="N172" s="8">
        <v>0</v>
      </c>
      <c r="O172" s="10" t="str">
        <f>IF(A172="","",SUMIFS(Zones_tributaires!$I:$I,Zones_tributaires!$J:$J,$A172))</f>
        <v/>
      </c>
      <c r="P172" s="10" t="str">
        <f t="shared" si="26"/>
        <v/>
      </c>
      <c r="Q172" s="10" t="str">
        <f>IF(A172="","",(O172+P172)*Inputs!$B$6)</f>
        <v/>
      </c>
      <c r="R172" s="10" t="str">
        <f t="shared" si="27"/>
        <v/>
      </c>
      <c r="S172" s="10" t="str">
        <f t="shared" si="28"/>
        <v/>
      </c>
      <c r="T172" s="10" t="str">
        <f t="shared" si="29"/>
        <v/>
      </c>
      <c r="U172" s="10" t="str">
        <f>IF(OR(T172="",Q172=""),"",Q172/(T172*Inputs!$B$19))</f>
        <v/>
      </c>
      <c r="V172" s="10" t="str">
        <f t="shared" si="30"/>
        <v/>
      </c>
      <c r="W172" s="10" t="str">
        <f t="shared" si="31"/>
        <v/>
      </c>
      <c r="X172" s="10" t="str">
        <f>IF(A172="","",IF(OR(UPPER(TRIM(Inputs!$B$15))="MANNING",UPPER(TRIM(Inputs!$B$15))="M"),W172,IF(OR(UPPER(TRIM(Inputs!$B$15))="MAX",UPPER(TRIM(Inputs!$B$15))="X"),MAX(V172,W172),V172)))</f>
        <v/>
      </c>
      <c r="Y172" s="10" t="str">
        <f t="shared" si="32"/>
        <v/>
      </c>
      <c r="Z172" s="10" t="str">
        <f t="shared" si="33"/>
        <v/>
      </c>
      <c r="AA172" s="3" t="str">
        <f>IF(A172="","",IF(OR(U172&gt;1,AND(X172&lt;&gt;"",X172&lt;Inputs!$B$16),AND(X172&lt;&gt;"",X172&gt;Inputs!$B$17),G172&lt;Inputs!$B$18,AH172="CHECK"),"CHECK","OK"))</f>
        <v/>
      </c>
      <c r="AB172" s="3"/>
      <c r="AC172" s="8"/>
      <c r="AD172" s="10" t="str">
        <f>IF(A172="","",IF(AC172&lt;&gt;"",AC172,IF(E172="",Inputs!$B$38,IFERROR(INDEX($AE$4:$AE$204,MATCH(E172,$A$4:$A$204,0))+IF(OR(AND(UPPER(TRIM(B172))="SWALE",UPPER(TRIM(AI172))="PIPE"),AND(UPPER(TRIM(B172))="TRENCH",UPPER(TRIM(AI172))="PIPE")),Inputs!$B$57,0),""))))</f>
        <v/>
      </c>
      <c r="AE172" s="10" t="str">
        <f t="shared" si="34"/>
        <v/>
      </c>
      <c r="AF172" s="10" t="str">
        <f t="shared" si="35"/>
        <v/>
      </c>
      <c r="AG172" s="10" t="str">
        <f t="shared" si="36"/>
        <v/>
      </c>
      <c r="AH172" s="3" t="str">
        <f>IF(A172="","",IF(E172="","TERMINAL",IF(OR(AND(UPPER(TRIM(B172))="SWALE",UPPER(TRIM(AI172))="PIPE"),AND(UPPER(TRIM(B172))="TRENCH",UPPER(TRIM(AI172))="PIPE")),IF(OR(AG172="",AJ172="",AK172=""),"INFO",IF(AND(AG172&gt;=AJ172,AG172&lt;=AK172),"OK","CHECK")),IF(AG172="","INFO",IF(ABS(AG172)&lt;=Inputs!$B$54,"OK","CHECK")))))</f>
        <v/>
      </c>
      <c r="AI172" s="11" t="str">
        <f t="shared" si="37"/>
        <v/>
      </c>
      <c r="AJ172" s="11" t="str">
        <f>IF(A172="","",IF(OR(AND(UPPER(TRIM(B172))="SWALE",UPPER(TRIM(AI172))="PIPE"),AND(UPPER(TRIM(B172))="TRENCH",UPPER(TRIM(AI172))="PIPE")),Inputs!$B$55,0))</f>
        <v/>
      </c>
      <c r="AK172" s="11" t="str">
        <f>IF(A172="","",IF(OR(AND(UPPER(TRIM(B172))="SWALE",UPPER(TRIM(AI172))="PIPE"),AND(UPPER(TRIM(B172))="TRENCH",UPPER(TRIM(AI172))="PIPE")),Inputs!$B$56,Inputs!$B$54))</f>
        <v/>
      </c>
      <c r="AL172" s="3" t="str">
        <f t="shared" si="38"/>
        <v/>
      </c>
    </row>
    <row r="173" spans="1:38" x14ac:dyDescent="0.25">
      <c r="A173" s="3"/>
      <c r="B173" s="3"/>
      <c r="C173" s="3"/>
      <c r="D173" s="3"/>
      <c r="E173" s="3"/>
      <c r="F173" s="8"/>
      <c r="G173" s="8"/>
      <c r="H173" s="8"/>
      <c r="I173" s="10" t="str">
        <f>IF(A173="","",IF(H173&lt;&gt;"",H173,IF(UPPER(TRIM(B173))="PIPE",Inputs!$B$7,IF(UPPER(TRIM(B173))="SWALE",Inputs!$B$8,Inputs!$B$9))))</f>
        <v/>
      </c>
      <c r="J173" s="8"/>
      <c r="K173" s="8"/>
      <c r="L173" s="8"/>
      <c r="M173" s="8"/>
      <c r="N173" s="8">
        <v>0</v>
      </c>
      <c r="O173" s="10" t="str">
        <f>IF(A173="","",SUMIFS(Zones_tributaires!$I:$I,Zones_tributaires!$J:$J,$A173))</f>
        <v/>
      </c>
      <c r="P173" s="10" t="str">
        <f t="shared" si="26"/>
        <v/>
      </c>
      <c r="Q173" s="10" t="str">
        <f>IF(A173="","",(O173+P173)*Inputs!$B$6)</f>
        <v/>
      </c>
      <c r="R173" s="10" t="str">
        <f t="shared" si="27"/>
        <v/>
      </c>
      <c r="S173" s="10" t="str">
        <f t="shared" si="28"/>
        <v/>
      </c>
      <c r="T173" s="10" t="str">
        <f t="shared" si="29"/>
        <v/>
      </c>
      <c r="U173" s="10" t="str">
        <f>IF(OR(T173="",Q173=""),"",Q173/(T173*Inputs!$B$19))</f>
        <v/>
      </c>
      <c r="V173" s="10" t="str">
        <f t="shared" si="30"/>
        <v/>
      </c>
      <c r="W173" s="10" t="str">
        <f t="shared" si="31"/>
        <v/>
      </c>
      <c r="X173" s="10" t="str">
        <f>IF(A173="","",IF(OR(UPPER(TRIM(Inputs!$B$15))="MANNING",UPPER(TRIM(Inputs!$B$15))="M"),W173,IF(OR(UPPER(TRIM(Inputs!$B$15))="MAX",UPPER(TRIM(Inputs!$B$15))="X"),MAX(V173,W173),V173)))</f>
        <v/>
      </c>
      <c r="Y173" s="10" t="str">
        <f t="shared" si="32"/>
        <v/>
      </c>
      <c r="Z173" s="10" t="str">
        <f t="shared" si="33"/>
        <v/>
      </c>
      <c r="AA173" s="3" t="str">
        <f>IF(A173="","",IF(OR(U173&gt;1,AND(X173&lt;&gt;"",X173&lt;Inputs!$B$16),AND(X173&lt;&gt;"",X173&gt;Inputs!$B$17),G173&lt;Inputs!$B$18,AH173="CHECK"),"CHECK","OK"))</f>
        <v/>
      </c>
      <c r="AB173" s="3"/>
      <c r="AC173" s="8"/>
      <c r="AD173" s="10" t="str">
        <f>IF(A173="","",IF(AC173&lt;&gt;"",AC173,IF(E173="",Inputs!$B$38,IFERROR(INDEX($AE$4:$AE$204,MATCH(E173,$A$4:$A$204,0))+IF(OR(AND(UPPER(TRIM(B173))="SWALE",UPPER(TRIM(AI173))="PIPE"),AND(UPPER(TRIM(B173))="TRENCH",UPPER(TRIM(AI173))="PIPE")),Inputs!$B$57,0),""))))</f>
        <v/>
      </c>
      <c r="AE173" s="10" t="str">
        <f t="shared" si="34"/>
        <v/>
      </c>
      <c r="AF173" s="10" t="str">
        <f t="shared" si="35"/>
        <v/>
      </c>
      <c r="AG173" s="10" t="str">
        <f t="shared" si="36"/>
        <v/>
      </c>
      <c r="AH173" s="3" t="str">
        <f>IF(A173="","",IF(E173="","TERMINAL",IF(OR(AND(UPPER(TRIM(B173))="SWALE",UPPER(TRIM(AI173))="PIPE"),AND(UPPER(TRIM(B173))="TRENCH",UPPER(TRIM(AI173))="PIPE")),IF(OR(AG173="",AJ173="",AK173=""),"INFO",IF(AND(AG173&gt;=AJ173,AG173&lt;=AK173),"OK","CHECK")),IF(AG173="","INFO",IF(ABS(AG173)&lt;=Inputs!$B$54,"OK","CHECK")))))</f>
        <v/>
      </c>
      <c r="AI173" s="11" t="str">
        <f t="shared" si="37"/>
        <v/>
      </c>
      <c r="AJ173" s="11" t="str">
        <f>IF(A173="","",IF(OR(AND(UPPER(TRIM(B173))="SWALE",UPPER(TRIM(AI173))="PIPE"),AND(UPPER(TRIM(B173))="TRENCH",UPPER(TRIM(AI173))="PIPE")),Inputs!$B$55,0))</f>
        <v/>
      </c>
      <c r="AK173" s="11" t="str">
        <f>IF(A173="","",IF(OR(AND(UPPER(TRIM(B173))="SWALE",UPPER(TRIM(AI173))="PIPE"),AND(UPPER(TRIM(B173))="TRENCH",UPPER(TRIM(AI173))="PIPE")),Inputs!$B$56,Inputs!$B$54))</f>
        <v/>
      </c>
      <c r="AL173" s="3" t="str">
        <f t="shared" si="38"/>
        <v/>
      </c>
    </row>
    <row r="174" spans="1:38" x14ac:dyDescent="0.25">
      <c r="A174" s="3"/>
      <c r="B174" s="3"/>
      <c r="C174" s="3"/>
      <c r="D174" s="3"/>
      <c r="E174" s="3"/>
      <c r="F174" s="8"/>
      <c r="G174" s="8"/>
      <c r="H174" s="8"/>
      <c r="I174" s="10" t="str">
        <f>IF(A174="","",IF(H174&lt;&gt;"",H174,IF(UPPER(TRIM(B174))="PIPE",Inputs!$B$7,IF(UPPER(TRIM(B174))="SWALE",Inputs!$B$8,Inputs!$B$9))))</f>
        <v/>
      </c>
      <c r="J174" s="8"/>
      <c r="K174" s="8"/>
      <c r="L174" s="8"/>
      <c r="M174" s="8"/>
      <c r="N174" s="8">
        <v>0</v>
      </c>
      <c r="O174" s="10" t="str">
        <f>IF(A174="","",SUMIFS(Zones_tributaires!$I:$I,Zones_tributaires!$J:$J,$A174))</f>
        <v/>
      </c>
      <c r="P174" s="10" t="str">
        <f t="shared" si="26"/>
        <v/>
      </c>
      <c r="Q174" s="10" t="str">
        <f>IF(A174="","",(O174+P174)*Inputs!$B$6)</f>
        <v/>
      </c>
      <c r="R174" s="10" t="str">
        <f t="shared" si="27"/>
        <v/>
      </c>
      <c r="S174" s="10" t="str">
        <f t="shared" si="28"/>
        <v/>
      </c>
      <c r="T174" s="10" t="str">
        <f t="shared" si="29"/>
        <v/>
      </c>
      <c r="U174" s="10" t="str">
        <f>IF(OR(T174="",Q174=""),"",Q174/(T174*Inputs!$B$19))</f>
        <v/>
      </c>
      <c r="V174" s="10" t="str">
        <f t="shared" si="30"/>
        <v/>
      </c>
      <c r="W174" s="10" t="str">
        <f t="shared" si="31"/>
        <v/>
      </c>
      <c r="X174" s="10" t="str">
        <f>IF(A174="","",IF(OR(UPPER(TRIM(Inputs!$B$15))="MANNING",UPPER(TRIM(Inputs!$B$15))="M"),W174,IF(OR(UPPER(TRIM(Inputs!$B$15))="MAX",UPPER(TRIM(Inputs!$B$15))="X"),MAX(V174,W174),V174)))</f>
        <v/>
      </c>
      <c r="Y174" s="10" t="str">
        <f t="shared" si="32"/>
        <v/>
      </c>
      <c r="Z174" s="10" t="str">
        <f t="shared" si="33"/>
        <v/>
      </c>
      <c r="AA174" s="3" t="str">
        <f>IF(A174="","",IF(OR(U174&gt;1,AND(X174&lt;&gt;"",X174&lt;Inputs!$B$16),AND(X174&lt;&gt;"",X174&gt;Inputs!$B$17),G174&lt;Inputs!$B$18,AH174="CHECK"),"CHECK","OK"))</f>
        <v/>
      </c>
      <c r="AB174" s="3"/>
      <c r="AC174" s="8"/>
      <c r="AD174" s="10" t="str">
        <f>IF(A174="","",IF(AC174&lt;&gt;"",AC174,IF(E174="",Inputs!$B$38,IFERROR(INDEX($AE$4:$AE$204,MATCH(E174,$A$4:$A$204,0))+IF(OR(AND(UPPER(TRIM(B174))="SWALE",UPPER(TRIM(AI174))="PIPE"),AND(UPPER(TRIM(B174))="TRENCH",UPPER(TRIM(AI174))="PIPE")),Inputs!$B$57,0),""))))</f>
        <v/>
      </c>
      <c r="AE174" s="10" t="str">
        <f t="shared" si="34"/>
        <v/>
      </c>
      <c r="AF174" s="10" t="str">
        <f t="shared" si="35"/>
        <v/>
      </c>
      <c r="AG174" s="10" t="str">
        <f t="shared" si="36"/>
        <v/>
      </c>
      <c r="AH174" s="3" t="str">
        <f>IF(A174="","",IF(E174="","TERMINAL",IF(OR(AND(UPPER(TRIM(B174))="SWALE",UPPER(TRIM(AI174))="PIPE"),AND(UPPER(TRIM(B174))="TRENCH",UPPER(TRIM(AI174))="PIPE")),IF(OR(AG174="",AJ174="",AK174=""),"INFO",IF(AND(AG174&gt;=AJ174,AG174&lt;=AK174),"OK","CHECK")),IF(AG174="","INFO",IF(ABS(AG174)&lt;=Inputs!$B$54,"OK","CHECK")))))</f>
        <v/>
      </c>
      <c r="AI174" s="11" t="str">
        <f t="shared" si="37"/>
        <v/>
      </c>
      <c r="AJ174" s="11" t="str">
        <f>IF(A174="","",IF(OR(AND(UPPER(TRIM(B174))="SWALE",UPPER(TRIM(AI174))="PIPE"),AND(UPPER(TRIM(B174))="TRENCH",UPPER(TRIM(AI174))="PIPE")),Inputs!$B$55,0))</f>
        <v/>
      </c>
      <c r="AK174" s="11" t="str">
        <f>IF(A174="","",IF(OR(AND(UPPER(TRIM(B174))="SWALE",UPPER(TRIM(AI174))="PIPE"),AND(UPPER(TRIM(B174))="TRENCH",UPPER(TRIM(AI174))="PIPE")),Inputs!$B$56,Inputs!$B$54))</f>
        <v/>
      </c>
      <c r="AL174" s="3" t="str">
        <f t="shared" si="38"/>
        <v/>
      </c>
    </row>
    <row r="175" spans="1:38" x14ac:dyDescent="0.25">
      <c r="A175" s="3"/>
      <c r="B175" s="3"/>
      <c r="C175" s="3"/>
      <c r="D175" s="3"/>
      <c r="E175" s="3"/>
      <c r="F175" s="8"/>
      <c r="G175" s="8"/>
      <c r="H175" s="8"/>
      <c r="I175" s="10" t="str">
        <f>IF(A175="","",IF(H175&lt;&gt;"",H175,IF(UPPER(TRIM(B175))="PIPE",Inputs!$B$7,IF(UPPER(TRIM(B175))="SWALE",Inputs!$B$8,Inputs!$B$9))))</f>
        <v/>
      </c>
      <c r="J175" s="8"/>
      <c r="K175" s="8"/>
      <c r="L175" s="8"/>
      <c r="M175" s="8"/>
      <c r="N175" s="8">
        <v>0</v>
      </c>
      <c r="O175" s="10" t="str">
        <f>IF(A175="","",SUMIFS(Zones_tributaires!$I:$I,Zones_tributaires!$J:$J,$A175))</f>
        <v/>
      </c>
      <c r="P175" s="10" t="str">
        <f t="shared" si="26"/>
        <v/>
      </c>
      <c r="Q175" s="10" t="str">
        <f>IF(A175="","",(O175+P175)*Inputs!$B$6)</f>
        <v/>
      </c>
      <c r="R175" s="10" t="str">
        <f t="shared" si="27"/>
        <v/>
      </c>
      <c r="S175" s="10" t="str">
        <f t="shared" si="28"/>
        <v/>
      </c>
      <c r="T175" s="10" t="str">
        <f t="shared" si="29"/>
        <v/>
      </c>
      <c r="U175" s="10" t="str">
        <f>IF(OR(T175="",Q175=""),"",Q175/(T175*Inputs!$B$19))</f>
        <v/>
      </c>
      <c r="V175" s="10" t="str">
        <f t="shared" si="30"/>
        <v/>
      </c>
      <c r="W175" s="10" t="str">
        <f t="shared" si="31"/>
        <v/>
      </c>
      <c r="X175" s="10" t="str">
        <f>IF(A175="","",IF(OR(UPPER(TRIM(Inputs!$B$15))="MANNING",UPPER(TRIM(Inputs!$B$15))="M"),W175,IF(OR(UPPER(TRIM(Inputs!$B$15))="MAX",UPPER(TRIM(Inputs!$B$15))="X"),MAX(V175,W175),V175)))</f>
        <v/>
      </c>
      <c r="Y175" s="10" t="str">
        <f t="shared" si="32"/>
        <v/>
      </c>
      <c r="Z175" s="10" t="str">
        <f t="shared" si="33"/>
        <v/>
      </c>
      <c r="AA175" s="3" t="str">
        <f>IF(A175="","",IF(OR(U175&gt;1,AND(X175&lt;&gt;"",X175&lt;Inputs!$B$16),AND(X175&lt;&gt;"",X175&gt;Inputs!$B$17),G175&lt;Inputs!$B$18,AH175="CHECK"),"CHECK","OK"))</f>
        <v/>
      </c>
      <c r="AB175" s="3"/>
      <c r="AC175" s="8"/>
      <c r="AD175" s="10" t="str">
        <f>IF(A175="","",IF(AC175&lt;&gt;"",AC175,IF(E175="",Inputs!$B$38,IFERROR(INDEX($AE$4:$AE$204,MATCH(E175,$A$4:$A$204,0))+IF(OR(AND(UPPER(TRIM(B175))="SWALE",UPPER(TRIM(AI175))="PIPE"),AND(UPPER(TRIM(B175))="TRENCH",UPPER(TRIM(AI175))="PIPE")),Inputs!$B$57,0),""))))</f>
        <v/>
      </c>
      <c r="AE175" s="10" t="str">
        <f t="shared" si="34"/>
        <v/>
      </c>
      <c r="AF175" s="10" t="str">
        <f t="shared" si="35"/>
        <v/>
      </c>
      <c r="AG175" s="10" t="str">
        <f t="shared" si="36"/>
        <v/>
      </c>
      <c r="AH175" s="3" t="str">
        <f>IF(A175="","",IF(E175="","TERMINAL",IF(OR(AND(UPPER(TRIM(B175))="SWALE",UPPER(TRIM(AI175))="PIPE"),AND(UPPER(TRIM(B175))="TRENCH",UPPER(TRIM(AI175))="PIPE")),IF(OR(AG175="",AJ175="",AK175=""),"INFO",IF(AND(AG175&gt;=AJ175,AG175&lt;=AK175),"OK","CHECK")),IF(AG175="","INFO",IF(ABS(AG175)&lt;=Inputs!$B$54,"OK","CHECK")))))</f>
        <v/>
      </c>
      <c r="AI175" s="11" t="str">
        <f t="shared" si="37"/>
        <v/>
      </c>
      <c r="AJ175" s="11" t="str">
        <f>IF(A175="","",IF(OR(AND(UPPER(TRIM(B175))="SWALE",UPPER(TRIM(AI175))="PIPE"),AND(UPPER(TRIM(B175))="TRENCH",UPPER(TRIM(AI175))="PIPE")),Inputs!$B$55,0))</f>
        <v/>
      </c>
      <c r="AK175" s="11" t="str">
        <f>IF(A175="","",IF(OR(AND(UPPER(TRIM(B175))="SWALE",UPPER(TRIM(AI175))="PIPE"),AND(UPPER(TRIM(B175))="TRENCH",UPPER(TRIM(AI175))="PIPE")),Inputs!$B$56,Inputs!$B$54))</f>
        <v/>
      </c>
      <c r="AL175" s="3" t="str">
        <f t="shared" si="38"/>
        <v/>
      </c>
    </row>
    <row r="176" spans="1:38" x14ac:dyDescent="0.25">
      <c r="A176" s="3"/>
      <c r="B176" s="3"/>
      <c r="C176" s="3"/>
      <c r="D176" s="3"/>
      <c r="E176" s="3"/>
      <c r="F176" s="8"/>
      <c r="G176" s="8"/>
      <c r="H176" s="8"/>
      <c r="I176" s="10" t="str">
        <f>IF(A176="","",IF(H176&lt;&gt;"",H176,IF(UPPER(TRIM(B176))="PIPE",Inputs!$B$7,IF(UPPER(TRIM(B176))="SWALE",Inputs!$B$8,Inputs!$B$9))))</f>
        <v/>
      </c>
      <c r="J176" s="8"/>
      <c r="K176" s="8"/>
      <c r="L176" s="8"/>
      <c r="M176" s="8"/>
      <c r="N176" s="8">
        <v>0</v>
      </c>
      <c r="O176" s="10" t="str">
        <f>IF(A176="","",SUMIFS(Zones_tributaires!$I:$I,Zones_tributaires!$J:$J,$A176))</f>
        <v/>
      </c>
      <c r="P176" s="10" t="str">
        <f t="shared" si="26"/>
        <v/>
      </c>
      <c r="Q176" s="10" t="str">
        <f>IF(A176="","",(O176+P176)*Inputs!$B$6)</f>
        <v/>
      </c>
      <c r="R176" s="10" t="str">
        <f t="shared" si="27"/>
        <v/>
      </c>
      <c r="S176" s="10" t="str">
        <f t="shared" si="28"/>
        <v/>
      </c>
      <c r="T176" s="10" t="str">
        <f t="shared" si="29"/>
        <v/>
      </c>
      <c r="U176" s="10" t="str">
        <f>IF(OR(T176="",Q176=""),"",Q176/(T176*Inputs!$B$19))</f>
        <v/>
      </c>
      <c r="V176" s="10" t="str">
        <f t="shared" si="30"/>
        <v/>
      </c>
      <c r="W176" s="10" t="str">
        <f t="shared" si="31"/>
        <v/>
      </c>
      <c r="X176" s="10" t="str">
        <f>IF(A176="","",IF(OR(UPPER(TRIM(Inputs!$B$15))="MANNING",UPPER(TRIM(Inputs!$B$15))="M"),W176,IF(OR(UPPER(TRIM(Inputs!$B$15))="MAX",UPPER(TRIM(Inputs!$B$15))="X"),MAX(V176,W176),V176)))</f>
        <v/>
      </c>
      <c r="Y176" s="10" t="str">
        <f t="shared" si="32"/>
        <v/>
      </c>
      <c r="Z176" s="10" t="str">
        <f t="shared" si="33"/>
        <v/>
      </c>
      <c r="AA176" s="3" t="str">
        <f>IF(A176="","",IF(OR(U176&gt;1,AND(X176&lt;&gt;"",X176&lt;Inputs!$B$16),AND(X176&lt;&gt;"",X176&gt;Inputs!$B$17),G176&lt;Inputs!$B$18,AH176="CHECK"),"CHECK","OK"))</f>
        <v/>
      </c>
      <c r="AB176" s="3"/>
      <c r="AC176" s="8"/>
      <c r="AD176" s="10" t="str">
        <f>IF(A176="","",IF(AC176&lt;&gt;"",AC176,IF(E176="",Inputs!$B$38,IFERROR(INDEX($AE$4:$AE$204,MATCH(E176,$A$4:$A$204,0))+IF(OR(AND(UPPER(TRIM(B176))="SWALE",UPPER(TRIM(AI176))="PIPE"),AND(UPPER(TRIM(B176))="TRENCH",UPPER(TRIM(AI176))="PIPE")),Inputs!$B$57,0),""))))</f>
        <v/>
      </c>
      <c r="AE176" s="10" t="str">
        <f t="shared" si="34"/>
        <v/>
      </c>
      <c r="AF176" s="10" t="str">
        <f t="shared" si="35"/>
        <v/>
      </c>
      <c r="AG176" s="10" t="str">
        <f t="shared" si="36"/>
        <v/>
      </c>
      <c r="AH176" s="3" t="str">
        <f>IF(A176="","",IF(E176="","TERMINAL",IF(OR(AND(UPPER(TRIM(B176))="SWALE",UPPER(TRIM(AI176))="PIPE"),AND(UPPER(TRIM(B176))="TRENCH",UPPER(TRIM(AI176))="PIPE")),IF(OR(AG176="",AJ176="",AK176=""),"INFO",IF(AND(AG176&gt;=AJ176,AG176&lt;=AK176),"OK","CHECK")),IF(AG176="","INFO",IF(ABS(AG176)&lt;=Inputs!$B$54,"OK","CHECK")))))</f>
        <v/>
      </c>
      <c r="AI176" s="11" t="str">
        <f t="shared" si="37"/>
        <v/>
      </c>
      <c r="AJ176" s="11" t="str">
        <f>IF(A176="","",IF(OR(AND(UPPER(TRIM(B176))="SWALE",UPPER(TRIM(AI176))="PIPE"),AND(UPPER(TRIM(B176))="TRENCH",UPPER(TRIM(AI176))="PIPE")),Inputs!$B$55,0))</f>
        <v/>
      </c>
      <c r="AK176" s="11" t="str">
        <f>IF(A176="","",IF(OR(AND(UPPER(TRIM(B176))="SWALE",UPPER(TRIM(AI176))="PIPE"),AND(UPPER(TRIM(B176))="TRENCH",UPPER(TRIM(AI176))="PIPE")),Inputs!$B$56,Inputs!$B$54))</f>
        <v/>
      </c>
      <c r="AL176" s="3" t="str">
        <f t="shared" si="38"/>
        <v/>
      </c>
    </row>
    <row r="177" spans="1:38" x14ac:dyDescent="0.25">
      <c r="A177" s="3"/>
      <c r="B177" s="3"/>
      <c r="C177" s="3"/>
      <c r="D177" s="3"/>
      <c r="E177" s="3"/>
      <c r="F177" s="8"/>
      <c r="G177" s="8"/>
      <c r="H177" s="8"/>
      <c r="I177" s="10" t="str">
        <f>IF(A177="","",IF(H177&lt;&gt;"",H177,IF(UPPER(TRIM(B177))="PIPE",Inputs!$B$7,IF(UPPER(TRIM(B177))="SWALE",Inputs!$B$8,Inputs!$B$9))))</f>
        <v/>
      </c>
      <c r="J177" s="8"/>
      <c r="K177" s="8"/>
      <c r="L177" s="8"/>
      <c r="M177" s="8"/>
      <c r="N177" s="8">
        <v>0</v>
      </c>
      <c r="O177" s="10" t="str">
        <f>IF(A177="","",SUMIFS(Zones_tributaires!$I:$I,Zones_tributaires!$J:$J,$A177))</f>
        <v/>
      </c>
      <c r="P177" s="10" t="str">
        <f t="shared" si="26"/>
        <v/>
      </c>
      <c r="Q177" s="10" t="str">
        <f>IF(A177="","",(O177+P177)*Inputs!$B$6)</f>
        <v/>
      </c>
      <c r="R177" s="10" t="str">
        <f t="shared" si="27"/>
        <v/>
      </c>
      <c r="S177" s="10" t="str">
        <f t="shared" si="28"/>
        <v/>
      </c>
      <c r="T177" s="10" t="str">
        <f t="shared" si="29"/>
        <v/>
      </c>
      <c r="U177" s="10" t="str">
        <f>IF(OR(T177="",Q177=""),"",Q177/(T177*Inputs!$B$19))</f>
        <v/>
      </c>
      <c r="V177" s="10" t="str">
        <f t="shared" si="30"/>
        <v/>
      </c>
      <c r="W177" s="10" t="str">
        <f t="shared" si="31"/>
        <v/>
      </c>
      <c r="X177" s="10" t="str">
        <f>IF(A177="","",IF(OR(UPPER(TRIM(Inputs!$B$15))="MANNING",UPPER(TRIM(Inputs!$B$15))="M"),W177,IF(OR(UPPER(TRIM(Inputs!$B$15))="MAX",UPPER(TRIM(Inputs!$B$15))="X"),MAX(V177,W177),V177)))</f>
        <v/>
      </c>
      <c r="Y177" s="10" t="str">
        <f t="shared" si="32"/>
        <v/>
      </c>
      <c r="Z177" s="10" t="str">
        <f t="shared" si="33"/>
        <v/>
      </c>
      <c r="AA177" s="3" t="str">
        <f>IF(A177="","",IF(OR(U177&gt;1,AND(X177&lt;&gt;"",X177&lt;Inputs!$B$16),AND(X177&lt;&gt;"",X177&gt;Inputs!$B$17),G177&lt;Inputs!$B$18,AH177="CHECK"),"CHECK","OK"))</f>
        <v/>
      </c>
      <c r="AB177" s="3"/>
      <c r="AC177" s="8"/>
      <c r="AD177" s="10" t="str">
        <f>IF(A177="","",IF(AC177&lt;&gt;"",AC177,IF(E177="",Inputs!$B$38,IFERROR(INDEX($AE$4:$AE$204,MATCH(E177,$A$4:$A$204,0))+IF(OR(AND(UPPER(TRIM(B177))="SWALE",UPPER(TRIM(AI177))="PIPE"),AND(UPPER(TRIM(B177))="TRENCH",UPPER(TRIM(AI177))="PIPE")),Inputs!$B$57,0),""))))</f>
        <v/>
      </c>
      <c r="AE177" s="10" t="str">
        <f t="shared" si="34"/>
        <v/>
      </c>
      <c r="AF177" s="10" t="str">
        <f t="shared" si="35"/>
        <v/>
      </c>
      <c r="AG177" s="10" t="str">
        <f t="shared" si="36"/>
        <v/>
      </c>
      <c r="AH177" s="3" t="str">
        <f>IF(A177="","",IF(E177="","TERMINAL",IF(OR(AND(UPPER(TRIM(B177))="SWALE",UPPER(TRIM(AI177))="PIPE"),AND(UPPER(TRIM(B177))="TRENCH",UPPER(TRIM(AI177))="PIPE")),IF(OR(AG177="",AJ177="",AK177=""),"INFO",IF(AND(AG177&gt;=AJ177,AG177&lt;=AK177),"OK","CHECK")),IF(AG177="","INFO",IF(ABS(AG177)&lt;=Inputs!$B$54,"OK","CHECK")))))</f>
        <v/>
      </c>
      <c r="AI177" s="11" t="str">
        <f t="shared" si="37"/>
        <v/>
      </c>
      <c r="AJ177" s="11" t="str">
        <f>IF(A177="","",IF(OR(AND(UPPER(TRIM(B177))="SWALE",UPPER(TRIM(AI177))="PIPE"),AND(UPPER(TRIM(B177))="TRENCH",UPPER(TRIM(AI177))="PIPE")),Inputs!$B$55,0))</f>
        <v/>
      </c>
      <c r="AK177" s="11" t="str">
        <f>IF(A177="","",IF(OR(AND(UPPER(TRIM(B177))="SWALE",UPPER(TRIM(AI177))="PIPE"),AND(UPPER(TRIM(B177))="TRENCH",UPPER(TRIM(AI177))="PIPE")),Inputs!$B$56,Inputs!$B$54))</f>
        <v/>
      </c>
      <c r="AL177" s="3" t="str">
        <f t="shared" si="38"/>
        <v/>
      </c>
    </row>
    <row r="178" spans="1:38" x14ac:dyDescent="0.25">
      <c r="A178" s="3"/>
      <c r="B178" s="3"/>
      <c r="C178" s="3"/>
      <c r="D178" s="3"/>
      <c r="E178" s="3"/>
      <c r="F178" s="8"/>
      <c r="G178" s="8"/>
      <c r="H178" s="8"/>
      <c r="I178" s="10" t="str">
        <f>IF(A178="","",IF(H178&lt;&gt;"",H178,IF(UPPER(TRIM(B178))="PIPE",Inputs!$B$7,IF(UPPER(TRIM(B178))="SWALE",Inputs!$B$8,Inputs!$B$9))))</f>
        <v/>
      </c>
      <c r="J178" s="8"/>
      <c r="K178" s="8"/>
      <c r="L178" s="8"/>
      <c r="M178" s="8"/>
      <c r="N178" s="8">
        <v>0</v>
      </c>
      <c r="O178" s="10" t="str">
        <f>IF(A178="","",SUMIFS(Zones_tributaires!$I:$I,Zones_tributaires!$J:$J,$A178))</f>
        <v/>
      </c>
      <c r="P178" s="10" t="str">
        <f t="shared" si="26"/>
        <v/>
      </c>
      <c r="Q178" s="10" t="str">
        <f>IF(A178="","",(O178+P178)*Inputs!$B$6)</f>
        <v/>
      </c>
      <c r="R178" s="10" t="str">
        <f t="shared" si="27"/>
        <v/>
      </c>
      <c r="S178" s="10" t="str">
        <f t="shared" si="28"/>
        <v/>
      </c>
      <c r="T178" s="10" t="str">
        <f t="shared" si="29"/>
        <v/>
      </c>
      <c r="U178" s="10" t="str">
        <f>IF(OR(T178="",Q178=""),"",Q178/(T178*Inputs!$B$19))</f>
        <v/>
      </c>
      <c r="V178" s="10" t="str">
        <f t="shared" si="30"/>
        <v/>
      </c>
      <c r="W178" s="10" t="str">
        <f t="shared" si="31"/>
        <v/>
      </c>
      <c r="X178" s="10" t="str">
        <f>IF(A178="","",IF(OR(UPPER(TRIM(Inputs!$B$15))="MANNING",UPPER(TRIM(Inputs!$B$15))="M"),W178,IF(OR(UPPER(TRIM(Inputs!$B$15))="MAX",UPPER(TRIM(Inputs!$B$15))="X"),MAX(V178,W178),V178)))</f>
        <v/>
      </c>
      <c r="Y178" s="10" t="str">
        <f t="shared" si="32"/>
        <v/>
      </c>
      <c r="Z178" s="10" t="str">
        <f t="shared" si="33"/>
        <v/>
      </c>
      <c r="AA178" s="3" t="str">
        <f>IF(A178="","",IF(OR(U178&gt;1,AND(X178&lt;&gt;"",X178&lt;Inputs!$B$16),AND(X178&lt;&gt;"",X178&gt;Inputs!$B$17),G178&lt;Inputs!$B$18,AH178="CHECK"),"CHECK","OK"))</f>
        <v/>
      </c>
      <c r="AB178" s="3"/>
      <c r="AC178" s="8"/>
      <c r="AD178" s="10" t="str">
        <f>IF(A178="","",IF(AC178&lt;&gt;"",AC178,IF(E178="",Inputs!$B$38,IFERROR(INDEX($AE$4:$AE$204,MATCH(E178,$A$4:$A$204,0))+IF(OR(AND(UPPER(TRIM(B178))="SWALE",UPPER(TRIM(AI178))="PIPE"),AND(UPPER(TRIM(B178))="TRENCH",UPPER(TRIM(AI178))="PIPE")),Inputs!$B$57,0),""))))</f>
        <v/>
      </c>
      <c r="AE178" s="10" t="str">
        <f t="shared" si="34"/>
        <v/>
      </c>
      <c r="AF178" s="10" t="str">
        <f t="shared" si="35"/>
        <v/>
      </c>
      <c r="AG178" s="10" t="str">
        <f t="shared" si="36"/>
        <v/>
      </c>
      <c r="AH178" s="3" t="str">
        <f>IF(A178="","",IF(E178="","TERMINAL",IF(OR(AND(UPPER(TRIM(B178))="SWALE",UPPER(TRIM(AI178))="PIPE"),AND(UPPER(TRIM(B178))="TRENCH",UPPER(TRIM(AI178))="PIPE")),IF(OR(AG178="",AJ178="",AK178=""),"INFO",IF(AND(AG178&gt;=AJ178,AG178&lt;=AK178),"OK","CHECK")),IF(AG178="","INFO",IF(ABS(AG178)&lt;=Inputs!$B$54,"OK","CHECK")))))</f>
        <v/>
      </c>
      <c r="AI178" s="11" t="str">
        <f t="shared" si="37"/>
        <v/>
      </c>
      <c r="AJ178" s="11" t="str">
        <f>IF(A178="","",IF(OR(AND(UPPER(TRIM(B178))="SWALE",UPPER(TRIM(AI178))="PIPE"),AND(UPPER(TRIM(B178))="TRENCH",UPPER(TRIM(AI178))="PIPE")),Inputs!$B$55,0))</f>
        <v/>
      </c>
      <c r="AK178" s="11" t="str">
        <f>IF(A178="","",IF(OR(AND(UPPER(TRIM(B178))="SWALE",UPPER(TRIM(AI178))="PIPE"),AND(UPPER(TRIM(B178))="TRENCH",UPPER(TRIM(AI178))="PIPE")),Inputs!$B$56,Inputs!$B$54))</f>
        <v/>
      </c>
      <c r="AL178" s="3" t="str">
        <f t="shared" si="38"/>
        <v/>
      </c>
    </row>
    <row r="179" spans="1:38" x14ac:dyDescent="0.25">
      <c r="A179" s="3"/>
      <c r="B179" s="3"/>
      <c r="C179" s="3"/>
      <c r="D179" s="3"/>
      <c r="E179" s="3"/>
      <c r="F179" s="8"/>
      <c r="G179" s="8"/>
      <c r="H179" s="8"/>
      <c r="I179" s="10" t="str">
        <f>IF(A179="","",IF(H179&lt;&gt;"",H179,IF(UPPER(TRIM(B179))="PIPE",Inputs!$B$7,IF(UPPER(TRIM(B179))="SWALE",Inputs!$B$8,Inputs!$B$9))))</f>
        <v/>
      </c>
      <c r="J179" s="8"/>
      <c r="K179" s="8"/>
      <c r="L179" s="8"/>
      <c r="M179" s="8"/>
      <c r="N179" s="8">
        <v>0</v>
      </c>
      <c r="O179" s="10" t="str">
        <f>IF(A179="","",SUMIFS(Zones_tributaires!$I:$I,Zones_tributaires!$J:$J,$A179))</f>
        <v/>
      </c>
      <c r="P179" s="10" t="str">
        <f t="shared" si="26"/>
        <v/>
      </c>
      <c r="Q179" s="10" t="str">
        <f>IF(A179="","",(O179+P179)*Inputs!$B$6)</f>
        <v/>
      </c>
      <c r="R179" s="10" t="str">
        <f t="shared" si="27"/>
        <v/>
      </c>
      <c r="S179" s="10" t="str">
        <f t="shared" si="28"/>
        <v/>
      </c>
      <c r="T179" s="10" t="str">
        <f t="shared" si="29"/>
        <v/>
      </c>
      <c r="U179" s="10" t="str">
        <f>IF(OR(T179="",Q179=""),"",Q179/(T179*Inputs!$B$19))</f>
        <v/>
      </c>
      <c r="V179" s="10" t="str">
        <f t="shared" si="30"/>
        <v/>
      </c>
      <c r="W179" s="10" t="str">
        <f t="shared" si="31"/>
        <v/>
      </c>
      <c r="X179" s="10" t="str">
        <f>IF(A179="","",IF(OR(UPPER(TRIM(Inputs!$B$15))="MANNING",UPPER(TRIM(Inputs!$B$15))="M"),W179,IF(OR(UPPER(TRIM(Inputs!$B$15))="MAX",UPPER(TRIM(Inputs!$B$15))="X"),MAX(V179,W179),V179)))</f>
        <v/>
      </c>
      <c r="Y179" s="10" t="str">
        <f t="shared" si="32"/>
        <v/>
      </c>
      <c r="Z179" s="10" t="str">
        <f t="shared" si="33"/>
        <v/>
      </c>
      <c r="AA179" s="3" t="str">
        <f>IF(A179="","",IF(OR(U179&gt;1,AND(X179&lt;&gt;"",X179&lt;Inputs!$B$16),AND(X179&lt;&gt;"",X179&gt;Inputs!$B$17),G179&lt;Inputs!$B$18,AH179="CHECK"),"CHECK","OK"))</f>
        <v/>
      </c>
      <c r="AB179" s="3"/>
      <c r="AC179" s="8"/>
      <c r="AD179" s="10" t="str">
        <f>IF(A179="","",IF(AC179&lt;&gt;"",AC179,IF(E179="",Inputs!$B$38,IFERROR(INDEX($AE$4:$AE$204,MATCH(E179,$A$4:$A$204,0))+IF(OR(AND(UPPER(TRIM(B179))="SWALE",UPPER(TRIM(AI179))="PIPE"),AND(UPPER(TRIM(B179))="TRENCH",UPPER(TRIM(AI179))="PIPE")),Inputs!$B$57,0),""))))</f>
        <v/>
      </c>
      <c r="AE179" s="10" t="str">
        <f t="shared" si="34"/>
        <v/>
      </c>
      <c r="AF179" s="10" t="str">
        <f t="shared" si="35"/>
        <v/>
      </c>
      <c r="AG179" s="10" t="str">
        <f t="shared" si="36"/>
        <v/>
      </c>
      <c r="AH179" s="3" t="str">
        <f>IF(A179="","",IF(E179="","TERMINAL",IF(OR(AND(UPPER(TRIM(B179))="SWALE",UPPER(TRIM(AI179))="PIPE"),AND(UPPER(TRIM(B179))="TRENCH",UPPER(TRIM(AI179))="PIPE")),IF(OR(AG179="",AJ179="",AK179=""),"INFO",IF(AND(AG179&gt;=AJ179,AG179&lt;=AK179),"OK","CHECK")),IF(AG179="","INFO",IF(ABS(AG179)&lt;=Inputs!$B$54,"OK","CHECK")))))</f>
        <v/>
      </c>
      <c r="AI179" s="11" t="str">
        <f t="shared" si="37"/>
        <v/>
      </c>
      <c r="AJ179" s="11" t="str">
        <f>IF(A179="","",IF(OR(AND(UPPER(TRIM(B179))="SWALE",UPPER(TRIM(AI179))="PIPE"),AND(UPPER(TRIM(B179))="TRENCH",UPPER(TRIM(AI179))="PIPE")),Inputs!$B$55,0))</f>
        <v/>
      </c>
      <c r="AK179" s="11" t="str">
        <f>IF(A179="","",IF(OR(AND(UPPER(TRIM(B179))="SWALE",UPPER(TRIM(AI179))="PIPE"),AND(UPPER(TRIM(B179))="TRENCH",UPPER(TRIM(AI179))="PIPE")),Inputs!$B$56,Inputs!$B$54))</f>
        <v/>
      </c>
      <c r="AL179" s="3" t="str">
        <f t="shared" si="38"/>
        <v/>
      </c>
    </row>
    <row r="180" spans="1:38" x14ac:dyDescent="0.25">
      <c r="A180" s="3"/>
      <c r="B180" s="3"/>
      <c r="C180" s="3"/>
      <c r="D180" s="3"/>
      <c r="E180" s="3"/>
      <c r="F180" s="8"/>
      <c r="G180" s="8"/>
      <c r="H180" s="8"/>
      <c r="I180" s="10" t="str">
        <f>IF(A180="","",IF(H180&lt;&gt;"",H180,IF(UPPER(TRIM(B180))="PIPE",Inputs!$B$7,IF(UPPER(TRIM(B180))="SWALE",Inputs!$B$8,Inputs!$B$9))))</f>
        <v/>
      </c>
      <c r="J180" s="8"/>
      <c r="K180" s="8"/>
      <c r="L180" s="8"/>
      <c r="M180" s="8"/>
      <c r="N180" s="8">
        <v>0</v>
      </c>
      <c r="O180" s="10" t="str">
        <f>IF(A180="","",SUMIFS(Zones_tributaires!$I:$I,Zones_tributaires!$J:$J,$A180))</f>
        <v/>
      </c>
      <c r="P180" s="10" t="str">
        <f t="shared" si="26"/>
        <v/>
      </c>
      <c r="Q180" s="10" t="str">
        <f>IF(A180="","",(O180+P180)*Inputs!$B$6)</f>
        <v/>
      </c>
      <c r="R180" s="10" t="str">
        <f t="shared" si="27"/>
        <v/>
      </c>
      <c r="S180" s="10" t="str">
        <f t="shared" si="28"/>
        <v/>
      </c>
      <c r="T180" s="10" t="str">
        <f t="shared" si="29"/>
        <v/>
      </c>
      <c r="U180" s="10" t="str">
        <f>IF(OR(T180="",Q180=""),"",Q180/(T180*Inputs!$B$19))</f>
        <v/>
      </c>
      <c r="V180" s="10" t="str">
        <f t="shared" si="30"/>
        <v/>
      </c>
      <c r="W180" s="10" t="str">
        <f t="shared" si="31"/>
        <v/>
      </c>
      <c r="X180" s="10" t="str">
        <f>IF(A180="","",IF(OR(UPPER(TRIM(Inputs!$B$15))="MANNING",UPPER(TRIM(Inputs!$B$15))="M"),W180,IF(OR(UPPER(TRIM(Inputs!$B$15))="MAX",UPPER(TRIM(Inputs!$B$15))="X"),MAX(V180,W180),V180)))</f>
        <v/>
      </c>
      <c r="Y180" s="10" t="str">
        <f t="shared" si="32"/>
        <v/>
      </c>
      <c r="Z180" s="10" t="str">
        <f t="shared" si="33"/>
        <v/>
      </c>
      <c r="AA180" s="3" t="str">
        <f>IF(A180="","",IF(OR(U180&gt;1,AND(X180&lt;&gt;"",X180&lt;Inputs!$B$16),AND(X180&lt;&gt;"",X180&gt;Inputs!$B$17),G180&lt;Inputs!$B$18,AH180="CHECK"),"CHECK","OK"))</f>
        <v/>
      </c>
      <c r="AB180" s="3"/>
      <c r="AC180" s="8"/>
      <c r="AD180" s="10" t="str">
        <f>IF(A180="","",IF(AC180&lt;&gt;"",AC180,IF(E180="",Inputs!$B$38,IFERROR(INDEX($AE$4:$AE$204,MATCH(E180,$A$4:$A$204,0))+IF(OR(AND(UPPER(TRIM(B180))="SWALE",UPPER(TRIM(AI180))="PIPE"),AND(UPPER(TRIM(B180))="TRENCH",UPPER(TRIM(AI180))="PIPE")),Inputs!$B$57,0),""))))</f>
        <v/>
      </c>
      <c r="AE180" s="10" t="str">
        <f t="shared" si="34"/>
        <v/>
      </c>
      <c r="AF180" s="10" t="str">
        <f t="shared" si="35"/>
        <v/>
      </c>
      <c r="AG180" s="10" t="str">
        <f t="shared" si="36"/>
        <v/>
      </c>
      <c r="AH180" s="3" t="str">
        <f>IF(A180="","",IF(E180="","TERMINAL",IF(OR(AND(UPPER(TRIM(B180))="SWALE",UPPER(TRIM(AI180))="PIPE"),AND(UPPER(TRIM(B180))="TRENCH",UPPER(TRIM(AI180))="PIPE")),IF(OR(AG180="",AJ180="",AK180=""),"INFO",IF(AND(AG180&gt;=AJ180,AG180&lt;=AK180),"OK","CHECK")),IF(AG180="","INFO",IF(ABS(AG180)&lt;=Inputs!$B$54,"OK","CHECK")))))</f>
        <v/>
      </c>
      <c r="AI180" s="11" t="str">
        <f t="shared" si="37"/>
        <v/>
      </c>
      <c r="AJ180" s="11" t="str">
        <f>IF(A180="","",IF(OR(AND(UPPER(TRIM(B180))="SWALE",UPPER(TRIM(AI180))="PIPE"),AND(UPPER(TRIM(B180))="TRENCH",UPPER(TRIM(AI180))="PIPE")),Inputs!$B$55,0))</f>
        <v/>
      </c>
      <c r="AK180" s="11" t="str">
        <f>IF(A180="","",IF(OR(AND(UPPER(TRIM(B180))="SWALE",UPPER(TRIM(AI180))="PIPE"),AND(UPPER(TRIM(B180))="TRENCH",UPPER(TRIM(AI180))="PIPE")),Inputs!$B$56,Inputs!$B$54))</f>
        <v/>
      </c>
      <c r="AL180" s="3" t="str">
        <f t="shared" si="38"/>
        <v/>
      </c>
    </row>
    <row r="181" spans="1:38" x14ac:dyDescent="0.25">
      <c r="A181" s="3"/>
      <c r="B181" s="3"/>
      <c r="C181" s="3"/>
      <c r="D181" s="3"/>
      <c r="E181" s="3"/>
      <c r="F181" s="8"/>
      <c r="G181" s="8"/>
      <c r="H181" s="8"/>
      <c r="I181" s="10" t="str">
        <f>IF(A181="","",IF(H181&lt;&gt;"",H181,IF(UPPER(TRIM(B181))="PIPE",Inputs!$B$7,IF(UPPER(TRIM(B181))="SWALE",Inputs!$B$8,Inputs!$B$9))))</f>
        <v/>
      </c>
      <c r="J181" s="8"/>
      <c r="K181" s="8"/>
      <c r="L181" s="8"/>
      <c r="M181" s="8"/>
      <c r="N181" s="8">
        <v>0</v>
      </c>
      <c r="O181" s="10" t="str">
        <f>IF(A181="","",SUMIFS(Zones_tributaires!$I:$I,Zones_tributaires!$J:$J,$A181))</f>
        <v/>
      </c>
      <c r="P181" s="10" t="str">
        <f t="shared" si="26"/>
        <v/>
      </c>
      <c r="Q181" s="10" t="str">
        <f>IF(A181="","",(O181+P181)*Inputs!$B$6)</f>
        <v/>
      </c>
      <c r="R181" s="10" t="str">
        <f t="shared" si="27"/>
        <v/>
      </c>
      <c r="S181" s="10" t="str">
        <f t="shared" si="28"/>
        <v/>
      </c>
      <c r="T181" s="10" t="str">
        <f t="shared" si="29"/>
        <v/>
      </c>
      <c r="U181" s="10" t="str">
        <f>IF(OR(T181="",Q181=""),"",Q181/(T181*Inputs!$B$19))</f>
        <v/>
      </c>
      <c r="V181" s="10" t="str">
        <f t="shared" si="30"/>
        <v/>
      </c>
      <c r="W181" s="10" t="str">
        <f t="shared" si="31"/>
        <v/>
      </c>
      <c r="X181" s="10" t="str">
        <f>IF(A181="","",IF(OR(UPPER(TRIM(Inputs!$B$15))="MANNING",UPPER(TRIM(Inputs!$B$15))="M"),W181,IF(OR(UPPER(TRIM(Inputs!$B$15))="MAX",UPPER(TRIM(Inputs!$B$15))="X"),MAX(V181,W181),V181)))</f>
        <v/>
      </c>
      <c r="Y181" s="10" t="str">
        <f t="shared" si="32"/>
        <v/>
      </c>
      <c r="Z181" s="10" t="str">
        <f t="shared" si="33"/>
        <v/>
      </c>
      <c r="AA181" s="3" t="str">
        <f>IF(A181="","",IF(OR(U181&gt;1,AND(X181&lt;&gt;"",X181&lt;Inputs!$B$16),AND(X181&lt;&gt;"",X181&gt;Inputs!$B$17),G181&lt;Inputs!$B$18,AH181="CHECK"),"CHECK","OK"))</f>
        <v/>
      </c>
      <c r="AB181" s="3"/>
      <c r="AC181" s="8"/>
      <c r="AD181" s="10" t="str">
        <f>IF(A181="","",IF(AC181&lt;&gt;"",AC181,IF(E181="",Inputs!$B$38,IFERROR(INDEX($AE$4:$AE$204,MATCH(E181,$A$4:$A$204,0))+IF(OR(AND(UPPER(TRIM(B181))="SWALE",UPPER(TRIM(AI181))="PIPE"),AND(UPPER(TRIM(B181))="TRENCH",UPPER(TRIM(AI181))="PIPE")),Inputs!$B$57,0),""))))</f>
        <v/>
      </c>
      <c r="AE181" s="10" t="str">
        <f t="shared" si="34"/>
        <v/>
      </c>
      <c r="AF181" s="10" t="str">
        <f t="shared" si="35"/>
        <v/>
      </c>
      <c r="AG181" s="10" t="str">
        <f t="shared" si="36"/>
        <v/>
      </c>
      <c r="AH181" s="3" t="str">
        <f>IF(A181="","",IF(E181="","TERMINAL",IF(OR(AND(UPPER(TRIM(B181))="SWALE",UPPER(TRIM(AI181))="PIPE"),AND(UPPER(TRIM(B181))="TRENCH",UPPER(TRIM(AI181))="PIPE")),IF(OR(AG181="",AJ181="",AK181=""),"INFO",IF(AND(AG181&gt;=AJ181,AG181&lt;=AK181),"OK","CHECK")),IF(AG181="","INFO",IF(ABS(AG181)&lt;=Inputs!$B$54,"OK","CHECK")))))</f>
        <v/>
      </c>
      <c r="AI181" s="11" t="str">
        <f t="shared" si="37"/>
        <v/>
      </c>
      <c r="AJ181" s="11" t="str">
        <f>IF(A181="","",IF(OR(AND(UPPER(TRIM(B181))="SWALE",UPPER(TRIM(AI181))="PIPE"),AND(UPPER(TRIM(B181))="TRENCH",UPPER(TRIM(AI181))="PIPE")),Inputs!$B$55,0))</f>
        <v/>
      </c>
      <c r="AK181" s="11" t="str">
        <f>IF(A181="","",IF(OR(AND(UPPER(TRIM(B181))="SWALE",UPPER(TRIM(AI181))="PIPE"),AND(UPPER(TRIM(B181))="TRENCH",UPPER(TRIM(AI181))="PIPE")),Inputs!$B$56,Inputs!$B$54))</f>
        <v/>
      </c>
      <c r="AL181" s="3" t="str">
        <f t="shared" si="38"/>
        <v/>
      </c>
    </row>
    <row r="182" spans="1:38" x14ac:dyDescent="0.25">
      <c r="A182" s="3"/>
      <c r="B182" s="3"/>
      <c r="C182" s="3"/>
      <c r="D182" s="3"/>
      <c r="E182" s="3"/>
      <c r="F182" s="8"/>
      <c r="G182" s="8"/>
      <c r="H182" s="8"/>
      <c r="I182" s="10" t="str">
        <f>IF(A182="","",IF(H182&lt;&gt;"",H182,IF(UPPER(TRIM(B182))="PIPE",Inputs!$B$7,IF(UPPER(TRIM(B182))="SWALE",Inputs!$B$8,Inputs!$B$9))))</f>
        <v/>
      </c>
      <c r="J182" s="8"/>
      <c r="K182" s="8"/>
      <c r="L182" s="8"/>
      <c r="M182" s="8"/>
      <c r="N182" s="8">
        <v>0</v>
      </c>
      <c r="O182" s="10" t="str">
        <f>IF(A182="","",SUMIFS(Zones_tributaires!$I:$I,Zones_tributaires!$J:$J,$A182))</f>
        <v/>
      </c>
      <c r="P182" s="10" t="str">
        <f t="shared" si="26"/>
        <v/>
      </c>
      <c r="Q182" s="10" t="str">
        <f>IF(A182="","",(O182+P182)*Inputs!$B$6)</f>
        <v/>
      </c>
      <c r="R182" s="10" t="str">
        <f t="shared" si="27"/>
        <v/>
      </c>
      <c r="S182" s="10" t="str">
        <f t="shared" si="28"/>
        <v/>
      </c>
      <c r="T182" s="10" t="str">
        <f t="shared" si="29"/>
        <v/>
      </c>
      <c r="U182" s="10" t="str">
        <f>IF(OR(T182="",Q182=""),"",Q182/(T182*Inputs!$B$19))</f>
        <v/>
      </c>
      <c r="V182" s="10" t="str">
        <f t="shared" si="30"/>
        <v/>
      </c>
      <c r="W182" s="10" t="str">
        <f t="shared" si="31"/>
        <v/>
      </c>
      <c r="X182" s="10" t="str">
        <f>IF(A182="","",IF(OR(UPPER(TRIM(Inputs!$B$15))="MANNING",UPPER(TRIM(Inputs!$B$15))="M"),W182,IF(OR(UPPER(TRIM(Inputs!$B$15))="MAX",UPPER(TRIM(Inputs!$B$15))="X"),MAX(V182,W182),V182)))</f>
        <v/>
      </c>
      <c r="Y182" s="10" t="str">
        <f t="shared" si="32"/>
        <v/>
      </c>
      <c r="Z182" s="10" t="str">
        <f t="shared" si="33"/>
        <v/>
      </c>
      <c r="AA182" s="3" t="str">
        <f>IF(A182="","",IF(OR(U182&gt;1,AND(X182&lt;&gt;"",X182&lt;Inputs!$B$16),AND(X182&lt;&gt;"",X182&gt;Inputs!$B$17),G182&lt;Inputs!$B$18,AH182="CHECK"),"CHECK","OK"))</f>
        <v/>
      </c>
      <c r="AB182" s="3"/>
      <c r="AC182" s="8"/>
      <c r="AD182" s="10" t="str">
        <f>IF(A182="","",IF(AC182&lt;&gt;"",AC182,IF(E182="",Inputs!$B$38,IFERROR(INDEX($AE$4:$AE$204,MATCH(E182,$A$4:$A$204,0))+IF(OR(AND(UPPER(TRIM(B182))="SWALE",UPPER(TRIM(AI182))="PIPE"),AND(UPPER(TRIM(B182))="TRENCH",UPPER(TRIM(AI182))="PIPE")),Inputs!$B$57,0),""))))</f>
        <v/>
      </c>
      <c r="AE182" s="10" t="str">
        <f t="shared" si="34"/>
        <v/>
      </c>
      <c r="AF182" s="10" t="str">
        <f t="shared" si="35"/>
        <v/>
      </c>
      <c r="AG182" s="10" t="str">
        <f t="shared" si="36"/>
        <v/>
      </c>
      <c r="AH182" s="3" t="str">
        <f>IF(A182="","",IF(E182="","TERMINAL",IF(OR(AND(UPPER(TRIM(B182))="SWALE",UPPER(TRIM(AI182))="PIPE"),AND(UPPER(TRIM(B182))="TRENCH",UPPER(TRIM(AI182))="PIPE")),IF(OR(AG182="",AJ182="",AK182=""),"INFO",IF(AND(AG182&gt;=AJ182,AG182&lt;=AK182),"OK","CHECK")),IF(AG182="","INFO",IF(ABS(AG182)&lt;=Inputs!$B$54,"OK","CHECK")))))</f>
        <v/>
      </c>
      <c r="AI182" s="11" t="str">
        <f t="shared" si="37"/>
        <v/>
      </c>
      <c r="AJ182" s="11" t="str">
        <f>IF(A182="","",IF(OR(AND(UPPER(TRIM(B182))="SWALE",UPPER(TRIM(AI182))="PIPE"),AND(UPPER(TRIM(B182))="TRENCH",UPPER(TRIM(AI182))="PIPE")),Inputs!$B$55,0))</f>
        <v/>
      </c>
      <c r="AK182" s="11" t="str">
        <f>IF(A182="","",IF(OR(AND(UPPER(TRIM(B182))="SWALE",UPPER(TRIM(AI182))="PIPE"),AND(UPPER(TRIM(B182))="TRENCH",UPPER(TRIM(AI182))="PIPE")),Inputs!$B$56,Inputs!$B$54))</f>
        <v/>
      </c>
      <c r="AL182" s="3" t="str">
        <f t="shared" si="38"/>
        <v/>
      </c>
    </row>
    <row r="183" spans="1:38" x14ac:dyDescent="0.25">
      <c r="A183" s="3"/>
      <c r="B183" s="3"/>
      <c r="C183" s="3"/>
      <c r="D183" s="3"/>
      <c r="E183" s="3"/>
      <c r="F183" s="8"/>
      <c r="G183" s="8"/>
      <c r="H183" s="8"/>
      <c r="I183" s="10" t="str">
        <f>IF(A183="","",IF(H183&lt;&gt;"",H183,IF(UPPER(TRIM(B183))="PIPE",Inputs!$B$7,IF(UPPER(TRIM(B183))="SWALE",Inputs!$B$8,Inputs!$B$9))))</f>
        <v/>
      </c>
      <c r="J183" s="8"/>
      <c r="K183" s="8"/>
      <c r="L183" s="8"/>
      <c r="M183" s="8"/>
      <c r="N183" s="8">
        <v>0</v>
      </c>
      <c r="O183" s="10" t="str">
        <f>IF(A183="","",SUMIFS(Zones_tributaires!$I:$I,Zones_tributaires!$J:$J,$A183))</f>
        <v/>
      </c>
      <c r="P183" s="10" t="str">
        <f t="shared" si="26"/>
        <v/>
      </c>
      <c r="Q183" s="10" t="str">
        <f>IF(A183="","",(O183+P183)*Inputs!$B$6)</f>
        <v/>
      </c>
      <c r="R183" s="10" t="str">
        <f t="shared" si="27"/>
        <v/>
      </c>
      <c r="S183" s="10" t="str">
        <f t="shared" si="28"/>
        <v/>
      </c>
      <c r="T183" s="10" t="str">
        <f t="shared" si="29"/>
        <v/>
      </c>
      <c r="U183" s="10" t="str">
        <f>IF(OR(T183="",Q183=""),"",Q183/(T183*Inputs!$B$19))</f>
        <v/>
      </c>
      <c r="V183" s="10" t="str">
        <f t="shared" si="30"/>
        <v/>
      </c>
      <c r="W183" s="10" t="str">
        <f t="shared" si="31"/>
        <v/>
      </c>
      <c r="X183" s="10" t="str">
        <f>IF(A183="","",IF(OR(UPPER(TRIM(Inputs!$B$15))="MANNING",UPPER(TRIM(Inputs!$B$15))="M"),W183,IF(OR(UPPER(TRIM(Inputs!$B$15))="MAX",UPPER(TRIM(Inputs!$B$15))="X"),MAX(V183,W183),V183)))</f>
        <v/>
      </c>
      <c r="Y183" s="10" t="str">
        <f t="shared" si="32"/>
        <v/>
      </c>
      <c r="Z183" s="10" t="str">
        <f t="shared" si="33"/>
        <v/>
      </c>
      <c r="AA183" s="3" t="str">
        <f>IF(A183="","",IF(OR(U183&gt;1,AND(X183&lt;&gt;"",X183&lt;Inputs!$B$16),AND(X183&lt;&gt;"",X183&gt;Inputs!$B$17),G183&lt;Inputs!$B$18,AH183="CHECK"),"CHECK","OK"))</f>
        <v/>
      </c>
      <c r="AB183" s="3"/>
      <c r="AC183" s="8"/>
      <c r="AD183" s="10" t="str">
        <f>IF(A183="","",IF(AC183&lt;&gt;"",AC183,IF(E183="",Inputs!$B$38,IFERROR(INDEX($AE$4:$AE$204,MATCH(E183,$A$4:$A$204,0))+IF(OR(AND(UPPER(TRIM(B183))="SWALE",UPPER(TRIM(AI183))="PIPE"),AND(UPPER(TRIM(B183))="TRENCH",UPPER(TRIM(AI183))="PIPE")),Inputs!$B$57,0),""))))</f>
        <v/>
      </c>
      <c r="AE183" s="10" t="str">
        <f t="shared" si="34"/>
        <v/>
      </c>
      <c r="AF183" s="10" t="str">
        <f t="shared" si="35"/>
        <v/>
      </c>
      <c r="AG183" s="10" t="str">
        <f t="shared" si="36"/>
        <v/>
      </c>
      <c r="AH183" s="3" t="str">
        <f>IF(A183="","",IF(E183="","TERMINAL",IF(OR(AND(UPPER(TRIM(B183))="SWALE",UPPER(TRIM(AI183))="PIPE"),AND(UPPER(TRIM(B183))="TRENCH",UPPER(TRIM(AI183))="PIPE")),IF(OR(AG183="",AJ183="",AK183=""),"INFO",IF(AND(AG183&gt;=AJ183,AG183&lt;=AK183),"OK","CHECK")),IF(AG183="","INFO",IF(ABS(AG183)&lt;=Inputs!$B$54,"OK","CHECK")))))</f>
        <v/>
      </c>
      <c r="AI183" s="11" t="str">
        <f t="shared" si="37"/>
        <v/>
      </c>
      <c r="AJ183" s="11" t="str">
        <f>IF(A183="","",IF(OR(AND(UPPER(TRIM(B183))="SWALE",UPPER(TRIM(AI183))="PIPE"),AND(UPPER(TRIM(B183))="TRENCH",UPPER(TRIM(AI183))="PIPE")),Inputs!$B$55,0))</f>
        <v/>
      </c>
      <c r="AK183" s="11" t="str">
        <f>IF(A183="","",IF(OR(AND(UPPER(TRIM(B183))="SWALE",UPPER(TRIM(AI183))="PIPE"),AND(UPPER(TRIM(B183))="TRENCH",UPPER(TRIM(AI183))="PIPE")),Inputs!$B$56,Inputs!$B$54))</f>
        <v/>
      </c>
      <c r="AL183" s="3" t="str">
        <f t="shared" si="38"/>
        <v/>
      </c>
    </row>
    <row r="184" spans="1:38" x14ac:dyDescent="0.25">
      <c r="A184" s="3"/>
      <c r="B184" s="3"/>
      <c r="C184" s="3"/>
      <c r="D184" s="3"/>
      <c r="E184" s="3"/>
      <c r="F184" s="8"/>
      <c r="G184" s="8"/>
      <c r="H184" s="8"/>
      <c r="I184" s="10" t="str">
        <f>IF(A184="","",IF(H184&lt;&gt;"",H184,IF(UPPER(TRIM(B184))="PIPE",Inputs!$B$7,IF(UPPER(TRIM(B184))="SWALE",Inputs!$B$8,Inputs!$B$9))))</f>
        <v/>
      </c>
      <c r="J184" s="8"/>
      <c r="K184" s="8"/>
      <c r="L184" s="8"/>
      <c r="M184" s="8"/>
      <c r="N184" s="8">
        <v>0</v>
      </c>
      <c r="O184" s="10" t="str">
        <f>IF(A184="","",SUMIFS(Zones_tributaires!$I:$I,Zones_tributaires!$J:$J,$A184))</f>
        <v/>
      </c>
      <c r="P184" s="10" t="str">
        <f t="shared" si="26"/>
        <v/>
      </c>
      <c r="Q184" s="10" t="str">
        <f>IF(A184="","",(O184+P184)*Inputs!$B$6)</f>
        <v/>
      </c>
      <c r="R184" s="10" t="str">
        <f t="shared" si="27"/>
        <v/>
      </c>
      <c r="S184" s="10" t="str">
        <f t="shared" si="28"/>
        <v/>
      </c>
      <c r="T184" s="10" t="str">
        <f t="shared" si="29"/>
        <v/>
      </c>
      <c r="U184" s="10" t="str">
        <f>IF(OR(T184="",Q184=""),"",Q184/(T184*Inputs!$B$19))</f>
        <v/>
      </c>
      <c r="V184" s="10" t="str">
        <f t="shared" si="30"/>
        <v/>
      </c>
      <c r="W184" s="10" t="str">
        <f t="shared" si="31"/>
        <v/>
      </c>
      <c r="X184" s="10" t="str">
        <f>IF(A184="","",IF(OR(UPPER(TRIM(Inputs!$B$15))="MANNING",UPPER(TRIM(Inputs!$B$15))="M"),W184,IF(OR(UPPER(TRIM(Inputs!$B$15))="MAX",UPPER(TRIM(Inputs!$B$15))="X"),MAX(V184,W184),V184)))</f>
        <v/>
      </c>
      <c r="Y184" s="10" t="str">
        <f t="shared" si="32"/>
        <v/>
      </c>
      <c r="Z184" s="10" t="str">
        <f t="shared" si="33"/>
        <v/>
      </c>
      <c r="AA184" s="3" t="str">
        <f>IF(A184="","",IF(OR(U184&gt;1,AND(X184&lt;&gt;"",X184&lt;Inputs!$B$16),AND(X184&lt;&gt;"",X184&gt;Inputs!$B$17),G184&lt;Inputs!$B$18,AH184="CHECK"),"CHECK","OK"))</f>
        <v/>
      </c>
      <c r="AB184" s="3"/>
      <c r="AC184" s="8"/>
      <c r="AD184" s="10" t="str">
        <f>IF(A184="","",IF(AC184&lt;&gt;"",AC184,IF(E184="",Inputs!$B$38,IFERROR(INDEX($AE$4:$AE$204,MATCH(E184,$A$4:$A$204,0))+IF(OR(AND(UPPER(TRIM(B184))="SWALE",UPPER(TRIM(AI184))="PIPE"),AND(UPPER(TRIM(B184))="TRENCH",UPPER(TRIM(AI184))="PIPE")),Inputs!$B$57,0),""))))</f>
        <v/>
      </c>
      <c r="AE184" s="10" t="str">
        <f t="shared" si="34"/>
        <v/>
      </c>
      <c r="AF184" s="10" t="str">
        <f t="shared" si="35"/>
        <v/>
      </c>
      <c r="AG184" s="10" t="str">
        <f t="shared" si="36"/>
        <v/>
      </c>
      <c r="AH184" s="3" t="str">
        <f>IF(A184="","",IF(E184="","TERMINAL",IF(OR(AND(UPPER(TRIM(B184))="SWALE",UPPER(TRIM(AI184))="PIPE"),AND(UPPER(TRIM(B184))="TRENCH",UPPER(TRIM(AI184))="PIPE")),IF(OR(AG184="",AJ184="",AK184=""),"INFO",IF(AND(AG184&gt;=AJ184,AG184&lt;=AK184),"OK","CHECK")),IF(AG184="","INFO",IF(ABS(AG184)&lt;=Inputs!$B$54,"OK","CHECK")))))</f>
        <v/>
      </c>
      <c r="AI184" s="11" t="str">
        <f t="shared" si="37"/>
        <v/>
      </c>
      <c r="AJ184" s="11" t="str">
        <f>IF(A184="","",IF(OR(AND(UPPER(TRIM(B184))="SWALE",UPPER(TRIM(AI184))="PIPE"),AND(UPPER(TRIM(B184))="TRENCH",UPPER(TRIM(AI184))="PIPE")),Inputs!$B$55,0))</f>
        <v/>
      </c>
      <c r="AK184" s="11" t="str">
        <f>IF(A184="","",IF(OR(AND(UPPER(TRIM(B184))="SWALE",UPPER(TRIM(AI184))="PIPE"),AND(UPPER(TRIM(B184))="TRENCH",UPPER(TRIM(AI184))="PIPE")),Inputs!$B$56,Inputs!$B$54))</f>
        <v/>
      </c>
      <c r="AL184" s="3" t="str">
        <f t="shared" si="38"/>
        <v/>
      </c>
    </row>
    <row r="185" spans="1:38" x14ac:dyDescent="0.25">
      <c r="A185" s="3"/>
      <c r="B185" s="3"/>
      <c r="C185" s="3"/>
      <c r="D185" s="3"/>
      <c r="E185" s="3"/>
      <c r="F185" s="8"/>
      <c r="G185" s="8"/>
      <c r="H185" s="8"/>
      <c r="I185" s="10" t="str">
        <f>IF(A185="","",IF(H185&lt;&gt;"",H185,IF(UPPER(TRIM(B185))="PIPE",Inputs!$B$7,IF(UPPER(TRIM(B185))="SWALE",Inputs!$B$8,Inputs!$B$9))))</f>
        <v/>
      </c>
      <c r="J185" s="8"/>
      <c r="K185" s="8"/>
      <c r="L185" s="8"/>
      <c r="M185" s="8"/>
      <c r="N185" s="8">
        <v>0</v>
      </c>
      <c r="O185" s="10" t="str">
        <f>IF(A185="","",SUMIFS(Zones_tributaires!$I:$I,Zones_tributaires!$J:$J,$A185))</f>
        <v/>
      </c>
      <c r="P185" s="10" t="str">
        <f t="shared" si="26"/>
        <v/>
      </c>
      <c r="Q185" s="10" t="str">
        <f>IF(A185="","",(O185+P185)*Inputs!$B$6)</f>
        <v/>
      </c>
      <c r="R185" s="10" t="str">
        <f t="shared" si="27"/>
        <v/>
      </c>
      <c r="S185" s="10" t="str">
        <f t="shared" si="28"/>
        <v/>
      </c>
      <c r="T185" s="10" t="str">
        <f t="shared" si="29"/>
        <v/>
      </c>
      <c r="U185" s="10" t="str">
        <f>IF(OR(T185="",Q185=""),"",Q185/(T185*Inputs!$B$19))</f>
        <v/>
      </c>
      <c r="V185" s="10" t="str">
        <f t="shared" si="30"/>
        <v/>
      </c>
      <c r="W185" s="10" t="str">
        <f t="shared" si="31"/>
        <v/>
      </c>
      <c r="X185" s="10" t="str">
        <f>IF(A185="","",IF(OR(UPPER(TRIM(Inputs!$B$15))="MANNING",UPPER(TRIM(Inputs!$B$15))="M"),W185,IF(OR(UPPER(TRIM(Inputs!$B$15))="MAX",UPPER(TRIM(Inputs!$B$15))="X"),MAX(V185,W185),V185)))</f>
        <v/>
      </c>
      <c r="Y185" s="10" t="str">
        <f t="shared" si="32"/>
        <v/>
      </c>
      <c r="Z185" s="10" t="str">
        <f t="shared" si="33"/>
        <v/>
      </c>
      <c r="AA185" s="3" t="str">
        <f>IF(A185="","",IF(OR(U185&gt;1,AND(X185&lt;&gt;"",X185&lt;Inputs!$B$16),AND(X185&lt;&gt;"",X185&gt;Inputs!$B$17),G185&lt;Inputs!$B$18,AH185="CHECK"),"CHECK","OK"))</f>
        <v/>
      </c>
      <c r="AB185" s="3"/>
      <c r="AC185" s="8"/>
      <c r="AD185" s="10" t="str">
        <f>IF(A185="","",IF(AC185&lt;&gt;"",AC185,IF(E185="",Inputs!$B$38,IFERROR(INDEX($AE$4:$AE$204,MATCH(E185,$A$4:$A$204,0))+IF(OR(AND(UPPER(TRIM(B185))="SWALE",UPPER(TRIM(AI185))="PIPE"),AND(UPPER(TRIM(B185))="TRENCH",UPPER(TRIM(AI185))="PIPE")),Inputs!$B$57,0),""))))</f>
        <v/>
      </c>
      <c r="AE185" s="10" t="str">
        <f t="shared" si="34"/>
        <v/>
      </c>
      <c r="AF185" s="10" t="str">
        <f t="shared" si="35"/>
        <v/>
      </c>
      <c r="AG185" s="10" t="str">
        <f t="shared" si="36"/>
        <v/>
      </c>
      <c r="AH185" s="3" t="str">
        <f>IF(A185="","",IF(E185="","TERMINAL",IF(OR(AND(UPPER(TRIM(B185))="SWALE",UPPER(TRIM(AI185))="PIPE"),AND(UPPER(TRIM(B185))="TRENCH",UPPER(TRIM(AI185))="PIPE")),IF(OR(AG185="",AJ185="",AK185=""),"INFO",IF(AND(AG185&gt;=AJ185,AG185&lt;=AK185),"OK","CHECK")),IF(AG185="","INFO",IF(ABS(AG185)&lt;=Inputs!$B$54,"OK","CHECK")))))</f>
        <v/>
      </c>
      <c r="AI185" s="11" t="str">
        <f t="shared" si="37"/>
        <v/>
      </c>
      <c r="AJ185" s="11" t="str">
        <f>IF(A185="","",IF(OR(AND(UPPER(TRIM(B185))="SWALE",UPPER(TRIM(AI185))="PIPE"),AND(UPPER(TRIM(B185))="TRENCH",UPPER(TRIM(AI185))="PIPE")),Inputs!$B$55,0))</f>
        <v/>
      </c>
      <c r="AK185" s="11" t="str">
        <f>IF(A185="","",IF(OR(AND(UPPER(TRIM(B185))="SWALE",UPPER(TRIM(AI185))="PIPE"),AND(UPPER(TRIM(B185))="TRENCH",UPPER(TRIM(AI185))="PIPE")),Inputs!$B$56,Inputs!$B$54))</f>
        <v/>
      </c>
      <c r="AL185" s="3" t="str">
        <f t="shared" si="38"/>
        <v/>
      </c>
    </row>
    <row r="186" spans="1:38" x14ac:dyDescent="0.25">
      <c r="A186" s="3"/>
      <c r="B186" s="3"/>
      <c r="C186" s="3"/>
      <c r="D186" s="3"/>
      <c r="E186" s="3"/>
      <c r="F186" s="8"/>
      <c r="G186" s="8"/>
      <c r="H186" s="8"/>
      <c r="I186" s="10" t="str">
        <f>IF(A186="","",IF(H186&lt;&gt;"",H186,IF(UPPER(TRIM(B186))="PIPE",Inputs!$B$7,IF(UPPER(TRIM(B186))="SWALE",Inputs!$B$8,Inputs!$B$9))))</f>
        <v/>
      </c>
      <c r="J186" s="8"/>
      <c r="K186" s="8"/>
      <c r="L186" s="8"/>
      <c r="M186" s="8"/>
      <c r="N186" s="8">
        <v>0</v>
      </c>
      <c r="O186" s="10" t="str">
        <f>IF(A186="","",SUMIFS(Zones_tributaires!$I:$I,Zones_tributaires!$J:$J,$A186))</f>
        <v/>
      </c>
      <c r="P186" s="10" t="str">
        <f t="shared" si="26"/>
        <v/>
      </c>
      <c r="Q186" s="10" t="str">
        <f>IF(A186="","",(O186+P186)*Inputs!$B$6)</f>
        <v/>
      </c>
      <c r="R186" s="10" t="str">
        <f t="shared" si="27"/>
        <v/>
      </c>
      <c r="S186" s="10" t="str">
        <f t="shared" si="28"/>
        <v/>
      </c>
      <c r="T186" s="10" t="str">
        <f t="shared" si="29"/>
        <v/>
      </c>
      <c r="U186" s="10" t="str">
        <f>IF(OR(T186="",Q186=""),"",Q186/(T186*Inputs!$B$19))</f>
        <v/>
      </c>
      <c r="V186" s="10" t="str">
        <f t="shared" si="30"/>
        <v/>
      </c>
      <c r="W186" s="10" t="str">
        <f t="shared" si="31"/>
        <v/>
      </c>
      <c r="X186" s="10" t="str">
        <f>IF(A186="","",IF(OR(UPPER(TRIM(Inputs!$B$15))="MANNING",UPPER(TRIM(Inputs!$B$15))="M"),W186,IF(OR(UPPER(TRIM(Inputs!$B$15))="MAX",UPPER(TRIM(Inputs!$B$15))="X"),MAX(V186,W186),V186)))</f>
        <v/>
      </c>
      <c r="Y186" s="10" t="str">
        <f t="shared" si="32"/>
        <v/>
      </c>
      <c r="Z186" s="10" t="str">
        <f t="shared" si="33"/>
        <v/>
      </c>
      <c r="AA186" s="3" t="str">
        <f>IF(A186="","",IF(OR(U186&gt;1,AND(X186&lt;&gt;"",X186&lt;Inputs!$B$16),AND(X186&lt;&gt;"",X186&gt;Inputs!$B$17),G186&lt;Inputs!$B$18,AH186="CHECK"),"CHECK","OK"))</f>
        <v/>
      </c>
      <c r="AB186" s="3"/>
      <c r="AC186" s="8"/>
      <c r="AD186" s="10" t="str">
        <f>IF(A186="","",IF(AC186&lt;&gt;"",AC186,IF(E186="",Inputs!$B$38,IFERROR(INDEX($AE$4:$AE$204,MATCH(E186,$A$4:$A$204,0))+IF(OR(AND(UPPER(TRIM(B186))="SWALE",UPPER(TRIM(AI186))="PIPE"),AND(UPPER(TRIM(B186))="TRENCH",UPPER(TRIM(AI186))="PIPE")),Inputs!$B$57,0),""))))</f>
        <v/>
      </c>
      <c r="AE186" s="10" t="str">
        <f t="shared" si="34"/>
        <v/>
      </c>
      <c r="AF186" s="10" t="str">
        <f t="shared" si="35"/>
        <v/>
      </c>
      <c r="AG186" s="10" t="str">
        <f t="shared" si="36"/>
        <v/>
      </c>
      <c r="AH186" s="3" t="str">
        <f>IF(A186="","",IF(E186="","TERMINAL",IF(OR(AND(UPPER(TRIM(B186))="SWALE",UPPER(TRIM(AI186))="PIPE"),AND(UPPER(TRIM(B186))="TRENCH",UPPER(TRIM(AI186))="PIPE")),IF(OR(AG186="",AJ186="",AK186=""),"INFO",IF(AND(AG186&gt;=AJ186,AG186&lt;=AK186),"OK","CHECK")),IF(AG186="","INFO",IF(ABS(AG186)&lt;=Inputs!$B$54,"OK","CHECK")))))</f>
        <v/>
      </c>
      <c r="AI186" s="11" t="str">
        <f t="shared" si="37"/>
        <v/>
      </c>
      <c r="AJ186" s="11" t="str">
        <f>IF(A186="","",IF(OR(AND(UPPER(TRIM(B186))="SWALE",UPPER(TRIM(AI186))="PIPE"),AND(UPPER(TRIM(B186))="TRENCH",UPPER(TRIM(AI186))="PIPE")),Inputs!$B$55,0))</f>
        <v/>
      </c>
      <c r="AK186" s="11" t="str">
        <f>IF(A186="","",IF(OR(AND(UPPER(TRIM(B186))="SWALE",UPPER(TRIM(AI186))="PIPE"),AND(UPPER(TRIM(B186))="TRENCH",UPPER(TRIM(AI186))="PIPE")),Inputs!$B$56,Inputs!$B$54))</f>
        <v/>
      </c>
      <c r="AL186" s="3" t="str">
        <f t="shared" si="38"/>
        <v/>
      </c>
    </row>
    <row r="187" spans="1:38" x14ac:dyDescent="0.25">
      <c r="A187" s="3"/>
      <c r="B187" s="3"/>
      <c r="C187" s="3"/>
      <c r="D187" s="3"/>
      <c r="E187" s="3"/>
      <c r="F187" s="8"/>
      <c r="G187" s="8"/>
      <c r="H187" s="8"/>
      <c r="I187" s="10" t="str">
        <f>IF(A187="","",IF(H187&lt;&gt;"",H187,IF(UPPER(TRIM(B187))="PIPE",Inputs!$B$7,IF(UPPER(TRIM(B187))="SWALE",Inputs!$B$8,Inputs!$B$9))))</f>
        <v/>
      </c>
      <c r="J187" s="8"/>
      <c r="K187" s="8"/>
      <c r="L187" s="8"/>
      <c r="M187" s="8"/>
      <c r="N187" s="8">
        <v>0</v>
      </c>
      <c r="O187" s="10" t="str">
        <f>IF(A187="","",SUMIFS(Zones_tributaires!$I:$I,Zones_tributaires!$J:$J,$A187))</f>
        <v/>
      </c>
      <c r="P187" s="10" t="str">
        <f t="shared" si="26"/>
        <v/>
      </c>
      <c r="Q187" s="10" t="str">
        <f>IF(A187="","",(O187+P187)*Inputs!$B$6)</f>
        <v/>
      </c>
      <c r="R187" s="10" t="str">
        <f t="shared" si="27"/>
        <v/>
      </c>
      <c r="S187" s="10" t="str">
        <f t="shared" si="28"/>
        <v/>
      </c>
      <c r="T187" s="10" t="str">
        <f t="shared" si="29"/>
        <v/>
      </c>
      <c r="U187" s="10" t="str">
        <f>IF(OR(T187="",Q187=""),"",Q187/(T187*Inputs!$B$19))</f>
        <v/>
      </c>
      <c r="V187" s="10" t="str">
        <f t="shared" si="30"/>
        <v/>
      </c>
      <c r="W187" s="10" t="str">
        <f t="shared" si="31"/>
        <v/>
      </c>
      <c r="X187" s="10" t="str">
        <f>IF(A187="","",IF(OR(UPPER(TRIM(Inputs!$B$15))="MANNING",UPPER(TRIM(Inputs!$B$15))="M"),W187,IF(OR(UPPER(TRIM(Inputs!$B$15))="MAX",UPPER(TRIM(Inputs!$B$15))="X"),MAX(V187,W187),V187)))</f>
        <v/>
      </c>
      <c r="Y187" s="10" t="str">
        <f t="shared" si="32"/>
        <v/>
      </c>
      <c r="Z187" s="10" t="str">
        <f t="shared" si="33"/>
        <v/>
      </c>
      <c r="AA187" s="3" t="str">
        <f>IF(A187="","",IF(OR(U187&gt;1,AND(X187&lt;&gt;"",X187&lt;Inputs!$B$16),AND(X187&lt;&gt;"",X187&gt;Inputs!$B$17),G187&lt;Inputs!$B$18,AH187="CHECK"),"CHECK","OK"))</f>
        <v/>
      </c>
      <c r="AB187" s="3"/>
      <c r="AC187" s="8"/>
      <c r="AD187" s="10" t="str">
        <f>IF(A187="","",IF(AC187&lt;&gt;"",AC187,IF(E187="",Inputs!$B$38,IFERROR(INDEX($AE$4:$AE$204,MATCH(E187,$A$4:$A$204,0))+IF(OR(AND(UPPER(TRIM(B187))="SWALE",UPPER(TRIM(AI187))="PIPE"),AND(UPPER(TRIM(B187))="TRENCH",UPPER(TRIM(AI187))="PIPE")),Inputs!$B$57,0),""))))</f>
        <v/>
      </c>
      <c r="AE187" s="10" t="str">
        <f t="shared" si="34"/>
        <v/>
      </c>
      <c r="AF187" s="10" t="str">
        <f t="shared" si="35"/>
        <v/>
      </c>
      <c r="AG187" s="10" t="str">
        <f t="shared" si="36"/>
        <v/>
      </c>
      <c r="AH187" s="3" t="str">
        <f>IF(A187="","",IF(E187="","TERMINAL",IF(OR(AND(UPPER(TRIM(B187))="SWALE",UPPER(TRIM(AI187))="PIPE"),AND(UPPER(TRIM(B187))="TRENCH",UPPER(TRIM(AI187))="PIPE")),IF(OR(AG187="",AJ187="",AK187=""),"INFO",IF(AND(AG187&gt;=AJ187,AG187&lt;=AK187),"OK","CHECK")),IF(AG187="","INFO",IF(ABS(AG187)&lt;=Inputs!$B$54,"OK","CHECK")))))</f>
        <v/>
      </c>
      <c r="AI187" s="11" t="str">
        <f t="shared" si="37"/>
        <v/>
      </c>
      <c r="AJ187" s="11" t="str">
        <f>IF(A187="","",IF(OR(AND(UPPER(TRIM(B187))="SWALE",UPPER(TRIM(AI187))="PIPE"),AND(UPPER(TRIM(B187))="TRENCH",UPPER(TRIM(AI187))="PIPE")),Inputs!$B$55,0))</f>
        <v/>
      </c>
      <c r="AK187" s="11" t="str">
        <f>IF(A187="","",IF(OR(AND(UPPER(TRIM(B187))="SWALE",UPPER(TRIM(AI187))="PIPE"),AND(UPPER(TRIM(B187))="TRENCH",UPPER(TRIM(AI187))="PIPE")),Inputs!$B$56,Inputs!$B$54))</f>
        <v/>
      </c>
      <c r="AL187" s="3" t="str">
        <f t="shared" si="38"/>
        <v/>
      </c>
    </row>
    <row r="188" spans="1:38" x14ac:dyDescent="0.25">
      <c r="A188" s="3"/>
      <c r="B188" s="3"/>
      <c r="C188" s="3"/>
      <c r="D188" s="3"/>
      <c r="E188" s="3"/>
      <c r="F188" s="8"/>
      <c r="G188" s="8"/>
      <c r="H188" s="8"/>
      <c r="I188" s="10" t="str">
        <f>IF(A188="","",IF(H188&lt;&gt;"",H188,IF(UPPER(TRIM(B188))="PIPE",Inputs!$B$7,IF(UPPER(TRIM(B188))="SWALE",Inputs!$B$8,Inputs!$B$9))))</f>
        <v/>
      </c>
      <c r="J188" s="8"/>
      <c r="K188" s="8"/>
      <c r="L188" s="8"/>
      <c r="M188" s="8"/>
      <c r="N188" s="8">
        <v>0</v>
      </c>
      <c r="O188" s="10" t="str">
        <f>IF(A188="","",SUMIFS(Zones_tributaires!$I:$I,Zones_tributaires!$J:$J,$A188))</f>
        <v/>
      </c>
      <c r="P188" s="10" t="str">
        <f t="shared" si="26"/>
        <v/>
      </c>
      <c r="Q188" s="10" t="str">
        <f>IF(A188="","",(O188+P188)*Inputs!$B$6)</f>
        <v/>
      </c>
      <c r="R188" s="10" t="str">
        <f t="shared" si="27"/>
        <v/>
      </c>
      <c r="S188" s="10" t="str">
        <f t="shared" si="28"/>
        <v/>
      </c>
      <c r="T188" s="10" t="str">
        <f t="shared" si="29"/>
        <v/>
      </c>
      <c r="U188" s="10" t="str">
        <f>IF(OR(T188="",Q188=""),"",Q188/(T188*Inputs!$B$19))</f>
        <v/>
      </c>
      <c r="V188" s="10" t="str">
        <f t="shared" si="30"/>
        <v/>
      </c>
      <c r="W188" s="10" t="str">
        <f t="shared" si="31"/>
        <v/>
      </c>
      <c r="X188" s="10" t="str">
        <f>IF(A188="","",IF(OR(UPPER(TRIM(Inputs!$B$15))="MANNING",UPPER(TRIM(Inputs!$B$15))="M"),W188,IF(OR(UPPER(TRIM(Inputs!$B$15))="MAX",UPPER(TRIM(Inputs!$B$15))="X"),MAX(V188,W188),V188)))</f>
        <v/>
      </c>
      <c r="Y188" s="10" t="str">
        <f t="shared" si="32"/>
        <v/>
      </c>
      <c r="Z188" s="10" t="str">
        <f t="shared" si="33"/>
        <v/>
      </c>
      <c r="AA188" s="3" t="str">
        <f>IF(A188="","",IF(OR(U188&gt;1,AND(X188&lt;&gt;"",X188&lt;Inputs!$B$16),AND(X188&lt;&gt;"",X188&gt;Inputs!$B$17),G188&lt;Inputs!$B$18,AH188="CHECK"),"CHECK","OK"))</f>
        <v/>
      </c>
      <c r="AB188" s="3"/>
      <c r="AC188" s="8"/>
      <c r="AD188" s="10" t="str">
        <f>IF(A188="","",IF(AC188&lt;&gt;"",AC188,IF(E188="",Inputs!$B$38,IFERROR(INDEX($AE$4:$AE$204,MATCH(E188,$A$4:$A$204,0))+IF(OR(AND(UPPER(TRIM(B188))="SWALE",UPPER(TRIM(AI188))="PIPE"),AND(UPPER(TRIM(B188))="TRENCH",UPPER(TRIM(AI188))="PIPE")),Inputs!$B$57,0),""))))</f>
        <v/>
      </c>
      <c r="AE188" s="10" t="str">
        <f t="shared" si="34"/>
        <v/>
      </c>
      <c r="AF188" s="10" t="str">
        <f t="shared" si="35"/>
        <v/>
      </c>
      <c r="AG188" s="10" t="str">
        <f t="shared" si="36"/>
        <v/>
      </c>
      <c r="AH188" s="3" t="str">
        <f>IF(A188="","",IF(E188="","TERMINAL",IF(OR(AND(UPPER(TRIM(B188))="SWALE",UPPER(TRIM(AI188))="PIPE"),AND(UPPER(TRIM(B188))="TRENCH",UPPER(TRIM(AI188))="PIPE")),IF(OR(AG188="",AJ188="",AK188=""),"INFO",IF(AND(AG188&gt;=AJ188,AG188&lt;=AK188),"OK","CHECK")),IF(AG188="","INFO",IF(ABS(AG188)&lt;=Inputs!$B$54,"OK","CHECK")))))</f>
        <v/>
      </c>
      <c r="AI188" s="11" t="str">
        <f t="shared" si="37"/>
        <v/>
      </c>
      <c r="AJ188" s="11" t="str">
        <f>IF(A188="","",IF(OR(AND(UPPER(TRIM(B188))="SWALE",UPPER(TRIM(AI188))="PIPE"),AND(UPPER(TRIM(B188))="TRENCH",UPPER(TRIM(AI188))="PIPE")),Inputs!$B$55,0))</f>
        <v/>
      </c>
      <c r="AK188" s="11" t="str">
        <f>IF(A188="","",IF(OR(AND(UPPER(TRIM(B188))="SWALE",UPPER(TRIM(AI188))="PIPE"),AND(UPPER(TRIM(B188))="TRENCH",UPPER(TRIM(AI188))="PIPE")),Inputs!$B$56,Inputs!$B$54))</f>
        <v/>
      </c>
      <c r="AL188" s="3" t="str">
        <f t="shared" si="38"/>
        <v/>
      </c>
    </row>
    <row r="189" spans="1:38" x14ac:dyDescent="0.25">
      <c r="A189" s="3"/>
      <c r="B189" s="3"/>
      <c r="C189" s="3"/>
      <c r="D189" s="3"/>
      <c r="E189" s="3"/>
      <c r="F189" s="8"/>
      <c r="G189" s="8"/>
      <c r="H189" s="8"/>
      <c r="I189" s="10" t="str">
        <f>IF(A189="","",IF(H189&lt;&gt;"",H189,IF(UPPER(TRIM(B189))="PIPE",Inputs!$B$7,IF(UPPER(TRIM(B189))="SWALE",Inputs!$B$8,Inputs!$B$9))))</f>
        <v/>
      </c>
      <c r="J189" s="8"/>
      <c r="K189" s="8"/>
      <c r="L189" s="8"/>
      <c r="M189" s="8"/>
      <c r="N189" s="8">
        <v>0</v>
      </c>
      <c r="O189" s="10" t="str">
        <f>IF(A189="","",SUMIFS(Zones_tributaires!$I:$I,Zones_tributaires!$J:$J,$A189))</f>
        <v/>
      </c>
      <c r="P189" s="10" t="str">
        <f t="shared" si="26"/>
        <v/>
      </c>
      <c r="Q189" s="10" t="str">
        <f>IF(A189="","",(O189+P189)*Inputs!$B$6)</f>
        <v/>
      </c>
      <c r="R189" s="10" t="str">
        <f t="shared" si="27"/>
        <v/>
      </c>
      <c r="S189" s="10" t="str">
        <f t="shared" si="28"/>
        <v/>
      </c>
      <c r="T189" s="10" t="str">
        <f t="shared" si="29"/>
        <v/>
      </c>
      <c r="U189" s="10" t="str">
        <f>IF(OR(T189="",Q189=""),"",Q189/(T189*Inputs!$B$19))</f>
        <v/>
      </c>
      <c r="V189" s="10" t="str">
        <f t="shared" si="30"/>
        <v/>
      </c>
      <c r="W189" s="10" t="str">
        <f t="shared" si="31"/>
        <v/>
      </c>
      <c r="X189" s="10" t="str">
        <f>IF(A189="","",IF(OR(UPPER(TRIM(Inputs!$B$15))="MANNING",UPPER(TRIM(Inputs!$B$15))="M"),W189,IF(OR(UPPER(TRIM(Inputs!$B$15))="MAX",UPPER(TRIM(Inputs!$B$15))="X"),MAX(V189,W189),V189)))</f>
        <v/>
      </c>
      <c r="Y189" s="10" t="str">
        <f t="shared" si="32"/>
        <v/>
      </c>
      <c r="Z189" s="10" t="str">
        <f t="shared" si="33"/>
        <v/>
      </c>
      <c r="AA189" s="3" t="str">
        <f>IF(A189="","",IF(OR(U189&gt;1,AND(X189&lt;&gt;"",X189&lt;Inputs!$B$16),AND(X189&lt;&gt;"",X189&gt;Inputs!$B$17),G189&lt;Inputs!$B$18,AH189="CHECK"),"CHECK","OK"))</f>
        <v/>
      </c>
      <c r="AB189" s="3"/>
      <c r="AC189" s="8"/>
      <c r="AD189" s="10" t="str">
        <f>IF(A189="","",IF(AC189&lt;&gt;"",AC189,IF(E189="",Inputs!$B$38,IFERROR(INDEX($AE$4:$AE$204,MATCH(E189,$A$4:$A$204,0))+IF(OR(AND(UPPER(TRIM(B189))="SWALE",UPPER(TRIM(AI189))="PIPE"),AND(UPPER(TRIM(B189))="TRENCH",UPPER(TRIM(AI189))="PIPE")),Inputs!$B$57,0),""))))</f>
        <v/>
      </c>
      <c r="AE189" s="10" t="str">
        <f t="shared" si="34"/>
        <v/>
      </c>
      <c r="AF189" s="10" t="str">
        <f t="shared" si="35"/>
        <v/>
      </c>
      <c r="AG189" s="10" t="str">
        <f t="shared" si="36"/>
        <v/>
      </c>
      <c r="AH189" s="3" t="str">
        <f>IF(A189="","",IF(E189="","TERMINAL",IF(OR(AND(UPPER(TRIM(B189))="SWALE",UPPER(TRIM(AI189))="PIPE"),AND(UPPER(TRIM(B189))="TRENCH",UPPER(TRIM(AI189))="PIPE")),IF(OR(AG189="",AJ189="",AK189=""),"INFO",IF(AND(AG189&gt;=AJ189,AG189&lt;=AK189),"OK","CHECK")),IF(AG189="","INFO",IF(ABS(AG189)&lt;=Inputs!$B$54,"OK","CHECK")))))</f>
        <v/>
      </c>
      <c r="AI189" s="11" t="str">
        <f t="shared" si="37"/>
        <v/>
      </c>
      <c r="AJ189" s="11" t="str">
        <f>IF(A189="","",IF(OR(AND(UPPER(TRIM(B189))="SWALE",UPPER(TRIM(AI189))="PIPE"),AND(UPPER(TRIM(B189))="TRENCH",UPPER(TRIM(AI189))="PIPE")),Inputs!$B$55,0))</f>
        <v/>
      </c>
      <c r="AK189" s="11" t="str">
        <f>IF(A189="","",IF(OR(AND(UPPER(TRIM(B189))="SWALE",UPPER(TRIM(AI189))="PIPE"),AND(UPPER(TRIM(B189))="TRENCH",UPPER(TRIM(AI189))="PIPE")),Inputs!$B$56,Inputs!$B$54))</f>
        <v/>
      </c>
      <c r="AL189" s="3" t="str">
        <f t="shared" si="38"/>
        <v/>
      </c>
    </row>
    <row r="190" spans="1:38" x14ac:dyDescent="0.25">
      <c r="A190" s="3"/>
      <c r="B190" s="3"/>
      <c r="C190" s="3"/>
      <c r="D190" s="3"/>
      <c r="E190" s="3"/>
      <c r="F190" s="8"/>
      <c r="G190" s="8"/>
      <c r="H190" s="8"/>
      <c r="I190" s="10" t="str">
        <f>IF(A190="","",IF(H190&lt;&gt;"",H190,IF(UPPER(TRIM(B190))="PIPE",Inputs!$B$7,IF(UPPER(TRIM(B190))="SWALE",Inputs!$B$8,Inputs!$B$9))))</f>
        <v/>
      </c>
      <c r="J190" s="8"/>
      <c r="K190" s="8"/>
      <c r="L190" s="8"/>
      <c r="M190" s="8"/>
      <c r="N190" s="8">
        <v>0</v>
      </c>
      <c r="O190" s="10" t="str">
        <f>IF(A190="","",SUMIFS(Zones_tributaires!$I:$I,Zones_tributaires!$J:$J,$A190))</f>
        <v/>
      </c>
      <c r="P190" s="10" t="str">
        <f t="shared" si="26"/>
        <v/>
      </c>
      <c r="Q190" s="10" t="str">
        <f>IF(A190="","",(O190+P190)*Inputs!$B$6)</f>
        <v/>
      </c>
      <c r="R190" s="10" t="str">
        <f t="shared" si="27"/>
        <v/>
      </c>
      <c r="S190" s="10" t="str">
        <f t="shared" si="28"/>
        <v/>
      </c>
      <c r="T190" s="10" t="str">
        <f t="shared" si="29"/>
        <v/>
      </c>
      <c r="U190" s="10" t="str">
        <f>IF(OR(T190="",Q190=""),"",Q190/(T190*Inputs!$B$19))</f>
        <v/>
      </c>
      <c r="V190" s="10" t="str">
        <f t="shared" si="30"/>
        <v/>
      </c>
      <c r="W190" s="10" t="str">
        <f t="shared" si="31"/>
        <v/>
      </c>
      <c r="X190" s="10" t="str">
        <f>IF(A190="","",IF(OR(UPPER(TRIM(Inputs!$B$15))="MANNING",UPPER(TRIM(Inputs!$B$15))="M"),W190,IF(OR(UPPER(TRIM(Inputs!$B$15))="MAX",UPPER(TRIM(Inputs!$B$15))="X"),MAX(V190,W190),V190)))</f>
        <v/>
      </c>
      <c r="Y190" s="10" t="str">
        <f t="shared" si="32"/>
        <v/>
      </c>
      <c r="Z190" s="10" t="str">
        <f t="shared" si="33"/>
        <v/>
      </c>
      <c r="AA190" s="3" t="str">
        <f>IF(A190="","",IF(OR(U190&gt;1,AND(X190&lt;&gt;"",X190&lt;Inputs!$B$16),AND(X190&lt;&gt;"",X190&gt;Inputs!$B$17),G190&lt;Inputs!$B$18,AH190="CHECK"),"CHECK","OK"))</f>
        <v/>
      </c>
      <c r="AB190" s="3"/>
      <c r="AC190" s="8"/>
      <c r="AD190" s="10" t="str">
        <f>IF(A190="","",IF(AC190&lt;&gt;"",AC190,IF(E190="",Inputs!$B$38,IFERROR(INDEX($AE$4:$AE$204,MATCH(E190,$A$4:$A$204,0))+IF(OR(AND(UPPER(TRIM(B190))="SWALE",UPPER(TRIM(AI190))="PIPE"),AND(UPPER(TRIM(B190))="TRENCH",UPPER(TRIM(AI190))="PIPE")),Inputs!$B$57,0),""))))</f>
        <v/>
      </c>
      <c r="AE190" s="10" t="str">
        <f t="shared" si="34"/>
        <v/>
      </c>
      <c r="AF190" s="10" t="str">
        <f t="shared" si="35"/>
        <v/>
      </c>
      <c r="AG190" s="10" t="str">
        <f t="shared" si="36"/>
        <v/>
      </c>
      <c r="AH190" s="3" t="str">
        <f>IF(A190="","",IF(E190="","TERMINAL",IF(OR(AND(UPPER(TRIM(B190))="SWALE",UPPER(TRIM(AI190))="PIPE"),AND(UPPER(TRIM(B190))="TRENCH",UPPER(TRIM(AI190))="PIPE")),IF(OR(AG190="",AJ190="",AK190=""),"INFO",IF(AND(AG190&gt;=AJ190,AG190&lt;=AK190),"OK","CHECK")),IF(AG190="","INFO",IF(ABS(AG190)&lt;=Inputs!$B$54,"OK","CHECK")))))</f>
        <v/>
      </c>
      <c r="AI190" s="11" t="str">
        <f t="shared" si="37"/>
        <v/>
      </c>
      <c r="AJ190" s="11" t="str">
        <f>IF(A190="","",IF(OR(AND(UPPER(TRIM(B190))="SWALE",UPPER(TRIM(AI190))="PIPE"),AND(UPPER(TRIM(B190))="TRENCH",UPPER(TRIM(AI190))="PIPE")),Inputs!$B$55,0))</f>
        <v/>
      </c>
      <c r="AK190" s="11" t="str">
        <f>IF(A190="","",IF(OR(AND(UPPER(TRIM(B190))="SWALE",UPPER(TRIM(AI190))="PIPE"),AND(UPPER(TRIM(B190))="TRENCH",UPPER(TRIM(AI190))="PIPE")),Inputs!$B$56,Inputs!$B$54))</f>
        <v/>
      </c>
      <c r="AL190" s="3" t="str">
        <f t="shared" si="38"/>
        <v/>
      </c>
    </row>
    <row r="191" spans="1:38" x14ac:dyDescent="0.25">
      <c r="A191" s="3"/>
      <c r="B191" s="3"/>
      <c r="C191" s="3"/>
      <c r="D191" s="3"/>
      <c r="E191" s="3"/>
      <c r="F191" s="8"/>
      <c r="G191" s="8"/>
      <c r="H191" s="8"/>
      <c r="I191" s="10" t="str">
        <f>IF(A191="","",IF(H191&lt;&gt;"",H191,IF(UPPER(TRIM(B191))="PIPE",Inputs!$B$7,IF(UPPER(TRIM(B191))="SWALE",Inputs!$B$8,Inputs!$B$9))))</f>
        <v/>
      </c>
      <c r="J191" s="8"/>
      <c r="K191" s="8"/>
      <c r="L191" s="8"/>
      <c r="M191" s="8"/>
      <c r="N191" s="8">
        <v>0</v>
      </c>
      <c r="O191" s="10" t="str">
        <f>IF(A191="","",SUMIFS(Zones_tributaires!$I:$I,Zones_tributaires!$J:$J,$A191))</f>
        <v/>
      </c>
      <c r="P191" s="10" t="str">
        <f t="shared" si="26"/>
        <v/>
      </c>
      <c r="Q191" s="10" t="str">
        <f>IF(A191="","",(O191+P191)*Inputs!$B$6)</f>
        <v/>
      </c>
      <c r="R191" s="10" t="str">
        <f t="shared" si="27"/>
        <v/>
      </c>
      <c r="S191" s="10" t="str">
        <f t="shared" si="28"/>
        <v/>
      </c>
      <c r="T191" s="10" t="str">
        <f t="shared" si="29"/>
        <v/>
      </c>
      <c r="U191" s="10" t="str">
        <f>IF(OR(T191="",Q191=""),"",Q191/(T191*Inputs!$B$19))</f>
        <v/>
      </c>
      <c r="V191" s="10" t="str">
        <f t="shared" si="30"/>
        <v/>
      </c>
      <c r="W191" s="10" t="str">
        <f t="shared" si="31"/>
        <v/>
      </c>
      <c r="X191" s="10" t="str">
        <f>IF(A191="","",IF(OR(UPPER(TRIM(Inputs!$B$15))="MANNING",UPPER(TRIM(Inputs!$B$15))="M"),W191,IF(OR(UPPER(TRIM(Inputs!$B$15))="MAX",UPPER(TRIM(Inputs!$B$15))="X"),MAX(V191,W191),V191)))</f>
        <v/>
      </c>
      <c r="Y191" s="10" t="str">
        <f t="shared" si="32"/>
        <v/>
      </c>
      <c r="Z191" s="10" t="str">
        <f t="shared" si="33"/>
        <v/>
      </c>
      <c r="AA191" s="3" t="str">
        <f>IF(A191="","",IF(OR(U191&gt;1,AND(X191&lt;&gt;"",X191&lt;Inputs!$B$16),AND(X191&lt;&gt;"",X191&gt;Inputs!$B$17),G191&lt;Inputs!$B$18,AH191="CHECK"),"CHECK","OK"))</f>
        <v/>
      </c>
      <c r="AB191" s="3"/>
      <c r="AC191" s="8"/>
      <c r="AD191" s="10" t="str">
        <f>IF(A191="","",IF(AC191&lt;&gt;"",AC191,IF(E191="",Inputs!$B$38,IFERROR(INDEX($AE$4:$AE$204,MATCH(E191,$A$4:$A$204,0))+IF(OR(AND(UPPER(TRIM(B191))="SWALE",UPPER(TRIM(AI191))="PIPE"),AND(UPPER(TRIM(B191))="TRENCH",UPPER(TRIM(AI191))="PIPE")),Inputs!$B$57,0),""))))</f>
        <v/>
      </c>
      <c r="AE191" s="10" t="str">
        <f t="shared" si="34"/>
        <v/>
      </c>
      <c r="AF191" s="10" t="str">
        <f t="shared" si="35"/>
        <v/>
      </c>
      <c r="AG191" s="10" t="str">
        <f t="shared" si="36"/>
        <v/>
      </c>
      <c r="AH191" s="3" t="str">
        <f>IF(A191="","",IF(E191="","TERMINAL",IF(OR(AND(UPPER(TRIM(B191))="SWALE",UPPER(TRIM(AI191))="PIPE"),AND(UPPER(TRIM(B191))="TRENCH",UPPER(TRIM(AI191))="PIPE")),IF(OR(AG191="",AJ191="",AK191=""),"INFO",IF(AND(AG191&gt;=AJ191,AG191&lt;=AK191),"OK","CHECK")),IF(AG191="","INFO",IF(ABS(AG191)&lt;=Inputs!$B$54,"OK","CHECK")))))</f>
        <v/>
      </c>
      <c r="AI191" s="11" t="str">
        <f t="shared" si="37"/>
        <v/>
      </c>
      <c r="AJ191" s="11" t="str">
        <f>IF(A191="","",IF(OR(AND(UPPER(TRIM(B191))="SWALE",UPPER(TRIM(AI191))="PIPE"),AND(UPPER(TRIM(B191))="TRENCH",UPPER(TRIM(AI191))="PIPE")),Inputs!$B$55,0))</f>
        <v/>
      </c>
      <c r="AK191" s="11" t="str">
        <f>IF(A191="","",IF(OR(AND(UPPER(TRIM(B191))="SWALE",UPPER(TRIM(AI191))="PIPE"),AND(UPPER(TRIM(B191))="TRENCH",UPPER(TRIM(AI191))="PIPE")),Inputs!$B$56,Inputs!$B$54))</f>
        <v/>
      </c>
      <c r="AL191" s="3" t="str">
        <f t="shared" si="38"/>
        <v/>
      </c>
    </row>
    <row r="192" spans="1:38" x14ac:dyDescent="0.25">
      <c r="A192" s="3"/>
      <c r="B192" s="3"/>
      <c r="C192" s="3"/>
      <c r="D192" s="3"/>
      <c r="E192" s="3"/>
      <c r="F192" s="8"/>
      <c r="G192" s="8"/>
      <c r="H192" s="8"/>
      <c r="I192" s="10" t="str">
        <f>IF(A192="","",IF(H192&lt;&gt;"",H192,IF(UPPER(TRIM(B192))="PIPE",Inputs!$B$7,IF(UPPER(TRIM(B192))="SWALE",Inputs!$B$8,Inputs!$B$9))))</f>
        <v/>
      </c>
      <c r="J192" s="8"/>
      <c r="K192" s="8"/>
      <c r="L192" s="8"/>
      <c r="M192" s="8"/>
      <c r="N192" s="8">
        <v>0</v>
      </c>
      <c r="O192" s="10" t="str">
        <f>IF(A192="","",SUMIFS(Zones_tributaires!$I:$I,Zones_tributaires!$J:$J,$A192))</f>
        <v/>
      </c>
      <c r="P192" s="10" t="str">
        <f t="shared" si="26"/>
        <v/>
      </c>
      <c r="Q192" s="10" t="str">
        <f>IF(A192="","",(O192+P192)*Inputs!$B$6)</f>
        <v/>
      </c>
      <c r="R192" s="10" t="str">
        <f t="shared" si="27"/>
        <v/>
      </c>
      <c r="S192" s="10" t="str">
        <f t="shared" si="28"/>
        <v/>
      </c>
      <c r="T192" s="10" t="str">
        <f t="shared" si="29"/>
        <v/>
      </c>
      <c r="U192" s="10" t="str">
        <f>IF(OR(T192="",Q192=""),"",Q192/(T192*Inputs!$B$19))</f>
        <v/>
      </c>
      <c r="V192" s="10" t="str">
        <f t="shared" si="30"/>
        <v/>
      </c>
      <c r="W192" s="10" t="str">
        <f t="shared" si="31"/>
        <v/>
      </c>
      <c r="X192" s="10" t="str">
        <f>IF(A192="","",IF(OR(UPPER(TRIM(Inputs!$B$15))="MANNING",UPPER(TRIM(Inputs!$B$15))="M"),W192,IF(OR(UPPER(TRIM(Inputs!$B$15))="MAX",UPPER(TRIM(Inputs!$B$15))="X"),MAX(V192,W192),V192)))</f>
        <v/>
      </c>
      <c r="Y192" s="10" t="str">
        <f t="shared" si="32"/>
        <v/>
      </c>
      <c r="Z192" s="10" t="str">
        <f t="shared" si="33"/>
        <v/>
      </c>
      <c r="AA192" s="3" t="str">
        <f>IF(A192="","",IF(OR(U192&gt;1,AND(X192&lt;&gt;"",X192&lt;Inputs!$B$16),AND(X192&lt;&gt;"",X192&gt;Inputs!$B$17),G192&lt;Inputs!$B$18,AH192="CHECK"),"CHECK","OK"))</f>
        <v/>
      </c>
      <c r="AB192" s="3"/>
      <c r="AC192" s="8"/>
      <c r="AD192" s="10" t="str">
        <f>IF(A192="","",IF(AC192&lt;&gt;"",AC192,IF(E192="",Inputs!$B$38,IFERROR(INDEX($AE$4:$AE$204,MATCH(E192,$A$4:$A$204,0))+IF(OR(AND(UPPER(TRIM(B192))="SWALE",UPPER(TRIM(AI192))="PIPE"),AND(UPPER(TRIM(B192))="TRENCH",UPPER(TRIM(AI192))="PIPE")),Inputs!$B$57,0),""))))</f>
        <v/>
      </c>
      <c r="AE192" s="10" t="str">
        <f t="shared" si="34"/>
        <v/>
      </c>
      <c r="AF192" s="10" t="str">
        <f t="shared" si="35"/>
        <v/>
      </c>
      <c r="AG192" s="10" t="str">
        <f t="shared" si="36"/>
        <v/>
      </c>
      <c r="AH192" s="3" t="str">
        <f>IF(A192="","",IF(E192="","TERMINAL",IF(OR(AND(UPPER(TRIM(B192))="SWALE",UPPER(TRIM(AI192))="PIPE"),AND(UPPER(TRIM(B192))="TRENCH",UPPER(TRIM(AI192))="PIPE")),IF(OR(AG192="",AJ192="",AK192=""),"INFO",IF(AND(AG192&gt;=AJ192,AG192&lt;=AK192),"OK","CHECK")),IF(AG192="","INFO",IF(ABS(AG192)&lt;=Inputs!$B$54,"OK","CHECK")))))</f>
        <v/>
      </c>
      <c r="AI192" s="11" t="str">
        <f t="shared" si="37"/>
        <v/>
      </c>
      <c r="AJ192" s="11" t="str">
        <f>IF(A192="","",IF(OR(AND(UPPER(TRIM(B192))="SWALE",UPPER(TRIM(AI192))="PIPE"),AND(UPPER(TRIM(B192))="TRENCH",UPPER(TRIM(AI192))="PIPE")),Inputs!$B$55,0))</f>
        <v/>
      </c>
      <c r="AK192" s="11" t="str">
        <f>IF(A192="","",IF(OR(AND(UPPER(TRIM(B192))="SWALE",UPPER(TRIM(AI192))="PIPE"),AND(UPPER(TRIM(B192))="TRENCH",UPPER(TRIM(AI192))="PIPE")),Inputs!$B$56,Inputs!$B$54))</f>
        <v/>
      </c>
      <c r="AL192" s="3" t="str">
        <f t="shared" si="38"/>
        <v/>
      </c>
    </row>
    <row r="193" spans="1:38" x14ac:dyDescent="0.25">
      <c r="A193" s="3"/>
      <c r="B193" s="3"/>
      <c r="C193" s="3"/>
      <c r="D193" s="3"/>
      <c r="E193" s="3"/>
      <c r="F193" s="8"/>
      <c r="G193" s="8"/>
      <c r="H193" s="8"/>
      <c r="I193" s="10" t="str">
        <f>IF(A193="","",IF(H193&lt;&gt;"",H193,IF(UPPER(TRIM(B193))="PIPE",Inputs!$B$7,IF(UPPER(TRIM(B193))="SWALE",Inputs!$B$8,Inputs!$B$9))))</f>
        <v/>
      </c>
      <c r="J193" s="8"/>
      <c r="K193" s="8"/>
      <c r="L193" s="8"/>
      <c r="M193" s="8"/>
      <c r="N193" s="8">
        <v>0</v>
      </c>
      <c r="O193" s="10" t="str">
        <f>IF(A193="","",SUMIFS(Zones_tributaires!$I:$I,Zones_tributaires!$J:$J,$A193))</f>
        <v/>
      </c>
      <c r="P193" s="10" t="str">
        <f t="shared" si="26"/>
        <v/>
      </c>
      <c r="Q193" s="10" t="str">
        <f>IF(A193="","",(O193+P193)*Inputs!$B$6)</f>
        <v/>
      </c>
      <c r="R193" s="10" t="str">
        <f t="shared" si="27"/>
        <v/>
      </c>
      <c r="S193" s="10" t="str">
        <f t="shared" si="28"/>
        <v/>
      </c>
      <c r="T193" s="10" t="str">
        <f t="shared" si="29"/>
        <v/>
      </c>
      <c r="U193" s="10" t="str">
        <f>IF(OR(T193="",Q193=""),"",Q193/(T193*Inputs!$B$19))</f>
        <v/>
      </c>
      <c r="V193" s="10" t="str">
        <f t="shared" si="30"/>
        <v/>
      </c>
      <c r="W193" s="10" t="str">
        <f t="shared" si="31"/>
        <v/>
      </c>
      <c r="X193" s="10" t="str">
        <f>IF(A193="","",IF(OR(UPPER(TRIM(Inputs!$B$15))="MANNING",UPPER(TRIM(Inputs!$B$15))="M"),W193,IF(OR(UPPER(TRIM(Inputs!$B$15))="MAX",UPPER(TRIM(Inputs!$B$15))="X"),MAX(V193,W193),V193)))</f>
        <v/>
      </c>
      <c r="Y193" s="10" t="str">
        <f t="shared" si="32"/>
        <v/>
      </c>
      <c r="Z193" s="10" t="str">
        <f t="shared" si="33"/>
        <v/>
      </c>
      <c r="AA193" s="3" t="str">
        <f>IF(A193="","",IF(OR(U193&gt;1,AND(X193&lt;&gt;"",X193&lt;Inputs!$B$16),AND(X193&lt;&gt;"",X193&gt;Inputs!$B$17),G193&lt;Inputs!$B$18,AH193="CHECK"),"CHECK","OK"))</f>
        <v/>
      </c>
      <c r="AB193" s="3"/>
      <c r="AC193" s="8"/>
      <c r="AD193" s="10" t="str">
        <f>IF(A193="","",IF(AC193&lt;&gt;"",AC193,IF(E193="",Inputs!$B$38,IFERROR(INDEX($AE$4:$AE$204,MATCH(E193,$A$4:$A$204,0))+IF(OR(AND(UPPER(TRIM(B193))="SWALE",UPPER(TRIM(AI193))="PIPE"),AND(UPPER(TRIM(B193))="TRENCH",UPPER(TRIM(AI193))="PIPE")),Inputs!$B$57,0),""))))</f>
        <v/>
      </c>
      <c r="AE193" s="10" t="str">
        <f t="shared" si="34"/>
        <v/>
      </c>
      <c r="AF193" s="10" t="str">
        <f t="shared" si="35"/>
        <v/>
      </c>
      <c r="AG193" s="10" t="str">
        <f t="shared" si="36"/>
        <v/>
      </c>
      <c r="AH193" s="3" t="str">
        <f>IF(A193="","",IF(E193="","TERMINAL",IF(OR(AND(UPPER(TRIM(B193))="SWALE",UPPER(TRIM(AI193))="PIPE"),AND(UPPER(TRIM(B193))="TRENCH",UPPER(TRIM(AI193))="PIPE")),IF(OR(AG193="",AJ193="",AK193=""),"INFO",IF(AND(AG193&gt;=AJ193,AG193&lt;=AK193),"OK","CHECK")),IF(AG193="","INFO",IF(ABS(AG193)&lt;=Inputs!$B$54,"OK","CHECK")))))</f>
        <v/>
      </c>
      <c r="AI193" s="11" t="str">
        <f t="shared" si="37"/>
        <v/>
      </c>
      <c r="AJ193" s="11" t="str">
        <f>IF(A193="","",IF(OR(AND(UPPER(TRIM(B193))="SWALE",UPPER(TRIM(AI193))="PIPE"),AND(UPPER(TRIM(B193))="TRENCH",UPPER(TRIM(AI193))="PIPE")),Inputs!$B$55,0))</f>
        <v/>
      </c>
      <c r="AK193" s="11" t="str">
        <f>IF(A193="","",IF(OR(AND(UPPER(TRIM(B193))="SWALE",UPPER(TRIM(AI193))="PIPE"),AND(UPPER(TRIM(B193))="TRENCH",UPPER(TRIM(AI193))="PIPE")),Inputs!$B$56,Inputs!$B$54))</f>
        <v/>
      </c>
      <c r="AL193" s="3" t="str">
        <f t="shared" si="38"/>
        <v/>
      </c>
    </row>
    <row r="194" spans="1:38" x14ac:dyDescent="0.25">
      <c r="A194" s="3"/>
      <c r="B194" s="3"/>
      <c r="C194" s="3"/>
      <c r="D194" s="3"/>
      <c r="E194" s="3"/>
      <c r="F194" s="8"/>
      <c r="G194" s="8"/>
      <c r="H194" s="8"/>
      <c r="I194" s="10" t="str">
        <f>IF(A194="","",IF(H194&lt;&gt;"",H194,IF(UPPER(TRIM(B194))="PIPE",Inputs!$B$7,IF(UPPER(TRIM(B194))="SWALE",Inputs!$B$8,Inputs!$B$9))))</f>
        <v/>
      </c>
      <c r="J194" s="8"/>
      <c r="K194" s="8"/>
      <c r="L194" s="8"/>
      <c r="M194" s="8"/>
      <c r="N194" s="8">
        <v>0</v>
      </c>
      <c r="O194" s="10" t="str">
        <f>IF(A194="","",SUMIFS(Zones_tributaires!$I:$I,Zones_tributaires!$J:$J,$A194))</f>
        <v/>
      </c>
      <c r="P194" s="10" t="str">
        <f t="shared" si="26"/>
        <v/>
      </c>
      <c r="Q194" s="10" t="str">
        <f>IF(A194="","",(O194+P194)*Inputs!$B$6)</f>
        <v/>
      </c>
      <c r="R194" s="10" t="str">
        <f t="shared" si="27"/>
        <v/>
      </c>
      <c r="S194" s="10" t="str">
        <f t="shared" si="28"/>
        <v/>
      </c>
      <c r="T194" s="10" t="str">
        <f t="shared" si="29"/>
        <v/>
      </c>
      <c r="U194" s="10" t="str">
        <f>IF(OR(T194="",Q194=""),"",Q194/(T194*Inputs!$B$19))</f>
        <v/>
      </c>
      <c r="V194" s="10" t="str">
        <f t="shared" si="30"/>
        <v/>
      </c>
      <c r="W194" s="10" t="str">
        <f t="shared" si="31"/>
        <v/>
      </c>
      <c r="X194" s="10" t="str">
        <f>IF(A194="","",IF(OR(UPPER(TRIM(Inputs!$B$15))="MANNING",UPPER(TRIM(Inputs!$B$15))="M"),W194,IF(OR(UPPER(TRIM(Inputs!$B$15))="MAX",UPPER(TRIM(Inputs!$B$15))="X"),MAX(V194,W194),V194)))</f>
        <v/>
      </c>
      <c r="Y194" s="10" t="str">
        <f t="shared" si="32"/>
        <v/>
      </c>
      <c r="Z194" s="10" t="str">
        <f t="shared" si="33"/>
        <v/>
      </c>
      <c r="AA194" s="3" t="str">
        <f>IF(A194="","",IF(OR(U194&gt;1,AND(X194&lt;&gt;"",X194&lt;Inputs!$B$16),AND(X194&lt;&gt;"",X194&gt;Inputs!$B$17),G194&lt;Inputs!$B$18,AH194="CHECK"),"CHECK","OK"))</f>
        <v/>
      </c>
      <c r="AB194" s="3"/>
      <c r="AC194" s="8"/>
      <c r="AD194" s="10" t="str">
        <f>IF(A194="","",IF(AC194&lt;&gt;"",AC194,IF(E194="",Inputs!$B$38,IFERROR(INDEX($AE$4:$AE$204,MATCH(E194,$A$4:$A$204,0))+IF(OR(AND(UPPER(TRIM(B194))="SWALE",UPPER(TRIM(AI194))="PIPE"),AND(UPPER(TRIM(B194))="TRENCH",UPPER(TRIM(AI194))="PIPE")),Inputs!$B$57,0),""))))</f>
        <v/>
      </c>
      <c r="AE194" s="10" t="str">
        <f t="shared" si="34"/>
        <v/>
      </c>
      <c r="AF194" s="10" t="str">
        <f t="shared" si="35"/>
        <v/>
      </c>
      <c r="AG194" s="10" t="str">
        <f t="shared" si="36"/>
        <v/>
      </c>
      <c r="AH194" s="3" t="str">
        <f>IF(A194="","",IF(E194="","TERMINAL",IF(OR(AND(UPPER(TRIM(B194))="SWALE",UPPER(TRIM(AI194))="PIPE"),AND(UPPER(TRIM(B194))="TRENCH",UPPER(TRIM(AI194))="PIPE")),IF(OR(AG194="",AJ194="",AK194=""),"INFO",IF(AND(AG194&gt;=AJ194,AG194&lt;=AK194),"OK","CHECK")),IF(AG194="","INFO",IF(ABS(AG194)&lt;=Inputs!$B$54,"OK","CHECK")))))</f>
        <v/>
      </c>
      <c r="AI194" s="11" t="str">
        <f t="shared" si="37"/>
        <v/>
      </c>
      <c r="AJ194" s="11" t="str">
        <f>IF(A194="","",IF(OR(AND(UPPER(TRIM(B194))="SWALE",UPPER(TRIM(AI194))="PIPE"),AND(UPPER(TRIM(B194))="TRENCH",UPPER(TRIM(AI194))="PIPE")),Inputs!$B$55,0))</f>
        <v/>
      </c>
      <c r="AK194" s="11" t="str">
        <f>IF(A194="","",IF(OR(AND(UPPER(TRIM(B194))="SWALE",UPPER(TRIM(AI194))="PIPE"),AND(UPPER(TRIM(B194))="TRENCH",UPPER(TRIM(AI194))="PIPE")),Inputs!$B$56,Inputs!$B$54))</f>
        <v/>
      </c>
      <c r="AL194" s="3" t="str">
        <f t="shared" si="38"/>
        <v/>
      </c>
    </row>
    <row r="195" spans="1:38" x14ac:dyDescent="0.25">
      <c r="A195" s="3"/>
      <c r="B195" s="3"/>
      <c r="C195" s="3"/>
      <c r="D195" s="3"/>
      <c r="E195" s="3"/>
      <c r="F195" s="8"/>
      <c r="G195" s="8"/>
      <c r="H195" s="8"/>
      <c r="I195" s="10" t="str">
        <f>IF(A195="","",IF(H195&lt;&gt;"",H195,IF(UPPER(TRIM(B195))="PIPE",Inputs!$B$7,IF(UPPER(TRIM(B195))="SWALE",Inputs!$B$8,Inputs!$B$9))))</f>
        <v/>
      </c>
      <c r="J195" s="8"/>
      <c r="K195" s="8"/>
      <c r="L195" s="8"/>
      <c r="M195" s="8"/>
      <c r="N195" s="8">
        <v>0</v>
      </c>
      <c r="O195" s="10" t="str">
        <f>IF(A195="","",SUMIFS(Zones_tributaires!$I:$I,Zones_tributaires!$J:$J,$A195))</f>
        <v/>
      </c>
      <c r="P195" s="10" t="str">
        <f t="shared" si="26"/>
        <v/>
      </c>
      <c r="Q195" s="10" t="str">
        <f>IF(A195="","",(O195+P195)*Inputs!$B$6)</f>
        <v/>
      </c>
      <c r="R195" s="10" t="str">
        <f t="shared" si="27"/>
        <v/>
      </c>
      <c r="S195" s="10" t="str">
        <f t="shared" si="28"/>
        <v/>
      </c>
      <c r="T195" s="10" t="str">
        <f t="shared" si="29"/>
        <v/>
      </c>
      <c r="U195" s="10" t="str">
        <f>IF(OR(T195="",Q195=""),"",Q195/(T195*Inputs!$B$19))</f>
        <v/>
      </c>
      <c r="V195" s="10" t="str">
        <f t="shared" si="30"/>
        <v/>
      </c>
      <c r="W195" s="10" t="str">
        <f t="shared" si="31"/>
        <v/>
      </c>
      <c r="X195" s="10" t="str">
        <f>IF(A195="","",IF(OR(UPPER(TRIM(Inputs!$B$15))="MANNING",UPPER(TRIM(Inputs!$B$15))="M"),W195,IF(OR(UPPER(TRIM(Inputs!$B$15))="MAX",UPPER(TRIM(Inputs!$B$15))="X"),MAX(V195,W195),V195)))</f>
        <v/>
      </c>
      <c r="Y195" s="10" t="str">
        <f t="shared" si="32"/>
        <v/>
      </c>
      <c r="Z195" s="10" t="str">
        <f t="shared" si="33"/>
        <v/>
      </c>
      <c r="AA195" s="3" t="str">
        <f>IF(A195="","",IF(OR(U195&gt;1,AND(X195&lt;&gt;"",X195&lt;Inputs!$B$16),AND(X195&lt;&gt;"",X195&gt;Inputs!$B$17),G195&lt;Inputs!$B$18,AH195="CHECK"),"CHECK","OK"))</f>
        <v/>
      </c>
      <c r="AB195" s="3"/>
      <c r="AC195" s="8"/>
      <c r="AD195" s="10" t="str">
        <f>IF(A195="","",IF(AC195&lt;&gt;"",AC195,IF(E195="",Inputs!$B$38,IFERROR(INDEX($AE$4:$AE$204,MATCH(E195,$A$4:$A$204,0))+IF(OR(AND(UPPER(TRIM(B195))="SWALE",UPPER(TRIM(AI195))="PIPE"),AND(UPPER(TRIM(B195))="TRENCH",UPPER(TRIM(AI195))="PIPE")),Inputs!$B$57,0),""))))</f>
        <v/>
      </c>
      <c r="AE195" s="10" t="str">
        <f t="shared" si="34"/>
        <v/>
      </c>
      <c r="AF195" s="10" t="str">
        <f t="shared" si="35"/>
        <v/>
      </c>
      <c r="AG195" s="10" t="str">
        <f t="shared" si="36"/>
        <v/>
      </c>
      <c r="AH195" s="3" t="str">
        <f>IF(A195="","",IF(E195="","TERMINAL",IF(OR(AND(UPPER(TRIM(B195))="SWALE",UPPER(TRIM(AI195))="PIPE"),AND(UPPER(TRIM(B195))="TRENCH",UPPER(TRIM(AI195))="PIPE")),IF(OR(AG195="",AJ195="",AK195=""),"INFO",IF(AND(AG195&gt;=AJ195,AG195&lt;=AK195),"OK","CHECK")),IF(AG195="","INFO",IF(ABS(AG195)&lt;=Inputs!$B$54,"OK","CHECK")))))</f>
        <v/>
      </c>
      <c r="AI195" s="11" t="str">
        <f t="shared" si="37"/>
        <v/>
      </c>
      <c r="AJ195" s="11" t="str">
        <f>IF(A195="","",IF(OR(AND(UPPER(TRIM(B195))="SWALE",UPPER(TRIM(AI195))="PIPE"),AND(UPPER(TRIM(B195))="TRENCH",UPPER(TRIM(AI195))="PIPE")),Inputs!$B$55,0))</f>
        <v/>
      </c>
      <c r="AK195" s="11" t="str">
        <f>IF(A195="","",IF(OR(AND(UPPER(TRIM(B195))="SWALE",UPPER(TRIM(AI195))="PIPE"),AND(UPPER(TRIM(B195))="TRENCH",UPPER(TRIM(AI195))="PIPE")),Inputs!$B$56,Inputs!$B$54))</f>
        <v/>
      </c>
      <c r="AL195" s="3" t="str">
        <f t="shared" si="38"/>
        <v/>
      </c>
    </row>
    <row r="196" spans="1:38" x14ac:dyDescent="0.25">
      <c r="A196" s="3"/>
      <c r="B196" s="3"/>
      <c r="C196" s="3"/>
      <c r="D196" s="3"/>
      <c r="E196" s="3"/>
      <c r="F196" s="8"/>
      <c r="G196" s="8"/>
      <c r="H196" s="8"/>
      <c r="I196" s="10" t="str">
        <f>IF(A196="","",IF(H196&lt;&gt;"",H196,IF(UPPER(TRIM(B196))="PIPE",Inputs!$B$7,IF(UPPER(TRIM(B196))="SWALE",Inputs!$B$8,Inputs!$B$9))))</f>
        <v/>
      </c>
      <c r="J196" s="8"/>
      <c r="K196" s="8"/>
      <c r="L196" s="8"/>
      <c r="M196" s="8"/>
      <c r="N196" s="8">
        <v>0</v>
      </c>
      <c r="O196" s="10" t="str">
        <f>IF(A196="","",SUMIFS(Zones_tributaires!$I:$I,Zones_tributaires!$J:$J,$A196))</f>
        <v/>
      </c>
      <c r="P196" s="10" t="str">
        <f t="shared" ref="P196:P204" si="39">IF(A196="","",SUMIFS($Q$4:$Q$204,$E$4:$E$204,$A196))</f>
        <v/>
      </c>
      <c r="Q196" s="10" t="str">
        <f>IF(A196="","",(O196+P196)*Inputs!$B$6)</f>
        <v/>
      </c>
      <c r="R196" s="10" t="str">
        <f t="shared" ref="R196:R204" si="40">IF(A196="","",IF(UPPER(TRIM(B196))="PIPE",PI()*(J196/1000)^2/4,IF(OR(K196="",L196=""),"",L196*(K196+M196*L196))))</f>
        <v/>
      </c>
      <c r="S196" s="10" t="str">
        <f t="shared" ref="S196:S204" si="41">IF(A196="","",IF(UPPER(TRIM(B196))="PIPE",(J196/1000)/4,IF(OR(R196="",K196="",L196=""),"",R196/(K196+2*L196*SQRT(1+M196^2)))))</f>
        <v/>
      </c>
      <c r="T196" s="10" t="str">
        <f t="shared" ref="T196:T204" si="42">IF(A196="","",IF(OR(I196="",R196="",S196="",G196=""),"",(1/I196)*R196*(S196^(2/3))*SQRT(G196)))</f>
        <v/>
      </c>
      <c r="U196" s="10" t="str">
        <f>IF(OR(T196="",Q196=""),"",Q196/(T196*Inputs!$B$19))</f>
        <v/>
      </c>
      <c r="V196" s="10" t="str">
        <f t="shared" ref="V196:V204" si="43">IF(OR(R196="",Q196=""),"",Q196/R196)</f>
        <v/>
      </c>
      <c r="W196" s="10" t="str">
        <f t="shared" ref="W196:W204" si="44">IF(OR(R196="",T196=""),"",T196/R196)</f>
        <v/>
      </c>
      <c r="X196" s="10" t="str">
        <f>IF(A196="","",IF(OR(UPPER(TRIM(Inputs!$B$15))="MANNING",UPPER(TRIM(Inputs!$B$15))="M"),W196,IF(OR(UPPER(TRIM(Inputs!$B$15))="MAX",UPPER(TRIM(Inputs!$B$15))="X"),MAX(V196,W196),V196)))</f>
        <v/>
      </c>
      <c r="Y196" s="10" t="str">
        <f t="shared" ref="Y196:Y204" si="45">IF(A196="","",IF(UPPER(TRIM(B196))="TRENCH",K196*L196*N196,IF(UPPER(TRIM(B196))="SWALE",K196*L196,0)))</f>
        <v/>
      </c>
      <c r="Z196" s="10" t="str">
        <f t="shared" ref="Z196:Z204" si="46">IF(OR(Y196="",F196=""),"",Y196*F196)</f>
        <v/>
      </c>
      <c r="AA196" s="3" t="str">
        <f>IF(A196="","",IF(OR(U196&gt;1,AND(X196&lt;&gt;"",X196&lt;Inputs!$B$16),AND(X196&lt;&gt;"",X196&gt;Inputs!$B$17),G196&lt;Inputs!$B$18,AH196="CHECK"),"CHECK","OK"))</f>
        <v/>
      </c>
      <c r="AB196" s="3"/>
      <c r="AC196" s="8"/>
      <c r="AD196" s="10" t="str">
        <f>IF(A196="","",IF(AC196&lt;&gt;"",AC196,IF(E196="",Inputs!$B$38,IFERROR(INDEX($AE$4:$AE$204,MATCH(E196,$A$4:$A$204,0))+IF(OR(AND(UPPER(TRIM(B196))="SWALE",UPPER(TRIM(AI196))="PIPE"),AND(UPPER(TRIM(B196))="TRENCH",UPPER(TRIM(AI196))="PIPE")),Inputs!$B$57,0),""))))</f>
        <v/>
      </c>
      <c r="AE196" s="10" t="str">
        <f t="shared" ref="AE196:AE204" si="47">IF(OR(AD196="",F196="",G196=""),"",AD196+F196*G196)</f>
        <v/>
      </c>
      <c r="AF196" s="10" t="str">
        <f t="shared" ref="AF196:AF204" si="48">IF(OR(E196="",A196=""),"",IFERROR(INDEX($AE$4:$AE$204,MATCH(E196,$A$4:$A$204,0)),""))</f>
        <v/>
      </c>
      <c r="AG196" s="10" t="str">
        <f t="shared" ref="AG196:AG204" si="49">IF(OR(AD196="",AF196=""),"",AD196-AF196)</f>
        <v/>
      </c>
      <c r="AH196" s="3" t="str">
        <f>IF(A196="","",IF(E196="","TERMINAL",IF(OR(AND(UPPER(TRIM(B196))="SWALE",UPPER(TRIM(AI196))="PIPE"),AND(UPPER(TRIM(B196))="TRENCH",UPPER(TRIM(AI196))="PIPE")),IF(OR(AG196="",AJ196="",AK196=""),"INFO",IF(AND(AG196&gt;=AJ196,AG196&lt;=AK196),"OK","CHECK")),IF(AG196="","INFO",IF(ABS(AG196)&lt;=Inputs!$B$54,"OK","CHECK")))))</f>
        <v/>
      </c>
      <c r="AI196" s="11" t="str">
        <f t="shared" ref="AI196:AI204" si="50">IF(A196="","",IF(E196="","",IFERROR(INDEX($B$4:$B$204,MATCH(E196,$A$4:$A$204,0)),"")))</f>
        <v/>
      </c>
      <c r="AJ196" s="11" t="str">
        <f>IF(A196="","",IF(OR(AND(UPPER(TRIM(B196))="SWALE",UPPER(TRIM(AI196))="PIPE"),AND(UPPER(TRIM(B196))="TRENCH",UPPER(TRIM(AI196))="PIPE")),Inputs!$B$55,0))</f>
        <v/>
      </c>
      <c r="AK196" s="11" t="str">
        <f>IF(A196="","",IF(OR(AND(UPPER(TRIM(B196))="SWALE",UPPER(TRIM(AI196))="PIPE"),AND(UPPER(TRIM(B196))="TRENCH",UPPER(TRIM(AI196))="PIPE")),Inputs!$B$56,Inputs!$B$54))</f>
        <v/>
      </c>
      <c r="AL196" s="3" t="str">
        <f t="shared" ref="AL196:AL204" si="51">IF(A196="","",IF(E196="","TERMINAL",IF(OR(AND(UPPER(TRIM(B196))="SWALE",UPPER(TRIM(AI196))="PIPE"),AND(UPPER(TRIM(B196))="TRENCH",UPPER(TRIM(AI196))="PIPE")),IF(OR(AG196="",AJ196="",AK196=""),"INFO",IF(AND(AG196&gt;=AJ196,AG196&lt;=AK196),"OK","CHECK")),"N/A")))</f>
        <v/>
      </c>
    </row>
    <row r="197" spans="1:38" x14ac:dyDescent="0.25">
      <c r="A197" s="3"/>
      <c r="B197" s="3"/>
      <c r="C197" s="3"/>
      <c r="D197" s="3"/>
      <c r="E197" s="3"/>
      <c r="F197" s="8"/>
      <c r="G197" s="8"/>
      <c r="H197" s="8"/>
      <c r="I197" s="10" t="str">
        <f>IF(A197="","",IF(H197&lt;&gt;"",H197,IF(UPPER(TRIM(B197))="PIPE",Inputs!$B$7,IF(UPPER(TRIM(B197))="SWALE",Inputs!$B$8,Inputs!$B$9))))</f>
        <v/>
      </c>
      <c r="J197" s="8"/>
      <c r="K197" s="8"/>
      <c r="L197" s="8"/>
      <c r="M197" s="8"/>
      <c r="N197" s="8">
        <v>0</v>
      </c>
      <c r="O197" s="10" t="str">
        <f>IF(A197="","",SUMIFS(Zones_tributaires!$I:$I,Zones_tributaires!$J:$J,$A197))</f>
        <v/>
      </c>
      <c r="P197" s="10" t="str">
        <f t="shared" si="39"/>
        <v/>
      </c>
      <c r="Q197" s="10" t="str">
        <f>IF(A197="","",(O197+P197)*Inputs!$B$6)</f>
        <v/>
      </c>
      <c r="R197" s="10" t="str">
        <f t="shared" si="40"/>
        <v/>
      </c>
      <c r="S197" s="10" t="str">
        <f t="shared" si="41"/>
        <v/>
      </c>
      <c r="T197" s="10" t="str">
        <f t="shared" si="42"/>
        <v/>
      </c>
      <c r="U197" s="10" t="str">
        <f>IF(OR(T197="",Q197=""),"",Q197/(T197*Inputs!$B$19))</f>
        <v/>
      </c>
      <c r="V197" s="10" t="str">
        <f t="shared" si="43"/>
        <v/>
      </c>
      <c r="W197" s="10" t="str">
        <f t="shared" si="44"/>
        <v/>
      </c>
      <c r="X197" s="10" t="str">
        <f>IF(A197="","",IF(OR(UPPER(TRIM(Inputs!$B$15))="MANNING",UPPER(TRIM(Inputs!$B$15))="M"),W197,IF(OR(UPPER(TRIM(Inputs!$B$15))="MAX",UPPER(TRIM(Inputs!$B$15))="X"),MAX(V197,W197),V197)))</f>
        <v/>
      </c>
      <c r="Y197" s="10" t="str">
        <f t="shared" si="45"/>
        <v/>
      </c>
      <c r="Z197" s="10" t="str">
        <f t="shared" si="46"/>
        <v/>
      </c>
      <c r="AA197" s="3" t="str">
        <f>IF(A197="","",IF(OR(U197&gt;1,AND(X197&lt;&gt;"",X197&lt;Inputs!$B$16),AND(X197&lt;&gt;"",X197&gt;Inputs!$B$17),G197&lt;Inputs!$B$18,AH197="CHECK"),"CHECK","OK"))</f>
        <v/>
      </c>
      <c r="AB197" s="3"/>
      <c r="AC197" s="8"/>
      <c r="AD197" s="10" t="str">
        <f>IF(A197="","",IF(AC197&lt;&gt;"",AC197,IF(E197="",Inputs!$B$38,IFERROR(INDEX($AE$4:$AE$204,MATCH(E197,$A$4:$A$204,0))+IF(OR(AND(UPPER(TRIM(B197))="SWALE",UPPER(TRIM(AI197))="PIPE"),AND(UPPER(TRIM(B197))="TRENCH",UPPER(TRIM(AI197))="PIPE")),Inputs!$B$57,0),""))))</f>
        <v/>
      </c>
      <c r="AE197" s="10" t="str">
        <f t="shared" si="47"/>
        <v/>
      </c>
      <c r="AF197" s="10" t="str">
        <f t="shared" si="48"/>
        <v/>
      </c>
      <c r="AG197" s="10" t="str">
        <f t="shared" si="49"/>
        <v/>
      </c>
      <c r="AH197" s="3" t="str">
        <f>IF(A197="","",IF(E197="","TERMINAL",IF(OR(AND(UPPER(TRIM(B197))="SWALE",UPPER(TRIM(AI197))="PIPE"),AND(UPPER(TRIM(B197))="TRENCH",UPPER(TRIM(AI197))="PIPE")),IF(OR(AG197="",AJ197="",AK197=""),"INFO",IF(AND(AG197&gt;=AJ197,AG197&lt;=AK197),"OK","CHECK")),IF(AG197="","INFO",IF(ABS(AG197)&lt;=Inputs!$B$54,"OK","CHECK")))))</f>
        <v/>
      </c>
      <c r="AI197" s="11" t="str">
        <f t="shared" si="50"/>
        <v/>
      </c>
      <c r="AJ197" s="11" t="str">
        <f>IF(A197="","",IF(OR(AND(UPPER(TRIM(B197))="SWALE",UPPER(TRIM(AI197))="PIPE"),AND(UPPER(TRIM(B197))="TRENCH",UPPER(TRIM(AI197))="PIPE")),Inputs!$B$55,0))</f>
        <v/>
      </c>
      <c r="AK197" s="11" t="str">
        <f>IF(A197="","",IF(OR(AND(UPPER(TRIM(B197))="SWALE",UPPER(TRIM(AI197))="PIPE"),AND(UPPER(TRIM(B197))="TRENCH",UPPER(TRIM(AI197))="PIPE")),Inputs!$B$56,Inputs!$B$54))</f>
        <v/>
      </c>
      <c r="AL197" s="3" t="str">
        <f t="shared" si="51"/>
        <v/>
      </c>
    </row>
    <row r="198" spans="1:38" x14ac:dyDescent="0.25">
      <c r="A198" s="3"/>
      <c r="B198" s="3"/>
      <c r="C198" s="3"/>
      <c r="D198" s="3"/>
      <c r="E198" s="3"/>
      <c r="F198" s="8"/>
      <c r="G198" s="8"/>
      <c r="H198" s="8"/>
      <c r="I198" s="10" t="str">
        <f>IF(A198="","",IF(H198&lt;&gt;"",H198,IF(UPPER(TRIM(B198))="PIPE",Inputs!$B$7,IF(UPPER(TRIM(B198))="SWALE",Inputs!$B$8,Inputs!$B$9))))</f>
        <v/>
      </c>
      <c r="J198" s="8"/>
      <c r="K198" s="8"/>
      <c r="L198" s="8"/>
      <c r="M198" s="8"/>
      <c r="N198" s="8">
        <v>0</v>
      </c>
      <c r="O198" s="10" t="str">
        <f>IF(A198="","",SUMIFS(Zones_tributaires!$I:$I,Zones_tributaires!$J:$J,$A198))</f>
        <v/>
      </c>
      <c r="P198" s="10" t="str">
        <f t="shared" si="39"/>
        <v/>
      </c>
      <c r="Q198" s="10" t="str">
        <f>IF(A198="","",(O198+P198)*Inputs!$B$6)</f>
        <v/>
      </c>
      <c r="R198" s="10" t="str">
        <f t="shared" si="40"/>
        <v/>
      </c>
      <c r="S198" s="10" t="str">
        <f t="shared" si="41"/>
        <v/>
      </c>
      <c r="T198" s="10" t="str">
        <f t="shared" si="42"/>
        <v/>
      </c>
      <c r="U198" s="10" t="str">
        <f>IF(OR(T198="",Q198=""),"",Q198/(T198*Inputs!$B$19))</f>
        <v/>
      </c>
      <c r="V198" s="10" t="str">
        <f t="shared" si="43"/>
        <v/>
      </c>
      <c r="W198" s="10" t="str">
        <f t="shared" si="44"/>
        <v/>
      </c>
      <c r="X198" s="10" t="str">
        <f>IF(A198="","",IF(OR(UPPER(TRIM(Inputs!$B$15))="MANNING",UPPER(TRIM(Inputs!$B$15))="M"),W198,IF(OR(UPPER(TRIM(Inputs!$B$15))="MAX",UPPER(TRIM(Inputs!$B$15))="X"),MAX(V198,W198),V198)))</f>
        <v/>
      </c>
      <c r="Y198" s="10" t="str">
        <f t="shared" si="45"/>
        <v/>
      </c>
      <c r="Z198" s="10" t="str">
        <f t="shared" si="46"/>
        <v/>
      </c>
      <c r="AA198" s="3" t="str">
        <f>IF(A198="","",IF(OR(U198&gt;1,AND(X198&lt;&gt;"",X198&lt;Inputs!$B$16),AND(X198&lt;&gt;"",X198&gt;Inputs!$B$17),G198&lt;Inputs!$B$18,AH198="CHECK"),"CHECK","OK"))</f>
        <v/>
      </c>
      <c r="AB198" s="3"/>
      <c r="AC198" s="8"/>
      <c r="AD198" s="10" t="str">
        <f>IF(A198="","",IF(AC198&lt;&gt;"",AC198,IF(E198="",Inputs!$B$38,IFERROR(INDEX($AE$4:$AE$204,MATCH(E198,$A$4:$A$204,0))+IF(OR(AND(UPPER(TRIM(B198))="SWALE",UPPER(TRIM(AI198))="PIPE"),AND(UPPER(TRIM(B198))="TRENCH",UPPER(TRIM(AI198))="PIPE")),Inputs!$B$57,0),""))))</f>
        <v/>
      </c>
      <c r="AE198" s="10" t="str">
        <f t="shared" si="47"/>
        <v/>
      </c>
      <c r="AF198" s="10" t="str">
        <f t="shared" si="48"/>
        <v/>
      </c>
      <c r="AG198" s="10" t="str">
        <f t="shared" si="49"/>
        <v/>
      </c>
      <c r="AH198" s="3" t="str">
        <f>IF(A198="","",IF(E198="","TERMINAL",IF(OR(AND(UPPER(TRIM(B198))="SWALE",UPPER(TRIM(AI198))="PIPE"),AND(UPPER(TRIM(B198))="TRENCH",UPPER(TRIM(AI198))="PIPE")),IF(OR(AG198="",AJ198="",AK198=""),"INFO",IF(AND(AG198&gt;=AJ198,AG198&lt;=AK198),"OK","CHECK")),IF(AG198="","INFO",IF(ABS(AG198)&lt;=Inputs!$B$54,"OK","CHECK")))))</f>
        <v/>
      </c>
      <c r="AI198" s="11" t="str">
        <f t="shared" si="50"/>
        <v/>
      </c>
      <c r="AJ198" s="11" t="str">
        <f>IF(A198="","",IF(OR(AND(UPPER(TRIM(B198))="SWALE",UPPER(TRIM(AI198))="PIPE"),AND(UPPER(TRIM(B198))="TRENCH",UPPER(TRIM(AI198))="PIPE")),Inputs!$B$55,0))</f>
        <v/>
      </c>
      <c r="AK198" s="11" t="str">
        <f>IF(A198="","",IF(OR(AND(UPPER(TRIM(B198))="SWALE",UPPER(TRIM(AI198))="PIPE"),AND(UPPER(TRIM(B198))="TRENCH",UPPER(TRIM(AI198))="PIPE")),Inputs!$B$56,Inputs!$B$54))</f>
        <v/>
      </c>
      <c r="AL198" s="3" t="str">
        <f t="shared" si="51"/>
        <v/>
      </c>
    </row>
    <row r="199" spans="1:38" x14ac:dyDescent="0.25">
      <c r="A199" s="3"/>
      <c r="B199" s="3"/>
      <c r="C199" s="3"/>
      <c r="D199" s="3"/>
      <c r="E199" s="3"/>
      <c r="F199" s="8"/>
      <c r="G199" s="8"/>
      <c r="H199" s="8"/>
      <c r="I199" s="10" t="str">
        <f>IF(A199="","",IF(H199&lt;&gt;"",H199,IF(UPPER(TRIM(B199))="PIPE",Inputs!$B$7,IF(UPPER(TRIM(B199))="SWALE",Inputs!$B$8,Inputs!$B$9))))</f>
        <v/>
      </c>
      <c r="J199" s="8"/>
      <c r="K199" s="8"/>
      <c r="L199" s="8"/>
      <c r="M199" s="8"/>
      <c r="N199" s="8">
        <v>0</v>
      </c>
      <c r="O199" s="10" t="str">
        <f>IF(A199="","",SUMIFS(Zones_tributaires!$I:$I,Zones_tributaires!$J:$J,$A199))</f>
        <v/>
      </c>
      <c r="P199" s="10" t="str">
        <f t="shared" si="39"/>
        <v/>
      </c>
      <c r="Q199" s="10" t="str">
        <f>IF(A199="","",(O199+P199)*Inputs!$B$6)</f>
        <v/>
      </c>
      <c r="R199" s="10" t="str">
        <f t="shared" si="40"/>
        <v/>
      </c>
      <c r="S199" s="10" t="str">
        <f t="shared" si="41"/>
        <v/>
      </c>
      <c r="T199" s="10" t="str">
        <f t="shared" si="42"/>
        <v/>
      </c>
      <c r="U199" s="10" t="str">
        <f>IF(OR(T199="",Q199=""),"",Q199/(T199*Inputs!$B$19))</f>
        <v/>
      </c>
      <c r="V199" s="10" t="str">
        <f t="shared" si="43"/>
        <v/>
      </c>
      <c r="W199" s="10" t="str">
        <f t="shared" si="44"/>
        <v/>
      </c>
      <c r="X199" s="10" t="str">
        <f>IF(A199="","",IF(OR(UPPER(TRIM(Inputs!$B$15))="MANNING",UPPER(TRIM(Inputs!$B$15))="M"),W199,IF(OR(UPPER(TRIM(Inputs!$B$15))="MAX",UPPER(TRIM(Inputs!$B$15))="X"),MAX(V199,W199),V199)))</f>
        <v/>
      </c>
      <c r="Y199" s="10" t="str">
        <f t="shared" si="45"/>
        <v/>
      </c>
      <c r="Z199" s="10" t="str">
        <f t="shared" si="46"/>
        <v/>
      </c>
      <c r="AA199" s="3" t="str">
        <f>IF(A199="","",IF(OR(U199&gt;1,AND(X199&lt;&gt;"",X199&lt;Inputs!$B$16),AND(X199&lt;&gt;"",X199&gt;Inputs!$B$17),G199&lt;Inputs!$B$18,AH199="CHECK"),"CHECK","OK"))</f>
        <v/>
      </c>
      <c r="AB199" s="3"/>
      <c r="AC199" s="8"/>
      <c r="AD199" s="10" t="str">
        <f>IF(A199="","",IF(AC199&lt;&gt;"",AC199,IF(E199="",Inputs!$B$38,IFERROR(INDEX($AE$4:$AE$204,MATCH(E199,$A$4:$A$204,0))+IF(OR(AND(UPPER(TRIM(B199))="SWALE",UPPER(TRIM(AI199))="PIPE"),AND(UPPER(TRIM(B199))="TRENCH",UPPER(TRIM(AI199))="PIPE")),Inputs!$B$57,0),""))))</f>
        <v/>
      </c>
      <c r="AE199" s="10" t="str">
        <f t="shared" si="47"/>
        <v/>
      </c>
      <c r="AF199" s="10" t="str">
        <f t="shared" si="48"/>
        <v/>
      </c>
      <c r="AG199" s="10" t="str">
        <f t="shared" si="49"/>
        <v/>
      </c>
      <c r="AH199" s="3" t="str">
        <f>IF(A199="","",IF(E199="","TERMINAL",IF(OR(AND(UPPER(TRIM(B199))="SWALE",UPPER(TRIM(AI199))="PIPE"),AND(UPPER(TRIM(B199))="TRENCH",UPPER(TRIM(AI199))="PIPE")),IF(OR(AG199="",AJ199="",AK199=""),"INFO",IF(AND(AG199&gt;=AJ199,AG199&lt;=AK199),"OK","CHECK")),IF(AG199="","INFO",IF(ABS(AG199)&lt;=Inputs!$B$54,"OK","CHECK")))))</f>
        <v/>
      </c>
      <c r="AI199" s="11" t="str">
        <f t="shared" si="50"/>
        <v/>
      </c>
      <c r="AJ199" s="11" t="str">
        <f>IF(A199="","",IF(OR(AND(UPPER(TRIM(B199))="SWALE",UPPER(TRIM(AI199))="PIPE"),AND(UPPER(TRIM(B199))="TRENCH",UPPER(TRIM(AI199))="PIPE")),Inputs!$B$55,0))</f>
        <v/>
      </c>
      <c r="AK199" s="11" t="str">
        <f>IF(A199="","",IF(OR(AND(UPPER(TRIM(B199))="SWALE",UPPER(TRIM(AI199))="PIPE"),AND(UPPER(TRIM(B199))="TRENCH",UPPER(TRIM(AI199))="PIPE")),Inputs!$B$56,Inputs!$B$54))</f>
        <v/>
      </c>
      <c r="AL199" s="3" t="str">
        <f t="shared" si="51"/>
        <v/>
      </c>
    </row>
    <row r="200" spans="1:38" x14ac:dyDescent="0.25">
      <c r="A200" s="3"/>
      <c r="B200" s="3"/>
      <c r="C200" s="3"/>
      <c r="D200" s="3"/>
      <c r="E200" s="3"/>
      <c r="F200" s="8"/>
      <c r="G200" s="8"/>
      <c r="H200" s="8"/>
      <c r="I200" s="10" t="str">
        <f>IF(A200="","",IF(H200&lt;&gt;"",H200,IF(UPPER(TRIM(B200))="PIPE",Inputs!$B$7,IF(UPPER(TRIM(B200))="SWALE",Inputs!$B$8,Inputs!$B$9))))</f>
        <v/>
      </c>
      <c r="J200" s="8"/>
      <c r="K200" s="8"/>
      <c r="L200" s="8"/>
      <c r="M200" s="8"/>
      <c r="N200" s="8">
        <v>0</v>
      </c>
      <c r="O200" s="10" t="str">
        <f>IF(A200="","",SUMIFS(Zones_tributaires!$I:$I,Zones_tributaires!$J:$J,$A200))</f>
        <v/>
      </c>
      <c r="P200" s="10" t="str">
        <f t="shared" si="39"/>
        <v/>
      </c>
      <c r="Q200" s="10" t="str">
        <f>IF(A200="","",(O200+P200)*Inputs!$B$6)</f>
        <v/>
      </c>
      <c r="R200" s="10" t="str">
        <f t="shared" si="40"/>
        <v/>
      </c>
      <c r="S200" s="10" t="str">
        <f t="shared" si="41"/>
        <v/>
      </c>
      <c r="T200" s="10" t="str">
        <f t="shared" si="42"/>
        <v/>
      </c>
      <c r="U200" s="10" t="str">
        <f>IF(OR(T200="",Q200=""),"",Q200/(T200*Inputs!$B$19))</f>
        <v/>
      </c>
      <c r="V200" s="10" t="str">
        <f t="shared" si="43"/>
        <v/>
      </c>
      <c r="W200" s="10" t="str">
        <f t="shared" si="44"/>
        <v/>
      </c>
      <c r="X200" s="10" t="str">
        <f>IF(A200="","",IF(OR(UPPER(TRIM(Inputs!$B$15))="MANNING",UPPER(TRIM(Inputs!$B$15))="M"),W200,IF(OR(UPPER(TRIM(Inputs!$B$15))="MAX",UPPER(TRIM(Inputs!$B$15))="X"),MAX(V200,W200),V200)))</f>
        <v/>
      </c>
      <c r="Y200" s="10" t="str">
        <f t="shared" si="45"/>
        <v/>
      </c>
      <c r="Z200" s="10" t="str">
        <f t="shared" si="46"/>
        <v/>
      </c>
      <c r="AA200" s="3" t="str">
        <f>IF(A200="","",IF(OR(U200&gt;1,AND(X200&lt;&gt;"",X200&lt;Inputs!$B$16),AND(X200&lt;&gt;"",X200&gt;Inputs!$B$17),G200&lt;Inputs!$B$18,AH200="CHECK"),"CHECK","OK"))</f>
        <v/>
      </c>
      <c r="AB200" s="3"/>
      <c r="AC200" s="8"/>
      <c r="AD200" s="10" t="str">
        <f>IF(A200="","",IF(AC200&lt;&gt;"",AC200,IF(E200="",Inputs!$B$38,IFERROR(INDEX($AE$4:$AE$204,MATCH(E200,$A$4:$A$204,0))+IF(OR(AND(UPPER(TRIM(B200))="SWALE",UPPER(TRIM(AI200))="PIPE"),AND(UPPER(TRIM(B200))="TRENCH",UPPER(TRIM(AI200))="PIPE")),Inputs!$B$57,0),""))))</f>
        <v/>
      </c>
      <c r="AE200" s="10" t="str">
        <f t="shared" si="47"/>
        <v/>
      </c>
      <c r="AF200" s="10" t="str">
        <f t="shared" si="48"/>
        <v/>
      </c>
      <c r="AG200" s="10" t="str">
        <f t="shared" si="49"/>
        <v/>
      </c>
      <c r="AH200" s="3" t="str">
        <f>IF(A200="","",IF(E200="","TERMINAL",IF(OR(AND(UPPER(TRIM(B200))="SWALE",UPPER(TRIM(AI200))="PIPE"),AND(UPPER(TRIM(B200))="TRENCH",UPPER(TRIM(AI200))="PIPE")),IF(OR(AG200="",AJ200="",AK200=""),"INFO",IF(AND(AG200&gt;=AJ200,AG200&lt;=AK200),"OK","CHECK")),IF(AG200="","INFO",IF(ABS(AG200)&lt;=Inputs!$B$54,"OK","CHECK")))))</f>
        <v/>
      </c>
      <c r="AI200" s="11" t="str">
        <f t="shared" si="50"/>
        <v/>
      </c>
      <c r="AJ200" s="11" t="str">
        <f>IF(A200="","",IF(OR(AND(UPPER(TRIM(B200))="SWALE",UPPER(TRIM(AI200))="PIPE"),AND(UPPER(TRIM(B200))="TRENCH",UPPER(TRIM(AI200))="PIPE")),Inputs!$B$55,0))</f>
        <v/>
      </c>
      <c r="AK200" s="11" t="str">
        <f>IF(A200="","",IF(OR(AND(UPPER(TRIM(B200))="SWALE",UPPER(TRIM(AI200))="PIPE"),AND(UPPER(TRIM(B200))="TRENCH",UPPER(TRIM(AI200))="PIPE")),Inputs!$B$56,Inputs!$B$54))</f>
        <v/>
      </c>
      <c r="AL200" s="3" t="str">
        <f t="shared" si="51"/>
        <v/>
      </c>
    </row>
    <row r="201" spans="1:38" x14ac:dyDescent="0.25">
      <c r="A201" s="3"/>
      <c r="B201" s="3"/>
      <c r="C201" s="3"/>
      <c r="D201" s="3"/>
      <c r="E201" s="3"/>
      <c r="F201" s="8"/>
      <c r="G201" s="8"/>
      <c r="H201" s="8"/>
      <c r="I201" s="10" t="str">
        <f>IF(A201="","",IF(H201&lt;&gt;"",H201,IF(UPPER(TRIM(B201))="PIPE",Inputs!$B$7,IF(UPPER(TRIM(B201))="SWALE",Inputs!$B$8,Inputs!$B$9))))</f>
        <v/>
      </c>
      <c r="J201" s="8"/>
      <c r="K201" s="8"/>
      <c r="L201" s="8"/>
      <c r="M201" s="8"/>
      <c r="N201" s="8">
        <v>0</v>
      </c>
      <c r="O201" s="10" t="str">
        <f>IF(A201="","",SUMIFS(Zones_tributaires!$I:$I,Zones_tributaires!$J:$J,$A201))</f>
        <v/>
      </c>
      <c r="P201" s="10" t="str">
        <f t="shared" si="39"/>
        <v/>
      </c>
      <c r="Q201" s="10" t="str">
        <f>IF(A201="","",(O201+P201)*Inputs!$B$6)</f>
        <v/>
      </c>
      <c r="R201" s="10" t="str">
        <f t="shared" si="40"/>
        <v/>
      </c>
      <c r="S201" s="10" t="str">
        <f t="shared" si="41"/>
        <v/>
      </c>
      <c r="T201" s="10" t="str">
        <f t="shared" si="42"/>
        <v/>
      </c>
      <c r="U201" s="10" t="str">
        <f>IF(OR(T201="",Q201=""),"",Q201/(T201*Inputs!$B$19))</f>
        <v/>
      </c>
      <c r="V201" s="10" t="str">
        <f t="shared" si="43"/>
        <v/>
      </c>
      <c r="W201" s="10" t="str">
        <f t="shared" si="44"/>
        <v/>
      </c>
      <c r="X201" s="10" t="str">
        <f>IF(A201="","",IF(OR(UPPER(TRIM(Inputs!$B$15))="MANNING",UPPER(TRIM(Inputs!$B$15))="M"),W201,IF(OR(UPPER(TRIM(Inputs!$B$15))="MAX",UPPER(TRIM(Inputs!$B$15))="X"),MAX(V201,W201),V201)))</f>
        <v/>
      </c>
      <c r="Y201" s="10" t="str">
        <f t="shared" si="45"/>
        <v/>
      </c>
      <c r="Z201" s="10" t="str">
        <f t="shared" si="46"/>
        <v/>
      </c>
      <c r="AA201" s="3" t="str">
        <f>IF(A201="","",IF(OR(U201&gt;1,AND(X201&lt;&gt;"",X201&lt;Inputs!$B$16),AND(X201&lt;&gt;"",X201&gt;Inputs!$B$17),G201&lt;Inputs!$B$18,AH201="CHECK"),"CHECK","OK"))</f>
        <v/>
      </c>
      <c r="AB201" s="3"/>
      <c r="AC201" s="8"/>
      <c r="AD201" s="10" t="str">
        <f>IF(A201="","",IF(AC201&lt;&gt;"",AC201,IF(E201="",Inputs!$B$38,IFERROR(INDEX($AE$4:$AE$204,MATCH(E201,$A$4:$A$204,0))+IF(OR(AND(UPPER(TRIM(B201))="SWALE",UPPER(TRIM(AI201))="PIPE"),AND(UPPER(TRIM(B201))="TRENCH",UPPER(TRIM(AI201))="PIPE")),Inputs!$B$57,0),""))))</f>
        <v/>
      </c>
      <c r="AE201" s="10" t="str">
        <f t="shared" si="47"/>
        <v/>
      </c>
      <c r="AF201" s="10" t="str">
        <f t="shared" si="48"/>
        <v/>
      </c>
      <c r="AG201" s="10" t="str">
        <f t="shared" si="49"/>
        <v/>
      </c>
      <c r="AH201" s="3" t="str">
        <f>IF(A201="","",IF(E201="","TERMINAL",IF(OR(AND(UPPER(TRIM(B201))="SWALE",UPPER(TRIM(AI201))="PIPE"),AND(UPPER(TRIM(B201))="TRENCH",UPPER(TRIM(AI201))="PIPE")),IF(OR(AG201="",AJ201="",AK201=""),"INFO",IF(AND(AG201&gt;=AJ201,AG201&lt;=AK201),"OK","CHECK")),IF(AG201="","INFO",IF(ABS(AG201)&lt;=Inputs!$B$54,"OK","CHECK")))))</f>
        <v/>
      </c>
      <c r="AI201" s="11" t="str">
        <f t="shared" si="50"/>
        <v/>
      </c>
      <c r="AJ201" s="11" t="str">
        <f>IF(A201="","",IF(OR(AND(UPPER(TRIM(B201))="SWALE",UPPER(TRIM(AI201))="PIPE"),AND(UPPER(TRIM(B201))="TRENCH",UPPER(TRIM(AI201))="PIPE")),Inputs!$B$55,0))</f>
        <v/>
      </c>
      <c r="AK201" s="11" t="str">
        <f>IF(A201="","",IF(OR(AND(UPPER(TRIM(B201))="SWALE",UPPER(TRIM(AI201))="PIPE"),AND(UPPER(TRIM(B201))="TRENCH",UPPER(TRIM(AI201))="PIPE")),Inputs!$B$56,Inputs!$B$54))</f>
        <v/>
      </c>
      <c r="AL201" s="3" t="str">
        <f t="shared" si="51"/>
        <v/>
      </c>
    </row>
    <row r="202" spans="1:38" x14ac:dyDescent="0.25">
      <c r="A202" s="3"/>
      <c r="B202" s="3"/>
      <c r="C202" s="3"/>
      <c r="D202" s="3"/>
      <c r="E202" s="3"/>
      <c r="F202" s="8"/>
      <c r="G202" s="8"/>
      <c r="H202" s="8"/>
      <c r="I202" s="10" t="str">
        <f>IF(A202="","",IF(H202&lt;&gt;"",H202,IF(UPPER(TRIM(B202))="PIPE",Inputs!$B$7,IF(UPPER(TRIM(B202))="SWALE",Inputs!$B$8,Inputs!$B$9))))</f>
        <v/>
      </c>
      <c r="J202" s="8"/>
      <c r="K202" s="8"/>
      <c r="L202" s="8"/>
      <c r="M202" s="8"/>
      <c r="N202" s="8">
        <v>0</v>
      </c>
      <c r="O202" s="10" t="str">
        <f>IF(A202="","",SUMIFS(Zones_tributaires!$I:$I,Zones_tributaires!$J:$J,$A202))</f>
        <v/>
      </c>
      <c r="P202" s="10" t="str">
        <f t="shared" si="39"/>
        <v/>
      </c>
      <c r="Q202" s="10" t="str">
        <f>IF(A202="","",(O202+P202)*Inputs!$B$6)</f>
        <v/>
      </c>
      <c r="R202" s="10" t="str">
        <f t="shared" si="40"/>
        <v/>
      </c>
      <c r="S202" s="10" t="str">
        <f t="shared" si="41"/>
        <v/>
      </c>
      <c r="T202" s="10" t="str">
        <f t="shared" si="42"/>
        <v/>
      </c>
      <c r="U202" s="10" t="str">
        <f>IF(OR(T202="",Q202=""),"",Q202/(T202*Inputs!$B$19))</f>
        <v/>
      </c>
      <c r="V202" s="10" t="str">
        <f t="shared" si="43"/>
        <v/>
      </c>
      <c r="W202" s="10" t="str">
        <f t="shared" si="44"/>
        <v/>
      </c>
      <c r="X202" s="10" t="str">
        <f>IF(A202="","",IF(OR(UPPER(TRIM(Inputs!$B$15))="MANNING",UPPER(TRIM(Inputs!$B$15))="M"),W202,IF(OR(UPPER(TRIM(Inputs!$B$15))="MAX",UPPER(TRIM(Inputs!$B$15))="X"),MAX(V202,W202),V202)))</f>
        <v/>
      </c>
      <c r="Y202" s="10" t="str">
        <f t="shared" si="45"/>
        <v/>
      </c>
      <c r="Z202" s="10" t="str">
        <f t="shared" si="46"/>
        <v/>
      </c>
      <c r="AA202" s="3" t="str">
        <f>IF(A202="","",IF(OR(U202&gt;1,AND(X202&lt;&gt;"",X202&lt;Inputs!$B$16),AND(X202&lt;&gt;"",X202&gt;Inputs!$B$17),G202&lt;Inputs!$B$18,AH202="CHECK"),"CHECK","OK"))</f>
        <v/>
      </c>
      <c r="AB202" s="3"/>
      <c r="AC202" s="8"/>
      <c r="AD202" s="10" t="str">
        <f>IF(A202="","",IF(AC202&lt;&gt;"",AC202,IF(E202="",Inputs!$B$38,IFERROR(INDEX($AE$4:$AE$204,MATCH(E202,$A$4:$A$204,0))+IF(OR(AND(UPPER(TRIM(B202))="SWALE",UPPER(TRIM(AI202))="PIPE"),AND(UPPER(TRIM(B202))="TRENCH",UPPER(TRIM(AI202))="PIPE")),Inputs!$B$57,0),""))))</f>
        <v/>
      </c>
      <c r="AE202" s="10" t="str">
        <f t="shared" si="47"/>
        <v/>
      </c>
      <c r="AF202" s="10" t="str">
        <f t="shared" si="48"/>
        <v/>
      </c>
      <c r="AG202" s="10" t="str">
        <f t="shared" si="49"/>
        <v/>
      </c>
      <c r="AH202" s="3" t="str">
        <f>IF(A202="","",IF(E202="","TERMINAL",IF(OR(AND(UPPER(TRIM(B202))="SWALE",UPPER(TRIM(AI202))="PIPE"),AND(UPPER(TRIM(B202))="TRENCH",UPPER(TRIM(AI202))="PIPE")),IF(OR(AG202="",AJ202="",AK202=""),"INFO",IF(AND(AG202&gt;=AJ202,AG202&lt;=AK202),"OK","CHECK")),IF(AG202="","INFO",IF(ABS(AG202)&lt;=Inputs!$B$54,"OK","CHECK")))))</f>
        <v/>
      </c>
      <c r="AI202" s="11" t="str">
        <f t="shared" si="50"/>
        <v/>
      </c>
      <c r="AJ202" s="11" t="str">
        <f>IF(A202="","",IF(OR(AND(UPPER(TRIM(B202))="SWALE",UPPER(TRIM(AI202))="PIPE"),AND(UPPER(TRIM(B202))="TRENCH",UPPER(TRIM(AI202))="PIPE")),Inputs!$B$55,0))</f>
        <v/>
      </c>
      <c r="AK202" s="11" t="str">
        <f>IF(A202="","",IF(OR(AND(UPPER(TRIM(B202))="SWALE",UPPER(TRIM(AI202))="PIPE"),AND(UPPER(TRIM(B202))="TRENCH",UPPER(TRIM(AI202))="PIPE")),Inputs!$B$56,Inputs!$B$54))</f>
        <v/>
      </c>
      <c r="AL202" s="3" t="str">
        <f t="shared" si="51"/>
        <v/>
      </c>
    </row>
    <row r="203" spans="1:38" x14ac:dyDescent="0.25">
      <c r="A203" s="3"/>
      <c r="B203" s="3"/>
      <c r="C203" s="3"/>
      <c r="D203" s="3"/>
      <c r="E203" s="3"/>
      <c r="F203" s="8"/>
      <c r="G203" s="8"/>
      <c r="H203" s="8"/>
      <c r="I203" s="10" t="str">
        <f>IF(A203="","",IF(H203&lt;&gt;"",H203,IF(UPPER(TRIM(B203))="PIPE",Inputs!$B$7,IF(UPPER(TRIM(B203))="SWALE",Inputs!$B$8,Inputs!$B$9))))</f>
        <v/>
      </c>
      <c r="J203" s="8"/>
      <c r="K203" s="8"/>
      <c r="L203" s="8"/>
      <c r="M203" s="8"/>
      <c r="N203" s="8">
        <v>0</v>
      </c>
      <c r="O203" s="10" t="str">
        <f>IF(A203="","",SUMIFS(Zones_tributaires!$I:$I,Zones_tributaires!$J:$J,$A203))</f>
        <v/>
      </c>
      <c r="P203" s="10" t="str">
        <f t="shared" si="39"/>
        <v/>
      </c>
      <c r="Q203" s="10" t="str">
        <f>IF(A203="","",(O203+P203)*Inputs!$B$6)</f>
        <v/>
      </c>
      <c r="R203" s="10" t="str">
        <f t="shared" si="40"/>
        <v/>
      </c>
      <c r="S203" s="10" t="str">
        <f t="shared" si="41"/>
        <v/>
      </c>
      <c r="T203" s="10" t="str">
        <f t="shared" si="42"/>
        <v/>
      </c>
      <c r="U203" s="10" t="str">
        <f>IF(OR(T203="",Q203=""),"",Q203/(T203*Inputs!$B$19))</f>
        <v/>
      </c>
      <c r="V203" s="10" t="str">
        <f t="shared" si="43"/>
        <v/>
      </c>
      <c r="W203" s="10" t="str">
        <f t="shared" si="44"/>
        <v/>
      </c>
      <c r="X203" s="10" t="str">
        <f>IF(A203="","",IF(OR(UPPER(TRIM(Inputs!$B$15))="MANNING",UPPER(TRIM(Inputs!$B$15))="M"),W203,IF(OR(UPPER(TRIM(Inputs!$B$15))="MAX",UPPER(TRIM(Inputs!$B$15))="X"),MAX(V203,W203),V203)))</f>
        <v/>
      </c>
      <c r="Y203" s="10" t="str">
        <f t="shared" si="45"/>
        <v/>
      </c>
      <c r="Z203" s="10" t="str">
        <f t="shared" si="46"/>
        <v/>
      </c>
      <c r="AA203" s="3" t="str">
        <f>IF(A203="","",IF(OR(U203&gt;1,AND(X203&lt;&gt;"",X203&lt;Inputs!$B$16),AND(X203&lt;&gt;"",X203&gt;Inputs!$B$17),G203&lt;Inputs!$B$18,AH203="CHECK"),"CHECK","OK"))</f>
        <v/>
      </c>
      <c r="AB203" s="3"/>
      <c r="AC203" s="8"/>
      <c r="AD203" s="10" t="str">
        <f>IF(A203="","",IF(AC203&lt;&gt;"",AC203,IF(E203="",Inputs!$B$38,IFERROR(INDEX($AE$4:$AE$204,MATCH(E203,$A$4:$A$204,0))+IF(OR(AND(UPPER(TRIM(B203))="SWALE",UPPER(TRIM(AI203))="PIPE"),AND(UPPER(TRIM(B203))="TRENCH",UPPER(TRIM(AI203))="PIPE")),Inputs!$B$57,0),""))))</f>
        <v/>
      </c>
      <c r="AE203" s="10" t="str">
        <f t="shared" si="47"/>
        <v/>
      </c>
      <c r="AF203" s="10" t="str">
        <f t="shared" si="48"/>
        <v/>
      </c>
      <c r="AG203" s="10" t="str">
        <f t="shared" si="49"/>
        <v/>
      </c>
      <c r="AH203" s="3" t="str">
        <f>IF(A203="","",IF(E203="","TERMINAL",IF(OR(AND(UPPER(TRIM(B203))="SWALE",UPPER(TRIM(AI203))="PIPE"),AND(UPPER(TRIM(B203))="TRENCH",UPPER(TRIM(AI203))="PIPE")),IF(OR(AG203="",AJ203="",AK203=""),"INFO",IF(AND(AG203&gt;=AJ203,AG203&lt;=AK203),"OK","CHECK")),IF(AG203="","INFO",IF(ABS(AG203)&lt;=Inputs!$B$54,"OK","CHECK")))))</f>
        <v/>
      </c>
      <c r="AI203" s="11" t="str">
        <f t="shared" si="50"/>
        <v/>
      </c>
      <c r="AJ203" s="11" t="str">
        <f>IF(A203="","",IF(OR(AND(UPPER(TRIM(B203))="SWALE",UPPER(TRIM(AI203))="PIPE"),AND(UPPER(TRIM(B203))="TRENCH",UPPER(TRIM(AI203))="PIPE")),Inputs!$B$55,0))</f>
        <v/>
      </c>
      <c r="AK203" s="11" t="str">
        <f>IF(A203="","",IF(OR(AND(UPPER(TRIM(B203))="SWALE",UPPER(TRIM(AI203))="PIPE"),AND(UPPER(TRIM(B203))="TRENCH",UPPER(TRIM(AI203))="PIPE")),Inputs!$B$56,Inputs!$B$54))</f>
        <v/>
      </c>
      <c r="AL203" s="3" t="str">
        <f t="shared" si="51"/>
        <v/>
      </c>
    </row>
    <row r="204" spans="1:38" x14ac:dyDescent="0.25">
      <c r="A204" s="3"/>
      <c r="B204" s="3"/>
      <c r="C204" s="3"/>
      <c r="D204" s="3"/>
      <c r="E204" s="3"/>
      <c r="F204" s="8"/>
      <c r="G204" s="8"/>
      <c r="H204" s="8"/>
      <c r="I204" s="10" t="str">
        <f>IF(A204="","",IF(H204&lt;&gt;"",H204,IF(UPPER(TRIM(B204))="PIPE",Inputs!$B$7,IF(UPPER(TRIM(B204))="SWALE",Inputs!$B$8,Inputs!$B$9))))</f>
        <v/>
      </c>
      <c r="J204" s="8"/>
      <c r="K204" s="8"/>
      <c r="L204" s="8"/>
      <c r="M204" s="8"/>
      <c r="N204" s="8">
        <v>0</v>
      </c>
      <c r="O204" s="10" t="str">
        <f>IF(A204="","",SUMIFS(Zones_tributaires!$I:$I,Zones_tributaires!$J:$J,$A204))</f>
        <v/>
      </c>
      <c r="P204" s="10" t="str">
        <f t="shared" si="39"/>
        <v/>
      </c>
      <c r="Q204" s="10" t="str">
        <f>IF(A204="","",(O204+P204)*Inputs!$B$6)</f>
        <v/>
      </c>
      <c r="R204" s="10" t="str">
        <f t="shared" si="40"/>
        <v/>
      </c>
      <c r="S204" s="10" t="str">
        <f t="shared" si="41"/>
        <v/>
      </c>
      <c r="T204" s="10" t="str">
        <f t="shared" si="42"/>
        <v/>
      </c>
      <c r="U204" s="10" t="str">
        <f>IF(OR(T204="",Q204=""),"",Q204/(T204*Inputs!$B$19))</f>
        <v/>
      </c>
      <c r="V204" s="10" t="str">
        <f t="shared" si="43"/>
        <v/>
      </c>
      <c r="W204" s="10" t="str">
        <f t="shared" si="44"/>
        <v/>
      </c>
      <c r="X204" s="10" t="str">
        <f>IF(A204="","",IF(OR(UPPER(TRIM(Inputs!$B$15))="MANNING",UPPER(TRIM(Inputs!$B$15))="M"),W204,IF(OR(UPPER(TRIM(Inputs!$B$15))="MAX",UPPER(TRIM(Inputs!$B$15))="X"),MAX(V204,W204),V204)))</f>
        <v/>
      </c>
      <c r="Y204" s="10" t="str">
        <f t="shared" si="45"/>
        <v/>
      </c>
      <c r="Z204" s="10" t="str">
        <f t="shared" si="46"/>
        <v/>
      </c>
      <c r="AA204" s="3" t="str">
        <f>IF(A204="","",IF(OR(U204&gt;1,AND(X204&lt;&gt;"",X204&lt;Inputs!$B$16),AND(X204&lt;&gt;"",X204&gt;Inputs!$B$17),G204&lt;Inputs!$B$18,AH204="CHECK"),"CHECK","OK"))</f>
        <v/>
      </c>
      <c r="AB204" s="3"/>
      <c r="AC204" s="8"/>
      <c r="AD204" s="10" t="str">
        <f>IF(A204="","",IF(AC204&lt;&gt;"",AC204,IF(E204="",Inputs!$B$38,IFERROR(INDEX($AE$4:$AE$204,MATCH(E204,$A$4:$A$204,0))+IF(OR(AND(UPPER(TRIM(B204))="SWALE",UPPER(TRIM(AI204))="PIPE"),AND(UPPER(TRIM(B204))="TRENCH",UPPER(TRIM(AI204))="PIPE")),Inputs!$B$57,0),""))))</f>
        <v/>
      </c>
      <c r="AE204" s="10" t="str">
        <f t="shared" si="47"/>
        <v/>
      </c>
      <c r="AF204" s="10" t="str">
        <f t="shared" si="48"/>
        <v/>
      </c>
      <c r="AG204" s="10" t="str">
        <f t="shared" si="49"/>
        <v/>
      </c>
      <c r="AH204" s="3" t="str">
        <f>IF(A204="","",IF(E204="","TERMINAL",IF(OR(AND(UPPER(TRIM(B204))="SWALE",UPPER(TRIM(AI204))="PIPE"),AND(UPPER(TRIM(B204))="TRENCH",UPPER(TRIM(AI204))="PIPE")),IF(OR(AG204="",AJ204="",AK204=""),"INFO",IF(AND(AG204&gt;=AJ204,AG204&lt;=AK204),"OK","CHECK")),IF(AG204="","INFO",IF(ABS(AG204)&lt;=Inputs!$B$54,"OK","CHECK")))))</f>
        <v/>
      </c>
      <c r="AI204" s="11" t="str">
        <f t="shared" si="50"/>
        <v/>
      </c>
      <c r="AJ204" s="11" t="str">
        <f>IF(A204="","",IF(OR(AND(UPPER(TRIM(B204))="SWALE",UPPER(TRIM(AI204))="PIPE"),AND(UPPER(TRIM(B204))="TRENCH",UPPER(TRIM(AI204))="PIPE")),Inputs!$B$55,0))</f>
        <v/>
      </c>
      <c r="AK204" s="11" t="str">
        <f>IF(A204="","",IF(OR(AND(UPPER(TRIM(B204))="SWALE",UPPER(TRIM(AI204))="PIPE"),AND(UPPER(TRIM(B204))="TRENCH",UPPER(TRIM(AI204))="PIPE")),Inputs!$B$56,Inputs!$B$54))</f>
        <v/>
      </c>
      <c r="AL204" s="3" t="str">
        <f t="shared" si="51"/>
        <v/>
      </c>
    </row>
  </sheetData>
  <mergeCells count="2">
    <mergeCell ref="A1:AB1"/>
    <mergeCell ref="A2:AB2"/>
  </mergeCells>
  <conditionalFormatting sqref="A4:AH204">
    <cfRule type="expression" dxfId="7" priority="2">
      <formula>$B4="PIPE"</formula>
    </cfRule>
    <cfRule type="expression" dxfId="6" priority="3">
      <formula>$B4="SWALE"</formula>
    </cfRule>
    <cfRule type="expression" dxfId="5" priority="4">
      <formula>$B4="TRENCH"</formula>
    </cfRule>
  </conditionalFormatting>
  <conditionalFormatting sqref="AA4:AA204">
    <cfRule type="expression" dxfId="4" priority="6">
      <formula>$AA4="CHECK"</formula>
    </cfRule>
  </conditionalFormatting>
  <conditionalFormatting sqref="AH4:AH204">
    <cfRule type="expression" dxfId="3" priority="7">
      <formula>$AH4="CHECK"</formula>
    </cfRule>
  </conditionalFormatting>
  <conditionalFormatting sqref="AL4:AL204">
    <cfRule type="expression" dxfId="2" priority="5">
      <formula>$AL4="CHECK"</formula>
    </cfRule>
  </conditionalFormatting>
  <pageMargins left="0.75" right="0.75" top="1" bottom="1" header="0.511811023622047" footer="0.511811023622047"/>
  <pageSetup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4"/>
  <sheetViews>
    <sheetView zoomScale="130" zoomScaleNormal="130" workbookViewId="0">
      <pane ySplit="3" topLeftCell="A4" activePane="bottomLeft" state="frozen"/>
      <selection pane="bottomLeft" activeCell="K4" sqref="K4"/>
    </sheetView>
  </sheetViews>
  <sheetFormatPr baseColWidth="10" defaultColWidth="8.7109375" defaultRowHeight="15" customHeight="1" x14ac:dyDescent="0.25"/>
  <cols>
    <col min="1" max="1" width="17.28515625" customWidth="1"/>
    <col min="2" max="2" width="14" customWidth="1"/>
    <col min="3" max="4" width="12" customWidth="1"/>
    <col min="5" max="5" width="11" customWidth="1"/>
    <col min="6" max="6" width="10" customWidth="1"/>
    <col min="7" max="7" width="12" customWidth="1"/>
    <col min="8" max="8" width="13" customWidth="1"/>
    <col min="9" max="12" width="12" customWidth="1"/>
    <col min="13" max="13" width="10" customWidth="1"/>
  </cols>
  <sheetData>
    <row r="1" spans="1:13" x14ac:dyDescent="0.25">
      <c r="A1" s="19" t="s">
        <v>323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3" spans="1:13" ht="29.25" x14ac:dyDescent="0.25">
      <c r="A3" s="7" t="s">
        <v>324</v>
      </c>
      <c r="B3" s="7" t="s">
        <v>325</v>
      </c>
      <c r="C3" s="7" t="s">
        <v>326</v>
      </c>
      <c r="D3" s="7" t="s">
        <v>327</v>
      </c>
      <c r="E3" s="7" t="s">
        <v>328</v>
      </c>
      <c r="F3" s="7" t="s">
        <v>329</v>
      </c>
      <c r="G3" s="7" t="s">
        <v>330</v>
      </c>
      <c r="H3" s="7" t="s">
        <v>331</v>
      </c>
      <c r="I3" s="7" t="s">
        <v>332</v>
      </c>
      <c r="J3" s="7" t="s">
        <v>333</v>
      </c>
      <c r="K3" s="7" t="s">
        <v>334</v>
      </c>
      <c r="L3" s="7" t="s">
        <v>335</v>
      </c>
      <c r="M3" s="7" t="s">
        <v>336</v>
      </c>
    </row>
    <row r="4" spans="1:13" x14ac:dyDescent="0.25">
      <c r="A4" s="3" t="s">
        <v>293</v>
      </c>
      <c r="B4" s="3" t="s">
        <v>340</v>
      </c>
      <c r="C4" s="8">
        <v>23.97</v>
      </c>
      <c r="D4" s="8">
        <f>C4-0.3</f>
        <v>23.669999999999998</v>
      </c>
      <c r="E4" s="10">
        <f t="shared" ref="E4:E67" si="0">IF(OR(C4="",D4=""),"",MAX(0,C4-D4))</f>
        <v>0.30000000000000071</v>
      </c>
      <c r="F4" s="8" t="s">
        <v>341</v>
      </c>
      <c r="G4" s="8">
        <v>1</v>
      </c>
      <c r="H4" s="8">
        <v>9.6</v>
      </c>
      <c r="I4" s="10">
        <f t="shared" ref="I4:I67" si="1">IF(A4="","",IF(UPPER(TRIM(F4))="CIRC",PI()*(G4/2)^2*E4,IF(UPPER(TRIM(F4))="RECT",G4*H4*E4,"")))</f>
        <v>2.8800000000000066</v>
      </c>
      <c r="J4" s="8">
        <f>Inputs!$B$23</f>
        <v>6</v>
      </c>
      <c r="K4" s="10">
        <f>IF(A4="","",SUMIFS(Elements_hybrides!$Q:$Q,Elements_hybrides!$D:$D,$A4))</f>
        <v>0</v>
      </c>
      <c r="L4" s="10">
        <f>IF(OR(K4="",J4=""),"",K4*J4*60)</f>
        <v>0</v>
      </c>
      <c r="M4" s="3" t="str">
        <f t="shared" ref="M4:M67" si="2">IF(A4="","",IF(OR(I4="",L4=""),"",IF(I4&gt;=L4,"OK","CHECK")))</f>
        <v>OK</v>
      </c>
    </row>
    <row r="5" spans="1:13" x14ac:dyDescent="0.25">
      <c r="A5" s="3" t="s">
        <v>294</v>
      </c>
      <c r="B5" s="3" t="s">
        <v>340</v>
      </c>
      <c r="C5" s="8">
        <v>23.91</v>
      </c>
      <c r="D5" s="8">
        <f t="shared" ref="D5:D6" si="3">C5-0.3</f>
        <v>23.61</v>
      </c>
      <c r="E5" s="10">
        <f t="shared" si="0"/>
        <v>0.30000000000000071</v>
      </c>
      <c r="F5" s="8" t="s">
        <v>341</v>
      </c>
      <c r="G5" s="8">
        <v>1</v>
      </c>
      <c r="H5" s="8">
        <v>9.6999999999999993</v>
      </c>
      <c r="I5" s="10">
        <f t="shared" si="1"/>
        <v>2.9100000000000068</v>
      </c>
      <c r="J5" s="8">
        <f>Inputs!$B$23</f>
        <v>6</v>
      </c>
      <c r="K5" s="10">
        <f>IF(A5="","",SUMIFS(Elements_hybrides!$Q:$Q,Elements_hybrides!$D:$D,$A5))</f>
        <v>0</v>
      </c>
      <c r="L5" s="10">
        <f t="shared" ref="L4:L67" si="4">IF(OR(K5="",J5=""),"",K5*J5*60)</f>
        <v>0</v>
      </c>
      <c r="M5" s="3" t="str">
        <f t="shared" si="2"/>
        <v>OK</v>
      </c>
    </row>
    <row r="6" spans="1:13" x14ac:dyDescent="0.25">
      <c r="A6" s="3" t="s">
        <v>297</v>
      </c>
      <c r="B6" s="3" t="s">
        <v>337</v>
      </c>
      <c r="C6" s="8">
        <v>23.67</v>
      </c>
      <c r="D6" s="8">
        <f t="shared" si="3"/>
        <v>23.37</v>
      </c>
      <c r="E6" s="10">
        <f t="shared" si="0"/>
        <v>0.30000000000000071</v>
      </c>
      <c r="F6" s="8" t="s">
        <v>341</v>
      </c>
      <c r="G6" s="8">
        <v>0.2</v>
      </c>
      <c r="H6" s="8"/>
      <c r="I6" s="10">
        <f t="shared" si="1"/>
        <v>0</v>
      </c>
      <c r="J6" s="8">
        <f>Inputs!$B$23</f>
        <v>6</v>
      </c>
      <c r="K6" s="10">
        <f>IF(A6="","",SUMIFS(Elements_hybrides!$Q:$Q,Elements_hybrides!$D:$D,$A6))</f>
        <v>0</v>
      </c>
      <c r="L6" s="10">
        <f t="shared" si="4"/>
        <v>0</v>
      </c>
      <c r="M6" s="3" t="str">
        <f t="shared" si="2"/>
        <v>OK</v>
      </c>
    </row>
    <row r="7" spans="1:13" x14ac:dyDescent="0.25">
      <c r="A7" s="3" t="s">
        <v>339</v>
      </c>
      <c r="B7" s="3" t="s">
        <v>337</v>
      </c>
      <c r="C7" s="8">
        <v>23.63</v>
      </c>
      <c r="D7" s="8">
        <v>23.2</v>
      </c>
      <c r="E7" s="10">
        <f t="shared" si="0"/>
        <v>0.42999999999999972</v>
      </c>
      <c r="F7" s="8" t="s">
        <v>338</v>
      </c>
      <c r="G7" s="8">
        <v>0.2</v>
      </c>
      <c r="H7" s="8"/>
      <c r="I7" s="10">
        <f t="shared" si="1"/>
        <v>1.3508848410436102E-2</v>
      </c>
      <c r="J7" s="8">
        <f>Inputs!$B$23</f>
        <v>6</v>
      </c>
      <c r="K7" s="10">
        <f>IF(A7="","",SUMIFS(Elements_hybrides!$Q:$Q,Elements_hybrides!$D:$D,$A7))</f>
        <v>0</v>
      </c>
      <c r="L7" s="10">
        <f t="shared" si="4"/>
        <v>0</v>
      </c>
      <c r="M7" s="3" t="str">
        <f t="shared" si="2"/>
        <v>OK</v>
      </c>
    </row>
    <row r="8" spans="1:13" x14ac:dyDescent="0.25">
      <c r="A8" s="3" t="s">
        <v>342</v>
      </c>
      <c r="B8" s="3" t="s">
        <v>337</v>
      </c>
      <c r="C8" s="8">
        <v>23.05</v>
      </c>
      <c r="D8" s="8">
        <v>23.05</v>
      </c>
      <c r="E8" s="10">
        <f t="shared" si="0"/>
        <v>0</v>
      </c>
      <c r="F8" s="8" t="s">
        <v>341</v>
      </c>
      <c r="G8" s="8">
        <v>1.2</v>
      </c>
      <c r="H8" s="8">
        <v>10.619</v>
      </c>
      <c r="I8" s="10">
        <f t="shared" si="1"/>
        <v>0</v>
      </c>
      <c r="J8" s="8">
        <f>Inputs!$B$23</f>
        <v>6</v>
      </c>
      <c r="K8" s="10">
        <f>IF(A8="","",SUMIFS(Elements_hybrides!$Q:$Q,Elements_hybrides!$D:$D,$A8))</f>
        <v>0</v>
      </c>
      <c r="L8" s="10">
        <f t="shared" si="4"/>
        <v>0</v>
      </c>
      <c r="M8" s="3" t="str">
        <f t="shared" si="2"/>
        <v>OK</v>
      </c>
    </row>
    <row r="9" spans="1:13" x14ac:dyDescent="0.25">
      <c r="A9" s="3" t="s">
        <v>308</v>
      </c>
      <c r="B9" s="3" t="s">
        <v>337</v>
      </c>
      <c r="C9" s="8">
        <v>23.58</v>
      </c>
      <c r="D9" s="8">
        <v>22.58</v>
      </c>
      <c r="E9" s="10">
        <f t="shared" si="0"/>
        <v>1</v>
      </c>
      <c r="F9" s="8" t="s">
        <v>338</v>
      </c>
      <c r="G9" s="8">
        <v>0.2</v>
      </c>
      <c r="H9" s="8">
        <v>3</v>
      </c>
      <c r="I9" s="10">
        <f t="shared" si="1"/>
        <v>3.1415926535897934E-2</v>
      </c>
      <c r="J9" s="8">
        <f>Inputs!$B$23</f>
        <v>6</v>
      </c>
      <c r="K9" s="10">
        <f>IF(A9="","",SUMIFS(Elements_hybrides!$Q:$Q,Elements_hybrides!$D:$D,$A9))</f>
        <v>0</v>
      </c>
      <c r="L9" s="10">
        <f t="shared" si="4"/>
        <v>0</v>
      </c>
      <c r="M9" s="3" t="str">
        <f t="shared" si="2"/>
        <v>OK</v>
      </c>
    </row>
    <row r="10" spans="1:13" x14ac:dyDescent="0.25">
      <c r="A10" s="3" t="s">
        <v>309</v>
      </c>
      <c r="B10" s="3" t="s">
        <v>343</v>
      </c>
      <c r="C10" s="8">
        <v>23.667000000000002</v>
      </c>
      <c r="D10" s="8">
        <f>C10-1</f>
        <v>22.667000000000002</v>
      </c>
      <c r="E10" s="10">
        <f t="shared" si="0"/>
        <v>1</v>
      </c>
      <c r="F10" s="8" t="s">
        <v>338</v>
      </c>
      <c r="G10" s="8">
        <v>0.2</v>
      </c>
      <c r="H10" s="8"/>
      <c r="I10" s="10">
        <f>IF(A10="","",IF(UPPER(TRIM(F10))="CIRC",PI()*(G10/2)^2*E10,IF(UPPER(TRIM(F10))="RECT",G10*H10*E10,"")))</f>
        <v>3.1415926535897934E-2</v>
      </c>
      <c r="J10" s="8">
        <f>Inputs!$B$23</f>
        <v>6</v>
      </c>
      <c r="K10" s="10">
        <f>IF(A10="","",SUMIFS(Elements_hybrides!$Q:$Q,Elements_hybrides!$D:$D,$A10))</f>
        <v>1.0720118372577302E-4</v>
      </c>
      <c r="L10" s="10">
        <f t="shared" si="4"/>
        <v>3.8592426141278287E-2</v>
      </c>
      <c r="M10" s="3" t="str">
        <f t="shared" si="2"/>
        <v>CHECK</v>
      </c>
    </row>
    <row r="11" spans="1:13" x14ac:dyDescent="0.25">
      <c r="A11" s="3" t="s">
        <v>311</v>
      </c>
      <c r="B11" s="3" t="s">
        <v>343</v>
      </c>
      <c r="C11" s="8">
        <v>23.556000000000001</v>
      </c>
      <c r="D11" s="8">
        <f t="shared" ref="D11:D15" si="5">C11-1</f>
        <v>22.556000000000001</v>
      </c>
      <c r="E11" s="10">
        <f t="shared" si="0"/>
        <v>1</v>
      </c>
      <c r="F11" s="8" t="s">
        <v>338</v>
      </c>
      <c r="G11" s="8">
        <v>0.2</v>
      </c>
      <c r="H11" s="8"/>
      <c r="I11" s="10">
        <f t="shared" si="1"/>
        <v>3.1415926535897934E-2</v>
      </c>
      <c r="J11" s="8">
        <f>Inputs!$B$23</f>
        <v>6</v>
      </c>
      <c r="K11" s="10">
        <f>IF(A11="","",SUMIFS(Elements_hybrides!$Q:$Q,Elements_hybrides!$D:$D,$A11))</f>
        <v>3.3631970845113176E-4</v>
      </c>
      <c r="L11" s="10">
        <f t="shared" si="4"/>
        <v>0.12107509504240743</v>
      </c>
      <c r="M11" s="3" t="str">
        <f t="shared" si="2"/>
        <v>CHECK</v>
      </c>
    </row>
    <row r="12" spans="1:13" x14ac:dyDescent="0.25">
      <c r="A12" s="3" t="s">
        <v>313</v>
      </c>
      <c r="B12" s="3" t="s">
        <v>343</v>
      </c>
      <c r="C12" s="8">
        <v>23.504000000000001</v>
      </c>
      <c r="D12" s="8">
        <f t="shared" si="5"/>
        <v>22.504000000000001</v>
      </c>
      <c r="E12" s="10">
        <f t="shared" si="0"/>
        <v>1</v>
      </c>
      <c r="F12" s="8" t="s">
        <v>338</v>
      </c>
      <c r="G12" s="8">
        <v>0.2</v>
      </c>
      <c r="H12" s="8"/>
      <c r="I12" s="10">
        <f t="shared" si="1"/>
        <v>3.1415926535897934E-2</v>
      </c>
      <c r="J12" s="8">
        <f>Inputs!$B$23</f>
        <v>6</v>
      </c>
      <c r="K12" s="10">
        <f>IF(A12="","",SUMIFS(Elements_hybrides!$Q:$Q,Elements_hybrides!$D:$D,$A12))</f>
        <v>6.0284473342395997E-4</v>
      </c>
      <c r="L12" s="10">
        <f t="shared" si="4"/>
        <v>0.21702410403262559</v>
      </c>
      <c r="M12" s="3" t="str">
        <f t="shared" si="2"/>
        <v>CHECK</v>
      </c>
    </row>
    <row r="13" spans="1:13" x14ac:dyDescent="0.25">
      <c r="A13" s="3" t="s">
        <v>315</v>
      </c>
      <c r="B13" s="3" t="s">
        <v>343</v>
      </c>
      <c r="C13" s="8">
        <v>23.63</v>
      </c>
      <c r="D13" s="8">
        <f t="shared" si="5"/>
        <v>22.63</v>
      </c>
      <c r="E13" s="10">
        <f t="shared" si="0"/>
        <v>1</v>
      </c>
      <c r="F13" s="8" t="s">
        <v>338</v>
      </c>
      <c r="G13" s="8">
        <v>0.2</v>
      </c>
      <c r="H13" s="8"/>
      <c r="I13" s="10">
        <f t="shared" si="1"/>
        <v>3.1415926535897934E-2</v>
      </c>
      <c r="J13" s="8">
        <f>Inputs!$B$23</f>
        <v>6</v>
      </c>
      <c r="K13" s="10">
        <f>IF(A13="","",SUMIFS(Elements_hybrides!$Q:$Q,Elements_hybrides!$D:$D,$A13))</f>
        <v>1.8838112867493768E-3</v>
      </c>
      <c r="L13" s="10">
        <f t="shared" si="4"/>
        <v>0.67817206322977563</v>
      </c>
      <c r="M13" s="3" t="str">
        <f t="shared" si="2"/>
        <v>CHECK</v>
      </c>
    </row>
    <row r="14" spans="1:13" x14ac:dyDescent="0.25">
      <c r="A14" s="3" t="s">
        <v>304</v>
      </c>
      <c r="B14" s="3" t="s">
        <v>337</v>
      </c>
      <c r="C14" s="8">
        <v>23.63</v>
      </c>
      <c r="D14" s="8">
        <f t="shared" si="5"/>
        <v>22.63</v>
      </c>
      <c r="E14" s="10">
        <f t="shared" si="0"/>
        <v>1</v>
      </c>
      <c r="F14" s="8" t="s">
        <v>338</v>
      </c>
      <c r="G14" s="8">
        <v>0.2</v>
      </c>
      <c r="H14" s="8"/>
      <c r="I14" s="10">
        <f t="shared" si="1"/>
        <v>3.1415926535897934E-2</v>
      </c>
      <c r="J14" s="8">
        <f>Inputs!$B$23</f>
        <v>6</v>
      </c>
      <c r="K14" s="10">
        <f>IF(A14="","",SUMIFS(Elements_hybrides!$Q:$Q,Elements_hybrides!$D:$D,$A14))</f>
        <v>2.2595801022120025E-3</v>
      </c>
      <c r="L14" s="10">
        <f t="shared" si="4"/>
        <v>0.81344883679632085</v>
      </c>
      <c r="M14" s="3" t="str">
        <f t="shared" si="2"/>
        <v>CHECK</v>
      </c>
    </row>
    <row r="15" spans="1:13" x14ac:dyDescent="0.25">
      <c r="A15" s="3" t="s">
        <v>300</v>
      </c>
      <c r="B15" s="3" t="s">
        <v>343</v>
      </c>
      <c r="C15" s="8">
        <v>23.63</v>
      </c>
      <c r="D15" s="8">
        <f t="shared" si="5"/>
        <v>22.63</v>
      </c>
      <c r="E15" s="10">
        <f t="shared" si="0"/>
        <v>1</v>
      </c>
      <c r="F15" s="8" t="s">
        <v>338</v>
      </c>
      <c r="G15" s="8">
        <v>0.2</v>
      </c>
      <c r="H15" s="8"/>
      <c r="I15" s="10">
        <f t="shared" si="1"/>
        <v>3.1415926535897934E-2</v>
      </c>
      <c r="J15" s="8">
        <f>Inputs!$B$23</f>
        <v>6</v>
      </c>
      <c r="K15" s="10">
        <f>IF(A15="","",SUMIFS(Elements_hybrides!$Q:$Q,Elements_hybrides!$D:$D,$A15))</f>
        <v>3.1844307974102015E-3</v>
      </c>
      <c r="L15" s="10">
        <f t="shared" si="4"/>
        <v>1.1463950870676725</v>
      </c>
      <c r="M15" s="3" t="str">
        <f t="shared" si="2"/>
        <v>CHECK</v>
      </c>
    </row>
    <row r="16" spans="1:13" x14ac:dyDescent="0.25">
      <c r="A16" s="3" t="s">
        <v>318</v>
      </c>
      <c r="B16" s="3" t="s">
        <v>344</v>
      </c>
      <c r="C16" s="8">
        <v>23.56</v>
      </c>
      <c r="D16" s="8">
        <v>21.62</v>
      </c>
      <c r="E16" s="10">
        <f t="shared" si="0"/>
        <v>1.9399999999999977</v>
      </c>
      <c r="F16" s="8" t="s">
        <v>341</v>
      </c>
      <c r="G16" s="8">
        <f>Inputs!$B$34</f>
        <v>2</v>
      </c>
      <c r="H16" s="8">
        <f>Inputs!$B$35</f>
        <v>20</v>
      </c>
      <c r="I16" s="10">
        <f t="shared" si="1"/>
        <v>77.599999999999909</v>
      </c>
      <c r="J16" s="8">
        <v>30</v>
      </c>
      <c r="K16" s="10">
        <f>IF(A16="","",SUMIFS(Elements_hybrides!$Q:$Q,Elements_hybrides!$D:$D,$A16))</f>
        <v>3.8316058372358935E-3</v>
      </c>
      <c r="L16" s="10">
        <f t="shared" si="4"/>
        <v>6.896890507024608</v>
      </c>
      <c r="M16" s="3" t="str">
        <f t="shared" si="2"/>
        <v>OK</v>
      </c>
    </row>
    <row r="17" spans="1:13" x14ac:dyDescent="0.25">
      <c r="A17" s="3" t="s">
        <v>305</v>
      </c>
      <c r="B17" s="3" t="s">
        <v>343</v>
      </c>
      <c r="C17" s="8"/>
      <c r="D17" s="8"/>
      <c r="E17" s="10" t="str">
        <f t="shared" si="0"/>
        <v/>
      </c>
      <c r="F17" s="8" t="s">
        <v>338</v>
      </c>
      <c r="G17" s="8">
        <v>1.2</v>
      </c>
      <c r="H17" s="8"/>
      <c r="I17" s="10" t="e">
        <f t="shared" si="1"/>
        <v>#VALUE!</v>
      </c>
      <c r="J17" s="8">
        <f>Inputs!$B$23</f>
        <v>6</v>
      </c>
      <c r="K17" s="10">
        <f>IF(A17="","",SUMIFS(Elements_hybrides!$Q:$Q,Elements_hybrides!$D:$D,$A17))</f>
        <v>4.7024474425004521E-2</v>
      </c>
      <c r="L17" s="10">
        <f t="shared" si="4"/>
        <v>16.928810793001627</v>
      </c>
      <c r="M17" s="3" t="e">
        <f t="shared" si="2"/>
        <v>#VALUE!</v>
      </c>
    </row>
    <row r="18" spans="1:13" x14ac:dyDescent="0.25">
      <c r="A18" s="3" t="s">
        <v>321</v>
      </c>
      <c r="B18" s="3" t="s">
        <v>343</v>
      </c>
      <c r="C18" s="8"/>
      <c r="D18" s="8"/>
      <c r="E18" s="10" t="str">
        <f t="shared" si="0"/>
        <v/>
      </c>
      <c r="F18" s="8" t="s">
        <v>338</v>
      </c>
      <c r="G18" s="8">
        <v>0.3</v>
      </c>
      <c r="H18" s="8"/>
      <c r="I18" s="10" t="e">
        <f t="shared" si="1"/>
        <v>#VALUE!</v>
      </c>
      <c r="J18" s="8">
        <f>Inputs!$B$23</f>
        <v>6</v>
      </c>
      <c r="K18" s="10">
        <f>IF(A18="","",SUMIFS(Elements_hybrides!$Q:$Q,Elements_hybrides!$D:$D,$A18))</f>
        <v>0</v>
      </c>
      <c r="L18" s="10">
        <f t="shared" si="4"/>
        <v>0</v>
      </c>
      <c r="M18" s="3" t="e">
        <f t="shared" si="2"/>
        <v>#VALUE!</v>
      </c>
    </row>
    <row r="19" spans="1:13" x14ac:dyDescent="0.25">
      <c r="A19" s="3" t="s">
        <v>525</v>
      </c>
      <c r="B19" s="3" t="s">
        <v>343</v>
      </c>
      <c r="C19" s="8">
        <v>23.64</v>
      </c>
      <c r="D19" s="8">
        <v>21.62</v>
      </c>
      <c r="E19" s="10">
        <f t="shared" si="0"/>
        <v>2.0199999999999996</v>
      </c>
      <c r="F19" s="8" t="s">
        <v>338</v>
      </c>
      <c r="G19" s="8">
        <v>0.3</v>
      </c>
      <c r="H19" s="8"/>
      <c r="I19" s="10">
        <f t="shared" si="1"/>
        <v>0.14278538610565608</v>
      </c>
      <c r="J19" s="8"/>
      <c r="K19" s="10">
        <f>IF(A19="","",SUMIFS(Elements_hybrides!$Q:$Q,Elements_hybrides!$D:$D,$A19))</f>
        <v>2.7340919236765234E-3</v>
      </c>
      <c r="L19" s="10" t="str">
        <f t="shared" si="4"/>
        <v/>
      </c>
      <c r="M19" s="3" t="str">
        <f t="shared" si="2"/>
        <v/>
      </c>
    </row>
    <row r="20" spans="1:13" x14ac:dyDescent="0.25">
      <c r="A20" s="3"/>
      <c r="B20" s="3"/>
      <c r="C20" s="8"/>
      <c r="D20" s="8"/>
      <c r="E20" s="10" t="str">
        <f t="shared" si="0"/>
        <v/>
      </c>
      <c r="F20" s="8"/>
      <c r="G20" s="8"/>
      <c r="H20" s="8"/>
      <c r="I20" s="10" t="str">
        <f t="shared" si="1"/>
        <v/>
      </c>
      <c r="J20" s="8"/>
      <c r="K20" s="10" t="str">
        <f>IF(A20="","",SUMIFS(Elements_hybrides!$Q:$Q,Elements_hybrides!$D:$D,$A20))</f>
        <v/>
      </c>
      <c r="L20" s="10" t="str">
        <f t="shared" si="4"/>
        <v/>
      </c>
      <c r="M20" s="3" t="str">
        <f t="shared" si="2"/>
        <v/>
      </c>
    </row>
    <row r="21" spans="1:13" x14ac:dyDescent="0.25">
      <c r="A21" s="3"/>
      <c r="B21" s="3"/>
      <c r="C21" s="8"/>
      <c r="D21" s="8"/>
      <c r="E21" s="10" t="str">
        <f t="shared" si="0"/>
        <v/>
      </c>
      <c r="F21" s="8"/>
      <c r="G21" s="8"/>
      <c r="H21" s="8"/>
      <c r="I21" s="10" t="str">
        <f t="shared" si="1"/>
        <v/>
      </c>
      <c r="J21" s="8"/>
      <c r="K21" s="10" t="str">
        <f>IF(A21="","",SUMIFS(Elements_hybrides!$Q:$Q,Elements_hybrides!$D:$D,$A21))</f>
        <v/>
      </c>
      <c r="L21" s="10" t="str">
        <f t="shared" si="4"/>
        <v/>
      </c>
      <c r="M21" s="3" t="str">
        <f t="shared" si="2"/>
        <v/>
      </c>
    </row>
    <row r="22" spans="1:13" x14ac:dyDescent="0.25">
      <c r="A22" s="3"/>
      <c r="B22" s="3"/>
      <c r="C22" s="8"/>
      <c r="D22" s="8"/>
      <c r="E22" s="10" t="str">
        <f t="shared" si="0"/>
        <v/>
      </c>
      <c r="F22" s="8"/>
      <c r="G22" s="8"/>
      <c r="H22" s="8"/>
      <c r="I22" s="10" t="str">
        <f t="shared" si="1"/>
        <v/>
      </c>
      <c r="J22" s="8"/>
      <c r="K22" s="10" t="str">
        <f>IF(A22="","",SUMIFS(Elements_hybrides!$Q:$Q,Elements_hybrides!$D:$D,$A22))</f>
        <v/>
      </c>
      <c r="L22" s="10" t="str">
        <f t="shared" si="4"/>
        <v/>
      </c>
      <c r="M22" s="3" t="str">
        <f t="shared" si="2"/>
        <v/>
      </c>
    </row>
    <row r="23" spans="1:13" x14ac:dyDescent="0.25">
      <c r="A23" s="3"/>
      <c r="B23" s="3"/>
      <c r="C23" s="8"/>
      <c r="D23" s="8"/>
      <c r="E23" s="10" t="str">
        <f t="shared" si="0"/>
        <v/>
      </c>
      <c r="F23" s="8"/>
      <c r="G23" s="8"/>
      <c r="H23" s="8"/>
      <c r="I23" s="10" t="str">
        <f t="shared" si="1"/>
        <v/>
      </c>
      <c r="J23" s="8"/>
      <c r="K23" s="10" t="str">
        <f>IF(A23="","",SUMIFS(Elements_hybrides!$Q:$Q,Elements_hybrides!$D:$D,$A23))</f>
        <v/>
      </c>
      <c r="L23" s="10" t="str">
        <f t="shared" si="4"/>
        <v/>
      </c>
      <c r="M23" s="3" t="str">
        <f t="shared" si="2"/>
        <v/>
      </c>
    </row>
    <row r="24" spans="1:13" x14ac:dyDescent="0.25">
      <c r="A24" s="3"/>
      <c r="B24" s="3"/>
      <c r="C24" s="8"/>
      <c r="D24" s="8"/>
      <c r="E24" s="10" t="str">
        <f t="shared" si="0"/>
        <v/>
      </c>
      <c r="F24" s="8"/>
      <c r="G24" s="8"/>
      <c r="H24" s="8"/>
      <c r="I24" s="10" t="str">
        <f t="shared" si="1"/>
        <v/>
      </c>
      <c r="J24" s="8"/>
      <c r="K24" s="10" t="str">
        <f>IF(A24="","",SUMIFS(Elements_hybrides!$Q:$Q,Elements_hybrides!$D:$D,$A24))</f>
        <v/>
      </c>
      <c r="L24" s="10" t="str">
        <f t="shared" si="4"/>
        <v/>
      </c>
      <c r="M24" s="3" t="str">
        <f t="shared" si="2"/>
        <v/>
      </c>
    </row>
    <row r="25" spans="1:13" x14ac:dyDescent="0.25">
      <c r="A25" s="3"/>
      <c r="B25" s="3"/>
      <c r="C25" s="8"/>
      <c r="D25" s="8"/>
      <c r="E25" s="10" t="str">
        <f t="shared" si="0"/>
        <v/>
      </c>
      <c r="F25" s="8"/>
      <c r="G25" s="8"/>
      <c r="H25" s="8"/>
      <c r="I25" s="10" t="str">
        <f t="shared" si="1"/>
        <v/>
      </c>
      <c r="J25" s="8"/>
      <c r="K25" s="10" t="str">
        <f>IF(A25="","",SUMIFS(Elements_hybrides!$Q:$Q,Elements_hybrides!$D:$D,$A25))</f>
        <v/>
      </c>
      <c r="L25" s="10" t="str">
        <f t="shared" si="4"/>
        <v/>
      </c>
      <c r="M25" s="3" t="str">
        <f t="shared" si="2"/>
        <v/>
      </c>
    </row>
    <row r="26" spans="1:13" x14ac:dyDescent="0.25">
      <c r="A26" s="3"/>
      <c r="B26" s="3"/>
      <c r="C26" s="8"/>
      <c r="D26" s="8"/>
      <c r="E26" s="10" t="str">
        <f t="shared" si="0"/>
        <v/>
      </c>
      <c r="F26" s="8"/>
      <c r="G26" s="8"/>
      <c r="H26" s="8"/>
      <c r="I26" s="10" t="str">
        <f t="shared" si="1"/>
        <v/>
      </c>
      <c r="J26" s="8"/>
      <c r="K26" s="10" t="str">
        <f>IF(A26="","",SUMIFS(Elements_hybrides!$Q:$Q,Elements_hybrides!$D:$D,$A26))</f>
        <v/>
      </c>
      <c r="L26" s="10" t="str">
        <f t="shared" si="4"/>
        <v/>
      </c>
      <c r="M26" s="3" t="str">
        <f t="shared" si="2"/>
        <v/>
      </c>
    </row>
    <row r="27" spans="1:13" x14ac:dyDescent="0.25">
      <c r="A27" s="3"/>
      <c r="B27" s="3"/>
      <c r="C27" s="8"/>
      <c r="D27" s="8"/>
      <c r="E27" s="10" t="str">
        <f t="shared" si="0"/>
        <v/>
      </c>
      <c r="F27" s="8"/>
      <c r="G27" s="8"/>
      <c r="H27" s="8"/>
      <c r="I27" s="10" t="str">
        <f t="shared" si="1"/>
        <v/>
      </c>
      <c r="J27" s="8"/>
      <c r="K27" s="10" t="str">
        <f>IF(A27="","",SUMIFS(Elements_hybrides!$Q:$Q,Elements_hybrides!$D:$D,$A27))</f>
        <v/>
      </c>
      <c r="L27" s="10" t="str">
        <f t="shared" si="4"/>
        <v/>
      </c>
      <c r="M27" s="3" t="str">
        <f t="shared" si="2"/>
        <v/>
      </c>
    </row>
    <row r="28" spans="1:13" x14ac:dyDescent="0.25">
      <c r="A28" s="3"/>
      <c r="B28" s="3"/>
      <c r="C28" s="8"/>
      <c r="D28" s="8"/>
      <c r="E28" s="10" t="str">
        <f t="shared" si="0"/>
        <v/>
      </c>
      <c r="F28" s="8"/>
      <c r="G28" s="8"/>
      <c r="H28" s="8"/>
      <c r="I28" s="10" t="str">
        <f t="shared" si="1"/>
        <v/>
      </c>
      <c r="J28" s="8"/>
      <c r="K28" s="10" t="str">
        <f>IF(A28="","",SUMIFS(Elements_hybrides!$Q:$Q,Elements_hybrides!$D:$D,$A28))</f>
        <v/>
      </c>
      <c r="L28" s="10" t="str">
        <f t="shared" si="4"/>
        <v/>
      </c>
      <c r="M28" s="3" t="str">
        <f t="shared" si="2"/>
        <v/>
      </c>
    </row>
    <row r="29" spans="1:13" x14ac:dyDescent="0.25">
      <c r="A29" s="3"/>
      <c r="B29" s="3"/>
      <c r="C29" s="8"/>
      <c r="D29" s="8"/>
      <c r="E29" s="10" t="str">
        <f t="shared" si="0"/>
        <v/>
      </c>
      <c r="F29" s="8"/>
      <c r="G29" s="8"/>
      <c r="H29" s="8"/>
      <c r="I29" s="10" t="str">
        <f t="shared" si="1"/>
        <v/>
      </c>
      <c r="J29" s="8"/>
      <c r="K29" s="10" t="str">
        <f>IF(A29="","",SUMIFS(Elements_hybrides!$Q:$Q,Elements_hybrides!$D:$D,$A29))</f>
        <v/>
      </c>
      <c r="L29" s="10" t="str">
        <f t="shared" si="4"/>
        <v/>
      </c>
      <c r="M29" s="3" t="str">
        <f t="shared" si="2"/>
        <v/>
      </c>
    </row>
    <row r="30" spans="1:13" x14ac:dyDescent="0.25">
      <c r="A30" s="3"/>
      <c r="B30" s="3">
        <f>23.58-23.54</f>
        <v>3.9999999999999147E-2</v>
      </c>
      <c r="C30" s="8"/>
      <c r="D30" s="8"/>
      <c r="E30" s="10" t="str">
        <f t="shared" si="0"/>
        <v/>
      </c>
      <c r="F30" s="8"/>
      <c r="G30" s="8"/>
      <c r="H30" s="8"/>
      <c r="I30" s="10" t="str">
        <f t="shared" si="1"/>
        <v/>
      </c>
      <c r="J30" s="8"/>
      <c r="K30" s="10" t="str">
        <f>IF(A30="","",SUMIFS(Elements_hybrides!$Q:$Q,Elements_hybrides!$D:$D,$A30))</f>
        <v/>
      </c>
      <c r="L30" s="10" t="str">
        <f t="shared" si="4"/>
        <v/>
      </c>
      <c r="M30" s="3" t="str">
        <f t="shared" si="2"/>
        <v/>
      </c>
    </row>
    <row r="31" spans="1:13" x14ac:dyDescent="0.25">
      <c r="A31" s="3"/>
      <c r="B31" s="3">
        <f>B30/8.37</f>
        <v>4.778972520907903E-3</v>
      </c>
      <c r="C31" s="8"/>
      <c r="D31" s="8"/>
      <c r="E31" s="10" t="str">
        <f t="shared" si="0"/>
        <v/>
      </c>
      <c r="F31" s="8"/>
      <c r="G31" s="8"/>
      <c r="H31" s="8"/>
      <c r="I31" s="10" t="str">
        <f t="shared" si="1"/>
        <v/>
      </c>
      <c r="J31" s="8"/>
      <c r="K31" s="10" t="str">
        <f>IF(A31="","",SUMIFS(Elements_hybrides!$Q:$Q,Elements_hybrides!$D:$D,$A31))</f>
        <v/>
      </c>
      <c r="L31" s="10" t="str">
        <f t="shared" si="4"/>
        <v/>
      </c>
      <c r="M31" s="3" t="str">
        <f t="shared" si="2"/>
        <v/>
      </c>
    </row>
    <row r="32" spans="1:13" x14ac:dyDescent="0.25">
      <c r="A32" s="3"/>
      <c r="B32" s="3">
        <f>23.58-2.79*B31</f>
        <v>23.566666666666666</v>
      </c>
      <c r="C32" s="8"/>
      <c r="D32" s="8"/>
      <c r="E32" s="10" t="str">
        <f t="shared" si="0"/>
        <v/>
      </c>
      <c r="F32" s="8"/>
      <c r="G32" s="8"/>
      <c r="H32" s="8"/>
      <c r="I32" s="10" t="str">
        <f t="shared" si="1"/>
        <v/>
      </c>
      <c r="J32" s="8"/>
      <c r="K32" s="10" t="str">
        <f>IF(A32="","",SUMIFS(Elements_hybrides!$Q:$Q,Elements_hybrides!$D:$D,$A32))</f>
        <v/>
      </c>
      <c r="L32" s="10" t="str">
        <f t="shared" si="4"/>
        <v/>
      </c>
      <c r="M32" s="3" t="str">
        <f t="shared" si="2"/>
        <v/>
      </c>
    </row>
    <row r="33" spans="1:13" x14ac:dyDescent="0.25">
      <c r="A33" s="3"/>
      <c r="B33" s="3">
        <f>23.58-4.93*B31</f>
        <v>23.556439665471924</v>
      </c>
      <c r="C33" s="8"/>
      <c r="D33" s="8"/>
      <c r="E33" s="10" t="str">
        <f t="shared" si="0"/>
        <v/>
      </c>
      <c r="F33" s="8"/>
      <c r="G33" s="8"/>
      <c r="H33" s="8"/>
      <c r="I33" s="10" t="str">
        <f t="shared" si="1"/>
        <v/>
      </c>
      <c r="J33" s="8"/>
      <c r="K33" s="10" t="str">
        <f>IF(A33="","",SUMIFS(Elements_hybrides!$Q:$Q,Elements_hybrides!$D:$D,$A33))</f>
        <v/>
      </c>
      <c r="L33" s="10" t="str">
        <f t="shared" si="4"/>
        <v/>
      </c>
      <c r="M33" s="3" t="str">
        <f t="shared" si="2"/>
        <v/>
      </c>
    </row>
    <row r="34" spans="1:13" x14ac:dyDescent="0.25">
      <c r="A34" s="3"/>
      <c r="B34" s="3"/>
      <c r="C34" s="8"/>
      <c r="D34" s="8"/>
      <c r="E34" s="10" t="str">
        <f t="shared" si="0"/>
        <v/>
      </c>
      <c r="F34" s="8"/>
      <c r="G34" s="8"/>
      <c r="H34" s="8"/>
      <c r="I34" s="10" t="str">
        <f t="shared" si="1"/>
        <v/>
      </c>
      <c r="J34" s="8"/>
      <c r="K34" s="10" t="str">
        <f>IF(A34="","",SUMIFS(Elements_hybrides!$Q:$Q,Elements_hybrides!$D:$D,$A34))</f>
        <v/>
      </c>
      <c r="L34" s="10" t="str">
        <f t="shared" si="4"/>
        <v/>
      </c>
      <c r="M34" s="3" t="str">
        <f t="shared" si="2"/>
        <v/>
      </c>
    </row>
    <row r="35" spans="1:13" x14ac:dyDescent="0.25">
      <c r="A35" s="3"/>
      <c r="B35" s="3">
        <f>23.54-23.49</f>
        <v>5.0000000000000711E-2</v>
      </c>
      <c r="C35" s="8"/>
      <c r="D35" s="8"/>
      <c r="E35" s="10" t="str">
        <f t="shared" si="0"/>
        <v/>
      </c>
      <c r="F35" s="8"/>
      <c r="G35" s="8"/>
      <c r="H35" s="8"/>
      <c r="I35" s="10" t="str">
        <f t="shared" si="1"/>
        <v/>
      </c>
      <c r="J35" s="8"/>
      <c r="K35" s="10" t="str">
        <f>IF(A35="","",SUMIFS(Elements_hybrides!$Q:$Q,Elements_hybrides!$D:$D,$A35))</f>
        <v/>
      </c>
      <c r="L35" s="10" t="str">
        <f t="shared" si="4"/>
        <v/>
      </c>
      <c r="M35" s="3" t="str">
        <f t="shared" si="2"/>
        <v/>
      </c>
    </row>
    <row r="36" spans="1:13" x14ac:dyDescent="0.25">
      <c r="A36" s="3"/>
      <c r="B36" s="3">
        <f>B35/4.74</f>
        <v>1.0548523206751204E-2</v>
      </c>
      <c r="C36" s="8"/>
      <c r="D36" s="8"/>
      <c r="E36" s="10" t="str">
        <f t="shared" si="0"/>
        <v/>
      </c>
      <c r="F36" s="8"/>
      <c r="G36" s="8"/>
      <c r="H36" s="8"/>
      <c r="I36" s="10" t="str">
        <f t="shared" si="1"/>
        <v/>
      </c>
      <c r="J36" s="8"/>
      <c r="K36" s="10" t="str">
        <f>IF(A36="","",SUMIFS(Elements_hybrides!$Q:$Q,Elements_hybrides!$D:$D,$A36))</f>
        <v/>
      </c>
      <c r="L36" s="10" t="str">
        <f t="shared" si="4"/>
        <v/>
      </c>
      <c r="M36" s="3" t="str">
        <f t="shared" si="2"/>
        <v/>
      </c>
    </row>
    <row r="37" spans="1:13" x14ac:dyDescent="0.25">
      <c r="A37" s="3"/>
      <c r="B37" s="3">
        <f>23.54-3.41*B36</f>
        <v>23.504029535864976</v>
      </c>
      <c r="C37" s="8"/>
      <c r="D37" s="8"/>
      <c r="E37" s="10" t="str">
        <f t="shared" si="0"/>
        <v/>
      </c>
      <c r="F37" s="8"/>
      <c r="G37" s="8"/>
      <c r="H37" s="8"/>
      <c r="I37" s="10" t="str">
        <f t="shared" si="1"/>
        <v/>
      </c>
      <c r="J37" s="8"/>
      <c r="K37" s="10" t="str">
        <f>IF(A37="","",SUMIFS(Elements_hybrides!$Q:$Q,Elements_hybrides!$D:$D,$A37))</f>
        <v/>
      </c>
      <c r="L37" s="10" t="str">
        <f t="shared" si="4"/>
        <v/>
      </c>
      <c r="M37" s="3" t="str">
        <f t="shared" si="2"/>
        <v/>
      </c>
    </row>
    <row r="38" spans="1:13" x14ac:dyDescent="0.25">
      <c r="A38" s="3"/>
      <c r="B38" s="3"/>
      <c r="C38" s="8"/>
      <c r="D38" s="8"/>
      <c r="E38" s="10" t="str">
        <f t="shared" si="0"/>
        <v/>
      </c>
      <c r="F38" s="8"/>
      <c r="G38" s="8"/>
      <c r="H38" s="8"/>
      <c r="I38" s="10" t="str">
        <f t="shared" si="1"/>
        <v/>
      </c>
      <c r="J38" s="8"/>
      <c r="K38" s="10" t="str">
        <f>IF(A38="","",SUMIFS(Elements_hybrides!$Q:$Q,Elements_hybrides!$D:$D,$A38))</f>
        <v/>
      </c>
      <c r="L38" s="10" t="str">
        <f t="shared" si="4"/>
        <v/>
      </c>
      <c r="M38" s="3" t="str">
        <f t="shared" si="2"/>
        <v/>
      </c>
    </row>
    <row r="39" spans="1:13" x14ac:dyDescent="0.25">
      <c r="A39" s="3"/>
      <c r="B39" s="3">
        <f>14.16-10.619</f>
        <v>3.5410000000000004</v>
      </c>
      <c r="C39" s="8"/>
      <c r="D39" s="8"/>
      <c r="E39" s="10" t="str">
        <f t="shared" si="0"/>
        <v/>
      </c>
      <c r="F39" s="8"/>
      <c r="G39" s="8"/>
      <c r="H39" s="8"/>
      <c r="I39" s="10" t="str">
        <f t="shared" si="1"/>
        <v/>
      </c>
      <c r="J39" s="8"/>
      <c r="K39" s="10" t="str">
        <f>IF(A39="","",SUMIFS(Elements_hybrides!$Q:$Q,Elements_hybrides!$D:$D,$A39))</f>
        <v/>
      </c>
      <c r="L39" s="10" t="str">
        <f t="shared" si="4"/>
        <v/>
      </c>
      <c r="M39" s="3" t="str">
        <f t="shared" si="2"/>
        <v/>
      </c>
    </row>
    <row r="40" spans="1:13" x14ac:dyDescent="0.25">
      <c r="A40" s="3"/>
      <c r="B40" s="3"/>
      <c r="C40" s="8"/>
      <c r="D40" s="8"/>
      <c r="E40" s="10" t="str">
        <f t="shared" si="0"/>
        <v/>
      </c>
      <c r="F40" s="8"/>
      <c r="G40" s="8"/>
      <c r="H40" s="8"/>
      <c r="I40" s="10" t="str">
        <f t="shared" si="1"/>
        <v/>
      </c>
      <c r="J40" s="8"/>
      <c r="K40" s="10" t="str">
        <f>IF(A40="","",SUMIFS(Elements_hybrides!$Q:$Q,Elements_hybrides!$D:$D,$A40))</f>
        <v/>
      </c>
      <c r="L40" s="10" t="str">
        <f t="shared" si="4"/>
        <v/>
      </c>
      <c r="M40" s="3" t="str">
        <f t="shared" si="2"/>
        <v/>
      </c>
    </row>
    <row r="41" spans="1:13" x14ac:dyDescent="0.25">
      <c r="A41" s="3"/>
      <c r="B41" s="3"/>
      <c r="C41" s="8"/>
      <c r="D41" s="8"/>
      <c r="E41" s="10" t="str">
        <f t="shared" si="0"/>
        <v/>
      </c>
      <c r="F41" s="8"/>
      <c r="G41" s="8"/>
      <c r="H41" s="8"/>
      <c r="I41" s="10" t="str">
        <f t="shared" si="1"/>
        <v/>
      </c>
      <c r="J41" s="8"/>
      <c r="K41" s="10" t="str">
        <f>IF(A41="","",SUMIFS(Elements_hybrides!$Q:$Q,Elements_hybrides!$D:$D,$A41))</f>
        <v/>
      </c>
      <c r="L41" s="10" t="str">
        <f t="shared" si="4"/>
        <v/>
      </c>
      <c r="M41" s="3" t="str">
        <f t="shared" si="2"/>
        <v/>
      </c>
    </row>
    <row r="42" spans="1:13" x14ac:dyDescent="0.25">
      <c r="A42" s="3"/>
      <c r="B42" s="3"/>
      <c r="C42" s="8"/>
      <c r="D42" s="8"/>
      <c r="E42" s="10" t="str">
        <f t="shared" si="0"/>
        <v/>
      </c>
      <c r="F42" s="8"/>
      <c r="G42" s="8"/>
      <c r="H42" s="8"/>
      <c r="I42" s="10" t="str">
        <f t="shared" si="1"/>
        <v/>
      </c>
      <c r="J42" s="8"/>
      <c r="K42" s="10" t="str">
        <f>IF(A42="","",SUMIFS(Elements_hybrides!$Q:$Q,Elements_hybrides!$D:$D,$A42))</f>
        <v/>
      </c>
      <c r="L42" s="10" t="str">
        <f t="shared" si="4"/>
        <v/>
      </c>
      <c r="M42" s="3" t="str">
        <f t="shared" si="2"/>
        <v/>
      </c>
    </row>
    <row r="43" spans="1:13" x14ac:dyDescent="0.25">
      <c r="A43" s="3"/>
      <c r="B43" s="3"/>
      <c r="C43" s="8"/>
      <c r="D43" s="8"/>
      <c r="E43" s="10" t="str">
        <f t="shared" si="0"/>
        <v/>
      </c>
      <c r="F43" s="8"/>
      <c r="G43" s="8"/>
      <c r="H43" s="8"/>
      <c r="I43" s="10" t="str">
        <f t="shared" si="1"/>
        <v/>
      </c>
      <c r="J43" s="8"/>
      <c r="K43" s="10" t="str">
        <f>IF(A43="","",SUMIFS(Elements_hybrides!$Q:$Q,Elements_hybrides!$D:$D,$A43))</f>
        <v/>
      </c>
      <c r="L43" s="10" t="str">
        <f t="shared" si="4"/>
        <v/>
      </c>
      <c r="M43" s="3" t="str">
        <f t="shared" si="2"/>
        <v/>
      </c>
    </row>
    <row r="44" spans="1:13" x14ac:dyDescent="0.25">
      <c r="A44" s="3"/>
      <c r="B44" s="3"/>
      <c r="C44" s="8"/>
      <c r="D44" s="8"/>
      <c r="E44" s="10" t="str">
        <f t="shared" si="0"/>
        <v/>
      </c>
      <c r="F44" s="8"/>
      <c r="G44" s="8"/>
      <c r="H44" s="8"/>
      <c r="I44" s="10" t="str">
        <f t="shared" si="1"/>
        <v/>
      </c>
      <c r="J44" s="8"/>
      <c r="K44" s="10" t="str">
        <f>IF(A44="","",SUMIFS(Elements_hybrides!$Q:$Q,Elements_hybrides!$D:$D,$A44))</f>
        <v/>
      </c>
      <c r="L44" s="10" t="str">
        <f t="shared" si="4"/>
        <v/>
      </c>
      <c r="M44" s="3" t="str">
        <f t="shared" si="2"/>
        <v/>
      </c>
    </row>
    <row r="45" spans="1:13" x14ac:dyDescent="0.25">
      <c r="A45" s="3"/>
      <c r="B45" s="3"/>
      <c r="C45" s="8"/>
      <c r="D45" s="8"/>
      <c r="E45" s="10" t="str">
        <f t="shared" si="0"/>
        <v/>
      </c>
      <c r="F45" s="8"/>
      <c r="G45" s="8"/>
      <c r="H45" s="8"/>
      <c r="I45" s="10" t="str">
        <f t="shared" si="1"/>
        <v/>
      </c>
      <c r="J45" s="8"/>
      <c r="K45" s="10" t="str">
        <f>IF(A45="","",SUMIFS(Elements_hybrides!$Q:$Q,Elements_hybrides!$D:$D,$A45))</f>
        <v/>
      </c>
      <c r="L45" s="10" t="str">
        <f t="shared" si="4"/>
        <v/>
      </c>
      <c r="M45" s="3" t="str">
        <f t="shared" si="2"/>
        <v/>
      </c>
    </row>
    <row r="46" spans="1:13" x14ac:dyDescent="0.25">
      <c r="A46" s="3"/>
      <c r="B46" s="3"/>
      <c r="C46" s="8"/>
      <c r="D46" s="8"/>
      <c r="E46" s="10" t="str">
        <f t="shared" si="0"/>
        <v/>
      </c>
      <c r="F46" s="8"/>
      <c r="G46" s="8"/>
      <c r="H46" s="8"/>
      <c r="I46" s="10" t="str">
        <f t="shared" si="1"/>
        <v/>
      </c>
      <c r="J46" s="8"/>
      <c r="K46" s="10" t="str">
        <f>IF(A46="","",SUMIFS(Elements_hybrides!$Q:$Q,Elements_hybrides!$D:$D,$A46))</f>
        <v/>
      </c>
      <c r="L46" s="10" t="str">
        <f t="shared" si="4"/>
        <v/>
      </c>
      <c r="M46" s="3" t="str">
        <f t="shared" si="2"/>
        <v/>
      </c>
    </row>
    <row r="47" spans="1:13" x14ac:dyDescent="0.25">
      <c r="A47" s="3"/>
      <c r="B47" s="3"/>
      <c r="C47" s="8"/>
      <c r="D47" s="8"/>
      <c r="E47" s="10" t="str">
        <f t="shared" si="0"/>
        <v/>
      </c>
      <c r="F47" s="8"/>
      <c r="G47" s="8"/>
      <c r="H47" s="8"/>
      <c r="I47" s="10" t="str">
        <f t="shared" si="1"/>
        <v/>
      </c>
      <c r="J47" s="8"/>
      <c r="K47" s="10" t="str">
        <f>IF(A47="","",SUMIFS(Elements_hybrides!$Q:$Q,Elements_hybrides!$D:$D,$A47))</f>
        <v/>
      </c>
      <c r="L47" s="10" t="str">
        <f t="shared" si="4"/>
        <v/>
      </c>
      <c r="M47" s="3" t="str">
        <f t="shared" si="2"/>
        <v/>
      </c>
    </row>
    <row r="48" spans="1:13" x14ac:dyDescent="0.25">
      <c r="A48" s="3"/>
      <c r="B48" s="3"/>
      <c r="C48" s="8"/>
      <c r="D48" s="8"/>
      <c r="E48" s="10" t="str">
        <f t="shared" si="0"/>
        <v/>
      </c>
      <c r="F48" s="8"/>
      <c r="G48" s="8"/>
      <c r="H48" s="8"/>
      <c r="I48" s="10" t="str">
        <f t="shared" si="1"/>
        <v/>
      </c>
      <c r="J48" s="8"/>
      <c r="K48" s="10" t="str">
        <f>IF(A48="","",SUMIFS(Elements_hybrides!$Q:$Q,Elements_hybrides!$D:$D,$A48))</f>
        <v/>
      </c>
      <c r="L48" s="10" t="str">
        <f t="shared" si="4"/>
        <v/>
      </c>
      <c r="M48" s="3" t="str">
        <f t="shared" si="2"/>
        <v/>
      </c>
    </row>
    <row r="49" spans="1:13" x14ac:dyDescent="0.25">
      <c r="A49" s="3"/>
      <c r="B49" s="3"/>
      <c r="C49" s="8"/>
      <c r="D49" s="8"/>
      <c r="E49" s="10" t="str">
        <f t="shared" si="0"/>
        <v/>
      </c>
      <c r="F49" s="8"/>
      <c r="G49" s="8"/>
      <c r="H49" s="8"/>
      <c r="I49" s="10" t="str">
        <f t="shared" si="1"/>
        <v/>
      </c>
      <c r="J49" s="8"/>
      <c r="K49" s="10" t="str">
        <f>IF(A49="","",SUMIFS(Elements_hybrides!$Q:$Q,Elements_hybrides!$D:$D,$A49))</f>
        <v/>
      </c>
      <c r="L49" s="10" t="str">
        <f t="shared" si="4"/>
        <v/>
      </c>
      <c r="M49" s="3" t="str">
        <f t="shared" si="2"/>
        <v/>
      </c>
    </row>
    <row r="50" spans="1:13" x14ac:dyDescent="0.25">
      <c r="A50" s="3"/>
      <c r="B50" s="3"/>
      <c r="C50" s="8"/>
      <c r="D50" s="8"/>
      <c r="E50" s="10" t="str">
        <f t="shared" si="0"/>
        <v/>
      </c>
      <c r="F50" s="8"/>
      <c r="G50" s="8"/>
      <c r="H50" s="8"/>
      <c r="I50" s="10" t="str">
        <f t="shared" si="1"/>
        <v/>
      </c>
      <c r="J50" s="8"/>
      <c r="K50" s="10" t="str">
        <f>IF(A50="","",SUMIFS(Elements_hybrides!$Q:$Q,Elements_hybrides!$D:$D,$A50))</f>
        <v/>
      </c>
      <c r="L50" s="10" t="str">
        <f t="shared" si="4"/>
        <v/>
      </c>
      <c r="M50" s="3" t="str">
        <f t="shared" si="2"/>
        <v/>
      </c>
    </row>
    <row r="51" spans="1:13" x14ac:dyDescent="0.25">
      <c r="A51" s="3"/>
      <c r="B51" s="3"/>
      <c r="C51" s="8"/>
      <c r="D51" s="8"/>
      <c r="E51" s="10" t="str">
        <f t="shared" si="0"/>
        <v/>
      </c>
      <c r="F51" s="8"/>
      <c r="G51" s="8"/>
      <c r="H51" s="8"/>
      <c r="I51" s="10" t="str">
        <f t="shared" si="1"/>
        <v/>
      </c>
      <c r="J51" s="8"/>
      <c r="K51" s="10" t="str">
        <f>IF(A51="","",SUMIFS(Elements_hybrides!$Q:$Q,Elements_hybrides!$D:$D,$A51))</f>
        <v/>
      </c>
      <c r="L51" s="10" t="str">
        <f t="shared" si="4"/>
        <v/>
      </c>
      <c r="M51" s="3" t="str">
        <f t="shared" si="2"/>
        <v/>
      </c>
    </row>
    <row r="52" spans="1:13" x14ac:dyDescent="0.25">
      <c r="A52" s="3"/>
      <c r="B52" s="3"/>
      <c r="C52" s="8"/>
      <c r="D52" s="8"/>
      <c r="E52" s="10" t="str">
        <f t="shared" si="0"/>
        <v/>
      </c>
      <c r="F52" s="8"/>
      <c r="G52" s="8"/>
      <c r="H52" s="8"/>
      <c r="I52" s="10" t="str">
        <f t="shared" si="1"/>
        <v/>
      </c>
      <c r="J52" s="8"/>
      <c r="K52" s="10" t="str">
        <f>IF(A52="","",SUMIFS(Elements_hybrides!$Q:$Q,Elements_hybrides!$D:$D,$A52))</f>
        <v/>
      </c>
      <c r="L52" s="10" t="str">
        <f t="shared" si="4"/>
        <v/>
      </c>
      <c r="M52" s="3" t="str">
        <f t="shared" si="2"/>
        <v/>
      </c>
    </row>
    <row r="53" spans="1:13" x14ac:dyDescent="0.25">
      <c r="A53" s="3"/>
      <c r="B53" s="3"/>
      <c r="C53" s="8"/>
      <c r="D53" s="8"/>
      <c r="E53" s="10" t="str">
        <f t="shared" si="0"/>
        <v/>
      </c>
      <c r="F53" s="8"/>
      <c r="G53" s="8"/>
      <c r="H53" s="8"/>
      <c r="I53" s="10" t="str">
        <f t="shared" si="1"/>
        <v/>
      </c>
      <c r="J53" s="8"/>
      <c r="K53" s="10" t="str">
        <f>IF(A53="","",SUMIFS(Elements_hybrides!$Q:$Q,Elements_hybrides!$D:$D,$A53))</f>
        <v/>
      </c>
      <c r="L53" s="10" t="str">
        <f t="shared" si="4"/>
        <v/>
      </c>
      <c r="M53" s="3" t="str">
        <f t="shared" si="2"/>
        <v/>
      </c>
    </row>
    <row r="54" spans="1:13" x14ac:dyDescent="0.25">
      <c r="A54" s="3"/>
      <c r="B54" s="3"/>
      <c r="C54" s="8"/>
      <c r="D54" s="8"/>
      <c r="E54" s="10" t="str">
        <f t="shared" si="0"/>
        <v/>
      </c>
      <c r="F54" s="8"/>
      <c r="G54" s="8"/>
      <c r="H54" s="8"/>
      <c r="I54" s="10" t="str">
        <f t="shared" si="1"/>
        <v/>
      </c>
      <c r="J54" s="8"/>
      <c r="K54" s="10" t="str">
        <f>IF(A54="","",SUMIFS(Elements_hybrides!$Q:$Q,Elements_hybrides!$D:$D,$A54))</f>
        <v/>
      </c>
      <c r="L54" s="10" t="str">
        <f t="shared" si="4"/>
        <v/>
      </c>
      <c r="M54" s="3" t="str">
        <f t="shared" si="2"/>
        <v/>
      </c>
    </row>
    <row r="55" spans="1:13" x14ac:dyDescent="0.25">
      <c r="A55" s="3"/>
      <c r="B55" s="3"/>
      <c r="C55" s="8"/>
      <c r="D55" s="8"/>
      <c r="E55" s="10" t="str">
        <f t="shared" si="0"/>
        <v/>
      </c>
      <c r="F55" s="8"/>
      <c r="G55" s="8"/>
      <c r="H55" s="8"/>
      <c r="I55" s="10" t="str">
        <f t="shared" si="1"/>
        <v/>
      </c>
      <c r="J55" s="8"/>
      <c r="K55" s="10" t="str">
        <f>IF(A55="","",SUMIFS(Elements_hybrides!$Q:$Q,Elements_hybrides!$D:$D,$A55))</f>
        <v/>
      </c>
      <c r="L55" s="10" t="str">
        <f t="shared" si="4"/>
        <v/>
      </c>
      <c r="M55" s="3" t="str">
        <f t="shared" si="2"/>
        <v/>
      </c>
    </row>
    <row r="56" spans="1:13" x14ac:dyDescent="0.25">
      <c r="A56" s="3"/>
      <c r="B56" s="3"/>
      <c r="C56" s="8"/>
      <c r="D56" s="8"/>
      <c r="E56" s="10" t="str">
        <f t="shared" si="0"/>
        <v/>
      </c>
      <c r="F56" s="8"/>
      <c r="G56" s="8"/>
      <c r="H56" s="8"/>
      <c r="I56" s="10" t="str">
        <f t="shared" si="1"/>
        <v/>
      </c>
      <c r="J56" s="8"/>
      <c r="K56" s="10" t="str">
        <f>IF(A56="","",SUMIFS(Elements_hybrides!$Q:$Q,Elements_hybrides!$D:$D,$A56))</f>
        <v/>
      </c>
      <c r="L56" s="10" t="str">
        <f t="shared" si="4"/>
        <v/>
      </c>
      <c r="M56" s="3" t="str">
        <f t="shared" si="2"/>
        <v/>
      </c>
    </row>
    <row r="57" spans="1:13" x14ac:dyDescent="0.25">
      <c r="A57" s="3"/>
      <c r="B57" s="3"/>
      <c r="C57" s="8"/>
      <c r="D57" s="8"/>
      <c r="E57" s="10" t="str">
        <f t="shared" si="0"/>
        <v/>
      </c>
      <c r="F57" s="8"/>
      <c r="G57" s="8"/>
      <c r="H57" s="8"/>
      <c r="I57" s="10" t="str">
        <f t="shared" si="1"/>
        <v/>
      </c>
      <c r="J57" s="8"/>
      <c r="K57" s="10" t="str">
        <f>IF(A57="","",SUMIFS(Elements_hybrides!$Q:$Q,Elements_hybrides!$D:$D,$A57))</f>
        <v/>
      </c>
      <c r="L57" s="10" t="str">
        <f t="shared" si="4"/>
        <v/>
      </c>
      <c r="M57" s="3" t="str">
        <f t="shared" si="2"/>
        <v/>
      </c>
    </row>
    <row r="58" spans="1:13" x14ac:dyDescent="0.25">
      <c r="A58" s="3"/>
      <c r="B58" s="3"/>
      <c r="C58" s="8"/>
      <c r="D58" s="8"/>
      <c r="E58" s="10" t="str">
        <f t="shared" si="0"/>
        <v/>
      </c>
      <c r="F58" s="8"/>
      <c r="G58" s="8"/>
      <c r="H58" s="8"/>
      <c r="I58" s="10" t="str">
        <f t="shared" si="1"/>
        <v/>
      </c>
      <c r="J58" s="8"/>
      <c r="K58" s="10" t="str">
        <f>IF(A58="","",SUMIFS(Elements_hybrides!$Q:$Q,Elements_hybrides!$D:$D,$A58))</f>
        <v/>
      </c>
      <c r="L58" s="10" t="str">
        <f t="shared" si="4"/>
        <v/>
      </c>
      <c r="M58" s="3" t="str">
        <f t="shared" si="2"/>
        <v/>
      </c>
    </row>
    <row r="59" spans="1:13" x14ac:dyDescent="0.25">
      <c r="A59" s="3"/>
      <c r="B59" s="3"/>
      <c r="C59" s="8"/>
      <c r="D59" s="8"/>
      <c r="E59" s="10" t="str">
        <f t="shared" si="0"/>
        <v/>
      </c>
      <c r="F59" s="8"/>
      <c r="G59" s="8"/>
      <c r="H59" s="8"/>
      <c r="I59" s="10" t="str">
        <f t="shared" si="1"/>
        <v/>
      </c>
      <c r="J59" s="8"/>
      <c r="K59" s="10" t="str">
        <f>IF(A59="","",SUMIFS(Elements_hybrides!$Q:$Q,Elements_hybrides!$D:$D,$A59))</f>
        <v/>
      </c>
      <c r="L59" s="10" t="str">
        <f t="shared" si="4"/>
        <v/>
      </c>
      <c r="M59" s="3" t="str">
        <f t="shared" si="2"/>
        <v/>
      </c>
    </row>
    <row r="60" spans="1:13" x14ac:dyDescent="0.25">
      <c r="A60" s="3"/>
      <c r="B60" s="3"/>
      <c r="C60" s="8"/>
      <c r="D60" s="8"/>
      <c r="E60" s="10" t="str">
        <f t="shared" si="0"/>
        <v/>
      </c>
      <c r="F60" s="8"/>
      <c r="G60" s="8"/>
      <c r="H60" s="8"/>
      <c r="I60" s="10" t="str">
        <f t="shared" si="1"/>
        <v/>
      </c>
      <c r="J60" s="8"/>
      <c r="K60" s="10" t="str">
        <f>IF(A60="","",SUMIFS(Elements_hybrides!$Q:$Q,Elements_hybrides!$D:$D,$A60))</f>
        <v/>
      </c>
      <c r="L60" s="10" t="str">
        <f t="shared" si="4"/>
        <v/>
      </c>
      <c r="M60" s="3" t="str">
        <f t="shared" si="2"/>
        <v/>
      </c>
    </row>
    <row r="61" spans="1:13" x14ac:dyDescent="0.25">
      <c r="A61" s="3"/>
      <c r="B61" s="3"/>
      <c r="C61" s="8"/>
      <c r="D61" s="8"/>
      <c r="E61" s="10" t="str">
        <f t="shared" si="0"/>
        <v/>
      </c>
      <c r="F61" s="8"/>
      <c r="G61" s="8"/>
      <c r="H61" s="8"/>
      <c r="I61" s="10" t="str">
        <f t="shared" si="1"/>
        <v/>
      </c>
      <c r="J61" s="8"/>
      <c r="K61" s="10" t="str">
        <f>IF(A61="","",SUMIFS(Elements_hybrides!$Q:$Q,Elements_hybrides!$D:$D,$A61))</f>
        <v/>
      </c>
      <c r="L61" s="10" t="str">
        <f t="shared" si="4"/>
        <v/>
      </c>
      <c r="M61" s="3" t="str">
        <f t="shared" si="2"/>
        <v/>
      </c>
    </row>
    <row r="62" spans="1:13" x14ac:dyDescent="0.25">
      <c r="A62" s="3"/>
      <c r="B62" s="3"/>
      <c r="C62" s="8"/>
      <c r="D62" s="8"/>
      <c r="E62" s="10" t="str">
        <f t="shared" si="0"/>
        <v/>
      </c>
      <c r="F62" s="8"/>
      <c r="G62" s="8"/>
      <c r="H62" s="8"/>
      <c r="I62" s="10" t="str">
        <f t="shared" si="1"/>
        <v/>
      </c>
      <c r="J62" s="8"/>
      <c r="K62" s="10" t="str">
        <f>IF(A62="","",SUMIFS(Elements_hybrides!$Q:$Q,Elements_hybrides!$D:$D,$A62))</f>
        <v/>
      </c>
      <c r="L62" s="10" t="str">
        <f t="shared" si="4"/>
        <v/>
      </c>
      <c r="M62" s="3" t="str">
        <f t="shared" si="2"/>
        <v/>
      </c>
    </row>
    <row r="63" spans="1:13" x14ac:dyDescent="0.25">
      <c r="A63" s="3"/>
      <c r="B63" s="3"/>
      <c r="C63" s="8"/>
      <c r="D63" s="8"/>
      <c r="E63" s="10" t="str">
        <f t="shared" si="0"/>
        <v/>
      </c>
      <c r="F63" s="8"/>
      <c r="G63" s="8"/>
      <c r="H63" s="8"/>
      <c r="I63" s="10" t="str">
        <f t="shared" si="1"/>
        <v/>
      </c>
      <c r="J63" s="8"/>
      <c r="K63" s="10" t="str">
        <f>IF(A63="","",SUMIFS(Elements_hybrides!$Q:$Q,Elements_hybrides!$D:$D,$A63))</f>
        <v/>
      </c>
      <c r="L63" s="10" t="str">
        <f t="shared" si="4"/>
        <v/>
      </c>
      <c r="M63" s="3" t="str">
        <f t="shared" si="2"/>
        <v/>
      </c>
    </row>
    <row r="64" spans="1:13" x14ac:dyDescent="0.25">
      <c r="A64" s="3"/>
      <c r="B64" s="3"/>
      <c r="C64" s="8"/>
      <c r="D64" s="8"/>
      <c r="E64" s="10" t="str">
        <f t="shared" si="0"/>
        <v/>
      </c>
      <c r="F64" s="8"/>
      <c r="G64" s="8"/>
      <c r="H64" s="8"/>
      <c r="I64" s="10" t="str">
        <f t="shared" si="1"/>
        <v/>
      </c>
      <c r="J64" s="8"/>
      <c r="K64" s="10" t="str">
        <f>IF(A64="","",SUMIFS(Elements_hybrides!$Q:$Q,Elements_hybrides!$D:$D,$A64))</f>
        <v/>
      </c>
      <c r="L64" s="10" t="str">
        <f t="shared" si="4"/>
        <v/>
      </c>
      <c r="M64" s="3" t="str">
        <f t="shared" si="2"/>
        <v/>
      </c>
    </row>
    <row r="65" spans="1:13" x14ac:dyDescent="0.25">
      <c r="A65" s="3"/>
      <c r="B65" s="3"/>
      <c r="C65" s="8"/>
      <c r="D65" s="8"/>
      <c r="E65" s="10" t="str">
        <f t="shared" si="0"/>
        <v/>
      </c>
      <c r="F65" s="8"/>
      <c r="G65" s="8"/>
      <c r="H65" s="8"/>
      <c r="I65" s="10" t="str">
        <f t="shared" si="1"/>
        <v/>
      </c>
      <c r="J65" s="8"/>
      <c r="K65" s="10" t="str">
        <f>IF(A65="","",SUMIFS(Elements_hybrides!$Q:$Q,Elements_hybrides!$D:$D,$A65))</f>
        <v/>
      </c>
      <c r="L65" s="10" t="str">
        <f t="shared" si="4"/>
        <v/>
      </c>
      <c r="M65" s="3" t="str">
        <f t="shared" si="2"/>
        <v/>
      </c>
    </row>
    <row r="66" spans="1:13" x14ac:dyDescent="0.25">
      <c r="A66" s="3"/>
      <c r="B66" s="3"/>
      <c r="C66" s="8"/>
      <c r="D66" s="8"/>
      <c r="E66" s="10" t="str">
        <f t="shared" si="0"/>
        <v/>
      </c>
      <c r="F66" s="8"/>
      <c r="G66" s="8"/>
      <c r="H66" s="8"/>
      <c r="I66" s="10" t="str">
        <f t="shared" si="1"/>
        <v/>
      </c>
      <c r="J66" s="8"/>
      <c r="K66" s="10" t="str">
        <f>IF(A66="","",SUMIFS(Elements_hybrides!$Q:$Q,Elements_hybrides!$D:$D,$A66))</f>
        <v/>
      </c>
      <c r="L66" s="10" t="str">
        <f t="shared" si="4"/>
        <v/>
      </c>
      <c r="M66" s="3" t="str">
        <f t="shared" si="2"/>
        <v/>
      </c>
    </row>
    <row r="67" spans="1:13" x14ac:dyDescent="0.25">
      <c r="A67" s="3"/>
      <c r="B67" s="3"/>
      <c r="C67" s="8"/>
      <c r="D67" s="8"/>
      <c r="E67" s="10" t="str">
        <f t="shared" si="0"/>
        <v/>
      </c>
      <c r="F67" s="8"/>
      <c r="G67" s="8"/>
      <c r="H67" s="8"/>
      <c r="I67" s="10" t="str">
        <f t="shared" si="1"/>
        <v/>
      </c>
      <c r="J67" s="8"/>
      <c r="K67" s="10" t="str">
        <f>IF(A67="","",SUMIFS(Elements_hybrides!$Q:$Q,Elements_hybrides!$D:$D,$A67))</f>
        <v/>
      </c>
      <c r="L67" s="10" t="str">
        <f t="shared" si="4"/>
        <v/>
      </c>
      <c r="M67" s="3" t="str">
        <f t="shared" si="2"/>
        <v/>
      </c>
    </row>
    <row r="68" spans="1:13" x14ac:dyDescent="0.25">
      <c r="A68" s="3"/>
      <c r="B68" s="3"/>
      <c r="C68" s="8"/>
      <c r="D68" s="8"/>
      <c r="E68" s="10" t="str">
        <f t="shared" ref="E68:E131" si="6">IF(OR(C68="",D68=""),"",MAX(0,C68-D68))</f>
        <v/>
      </c>
      <c r="F68" s="8"/>
      <c r="G68" s="8"/>
      <c r="H68" s="8"/>
      <c r="I68" s="10" t="str">
        <f t="shared" ref="I68:I131" si="7">IF(A68="","",IF(UPPER(TRIM(F68))="CIRC",PI()*(G68/2)^2*E68,IF(UPPER(TRIM(F68))="RECT",G68*H68*E68,"")))</f>
        <v/>
      </c>
      <c r="J68" s="8"/>
      <c r="K68" s="10" t="str">
        <f>IF(A68="","",SUMIFS(Elements_hybrides!$Q:$Q,Elements_hybrides!$D:$D,$A68))</f>
        <v/>
      </c>
      <c r="L68" s="10" t="str">
        <f t="shared" ref="L68:L131" si="8">IF(OR(K68="",J68=""),"",K68*J68*60)</f>
        <v/>
      </c>
      <c r="M68" s="3" t="str">
        <f t="shared" ref="M68:M131" si="9">IF(A68="","",IF(OR(I68="",L68=""),"",IF(I68&gt;=L68,"OK","CHECK")))</f>
        <v/>
      </c>
    </row>
    <row r="69" spans="1:13" x14ac:dyDescent="0.25">
      <c r="A69" s="3"/>
      <c r="B69" s="3"/>
      <c r="C69" s="8"/>
      <c r="D69" s="8"/>
      <c r="E69" s="10" t="str">
        <f t="shared" si="6"/>
        <v/>
      </c>
      <c r="F69" s="8"/>
      <c r="G69" s="8"/>
      <c r="H69" s="8"/>
      <c r="I69" s="10" t="str">
        <f t="shared" si="7"/>
        <v/>
      </c>
      <c r="J69" s="8"/>
      <c r="K69" s="10" t="str">
        <f>IF(A69="","",SUMIFS(Elements_hybrides!$Q:$Q,Elements_hybrides!$D:$D,$A69))</f>
        <v/>
      </c>
      <c r="L69" s="10" t="str">
        <f t="shared" si="8"/>
        <v/>
      </c>
      <c r="M69" s="3" t="str">
        <f t="shared" si="9"/>
        <v/>
      </c>
    </row>
    <row r="70" spans="1:13" x14ac:dyDescent="0.25">
      <c r="A70" s="3"/>
      <c r="B70" s="3"/>
      <c r="C70" s="8"/>
      <c r="D70" s="8"/>
      <c r="E70" s="10" t="str">
        <f t="shared" si="6"/>
        <v/>
      </c>
      <c r="F70" s="8"/>
      <c r="G70" s="8"/>
      <c r="H70" s="8"/>
      <c r="I70" s="10" t="str">
        <f t="shared" si="7"/>
        <v/>
      </c>
      <c r="J70" s="8"/>
      <c r="K70" s="10" t="str">
        <f>IF(A70="","",SUMIFS(Elements_hybrides!$Q:$Q,Elements_hybrides!$D:$D,$A70))</f>
        <v/>
      </c>
      <c r="L70" s="10" t="str">
        <f t="shared" si="8"/>
        <v/>
      </c>
      <c r="M70" s="3" t="str">
        <f t="shared" si="9"/>
        <v/>
      </c>
    </row>
    <row r="71" spans="1:13" x14ac:dyDescent="0.25">
      <c r="A71" s="3"/>
      <c r="B71" s="3"/>
      <c r="C71" s="8"/>
      <c r="D71" s="8"/>
      <c r="E71" s="10" t="str">
        <f t="shared" si="6"/>
        <v/>
      </c>
      <c r="F71" s="8"/>
      <c r="G71" s="8"/>
      <c r="H71" s="8"/>
      <c r="I71" s="10" t="str">
        <f t="shared" si="7"/>
        <v/>
      </c>
      <c r="J71" s="8"/>
      <c r="K71" s="10" t="str">
        <f>IF(A71="","",SUMIFS(Elements_hybrides!$Q:$Q,Elements_hybrides!$D:$D,$A71))</f>
        <v/>
      </c>
      <c r="L71" s="10" t="str">
        <f t="shared" si="8"/>
        <v/>
      </c>
      <c r="M71" s="3" t="str">
        <f t="shared" si="9"/>
        <v/>
      </c>
    </row>
    <row r="72" spans="1:13" x14ac:dyDescent="0.25">
      <c r="A72" s="3"/>
      <c r="B72" s="3"/>
      <c r="C72" s="8"/>
      <c r="D72" s="8"/>
      <c r="E72" s="10" t="str">
        <f t="shared" si="6"/>
        <v/>
      </c>
      <c r="F72" s="8"/>
      <c r="G72" s="8"/>
      <c r="H72" s="8"/>
      <c r="I72" s="10" t="str">
        <f t="shared" si="7"/>
        <v/>
      </c>
      <c r="J72" s="8"/>
      <c r="K72" s="10" t="str">
        <f>IF(A72="","",SUMIFS(Elements_hybrides!$Q:$Q,Elements_hybrides!$D:$D,$A72))</f>
        <v/>
      </c>
      <c r="L72" s="10" t="str">
        <f t="shared" si="8"/>
        <v/>
      </c>
      <c r="M72" s="3" t="str">
        <f t="shared" si="9"/>
        <v/>
      </c>
    </row>
    <row r="73" spans="1:13" x14ac:dyDescent="0.25">
      <c r="A73" s="3"/>
      <c r="B73" s="3"/>
      <c r="C73" s="8"/>
      <c r="D73" s="8"/>
      <c r="E73" s="10" t="str">
        <f t="shared" si="6"/>
        <v/>
      </c>
      <c r="F73" s="8"/>
      <c r="G73" s="8"/>
      <c r="H73" s="8"/>
      <c r="I73" s="10" t="str">
        <f t="shared" si="7"/>
        <v/>
      </c>
      <c r="J73" s="8"/>
      <c r="K73" s="10" t="str">
        <f>IF(A73="","",SUMIFS(Elements_hybrides!$Q:$Q,Elements_hybrides!$D:$D,$A73))</f>
        <v/>
      </c>
      <c r="L73" s="10" t="str">
        <f t="shared" si="8"/>
        <v/>
      </c>
      <c r="M73" s="3" t="str">
        <f t="shared" si="9"/>
        <v/>
      </c>
    </row>
    <row r="74" spans="1:13" x14ac:dyDescent="0.25">
      <c r="A74" s="3"/>
      <c r="B74" s="3"/>
      <c r="C74" s="8"/>
      <c r="D74" s="8"/>
      <c r="E74" s="10" t="str">
        <f t="shared" si="6"/>
        <v/>
      </c>
      <c r="F74" s="8"/>
      <c r="G74" s="8"/>
      <c r="H74" s="8"/>
      <c r="I74" s="10" t="str">
        <f t="shared" si="7"/>
        <v/>
      </c>
      <c r="J74" s="8"/>
      <c r="K74" s="10" t="str">
        <f>IF(A74="","",SUMIFS(Elements_hybrides!$Q:$Q,Elements_hybrides!$D:$D,$A74))</f>
        <v/>
      </c>
      <c r="L74" s="10" t="str">
        <f t="shared" si="8"/>
        <v/>
      </c>
      <c r="M74" s="3" t="str">
        <f t="shared" si="9"/>
        <v/>
      </c>
    </row>
    <row r="75" spans="1:13" x14ac:dyDescent="0.25">
      <c r="A75" s="3"/>
      <c r="B75" s="3"/>
      <c r="C75" s="8"/>
      <c r="D75" s="8"/>
      <c r="E75" s="10" t="str">
        <f t="shared" si="6"/>
        <v/>
      </c>
      <c r="F75" s="8"/>
      <c r="G75" s="8"/>
      <c r="H75" s="8"/>
      <c r="I75" s="10" t="str">
        <f t="shared" si="7"/>
        <v/>
      </c>
      <c r="J75" s="8"/>
      <c r="K75" s="10" t="str">
        <f>IF(A75="","",SUMIFS(Elements_hybrides!$Q:$Q,Elements_hybrides!$D:$D,$A75))</f>
        <v/>
      </c>
      <c r="L75" s="10" t="str">
        <f t="shared" si="8"/>
        <v/>
      </c>
      <c r="M75" s="3" t="str">
        <f t="shared" si="9"/>
        <v/>
      </c>
    </row>
    <row r="76" spans="1:13" x14ac:dyDescent="0.25">
      <c r="A76" s="3"/>
      <c r="B76" s="3"/>
      <c r="C76" s="8"/>
      <c r="D76" s="8"/>
      <c r="E76" s="10" t="str">
        <f t="shared" si="6"/>
        <v/>
      </c>
      <c r="F76" s="8"/>
      <c r="G76" s="8"/>
      <c r="H76" s="8"/>
      <c r="I76" s="10" t="str">
        <f t="shared" si="7"/>
        <v/>
      </c>
      <c r="J76" s="8"/>
      <c r="K76" s="10" t="str">
        <f>IF(A76="","",SUMIFS(Elements_hybrides!$Q:$Q,Elements_hybrides!$D:$D,$A76))</f>
        <v/>
      </c>
      <c r="L76" s="10" t="str">
        <f t="shared" si="8"/>
        <v/>
      </c>
      <c r="M76" s="3" t="str">
        <f t="shared" si="9"/>
        <v/>
      </c>
    </row>
    <row r="77" spans="1:13" x14ac:dyDescent="0.25">
      <c r="A77" s="3"/>
      <c r="B77" s="3"/>
      <c r="C77" s="8"/>
      <c r="D77" s="8"/>
      <c r="E77" s="10" t="str">
        <f t="shared" si="6"/>
        <v/>
      </c>
      <c r="F77" s="8"/>
      <c r="G77" s="8"/>
      <c r="H77" s="8"/>
      <c r="I77" s="10" t="str">
        <f t="shared" si="7"/>
        <v/>
      </c>
      <c r="J77" s="8"/>
      <c r="K77" s="10" t="str">
        <f>IF(A77="","",SUMIFS(Elements_hybrides!$Q:$Q,Elements_hybrides!$D:$D,$A77))</f>
        <v/>
      </c>
      <c r="L77" s="10" t="str">
        <f t="shared" si="8"/>
        <v/>
      </c>
      <c r="M77" s="3" t="str">
        <f t="shared" si="9"/>
        <v/>
      </c>
    </row>
    <row r="78" spans="1:13" x14ac:dyDescent="0.25">
      <c r="A78" s="3"/>
      <c r="B78" s="3"/>
      <c r="C78" s="8"/>
      <c r="D78" s="8"/>
      <c r="E78" s="10" t="str">
        <f t="shared" si="6"/>
        <v/>
      </c>
      <c r="F78" s="8"/>
      <c r="G78" s="8"/>
      <c r="H78" s="8"/>
      <c r="I78" s="10" t="str">
        <f t="shared" si="7"/>
        <v/>
      </c>
      <c r="J78" s="8"/>
      <c r="K78" s="10" t="str">
        <f>IF(A78="","",SUMIFS(Elements_hybrides!$Q:$Q,Elements_hybrides!$D:$D,$A78))</f>
        <v/>
      </c>
      <c r="L78" s="10" t="str">
        <f t="shared" si="8"/>
        <v/>
      </c>
      <c r="M78" s="3" t="str">
        <f t="shared" si="9"/>
        <v/>
      </c>
    </row>
    <row r="79" spans="1:13" x14ac:dyDescent="0.25">
      <c r="A79" s="3"/>
      <c r="B79" s="3"/>
      <c r="C79" s="8"/>
      <c r="D79" s="8"/>
      <c r="E79" s="10" t="str">
        <f t="shared" si="6"/>
        <v/>
      </c>
      <c r="F79" s="8"/>
      <c r="G79" s="8"/>
      <c r="H79" s="8"/>
      <c r="I79" s="10" t="str">
        <f t="shared" si="7"/>
        <v/>
      </c>
      <c r="J79" s="8"/>
      <c r="K79" s="10" t="str">
        <f>IF(A79="","",SUMIFS(Elements_hybrides!$Q:$Q,Elements_hybrides!$D:$D,$A79))</f>
        <v/>
      </c>
      <c r="L79" s="10" t="str">
        <f t="shared" si="8"/>
        <v/>
      </c>
      <c r="M79" s="3" t="str">
        <f t="shared" si="9"/>
        <v/>
      </c>
    </row>
    <row r="80" spans="1:13" x14ac:dyDescent="0.25">
      <c r="A80" s="3"/>
      <c r="B80" s="3"/>
      <c r="C80" s="8"/>
      <c r="D80" s="8"/>
      <c r="E80" s="10" t="str">
        <f t="shared" si="6"/>
        <v/>
      </c>
      <c r="F80" s="8"/>
      <c r="G80" s="8"/>
      <c r="H80" s="8"/>
      <c r="I80" s="10" t="str">
        <f t="shared" si="7"/>
        <v/>
      </c>
      <c r="J80" s="8"/>
      <c r="K80" s="10" t="str">
        <f>IF(A80="","",SUMIFS(Elements_hybrides!$Q:$Q,Elements_hybrides!$D:$D,$A80))</f>
        <v/>
      </c>
      <c r="L80" s="10" t="str">
        <f t="shared" si="8"/>
        <v/>
      </c>
      <c r="M80" s="3" t="str">
        <f t="shared" si="9"/>
        <v/>
      </c>
    </row>
    <row r="81" spans="1:13" x14ac:dyDescent="0.25">
      <c r="A81" s="3"/>
      <c r="B81" s="3"/>
      <c r="C81" s="8"/>
      <c r="D81" s="8"/>
      <c r="E81" s="10" t="str">
        <f t="shared" si="6"/>
        <v/>
      </c>
      <c r="F81" s="8"/>
      <c r="G81" s="8"/>
      <c r="H81" s="8"/>
      <c r="I81" s="10" t="str">
        <f t="shared" si="7"/>
        <v/>
      </c>
      <c r="J81" s="8"/>
      <c r="K81" s="10" t="str">
        <f>IF(A81="","",SUMIFS(Elements_hybrides!$Q:$Q,Elements_hybrides!$D:$D,$A81))</f>
        <v/>
      </c>
      <c r="L81" s="10" t="str">
        <f t="shared" si="8"/>
        <v/>
      </c>
      <c r="M81" s="3" t="str">
        <f t="shared" si="9"/>
        <v/>
      </c>
    </row>
    <row r="82" spans="1:13" x14ac:dyDescent="0.25">
      <c r="A82" s="3"/>
      <c r="B82" s="3"/>
      <c r="C82" s="8"/>
      <c r="D82" s="8"/>
      <c r="E82" s="10" t="str">
        <f t="shared" si="6"/>
        <v/>
      </c>
      <c r="F82" s="8"/>
      <c r="G82" s="8"/>
      <c r="H82" s="8"/>
      <c r="I82" s="10" t="str">
        <f t="shared" si="7"/>
        <v/>
      </c>
      <c r="J82" s="8"/>
      <c r="K82" s="10" t="str">
        <f>IF(A82="","",SUMIFS(Elements_hybrides!$Q:$Q,Elements_hybrides!$D:$D,$A82))</f>
        <v/>
      </c>
      <c r="L82" s="10" t="str">
        <f t="shared" si="8"/>
        <v/>
      </c>
      <c r="M82" s="3" t="str">
        <f t="shared" si="9"/>
        <v/>
      </c>
    </row>
    <row r="83" spans="1:13" x14ac:dyDescent="0.25">
      <c r="A83" s="3"/>
      <c r="B83" s="3"/>
      <c r="C83" s="8"/>
      <c r="D83" s="8"/>
      <c r="E83" s="10" t="str">
        <f t="shared" si="6"/>
        <v/>
      </c>
      <c r="F83" s="8"/>
      <c r="G83" s="8"/>
      <c r="H83" s="8"/>
      <c r="I83" s="10" t="str">
        <f t="shared" si="7"/>
        <v/>
      </c>
      <c r="J83" s="8"/>
      <c r="K83" s="10" t="str">
        <f>IF(A83="","",SUMIFS(Elements_hybrides!$Q:$Q,Elements_hybrides!$D:$D,$A83))</f>
        <v/>
      </c>
      <c r="L83" s="10" t="str">
        <f t="shared" si="8"/>
        <v/>
      </c>
      <c r="M83" s="3" t="str">
        <f t="shared" si="9"/>
        <v/>
      </c>
    </row>
    <row r="84" spans="1:13" x14ac:dyDescent="0.25">
      <c r="A84" s="3"/>
      <c r="B84" s="3"/>
      <c r="C84" s="8"/>
      <c r="D84" s="8"/>
      <c r="E84" s="10" t="str">
        <f t="shared" si="6"/>
        <v/>
      </c>
      <c r="F84" s="8"/>
      <c r="G84" s="8"/>
      <c r="H84" s="8"/>
      <c r="I84" s="10" t="str">
        <f t="shared" si="7"/>
        <v/>
      </c>
      <c r="J84" s="8"/>
      <c r="K84" s="10" t="str">
        <f>IF(A84="","",SUMIFS(Elements_hybrides!$Q:$Q,Elements_hybrides!$D:$D,$A84))</f>
        <v/>
      </c>
      <c r="L84" s="10" t="str">
        <f t="shared" si="8"/>
        <v/>
      </c>
      <c r="M84" s="3" t="str">
        <f t="shared" si="9"/>
        <v/>
      </c>
    </row>
    <row r="85" spans="1:13" x14ac:dyDescent="0.25">
      <c r="A85" s="3"/>
      <c r="B85" s="3"/>
      <c r="C85" s="8"/>
      <c r="D85" s="8"/>
      <c r="E85" s="10" t="str">
        <f t="shared" si="6"/>
        <v/>
      </c>
      <c r="F85" s="8"/>
      <c r="G85" s="8"/>
      <c r="H85" s="8"/>
      <c r="I85" s="10" t="str">
        <f t="shared" si="7"/>
        <v/>
      </c>
      <c r="J85" s="8"/>
      <c r="K85" s="10" t="str">
        <f>IF(A85="","",SUMIFS(Elements_hybrides!$Q:$Q,Elements_hybrides!$D:$D,$A85))</f>
        <v/>
      </c>
      <c r="L85" s="10" t="str">
        <f t="shared" si="8"/>
        <v/>
      </c>
      <c r="M85" s="3" t="str">
        <f t="shared" si="9"/>
        <v/>
      </c>
    </row>
    <row r="86" spans="1:13" x14ac:dyDescent="0.25">
      <c r="A86" s="3"/>
      <c r="B86" s="3"/>
      <c r="C86" s="8"/>
      <c r="D86" s="8"/>
      <c r="E86" s="10" t="str">
        <f t="shared" si="6"/>
        <v/>
      </c>
      <c r="F86" s="8"/>
      <c r="G86" s="8"/>
      <c r="H86" s="8"/>
      <c r="I86" s="10" t="str">
        <f t="shared" si="7"/>
        <v/>
      </c>
      <c r="J86" s="8"/>
      <c r="K86" s="10" t="str">
        <f>IF(A86="","",SUMIFS(Elements_hybrides!$Q:$Q,Elements_hybrides!$D:$D,$A86))</f>
        <v/>
      </c>
      <c r="L86" s="10" t="str">
        <f t="shared" si="8"/>
        <v/>
      </c>
      <c r="M86" s="3" t="str">
        <f t="shared" si="9"/>
        <v/>
      </c>
    </row>
    <row r="87" spans="1:13" x14ac:dyDescent="0.25">
      <c r="A87" s="3"/>
      <c r="B87" s="3"/>
      <c r="C87" s="8"/>
      <c r="D87" s="8"/>
      <c r="E87" s="10" t="str">
        <f t="shared" si="6"/>
        <v/>
      </c>
      <c r="F87" s="8"/>
      <c r="G87" s="8"/>
      <c r="H87" s="8"/>
      <c r="I87" s="10" t="str">
        <f t="shared" si="7"/>
        <v/>
      </c>
      <c r="J87" s="8"/>
      <c r="K87" s="10" t="str">
        <f>IF(A87="","",SUMIFS(Elements_hybrides!$Q:$Q,Elements_hybrides!$D:$D,$A87))</f>
        <v/>
      </c>
      <c r="L87" s="10" t="str">
        <f t="shared" si="8"/>
        <v/>
      </c>
      <c r="M87" s="3" t="str">
        <f t="shared" si="9"/>
        <v/>
      </c>
    </row>
    <row r="88" spans="1:13" x14ac:dyDescent="0.25">
      <c r="A88" s="3"/>
      <c r="B88" s="3"/>
      <c r="C88" s="8"/>
      <c r="D88" s="8"/>
      <c r="E88" s="10" t="str">
        <f t="shared" si="6"/>
        <v/>
      </c>
      <c r="F88" s="8"/>
      <c r="G88" s="8"/>
      <c r="H88" s="8"/>
      <c r="I88" s="10" t="str">
        <f t="shared" si="7"/>
        <v/>
      </c>
      <c r="J88" s="8"/>
      <c r="K88" s="10" t="str">
        <f>IF(A88="","",SUMIFS(Elements_hybrides!$Q:$Q,Elements_hybrides!$D:$D,$A88))</f>
        <v/>
      </c>
      <c r="L88" s="10" t="str">
        <f t="shared" si="8"/>
        <v/>
      </c>
      <c r="M88" s="3" t="str">
        <f t="shared" si="9"/>
        <v/>
      </c>
    </row>
    <row r="89" spans="1:13" x14ac:dyDescent="0.25">
      <c r="A89" s="3"/>
      <c r="B89" s="3"/>
      <c r="C89" s="8"/>
      <c r="D89" s="8"/>
      <c r="E89" s="10" t="str">
        <f t="shared" si="6"/>
        <v/>
      </c>
      <c r="F89" s="8"/>
      <c r="G89" s="8"/>
      <c r="H89" s="8"/>
      <c r="I89" s="10" t="str">
        <f t="shared" si="7"/>
        <v/>
      </c>
      <c r="J89" s="8"/>
      <c r="K89" s="10" t="str">
        <f>IF(A89="","",SUMIFS(Elements_hybrides!$Q:$Q,Elements_hybrides!$D:$D,$A89))</f>
        <v/>
      </c>
      <c r="L89" s="10" t="str">
        <f t="shared" si="8"/>
        <v/>
      </c>
      <c r="M89" s="3" t="str">
        <f t="shared" si="9"/>
        <v/>
      </c>
    </row>
    <row r="90" spans="1:13" x14ac:dyDescent="0.25">
      <c r="A90" s="3"/>
      <c r="B90" s="3"/>
      <c r="C90" s="8"/>
      <c r="D90" s="8"/>
      <c r="E90" s="10" t="str">
        <f t="shared" si="6"/>
        <v/>
      </c>
      <c r="F90" s="8"/>
      <c r="G90" s="8"/>
      <c r="H90" s="8"/>
      <c r="I90" s="10" t="str">
        <f t="shared" si="7"/>
        <v/>
      </c>
      <c r="J90" s="8"/>
      <c r="K90" s="10" t="str">
        <f>IF(A90="","",SUMIFS(Elements_hybrides!$Q:$Q,Elements_hybrides!$D:$D,$A90))</f>
        <v/>
      </c>
      <c r="L90" s="10" t="str">
        <f t="shared" si="8"/>
        <v/>
      </c>
      <c r="M90" s="3" t="str">
        <f t="shared" si="9"/>
        <v/>
      </c>
    </row>
    <row r="91" spans="1:13" x14ac:dyDescent="0.25">
      <c r="A91" s="3"/>
      <c r="B91" s="3"/>
      <c r="C91" s="8"/>
      <c r="D91" s="8"/>
      <c r="E91" s="10" t="str">
        <f t="shared" si="6"/>
        <v/>
      </c>
      <c r="F91" s="8"/>
      <c r="G91" s="8"/>
      <c r="H91" s="8"/>
      <c r="I91" s="10" t="str">
        <f t="shared" si="7"/>
        <v/>
      </c>
      <c r="J91" s="8"/>
      <c r="K91" s="10" t="str">
        <f>IF(A91="","",SUMIFS(Elements_hybrides!$Q:$Q,Elements_hybrides!$D:$D,$A91))</f>
        <v/>
      </c>
      <c r="L91" s="10" t="str">
        <f t="shared" si="8"/>
        <v/>
      </c>
      <c r="M91" s="3" t="str">
        <f t="shared" si="9"/>
        <v/>
      </c>
    </row>
    <row r="92" spans="1:13" x14ac:dyDescent="0.25">
      <c r="A92" s="3"/>
      <c r="B92" s="3"/>
      <c r="C92" s="8"/>
      <c r="D92" s="8"/>
      <c r="E92" s="10" t="str">
        <f t="shared" si="6"/>
        <v/>
      </c>
      <c r="F92" s="8"/>
      <c r="G92" s="8"/>
      <c r="H92" s="8"/>
      <c r="I92" s="10" t="str">
        <f t="shared" si="7"/>
        <v/>
      </c>
      <c r="J92" s="8"/>
      <c r="K92" s="10" t="str">
        <f>IF(A92="","",SUMIFS(Elements_hybrides!$Q:$Q,Elements_hybrides!$D:$D,$A92))</f>
        <v/>
      </c>
      <c r="L92" s="10" t="str">
        <f t="shared" si="8"/>
        <v/>
      </c>
      <c r="M92" s="3" t="str">
        <f t="shared" si="9"/>
        <v/>
      </c>
    </row>
    <row r="93" spans="1:13" x14ac:dyDescent="0.25">
      <c r="A93" s="3"/>
      <c r="B93" s="3"/>
      <c r="C93" s="8"/>
      <c r="D93" s="8"/>
      <c r="E93" s="10" t="str">
        <f t="shared" si="6"/>
        <v/>
      </c>
      <c r="F93" s="8"/>
      <c r="G93" s="8"/>
      <c r="H93" s="8"/>
      <c r="I93" s="10" t="str">
        <f t="shared" si="7"/>
        <v/>
      </c>
      <c r="J93" s="8"/>
      <c r="K93" s="10" t="str">
        <f>IF(A93="","",SUMIFS(Elements_hybrides!$Q:$Q,Elements_hybrides!$D:$D,$A93))</f>
        <v/>
      </c>
      <c r="L93" s="10" t="str">
        <f t="shared" si="8"/>
        <v/>
      </c>
      <c r="M93" s="3" t="str">
        <f t="shared" si="9"/>
        <v/>
      </c>
    </row>
    <row r="94" spans="1:13" x14ac:dyDescent="0.25">
      <c r="A94" s="3"/>
      <c r="B94" s="3"/>
      <c r="C94" s="8"/>
      <c r="D94" s="8"/>
      <c r="E94" s="10" t="str">
        <f t="shared" si="6"/>
        <v/>
      </c>
      <c r="F94" s="8"/>
      <c r="G94" s="8"/>
      <c r="H94" s="8"/>
      <c r="I94" s="10" t="str">
        <f t="shared" si="7"/>
        <v/>
      </c>
      <c r="J94" s="8"/>
      <c r="K94" s="10" t="str">
        <f>IF(A94="","",SUMIFS(Elements_hybrides!$Q:$Q,Elements_hybrides!$D:$D,$A94))</f>
        <v/>
      </c>
      <c r="L94" s="10" t="str">
        <f t="shared" si="8"/>
        <v/>
      </c>
      <c r="M94" s="3" t="str">
        <f t="shared" si="9"/>
        <v/>
      </c>
    </row>
    <row r="95" spans="1:13" x14ac:dyDescent="0.25">
      <c r="A95" s="3"/>
      <c r="B95" s="3"/>
      <c r="C95" s="8"/>
      <c r="D95" s="8"/>
      <c r="E95" s="10" t="str">
        <f t="shared" si="6"/>
        <v/>
      </c>
      <c r="F95" s="8"/>
      <c r="G95" s="8"/>
      <c r="H95" s="8"/>
      <c r="I95" s="10" t="str">
        <f t="shared" si="7"/>
        <v/>
      </c>
      <c r="J95" s="8"/>
      <c r="K95" s="10" t="str">
        <f>IF(A95="","",SUMIFS(Elements_hybrides!$Q:$Q,Elements_hybrides!$D:$D,$A95))</f>
        <v/>
      </c>
      <c r="L95" s="10" t="str">
        <f t="shared" si="8"/>
        <v/>
      </c>
      <c r="M95" s="3" t="str">
        <f t="shared" si="9"/>
        <v/>
      </c>
    </row>
    <row r="96" spans="1:13" x14ac:dyDescent="0.25">
      <c r="A96" s="3"/>
      <c r="B96" s="3"/>
      <c r="C96" s="8"/>
      <c r="D96" s="8"/>
      <c r="E96" s="10" t="str">
        <f t="shared" si="6"/>
        <v/>
      </c>
      <c r="F96" s="8"/>
      <c r="G96" s="8"/>
      <c r="H96" s="8"/>
      <c r="I96" s="10" t="str">
        <f t="shared" si="7"/>
        <v/>
      </c>
      <c r="J96" s="8"/>
      <c r="K96" s="10" t="str">
        <f>IF(A96="","",SUMIFS(Elements_hybrides!$Q:$Q,Elements_hybrides!$D:$D,$A96))</f>
        <v/>
      </c>
      <c r="L96" s="10" t="str">
        <f t="shared" si="8"/>
        <v/>
      </c>
      <c r="M96" s="3" t="str">
        <f t="shared" si="9"/>
        <v/>
      </c>
    </row>
    <row r="97" spans="1:13" x14ac:dyDescent="0.25">
      <c r="A97" s="3"/>
      <c r="B97" s="3"/>
      <c r="C97" s="8"/>
      <c r="D97" s="8"/>
      <c r="E97" s="10" t="str">
        <f t="shared" si="6"/>
        <v/>
      </c>
      <c r="F97" s="8"/>
      <c r="G97" s="8"/>
      <c r="H97" s="8"/>
      <c r="I97" s="10" t="str">
        <f t="shared" si="7"/>
        <v/>
      </c>
      <c r="J97" s="8"/>
      <c r="K97" s="10" t="str">
        <f>IF(A97="","",SUMIFS(Elements_hybrides!$Q:$Q,Elements_hybrides!$D:$D,$A97))</f>
        <v/>
      </c>
      <c r="L97" s="10" t="str">
        <f t="shared" si="8"/>
        <v/>
      </c>
      <c r="M97" s="3" t="str">
        <f t="shared" si="9"/>
        <v/>
      </c>
    </row>
    <row r="98" spans="1:13" x14ac:dyDescent="0.25">
      <c r="A98" s="3"/>
      <c r="B98" s="3"/>
      <c r="C98" s="8"/>
      <c r="D98" s="8"/>
      <c r="E98" s="10" t="str">
        <f t="shared" si="6"/>
        <v/>
      </c>
      <c r="F98" s="8"/>
      <c r="G98" s="8"/>
      <c r="H98" s="8"/>
      <c r="I98" s="10" t="str">
        <f t="shared" si="7"/>
        <v/>
      </c>
      <c r="J98" s="8"/>
      <c r="K98" s="10" t="str">
        <f>IF(A98="","",SUMIFS(Elements_hybrides!$Q:$Q,Elements_hybrides!$D:$D,$A98))</f>
        <v/>
      </c>
      <c r="L98" s="10" t="str">
        <f t="shared" si="8"/>
        <v/>
      </c>
      <c r="M98" s="3" t="str">
        <f t="shared" si="9"/>
        <v/>
      </c>
    </row>
    <row r="99" spans="1:13" x14ac:dyDescent="0.25">
      <c r="A99" s="3"/>
      <c r="B99" s="3"/>
      <c r="C99" s="8"/>
      <c r="D99" s="8"/>
      <c r="E99" s="10" t="str">
        <f t="shared" si="6"/>
        <v/>
      </c>
      <c r="F99" s="8"/>
      <c r="G99" s="8"/>
      <c r="H99" s="8"/>
      <c r="I99" s="10" t="str">
        <f t="shared" si="7"/>
        <v/>
      </c>
      <c r="J99" s="8"/>
      <c r="K99" s="10" t="str">
        <f>IF(A99="","",SUMIFS(Elements_hybrides!$Q:$Q,Elements_hybrides!$D:$D,$A99))</f>
        <v/>
      </c>
      <c r="L99" s="10" t="str">
        <f t="shared" si="8"/>
        <v/>
      </c>
      <c r="M99" s="3" t="str">
        <f t="shared" si="9"/>
        <v/>
      </c>
    </row>
    <row r="100" spans="1:13" x14ac:dyDescent="0.25">
      <c r="A100" s="3"/>
      <c r="B100" s="3"/>
      <c r="C100" s="8"/>
      <c r="D100" s="8"/>
      <c r="E100" s="10" t="str">
        <f t="shared" si="6"/>
        <v/>
      </c>
      <c r="F100" s="8"/>
      <c r="G100" s="8"/>
      <c r="H100" s="8"/>
      <c r="I100" s="10" t="str">
        <f t="shared" si="7"/>
        <v/>
      </c>
      <c r="J100" s="8"/>
      <c r="K100" s="10" t="str">
        <f>IF(A100="","",SUMIFS(Elements_hybrides!$Q:$Q,Elements_hybrides!$D:$D,$A100))</f>
        <v/>
      </c>
      <c r="L100" s="10" t="str">
        <f t="shared" si="8"/>
        <v/>
      </c>
      <c r="M100" s="3" t="str">
        <f t="shared" si="9"/>
        <v/>
      </c>
    </row>
    <row r="101" spans="1:13" x14ac:dyDescent="0.25">
      <c r="A101" s="3"/>
      <c r="B101" s="3"/>
      <c r="C101" s="8"/>
      <c r="D101" s="8"/>
      <c r="E101" s="10" t="str">
        <f t="shared" si="6"/>
        <v/>
      </c>
      <c r="F101" s="8"/>
      <c r="G101" s="8"/>
      <c r="H101" s="8"/>
      <c r="I101" s="10" t="str">
        <f t="shared" si="7"/>
        <v/>
      </c>
      <c r="J101" s="8"/>
      <c r="K101" s="10" t="str">
        <f>IF(A101="","",SUMIFS(Elements_hybrides!$Q:$Q,Elements_hybrides!$D:$D,$A101))</f>
        <v/>
      </c>
      <c r="L101" s="10" t="str">
        <f t="shared" si="8"/>
        <v/>
      </c>
      <c r="M101" s="3" t="str">
        <f t="shared" si="9"/>
        <v/>
      </c>
    </row>
    <row r="102" spans="1:13" x14ac:dyDescent="0.25">
      <c r="A102" s="3"/>
      <c r="B102" s="3"/>
      <c r="C102" s="8"/>
      <c r="D102" s="8"/>
      <c r="E102" s="10" t="str">
        <f t="shared" si="6"/>
        <v/>
      </c>
      <c r="F102" s="8"/>
      <c r="G102" s="8"/>
      <c r="H102" s="8"/>
      <c r="I102" s="10" t="str">
        <f t="shared" si="7"/>
        <v/>
      </c>
      <c r="J102" s="8"/>
      <c r="K102" s="10" t="str">
        <f>IF(A102="","",SUMIFS(Elements_hybrides!$Q:$Q,Elements_hybrides!$D:$D,$A102))</f>
        <v/>
      </c>
      <c r="L102" s="10" t="str">
        <f t="shared" si="8"/>
        <v/>
      </c>
      <c r="M102" s="3" t="str">
        <f t="shared" si="9"/>
        <v/>
      </c>
    </row>
    <row r="103" spans="1:13" x14ac:dyDescent="0.25">
      <c r="A103" s="3"/>
      <c r="B103" s="3"/>
      <c r="C103" s="8"/>
      <c r="D103" s="8"/>
      <c r="E103" s="10" t="str">
        <f t="shared" si="6"/>
        <v/>
      </c>
      <c r="F103" s="8"/>
      <c r="G103" s="8"/>
      <c r="H103" s="8"/>
      <c r="I103" s="10" t="str">
        <f t="shared" si="7"/>
        <v/>
      </c>
      <c r="J103" s="8"/>
      <c r="K103" s="10" t="str">
        <f>IF(A103="","",SUMIFS(Elements_hybrides!$Q:$Q,Elements_hybrides!$D:$D,$A103))</f>
        <v/>
      </c>
      <c r="L103" s="10" t="str">
        <f t="shared" si="8"/>
        <v/>
      </c>
      <c r="M103" s="3" t="str">
        <f t="shared" si="9"/>
        <v/>
      </c>
    </row>
    <row r="104" spans="1:13" x14ac:dyDescent="0.25">
      <c r="A104" s="3"/>
      <c r="B104" s="3"/>
      <c r="C104" s="8"/>
      <c r="D104" s="8"/>
      <c r="E104" s="10" t="str">
        <f t="shared" si="6"/>
        <v/>
      </c>
      <c r="F104" s="8"/>
      <c r="G104" s="8"/>
      <c r="H104" s="8"/>
      <c r="I104" s="10" t="str">
        <f t="shared" si="7"/>
        <v/>
      </c>
      <c r="J104" s="8"/>
      <c r="K104" s="10" t="str">
        <f>IF(A104="","",SUMIFS(Elements_hybrides!$Q:$Q,Elements_hybrides!$D:$D,$A104))</f>
        <v/>
      </c>
      <c r="L104" s="10" t="str">
        <f t="shared" si="8"/>
        <v/>
      </c>
      <c r="M104" s="3" t="str">
        <f t="shared" si="9"/>
        <v/>
      </c>
    </row>
    <row r="105" spans="1:13" x14ac:dyDescent="0.25">
      <c r="A105" s="3"/>
      <c r="B105" s="3"/>
      <c r="C105" s="8"/>
      <c r="D105" s="8"/>
      <c r="E105" s="10" t="str">
        <f t="shared" si="6"/>
        <v/>
      </c>
      <c r="F105" s="8"/>
      <c r="G105" s="8"/>
      <c r="H105" s="8"/>
      <c r="I105" s="10" t="str">
        <f t="shared" si="7"/>
        <v/>
      </c>
      <c r="J105" s="8"/>
      <c r="K105" s="10" t="str">
        <f>IF(A105="","",SUMIFS(Elements_hybrides!$Q:$Q,Elements_hybrides!$D:$D,$A105))</f>
        <v/>
      </c>
      <c r="L105" s="10" t="str">
        <f t="shared" si="8"/>
        <v/>
      </c>
      <c r="M105" s="3" t="str">
        <f t="shared" si="9"/>
        <v/>
      </c>
    </row>
    <row r="106" spans="1:13" x14ac:dyDescent="0.25">
      <c r="A106" s="3"/>
      <c r="B106" s="3"/>
      <c r="C106" s="8"/>
      <c r="D106" s="8"/>
      <c r="E106" s="10" t="str">
        <f t="shared" si="6"/>
        <v/>
      </c>
      <c r="F106" s="8"/>
      <c r="G106" s="8"/>
      <c r="H106" s="8"/>
      <c r="I106" s="10" t="str">
        <f t="shared" si="7"/>
        <v/>
      </c>
      <c r="J106" s="8"/>
      <c r="K106" s="10" t="str">
        <f>IF(A106="","",SUMIFS(Elements_hybrides!$Q:$Q,Elements_hybrides!$D:$D,$A106))</f>
        <v/>
      </c>
      <c r="L106" s="10" t="str">
        <f t="shared" si="8"/>
        <v/>
      </c>
      <c r="M106" s="3" t="str">
        <f t="shared" si="9"/>
        <v/>
      </c>
    </row>
    <row r="107" spans="1:13" x14ac:dyDescent="0.25">
      <c r="A107" s="3"/>
      <c r="B107" s="3"/>
      <c r="C107" s="8"/>
      <c r="D107" s="8"/>
      <c r="E107" s="10" t="str">
        <f t="shared" si="6"/>
        <v/>
      </c>
      <c r="F107" s="8"/>
      <c r="G107" s="8"/>
      <c r="H107" s="8"/>
      <c r="I107" s="10" t="str">
        <f t="shared" si="7"/>
        <v/>
      </c>
      <c r="J107" s="8"/>
      <c r="K107" s="10" t="str">
        <f>IF(A107="","",SUMIFS(Elements_hybrides!$Q:$Q,Elements_hybrides!$D:$D,$A107))</f>
        <v/>
      </c>
      <c r="L107" s="10" t="str">
        <f t="shared" si="8"/>
        <v/>
      </c>
      <c r="M107" s="3" t="str">
        <f t="shared" si="9"/>
        <v/>
      </c>
    </row>
    <row r="108" spans="1:13" x14ac:dyDescent="0.25">
      <c r="A108" s="3"/>
      <c r="B108" s="3"/>
      <c r="C108" s="8"/>
      <c r="D108" s="8"/>
      <c r="E108" s="10" t="str">
        <f t="shared" si="6"/>
        <v/>
      </c>
      <c r="F108" s="8"/>
      <c r="G108" s="8"/>
      <c r="H108" s="8"/>
      <c r="I108" s="10" t="str">
        <f t="shared" si="7"/>
        <v/>
      </c>
      <c r="J108" s="8"/>
      <c r="K108" s="10" t="str">
        <f>IF(A108="","",SUMIFS(Elements_hybrides!$Q:$Q,Elements_hybrides!$D:$D,$A108))</f>
        <v/>
      </c>
      <c r="L108" s="10" t="str">
        <f t="shared" si="8"/>
        <v/>
      </c>
      <c r="M108" s="3" t="str">
        <f t="shared" si="9"/>
        <v/>
      </c>
    </row>
    <row r="109" spans="1:13" x14ac:dyDescent="0.25">
      <c r="A109" s="3"/>
      <c r="B109" s="3"/>
      <c r="C109" s="8"/>
      <c r="D109" s="8"/>
      <c r="E109" s="10" t="str">
        <f t="shared" si="6"/>
        <v/>
      </c>
      <c r="F109" s="8"/>
      <c r="G109" s="8"/>
      <c r="H109" s="8"/>
      <c r="I109" s="10" t="str">
        <f t="shared" si="7"/>
        <v/>
      </c>
      <c r="J109" s="8"/>
      <c r="K109" s="10" t="str">
        <f>IF(A109="","",SUMIFS(Elements_hybrides!$Q:$Q,Elements_hybrides!$D:$D,$A109))</f>
        <v/>
      </c>
      <c r="L109" s="10" t="str">
        <f t="shared" si="8"/>
        <v/>
      </c>
      <c r="M109" s="3" t="str">
        <f t="shared" si="9"/>
        <v/>
      </c>
    </row>
    <row r="110" spans="1:13" x14ac:dyDescent="0.25">
      <c r="A110" s="3"/>
      <c r="B110" s="3"/>
      <c r="C110" s="8"/>
      <c r="D110" s="8"/>
      <c r="E110" s="10" t="str">
        <f t="shared" si="6"/>
        <v/>
      </c>
      <c r="F110" s="8"/>
      <c r="G110" s="8"/>
      <c r="H110" s="8"/>
      <c r="I110" s="10" t="str">
        <f t="shared" si="7"/>
        <v/>
      </c>
      <c r="J110" s="8"/>
      <c r="K110" s="10" t="str">
        <f>IF(A110="","",SUMIFS(Elements_hybrides!$Q:$Q,Elements_hybrides!$D:$D,$A110))</f>
        <v/>
      </c>
      <c r="L110" s="10" t="str">
        <f t="shared" si="8"/>
        <v/>
      </c>
      <c r="M110" s="3" t="str">
        <f t="shared" si="9"/>
        <v/>
      </c>
    </row>
    <row r="111" spans="1:13" x14ac:dyDescent="0.25">
      <c r="A111" s="3"/>
      <c r="B111" s="3"/>
      <c r="C111" s="8"/>
      <c r="D111" s="8"/>
      <c r="E111" s="10" t="str">
        <f t="shared" si="6"/>
        <v/>
      </c>
      <c r="F111" s="8"/>
      <c r="G111" s="8"/>
      <c r="H111" s="8"/>
      <c r="I111" s="10" t="str">
        <f t="shared" si="7"/>
        <v/>
      </c>
      <c r="J111" s="8"/>
      <c r="K111" s="10" t="str">
        <f>IF(A111="","",SUMIFS(Elements_hybrides!$Q:$Q,Elements_hybrides!$D:$D,$A111))</f>
        <v/>
      </c>
      <c r="L111" s="10" t="str">
        <f t="shared" si="8"/>
        <v/>
      </c>
      <c r="M111" s="3" t="str">
        <f t="shared" si="9"/>
        <v/>
      </c>
    </row>
    <row r="112" spans="1:13" x14ac:dyDescent="0.25">
      <c r="A112" s="3"/>
      <c r="B112" s="3"/>
      <c r="C112" s="8"/>
      <c r="D112" s="8"/>
      <c r="E112" s="10" t="str">
        <f t="shared" si="6"/>
        <v/>
      </c>
      <c r="F112" s="8"/>
      <c r="G112" s="8"/>
      <c r="H112" s="8"/>
      <c r="I112" s="10" t="str">
        <f t="shared" si="7"/>
        <v/>
      </c>
      <c r="J112" s="8"/>
      <c r="K112" s="10" t="str">
        <f>IF(A112="","",SUMIFS(Elements_hybrides!$Q:$Q,Elements_hybrides!$D:$D,$A112))</f>
        <v/>
      </c>
      <c r="L112" s="10" t="str">
        <f t="shared" si="8"/>
        <v/>
      </c>
      <c r="M112" s="3" t="str">
        <f t="shared" si="9"/>
        <v/>
      </c>
    </row>
    <row r="113" spans="1:13" x14ac:dyDescent="0.25">
      <c r="A113" s="3"/>
      <c r="B113" s="3"/>
      <c r="C113" s="8"/>
      <c r="D113" s="8"/>
      <c r="E113" s="10" t="str">
        <f t="shared" si="6"/>
        <v/>
      </c>
      <c r="F113" s="8"/>
      <c r="G113" s="8"/>
      <c r="H113" s="8"/>
      <c r="I113" s="10" t="str">
        <f t="shared" si="7"/>
        <v/>
      </c>
      <c r="J113" s="8"/>
      <c r="K113" s="10" t="str">
        <f>IF(A113="","",SUMIFS(Elements_hybrides!$Q:$Q,Elements_hybrides!$D:$D,$A113))</f>
        <v/>
      </c>
      <c r="L113" s="10" t="str">
        <f t="shared" si="8"/>
        <v/>
      </c>
      <c r="M113" s="3" t="str">
        <f t="shared" si="9"/>
        <v/>
      </c>
    </row>
    <row r="114" spans="1:13" x14ac:dyDescent="0.25">
      <c r="A114" s="3"/>
      <c r="B114" s="3"/>
      <c r="C114" s="8"/>
      <c r="D114" s="8"/>
      <c r="E114" s="10" t="str">
        <f t="shared" si="6"/>
        <v/>
      </c>
      <c r="F114" s="8"/>
      <c r="G114" s="8"/>
      <c r="H114" s="8"/>
      <c r="I114" s="10" t="str">
        <f t="shared" si="7"/>
        <v/>
      </c>
      <c r="J114" s="8"/>
      <c r="K114" s="10" t="str">
        <f>IF(A114="","",SUMIFS(Elements_hybrides!$Q:$Q,Elements_hybrides!$D:$D,$A114))</f>
        <v/>
      </c>
      <c r="L114" s="10" t="str">
        <f t="shared" si="8"/>
        <v/>
      </c>
      <c r="M114" s="3" t="str">
        <f t="shared" si="9"/>
        <v/>
      </c>
    </row>
    <row r="115" spans="1:13" x14ac:dyDescent="0.25">
      <c r="A115" s="3"/>
      <c r="B115" s="3"/>
      <c r="C115" s="8"/>
      <c r="D115" s="8"/>
      <c r="E115" s="10" t="str">
        <f t="shared" si="6"/>
        <v/>
      </c>
      <c r="F115" s="8"/>
      <c r="G115" s="8"/>
      <c r="H115" s="8"/>
      <c r="I115" s="10" t="str">
        <f t="shared" si="7"/>
        <v/>
      </c>
      <c r="J115" s="8"/>
      <c r="K115" s="10" t="str">
        <f>IF(A115="","",SUMIFS(Elements_hybrides!$Q:$Q,Elements_hybrides!$D:$D,$A115))</f>
        <v/>
      </c>
      <c r="L115" s="10" t="str">
        <f t="shared" si="8"/>
        <v/>
      </c>
      <c r="M115" s="3" t="str">
        <f t="shared" si="9"/>
        <v/>
      </c>
    </row>
    <row r="116" spans="1:13" x14ac:dyDescent="0.25">
      <c r="A116" s="3"/>
      <c r="B116" s="3"/>
      <c r="C116" s="8"/>
      <c r="D116" s="8"/>
      <c r="E116" s="10" t="str">
        <f t="shared" si="6"/>
        <v/>
      </c>
      <c r="F116" s="8"/>
      <c r="G116" s="8"/>
      <c r="H116" s="8"/>
      <c r="I116" s="10" t="str">
        <f t="shared" si="7"/>
        <v/>
      </c>
      <c r="J116" s="8"/>
      <c r="K116" s="10" t="str">
        <f>IF(A116="","",SUMIFS(Elements_hybrides!$Q:$Q,Elements_hybrides!$D:$D,$A116))</f>
        <v/>
      </c>
      <c r="L116" s="10" t="str">
        <f t="shared" si="8"/>
        <v/>
      </c>
      <c r="M116" s="3" t="str">
        <f t="shared" si="9"/>
        <v/>
      </c>
    </row>
    <row r="117" spans="1:13" x14ac:dyDescent="0.25">
      <c r="A117" s="3"/>
      <c r="B117" s="3"/>
      <c r="C117" s="8"/>
      <c r="D117" s="8"/>
      <c r="E117" s="10" t="str">
        <f t="shared" si="6"/>
        <v/>
      </c>
      <c r="F117" s="8"/>
      <c r="G117" s="8"/>
      <c r="H117" s="8"/>
      <c r="I117" s="10" t="str">
        <f t="shared" si="7"/>
        <v/>
      </c>
      <c r="J117" s="8"/>
      <c r="K117" s="10" t="str">
        <f>IF(A117="","",SUMIFS(Elements_hybrides!$Q:$Q,Elements_hybrides!$D:$D,$A117))</f>
        <v/>
      </c>
      <c r="L117" s="10" t="str">
        <f t="shared" si="8"/>
        <v/>
      </c>
      <c r="M117" s="3" t="str">
        <f t="shared" si="9"/>
        <v/>
      </c>
    </row>
    <row r="118" spans="1:13" x14ac:dyDescent="0.25">
      <c r="A118" s="3"/>
      <c r="B118" s="3"/>
      <c r="C118" s="8"/>
      <c r="D118" s="8"/>
      <c r="E118" s="10" t="str">
        <f t="shared" si="6"/>
        <v/>
      </c>
      <c r="F118" s="8"/>
      <c r="G118" s="8"/>
      <c r="H118" s="8"/>
      <c r="I118" s="10" t="str">
        <f t="shared" si="7"/>
        <v/>
      </c>
      <c r="J118" s="8"/>
      <c r="K118" s="10" t="str">
        <f>IF(A118="","",SUMIFS(Elements_hybrides!$Q:$Q,Elements_hybrides!$D:$D,$A118))</f>
        <v/>
      </c>
      <c r="L118" s="10" t="str">
        <f t="shared" si="8"/>
        <v/>
      </c>
      <c r="M118" s="3" t="str">
        <f t="shared" si="9"/>
        <v/>
      </c>
    </row>
    <row r="119" spans="1:13" x14ac:dyDescent="0.25">
      <c r="A119" s="3"/>
      <c r="B119" s="3"/>
      <c r="C119" s="8"/>
      <c r="D119" s="8"/>
      <c r="E119" s="10" t="str">
        <f t="shared" si="6"/>
        <v/>
      </c>
      <c r="F119" s="8"/>
      <c r="G119" s="8"/>
      <c r="H119" s="8"/>
      <c r="I119" s="10" t="str">
        <f t="shared" si="7"/>
        <v/>
      </c>
      <c r="J119" s="8"/>
      <c r="K119" s="10" t="str">
        <f>IF(A119="","",SUMIFS(Elements_hybrides!$Q:$Q,Elements_hybrides!$D:$D,$A119))</f>
        <v/>
      </c>
      <c r="L119" s="10" t="str">
        <f t="shared" si="8"/>
        <v/>
      </c>
      <c r="M119" s="3" t="str">
        <f t="shared" si="9"/>
        <v/>
      </c>
    </row>
    <row r="120" spans="1:13" x14ac:dyDescent="0.25">
      <c r="A120" s="3"/>
      <c r="B120" s="3"/>
      <c r="C120" s="8"/>
      <c r="D120" s="8"/>
      <c r="E120" s="10" t="str">
        <f t="shared" si="6"/>
        <v/>
      </c>
      <c r="F120" s="8"/>
      <c r="G120" s="8"/>
      <c r="H120" s="8"/>
      <c r="I120" s="10" t="str">
        <f t="shared" si="7"/>
        <v/>
      </c>
      <c r="J120" s="8"/>
      <c r="K120" s="10" t="str">
        <f>IF(A120="","",SUMIFS(Elements_hybrides!$Q:$Q,Elements_hybrides!$D:$D,$A120))</f>
        <v/>
      </c>
      <c r="L120" s="10" t="str">
        <f t="shared" si="8"/>
        <v/>
      </c>
      <c r="M120" s="3" t="str">
        <f t="shared" si="9"/>
        <v/>
      </c>
    </row>
    <row r="121" spans="1:13" x14ac:dyDescent="0.25">
      <c r="A121" s="3"/>
      <c r="B121" s="3"/>
      <c r="C121" s="8"/>
      <c r="D121" s="8"/>
      <c r="E121" s="10" t="str">
        <f t="shared" si="6"/>
        <v/>
      </c>
      <c r="F121" s="8"/>
      <c r="G121" s="8"/>
      <c r="H121" s="8"/>
      <c r="I121" s="10" t="str">
        <f t="shared" si="7"/>
        <v/>
      </c>
      <c r="J121" s="8"/>
      <c r="K121" s="10" t="str">
        <f>IF(A121="","",SUMIFS(Elements_hybrides!$Q:$Q,Elements_hybrides!$D:$D,$A121))</f>
        <v/>
      </c>
      <c r="L121" s="10" t="str">
        <f t="shared" si="8"/>
        <v/>
      </c>
      <c r="M121" s="3" t="str">
        <f t="shared" si="9"/>
        <v/>
      </c>
    </row>
    <row r="122" spans="1:13" x14ac:dyDescent="0.25">
      <c r="A122" s="3"/>
      <c r="B122" s="3"/>
      <c r="C122" s="8"/>
      <c r="D122" s="8"/>
      <c r="E122" s="10" t="str">
        <f t="shared" si="6"/>
        <v/>
      </c>
      <c r="F122" s="8"/>
      <c r="G122" s="8"/>
      <c r="H122" s="8"/>
      <c r="I122" s="10" t="str">
        <f t="shared" si="7"/>
        <v/>
      </c>
      <c r="J122" s="8"/>
      <c r="K122" s="10" t="str">
        <f>IF(A122="","",SUMIFS(Elements_hybrides!$Q:$Q,Elements_hybrides!$D:$D,$A122))</f>
        <v/>
      </c>
      <c r="L122" s="10" t="str">
        <f t="shared" si="8"/>
        <v/>
      </c>
      <c r="M122" s="3" t="str">
        <f t="shared" si="9"/>
        <v/>
      </c>
    </row>
    <row r="123" spans="1:13" x14ac:dyDescent="0.25">
      <c r="A123" s="3"/>
      <c r="B123" s="3"/>
      <c r="C123" s="8"/>
      <c r="D123" s="8"/>
      <c r="E123" s="10" t="str">
        <f t="shared" si="6"/>
        <v/>
      </c>
      <c r="F123" s="8"/>
      <c r="G123" s="8"/>
      <c r="H123" s="8"/>
      <c r="I123" s="10" t="str">
        <f t="shared" si="7"/>
        <v/>
      </c>
      <c r="J123" s="8"/>
      <c r="K123" s="10" t="str">
        <f>IF(A123="","",SUMIFS(Elements_hybrides!$Q:$Q,Elements_hybrides!$D:$D,$A123))</f>
        <v/>
      </c>
      <c r="L123" s="10" t="str">
        <f t="shared" si="8"/>
        <v/>
      </c>
      <c r="M123" s="3" t="str">
        <f t="shared" si="9"/>
        <v/>
      </c>
    </row>
    <row r="124" spans="1:13" x14ac:dyDescent="0.25">
      <c r="A124" s="3"/>
      <c r="B124" s="3"/>
      <c r="C124" s="8"/>
      <c r="D124" s="8"/>
      <c r="E124" s="10" t="str">
        <f t="shared" si="6"/>
        <v/>
      </c>
      <c r="F124" s="8"/>
      <c r="G124" s="8"/>
      <c r="H124" s="8"/>
      <c r="I124" s="10" t="str">
        <f t="shared" si="7"/>
        <v/>
      </c>
      <c r="J124" s="8"/>
      <c r="K124" s="10" t="str">
        <f>IF(A124="","",SUMIFS(Elements_hybrides!$Q:$Q,Elements_hybrides!$D:$D,$A124))</f>
        <v/>
      </c>
      <c r="L124" s="10" t="str">
        <f t="shared" si="8"/>
        <v/>
      </c>
      <c r="M124" s="3" t="str">
        <f t="shared" si="9"/>
        <v/>
      </c>
    </row>
    <row r="125" spans="1:13" x14ac:dyDescent="0.25">
      <c r="A125" s="3"/>
      <c r="B125" s="3"/>
      <c r="C125" s="8"/>
      <c r="D125" s="8"/>
      <c r="E125" s="10" t="str">
        <f t="shared" si="6"/>
        <v/>
      </c>
      <c r="F125" s="8"/>
      <c r="G125" s="8"/>
      <c r="H125" s="8"/>
      <c r="I125" s="10" t="str">
        <f t="shared" si="7"/>
        <v/>
      </c>
      <c r="J125" s="8"/>
      <c r="K125" s="10" t="str">
        <f>IF(A125="","",SUMIFS(Elements_hybrides!$Q:$Q,Elements_hybrides!$D:$D,$A125))</f>
        <v/>
      </c>
      <c r="L125" s="10" t="str">
        <f t="shared" si="8"/>
        <v/>
      </c>
      <c r="M125" s="3" t="str">
        <f t="shared" si="9"/>
        <v/>
      </c>
    </row>
    <row r="126" spans="1:13" x14ac:dyDescent="0.25">
      <c r="A126" s="3"/>
      <c r="B126" s="3"/>
      <c r="C126" s="8"/>
      <c r="D126" s="8"/>
      <c r="E126" s="10" t="str">
        <f t="shared" si="6"/>
        <v/>
      </c>
      <c r="F126" s="8"/>
      <c r="G126" s="8"/>
      <c r="H126" s="8"/>
      <c r="I126" s="10" t="str">
        <f t="shared" si="7"/>
        <v/>
      </c>
      <c r="J126" s="8"/>
      <c r="K126" s="10" t="str">
        <f>IF(A126="","",SUMIFS(Elements_hybrides!$Q:$Q,Elements_hybrides!$D:$D,$A126))</f>
        <v/>
      </c>
      <c r="L126" s="10" t="str">
        <f t="shared" si="8"/>
        <v/>
      </c>
      <c r="M126" s="3" t="str">
        <f t="shared" si="9"/>
        <v/>
      </c>
    </row>
    <row r="127" spans="1:13" x14ac:dyDescent="0.25">
      <c r="A127" s="3"/>
      <c r="B127" s="3"/>
      <c r="C127" s="8"/>
      <c r="D127" s="8"/>
      <c r="E127" s="10" t="str">
        <f t="shared" si="6"/>
        <v/>
      </c>
      <c r="F127" s="8"/>
      <c r="G127" s="8"/>
      <c r="H127" s="8"/>
      <c r="I127" s="10" t="str">
        <f t="shared" si="7"/>
        <v/>
      </c>
      <c r="J127" s="8"/>
      <c r="K127" s="10" t="str">
        <f>IF(A127="","",SUMIFS(Elements_hybrides!$Q:$Q,Elements_hybrides!$D:$D,$A127))</f>
        <v/>
      </c>
      <c r="L127" s="10" t="str">
        <f t="shared" si="8"/>
        <v/>
      </c>
      <c r="M127" s="3" t="str">
        <f t="shared" si="9"/>
        <v/>
      </c>
    </row>
    <row r="128" spans="1:13" x14ac:dyDescent="0.25">
      <c r="A128" s="3"/>
      <c r="B128" s="3"/>
      <c r="C128" s="8"/>
      <c r="D128" s="8"/>
      <c r="E128" s="10" t="str">
        <f t="shared" si="6"/>
        <v/>
      </c>
      <c r="F128" s="8"/>
      <c r="G128" s="8"/>
      <c r="H128" s="8"/>
      <c r="I128" s="10" t="str">
        <f t="shared" si="7"/>
        <v/>
      </c>
      <c r="J128" s="8"/>
      <c r="K128" s="10" t="str">
        <f>IF(A128="","",SUMIFS(Elements_hybrides!$Q:$Q,Elements_hybrides!$D:$D,$A128))</f>
        <v/>
      </c>
      <c r="L128" s="10" t="str">
        <f t="shared" si="8"/>
        <v/>
      </c>
      <c r="M128" s="3" t="str">
        <f t="shared" si="9"/>
        <v/>
      </c>
    </row>
    <row r="129" spans="1:13" x14ac:dyDescent="0.25">
      <c r="A129" s="3"/>
      <c r="B129" s="3"/>
      <c r="C129" s="8"/>
      <c r="D129" s="8"/>
      <c r="E129" s="10" t="str">
        <f t="shared" si="6"/>
        <v/>
      </c>
      <c r="F129" s="8"/>
      <c r="G129" s="8"/>
      <c r="H129" s="8"/>
      <c r="I129" s="10" t="str">
        <f t="shared" si="7"/>
        <v/>
      </c>
      <c r="J129" s="8"/>
      <c r="K129" s="10" t="str">
        <f>IF(A129="","",SUMIFS(Elements_hybrides!$Q:$Q,Elements_hybrides!$D:$D,$A129))</f>
        <v/>
      </c>
      <c r="L129" s="10" t="str">
        <f t="shared" si="8"/>
        <v/>
      </c>
      <c r="M129" s="3" t="str">
        <f t="shared" si="9"/>
        <v/>
      </c>
    </row>
    <row r="130" spans="1:13" x14ac:dyDescent="0.25">
      <c r="A130" s="3"/>
      <c r="B130" s="3"/>
      <c r="C130" s="8"/>
      <c r="D130" s="8"/>
      <c r="E130" s="10" t="str">
        <f t="shared" si="6"/>
        <v/>
      </c>
      <c r="F130" s="8"/>
      <c r="G130" s="8"/>
      <c r="H130" s="8"/>
      <c r="I130" s="10" t="str">
        <f t="shared" si="7"/>
        <v/>
      </c>
      <c r="J130" s="8"/>
      <c r="K130" s="10" t="str">
        <f>IF(A130="","",SUMIFS(Elements_hybrides!$Q:$Q,Elements_hybrides!$D:$D,$A130))</f>
        <v/>
      </c>
      <c r="L130" s="10" t="str">
        <f t="shared" si="8"/>
        <v/>
      </c>
      <c r="M130" s="3" t="str">
        <f t="shared" si="9"/>
        <v/>
      </c>
    </row>
    <row r="131" spans="1:13" x14ac:dyDescent="0.25">
      <c r="A131" s="3"/>
      <c r="B131" s="3"/>
      <c r="C131" s="8"/>
      <c r="D131" s="8"/>
      <c r="E131" s="10" t="str">
        <f t="shared" si="6"/>
        <v/>
      </c>
      <c r="F131" s="8"/>
      <c r="G131" s="8"/>
      <c r="H131" s="8"/>
      <c r="I131" s="10" t="str">
        <f t="shared" si="7"/>
        <v/>
      </c>
      <c r="J131" s="8"/>
      <c r="K131" s="10" t="str">
        <f>IF(A131="","",SUMIFS(Elements_hybrides!$Q:$Q,Elements_hybrides!$D:$D,$A131))</f>
        <v/>
      </c>
      <c r="L131" s="10" t="str">
        <f t="shared" si="8"/>
        <v/>
      </c>
      <c r="M131" s="3" t="str">
        <f t="shared" si="9"/>
        <v/>
      </c>
    </row>
    <row r="132" spans="1:13" x14ac:dyDescent="0.25">
      <c r="A132" s="3"/>
      <c r="B132" s="3"/>
      <c r="C132" s="8"/>
      <c r="D132" s="8"/>
      <c r="E132" s="10" t="str">
        <f t="shared" ref="E132:E195" si="10">IF(OR(C132="",D132=""),"",MAX(0,C132-D132))</f>
        <v/>
      </c>
      <c r="F132" s="8"/>
      <c r="G132" s="8"/>
      <c r="H132" s="8"/>
      <c r="I132" s="10" t="str">
        <f t="shared" ref="I132:I195" si="11">IF(A132="","",IF(UPPER(TRIM(F132))="CIRC",PI()*(G132/2)^2*E132,IF(UPPER(TRIM(F132))="RECT",G132*H132*E132,"")))</f>
        <v/>
      </c>
      <c r="J132" s="8"/>
      <c r="K132" s="10" t="str">
        <f>IF(A132="","",SUMIFS(Elements_hybrides!$Q:$Q,Elements_hybrides!$D:$D,$A132))</f>
        <v/>
      </c>
      <c r="L132" s="10" t="str">
        <f t="shared" ref="L132:L195" si="12">IF(OR(K132="",J132=""),"",K132*J132*60)</f>
        <v/>
      </c>
      <c r="M132" s="3" t="str">
        <f t="shared" ref="M132:M195" si="13">IF(A132="","",IF(OR(I132="",L132=""),"",IF(I132&gt;=L132,"OK","CHECK")))</f>
        <v/>
      </c>
    </row>
    <row r="133" spans="1:13" x14ac:dyDescent="0.25">
      <c r="A133" s="3"/>
      <c r="B133" s="3"/>
      <c r="C133" s="8"/>
      <c r="D133" s="8"/>
      <c r="E133" s="10" t="str">
        <f t="shared" si="10"/>
        <v/>
      </c>
      <c r="F133" s="8"/>
      <c r="G133" s="8"/>
      <c r="H133" s="8"/>
      <c r="I133" s="10" t="str">
        <f t="shared" si="11"/>
        <v/>
      </c>
      <c r="J133" s="8"/>
      <c r="K133" s="10" t="str">
        <f>IF(A133="","",SUMIFS(Elements_hybrides!$Q:$Q,Elements_hybrides!$D:$D,$A133))</f>
        <v/>
      </c>
      <c r="L133" s="10" t="str">
        <f t="shared" si="12"/>
        <v/>
      </c>
      <c r="M133" s="3" t="str">
        <f t="shared" si="13"/>
        <v/>
      </c>
    </row>
    <row r="134" spans="1:13" x14ac:dyDescent="0.25">
      <c r="A134" s="3"/>
      <c r="B134" s="3"/>
      <c r="C134" s="8"/>
      <c r="D134" s="8"/>
      <c r="E134" s="10" t="str">
        <f t="shared" si="10"/>
        <v/>
      </c>
      <c r="F134" s="8"/>
      <c r="G134" s="8"/>
      <c r="H134" s="8"/>
      <c r="I134" s="10" t="str">
        <f t="shared" si="11"/>
        <v/>
      </c>
      <c r="J134" s="8"/>
      <c r="K134" s="10" t="str">
        <f>IF(A134="","",SUMIFS(Elements_hybrides!$Q:$Q,Elements_hybrides!$D:$D,$A134))</f>
        <v/>
      </c>
      <c r="L134" s="10" t="str">
        <f t="shared" si="12"/>
        <v/>
      </c>
      <c r="M134" s="3" t="str">
        <f t="shared" si="13"/>
        <v/>
      </c>
    </row>
    <row r="135" spans="1:13" x14ac:dyDescent="0.25">
      <c r="A135" s="3"/>
      <c r="B135" s="3"/>
      <c r="C135" s="8"/>
      <c r="D135" s="8"/>
      <c r="E135" s="10" t="str">
        <f t="shared" si="10"/>
        <v/>
      </c>
      <c r="F135" s="8"/>
      <c r="G135" s="8"/>
      <c r="H135" s="8"/>
      <c r="I135" s="10" t="str">
        <f t="shared" si="11"/>
        <v/>
      </c>
      <c r="J135" s="8"/>
      <c r="K135" s="10" t="str">
        <f>IF(A135="","",SUMIFS(Elements_hybrides!$Q:$Q,Elements_hybrides!$D:$D,$A135))</f>
        <v/>
      </c>
      <c r="L135" s="10" t="str">
        <f t="shared" si="12"/>
        <v/>
      </c>
      <c r="M135" s="3" t="str">
        <f t="shared" si="13"/>
        <v/>
      </c>
    </row>
    <row r="136" spans="1:13" x14ac:dyDescent="0.25">
      <c r="A136" s="3"/>
      <c r="B136" s="3"/>
      <c r="C136" s="8"/>
      <c r="D136" s="8"/>
      <c r="E136" s="10" t="str">
        <f t="shared" si="10"/>
        <v/>
      </c>
      <c r="F136" s="8"/>
      <c r="G136" s="8"/>
      <c r="H136" s="8"/>
      <c r="I136" s="10" t="str">
        <f t="shared" si="11"/>
        <v/>
      </c>
      <c r="J136" s="8"/>
      <c r="K136" s="10" t="str">
        <f>IF(A136="","",SUMIFS(Elements_hybrides!$Q:$Q,Elements_hybrides!$D:$D,$A136))</f>
        <v/>
      </c>
      <c r="L136" s="10" t="str">
        <f t="shared" si="12"/>
        <v/>
      </c>
      <c r="M136" s="3" t="str">
        <f t="shared" si="13"/>
        <v/>
      </c>
    </row>
    <row r="137" spans="1:13" x14ac:dyDescent="0.25">
      <c r="A137" s="3"/>
      <c r="B137" s="3"/>
      <c r="C137" s="8"/>
      <c r="D137" s="8"/>
      <c r="E137" s="10" t="str">
        <f t="shared" si="10"/>
        <v/>
      </c>
      <c r="F137" s="8"/>
      <c r="G137" s="8"/>
      <c r="H137" s="8"/>
      <c r="I137" s="10" t="str">
        <f t="shared" si="11"/>
        <v/>
      </c>
      <c r="J137" s="8"/>
      <c r="K137" s="10" t="str">
        <f>IF(A137="","",SUMIFS(Elements_hybrides!$Q:$Q,Elements_hybrides!$D:$D,$A137))</f>
        <v/>
      </c>
      <c r="L137" s="10" t="str">
        <f t="shared" si="12"/>
        <v/>
      </c>
      <c r="M137" s="3" t="str">
        <f t="shared" si="13"/>
        <v/>
      </c>
    </row>
    <row r="138" spans="1:13" x14ac:dyDescent="0.25">
      <c r="A138" s="3"/>
      <c r="B138" s="3"/>
      <c r="C138" s="8"/>
      <c r="D138" s="8"/>
      <c r="E138" s="10" t="str">
        <f t="shared" si="10"/>
        <v/>
      </c>
      <c r="F138" s="8"/>
      <c r="G138" s="8"/>
      <c r="H138" s="8"/>
      <c r="I138" s="10" t="str">
        <f t="shared" si="11"/>
        <v/>
      </c>
      <c r="J138" s="8"/>
      <c r="K138" s="10" t="str">
        <f>IF(A138="","",SUMIFS(Elements_hybrides!$Q:$Q,Elements_hybrides!$D:$D,$A138))</f>
        <v/>
      </c>
      <c r="L138" s="10" t="str">
        <f t="shared" si="12"/>
        <v/>
      </c>
      <c r="M138" s="3" t="str">
        <f t="shared" si="13"/>
        <v/>
      </c>
    </row>
    <row r="139" spans="1:13" x14ac:dyDescent="0.25">
      <c r="A139" s="3"/>
      <c r="B139" s="3"/>
      <c r="C139" s="8"/>
      <c r="D139" s="8"/>
      <c r="E139" s="10" t="str">
        <f t="shared" si="10"/>
        <v/>
      </c>
      <c r="F139" s="8"/>
      <c r="G139" s="8"/>
      <c r="H139" s="8"/>
      <c r="I139" s="10" t="str">
        <f t="shared" si="11"/>
        <v/>
      </c>
      <c r="J139" s="8"/>
      <c r="K139" s="10" t="str">
        <f>IF(A139="","",SUMIFS(Elements_hybrides!$Q:$Q,Elements_hybrides!$D:$D,$A139))</f>
        <v/>
      </c>
      <c r="L139" s="10" t="str">
        <f t="shared" si="12"/>
        <v/>
      </c>
      <c r="M139" s="3" t="str">
        <f t="shared" si="13"/>
        <v/>
      </c>
    </row>
    <row r="140" spans="1:13" x14ac:dyDescent="0.25">
      <c r="A140" s="3"/>
      <c r="B140" s="3"/>
      <c r="C140" s="8"/>
      <c r="D140" s="8"/>
      <c r="E140" s="10" t="str">
        <f t="shared" si="10"/>
        <v/>
      </c>
      <c r="F140" s="8"/>
      <c r="G140" s="8"/>
      <c r="H140" s="8"/>
      <c r="I140" s="10" t="str">
        <f t="shared" si="11"/>
        <v/>
      </c>
      <c r="J140" s="8"/>
      <c r="K140" s="10" t="str">
        <f>IF(A140="","",SUMIFS(Elements_hybrides!$Q:$Q,Elements_hybrides!$D:$D,$A140))</f>
        <v/>
      </c>
      <c r="L140" s="10" t="str">
        <f t="shared" si="12"/>
        <v/>
      </c>
      <c r="M140" s="3" t="str">
        <f t="shared" si="13"/>
        <v/>
      </c>
    </row>
    <row r="141" spans="1:13" x14ac:dyDescent="0.25">
      <c r="A141" s="3"/>
      <c r="B141" s="3"/>
      <c r="C141" s="8"/>
      <c r="D141" s="8"/>
      <c r="E141" s="10" t="str">
        <f t="shared" si="10"/>
        <v/>
      </c>
      <c r="F141" s="8"/>
      <c r="G141" s="8"/>
      <c r="H141" s="8"/>
      <c r="I141" s="10" t="str">
        <f t="shared" si="11"/>
        <v/>
      </c>
      <c r="J141" s="8"/>
      <c r="K141" s="10" t="str">
        <f>IF(A141="","",SUMIFS(Elements_hybrides!$Q:$Q,Elements_hybrides!$D:$D,$A141))</f>
        <v/>
      </c>
      <c r="L141" s="10" t="str">
        <f t="shared" si="12"/>
        <v/>
      </c>
      <c r="M141" s="3" t="str">
        <f t="shared" si="13"/>
        <v/>
      </c>
    </row>
    <row r="142" spans="1:13" x14ac:dyDescent="0.25">
      <c r="A142" s="3"/>
      <c r="B142" s="3"/>
      <c r="C142" s="8"/>
      <c r="D142" s="8"/>
      <c r="E142" s="10" t="str">
        <f t="shared" si="10"/>
        <v/>
      </c>
      <c r="F142" s="8"/>
      <c r="G142" s="8"/>
      <c r="H142" s="8"/>
      <c r="I142" s="10" t="str">
        <f t="shared" si="11"/>
        <v/>
      </c>
      <c r="J142" s="8"/>
      <c r="K142" s="10" t="str">
        <f>IF(A142="","",SUMIFS(Elements_hybrides!$Q:$Q,Elements_hybrides!$D:$D,$A142))</f>
        <v/>
      </c>
      <c r="L142" s="10" t="str">
        <f t="shared" si="12"/>
        <v/>
      </c>
      <c r="M142" s="3" t="str">
        <f t="shared" si="13"/>
        <v/>
      </c>
    </row>
    <row r="143" spans="1:13" x14ac:dyDescent="0.25">
      <c r="A143" s="3"/>
      <c r="B143" s="3"/>
      <c r="C143" s="8"/>
      <c r="D143" s="8"/>
      <c r="E143" s="10" t="str">
        <f t="shared" si="10"/>
        <v/>
      </c>
      <c r="F143" s="8"/>
      <c r="G143" s="8"/>
      <c r="H143" s="8"/>
      <c r="I143" s="10" t="str">
        <f t="shared" si="11"/>
        <v/>
      </c>
      <c r="J143" s="8"/>
      <c r="K143" s="10" t="str">
        <f>IF(A143="","",SUMIFS(Elements_hybrides!$Q:$Q,Elements_hybrides!$D:$D,$A143))</f>
        <v/>
      </c>
      <c r="L143" s="10" t="str">
        <f t="shared" si="12"/>
        <v/>
      </c>
      <c r="M143" s="3" t="str">
        <f t="shared" si="13"/>
        <v/>
      </c>
    </row>
    <row r="144" spans="1:13" x14ac:dyDescent="0.25">
      <c r="A144" s="3"/>
      <c r="B144" s="3"/>
      <c r="C144" s="8"/>
      <c r="D144" s="8"/>
      <c r="E144" s="10" t="str">
        <f t="shared" si="10"/>
        <v/>
      </c>
      <c r="F144" s="8"/>
      <c r="G144" s="8"/>
      <c r="H144" s="8"/>
      <c r="I144" s="10" t="str">
        <f t="shared" si="11"/>
        <v/>
      </c>
      <c r="J144" s="8"/>
      <c r="K144" s="10" t="str">
        <f>IF(A144="","",SUMIFS(Elements_hybrides!$Q:$Q,Elements_hybrides!$D:$D,$A144))</f>
        <v/>
      </c>
      <c r="L144" s="10" t="str">
        <f t="shared" si="12"/>
        <v/>
      </c>
      <c r="M144" s="3" t="str">
        <f t="shared" si="13"/>
        <v/>
      </c>
    </row>
    <row r="145" spans="1:13" x14ac:dyDescent="0.25">
      <c r="A145" s="3"/>
      <c r="B145" s="3"/>
      <c r="C145" s="8"/>
      <c r="D145" s="8"/>
      <c r="E145" s="10" t="str">
        <f t="shared" si="10"/>
        <v/>
      </c>
      <c r="F145" s="8"/>
      <c r="G145" s="8"/>
      <c r="H145" s="8"/>
      <c r="I145" s="10" t="str">
        <f t="shared" si="11"/>
        <v/>
      </c>
      <c r="J145" s="8"/>
      <c r="K145" s="10" t="str">
        <f>IF(A145="","",SUMIFS(Elements_hybrides!$Q:$Q,Elements_hybrides!$D:$D,$A145))</f>
        <v/>
      </c>
      <c r="L145" s="10" t="str">
        <f t="shared" si="12"/>
        <v/>
      </c>
      <c r="M145" s="3" t="str">
        <f t="shared" si="13"/>
        <v/>
      </c>
    </row>
    <row r="146" spans="1:13" x14ac:dyDescent="0.25">
      <c r="A146" s="3"/>
      <c r="B146" s="3"/>
      <c r="C146" s="8"/>
      <c r="D146" s="8"/>
      <c r="E146" s="10" t="str">
        <f t="shared" si="10"/>
        <v/>
      </c>
      <c r="F146" s="8"/>
      <c r="G146" s="8"/>
      <c r="H146" s="8"/>
      <c r="I146" s="10" t="str">
        <f t="shared" si="11"/>
        <v/>
      </c>
      <c r="J146" s="8"/>
      <c r="K146" s="10" t="str">
        <f>IF(A146="","",SUMIFS(Elements_hybrides!$Q:$Q,Elements_hybrides!$D:$D,$A146))</f>
        <v/>
      </c>
      <c r="L146" s="10" t="str">
        <f t="shared" si="12"/>
        <v/>
      </c>
      <c r="M146" s="3" t="str">
        <f t="shared" si="13"/>
        <v/>
      </c>
    </row>
    <row r="147" spans="1:13" x14ac:dyDescent="0.25">
      <c r="A147" s="3"/>
      <c r="B147" s="3"/>
      <c r="C147" s="8"/>
      <c r="D147" s="8"/>
      <c r="E147" s="10" t="str">
        <f t="shared" si="10"/>
        <v/>
      </c>
      <c r="F147" s="8"/>
      <c r="G147" s="8"/>
      <c r="H147" s="8"/>
      <c r="I147" s="10" t="str">
        <f t="shared" si="11"/>
        <v/>
      </c>
      <c r="J147" s="8"/>
      <c r="K147" s="10" t="str">
        <f>IF(A147="","",SUMIFS(Elements_hybrides!$Q:$Q,Elements_hybrides!$D:$D,$A147))</f>
        <v/>
      </c>
      <c r="L147" s="10" t="str">
        <f t="shared" si="12"/>
        <v/>
      </c>
      <c r="M147" s="3" t="str">
        <f t="shared" si="13"/>
        <v/>
      </c>
    </row>
    <row r="148" spans="1:13" x14ac:dyDescent="0.25">
      <c r="A148" s="3"/>
      <c r="B148" s="3"/>
      <c r="C148" s="8"/>
      <c r="D148" s="8"/>
      <c r="E148" s="10" t="str">
        <f t="shared" si="10"/>
        <v/>
      </c>
      <c r="F148" s="8"/>
      <c r="G148" s="8"/>
      <c r="H148" s="8"/>
      <c r="I148" s="10" t="str">
        <f t="shared" si="11"/>
        <v/>
      </c>
      <c r="J148" s="8"/>
      <c r="K148" s="10" t="str">
        <f>IF(A148="","",SUMIFS(Elements_hybrides!$Q:$Q,Elements_hybrides!$D:$D,$A148))</f>
        <v/>
      </c>
      <c r="L148" s="10" t="str">
        <f t="shared" si="12"/>
        <v/>
      </c>
      <c r="M148" s="3" t="str">
        <f t="shared" si="13"/>
        <v/>
      </c>
    </row>
    <row r="149" spans="1:13" x14ac:dyDescent="0.25">
      <c r="A149" s="3"/>
      <c r="B149" s="3"/>
      <c r="C149" s="8"/>
      <c r="D149" s="8"/>
      <c r="E149" s="10" t="str">
        <f t="shared" si="10"/>
        <v/>
      </c>
      <c r="F149" s="8"/>
      <c r="G149" s="8"/>
      <c r="H149" s="8"/>
      <c r="I149" s="10" t="str">
        <f t="shared" si="11"/>
        <v/>
      </c>
      <c r="J149" s="8"/>
      <c r="K149" s="10" t="str">
        <f>IF(A149="","",SUMIFS(Elements_hybrides!$Q:$Q,Elements_hybrides!$D:$D,$A149))</f>
        <v/>
      </c>
      <c r="L149" s="10" t="str">
        <f t="shared" si="12"/>
        <v/>
      </c>
      <c r="M149" s="3" t="str">
        <f t="shared" si="13"/>
        <v/>
      </c>
    </row>
    <row r="150" spans="1:13" x14ac:dyDescent="0.25">
      <c r="A150" s="3"/>
      <c r="B150" s="3"/>
      <c r="C150" s="8"/>
      <c r="D150" s="8"/>
      <c r="E150" s="10" t="str">
        <f t="shared" si="10"/>
        <v/>
      </c>
      <c r="F150" s="8"/>
      <c r="G150" s="8"/>
      <c r="H150" s="8"/>
      <c r="I150" s="10" t="str">
        <f t="shared" si="11"/>
        <v/>
      </c>
      <c r="J150" s="8"/>
      <c r="K150" s="10" t="str">
        <f>IF(A150="","",SUMIFS(Elements_hybrides!$Q:$Q,Elements_hybrides!$D:$D,$A150))</f>
        <v/>
      </c>
      <c r="L150" s="10" t="str">
        <f t="shared" si="12"/>
        <v/>
      </c>
      <c r="M150" s="3" t="str">
        <f t="shared" si="13"/>
        <v/>
      </c>
    </row>
    <row r="151" spans="1:13" x14ac:dyDescent="0.25">
      <c r="A151" s="3"/>
      <c r="B151" s="3"/>
      <c r="C151" s="8"/>
      <c r="D151" s="8"/>
      <c r="E151" s="10" t="str">
        <f t="shared" si="10"/>
        <v/>
      </c>
      <c r="F151" s="8"/>
      <c r="G151" s="8"/>
      <c r="H151" s="8"/>
      <c r="I151" s="10" t="str">
        <f t="shared" si="11"/>
        <v/>
      </c>
      <c r="J151" s="8"/>
      <c r="K151" s="10" t="str">
        <f>IF(A151="","",SUMIFS(Elements_hybrides!$Q:$Q,Elements_hybrides!$D:$D,$A151))</f>
        <v/>
      </c>
      <c r="L151" s="10" t="str">
        <f t="shared" si="12"/>
        <v/>
      </c>
      <c r="M151" s="3" t="str">
        <f t="shared" si="13"/>
        <v/>
      </c>
    </row>
    <row r="152" spans="1:13" x14ac:dyDescent="0.25">
      <c r="A152" s="3"/>
      <c r="B152" s="3"/>
      <c r="C152" s="8"/>
      <c r="D152" s="8"/>
      <c r="E152" s="10" t="str">
        <f t="shared" si="10"/>
        <v/>
      </c>
      <c r="F152" s="8"/>
      <c r="G152" s="8"/>
      <c r="H152" s="8"/>
      <c r="I152" s="10" t="str">
        <f t="shared" si="11"/>
        <v/>
      </c>
      <c r="J152" s="8"/>
      <c r="K152" s="10" t="str">
        <f>IF(A152="","",SUMIFS(Elements_hybrides!$Q:$Q,Elements_hybrides!$D:$D,$A152))</f>
        <v/>
      </c>
      <c r="L152" s="10" t="str">
        <f t="shared" si="12"/>
        <v/>
      </c>
      <c r="M152" s="3" t="str">
        <f t="shared" si="13"/>
        <v/>
      </c>
    </row>
    <row r="153" spans="1:13" x14ac:dyDescent="0.25">
      <c r="A153" s="3"/>
      <c r="B153" s="3"/>
      <c r="C153" s="8"/>
      <c r="D153" s="8"/>
      <c r="E153" s="10" t="str">
        <f t="shared" si="10"/>
        <v/>
      </c>
      <c r="F153" s="8"/>
      <c r="G153" s="8"/>
      <c r="H153" s="8"/>
      <c r="I153" s="10" t="str">
        <f t="shared" si="11"/>
        <v/>
      </c>
      <c r="J153" s="8"/>
      <c r="K153" s="10" t="str">
        <f>IF(A153="","",SUMIFS(Elements_hybrides!$Q:$Q,Elements_hybrides!$D:$D,$A153))</f>
        <v/>
      </c>
      <c r="L153" s="10" t="str">
        <f t="shared" si="12"/>
        <v/>
      </c>
      <c r="M153" s="3" t="str">
        <f t="shared" si="13"/>
        <v/>
      </c>
    </row>
    <row r="154" spans="1:13" x14ac:dyDescent="0.25">
      <c r="A154" s="3"/>
      <c r="B154" s="3"/>
      <c r="C154" s="8"/>
      <c r="D154" s="8"/>
      <c r="E154" s="10" t="str">
        <f t="shared" si="10"/>
        <v/>
      </c>
      <c r="F154" s="8"/>
      <c r="G154" s="8"/>
      <c r="H154" s="8"/>
      <c r="I154" s="10" t="str">
        <f t="shared" si="11"/>
        <v/>
      </c>
      <c r="J154" s="8"/>
      <c r="K154" s="10" t="str">
        <f>IF(A154="","",SUMIFS(Elements_hybrides!$Q:$Q,Elements_hybrides!$D:$D,$A154))</f>
        <v/>
      </c>
      <c r="L154" s="10" t="str">
        <f t="shared" si="12"/>
        <v/>
      </c>
      <c r="M154" s="3" t="str">
        <f t="shared" si="13"/>
        <v/>
      </c>
    </row>
    <row r="155" spans="1:13" x14ac:dyDescent="0.25">
      <c r="A155" s="3"/>
      <c r="B155" s="3"/>
      <c r="C155" s="8"/>
      <c r="D155" s="8"/>
      <c r="E155" s="10" t="str">
        <f t="shared" si="10"/>
        <v/>
      </c>
      <c r="F155" s="8"/>
      <c r="G155" s="8"/>
      <c r="H155" s="8"/>
      <c r="I155" s="10" t="str">
        <f t="shared" si="11"/>
        <v/>
      </c>
      <c r="J155" s="8"/>
      <c r="K155" s="10" t="str">
        <f>IF(A155="","",SUMIFS(Elements_hybrides!$Q:$Q,Elements_hybrides!$D:$D,$A155))</f>
        <v/>
      </c>
      <c r="L155" s="10" t="str">
        <f t="shared" si="12"/>
        <v/>
      </c>
      <c r="M155" s="3" t="str">
        <f t="shared" si="13"/>
        <v/>
      </c>
    </row>
    <row r="156" spans="1:13" x14ac:dyDescent="0.25">
      <c r="A156" s="3"/>
      <c r="B156" s="3"/>
      <c r="C156" s="8"/>
      <c r="D156" s="8"/>
      <c r="E156" s="10" t="str">
        <f t="shared" si="10"/>
        <v/>
      </c>
      <c r="F156" s="8"/>
      <c r="G156" s="8"/>
      <c r="H156" s="8"/>
      <c r="I156" s="10" t="str">
        <f t="shared" si="11"/>
        <v/>
      </c>
      <c r="J156" s="8"/>
      <c r="K156" s="10" t="str">
        <f>IF(A156="","",SUMIFS(Elements_hybrides!$Q:$Q,Elements_hybrides!$D:$D,$A156))</f>
        <v/>
      </c>
      <c r="L156" s="10" t="str">
        <f t="shared" si="12"/>
        <v/>
      </c>
      <c r="M156" s="3" t="str">
        <f t="shared" si="13"/>
        <v/>
      </c>
    </row>
    <row r="157" spans="1:13" x14ac:dyDescent="0.25">
      <c r="A157" s="3"/>
      <c r="B157" s="3"/>
      <c r="C157" s="8"/>
      <c r="D157" s="8"/>
      <c r="E157" s="10" t="str">
        <f t="shared" si="10"/>
        <v/>
      </c>
      <c r="F157" s="8"/>
      <c r="G157" s="8"/>
      <c r="H157" s="8"/>
      <c r="I157" s="10" t="str">
        <f t="shared" si="11"/>
        <v/>
      </c>
      <c r="J157" s="8"/>
      <c r="K157" s="10" t="str">
        <f>IF(A157="","",SUMIFS(Elements_hybrides!$Q:$Q,Elements_hybrides!$D:$D,$A157))</f>
        <v/>
      </c>
      <c r="L157" s="10" t="str">
        <f t="shared" si="12"/>
        <v/>
      </c>
      <c r="M157" s="3" t="str">
        <f t="shared" si="13"/>
        <v/>
      </c>
    </row>
    <row r="158" spans="1:13" x14ac:dyDescent="0.25">
      <c r="A158" s="3"/>
      <c r="B158" s="3"/>
      <c r="C158" s="8"/>
      <c r="D158" s="8"/>
      <c r="E158" s="10" t="str">
        <f t="shared" si="10"/>
        <v/>
      </c>
      <c r="F158" s="8"/>
      <c r="G158" s="8"/>
      <c r="H158" s="8"/>
      <c r="I158" s="10" t="str">
        <f t="shared" si="11"/>
        <v/>
      </c>
      <c r="J158" s="8"/>
      <c r="K158" s="10" t="str">
        <f>IF(A158="","",SUMIFS(Elements_hybrides!$Q:$Q,Elements_hybrides!$D:$D,$A158))</f>
        <v/>
      </c>
      <c r="L158" s="10" t="str">
        <f t="shared" si="12"/>
        <v/>
      </c>
      <c r="M158" s="3" t="str">
        <f t="shared" si="13"/>
        <v/>
      </c>
    </row>
    <row r="159" spans="1:13" x14ac:dyDescent="0.25">
      <c r="A159" s="3"/>
      <c r="B159" s="3"/>
      <c r="C159" s="8"/>
      <c r="D159" s="8"/>
      <c r="E159" s="10" t="str">
        <f t="shared" si="10"/>
        <v/>
      </c>
      <c r="F159" s="8"/>
      <c r="G159" s="8"/>
      <c r="H159" s="8"/>
      <c r="I159" s="10" t="str">
        <f t="shared" si="11"/>
        <v/>
      </c>
      <c r="J159" s="8"/>
      <c r="K159" s="10" t="str">
        <f>IF(A159="","",SUMIFS(Elements_hybrides!$Q:$Q,Elements_hybrides!$D:$D,$A159))</f>
        <v/>
      </c>
      <c r="L159" s="10" t="str">
        <f t="shared" si="12"/>
        <v/>
      </c>
      <c r="M159" s="3" t="str">
        <f t="shared" si="13"/>
        <v/>
      </c>
    </row>
    <row r="160" spans="1:13" x14ac:dyDescent="0.25">
      <c r="A160" s="3"/>
      <c r="B160" s="3"/>
      <c r="C160" s="8"/>
      <c r="D160" s="8"/>
      <c r="E160" s="10" t="str">
        <f t="shared" si="10"/>
        <v/>
      </c>
      <c r="F160" s="8"/>
      <c r="G160" s="8"/>
      <c r="H160" s="8"/>
      <c r="I160" s="10" t="str">
        <f t="shared" si="11"/>
        <v/>
      </c>
      <c r="J160" s="8"/>
      <c r="K160" s="10" t="str">
        <f>IF(A160="","",SUMIFS(Elements_hybrides!$Q:$Q,Elements_hybrides!$D:$D,$A160))</f>
        <v/>
      </c>
      <c r="L160" s="10" t="str">
        <f t="shared" si="12"/>
        <v/>
      </c>
      <c r="M160" s="3" t="str">
        <f t="shared" si="13"/>
        <v/>
      </c>
    </row>
    <row r="161" spans="1:13" x14ac:dyDescent="0.25">
      <c r="A161" s="3"/>
      <c r="B161" s="3"/>
      <c r="C161" s="8"/>
      <c r="D161" s="8"/>
      <c r="E161" s="10" t="str">
        <f t="shared" si="10"/>
        <v/>
      </c>
      <c r="F161" s="8"/>
      <c r="G161" s="8"/>
      <c r="H161" s="8"/>
      <c r="I161" s="10" t="str">
        <f t="shared" si="11"/>
        <v/>
      </c>
      <c r="J161" s="8"/>
      <c r="K161" s="10" t="str">
        <f>IF(A161="","",SUMIFS(Elements_hybrides!$Q:$Q,Elements_hybrides!$D:$D,$A161))</f>
        <v/>
      </c>
      <c r="L161" s="10" t="str">
        <f t="shared" si="12"/>
        <v/>
      </c>
      <c r="M161" s="3" t="str">
        <f t="shared" si="13"/>
        <v/>
      </c>
    </row>
    <row r="162" spans="1:13" x14ac:dyDescent="0.25">
      <c r="A162" s="3"/>
      <c r="B162" s="3"/>
      <c r="C162" s="8"/>
      <c r="D162" s="8"/>
      <c r="E162" s="10" t="str">
        <f t="shared" si="10"/>
        <v/>
      </c>
      <c r="F162" s="8"/>
      <c r="G162" s="8"/>
      <c r="H162" s="8"/>
      <c r="I162" s="10" t="str">
        <f t="shared" si="11"/>
        <v/>
      </c>
      <c r="J162" s="8"/>
      <c r="K162" s="10" t="str">
        <f>IF(A162="","",SUMIFS(Elements_hybrides!$Q:$Q,Elements_hybrides!$D:$D,$A162))</f>
        <v/>
      </c>
      <c r="L162" s="10" t="str">
        <f t="shared" si="12"/>
        <v/>
      </c>
      <c r="M162" s="3" t="str">
        <f t="shared" si="13"/>
        <v/>
      </c>
    </row>
    <row r="163" spans="1:13" x14ac:dyDescent="0.25">
      <c r="A163" s="3"/>
      <c r="B163" s="3"/>
      <c r="C163" s="8"/>
      <c r="D163" s="8"/>
      <c r="E163" s="10" t="str">
        <f t="shared" si="10"/>
        <v/>
      </c>
      <c r="F163" s="8"/>
      <c r="G163" s="8"/>
      <c r="H163" s="8"/>
      <c r="I163" s="10" t="str">
        <f t="shared" si="11"/>
        <v/>
      </c>
      <c r="J163" s="8"/>
      <c r="K163" s="10" t="str">
        <f>IF(A163="","",SUMIFS(Elements_hybrides!$Q:$Q,Elements_hybrides!$D:$D,$A163))</f>
        <v/>
      </c>
      <c r="L163" s="10" t="str">
        <f t="shared" si="12"/>
        <v/>
      </c>
      <c r="M163" s="3" t="str">
        <f t="shared" si="13"/>
        <v/>
      </c>
    </row>
    <row r="164" spans="1:13" x14ac:dyDescent="0.25">
      <c r="A164" s="3"/>
      <c r="B164" s="3"/>
      <c r="C164" s="8"/>
      <c r="D164" s="8"/>
      <c r="E164" s="10" t="str">
        <f t="shared" si="10"/>
        <v/>
      </c>
      <c r="F164" s="8"/>
      <c r="G164" s="8"/>
      <c r="H164" s="8"/>
      <c r="I164" s="10" t="str">
        <f t="shared" si="11"/>
        <v/>
      </c>
      <c r="J164" s="8"/>
      <c r="K164" s="10" t="str">
        <f>IF(A164="","",SUMIFS(Elements_hybrides!$Q:$Q,Elements_hybrides!$D:$D,$A164))</f>
        <v/>
      </c>
      <c r="L164" s="10" t="str">
        <f t="shared" si="12"/>
        <v/>
      </c>
      <c r="M164" s="3" t="str">
        <f t="shared" si="13"/>
        <v/>
      </c>
    </row>
    <row r="165" spans="1:13" x14ac:dyDescent="0.25">
      <c r="A165" s="3"/>
      <c r="B165" s="3"/>
      <c r="C165" s="8"/>
      <c r="D165" s="8"/>
      <c r="E165" s="10" t="str">
        <f t="shared" si="10"/>
        <v/>
      </c>
      <c r="F165" s="8"/>
      <c r="G165" s="8"/>
      <c r="H165" s="8"/>
      <c r="I165" s="10" t="str">
        <f t="shared" si="11"/>
        <v/>
      </c>
      <c r="J165" s="8"/>
      <c r="K165" s="10" t="str">
        <f>IF(A165="","",SUMIFS(Elements_hybrides!$Q:$Q,Elements_hybrides!$D:$D,$A165))</f>
        <v/>
      </c>
      <c r="L165" s="10" t="str">
        <f t="shared" si="12"/>
        <v/>
      </c>
      <c r="M165" s="3" t="str">
        <f t="shared" si="13"/>
        <v/>
      </c>
    </row>
    <row r="166" spans="1:13" x14ac:dyDescent="0.25">
      <c r="A166" s="3"/>
      <c r="B166" s="3"/>
      <c r="C166" s="8"/>
      <c r="D166" s="8"/>
      <c r="E166" s="10" t="str">
        <f t="shared" si="10"/>
        <v/>
      </c>
      <c r="F166" s="8"/>
      <c r="G166" s="8"/>
      <c r="H166" s="8"/>
      <c r="I166" s="10" t="str">
        <f t="shared" si="11"/>
        <v/>
      </c>
      <c r="J166" s="8"/>
      <c r="K166" s="10" t="str">
        <f>IF(A166="","",SUMIFS(Elements_hybrides!$Q:$Q,Elements_hybrides!$D:$D,$A166))</f>
        <v/>
      </c>
      <c r="L166" s="10" t="str">
        <f t="shared" si="12"/>
        <v/>
      </c>
      <c r="M166" s="3" t="str">
        <f t="shared" si="13"/>
        <v/>
      </c>
    </row>
    <row r="167" spans="1:13" x14ac:dyDescent="0.25">
      <c r="A167" s="3"/>
      <c r="B167" s="3"/>
      <c r="C167" s="8"/>
      <c r="D167" s="8"/>
      <c r="E167" s="10" t="str">
        <f t="shared" si="10"/>
        <v/>
      </c>
      <c r="F167" s="8"/>
      <c r="G167" s="8"/>
      <c r="H167" s="8"/>
      <c r="I167" s="10" t="str">
        <f t="shared" si="11"/>
        <v/>
      </c>
      <c r="J167" s="8"/>
      <c r="K167" s="10" t="str">
        <f>IF(A167="","",SUMIFS(Elements_hybrides!$Q:$Q,Elements_hybrides!$D:$D,$A167))</f>
        <v/>
      </c>
      <c r="L167" s="10" t="str">
        <f t="shared" si="12"/>
        <v/>
      </c>
      <c r="M167" s="3" t="str">
        <f t="shared" si="13"/>
        <v/>
      </c>
    </row>
    <row r="168" spans="1:13" x14ac:dyDescent="0.25">
      <c r="A168" s="3"/>
      <c r="B168" s="3"/>
      <c r="C168" s="8"/>
      <c r="D168" s="8"/>
      <c r="E168" s="10" t="str">
        <f t="shared" si="10"/>
        <v/>
      </c>
      <c r="F168" s="8"/>
      <c r="G168" s="8"/>
      <c r="H168" s="8"/>
      <c r="I168" s="10" t="str">
        <f t="shared" si="11"/>
        <v/>
      </c>
      <c r="J168" s="8"/>
      <c r="K168" s="10" t="str">
        <f>IF(A168="","",SUMIFS(Elements_hybrides!$Q:$Q,Elements_hybrides!$D:$D,$A168))</f>
        <v/>
      </c>
      <c r="L168" s="10" t="str">
        <f t="shared" si="12"/>
        <v/>
      </c>
      <c r="M168" s="3" t="str">
        <f t="shared" si="13"/>
        <v/>
      </c>
    </row>
    <row r="169" spans="1:13" x14ac:dyDescent="0.25">
      <c r="A169" s="3"/>
      <c r="B169" s="3"/>
      <c r="C169" s="8"/>
      <c r="D169" s="8"/>
      <c r="E169" s="10" t="str">
        <f t="shared" si="10"/>
        <v/>
      </c>
      <c r="F169" s="8"/>
      <c r="G169" s="8"/>
      <c r="H169" s="8"/>
      <c r="I169" s="10" t="str">
        <f t="shared" si="11"/>
        <v/>
      </c>
      <c r="J169" s="8"/>
      <c r="K169" s="10" t="str">
        <f>IF(A169="","",SUMIFS(Elements_hybrides!$Q:$Q,Elements_hybrides!$D:$D,$A169))</f>
        <v/>
      </c>
      <c r="L169" s="10" t="str">
        <f t="shared" si="12"/>
        <v/>
      </c>
      <c r="M169" s="3" t="str">
        <f t="shared" si="13"/>
        <v/>
      </c>
    </row>
    <row r="170" spans="1:13" x14ac:dyDescent="0.25">
      <c r="A170" s="3"/>
      <c r="B170" s="3"/>
      <c r="C170" s="8"/>
      <c r="D170" s="8"/>
      <c r="E170" s="10" t="str">
        <f t="shared" si="10"/>
        <v/>
      </c>
      <c r="F170" s="8"/>
      <c r="G170" s="8"/>
      <c r="H170" s="8"/>
      <c r="I170" s="10" t="str">
        <f t="shared" si="11"/>
        <v/>
      </c>
      <c r="J170" s="8"/>
      <c r="K170" s="10" t="str">
        <f>IF(A170="","",SUMIFS(Elements_hybrides!$Q:$Q,Elements_hybrides!$D:$D,$A170))</f>
        <v/>
      </c>
      <c r="L170" s="10" t="str">
        <f t="shared" si="12"/>
        <v/>
      </c>
      <c r="M170" s="3" t="str">
        <f t="shared" si="13"/>
        <v/>
      </c>
    </row>
    <row r="171" spans="1:13" x14ac:dyDescent="0.25">
      <c r="A171" s="3"/>
      <c r="B171" s="3"/>
      <c r="C171" s="8"/>
      <c r="D171" s="8"/>
      <c r="E171" s="10" t="str">
        <f t="shared" si="10"/>
        <v/>
      </c>
      <c r="F171" s="8"/>
      <c r="G171" s="8"/>
      <c r="H171" s="8"/>
      <c r="I171" s="10" t="str">
        <f t="shared" si="11"/>
        <v/>
      </c>
      <c r="J171" s="8"/>
      <c r="K171" s="10" t="str">
        <f>IF(A171="","",SUMIFS(Elements_hybrides!$Q:$Q,Elements_hybrides!$D:$D,$A171))</f>
        <v/>
      </c>
      <c r="L171" s="10" t="str">
        <f t="shared" si="12"/>
        <v/>
      </c>
      <c r="M171" s="3" t="str">
        <f t="shared" si="13"/>
        <v/>
      </c>
    </row>
    <row r="172" spans="1:13" x14ac:dyDescent="0.25">
      <c r="A172" s="3"/>
      <c r="B172" s="3"/>
      <c r="C172" s="8"/>
      <c r="D172" s="8"/>
      <c r="E172" s="10" t="str">
        <f t="shared" si="10"/>
        <v/>
      </c>
      <c r="F172" s="8"/>
      <c r="G172" s="8"/>
      <c r="H172" s="8"/>
      <c r="I172" s="10" t="str">
        <f t="shared" si="11"/>
        <v/>
      </c>
      <c r="J172" s="8"/>
      <c r="K172" s="10" t="str">
        <f>IF(A172="","",SUMIFS(Elements_hybrides!$Q:$Q,Elements_hybrides!$D:$D,$A172))</f>
        <v/>
      </c>
      <c r="L172" s="10" t="str">
        <f t="shared" si="12"/>
        <v/>
      </c>
      <c r="M172" s="3" t="str">
        <f t="shared" si="13"/>
        <v/>
      </c>
    </row>
    <row r="173" spans="1:13" x14ac:dyDescent="0.25">
      <c r="A173" s="3"/>
      <c r="B173" s="3"/>
      <c r="C173" s="8"/>
      <c r="D173" s="8"/>
      <c r="E173" s="10" t="str">
        <f t="shared" si="10"/>
        <v/>
      </c>
      <c r="F173" s="8"/>
      <c r="G173" s="8"/>
      <c r="H173" s="8"/>
      <c r="I173" s="10" t="str">
        <f t="shared" si="11"/>
        <v/>
      </c>
      <c r="J173" s="8"/>
      <c r="K173" s="10" t="str">
        <f>IF(A173="","",SUMIFS(Elements_hybrides!$Q:$Q,Elements_hybrides!$D:$D,$A173))</f>
        <v/>
      </c>
      <c r="L173" s="10" t="str">
        <f t="shared" si="12"/>
        <v/>
      </c>
      <c r="M173" s="3" t="str">
        <f t="shared" si="13"/>
        <v/>
      </c>
    </row>
    <row r="174" spans="1:13" x14ac:dyDescent="0.25">
      <c r="A174" s="3"/>
      <c r="B174" s="3"/>
      <c r="C174" s="8"/>
      <c r="D174" s="8"/>
      <c r="E174" s="10" t="str">
        <f t="shared" si="10"/>
        <v/>
      </c>
      <c r="F174" s="8"/>
      <c r="G174" s="8"/>
      <c r="H174" s="8"/>
      <c r="I174" s="10" t="str">
        <f t="shared" si="11"/>
        <v/>
      </c>
      <c r="J174" s="8"/>
      <c r="K174" s="10" t="str">
        <f>IF(A174="","",SUMIFS(Elements_hybrides!$Q:$Q,Elements_hybrides!$D:$D,$A174))</f>
        <v/>
      </c>
      <c r="L174" s="10" t="str">
        <f t="shared" si="12"/>
        <v/>
      </c>
      <c r="M174" s="3" t="str">
        <f t="shared" si="13"/>
        <v/>
      </c>
    </row>
    <row r="175" spans="1:13" x14ac:dyDescent="0.25">
      <c r="A175" s="3"/>
      <c r="B175" s="3"/>
      <c r="C175" s="8"/>
      <c r="D175" s="8"/>
      <c r="E175" s="10" t="str">
        <f t="shared" si="10"/>
        <v/>
      </c>
      <c r="F175" s="8"/>
      <c r="G175" s="8"/>
      <c r="H175" s="8"/>
      <c r="I175" s="10" t="str">
        <f t="shared" si="11"/>
        <v/>
      </c>
      <c r="J175" s="8"/>
      <c r="K175" s="10" t="str">
        <f>IF(A175="","",SUMIFS(Elements_hybrides!$Q:$Q,Elements_hybrides!$D:$D,$A175))</f>
        <v/>
      </c>
      <c r="L175" s="10" t="str">
        <f t="shared" si="12"/>
        <v/>
      </c>
      <c r="M175" s="3" t="str">
        <f t="shared" si="13"/>
        <v/>
      </c>
    </row>
    <row r="176" spans="1:13" x14ac:dyDescent="0.25">
      <c r="A176" s="3"/>
      <c r="B176" s="3"/>
      <c r="C176" s="8"/>
      <c r="D176" s="8"/>
      <c r="E176" s="10" t="str">
        <f t="shared" si="10"/>
        <v/>
      </c>
      <c r="F176" s="8"/>
      <c r="G176" s="8"/>
      <c r="H176" s="8"/>
      <c r="I176" s="10" t="str">
        <f t="shared" si="11"/>
        <v/>
      </c>
      <c r="J176" s="8"/>
      <c r="K176" s="10" t="str">
        <f>IF(A176="","",SUMIFS(Elements_hybrides!$Q:$Q,Elements_hybrides!$D:$D,$A176))</f>
        <v/>
      </c>
      <c r="L176" s="10" t="str">
        <f t="shared" si="12"/>
        <v/>
      </c>
      <c r="M176" s="3" t="str">
        <f t="shared" si="13"/>
        <v/>
      </c>
    </row>
    <row r="177" spans="1:13" x14ac:dyDescent="0.25">
      <c r="A177" s="3"/>
      <c r="B177" s="3"/>
      <c r="C177" s="8"/>
      <c r="D177" s="8"/>
      <c r="E177" s="10" t="str">
        <f t="shared" si="10"/>
        <v/>
      </c>
      <c r="F177" s="8"/>
      <c r="G177" s="8"/>
      <c r="H177" s="8"/>
      <c r="I177" s="10" t="str">
        <f t="shared" si="11"/>
        <v/>
      </c>
      <c r="J177" s="8"/>
      <c r="K177" s="10" t="str">
        <f>IF(A177="","",SUMIFS(Elements_hybrides!$Q:$Q,Elements_hybrides!$D:$D,$A177))</f>
        <v/>
      </c>
      <c r="L177" s="10" t="str">
        <f t="shared" si="12"/>
        <v/>
      </c>
      <c r="M177" s="3" t="str">
        <f t="shared" si="13"/>
        <v/>
      </c>
    </row>
    <row r="178" spans="1:13" x14ac:dyDescent="0.25">
      <c r="A178" s="3"/>
      <c r="B178" s="3"/>
      <c r="C178" s="8"/>
      <c r="D178" s="8"/>
      <c r="E178" s="10" t="str">
        <f t="shared" si="10"/>
        <v/>
      </c>
      <c r="F178" s="8"/>
      <c r="G178" s="8"/>
      <c r="H178" s="8"/>
      <c r="I178" s="10" t="str">
        <f t="shared" si="11"/>
        <v/>
      </c>
      <c r="J178" s="8"/>
      <c r="K178" s="10" t="str">
        <f>IF(A178="","",SUMIFS(Elements_hybrides!$Q:$Q,Elements_hybrides!$D:$D,$A178))</f>
        <v/>
      </c>
      <c r="L178" s="10" t="str">
        <f t="shared" si="12"/>
        <v/>
      </c>
      <c r="M178" s="3" t="str">
        <f t="shared" si="13"/>
        <v/>
      </c>
    </row>
    <row r="179" spans="1:13" x14ac:dyDescent="0.25">
      <c r="A179" s="3"/>
      <c r="B179" s="3"/>
      <c r="C179" s="8"/>
      <c r="D179" s="8"/>
      <c r="E179" s="10" t="str">
        <f t="shared" si="10"/>
        <v/>
      </c>
      <c r="F179" s="8"/>
      <c r="G179" s="8"/>
      <c r="H179" s="8"/>
      <c r="I179" s="10" t="str">
        <f t="shared" si="11"/>
        <v/>
      </c>
      <c r="J179" s="8"/>
      <c r="K179" s="10" t="str">
        <f>IF(A179="","",SUMIFS(Elements_hybrides!$Q:$Q,Elements_hybrides!$D:$D,$A179))</f>
        <v/>
      </c>
      <c r="L179" s="10" t="str">
        <f t="shared" si="12"/>
        <v/>
      </c>
      <c r="M179" s="3" t="str">
        <f t="shared" si="13"/>
        <v/>
      </c>
    </row>
    <row r="180" spans="1:13" x14ac:dyDescent="0.25">
      <c r="A180" s="3"/>
      <c r="B180" s="3"/>
      <c r="C180" s="8"/>
      <c r="D180" s="8"/>
      <c r="E180" s="10" t="str">
        <f t="shared" si="10"/>
        <v/>
      </c>
      <c r="F180" s="8"/>
      <c r="G180" s="8"/>
      <c r="H180" s="8"/>
      <c r="I180" s="10" t="str">
        <f t="shared" si="11"/>
        <v/>
      </c>
      <c r="J180" s="8"/>
      <c r="K180" s="10" t="str">
        <f>IF(A180="","",SUMIFS(Elements_hybrides!$Q:$Q,Elements_hybrides!$D:$D,$A180))</f>
        <v/>
      </c>
      <c r="L180" s="10" t="str">
        <f t="shared" si="12"/>
        <v/>
      </c>
      <c r="M180" s="3" t="str">
        <f t="shared" si="13"/>
        <v/>
      </c>
    </row>
    <row r="181" spans="1:13" x14ac:dyDescent="0.25">
      <c r="A181" s="3"/>
      <c r="B181" s="3"/>
      <c r="C181" s="8"/>
      <c r="D181" s="8"/>
      <c r="E181" s="10" t="str">
        <f t="shared" si="10"/>
        <v/>
      </c>
      <c r="F181" s="8"/>
      <c r="G181" s="8"/>
      <c r="H181" s="8"/>
      <c r="I181" s="10" t="str">
        <f t="shared" si="11"/>
        <v/>
      </c>
      <c r="J181" s="8"/>
      <c r="K181" s="10" t="str">
        <f>IF(A181="","",SUMIFS(Elements_hybrides!$Q:$Q,Elements_hybrides!$D:$D,$A181))</f>
        <v/>
      </c>
      <c r="L181" s="10" t="str">
        <f t="shared" si="12"/>
        <v/>
      </c>
      <c r="M181" s="3" t="str">
        <f t="shared" si="13"/>
        <v/>
      </c>
    </row>
    <row r="182" spans="1:13" x14ac:dyDescent="0.25">
      <c r="A182" s="3"/>
      <c r="B182" s="3"/>
      <c r="C182" s="8"/>
      <c r="D182" s="8"/>
      <c r="E182" s="10" t="str">
        <f t="shared" si="10"/>
        <v/>
      </c>
      <c r="F182" s="8"/>
      <c r="G182" s="8"/>
      <c r="H182" s="8"/>
      <c r="I182" s="10" t="str">
        <f t="shared" si="11"/>
        <v/>
      </c>
      <c r="J182" s="8"/>
      <c r="K182" s="10" t="str">
        <f>IF(A182="","",SUMIFS(Elements_hybrides!$Q:$Q,Elements_hybrides!$D:$D,$A182))</f>
        <v/>
      </c>
      <c r="L182" s="10" t="str">
        <f t="shared" si="12"/>
        <v/>
      </c>
      <c r="M182" s="3" t="str">
        <f t="shared" si="13"/>
        <v/>
      </c>
    </row>
    <row r="183" spans="1:13" x14ac:dyDescent="0.25">
      <c r="A183" s="3"/>
      <c r="B183" s="3"/>
      <c r="C183" s="8"/>
      <c r="D183" s="8"/>
      <c r="E183" s="10" t="str">
        <f t="shared" si="10"/>
        <v/>
      </c>
      <c r="F183" s="8"/>
      <c r="G183" s="8"/>
      <c r="H183" s="8"/>
      <c r="I183" s="10" t="str">
        <f t="shared" si="11"/>
        <v/>
      </c>
      <c r="J183" s="8"/>
      <c r="K183" s="10" t="str">
        <f>IF(A183="","",SUMIFS(Elements_hybrides!$Q:$Q,Elements_hybrides!$D:$D,$A183))</f>
        <v/>
      </c>
      <c r="L183" s="10" t="str">
        <f t="shared" si="12"/>
        <v/>
      </c>
      <c r="M183" s="3" t="str">
        <f t="shared" si="13"/>
        <v/>
      </c>
    </row>
    <row r="184" spans="1:13" x14ac:dyDescent="0.25">
      <c r="A184" s="3"/>
      <c r="B184" s="3"/>
      <c r="C184" s="8"/>
      <c r="D184" s="8"/>
      <c r="E184" s="10" t="str">
        <f t="shared" si="10"/>
        <v/>
      </c>
      <c r="F184" s="8"/>
      <c r="G184" s="8"/>
      <c r="H184" s="8"/>
      <c r="I184" s="10" t="str">
        <f t="shared" si="11"/>
        <v/>
      </c>
      <c r="J184" s="8"/>
      <c r="K184" s="10" t="str">
        <f>IF(A184="","",SUMIFS(Elements_hybrides!$Q:$Q,Elements_hybrides!$D:$D,$A184))</f>
        <v/>
      </c>
      <c r="L184" s="10" t="str">
        <f t="shared" si="12"/>
        <v/>
      </c>
      <c r="M184" s="3" t="str">
        <f t="shared" si="13"/>
        <v/>
      </c>
    </row>
    <row r="185" spans="1:13" x14ac:dyDescent="0.25">
      <c r="A185" s="3"/>
      <c r="B185" s="3"/>
      <c r="C185" s="8"/>
      <c r="D185" s="8"/>
      <c r="E185" s="10" t="str">
        <f t="shared" si="10"/>
        <v/>
      </c>
      <c r="F185" s="8"/>
      <c r="G185" s="8"/>
      <c r="H185" s="8"/>
      <c r="I185" s="10" t="str">
        <f t="shared" si="11"/>
        <v/>
      </c>
      <c r="J185" s="8"/>
      <c r="K185" s="10" t="str">
        <f>IF(A185="","",SUMIFS(Elements_hybrides!$Q:$Q,Elements_hybrides!$D:$D,$A185))</f>
        <v/>
      </c>
      <c r="L185" s="10" t="str">
        <f t="shared" si="12"/>
        <v/>
      </c>
      <c r="M185" s="3" t="str">
        <f t="shared" si="13"/>
        <v/>
      </c>
    </row>
    <row r="186" spans="1:13" x14ac:dyDescent="0.25">
      <c r="A186" s="3"/>
      <c r="B186" s="3"/>
      <c r="C186" s="8"/>
      <c r="D186" s="8"/>
      <c r="E186" s="10" t="str">
        <f t="shared" si="10"/>
        <v/>
      </c>
      <c r="F186" s="8"/>
      <c r="G186" s="8"/>
      <c r="H186" s="8"/>
      <c r="I186" s="10" t="str">
        <f t="shared" si="11"/>
        <v/>
      </c>
      <c r="J186" s="8"/>
      <c r="K186" s="10" t="str">
        <f>IF(A186="","",SUMIFS(Elements_hybrides!$Q:$Q,Elements_hybrides!$D:$D,$A186))</f>
        <v/>
      </c>
      <c r="L186" s="10" t="str">
        <f t="shared" si="12"/>
        <v/>
      </c>
      <c r="M186" s="3" t="str">
        <f t="shared" si="13"/>
        <v/>
      </c>
    </row>
    <row r="187" spans="1:13" x14ac:dyDescent="0.25">
      <c r="A187" s="3"/>
      <c r="B187" s="3"/>
      <c r="C187" s="8"/>
      <c r="D187" s="8"/>
      <c r="E187" s="10" t="str">
        <f t="shared" si="10"/>
        <v/>
      </c>
      <c r="F187" s="8"/>
      <c r="G187" s="8"/>
      <c r="H187" s="8"/>
      <c r="I187" s="10" t="str">
        <f t="shared" si="11"/>
        <v/>
      </c>
      <c r="J187" s="8"/>
      <c r="K187" s="10" t="str">
        <f>IF(A187="","",SUMIFS(Elements_hybrides!$Q:$Q,Elements_hybrides!$D:$D,$A187))</f>
        <v/>
      </c>
      <c r="L187" s="10" t="str">
        <f t="shared" si="12"/>
        <v/>
      </c>
      <c r="M187" s="3" t="str">
        <f t="shared" si="13"/>
        <v/>
      </c>
    </row>
    <row r="188" spans="1:13" x14ac:dyDescent="0.25">
      <c r="A188" s="3"/>
      <c r="B188" s="3"/>
      <c r="C188" s="8"/>
      <c r="D188" s="8"/>
      <c r="E188" s="10" t="str">
        <f t="shared" si="10"/>
        <v/>
      </c>
      <c r="F188" s="8"/>
      <c r="G188" s="8"/>
      <c r="H188" s="8"/>
      <c r="I188" s="10" t="str">
        <f t="shared" si="11"/>
        <v/>
      </c>
      <c r="J188" s="8"/>
      <c r="K188" s="10" t="str">
        <f>IF(A188="","",SUMIFS(Elements_hybrides!$Q:$Q,Elements_hybrides!$D:$D,$A188))</f>
        <v/>
      </c>
      <c r="L188" s="10" t="str">
        <f t="shared" si="12"/>
        <v/>
      </c>
      <c r="M188" s="3" t="str">
        <f t="shared" si="13"/>
        <v/>
      </c>
    </row>
    <row r="189" spans="1:13" x14ac:dyDescent="0.25">
      <c r="A189" s="3"/>
      <c r="B189" s="3"/>
      <c r="C189" s="8"/>
      <c r="D189" s="8"/>
      <c r="E189" s="10" t="str">
        <f t="shared" si="10"/>
        <v/>
      </c>
      <c r="F189" s="8"/>
      <c r="G189" s="8"/>
      <c r="H189" s="8"/>
      <c r="I189" s="10" t="str">
        <f t="shared" si="11"/>
        <v/>
      </c>
      <c r="J189" s="8"/>
      <c r="K189" s="10" t="str">
        <f>IF(A189="","",SUMIFS(Elements_hybrides!$Q:$Q,Elements_hybrides!$D:$D,$A189))</f>
        <v/>
      </c>
      <c r="L189" s="10" t="str">
        <f t="shared" si="12"/>
        <v/>
      </c>
      <c r="M189" s="3" t="str">
        <f t="shared" si="13"/>
        <v/>
      </c>
    </row>
    <row r="190" spans="1:13" x14ac:dyDescent="0.25">
      <c r="A190" s="3"/>
      <c r="B190" s="3"/>
      <c r="C190" s="8"/>
      <c r="D190" s="8"/>
      <c r="E190" s="10" t="str">
        <f t="shared" si="10"/>
        <v/>
      </c>
      <c r="F190" s="8"/>
      <c r="G190" s="8"/>
      <c r="H190" s="8"/>
      <c r="I190" s="10" t="str">
        <f t="shared" si="11"/>
        <v/>
      </c>
      <c r="J190" s="8"/>
      <c r="K190" s="10" t="str">
        <f>IF(A190="","",SUMIFS(Elements_hybrides!$Q:$Q,Elements_hybrides!$D:$D,$A190))</f>
        <v/>
      </c>
      <c r="L190" s="10" t="str">
        <f t="shared" si="12"/>
        <v/>
      </c>
      <c r="M190" s="3" t="str">
        <f t="shared" si="13"/>
        <v/>
      </c>
    </row>
    <row r="191" spans="1:13" x14ac:dyDescent="0.25">
      <c r="A191" s="3"/>
      <c r="B191" s="3"/>
      <c r="C191" s="8"/>
      <c r="D191" s="8"/>
      <c r="E191" s="10" t="str">
        <f t="shared" si="10"/>
        <v/>
      </c>
      <c r="F191" s="8"/>
      <c r="G191" s="8"/>
      <c r="H191" s="8"/>
      <c r="I191" s="10" t="str">
        <f t="shared" si="11"/>
        <v/>
      </c>
      <c r="J191" s="8"/>
      <c r="K191" s="10" t="str">
        <f>IF(A191="","",SUMIFS(Elements_hybrides!$Q:$Q,Elements_hybrides!$D:$D,$A191))</f>
        <v/>
      </c>
      <c r="L191" s="10" t="str">
        <f t="shared" si="12"/>
        <v/>
      </c>
      <c r="M191" s="3" t="str">
        <f t="shared" si="13"/>
        <v/>
      </c>
    </row>
    <row r="192" spans="1:13" x14ac:dyDescent="0.25">
      <c r="A192" s="3"/>
      <c r="B192" s="3"/>
      <c r="C192" s="8"/>
      <c r="D192" s="8"/>
      <c r="E192" s="10" t="str">
        <f t="shared" si="10"/>
        <v/>
      </c>
      <c r="F192" s="8"/>
      <c r="G192" s="8"/>
      <c r="H192" s="8"/>
      <c r="I192" s="10" t="str">
        <f t="shared" si="11"/>
        <v/>
      </c>
      <c r="J192" s="8"/>
      <c r="K192" s="10" t="str">
        <f>IF(A192="","",SUMIFS(Elements_hybrides!$Q:$Q,Elements_hybrides!$D:$D,$A192))</f>
        <v/>
      </c>
      <c r="L192" s="10" t="str">
        <f t="shared" si="12"/>
        <v/>
      </c>
      <c r="M192" s="3" t="str">
        <f t="shared" si="13"/>
        <v/>
      </c>
    </row>
    <row r="193" spans="1:13" x14ac:dyDescent="0.25">
      <c r="A193" s="3"/>
      <c r="B193" s="3"/>
      <c r="C193" s="8"/>
      <c r="D193" s="8"/>
      <c r="E193" s="10" t="str">
        <f t="shared" si="10"/>
        <v/>
      </c>
      <c r="F193" s="8"/>
      <c r="G193" s="8"/>
      <c r="H193" s="8"/>
      <c r="I193" s="10" t="str">
        <f t="shared" si="11"/>
        <v/>
      </c>
      <c r="J193" s="8"/>
      <c r="K193" s="10" t="str">
        <f>IF(A193="","",SUMIFS(Elements_hybrides!$Q:$Q,Elements_hybrides!$D:$D,$A193))</f>
        <v/>
      </c>
      <c r="L193" s="10" t="str">
        <f t="shared" si="12"/>
        <v/>
      </c>
      <c r="M193" s="3" t="str">
        <f t="shared" si="13"/>
        <v/>
      </c>
    </row>
    <row r="194" spans="1:13" x14ac:dyDescent="0.25">
      <c r="A194" s="3"/>
      <c r="B194" s="3"/>
      <c r="C194" s="8"/>
      <c r="D194" s="8"/>
      <c r="E194" s="10" t="str">
        <f t="shared" si="10"/>
        <v/>
      </c>
      <c r="F194" s="8"/>
      <c r="G194" s="8"/>
      <c r="H194" s="8"/>
      <c r="I194" s="10" t="str">
        <f t="shared" si="11"/>
        <v/>
      </c>
      <c r="J194" s="8"/>
      <c r="K194" s="10" t="str">
        <f>IF(A194="","",SUMIFS(Elements_hybrides!$Q:$Q,Elements_hybrides!$D:$D,$A194))</f>
        <v/>
      </c>
      <c r="L194" s="10" t="str">
        <f t="shared" si="12"/>
        <v/>
      </c>
      <c r="M194" s="3" t="str">
        <f t="shared" si="13"/>
        <v/>
      </c>
    </row>
    <row r="195" spans="1:13" x14ac:dyDescent="0.25">
      <c r="A195" s="3"/>
      <c r="B195" s="3"/>
      <c r="C195" s="8"/>
      <c r="D195" s="8"/>
      <c r="E195" s="10" t="str">
        <f t="shared" si="10"/>
        <v/>
      </c>
      <c r="F195" s="8"/>
      <c r="G195" s="8"/>
      <c r="H195" s="8"/>
      <c r="I195" s="10" t="str">
        <f t="shared" si="11"/>
        <v/>
      </c>
      <c r="J195" s="8"/>
      <c r="K195" s="10" t="str">
        <f>IF(A195="","",SUMIFS(Elements_hybrides!$Q:$Q,Elements_hybrides!$D:$D,$A195))</f>
        <v/>
      </c>
      <c r="L195" s="10" t="str">
        <f t="shared" si="12"/>
        <v/>
      </c>
      <c r="M195" s="3" t="str">
        <f t="shared" si="13"/>
        <v/>
      </c>
    </row>
    <row r="196" spans="1:13" x14ac:dyDescent="0.25">
      <c r="A196" s="3"/>
      <c r="B196" s="3"/>
      <c r="C196" s="8"/>
      <c r="D196" s="8"/>
      <c r="E196" s="10" t="str">
        <f t="shared" ref="E196:E204" si="14">IF(OR(C196="",D196=""),"",MAX(0,C196-D196))</f>
        <v/>
      </c>
      <c r="F196" s="8"/>
      <c r="G196" s="8"/>
      <c r="H196" s="8"/>
      <c r="I196" s="10" t="str">
        <f t="shared" ref="I196:I204" si="15">IF(A196="","",IF(UPPER(TRIM(F196))="CIRC",PI()*(G196/2)^2*E196,IF(UPPER(TRIM(F196))="RECT",G196*H196*E196,"")))</f>
        <v/>
      </c>
      <c r="J196" s="8"/>
      <c r="K196" s="10" t="str">
        <f>IF(A196="","",SUMIFS(Elements_hybrides!$Q:$Q,Elements_hybrides!$D:$D,$A196))</f>
        <v/>
      </c>
      <c r="L196" s="10" t="str">
        <f t="shared" ref="L196:L204" si="16">IF(OR(K196="",J196=""),"",K196*J196*60)</f>
        <v/>
      </c>
      <c r="M196" s="3" t="str">
        <f t="shared" ref="M196:M204" si="17">IF(A196="","",IF(OR(I196="",L196=""),"",IF(I196&gt;=L196,"OK","CHECK")))</f>
        <v/>
      </c>
    </row>
    <row r="197" spans="1:13" x14ac:dyDescent="0.25">
      <c r="A197" s="3"/>
      <c r="B197" s="3"/>
      <c r="C197" s="8"/>
      <c r="D197" s="8"/>
      <c r="E197" s="10" t="str">
        <f t="shared" si="14"/>
        <v/>
      </c>
      <c r="F197" s="8"/>
      <c r="G197" s="8"/>
      <c r="H197" s="8"/>
      <c r="I197" s="10" t="str">
        <f t="shared" si="15"/>
        <v/>
      </c>
      <c r="J197" s="8"/>
      <c r="K197" s="10" t="str">
        <f>IF(A197="","",SUMIFS(Elements_hybrides!$Q:$Q,Elements_hybrides!$D:$D,$A197))</f>
        <v/>
      </c>
      <c r="L197" s="10" t="str">
        <f t="shared" si="16"/>
        <v/>
      </c>
      <c r="M197" s="3" t="str">
        <f t="shared" si="17"/>
        <v/>
      </c>
    </row>
    <row r="198" spans="1:13" x14ac:dyDescent="0.25">
      <c r="A198" s="3"/>
      <c r="B198" s="3"/>
      <c r="C198" s="8"/>
      <c r="D198" s="8"/>
      <c r="E198" s="10" t="str">
        <f t="shared" si="14"/>
        <v/>
      </c>
      <c r="F198" s="8"/>
      <c r="G198" s="8"/>
      <c r="H198" s="8"/>
      <c r="I198" s="10" t="str">
        <f t="shared" si="15"/>
        <v/>
      </c>
      <c r="J198" s="8"/>
      <c r="K198" s="10" t="str">
        <f>IF(A198="","",SUMIFS(Elements_hybrides!$Q:$Q,Elements_hybrides!$D:$D,$A198))</f>
        <v/>
      </c>
      <c r="L198" s="10" t="str">
        <f t="shared" si="16"/>
        <v/>
      </c>
      <c r="M198" s="3" t="str">
        <f t="shared" si="17"/>
        <v/>
      </c>
    </row>
    <row r="199" spans="1:13" x14ac:dyDescent="0.25">
      <c r="A199" s="3"/>
      <c r="B199" s="3"/>
      <c r="C199" s="8"/>
      <c r="D199" s="8"/>
      <c r="E199" s="10" t="str">
        <f t="shared" si="14"/>
        <v/>
      </c>
      <c r="F199" s="8"/>
      <c r="G199" s="8"/>
      <c r="H199" s="8"/>
      <c r="I199" s="10" t="str">
        <f t="shared" si="15"/>
        <v/>
      </c>
      <c r="J199" s="8"/>
      <c r="K199" s="10" t="str">
        <f>IF(A199="","",SUMIFS(Elements_hybrides!$Q:$Q,Elements_hybrides!$D:$D,$A199))</f>
        <v/>
      </c>
      <c r="L199" s="10" t="str">
        <f t="shared" si="16"/>
        <v/>
      </c>
      <c r="M199" s="3" t="str">
        <f t="shared" si="17"/>
        <v/>
      </c>
    </row>
    <row r="200" spans="1:13" x14ac:dyDescent="0.25">
      <c r="A200" s="3"/>
      <c r="B200" s="3"/>
      <c r="C200" s="8"/>
      <c r="D200" s="8"/>
      <c r="E200" s="10" t="str">
        <f t="shared" si="14"/>
        <v/>
      </c>
      <c r="F200" s="8"/>
      <c r="G200" s="8"/>
      <c r="H200" s="8"/>
      <c r="I200" s="10" t="str">
        <f t="shared" si="15"/>
        <v/>
      </c>
      <c r="J200" s="8"/>
      <c r="K200" s="10" t="str">
        <f>IF(A200="","",SUMIFS(Elements_hybrides!$Q:$Q,Elements_hybrides!$D:$D,$A200))</f>
        <v/>
      </c>
      <c r="L200" s="10" t="str">
        <f t="shared" si="16"/>
        <v/>
      </c>
      <c r="M200" s="3" t="str">
        <f t="shared" si="17"/>
        <v/>
      </c>
    </row>
    <row r="201" spans="1:13" x14ac:dyDescent="0.25">
      <c r="A201" s="3"/>
      <c r="B201" s="3"/>
      <c r="C201" s="8"/>
      <c r="D201" s="8"/>
      <c r="E201" s="10" t="str">
        <f t="shared" si="14"/>
        <v/>
      </c>
      <c r="F201" s="8"/>
      <c r="G201" s="8"/>
      <c r="H201" s="8"/>
      <c r="I201" s="10" t="str">
        <f t="shared" si="15"/>
        <v/>
      </c>
      <c r="J201" s="8"/>
      <c r="K201" s="10" t="str">
        <f>IF(A201="","",SUMIFS(Elements_hybrides!$Q:$Q,Elements_hybrides!$D:$D,$A201))</f>
        <v/>
      </c>
      <c r="L201" s="10" t="str">
        <f t="shared" si="16"/>
        <v/>
      </c>
      <c r="M201" s="3" t="str">
        <f t="shared" si="17"/>
        <v/>
      </c>
    </row>
    <row r="202" spans="1:13" x14ac:dyDescent="0.25">
      <c r="A202" s="3"/>
      <c r="B202" s="3"/>
      <c r="C202" s="8"/>
      <c r="D202" s="8"/>
      <c r="E202" s="10" t="str">
        <f t="shared" si="14"/>
        <v/>
      </c>
      <c r="F202" s="8"/>
      <c r="G202" s="8"/>
      <c r="H202" s="8"/>
      <c r="I202" s="10" t="str">
        <f t="shared" si="15"/>
        <v/>
      </c>
      <c r="J202" s="8"/>
      <c r="K202" s="10" t="str">
        <f>IF(A202="","",SUMIFS(Elements_hybrides!$Q:$Q,Elements_hybrides!$D:$D,$A202))</f>
        <v/>
      </c>
      <c r="L202" s="10" t="str">
        <f t="shared" si="16"/>
        <v/>
      </c>
      <c r="M202" s="3" t="str">
        <f t="shared" si="17"/>
        <v/>
      </c>
    </row>
    <row r="203" spans="1:13" x14ac:dyDescent="0.25">
      <c r="A203" s="3"/>
      <c r="B203" s="3"/>
      <c r="C203" s="8"/>
      <c r="D203" s="8"/>
      <c r="E203" s="10" t="str">
        <f t="shared" si="14"/>
        <v/>
      </c>
      <c r="F203" s="8"/>
      <c r="G203" s="8"/>
      <c r="H203" s="8"/>
      <c r="I203" s="10" t="str">
        <f t="shared" si="15"/>
        <v/>
      </c>
      <c r="J203" s="8"/>
      <c r="K203" s="10" t="str">
        <f>IF(A203="","",SUMIFS(Elements_hybrides!$Q:$Q,Elements_hybrides!$D:$D,$A203))</f>
        <v/>
      </c>
      <c r="L203" s="10" t="str">
        <f t="shared" si="16"/>
        <v/>
      </c>
      <c r="M203" s="3" t="str">
        <f t="shared" si="17"/>
        <v/>
      </c>
    </row>
    <row r="204" spans="1:13" x14ac:dyDescent="0.25">
      <c r="A204" s="3"/>
      <c r="B204" s="3"/>
      <c r="C204" s="8"/>
      <c r="D204" s="8"/>
      <c r="E204" s="10" t="str">
        <f t="shared" si="14"/>
        <v/>
      </c>
      <c r="F204" s="8"/>
      <c r="G204" s="8"/>
      <c r="H204" s="8"/>
      <c r="I204" s="10" t="str">
        <f t="shared" si="15"/>
        <v/>
      </c>
      <c r="J204" s="8"/>
      <c r="K204" s="10" t="str">
        <f>IF(A204="","",SUMIFS(Elements_hybrides!$Q:$Q,Elements_hybrides!$D:$D,$A204))</f>
        <v/>
      </c>
      <c r="L204" s="10" t="str">
        <f t="shared" si="16"/>
        <v/>
      </c>
      <c r="M204" s="3" t="str">
        <f t="shared" si="17"/>
        <v/>
      </c>
    </row>
  </sheetData>
  <mergeCells count="1">
    <mergeCell ref="A1:M1"/>
  </mergeCells>
  <pageMargins left="0.75" right="0.75" top="1" bottom="1" header="0.511811023622047" footer="0.511811023622047"/>
  <pageSetup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2"/>
  <sheetViews>
    <sheetView zoomScaleNormal="100" workbookViewId="0">
      <selection activeCell="B7" sqref="B7"/>
    </sheetView>
  </sheetViews>
  <sheetFormatPr baseColWidth="10" defaultColWidth="8.7109375" defaultRowHeight="15" customHeight="1" x14ac:dyDescent="0.25"/>
  <cols>
    <col min="1" max="1" width="34" customWidth="1"/>
    <col min="2" max="2" width="18" customWidth="1"/>
  </cols>
  <sheetData>
    <row r="1" spans="1:5" x14ac:dyDescent="0.25">
      <c r="A1" s="19" t="s">
        <v>345</v>
      </c>
      <c r="B1" s="19"/>
      <c r="C1" s="19"/>
      <c r="D1" s="19"/>
      <c r="E1" s="19"/>
    </row>
    <row r="3" spans="1:5" x14ac:dyDescent="0.25">
      <c r="A3" s="2" t="s">
        <v>346</v>
      </c>
      <c r="B3" s="10">
        <f>COUNTIF(Elements_hybrides!$AA$4:$AA$204,"CHECK")</f>
        <v>1</v>
      </c>
    </row>
    <row r="4" spans="1:5" x14ac:dyDescent="0.25">
      <c r="A4" s="2" t="s">
        <v>347</v>
      </c>
      <c r="B4" s="10">
        <f>COUNTIF(Noeuds_stockage!$M$4:$M$204,"CHECK")</f>
        <v>6</v>
      </c>
    </row>
    <row r="5" spans="1:5" x14ac:dyDescent="0.25">
      <c r="A5" s="2" t="s">
        <v>348</v>
      </c>
      <c r="B5" s="10" t="str">
        <f>IF(OR(B3&gt;0,B4&gt;0),"CHECK","OK")</f>
        <v>CHECK</v>
      </c>
    </row>
    <row r="7" spans="1:5" x14ac:dyDescent="0.25">
      <c r="A7" s="2" t="s">
        <v>349</v>
      </c>
      <c r="B7" s="9">
        <f>SUM(Zones_tributaires!$I$4:$I$204)</f>
        <v>4.5471510437311971E-2</v>
      </c>
    </row>
    <row r="8" spans="1:5" x14ac:dyDescent="0.25">
      <c r="A8" s="2" t="s">
        <v>350</v>
      </c>
      <c r="B8" s="9">
        <f>SUM(Elements_hybrides!$Z$4:$Z$204)</f>
        <v>1.5692249999999994</v>
      </c>
    </row>
    <row r="9" spans="1:5" x14ac:dyDescent="0.25">
      <c r="A9" s="2" t="s">
        <v>351</v>
      </c>
      <c r="B9" s="9" t="str">
        <f>IFERROR(INDEX(Noeuds_stockage!$I$4:$I$204,MATCH("BASIN_RET",Noeuds_stockage!$A$4:$A$204,0)),"")</f>
        <v/>
      </c>
    </row>
    <row r="10" spans="1:5" x14ac:dyDescent="0.25">
      <c r="A10" s="13" t="s">
        <v>352</v>
      </c>
      <c r="B10" s="14">
        <f>SUMIFS(Zones_tributaires!$D$4:$D$204,Zones_tributaires!$C$4:$C$204,"ROOF")+SUMIFS(Zones_tributaires!$D$4:$D$204,Zones_tributaires!$C$4:$C$204,"PAVAGE")+SUMIFS(Zones_tributaires!$D$4:$D$204,Zones_tributaires!$C$4:$C$204,"TRESFOND")</f>
        <v>1553.3999999999999</v>
      </c>
    </row>
    <row r="11" spans="1:5" x14ac:dyDescent="0.25">
      <c r="A11" s="13" t="s">
        <v>353</v>
      </c>
      <c r="B11" s="14">
        <f>SUMIFS(Zones_tributaires!$D$4:$D$204,Zones_tributaires!$C$4:$C$204,"GRASS")</f>
        <v>534.4</v>
      </c>
    </row>
    <row r="12" spans="1:5" x14ac:dyDescent="0.25">
      <c r="A12" s="13" t="s">
        <v>354</v>
      </c>
      <c r="B12" s="14">
        <f>IF((B10+B11)=0,"",B10/(B10+B11))</f>
        <v>0.74403678513267557</v>
      </c>
    </row>
  </sheetData>
  <mergeCells count="1">
    <mergeCell ref="A1:E1"/>
  </mergeCells>
  <pageMargins left="0.75" right="0.75" top="1" bottom="1" header="0.511811023622047" footer="0.511811023622047"/>
  <pageSetup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"/>
  <sheetViews>
    <sheetView zoomScaleNormal="100" workbookViewId="0">
      <selection activeCell="B4" sqref="B4"/>
    </sheetView>
  </sheetViews>
  <sheetFormatPr baseColWidth="10" defaultColWidth="8.7109375" defaultRowHeight="15" customHeight="1" x14ac:dyDescent="0.25"/>
  <cols>
    <col min="1" max="1" width="34" customWidth="1"/>
    <col min="2" max="2" width="14" customWidth="1"/>
    <col min="3" max="3" width="13" customWidth="1"/>
    <col min="4" max="4" width="24" customWidth="1"/>
    <col min="5" max="5" width="14" customWidth="1"/>
    <col min="6" max="6" width="10" customWidth="1"/>
    <col min="7" max="7" width="18" customWidth="1"/>
    <col min="8" max="8" width="52" customWidth="1"/>
  </cols>
  <sheetData>
    <row r="1" spans="1:8" x14ac:dyDescent="0.25">
      <c r="A1" s="19" t="s">
        <v>355</v>
      </c>
      <c r="B1" s="19"/>
      <c r="C1" s="19"/>
      <c r="D1" s="19"/>
      <c r="E1" s="19"/>
      <c r="F1" s="19"/>
      <c r="G1" s="19"/>
      <c r="H1" s="19"/>
    </row>
    <row r="3" spans="1:8" x14ac:dyDescent="0.25">
      <c r="A3" s="2" t="s">
        <v>356</v>
      </c>
      <c r="B3" s="2" t="s">
        <v>357</v>
      </c>
      <c r="C3" s="2" t="s">
        <v>358</v>
      </c>
      <c r="D3" s="2" t="s">
        <v>54</v>
      </c>
      <c r="E3" s="2" t="s">
        <v>55</v>
      </c>
      <c r="F3" s="2" t="s">
        <v>56</v>
      </c>
      <c r="G3" s="2" t="s">
        <v>359</v>
      </c>
      <c r="H3" s="2" t="s">
        <v>197</v>
      </c>
    </row>
    <row r="4" spans="1:8" x14ac:dyDescent="0.25">
      <c r="A4" s="3" t="s">
        <v>360</v>
      </c>
      <c r="B4" s="4">
        <f>Inputs!$B$25</f>
        <v>0.6</v>
      </c>
      <c r="C4" s="4">
        <f>Inputs!$B$26</f>
        <v>0.1</v>
      </c>
      <c r="D4" s="3" t="s">
        <v>361</v>
      </c>
      <c r="E4" s="4">
        <f>B4*C4</f>
        <v>0.06</v>
      </c>
      <c r="F4" s="3" t="s">
        <v>362</v>
      </c>
      <c r="G4" s="5">
        <f>B4*C4</f>
        <v>0.06</v>
      </c>
      <c r="H4" s="3" t="s">
        <v>363</v>
      </c>
    </row>
    <row r="5" spans="1:8" x14ac:dyDescent="0.25">
      <c r="A5" s="3" t="s">
        <v>364</v>
      </c>
      <c r="B5" s="4">
        <f>Inputs!$B$28</f>
        <v>0.35</v>
      </c>
      <c r="C5" s="4">
        <f>Inputs!$B$29</f>
        <v>0.7</v>
      </c>
      <c r="D5" s="3" t="s">
        <v>365</v>
      </c>
      <c r="E5" s="4">
        <f>Inputs!$B$22</f>
        <v>0.35</v>
      </c>
      <c r="F5" s="3" t="s">
        <v>59</v>
      </c>
      <c r="G5" s="5">
        <f>B5*C5*E5</f>
        <v>8.5749999999999979E-2</v>
      </c>
      <c r="H5" s="3" t="s">
        <v>366</v>
      </c>
    </row>
    <row r="6" spans="1:8" x14ac:dyDescent="0.25">
      <c r="A6" s="3" t="s">
        <v>367</v>
      </c>
      <c r="B6" s="4"/>
      <c r="C6" s="4"/>
      <c r="D6" s="3" t="s">
        <v>368</v>
      </c>
      <c r="E6" s="4">
        <f>G4+G5</f>
        <v>0.14574999999999999</v>
      </c>
      <c r="F6" s="3" t="s">
        <v>362</v>
      </c>
      <c r="G6" s="5">
        <f>G4+G5</f>
        <v>0.14574999999999999</v>
      </c>
      <c r="H6" s="3" t="s">
        <v>369</v>
      </c>
    </row>
    <row r="7" spans="1:8" x14ac:dyDescent="0.25">
      <c r="A7" s="3" t="s">
        <v>370</v>
      </c>
      <c r="B7" s="4"/>
      <c r="C7" s="4"/>
      <c r="D7" s="3" t="s">
        <v>371</v>
      </c>
      <c r="E7" s="4">
        <f>Inputs!$B$30</f>
        <v>200</v>
      </c>
      <c r="F7" s="3" t="s">
        <v>119</v>
      </c>
      <c r="G7" s="5"/>
      <c r="H7" s="3" t="s">
        <v>372</v>
      </c>
    </row>
    <row r="8" spans="1:8" x14ac:dyDescent="0.25">
      <c r="A8" s="3" t="s">
        <v>373</v>
      </c>
      <c r="B8" s="4"/>
      <c r="C8" s="4"/>
      <c r="D8" s="3" t="s">
        <v>374</v>
      </c>
      <c r="E8" s="4">
        <f>Inputs!$B$32</f>
        <v>25</v>
      </c>
      <c r="F8" s="3" t="s">
        <v>100</v>
      </c>
      <c r="G8" s="5"/>
      <c r="H8" s="3" t="s">
        <v>375</v>
      </c>
    </row>
    <row r="9" spans="1:8" x14ac:dyDescent="0.25">
      <c r="A9" s="3" t="s">
        <v>376</v>
      </c>
      <c r="B9" s="4"/>
      <c r="C9" s="4"/>
      <c r="D9" s="3" t="s">
        <v>377</v>
      </c>
      <c r="E9" s="4">
        <f>Inputs!$B$31</f>
        <v>1</v>
      </c>
      <c r="F9" s="3" t="s">
        <v>100</v>
      </c>
      <c r="G9" s="5"/>
      <c r="H9" s="3" t="s">
        <v>378</v>
      </c>
    </row>
    <row r="11" spans="1:8" x14ac:dyDescent="0.25">
      <c r="A11" s="1" t="s">
        <v>379</v>
      </c>
    </row>
    <row r="12" spans="1:8" x14ac:dyDescent="0.25">
      <c r="A12" s="3" t="s">
        <v>380</v>
      </c>
      <c r="B12" s="8">
        <v>30</v>
      </c>
      <c r="C12" s="3" t="s">
        <v>381</v>
      </c>
    </row>
    <row r="13" spans="1:8" x14ac:dyDescent="0.25">
      <c r="A13" s="3" t="s">
        <v>382</v>
      </c>
      <c r="B13" s="10">
        <f>G6</f>
        <v>0.14574999999999999</v>
      </c>
      <c r="C13" s="3"/>
    </row>
    <row r="14" spans="1:8" x14ac:dyDescent="0.25">
      <c r="A14" s="3" t="s">
        <v>383</v>
      </c>
      <c r="B14" s="10">
        <f>B12*B13</f>
        <v>4.3724999999999996</v>
      </c>
      <c r="C14" s="3"/>
    </row>
  </sheetData>
  <mergeCells count="1">
    <mergeCell ref="A1:H1"/>
  </mergeCells>
  <pageMargins left="0.75" right="0.75" top="1" bottom="1" header="0.511811023622047" footer="0.511811023622047"/>
  <pageSetup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2"/>
  <sheetViews>
    <sheetView zoomScaleNormal="100" workbookViewId="0">
      <selection activeCell="A12" sqref="A12"/>
    </sheetView>
  </sheetViews>
  <sheetFormatPr baseColWidth="10" defaultColWidth="8.7109375" defaultRowHeight="15" customHeight="1" x14ac:dyDescent="0.25"/>
  <cols>
    <col min="1" max="1" width="20" customWidth="1"/>
    <col min="2" max="2" width="22" customWidth="1"/>
    <col min="3" max="3" width="14" customWidth="1"/>
    <col min="4" max="4" width="22" customWidth="1"/>
    <col min="5" max="5" width="36" customWidth="1"/>
  </cols>
  <sheetData>
    <row r="1" spans="1:5" x14ac:dyDescent="0.25">
      <c r="A1" s="19" t="s">
        <v>384</v>
      </c>
      <c r="B1" s="19"/>
      <c r="C1" s="19"/>
      <c r="D1" s="19"/>
      <c r="E1" s="19"/>
    </row>
    <row r="3" spans="1:5" x14ac:dyDescent="0.25">
      <c r="A3" s="2" t="s">
        <v>385</v>
      </c>
      <c r="B3" s="2" t="s">
        <v>386</v>
      </c>
      <c r="C3" s="2" t="s">
        <v>256</v>
      </c>
      <c r="D3" s="2" t="s">
        <v>387</v>
      </c>
      <c r="E3" s="2" t="s">
        <v>57</v>
      </c>
    </row>
    <row r="4" spans="1:5" x14ac:dyDescent="0.25">
      <c r="A4" s="3" t="s">
        <v>388</v>
      </c>
      <c r="B4" s="3" t="s">
        <v>293</v>
      </c>
      <c r="C4" s="3" t="s">
        <v>337</v>
      </c>
      <c r="D4" s="3" t="s">
        <v>389</v>
      </c>
      <c r="E4" s="3" t="s">
        <v>390</v>
      </c>
    </row>
    <row r="5" spans="1:5" x14ac:dyDescent="0.25">
      <c r="A5" s="3" t="s">
        <v>391</v>
      </c>
      <c r="B5" s="3" t="s">
        <v>294</v>
      </c>
      <c r="C5" s="3" t="s">
        <v>337</v>
      </c>
      <c r="D5" s="3" t="s">
        <v>392</v>
      </c>
      <c r="E5" s="3" t="s">
        <v>393</v>
      </c>
    </row>
    <row r="6" spans="1:5" x14ac:dyDescent="0.25">
      <c r="A6" s="3" t="s">
        <v>394</v>
      </c>
      <c r="B6" s="3" t="s">
        <v>297</v>
      </c>
      <c r="C6" s="3" t="s">
        <v>337</v>
      </c>
      <c r="D6" s="3" t="s">
        <v>395</v>
      </c>
      <c r="E6" s="3" t="s">
        <v>396</v>
      </c>
    </row>
    <row r="7" spans="1:5" x14ac:dyDescent="0.25">
      <c r="A7" s="3" t="s">
        <v>397</v>
      </c>
      <c r="B7" s="3" t="s">
        <v>339</v>
      </c>
      <c r="C7" s="3" t="s">
        <v>340</v>
      </c>
      <c r="D7" s="3" t="s">
        <v>398</v>
      </c>
      <c r="E7" s="3" t="s">
        <v>399</v>
      </c>
    </row>
    <row r="8" spans="1:5" x14ac:dyDescent="0.25">
      <c r="A8" s="3" t="s">
        <v>400</v>
      </c>
      <c r="B8" s="3" t="s">
        <v>342</v>
      </c>
      <c r="C8" s="3" t="s">
        <v>340</v>
      </c>
      <c r="D8" s="3" t="s">
        <v>401</v>
      </c>
      <c r="E8" s="3" t="s">
        <v>402</v>
      </c>
    </row>
    <row r="9" spans="1:5" x14ac:dyDescent="0.25">
      <c r="A9" s="3" t="s">
        <v>403</v>
      </c>
      <c r="B9" s="3" t="s">
        <v>308</v>
      </c>
      <c r="C9" s="3" t="s">
        <v>337</v>
      </c>
      <c r="D9" s="3" t="s">
        <v>404</v>
      </c>
      <c r="E9" s="3" t="s">
        <v>405</v>
      </c>
    </row>
    <row r="10" spans="1:5" x14ac:dyDescent="0.25">
      <c r="A10" s="3" t="s">
        <v>406</v>
      </c>
      <c r="B10" s="3" t="s">
        <v>304</v>
      </c>
      <c r="C10" s="3" t="s">
        <v>337</v>
      </c>
      <c r="D10" s="3" t="s">
        <v>407</v>
      </c>
      <c r="E10" s="3" t="s">
        <v>408</v>
      </c>
    </row>
    <row r="11" spans="1:5" x14ac:dyDescent="0.25">
      <c r="A11" s="3" t="s">
        <v>409</v>
      </c>
      <c r="B11" s="3" t="s">
        <v>300</v>
      </c>
      <c r="C11" s="3" t="s">
        <v>343</v>
      </c>
      <c r="D11" s="3" t="s">
        <v>410</v>
      </c>
      <c r="E11" s="3" t="s">
        <v>411</v>
      </c>
    </row>
    <row r="12" spans="1:5" x14ac:dyDescent="0.25">
      <c r="A12" s="3" t="s">
        <v>412</v>
      </c>
      <c r="B12" s="3" t="s">
        <v>318</v>
      </c>
      <c r="C12" s="3" t="s">
        <v>344</v>
      </c>
      <c r="D12" s="3" t="s">
        <v>413</v>
      </c>
      <c r="E12" s="3" t="s">
        <v>414</v>
      </c>
    </row>
  </sheetData>
  <mergeCells count="1">
    <mergeCell ref="A1:E1"/>
  </mergeCells>
  <pageMargins left="0.75" right="0.75" top="1" bottom="1" header="0.511811023622047" footer="0.511811023622047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zoomScaleNormal="100" workbookViewId="0"/>
  </sheetViews>
  <sheetFormatPr baseColWidth="10" defaultColWidth="8.7109375" defaultRowHeight="15" customHeight="1" x14ac:dyDescent="0.25"/>
  <cols>
    <col min="1" max="1" width="16" customWidth="1"/>
    <col min="2" max="2" width="22" customWidth="1"/>
    <col min="3" max="3" width="32" customWidth="1"/>
    <col min="4" max="4" width="20" customWidth="1"/>
    <col min="5" max="5" width="16" customWidth="1"/>
    <col min="6" max="6" width="42" customWidth="1"/>
  </cols>
  <sheetData>
    <row r="1" spans="1:6" x14ac:dyDescent="0.25">
      <c r="A1" s="19" t="s">
        <v>415</v>
      </c>
      <c r="B1" s="19"/>
      <c r="C1" s="19"/>
      <c r="D1" s="19"/>
      <c r="E1" s="19"/>
      <c r="F1" s="19"/>
    </row>
    <row r="3" spans="1:6" x14ac:dyDescent="0.25">
      <c r="A3" s="2" t="s">
        <v>416</v>
      </c>
      <c r="B3" s="2" t="s">
        <v>417</v>
      </c>
      <c r="C3" s="2" t="s">
        <v>418</v>
      </c>
      <c r="D3" s="2" t="s">
        <v>419</v>
      </c>
      <c r="E3" s="2" t="s">
        <v>420</v>
      </c>
      <c r="F3" s="2" t="s">
        <v>421</v>
      </c>
    </row>
    <row r="4" spans="1:6" x14ac:dyDescent="0.25">
      <c r="A4" s="3" t="s">
        <v>422</v>
      </c>
      <c r="B4" s="3" t="s">
        <v>423</v>
      </c>
      <c r="C4" s="3" t="s">
        <v>424</v>
      </c>
      <c r="D4" s="3" t="s">
        <v>425</v>
      </c>
      <c r="E4" s="3" t="s">
        <v>426</v>
      </c>
      <c r="F4" s="3" t="s">
        <v>427</v>
      </c>
    </row>
    <row r="5" spans="1:6" x14ac:dyDescent="0.25">
      <c r="A5" s="3" t="s">
        <v>428</v>
      </c>
      <c r="B5" s="3" t="s">
        <v>429</v>
      </c>
      <c r="C5" s="3" t="s">
        <v>430</v>
      </c>
      <c r="D5" s="3" t="s">
        <v>431</v>
      </c>
      <c r="E5" s="3" t="s">
        <v>426</v>
      </c>
      <c r="F5" s="3" t="s">
        <v>432</v>
      </c>
    </row>
    <row r="6" spans="1:6" x14ac:dyDescent="0.25">
      <c r="A6" s="3" t="s">
        <v>433</v>
      </c>
      <c r="B6" s="3" t="s">
        <v>434</v>
      </c>
      <c r="C6" s="3" t="s">
        <v>435</v>
      </c>
      <c r="D6" s="3" t="s">
        <v>436</v>
      </c>
      <c r="E6" s="3" t="s">
        <v>437</v>
      </c>
      <c r="F6" s="3" t="s">
        <v>438</v>
      </c>
    </row>
    <row r="7" spans="1:6" x14ac:dyDescent="0.25">
      <c r="A7" s="3" t="s">
        <v>439</v>
      </c>
      <c r="B7" s="3" t="s">
        <v>440</v>
      </c>
      <c r="C7" s="3" t="s">
        <v>430</v>
      </c>
      <c r="D7" s="3" t="s">
        <v>441</v>
      </c>
      <c r="E7" s="3" t="s">
        <v>437</v>
      </c>
      <c r="F7" s="3" t="s">
        <v>442</v>
      </c>
    </row>
    <row r="8" spans="1:6" x14ac:dyDescent="0.25">
      <c r="A8" s="3" t="s">
        <v>443</v>
      </c>
      <c r="B8" s="3" t="s">
        <v>444</v>
      </c>
      <c r="C8" s="3" t="s">
        <v>435</v>
      </c>
      <c r="D8" s="3" t="s">
        <v>445</v>
      </c>
      <c r="E8" s="3" t="s">
        <v>446</v>
      </c>
      <c r="F8" s="3" t="s">
        <v>447</v>
      </c>
    </row>
    <row r="9" spans="1:6" x14ac:dyDescent="0.25">
      <c r="A9" s="21" t="s">
        <v>448</v>
      </c>
      <c r="B9" s="21"/>
      <c r="C9" s="21"/>
      <c r="D9" s="21"/>
      <c r="E9" s="21"/>
      <c r="F9" s="21"/>
    </row>
  </sheetData>
  <mergeCells count="2">
    <mergeCell ref="A1:F1"/>
    <mergeCell ref="A9:F9"/>
  </mergeCells>
  <pageMargins left="0.75" right="0.75" top="1" bottom="1" header="0.511811023622047" footer="0.511811023622047"/>
  <pageSetup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4"/>
  <sheetViews>
    <sheetView zoomScaleNormal="100" workbookViewId="0"/>
  </sheetViews>
  <sheetFormatPr baseColWidth="10" defaultColWidth="8.7109375" defaultRowHeight="15" customHeight="1" x14ac:dyDescent="0.25"/>
  <cols>
    <col min="1" max="1" width="34" customWidth="1"/>
    <col min="2" max="2" width="26" customWidth="1"/>
    <col min="3" max="3" width="16" customWidth="1"/>
    <col min="4" max="4" width="10" customWidth="1"/>
    <col min="5" max="5" width="14" customWidth="1"/>
    <col min="6" max="6" width="12" customWidth="1"/>
    <col min="7" max="7" width="28" customWidth="1"/>
  </cols>
  <sheetData>
    <row r="1" spans="1:7" x14ac:dyDescent="0.25">
      <c r="A1" s="19" t="s">
        <v>449</v>
      </c>
      <c r="B1" s="19"/>
      <c r="C1" s="19"/>
      <c r="D1" s="19"/>
      <c r="E1" s="19"/>
      <c r="F1" s="19"/>
      <c r="G1" s="19"/>
    </row>
    <row r="3" spans="1:7" x14ac:dyDescent="0.25">
      <c r="A3" s="2" t="s">
        <v>450</v>
      </c>
      <c r="B3" s="2" t="s">
        <v>451</v>
      </c>
      <c r="C3" s="2" t="s">
        <v>55</v>
      </c>
      <c r="D3" s="2" t="s">
        <v>56</v>
      </c>
      <c r="E3" s="2" t="s">
        <v>452</v>
      </c>
      <c r="F3" s="2" t="s">
        <v>453</v>
      </c>
      <c r="G3" s="2" t="s">
        <v>421</v>
      </c>
    </row>
    <row r="4" spans="1:7" x14ac:dyDescent="0.25">
      <c r="A4" s="3" t="s">
        <v>454</v>
      </c>
      <c r="B4" s="3" t="s">
        <v>455</v>
      </c>
      <c r="C4" s="10">
        <f>IFERROR(INDEX(Elements_hybrides!$Q$4:$Q$204,MATCH("E02",Elements_hybrides!$A$4:$A$204,0)),"")</f>
        <v>0</v>
      </c>
      <c r="D4" s="3" t="s">
        <v>456</v>
      </c>
      <c r="E4" s="3"/>
      <c r="F4" s="3"/>
      <c r="G4" s="3"/>
    </row>
    <row r="5" spans="1:7" x14ac:dyDescent="0.25">
      <c r="A5" s="3" t="s">
        <v>457</v>
      </c>
      <c r="B5" s="3" t="s">
        <v>458</v>
      </c>
      <c r="C5" s="10">
        <f>(1/Inputs!$B$9)*(PI()*(Inputs!$B$30/1000)^2/4)*(((Inputs!$B$30/1000)/4)^(2/3))*SQRT(Inputs!$B$33)</f>
        <v>1.3620200613751689E-2</v>
      </c>
      <c r="D5" s="3" t="s">
        <v>456</v>
      </c>
      <c r="E5" s="3"/>
      <c r="F5" s="3"/>
      <c r="G5" s="3"/>
    </row>
    <row r="6" spans="1:7" x14ac:dyDescent="0.25">
      <c r="A6" s="3" t="s">
        <v>459</v>
      </c>
      <c r="B6" s="3" t="s">
        <v>458</v>
      </c>
      <c r="C6" s="10">
        <f>(1/Inputs!$B$9)*(PI()*(0.25)^2/4)*((0.25/4)^(2/3))*SQRT(Inputs!$B$33)</f>
        <v>2.4695066828263966E-2</v>
      </c>
      <c r="D6" s="3" t="s">
        <v>456</v>
      </c>
      <c r="E6" s="3"/>
      <c r="F6" s="3"/>
      <c r="G6" s="3"/>
    </row>
    <row r="7" spans="1:7" x14ac:dyDescent="0.25">
      <c r="A7" s="3" t="s">
        <v>460</v>
      </c>
      <c r="B7" s="3" t="s">
        <v>458</v>
      </c>
      <c r="C7" s="10">
        <f>(1/Inputs!$B$9)*(PI()*(0.3)^2/4)*((0.3/4)^(2/3))*SQRT(Inputs!$B$33)</f>
        <v>4.0156901489124514E-2</v>
      </c>
      <c r="D7" s="3" t="s">
        <v>456</v>
      </c>
      <c r="E7" s="3"/>
      <c r="F7" s="3"/>
      <c r="G7" s="3"/>
    </row>
    <row r="8" spans="1:7" x14ac:dyDescent="0.25">
      <c r="A8" s="3" t="s">
        <v>461</v>
      </c>
      <c r="B8" s="3" t="s">
        <v>462</v>
      </c>
      <c r="C8" s="15">
        <f>IF(C4="","",IF(C4/Inputs!$B$19&lt;=C5,200,IF(C4/Inputs!$B$19&lt;=C6,250,IF(C4/Inputs!$B$19&lt;=C7,300,375))))</f>
        <v>200</v>
      </c>
      <c r="D8" s="3" t="s">
        <v>119</v>
      </c>
      <c r="E8" s="3"/>
      <c r="F8" s="3"/>
      <c r="G8" s="3"/>
    </row>
    <row r="9" spans="1:7" x14ac:dyDescent="0.25">
      <c r="A9" s="3"/>
      <c r="B9" s="3"/>
      <c r="C9" s="10"/>
      <c r="D9" s="3"/>
      <c r="E9" s="3"/>
      <c r="F9" s="3"/>
      <c r="G9" s="3"/>
    </row>
    <row r="10" spans="1:7" x14ac:dyDescent="0.25">
      <c r="A10" s="3" t="s">
        <v>463</v>
      </c>
      <c r="B10" s="3" t="s">
        <v>464</v>
      </c>
      <c r="C10" s="10">
        <f>IFERROR(Template_est_2p5m!$G$6,"")</f>
        <v>0.14574999999999999</v>
      </c>
      <c r="D10" s="3" t="s">
        <v>362</v>
      </c>
      <c r="E10" s="3"/>
      <c r="F10" s="3"/>
      <c r="G10" s="3"/>
    </row>
    <row r="11" spans="1:7" x14ac:dyDescent="0.25">
      <c r="A11" s="3" t="s">
        <v>465</v>
      </c>
      <c r="B11" s="3" t="s">
        <v>466</v>
      </c>
      <c r="C11" s="10">
        <f>IFERROR(INDEX(Elements_hybrides!$F$4:$F$204,MATCH("E01",Elements_hybrides!$A$4:$A$204,0)),0)+IFERROR(INDEX(Elements_hybrides!$F$4:$F$204,MATCH("E02",Elements_hybrides!$A$4:$A$204,0)),0)</f>
        <v>18.299999999999997</v>
      </c>
      <c r="D11" s="3" t="s">
        <v>100</v>
      </c>
      <c r="E11" s="3"/>
      <c r="F11" s="3"/>
      <c r="G11" s="3"/>
    </row>
    <row r="12" spans="1:7" x14ac:dyDescent="0.25">
      <c r="A12" s="3" t="s">
        <v>467</v>
      </c>
      <c r="B12" s="3" t="s">
        <v>468</v>
      </c>
      <c r="C12" s="10">
        <f>IF(OR(C10="",C11=""),"",C10*C11)</f>
        <v>2.6672249999999993</v>
      </c>
      <c r="D12" s="3" t="s">
        <v>469</v>
      </c>
      <c r="E12" s="3"/>
      <c r="F12" s="3"/>
      <c r="G12" s="3"/>
    </row>
    <row r="13" spans="1:7" x14ac:dyDescent="0.25">
      <c r="A13" s="3" t="s">
        <v>470</v>
      </c>
      <c r="B13" s="3" t="s">
        <v>471</v>
      </c>
      <c r="C13" s="10">
        <f>IF(C4="","",C4*Inputs!$B$23*60)</f>
        <v>0</v>
      </c>
      <c r="D13" s="3" t="s">
        <v>469</v>
      </c>
      <c r="E13" s="3"/>
      <c r="F13" s="3"/>
      <c r="G13" s="3"/>
    </row>
    <row r="14" spans="1:7" x14ac:dyDescent="0.25">
      <c r="A14" s="3" t="s">
        <v>472</v>
      </c>
      <c r="B14" s="3" t="s">
        <v>473</v>
      </c>
      <c r="C14" s="15" t="str">
        <f>IF(OR(C12="",C13=""),"",IF(C12&gt;=C13,"OK","AUGMENTER VOLUME"))</f>
        <v>OK</v>
      </c>
      <c r="D14" s="3" t="s">
        <v>59</v>
      </c>
      <c r="E14" s="3"/>
      <c r="F14" s="3"/>
      <c r="G14" s="3"/>
    </row>
  </sheetData>
  <mergeCells count="1">
    <mergeCell ref="A1:G1"/>
  </mergeCells>
  <pageMargins left="0.75" right="0.75" top="1" bottom="1" header="0.511811023622047" footer="0.511811023622047"/>
  <pageSetup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37"/>
  <sheetViews>
    <sheetView zoomScaleNormal="100" workbookViewId="0">
      <selection activeCell="B21" sqref="B21"/>
    </sheetView>
  </sheetViews>
  <sheetFormatPr baseColWidth="10" defaultColWidth="8.7109375" defaultRowHeight="15" customHeight="1" x14ac:dyDescent="0.25"/>
  <cols>
    <col min="1" max="1" width="44" customWidth="1"/>
    <col min="2" max="2" width="20" customWidth="1"/>
    <col min="3" max="3" width="34" customWidth="1"/>
    <col min="4" max="4" width="2" customWidth="1"/>
    <col min="5" max="5" width="10" customWidth="1"/>
    <col min="6" max="6" width="12" customWidth="1"/>
    <col min="7" max="7" width="14" customWidth="1"/>
    <col min="8" max="8" width="12" customWidth="1"/>
  </cols>
  <sheetData>
    <row r="1" spans="1:8" x14ac:dyDescent="0.25">
      <c r="A1" s="19" t="s">
        <v>474</v>
      </c>
      <c r="B1" s="19"/>
      <c r="C1" s="19"/>
      <c r="D1" s="19"/>
      <c r="E1" s="19"/>
      <c r="F1" s="19"/>
      <c r="G1" s="19"/>
      <c r="H1" s="19"/>
    </row>
    <row r="3" spans="1:8" x14ac:dyDescent="0.25">
      <c r="A3" s="23" t="s">
        <v>475</v>
      </c>
      <c r="B3" s="23"/>
      <c r="C3" s="23"/>
      <c r="D3" s="23"/>
      <c r="E3" s="23"/>
      <c r="F3" s="23"/>
      <c r="G3" s="23"/>
      <c r="H3" s="23"/>
    </row>
    <row r="4" spans="1:8" x14ac:dyDescent="0.25">
      <c r="A4" s="22" t="s">
        <v>476</v>
      </c>
      <c r="B4" s="22"/>
      <c r="C4" s="22"/>
      <c r="D4" s="22"/>
      <c r="E4" s="22"/>
      <c r="F4" s="22"/>
      <c r="G4" s="22"/>
      <c r="H4" s="22"/>
    </row>
    <row r="5" spans="1:8" x14ac:dyDescent="0.25">
      <c r="A5" s="22" t="s">
        <v>477</v>
      </c>
      <c r="B5" s="22"/>
      <c r="C5" s="22"/>
      <c r="D5" s="22"/>
      <c r="E5" s="22"/>
      <c r="F5" s="22"/>
      <c r="G5" s="22"/>
      <c r="H5" s="22"/>
    </row>
    <row r="6" spans="1:8" x14ac:dyDescent="0.25">
      <c r="A6" s="22" t="s">
        <v>478</v>
      </c>
      <c r="B6" s="22"/>
      <c r="C6" s="22"/>
      <c r="D6" s="22"/>
      <c r="E6" s="22"/>
      <c r="F6" s="22"/>
      <c r="G6" s="22"/>
      <c r="H6" s="22"/>
    </row>
    <row r="7" spans="1:8" x14ac:dyDescent="0.25">
      <c r="A7" s="22" t="s">
        <v>479</v>
      </c>
      <c r="B7" s="22"/>
      <c r="C7" s="22"/>
      <c r="D7" s="22"/>
      <c r="E7" s="22"/>
      <c r="F7" s="22"/>
      <c r="G7" s="22"/>
      <c r="H7" s="22"/>
    </row>
    <row r="9" spans="1:8" x14ac:dyDescent="0.25">
      <c r="A9" s="23" t="s">
        <v>480</v>
      </c>
      <c r="B9" s="23"/>
      <c r="C9" s="23"/>
      <c r="D9" s="23"/>
      <c r="E9" s="23"/>
      <c r="F9" s="23"/>
      <c r="G9" s="23"/>
      <c r="H9" s="23"/>
    </row>
    <row r="10" spans="1:8" x14ac:dyDescent="0.25">
      <c r="A10" s="2" t="s">
        <v>481</v>
      </c>
      <c r="B10" s="2" t="s">
        <v>482</v>
      </c>
      <c r="C10" s="2" t="s">
        <v>483</v>
      </c>
      <c r="E10" s="2" t="s">
        <v>484</v>
      </c>
      <c r="F10" s="2" t="s">
        <v>256</v>
      </c>
      <c r="G10" s="2" t="s">
        <v>485</v>
      </c>
      <c r="H10" s="2" t="s">
        <v>281</v>
      </c>
    </row>
    <row r="11" spans="1:8" x14ac:dyDescent="0.25">
      <c r="A11" s="3" t="s">
        <v>486</v>
      </c>
      <c r="B11" s="5">
        <f>Inputs!B24</f>
        <v>2.5</v>
      </c>
      <c r="C11" s="3" t="s">
        <v>487</v>
      </c>
      <c r="E11" s="3" t="s">
        <v>214</v>
      </c>
      <c r="F11" s="3" t="str">
        <f>IFERROR(INDEX(Elements_hybrides!$B$4:$B$204,MATCH(E11,Elements_hybrides!$A$4:$A$204,0)),"")</f>
        <v>TRENCH</v>
      </c>
      <c r="G11" s="16">
        <f>IFERROR(INDEX(Elements_hybrides!$Q$4:$Q$204,MATCH(E11,Elements_hybrides!$A$4:$A$204,0)),"")</f>
        <v>0</v>
      </c>
      <c r="H11" s="3" t="str">
        <f>IFERROR(INDEX(Elements_hybrides!$AA$4:$AA$204,MATCH(E11,Elements_hybrides!$A$4:$A$204,0)),"")</f>
        <v>OK</v>
      </c>
    </row>
    <row r="12" spans="1:8" x14ac:dyDescent="0.25">
      <c r="A12" s="3" t="s">
        <v>488</v>
      </c>
      <c r="B12" s="5" t="str">
        <f>Inputs!B28&amp;" x "&amp;Inputs!B29</f>
        <v>0.35 x 0.7</v>
      </c>
      <c r="C12" s="3" t="s">
        <v>489</v>
      </c>
      <c r="E12" s="3" t="s">
        <v>295</v>
      </c>
      <c r="F12" s="3" t="str">
        <f>IFERROR(INDEX(Elements_hybrides!$B$4:$B$204,MATCH(E12,Elements_hybrides!$A$4:$A$204,0)),"")</f>
        <v>TRENCH</v>
      </c>
      <c r="G12" s="16">
        <f>IFERROR(INDEX(Elements_hybrides!$Q$4:$Q$204,MATCH(E12,Elements_hybrides!$A$4:$A$204,0)),"")</f>
        <v>0</v>
      </c>
      <c r="H12" s="3" t="str">
        <f>IFERROR(INDEX(Elements_hybrides!$AA$4:$AA$204,MATCH(E12,Elements_hybrides!$A$4:$A$204,0)),"")</f>
        <v>OK</v>
      </c>
    </row>
    <row r="13" spans="1:8" x14ac:dyDescent="0.25">
      <c r="A13" s="3" t="s">
        <v>490</v>
      </c>
      <c r="B13" s="5">
        <f>Inputs!B30</f>
        <v>200</v>
      </c>
      <c r="C13" s="3" t="s">
        <v>491</v>
      </c>
      <c r="E13" s="3" t="s">
        <v>204</v>
      </c>
      <c r="F13" s="3" t="str">
        <f>IFERROR(INDEX(Elements_hybrides!$B$4:$B$204,MATCH(E13,Elements_hybrides!$A$4:$A$204,0)),"")</f>
        <v>PIPE</v>
      </c>
      <c r="G13" s="16">
        <f>IFERROR(INDEX(Elements_hybrides!$Q$4:$Q$204,MATCH(E13,Elements_hybrides!$A$4:$A$204,0)),"")</f>
        <v>3.1844307974102015E-3</v>
      </c>
      <c r="H13" s="3" t="str">
        <f>IFERROR(INDEX(Elements_hybrides!$AA$4:$AA$204,MATCH(E13,Elements_hybrides!$A$4:$A$204,0)),"")</f>
        <v>OK</v>
      </c>
    </row>
    <row r="14" spans="1:8" x14ac:dyDescent="0.25">
      <c r="A14" s="3" t="s">
        <v>492</v>
      </c>
      <c r="B14" s="5">
        <f>Inputs!B53</f>
        <v>4.7</v>
      </c>
      <c r="C14" s="3" t="s">
        <v>493</v>
      </c>
      <c r="D14" s="3"/>
      <c r="E14" s="3" t="s">
        <v>303</v>
      </c>
      <c r="F14" s="3" t="str">
        <f>IFERROR(INDEX(Elements_hybrides!$B$4:$B$204,MATCH(E14,Elements_hybrides!$A$4:$A$204,0)),"")</f>
        <v>PIPE</v>
      </c>
      <c r="G14" s="16">
        <f>IFERROR(INDEX(Elements_hybrides!$Q$4:$Q$204,MATCH(E14,Elements_hybrides!$A$4:$A$204,0)),"")</f>
        <v>2.4855381124332027E-3</v>
      </c>
      <c r="H14" s="3" t="str">
        <f>IFERROR(INDEX(Elements_hybrides!$AA$4:$AA$204,MATCH(E14,Elements_hybrides!$A$4:$A$204,0)),"")</f>
        <v>OK</v>
      </c>
    </row>
    <row r="15" spans="1:8" x14ac:dyDescent="0.25">
      <c r="A15" s="3" t="s">
        <v>494</v>
      </c>
      <c r="B15" s="5" t="str">
        <f>Inputs!B34&amp;" x "&amp;Inputs!B35</f>
        <v>2 x 20</v>
      </c>
      <c r="C15" s="3" t="s">
        <v>495</v>
      </c>
      <c r="D15" s="3"/>
      <c r="E15" s="3"/>
      <c r="F15" s="17" t="s">
        <v>496</v>
      </c>
      <c r="G15" s="16"/>
      <c r="H15" s="3" t="s">
        <v>497</v>
      </c>
    </row>
    <row r="16" spans="1:8" x14ac:dyDescent="0.25">
      <c r="A16" s="3" t="s">
        <v>498</v>
      </c>
      <c r="B16" s="10">
        <f>IFERROR(INDEX(Elements_hybrides!$F$4:$F$204,MATCH("E07",Elements_hybrides!$A$4:$A$204,0)),"")</f>
        <v>1</v>
      </c>
      <c r="C16" s="3" t="s">
        <v>499</v>
      </c>
      <c r="D16" s="3"/>
      <c r="E16" s="3" t="s">
        <v>301</v>
      </c>
      <c r="F16" s="3" t="str">
        <f>IFERROR(INDEX(Elements_hybrides!$B$4:$B$204,MATCH(E16,Elements_hybrides!$A$4:$A$204,0)),"")</f>
        <v>PIPE</v>
      </c>
      <c r="G16" s="16">
        <f>IFERROR(INDEX(Elements_hybrides!$Q$4:$Q$204,MATCH(E16,Elements_hybrides!$A$4:$A$204,0)),"")</f>
        <v>3.502873877151222E-3</v>
      </c>
      <c r="H16" s="3" t="str">
        <f>IFERROR(INDEX(Elements_hybrides!$AA$4:$AA$204,MATCH(E16,Elements_hybrides!$A$4:$A$204,0)),"")</f>
        <v>OK</v>
      </c>
    </row>
    <row r="17" spans="1:8" x14ac:dyDescent="0.25">
      <c r="A17" s="3" t="s">
        <v>500</v>
      </c>
      <c r="B17" s="16">
        <f>IFERROR(INDEX(Elements_hybrides!$F$4:$F$204,MATCH("E08",Elements_hybrides!$A$4:$A$204,0)),"")</f>
        <v>16.489999999999998</v>
      </c>
      <c r="C17" s="3" t="s">
        <v>501</v>
      </c>
      <c r="D17" s="3"/>
      <c r="E17" s="3" t="s">
        <v>306</v>
      </c>
      <c r="F17" s="3" t="str">
        <f>IFERROR(INDEX(Elements_hybrides!$B$4:$B$204,MATCH(E17,Elements_hybrides!$A$4:$A$204,0)),"")</f>
        <v>PIPE</v>
      </c>
      <c r="G17" s="16">
        <f>IFERROR(INDEX(Elements_hybrides!$Q$4:$Q$204,MATCH(E17,Elements_hybrides!$A$4:$A$204,0)),"")</f>
        <v>2.7340919236765234E-3</v>
      </c>
      <c r="H17" s="3" t="str">
        <f>IFERROR(INDEX(Elements_hybrides!$AA$4:$AA$204,MATCH(E17,Elements_hybrides!$A$4:$A$204,0)),"")</f>
        <v>OK</v>
      </c>
    </row>
    <row r="19" spans="1:8" x14ac:dyDescent="0.25">
      <c r="A19" s="23" t="s">
        <v>502</v>
      </c>
      <c r="B19" s="23"/>
      <c r="C19" s="23"/>
      <c r="D19" s="23"/>
      <c r="E19" s="23"/>
      <c r="F19" s="23"/>
      <c r="G19" s="23"/>
      <c r="H19" s="23"/>
    </row>
    <row r="20" spans="1:8" x14ac:dyDescent="0.25">
      <c r="A20" s="2" t="s">
        <v>503</v>
      </c>
      <c r="B20" s="2" t="s">
        <v>482</v>
      </c>
    </row>
    <row r="21" spans="1:8" x14ac:dyDescent="0.25">
      <c r="A21" s="3" t="s">
        <v>504</v>
      </c>
      <c r="B21" s="10">
        <f>Resume_checks!B3</f>
        <v>1</v>
      </c>
    </row>
    <row r="22" spans="1:8" x14ac:dyDescent="0.25">
      <c r="A22" s="3" t="s">
        <v>505</v>
      </c>
      <c r="B22" s="10">
        <f>Resume_checks!B4</f>
        <v>6</v>
      </c>
    </row>
    <row r="23" spans="1:8" x14ac:dyDescent="0.25">
      <c r="A23" s="3" t="s">
        <v>506</v>
      </c>
      <c r="B23" s="10" t="str">
        <f>Resume_checks!B5</f>
        <v>CHECK</v>
      </c>
    </row>
    <row r="24" spans="1:8" x14ac:dyDescent="0.25">
      <c r="A24" s="3" t="s">
        <v>507</v>
      </c>
      <c r="B24" s="10">
        <f>Resume_checks!B7</f>
        <v>4.5471510437311971E-2</v>
      </c>
    </row>
    <row r="25" spans="1:8" x14ac:dyDescent="0.25">
      <c r="A25" s="3" t="s">
        <v>508</v>
      </c>
      <c r="B25" s="10">
        <f>Resume_checks!B8</f>
        <v>1.5692249999999994</v>
      </c>
    </row>
    <row r="26" spans="1:8" x14ac:dyDescent="0.25">
      <c r="A26" s="3" t="s">
        <v>509</v>
      </c>
      <c r="B26" s="10" t="str">
        <f>Resume_checks!B9</f>
        <v/>
      </c>
    </row>
    <row r="28" spans="1:8" x14ac:dyDescent="0.25">
      <c r="A28" s="23" t="s">
        <v>510</v>
      </c>
      <c r="B28" s="23"/>
      <c r="C28" s="23"/>
      <c r="D28" s="23"/>
      <c r="E28" s="23"/>
      <c r="F28" s="23"/>
      <c r="G28" s="23"/>
      <c r="H28" s="23"/>
    </row>
    <row r="29" spans="1:8" x14ac:dyDescent="0.25">
      <c r="A29" s="22" t="s">
        <v>511</v>
      </c>
      <c r="B29" s="22"/>
      <c r="C29" s="22"/>
      <c r="D29" s="22"/>
      <c r="E29" s="22"/>
      <c r="F29" s="22"/>
      <c r="G29" s="22"/>
      <c r="H29" s="22"/>
    </row>
    <row r="30" spans="1:8" x14ac:dyDescent="0.25">
      <c r="A30" s="22" t="s">
        <v>512</v>
      </c>
      <c r="B30" s="22"/>
      <c r="C30" s="22"/>
      <c r="D30" s="22"/>
      <c r="E30" s="22"/>
      <c r="F30" s="22"/>
      <c r="G30" s="22"/>
      <c r="H30" s="22"/>
    </row>
    <row r="31" spans="1:8" x14ac:dyDescent="0.25">
      <c r="A31" s="22" t="s">
        <v>513</v>
      </c>
      <c r="B31" s="22"/>
      <c r="C31" s="22"/>
      <c r="D31" s="22"/>
      <c r="E31" s="22"/>
      <c r="F31" s="22"/>
      <c r="G31" s="22"/>
      <c r="H31" s="22"/>
    </row>
    <row r="32" spans="1:8" x14ac:dyDescent="0.25">
      <c r="A32" s="22" t="s">
        <v>514</v>
      </c>
      <c r="B32" s="22"/>
      <c r="C32" s="22"/>
      <c r="D32" s="22"/>
      <c r="E32" s="22"/>
      <c r="F32" s="22"/>
      <c r="G32" s="22"/>
      <c r="H32" s="22"/>
    </row>
    <row r="34" spans="1:4" x14ac:dyDescent="0.25">
      <c r="A34" s="13" t="s">
        <v>515</v>
      </c>
      <c r="B34" s="3"/>
      <c r="C34" s="3"/>
      <c r="D34" s="3"/>
    </row>
    <row r="35" spans="1:4" x14ac:dyDescent="0.25">
      <c r="A35" s="3" t="s">
        <v>516</v>
      </c>
      <c r="B35" s="14">
        <f>Resume_checks!B10</f>
        <v>1553.3999999999999</v>
      </c>
      <c r="C35" s="3" t="s">
        <v>517</v>
      </c>
      <c r="D35" s="3"/>
    </row>
    <row r="36" spans="1:4" x14ac:dyDescent="0.25">
      <c r="A36" s="3" t="s">
        <v>518</v>
      </c>
      <c r="B36" s="14">
        <f>Resume_checks!B11</f>
        <v>534.4</v>
      </c>
      <c r="C36" s="3" t="s">
        <v>519</v>
      </c>
      <c r="D36" s="3"/>
    </row>
    <row r="37" spans="1:4" x14ac:dyDescent="0.25">
      <c r="A37" s="3" t="s">
        <v>520</v>
      </c>
      <c r="B37" s="14">
        <f>Resume_checks!B12</f>
        <v>0.74403678513267557</v>
      </c>
      <c r="C37" s="3" t="s">
        <v>521</v>
      </c>
      <c r="D37" s="3"/>
    </row>
  </sheetData>
  <mergeCells count="13">
    <mergeCell ref="A1:H1"/>
    <mergeCell ref="A3:H3"/>
    <mergeCell ref="A4:H4"/>
    <mergeCell ref="A5:H5"/>
    <mergeCell ref="A6:H6"/>
    <mergeCell ref="A30:H30"/>
    <mergeCell ref="A31:H31"/>
    <mergeCell ref="A32:H32"/>
    <mergeCell ref="A7:H7"/>
    <mergeCell ref="A9:H9"/>
    <mergeCell ref="A19:H19"/>
    <mergeCell ref="A28:H28"/>
    <mergeCell ref="A29:H29"/>
  </mergeCells>
  <conditionalFormatting sqref="B21:B26">
    <cfRule type="expression" dxfId="1" priority="3">
      <formula>OR(AND($A21="Elements CHECK count",$B21&gt;0),AND($A22="Nodes CHECK count",$B22&gt;0),AND($A23="Global status",$B23="CHECK"))</formula>
    </cfRule>
  </conditionalFormatting>
  <conditionalFormatting sqref="H11:H17">
    <cfRule type="expression" dxfId="0" priority="2">
      <formula>$H11="CHECK"</formula>
    </cfRule>
  </conditionalFormatting>
  <pageMargins left="0.75" right="0.75" top="1" bottom="1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Guide</vt:lpstr>
      <vt:lpstr>Inputs</vt:lpstr>
      <vt:lpstr>Zones_tributaires</vt:lpstr>
      <vt:lpstr>Elements_hybrides</vt:lpstr>
      <vt:lpstr>Noeuds_stockage</vt:lpstr>
      <vt:lpstr>Resume_checks</vt:lpstr>
      <vt:lpstr>Template_est_2p5m</vt:lpstr>
      <vt:lpstr>Convention_labels</vt:lpstr>
      <vt:lpstr>Contraintes_ouest_utilites</vt:lpstr>
      <vt:lpstr>Dimensionnement_est</vt:lpstr>
      <vt:lpstr>Decision_Summary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Fernando Davila</cp:lastModifiedBy>
  <cp:revision>1</cp:revision>
  <dcterms:created xsi:type="dcterms:W3CDTF">2026-07-02T02:27:31Z</dcterms:created>
  <dcterms:modified xsi:type="dcterms:W3CDTF">2026-08-10T19:57:48Z</dcterms:modified>
  <dc:language>en-CA</dc:language>
</cp:coreProperties>
</file>