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21" t="n"/>
      <c r="C32" s="21" t="n"/>
      <c r="D32" s="21" t="n"/>
      <c r="E32" s="21" t="n"/>
      <c r="F32" s="21" t="n"/>
      <c r="G32" s="21" t="n"/>
      <c r="H32" s="22" t="n"/>
    </row>
    <row r="33">
      <c r="A33" s="17" t="inlineStr">
        <is>
          <t>Source: Reglement no 2098 - branchements a l egout (document municipal public).</t>
        </is>
      </c>
      <c r="B33" s="21" t="n"/>
      <c r="C33" s="21" t="n"/>
      <c r="D33" s="21" t="n"/>
      <c r="E33" s="21" t="n"/>
      <c r="F33" s="21" t="n"/>
      <c r="G33" s="21" t="n"/>
      <c r="H33" s="22" t="n"/>
    </row>
    <row r="34">
      <c r="A34" s="18" t="inlineStr">
        <is>
          <t>Art. 14 (branchement gravitaire): couverture minimale de 2,15 m sous le terrain fini a l emprise de rue.</t>
        </is>
      </c>
      <c r="B34" s="21" t="n"/>
      <c r="C34" s="21" t="n"/>
      <c r="D34" s="21" t="n"/>
      <c r="E34" s="21" t="n"/>
      <c r="F34" s="21" t="n"/>
      <c r="G34" s="21" t="n"/>
      <c r="H34" s="22" t="n"/>
    </row>
    <row r="35">
      <c r="A35" s="19" t="inlineStr">
        <is>
          <t>Art. 10: le proprietaire doit demander a la Ville la profondeur et la localisation exactes de la canalisation municipale.</t>
        </is>
      </c>
      <c r="B35" s="21" t="n"/>
      <c r="C35" s="21" t="n"/>
      <c r="D35" s="21" t="n"/>
      <c r="E35" s="21" t="n"/>
      <c r="F35" s="21" t="n"/>
      <c r="G35" s="21" t="n"/>
      <c r="H35" s="22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21" t="n"/>
      <c r="C36" s="21" t="n"/>
      <c r="D36" s="21" t="n"/>
      <c r="E36" s="21" t="n"/>
      <c r="F36" s="21" t="n"/>
      <c r="G36" s="21" t="n"/>
      <c r="H36" s="22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21" t="n"/>
      <c r="C37" s="21" t="n"/>
      <c r="D37" s="21" t="n"/>
      <c r="E37" s="21" t="n"/>
      <c r="F37" s="21" t="n"/>
      <c r="G37" s="21" t="n"/>
      <c r="H37" s="22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21" t="n"/>
      <c r="C39" s="21" t="n"/>
      <c r="D39" s="21" t="n"/>
      <c r="E39" s="21" t="n"/>
      <c r="F39" s="21" t="n"/>
      <c r="G39" s="21" t="n"/>
      <c r="H39" s="22" t="n"/>
    </row>
    <row r="40">
      <c r="A40" t="inlineStr">
        <is>
          <t>Velocity criteria update: two velocities are now calculated in both conduites tabs.</t>
        </is>
      </c>
    </row>
    <row r="41">
      <c r="A41" t="inlineStr">
        <is>
          <t>Velocity_design_QA_mps = Q/A and Velocity_manning_full_mps = (1/n)*(R^(2/3))*sqrt(S).</t>
        </is>
      </c>
    </row>
    <row r="42">
      <c r="A42" t="inlineStr">
        <is>
          <t>Select compliance criterion with Inputs!B24: DESIGN, MANNING, or MAX (conservative).</t>
        </is>
      </c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  <row r="24">
      <c r="A24" s="4" t="inlineStr">
        <is>
          <t>Velocity_check_method (DESIGN / MANNING / MAX)</t>
        </is>
      </c>
      <c r="B24" s="5" t="inlineStr">
        <is>
          <t>MAX</t>
        </is>
      </c>
      <c r="C24" s="4" t="inlineStr">
        <is>
          <t>-</t>
        </is>
      </c>
      <c r="D24" s="4" t="inlineStr">
        <is>
          <t>DESIGN=Q/A; MANNING=V full via Manning; MAX=most conservative of both.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  <col width="18" customWidth="1" min="46" max="46"/>
    <col width="17" customWidth="1" min="47" max="47"/>
    <col width="19" customWidth="1" min="48" max="48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Velocity_design_QA_mps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  <c r="AT3" s="12" t="inlineStr">
        <is>
          <t>Velocity_design_QA_mps_copy</t>
        </is>
      </c>
      <c r="AU3" s="12" t="inlineStr">
        <is>
          <t>Velocity_manning_full_mps</t>
        </is>
      </c>
      <c r="AV3" s="12" t="inlineStr">
        <is>
          <t>Velocity_used_for_check_mps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IF(A4="","",2.78E-7*IF(G4="",Inputs!$B$17,G4)*F4*I4)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IF(A4="","",IF(OR(T4&gt;1,AND(AV4&lt;&gt;"",AV4&lt;Inputs!$B$11),AND(AV4&lt;&gt;"",AV4&gt;Inputs!$B$12),AA4&lt;Inputs!$B$19,AB4&lt;Inputs!$B$19,N4&lt;Inputs!$B$7,N4&gt;Inputs!$B$8),"CHECK","OK"))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  <c r="AT4" s="7">
        <f>IF(A4="","",U4)</f>
        <v/>
      </c>
      <c r="AU4" s="7">
        <f>IF(OR(R4="",N4=""),"",(1/Inputs!$B$9)*((R4/4)^(2/3))*SQRT(N4))</f>
        <v/>
      </c>
      <c r="AV4" s="7">
        <f>IF(A4="","",IF(AND(AT4="",AU4=""),"",IF(OR(UPPER(TRIM(Inputs!$B$24))="MANNING",UPPER(TRIM(Inputs!$B$24))="M"),AU4,IF(OR(UPPER(TRIM(Inputs!$B$24))="MAX",UPPER(TRIM(Inputs!$B$24))="X"),MAX(IF(AT4="",0,AT4),IF(AU4="",0,AU4)),AT4))))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IF(A5="","",2.78E-7*IF(G5="",Inputs!$B$17,G5)*F5*I5)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IF(A5="","",IF(OR(T5&gt;1,AND(AV5&lt;&gt;"",AV5&lt;Inputs!$B$11),AND(AV5&lt;&gt;"",AV5&gt;Inputs!$B$12),AA5&lt;Inputs!$B$19,AB5&lt;Inputs!$B$19,N5&lt;Inputs!$B$7,N5&gt;Inputs!$B$8),"CHECK","OK"))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  <c r="AT5" s="7">
        <f>IF(A5="","",U5)</f>
        <v/>
      </c>
      <c r="AU5" s="7">
        <f>IF(OR(R5="",N5=""),"",(1/Inputs!$B$9)*((R5/4)^(2/3))*SQRT(N5))</f>
        <v/>
      </c>
      <c r="AV5" s="7">
        <f>IF(A5="","",IF(AND(AT5="",AU5=""),"",IF(OR(UPPER(TRIM(Inputs!$B$24))="MANNING",UPPER(TRIM(Inputs!$B$24))="M"),AU5,IF(OR(UPPER(TRIM(Inputs!$B$24))="MAX",UPPER(TRIM(Inputs!$B$24))="X"),MAX(IF(AT5="",0,AT5),IF(AU5="",0,AU5)),AT5))))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IF(A6="","",2.78E-7*IF(G6="",Inputs!$B$17,G6)*F6*I6)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IF(A6="","",IF(OR(T6&gt;1,AND(AV6&lt;&gt;"",AV6&lt;Inputs!$B$11),AND(AV6&lt;&gt;"",AV6&gt;Inputs!$B$12),AA6&lt;Inputs!$B$19,AB6&lt;Inputs!$B$19,N6&lt;Inputs!$B$7,N6&gt;Inputs!$B$8),"CHECK","OK"))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  <c r="AT6" s="7">
        <f>IF(A6="","",U6)</f>
        <v/>
      </c>
      <c r="AU6" s="7">
        <f>IF(OR(R6="",N6=""),"",(1/Inputs!$B$9)*((R6/4)^(2/3))*SQRT(N6))</f>
        <v/>
      </c>
      <c r="AV6" s="7">
        <f>IF(A6="","",IF(AND(AT6="",AU6=""),"",IF(OR(UPPER(TRIM(Inputs!$B$24))="MANNING",UPPER(TRIM(Inputs!$B$24))="M"),AU6,IF(OR(UPPER(TRIM(Inputs!$B$24))="MAX",UPPER(TRIM(Inputs!$B$24))="X"),MAX(IF(AT6="",0,AT6),IF(AU6="",0,AU6)),AT6))))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IF(A7="","",2.78E-7*IF(G7="",Inputs!$B$17,G7)*F7*I7)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IF(A7="","",IF(OR(T7&gt;1,AND(AV7&lt;&gt;"",AV7&lt;Inputs!$B$11),AND(AV7&lt;&gt;"",AV7&gt;Inputs!$B$12),AA7&lt;Inputs!$B$19,AB7&lt;Inputs!$B$19,N7&lt;Inputs!$B$7,N7&gt;Inputs!$B$8),"CHECK","OK"))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  <c r="AT7" s="7">
        <f>IF(A7="","",U7)</f>
        <v/>
      </c>
      <c r="AU7" s="7">
        <f>IF(OR(R7="",N7=""),"",(1/Inputs!$B$9)*((R7/4)^(2/3))*SQRT(N7))</f>
        <v/>
      </c>
      <c r="AV7" s="7">
        <f>IF(A7="","",IF(AND(AT7="",AU7=""),"",IF(OR(UPPER(TRIM(Inputs!$B$24))="MANNING",UPPER(TRIM(Inputs!$B$24))="M"),AU7,IF(OR(UPPER(TRIM(Inputs!$B$24))="MAX",UPPER(TRIM(Inputs!$B$24))="X"),MAX(IF(AT7="",0,AT7),IF(AU7="",0,AU7)),AT7))))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IF(A8="","",2.78E-7*IF(G8="",Inputs!$B$17,G8)*F8*I8)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IF(A8="","",IF(OR(T8&gt;1,AND(AV8&lt;&gt;"",AV8&lt;Inputs!$B$11),AND(AV8&lt;&gt;"",AV8&gt;Inputs!$B$12),AA8&lt;Inputs!$B$19,AB8&lt;Inputs!$B$19,N8&lt;Inputs!$B$7,N8&gt;Inputs!$B$8),"CHECK","OK"))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  <c r="AT8" s="7">
        <f>IF(A8="","",U8)</f>
        <v/>
      </c>
      <c r="AU8" s="7">
        <f>IF(OR(R8="",N8=""),"",(1/Inputs!$B$9)*((R8/4)^(2/3))*SQRT(N8))</f>
        <v/>
      </c>
      <c r="AV8" s="7">
        <f>IF(A8="","",IF(AND(AT8="",AU8=""),"",IF(OR(UPPER(TRIM(Inputs!$B$24))="MANNING",UPPER(TRIM(Inputs!$B$24))="M"),AU8,IF(OR(UPPER(TRIM(Inputs!$B$24))="MAX",UPPER(TRIM(Inputs!$B$24))="X"),MAX(IF(AT8="",0,AT8),IF(AU8="",0,AU8)),AT8))))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IF(A9="","",2.78E-7*IF(G9="",Inputs!$B$17,G9)*F9*I9)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IF(A9="","",IF(OR(T9&gt;1,AND(AV9&lt;&gt;"",AV9&lt;Inputs!$B$11),AND(AV9&lt;&gt;"",AV9&gt;Inputs!$B$12),AA9&lt;Inputs!$B$19,AB9&lt;Inputs!$B$19,N9&lt;Inputs!$B$7,N9&gt;Inputs!$B$8),"CHECK","OK"))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  <c r="AT9" s="7">
        <f>IF(A9="","",U9)</f>
        <v/>
      </c>
      <c r="AU9" s="7">
        <f>IF(OR(R9="",N9=""),"",(1/Inputs!$B$9)*((R9/4)^(2/3))*SQRT(N9))</f>
        <v/>
      </c>
      <c r="AV9" s="7">
        <f>IF(A9="","",IF(AND(AT9="",AU9=""),"",IF(OR(UPPER(TRIM(Inputs!$B$24))="MANNING",UPPER(TRIM(Inputs!$B$24))="M"),AU9,IF(OR(UPPER(TRIM(Inputs!$B$24))="MAX",UPPER(TRIM(Inputs!$B$24))="X"),MAX(IF(AT9="",0,AT9),IF(AU9="",0,AU9)),AT9))))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IF(A10="","",2.78E-7*IF(G10="",Inputs!$B$17,G10)*F10*I10)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IF(A10="","",IF(OR(T10&gt;1,AND(AV10&lt;&gt;"",AV10&lt;Inputs!$B$11),AND(AV10&lt;&gt;"",AV10&gt;Inputs!$B$12),AA10&lt;Inputs!$B$19,AB10&lt;Inputs!$B$19,N10&lt;Inputs!$B$7,N10&gt;Inputs!$B$8),"CHECK","OK"))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  <c r="AT10" s="7">
        <f>IF(A10="","",U10)</f>
        <v/>
      </c>
      <c r="AU10" s="7">
        <f>IF(OR(R10="",N10=""),"",(1/Inputs!$B$9)*((R10/4)^(2/3))*SQRT(N10))</f>
        <v/>
      </c>
      <c r="AV10" s="7">
        <f>IF(A10="","",IF(AND(AT10="",AU10=""),"",IF(OR(UPPER(TRIM(Inputs!$B$24))="MANNING",UPPER(TRIM(Inputs!$B$24))="M"),AU10,IF(OR(UPPER(TRIM(Inputs!$B$24))="MAX",UPPER(TRIM(Inputs!$B$24))="X"),MAX(IF(AT10="",0,AT10),IF(AU10="",0,AU10)),AT10))))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IF(A11="","",2.78E-7*IF(G11="",Inputs!$B$17,G11)*F11*I11)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IF(A11="","",IF(OR(T11&gt;1,AND(AV11&lt;&gt;"",AV11&lt;Inputs!$B$11),AND(AV11&lt;&gt;"",AV11&gt;Inputs!$B$12),AA11&lt;Inputs!$B$19,AB11&lt;Inputs!$B$19,N11&lt;Inputs!$B$7,N11&gt;Inputs!$B$8),"CHECK","OK"))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  <c r="AT11" s="7">
        <f>IF(A11="","",U11)</f>
        <v/>
      </c>
      <c r="AU11" s="7">
        <f>IF(OR(R11="",N11=""),"",(1/Inputs!$B$9)*((R11/4)^(2/3))*SQRT(N11))</f>
        <v/>
      </c>
      <c r="AV11" s="7">
        <f>IF(A11="","",IF(AND(AT11="",AU11=""),"",IF(OR(UPPER(TRIM(Inputs!$B$24))="MANNING",UPPER(TRIM(Inputs!$B$24))="M"),AU11,IF(OR(UPPER(TRIM(Inputs!$B$24))="MAX",UPPER(TRIM(Inputs!$B$24))="X"),MAX(IF(AT11="",0,AT11),IF(AU11="",0,AU11)),AT11))))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IF(A12="","",2.78E-7*IF(G12="",Inputs!$B$17,G12)*F12*I12)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IF(A12="","",IF(OR(T12&gt;1,AND(AV12&lt;&gt;"",AV12&lt;Inputs!$B$11),AND(AV12&lt;&gt;"",AV12&gt;Inputs!$B$12),AA12&lt;Inputs!$B$19,AB12&lt;Inputs!$B$19,N12&lt;Inputs!$B$7,N12&gt;Inputs!$B$8),"CHECK","OK"))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  <c r="AT12" s="7">
        <f>IF(A12="","",U12)</f>
        <v/>
      </c>
      <c r="AU12" s="7">
        <f>IF(OR(R12="",N12=""),"",(1/Inputs!$B$9)*((R12/4)^(2/3))*SQRT(N12))</f>
        <v/>
      </c>
      <c r="AV12" s="7">
        <f>IF(A12="","",IF(AND(AT12="",AU12=""),"",IF(OR(UPPER(TRIM(Inputs!$B$24))="MANNING",UPPER(TRIM(Inputs!$B$24))="M"),AU12,IF(OR(UPPER(TRIM(Inputs!$B$24))="MAX",UPPER(TRIM(Inputs!$B$24))="X"),MAX(IF(AT12="",0,AT12),IF(AU12="",0,AU12)),AT12))))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IF(A13="","",2.78E-7*IF(G13="",Inputs!$B$17,G13)*F13*I13)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IF(A13="","",IF(OR(T13&gt;1,AND(AV13&lt;&gt;"",AV13&lt;Inputs!$B$11),AND(AV13&lt;&gt;"",AV13&gt;Inputs!$B$12),AA13&lt;Inputs!$B$19,AB13&lt;Inputs!$B$19,N13&lt;Inputs!$B$7,N13&gt;Inputs!$B$8),"CHECK","OK"))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  <c r="AT13" s="7">
        <f>IF(A13="","",U13)</f>
        <v/>
      </c>
      <c r="AU13" s="7">
        <f>IF(OR(R13="",N13=""),"",(1/Inputs!$B$9)*((R13/4)^(2/3))*SQRT(N13))</f>
        <v/>
      </c>
      <c r="AV13" s="7">
        <f>IF(A13="","",IF(AND(AT13="",AU13=""),"",IF(OR(UPPER(TRIM(Inputs!$B$24))="MANNING",UPPER(TRIM(Inputs!$B$24))="M"),AU13,IF(OR(UPPER(TRIM(Inputs!$B$24))="MAX",UPPER(TRIM(Inputs!$B$24))="X"),MAX(IF(AT13="",0,AT13),IF(AU13="",0,AU13)),AT13))))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IF(A14="","",2.78E-7*IF(G14="",Inputs!$B$17,G14)*F14*I14)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IF(A14="","",IF(OR(T14&gt;1,AND(AV14&lt;&gt;"",AV14&lt;Inputs!$B$11),AND(AV14&lt;&gt;"",AV14&gt;Inputs!$B$12),AA14&lt;Inputs!$B$19,AB14&lt;Inputs!$B$19,N14&lt;Inputs!$B$7,N14&gt;Inputs!$B$8),"CHECK","OK"))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  <c r="AT14" s="7">
        <f>IF(A14="","",U14)</f>
        <v/>
      </c>
      <c r="AU14" s="7">
        <f>IF(OR(R14="",N14=""),"",(1/Inputs!$B$9)*((R14/4)^(2/3))*SQRT(N14))</f>
        <v/>
      </c>
      <c r="AV14" s="7">
        <f>IF(A14="","",IF(AND(AT14="",AU14=""),"",IF(OR(UPPER(TRIM(Inputs!$B$24))="MANNING",UPPER(TRIM(Inputs!$B$24))="M"),AU14,IF(OR(UPPER(TRIM(Inputs!$B$24))="MAX",UPPER(TRIM(Inputs!$B$24))="X"),MAX(IF(AT14="",0,AT14),IF(AU14="",0,AU14)),AT14))))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IF(A15="","",2.78E-7*IF(G15="",Inputs!$B$17,G15)*F15*I15)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IF(A15="","",IF(OR(T15&gt;1,AND(AV15&lt;&gt;"",AV15&lt;Inputs!$B$11),AND(AV15&lt;&gt;"",AV15&gt;Inputs!$B$12),AA15&lt;Inputs!$B$19,AB15&lt;Inputs!$B$19,N15&lt;Inputs!$B$7,N15&gt;Inputs!$B$8),"CHECK","OK"))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  <c r="AT15" s="7">
        <f>IF(A15="","",U15)</f>
        <v/>
      </c>
      <c r="AU15" s="7">
        <f>IF(OR(R15="",N15=""),"",(1/Inputs!$B$9)*((R15/4)^(2/3))*SQRT(N15))</f>
        <v/>
      </c>
      <c r="AV15" s="7">
        <f>IF(A15="","",IF(AND(AT15="",AU15=""),"",IF(OR(UPPER(TRIM(Inputs!$B$24))="MANNING",UPPER(TRIM(Inputs!$B$24))="M"),AU15,IF(OR(UPPER(TRIM(Inputs!$B$24))="MAX",UPPER(TRIM(Inputs!$B$24))="X"),MAX(IF(AT15="",0,AT15),IF(AU15="",0,AU15)),AT15))))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IF(A16="","",2.78E-7*IF(G16="",Inputs!$B$17,G16)*F16*I16)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IF(A16="","",IF(OR(T16&gt;1,AND(AV16&lt;&gt;"",AV16&lt;Inputs!$B$11),AND(AV16&lt;&gt;"",AV16&gt;Inputs!$B$12),AA16&lt;Inputs!$B$19,AB16&lt;Inputs!$B$19,N16&lt;Inputs!$B$7,N16&gt;Inputs!$B$8),"CHECK","OK"))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  <c r="AT16" s="7">
        <f>IF(A16="","",U16)</f>
        <v/>
      </c>
      <c r="AU16" s="7">
        <f>IF(OR(R16="",N16=""),"",(1/Inputs!$B$9)*((R16/4)^(2/3))*SQRT(N16))</f>
        <v/>
      </c>
      <c r="AV16" s="7">
        <f>IF(A16="","",IF(AND(AT16="",AU16=""),"",IF(OR(UPPER(TRIM(Inputs!$B$24))="MANNING",UPPER(TRIM(Inputs!$B$24))="M"),AU16,IF(OR(UPPER(TRIM(Inputs!$B$24))="MAX",UPPER(TRIM(Inputs!$B$24))="X"),MAX(IF(AT16="",0,AT16),IF(AU16="",0,AU16)),AT16))))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IF(A17="","",2.78E-7*IF(G17="",Inputs!$B$17,G17)*F17*I17)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IF(A17="","",IF(OR(T17&gt;1,AND(AV17&lt;&gt;"",AV17&lt;Inputs!$B$11),AND(AV17&lt;&gt;"",AV17&gt;Inputs!$B$12),AA17&lt;Inputs!$B$19,AB17&lt;Inputs!$B$19,N17&lt;Inputs!$B$7,N17&gt;Inputs!$B$8),"CHECK","OK"))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  <c r="AT17" s="7">
        <f>IF(A17="","",U17)</f>
        <v/>
      </c>
      <c r="AU17" s="7">
        <f>IF(OR(R17="",N17=""),"",(1/Inputs!$B$9)*((R17/4)^(2/3))*SQRT(N17))</f>
        <v/>
      </c>
      <c r="AV17" s="7">
        <f>IF(A17="","",IF(AND(AT17="",AU17=""),"",IF(OR(UPPER(TRIM(Inputs!$B$24))="MANNING",UPPER(TRIM(Inputs!$B$24))="M"),AU17,IF(OR(UPPER(TRIM(Inputs!$B$24))="MAX",UPPER(TRIM(Inputs!$B$24))="X"),MAX(IF(AT17="",0,AT17),IF(AU17="",0,AU17)),AT17))))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IF(A18="","",2.78E-7*IF(G18="",Inputs!$B$17,G18)*F18*I18)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IF(A18="","",IF(OR(T18&gt;1,AND(AV18&lt;&gt;"",AV18&lt;Inputs!$B$11),AND(AV18&lt;&gt;"",AV18&gt;Inputs!$B$12),AA18&lt;Inputs!$B$19,AB18&lt;Inputs!$B$19,N18&lt;Inputs!$B$7,N18&gt;Inputs!$B$8),"CHECK","OK"))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  <c r="AT18" s="7">
        <f>IF(A18="","",U18)</f>
        <v/>
      </c>
      <c r="AU18" s="7">
        <f>IF(OR(R18="",N18=""),"",(1/Inputs!$B$9)*((R18/4)^(2/3))*SQRT(N18))</f>
        <v/>
      </c>
      <c r="AV18" s="7">
        <f>IF(A18="","",IF(AND(AT18="",AU18=""),"",IF(OR(UPPER(TRIM(Inputs!$B$24))="MANNING",UPPER(TRIM(Inputs!$B$24))="M"),AU18,IF(OR(UPPER(TRIM(Inputs!$B$24))="MAX",UPPER(TRIM(Inputs!$B$24))="X"),MAX(IF(AT18="",0,AT18),IF(AU18="",0,AU18)),AT18))))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IF(A19="","",2.78E-7*IF(G19="",Inputs!$B$17,G19)*F19*I19)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IF(A19="","",IF(OR(T19&gt;1,AND(AV19&lt;&gt;"",AV19&lt;Inputs!$B$11),AND(AV19&lt;&gt;"",AV19&gt;Inputs!$B$12),AA19&lt;Inputs!$B$19,AB19&lt;Inputs!$B$19,N19&lt;Inputs!$B$7,N19&gt;Inputs!$B$8),"CHECK","OK"))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  <c r="AT19" s="7">
        <f>IF(A19="","",U19)</f>
        <v/>
      </c>
      <c r="AU19" s="7">
        <f>IF(OR(R19="",N19=""),"",(1/Inputs!$B$9)*((R19/4)^(2/3))*SQRT(N19))</f>
        <v/>
      </c>
      <c r="AV19" s="7">
        <f>IF(A19="","",IF(AND(AT19="",AU19=""),"",IF(OR(UPPER(TRIM(Inputs!$B$24))="MANNING",UPPER(TRIM(Inputs!$B$24))="M"),AU19,IF(OR(UPPER(TRIM(Inputs!$B$24))="MAX",UPPER(TRIM(Inputs!$B$24))="X"),MAX(IF(AT19="",0,AT19),IF(AU19="",0,AU19)),AT19))))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IF(A20="","",2.78E-7*IF(G20="",Inputs!$B$17,G20)*F20*I20)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IF(A20="","",IF(OR(T20&gt;1,AND(AV20&lt;&gt;"",AV20&lt;Inputs!$B$11),AND(AV20&lt;&gt;"",AV20&gt;Inputs!$B$12),AA20&lt;Inputs!$B$19,AB20&lt;Inputs!$B$19,N20&lt;Inputs!$B$7,N20&gt;Inputs!$B$8),"CHECK","OK"))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  <c r="AT20" s="7">
        <f>IF(A20="","",U20)</f>
        <v/>
      </c>
      <c r="AU20" s="7">
        <f>IF(OR(R20="",N20=""),"",(1/Inputs!$B$9)*((R20/4)^(2/3))*SQRT(N20))</f>
        <v/>
      </c>
      <c r="AV20" s="7">
        <f>IF(A20="","",IF(AND(AT20="",AU20=""),"",IF(OR(UPPER(TRIM(Inputs!$B$24))="MANNING",UPPER(TRIM(Inputs!$B$24))="M"),AU20,IF(OR(UPPER(TRIM(Inputs!$B$24))="MAX",UPPER(TRIM(Inputs!$B$24))="X"),MAX(IF(AT20="",0,AT20),IF(AU20="",0,AU20)),AT20))))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IF(A21="","",2.78E-7*IF(G21="",Inputs!$B$17,G21)*F21*I21)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IF(A21="","",IF(OR(T21&gt;1,AND(AV21&lt;&gt;"",AV21&lt;Inputs!$B$11),AND(AV21&lt;&gt;"",AV21&gt;Inputs!$B$12),AA21&lt;Inputs!$B$19,AB21&lt;Inputs!$B$19,N21&lt;Inputs!$B$7,N21&gt;Inputs!$B$8),"CHECK","OK"))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  <c r="AT21" s="7">
        <f>IF(A21="","",U21)</f>
        <v/>
      </c>
      <c r="AU21" s="7">
        <f>IF(OR(R21="",N21=""),"",(1/Inputs!$B$9)*((R21/4)^(2/3))*SQRT(N21))</f>
        <v/>
      </c>
      <c r="AV21" s="7">
        <f>IF(A21="","",IF(AND(AT21="",AU21=""),"",IF(OR(UPPER(TRIM(Inputs!$B$24))="MANNING",UPPER(TRIM(Inputs!$B$24))="M"),AU21,IF(OR(UPPER(TRIM(Inputs!$B$24))="MAX",UPPER(TRIM(Inputs!$B$24))="X"),MAX(IF(AT21="",0,AT21),IF(AU21="",0,AU21)),AT21))))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IF(A22="","",2.78E-7*IF(G22="",Inputs!$B$17,G22)*F22*I22)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IF(A22="","",IF(OR(T22&gt;1,AND(AV22&lt;&gt;"",AV22&lt;Inputs!$B$11),AND(AV22&lt;&gt;"",AV22&gt;Inputs!$B$12),AA22&lt;Inputs!$B$19,AB22&lt;Inputs!$B$19,N22&lt;Inputs!$B$7,N22&gt;Inputs!$B$8),"CHECK","OK"))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  <c r="AT22" s="7">
        <f>IF(A22="","",U22)</f>
        <v/>
      </c>
      <c r="AU22" s="7">
        <f>IF(OR(R22="",N22=""),"",(1/Inputs!$B$9)*((R22/4)^(2/3))*SQRT(N22))</f>
        <v/>
      </c>
      <c r="AV22" s="7">
        <f>IF(A22="","",IF(AND(AT22="",AU22=""),"",IF(OR(UPPER(TRIM(Inputs!$B$24))="MANNING",UPPER(TRIM(Inputs!$B$24))="M"),AU22,IF(OR(UPPER(TRIM(Inputs!$B$24))="MAX",UPPER(TRIM(Inputs!$B$24))="X"),MAX(IF(AT22="",0,AT22),IF(AU22="",0,AU22)),AT22))))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IF(A23="","",2.78E-7*IF(G23="",Inputs!$B$17,G23)*F23*I23)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IF(A23="","",IF(OR(T23&gt;1,AND(AV23&lt;&gt;"",AV23&lt;Inputs!$B$11),AND(AV23&lt;&gt;"",AV23&gt;Inputs!$B$12),AA23&lt;Inputs!$B$19,AB23&lt;Inputs!$B$19,N23&lt;Inputs!$B$7,N23&gt;Inputs!$B$8),"CHECK","OK"))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  <c r="AT23" s="7">
        <f>IF(A23="","",U23)</f>
        <v/>
      </c>
      <c r="AU23" s="7">
        <f>IF(OR(R23="",N23=""),"",(1/Inputs!$B$9)*((R23/4)^(2/3))*SQRT(N23))</f>
        <v/>
      </c>
      <c r="AV23" s="7">
        <f>IF(A23="","",IF(AND(AT23="",AU23=""),"",IF(OR(UPPER(TRIM(Inputs!$B$24))="MANNING",UPPER(TRIM(Inputs!$B$24))="M"),AU23,IF(OR(UPPER(TRIM(Inputs!$B$24))="MAX",UPPER(TRIM(Inputs!$B$24))="X"),MAX(IF(AT23="",0,AT23),IF(AU23="",0,AU23)),AT23))))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IF(A24="","",2.78E-7*IF(G24="",Inputs!$B$17,G24)*F24*I24)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IF(A24="","",IF(OR(T24&gt;1,AND(AV24&lt;&gt;"",AV24&lt;Inputs!$B$11),AND(AV24&lt;&gt;"",AV24&gt;Inputs!$B$12),AA24&lt;Inputs!$B$19,AB24&lt;Inputs!$B$19,N24&lt;Inputs!$B$7,N24&gt;Inputs!$B$8),"CHECK","OK"))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  <c r="AT24" s="7">
        <f>IF(A24="","",U24)</f>
        <v/>
      </c>
      <c r="AU24" s="7">
        <f>IF(OR(R24="",N24=""),"",(1/Inputs!$B$9)*((R24/4)^(2/3))*SQRT(N24))</f>
        <v/>
      </c>
      <c r="AV24" s="7">
        <f>IF(A24="","",IF(AND(AT24="",AU24=""),"",IF(OR(UPPER(TRIM(Inputs!$B$24))="MANNING",UPPER(TRIM(Inputs!$B$24))="M"),AU24,IF(OR(UPPER(TRIM(Inputs!$B$24))="MAX",UPPER(TRIM(Inputs!$B$24))="X"),MAX(IF(AT24="",0,AT24),IF(AU24="",0,AU24)),AT24))))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IF(A25="","",2.78E-7*IF(G25="",Inputs!$B$17,G25)*F25*I25)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IF(A25="","",IF(OR(T25&gt;1,AND(AV25&lt;&gt;"",AV25&lt;Inputs!$B$11),AND(AV25&lt;&gt;"",AV25&gt;Inputs!$B$12),AA25&lt;Inputs!$B$19,AB25&lt;Inputs!$B$19,N25&lt;Inputs!$B$7,N25&gt;Inputs!$B$8),"CHECK","OK"))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  <c r="AT25" s="7">
        <f>IF(A25="","",U25)</f>
        <v/>
      </c>
      <c r="AU25" s="7">
        <f>IF(OR(R25="",N25=""),"",(1/Inputs!$B$9)*((R25/4)^(2/3))*SQRT(N25))</f>
        <v/>
      </c>
      <c r="AV25" s="7">
        <f>IF(A25="","",IF(AND(AT25="",AU25=""),"",IF(OR(UPPER(TRIM(Inputs!$B$24))="MANNING",UPPER(TRIM(Inputs!$B$24))="M"),AU25,IF(OR(UPPER(TRIM(Inputs!$B$24))="MAX",UPPER(TRIM(Inputs!$B$24))="X"),MAX(IF(AT25="",0,AT25),IF(AU25="",0,AU25)),AT25))))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IF(A26="","",2.78E-7*IF(G26="",Inputs!$B$17,G26)*F26*I26)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IF(A26="","",IF(OR(T26&gt;1,AND(AV26&lt;&gt;"",AV26&lt;Inputs!$B$11),AND(AV26&lt;&gt;"",AV26&gt;Inputs!$B$12),AA26&lt;Inputs!$B$19,AB26&lt;Inputs!$B$19,N26&lt;Inputs!$B$7,N26&gt;Inputs!$B$8),"CHECK","OK"))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  <c r="AT26" s="7">
        <f>IF(A26="","",U26)</f>
        <v/>
      </c>
      <c r="AU26" s="7">
        <f>IF(OR(R26="",N26=""),"",(1/Inputs!$B$9)*((R26/4)^(2/3))*SQRT(N26))</f>
        <v/>
      </c>
      <c r="AV26" s="7">
        <f>IF(A26="","",IF(AND(AT26="",AU26=""),"",IF(OR(UPPER(TRIM(Inputs!$B$24))="MANNING",UPPER(TRIM(Inputs!$B$24))="M"),AU26,IF(OR(UPPER(TRIM(Inputs!$B$24))="MAX",UPPER(TRIM(Inputs!$B$24))="X"),MAX(IF(AT26="",0,AT26),IF(AU26="",0,AU26)),AT26))))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IF(A27="","",2.78E-7*IF(G27="",Inputs!$B$17,G27)*F27*I27)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IF(A27="","",IF(OR(T27&gt;1,AND(AV27&lt;&gt;"",AV27&lt;Inputs!$B$11),AND(AV27&lt;&gt;"",AV27&gt;Inputs!$B$12),AA27&lt;Inputs!$B$19,AB27&lt;Inputs!$B$19,N27&lt;Inputs!$B$7,N27&gt;Inputs!$B$8),"CHECK","OK"))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  <c r="AT27" s="7">
        <f>IF(A27="","",U27)</f>
        <v/>
      </c>
      <c r="AU27" s="7">
        <f>IF(OR(R27="",N27=""),"",(1/Inputs!$B$9)*((R27/4)^(2/3))*SQRT(N27))</f>
        <v/>
      </c>
      <c r="AV27" s="7">
        <f>IF(A27="","",IF(AND(AT27="",AU27=""),"",IF(OR(UPPER(TRIM(Inputs!$B$24))="MANNING",UPPER(TRIM(Inputs!$B$24))="M"),AU27,IF(OR(UPPER(TRIM(Inputs!$B$24))="MAX",UPPER(TRIM(Inputs!$B$24))="X"),MAX(IF(AT27="",0,AT27),IF(AU27="",0,AU27)),AT27))))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IF(A28="","",2.78E-7*IF(G28="",Inputs!$B$17,G28)*F28*I28)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IF(A28="","",IF(OR(T28&gt;1,AND(AV28&lt;&gt;"",AV28&lt;Inputs!$B$11),AND(AV28&lt;&gt;"",AV28&gt;Inputs!$B$12),AA28&lt;Inputs!$B$19,AB28&lt;Inputs!$B$19,N28&lt;Inputs!$B$7,N28&gt;Inputs!$B$8),"CHECK","OK"))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  <c r="AT28" s="7">
        <f>IF(A28="","",U28)</f>
        <v/>
      </c>
      <c r="AU28" s="7">
        <f>IF(OR(R28="",N28=""),"",(1/Inputs!$B$9)*((R28/4)^(2/3))*SQRT(N28))</f>
        <v/>
      </c>
      <c r="AV28" s="7">
        <f>IF(A28="","",IF(AND(AT28="",AU28=""),"",IF(OR(UPPER(TRIM(Inputs!$B$24))="MANNING",UPPER(TRIM(Inputs!$B$24))="M"),AU28,IF(OR(UPPER(TRIM(Inputs!$B$24))="MAX",UPPER(TRIM(Inputs!$B$24))="X"),MAX(IF(AT28="",0,AT28),IF(AU28="",0,AU28)),AT28))))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IF(A29="","",2.78E-7*IF(G29="",Inputs!$B$17,G29)*F29*I29)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IF(A29="","",IF(OR(T29&gt;1,AND(AV29&lt;&gt;"",AV29&lt;Inputs!$B$11),AND(AV29&lt;&gt;"",AV29&gt;Inputs!$B$12),AA29&lt;Inputs!$B$19,AB29&lt;Inputs!$B$19,N29&lt;Inputs!$B$7,N29&gt;Inputs!$B$8),"CHECK","OK"))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  <c r="AT29" s="7">
        <f>IF(A29="","",U29)</f>
        <v/>
      </c>
      <c r="AU29" s="7">
        <f>IF(OR(R29="",N29=""),"",(1/Inputs!$B$9)*((R29/4)^(2/3))*SQRT(N29))</f>
        <v/>
      </c>
      <c r="AV29" s="7">
        <f>IF(A29="","",IF(AND(AT29="",AU29=""),"",IF(OR(UPPER(TRIM(Inputs!$B$24))="MANNING",UPPER(TRIM(Inputs!$B$24))="M"),AU29,IF(OR(UPPER(TRIM(Inputs!$B$24))="MAX",UPPER(TRIM(Inputs!$B$24))="X"),MAX(IF(AT29="",0,AT29),IF(AU29="",0,AU29)),AT29))))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IF(A30="","",2.78E-7*IF(G30="",Inputs!$B$17,G30)*F30*I30)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IF(A30="","",IF(OR(T30&gt;1,AND(AV30&lt;&gt;"",AV30&lt;Inputs!$B$11),AND(AV30&lt;&gt;"",AV30&gt;Inputs!$B$12),AA30&lt;Inputs!$B$19,AB30&lt;Inputs!$B$19,N30&lt;Inputs!$B$7,N30&gt;Inputs!$B$8),"CHECK","OK"))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  <c r="AT30" s="7">
        <f>IF(A30="","",U30)</f>
        <v/>
      </c>
      <c r="AU30" s="7">
        <f>IF(OR(R30="",N30=""),"",(1/Inputs!$B$9)*((R30/4)^(2/3))*SQRT(N30))</f>
        <v/>
      </c>
      <c r="AV30" s="7">
        <f>IF(A30="","",IF(AND(AT30="",AU30=""),"",IF(OR(UPPER(TRIM(Inputs!$B$24))="MANNING",UPPER(TRIM(Inputs!$B$24))="M"),AU30,IF(OR(UPPER(TRIM(Inputs!$B$24))="MAX",UPPER(TRIM(Inputs!$B$24))="X"),MAX(IF(AT30="",0,AT30),IF(AU30="",0,AU30)),AT30))))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IF(A31="","",2.78E-7*IF(G31="",Inputs!$B$17,G31)*F31*I31)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IF(A31="","",IF(OR(T31&gt;1,AND(AV31&lt;&gt;"",AV31&lt;Inputs!$B$11),AND(AV31&lt;&gt;"",AV31&gt;Inputs!$B$12),AA31&lt;Inputs!$B$19,AB31&lt;Inputs!$B$19,N31&lt;Inputs!$B$7,N31&gt;Inputs!$B$8),"CHECK","OK"))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  <c r="AT31" s="7">
        <f>IF(A31="","",U31)</f>
        <v/>
      </c>
      <c r="AU31" s="7">
        <f>IF(OR(R31="",N31=""),"",(1/Inputs!$B$9)*((R31/4)^(2/3))*SQRT(N31))</f>
        <v/>
      </c>
      <c r="AV31" s="7">
        <f>IF(A31="","",IF(AND(AT31="",AU31=""),"",IF(OR(UPPER(TRIM(Inputs!$B$24))="MANNING",UPPER(TRIM(Inputs!$B$24))="M"),AU31,IF(OR(UPPER(TRIM(Inputs!$B$24))="MAX",UPPER(TRIM(Inputs!$B$24))="X"),MAX(IF(AT31="",0,AT31),IF(AU31="",0,AU31)),AT31))))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IF(A32="","",2.78E-7*IF(G32="",Inputs!$B$17,G32)*F32*I32)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IF(A32="","",IF(OR(T32&gt;1,AND(AV32&lt;&gt;"",AV32&lt;Inputs!$B$11),AND(AV32&lt;&gt;"",AV32&gt;Inputs!$B$12),AA32&lt;Inputs!$B$19,AB32&lt;Inputs!$B$19,N32&lt;Inputs!$B$7,N32&gt;Inputs!$B$8),"CHECK","OK"))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  <c r="AT32" s="7">
        <f>IF(A32="","",U32)</f>
        <v/>
      </c>
      <c r="AU32" s="7">
        <f>IF(OR(R32="",N32=""),"",(1/Inputs!$B$9)*((R32/4)^(2/3))*SQRT(N32))</f>
        <v/>
      </c>
      <c r="AV32" s="7">
        <f>IF(A32="","",IF(AND(AT32="",AU32=""),"",IF(OR(UPPER(TRIM(Inputs!$B$24))="MANNING",UPPER(TRIM(Inputs!$B$24))="M"),AU32,IF(OR(UPPER(TRIM(Inputs!$B$24))="MAX",UPPER(TRIM(Inputs!$B$24))="X"),MAX(IF(AT32="",0,AT32),IF(AU32="",0,AU32)),AT32))))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IF(A33="","",2.78E-7*IF(G33="",Inputs!$B$17,G33)*F33*I33)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IF(A33="","",IF(OR(T33&gt;1,AND(AV33&lt;&gt;"",AV33&lt;Inputs!$B$11),AND(AV33&lt;&gt;"",AV33&gt;Inputs!$B$12),AA33&lt;Inputs!$B$19,AB33&lt;Inputs!$B$19,N33&lt;Inputs!$B$7,N33&gt;Inputs!$B$8),"CHECK","OK"))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  <c r="AT33" s="7">
        <f>IF(A33="","",U33)</f>
        <v/>
      </c>
      <c r="AU33" s="7">
        <f>IF(OR(R33="",N33=""),"",(1/Inputs!$B$9)*((R33/4)^(2/3))*SQRT(N33))</f>
        <v/>
      </c>
      <c r="AV33" s="7">
        <f>IF(A33="","",IF(AND(AT33="",AU33=""),"",IF(OR(UPPER(TRIM(Inputs!$B$24))="MANNING",UPPER(TRIM(Inputs!$B$24))="M"),AU33,IF(OR(UPPER(TRIM(Inputs!$B$24))="MAX",UPPER(TRIM(Inputs!$B$24))="X"),MAX(IF(AT33="",0,AT33),IF(AU33="",0,AU33)),AT33))))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IF(A34="","",2.78E-7*IF(G34="",Inputs!$B$17,G34)*F34*I34)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IF(A34="","",IF(OR(T34&gt;1,AND(AV34&lt;&gt;"",AV34&lt;Inputs!$B$11),AND(AV34&lt;&gt;"",AV34&gt;Inputs!$B$12),AA34&lt;Inputs!$B$19,AB34&lt;Inputs!$B$19,N34&lt;Inputs!$B$7,N34&gt;Inputs!$B$8),"CHECK","OK"))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  <c r="AT34" s="7">
        <f>IF(A34="","",U34)</f>
        <v/>
      </c>
      <c r="AU34" s="7">
        <f>IF(OR(R34="",N34=""),"",(1/Inputs!$B$9)*((R34/4)^(2/3))*SQRT(N34))</f>
        <v/>
      </c>
      <c r="AV34" s="7">
        <f>IF(A34="","",IF(AND(AT34="",AU34=""),"",IF(OR(UPPER(TRIM(Inputs!$B$24))="MANNING",UPPER(TRIM(Inputs!$B$24))="M"),AU34,IF(OR(UPPER(TRIM(Inputs!$B$24))="MAX",UPPER(TRIM(Inputs!$B$24))="X"),MAX(IF(AT34="",0,AT34),IF(AU34="",0,AU34)),AT34))))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IF(A35="","",2.78E-7*IF(G35="",Inputs!$B$17,G35)*F35*I35)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IF(A35="","",IF(OR(T35&gt;1,AND(AV35&lt;&gt;"",AV35&lt;Inputs!$B$11),AND(AV35&lt;&gt;"",AV35&gt;Inputs!$B$12),AA35&lt;Inputs!$B$19,AB35&lt;Inputs!$B$19,N35&lt;Inputs!$B$7,N35&gt;Inputs!$B$8),"CHECK","OK"))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  <c r="AT35" s="7">
        <f>IF(A35="","",U35)</f>
        <v/>
      </c>
      <c r="AU35" s="7">
        <f>IF(OR(R35="",N35=""),"",(1/Inputs!$B$9)*((R35/4)^(2/3))*SQRT(N35))</f>
        <v/>
      </c>
      <c r="AV35" s="7">
        <f>IF(A35="","",IF(AND(AT35="",AU35=""),"",IF(OR(UPPER(TRIM(Inputs!$B$24))="MANNING",UPPER(TRIM(Inputs!$B$24))="M"),AU35,IF(OR(UPPER(TRIM(Inputs!$B$24))="MAX",UPPER(TRIM(Inputs!$B$24))="X"),MAX(IF(AT35="",0,AT35),IF(AU35="",0,AU35)),AT35))))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IF(A36="","",2.78E-7*IF(G36="",Inputs!$B$17,G36)*F36*I36)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IF(A36="","",IF(OR(T36&gt;1,AND(AV36&lt;&gt;"",AV36&lt;Inputs!$B$11),AND(AV36&lt;&gt;"",AV36&gt;Inputs!$B$12),AA36&lt;Inputs!$B$19,AB36&lt;Inputs!$B$19,N36&lt;Inputs!$B$7,N36&gt;Inputs!$B$8),"CHECK","OK"))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  <c r="AT36" s="7">
        <f>IF(A36="","",U36)</f>
        <v/>
      </c>
      <c r="AU36" s="7">
        <f>IF(OR(R36="",N36=""),"",(1/Inputs!$B$9)*((R36/4)^(2/3))*SQRT(N36))</f>
        <v/>
      </c>
      <c r="AV36" s="7">
        <f>IF(A36="","",IF(AND(AT36="",AU36=""),"",IF(OR(UPPER(TRIM(Inputs!$B$24))="MANNING",UPPER(TRIM(Inputs!$B$24))="M"),AU36,IF(OR(UPPER(TRIM(Inputs!$B$24))="MAX",UPPER(TRIM(Inputs!$B$24))="X"),MAX(IF(AT36="",0,AT36),IF(AU36="",0,AU36)),AT36))))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IF(A37="","",2.78E-7*IF(G37="",Inputs!$B$17,G37)*F37*I37)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IF(A37="","",IF(OR(T37&gt;1,AND(AV37&lt;&gt;"",AV37&lt;Inputs!$B$11),AND(AV37&lt;&gt;"",AV37&gt;Inputs!$B$12),AA37&lt;Inputs!$B$19,AB37&lt;Inputs!$B$19,N37&lt;Inputs!$B$7,N37&gt;Inputs!$B$8),"CHECK","OK"))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  <c r="AT37" s="7">
        <f>IF(A37="","",U37)</f>
        <v/>
      </c>
      <c r="AU37" s="7">
        <f>IF(OR(R37="",N37=""),"",(1/Inputs!$B$9)*((R37/4)^(2/3))*SQRT(N37))</f>
        <v/>
      </c>
      <c r="AV37" s="7">
        <f>IF(A37="","",IF(AND(AT37="",AU37=""),"",IF(OR(UPPER(TRIM(Inputs!$B$24))="MANNING",UPPER(TRIM(Inputs!$B$24))="M"),AU37,IF(OR(UPPER(TRIM(Inputs!$B$24))="MAX",UPPER(TRIM(Inputs!$B$24))="X"),MAX(IF(AT37="",0,AT37),IF(AU37="",0,AU37)),AT37))))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IF(A38="","",2.78E-7*IF(G38="",Inputs!$B$17,G38)*F38*I38)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IF(A38="","",IF(OR(T38&gt;1,AND(AV38&lt;&gt;"",AV38&lt;Inputs!$B$11),AND(AV38&lt;&gt;"",AV38&gt;Inputs!$B$12),AA38&lt;Inputs!$B$19,AB38&lt;Inputs!$B$19,N38&lt;Inputs!$B$7,N38&gt;Inputs!$B$8),"CHECK","OK"))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  <c r="AT38" s="7">
        <f>IF(A38="","",U38)</f>
        <v/>
      </c>
      <c r="AU38" s="7">
        <f>IF(OR(R38="",N38=""),"",(1/Inputs!$B$9)*((R38/4)^(2/3))*SQRT(N38))</f>
        <v/>
      </c>
      <c r="AV38" s="7">
        <f>IF(A38="","",IF(AND(AT38="",AU38=""),"",IF(OR(UPPER(TRIM(Inputs!$B$24))="MANNING",UPPER(TRIM(Inputs!$B$24))="M"),AU38,IF(OR(UPPER(TRIM(Inputs!$B$24))="MAX",UPPER(TRIM(Inputs!$B$24))="X"),MAX(IF(AT38="",0,AT38),IF(AU38="",0,AU38)),AT38))))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IF(A39="","",2.78E-7*IF(G39="",Inputs!$B$17,G39)*F39*I39)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IF(A39="","",IF(OR(T39&gt;1,AND(AV39&lt;&gt;"",AV39&lt;Inputs!$B$11),AND(AV39&lt;&gt;"",AV39&gt;Inputs!$B$12),AA39&lt;Inputs!$B$19,AB39&lt;Inputs!$B$19,N39&lt;Inputs!$B$7,N39&gt;Inputs!$B$8),"CHECK","OK"))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  <c r="AT39" s="7">
        <f>IF(A39="","",U39)</f>
        <v/>
      </c>
      <c r="AU39" s="7">
        <f>IF(OR(R39="",N39=""),"",(1/Inputs!$B$9)*((R39/4)^(2/3))*SQRT(N39))</f>
        <v/>
      </c>
      <c r="AV39" s="7">
        <f>IF(A39="","",IF(AND(AT39="",AU39=""),"",IF(OR(UPPER(TRIM(Inputs!$B$24))="MANNING",UPPER(TRIM(Inputs!$B$24))="M"),AU39,IF(OR(UPPER(TRIM(Inputs!$B$24))="MAX",UPPER(TRIM(Inputs!$B$24))="X"),MAX(IF(AT39="",0,AT39),IF(AU39="",0,AU39)),AT39))))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IF(A40="","",2.78E-7*IF(G40="",Inputs!$B$17,G40)*F40*I40)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IF(A40="","",IF(OR(T40&gt;1,AND(AV40&lt;&gt;"",AV40&lt;Inputs!$B$11),AND(AV40&lt;&gt;"",AV40&gt;Inputs!$B$12),AA40&lt;Inputs!$B$19,AB40&lt;Inputs!$B$19,N40&lt;Inputs!$B$7,N40&gt;Inputs!$B$8),"CHECK","OK"))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  <c r="AT40" s="7">
        <f>IF(A40="","",U40)</f>
        <v/>
      </c>
      <c r="AU40" s="7">
        <f>IF(OR(R40="",N40=""),"",(1/Inputs!$B$9)*((R40/4)^(2/3))*SQRT(N40))</f>
        <v/>
      </c>
      <c r="AV40" s="7">
        <f>IF(A40="","",IF(AND(AT40="",AU40=""),"",IF(OR(UPPER(TRIM(Inputs!$B$24))="MANNING",UPPER(TRIM(Inputs!$B$24))="M"),AU40,IF(OR(UPPER(TRIM(Inputs!$B$24))="MAX",UPPER(TRIM(Inputs!$B$24))="X"),MAX(IF(AT40="",0,AT40),IF(AU40="",0,AU40)),AT40))))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IF(A41="","",2.78E-7*IF(G41="",Inputs!$B$17,G41)*F41*I41)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IF(A41="","",IF(OR(T41&gt;1,AND(AV41&lt;&gt;"",AV41&lt;Inputs!$B$11),AND(AV41&lt;&gt;"",AV41&gt;Inputs!$B$12),AA41&lt;Inputs!$B$19,AB41&lt;Inputs!$B$19,N41&lt;Inputs!$B$7,N41&gt;Inputs!$B$8),"CHECK","OK"))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  <c r="AT41" s="7">
        <f>IF(A41="","",U41)</f>
        <v/>
      </c>
      <c r="AU41" s="7">
        <f>IF(OR(R41="",N41=""),"",(1/Inputs!$B$9)*((R41/4)^(2/3))*SQRT(N41))</f>
        <v/>
      </c>
      <c r="AV41" s="7">
        <f>IF(A41="","",IF(AND(AT41="",AU41=""),"",IF(OR(UPPER(TRIM(Inputs!$B$24))="MANNING",UPPER(TRIM(Inputs!$B$24))="M"),AU41,IF(OR(UPPER(TRIM(Inputs!$B$24))="MAX",UPPER(TRIM(Inputs!$B$24))="X"),MAX(IF(AT41="",0,AT41),IF(AU41="",0,AU41)),AT41))))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IF(A42="","",2.78E-7*IF(G42="",Inputs!$B$17,G42)*F42*I42)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IF(A42="","",IF(OR(T42&gt;1,AND(AV42&lt;&gt;"",AV42&lt;Inputs!$B$11),AND(AV42&lt;&gt;"",AV42&gt;Inputs!$B$12),AA42&lt;Inputs!$B$19,AB42&lt;Inputs!$B$19,N42&lt;Inputs!$B$7,N42&gt;Inputs!$B$8),"CHECK","OK"))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  <c r="AT42" s="7">
        <f>IF(A42="","",U42)</f>
        <v/>
      </c>
      <c r="AU42" s="7">
        <f>IF(OR(R42="",N42=""),"",(1/Inputs!$B$9)*((R42/4)^(2/3))*SQRT(N42))</f>
        <v/>
      </c>
      <c r="AV42" s="7">
        <f>IF(A42="","",IF(AND(AT42="",AU42=""),"",IF(OR(UPPER(TRIM(Inputs!$B$24))="MANNING",UPPER(TRIM(Inputs!$B$24))="M"),AU42,IF(OR(UPPER(TRIM(Inputs!$B$24))="MAX",UPPER(TRIM(Inputs!$B$24))="X"),MAX(IF(AT42="",0,AT42),IF(AU42="",0,AU42)),AT42))))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IF(A43="","",2.78E-7*IF(G43="",Inputs!$B$17,G43)*F43*I43)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IF(A43="","",IF(OR(T43&gt;1,AND(AV43&lt;&gt;"",AV43&lt;Inputs!$B$11),AND(AV43&lt;&gt;"",AV43&gt;Inputs!$B$12),AA43&lt;Inputs!$B$19,AB43&lt;Inputs!$B$19,N43&lt;Inputs!$B$7,N43&gt;Inputs!$B$8),"CHECK","OK"))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  <c r="AT43" s="7">
        <f>IF(A43="","",U43)</f>
        <v/>
      </c>
      <c r="AU43" s="7">
        <f>IF(OR(R43="",N43=""),"",(1/Inputs!$B$9)*((R43/4)^(2/3))*SQRT(N43))</f>
        <v/>
      </c>
      <c r="AV43" s="7">
        <f>IF(A43="","",IF(AND(AT43="",AU43=""),"",IF(OR(UPPER(TRIM(Inputs!$B$24))="MANNING",UPPER(TRIM(Inputs!$B$24))="M"),AU43,IF(OR(UPPER(TRIM(Inputs!$B$24))="MAX",UPPER(TRIM(Inputs!$B$24))="X"),MAX(IF(AT43="",0,AT43),IF(AU43="",0,AU43)),AT43))))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IF(A44="","",2.78E-7*IF(G44="",Inputs!$B$17,G44)*F44*I44)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IF(A44="","",IF(OR(T44&gt;1,AND(AV44&lt;&gt;"",AV44&lt;Inputs!$B$11),AND(AV44&lt;&gt;"",AV44&gt;Inputs!$B$12),AA44&lt;Inputs!$B$19,AB44&lt;Inputs!$B$19,N44&lt;Inputs!$B$7,N44&gt;Inputs!$B$8),"CHECK","OK"))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  <c r="AT44" s="7">
        <f>IF(A44="","",U44)</f>
        <v/>
      </c>
      <c r="AU44" s="7">
        <f>IF(OR(R44="",N44=""),"",(1/Inputs!$B$9)*((R44/4)^(2/3))*SQRT(N44))</f>
        <v/>
      </c>
      <c r="AV44" s="7">
        <f>IF(A44="","",IF(AND(AT44="",AU44=""),"",IF(OR(UPPER(TRIM(Inputs!$B$24))="MANNING",UPPER(TRIM(Inputs!$B$24))="M"),AU44,IF(OR(UPPER(TRIM(Inputs!$B$24))="MAX",UPPER(TRIM(Inputs!$B$24))="X"),MAX(IF(AT44="",0,AT44),IF(AU44="",0,AU44)),AT44))))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IF(A45="","",2.78E-7*IF(G45="",Inputs!$B$17,G45)*F45*I45)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IF(A45="","",IF(OR(T45&gt;1,AND(AV45&lt;&gt;"",AV45&lt;Inputs!$B$11),AND(AV45&lt;&gt;"",AV45&gt;Inputs!$B$12),AA45&lt;Inputs!$B$19,AB45&lt;Inputs!$B$19,N45&lt;Inputs!$B$7,N45&gt;Inputs!$B$8),"CHECK","OK"))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  <c r="AT45" s="7">
        <f>IF(A45="","",U45)</f>
        <v/>
      </c>
      <c r="AU45" s="7">
        <f>IF(OR(R45="",N45=""),"",(1/Inputs!$B$9)*((R45/4)^(2/3))*SQRT(N45))</f>
        <v/>
      </c>
      <c r="AV45" s="7">
        <f>IF(A45="","",IF(AND(AT45="",AU45=""),"",IF(OR(UPPER(TRIM(Inputs!$B$24))="MANNING",UPPER(TRIM(Inputs!$B$24))="M"),AU45,IF(OR(UPPER(TRIM(Inputs!$B$24))="MAX",UPPER(TRIM(Inputs!$B$24))="X"),MAX(IF(AT45="",0,AT45),IF(AU45="",0,AU45)),AT45))))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IF(A46="","",2.78E-7*IF(G46="",Inputs!$B$17,G46)*F46*I46)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IF(A46="","",IF(OR(T46&gt;1,AND(AV46&lt;&gt;"",AV46&lt;Inputs!$B$11),AND(AV46&lt;&gt;"",AV46&gt;Inputs!$B$12),AA46&lt;Inputs!$B$19,AB46&lt;Inputs!$B$19,N46&lt;Inputs!$B$7,N46&gt;Inputs!$B$8),"CHECK","OK"))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  <c r="AT46" s="7">
        <f>IF(A46="","",U46)</f>
        <v/>
      </c>
      <c r="AU46" s="7">
        <f>IF(OR(R46="",N46=""),"",(1/Inputs!$B$9)*((R46/4)^(2/3))*SQRT(N46))</f>
        <v/>
      </c>
      <c r="AV46" s="7">
        <f>IF(A46="","",IF(AND(AT46="",AU46=""),"",IF(OR(UPPER(TRIM(Inputs!$B$24))="MANNING",UPPER(TRIM(Inputs!$B$24))="M"),AU46,IF(OR(UPPER(TRIM(Inputs!$B$24))="MAX",UPPER(TRIM(Inputs!$B$24))="X"),MAX(IF(AT46="",0,AT46),IF(AU46="",0,AU46)),AT46))))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IF(A47="","",2.78E-7*IF(G47="",Inputs!$B$17,G47)*F47*I47)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IF(A47="","",IF(OR(T47&gt;1,AND(AV47&lt;&gt;"",AV47&lt;Inputs!$B$11),AND(AV47&lt;&gt;"",AV47&gt;Inputs!$B$12),AA47&lt;Inputs!$B$19,AB47&lt;Inputs!$B$19,N47&lt;Inputs!$B$7,N47&gt;Inputs!$B$8),"CHECK","OK"))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  <c r="AT47" s="7">
        <f>IF(A47="","",U47)</f>
        <v/>
      </c>
      <c r="AU47" s="7">
        <f>IF(OR(R47="",N47=""),"",(1/Inputs!$B$9)*((R47/4)^(2/3))*SQRT(N47))</f>
        <v/>
      </c>
      <c r="AV47" s="7">
        <f>IF(A47="","",IF(AND(AT47="",AU47=""),"",IF(OR(UPPER(TRIM(Inputs!$B$24))="MANNING",UPPER(TRIM(Inputs!$B$24))="M"),AU47,IF(OR(UPPER(TRIM(Inputs!$B$24))="MAX",UPPER(TRIM(Inputs!$B$24))="X"),MAX(IF(AT47="",0,AT47),IF(AU47="",0,AU47)),AT47))))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IF(A48="","",2.78E-7*IF(G48="",Inputs!$B$17,G48)*F48*I48)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IF(A48="","",IF(OR(T48&gt;1,AND(AV48&lt;&gt;"",AV48&lt;Inputs!$B$11),AND(AV48&lt;&gt;"",AV48&gt;Inputs!$B$12),AA48&lt;Inputs!$B$19,AB48&lt;Inputs!$B$19,N48&lt;Inputs!$B$7,N48&gt;Inputs!$B$8),"CHECK","OK"))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  <c r="AT48" s="7">
        <f>IF(A48="","",U48)</f>
        <v/>
      </c>
      <c r="AU48" s="7">
        <f>IF(OR(R48="",N48=""),"",(1/Inputs!$B$9)*((R48/4)^(2/3))*SQRT(N48))</f>
        <v/>
      </c>
      <c r="AV48" s="7">
        <f>IF(A48="","",IF(AND(AT48="",AU48=""),"",IF(OR(UPPER(TRIM(Inputs!$B$24))="MANNING",UPPER(TRIM(Inputs!$B$24))="M"),AU48,IF(OR(UPPER(TRIM(Inputs!$B$24))="MAX",UPPER(TRIM(Inputs!$B$24))="X"),MAX(IF(AT48="",0,AT48),IF(AU48="",0,AU48)),AT48))))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IF(A49="","",2.78E-7*IF(G49="",Inputs!$B$17,G49)*F49*I49)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IF(A49="","",IF(OR(T49&gt;1,AND(AV49&lt;&gt;"",AV49&lt;Inputs!$B$11),AND(AV49&lt;&gt;"",AV49&gt;Inputs!$B$12),AA49&lt;Inputs!$B$19,AB49&lt;Inputs!$B$19,N49&lt;Inputs!$B$7,N49&gt;Inputs!$B$8),"CHECK","OK"))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  <c r="AT49" s="7">
        <f>IF(A49="","",U49)</f>
        <v/>
      </c>
      <c r="AU49" s="7">
        <f>IF(OR(R49="",N49=""),"",(1/Inputs!$B$9)*((R49/4)^(2/3))*SQRT(N49))</f>
        <v/>
      </c>
      <c r="AV49" s="7">
        <f>IF(A49="","",IF(AND(AT49="",AU49=""),"",IF(OR(UPPER(TRIM(Inputs!$B$24))="MANNING",UPPER(TRIM(Inputs!$B$24))="M"),AU49,IF(OR(UPPER(TRIM(Inputs!$B$24))="MAX",UPPER(TRIM(Inputs!$B$24))="X"),MAX(IF(AT49="",0,AT49),IF(AU49="",0,AU49)),AT49))))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IF(A50="","",2.78E-7*IF(G50="",Inputs!$B$17,G50)*F50*I50)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IF(A50="","",IF(OR(T50&gt;1,AND(AV50&lt;&gt;"",AV50&lt;Inputs!$B$11),AND(AV50&lt;&gt;"",AV50&gt;Inputs!$B$12),AA50&lt;Inputs!$B$19,AB50&lt;Inputs!$B$19,N50&lt;Inputs!$B$7,N50&gt;Inputs!$B$8),"CHECK","OK"))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  <c r="AT50" s="7">
        <f>IF(A50="","",U50)</f>
        <v/>
      </c>
      <c r="AU50" s="7">
        <f>IF(OR(R50="",N50=""),"",(1/Inputs!$B$9)*((R50/4)^(2/3))*SQRT(N50))</f>
        <v/>
      </c>
      <c r="AV50" s="7">
        <f>IF(A50="","",IF(AND(AT50="",AU50=""),"",IF(OR(UPPER(TRIM(Inputs!$B$24))="MANNING",UPPER(TRIM(Inputs!$B$24))="M"),AU50,IF(OR(UPPER(TRIM(Inputs!$B$24))="MAX",UPPER(TRIM(Inputs!$B$24))="X"),MAX(IF(AT50="",0,AT50),IF(AU50="",0,AU50)),AT50))))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IF(A51="","",2.78E-7*IF(G51="",Inputs!$B$17,G51)*F51*I51)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IF(A51="","",IF(OR(T51&gt;1,AND(AV51&lt;&gt;"",AV51&lt;Inputs!$B$11),AND(AV51&lt;&gt;"",AV51&gt;Inputs!$B$12),AA51&lt;Inputs!$B$19,AB51&lt;Inputs!$B$19,N51&lt;Inputs!$B$7,N51&gt;Inputs!$B$8),"CHECK","OK"))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  <c r="AT51" s="7">
        <f>IF(A51="","",U51)</f>
        <v/>
      </c>
      <c r="AU51" s="7">
        <f>IF(OR(R51="",N51=""),"",(1/Inputs!$B$9)*((R51/4)^(2/3))*SQRT(N51))</f>
        <v/>
      </c>
      <c r="AV51" s="7">
        <f>IF(A51="","",IF(AND(AT51="",AU51=""),"",IF(OR(UPPER(TRIM(Inputs!$B$24))="MANNING",UPPER(TRIM(Inputs!$B$24))="M"),AU51,IF(OR(UPPER(TRIM(Inputs!$B$24))="MAX",UPPER(TRIM(Inputs!$B$24))="X"),MAX(IF(AT51="",0,AT51),IF(AU51="",0,AU51)),AT51))))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IF(A52="","",2.78E-7*IF(G52="",Inputs!$B$17,G52)*F52*I52)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IF(A52="","",IF(OR(T52&gt;1,AND(AV52&lt;&gt;"",AV52&lt;Inputs!$B$11),AND(AV52&lt;&gt;"",AV52&gt;Inputs!$B$12),AA52&lt;Inputs!$B$19,AB52&lt;Inputs!$B$19,N52&lt;Inputs!$B$7,N52&gt;Inputs!$B$8),"CHECK","OK"))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  <c r="AT52" s="7">
        <f>IF(A52="","",U52)</f>
        <v/>
      </c>
      <c r="AU52" s="7">
        <f>IF(OR(R52="",N52=""),"",(1/Inputs!$B$9)*((R52/4)^(2/3))*SQRT(N52))</f>
        <v/>
      </c>
      <c r="AV52" s="7">
        <f>IF(A52="","",IF(AND(AT52="",AU52=""),"",IF(OR(UPPER(TRIM(Inputs!$B$24))="MANNING",UPPER(TRIM(Inputs!$B$24))="M"),AU52,IF(OR(UPPER(TRIM(Inputs!$B$24))="MAX",UPPER(TRIM(Inputs!$B$24))="X"),MAX(IF(AT52="",0,AT52),IF(AU52="",0,AU52)),AT52))))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IF(A53="","",2.78E-7*IF(G53="",Inputs!$B$17,G53)*F53*I53)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IF(A53="","",IF(OR(T53&gt;1,AND(AV53&lt;&gt;"",AV53&lt;Inputs!$B$11),AND(AV53&lt;&gt;"",AV53&gt;Inputs!$B$12),AA53&lt;Inputs!$B$19,AB53&lt;Inputs!$B$19,N53&lt;Inputs!$B$7,N53&gt;Inputs!$B$8),"CHECK","OK"))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  <c r="AT53" s="7">
        <f>IF(A53="","",U53)</f>
        <v/>
      </c>
      <c r="AU53" s="7">
        <f>IF(OR(R53="",N53=""),"",(1/Inputs!$B$9)*((R53/4)^(2/3))*SQRT(N53))</f>
        <v/>
      </c>
      <c r="AV53" s="7">
        <f>IF(A53="","",IF(AND(AT53="",AU53=""),"",IF(OR(UPPER(TRIM(Inputs!$B$24))="MANNING",UPPER(TRIM(Inputs!$B$24))="M"),AU53,IF(OR(UPPER(TRIM(Inputs!$B$24))="MAX",UPPER(TRIM(Inputs!$B$24))="X"),MAX(IF(AT53="",0,AT53),IF(AU53="",0,AU53)),AT53))))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IF(A54="","",2.78E-7*IF(G54="",Inputs!$B$17,G54)*F54*I54)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IF(A54="","",IF(OR(T54&gt;1,AND(AV54&lt;&gt;"",AV54&lt;Inputs!$B$11),AND(AV54&lt;&gt;"",AV54&gt;Inputs!$B$12),AA54&lt;Inputs!$B$19,AB54&lt;Inputs!$B$19,N54&lt;Inputs!$B$7,N54&gt;Inputs!$B$8),"CHECK","OK"))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  <c r="AT54" s="7">
        <f>IF(A54="","",U54)</f>
        <v/>
      </c>
      <c r="AU54" s="7">
        <f>IF(OR(R54="",N54=""),"",(1/Inputs!$B$9)*((R54/4)^(2/3))*SQRT(N54))</f>
        <v/>
      </c>
      <c r="AV54" s="7">
        <f>IF(A54="","",IF(AND(AT54="",AU54=""),"",IF(OR(UPPER(TRIM(Inputs!$B$24))="MANNING",UPPER(TRIM(Inputs!$B$24))="M"),AU54,IF(OR(UPPER(TRIM(Inputs!$B$24))="MAX",UPPER(TRIM(Inputs!$B$24))="X"),MAX(IF(AT54="",0,AT54),IF(AU54="",0,AU54)),AT54))))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IF(A55="","",2.78E-7*IF(G55="",Inputs!$B$17,G55)*F55*I55)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IF(A55="","",IF(OR(T55&gt;1,AND(AV55&lt;&gt;"",AV55&lt;Inputs!$B$11),AND(AV55&lt;&gt;"",AV55&gt;Inputs!$B$12),AA55&lt;Inputs!$B$19,AB55&lt;Inputs!$B$19,N55&lt;Inputs!$B$7,N55&gt;Inputs!$B$8),"CHECK","OK"))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  <c r="AT55" s="7">
        <f>IF(A55="","",U55)</f>
        <v/>
      </c>
      <c r="AU55" s="7">
        <f>IF(OR(R55="",N55=""),"",(1/Inputs!$B$9)*((R55/4)^(2/3))*SQRT(N55))</f>
        <v/>
      </c>
      <c r="AV55" s="7">
        <f>IF(A55="","",IF(AND(AT55="",AU55=""),"",IF(OR(UPPER(TRIM(Inputs!$B$24))="MANNING",UPPER(TRIM(Inputs!$B$24))="M"),AU55,IF(OR(UPPER(TRIM(Inputs!$B$24))="MAX",UPPER(TRIM(Inputs!$B$24))="X"),MAX(IF(AT55="",0,AT55),IF(AU55="",0,AU55)),AT55))))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IF(A56="","",2.78E-7*IF(G56="",Inputs!$B$17,G56)*F56*I56)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IF(A56="","",IF(OR(T56&gt;1,AND(AV56&lt;&gt;"",AV56&lt;Inputs!$B$11),AND(AV56&lt;&gt;"",AV56&gt;Inputs!$B$12),AA56&lt;Inputs!$B$19,AB56&lt;Inputs!$B$19,N56&lt;Inputs!$B$7,N56&gt;Inputs!$B$8),"CHECK","OK"))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  <c r="AT56" s="7">
        <f>IF(A56="","",U56)</f>
        <v/>
      </c>
      <c r="AU56" s="7">
        <f>IF(OR(R56="",N56=""),"",(1/Inputs!$B$9)*((R56/4)^(2/3))*SQRT(N56))</f>
        <v/>
      </c>
      <c r="AV56" s="7">
        <f>IF(A56="","",IF(AND(AT56="",AU56=""),"",IF(OR(UPPER(TRIM(Inputs!$B$24))="MANNING",UPPER(TRIM(Inputs!$B$24))="M"),AU56,IF(OR(UPPER(TRIM(Inputs!$B$24))="MAX",UPPER(TRIM(Inputs!$B$24))="X"),MAX(IF(AT56="",0,AT56),IF(AU56="",0,AU56)),AT56))))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IF(A57="","",2.78E-7*IF(G57="",Inputs!$B$17,G57)*F57*I57)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IF(A57="","",IF(OR(T57&gt;1,AND(AV57&lt;&gt;"",AV57&lt;Inputs!$B$11),AND(AV57&lt;&gt;"",AV57&gt;Inputs!$B$12),AA57&lt;Inputs!$B$19,AB57&lt;Inputs!$B$19,N57&lt;Inputs!$B$7,N57&gt;Inputs!$B$8),"CHECK","OK"))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  <c r="AT57" s="7">
        <f>IF(A57="","",U57)</f>
        <v/>
      </c>
      <c r="AU57" s="7">
        <f>IF(OR(R57="",N57=""),"",(1/Inputs!$B$9)*((R57/4)^(2/3))*SQRT(N57))</f>
        <v/>
      </c>
      <c r="AV57" s="7">
        <f>IF(A57="","",IF(AND(AT57="",AU57=""),"",IF(OR(UPPER(TRIM(Inputs!$B$24))="MANNING",UPPER(TRIM(Inputs!$B$24))="M"),AU57,IF(OR(UPPER(TRIM(Inputs!$B$24))="MAX",UPPER(TRIM(Inputs!$B$24))="X"),MAX(IF(AT57="",0,AT57),IF(AU57="",0,AU57)),AT57))))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IF(A58="","",2.78E-7*IF(G58="",Inputs!$B$17,G58)*F58*I58)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IF(A58="","",IF(OR(T58&gt;1,AND(AV58&lt;&gt;"",AV58&lt;Inputs!$B$11),AND(AV58&lt;&gt;"",AV58&gt;Inputs!$B$12),AA58&lt;Inputs!$B$19,AB58&lt;Inputs!$B$19,N58&lt;Inputs!$B$7,N58&gt;Inputs!$B$8),"CHECK","OK"))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  <c r="AT58" s="7">
        <f>IF(A58="","",U58)</f>
        <v/>
      </c>
      <c r="AU58" s="7">
        <f>IF(OR(R58="",N58=""),"",(1/Inputs!$B$9)*((R58/4)^(2/3))*SQRT(N58))</f>
        <v/>
      </c>
      <c r="AV58" s="7">
        <f>IF(A58="","",IF(AND(AT58="",AU58=""),"",IF(OR(UPPER(TRIM(Inputs!$B$24))="MANNING",UPPER(TRIM(Inputs!$B$24))="M"),AU58,IF(OR(UPPER(TRIM(Inputs!$B$24))="MAX",UPPER(TRIM(Inputs!$B$24))="X"),MAX(IF(AT58="",0,AT58),IF(AU58="",0,AU58)),AT58))))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IF(A59="","",2.78E-7*IF(G59="",Inputs!$B$17,G59)*F59*I59)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IF(A59="","",IF(OR(T59&gt;1,AND(AV59&lt;&gt;"",AV59&lt;Inputs!$B$11),AND(AV59&lt;&gt;"",AV59&gt;Inputs!$B$12),AA59&lt;Inputs!$B$19,AB59&lt;Inputs!$B$19,N59&lt;Inputs!$B$7,N59&gt;Inputs!$B$8),"CHECK","OK"))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  <c r="AT59" s="7">
        <f>IF(A59="","",U59)</f>
        <v/>
      </c>
      <c r="AU59" s="7">
        <f>IF(OR(R59="",N59=""),"",(1/Inputs!$B$9)*((R59/4)^(2/3))*SQRT(N59))</f>
        <v/>
      </c>
      <c r="AV59" s="7">
        <f>IF(A59="","",IF(AND(AT59="",AU59=""),"",IF(OR(UPPER(TRIM(Inputs!$B$24))="MANNING",UPPER(TRIM(Inputs!$B$24))="M"),AU59,IF(OR(UPPER(TRIM(Inputs!$B$24))="MAX",UPPER(TRIM(Inputs!$B$24))="X"),MAX(IF(AT59="",0,AT59),IF(AU59="",0,AU59)),AT59))))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IF(A60="","",2.78E-7*IF(G60="",Inputs!$B$17,G60)*F60*I60)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IF(A60="","",IF(OR(T60&gt;1,AND(AV60&lt;&gt;"",AV60&lt;Inputs!$B$11),AND(AV60&lt;&gt;"",AV60&gt;Inputs!$B$12),AA60&lt;Inputs!$B$19,AB60&lt;Inputs!$B$19,N60&lt;Inputs!$B$7,N60&gt;Inputs!$B$8),"CHECK","OK"))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  <c r="AT60" s="7">
        <f>IF(A60="","",U60)</f>
        <v/>
      </c>
      <c r="AU60" s="7">
        <f>IF(OR(R60="",N60=""),"",(1/Inputs!$B$9)*((R60/4)^(2/3))*SQRT(N60))</f>
        <v/>
      </c>
      <c r="AV60" s="7">
        <f>IF(A60="","",IF(AND(AT60="",AU60=""),"",IF(OR(UPPER(TRIM(Inputs!$B$24))="MANNING",UPPER(TRIM(Inputs!$B$24))="M"),AU60,IF(OR(UPPER(TRIM(Inputs!$B$24))="MAX",UPPER(TRIM(Inputs!$B$24))="X"),MAX(IF(AT60="",0,AT60),IF(AU60="",0,AU60)),AT60))))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IF(A61="","",2.78E-7*IF(G61="",Inputs!$B$17,G61)*F61*I61)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IF(A61="","",IF(OR(T61&gt;1,AND(AV61&lt;&gt;"",AV61&lt;Inputs!$B$11),AND(AV61&lt;&gt;"",AV61&gt;Inputs!$B$12),AA61&lt;Inputs!$B$19,AB61&lt;Inputs!$B$19,N61&lt;Inputs!$B$7,N61&gt;Inputs!$B$8),"CHECK","OK"))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  <c r="AT61" s="7">
        <f>IF(A61="","",U61)</f>
        <v/>
      </c>
      <c r="AU61" s="7">
        <f>IF(OR(R61="",N61=""),"",(1/Inputs!$B$9)*((R61/4)^(2/3))*SQRT(N61))</f>
        <v/>
      </c>
      <c r="AV61" s="7">
        <f>IF(A61="","",IF(AND(AT61="",AU61=""),"",IF(OR(UPPER(TRIM(Inputs!$B$24))="MANNING",UPPER(TRIM(Inputs!$B$24))="M"),AU61,IF(OR(UPPER(TRIM(Inputs!$B$24))="MAX",UPPER(TRIM(Inputs!$B$24))="X"),MAX(IF(AT61="",0,AT61),IF(AU61="",0,AU61)),AT61))))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IF(A62="","",2.78E-7*IF(G62="",Inputs!$B$17,G62)*F62*I62)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IF(A62="","",IF(OR(T62&gt;1,AND(AV62&lt;&gt;"",AV62&lt;Inputs!$B$11),AND(AV62&lt;&gt;"",AV62&gt;Inputs!$B$12),AA62&lt;Inputs!$B$19,AB62&lt;Inputs!$B$19,N62&lt;Inputs!$B$7,N62&gt;Inputs!$B$8),"CHECK","OK"))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  <c r="AT62" s="7">
        <f>IF(A62="","",U62)</f>
        <v/>
      </c>
      <c r="AU62" s="7">
        <f>IF(OR(R62="",N62=""),"",(1/Inputs!$B$9)*((R62/4)^(2/3))*SQRT(N62))</f>
        <v/>
      </c>
      <c r="AV62" s="7">
        <f>IF(A62="","",IF(AND(AT62="",AU62=""),"",IF(OR(UPPER(TRIM(Inputs!$B$24))="MANNING",UPPER(TRIM(Inputs!$B$24))="M"),AU62,IF(OR(UPPER(TRIM(Inputs!$B$24))="MAX",UPPER(TRIM(Inputs!$B$24))="X"),MAX(IF(AT62="",0,AT62),IF(AU62="",0,AU62)),AT62))))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IF(A63="","",2.78E-7*IF(G63="",Inputs!$B$17,G63)*F63*I63)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IF(A63="","",IF(OR(T63&gt;1,AND(AV63&lt;&gt;"",AV63&lt;Inputs!$B$11),AND(AV63&lt;&gt;"",AV63&gt;Inputs!$B$12),AA63&lt;Inputs!$B$19,AB63&lt;Inputs!$B$19,N63&lt;Inputs!$B$7,N63&gt;Inputs!$B$8),"CHECK","OK"))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  <c r="AT63" s="7">
        <f>IF(A63="","",U63)</f>
        <v/>
      </c>
      <c r="AU63" s="7">
        <f>IF(OR(R63="",N63=""),"",(1/Inputs!$B$9)*((R63/4)^(2/3))*SQRT(N63))</f>
        <v/>
      </c>
      <c r="AV63" s="7">
        <f>IF(A63="","",IF(AND(AT63="",AU63=""),"",IF(OR(UPPER(TRIM(Inputs!$B$24))="MANNING",UPPER(TRIM(Inputs!$B$24))="M"),AU63,IF(OR(UPPER(TRIM(Inputs!$B$24))="MAX",UPPER(TRIM(Inputs!$B$24))="X"),MAX(IF(AT63="",0,AT63),IF(AU63="",0,AU63)),AT63))))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IF(A64="","",2.78E-7*IF(G64="",Inputs!$B$17,G64)*F64*I64)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IF(A64="","",IF(OR(T64&gt;1,AND(AV64&lt;&gt;"",AV64&lt;Inputs!$B$11),AND(AV64&lt;&gt;"",AV64&gt;Inputs!$B$12),AA64&lt;Inputs!$B$19,AB64&lt;Inputs!$B$19,N64&lt;Inputs!$B$7,N64&gt;Inputs!$B$8),"CHECK","OK"))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  <c r="AT64" s="7">
        <f>IF(A64="","",U64)</f>
        <v/>
      </c>
      <c r="AU64" s="7">
        <f>IF(OR(R64="",N64=""),"",(1/Inputs!$B$9)*((R64/4)^(2/3))*SQRT(N64))</f>
        <v/>
      </c>
      <c r="AV64" s="7">
        <f>IF(A64="","",IF(AND(AT64="",AU64=""),"",IF(OR(UPPER(TRIM(Inputs!$B$24))="MANNING",UPPER(TRIM(Inputs!$B$24))="M"),AU64,IF(OR(UPPER(TRIM(Inputs!$B$24))="MAX",UPPER(TRIM(Inputs!$B$24))="X"),MAX(IF(AT64="",0,AT64),IF(AU64="",0,AU64)),AT64))))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IF(A65="","",2.78E-7*IF(G65="",Inputs!$B$17,G65)*F65*I65)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IF(A65="","",IF(OR(T65&gt;1,AND(AV65&lt;&gt;"",AV65&lt;Inputs!$B$11),AND(AV65&lt;&gt;"",AV65&gt;Inputs!$B$12),AA65&lt;Inputs!$B$19,AB65&lt;Inputs!$B$19,N65&lt;Inputs!$B$7,N65&gt;Inputs!$B$8),"CHECK","OK"))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  <c r="AT65" s="7">
        <f>IF(A65="","",U65)</f>
        <v/>
      </c>
      <c r="AU65" s="7">
        <f>IF(OR(R65="",N65=""),"",(1/Inputs!$B$9)*((R65/4)^(2/3))*SQRT(N65))</f>
        <v/>
      </c>
      <c r="AV65" s="7">
        <f>IF(A65="","",IF(AND(AT65="",AU65=""),"",IF(OR(UPPER(TRIM(Inputs!$B$24))="MANNING",UPPER(TRIM(Inputs!$B$24))="M"),AU65,IF(OR(UPPER(TRIM(Inputs!$B$24))="MAX",UPPER(TRIM(Inputs!$B$24))="X"),MAX(IF(AT65="",0,AT65),IF(AU65="",0,AU65)),AT65))))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IF(A66="","",2.78E-7*IF(G66="",Inputs!$B$17,G66)*F66*I66)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IF(A66="","",IF(OR(T66&gt;1,AND(AV66&lt;&gt;"",AV66&lt;Inputs!$B$11),AND(AV66&lt;&gt;"",AV66&gt;Inputs!$B$12),AA66&lt;Inputs!$B$19,AB66&lt;Inputs!$B$19,N66&lt;Inputs!$B$7,N66&gt;Inputs!$B$8),"CHECK","OK"))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  <c r="AT66" s="7">
        <f>IF(A66="","",U66)</f>
        <v/>
      </c>
      <c r="AU66" s="7">
        <f>IF(OR(R66="",N66=""),"",(1/Inputs!$B$9)*((R66/4)^(2/3))*SQRT(N66))</f>
        <v/>
      </c>
      <c r="AV66" s="7">
        <f>IF(A66="","",IF(AND(AT66="",AU66=""),"",IF(OR(UPPER(TRIM(Inputs!$B$24))="MANNING",UPPER(TRIM(Inputs!$B$24))="M"),AU66,IF(OR(UPPER(TRIM(Inputs!$B$24))="MAX",UPPER(TRIM(Inputs!$B$24))="X"),MAX(IF(AT66="",0,AT66),IF(AU66="",0,AU66)),AT66))))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IF(A67="","",2.78E-7*IF(G67="",Inputs!$B$17,G67)*F67*I67)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IF(A67="","",IF(OR(T67&gt;1,AND(AV67&lt;&gt;"",AV67&lt;Inputs!$B$11),AND(AV67&lt;&gt;"",AV67&gt;Inputs!$B$12),AA67&lt;Inputs!$B$19,AB67&lt;Inputs!$B$19,N67&lt;Inputs!$B$7,N67&gt;Inputs!$B$8),"CHECK","OK"))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  <c r="AT67" s="7">
        <f>IF(A67="","",U67)</f>
        <v/>
      </c>
      <c r="AU67" s="7">
        <f>IF(OR(R67="",N67=""),"",(1/Inputs!$B$9)*((R67/4)^(2/3))*SQRT(N67))</f>
        <v/>
      </c>
      <c r="AV67" s="7">
        <f>IF(A67="","",IF(AND(AT67="",AU67=""),"",IF(OR(UPPER(TRIM(Inputs!$B$24))="MANNING",UPPER(TRIM(Inputs!$B$24))="M"),AU67,IF(OR(UPPER(TRIM(Inputs!$B$24))="MAX",UPPER(TRIM(Inputs!$B$24))="X"),MAX(IF(AT67="",0,AT67),IF(AU67="",0,AU67)),AT67))))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IF(A68="","",2.78E-7*IF(G68="",Inputs!$B$17,G68)*F68*I68)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IF(A68="","",IF(OR(T68&gt;1,AND(AV68&lt;&gt;"",AV68&lt;Inputs!$B$11),AND(AV68&lt;&gt;"",AV68&gt;Inputs!$B$12),AA68&lt;Inputs!$B$19,AB68&lt;Inputs!$B$19,N68&lt;Inputs!$B$7,N68&gt;Inputs!$B$8),"CHECK","OK"))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  <c r="AT68" s="7">
        <f>IF(A68="","",U68)</f>
        <v/>
      </c>
      <c r="AU68" s="7">
        <f>IF(OR(R68="",N68=""),"",(1/Inputs!$B$9)*((R68/4)^(2/3))*SQRT(N68))</f>
        <v/>
      </c>
      <c r="AV68" s="7">
        <f>IF(A68="","",IF(AND(AT68="",AU68=""),"",IF(OR(UPPER(TRIM(Inputs!$B$24))="MANNING",UPPER(TRIM(Inputs!$B$24))="M"),AU68,IF(OR(UPPER(TRIM(Inputs!$B$24))="MAX",UPPER(TRIM(Inputs!$B$24))="X"),MAX(IF(AT68="",0,AT68),IF(AU68="",0,AU68)),AT68))))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IF(A69="","",2.78E-7*IF(G69="",Inputs!$B$17,G69)*F69*I69)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IF(A69="","",IF(OR(T69&gt;1,AND(AV69&lt;&gt;"",AV69&lt;Inputs!$B$11),AND(AV69&lt;&gt;"",AV69&gt;Inputs!$B$12),AA69&lt;Inputs!$B$19,AB69&lt;Inputs!$B$19,N69&lt;Inputs!$B$7,N69&gt;Inputs!$B$8),"CHECK","OK"))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  <c r="AT69" s="7">
        <f>IF(A69="","",U69)</f>
        <v/>
      </c>
      <c r="AU69" s="7">
        <f>IF(OR(R69="",N69=""),"",(1/Inputs!$B$9)*((R69/4)^(2/3))*SQRT(N69))</f>
        <v/>
      </c>
      <c r="AV69" s="7">
        <f>IF(A69="","",IF(AND(AT69="",AU69=""),"",IF(OR(UPPER(TRIM(Inputs!$B$24))="MANNING",UPPER(TRIM(Inputs!$B$24))="M"),AU69,IF(OR(UPPER(TRIM(Inputs!$B$24))="MAX",UPPER(TRIM(Inputs!$B$24))="X"),MAX(IF(AT69="",0,AT69),IF(AU69="",0,AU69)),AT69))))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IF(A70="","",2.78E-7*IF(G70="",Inputs!$B$17,G70)*F70*I70)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IF(A70="","",IF(OR(T70&gt;1,AND(AV70&lt;&gt;"",AV70&lt;Inputs!$B$11),AND(AV70&lt;&gt;"",AV70&gt;Inputs!$B$12),AA70&lt;Inputs!$B$19,AB70&lt;Inputs!$B$19,N70&lt;Inputs!$B$7,N70&gt;Inputs!$B$8),"CHECK","OK"))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  <c r="AT70" s="7">
        <f>IF(A70="","",U70)</f>
        <v/>
      </c>
      <c r="AU70" s="7">
        <f>IF(OR(R70="",N70=""),"",(1/Inputs!$B$9)*((R70/4)^(2/3))*SQRT(N70))</f>
        <v/>
      </c>
      <c r="AV70" s="7">
        <f>IF(A70="","",IF(AND(AT70="",AU70=""),"",IF(OR(UPPER(TRIM(Inputs!$B$24))="MANNING",UPPER(TRIM(Inputs!$B$24))="M"),AU70,IF(OR(UPPER(TRIM(Inputs!$B$24))="MAX",UPPER(TRIM(Inputs!$B$24))="X"),MAX(IF(AT70="",0,AT70),IF(AU70="",0,AU70)),AT70))))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IF(A71="","",2.78E-7*IF(G71="",Inputs!$B$17,G71)*F71*I71)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IF(A71="","",IF(OR(T71&gt;1,AND(AV71&lt;&gt;"",AV71&lt;Inputs!$B$11),AND(AV71&lt;&gt;"",AV71&gt;Inputs!$B$12),AA71&lt;Inputs!$B$19,AB71&lt;Inputs!$B$19,N71&lt;Inputs!$B$7,N71&gt;Inputs!$B$8),"CHECK","OK"))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  <c r="AT71" s="7">
        <f>IF(A71="","",U71)</f>
        <v/>
      </c>
      <c r="AU71" s="7">
        <f>IF(OR(R71="",N71=""),"",(1/Inputs!$B$9)*((R71/4)^(2/3))*SQRT(N71))</f>
        <v/>
      </c>
      <c r="AV71" s="7">
        <f>IF(A71="","",IF(AND(AT71="",AU71=""),"",IF(OR(UPPER(TRIM(Inputs!$B$24))="MANNING",UPPER(TRIM(Inputs!$B$24))="M"),AU71,IF(OR(UPPER(TRIM(Inputs!$B$24))="MAX",UPPER(TRIM(Inputs!$B$24))="X"),MAX(IF(AT71="",0,AT71),IF(AU71="",0,AU71)),AT71))))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IF(A72="","",2.78E-7*IF(G72="",Inputs!$B$17,G72)*F72*I72)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IF(A72="","",IF(OR(T72&gt;1,AND(AV72&lt;&gt;"",AV72&lt;Inputs!$B$11),AND(AV72&lt;&gt;"",AV72&gt;Inputs!$B$12),AA72&lt;Inputs!$B$19,AB72&lt;Inputs!$B$19,N72&lt;Inputs!$B$7,N72&gt;Inputs!$B$8),"CHECK","OK"))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  <c r="AT72" s="7">
        <f>IF(A72="","",U72)</f>
        <v/>
      </c>
      <c r="AU72" s="7">
        <f>IF(OR(R72="",N72=""),"",(1/Inputs!$B$9)*((R72/4)^(2/3))*SQRT(N72))</f>
        <v/>
      </c>
      <c r="AV72" s="7">
        <f>IF(A72="","",IF(AND(AT72="",AU72=""),"",IF(OR(UPPER(TRIM(Inputs!$B$24))="MANNING",UPPER(TRIM(Inputs!$B$24))="M"),AU72,IF(OR(UPPER(TRIM(Inputs!$B$24))="MAX",UPPER(TRIM(Inputs!$B$24))="X"),MAX(IF(AT72="",0,AT72),IF(AU72="",0,AU72)),AT72))))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IF(A73="","",2.78E-7*IF(G73="",Inputs!$B$17,G73)*F73*I73)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IF(A73="","",IF(OR(T73&gt;1,AND(AV73&lt;&gt;"",AV73&lt;Inputs!$B$11),AND(AV73&lt;&gt;"",AV73&gt;Inputs!$B$12),AA73&lt;Inputs!$B$19,AB73&lt;Inputs!$B$19,N73&lt;Inputs!$B$7,N73&gt;Inputs!$B$8),"CHECK","OK"))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  <c r="AT73" s="7">
        <f>IF(A73="","",U73)</f>
        <v/>
      </c>
      <c r="AU73" s="7">
        <f>IF(OR(R73="",N73=""),"",(1/Inputs!$B$9)*((R73/4)^(2/3))*SQRT(N73))</f>
        <v/>
      </c>
      <c r="AV73" s="7">
        <f>IF(A73="","",IF(AND(AT73="",AU73=""),"",IF(OR(UPPER(TRIM(Inputs!$B$24))="MANNING",UPPER(TRIM(Inputs!$B$24))="M"),AU73,IF(OR(UPPER(TRIM(Inputs!$B$24))="MAX",UPPER(TRIM(Inputs!$B$24))="X"),MAX(IF(AT73="",0,AT73),IF(AU73="",0,AU73)),AT73))))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IF(A74="","",2.78E-7*IF(G74="",Inputs!$B$17,G74)*F74*I74)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IF(A74="","",IF(OR(T74&gt;1,AND(AV74&lt;&gt;"",AV74&lt;Inputs!$B$11),AND(AV74&lt;&gt;"",AV74&gt;Inputs!$B$12),AA74&lt;Inputs!$B$19,AB74&lt;Inputs!$B$19,N74&lt;Inputs!$B$7,N74&gt;Inputs!$B$8),"CHECK","OK"))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  <c r="AT74" s="7">
        <f>IF(A74="","",U74)</f>
        <v/>
      </c>
      <c r="AU74" s="7">
        <f>IF(OR(R74="",N74=""),"",(1/Inputs!$B$9)*((R74/4)^(2/3))*SQRT(N74))</f>
        <v/>
      </c>
      <c r="AV74" s="7">
        <f>IF(A74="","",IF(AND(AT74="",AU74=""),"",IF(OR(UPPER(TRIM(Inputs!$B$24))="MANNING",UPPER(TRIM(Inputs!$B$24))="M"),AU74,IF(OR(UPPER(TRIM(Inputs!$B$24))="MAX",UPPER(TRIM(Inputs!$B$24))="X"),MAX(IF(AT74="",0,AT74),IF(AU74="",0,AU74)),AT74))))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IF(A75="","",2.78E-7*IF(G75="",Inputs!$B$17,G75)*F75*I75)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IF(A75="","",IF(OR(T75&gt;1,AND(AV75&lt;&gt;"",AV75&lt;Inputs!$B$11),AND(AV75&lt;&gt;"",AV75&gt;Inputs!$B$12),AA75&lt;Inputs!$B$19,AB75&lt;Inputs!$B$19,N75&lt;Inputs!$B$7,N75&gt;Inputs!$B$8),"CHECK","OK"))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  <c r="AT75" s="7">
        <f>IF(A75="","",U75)</f>
        <v/>
      </c>
      <c r="AU75" s="7">
        <f>IF(OR(R75="",N75=""),"",(1/Inputs!$B$9)*((R75/4)^(2/3))*SQRT(N75))</f>
        <v/>
      </c>
      <c r="AV75" s="7">
        <f>IF(A75="","",IF(AND(AT75="",AU75=""),"",IF(OR(UPPER(TRIM(Inputs!$B$24))="MANNING",UPPER(TRIM(Inputs!$B$24))="M"),AU75,IF(OR(UPPER(TRIM(Inputs!$B$24))="MAX",UPPER(TRIM(Inputs!$B$24))="X"),MAX(IF(AT75="",0,AT75),IF(AU75="",0,AU75)),AT75))))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IF(A76="","",2.78E-7*IF(G76="",Inputs!$B$17,G76)*F76*I76)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IF(A76="","",IF(OR(T76&gt;1,AND(AV76&lt;&gt;"",AV76&lt;Inputs!$B$11),AND(AV76&lt;&gt;"",AV76&gt;Inputs!$B$12),AA76&lt;Inputs!$B$19,AB76&lt;Inputs!$B$19,N76&lt;Inputs!$B$7,N76&gt;Inputs!$B$8),"CHECK","OK"))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  <c r="AT76" s="7">
        <f>IF(A76="","",U76)</f>
        <v/>
      </c>
      <c r="AU76" s="7">
        <f>IF(OR(R76="",N76=""),"",(1/Inputs!$B$9)*((R76/4)^(2/3))*SQRT(N76))</f>
        <v/>
      </c>
      <c r="AV76" s="7">
        <f>IF(A76="","",IF(AND(AT76="",AU76=""),"",IF(OR(UPPER(TRIM(Inputs!$B$24))="MANNING",UPPER(TRIM(Inputs!$B$24))="M"),AU76,IF(OR(UPPER(TRIM(Inputs!$B$24))="MAX",UPPER(TRIM(Inputs!$B$24))="X"),MAX(IF(AT76="",0,AT76),IF(AU76="",0,AU76)),AT76))))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IF(A77="","",2.78E-7*IF(G77="",Inputs!$B$17,G77)*F77*I77)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IF(A77="","",IF(OR(T77&gt;1,AND(AV77&lt;&gt;"",AV77&lt;Inputs!$B$11),AND(AV77&lt;&gt;"",AV77&gt;Inputs!$B$12),AA77&lt;Inputs!$B$19,AB77&lt;Inputs!$B$19,N77&lt;Inputs!$B$7,N77&gt;Inputs!$B$8),"CHECK","OK"))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  <c r="AT77" s="7">
        <f>IF(A77="","",U77)</f>
        <v/>
      </c>
      <c r="AU77" s="7">
        <f>IF(OR(R77="",N77=""),"",(1/Inputs!$B$9)*((R77/4)^(2/3))*SQRT(N77))</f>
        <v/>
      </c>
      <c r="AV77" s="7">
        <f>IF(A77="","",IF(AND(AT77="",AU77=""),"",IF(OR(UPPER(TRIM(Inputs!$B$24))="MANNING",UPPER(TRIM(Inputs!$B$24))="M"),AU77,IF(OR(UPPER(TRIM(Inputs!$B$24))="MAX",UPPER(TRIM(Inputs!$B$24))="X"),MAX(IF(AT77="",0,AT77),IF(AU77="",0,AU77)),AT77))))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IF(A78="","",2.78E-7*IF(G78="",Inputs!$B$17,G78)*F78*I78)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IF(A78="","",IF(OR(T78&gt;1,AND(AV78&lt;&gt;"",AV78&lt;Inputs!$B$11),AND(AV78&lt;&gt;"",AV78&gt;Inputs!$B$12),AA78&lt;Inputs!$B$19,AB78&lt;Inputs!$B$19,N78&lt;Inputs!$B$7,N78&gt;Inputs!$B$8),"CHECK","OK"))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  <c r="AT78" s="7">
        <f>IF(A78="","",U78)</f>
        <v/>
      </c>
      <c r="AU78" s="7">
        <f>IF(OR(R78="",N78=""),"",(1/Inputs!$B$9)*((R78/4)^(2/3))*SQRT(N78))</f>
        <v/>
      </c>
      <c r="AV78" s="7">
        <f>IF(A78="","",IF(AND(AT78="",AU78=""),"",IF(OR(UPPER(TRIM(Inputs!$B$24))="MANNING",UPPER(TRIM(Inputs!$B$24))="M"),AU78,IF(OR(UPPER(TRIM(Inputs!$B$24))="MAX",UPPER(TRIM(Inputs!$B$24))="X"),MAX(IF(AT78="",0,AT78),IF(AU78="",0,AU78)),AT78))))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IF(A79="","",2.78E-7*IF(G79="",Inputs!$B$17,G79)*F79*I79)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IF(A79="","",IF(OR(T79&gt;1,AND(AV79&lt;&gt;"",AV79&lt;Inputs!$B$11),AND(AV79&lt;&gt;"",AV79&gt;Inputs!$B$12),AA79&lt;Inputs!$B$19,AB79&lt;Inputs!$B$19,N79&lt;Inputs!$B$7,N79&gt;Inputs!$B$8),"CHECK","OK"))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  <c r="AT79" s="7">
        <f>IF(A79="","",U79)</f>
        <v/>
      </c>
      <c r="AU79" s="7">
        <f>IF(OR(R79="",N79=""),"",(1/Inputs!$B$9)*((R79/4)^(2/3))*SQRT(N79))</f>
        <v/>
      </c>
      <c r="AV79" s="7">
        <f>IF(A79="","",IF(AND(AT79="",AU79=""),"",IF(OR(UPPER(TRIM(Inputs!$B$24))="MANNING",UPPER(TRIM(Inputs!$B$24))="M"),AU79,IF(OR(UPPER(TRIM(Inputs!$B$24))="MAX",UPPER(TRIM(Inputs!$B$24))="X"),MAX(IF(AT79="",0,AT79),IF(AU79="",0,AU79)),AT79))))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IF(A80="","",2.78E-7*IF(G80="",Inputs!$B$17,G80)*F80*I80)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IF(A80="","",IF(OR(T80&gt;1,AND(AV80&lt;&gt;"",AV80&lt;Inputs!$B$11),AND(AV80&lt;&gt;"",AV80&gt;Inputs!$B$12),AA80&lt;Inputs!$B$19,AB80&lt;Inputs!$B$19,N80&lt;Inputs!$B$7,N80&gt;Inputs!$B$8),"CHECK","OK"))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  <c r="AT80" s="7">
        <f>IF(A80="","",U80)</f>
        <v/>
      </c>
      <c r="AU80" s="7">
        <f>IF(OR(R80="",N80=""),"",(1/Inputs!$B$9)*((R80/4)^(2/3))*SQRT(N80))</f>
        <v/>
      </c>
      <c r="AV80" s="7">
        <f>IF(A80="","",IF(AND(AT80="",AU80=""),"",IF(OR(UPPER(TRIM(Inputs!$B$24))="MANNING",UPPER(TRIM(Inputs!$B$24))="M"),AU80,IF(OR(UPPER(TRIM(Inputs!$B$24))="MAX",UPPER(TRIM(Inputs!$B$24))="X"),MAX(IF(AT80="",0,AT80),IF(AU80="",0,AU80)),AT80))))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IF(A81="","",2.78E-7*IF(G81="",Inputs!$B$17,G81)*F81*I81)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IF(A81="","",IF(OR(T81&gt;1,AND(AV81&lt;&gt;"",AV81&lt;Inputs!$B$11),AND(AV81&lt;&gt;"",AV81&gt;Inputs!$B$12),AA81&lt;Inputs!$B$19,AB81&lt;Inputs!$B$19,N81&lt;Inputs!$B$7,N81&gt;Inputs!$B$8),"CHECK","OK"))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  <c r="AT81" s="7">
        <f>IF(A81="","",U81)</f>
        <v/>
      </c>
      <c r="AU81" s="7">
        <f>IF(OR(R81="",N81=""),"",(1/Inputs!$B$9)*((R81/4)^(2/3))*SQRT(N81))</f>
        <v/>
      </c>
      <c r="AV81" s="7">
        <f>IF(A81="","",IF(AND(AT81="",AU81=""),"",IF(OR(UPPER(TRIM(Inputs!$B$24))="MANNING",UPPER(TRIM(Inputs!$B$24))="M"),AU81,IF(OR(UPPER(TRIM(Inputs!$B$24))="MAX",UPPER(TRIM(Inputs!$B$24))="X"),MAX(IF(AT81="",0,AT81),IF(AU81="",0,AU81)),AT81))))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IF(A82="","",2.78E-7*IF(G82="",Inputs!$B$17,G82)*F82*I82)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IF(A82="","",IF(OR(T82&gt;1,AND(AV82&lt;&gt;"",AV82&lt;Inputs!$B$11),AND(AV82&lt;&gt;"",AV82&gt;Inputs!$B$12),AA82&lt;Inputs!$B$19,AB82&lt;Inputs!$B$19,N82&lt;Inputs!$B$7,N82&gt;Inputs!$B$8),"CHECK","OK"))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  <c r="AT82" s="7">
        <f>IF(A82="","",U82)</f>
        <v/>
      </c>
      <c r="AU82" s="7">
        <f>IF(OR(R82="",N82=""),"",(1/Inputs!$B$9)*((R82/4)^(2/3))*SQRT(N82))</f>
        <v/>
      </c>
      <c r="AV82" s="7">
        <f>IF(A82="","",IF(AND(AT82="",AU82=""),"",IF(OR(UPPER(TRIM(Inputs!$B$24))="MANNING",UPPER(TRIM(Inputs!$B$24))="M"),AU82,IF(OR(UPPER(TRIM(Inputs!$B$24))="MAX",UPPER(TRIM(Inputs!$B$24))="X"),MAX(IF(AT82="",0,AT82),IF(AU82="",0,AU82)),AT82))))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IF(A83="","",2.78E-7*IF(G83="",Inputs!$B$17,G83)*F83*I83)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IF(A83="","",IF(OR(T83&gt;1,AND(AV83&lt;&gt;"",AV83&lt;Inputs!$B$11),AND(AV83&lt;&gt;"",AV83&gt;Inputs!$B$12),AA83&lt;Inputs!$B$19,AB83&lt;Inputs!$B$19,N83&lt;Inputs!$B$7,N83&gt;Inputs!$B$8),"CHECK","OK"))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  <c r="AT83" s="7">
        <f>IF(A83="","",U83)</f>
        <v/>
      </c>
      <c r="AU83" s="7">
        <f>IF(OR(R83="",N83=""),"",(1/Inputs!$B$9)*((R83/4)^(2/3))*SQRT(N83))</f>
        <v/>
      </c>
      <c r="AV83" s="7">
        <f>IF(A83="","",IF(AND(AT83="",AU83=""),"",IF(OR(UPPER(TRIM(Inputs!$B$24))="MANNING",UPPER(TRIM(Inputs!$B$24))="M"),AU83,IF(OR(UPPER(TRIM(Inputs!$B$24))="MAX",UPPER(TRIM(Inputs!$B$24))="X"),MAX(IF(AT83="",0,AT83),IF(AU83="",0,AU83)),AT83))))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IF(A84="","",2.78E-7*IF(G84="",Inputs!$B$17,G84)*F84*I84)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IF(A84="","",IF(OR(T84&gt;1,AND(AV84&lt;&gt;"",AV84&lt;Inputs!$B$11),AND(AV84&lt;&gt;"",AV84&gt;Inputs!$B$12),AA84&lt;Inputs!$B$19,AB84&lt;Inputs!$B$19,N84&lt;Inputs!$B$7,N84&gt;Inputs!$B$8),"CHECK","OK"))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  <c r="AT84" s="7">
        <f>IF(A84="","",U84)</f>
        <v/>
      </c>
      <c r="AU84" s="7">
        <f>IF(OR(R84="",N84=""),"",(1/Inputs!$B$9)*((R84/4)^(2/3))*SQRT(N84))</f>
        <v/>
      </c>
      <c r="AV84" s="7">
        <f>IF(A84="","",IF(AND(AT84="",AU84=""),"",IF(OR(UPPER(TRIM(Inputs!$B$24))="MANNING",UPPER(TRIM(Inputs!$B$24))="M"),AU84,IF(OR(UPPER(TRIM(Inputs!$B$24))="MAX",UPPER(TRIM(Inputs!$B$24))="X"),MAX(IF(AT84="",0,AT84),IF(AU84="",0,AU84)),AT84))))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IF(A85="","",2.78E-7*IF(G85="",Inputs!$B$17,G85)*F85*I85)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IF(A85="","",IF(OR(T85&gt;1,AND(AV85&lt;&gt;"",AV85&lt;Inputs!$B$11),AND(AV85&lt;&gt;"",AV85&gt;Inputs!$B$12),AA85&lt;Inputs!$B$19,AB85&lt;Inputs!$B$19,N85&lt;Inputs!$B$7,N85&gt;Inputs!$B$8),"CHECK","OK"))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  <c r="AT85" s="7">
        <f>IF(A85="","",U85)</f>
        <v/>
      </c>
      <c r="AU85" s="7">
        <f>IF(OR(R85="",N85=""),"",(1/Inputs!$B$9)*((R85/4)^(2/3))*SQRT(N85))</f>
        <v/>
      </c>
      <c r="AV85" s="7">
        <f>IF(A85="","",IF(AND(AT85="",AU85=""),"",IF(OR(UPPER(TRIM(Inputs!$B$24))="MANNING",UPPER(TRIM(Inputs!$B$24))="M"),AU85,IF(OR(UPPER(TRIM(Inputs!$B$24))="MAX",UPPER(TRIM(Inputs!$B$24))="X"),MAX(IF(AT85="",0,AT85),IF(AU85="",0,AU85)),AT85))))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IF(A86="","",2.78E-7*IF(G86="",Inputs!$B$17,G86)*F86*I86)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IF(A86="","",IF(OR(T86&gt;1,AND(AV86&lt;&gt;"",AV86&lt;Inputs!$B$11),AND(AV86&lt;&gt;"",AV86&gt;Inputs!$B$12),AA86&lt;Inputs!$B$19,AB86&lt;Inputs!$B$19,N86&lt;Inputs!$B$7,N86&gt;Inputs!$B$8),"CHECK","OK"))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  <c r="AT86" s="7">
        <f>IF(A86="","",U86)</f>
        <v/>
      </c>
      <c r="AU86" s="7">
        <f>IF(OR(R86="",N86=""),"",(1/Inputs!$B$9)*((R86/4)^(2/3))*SQRT(N86))</f>
        <v/>
      </c>
      <c r="AV86" s="7">
        <f>IF(A86="","",IF(AND(AT86="",AU86=""),"",IF(OR(UPPER(TRIM(Inputs!$B$24))="MANNING",UPPER(TRIM(Inputs!$B$24))="M"),AU86,IF(OR(UPPER(TRIM(Inputs!$B$24))="MAX",UPPER(TRIM(Inputs!$B$24))="X"),MAX(IF(AT86="",0,AT86),IF(AU86="",0,AU86)),AT86))))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IF(A87="","",2.78E-7*IF(G87="",Inputs!$B$17,G87)*F87*I87)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IF(A87="","",IF(OR(T87&gt;1,AND(AV87&lt;&gt;"",AV87&lt;Inputs!$B$11),AND(AV87&lt;&gt;"",AV87&gt;Inputs!$B$12),AA87&lt;Inputs!$B$19,AB87&lt;Inputs!$B$19,N87&lt;Inputs!$B$7,N87&gt;Inputs!$B$8),"CHECK","OK"))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  <c r="AT87" s="7">
        <f>IF(A87="","",U87)</f>
        <v/>
      </c>
      <c r="AU87" s="7">
        <f>IF(OR(R87="",N87=""),"",(1/Inputs!$B$9)*((R87/4)^(2/3))*SQRT(N87))</f>
        <v/>
      </c>
      <c r="AV87" s="7">
        <f>IF(A87="","",IF(AND(AT87="",AU87=""),"",IF(OR(UPPER(TRIM(Inputs!$B$24))="MANNING",UPPER(TRIM(Inputs!$B$24))="M"),AU87,IF(OR(UPPER(TRIM(Inputs!$B$24))="MAX",UPPER(TRIM(Inputs!$B$24))="X"),MAX(IF(AT87="",0,AT87),IF(AU87="",0,AU87)),AT87))))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IF(A88="","",2.78E-7*IF(G88="",Inputs!$B$17,G88)*F88*I88)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IF(A88="","",IF(OR(T88&gt;1,AND(AV88&lt;&gt;"",AV88&lt;Inputs!$B$11),AND(AV88&lt;&gt;"",AV88&gt;Inputs!$B$12),AA88&lt;Inputs!$B$19,AB88&lt;Inputs!$B$19,N88&lt;Inputs!$B$7,N88&gt;Inputs!$B$8),"CHECK","OK"))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  <c r="AT88" s="7">
        <f>IF(A88="","",U88)</f>
        <v/>
      </c>
      <c r="AU88" s="7">
        <f>IF(OR(R88="",N88=""),"",(1/Inputs!$B$9)*((R88/4)^(2/3))*SQRT(N88))</f>
        <v/>
      </c>
      <c r="AV88" s="7">
        <f>IF(A88="","",IF(AND(AT88="",AU88=""),"",IF(OR(UPPER(TRIM(Inputs!$B$24))="MANNING",UPPER(TRIM(Inputs!$B$24))="M"),AU88,IF(OR(UPPER(TRIM(Inputs!$B$24))="MAX",UPPER(TRIM(Inputs!$B$24))="X"),MAX(IF(AT88="",0,AT88),IF(AU88="",0,AU88)),AT88))))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IF(A89="","",2.78E-7*IF(G89="",Inputs!$B$17,G89)*F89*I89)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IF(A89="","",IF(OR(T89&gt;1,AND(AV89&lt;&gt;"",AV89&lt;Inputs!$B$11),AND(AV89&lt;&gt;"",AV89&gt;Inputs!$B$12),AA89&lt;Inputs!$B$19,AB89&lt;Inputs!$B$19,N89&lt;Inputs!$B$7,N89&gt;Inputs!$B$8),"CHECK","OK"))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  <c r="AT89" s="7">
        <f>IF(A89="","",U89)</f>
        <v/>
      </c>
      <c r="AU89" s="7">
        <f>IF(OR(R89="",N89=""),"",(1/Inputs!$B$9)*((R89/4)^(2/3))*SQRT(N89))</f>
        <v/>
      </c>
      <c r="AV89" s="7">
        <f>IF(A89="","",IF(AND(AT89="",AU89=""),"",IF(OR(UPPER(TRIM(Inputs!$B$24))="MANNING",UPPER(TRIM(Inputs!$B$24))="M"),AU89,IF(OR(UPPER(TRIM(Inputs!$B$24))="MAX",UPPER(TRIM(Inputs!$B$24))="X"),MAX(IF(AT89="",0,AT89),IF(AU89="",0,AU89)),AT89))))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IF(A90="","",2.78E-7*IF(G90="",Inputs!$B$17,G90)*F90*I90)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IF(A90="","",IF(OR(T90&gt;1,AND(AV90&lt;&gt;"",AV90&lt;Inputs!$B$11),AND(AV90&lt;&gt;"",AV90&gt;Inputs!$B$12),AA90&lt;Inputs!$B$19,AB90&lt;Inputs!$B$19,N90&lt;Inputs!$B$7,N90&gt;Inputs!$B$8),"CHECK","OK"))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  <c r="AT90" s="7">
        <f>IF(A90="","",U90)</f>
        <v/>
      </c>
      <c r="AU90" s="7">
        <f>IF(OR(R90="",N90=""),"",(1/Inputs!$B$9)*((R90/4)^(2/3))*SQRT(N90))</f>
        <v/>
      </c>
      <c r="AV90" s="7">
        <f>IF(A90="","",IF(AND(AT90="",AU90=""),"",IF(OR(UPPER(TRIM(Inputs!$B$24))="MANNING",UPPER(TRIM(Inputs!$B$24))="M"),AU90,IF(OR(UPPER(TRIM(Inputs!$B$24))="MAX",UPPER(TRIM(Inputs!$B$24))="X"),MAX(IF(AT90="",0,AT90),IF(AU90="",0,AU90)),AT90))))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IF(A91="","",2.78E-7*IF(G91="",Inputs!$B$17,G91)*F91*I91)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IF(A91="","",IF(OR(T91&gt;1,AND(AV91&lt;&gt;"",AV91&lt;Inputs!$B$11),AND(AV91&lt;&gt;"",AV91&gt;Inputs!$B$12),AA91&lt;Inputs!$B$19,AB91&lt;Inputs!$B$19,N91&lt;Inputs!$B$7,N91&gt;Inputs!$B$8),"CHECK","OK"))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  <c r="AT91" s="7">
        <f>IF(A91="","",U91)</f>
        <v/>
      </c>
      <c r="AU91" s="7">
        <f>IF(OR(R91="",N91=""),"",(1/Inputs!$B$9)*((R91/4)^(2/3))*SQRT(N91))</f>
        <v/>
      </c>
      <c r="AV91" s="7">
        <f>IF(A91="","",IF(AND(AT91="",AU91=""),"",IF(OR(UPPER(TRIM(Inputs!$B$24))="MANNING",UPPER(TRIM(Inputs!$B$24))="M"),AU91,IF(OR(UPPER(TRIM(Inputs!$B$24))="MAX",UPPER(TRIM(Inputs!$B$24))="X"),MAX(IF(AT91="",0,AT91),IF(AU91="",0,AU91)),AT91))))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IF(A92="","",2.78E-7*IF(G92="",Inputs!$B$17,G92)*F92*I92)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IF(A92="","",IF(OR(T92&gt;1,AND(AV92&lt;&gt;"",AV92&lt;Inputs!$B$11),AND(AV92&lt;&gt;"",AV92&gt;Inputs!$B$12),AA92&lt;Inputs!$B$19,AB92&lt;Inputs!$B$19,N92&lt;Inputs!$B$7,N92&gt;Inputs!$B$8),"CHECK","OK"))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  <c r="AT92" s="7">
        <f>IF(A92="","",U92)</f>
        <v/>
      </c>
      <c r="AU92" s="7">
        <f>IF(OR(R92="",N92=""),"",(1/Inputs!$B$9)*((R92/4)^(2/3))*SQRT(N92))</f>
        <v/>
      </c>
      <c r="AV92" s="7">
        <f>IF(A92="","",IF(AND(AT92="",AU92=""),"",IF(OR(UPPER(TRIM(Inputs!$B$24))="MANNING",UPPER(TRIM(Inputs!$B$24))="M"),AU92,IF(OR(UPPER(TRIM(Inputs!$B$24))="MAX",UPPER(TRIM(Inputs!$B$24))="X"),MAX(IF(AT92="",0,AT92),IF(AU92="",0,AU92)),AT92))))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IF(A93="","",2.78E-7*IF(G93="",Inputs!$B$17,G93)*F93*I93)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IF(A93="","",IF(OR(T93&gt;1,AND(AV93&lt;&gt;"",AV93&lt;Inputs!$B$11),AND(AV93&lt;&gt;"",AV93&gt;Inputs!$B$12),AA93&lt;Inputs!$B$19,AB93&lt;Inputs!$B$19,N93&lt;Inputs!$B$7,N93&gt;Inputs!$B$8),"CHECK","OK"))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  <c r="AT93" s="7">
        <f>IF(A93="","",U93)</f>
        <v/>
      </c>
      <c r="AU93" s="7">
        <f>IF(OR(R93="",N93=""),"",(1/Inputs!$B$9)*((R93/4)^(2/3))*SQRT(N93))</f>
        <v/>
      </c>
      <c r="AV93" s="7">
        <f>IF(A93="","",IF(AND(AT93="",AU93=""),"",IF(OR(UPPER(TRIM(Inputs!$B$24))="MANNING",UPPER(TRIM(Inputs!$B$24))="M"),AU93,IF(OR(UPPER(TRIM(Inputs!$B$24))="MAX",UPPER(TRIM(Inputs!$B$24))="X"),MAX(IF(AT93="",0,AT93),IF(AU93="",0,AU93)),AT93))))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IF(A94="","",2.78E-7*IF(G94="",Inputs!$B$17,G94)*F94*I94)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IF(A94="","",IF(OR(T94&gt;1,AND(AV94&lt;&gt;"",AV94&lt;Inputs!$B$11),AND(AV94&lt;&gt;"",AV94&gt;Inputs!$B$12),AA94&lt;Inputs!$B$19,AB94&lt;Inputs!$B$19,N94&lt;Inputs!$B$7,N94&gt;Inputs!$B$8),"CHECK","OK"))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  <c r="AT94" s="7">
        <f>IF(A94="","",U94)</f>
        <v/>
      </c>
      <c r="AU94" s="7">
        <f>IF(OR(R94="",N94=""),"",(1/Inputs!$B$9)*((R94/4)^(2/3))*SQRT(N94))</f>
        <v/>
      </c>
      <c r="AV94" s="7">
        <f>IF(A94="","",IF(AND(AT94="",AU94=""),"",IF(OR(UPPER(TRIM(Inputs!$B$24))="MANNING",UPPER(TRIM(Inputs!$B$24))="M"),AU94,IF(OR(UPPER(TRIM(Inputs!$B$24))="MAX",UPPER(TRIM(Inputs!$B$24))="X"),MAX(IF(AT94="",0,AT94),IF(AU94="",0,AU94)),AT94))))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IF(A95="","",2.78E-7*IF(G95="",Inputs!$B$17,G95)*F95*I95)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IF(A95="","",IF(OR(T95&gt;1,AND(AV95&lt;&gt;"",AV95&lt;Inputs!$B$11),AND(AV95&lt;&gt;"",AV95&gt;Inputs!$B$12),AA95&lt;Inputs!$B$19,AB95&lt;Inputs!$B$19,N95&lt;Inputs!$B$7,N95&gt;Inputs!$B$8),"CHECK","OK"))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  <c r="AT95" s="7">
        <f>IF(A95="","",U95)</f>
        <v/>
      </c>
      <c r="AU95" s="7">
        <f>IF(OR(R95="",N95=""),"",(1/Inputs!$B$9)*((R95/4)^(2/3))*SQRT(N95))</f>
        <v/>
      </c>
      <c r="AV95" s="7">
        <f>IF(A95="","",IF(AND(AT95="",AU95=""),"",IF(OR(UPPER(TRIM(Inputs!$B$24))="MANNING",UPPER(TRIM(Inputs!$B$24))="M"),AU95,IF(OR(UPPER(TRIM(Inputs!$B$24))="MAX",UPPER(TRIM(Inputs!$B$24))="X"),MAX(IF(AT95="",0,AT95),IF(AU95="",0,AU95)),AT95))))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IF(A96="","",2.78E-7*IF(G96="",Inputs!$B$17,G96)*F96*I96)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IF(A96="","",IF(OR(T96&gt;1,AND(AV96&lt;&gt;"",AV96&lt;Inputs!$B$11),AND(AV96&lt;&gt;"",AV96&gt;Inputs!$B$12),AA96&lt;Inputs!$B$19,AB96&lt;Inputs!$B$19,N96&lt;Inputs!$B$7,N96&gt;Inputs!$B$8),"CHECK","OK"))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  <c r="AT96" s="7">
        <f>IF(A96="","",U96)</f>
        <v/>
      </c>
      <c r="AU96" s="7">
        <f>IF(OR(R96="",N96=""),"",(1/Inputs!$B$9)*((R96/4)^(2/3))*SQRT(N96))</f>
        <v/>
      </c>
      <c r="AV96" s="7">
        <f>IF(A96="","",IF(AND(AT96="",AU96=""),"",IF(OR(UPPER(TRIM(Inputs!$B$24))="MANNING",UPPER(TRIM(Inputs!$B$24))="M"),AU96,IF(OR(UPPER(TRIM(Inputs!$B$24))="MAX",UPPER(TRIM(Inputs!$B$24))="X"),MAX(IF(AT96="",0,AT96),IF(AU96="",0,AU96)),AT96))))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IF(A97="","",2.78E-7*IF(G97="",Inputs!$B$17,G97)*F97*I97)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IF(A97="","",IF(OR(T97&gt;1,AND(AV97&lt;&gt;"",AV97&lt;Inputs!$B$11),AND(AV97&lt;&gt;"",AV97&gt;Inputs!$B$12),AA97&lt;Inputs!$B$19,AB97&lt;Inputs!$B$19,N97&lt;Inputs!$B$7,N97&gt;Inputs!$B$8),"CHECK","OK"))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  <c r="AT97" s="7">
        <f>IF(A97="","",U97)</f>
        <v/>
      </c>
      <c r="AU97" s="7">
        <f>IF(OR(R97="",N97=""),"",(1/Inputs!$B$9)*((R97/4)^(2/3))*SQRT(N97))</f>
        <v/>
      </c>
      <c r="AV97" s="7">
        <f>IF(A97="","",IF(AND(AT97="",AU97=""),"",IF(OR(UPPER(TRIM(Inputs!$B$24))="MANNING",UPPER(TRIM(Inputs!$B$24))="M"),AU97,IF(OR(UPPER(TRIM(Inputs!$B$24))="MAX",UPPER(TRIM(Inputs!$B$24))="X"),MAX(IF(AT97="",0,AT97),IF(AU97="",0,AU97)),AT97))))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IF(A98="","",2.78E-7*IF(G98="",Inputs!$B$17,G98)*F98*I98)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IF(A98="","",IF(OR(T98&gt;1,AND(AV98&lt;&gt;"",AV98&lt;Inputs!$B$11),AND(AV98&lt;&gt;"",AV98&gt;Inputs!$B$12),AA98&lt;Inputs!$B$19,AB98&lt;Inputs!$B$19,N98&lt;Inputs!$B$7,N98&gt;Inputs!$B$8),"CHECK","OK"))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  <c r="AT98" s="7">
        <f>IF(A98="","",U98)</f>
        <v/>
      </c>
      <c r="AU98" s="7">
        <f>IF(OR(R98="",N98=""),"",(1/Inputs!$B$9)*((R98/4)^(2/3))*SQRT(N98))</f>
        <v/>
      </c>
      <c r="AV98" s="7">
        <f>IF(A98="","",IF(AND(AT98="",AU98=""),"",IF(OR(UPPER(TRIM(Inputs!$B$24))="MANNING",UPPER(TRIM(Inputs!$B$24))="M"),AU98,IF(OR(UPPER(TRIM(Inputs!$B$24))="MAX",UPPER(TRIM(Inputs!$B$24))="X"),MAX(IF(AT98="",0,AT98),IF(AU98="",0,AU98)),AT98))))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IF(A99="","",2.78E-7*IF(G99="",Inputs!$B$17,G99)*F99*I99)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IF(A99="","",IF(OR(T99&gt;1,AND(AV99&lt;&gt;"",AV99&lt;Inputs!$B$11),AND(AV99&lt;&gt;"",AV99&gt;Inputs!$B$12),AA99&lt;Inputs!$B$19,AB99&lt;Inputs!$B$19,N99&lt;Inputs!$B$7,N99&gt;Inputs!$B$8),"CHECK","OK"))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  <c r="AT99" s="7">
        <f>IF(A99="","",U99)</f>
        <v/>
      </c>
      <c r="AU99" s="7">
        <f>IF(OR(R99="",N99=""),"",(1/Inputs!$B$9)*((R99/4)^(2/3))*SQRT(N99))</f>
        <v/>
      </c>
      <c r="AV99" s="7">
        <f>IF(A99="","",IF(AND(AT99="",AU99=""),"",IF(OR(UPPER(TRIM(Inputs!$B$24))="MANNING",UPPER(TRIM(Inputs!$B$24))="M"),AU99,IF(OR(UPPER(TRIM(Inputs!$B$24))="MAX",UPPER(TRIM(Inputs!$B$24))="X"),MAX(IF(AT99="",0,AT99),IF(AU99="",0,AU99)),AT99))))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IF(A100="","",2.78E-7*IF(G100="",Inputs!$B$17,G100)*F100*I100)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IF(A100="","",IF(OR(T100&gt;1,AND(AV100&lt;&gt;"",AV100&lt;Inputs!$B$11),AND(AV100&lt;&gt;"",AV100&gt;Inputs!$B$12),AA100&lt;Inputs!$B$19,AB100&lt;Inputs!$B$19,N100&lt;Inputs!$B$7,N100&gt;Inputs!$B$8),"CHECK","OK"))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  <c r="AT100" s="7">
        <f>IF(A100="","",U100)</f>
        <v/>
      </c>
      <c r="AU100" s="7">
        <f>IF(OR(R100="",N100=""),"",(1/Inputs!$B$9)*((R100/4)^(2/3))*SQRT(N100))</f>
        <v/>
      </c>
      <c r="AV100" s="7">
        <f>IF(A100="","",IF(AND(AT100="",AU100=""),"",IF(OR(UPPER(TRIM(Inputs!$B$24))="MANNING",UPPER(TRIM(Inputs!$B$24))="M"),AU100,IF(OR(UPPER(TRIM(Inputs!$B$24))="MAX",UPPER(TRIM(Inputs!$B$24))="X"),MAX(IF(AT100="",0,AT100),IF(AU100="",0,AU100)),AT100))))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IF(A101="","",2.78E-7*IF(G101="",Inputs!$B$17,G101)*F101*I101)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IF(A101="","",IF(OR(T101&gt;1,AND(AV101&lt;&gt;"",AV101&lt;Inputs!$B$11),AND(AV101&lt;&gt;"",AV101&gt;Inputs!$B$12),AA101&lt;Inputs!$B$19,AB101&lt;Inputs!$B$19,N101&lt;Inputs!$B$7,N101&gt;Inputs!$B$8),"CHECK","OK"))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  <c r="AT101" s="7">
        <f>IF(A101="","",U101)</f>
        <v/>
      </c>
      <c r="AU101" s="7">
        <f>IF(OR(R101="",N101=""),"",(1/Inputs!$B$9)*((R101/4)^(2/3))*SQRT(N101))</f>
        <v/>
      </c>
      <c r="AV101" s="7">
        <f>IF(A101="","",IF(AND(AT101="",AU101=""),"",IF(OR(UPPER(TRIM(Inputs!$B$24))="MANNING",UPPER(TRIM(Inputs!$B$24))="M"),AU101,IF(OR(UPPER(TRIM(Inputs!$B$24))="MAX",UPPER(TRIM(Inputs!$B$24))="X"),MAX(IF(AT101="",0,AT101),IF(AU101="",0,AU101)),AT101))))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IF(A102="","",2.78E-7*IF(G102="",Inputs!$B$17,G102)*F102*I102)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IF(A102="","",IF(OR(T102&gt;1,AND(AV102&lt;&gt;"",AV102&lt;Inputs!$B$11),AND(AV102&lt;&gt;"",AV102&gt;Inputs!$B$12),AA102&lt;Inputs!$B$19,AB102&lt;Inputs!$B$19,N102&lt;Inputs!$B$7,N102&gt;Inputs!$B$8),"CHECK","OK"))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  <c r="AT102" s="7">
        <f>IF(A102="","",U102)</f>
        <v/>
      </c>
      <c r="AU102" s="7">
        <f>IF(OR(R102="",N102=""),"",(1/Inputs!$B$9)*((R102/4)^(2/3))*SQRT(N102))</f>
        <v/>
      </c>
      <c r="AV102" s="7">
        <f>IF(A102="","",IF(AND(AT102="",AU102=""),"",IF(OR(UPPER(TRIM(Inputs!$B$24))="MANNING",UPPER(TRIM(Inputs!$B$24))="M"),AU102,IF(OR(UPPER(TRIM(Inputs!$B$24))="MAX",UPPER(TRIM(Inputs!$B$24))="X"),MAX(IF(AT102="",0,AT102),IF(AU102="",0,AU102)),AT102))))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IF(A103="","",2.78E-7*IF(G103="",Inputs!$B$17,G103)*F103*I103)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IF(A103="","",IF(OR(T103&gt;1,AND(AV103&lt;&gt;"",AV103&lt;Inputs!$B$11),AND(AV103&lt;&gt;"",AV103&gt;Inputs!$B$12),AA103&lt;Inputs!$B$19,AB103&lt;Inputs!$B$19,N103&lt;Inputs!$B$7,N103&gt;Inputs!$B$8),"CHECK","OK"))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  <c r="AT103" s="7">
        <f>IF(A103="","",U103)</f>
        <v/>
      </c>
      <c r="AU103" s="7">
        <f>IF(OR(R103="",N103=""),"",(1/Inputs!$B$9)*((R103/4)^(2/3))*SQRT(N103))</f>
        <v/>
      </c>
      <c r="AV103" s="7">
        <f>IF(A103="","",IF(AND(AT103="",AU103=""),"",IF(OR(UPPER(TRIM(Inputs!$B$24))="MANNING",UPPER(TRIM(Inputs!$B$24))="M"),AU103,IF(OR(UPPER(TRIM(Inputs!$B$24))="MAX",UPPER(TRIM(Inputs!$B$24))="X"),MAX(IF(AT103="",0,AT103),IF(AU103="",0,AU103)),AT103))))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IF(A104="","",2.78E-7*IF(G104="",Inputs!$B$17,G104)*F104*I104)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IF(A104="","",IF(OR(T104&gt;1,AND(AV104&lt;&gt;"",AV104&lt;Inputs!$B$11),AND(AV104&lt;&gt;"",AV104&gt;Inputs!$B$12),AA104&lt;Inputs!$B$19,AB104&lt;Inputs!$B$19,N104&lt;Inputs!$B$7,N104&gt;Inputs!$B$8),"CHECK","OK"))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  <c r="AT104" s="7">
        <f>IF(A104="","",U104)</f>
        <v/>
      </c>
      <c r="AU104" s="7">
        <f>IF(OR(R104="",N104=""),"",(1/Inputs!$B$9)*((R104/4)^(2/3))*SQRT(N104))</f>
        <v/>
      </c>
      <c r="AV104" s="7">
        <f>IF(A104="","",IF(AND(AT104="",AU104=""),"",IF(OR(UPPER(TRIM(Inputs!$B$24))="MANNING",UPPER(TRIM(Inputs!$B$24))="M"),AU104,IF(OR(UPPER(TRIM(Inputs!$B$24))="MAX",UPPER(TRIM(Inputs!$B$24))="X"),MAX(IF(AT104="",0,AT104),IF(AU104="",0,AU104)),AT104))))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IF(A105="","",2.78E-7*IF(G105="",Inputs!$B$17,G105)*F105*I105)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IF(A105="","",IF(OR(T105&gt;1,AND(AV105&lt;&gt;"",AV105&lt;Inputs!$B$11),AND(AV105&lt;&gt;"",AV105&gt;Inputs!$B$12),AA105&lt;Inputs!$B$19,AB105&lt;Inputs!$B$19,N105&lt;Inputs!$B$7,N105&gt;Inputs!$B$8),"CHECK","OK"))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  <c r="AT105" s="7">
        <f>IF(A105="","",U105)</f>
        <v/>
      </c>
      <c r="AU105" s="7">
        <f>IF(OR(R105="",N105=""),"",(1/Inputs!$B$9)*((R105/4)^(2/3))*SQRT(N105))</f>
        <v/>
      </c>
      <c r="AV105" s="7">
        <f>IF(A105="","",IF(AND(AT105="",AU105=""),"",IF(OR(UPPER(TRIM(Inputs!$B$24))="MANNING",UPPER(TRIM(Inputs!$B$24))="M"),AU105,IF(OR(UPPER(TRIM(Inputs!$B$24))="MAX",UPPER(TRIM(Inputs!$B$24))="X"),MAX(IF(AT105="",0,AT105),IF(AU105="",0,AU105)),AT105))))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IF(A106="","",2.78E-7*IF(G106="",Inputs!$B$17,G106)*F106*I106)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IF(A106="","",IF(OR(T106&gt;1,AND(AV106&lt;&gt;"",AV106&lt;Inputs!$B$11),AND(AV106&lt;&gt;"",AV106&gt;Inputs!$B$12),AA106&lt;Inputs!$B$19,AB106&lt;Inputs!$B$19,N106&lt;Inputs!$B$7,N106&gt;Inputs!$B$8),"CHECK","OK"))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  <c r="AT106" s="7">
        <f>IF(A106="","",U106)</f>
        <v/>
      </c>
      <c r="AU106" s="7">
        <f>IF(OR(R106="",N106=""),"",(1/Inputs!$B$9)*((R106/4)^(2/3))*SQRT(N106))</f>
        <v/>
      </c>
      <c r="AV106" s="7">
        <f>IF(A106="","",IF(AND(AT106="",AU106=""),"",IF(OR(UPPER(TRIM(Inputs!$B$24))="MANNING",UPPER(TRIM(Inputs!$B$24))="M"),AU106,IF(OR(UPPER(TRIM(Inputs!$B$24))="MAX",UPPER(TRIM(Inputs!$B$24))="X"),MAX(IF(AT106="",0,AT106),IF(AU106="",0,AU106)),AT106))))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IF(A107="","",2.78E-7*IF(G107="",Inputs!$B$17,G107)*F107*I107)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IF(A107="","",IF(OR(T107&gt;1,AND(AV107&lt;&gt;"",AV107&lt;Inputs!$B$11),AND(AV107&lt;&gt;"",AV107&gt;Inputs!$B$12),AA107&lt;Inputs!$B$19,AB107&lt;Inputs!$B$19,N107&lt;Inputs!$B$7,N107&gt;Inputs!$B$8),"CHECK","OK"))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  <c r="AT107" s="7">
        <f>IF(A107="","",U107)</f>
        <v/>
      </c>
      <c r="AU107" s="7">
        <f>IF(OR(R107="",N107=""),"",(1/Inputs!$B$9)*((R107/4)^(2/3))*SQRT(N107))</f>
        <v/>
      </c>
      <c r="AV107" s="7">
        <f>IF(A107="","",IF(AND(AT107="",AU107=""),"",IF(OR(UPPER(TRIM(Inputs!$B$24))="MANNING",UPPER(TRIM(Inputs!$B$24))="M"),AU107,IF(OR(UPPER(TRIM(Inputs!$B$24))="MAX",UPPER(TRIM(Inputs!$B$24))="X"),MAX(IF(AT107="",0,AT107),IF(AU107="",0,AU107)),AT107))))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IF(A108="","",2.78E-7*IF(G108="",Inputs!$B$17,G108)*F108*I108)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IF(A108="","",IF(OR(T108&gt;1,AND(AV108&lt;&gt;"",AV108&lt;Inputs!$B$11),AND(AV108&lt;&gt;"",AV108&gt;Inputs!$B$12),AA108&lt;Inputs!$B$19,AB108&lt;Inputs!$B$19,N108&lt;Inputs!$B$7,N108&gt;Inputs!$B$8),"CHECK","OK"))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  <c r="AT108" s="7">
        <f>IF(A108="","",U108)</f>
        <v/>
      </c>
      <c r="AU108" s="7">
        <f>IF(OR(R108="",N108=""),"",(1/Inputs!$B$9)*((R108/4)^(2/3))*SQRT(N108))</f>
        <v/>
      </c>
      <c r="AV108" s="7">
        <f>IF(A108="","",IF(AND(AT108="",AU108=""),"",IF(OR(UPPER(TRIM(Inputs!$B$24))="MANNING",UPPER(TRIM(Inputs!$B$24))="M"),AU108,IF(OR(UPPER(TRIM(Inputs!$B$24))="MAX",UPPER(TRIM(Inputs!$B$24))="X"),MAX(IF(AT108="",0,AT108),IF(AU108="",0,AU108)),AT108))))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IF(A109="","",2.78E-7*IF(G109="",Inputs!$B$17,G109)*F109*I109)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IF(A109="","",IF(OR(T109&gt;1,AND(AV109&lt;&gt;"",AV109&lt;Inputs!$B$11),AND(AV109&lt;&gt;"",AV109&gt;Inputs!$B$12),AA109&lt;Inputs!$B$19,AB109&lt;Inputs!$B$19,N109&lt;Inputs!$B$7,N109&gt;Inputs!$B$8),"CHECK","OK"))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  <c r="AT109" s="7">
        <f>IF(A109="","",U109)</f>
        <v/>
      </c>
      <c r="AU109" s="7">
        <f>IF(OR(R109="",N109=""),"",(1/Inputs!$B$9)*((R109/4)^(2/3))*SQRT(N109))</f>
        <v/>
      </c>
      <c r="AV109" s="7">
        <f>IF(A109="","",IF(AND(AT109="",AU109=""),"",IF(OR(UPPER(TRIM(Inputs!$B$24))="MANNING",UPPER(TRIM(Inputs!$B$24))="M"),AU109,IF(OR(UPPER(TRIM(Inputs!$B$24))="MAX",UPPER(TRIM(Inputs!$B$24))="X"),MAX(IF(AT109="",0,AT109),IF(AU109="",0,AU109)),AT109))))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IF(A110="","",2.78E-7*IF(G110="",Inputs!$B$17,G110)*F110*I110)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IF(A110="","",IF(OR(T110&gt;1,AND(AV110&lt;&gt;"",AV110&lt;Inputs!$B$11),AND(AV110&lt;&gt;"",AV110&gt;Inputs!$B$12),AA110&lt;Inputs!$B$19,AB110&lt;Inputs!$B$19,N110&lt;Inputs!$B$7,N110&gt;Inputs!$B$8),"CHECK","OK"))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  <c r="AT110" s="7">
        <f>IF(A110="","",U110)</f>
        <v/>
      </c>
      <c r="AU110" s="7">
        <f>IF(OR(R110="",N110=""),"",(1/Inputs!$B$9)*((R110/4)^(2/3))*SQRT(N110))</f>
        <v/>
      </c>
      <c r="AV110" s="7">
        <f>IF(A110="","",IF(AND(AT110="",AU110=""),"",IF(OR(UPPER(TRIM(Inputs!$B$24))="MANNING",UPPER(TRIM(Inputs!$B$24))="M"),AU110,IF(OR(UPPER(TRIM(Inputs!$B$24))="MAX",UPPER(TRIM(Inputs!$B$24))="X"),MAX(IF(AT110="",0,AT110),IF(AU110="",0,AU110)),AT110))))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IF(A111="","",2.78E-7*IF(G111="",Inputs!$B$17,G111)*F111*I111)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IF(A111="","",IF(OR(T111&gt;1,AND(AV111&lt;&gt;"",AV111&lt;Inputs!$B$11),AND(AV111&lt;&gt;"",AV111&gt;Inputs!$B$12),AA111&lt;Inputs!$B$19,AB111&lt;Inputs!$B$19,N111&lt;Inputs!$B$7,N111&gt;Inputs!$B$8),"CHECK","OK"))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  <c r="AT111" s="7">
        <f>IF(A111="","",U111)</f>
        <v/>
      </c>
      <c r="AU111" s="7">
        <f>IF(OR(R111="",N111=""),"",(1/Inputs!$B$9)*((R111/4)^(2/3))*SQRT(N111))</f>
        <v/>
      </c>
      <c r="AV111" s="7">
        <f>IF(A111="","",IF(AND(AT111="",AU111=""),"",IF(OR(UPPER(TRIM(Inputs!$B$24))="MANNING",UPPER(TRIM(Inputs!$B$24))="M"),AU111,IF(OR(UPPER(TRIM(Inputs!$B$24))="MAX",UPPER(TRIM(Inputs!$B$24))="X"),MAX(IF(AT111="",0,AT111),IF(AU111="",0,AU111)),AT111))))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IF(A112="","",2.78E-7*IF(G112="",Inputs!$B$17,G112)*F112*I112)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IF(A112="","",IF(OR(T112&gt;1,AND(AV112&lt;&gt;"",AV112&lt;Inputs!$B$11),AND(AV112&lt;&gt;"",AV112&gt;Inputs!$B$12),AA112&lt;Inputs!$B$19,AB112&lt;Inputs!$B$19,N112&lt;Inputs!$B$7,N112&gt;Inputs!$B$8),"CHECK","OK"))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  <c r="AT112" s="7">
        <f>IF(A112="","",U112)</f>
        <v/>
      </c>
      <c r="AU112" s="7">
        <f>IF(OR(R112="",N112=""),"",(1/Inputs!$B$9)*((R112/4)^(2/3))*SQRT(N112))</f>
        <v/>
      </c>
      <c r="AV112" s="7">
        <f>IF(A112="","",IF(AND(AT112="",AU112=""),"",IF(OR(UPPER(TRIM(Inputs!$B$24))="MANNING",UPPER(TRIM(Inputs!$B$24))="M"),AU112,IF(OR(UPPER(TRIM(Inputs!$B$24))="MAX",UPPER(TRIM(Inputs!$B$24))="X"),MAX(IF(AT112="",0,AT112),IF(AU112="",0,AU112)),AT112))))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IF(A113="","",2.78E-7*IF(G113="",Inputs!$B$17,G113)*F113*I113)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IF(A113="","",IF(OR(T113&gt;1,AND(AV113&lt;&gt;"",AV113&lt;Inputs!$B$11),AND(AV113&lt;&gt;"",AV113&gt;Inputs!$B$12),AA113&lt;Inputs!$B$19,AB113&lt;Inputs!$B$19,N113&lt;Inputs!$B$7,N113&gt;Inputs!$B$8),"CHECK","OK"))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  <c r="AT113" s="7">
        <f>IF(A113="","",U113)</f>
        <v/>
      </c>
      <c r="AU113" s="7">
        <f>IF(OR(R113="",N113=""),"",(1/Inputs!$B$9)*((R113/4)^(2/3))*SQRT(N113))</f>
        <v/>
      </c>
      <c r="AV113" s="7">
        <f>IF(A113="","",IF(AND(AT113="",AU113=""),"",IF(OR(UPPER(TRIM(Inputs!$B$24))="MANNING",UPPER(TRIM(Inputs!$B$24))="M"),AU113,IF(OR(UPPER(TRIM(Inputs!$B$24))="MAX",UPPER(TRIM(Inputs!$B$24))="X"),MAX(IF(AT113="",0,AT113),IF(AU113="",0,AU113)),AT113))))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IF(A114="","",2.78E-7*IF(G114="",Inputs!$B$17,G114)*F114*I114)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IF(A114="","",IF(OR(T114&gt;1,AND(AV114&lt;&gt;"",AV114&lt;Inputs!$B$11),AND(AV114&lt;&gt;"",AV114&gt;Inputs!$B$12),AA114&lt;Inputs!$B$19,AB114&lt;Inputs!$B$19,N114&lt;Inputs!$B$7,N114&gt;Inputs!$B$8),"CHECK","OK"))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  <c r="AT114" s="7">
        <f>IF(A114="","",U114)</f>
        <v/>
      </c>
      <c r="AU114" s="7">
        <f>IF(OR(R114="",N114=""),"",(1/Inputs!$B$9)*((R114/4)^(2/3))*SQRT(N114))</f>
        <v/>
      </c>
      <c r="AV114" s="7">
        <f>IF(A114="","",IF(AND(AT114="",AU114=""),"",IF(OR(UPPER(TRIM(Inputs!$B$24))="MANNING",UPPER(TRIM(Inputs!$B$24))="M"),AU114,IF(OR(UPPER(TRIM(Inputs!$B$24))="MAX",UPPER(TRIM(Inputs!$B$24))="X"),MAX(IF(AT114="",0,AT114),IF(AU114="",0,AU114)),AT114))))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IF(A115="","",2.78E-7*IF(G115="",Inputs!$B$17,G115)*F115*I115)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IF(A115="","",IF(OR(T115&gt;1,AND(AV115&lt;&gt;"",AV115&lt;Inputs!$B$11),AND(AV115&lt;&gt;"",AV115&gt;Inputs!$B$12),AA115&lt;Inputs!$B$19,AB115&lt;Inputs!$B$19,N115&lt;Inputs!$B$7,N115&gt;Inputs!$B$8),"CHECK","OK"))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  <c r="AT115" s="7">
        <f>IF(A115="","",U115)</f>
        <v/>
      </c>
      <c r="AU115" s="7">
        <f>IF(OR(R115="",N115=""),"",(1/Inputs!$B$9)*((R115/4)^(2/3))*SQRT(N115))</f>
        <v/>
      </c>
      <c r="AV115" s="7">
        <f>IF(A115="","",IF(AND(AT115="",AU115=""),"",IF(OR(UPPER(TRIM(Inputs!$B$24))="MANNING",UPPER(TRIM(Inputs!$B$24))="M"),AU115,IF(OR(UPPER(TRIM(Inputs!$B$24))="MAX",UPPER(TRIM(Inputs!$B$24))="X"),MAX(IF(AT115="",0,AT115),IF(AU115="",0,AU115)),AT115))))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IF(A116="","",2.78E-7*IF(G116="",Inputs!$B$17,G116)*F116*I116)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IF(A116="","",IF(OR(T116&gt;1,AND(AV116&lt;&gt;"",AV116&lt;Inputs!$B$11),AND(AV116&lt;&gt;"",AV116&gt;Inputs!$B$12),AA116&lt;Inputs!$B$19,AB116&lt;Inputs!$B$19,N116&lt;Inputs!$B$7,N116&gt;Inputs!$B$8),"CHECK","OK"))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  <c r="AT116" s="7">
        <f>IF(A116="","",U116)</f>
        <v/>
      </c>
      <c r="AU116" s="7">
        <f>IF(OR(R116="",N116=""),"",(1/Inputs!$B$9)*((R116/4)^(2/3))*SQRT(N116))</f>
        <v/>
      </c>
      <c r="AV116" s="7">
        <f>IF(A116="","",IF(AND(AT116="",AU116=""),"",IF(OR(UPPER(TRIM(Inputs!$B$24))="MANNING",UPPER(TRIM(Inputs!$B$24))="M"),AU116,IF(OR(UPPER(TRIM(Inputs!$B$24))="MAX",UPPER(TRIM(Inputs!$B$24))="X"),MAX(IF(AT116="",0,AT116),IF(AU116="",0,AU116)),AT116))))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IF(A117="","",2.78E-7*IF(G117="",Inputs!$B$17,G117)*F117*I117)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IF(A117="","",IF(OR(T117&gt;1,AND(AV117&lt;&gt;"",AV117&lt;Inputs!$B$11),AND(AV117&lt;&gt;"",AV117&gt;Inputs!$B$12),AA117&lt;Inputs!$B$19,AB117&lt;Inputs!$B$19,N117&lt;Inputs!$B$7,N117&gt;Inputs!$B$8),"CHECK","OK"))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  <c r="AT117" s="7">
        <f>IF(A117="","",U117)</f>
        <v/>
      </c>
      <c r="AU117" s="7">
        <f>IF(OR(R117="",N117=""),"",(1/Inputs!$B$9)*((R117/4)^(2/3))*SQRT(N117))</f>
        <v/>
      </c>
      <c r="AV117" s="7">
        <f>IF(A117="","",IF(AND(AT117="",AU117=""),"",IF(OR(UPPER(TRIM(Inputs!$B$24))="MANNING",UPPER(TRIM(Inputs!$B$24))="M"),AU117,IF(OR(UPPER(TRIM(Inputs!$B$24))="MAX",UPPER(TRIM(Inputs!$B$24))="X"),MAX(IF(AT117="",0,AT117),IF(AU117="",0,AU117)),AT117))))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IF(A118="","",2.78E-7*IF(G118="",Inputs!$B$17,G118)*F118*I118)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IF(A118="","",IF(OR(T118&gt;1,AND(AV118&lt;&gt;"",AV118&lt;Inputs!$B$11),AND(AV118&lt;&gt;"",AV118&gt;Inputs!$B$12),AA118&lt;Inputs!$B$19,AB118&lt;Inputs!$B$19,N118&lt;Inputs!$B$7,N118&gt;Inputs!$B$8),"CHECK","OK"))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  <c r="AT118" s="7">
        <f>IF(A118="","",U118)</f>
        <v/>
      </c>
      <c r="AU118" s="7">
        <f>IF(OR(R118="",N118=""),"",(1/Inputs!$B$9)*((R118/4)^(2/3))*SQRT(N118))</f>
        <v/>
      </c>
      <c r="AV118" s="7">
        <f>IF(A118="","",IF(AND(AT118="",AU118=""),"",IF(OR(UPPER(TRIM(Inputs!$B$24))="MANNING",UPPER(TRIM(Inputs!$B$24))="M"),AU118,IF(OR(UPPER(TRIM(Inputs!$B$24))="MAX",UPPER(TRIM(Inputs!$B$24))="X"),MAX(IF(AT118="",0,AT118),IF(AU118="",0,AU118)),AT118))))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IF(A119="","",2.78E-7*IF(G119="",Inputs!$B$17,G119)*F119*I119)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IF(A119="","",IF(OR(T119&gt;1,AND(AV119&lt;&gt;"",AV119&lt;Inputs!$B$11),AND(AV119&lt;&gt;"",AV119&gt;Inputs!$B$12),AA119&lt;Inputs!$B$19,AB119&lt;Inputs!$B$19,N119&lt;Inputs!$B$7,N119&gt;Inputs!$B$8),"CHECK","OK"))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  <c r="AT119" s="7">
        <f>IF(A119="","",U119)</f>
        <v/>
      </c>
      <c r="AU119" s="7">
        <f>IF(OR(R119="",N119=""),"",(1/Inputs!$B$9)*((R119/4)^(2/3))*SQRT(N119))</f>
        <v/>
      </c>
      <c r="AV119" s="7">
        <f>IF(A119="","",IF(AND(AT119="",AU119=""),"",IF(OR(UPPER(TRIM(Inputs!$B$24))="MANNING",UPPER(TRIM(Inputs!$B$24))="M"),AU119,IF(OR(UPPER(TRIM(Inputs!$B$24))="MAX",UPPER(TRIM(Inputs!$B$24))="X"),MAX(IF(AT119="",0,AT119),IF(AU119="",0,AU119)),AT119))))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IF(A120="","",2.78E-7*IF(G120="",Inputs!$B$17,G120)*F120*I120)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IF(A120="","",IF(OR(T120&gt;1,AND(AV120&lt;&gt;"",AV120&lt;Inputs!$B$11),AND(AV120&lt;&gt;"",AV120&gt;Inputs!$B$12),AA120&lt;Inputs!$B$19,AB120&lt;Inputs!$B$19,N120&lt;Inputs!$B$7,N120&gt;Inputs!$B$8),"CHECK","OK"))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  <c r="AT120" s="7">
        <f>IF(A120="","",U120)</f>
        <v/>
      </c>
      <c r="AU120" s="7">
        <f>IF(OR(R120="",N120=""),"",(1/Inputs!$B$9)*((R120/4)^(2/3))*SQRT(N120))</f>
        <v/>
      </c>
      <c r="AV120" s="7">
        <f>IF(A120="","",IF(AND(AT120="",AU120=""),"",IF(OR(UPPER(TRIM(Inputs!$B$24))="MANNING",UPPER(TRIM(Inputs!$B$24))="M"),AU120,IF(OR(UPPER(TRIM(Inputs!$B$24))="MAX",UPPER(TRIM(Inputs!$B$24))="X"),MAX(IF(AT120="",0,AT120),IF(AU120="",0,AU120)),AT120))))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IF(A121="","",2.78E-7*IF(G121="",Inputs!$B$17,G121)*F121*I121)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IF(A121="","",IF(OR(T121&gt;1,AND(AV121&lt;&gt;"",AV121&lt;Inputs!$B$11),AND(AV121&lt;&gt;"",AV121&gt;Inputs!$B$12),AA121&lt;Inputs!$B$19,AB121&lt;Inputs!$B$19,N121&lt;Inputs!$B$7,N121&gt;Inputs!$B$8),"CHECK","OK"))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  <c r="AT121" s="7">
        <f>IF(A121="","",U121)</f>
        <v/>
      </c>
      <c r="AU121" s="7">
        <f>IF(OR(R121="",N121=""),"",(1/Inputs!$B$9)*((R121/4)^(2/3))*SQRT(N121))</f>
        <v/>
      </c>
      <c r="AV121" s="7">
        <f>IF(A121="","",IF(AND(AT121="",AU121=""),"",IF(OR(UPPER(TRIM(Inputs!$B$24))="MANNING",UPPER(TRIM(Inputs!$B$24))="M"),AU121,IF(OR(UPPER(TRIM(Inputs!$B$24))="MAX",UPPER(TRIM(Inputs!$B$24))="X"),MAX(IF(AT121="",0,AT121),IF(AU121="",0,AU121)),AT121))))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IF(A122="","",2.78E-7*IF(G122="",Inputs!$B$17,G122)*F122*I122)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IF(A122="","",IF(OR(T122&gt;1,AND(AV122&lt;&gt;"",AV122&lt;Inputs!$B$11),AND(AV122&lt;&gt;"",AV122&gt;Inputs!$B$12),AA122&lt;Inputs!$B$19,AB122&lt;Inputs!$B$19,N122&lt;Inputs!$B$7,N122&gt;Inputs!$B$8),"CHECK","OK"))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  <c r="AT122" s="7">
        <f>IF(A122="","",U122)</f>
        <v/>
      </c>
      <c r="AU122" s="7">
        <f>IF(OR(R122="",N122=""),"",(1/Inputs!$B$9)*((R122/4)^(2/3))*SQRT(N122))</f>
        <v/>
      </c>
      <c r="AV122" s="7">
        <f>IF(A122="","",IF(AND(AT122="",AU122=""),"",IF(OR(UPPER(TRIM(Inputs!$B$24))="MANNING",UPPER(TRIM(Inputs!$B$24))="M"),AU122,IF(OR(UPPER(TRIM(Inputs!$B$24))="MAX",UPPER(TRIM(Inputs!$B$24))="X"),MAX(IF(AT122="",0,AT122),IF(AU122="",0,AU122)),AT122))))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IF(A123="","",2.78E-7*IF(G123="",Inputs!$B$17,G123)*F123*I123)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IF(A123="","",IF(OR(T123&gt;1,AND(AV123&lt;&gt;"",AV123&lt;Inputs!$B$11),AND(AV123&lt;&gt;"",AV123&gt;Inputs!$B$12),AA123&lt;Inputs!$B$19,AB123&lt;Inputs!$B$19,N123&lt;Inputs!$B$7,N123&gt;Inputs!$B$8),"CHECK","OK"))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  <c r="AT123" s="7">
        <f>IF(A123="","",U123)</f>
        <v/>
      </c>
      <c r="AU123" s="7">
        <f>IF(OR(R123="",N123=""),"",(1/Inputs!$B$9)*((R123/4)^(2/3))*SQRT(N123))</f>
        <v/>
      </c>
      <c r="AV123" s="7">
        <f>IF(A123="","",IF(AND(AT123="",AU123=""),"",IF(OR(UPPER(TRIM(Inputs!$B$24))="MANNING",UPPER(TRIM(Inputs!$B$24))="M"),AU123,IF(OR(UPPER(TRIM(Inputs!$B$24))="MAX",UPPER(TRIM(Inputs!$B$24))="X"),MAX(IF(AT123="",0,AT123),IF(AU123="",0,AU123)),AT123))))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IF(A124="","",2.78E-7*IF(G124="",Inputs!$B$17,G124)*F124*I124)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IF(A124="","",IF(OR(T124&gt;1,AND(AV124&lt;&gt;"",AV124&lt;Inputs!$B$11),AND(AV124&lt;&gt;"",AV124&gt;Inputs!$B$12),AA124&lt;Inputs!$B$19,AB124&lt;Inputs!$B$19,N124&lt;Inputs!$B$7,N124&gt;Inputs!$B$8),"CHECK","OK"))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  <c r="AT124" s="7">
        <f>IF(A124="","",U124)</f>
        <v/>
      </c>
      <c r="AU124" s="7">
        <f>IF(OR(R124="",N124=""),"",(1/Inputs!$B$9)*((R124/4)^(2/3))*SQRT(N124))</f>
        <v/>
      </c>
      <c r="AV124" s="7">
        <f>IF(A124="","",IF(AND(AT124="",AU124=""),"",IF(OR(UPPER(TRIM(Inputs!$B$24))="MANNING",UPPER(TRIM(Inputs!$B$24))="M"),AU124,IF(OR(UPPER(TRIM(Inputs!$B$24))="MAX",UPPER(TRIM(Inputs!$B$24))="X"),MAX(IF(AT124="",0,AT124),IF(AU124="",0,AU124)),AT124))))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IF(A125="","",2.78E-7*IF(G125="",Inputs!$B$17,G125)*F125*I125)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IF(A125="","",IF(OR(T125&gt;1,AND(AV125&lt;&gt;"",AV125&lt;Inputs!$B$11),AND(AV125&lt;&gt;"",AV125&gt;Inputs!$B$12),AA125&lt;Inputs!$B$19,AB125&lt;Inputs!$B$19,N125&lt;Inputs!$B$7,N125&gt;Inputs!$B$8),"CHECK","OK"))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  <c r="AT125" s="7">
        <f>IF(A125="","",U125)</f>
        <v/>
      </c>
      <c r="AU125" s="7">
        <f>IF(OR(R125="",N125=""),"",(1/Inputs!$B$9)*((R125/4)^(2/3))*SQRT(N125))</f>
        <v/>
      </c>
      <c r="AV125" s="7">
        <f>IF(A125="","",IF(AND(AT125="",AU125=""),"",IF(OR(UPPER(TRIM(Inputs!$B$24))="MANNING",UPPER(TRIM(Inputs!$B$24))="M"),AU125,IF(OR(UPPER(TRIM(Inputs!$B$24))="MAX",UPPER(TRIM(Inputs!$B$24))="X"),MAX(IF(AT125="",0,AT125),IF(AU125="",0,AU125)),AT125))))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IF(A126="","",2.78E-7*IF(G126="",Inputs!$B$17,G126)*F126*I126)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IF(A126="","",IF(OR(T126&gt;1,AND(AV126&lt;&gt;"",AV126&lt;Inputs!$B$11),AND(AV126&lt;&gt;"",AV126&gt;Inputs!$B$12),AA126&lt;Inputs!$B$19,AB126&lt;Inputs!$B$19,N126&lt;Inputs!$B$7,N126&gt;Inputs!$B$8),"CHECK","OK"))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  <c r="AT126" s="7">
        <f>IF(A126="","",U126)</f>
        <v/>
      </c>
      <c r="AU126" s="7">
        <f>IF(OR(R126="",N126=""),"",(1/Inputs!$B$9)*((R126/4)^(2/3))*SQRT(N126))</f>
        <v/>
      </c>
      <c r="AV126" s="7">
        <f>IF(A126="","",IF(AND(AT126="",AU126=""),"",IF(OR(UPPER(TRIM(Inputs!$B$24))="MANNING",UPPER(TRIM(Inputs!$B$24))="M"),AU126,IF(OR(UPPER(TRIM(Inputs!$B$24))="MAX",UPPER(TRIM(Inputs!$B$24))="X"),MAX(IF(AT126="",0,AT126),IF(AU126="",0,AU126)),AT126))))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IF(A127="","",2.78E-7*IF(G127="",Inputs!$B$17,G127)*F127*I127)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IF(A127="","",IF(OR(T127&gt;1,AND(AV127&lt;&gt;"",AV127&lt;Inputs!$B$11),AND(AV127&lt;&gt;"",AV127&gt;Inputs!$B$12),AA127&lt;Inputs!$B$19,AB127&lt;Inputs!$B$19,N127&lt;Inputs!$B$7,N127&gt;Inputs!$B$8),"CHECK","OK"))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  <c r="AT127" s="7">
        <f>IF(A127="","",U127)</f>
        <v/>
      </c>
      <c r="AU127" s="7">
        <f>IF(OR(R127="",N127=""),"",(1/Inputs!$B$9)*((R127/4)^(2/3))*SQRT(N127))</f>
        <v/>
      </c>
      <c r="AV127" s="7">
        <f>IF(A127="","",IF(AND(AT127="",AU127=""),"",IF(OR(UPPER(TRIM(Inputs!$B$24))="MANNING",UPPER(TRIM(Inputs!$B$24))="M"),AU127,IF(OR(UPPER(TRIM(Inputs!$B$24))="MAX",UPPER(TRIM(Inputs!$B$24))="X"),MAX(IF(AT127="",0,AT127),IF(AU127="",0,AU127)),AT127))))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IF(A128="","",2.78E-7*IF(G128="",Inputs!$B$17,G128)*F128*I128)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IF(A128="","",IF(OR(T128&gt;1,AND(AV128&lt;&gt;"",AV128&lt;Inputs!$B$11),AND(AV128&lt;&gt;"",AV128&gt;Inputs!$B$12),AA128&lt;Inputs!$B$19,AB128&lt;Inputs!$B$19,N128&lt;Inputs!$B$7,N128&gt;Inputs!$B$8),"CHECK","OK"))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  <c r="AT128" s="7">
        <f>IF(A128="","",U128)</f>
        <v/>
      </c>
      <c r="AU128" s="7">
        <f>IF(OR(R128="",N128=""),"",(1/Inputs!$B$9)*((R128/4)^(2/3))*SQRT(N128))</f>
        <v/>
      </c>
      <c r="AV128" s="7">
        <f>IF(A128="","",IF(AND(AT128="",AU128=""),"",IF(OR(UPPER(TRIM(Inputs!$B$24))="MANNING",UPPER(TRIM(Inputs!$B$24))="M"),AU128,IF(OR(UPPER(TRIM(Inputs!$B$24))="MAX",UPPER(TRIM(Inputs!$B$24))="X"),MAX(IF(AT128="",0,AT128),IF(AU128="",0,AU128)),AT128))))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IF(A129="","",2.78E-7*IF(G129="",Inputs!$B$17,G129)*F129*I129)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IF(A129="","",IF(OR(T129&gt;1,AND(AV129&lt;&gt;"",AV129&lt;Inputs!$B$11),AND(AV129&lt;&gt;"",AV129&gt;Inputs!$B$12),AA129&lt;Inputs!$B$19,AB129&lt;Inputs!$B$19,N129&lt;Inputs!$B$7,N129&gt;Inputs!$B$8),"CHECK","OK"))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  <c r="AT129" s="7">
        <f>IF(A129="","",U129)</f>
        <v/>
      </c>
      <c r="AU129" s="7">
        <f>IF(OR(R129="",N129=""),"",(1/Inputs!$B$9)*((R129/4)^(2/3))*SQRT(N129))</f>
        <v/>
      </c>
      <c r="AV129" s="7">
        <f>IF(A129="","",IF(AND(AT129="",AU129=""),"",IF(OR(UPPER(TRIM(Inputs!$B$24))="MANNING",UPPER(TRIM(Inputs!$B$24))="M"),AU129,IF(OR(UPPER(TRIM(Inputs!$B$24))="MAX",UPPER(TRIM(Inputs!$B$24))="X"),MAX(IF(AT129="",0,AT129),IF(AU129="",0,AU129)),AT129))))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IF(A130="","",2.78E-7*IF(G130="",Inputs!$B$17,G130)*F130*I130)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IF(A130="","",IF(OR(T130&gt;1,AND(AV130&lt;&gt;"",AV130&lt;Inputs!$B$11),AND(AV130&lt;&gt;"",AV130&gt;Inputs!$B$12),AA130&lt;Inputs!$B$19,AB130&lt;Inputs!$B$19,N130&lt;Inputs!$B$7,N130&gt;Inputs!$B$8),"CHECK","OK"))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  <c r="AT130" s="7">
        <f>IF(A130="","",U130)</f>
        <v/>
      </c>
      <c r="AU130" s="7">
        <f>IF(OR(R130="",N130=""),"",(1/Inputs!$B$9)*((R130/4)^(2/3))*SQRT(N130))</f>
        <v/>
      </c>
      <c r="AV130" s="7">
        <f>IF(A130="","",IF(AND(AT130="",AU130=""),"",IF(OR(UPPER(TRIM(Inputs!$B$24))="MANNING",UPPER(TRIM(Inputs!$B$24))="M"),AU130,IF(OR(UPPER(TRIM(Inputs!$B$24))="MAX",UPPER(TRIM(Inputs!$B$24))="X"),MAX(IF(AT130="",0,AT130),IF(AU130="",0,AU130)),AT130))))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IF(A131="","",2.78E-7*IF(G131="",Inputs!$B$17,G131)*F131*I131)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IF(A131="","",IF(OR(T131&gt;1,AND(AV131&lt;&gt;"",AV131&lt;Inputs!$B$11),AND(AV131&lt;&gt;"",AV131&gt;Inputs!$B$12),AA131&lt;Inputs!$B$19,AB131&lt;Inputs!$B$19,N131&lt;Inputs!$B$7,N131&gt;Inputs!$B$8),"CHECK","OK"))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  <c r="AT131" s="7">
        <f>IF(A131="","",U131)</f>
        <v/>
      </c>
      <c r="AU131" s="7">
        <f>IF(OR(R131="",N131=""),"",(1/Inputs!$B$9)*((R131/4)^(2/3))*SQRT(N131))</f>
        <v/>
      </c>
      <c r="AV131" s="7">
        <f>IF(A131="","",IF(AND(AT131="",AU131=""),"",IF(OR(UPPER(TRIM(Inputs!$B$24))="MANNING",UPPER(TRIM(Inputs!$B$24))="M"),AU131,IF(OR(UPPER(TRIM(Inputs!$B$24))="MAX",UPPER(TRIM(Inputs!$B$24))="X"),MAX(IF(AT131="",0,AT131),IF(AU131="",0,AU131)),AT131))))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IF(A132="","",2.78E-7*IF(G132="",Inputs!$B$17,G132)*F132*I132)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IF(A132="","",IF(OR(T132&gt;1,AND(AV132&lt;&gt;"",AV132&lt;Inputs!$B$11),AND(AV132&lt;&gt;"",AV132&gt;Inputs!$B$12),AA132&lt;Inputs!$B$19,AB132&lt;Inputs!$B$19,N132&lt;Inputs!$B$7,N132&gt;Inputs!$B$8),"CHECK","OK"))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  <c r="AT132" s="7">
        <f>IF(A132="","",U132)</f>
        <v/>
      </c>
      <c r="AU132" s="7">
        <f>IF(OR(R132="",N132=""),"",(1/Inputs!$B$9)*((R132/4)^(2/3))*SQRT(N132))</f>
        <v/>
      </c>
      <c r="AV132" s="7">
        <f>IF(A132="","",IF(AND(AT132="",AU132=""),"",IF(OR(UPPER(TRIM(Inputs!$B$24))="MANNING",UPPER(TRIM(Inputs!$B$24))="M"),AU132,IF(OR(UPPER(TRIM(Inputs!$B$24))="MAX",UPPER(TRIM(Inputs!$B$24))="X"),MAX(IF(AT132="",0,AT132),IF(AU132="",0,AU132)),AT132))))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IF(A133="","",2.78E-7*IF(G133="",Inputs!$B$17,G133)*F133*I133)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IF(A133="","",IF(OR(T133&gt;1,AND(AV133&lt;&gt;"",AV133&lt;Inputs!$B$11),AND(AV133&lt;&gt;"",AV133&gt;Inputs!$B$12),AA133&lt;Inputs!$B$19,AB133&lt;Inputs!$B$19,N133&lt;Inputs!$B$7,N133&gt;Inputs!$B$8),"CHECK","OK"))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  <c r="AT133" s="7">
        <f>IF(A133="","",U133)</f>
        <v/>
      </c>
      <c r="AU133" s="7">
        <f>IF(OR(R133="",N133=""),"",(1/Inputs!$B$9)*((R133/4)^(2/3))*SQRT(N133))</f>
        <v/>
      </c>
      <c r="AV133" s="7">
        <f>IF(A133="","",IF(AND(AT133="",AU133=""),"",IF(OR(UPPER(TRIM(Inputs!$B$24))="MANNING",UPPER(TRIM(Inputs!$B$24))="M"),AU133,IF(OR(UPPER(TRIM(Inputs!$B$24))="MAX",UPPER(TRIM(Inputs!$B$24))="X"),MAX(IF(AT133="",0,AT133),IF(AU133="",0,AU133)),AT133))))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IF(A134="","",2.78E-7*IF(G134="",Inputs!$B$17,G134)*F134*I134)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IF(A134="","",IF(OR(T134&gt;1,AND(AV134&lt;&gt;"",AV134&lt;Inputs!$B$11),AND(AV134&lt;&gt;"",AV134&gt;Inputs!$B$12),AA134&lt;Inputs!$B$19,AB134&lt;Inputs!$B$19,N134&lt;Inputs!$B$7,N134&gt;Inputs!$B$8),"CHECK","OK"))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  <c r="AT134" s="7">
        <f>IF(A134="","",U134)</f>
        <v/>
      </c>
      <c r="AU134" s="7">
        <f>IF(OR(R134="",N134=""),"",(1/Inputs!$B$9)*((R134/4)^(2/3))*SQRT(N134))</f>
        <v/>
      </c>
      <c r="AV134" s="7">
        <f>IF(A134="","",IF(AND(AT134="",AU134=""),"",IF(OR(UPPER(TRIM(Inputs!$B$24))="MANNING",UPPER(TRIM(Inputs!$B$24))="M"),AU134,IF(OR(UPPER(TRIM(Inputs!$B$24))="MAX",UPPER(TRIM(Inputs!$B$24))="X"),MAX(IF(AT134="",0,AT134),IF(AU134="",0,AU134)),AT134))))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IF(A135="","",2.78E-7*IF(G135="",Inputs!$B$17,G135)*F135*I135)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IF(A135="","",IF(OR(T135&gt;1,AND(AV135&lt;&gt;"",AV135&lt;Inputs!$B$11),AND(AV135&lt;&gt;"",AV135&gt;Inputs!$B$12),AA135&lt;Inputs!$B$19,AB135&lt;Inputs!$B$19,N135&lt;Inputs!$B$7,N135&gt;Inputs!$B$8),"CHECK","OK"))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  <c r="AT135" s="7">
        <f>IF(A135="","",U135)</f>
        <v/>
      </c>
      <c r="AU135" s="7">
        <f>IF(OR(R135="",N135=""),"",(1/Inputs!$B$9)*((R135/4)^(2/3))*SQRT(N135))</f>
        <v/>
      </c>
      <c r="AV135" s="7">
        <f>IF(A135="","",IF(AND(AT135="",AU135=""),"",IF(OR(UPPER(TRIM(Inputs!$B$24))="MANNING",UPPER(TRIM(Inputs!$B$24))="M"),AU135,IF(OR(UPPER(TRIM(Inputs!$B$24))="MAX",UPPER(TRIM(Inputs!$B$24))="X"),MAX(IF(AT135="",0,AT135),IF(AU135="",0,AU135)),AT135))))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IF(A136="","",2.78E-7*IF(G136="",Inputs!$B$17,G136)*F136*I136)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IF(A136="","",IF(OR(T136&gt;1,AND(AV136&lt;&gt;"",AV136&lt;Inputs!$B$11),AND(AV136&lt;&gt;"",AV136&gt;Inputs!$B$12),AA136&lt;Inputs!$B$19,AB136&lt;Inputs!$B$19,N136&lt;Inputs!$B$7,N136&gt;Inputs!$B$8),"CHECK","OK"))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  <c r="AT136" s="7">
        <f>IF(A136="","",U136)</f>
        <v/>
      </c>
      <c r="AU136" s="7">
        <f>IF(OR(R136="",N136=""),"",(1/Inputs!$B$9)*((R136/4)^(2/3))*SQRT(N136))</f>
        <v/>
      </c>
      <c r="AV136" s="7">
        <f>IF(A136="","",IF(AND(AT136="",AU136=""),"",IF(OR(UPPER(TRIM(Inputs!$B$24))="MANNING",UPPER(TRIM(Inputs!$B$24))="M"),AU136,IF(OR(UPPER(TRIM(Inputs!$B$24))="MAX",UPPER(TRIM(Inputs!$B$24))="X"),MAX(IF(AT136="",0,AT136),IF(AU136="",0,AU136)),AT136))))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IF(A137="","",2.78E-7*IF(G137="",Inputs!$B$17,G137)*F137*I137)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IF(A137="","",IF(OR(T137&gt;1,AND(AV137&lt;&gt;"",AV137&lt;Inputs!$B$11),AND(AV137&lt;&gt;"",AV137&gt;Inputs!$B$12),AA137&lt;Inputs!$B$19,AB137&lt;Inputs!$B$19,N137&lt;Inputs!$B$7,N137&gt;Inputs!$B$8),"CHECK","OK"))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  <c r="AT137" s="7">
        <f>IF(A137="","",U137)</f>
        <v/>
      </c>
      <c r="AU137" s="7">
        <f>IF(OR(R137="",N137=""),"",(1/Inputs!$B$9)*((R137/4)^(2/3))*SQRT(N137))</f>
        <v/>
      </c>
      <c r="AV137" s="7">
        <f>IF(A137="","",IF(AND(AT137="",AU137=""),"",IF(OR(UPPER(TRIM(Inputs!$B$24))="MANNING",UPPER(TRIM(Inputs!$B$24))="M"),AU137,IF(OR(UPPER(TRIM(Inputs!$B$24))="MAX",UPPER(TRIM(Inputs!$B$24))="X"),MAX(IF(AT137="",0,AT137),IF(AU137="",0,AU137)),AT137))))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IF(A138="","",2.78E-7*IF(G138="",Inputs!$B$17,G138)*F138*I138)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IF(A138="","",IF(OR(T138&gt;1,AND(AV138&lt;&gt;"",AV138&lt;Inputs!$B$11),AND(AV138&lt;&gt;"",AV138&gt;Inputs!$B$12),AA138&lt;Inputs!$B$19,AB138&lt;Inputs!$B$19,N138&lt;Inputs!$B$7,N138&gt;Inputs!$B$8),"CHECK","OK"))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  <c r="AT138" s="7">
        <f>IF(A138="","",U138)</f>
        <v/>
      </c>
      <c r="AU138" s="7">
        <f>IF(OR(R138="",N138=""),"",(1/Inputs!$B$9)*((R138/4)^(2/3))*SQRT(N138))</f>
        <v/>
      </c>
      <c r="AV138" s="7">
        <f>IF(A138="","",IF(AND(AT138="",AU138=""),"",IF(OR(UPPER(TRIM(Inputs!$B$24))="MANNING",UPPER(TRIM(Inputs!$B$24))="M"),AU138,IF(OR(UPPER(TRIM(Inputs!$B$24))="MAX",UPPER(TRIM(Inputs!$B$24))="X"),MAX(IF(AT138="",0,AT138),IF(AU138="",0,AU138)),AT138))))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IF(A139="","",2.78E-7*IF(G139="",Inputs!$B$17,G139)*F139*I139)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IF(A139="","",IF(OR(T139&gt;1,AND(AV139&lt;&gt;"",AV139&lt;Inputs!$B$11),AND(AV139&lt;&gt;"",AV139&gt;Inputs!$B$12),AA139&lt;Inputs!$B$19,AB139&lt;Inputs!$B$19,N139&lt;Inputs!$B$7,N139&gt;Inputs!$B$8),"CHECK","OK"))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  <c r="AT139" s="7">
        <f>IF(A139="","",U139)</f>
        <v/>
      </c>
      <c r="AU139" s="7">
        <f>IF(OR(R139="",N139=""),"",(1/Inputs!$B$9)*((R139/4)^(2/3))*SQRT(N139))</f>
        <v/>
      </c>
      <c r="AV139" s="7">
        <f>IF(A139="","",IF(AND(AT139="",AU139=""),"",IF(OR(UPPER(TRIM(Inputs!$B$24))="MANNING",UPPER(TRIM(Inputs!$B$24))="M"),AU139,IF(OR(UPPER(TRIM(Inputs!$B$24))="MAX",UPPER(TRIM(Inputs!$B$24))="X"),MAX(IF(AT139="",0,AT139),IF(AU139="",0,AU139)),AT139))))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IF(A140="","",2.78E-7*IF(G140="",Inputs!$B$17,G140)*F140*I140)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IF(A140="","",IF(OR(T140&gt;1,AND(AV140&lt;&gt;"",AV140&lt;Inputs!$B$11),AND(AV140&lt;&gt;"",AV140&gt;Inputs!$B$12),AA140&lt;Inputs!$B$19,AB140&lt;Inputs!$B$19,N140&lt;Inputs!$B$7,N140&gt;Inputs!$B$8),"CHECK","OK"))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  <c r="AT140" s="7">
        <f>IF(A140="","",U140)</f>
        <v/>
      </c>
      <c r="AU140" s="7">
        <f>IF(OR(R140="",N140=""),"",(1/Inputs!$B$9)*((R140/4)^(2/3))*SQRT(N140))</f>
        <v/>
      </c>
      <c r="AV140" s="7">
        <f>IF(A140="","",IF(AND(AT140="",AU140=""),"",IF(OR(UPPER(TRIM(Inputs!$B$24))="MANNING",UPPER(TRIM(Inputs!$B$24))="M"),AU140,IF(OR(UPPER(TRIM(Inputs!$B$24))="MAX",UPPER(TRIM(Inputs!$B$24))="X"),MAX(IF(AT140="",0,AT140),IF(AU140="",0,AU140)),AT140))))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IF(A141="","",2.78E-7*IF(G141="",Inputs!$B$17,G141)*F141*I141)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IF(A141="","",IF(OR(T141&gt;1,AND(AV141&lt;&gt;"",AV141&lt;Inputs!$B$11),AND(AV141&lt;&gt;"",AV141&gt;Inputs!$B$12),AA141&lt;Inputs!$B$19,AB141&lt;Inputs!$B$19,N141&lt;Inputs!$B$7,N141&gt;Inputs!$B$8),"CHECK","OK"))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  <c r="AT141" s="7">
        <f>IF(A141="","",U141)</f>
        <v/>
      </c>
      <c r="AU141" s="7">
        <f>IF(OR(R141="",N141=""),"",(1/Inputs!$B$9)*((R141/4)^(2/3))*SQRT(N141))</f>
        <v/>
      </c>
      <c r="AV141" s="7">
        <f>IF(A141="","",IF(AND(AT141="",AU141=""),"",IF(OR(UPPER(TRIM(Inputs!$B$24))="MANNING",UPPER(TRIM(Inputs!$B$24))="M"),AU141,IF(OR(UPPER(TRIM(Inputs!$B$24))="MAX",UPPER(TRIM(Inputs!$B$24))="X"),MAX(IF(AT141="",0,AT141),IF(AU141="",0,AU141)),AT141))))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IF(A142="","",2.78E-7*IF(G142="",Inputs!$B$17,G142)*F142*I142)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IF(A142="","",IF(OR(T142&gt;1,AND(AV142&lt;&gt;"",AV142&lt;Inputs!$B$11),AND(AV142&lt;&gt;"",AV142&gt;Inputs!$B$12),AA142&lt;Inputs!$B$19,AB142&lt;Inputs!$B$19,N142&lt;Inputs!$B$7,N142&gt;Inputs!$B$8),"CHECK","OK"))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  <c r="AT142" s="7">
        <f>IF(A142="","",U142)</f>
        <v/>
      </c>
      <c r="AU142" s="7">
        <f>IF(OR(R142="",N142=""),"",(1/Inputs!$B$9)*((R142/4)^(2/3))*SQRT(N142))</f>
        <v/>
      </c>
      <c r="AV142" s="7">
        <f>IF(A142="","",IF(AND(AT142="",AU142=""),"",IF(OR(UPPER(TRIM(Inputs!$B$24))="MANNING",UPPER(TRIM(Inputs!$B$24))="M"),AU142,IF(OR(UPPER(TRIM(Inputs!$B$24))="MAX",UPPER(TRIM(Inputs!$B$24))="X"),MAX(IF(AT142="",0,AT142),IF(AU142="",0,AU142)),AT142))))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IF(A143="","",2.78E-7*IF(G143="",Inputs!$B$17,G143)*F143*I143)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IF(A143="","",IF(OR(T143&gt;1,AND(AV143&lt;&gt;"",AV143&lt;Inputs!$B$11),AND(AV143&lt;&gt;"",AV143&gt;Inputs!$B$12),AA143&lt;Inputs!$B$19,AB143&lt;Inputs!$B$19,N143&lt;Inputs!$B$7,N143&gt;Inputs!$B$8),"CHECK","OK"))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  <c r="AT143" s="7">
        <f>IF(A143="","",U143)</f>
        <v/>
      </c>
      <c r="AU143" s="7">
        <f>IF(OR(R143="",N143=""),"",(1/Inputs!$B$9)*((R143/4)^(2/3))*SQRT(N143))</f>
        <v/>
      </c>
      <c r="AV143" s="7">
        <f>IF(A143="","",IF(AND(AT143="",AU143=""),"",IF(OR(UPPER(TRIM(Inputs!$B$24))="MANNING",UPPER(TRIM(Inputs!$B$24))="M"),AU143,IF(OR(UPPER(TRIM(Inputs!$B$24))="MAX",UPPER(TRIM(Inputs!$B$24))="X"),MAX(IF(AT143="",0,AT143),IF(AU143="",0,AU143)),AT143))))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IF(A144="","",2.78E-7*IF(G144="",Inputs!$B$17,G144)*F144*I144)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IF(A144="","",IF(OR(T144&gt;1,AND(AV144&lt;&gt;"",AV144&lt;Inputs!$B$11),AND(AV144&lt;&gt;"",AV144&gt;Inputs!$B$12),AA144&lt;Inputs!$B$19,AB144&lt;Inputs!$B$19,N144&lt;Inputs!$B$7,N144&gt;Inputs!$B$8),"CHECK","OK"))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  <c r="AT144" s="7">
        <f>IF(A144="","",U144)</f>
        <v/>
      </c>
      <c r="AU144" s="7">
        <f>IF(OR(R144="",N144=""),"",(1/Inputs!$B$9)*((R144/4)^(2/3))*SQRT(N144))</f>
        <v/>
      </c>
      <c r="AV144" s="7">
        <f>IF(A144="","",IF(AND(AT144="",AU144=""),"",IF(OR(UPPER(TRIM(Inputs!$B$24))="MANNING",UPPER(TRIM(Inputs!$B$24))="M"),AU144,IF(OR(UPPER(TRIM(Inputs!$B$24))="MAX",UPPER(TRIM(Inputs!$B$24))="X"),MAX(IF(AT144="",0,AT144),IF(AU144="",0,AU144)),AT144))))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IF(A145="","",2.78E-7*IF(G145="",Inputs!$B$17,G145)*F145*I145)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IF(A145="","",IF(OR(T145&gt;1,AND(AV145&lt;&gt;"",AV145&lt;Inputs!$B$11),AND(AV145&lt;&gt;"",AV145&gt;Inputs!$B$12),AA145&lt;Inputs!$B$19,AB145&lt;Inputs!$B$19,N145&lt;Inputs!$B$7,N145&gt;Inputs!$B$8),"CHECK","OK"))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  <c r="AT145" s="7">
        <f>IF(A145="","",U145)</f>
        <v/>
      </c>
      <c r="AU145" s="7">
        <f>IF(OR(R145="",N145=""),"",(1/Inputs!$B$9)*((R145/4)^(2/3))*SQRT(N145))</f>
        <v/>
      </c>
      <c r="AV145" s="7">
        <f>IF(A145="","",IF(AND(AT145="",AU145=""),"",IF(OR(UPPER(TRIM(Inputs!$B$24))="MANNING",UPPER(TRIM(Inputs!$B$24))="M"),AU145,IF(OR(UPPER(TRIM(Inputs!$B$24))="MAX",UPPER(TRIM(Inputs!$B$24))="X"),MAX(IF(AT145="",0,AT145),IF(AU145="",0,AU145)),AT145))))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IF(A146="","",2.78E-7*IF(G146="",Inputs!$B$17,G146)*F146*I146)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IF(A146="","",IF(OR(T146&gt;1,AND(AV146&lt;&gt;"",AV146&lt;Inputs!$B$11),AND(AV146&lt;&gt;"",AV146&gt;Inputs!$B$12),AA146&lt;Inputs!$B$19,AB146&lt;Inputs!$B$19,N146&lt;Inputs!$B$7,N146&gt;Inputs!$B$8),"CHECK","OK"))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  <c r="AT146" s="7">
        <f>IF(A146="","",U146)</f>
        <v/>
      </c>
      <c r="AU146" s="7">
        <f>IF(OR(R146="",N146=""),"",(1/Inputs!$B$9)*((R146/4)^(2/3))*SQRT(N146))</f>
        <v/>
      </c>
      <c r="AV146" s="7">
        <f>IF(A146="","",IF(AND(AT146="",AU146=""),"",IF(OR(UPPER(TRIM(Inputs!$B$24))="MANNING",UPPER(TRIM(Inputs!$B$24))="M"),AU146,IF(OR(UPPER(TRIM(Inputs!$B$24))="MAX",UPPER(TRIM(Inputs!$B$24))="X"),MAX(IF(AT146="",0,AT146),IF(AU146="",0,AU146)),AT146))))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IF(A147="","",2.78E-7*IF(G147="",Inputs!$B$17,G147)*F147*I147)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IF(A147="","",IF(OR(T147&gt;1,AND(AV147&lt;&gt;"",AV147&lt;Inputs!$B$11),AND(AV147&lt;&gt;"",AV147&gt;Inputs!$B$12),AA147&lt;Inputs!$B$19,AB147&lt;Inputs!$B$19,N147&lt;Inputs!$B$7,N147&gt;Inputs!$B$8),"CHECK","OK"))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  <c r="AT147" s="7">
        <f>IF(A147="","",U147)</f>
        <v/>
      </c>
      <c r="AU147" s="7">
        <f>IF(OR(R147="",N147=""),"",(1/Inputs!$B$9)*((R147/4)^(2/3))*SQRT(N147))</f>
        <v/>
      </c>
      <c r="AV147" s="7">
        <f>IF(A147="","",IF(AND(AT147="",AU147=""),"",IF(OR(UPPER(TRIM(Inputs!$B$24))="MANNING",UPPER(TRIM(Inputs!$B$24))="M"),AU147,IF(OR(UPPER(TRIM(Inputs!$B$24))="MAX",UPPER(TRIM(Inputs!$B$24))="X"),MAX(IF(AT147="",0,AT147),IF(AU147="",0,AU147)),AT147))))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IF(A148="","",2.78E-7*IF(G148="",Inputs!$B$17,G148)*F148*I148)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IF(A148="","",IF(OR(T148&gt;1,AND(AV148&lt;&gt;"",AV148&lt;Inputs!$B$11),AND(AV148&lt;&gt;"",AV148&gt;Inputs!$B$12),AA148&lt;Inputs!$B$19,AB148&lt;Inputs!$B$19,N148&lt;Inputs!$B$7,N148&gt;Inputs!$B$8),"CHECK","OK"))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  <c r="AT148" s="7">
        <f>IF(A148="","",U148)</f>
        <v/>
      </c>
      <c r="AU148" s="7">
        <f>IF(OR(R148="",N148=""),"",(1/Inputs!$B$9)*((R148/4)^(2/3))*SQRT(N148))</f>
        <v/>
      </c>
      <c r="AV148" s="7">
        <f>IF(A148="","",IF(AND(AT148="",AU148=""),"",IF(OR(UPPER(TRIM(Inputs!$B$24))="MANNING",UPPER(TRIM(Inputs!$B$24))="M"),AU148,IF(OR(UPPER(TRIM(Inputs!$B$24))="MAX",UPPER(TRIM(Inputs!$B$24))="X"),MAX(IF(AT148="",0,AT148),IF(AU148="",0,AU148)),AT148))))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IF(A149="","",2.78E-7*IF(G149="",Inputs!$B$17,G149)*F149*I149)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IF(A149="","",IF(OR(T149&gt;1,AND(AV149&lt;&gt;"",AV149&lt;Inputs!$B$11),AND(AV149&lt;&gt;"",AV149&gt;Inputs!$B$12),AA149&lt;Inputs!$B$19,AB149&lt;Inputs!$B$19,N149&lt;Inputs!$B$7,N149&gt;Inputs!$B$8),"CHECK","OK"))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  <c r="AT149" s="7">
        <f>IF(A149="","",U149)</f>
        <v/>
      </c>
      <c r="AU149" s="7">
        <f>IF(OR(R149="",N149=""),"",(1/Inputs!$B$9)*((R149/4)^(2/3))*SQRT(N149))</f>
        <v/>
      </c>
      <c r="AV149" s="7">
        <f>IF(A149="","",IF(AND(AT149="",AU149=""),"",IF(OR(UPPER(TRIM(Inputs!$B$24))="MANNING",UPPER(TRIM(Inputs!$B$24))="M"),AU149,IF(OR(UPPER(TRIM(Inputs!$B$24))="MAX",UPPER(TRIM(Inputs!$B$24))="X"),MAX(IF(AT149="",0,AT149),IF(AU149="",0,AU149)),AT149))))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IF(A150="","",2.78E-7*IF(G150="",Inputs!$B$17,G150)*F150*I150)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IF(A150="","",IF(OR(T150&gt;1,AND(AV150&lt;&gt;"",AV150&lt;Inputs!$B$11),AND(AV150&lt;&gt;"",AV150&gt;Inputs!$B$12),AA150&lt;Inputs!$B$19,AB150&lt;Inputs!$B$19,N150&lt;Inputs!$B$7,N150&gt;Inputs!$B$8),"CHECK","OK"))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  <c r="AT150" s="7">
        <f>IF(A150="","",U150)</f>
        <v/>
      </c>
      <c r="AU150" s="7">
        <f>IF(OR(R150="",N150=""),"",(1/Inputs!$B$9)*((R150/4)^(2/3))*SQRT(N150))</f>
        <v/>
      </c>
      <c r="AV150" s="7">
        <f>IF(A150="","",IF(AND(AT150="",AU150=""),"",IF(OR(UPPER(TRIM(Inputs!$B$24))="MANNING",UPPER(TRIM(Inputs!$B$24))="M"),AU150,IF(OR(UPPER(TRIM(Inputs!$B$24))="MAX",UPPER(TRIM(Inputs!$B$24))="X"),MAX(IF(AT150="",0,AT150),IF(AU150="",0,AU150)),AT150))))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IF(A151="","",2.78E-7*IF(G151="",Inputs!$B$17,G151)*F151*I151)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IF(A151="","",IF(OR(T151&gt;1,AND(AV151&lt;&gt;"",AV151&lt;Inputs!$B$11),AND(AV151&lt;&gt;"",AV151&gt;Inputs!$B$12),AA151&lt;Inputs!$B$19,AB151&lt;Inputs!$B$19,N151&lt;Inputs!$B$7,N151&gt;Inputs!$B$8),"CHECK","OK"))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  <c r="AT151" s="7">
        <f>IF(A151="","",U151)</f>
        <v/>
      </c>
      <c r="AU151" s="7">
        <f>IF(OR(R151="",N151=""),"",(1/Inputs!$B$9)*((R151/4)^(2/3))*SQRT(N151))</f>
        <v/>
      </c>
      <c r="AV151" s="7">
        <f>IF(A151="","",IF(AND(AT151="",AU151=""),"",IF(OR(UPPER(TRIM(Inputs!$B$24))="MANNING",UPPER(TRIM(Inputs!$B$24))="M"),AU151,IF(OR(UPPER(TRIM(Inputs!$B$24))="MAX",UPPER(TRIM(Inputs!$B$24))="X"),MAX(IF(AT151="",0,AT151),IF(AU151="",0,AU151)),AT151))))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IF(A152="","",2.78E-7*IF(G152="",Inputs!$B$17,G152)*F152*I152)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IF(A152="","",IF(OR(T152&gt;1,AND(AV152&lt;&gt;"",AV152&lt;Inputs!$B$11),AND(AV152&lt;&gt;"",AV152&gt;Inputs!$B$12),AA152&lt;Inputs!$B$19,AB152&lt;Inputs!$B$19,N152&lt;Inputs!$B$7,N152&gt;Inputs!$B$8),"CHECK","OK"))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  <c r="AT152" s="7">
        <f>IF(A152="","",U152)</f>
        <v/>
      </c>
      <c r="AU152" s="7">
        <f>IF(OR(R152="",N152=""),"",(1/Inputs!$B$9)*((R152/4)^(2/3))*SQRT(N152))</f>
        <v/>
      </c>
      <c r="AV152" s="7">
        <f>IF(A152="","",IF(AND(AT152="",AU152=""),"",IF(OR(UPPER(TRIM(Inputs!$B$24))="MANNING",UPPER(TRIM(Inputs!$B$24))="M"),AU152,IF(OR(UPPER(TRIM(Inputs!$B$24))="MAX",UPPER(TRIM(Inputs!$B$24))="X"),MAX(IF(AT152="",0,AT152),IF(AU152="",0,AU152)),AT152))))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IF(A153="","",2.78E-7*IF(G153="",Inputs!$B$17,G153)*F153*I153)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IF(A153="","",IF(OR(T153&gt;1,AND(AV153&lt;&gt;"",AV153&lt;Inputs!$B$11),AND(AV153&lt;&gt;"",AV153&gt;Inputs!$B$12),AA153&lt;Inputs!$B$19,AB153&lt;Inputs!$B$19,N153&lt;Inputs!$B$7,N153&gt;Inputs!$B$8),"CHECK","OK"))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  <c r="AT153" s="7">
        <f>IF(A153="","",U153)</f>
        <v/>
      </c>
      <c r="AU153" s="7">
        <f>IF(OR(R153="",N153=""),"",(1/Inputs!$B$9)*((R153/4)^(2/3))*SQRT(N153))</f>
        <v/>
      </c>
      <c r="AV153" s="7">
        <f>IF(A153="","",IF(AND(AT153="",AU153=""),"",IF(OR(UPPER(TRIM(Inputs!$B$24))="MANNING",UPPER(TRIM(Inputs!$B$24))="M"),AU153,IF(OR(UPPER(TRIM(Inputs!$B$24))="MAX",UPPER(TRIM(Inputs!$B$24))="X"),MAX(IF(AT153="",0,AT153),IF(AU153="",0,AU153)),AT153))))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IF(A154="","",2.78E-7*IF(G154="",Inputs!$B$17,G154)*F154*I154)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IF(A154="","",IF(OR(T154&gt;1,AND(AV154&lt;&gt;"",AV154&lt;Inputs!$B$11),AND(AV154&lt;&gt;"",AV154&gt;Inputs!$B$12),AA154&lt;Inputs!$B$19,AB154&lt;Inputs!$B$19,N154&lt;Inputs!$B$7,N154&gt;Inputs!$B$8),"CHECK","OK"))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  <c r="AT154" s="7">
        <f>IF(A154="","",U154)</f>
        <v/>
      </c>
      <c r="AU154" s="7">
        <f>IF(OR(R154="",N154=""),"",(1/Inputs!$B$9)*((R154/4)^(2/3))*SQRT(N154))</f>
        <v/>
      </c>
      <c r="AV154" s="7">
        <f>IF(A154="","",IF(AND(AT154="",AU154=""),"",IF(OR(UPPER(TRIM(Inputs!$B$24))="MANNING",UPPER(TRIM(Inputs!$B$24))="M"),AU154,IF(OR(UPPER(TRIM(Inputs!$B$24))="MAX",UPPER(TRIM(Inputs!$B$24))="X"),MAX(IF(AT154="",0,AT154),IF(AU154="",0,AU154)),AT154))))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IF(A155="","",2.78E-7*IF(G155="",Inputs!$B$17,G155)*F155*I155)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IF(A155="","",IF(OR(T155&gt;1,AND(AV155&lt;&gt;"",AV155&lt;Inputs!$B$11),AND(AV155&lt;&gt;"",AV155&gt;Inputs!$B$12),AA155&lt;Inputs!$B$19,AB155&lt;Inputs!$B$19,N155&lt;Inputs!$B$7,N155&gt;Inputs!$B$8),"CHECK","OK"))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  <c r="AT155" s="7">
        <f>IF(A155="","",U155)</f>
        <v/>
      </c>
      <c r="AU155" s="7">
        <f>IF(OR(R155="",N155=""),"",(1/Inputs!$B$9)*((R155/4)^(2/3))*SQRT(N155))</f>
        <v/>
      </c>
      <c r="AV155" s="7">
        <f>IF(A155="","",IF(AND(AT155="",AU155=""),"",IF(OR(UPPER(TRIM(Inputs!$B$24))="MANNING",UPPER(TRIM(Inputs!$B$24))="M"),AU155,IF(OR(UPPER(TRIM(Inputs!$B$24))="MAX",UPPER(TRIM(Inputs!$B$24))="X"),MAX(IF(AT155="",0,AT155),IF(AU155="",0,AU155)),AT155))))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IF(A156="","",2.78E-7*IF(G156="",Inputs!$B$17,G156)*F156*I156)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IF(A156="","",IF(OR(T156&gt;1,AND(AV156&lt;&gt;"",AV156&lt;Inputs!$B$11),AND(AV156&lt;&gt;"",AV156&gt;Inputs!$B$12),AA156&lt;Inputs!$B$19,AB156&lt;Inputs!$B$19,N156&lt;Inputs!$B$7,N156&gt;Inputs!$B$8),"CHECK","OK"))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  <c r="AT156" s="7">
        <f>IF(A156="","",U156)</f>
        <v/>
      </c>
      <c r="AU156" s="7">
        <f>IF(OR(R156="",N156=""),"",(1/Inputs!$B$9)*((R156/4)^(2/3))*SQRT(N156))</f>
        <v/>
      </c>
      <c r="AV156" s="7">
        <f>IF(A156="","",IF(AND(AT156="",AU156=""),"",IF(OR(UPPER(TRIM(Inputs!$B$24))="MANNING",UPPER(TRIM(Inputs!$B$24))="M"),AU156,IF(OR(UPPER(TRIM(Inputs!$B$24))="MAX",UPPER(TRIM(Inputs!$B$24))="X"),MAX(IF(AT156="",0,AT156),IF(AU156="",0,AU156)),AT156))))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IF(A157="","",2.78E-7*IF(G157="",Inputs!$B$17,G157)*F157*I157)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IF(A157="","",IF(OR(T157&gt;1,AND(AV157&lt;&gt;"",AV157&lt;Inputs!$B$11),AND(AV157&lt;&gt;"",AV157&gt;Inputs!$B$12),AA157&lt;Inputs!$B$19,AB157&lt;Inputs!$B$19,N157&lt;Inputs!$B$7,N157&gt;Inputs!$B$8),"CHECK","OK"))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  <c r="AT157" s="7">
        <f>IF(A157="","",U157)</f>
        <v/>
      </c>
      <c r="AU157" s="7">
        <f>IF(OR(R157="",N157=""),"",(1/Inputs!$B$9)*((R157/4)^(2/3))*SQRT(N157))</f>
        <v/>
      </c>
      <c r="AV157" s="7">
        <f>IF(A157="","",IF(AND(AT157="",AU157=""),"",IF(OR(UPPER(TRIM(Inputs!$B$24))="MANNING",UPPER(TRIM(Inputs!$B$24))="M"),AU157,IF(OR(UPPER(TRIM(Inputs!$B$24))="MAX",UPPER(TRIM(Inputs!$B$24))="X"),MAX(IF(AT157="",0,AT157),IF(AU157="",0,AU157)),AT157))))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IF(A158="","",2.78E-7*IF(G158="",Inputs!$B$17,G158)*F158*I158)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IF(A158="","",IF(OR(T158&gt;1,AND(AV158&lt;&gt;"",AV158&lt;Inputs!$B$11),AND(AV158&lt;&gt;"",AV158&gt;Inputs!$B$12),AA158&lt;Inputs!$B$19,AB158&lt;Inputs!$B$19,N158&lt;Inputs!$B$7,N158&gt;Inputs!$B$8),"CHECK","OK"))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  <c r="AT158" s="7">
        <f>IF(A158="","",U158)</f>
        <v/>
      </c>
      <c r="AU158" s="7">
        <f>IF(OR(R158="",N158=""),"",(1/Inputs!$B$9)*((R158/4)^(2/3))*SQRT(N158))</f>
        <v/>
      </c>
      <c r="AV158" s="7">
        <f>IF(A158="","",IF(AND(AT158="",AU158=""),"",IF(OR(UPPER(TRIM(Inputs!$B$24))="MANNING",UPPER(TRIM(Inputs!$B$24))="M"),AU158,IF(OR(UPPER(TRIM(Inputs!$B$24))="MAX",UPPER(TRIM(Inputs!$B$24))="X"),MAX(IF(AT158="",0,AT158),IF(AU158="",0,AU158)),AT158))))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IF(A159="","",2.78E-7*IF(G159="",Inputs!$B$17,G159)*F159*I159)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IF(A159="","",IF(OR(T159&gt;1,AND(AV159&lt;&gt;"",AV159&lt;Inputs!$B$11),AND(AV159&lt;&gt;"",AV159&gt;Inputs!$B$12),AA159&lt;Inputs!$B$19,AB159&lt;Inputs!$B$19,N159&lt;Inputs!$B$7,N159&gt;Inputs!$B$8),"CHECK","OK"))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  <c r="AT159" s="7">
        <f>IF(A159="","",U159)</f>
        <v/>
      </c>
      <c r="AU159" s="7">
        <f>IF(OR(R159="",N159=""),"",(1/Inputs!$B$9)*((R159/4)^(2/3))*SQRT(N159))</f>
        <v/>
      </c>
      <c r="AV159" s="7">
        <f>IF(A159="","",IF(AND(AT159="",AU159=""),"",IF(OR(UPPER(TRIM(Inputs!$B$24))="MANNING",UPPER(TRIM(Inputs!$B$24))="M"),AU159,IF(OR(UPPER(TRIM(Inputs!$B$24))="MAX",UPPER(TRIM(Inputs!$B$24))="X"),MAX(IF(AT159="",0,AT159),IF(AU159="",0,AU159)),AT159))))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IF(A160="","",2.78E-7*IF(G160="",Inputs!$B$17,G160)*F160*I160)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IF(A160="","",IF(OR(T160&gt;1,AND(AV160&lt;&gt;"",AV160&lt;Inputs!$B$11),AND(AV160&lt;&gt;"",AV160&gt;Inputs!$B$12),AA160&lt;Inputs!$B$19,AB160&lt;Inputs!$B$19,N160&lt;Inputs!$B$7,N160&gt;Inputs!$B$8),"CHECK","OK"))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  <c r="AT160" s="7">
        <f>IF(A160="","",U160)</f>
        <v/>
      </c>
      <c r="AU160" s="7">
        <f>IF(OR(R160="",N160=""),"",(1/Inputs!$B$9)*((R160/4)^(2/3))*SQRT(N160))</f>
        <v/>
      </c>
      <c r="AV160" s="7">
        <f>IF(A160="","",IF(AND(AT160="",AU160=""),"",IF(OR(UPPER(TRIM(Inputs!$B$24))="MANNING",UPPER(TRIM(Inputs!$B$24))="M"),AU160,IF(OR(UPPER(TRIM(Inputs!$B$24))="MAX",UPPER(TRIM(Inputs!$B$24))="X"),MAX(IF(AT160="",0,AT160),IF(AU160="",0,AU160)),AT160))))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IF(A161="","",2.78E-7*IF(G161="",Inputs!$B$17,G161)*F161*I161)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IF(A161="","",IF(OR(T161&gt;1,AND(AV161&lt;&gt;"",AV161&lt;Inputs!$B$11),AND(AV161&lt;&gt;"",AV161&gt;Inputs!$B$12),AA161&lt;Inputs!$B$19,AB161&lt;Inputs!$B$19,N161&lt;Inputs!$B$7,N161&gt;Inputs!$B$8),"CHECK","OK"))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  <c r="AT161" s="7">
        <f>IF(A161="","",U161)</f>
        <v/>
      </c>
      <c r="AU161" s="7">
        <f>IF(OR(R161="",N161=""),"",(1/Inputs!$B$9)*((R161/4)^(2/3))*SQRT(N161))</f>
        <v/>
      </c>
      <c r="AV161" s="7">
        <f>IF(A161="","",IF(AND(AT161="",AU161=""),"",IF(OR(UPPER(TRIM(Inputs!$B$24))="MANNING",UPPER(TRIM(Inputs!$B$24))="M"),AU161,IF(OR(UPPER(TRIM(Inputs!$B$24))="MAX",UPPER(TRIM(Inputs!$B$24))="X"),MAX(IF(AT161="",0,AT161),IF(AU161="",0,AU161)),AT161))))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IF(A162="","",2.78E-7*IF(G162="",Inputs!$B$17,G162)*F162*I162)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IF(A162="","",IF(OR(T162&gt;1,AND(AV162&lt;&gt;"",AV162&lt;Inputs!$B$11),AND(AV162&lt;&gt;"",AV162&gt;Inputs!$B$12),AA162&lt;Inputs!$B$19,AB162&lt;Inputs!$B$19,N162&lt;Inputs!$B$7,N162&gt;Inputs!$B$8),"CHECK","OK"))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  <c r="AT162" s="7">
        <f>IF(A162="","",U162)</f>
        <v/>
      </c>
      <c r="AU162" s="7">
        <f>IF(OR(R162="",N162=""),"",(1/Inputs!$B$9)*((R162/4)^(2/3))*SQRT(N162))</f>
        <v/>
      </c>
      <c r="AV162" s="7">
        <f>IF(A162="","",IF(AND(AT162="",AU162=""),"",IF(OR(UPPER(TRIM(Inputs!$B$24))="MANNING",UPPER(TRIM(Inputs!$B$24))="M"),AU162,IF(OR(UPPER(TRIM(Inputs!$B$24))="MAX",UPPER(TRIM(Inputs!$B$24))="X"),MAX(IF(AT162="",0,AT162),IF(AU162="",0,AU162)),AT162))))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IF(A163="","",2.78E-7*IF(G163="",Inputs!$B$17,G163)*F163*I163)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IF(A163="","",IF(OR(T163&gt;1,AND(AV163&lt;&gt;"",AV163&lt;Inputs!$B$11),AND(AV163&lt;&gt;"",AV163&gt;Inputs!$B$12),AA163&lt;Inputs!$B$19,AB163&lt;Inputs!$B$19,N163&lt;Inputs!$B$7,N163&gt;Inputs!$B$8),"CHECK","OK"))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  <c r="AT163" s="7">
        <f>IF(A163="","",U163)</f>
        <v/>
      </c>
      <c r="AU163" s="7">
        <f>IF(OR(R163="",N163=""),"",(1/Inputs!$B$9)*((R163/4)^(2/3))*SQRT(N163))</f>
        <v/>
      </c>
      <c r="AV163" s="7">
        <f>IF(A163="","",IF(AND(AT163="",AU163=""),"",IF(OR(UPPER(TRIM(Inputs!$B$24))="MANNING",UPPER(TRIM(Inputs!$B$24))="M"),AU163,IF(OR(UPPER(TRIM(Inputs!$B$24))="MAX",UPPER(TRIM(Inputs!$B$24))="X"),MAX(IF(AT163="",0,AT163),IF(AU163="",0,AU163)),AT163))))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IF(A164="","",2.78E-7*IF(G164="",Inputs!$B$17,G164)*F164*I164)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IF(A164="","",IF(OR(T164&gt;1,AND(AV164&lt;&gt;"",AV164&lt;Inputs!$B$11),AND(AV164&lt;&gt;"",AV164&gt;Inputs!$B$12),AA164&lt;Inputs!$B$19,AB164&lt;Inputs!$B$19,N164&lt;Inputs!$B$7,N164&gt;Inputs!$B$8),"CHECK","OK"))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  <c r="AT164" s="7">
        <f>IF(A164="","",U164)</f>
        <v/>
      </c>
      <c r="AU164" s="7">
        <f>IF(OR(R164="",N164=""),"",(1/Inputs!$B$9)*((R164/4)^(2/3))*SQRT(N164))</f>
        <v/>
      </c>
      <c r="AV164" s="7">
        <f>IF(A164="","",IF(AND(AT164="",AU164=""),"",IF(OR(UPPER(TRIM(Inputs!$B$24))="MANNING",UPPER(TRIM(Inputs!$B$24))="M"),AU164,IF(OR(UPPER(TRIM(Inputs!$B$24))="MAX",UPPER(TRIM(Inputs!$B$24))="X"),MAX(IF(AT164="",0,AT164),IF(AU164="",0,AU164)),AT164))))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IF(A165="","",2.78E-7*IF(G165="",Inputs!$B$17,G165)*F165*I165)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IF(A165="","",IF(OR(T165&gt;1,AND(AV165&lt;&gt;"",AV165&lt;Inputs!$B$11),AND(AV165&lt;&gt;"",AV165&gt;Inputs!$B$12),AA165&lt;Inputs!$B$19,AB165&lt;Inputs!$B$19,N165&lt;Inputs!$B$7,N165&gt;Inputs!$B$8),"CHECK","OK"))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  <c r="AT165" s="7">
        <f>IF(A165="","",U165)</f>
        <v/>
      </c>
      <c r="AU165" s="7">
        <f>IF(OR(R165="",N165=""),"",(1/Inputs!$B$9)*((R165/4)^(2/3))*SQRT(N165))</f>
        <v/>
      </c>
      <c r="AV165" s="7">
        <f>IF(A165="","",IF(AND(AT165="",AU165=""),"",IF(OR(UPPER(TRIM(Inputs!$B$24))="MANNING",UPPER(TRIM(Inputs!$B$24))="M"),AU165,IF(OR(UPPER(TRIM(Inputs!$B$24))="MAX",UPPER(TRIM(Inputs!$B$24))="X"),MAX(IF(AT165="",0,AT165),IF(AU165="",0,AU165)),AT165))))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IF(A166="","",2.78E-7*IF(G166="",Inputs!$B$17,G166)*F166*I166)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IF(A166="","",IF(OR(T166&gt;1,AND(AV166&lt;&gt;"",AV166&lt;Inputs!$B$11),AND(AV166&lt;&gt;"",AV166&gt;Inputs!$B$12),AA166&lt;Inputs!$B$19,AB166&lt;Inputs!$B$19,N166&lt;Inputs!$B$7,N166&gt;Inputs!$B$8),"CHECK","OK"))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  <c r="AT166" s="7">
        <f>IF(A166="","",U166)</f>
        <v/>
      </c>
      <c r="AU166" s="7">
        <f>IF(OR(R166="",N166=""),"",(1/Inputs!$B$9)*((R166/4)^(2/3))*SQRT(N166))</f>
        <v/>
      </c>
      <c r="AV166" s="7">
        <f>IF(A166="","",IF(AND(AT166="",AU166=""),"",IF(OR(UPPER(TRIM(Inputs!$B$24))="MANNING",UPPER(TRIM(Inputs!$B$24))="M"),AU166,IF(OR(UPPER(TRIM(Inputs!$B$24))="MAX",UPPER(TRIM(Inputs!$B$24))="X"),MAX(IF(AT166="",0,AT166),IF(AU166="",0,AU166)),AT166))))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IF(A167="","",2.78E-7*IF(G167="",Inputs!$B$17,G167)*F167*I167)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IF(A167="","",IF(OR(T167&gt;1,AND(AV167&lt;&gt;"",AV167&lt;Inputs!$B$11),AND(AV167&lt;&gt;"",AV167&gt;Inputs!$B$12),AA167&lt;Inputs!$B$19,AB167&lt;Inputs!$B$19,N167&lt;Inputs!$B$7,N167&gt;Inputs!$B$8),"CHECK","OK"))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  <c r="AT167" s="7">
        <f>IF(A167="","",U167)</f>
        <v/>
      </c>
      <c r="AU167" s="7">
        <f>IF(OR(R167="",N167=""),"",(1/Inputs!$B$9)*((R167/4)^(2/3))*SQRT(N167))</f>
        <v/>
      </c>
      <c r="AV167" s="7">
        <f>IF(A167="","",IF(AND(AT167="",AU167=""),"",IF(OR(UPPER(TRIM(Inputs!$B$24))="MANNING",UPPER(TRIM(Inputs!$B$24))="M"),AU167,IF(OR(UPPER(TRIM(Inputs!$B$24))="MAX",UPPER(TRIM(Inputs!$B$24))="X"),MAX(IF(AT167="",0,AT167),IF(AU167="",0,AU167)),AT167))))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IF(A168="","",2.78E-7*IF(G168="",Inputs!$B$17,G168)*F168*I168)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IF(A168="","",IF(OR(T168&gt;1,AND(AV168&lt;&gt;"",AV168&lt;Inputs!$B$11),AND(AV168&lt;&gt;"",AV168&gt;Inputs!$B$12),AA168&lt;Inputs!$B$19,AB168&lt;Inputs!$B$19,N168&lt;Inputs!$B$7,N168&gt;Inputs!$B$8),"CHECK","OK"))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  <c r="AT168" s="7">
        <f>IF(A168="","",U168)</f>
        <v/>
      </c>
      <c r="AU168" s="7">
        <f>IF(OR(R168="",N168=""),"",(1/Inputs!$B$9)*((R168/4)^(2/3))*SQRT(N168))</f>
        <v/>
      </c>
      <c r="AV168" s="7">
        <f>IF(A168="","",IF(AND(AT168="",AU168=""),"",IF(OR(UPPER(TRIM(Inputs!$B$24))="MANNING",UPPER(TRIM(Inputs!$B$24))="M"),AU168,IF(OR(UPPER(TRIM(Inputs!$B$24))="MAX",UPPER(TRIM(Inputs!$B$24))="X"),MAX(IF(AT168="",0,AT168),IF(AU168="",0,AU168)),AT168))))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IF(A169="","",2.78E-7*IF(G169="",Inputs!$B$17,G169)*F169*I169)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IF(A169="","",IF(OR(T169&gt;1,AND(AV169&lt;&gt;"",AV169&lt;Inputs!$B$11),AND(AV169&lt;&gt;"",AV169&gt;Inputs!$B$12),AA169&lt;Inputs!$B$19,AB169&lt;Inputs!$B$19,N169&lt;Inputs!$B$7,N169&gt;Inputs!$B$8),"CHECK","OK"))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  <c r="AT169" s="7">
        <f>IF(A169="","",U169)</f>
        <v/>
      </c>
      <c r="AU169" s="7">
        <f>IF(OR(R169="",N169=""),"",(1/Inputs!$B$9)*((R169/4)^(2/3))*SQRT(N169))</f>
        <v/>
      </c>
      <c r="AV169" s="7">
        <f>IF(A169="","",IF(AND(AT169="",AU169=""),"",IF(OR(UPPER(TRIM(Inputs!$B$24))="MANNING",UPPER(TRIM(Inputs!$B$24))="M"),AU169,IF(OR(UPPER(TRIM(Inputs!$B$24))="MAX",UPPER(TRIM(Inputs!$B$24))="X"),MAX(IF(AT169="",0,AT169),IF(AU169="",0,AU169)),AT169))))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IF(A170="","",2.78E-7*IF(G170="",Inputs!$B$17,G170)*F170*I170)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IF(A170="","",IF(OR(T170&gt;1,AND(AV170&lt;&gt;"",AV170&lt;Inputs!$B$11),AND(AV170&lt;&gt;"",AV170&gt;Inputs!$B$12),AA170&lt;Inputs!$B$19,AB170&lt;Inputs!$B$19,N170&lt;Inputs!$B$7,N170&gt;Inputs!$B$8),"CHECK","OK"))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  <c r="AT170" s="7">
        <f>IF(A170="","",U170)</f>
        <v/>
      </c>
      <c r="AU170" s="7">
        <f>IF(OR(R170="",N170=""),"",(1/Inputs!$B$9)*((R170/4)^(2/3))*SQRT(N170))</f>
        <v/>
      </c>
      <c r="AV170" s="7">
        <f>IF(A170="","",IF(AND(AT170="",AU170=""),"",IF(OR(UPPER(TRIM(Inputs!$B$24))="MANNING",UPPER(TRIM(Inputs!$B$24))="M"),AU170,IF(OR(UPPER(TRIM(Inputs!$B$24))="MAX",UPPER(TRIM(Inputs!$B$24))="X"),MAX(IF(AT170="",0,AT170),IF(AU170="",0,AU170)),AT170))))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IF(A171="","",2.78E-7*IF(G171="",Inputs!$B$17,G171)*F171*I171)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IF(A171="","",IF(OR(T171&gt;1,AND(AV171&lt;&gt;"",AV171&lt;Inputs!$B$11),AND(AV171&lt;&gt;"",AV171&gt;Inputs!$B$12),AA171&lt;Inputs!$B$19,AB171&lt;Inputs!$B$19,N171&lt;Inputs!$B$7,N171&gt;Inputs!$B$8),"CHECK","OK"))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  <c r="AT171" s="7">
        <f>IF(A171="","",U171)</f>
        <v/>
      </c>
      <c r="AU171" s="7">
        <f>IF(OR(R171="",N171=""),"",(1/Inputs!$B$9)*((R171/4)^(2/3))*SQRT(N171))</f>
        <v/>
      </c>
      <c r="AV171" s="7">
        <f>IF(A171="","",IF(AND(AT171="",AU171=""),"",IF(OR(UPPER(TRIM(Inputs!$B$24))="MANNING",UPPER(TRIM(Inputs!$B$24))="M"),AU171,IF(OR(UPPER(TRIM(Inputs!$B$24))="MAX",UPPER(TRIM(Inputs!$B$24))="X"),MAX(IF(AT171="",0,AT171),IF(AU171="",0,AU171)),AT171))))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IF(A172="","",2.78E-7*IF(G172="",Inputs!$B$17,G172)*F172*I172)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IF(A172="","",IF(OR(T172&gt;1,AND(AV172&lt;&gt;"",AV172&lt;Inputs!$B$11),AND(AV172&lt;&gt;"",AV172&gt;Inputs!$B$12),AA172&lt;Inputs!$B$19,AB172&lt;Inputs!$B$19,N172&lt;Inputs!$B$7,N172&gt;Inputs!$B$8),"CHECK","OK"))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  <c r="AT172" s="7">
        <f>IF(A172="","",U172)</f>
        <v/>
      </c>
      <c r="AU172" s="7">
        <f>IF(OR(R172="",N172=""),"",(1/Inputs!$B$9)*((R172/4)^(2/3))*SQRT(N172))</f>
        <v/>
      </c>
      <c r="AV172" s="7">
        <f>IF(A172="","",IF(AND(AT172="",AU172=""),"",IF(OR(UPPER(TRIM(Inputs!$B$24))="MANNING",UPPER(TRIM(Inputs!$B$24))="M"),AU172,IF(OR(UPPER(TRIM(Inputs!$B$24))="MAX",UPPER(TRIM(Inputs!$B$24))="X"),MAX(IF(AT172="",0,AT172),IF(AU172="",0,AU172)),AT172))))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IF(A173="","",2.78E-7*IF(G173="",Inputs!$B$17,G173)*F173*I173)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IF(A173="","",IF(OR(T173&gt;1,AND(AV173&lt;&gt;"",AV173&lt;Inputs!$B$11),AND(AV173&lt;&gt;"",AV173&gt;Inputs!$B$12),AA173&lt;Inputs!$B$19,AB173&lt;Inputs!$B$19,N173&lt;Inputs!$B$7,N173&gt;Inputs!$B$8),"CHECK","OK"))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  <c r="AT173" s="7">
        <f>IF(A173="","",U173)</f>
        <v/>
      </c>
      <c r="AU173" s="7">
        <f>IF(OR(R173="",N173=""),"",(1/Inputs!$B$9)*((R173/4)^(2/3))*SQRT(N173))</f>
        <v/>
      </c>
      <c r="AV173" s="7">
        <f>IF(A173="","",IF(AND(AT173="",AU173=""),"",IF(OR(UPPER(TRIM(Inputs!$B$24))="MANNING",UPPER(TRIM(Inputs!$B$24))="M"),AU173,IF(OR(UPPER(TRIM(Inputs!$B$24))="MAX",UPPER(TRIM(Inputs!$B$24))="X"),MAX(IF(AT173="",0,AT173),IF(AU173="",0,AU173)),AT173))))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IF(A174="","",2.78E-7*IF(G174="",Inputs!$B$17,G174)*F174*I174)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IF(A174="","",IF(OR(T174&gt;1,AND(AV174&lt;&gt;"",AV174&lt;Inputs!$B$11),AND(AV174&lt;&gt;"",AV174&gt;Inputs!$B$12),AA174&lt;Inputs!$B$19,AB174&lt;Inputs!$B$19,N174&lt;Inputs!$B$7,N174&gt;Inputs!$B$8),"CHECK","OK"))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  <c r="AT174" s="7">
        <f>IF(A174="","",U174)</f>
        <v/>
      </c>
      <c r="AU174" s="7">
        <f>IF(OR(R174="",N174=""),"",(1/Inputs!$B$9)*((R174/4)^(2/3))*SQRT(N174))</f>
        <v/>
      </c>
      <c r="AV174" s="7">
        <f>IF(A174="","",IF(AND(AT174="",AU174=""),"",IF(OR(UPPER(TRIM(Inputs!$B$24))="MANNING",UPPER(TRIM(Inputs!$B$24))="M"),AU174,IF(OR(UPPER(TRIM(Inputs!$B$24))="MAX",UPPER(TRIM(Inputs!$B$24))="X"),MAX(IF(AT174="",0,AT174),IF(AU174="",0,AU174)),AT174))))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IF(A175="","",2.78E-7*IF(G175="",Inputs!$B$17,G175)*F175*I175)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IF(A175="","",IF(OR(T175&gt;1,AND(AV175&lt;&gt;"",AV175&lt;Inputs!$B$11),AND(AV175&lt;&gt;"",AV175&gt;Inputs!$B$12),AA175&lt;Inputs!$B$19,AB175&lt;Inputs!$B$19,N175&lt;Inputs!$B$7,N175&gt;Inputs!$B$8),"CHECK","OK"))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  <c r="AT175" s="7">
        <f>IF(A175="","",U175)</f>
        <v/>
      </c>
      <c r="AU175" s="7">
        <f>IF(OR(R175="",N175=""),"",(1/Inputs!$B$9)*((R175/4)^(2/3))*SQRT(N175))</f>
        <v/>
      </c>
      <c r="AV175" s="7">
        <f>IF(A175="","",IF(AND(AT175="",AU175=""),"",IF(OR(UPPER(TRIM(Inputs!$B$24))="MANNING",UPPER(TRIM(Inputs!$B$24))="M"),AU175,IF(OR(UPPER(TRIM(Inputs!$B$24))="MAX",UPPER(TRIM(Inputs!$B$24))="X"),MAX(IF(AT175="",0,AT175),IF(AU175="",0,AU175)),AT175))))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IF(A176="","",2.78E-7*IF(G176="",Inputs!$B$17,G176)*F176*I176)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IF(A176="","",IF(OR(T176&gt;1,AND(AV176&lt;&gt;"",AV176&lt;Inputs!$B$11),AND(AV176&lt;&gt;"",AV176&gt;Inputs!$B$12),AA176&lt;Inputs!$B$19,AB176&lt;Inputs!$B$19,N176&lt;Inputs!$B$7,N176&gt;Inputs!$B$8),"CHECK","OK"))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  <c r="AT176" s="7">
        <f>IF(A176="","",U176)</f>
        <v/>
      </c>
      <c r="AU176" s="7">
        <f>IF(OR(R176="",N176=""),"",(1/Inputs!$B$9)*((R176/4)^(2/3))*SQRT(N176))</f>
        <v/>
      </c>
      <c r="AV176" s="7">
        <f>IF(A176="","",IF(AND(AT176="",AU176=""),"",IF(OR(UPPER(TRIM(Inputs!$B$24))="MANNING",UPPER(TRIM(Inputs!$B$24))="M"),AU176,IF(OR(UPPER(TRIM(Inputs!$B$24))="MAX",UPPER(TRIM(Inputs!$B$24))="X"),MAX(IF(AT176="",0,AT176),IF(AU176="",0,AU176)),AT176))))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IF(A177="","",2.78E-7*IF(G177="",Inputs!$B$17,G177)*F177*I177)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IF(A177="","",IF(OR(T177&gt;1,AND(AV177&lt;&gt;"",AV177&lt;Inputs!$B$11),AND(AV177&lt;&gt;"",AV177&gt;Inputs!$B$12),AA177&lt;Inputs!$B$19,AB177&lt;Inputs!$B$19,N177&lt;Inputs!$B$7,N177&gt;Inputs!$B$8),"CHECK","OK"))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  <c r="AT177" s="7">
        <f>IF(A177="","",U177)</f>
        <v/>
      </c>
      <c r="AU177" s="7">
        <f>IF(OR(R177="",N177=""),"",(1/Inputs!$B$9)*((R177/4)^(2/3))*SQRT(N177))</f>
        <v/>
      </c>
      <c r="AV177" s="7">
        <f>IF(A177="","",IF(AND(AT177="",AU177=""),"",IF(OR(UPPER(TRIM(Inputs!$B$24))="MANNING",UPPER(TRIM(Inputs!$B$24))="M"),AU177,IF(OR(UPPER(TRIM(Inputs!$B$24))="MAX",UPPER(TRIM(Inputs!$B$24))="X"),MAX(IF(AT177="",0,AT177),IF(AU177="",0,AU177)),AT177))))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IF(A178="","",2.78E-7*IF(G178="",Inputs!$B$17,G178)*F178*I178)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IF(A178="","",IF(OR(T178&gt;1,AND(AV178&lt;&gt;"",AV178&lt;Inputs!$B$11),AND(AV178&lt;&gt;"",AV178&gt;Inputs!$B$12),AA178&lt;Inputs!$B$19,AB178&lt;Inputs!$B$19,N178&lt;Inputs!$B$7,N178&gt;Inputs!$B$8),"CHECK","OK"))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  <c r="AT178" s="7">
        <f>IF(A178="","",U178)</f>
        <v/>
      </c>
      <c r="AU178" s="7">
        <f>IF(OR(R178="",N178=""),"",(1/Inputs!$B$9)*((R178/4)^(2/3))*SQRT(N178))</f>
        <v/>
      </c>
      <c r="AV178" s="7">
        <f>IF(A178="","",IF(AND(AT178="",AU178=""),"",IF(OR(UPPER(TRIM(Inputs!$B$24))="MANNING",UPPER(TRIM(Inputs!$B$24))="M"),AU178,IF(OR(UPPER(TRIM(Inputs!$B$24))="MAX",UPPER(TRIM(Inputs!$B$24))="X"),MAX(IF(AT178="",0,AT178),IF(AU178="",0,AU178)),AT178))))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IF(A179="","",2.78E-7*IF(G179="",Inputs!$B$17,G179)*F179*I179)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IF(A179="","",IF(OR(T179&gt;1,AND(AV179&lt;&gt;"",AV179&lt;Inputs!$B$11),AND(AV179&lt;&gt;"",AV179&gt;Inputs!$B$12),AA179&lt;Inputs!$B$19,AB179&lt;Inputs!$B$19,N179&lt;Inputs!$B$7,N179&gt;Inputs!$B$8),"CHECK","OK"))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  <c r="AT179" s="7">
        <f>IF(A179="","",U179)</f>
        <v/>
      </c>
      <c r="AU179" s="7">
        <f>IF(OR(R179="",N179=""),"",(1/Inputs!$B$9)*((R179/4)^(2/3))*SQRT(N179))</f>
        <v/>
      </c>
      <c r="AV179" s="7">
        <f>IF(A179="","",IF(AND(AT179="",AU179=""),"",IF(OR(UPPER(TRIM(Inputs!$B$24))="MANNING",UPPER(TRIM(Inputs!$B$24))="M"),AU179,IF(OR(UPPER(TRIM(Inputs!$B$24))="MAX",UPPER(TRIM(Inputs!$B$24))="X"),MAX(IF(AT179="",0,AT179),IF(AU179="",0,AU179)),AT179))))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IF(A180="","",2.78E-7*IF(G180="",Inputs!$B$17,G180)*F180*I180)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IF(A180="","",IF(OR(T180&gt;1,AND(AV180&lt;&gt;"",AV180&lt;Inputs!$B$11),AND(AV180&lt;&gt;"",AV180&gt;Inputs!$B$12),AA180&lt;Inputs!$B$19,AB180&lt;Inputs!$B$19,N180&lt;Inputs!$B$7,N180&gt;Inputs!$B$8),"CHECK","OK"))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  <c r="AT180" s="7">
        <f>IF(A180="","",U180)</f>
        <v/>
      </c>
      <c r="AU180" s="7">
        <f>IF(OR(R180="",N180=""),"",(1/Inputs!$B$9)*((R180/4)^(2/3))*SQRT(N180))</f>
        <v/>
      </c>
      <c r="AV180" s="7">
        <f>IF(A180="","",IF(AND(AT180="",AU180=""),"",IF(OR(UPPER(TRIM(Inputs!$B$24))="MANNING",UPPER(TRIM(Inputs!$B$24))="M"),AU180,IF(OR(UPPER(TRIM(Inputs!$B$24))="MAX",UPPER(TRIM(Inputs!$B$24))="X"),MAX(IF(AT180="",0,AT180),IF(AU180="",0,AU180)),AT180))))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IF(A181="","",2.78E-7*IF(G181="",Inputs!$B$17,G181)*F181*I181)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IF(A181="","",IF(OR(T181&gt;1,AND(AV181&lt;&gt;"",AV181&lt;Inputs!$B$11),AND(AV181&lt;&gt;"",AV181&gt;Inputs!$B$12),AA181&lt;Inputs!$B$19,AB181&lt;Inputs!$B$19,N181&lt;Inputs!$B$7,N181&gt;Inputs!$B$8),"CHECK","OK"))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  <c r="AT181" s="7">
        <f>IF(A181="","",U181)</f>
        <v/>
      </c>
      <c r="AU181" s="7">
        <f>IF(OR(R181="",N181=""),"",(1/Inputs!$B$9)*((R181/4)^(2/3))*SQRT(N181))</f>
        <v/>
      </c>
      <c r="AV181" s="7">
        <f>IF(A181="","",IF(AND(AT181="",AU181=""),"",IF(OR(UPPER(TRIM(Inputs!$B$24))="MANNING",UPPER(TRIM(Inputs!$B$24))="M"),AU181,IF(OR(UPPER(TRIM(Inputs!$B$24))="MAX",UPPER(TRIM(Inputs!$B$24))="X"),MAX(IF(AT181="",0,AT181),IF(AU181="",0,AU181)),AT181))))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IF(A182="","",2.78E-7*IF(G182="",Inputs!$B$17,G182)*F182*I182)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IF(A182="","",IF(OR(T182&gt;1,AND(AV182&lt;&gt;"",AV182&lt;Inputs!$B$11),AND(AV182&lt;&gt;"",AV182&gt;Inputs!$B$12),AA182&lt;Inputs!$B$19,AB182&lt;Inputs!$B$19,N182&lt;Inputs!$B$7,N182&gt;Inputs!$B$8),"CHECK","OK"))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  <c r="AT182" s="7">
        <f>IF(A182="","",U182)</f>
        <v/>
      </c>
      <c r="AU182" s="7">
        <f>IF(OR(R182="",N182=""),"",(1/Inputs!$B$9)*((R182/4)^(2/3))*SQRT(N182))</f>
        <v/>
      </c>
      <c r="AV182" s="7">
        <f>IF(A182="","",IF(AND(AT182="",AU182=""),"",IF(OR(UPPER(TRIM(Inputs!$B$24))="MANNING",UPPER(TRIM(Inputs!$B$24))="M"),AU182,IF(OR(UPPER(TRIM(Inputs!$B$24))="MAX",UPPER(TRIM(Inputs!$B$24))="X"),MAX(IF(AT182="",0,AT182),IF(AU182="",0,AU182)),AT182))))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IF(A183="","",2.78E-7*IF(G183="",Inputs!$B$17,G183)*F183*I183)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IF(A183="","",IF(OR(T183&gt;1,AND(AV183&lt;&gt;"",AV183&lt;Inputs!$B$11),AND(AV183&lt;&gt;"",AV183&gt;Inputs!$B$12),AA183&lt;Inputs!$B$19,AB183&lt;Inputs!$B$19,N183&lt;Inputs!$B$7,N183&gt;Inputs!$B$8),"CHECK","OK"))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  <c r="AT183" s="7">
        <f>IF(A183="","",U183)</f>
        <v/>
      </c>
      <c r="AU183" s="7">
        <f>IF(OR(R183="",N183=""),"",(1/Inputs!$B$9)*((R183/4)^(2/3))*SQRT(N183))</f>
        <v/>
      </c>
      <c r="AV183" s="7">
        <f>IF(A183="","",IF(AND(AT183="",AU183=""),"",IF(OR(UPPER(TRIM(Inputs!$B$24))="MANNING",UPPER(TRIM(Inputs!$B$24))="M"),AU183,IF(OR(UPPER(TRIM(Inputs!$B$24))="MAX",UPPER(TRIM(Inputs!$B$24))="X"),MAX(IF(AT183="",0,AT183),IF(AU183="",0,AU183)),AT183))))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IF(A184="","",2.78E-7*IF(G184="",Inputs!$B$17,G184)*F184*I184)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IF(A184="","",IF(OR(T184&gt;1,AND(AV184&lt;&gt;"",AV184&lt;Inputs!$B$11),AND(AV184&lt;&gt;"",AV184&gt;Inputs!$B$12),AA184&lt;Inputs!$B$19,AB184&lt;Inputs!$B$19,N184&lt;Inputs!$B$7,N184&gt;Inputs!$B$8),"CHECK","OK"))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  <c r="AT184" s="7">
        <f>IF(A184="","",U184)</f>
        <v/>
      </c>
      <c r="AU184" s="7">
        <f>IF(OR(R184="",N184=""),"",(1/Inputs!$B$9)*((R184/4)^(2/3))*SQRT(N184))</f>
        <v/>
      </c>
      <c r="AV184" s="7">
        <f>IF(A184="","",IF(AND(AT184="",AU184=""),"",IF(OR(UPPER(TRIM(Inputs!$B$24))="MANNING",UPPER(TRIM(Inputs!$B$24))="M"),AU184,IF(OR(UPPER(TRIM(Inputs!$B$24))="MAX",UPPER(TRIM(Inputs!$B$24))="X"),MAX(IF(AT184="",0,AT184),IF(AU184="",0,AU184)),AT184))))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IF(A185="","",2.78E-7*IF(G185="",Inputs!$B$17,G185)*F185*I185)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IF(A185="","",IF(OR(T185&gt;1,AND(AV185&lt;&gt;"",AV185&lt;Inputs!$B$11),AND(AV185&lt;&gt;"",AV185&gt;Inputs!$B$12),AA185&lt;Inputs!$B$19,AB185&lt;Inputs!$B$19,N185&lt;Inputs!$B$7,N185&gt;Inputs!$B$8),"CHECK","OK"))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  <c r="AT185" s="7">
        <f>IF(A185="","",U185)</f>
        <v/>
      </c>
      <c r="AU185" s="7">
        <f>IF(OR(R185="",N185=""),"",(1/Inputs!$B$9)*((R185/4)^(2/3))*SQRT(N185))</f>
        <v/>
      </c>
      <c r="AV185" s="7">
        <f>IF(A185="","",IF(AND(AT185="",AU185=""),"",IF(OR(UPPER(TRIM(Inputs!$B$24))="MANNING",UPPER(TRIM(Inputs!$B$24))="M"),AU185,IF(OR(UPPER(TRIM(Inputs!$B$24))="MAX",UPPER(TRIM(Inputs!$B$24))="X"),MAX(IF(AT185="",0,AT185),IF(AU185="",0,AU185)),AT185))))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IF(A186="","",2.78E-7*IF(G186="",Inputs!$B$17,G186)*F186*I186)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IF(A186="","",IF(OR(T186&gt;1,AND(AV186&lt;&gt;"",AV186&lt;Inputs!$B$11),AND(AV186&lt;&gt;"",AV186&gt;Inputs!$B$12),AA186&lt;Inputs!$B$19,AB186&lt;Inputs!$B$19,N186&lt;Inputs!$B$7,N186&gt;Inputs!$B$8),"CHECK","OK"))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  <c r="AT186" s="7">
        <f>IF(A186="","",U186)</f>
        <v/>
      </c>
      <c r="AU186" s="7">
        <f>IF(OR(R186="",N186=""),"",(1/Inputs!$B$9)*((R186/4)^(2/3))*SQRT(N186))</f>
        <v/>
      </c>
      <c r="AV186" s="7">
        <f>IF(A186="","",IF(AND(AT186="",AU186=""),"",IF(OR(UPPER(TRIM(Inputs!$B$24))="MANNING",UPPER(TRIM(Inputs!$B$24))="M"),AU186,IF(OR(UPPER(TRIM(Inputs!$B$24))="MAX",UPPER(TRIM(Inputs!$B$24))="X"),MAX(IF(AT186="",0,AT186),IF(AU186="",0,AU186)),AT186))))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IF(A187="","",2.78E-7*IF(G187="",Inputs!$B$17,G187)*F187*I187)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IF(A187="","",IF(OR(T187&gt;1,AND(AV187&lt;&gt;"",AV187&lt;Inputs!$B$11),AND(AV187&lt;&gt;"",AV187&gt;Inputs!$B$12),AA187&lt;Inputs!$B$19,AB187&lt;Inputs!$B$19,N187&lt;Inputs!$B$7,N187&gt;Inputs!$B$8),"CHECK","OK"))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  <c r="AT187" s="7">
        <f>IF(A187="","",U187)</f>
        <v/>
      </c>
      <c r="AU187" s="7">
        <f>IF(OR(R187="",N187=""),"",(1/Inputs!$B$9)*((R187/4)^(2/3))*SQRT(N187))</f>
        <v/>
      </c>
      <c r="AV187" s="7">
        <f>IF(A187="","",IF(AND(AT187="",AU187=""),"",IF(OR(UPPER(TRIM(Inputs!$B$24))="MANNING",UPPER(TRIM(Inputs!$B$24))="M"),AU187,IF(OR(UPPER(TRIM(Inputs!$B$24))="MAX",UPPER(TRIM(Inputs!$B$24))="X"),MAX(IF(AT187="",0,AT187),IF(AU187="",0,AU187)),AT187))))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IF(A188="","",2.78E-7*IF(G188="",Inputs!$B$17,G188)*F188*I188)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IF(A188="","",IF(OR(T188&gt;1,AND(AV188&lt;&gt;"",AV188&lt;Inputs!$B$11),AND(AV188&lt;&gt;"",AV188&gt;Inputs!$B$12),AA188&lt;Inputs!$B$19,AB188&lt;Inputs!$B$19,N188&lt;Inputs!$B$7,N188&gt;Inputs!$B$8),"CHECK","OK"))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  <c r="AT188" s="7">
        <f>IF(A188="","",U188)</f>
        <v/>
      </c>
      <c r="AU188" s="7">
        <f>IF(OR(R188="",N188=""),"",(1/Inputs!$B$9)*((R188/4)^(2/3))*SQRT(N188))</f>
        <v/>
      </c>
      <c r="AV188" s="7">
        <f>IF(A188="","",IF(AND(AT188="",AU188=""),"",IF(OR(UPPER(TRIM(Inputs!$B$24))="MANNING",UPPER(TRIM(Inputs!$B$24))="M"),AU188,IF(OR(UPPER(TRIM(Inputs!$B$24))="MAX",UPPER(TRIM(Inputs!$B$24))="X"),MAX(IF(AT188="",0,AT188),IF(AU188="",0,AU188)),AT188))))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IF(A189="","",2.78E-7*IF(G189="",Inputs!$B$17,G189)*F189*I189)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IF(A189="","",IF(OR(T189&gt;1,AND(AV189&lt;&gt;"",AV189&lt;Inputs!$B$11),AND(AV189&lt;&gt;"",AV189&gt;Inputs!$B$12),AA189&lt;Inputs!$B$19,AB189&lt;Inputs!$B$19,N189&lt;Inputs!$B$7,N189&gt;Inputs!$B$8),"CHECK","OK"))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  <c r="AT189" s="7">
        <f>IF(A189="","",U189)</f>
        <v/>
      </c>
      <c r="AU189" s="7">
        <f>IF(OR(R189="",N189=""),"",(1/Inputs!$B$9)*((R189/4)^(2/3))*SQRT(N189))</f>
        <v/>
      </c>
      <c r="AV189" s="7">
        <f>IF(A189="","",IF(AND(AT189="",AU189=""),"",IF(OR(UPPER(TRIM(Inputs!$B$24))="MANNING",UPPER(TRIM(Inputs!$B$24))="M"),AU189,IF(OR(UPPER(TRIM(Inputs!$B$24))="MAX",UPPER(TRIM(Inputs!$B$24))="X"),MAX(IF(AT189="",0,AT189),IF(AU189="",0,AU189)),AT189))))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IF(A190="","",2.78E-7*IF(G190="",Inputs!$B$17,G190)*F190*I190)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IF(A190="","",IF(OR(T190&gt;1,AND(AV190&lt;&gt;"",AV190&lt;Inputs!$B$11),AND(AV190&lt;&gt;"",AV190&gt;Inputs!$B$12),AA190&lt;Inputs!$B$19,AB190&lt;Inputs!$B$19,N190&lt;Inputs!$B$7,N190&gt;Inputs!$B$8),"CHECK","OK"))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  <c r="AT190" s="7">
        <f>IF(A190="","",U190)</f>
        <v/>
      </c>
      <c r="AU190" s="7">
        <f>IF(OR(R190="",N190=""),"",(1/Inputs!$B$9)*((R190/4)^(2/3))*SQRT(N190))</f>
        <v/>
      </c>
      <c r="AV190" s="7">
        <f>IF(A190="","",IF(AND(AT190="",AU190=""),"",IF(OR(UPPER(TRIM(Inputs!$B$24))="MANNING",UPPER(TRIM(Inputs!$B$24))="M"),AU190,IF(OR(UPPER(TRIM(Inputs!$B$24))="MAX",UPPER(TRIM(Inputs!$B$24))="X"),MAX(IF(AT190="",0,AT190),IF(AU190="",0,AU190)),AT190))))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IF(A191="","",2.78E-7*IF(G191="",Inputs!$B$17,G191)*F191*I191)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IF(A191="","",IF(OR(T191&gt;1,AND(AV191&lt;&gt;"",AV191&lt;Inputs!$B$11),AND(AV191&lt;&gt;"",AV191&gt;Inputs!$B$12),AA191&lt;Inputs!$B$19,AB191&lt;Inputs!$B$19,N191&lt;Inputs!$B$7,N191&gt;Inputs!$B$8),"CHECK","OK"))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  <c r="AT191" s="7">
        <f>IF(A191="","",U191)</f>
        <v/>
      </c>
      <c r="AU191" s="7">
        <f>IF(OR(R191="",N191=""),"",(1/Inputs!$B$9)*((R191/4)^(2/3))*SQRT(N191))</f>
        <v/>
      </c>
      <c r="AV191" s="7">
        <f>IF(A191="","",IF(AND(AT191="",AU191=""),"",IF(OR(UPPER(TRIM(Inputs!$B$24))="MANNING",UPPER(TRIM(Inputs!$B$24))="M"),AU191,IF(OR(UPPER(TRIM(Inputs!$B$24))="MAX",UPPER(TRIM(Inputs!$B$24))="X"),MAX(IF(AT191="",0,AT191),IF(AU191="",0,AU191)),AT191))))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IF(A192="","",2.78E-7*IF(G192="",Inputs!$B$17,G192)*F192*I192)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IF(A192="","",IF(OR(T192&gt;1,AND(AV192&lt;&gt;"",AV192&lt;Inputs!$B$11),AND(AV192&lt;&gt;"",AV192&gt;Inputs!$B$12),AA192&lt;Inputs!$B$19,AB192&lt;Inputs!$B$19,N192&lt;Inputs!$B$7,N192&gt;Inputs!$B$8),"CHECK","OK"))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  <c r="AT192" s="7">
        <f>IF(A192="","",U192)</f>
        <v/>
      </c>
      <c r="AU192" s="7">
        <f>IF(OR(R192="",N192=""),"",(1/Inputs!$B$9)*((R192/4)^(2/3))*SQRT(N192))</f>
        <v/>
      </c>
      <c r="AV192" s="7">
        <f>IF(A192="","",IF(AND(AT192="",AU192=""),"",IF(OR(UPPER(TRIM(Inputs!$B$24))="MANNING",UPPER(TRIM(Inputs!$B$24))="M"),AU192,IF(OR(UPPER(TRIM(Inputs!$B$24))="MAX",UPPER(TRIM(Inputs!$B$24))="X"),MAX(IF(AT192="",0,AT192),IF(AU192="",0,AU192)),AT192))))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IF(A193="","",2.78E-7*IF(G193="",Inputs!$B$17,G193)*F193*I193)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IF(A193="","",IF(OR(T193&gt;1,AND(AV193&lt;&gt;"",AV193&lt;Inputs!$B$11),AND(AV193&lt;&gt;"",AV193&gt;Inputs!$B$12),AA193&lt;Inputs!$B$19,AB193&lt;Inputs!$B$19,N193&lt;Inputs!$B$7,N193&gt;Inputs!$B$8),"CHECK","OK"))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  <c r="AT193" s="7">
        <f>IF(A193="","",U193)</f>
        <v/>
      </c>
      <c r="AU193" s="7">
        <f>IF(OR(R193="",N193=""),"",(1/Inputs!$B$9)*((R193/4)^(2/3))*SQRT(N193))</f>
        <v/>
      </c>
      <c r="AV193" s="7">
        <f>IF(A193="","",IF(AND(AT193="",AU193=""),"",IF(OR(UPPER(TRIM(Inputs!$B$24))="MANNING",UPPER(TRIM(Inputs!$B$24))="M"),AU193,IF(OR(UPPER(TRIM(Inputs!$B$24))="MAX",UPPER(TRIM(Inputs!$B$24))="X"),MAX(IF(AT193="",0,AT193),IF(AU193="",0,AU193)),AT193))))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IF(A194="","",2.78E-7*IF(G194="",Inputs!$B$17,G194)*F194*I194)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IF(A194="","",IF(OR(T194&gt;1,AND(AV194&lt;&gt;"",AV194&lt;Inputs!$B$11),AND(AV194&lt;&gt;"",AV194&gt;Inputs!$B$12),AA194&lt;Inputs!$B$19,AB194&lt;Inputs!$B$19,N194&lt;Inputs!$B$7,N194&gt;Inputs!$B$8),"CHECK","OK"))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  <c r="AT194" s="7">
        <f>IF(A194="","",U194)</f>
        <v/>
      </c>
      <c r="AU194" s="7">
        <f>IF(OR(R194="",N194=""),"",(1/Inputs!$B$9)*((R194/4)^(2/3))*SQRT(N194))</f>
        <v/>
      </c>
      <c r="AV194" s="7">
        <f>IF(A194="","",IF(AND(AT194="",AU194=""),"",IF(OR(UPPER(TRIM(Inputs!$B$24))="MANNING",UPPER(TRIM(Inputs!$B$24))="M"),AU194,IF(OR(UPPER(TRIM(Inputs!$B$24))="MAX",UPPER(TRIM(Inputs!$B$24))="X"),MAX(IF(AT194="",0,AT194),IF(AU194="",0,AU194)),AT194))))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IF(A195="","",2.78E-7*IF(G195="",Inputs!$B$17,G195)*F195*I195)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IF(A195="","",IF(OR(T195&gt;1,AND(AV195&lt;&gt;"",AV195&lt;Inputs!$B$11),AND(AV195&lt;&gt;"",AV195&gt;Inputs!$B$12),AA195&lt;Inputs!$B$19,AB195&lt;Inputs!$B$19,N195&lt;Inputs!$B$7,N195&gt;Inputs!$B$8),"CHECK","OK"))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  <c r="AT195" s="7">
        <f>IF(A195="","",U195)</f>
        <v/>
      </c>
      <c r="AU195" s="7">
        <f>IF(OR(R195="",N195=""),"",(1/Inputs!$B$9)*((R195/4)^(2/3))*SQRT(N195))</f>
        <v/>
      </c>
      <c r="AV195" s="7">
        <f>IF(A195="","",IF(AND(AT195="",AU195=""),"",IF(OR(UPPER(TRIM(Inputs!$B$24))="MANNING",UPPER(TRIM(Inputs!$B$24))="M"),AU195,IF(OR(UPPER(TRIM(Inputs!$B$24))="MAX",UPPER(TRIM(Inputs!$B$24))="X"),MAX(IF(AT195="",0,AT195),IF(AU195="",0,AU195)),AT195))))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IF(A196="","",2.78E-7*IF(G196="",Inputs!$B$17,G196)*F196*I196)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IF(A196="","",IF(OR(T196&gt;1,AND(AV196&lt;&gt;"",AV196&lt;Inputs!$B$11),AND(AV196&lt;&gt;"",AV196&gt;Inputs!$B$12),AA196&lt;Inputs!$B$19,AB196&lt;Inputs!$B$19,N196&lt;Inputs!$B$7,N196&gt;Inputs!$B$8),"CHECK","OK"))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  <c r="AT196" s="7">
        <f>IF(A196="","",U196)</f>
        <v/>
      </c>
      <c r="AU196" s="7">
        <f>IF(OR(R196="",N196=""),"",(1/Inputs!$B$9)*((R196/4)^(2/3))*SQRT(N196))</f>
        <v/>
      </c>
      <c r="AV196" s="7">
        <f>IF(A196="","",IF(AND(AT196="",AU196=""),"",IF(OR(UPPER(TRIM(Inputs!$B$24))="MANNING",UPPER(TRIM(Inputs!$B$24))="M"),AU196,IF(OR(UPPER(TRIM(Inputs!$B$24))="MAX",UPPER(TRIM(Inputs!$B$24))="X"),MAX(IF(AT196="",0,AT196),IF(AU196="",0,AU196)),AT196))))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IF(A197="","",2.78E-7*IF(G197="",Inputs!$B$17,G197)*F197*I197)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IF(A197="","",IF(OR(T197&gt;1,AND(AV197&lt;&gt;"",AV197&lt;Inputs!$B$11),AND(AV197&lt;&gt;"",AV197&gt;Inputs!$B$12),AA197&lt;Inputs!$B$19,AB197&lt;Inputs!$B$19,N197&lt;Inputs!$B$7,N197&gt;Inputs!$B$8),"CHECK","OK"))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  <c r="AT197" s="7">
        <f>IF(A197="","",U197)</f>
        <v/>
      </c>
      <c r="AU197" s="7">
        <f>IF(OR(R197="",N197=""),"",(1/Inputs!$B$9)*((R197/4)^(2/3))*SQRT(N197))</f>
        <v/>
      </c>
      <c r="AV197" s="7">
        <f>IF(A197="","",IF(AND(AT197="",AU197=""),"",IF(OR(UPPER(TRIM(Inputs!$B$24))="MANNING",UPPER(TRIM(Inputs!$B$24))="M"),AU197,IF(OR(UPPER(TRIM(Inputs!$B$24))="MAX",UPPER(TRIM(Inputs!$B$24))="X"),MAX(IF(AT197="",0,AT197),IF(AU197="",0,AU197)),AT197))))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IF(A198="","",2.78E-7*IF(G198="",Inputs!$B$17,G198)*F198*I198)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IF(A198="","",IF(OR(T198&gt;1,AND(AV198&lt;&gt;"",AV198&lt;Inputs!$B$11),AND(AV198&lt;&gt;"",AV198&gt;Inputs!$B$12),AA198&lt;Inputs!$B$19,AB198&lt;Inputs!$B$19,N198&lt;Inputs!$B$7,N198&gt;Inputs!$B$8),"CHECK","OK"))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  <c r="AT198" s="7">
        <f>IF(A198="","",U198)</f>
        <v/>
      </c>
      <c r="AU198" s="7">
        <f>IF(OR(R198="",N198=""),"",(1/Inputs!$B$9)*((R198/4)^(2/3))*SQRT(N198))</f>
        <v/>
      </c>
      <c r="AV198" s="7">
        <f>IF(A198="","",IF(AND(AT198="",AU198=""),"",IF(OR(UPPER(TRIM(Inputs!$B$24))="MANNING",UPPER(TRIM(Inputs!$B$24))="M"),AU198,IF(OR(UPPER(TRIM(Inputs!$B$24))="MAX",UPPER(TRIM(Inputs!$B$24))="X"),MAX(IF(AT198="",0,AT198),IF(AU198="",0,AU198)),AT198))))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IF(A199="","",2.78E-7*IF(G199="",Inputs!$B$17,G199)*F199*I199)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IF(A199="","",IF(OR(T199&gt;1,AND(AV199&lt;&gt;"",AV199&lt;Inputs!$B$11),AND(AV199&lt;&gt;"",AV199&gt;Inputs!$B$12),AA199&lt;Inputs!$B$19,AB199&lt;Inputs!$B$19,N199&lt;Inputs!$B$7,N199&gt;Inputs!$B$8),"CHECK","OK"))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  <c r="AT199" s="7">
        <f>IF(A199="","",U199)</f>
        <v/>
      </c>
      <c r="AU199" s="7">
        <f>IF(OR(R199="",N199=""),"",(1/Inputs!$B$9)*((R199/4)^(2/3))*SQRT(N199))</f>
        <v/>
      </c>
      <c r="AV199" s="7">
        <f>IF(A199="","",IF(AND(AT199="",AU199=""),"",IF(OR(UPPER(TRIM(Inputs!$B$24))="MANNING",UPPER(TRIM(Inputs!$B$24))="M"),AU199,IF(OR(UPPER(TRIM(Inputs!$B$24))="MAX",UPPER(TRIM(Inputs!$B$24))="X"),MAX(IF(AT199="",0,AT199),IF(AU199="",0,AU199)),AT199))))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IF(A200="","",2.78E-7*IF(G200="",Inputs!$B$17,G200)*F200*I200)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IF(A200="","",IF(OR(T200&gt;1,AND(AV200&lt;&gt;"",AV200&lt;Inputs!$B$11),AND(AV200&lt;&gt;"",AV200&gt;Inputs!$B$12),AA200&lt;Inputs!$B$19,AB200&lt;Inputs!$B$19,N200&lt;Inputs!$B$7,N200&gt;Inputs!$B$8),"CHECK","OK"))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  <c r="AT200" s="7">
        <f>IF(A200="","",U200)</f>
        <v/>
      </c>
      <c r="AU200" s="7">
        <f>IF(OR(R200="",N200=""),"",(1/Inputs!$B$9)*((R200/4)^(2/3))*SQRT(N200))</f>
        <v/>
      </c>
      <c r="AV200" s="7">
        <f>IF(A200="","",IF(AND(AT200="",AU200=""),"",IF(OR(UPPER(TRIM(Inputs!$B$24))="MANNING",UPPER(TRIM(Inputs!$B$24))="M"),AU200,IF(OR(UPPER(TRIM(Inputs!$B$24))="MAX",UPPER(TRIM(Inputs!$B$24))="X"),MAX(IF(AT200="",0,AT200),IF(AU200="",0,AU200)),AT200))))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IF(A201="","",2.78E-7*IF(G201="",Inputs!$B$17,G201)*F201*I201)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IF(A201="","",IF(OR(T201&gt;1,AND(AV201&lt;&gt;"",AV201&lt;Inputs!$B$11),AND(AV201&lt;&gt;"",AV201&gt;Inputs!$B$12),AA201&lt;Inputs!$B$19,AB201&lt;Inputs!$B$19,N201&lt;Inputs!$B$7,N201&gt;Inputs!$B$8),"CHECK","OK"))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  <c r="AT201" s="7">
        <f>IF(A201="","",U201)</f>
        <v/>
      </c>
      <c r="AU201" s="7">
        <f>IF(OR(R201="",N201=""),"",(1/Inputs!$B$9)*((R201/4)^(2/3))*SQRT(N201))</f>
        <v/>
      </c>
      <c r="AV201" s="7">
        <f>IF(A201="","",IF(AND(AT201="",AU201=""),"",IF(OR(UPPER(TRIM(Inputs!$B$24))="MANNING",UPPER(TRIM(Inputs!$B$24))="M"),AU201,IF(OR(UPPER(TRIM(Inputs!$B$24))="MAX",UPPER(TRIM(Inputs!$B$24))="X"),MAX(IF(AT201="",0,AT201),IF(AU201="",0,AU201)),AT201))))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IF(A202="","",2.78E-7*IF(G202="",Inputs!$B$17,G202)*F202*I202)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IF(A202="","",IF(OR(T202&gt;1,AND(AV202&lt;&gt;"",AV202&lt;Inputs!$B$11),AND(AV202&lt;&gt;"",AV202&gt;Inputs!$B$12),AA202&lt;Inputs!$B$19,AB202&lt;Inputs!$B$19,N202&lt;Inputs!$B$7,N202&gt;Inputs!$B$8),"CHECK","OK"))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  <c r="AT202" s="7">
        <f>IF(A202="","",U202)</f>
        <v/>
      </c>
      <c r="AU202" s="7">
        <f>IF(OR(R202="",N202=""),"",(1/Inputs!$B$9)*((R202/4)^(2/3))*SQRT(N202))</f>
        <v/>
      </c>
      <c r="AV202" s="7">
        <f>IF(A202="","",IF(AND(AT202="",AU202=""),"",IF(OR(UPPER(TRIM(Inputs!$B$24))="MANNING",UPPER(TRIM(Inputs!$B$24))="M"),AU202,IF(OR(UPPER(TRIM(Inputs!$B$24))="MAX",UPPER(TRIM(Inputs!$B$24))="X"),MAX(IF(AT202="",0,AT202),IF(AU202="",0,AU202)),AT202))))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IF(A203="","",2.78E-7*IF(G203="",Inputs!$B$17,G203)*F203*I203)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IF(A203="","",IF(OR(T203&gt;1,AND(AV203&lt;&gt;"",AV203&lt;Inputs!$B$11),AND(AV203&lt;&gt;"",AV203&gt;Inputs!$B$12),AA203&lt;Inputs!$B$19,AB203&lt;Inputs!$B$19,N203&lt;Inputs!$B$7,N203&gt;Inputs!$B$8),"CHECK","OK"))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  <c r="AT203" s="7">
        <f>IF(A203="","",U203)</f>
        <v/>
      </c>
      <c r="AU203" s="7">
        <f>IF(OR(R203="",N203=""),"",(1/Inputs!$B$9)*((R203/4)^(2/3))*SQRT(N203))</f>
        <v/>
      </c>
      <c r="AV203" s="7">
        <f>IF(A203="","",IF(AND(AT203="",AU203=""),"",IF(OR(UPPER(TRIM(Inputs!$B$24))="MANNING",UPPER(TRIM(Inputs!$B$24))="M"),AU203,IF(OR(UPPER(TRIM(Inputs!$B$24))="MAX",UPPER(TRIM(Inputs!$B$24))="X"),MAX(IF(AT203="",0,AT203),IF(AU203="",0,AU203)),AT203))))</f>
        <v/>
      </c>
    </row>
  </sheetData>
  <mergeCells count="1">
    <mergeCell ref="A1:AM1"/>
  </mergeCells>
  <conditionalFormatting sqref="AC4:AC203">
    <cfRule type="expression" priority="9" dxfId="0">
      <formula>$AC4="CHECK"</formula>
    </cfRule>
  </conditionalFormatting>
  <conditionalFormatting sqref="T4:T203">
    <cfRule type="cellIs" priority="10" operator="greaterThan" dxfId="0">
      <formula>1</formula>
    </cfRule>
  </conditionalFormatting>
  <conditionalFormatting sqref="AA4:AA203">
    <cfRule type="expression" priority="11" dxfId="0">
      <formula>$AA4&lt;Inputs!$B$19</formula>
    </cfRule>
  </conditionalFormatting>
  <conditionalFormatting sqref="AB4:AB203">
    <cfRule type="expression" priority="12" dxfId="0">
      <formula>$AB4&lt;Inputs!$B$19</formula>
    </cfRule>
  </conditionalFormatting>
  <conditionalFormatting sqref="N4:N203">
    <cfRule type="expression" priority="13" dxfId="0">
      <formula>$N4&lt;Inputs!$B$7</formula>
    </cfRule>
    <cfRule type="expression" priority="14" dxfId="0">
      <formula>$N4&gt;Inputs!$B$8</formula>
    </cfRule>
  </conditionalFormatting>
  <conditionalFormatting sqref="U4:U203">
    <cfRule type="expression" priority="15" dxfId="0">
      <formula>=AND(OR(UPPER(TRIM(Inputs!$B$24))="DESIGN",UPPER(TRIM(Inputs!$B$24))="D",UPPER(TRIM(Inputs!$B$24))=""),OR($U4&lt;Inputs!$B$11,$U4&gt;Inputs!$B$12))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16" dxfId="0">
      <formula>=AND(OR(UPPER(TRIM(Inputs!$B$24))="MANNING",UPPER(TRIM(Inputs!$B$24))="M"),OR($AU4&lt;Inputs!$B$11,$AU4&gt;Inputs!$B$12))</formula>
    </cfRule>
  </conditionalFormatting>
  <conditionalFormatting sqref="AV4:AV203">
    <cfRule type="expression" priority="17" dxfId="0">
      <formula>=OR($AV4&lt;Inputs!$B$11,$AV4&gt;Inputs!$B$12)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14" customWidth="1" min="5" max="5"/>
    <col width="15" customWidth="1" min="6" max="6"/>
    <col width="44" customWidth="1" min="7" max="7"/>
  </cols>
  <sheetData>
    <row r="1">
      <c r="A1" s="1" t="inlineStr">
        <is>
          <t>SOUS-BASSINS (A..O) - AIRES PRECHARGEES IMAGE MODIFIEE</t>
        </is>
      </c>
    </row>
    <row r="3">
      <c r="A3" s="3" t="inlineStr">
        <is>
          <t>CB_or_Zone</t>
        </is>
      </c>
      <c r="B3" s="3" t="inlineStr">
        <is>
          <t>Receives_into_Pipe_ID</t>
        </is>
      </c>
      <c r="C3" s="3" t="inlineStr">
        <is>
          <t>Area_m2 (input)</t>
        </is>
      </c>
      <c r="D3" s="3" t="inlineStr">
        <is>
          <t>Runoff_C (input)</t>
        </is>
      </c>
      <c r="E3" s="3" t="inlineStr">
        <is>
          <t>Area_x_C</t>
        </is>
      </c>
      <c r="F3" s="3" t="inlineStr">
        <is>
          <t>Node_hint</t>
        </is>
      </c>
      <c r="G3" s="3" t="inlineStr">
        <is>
          <t>Notes</t>
        </is>
      </c>
    </row>
    <row r="4">
      <c r="A4" s="4" t="inlineStr">
        <is>
          <t>A</t>
        </is>
      </c>
      <c r="B4" s="4" t="inlineStr">
        <is>
          <t>L01_P01_P02</t>
        </is>
      </c>
      <c r="C4" s="13" t="n">
        <v>156.08</v>
      </c>
      <c r="D4" s="14">
        <f>Inputs!$B$17</f>
        <v/>
      </c>
      <c r="E4" s="7">
        <f>IF(OR(C4="",D4=""),"",C4*D4)</f>
        <v/>
      </c>
      <c r="F4" s="4" t="inlineStr">
        <is>
          <t>P01</t>
        </is>
      </c>
      <c r="G4" s="4" t="inlineStr">
        <is>
          <t>From annotated plan.</t>
        </is>
      </c>
    </row>
    <row r="5">
      <c r="A5" s="4" t="inlineStr">
        <is>
          <t>B</t>
        </is>
      </c>
      <c r="B5" s="4" t="inlineStr">
        <is>
          <t>L02_P02_P03</t>
        </is>
      </c>
      <c r="C5" s="13" t="n">
        <v>161.78</v>
      </c>
      <c r="D5" s="14">
        <f>Inputs!$B$17</f>
        <v/>
      </c>
      <c r="E5" s="7">
        <f>IF(OR(C5="",D5=""),"",C5*D5)</f>
        <v/>
      </c>
      <c r="F5" s="4" t="inlineStr">
        <is>
          <t>P02</t>
        </is>
      </c>
      <c r="G5" s="4" t="inlineStr">
        <is>
          <t>From annotated plan.</t>
        </is>
      </c>
    </row>
    <row r="6">
      <c r="A6" s="4" t="inlineStr">
        <is>
          <t>C</t>
        </is>
      </c>
      <c r="B6" s="4" t="inlineStr">
        <is>
          <t>L03_P03_RP100</t>
        </is>
      </c>
      <c r="C6" s="13" t="n">
        <v>142.59</v>
      </c>
      <c r="D6" s="14">
        <f>Inputs!$B$17</f>
        <v/>
      </c>
      <c r="E6" s="7">
        <f>IF(OR(C6="",D6=""),"",C6*D6)</f>
        <v/>
      </c>
      <c r="F6" s="4" t="inlineStr">
        <is>
          <t>P03</t>
        </is>
      </c>
      <c r="G6" s="4" t="inlineStr">
        <is>
          <t>From annotated plan.</t>
        </is>
      </c>
    </row>
    <row r="7">
      <c r="A7" s="4" t="inlineStr">
        <is>
          <t>D</t>
        </is>
      </c>
      <c r="B7" s="4" t="inlineStr">
        <is>
          <t>L04_P04_P05</t>
        </is>
      </c>
      <c r="C7" s="13" t="n">
        <v>61.49</v>
      </c>
      <c r="D7" s="14">
        <f>Inputs!$B$17</f>
        <v/>
      </c>
      <c r="E7" s="7">
        <f>IF(OR(C7="",D7=""),"",C7*D7)</f>
        <v/>
      </c>
      <c r="F7" s="4" t="inlineStr">
        <is>
          <t>P04</t>
        </is>
      </c>
      <c r="G7" s="4" t="inlineStr">
        <is>
          <t>From annotated plan.</t>
        </is>
      </c>
    </row>
    <row r="8">
      <c r="A8" s="4" t="inlineStr">
        <is>
          <t>E</t>
        </is>
      </c>
      <c r="B8" s="4" t="inlineStr">
        <is>
          <t>L04_P04_P05</t>
        </is>
      </c>
      <c r="C8" s="13" t="n">
        <v>133.95</v>
      </c>
      <c r="D8" s="14">
        <f>Inputs!$B$17</f>
        <v/>
      </c>
      <c r="E8" s="7">
        <f>IF(OR(C8="",D8=""),"",C8*D8)</f>
        <v/>
      </c>
      <c r="F8" s="4" t="inlineStr">
        <is>
          <t>P04-P05</t>
        </is>
      </c>
      <c r="G8" s="4" t="inlineStr">
        <is>
          <t>From annotated plan.</t>
        </is>
      </c>
    </row>
    <row r="9">
      <c r="A9" s="4" t="inlineStr">
        <is>
          <t>F</t>
        </is>
      </c>
      <c r="B9" s="4" t="inlineStr">
        <is>
          <t>L05_P05_P06</t>
        </is>
      </c>
      <c r="C9" s="13" t="n">
        <v>167.31</v>
      </c>
      <c r="D9" s="14">
        <f>Inputs!$B$17</f>
        <v/>
      </c>
      <c r="E9" s="7">
        <f>IF(OR(C9="",D9=""),"",C9*D9)</f>
        <v/>
      </c>
      <c r="F9" s="4" t="inlineStr">
        <is>
          <t>P05-P06</t>
        </is>
      </c>
      <c r="G9" s="4" t="inlineStr">
        <is>
          <t>From annotated plan.</t>
        </is>
      </c>
    </row>
    <row r="10">
      <c r="A10" s="4" t="inlineStr">
        <is>
          <t>G</t>
        </is>
      </c>
      <c r="B10" s="4" t="inlineStr">
        <is>
          <t>L06_P06_RP100</t>
        </is>
      </c>
      <c r="C10" s="13" t="inlineStr"/>
      <c r="D10" s="14">
        <f>Inputs!$B$17</f>
        <v/>
      </c>
      <c r="E10" s="7">
        <f>IF(OR(C10="",D10=""),"",C10*D10)</f>
        <v/>
      </c>
      <c r="F10" s="4" t="inlineStr">
        <is>
          <t>P06</t>
        </is>
      </c>
      <c r="G10" s="4" t="inlineStr">
        <is>
          <t>From annotated plan; verify blanks (G/J/K) if needed.</t>
        </is>
      </c>
    </row>
    <row r="11">
      <c r="A11" s="4" t="inlineStr">
        <is>
          <t>H</t>
        </is>
      </c>
      <c r="B11" s="4" t="inlineStr">
        <is>
          <t>L07_P07_P08</t>
        </is>
      </c>
      <c r="C11" s="13" t="n">
        <v>62.97</v>
      </c>
      <c r="D11" s="14">
        <f>Inputs!$B$17</f>
        <v/>
      </c>
      <c r="E11" s="7">
        <f>IF(OR(C11="",D11=""),"",C11*D11)</f>
        <v/>
      </c>
      <c r="F11" s="4" t="inlineStr">
        <is>
          <t>P07</t>
        </is>
      </c>
      <c r="G11" s="4" t="inlineStr">
        <is>
          <t>From annotated plan.</t>
        </is>
      </c>
    </row>
    <row r="12">
      <c r="A12" s="4" t="inlineStr">
        <is>
          <t>I</t>
        </is>
      </c>
      <c r="B12" s="4" t="inlineStr">
        <is>
          <t>L08_P08_P09</t>
        </is>
      </c>
      <c r="C12" s="13" t="n">
        <v>159.64</v>
      </c>
      <c r="D12" s="14">
        <f>Inputs!$B$17</f>
        <v/>
      </c>
      <c r="E12" s="7">
        <f>IF(OR(C12="",D12=""),"",C12*D12)</f>
        <v/>
      </c>
      <c r="F12" s="4" t="inlineStr">
        <is>
          <t>P08</t>
        </is>
      </c>
      <c r="G12" s="4" t="inlineStr">
        <is>
          <t>From annotated plan.</t>
        </is>
      </c>
    </row>
    <row r="13">
      <c r="A13" s="4" t="inlineStr">
        <is>
          <t>J</t>
        </is>
      </c>
      <c r="B13" s="4" t="inlineStr">
        <is>
          <t>L09_P09_P06</t>
        </is>
      </c>
      <c r="C13" s="13" t="inlineStr"/>
      <c r="D13" s="14">
        <f>Inputs!$B$17</f>
        <v/>
      </c>
      <c r="E13" s="7">
        <f>IF(OR(C13="",D13=""),"",C13*D13)</f>
        <v/>
      </c>
      <c r="F13" s="4" t="inlineStr">
        <is>
          <t>P09</t>
        </is>
      </c>
      <c r="G13" s="4" t="inlineStr">
        <is>
          <t>From annotated plan; verify blanks (G/J/K) if needed.</t>
        </is>
      </c>
    </row>
    <row r="14">
      <c r="A14" s="4" t="inlineStr">
        <is>
          <t>K</t>
        </is>
      </c>
      <c r="B14" s="4" t="inlineStr">
        <is>
          <t>L09_P09_P06</t>
        </is>
      </c>
      <c r="C14" s="13" t="inlineStr"/>
      <c r="D14" s="14">
        <f>Inputs!$B$17</f>
        <v/>
      </c>
      <c r="E14" s="7">
        <f>IF(OR(C14="",D14=""),"",C14*D14)</f>
        <v/>
      </c>
      <c r="F14" s="4" t="inlineStr">
        <is>
          <t>P06/P09 flank</t>
        </is>
      </c>
      <c r="G14" s="4" t="inlineStr">
        <is>
          <t>From annotated plan; verify blanks (G/J/K) if needed.</t>
        </is>
      </c>
    </row>
    <row r="15">
      <c r="A15" s="4" t="inlineStr">
        <is>
          <t>L</t>
        </is>
      </c>
      <c r="B15" s="4" t="inlineStr">
        <is>
          <t>L10_P010_P07</t>
        </is>
      </c>
      <c r="C15" s="13" t="n">
        <v>42.55</v>
      </c>
      <c r="D15" s="14">
        <f>Inputs!$B$17</f>
        <v/>
      </c>
      <c r="E15" s="7">
        <f>IF(OR(C15="",D15=""),"",C15*D15)</f>
        <v/>
      </c>
      <c r="F15" s="4" t="inlineStr">
        <is>
          <t>P010</t>
        </is>
      </c>
      <c r="G15" s="4" t="inlineStr">
        <is>
          <t>From annotated plan.</t>
        </is>
      </c>
    </row>
    <row r="16">
      <c r="A16" s="4" t="inlineStr">
        <is>
          <t>M</t>
        </is>
      </c>
      <c r="B16" s="4" t="inlineStr">
        <is>
          <t>L07_P07_P08</t>
        </is>
      </c>
      <c r="C16" s="13" t="n">
        <v>69.94</v>
      </c>
      <c r="D16" s="14">
        <f>Inputs!$B$17</f>
        <v/>
      </c>
      <c r="E16" s="7">
        <f>IF(OR(C16="",D16=""),"",C16*D16)</f>
        <v/>
      </c>
      <c r="F16" s="4" t="inlineStr">
        <is>
          <t>P07-P08</t>
        </is>
      </c>
      <c r="G16" s="4" t="inlineStr">
        <is>
          <t>From annotated plan.</t>
        </is>
      </c>
    </row>
    <row r="17">
      <c r="A17" s="4" t="inlineStr">
        <is>
          <t>N</t>
        </is>
      </c>
      <c r="B17" s="4" t="inlineStr">
        <is>
          <t>L08_P08_P09</t>
        </is>
      </c>
      <c r="C17" s="13" t="n">
        <v>110.39</v>
      </c>
      <c r="D17" s="14">
        <f>Inputs!$B$17</f>
        <v/>
      </c>
      <c r="E17" s="7">
        <f>IF(OR(C17="",D17=""),"",C17*D17)</f>
        <v/>
      </c>
      <c r="F17" s="4" t="inlineStr">
        <is>
          <t>P08-P09</t>
        </is>
      </c>
      <c r="G17" s="4" t="inlineStr">
        <is>
          <t>From annotated plan.</t>
        </is>
      </c>
    </row>
    <row r="18">
      <c r="A18" s="4" t="inlineStr">
        <is>
          <t>O</t>
        </is>
      </c>
      <c r="B18" s="4" t="inlineStr">
        <is>
          <t>L10_P010_P07</t>
        </is>
      </c>
      <c r="C18" s="13" t="n">
        <v>165.47</v>
      </c>
      <c r="D18" s="14">
        <f>Inputs!$B$17</f>
        <v/>
      </c>
      <c r="E18" s="7">
        <f>IF(OR(C18="",D18=""),"",C18*D18)</f>
        <v/>
      </c>
      <c r="F18" s="4" t="inlineStr">
        <is>
          <t>P010 corridor</t>
        </is>
      </c>
      <c r="G18" s="4" t="inlineStr">
        <is>
          <t>From annotated plan.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Y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  <col width="18" customWidth="1" min="49" max="49"/>
    <col width="17" customWidth="1" min="50" max="50"/>
    <col width="19" customWidth="1" min="51" max="51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Velocity_design_QA_mps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  <c r="AW3" s="12" t="inlineStr">
        <is>
          <t>Velocity_design_QA_mps_copy</t>
        </is>
      </c>
      <c r="AX3" s="12" t="inlineStr">
        <is>
          <t>Velocity_manning_full_mps</t>
        </is>
      </c>
      <c r="AY3" s="12" t="inlineStr">
        <is>
          <t>Velocity_used_for_check_mps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SUMIFS(CB_plan!$C:$C,CB_plan!$B:$B,$A4)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IF(A4="","",2.78E-7*IF(I4="",Inputs!$B$17,I4)*H4*K4)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IF(A4="","",IF(OR(V4&gt;1,AND(AY4&lt;&gt;"",AY4&lt;Inputs!$B$11),AND(AY4&lt;&gt;"",AY4&gt;Inputs!$B$12),AC4&lt;Inputs!$B$19,AD4&lt;Inputs!$B$19,P4&lt;Inputs!$B$7,P4&gt;Inputs!$B$8),"CHECK","OK"))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  <c r="AW4" s="7">
        <f>IF(A4="","",W4)</f>
        <v/>
      </c>
      <c r="AX4" s="7">
        <f>IF(OR(T4="",P4=""),"",(1/Inputs!$B$9)*((T4/4)^(2/3))*SQRT(P4))</f>
        <v/>
      </c>
      <c r="AY4" s="7">
        <f>IF(A4="","",IF(AND(AW4="",AX4=""),"",IF(OR(UPPER(TRIM(Inputs!$B$24))="MANNING",UPPER(TRIM(Inputs!$B$24))="M"),AX4,IF(OR(UPPER(TRIM(Inputs!$B$24))="MAX",UPPER(TRIM(Inputs!$B$24))="X"),MAX(IF(AW4="",0,AW4),IF(AX4="",0,AX4)),AW4))))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SUMIFS(CB_plan!$C:$C,CB_plan!$B:$B,$A5)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IF(A5="","",2.78E-7*IF(I5="",Inputs!$B$17,I5)*H5*K5)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IF(A5="","",IF(OR(V5&gt;1,AND(AY5&lt;&gt;"",AY5&lt;Inputs!$B$11),AND(AY5&lt;&gt;"",AY5&gt;Inputs!$B$12),AC5&lt;Inputs!$B$19,AD5&lt;Inputs!$B$19,P5&lt;Inputs!$B$7,P5&gt;Inputs!$B$8),"CHECK","OK"))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  <c r="AW5" s="7">
        <f>IF(A5="","",W5)</f>
        <v/>
      </c>
      <c r="AX5" s="7">
        <f>IF(OR(T5="",P5=""),"",(1/Inputs!$B$9)*((T5/4)^(2/3))*SQRT(P5))</f>
        <v/>
      </c>
      <c r="AY5" s="7">
        <f>IF(A5="","",IF(AND(AW5="",AX5=""),"",IF(OR(UPPER(TRIM(Inputs!$B$24))="MANNING",UPPER(TRIM(Inputs!$B$24))="M"),AX5,IF(OR(UPPER(TRIM(Inputs!$B$24))="MAX",UPPER(TRIM(Inputs!$B$24))="X"),MAX(IF(AW5="",0,AW5),IF(AX5="",0,AX5)),AW5))))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SUMIFS(CB_plan!$C:$C,CB_plan!$B:$B,$A6)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IF(A6="","",2.78E-7*IF(I6="",Inputs!$B$17,I6)*H6*K6)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IF(A6="","",IF(OR(V6&gt;1,AND(AY6&lt;&gt;"",AY6&lt;Inputs!$B$11),AND(AY6&lt;&gt;"",AY6&gt;Inputs!$B$12),AC6&lt;Inputs!$B$19,AD6&lt;Inputs!$B$19,P6&lt;Inputs!$B$7,P6&gt;Inputs!$B$8),"CHECK","OK"))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  <c r="AW6" s="7">
        <f>IF(A6="","",W6)</f>
        <v/>
      </c>
      <c r="AX6" s="7">
        <f>IF(OR(T6="",P6=""),"",(1/Inputs!$B$9)*((T6/4)^(2/3))*SQRT(P6))</f>
        <v/>
      </c>
      <c r="AY6" s="7">
        <f>IF(A6="","",IF(AND(AW6="",AX6=""),"",IF(OR(UPPER(TRIM(Inputs!$B$24))="MANNING",UPPER(TRIM(Inputs!$B$24))="M"),AX6,IF(OR(UPPER(TRIM(Inputs!$B$24))="MAX",UPPER(TRIM(Inputs!$B$24))="X"),MAX(IF(AW6="",0,AW6),IF(AX6="",0,AX6)),AW6))))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SUMIFS(CB_plan!$C:$C,CB_plan!$B:$B,$A7)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IF(A7="","",2.78E-7*IF(I7="",Inputs!$B$17,I7)*H7*K7)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IF(A7="","",IF(OR(V7&gt;1,AND(AY7&lt;&gt;"",AY7&lt;Inputs!$B$11),AND(AY7&lt;&gt;"",AY7&gt;Inputs!$B$12),AC7&lt;Inputs!$B$19,AD7&lt;Inputs!$B$19,P7&lt;Inputs!$B$7,P7&gt;Inputs!$B$8),"CHECK","OK"))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  <c r="AW7" s="7">
        <f>IF(A7="","",W7)</f>
        <v/>
      </c>
      <c r="AX7" s="7">
        <f>IF(OR(T7="",P7=""),"",(1/Inputs!$B$9)*((T7/4)^(2/3))*SQRT(P7))</f>
        <v/>
      </c>
      <c r="AY7" s="7">
        <f>IF(A7="","",IF(AND(AW7="",AX7=""),"",IF(OR(UPPER(TRIM(Inputs!$B$24))="MANNING",UPPER(TRIM(Inputs!$B$24))="M"),AX7,IF(OR(UPPER(TRIM(Inputs!$B$24))="MAX",UPPER(TRIM(Inputs!$B$24))="X"),MAX(IF(AW7="",0,AW7),IF(AX7="",0,AX7)),AW7))))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SUMIFS(CB_plan!$C:$C,CB_plan!$B:$B,$A8)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IF(A8="","",2.78E-7*IF(I8="",Inputs!$B$17,I8)*H8*K8)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IF(A8="","",IF(OR(V8&gt;1,AND(AY8&lt;&gt;"",AY8&lt;Inputs!$B$11),AND(AY8&lt;&gt;"",AY8&gt;Inputs!$B$12),AC8&lt;Inputs!$B$19,AD8&lt;Inputs!$B$19,P8&lt;Inputs!$B$7,P8&gt;Inputs!$B$8),"CHECK","OK"))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  <c r="AW8" s="7">
        <f>IF(A8="","",W8)</f>
        <v/>
      </c>
      <c r="AX8" s="7">
        <f>IF(OR(T8="",P8=""),"",(1/Inputs!$B$9)*((T8/4)^(2/3))*SQRT(P8))</f>
        <v/>
      </c>
      <c r="AY8" s="7">
        <f>IF(A8="","",IF(AND(AW8="",AX8=""),"",IF(OR(UPPER(TRIM(Inputs!$B$24))="MANNING",UPPER(TRIM(Inputs!$B$24))="M"),AX8,IF(OR(UPPER(TRIM(Inputs!$B$24))="MAX",UPPER(TRIM(Inputs!$B$24))="X"),MAX(IF(AW8="",0,AW8),IF(AX8="",0,AX8)),AW8))))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SUMIFS(CB_plan!$C:$C,CB_plan!$B:$B,$A9)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IF(A9="","",2.78E-7*IF(I9="",Inputs!$B$17,I9)*H9*K9)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IF(A9="","",IF(OR(V9&gt;1,AND(AY9&lt;&gt;"",AY9&lt;Inputs!$B$11),AND(AY9&lt;&gt;"",AY9&gt;Inputs!$B$12),AC9&lt;Inputs!$B$19,AD9&lt;Inputs!$B$19,P9&lt;Inputs!$B$7,P9&gt;Inputs!$B$8),"CHECK","OK"))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  <c r="AW9" s="7">
        <f>IF(A9="","",W9)</f>
        <v/>
      </c>
      <c r="AX9" s="7">
        <f>IF(OR(T9="",P9=""),"",(1/Inputs!$B$9)*((T9/4)^(2/3))*SQRT(P9))</f>
        <v/>
      </c>
      <c r="AY9" s="7">
        <f>IF(A9="","",IF(AND(AW9="",AX9=""),"",IF(OR(UPPER(TRIM(Inputs!$B$24))="MANNING",UPPER(TRIM(Inputs!$B$24))="M"),AX9,IF(OR(UPPER(TRIM(Inputs!$B$24))="MAX",UPPER(TRIM(Inputs!$B$24))="X"),MAX(IF(AW9="",0,AW9),IF(AX9="",0,AX9)),AW9))))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SUMIFS(CB_plan!$C:$C,CB_plan!$B:$B,$A10)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IF(A10="","",2.78E-7*IF(I10="",Inputs!$B$17,I10)*H10*K10)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IF(A10="","",IF(OR(V10&gt;1,AND(AY10&lt;&gt;"",AY10&lt;Inputs!$B$11),AND(AY10&lt;&gt;"",AY10&gt;Inputs!$B$12),AC10&lt;Inputs!$B$19,AD10&lt;Inputs!$B$19,P10&lt;Inputs!$B$7,P10&gt;Inputs!$B$8),"CHECK","OK"))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  <c r="AW10" s="7">
        <f>IF(A10="","",W10)</f>
        <v/>
      </c>
      <c r="AX10" s="7">
        <f>IF(OR(T10="",P10=""),"",(1/Inputs!$B$9)*((T10/4)^(2/3))*SQRT(P10))</f>
        <v/>
      </c>
      <c r="AY10" s="7">
        <f>IF(A10="","",IF(AND(AW10="",AX10=""),"",IF(OR(UPPER(TRIM(Inputs!$B$24))="MANNING",UPPER(TRIM(Inputs!$B$24))="M"),AX10,IF(OR(UPPER(TRIM(Inputs!$B$24))="MAX",UPPER(TRIM(Inputs!$B$24))="X"),MAX(IF(AW10="",0,AW10),IF(AX10="",0,AX10)),AW10))))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SUMIFS(CB_plan!$C:$C,CB_plan!$B:$B,$A11)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IF(A11="","",2.78E-7*IF(I11="",Inputs!$B$17,I11)*H11*K11)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IF(A11="","",IF(OR(V11&gt;1,AND(AY11&lt;&gt;"",AY11&lt;Inputs!$B$11),AND(AY11&lt;&gt;"",AY11&gt;Inputs!$B$12),AC11&lt;Inputs!$B$19,AD11&lt;Inputs!$B$19,P11&lt;Inputs!$B$7,P11&gt;Inputs!$B$8),"CHECK","OK"))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  <c r="AW11" s="7">
        <f>IF(A11="","",W11)</f>
        <v/>
      </c>
      <c r="AX11" s="7">
        <f>IF(OR(T11="",P11=""),"",(1/Inputs!$B$9)*((T11/4)^(2/3))*SQRT(P11))</f>
        <v/>
      </c>
      <c r="AY11" s="7">
        <f>IF(A11="","",IF(AND(AW11="",AX11=""),"",IF(OR(UPPER(TRIM(Inputs!$B$24))="MANNING",UPPER(TRIM(Inputs!$B$24))="M"),AX11,IF(OR(UPPER(TRIM(Inputs!$B$24))="MAX",UPPER(TRIM(Inputs!$B$24))="X"),MAX(IF(AW11="",0,AW11),IF(AX11="",0,AX11)),AW11))))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SUMIFS(CB_plan!$C:$C,CB_plan!$B:$B,$A12)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IF(A12="","",2.78E-7*IF(I12="",Inputs!$B$17,I12)*H12*K12)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IF(A12="","",IF(OR(V12&gt;1,AND(AY12&lt;&gt;"",AY12&lt;Inputs!$B$11),AND(AY12&lt;&gt;"",AY12&gt;Inputs!$B$12),AC12&lt;Inputs!$B$19,AD12&lt;Inputs!$B$19,P12&lt;Inputs!$B$7,P12&gt;Inputs!$B$8),"CHECK","OK"))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  <c r="AW12" s="7">
        <f>IF(A12="","",W12)</f>
        <v/>
      </c>
      <c r="AX12" s="7">
        <f>IF(OR(T12="",P12=""),"",(1/Inputs!$B$9)*((T12/4)^(2/3))*SQRT(P12))</f>
        <v/>
      </c>
      <c r="AY12" s="7">
        <f>IF(A12="","",IF(AND(AW12="",AX12=""),"",IF(OR(UPPER(TRIM(Inputs!$B$24))="MANNING",UPPER(TRIM(Inputs!$B$24))="M"),AX12,IF(OR(UPPER(TRIM(Inputs!$B$24))="MAX",UPPER(TRIM(Inputs!$B$24))="X"),MAX(IF(AW12="",0,AW12),IF(AX12="",0,AX12)),AW12))))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SUMIFS(CB_plan!$C:$C,CB_plan!$B:$B,$A13)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IF(A13="","",2.78E-7*IF(I13="",Inputs!$B$17,I13)*H13*K13)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IF(A13="","",IF(OR(V13&gt;1,AND(AY13&lt;&gt;"",AY13&lt;Inputs!$B$11),AND(AY13&lt;&gt;"",AY13&gt;Inputs!$B$12),AC13&lt;Inputs!$B$19,AD13&lt;Inputs!$B$19,P13&lt;Inputs!$B$7,P13&gt;Inputs!$B$8),"CHECK","OK"))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  <c r="AW13" s="7">
        <f>IF(A13="","",W13)</f>
        <v/>
      </c>
      <c r="AX13" s="7">
        <f>IF(OR(T13="",P13=""),"",(1/Inputs!$B$9)*((T13/4)^(2/3))*SQRT(P13))</f>
        <v/>
      </c>
      <c r="AY13" s="7">
        <f>IF(A13="","",IF(AND(AW13="",AX13=""),"",IF(OR(UPPER(TRIM(Inputs!$B$24))="MANNING",UPPER(TRIM(Inputs!$B$24))="M"),AX13,IF(OR(UPPER(TRIM(Inputs!$B$24))="MAX",UPPER(TRIM(Inputs!$B$24))="X"),MAX(IF(AW13="",0,AW13),IF(AX13="",0,AX13)),AW13))))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SUMIFS(CB_plan!$C:$C,CB_plan!$B:$B,$A14)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IF(A14="","",2.78E-7*IF(I14="",Inputs!$B$17,I14)*H14*K14)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IF(A14="","",IF(OR(V14&gt;1,AND(AY14&lt;&gt;"",AY14&lt;Inputs!$B$11),AND(AY14&lt;&gt;"",AY14&gt;Inputs!$B$12),AC14&lt;Inputs!$B$19,AD14&lt;Inputs!$B$19,P14&lt;Inputs!$B$7,P14&gt;Inputs!$B$8),"CHECK","OK"))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  <c r="AW14" s="7">
        <f>IF(A14="","",W14)</f>
        <v/>
      </c>
      <c r="AX14" s="7">
        <f>IF(OR(T14="",P14=""),"",(1/Inputs!$B$9)*((T14/4)^(2/3))*SQRT(P14))</f>
        <v/>
      </c>
      <c r="AY14" s="7">
        <f>IF(A14="","",IF(AND(AW14="",AX14=""),"",IF(OR(UPPER(TRIM(Inputs!$B$24))="MANNING",UPPER(TRIM(Inputs!$B$24))="M"),AX14,IF(OR(UPPER(TRIM(Inputs!$B$24))="MAX",UPPER(TRIM(Inputs!$B$24))="X"),MAX(IF(AW14="",0,AW14),IF(AX14="",0,AX14)),AW14))))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SUMIFS(CB_plan!$C:$C,CB_plan!$B:$B,$A15)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IF(A15="","",2.78E-7*IF(I15="",Inputs!$B$17,I15)*H15*K15)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IF(A15="","",IF(OR(V15&gt;1,AND(AY15&lt;&gt;"",AY15&lt;Inputs!$B$11),AND(AY15&lt;&gt;"",AY15&gt;Inputs!$B$12),AC15&lt;Inputs!$B$19,AD15&lt;Inputs!$B$19,P15&lt;Inputs!$B$7,P15&gt;Inputs!$B$8),"CHECK","OK"))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  <c r="AW15" s="7">
        <f>IF(A15="","",W15)</f>
        <v/>
      </c>
      <c r="AX15" s="7">
        <f>IF(OR(T15="",P15=""),"",(1/Inputs!$B$9)*((T15/4)^(2/3))*SQRT(P15))</f>
        <v/>
      </c>
      <c r="AY15" s="7">
        <f>IF(A15="","",IF(AND(AW15="",AX15=""),"",IF(OR(UPPER(TRIM(Inputs!$B$24))="MANNING",UPPER(TRIM(Inputs!$B$24))="M"),AX15,IF(OR(UPPER(TRIM(Inputs!$B$24))="MAX",UPPER(TRIM(Inputs!$B$24))="X"),MAX(IF(AW15="",0,AW15),IF(AX15="",0,AX15)),AW15))))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SUMIFS(CB_plan!$C:$C,CB_plan!$B:$B,$A16)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IF(A16="","",2.78E-7*IF(I16="",Inputs!$B$17,I16)*H16*K16)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IF(A16="","",IF(OR(V16&gt;1,AND(AY16&lt;&gt;"",AY16&lt;Inputs!$B$11),AND(AY16&lt;&gt;"",AY16&gt;Inputs!$B$12),AC16&lt;Inputs!$B$19,AD16&lt;Inputs!$B$19,P16&lt;Inputs!$B$7,P16&gt;Inputs!$B$8),"CHECK","OK"))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  <c r="AW16" s="7">
        <f>IF(A16="","",W16)</f>
        <v/>
      </c>
      <c r="AX16" s="7">
        <f>IF(OR(T16="",P16=""),"",(1/Inputs!$B$9)*((T16/4)^(2/3))*SQRT(P16))</f>
        <v/>
      </c>
      <c r="AY16" s="7">
        <f>IF(A16="","",IF(AND(AW16="",AX16=""),"",IF(OR(UPPER(TRIM(Inputs!$B$24))="MANNING",UPPER(TRIM(Inputs!$B$24))="M"),AX16,IF(OR(UPPER(TRIM(Inputs!$B$24))="MAX",UPPER(TRIM(Inputs!$B$24))="X"),MAX(IF(AW16="",0,AW16),IF(AX16="",0,AX16)),AW16))))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SUMIFS(CB_plan!$C:$C,CB_plan!$B:$B,$A17)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IF(A17="","",2.78E-7*IF(I17="",Inputs!$B$17,I17)*H17*K17)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IF(A17="","",IF(OR(V17&gt;1,AND(AY17&lt;&gt;"",AY17&lt;Inputs!$B$11),AND(AY17&lt;&gt;"",AY17&gt;Inputs!$B$12),AC17&lt;Inputs!$B$19,AD17&lt;Inputs!$B$19,P17&lt;Inputs!$B$7,P17&gt;Inputs!$B$8),"CHECK","OK"))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  <c r="AW17" s="7">
        <f>IF(A17="","",W17)</f>
        <v/>
      </c>
      <c r="AX17" s="7">
        <f>IF(OR(T17="",P17=""),"",(1/Inputs!$B$9)*((T17/4)^(2/3))*SQRT(P17))</f>
        <v/>
      </c>
      <c r="AY17" s="7">
        <f>IF(A17="","",IF(AND(AW17="",AX17=""),"",IF(OR(UPPER(TRIM(Inputs!$B$24))="MANNING",UPPER(TRIM(Inputs!$B$24))="M"),AX17,IF(OR(UPPER(TRIM(Inputs!$B$24))="MAX",UPPER(TRIM(Inputs!$B$24))="X"),MAX(IF(AW17="",0,AW17),IF(AX17="",0,AX17)),AW17))))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SUMIFS(CB_plan!$C:$C,CB_plan!$B:$B,$A18)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IF(A18="","",2.78E-7*IF(I18="",Inputs!$B$17,I18)*H18*K18)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IF(A18="","",IF(OR(V18&gt;1,AND(AY18&lt;&gt;"",AY18&lt;Inputs!$B$11),AND(AY18&lt;&gt;"",AY18&gt;Inputs!$B$12),AC18&lt;Inputs!$B$19,AD18&lt;Inputs!$B$19,P18&lt;Inputs!$B$7,P18&gt;Inputs!$B$8),"CHECK","OK"))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  <c r="AW18" s="7">
        <f>IF(A18="","",W18)</f>
        <v/>
      </c>
      <c r="AX18" s="7">
        <f>IF(OR(T18="",P18=""),"",(1/Inputs!$B$9)*((T18/4)^(2/3))*SQRT(P18))</f>
        <v/>
      </c>
      <c r="AY18" s="7">
        <f>IF(A18="","",IF(AND(AW18="",AX18=""),"",IF(OR(UPPER(TRIM(Inputs!$B$24))="MANNING",UPPER(TRIM(Inputs!$B$24))="M"),AX18,IF(OR(UPPER(TRIM(Inputs!$B$24))="MAX",UPPER(TRIM(Inputs!$B$24))="X"),MAX(IF(AW18="",0,AW18),IF(AX18="",0,AX18)),AW18))))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SUMIFS(CB_plan!$C:$C,CB_plan!$B:$B,$A19)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IF(A19="","",2.78E-7*IF(I19="",Inputs!$B$17,I19)*H19*K19)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IF(A19="","",IF(OR(V19&gt;1,AND(AY19&lt;&gt;"",AY19&lt;Inputs!$B$11),AND(AY19&lt;&gt;"",AY19&gt;Inputs!$B$12),AC19&lt;Inputs!$B$19,AD19&lt;Inputs!$B$19,P19&lt;Inputs!$B$7,P19&gt;Inputs!$B$8),"CHECK","OK"))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  <c r="AW19" s="7">
        <f>IF(A19="","",W19)</f>
        <v/>
      </c>
      <c r="AX19" s="7">
        <f>IF(OR(T19="",P19=""),"",(1/Inputs!$B$9)*((T19/4)^(2/3))*SQRT(P19))</f>
        <v/>
      </c>
      <c r="AY19" s="7">
        <f>IF(A19="","",IF(AND(AW19="",AX19=""),"",IF(OR(UPPER(TRIM(Inputs!$B$24))="MANNING",UPPER(TRIM(Inputs!$B$24))="M"),AX19,IF(OR(UPPER(TRIM(Inputs!$B$24))="MAX",UPPER(TRIM(Inputs!$B$24))="X"),MAX(IF(AW19="",0,AW19),IF(AX19="",0,AX19)),AW19))))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SUMIFS(CB_plan!$C:$C,CB_plan!$B:$B,$A20)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IF(A20="","",2.78E-7*IF(I20="",Inputs!$B$17,I20)*H20*K20)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IF(A20="","",IF(OR(V20&gt;1,AND(AY20&lt;&gt;"",AY20&lt;Inputs!$B$11),AND(AY20&lt;&gt;"",AY20&gt;Inputs!$B$12),AC20&lt;Inputs!$B$19,AD20&lt;Inputs!$B$19,P20&lt;Inputs!$B$7,P20&gt;Inputs!$B$8),"CHECK","OK"))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  <c r="AW20" s="7">
        <f>IF(A20="","",W20)</f>
        <v/>
      </c>
      <c r="AX20" s="7">
        <f>IF(OR(T20="",P20=""),"",(1/Inputs!$B$9)*((T20/4)^(2/3))*SQRT(P20))</f>
        <v/>
      </c>
      <c r="AY20" s="7">
        <f>IF(A20="","",IF(AND(AW20="",AX20=""),"",IF(OR(UPPER(TRIM(Inputs!$B$24))="MANNING",UPPER(TRIM(Inputs!$B$24))="M"),AX20,IF(OR(UPPER(TRIM(Inputs!$B$24))="MAX",UPPER(TRIM(Inputs!$B$24))="X"),MAX(IF(AW20="",0,AW20),IF(AX20="",0,AX20)),AW20))))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SUMIFS(CB_plan!$C:$C,CB_plan!$B:$B,$A21)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IF(A21="","",2.78E-7*IF(I21="",Inputs!$B$17,I21)*H21*K21)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IF(A21="","",IF(OR(V21&gt;1,AND(AY21&lt;&gt;"",AY21&lt;Inputs!$B$11),AND(AY21&lt;&gt;"",AY21&gt;Inputs!$B$12),AC21&lt;Inputs!$B$19,AD21&lt;Inputs!$B$19,P21&lt;Inputs!$B$7,P21&gt;Inputs!$B$8),"CHECK","OK"))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  <c r="AW21" s="7">
        <f>IF(A21="","",W21)</f>
        <v/>
      </c>
      <c r="AX21" s="7">
        <f>IF(OR(T21="",P21=""),"",(1/Inputs!$B$9)*((T21/4)^(2/3))*SQRT(P21))</f>
        <v/>
      </c>
      <c r="AY21" s="7">
        <f>IF(A21="","",IF(AND(AW21="",AX21=""),"",IF(OR(UPPER(TRIM(Inputs!$B$24))="MANNING",UPPER(TRIM(Inputs!$B$24))="M"),AX21,IF(OR(UPPER(TRIM(Inputs!$B$24))="MAX",UPPER(TRIM(Inputs!$B$24))="X"),MAX(IF(AW21="",0,AW21),IF(AX21="",0,AX21)),AW21))))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SUMIFS(CB_plan!$C:$C,CB_plan!$B:$B,$A22)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IF(A22="","",2.78E-7*IF(I22="",Inputs!$B$17,I22)*H22*K22)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IF(A22="","",IF(OR(V22&gt;1,AND(AY22&lt;&gt;"",AY22&lt;Inputs!$B$11),AND(AY22&lt;&gt;"",AY22&gt;Inputs!$B$12),AC22&lt;Inputs!$B$19,AD22&lt;Inputs!$B$19,P22&lt;Inputs!$B$7,P22&gt;Inputs!$B$8),"CHECK","OK"))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  <c r="AW22" s="7">
        <f>IF(A22="","",W22)</f>
        <v/>
      </c>
      <c r="AX22" s="7">
        <f>IF(OR(T22="",P22=""),"",(1/Inputs!$B$9)*((T22/4)^(2/3))*SQRT(P22))</f>
        <v/>
      </c>
      <c r="AY22" s="7">
        <f>IF(A22="","",IF(AND(AW22="",AX22=""),"",IF(OR(UPPER(TRIM(Inputs!$B$24))="MANNING",UPPER(TRIM(Inputs!$B$24))="M"),AX22,IF(OR(UPPER(TRIM(Inputs!$B$24))="MAX",UPPER(TRIM(Inputs!$B$24))="X"),MAX(IF(AW22="",0,AW22),IF(AX22="",0,AX22)),AW22))))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SUMIFS(CB_plan!$C:$C,CB_plan!$B:$B,$A23)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IF(A23="","",2.78E-7*IF(I23="",Inputs!$B$17,I23)*H23*K23)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IF(A23="","",IF(OR(V23&gt;1,AND(AY23&lt;&gt;"",AY23&lt;Inputs!$B$11),AND(AY23&lt;&gt;"",AY23&gt;Inputs!$B$12),AC23&lt;Inputs!$B$19,AD23&lt;Inputs!$B$19,P23&lt;Inputs!$B$7,P23&gt;Inputs!$B$8),"CHECK","OK"))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  <c r="AW23" s="7">
        <f>IF(A23="","",W23)</f>
        <v/>
      </c>
      <c r="AX23" s="7">
        <f>IF(OR(T23="",P23=""),"",(1/Inputs!$B$9)*((T23/4)^(2/3))*SQRT(P23))</f>
        <v/>
      </c>
      <c r="AY23" s="7">
        <f>IF(A23="","",IF(AND(AW23="",AX23=""),"",IF(OR(UPPER(TRIM(Inputs!$B$24))="MANNING",UPPER(TRIM(Inputs!$B$24))="M"),AX23,IF(OR(UPPER(TRIM(Inputs!$B$24))="MAX",UPPER(TRIM(Inputs!$B$24))="X"),MAX(IF(AW23="",0,AW23),IF(AX23="",0,AX23)),AW23))))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SUMIFS(CB_plan!$C:$C,CB_plan!$B:$B,$A24)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IF(A24="","",2.78E-7*IF(I24="",Inputs!$B$17,I24)*H24*K24)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IF(A24="","",IF(OR(V24&gt;1,AND(AY24&lt;&gt;"",AY24&lt;Inputs!$B$11),AND(AY24&lt;&gt;"",AY24&gt;Inputs!$B$12),AC24&lt;Inputs!$B$19,AD24&lt;Inputs!$B$19,P24&lt;Inputs!$B$7,P24&gt;Inputs!$B$8),"CHECK","OK"))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  <c r="AW24" s="7">
        <f>IF(A24="","",W24)</f>
        <v/>
      </c>
      <c r="AX24" s="7">
        <f>IF(OR(T24="",P24=""),"",(1/Inputs!$B$9)*((T24/4)^(2/3))*SQRT(P24))</f>
        <v/>
      </c>
      <c r="AY24" s="7">
        <f>IF(A24="","",IF(AND(AW24="",AX24=""),"",IF(OR(UPPER(TRIM(Inputs!$B$24))="MANNING",UPPER(TRIM(Inputs!$B$24))="M"),AX24,IF(OR(UPPER(TRIM(Inputs!$B$24))="MAX",UPPER(TRIM(Inputs!$B$24))="X"),MAX(IF(AW24="",0,AW24),IF(AX24="",0,AX24)),AW24))))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SUMIFS(CB_plan!$C:$C,CB_plan!$B:$B,$A25)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IF(A25="","",2.78E-7*IF(I25="",Inputs!$B$17,I25)*H25*K25)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IF(A25="","",IF(OR(V25&gt;1,AND(AY25&lt;&gt;"",AY25&lt;Inputs!$B$11),AND(AY25&lt;&gt;"",AY25&gt;Inputs!$B$12),AC25&lt;Inputs!$B$19,AD25&lt;Inputs!$B$19,P25&lt;Inputs!$B$7,P25&gt;Inputs!$B$8),"CHECK","OK"))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  <c r="AW25" s="7">
        <f>IF(A25="","",W25)</f>
        <v/>
      </c>
      <c r="AX25" s="7">
        <f>IF(OR(T25="",P25=""),"",(1/Inputs!$B$9)*((T25/4)^(2/3))*SQRT(P25))</f>
        <v/>
      </c>
      <c r="AY25" s="7">
        <f>IF(A25="","",IF(AND(AW25="",AX25=""),"",IF(OR(UPPER(TRIM(Inputs!$B$24))="MANNING",UPPER(TRIM(Inputs!$B$24))="M"),AX25,IF(OR(UPPER(TRIM(Inputs!$B$24))="MAX",UPPER(TRIM(Inputs!$B$24))="X"),MAX(IF(AW25="",0,AW25),IF(AX25="",0,AX25)),AW25))))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SUMIFS(CB_plan!$C:$C,CB_plan!$B:$B,$A26)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IF(A26="","",2.78E-7*IF(I26="",Inputs!$B$17,I26)*H26*K26)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IF(A26="","",IF(OR(V26&gt;1,AND(AY26&lt;&gt;"",AY26&lt;Inputs!$B$11),AND(AY26&lt;&gt;"",AY26&gt;Inputs!$B$12),AC26&lt;Inputs!$B$19,AD26&lt;Inputs!$B$19,P26&lt;Inputs!$B$7,P26&gt;Inputs!$B$8),"CHECK","OK"))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  <c r="AW26" s="7">
        <f>IF(A26="","",W26)</f>
        <v/>
      </c>
      <c r="AX26" s="7">
        <f>IF(OR(T26="",P26=""),"",(1/Inputs!$B$9)*((T26/4)^(2/3))*SQRT(P26))</f>
        <v/>
      </c>
      <c r="AY26" s="7">
        <f>IF(A26="","",IF(AND(AW26="",AX26=""),"",IF(OR(UPPER(TRIM(Inputs!$B$24))="MANNING",UPPER(TRIM(Inputs!$B$24))="M"),AX26,IF(OR(UPPER(TRIM(Inputs!$B$24))="MAX",UPPER(TRIM(Inputs!$B$24))="X"),MAX(IF(AW26="",0,AW26),IF(AX26="",0,AX26)),AW26))))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SUMIFS(CB_plan!$C:$C,CB_plan!$B:$B,$A27)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IF(A27="","",2.78E-7*IF(I27="",Inputs!$B$17,I27)*H27*K27)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IF(A27="","",IF(OR(V27&gt;1,AND(AY27&lt;&gt;"",AY27&lt;Inputs!$B$11),AND(AY27&lt;&gt;"",AY27&gt;Inputs!$B$12),AC27&lt;Inputs!$B$19,AD27&lt;Inputs!$B$19,P27&lt;Inputs!$B$7,P27&gt;Inputs!$B$8),"CHECK","OK"))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  <c r="AW27" s="7">
        <f>IF(A27="","",W27)</f>
        <v/>
      </c>
      <c r="AX27" s="7">
        <f>IF(OR(T27="",P27=""),"",(1/Inputs!$B$9)*((T27/4)^(2/3))*SQRT(P27))</f>
        <v/>
      </c>
      <c r="AY27" s="7">
        <f>IF(A27="","",IF(AND(AW27="",AX27=""),"",IF(OR(UPPER(TRIM(Inputs!$B$24))="MANNING",UPPER(TRIM(Inputs!$B$24))="M"),AX27,IF(OR(UPPER(TRIM(Inputs!$B$24))="MAX",UPPER(TRIM(Inputs!$B$24))="X"),MAX(IF(AW27="",0,AW27),IF(AX27="",0,AX27)),AW27))))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SUMIFS(CB_plan!$C:$C,CB_plan!$B:$B,$A28)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IF(A28="","",2.78E-7*IF(I28="",Inputs!$B$17,I28)*H28*K28)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IF(A28="","",IF(OR(V28&gt;1,AND(AY28&lt;&gt;"",AY28&lt;Inputs!$B$11),AND(AY28&lt;&gt;"",AY28&gt;Inputs!$B$12),AC28&lt;Inputs!$B$19,AD28&lt;Inputs!$B$19,P28&lt;Inputs!$B$7,P28&gt;Inputs!$B$8),"CHECK","OK"))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  <c r="AW28" s="7">
        <f>IF(A28="","",W28)</f>
        <v/>
      </c>
      <c r="AX28" s="7">
        <f>IF(OR(T28="",P28=""),"",(1/Inputs!$B$9)*((T28/4)^(2/3))*SQRT(P28))</f>
        <v/>
      </c>
      <c r="AY28" s="7">
        <f>IF(A28="","",IF(AND(AW28="",AX28=""),"",IF(OR(UPPER(TRIM(Inputs!$B$24))="MANNING",UPPER(TRIM(Inputs!$B$24))="M"),AX28,IF(OR(UPPER(TRIM(Inputs!$B$24))="MAX",UPPER(TRIM(Inputs!$B$24))="X"),MAX(IF(AW28="",0,AW28),IF(AX28="",0,AX28)),AW28))))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SUMIFS(CB_plan!$C:$C,CB_plan!$B:$B,$A29)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IF(A29="","",2.78E-7*IF(I29="",Inputs!$B$17,I29)*H29*K29)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IF(A29="","",IF(OR(V29&gt;1,AND(AY29&lt;&gt;"",AY29&lt;Inputs!$B$11),AND(AY29&lt;&gt;"",AY29&gt;Inputs!$B$12),AC29&lt;Inputs!$B$19,AD29&lt;Inputs!$B$19,P29&lt;Inputs!$B$7,P29&gt;Inputs!$B$8),"CHECK","OK"))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  <c r="AW29" s="7">
        <f>IF(A29="","",W29)</f>
        <v/>
      </c>
      <c r="AX29" s="7">
        <f>IF(OR(T29="",P29=""),"",(1/Inputs!$B$9)*((T29/4)^(2/3))*SQRT(P29))</f>
        <v/>
      </c>
      <c r="AY29" s="7">
        <f>IF(A29="","",IF(AND(AW29="",AX29=""),"",IF(OR(UPPER(TRIM(Inputs!$B$24))="MANNING",UPPER(TRIM(Inputs!$B$24))="M"),AX29,IF(OR(UPPER(TRIM(Inputs!$B$24))="MAX",UPPER(TRIM(Inputs!$B$24))="X"),MAX(IF(AW29="",0,AW29),IF(AX29="",0,AX29)),AW29))))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SUMIFS(CB_plan!$C:$C,CB_plan!$B:$B,$A30)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IF(A30="","",2.78E-7*IF(I30="",Inputs!$B$17,I30)*H30*K30)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IF(A30="","",IF(OR(V30&gt;1,AND(AY30&lt;&gt;"",AY30&lt;Inputs!$B$11),AND(AY30&lt;&gt;"",AY30&gt;Inputs!$B$12),AC30&lt;Inputs!$B$19,AD30&lt;Inputs!$B$19,P30&lt;Inputs!$B$7,P30&gt;Inputs!$B$8),"CHECK","OK"))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  <c r="AW30" s="7">
        <f>IF(A30="","",W30)</f>
        <v/>
      </c>
      <c r="AX30" s="7">
        <f>IF(OR(T30="",P30=""),"",(1/Inputs!$B$9)*((T30/4)^(2/3))*SQRT(P30))</f>
        <v/>
      </c>
      <c r="AY30" s="7">
        <f>IF(A30="","",IF(AND(AW30="",AX30=""),"",IF(OR(UPPER(TRIM(Inputs!$B$24))="MANNING",UPPER(TRIM(Inputs!$B$24))="M"),AX30,IF(OR(UPPER(TRIM(Inputs!$B$24))="MAX",UPPER(TRIM(Inputs!$B$24))="X"),MAX(IF(AW30="",0,AW30),IF(AX30="",0,AX30)),AW30))))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SUMIFS(CB_plan!$C:$C,CB_plan!$B:$B,$A31)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IF(A31="","",2.78E-7*IF(I31="",Inputs!$B$17,I31)*H31*K31)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IF(A31="","",IF(OR(V31&gt;1,AND(AY31&lt;&gt;"",AY31&lt;Inputs!$B$11),AND(AY31&lt;&gt;"",AY31&gt;Inputs!$B$12),AC31&lt;Inputs!$B$19,AD31&lt;Inputs!$B$19,P31&lt;Inputs!$B$7,P31&gt;Inputs!$B$8),"CHECK","OK"))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  <c r="AW31" s="7">
        <f>IF(A31="","",W31)</f>
        <v/>
      </c>
      <c r="AX31" s="7">
        <f>IF(OR(T31="",P31=""),"",(1/Inputs!$B$9)*((T31/4)^(2/3))*SQRT(P31))</f>
        <v/>
      </c>
      <c r="AY31" s="7">
        <f>IF(A31="","",IF(AND(AW31="",AX31=""),"",IF(OR(UPPER(TRIM(Inputs!$B$24))="MANNING",UPPER(TRIM(Inputs!$B$24))="M"),AX31,IF(OR(UPPER(TRIM(Inputs!$B$24))="MAX",UPPER(TRIM(Inputs!$B$24))="X"),MAX(IF(AW31="",0,AW31),IF(AX31="",0,AX31)),AW31))))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SUMIFS(CB_plan!$C:$C,CB_plan!$B:$B,$A32)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IF(A32="","",2.78E-7*IF(I32="",Inputs!$B$17,I32)*H32*K32)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IF(A32="","",IF(OR(V32&gt;1,AND(AY32&lt;&gt;"",AY32&lt;Inputs!$B$11),AND(AY32&lt;&gt;"",AY32&gt;Inputs!$B$12),AC32&lt;Inputs!$B$19,AD32&lt;Inputs!$B$19,P32&lt;Inputs!$B$7,P32&gt;Inputs!$B$8),"CHECK","OK"))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  <c r="AW32" s="7">
        <f>IF(A32="","",W32)</f>
        <v/>
      </c>
      <c r="AX32" s="7">
        <f>IF(OR(T32="",P32=""),"",(1/Inputs!$B$9)*((T32/4)^(2/3))*SQRT(P32))</f>
        <v/>
      </c>
      <c r="AY32" s="7">
        <f>IF(A32="","",IF(AND(AW32="",AX32=""),"",IF(OR(UPPER(TRIM(Inputs!$B$24))="MANNING",UPPER(TRIM(Inputs!$B$24))="M"),AX32,IF(OR(UPPER(TRIM(Inputs!$B$24))="MAX",UPPER(TRIM(Inputs!$B$24))="X"),MAX(IF(AW32="",0,AW32),IF(AX32="",0,AX32)),AW32))))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SUMIFS(CB_plan!$C:$C,CB_plan!$B:$B,$A33)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IF(A33="","",2.78E-7*IF(I33="",Inputs!$B$17,I33)*H33*K33)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IF(A33="","",IF(OR(V33&gt;1,AND(AY33&lt;&gt;"",AY33&lt;Inputs!$B$11),AND(AY33&lt;&gt;"",AY33&gt;Inputs!$B$12),AC33&lt;Inputs!$B$19,AD33&lt;Inputs!$B$19,P33&lt;Inputs!$B$7,P33&gt;Inputs!$B$8),"CHECK","OK"))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  <c r="AW33" s="7">
        <f>IF(A33="","",W33)</f>
        <v/>
      </c>
      <c r="AX33" s="7">
        <f>IF(OR(T33="",P33=""),"",(1/Inputs!$B$9)*((T33/4)^(2/3))*SQRT(P33))</f>
        <v/>
      </c>
      <c r="AY33" s="7">
        <f>IF(A33="","",IF(AND(AW33="",AX33=""),"",IF(OR(UPPER(TRIM(Inputs!$B$24))="MANNING",UPPER(TRIM(Inputs!$B$24))="M"),AX33,IF(OR(UPPER(TRIM(Inputs!$B$24))="MAX",UPPER(TRIM(Inputs!$B$24))="X"),MAX(IF(AW33="",0,AW33),IF(AX33="",0,AX33)),AW33))))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SUMIFS(CB_plan!$C:$C,CB_plan!$B:$B,$A34)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IF(A34="","",2.78E-7*IF(I34="",Inputs!$B$17,I34)*H34*K34)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IF(A34="","",IF(OR(V34&gt;1,AND(AY34&lt;&gt;"",AY34&lt;Inputs!$B$11),AND(AY34&lt;&gt;"",AY34&gt;Inputs!$B$12),AC34&lt;Inputs!$B$19,AD34&lt;Inputs!$B$19,P34&lt;Inputs!$B$7,P34&gt;Inputs!$B$8),"CHECK","OK"))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  <c r="AW34" s="7">
        <f>IF(A34="","",W34)</f>
        <v/>
      </c>
      <c r="AX34" s="7">
        <f>IF(OR(T34="",P34=""),"",(1/Inputs!$B$9)*((T34/4)^(2/3))*SQRT(P34))</f>
        <v/>
      </c>
      <c r="AY34" s="7">
        <f>IF(A34="","",IF(AND(AW34="",AX34=""),"",IF(OR(UPPER(TRIM(Inputs!$B$24))="MANNING",UPPER(TRIM(Inputs!$B$24))="M"),AX34,IF(OR(UPPER(TRIM(Inputs!$B$24))="MAX",UPPER(TRIM(Inputs!$B$24))="X"),MAX(IF(AW34="",0,AW34),IF(AX34="",0,AX34)),AW34))))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SUMIFS(CB_plan!$C:$C,CB_plan!$B:$B,$A35)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IF(A35="","",2.78E-7*IF(I35="",Inputs!$B$17,I35)*H35*K35)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IF(A35="","",IF(OR(V35&gt;1,AND(AY35&lt;&gt;"",AY35&lt;Inputs!$B$11),AND(AY35&lt;&gt;"",AY35&gt;Inputs!$B$12),AC35&lt;Inputs!$B$19,AD35&lt;Inputs!$B$19,P35&lt;Inputs!$B$7,P35&gt;Inputs!$B$8),"CHECK","OK"))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  <c r="AW35" s="7">
        <f>IF(A35="","",W35)</f>
        <v/>
      </c>
      <c r="AX35" s="7">
        <f>IF(OR(T35="",P35=""),"",(1/Inputs!$B$9)*((T35/4)^(2/3))*SQRT(P35))</f>
        <v/>
      </c>
      <c r="AY35" s="7">
        <f>IF(A35="","",IF(AND(AW35="",AX35=""),"",IF(OR(UPPER(TRIM(Inputs!$B$24))="MANNING",UPPER(TRIM(Inputs!$B$24))="M"),AX35,IF(OR(UPPER(TRIM(Inputs!$B$24))="MAX",UPPER(TRIM(Inputs!$B$24))="X"),MAX(IF(AW35="",0,AW35),IF(AX35="",0,AX35)),AW35))))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SUMIFS(CB_plan!$C:$C,CB_plan!$B:$B,$A36)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IF(A36="","",2.78E-7*IF(I36="",Inputs!$B$17,I36)*H36*K36)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IF(A36="","",IF(OR(V36&gt;1,AND(AY36&lt;&gt;"",AY36&lt;Inputs!$B$11),AND(AY36&lt;&gt;"",AY36&gt;Inputs!$B$12),AC36&lt;Inputs!$B$19,AD36&lt;Inputs!$B$19,P36&lt;Inputs!$B$7,P36&gt;Inputs!$B$8),"CHECK","OK"))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  <c r="AW36" s="7">
        <f>IF(A36="","",W36)</f>
        <v/>
      </c>
      <c r="AX36" s="7">
        <f>IF(OR(T36="",P36=""),"",(1/Inputs!$B$9)*((T36/4)^(2/3))*SQRT(P36))</f>
        <v/>
      </c>
      <c r="AY36" s="7">
        <f>IF(A36="","",IF(AND(AW36="",AX36=""),"",IF(OR(UPPER(TRIM(Inputs!$B$24))="MANNING",UPPER(TRIM(Inputs!$B$24))="M"),AX36,IF(OR(UPPER(TRIM(Inputs!$B$24))="MAX",UPPER(TRIM(Inputs!$B$24))="X"),MAX(IF(AW36="",0,AW36),IF(AX36="",0,AX36)),AW36))))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SUMIFS(CB_plan!$C:$C,CB_plan!$B:$B,$A37)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IF(A37="","",2.78E-7*IF(I37="",Inputs!$B$17,I37)*H37*K37)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IF(A37="","",IF(OR(V37&gt;1,AND(AY37&lt;&gt;"",AY37&lt;Inputs!$B$11),AND(AY37&lt;&gt;"",AY37&gt;Inputs!$B$12),AC37&lt;Inputs!$B$19,AD37&lt;Inputs!$B$19,P37&lt;Inputs!$B$7,P37&gt;Inputs!$B$8),"CHECK","OK"))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  <c r="AW37" s="7">
        <f>IF(A37="","",W37)</f>
        <v/>
      </c>
      <c r="AX37" s="7">
        <f>IF(OR(T37="",P37=""),"",(1/Inputs!$B$9)*((T37/4)^(2/3))*SQRT(P37))</f>
        <v/>
      </c>
      <c r="AY37" s="7">
        <f>IF(A37="","",IF(AND(AW37="",AX37=""),"",IF(OR(UPPER(TRIM(Inputs!$B$24))="MANNING",UPPER(TRIM(Inputs!$B$24))="M"),AX37,IF(OR(UPPER(TRIM(Inputs!$B$24))="MAX",UPPER(TRIM(Inputs!$B$24))="X"),MAX(IF(AW37="",0,AW37),IF(AX37="",0,AX37)),AW37))))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SUMIFS(CB_plan!$C:$C,CB_plan!$B:$B,$A38)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IF(A38="","",2.78E-7*IF(I38="",Inputs!$B$17,I38)*H38*K38)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IF(A38="","",IF(OR(V38&gt;1,AND(AY38&lt;&gt;"",AY38&lt;Inputs!$B$11),AND(AY38&lt;&gt;"",AY38&gt;Inputs!$B$12),AC38&lt;Inputs!$B$19,AD38&lt;Inputs!$B$19,P38&lt;Inputs!$B$7,P38&gt;Inputs!$B$8),"CHECK","OK"))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  <c r="AW38" s="7">
        <f>IF(A38="","",W38)</f>
        <v/>
      </c>
      <c r="AX38" s="7">
        <f>IF(OR(T38="",P38=""),"",(1/Inputs!$B$9)*((T38/4)^(2/3))*SQRT(P38))</f>
        <v/>
      </c>
      <c r="AY38" s="7">
        <f>IF(A38="","",IF(AND(AW38="",AX38=""),"",IF(OR(UPPER(TRIM(Inputs!$B$24))="MANNING",UPPER(TRIM(Inputs!$B$24))="M"),AX38,IF(OR(UPPER(TRIM(Inputs!$B$24))="MAX",UPPER(TRIM(Inputs!$B$24))="X"),MAX(IF(AW38="",0,AW38),IF(AX38="",0,AX38)),AW38))))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SUMIFS(CB_plan!$C:$C,CB_plan!$B:$B,$A39)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IF(A39="","",2.78E-7*IF(I39="",Inputs!$B$17,I39)*H39*K39)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IF(A39="","",IF(OR(V39&gt;1,AND(AY39&lt;&gt;"",AY39&lt;Inputs!$B$11),AND(AY39&lt;&gt;"",AY39&gt;Inputs!$B$12),AC39&lt;Inputs!$B$19,AD39&lt;Inputs!$B$19,P39&lt;Inputs!$B$7,P39&gt;Inputs!$B$8),"CHECK","OK"))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  <c r="AW39" s="7">
        <f>IF(A39="","",W39)</f>
        <v/>
      </c>
      <c r="AX39" s="7">
        <f>IF(OR(T39="",P39=""),"",(1/Inputs!$B$9)*((T39/4)^(2/3))*SQRT(P39))</f>
        <v/>
      </c>
      <c r="AY39" s="7">
        <f>IF(A39="","",IF(AND(AW39="",AX39=""),"",IF(OR(UPPER(TRIM(Inputs!$B$24))="MANNING",UPPER(TRIM(Inputs!$B$24))="M"),AX39,IF(OR(UPPER(TRIM(Inputs!$B$24))="MAX",UPPER(TRIM(Inputs!$B$24))="X"),MAX(IF(AW39="",0,AW39),IF(AX39="",0,AX39)),AW39))))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SUMIFS(CB_plan!$C:$C,CB_plan!$B:$B,$A40)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IF(A40="","",2.78E-7*IF(I40="",Inputs!$B$17,I40)*H40*K40)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IF(A40="","",IF(OR(V40&gt;1,AND(AY40&lt;&gt;"",AY40&lt;Inputs!$B$11),AND(AY40&lt;&gt;"",AY40&gt;Inputs!$B$12),AC40&lt;Inputs!$B$19,AD40&lt;Inputs!$B$19,P40&lt;Inputs!$B$7,P40&gt;Inputs!$B$8),"CHECK","OK"))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  <c r="AW40" s="7">
        <f>IF(A40="","",W40)</f>
        <v/>
      </c>
      <c r="AX40" s="7">
        <f>IF(OR(T40="",P40=""),"",(1/Inputs!$B$9)*((T40/4)^(2/3))*SQRT(P40))</f>
        <v/>
      </c>
      <c r="AY40" s="7">
        <f>IF(A40="","",IF(AND(AW40="",AX40=""),"",IF(OR(UPPER(TRIM(Inputs!$B$24))="MANNING",UPPER(TRIM(Inputs!$B$24))="M"),AX40,IF(OR(UPPER(TRIM(Inputs!$B$24))="MAX",UPPER(TRIM(Inputs!$B$24))="X"),MAX(IF(AW40="",0,AW40),IF(AX40="",0,AX40)),AW40))))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SUMIFS(CB_plan!$C:$C,CB_plan!$B:$B,$A41)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IF(A41="","",2.78E-7*IF(I41="",Inputs!$B$17,I41)*H41*K41)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IF(A41="","",IF(OR(V41&gt;1,AND(AY41&lt;&gt;"",AY41&lt;Inputs!$B$11),AND(AY41&lt;&gt;"",AY41&gt;Inputs!$B$12),AC41&lt;Inputs!$B$19,AD41&lt;Inputs!$B$19,P41&lt;Inputs!$B$7,P41&gt;Inputs!$B$8),"CHECK","OK"))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  <c r="AW41" s="7">
        <f>IF(A41="","",W41)</f>
        <v/>
      </c>
      <c r="AX41" s="7">
        <f>IF(OR(T41="",P41=""),"",(1/Inputs!$B$9)*((T41/4)^(2/3))*SQRT(P41))</f>
        <v/>
      </c>
      <c r="AY41" s="7">
        <f>IF(A41="","",IF(AND(AW41="",AX41=""),"",IF(OR(UPPER(TRIM(Inputs!$B$24))="MANNING",UPPER(TRIM(Inputs!$B$24))="M"),AX41,IF(OR(UPPER(TRIM(Inputs!$B$24))="MAX",UPPER(TRIM(Inputs!$B$24))="X"),MAX(IF(AW41="",0,AW41),IF(AX41="",0,AX41)),AW41))))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SUMIFS(CB_plan!$C:$C,CB_plan!$B:$B,$A42)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IF(A42="","",2.78E-7*IF(I42="",Inputs!$B$17,I42)*H42*K42)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IF(A42="","",IF(OR(V42&gt;1,AND(AY42&lt;&gt;"",AY42&lt;Inputs!$B$11),AND(AY42&lt;&gt;"",AY42&gt;Inputs!$B$12),AC42&lt;Inputs!$B$19,AD42&lt;Inputs!$B$19,P42&lt;Inputs!$B$7,P42&gt;Inputs!$B$8),"CHECK","OK"))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  <c r="AW42" s="7">
        <f>IF(A42="","",W42)</f>
        <v/>
      </c>
      <c r="AX42" s="7">
        <f>IF(OR(T42="",P42=""),"",(1/Inputs!$B$9)*((T42/4)^(2/3))*SQRT(P42))</f>
        <v/>
      </c>
      <c r="AY42" s="7">
        <f>IF(A42="","",IF(AND(AW42="",AX42=""),"",IF(OR(UPPER(TRIM(Inputs!$B$24))="MANNING",UPPER(TRIM(Inputs!$B$24))="M"),AX42,IF(OR(UPPER(TRIM(Inputs!$B$24))="MAX",UPPER(TRIM(Inputs!$B$24))="X"),MAX(IF(AW42="",0,AW42),IF(AX42="",0,AX42)),AW42))))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SUMIFS(CB_plan!$C:$C,CB_plan!$B:$B,$A43)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IF(A43="","",2.78E-7*IF(I43="",Inputs!$B$17,I43)*H43*K43)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IF(A43="","",IF(OR(V43&gt;1,AND(AY43&lt;&gt;"",AY43&lt;Inputs!$B$11),AND(AY43&lt;&gt;"",AY43&gt;Inputs!$B$12),AC43&lt;Inputs!$B$19,AD43&lt;Inputs!$B$19,P43&lt;Inputs!$B$7,P43&gt;Inputs!$B$8),"CHECK","OK"))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  <c r="AW43" s="7">
        <f>IF(A43="","",W43)</f>
        <v/>
      </c>
      <c r="AX43" s="7">
        <f>IF(OR(T43="",P43=""),"",(1/Inputs!$B$9)*((T43/4)^(2/3))*SQRT(P43))</f>
        <v/>
      </c>
      <c r="AY43" s="7">
        <f>IF(A43="","",IF(AND(AW43="",AX43=""),"",IF(OR(UPPER(TRIM(Inputs!$B$24))="MANNING",UPPER(TRIM(Inputs!$B$24))="M"),AX43,IF(OR(UPPER(TRIM(Inputs!$B$24))="MAX",UPPER(TRIM(Inputs!$B$24))="X"),MAX(IF(AW43="",0,AW43),IF(AX43="",0,AX43)),AW43))))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SUMIFS(CB_plan!$C:$C,CB_plan!$B:$B,$A44)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IF(A44="","",2.78E-7*IF(I44="",Inputs!$B$17,I44)*H44*K44)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IF(A44="","",IF(OR(V44&gt;1,AND(AY44&lt;&gt;"",AY44&lt;Inputs!$B$11),AND(AY44&lt;&gt;"",AY44&gt;Inputs!$B$12),AC44&lt;Inputs!$B$19,AD44&lt;Inputs!$B$19,P44&lt;Inputs!$B$7,P44&gt;Inputs!$B$8),"CHECK","OK"))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  <c r="AW44" s="7">
        <f>IF(A44="","",W44)</f>
        <v/>
      </c>
      <c r="AX44" s="7">
        <f>IF(OR(T44="",P44=""),"",(1/Inputs!$B$9)*((T44/4)^(2/3))*SQRT(P44))</f>
        <v/>
      </c>
      <c r="AY44" s="7">
        <f>IF(A44="","",IF(AND(AW44="",AX44=""),"",IF(OR(UPPER(TRIM(Inputs!$B$24))="MANNING",UPPER(TRIM(Inputs!$B$24))="M"),AX44,IF(OR(UPPER(TRIM(Inputs!$B$24))="MAX",UPPER(TRIM(Inputs!$B$24))="X"),MAX(IF(AW44="",0,AW44),IF(AX44="",0,AX44)),AW44))))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SUMIFS(CB_plan!$C:$C,CB_plan!$B:$B,$A45)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IF(A45="","",2.78E-7*IF(I45="",Inputs!$B$17,I45)*H45*K45)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IF(A45="","",IF(OR(V45&gt;1,AND(AY45&lt;&gt;"",AY45&lt;Inputs!$B$11),AND(AY45&lt;&gt;"",AY45&gt;Inputs!$B$12),AC45&lt;Inputs!$B$19,AD45&lt;Inputs!$B$19,P45&lt;Inputs!$B$7,P45&gt;Inputs!$B$8),"CHECK","OK"))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  <c r="AW45" s="7">
        <f>IF(A45="","",W45)</f>
        <v/>
      </c>
      <c r="AX45" s="7">
        <f>IF(OR(T45="",P45=""),"",(1/Inputs!$B$9)*((T45/4)^(2/3))*SQRT(P45))</f>
        <v/>
      </c>
      <c r="AY45" s="7">
        <f>IF(A45="","",IF(AND(AW45="",AX45=""),"",IF(OR(UPPER(TRIM(Inputs!$B$24))="MANNING",UPPER(TRIM(Inputs!$B$24))="M"),AX45,IF(OR(UPPER(TRIM(Inputs!$B$24))="MAX",UPPER(TRIM(Inputs!$B$24))="X"),MAX(IF(AW45="",0,AW45),IF(AX45="",0,AX45)),AW45))))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SUMIFS(CB_plan!$C:$C,CB_plan!$B:$B,$A46)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IF(A46="","",2.78E-7*IF(I46="",Inputs!$B$17,I46)*H46*K46)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IF(A46="","",IF(OR(V46&gt;1,AND(AY46&lt;&gt;"",AY46&lt;Inputs!$B$11),AND(AY46&lt;&gt;"",AY46&gt;Inputs!$B$12),AC46&lt;Inputs!$B$19,AD46&lt;Inputs!$B$19,P46&lt;Inputs!$B$7,P46&gt;Inputs!$B$8),"CHECK","OK"))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  <c r="AW46" s="7">
        <f>IF(A46="","",W46)</f>
        <v/>
      </c>
      <c r="AX46" s="7">
        <f>IF(OR(T46="",P46=""),"",(1/Inputs!$B$9)*((T46/4)^(2/3))*SQRT(P46))</f>
        <v/>
      </c>
      <c r="AY46" s="7">
        <f>IF(A46="","",IF(AND(AW46="",AX46=""),"",IF(OR(UPPER(TRIM(Inputs!$B$24))="MANNING",UPPER(TRIM(Inputs!$B$24))="M"),AX46,IF(OR(UPPER(TRIM(Inputs!$B$24))="MAX",UPPER(TRIM(Inputs!$B$24))="X"),MAX(IF(AW46="",0,AW46),IF(AX46="",0,AX46)),AW46))))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SUMIFS(CB_plan!$C:$C,CB_plan!$B:$B,$A47)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IF(A47="","",2.78E-7*IF(I47="",Inputs!$B$17,I47)*H47*K47)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IF(A47="","",IF(OR(V47&gt;1,AND(AY47&lt;&gt;"",AY47&lt;Inputs!$B$11),AND(AY47&lt;&gt;"",AY47&gt;Inputs!$B$12),AC47&lt;Inputs!$B$19,AD47&lt;Inputs!$B$19,P47&lt;Inputs!$B$7,P47&gt;Inputs!$B$8),"CHECK","OK"))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  <c r="AW47" s="7">
        <f>IF(A47="","",W47)</f>
        <v/>
      </c>
      <c r="AX47" s="7">
        <f>IF(OR(T47="",P47=""),"",(1/Inputs!$B$9)*((T47/4)^(2/3))*SQRT(P47))</f>
        <v/>
      </c>
      <c r="AY47" s="7">
        <f>IF(A47="","",IF(AND(AW47="",AX47=""),"",IF(OR(UPPER(TRIM(Inputs!$B$24))="MANNING",UPPER(TRIM(Inputs!$B$24))="M"),AX47,IF(OR(UPPER(TRIM(Inputs!$B$24))="MAX",UPPER(TRIM(Inputs!$B$24))="X"),MAX(IF(AW47="",0,AW47),IF(AX47="",0,AX47)),AW47))))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SUMIFS(CB_plan!$C:$C,CB_plan!$B:$B,$A48)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IF(A48="","",2.78E-7*IF(I48="",Inputs!$B$17,I48)*H48*K48)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IF(A48="","",IF(OR(V48&gt;1,AND(AY48&lt;&gt;"",AY48&lt;Inputs!$B$11),AND(AY48&lt;&gt;"",AY48&gt;Inputs!$B$12),AC48&lt;Inputs!$B$19,AD48&lt;Inputs!$B$19,P48&lt;Inputs!$B$7,P48&gt;Inputs!$B$8),"CHECK","OK"))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  <c r="AW48" s="7">
        <f>IF(A48="","",W48)</f>
        <v/>
      </c>
      <c r="AX48" s="7">
        <f>IF(OR(T48="",P48=""),"",(1/Inputs!$B$9)*((T48/4)^(2/3))*SQRT(P48))</f>
        <v/>
      </c>
      <c r="AY48" s="7">
        <f>IF(A48="","",IF(AND(AW48="",AX48=""),"",IF(OR(UPPER(TRIM(Inputs!$B$24))="MANNING",UPPER(TRIM(Inputs!$B$24))="M"),AX48,IF(OR(UPPER(TRIM(Inputs!$B$24))="MAX",UPPER(TRIM(Inputs!$B$24))="X"),MAX(IF(AW48="",0,AW48),IF(AX48="",0,AX48)),AW48))))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SUMIFS(CB_plan!$C:$C,CB_plan!$B:$B,$A49)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IF(A49="","",2.78E-7*IF(I49="",Inputs!$B$17,I49)*H49*K49)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IF(A49="","",IF(OR(V49&gt;1,AND(AY49&lt;&gt;"",AY49&lt;Inputs!$B$11),AND(AY49&lt;&gt;"",AY49&gt;Inputs!$B$12),AC49&lt;Inputs!$B$19,AD49&lt;Inputs!$B$19,P49&lt;Inputs!$B$7,P49&gt;Inputs!$B$8),"CHECK","OK"))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  <c r="AW49" s="7">
        <f>IF(A49="","",W49)</f>
        <v/>
      </c>
      <c r="AX49" s="7">
        <f>IF(OR(T49="",P49=""),"",(1/Inputs!$B$9)*((T49/4)^(2/3))*SQRT(P49))</f>
        <v/>
      </c>
      <c r="AY49" s="7">
        <f>IF(A49="","",IF(AND(AW49="",AX49=""),"",IF(OR(UPPER(TRIM(Inputs!$B$24))="MANNING",UPPER(TRIM(Inputs!$B$24))="M"),AX49,IF(OR(UPPER(TRIM(Inputs!$B$24))="MAX",UPPER(TRIM(Inputs!$B$24))="X"),MAX(IF(AW49="",0,AW49),IF(AX49="",0,AX49)),AW49))))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SUMIFS(CB_plan!$C:$C,CB_plan!$B:$B,$A50)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IF(A50="","",2.78E-7*IF(I50="",Inputs!$B$17,I50)*H50*K50)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IF(A50="","",IF(OR(V50&gt;1,AND(AY50&lt;&gt;"",AY50&lt;Inputs!$B$11),AND(AY50&lt;&gt;"",AY50&gt;Inputs!$B$12),AC50&lt;Inputs!$B$19,AD50&lt;Inputs!$B$19,P50&lt;Inputs!$B$7,P50&gt;Inputs!$B$8),"CHECK","OK"))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  <c r="AW50" s="7">
        <f>IF(A50="","",W50)</f>
        <v/>
      </c>
      <c r="AX50" s="7">
        <f>IF(OR(T50="",P50=""),"",(1/Inputs!$B$9)*((T50/4)^(2/3))*SQRT(P50))</f>
        <v/>
      </c>
      <c r="AY50" s="7">
        <f>IF(A50="","",IF(AND(AW50="",AX50=""),"",IF(OR(UPPER(TRIM(Inputs!$B$24))="MANNING",UPPER(TRIM(Inputs!$B$24))="M"),AX50,IF(OR(UPPER(TRIM(Inputs!$B$24))="MAX",UPPER(TRIM(Inputs!$B$24))="X"),MAX(IF(AW50="",0,AW50),IF(AX50="",0,AX50)),AW50))))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SUMIFS(CB_plan!$C:$C,CB_plan!$B:$B,$A51)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IF(A51="","",2.78E-7*IF(I51="",Inputs!$B$17,I51)*H51*K51)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IF(A51="","",IF(OR(V51&gt;1,AND(AY51&lt;&gt;"",AY51&lt;Inputs!$B$11),AND(AY51&lt;&gt;"",AY51&gt;Inputs!$B$12),AC51&lt;Inputs!$B$19,AD51&lt;Inputs!$B$19,P51&lt;Inputs!$B$7,P51&gt;Inputs!$B$8),"CHECK","OK"))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  <c r="AW51" s="7">
        <f>IF(A51="","",W51)</f>
        <v/>
      </c>
      <c r="AX51" s="7">
        <f>IF(OR(T51="",P51=""),"",(1/Inputs!$B$9)*((T51/4)^(2/3))*SQRT(P51))</f>
        <v/>
      </c>
      <c r="AY51" s="7">
        <f>IF(A51="","",IF(AND(AW51="",AX51=""),"",IF(OR(UPPER(TRIM(Inputs!$B$24))="MANNING",UPPER(TRIM(Inputs!$B$24))="M"),AX51,IF(OR(UPPER(TRIM(Inputs!$B$24))="MAX",UPPER(TRIM(Inputs!$B$24))="X"),MAX(IF(AW51="",0,AW51),IF(AX51="",0,AX51)),AW51))))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SUMIFS(CB_plan!$C:$C,CB_plan!$B:$B,$A52)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IF(A52="","",2.78E-7*IF(I52="",Inputs!$B$17,I52)*H52*K52)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IF(A52="","",IF(OR(V52&gt;1,AND(AY52&lt;&gt;"",AY52&lt;Inputs!$B$11),AND(AY52&lt;&gt;"",AY52&gt;Inputs!$B$12),AC52&lt;Inputs!$B$19,AD52&lt;Inputs!$B$19,P52&lt;Inputs!$B$7,P52&gt;Inputs!$B$8),"CHECK","OK"))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  <c r="AW52" s="7">
        <f>IF(A52="","",W52)</f>
        <v/>
      </c>
      <c r="AX52" s="7">
        <f>IF(OR(T52="",P52=""),"",(1/Inputs!$B$9)*((T52/4)^(2/3))*SQRT(P52))</f>
        <v/>
      </c>
      <c r="AY52" s="7">
        <f>IF(A52="","",IF(AND(AW52="",AX52=""),"",IF(OR(UPPER(TRIM(Inputs!$B$24))="MANNING",UPPER(TRIM(Inputs!$B$24))="M"),AX52,IF(OR(UPPER(TRIM(Inputs!$B$24))="MAX",UPPER(TRIM(Inputs!$B$24))="X"),MAX(IF(AW52="",0,AW52),IF(AX52="",0,AX52)),AW52))))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SUMIFS(CB_plan!$C:$C,CB_plan!$B:$B,$A53)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IF(A53="","",2.78E-7*IF(I53="",Inputs!$B$17,I53)*H53*K53)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IF(A53="","",IF(OR(V53&gt;1,AND(AY53&lt;&gt;"",AY53&lt;Inputs!$B$11),AND(AY53&lt;&gt;"",AY53&gt;Inputs!$B$12),AC53&lt;Inputs!$B$19,AD53&lt;Inputs!$B$19,P53&lt;Inputs!$B$7,P53&gt;Inputs!$B$8),"CHECK","OK"))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  <c r="AW53" s="7">
        <f>IF(A53="","",W53)</f>
        <v/>
      </c>
      <c r="AX53" s="7">
        <f>IF(OR(T53="",P53=""),"",(1/Inputs!$B$9)*((T53/4)^(2/3))*SQRT(P53))</f>
        <v/>
      </c>
      <c r="AY53" s="7">
        <f>IF(A53="","",IF(AND(AW53="",AX53=""),"",IF(OR(UPPER(TRIM(Inputs!$B$24))="MANNING",UPPER(TRIM(Inputs!$B$24))="M"),AX53,IF(OR(UPPER(TRIM(Inputs!$B$24))="MAX",UPPER(TRIM(Inputs!$B$24))="X"),MAX(IF(AW53="",0,AW53),IF(AX53="",0,AX53)),AW53))))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SUMIFS(CB_plan!$C:$C,CB_plan!$B:$B,$A54)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IF(A54="","",2.78E-7*IF(I54="",Inputs!$B$17,I54)*H54*K54)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IF(A54="","",IF(OR(V54&gt;1,AND(AY54&lt;&gt;"",AY54&lt;Inputs!$B$11),AND(AY54&lt;&gt;"",AY54&gt;Inputs!$B$12),AC54&lt;Inputs!$B$19,AD54&lt;Inputs!$B$19,P54&lt;Inputs!$B$7,P54&gt;Inputs!$B$8),"CHECK","OK"))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  <c r="AW54" s="7">
        <f>IF(A54="","",W54)</f>
        <v/>
      </c>
      <c r="AX54" s="7">
        <f>IF(OR(T54="",P54=""),"",(1/Inputs!$B$9)*((T54/4)^(2/3))*SQRT(P54))</f>
        <v/>
      </c>
      <c r="AY54" s="7">
        <f>IF(A54="","",IF(AND(AW54="",AX54=""),"",IF(OR(UPPER(TRIM(Inputs!$B$24))="MANNING",UPPER(TRIM(Inputs!$B$24))="M"),AX54,IF(OR(UPPER(TRIM(Inputs!$B$24))="MAX",UPPER(TRIM(Inputs!$B$24))="X"),MAX(IF(AW54="",0,AW54),IF(AX54="",0,AX54)),AW54))))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SUMIFS(CB_plan!$C:$C,CB_plan!$B:$B,$A55)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IF(A55="","",2.78E-7*IF(I55="",Inputs!$B$17,I55)*H55*K55)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IF(A55="","",IF(OR(V55&gt;1,AND(AY55&lt;&gt;"",AY55&lt;Inputs!$B$11),AND(AY55&lt;&gt;"",AY55&gt;Inputs!$B$12),AC55&lt;Inputs!$B$19,AD55&lt;Inputs!$B$19,P55&lt;Inputs!$B$7,P55&gt;Inputs!$B$8),"CHECK","OK"))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  <c r="AW55" s="7">
        <f>IF(A55="","",W55)</f>
        <v/>
      </c>
      <c r="AX55" s="7">
        <f>IF(OR(T55="",P55=""),"",(1/Inputs!$B$9)*((T55/4)^(2/3))*SQRT(P55))</f>
        <v/>
      </c>
      <c r="AY55" s="7">
        <f>IF(A55="","",IF(AND(AW55="",AX55=""),"",IF(OR(UPPER(TRIM(Inputs!$B$24))="MANNING",UPPER(TRIM(Inputs!$B$24))="M"),AX55,IF(OR(UPPER(TRIM(Inputs!$B$24))="MAX",UPPER(TRIM(Inputs!$B$24))="X"),MAX(IF(AW55="",0,AW55),IF(AX55="",0,AX55)),AW55))))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SUMIFS(CB_plan!$C:$C,CB_plan!$B:$B,$A56)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IF(A56="","",2.78E-7*IF(I56="",Inputs!$B$17,I56)*H56*K56)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IF(A56="","",IF(OR(V56&gt;1,AND(AY56&lt;&gt;"",AY56&lt;Inputs!$B$11),AND(AY56&lt;&gt;"",AY56&gt;Inputs!$B$12),AC56&lt;Inputs!$B$19,AD56&lt;Inputs!$B$19,P56&lt;Inputs!$B$7,P56&gt;Inputs!$B$8),"CHECK","OK"))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  <c r="AW56" s="7">
        <f>IF(A56="","",W56)</f>
        <v/>
      </c>
      <c r="AX56" s="7">
        <f>IF(OR(T56="",P56=""),"",(1/Inputs!$B$9)*((T56/4)^(2/3))*SQRT(P56))</f>
        <v/>
      </c>
      <c r="AY56" s="7">
        <f>IF(A56="","",IF(AND(AW56="",AX56=""),"",IF(OR(UPPER(TRIM(Inputs!$B$24))="MANNING",UPPER(TRIM(Inputs!$B$24))="M"),AX56,IF(OR(UPPER(TRIM(Inputs!$B$24))="MAX",UPPER(TRIM(Inputs!$B$24))="X"),MAX(IF(AW56="",0,AW56),IF(AX56="",0,AX56)),AW56))))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SUMIFS(CB_plan!$C:$C,CB_plan!$B:$B,$A57)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IF(A57="","",2.78E-7*IF(I57="",Inputs!$B$17,I57)*H57*K57)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IF(A57="","",IF(OR(V57&gt;1,AND(AY57&lt;&gt;"",AY57&lt;Inputs!$B$11),AND(AY57&lt;&gt;"",AY57&gt;Inputs!$B$12),AC57&lt;Inputs!$B$19,AD57&lt;Inputs!$B$19,P57&lt;Inputs!$B$7,P57&gt;Inputs!$B$8),"CHECK","OK"))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  <c r="AW57" s="7">
        <f>IF(A57="","",W57)</f>
        <v/>
      </c>
      <c r="AX57" s="7">
        <f>IF(OR(T57="",P57=""),"",(1/Inputs!$B$9)*((T57/4)^(2/3))*SQRT(P57))</f>
        <v/>
      </c>
      <c r="AY57" s="7">
        <f>IF(A57="","",IF(AND(AW57="",AX57=""),"",IF(OR(UPPER(TRIM(Inputs!$B$24))="MANNING",UPPER(TRIM(Inputs!$B$24))="M"),AX57,IF(OR(UPPER(TRIM(Inputs!$B$24))="MAX",UPPER(TRIM(Inputs!$B$24))="X"),MAX(IF(AW57="",0,AW57),IF(AX57="",0,AX57)),AW57))))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SUMIFS(CB_plan!$C:$C,CB_plan!$B:$B,$A58)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IF(A58="","",2.78E-7*IF(I58="",Inputs!$B$17,I58)*H58*K58)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IF(A58="","",IF(OR(V58&gt;1,AND(AY58&lt;&gt;"",AY58&lt;Inputs!$B$11),AND(AY58&lt;&gt;"",AY58&gt;Inputs!$B$12),AC58&lt;Inputs!$B$19,AD58&lt;Inputs!$B$19,P58&lt;Inputs!$B$7,P58&gt;Inputs!$B$8),"CHECK","OK"))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  <c r="AW58" s="7">
        <f>IF(A58="","",W58)</f>
        <v/>
      </c>
      <c r="AX58" s="7">
        <f>IF(OR(T58="",P58=""),"",(1/Inputs!$B$9)*((T58/4)^(2/3))*SQRT(P58))</f>
        <v/>
      </c>
      <c r="AY58" s="7">
        <f>IF(A58="","",IF(AND(AW58="",AX58=""),"",IF(OR(UPPER(TRIM(Inputs!$B$24))="MANNING",UPPER(TRIM(Inputs!$B$24))="M"),AX58,IF(OR(UPPER(TRIM(Inputs!$B$24))="MAX",UPPER(TRIM(Inputs!$B$24))="X"),MAX(IF(AW58="",0,AW58),IF(AX58="",0,AX58)),AW58))))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SUMIFS(CB_plan!$C:$C,CB_plan!$B:$B,$A59)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IF(A59="","",2.78E-7*IF(I59="",Inputs!$B$17,I59)*H59*K59)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IF(A59="","",IF(OR(V59&gt;1,AND(AY59&lt;&gt;"",AY59&lt;Inputs!$B$11),AND(AY59&lt;&gt;"",AY59&gt;Inputs!$B$12),AC59&lt;Inputs!$B$19,AD59&lt;Inputs!$B$19,P59&lt;Inputs!$B$7,P59&gt;Inputs!$B$8),"CHECK","OK"))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  <c r="AW59" s="7">
        <f>IF(A59="","",W59)</f>
        <v/>
      </c>
      <c r="AX59" s="7">
        <f>IF(OR(T59="",P59=""),"",(1/Inputs!$B$9)*((T59/4)^(2/3))*SQRT(P59))</f>
        <v/>
      </c>
      <c r="AY59" s="7">
        <f>IF(A59="","",IF(AND(AW59="",AX59=""),"",IF(OR(UPPER(TRIM(Inputs!$B$24))="MANNING",UPPER(TRIM(Inputs!$B$24))="M"),AX59,IF(OR(UPPER(TRIM(Inputs!$B$24))="MAX",UPPER(TRIM(Inputs!$B$24))="X"),MAX(IF(AW59="",0,AW59),IF(AX59="",0,AX59)),AW59))))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SUMIFS(CB_plan!$C:$C,CB_plan!$B:$B,$A60)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IF(A60="","",2.78E-7*IF(I60="",Inputs!$B$17,I60)*H60*K60)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IF(A60="","",IF(OR(V60&gt;1,AND(AY60&lt;&gt;"",AY60&lt;Inputs!$B$11),AND(AY60&lt;&gt;"",AY60&gt;Inputs!$B$12),AC60&lt;Inputs!$B$19,AD60&lt;Inputs!$B$19,P60&lt;Inputs!$B$7,P60&gt;Inputs!$B$8),"CHECK","OK"))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  <c r="AW60" s="7">
        <f>IF(A60="","",W60)</f>
        <v/>
      </c>
      <c r="AX60" s="7">
        <f>IF(OR(T60="",P60=""),"",(1/Inputs!$B$9)*((T60/4)^(2/3))*SQRT(P60))</f>
        <v/>
      </c>
      <c r="AY60" s="7">
        <f>IF(A60="","",IF(AND(AW60="",AX60=""),"",IF(OR(UPPER(TRIM(Inputs!$B$24))="MANNING",UPPER(TRIM(Inputs!$B$24))="M"),AX60,IF(OR(UPPER(TRIM(Inputs!$B$24))="MAX",UPPER(TRIM(Inputs!$B$24))="X"),MAX(IF(AW60="",0,AW60),IF(AX60="",0,AX60)),AW60))))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SUMIFS(CB_plan!$C:$C,CB_plan!$B:$B,$A61)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IF(A61="","",2.78E-7*IF(I61="",Inputs!$B$17,I61)*H61*K61)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IF(A61="","",IF(OR(V61&gt;1,AND(AY61&lt;&gt;"",AY61&lt;Inputs!$B$11),AND(AY61&lt;&gt;"",AY61&gt;Inputs!$B$12),AC61&lt;Inputs!$B$19,AD61&lt;Inputs!$B$19,P61&lt;Inputs!$B$7,P61&gt;Inputs!$B$8),"CHECK","OK"))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  <c r="AW61" s="7">
        <f>IF(A61="","",W61)</f>
        <v/>
      </c>
      <c r="AX61" s="7">
        <f>IF(OR(T61="",P61=""),"",(1/Inputs!$B$9)*((T61/4)^(2/3))*SQRT(P61))</f>
        <v/>
      </c>
      <c r="AY61" s="7">
        <f>IF(A61="","",IF(AND(AW61="",AX61=""),"",IF(OR(UPPER(TRIM(Inputs!$B$24))="MANNING",UPPER(TRIM(Inputs!$B$24))="M"),AX61,IF(OR(UPPER(TRIM(Inputs!$B$24))="MAX",UPPER(TRIM(Inputs!$B$24))="X"),MAX(IF(AW61="",0,AW61),IF(AX61="",0,AX61)),AW61))))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SUMIFS(CB_plan!$C:$C,CB_plan!$B:$B,$A62)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IF(A62="","",2.78E-7*IF(I62="",Inputs!$B$17,I62)*H62*K62)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IF(A62="","",IF(OR(V62&gt;1,AND(AY62&lt;&gt;"",AY62&lt;Inputs!$B$11),AND(AY62&lt;&gt;"",AY62&gt;Inputs!$B$12),AC62&lt;Inputs!$B$19,AD62&lt;Inputs!$B$19,P62&lt;Inputs!$B$7,P62&gt;Inputs!$B$8),"CHECK","OK"))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  <c r="AW62" s="7">
        <f>IF(A62="","",W62)</f>
        <v/>
      </c>
      <c r="AX62" s="7">
        <f>IF(OR(T62="",P62=""),"",(1/Inputs!$B$9)*((T62/4)^(2/3))*SQRT(P62))</f>
        <v/>
      </c>
      <c r="AY62" s="7">
        <f>IF(A62="","",IF(AND(AW62="",AX62=""),"",IF(OR(UPPER(TRIM(Inputs!$B$24))="MANNING",UPPER(TRIM(Inputs!$B$24))="M"),AX62,IF(OR(UPPER(TRIM(Inputs!$B$24))="MAX",UPPER(TRIM(Inputs!$B$24))="X"),MAX(IF(AW62="",0,AW62),IF(AX62="",0,AX62)),AW62))))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SUMIFS(CB_plan!$C:$C,CB_plan!$B:$B,$A63)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IF(A63="","",2.78E-7*IF(I63="",Inputs!$B$17,I63)*H63*K63)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IF(A63="","",IF(OR(V63&gt;1,AND(AY63&lt;&gt;"",AY63&lt;Inputs!$B$11),AND(AY63&lt;&gt;"",AY63&gt;Inputs!$B$12),AC63&lt;Inputs!$B$19,AD63&lt;Inputs!$B$19,P63&lt;Inputs!$B$7,P63&gt;Inputs!$B$8),"CHECK","OK"))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  <c r="AW63" s="7">
        <f>IF(A63="","",W63)</f>
        <v/>
      </c>
      <c r="AX63" s="7">
        <f>IF(OR(T63="",P63=""),"",(1/Inputs!$B$9)*((T63/4)^(2/3))*SQRT(P63))</f>
        <v/>
      </c>
      <c r="AY63" s="7">
        <f>IF(A63="","",IF(AND(AW63="",AX63=""),"",IF(OR(UPPER(TRIM(Inputs!$B$24))="MANNING",UPPER(TRIM(Inputs!$B$24))="M"),AX63,IF(OR(UPPER(TRIM(Inputs!$B$24))="MAX",UPPER(TRIM(Inputs!$B$24))="X"),MAX(IF(AW63="",0,AW63),IF(AX63="",0,AX63)),AW63))))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SUMIFS(CB_plan!$C:$C,CB_plan!$B:$B,$A64)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IF(A64="","",2.78E-7*IF(I64="",Inputs!$B$17,I64)*H64*K64)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IF(A64="","",IF(OR(V64&gt;1,AND(AY64&lt;&gt;"",AY64&lt;Inputs!$B$11),AND(AY64&lt;&gt;"",AY64&gt;Inputs!$B$12),AC64&lt;Inputs!$B$19,AD64&lt;Inputs!$B$19,P64&lt;Inputs!$B$7,P64&gt;Inputs!$B$8),"CHECK","OK"))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  <c r="AW64" s="7">
        <f>IF(A64="","",W64)</f>
        <v/>
      </c>
      <c r="AX64" s="7">
        <f>IF(OR(T64="",P64=""),"",(1/Inputs!$B$9)*((T64/4)^(2/3))*SQRT(P64))</f>
        <v/>
      </c>
      <c r="AY64" s="7">
        <f>IF(A64="","",IF(AND(AW64="",AX64=""),"",IF(OR(UPPER(TRIM(Inputs!$B$24))="MANNING",UPPER(TRIM(Inputs!$B$24))="M"),AX64,IF(OR(UPPER(TRIM(Inputs!$B$24))="MAX",UPPER(TRIM(Inputs!$B$24))="X"),MAX(IF(AW64="",0,AW64),IF(AX64="",0,AX64)),AW64))))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SUMIFS(CB_plan!$C:$C,CB_plan!$B:$B,$A65)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IF(A65="","",2.78E-7*IF(I65="",Inputs!$B$17,I65)*H65*K65)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IF(A65="","",IF(OR(V65&gt;1,AND(AY65&lt;&gt;"",AY65&lt;Inputs!$B$11),AND(AY65&lt;&gt;"",AY65&gt;Inputs!$B$12),AC65&lt;Inputs!$B$19,AD65&lt;Inputs!$B$19,P65&lt;Inputs!$B$7,P65&gt;Inputs!$B$8),"CHECK","OK"))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  <c r="AW65" s="7">
        <f>IF(A65="","",W65)</f>
        <v/>
      </c>
      <c r="AX65" s="7">
        <f>IF(OR(T65="",P65=""),"",(1/Inputs!$B$9)*((T65/4)^(2/3))*SQRT(P65))</f>
        <v/>
      </c>
      <c r="AY65" s="7">
        <f>IF(A65="","",IF(AND(AW65="",AX65=""),"",IF(OR(UPPER(TRIM(Inputs!$B$24))="MANNING",UPPER(TRIM(Inputs!$B$24))="M"),AX65,IF(OR(UPPER(TRIM(Inputs!$B$24))="MAX",UPPER(TRIM(Inputs!$B$24))="X"),MAX(IF(AW65="",0,AW65),IF(AX65="",0,AX65)),AW65))))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SUMIFS(CB_plan!$C:$C,CB_plan!$B:$B,$A66)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IF(A66="","",2.78E-7*IF(I66="",Inputs!$B$17,I66)*H66*K66)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IF(A66="","",IF(OR(V66&gt;1,AND(AY66&lt;&gt;"",AY66&lt;Inputs!$B$11),AND(AY66&lt;&gt;"",AY66&gt;Inputs!$B$12),AC66&lt;Inputs!$B$19,AD66&lt;Inputs!$B$19,P66&lt;Inputs!$B$7,P66&gt;Inputs!$B$8),"CHECK","OK"))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  <c r="AW66" s="7">
        <f>IF(A66="","",W66)</f>
        <v/>
      </c>
      <c r="AX66" s="7">
        <f>IF(OR(T66="",P66=""),"",(1/Inputs!$B$9)*((T66/4)^(2/3))*SQRT(P66))</f>
        <v/>
      </c>
      <c r="AY66" s="7">
        <f>IF(A66="","",IF(AND(AW66="",AX66=""),"",IF(OR(UPPER(TRIM(Inputs!$B$24))="MANNING",UPPER(TRIM(Inputs!$B$24))="M"),AX66,IF(OR(UPPER(TRIM(Inputs!$B$24))="MAX",UPPER(TRIM(Inputs!$B$24))="X"),MAX(IF(AW66="",0,AW66),IF(AX66="",0,AX66)),AW66))))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SUMIFS(CB_plan!$C:$C,CB_plan!$B:$B,$A67)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IF(A67="","",2.78E-7*IF(I67="",Inputs!$B$17,I67)*H67*K67)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IF(A67="","",IF(OR(V67&gt;1,AND(AY67&lt;&gt;"",AY67&lt;Inputs!$B$11),AND(AY67&lt;&gt;"",AY67&gt;Inputs!$B$12),AC67&lt;Inputs!$B$19,AD67&lt;Inputs!$B$19,P67&lt;Inputs!$B$7,P67&gt;Inputs!$B$8),"CHECK","OK"))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  <c r="AW67" s="7">
        <f>IF(A67="","",W67)</f>
        <v/>
      </c>
      <c r="AX67" s="7">
        <f>IF(OR(T67="",P67=""),"",(1/Inputs!$B$9)*((T67/4)^(2/3))*SQRT(P67))</f>
        <v/>
      </c>
      <c r="AY67" s="7">
        <f>IF(A67="","",IF(AND(AW67="",AX67=""),"",IF(OR(UPPER(TRIM(Inputs!$B$24))="MANNING",UPPER(TRIM(Inputs!$B$24))="M"),AX67,IF(OR(UPPER(TRIM(Inputs!$B$24))="MAX",UPPER(TRIM(Inputs!$B$24))="X"),MAX(IF(AW67="",0,AW67),IF(AX67="",0,AX67)),AW67))))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SUMIFS(CB_plan!$C:$C,CB_plan!$B:$B,$A68)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IF(A68="","",2.78E-7*IF(I68="",Inputs!$B$17,I68)*H68*K68)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IF(A68="","",IF(OR(V68&gt;1,AND(AY68&lt;&gt;"",AY68&lt;Inputs!$B$11),AND(AY68&lt;&gt;"",AY68&gt;Inputs!$B$12),AC68&lt;Inputs!$B$19,AD68&lt;Inputs!$B$19,P68&lt;Inputs!$B$7,P68&gt;Inputs!$B$8),"CHECK","OK"))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  <c r="AW68" s="7">
        <f>IF(A68="","",W68)</f>
        <v/>
      </c>
      <c r="AX68" s="7">
        <f>IF(OR(T68="",P68=""),"",(1/Inputs!$B$9)*((T68/4)^(2/3))*SQRT(P68))</f>
        <v/>
      </c>
      <c r="AY68" s="7">
        <f>IF(A68="","",IF(AND(AW68="",AX68=""),"",IF(OR(UPPER(TRIM(Inputs!$B$24))="MANNING",UPPER(TRIM(Inputs!$B$24))="M"),AX68,IF(OR(UPPER(TRIM(Inputs!$B$24))="MAX",UPPER(TRIM(Inputs!$B$24))="X"),MAX(IF(AW68="",0,AW68),IF(AX68="",0,AX68)),AW68))))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SUMIFS(CB_plan!$C:$C,CB_plan!$B:$B,$A69)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IF(A69="","",2.78E-7*IF(I69="",Inputs!$B$17,I69)*H69*K69)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IF(A69="","",IF(OR(V69&gt;1,AND(AY69&lt;&gt;"",AY69&lt;Inputs!$B$11),AND(AY69&lt;&gt;"",AY69&gt;Inputs!$B$12),AC69&lt;Inputs!$B$19,AD69&lt;Inputs!$B$19,P69&lt;Inputs!$B$7,P69&gt;Inputs!$B$8),"CHECK","OK"))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  <c r="AW69" s="7">
        <f>IF(A69="","",W69)</f>
        <v/>
      </c>
      <c r="AX69" s="7">
        <f>IF(OR(T69="",P69=""),"",(1/Inputs!$B$9)*((T69/4)^(2/3))*SQRT(P69))</f>
        <v/>
      </c>
      <c r="AY69" s="7">
        <f>IF(A69="","",IF(AND(AW69="",AX69=""),"",IF(OR(UPPER(TRIM(Inputs!$B$24))="MANNING",UPPER(TRIM(Inputs!$B$24))="M"),AX69,IF(OR(UPPER(TRIM(Inputs!$B$24))="MAX",UPPER(TRIM(Inputs!$B$24))="X"),MAX(IF(AW69="",0,AW69),IF(AX69="",0,AX69)),AW69))))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SUMIFS(CB_plan!$C:$C,CB_plan!$B:$B,$A70)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IF(A70="","",2.78E-7*IF(I70="",Inputs!$B$17,I70)*H70*K70)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IF(A70="","",IF(OR(V70&gt;1,AND(AY70&lt;&gt;"",AY70&lt;Inputs!$B$11),AND(AY70&lt;&gt;"",AY70&gt;Inputs!$B$12),AC70&lt;Inputs!$B$19,AD70&lt;Inputs!$B$19,P70&lt;Inputs!$B$7,P70&gt;Inputs!$B$8),"CHECK","OK"))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  <c r="AW70" s="7">
        <f>IF(A70="","",W70)</f>
        <v/>
      </c>
      <c r="AX70" s="7">
        <f>IF(OR(T70="",P70=""),"",(1/Inputs!$B$9)*((T70/4)^(2/3))*SQRT(P70))</f>
        <v/>
      </c>
      <c r="AY70" s="7">
        <f>IF(A70="","",IF(AND(AW70="",AX70=""),"",IF(OR(UPPER(TRIM(Inputs!$B$24))="MANNING",UPPER(TRIM(Inputs!$B$24))="M"),AX70,IF(OR(UPPER(TRIM(Inputs!$B$24))="MAX",UPPER(TRIM(Inputs!$B$24))="X"),MAX(IF(AW70="",0,AW70),IF(AX70="",0,AX70)),AW70))))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SUMIFS(CB_plan!$C:$C,CB_plan!$B:$B,$A71)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IF(A71="","",2.78E-7*IF(I71="",Inputs!$B$17,I71)*H71*K71)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IF(A71="","",IF(OR(V71&gt;1,AND(AY71&lt;&gt;"",AY71&lt;Inputs!$B$11),AND(AY71&lt;&gt;"",AY71&gt;Inputs!$B$12),AC71&lt;Inputs!$B$19,AD71&lt;Inputs!$B$19,P71&lt;Inputs!$B$7,P71&gt;Inputs!$B$8),"CHECK","OK"))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  <c r="AW71" s="7">
        <f>IF(A71="","",W71)</f>
        <v/>
      </c>
      <c r="AX71" s="7">
        <f>IF(OR(T71="",P71=""),"",(1/Inputs!$B$9)*((T71/4)^(2/3))*SQRT(P71))</f>
        <v/>
      </c>
      <c r="AY71" s="7">
        <f>IF(A71="","",IF(AND(AW71="",AX71=""),"",IF(OR(UPPER(TRIM(Inputs!$B$24))="MANNING",UPPER(TRIM(Inputs!$B$24))="M"),AX71,IF(OR(UPPER(TRIM(Inputs!$B$24))="MAX",UPPER(TRIM(Inputs!$B$24))="X"),MAX(IF(AW71="",0,AW71),IF(AX71="",0,AX71)),AW71))))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SUMIFS(CB_plan!$C:$C,CB_plan!$B:$B,$A72)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IF(A72="","",2.78E-7*IF(I72="",Inputs!$B$17,I72)*H72*K72)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IF(A72="","",IF(OR(V72&gt;1,AND(AY72&lt;&gt;"",AY72&lt;Inputs!$B$11),AND(AY72&lt;&gt;"",AY72&gt;Inputs!$B$12),AC72&lt;Inputs!$B$19,AD72&lt;Inputs!$B$19,P72&lt;Inputs!$B$7,P72&gt;Inputs!$B$8),"CHECK","OK"))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  <c r="AW72" s="7">
        <f>IF(A72="","",W72)</f>
        <v/>
      </c>
      <c r="AX72" s="7">
        <f>IF(OR(T72="",P72=""),"",(1/Inputs!$B$9)*((T72/4)^(2/3))*SQRT(P72))</f>
        <v/>
      </c>
      <c r="AY72" s="7">
        <f>IF(A72="","",IF(AND(AW72="",AX72=""),"",IF(OR(UPPER(TRIM(Inputs!$B$24))="MANNING",UPPER(TRIM(Inputs!$B$24))="M"),AX72,IF(OR(UPPER(TRIM(Inputs!$B$24))="MAX",UPPER(TRIM(Inputs!$B$24))="X"),MAX(IF(AW72="",0,AW72),IF(AX72="",0,AX72)),AW72))))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SUMIFS(CB_plan!$C:$C,CB_plan!$B:$B,$A73)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IF(A73="","",2.78E-7*IF(I73="",Inputs!$B$17,I73)*H73*K73)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IF(A73="","",IF(OR(V73&gt;1,AND(AY73&lt;&gt;"",AY73&lt;Inputs!$B$11),AND(AY73&lt;&gt;"",AY73&gt;Inputs!$B$12),AC73&lt;Inputs!$B$19,AD73&lt;Inputs!$B$19,P73&lt;Inputs!$B$7,P73&gt;Inputs!$B$8),"CHECK","OK"))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  <c r="AW73" s="7">
        <f>IF(A73="","",W73)</f>
        <v/>
      </c>
      <c r="AX73" s="7">
        <f>IF(OR(T73="",P73=""),"",(1/Inputs!$B$9)*((T73/4)^(2/3))*SQRT(P73))</f>
        <v/>
      </c>
      <c r="AY73" s="7">
        <f>IF(A73="","",IF(AND(AW73="",AX73=""),"",IF(OR(UPPER(TRIM(Inputs!$B$24))="MANNING",UPPER(TRIM(Inputs!$B$24))="M"),AX73,IF(OR(UPPER(TRIM(Inputs!$B$24))="MAX",UPPER(TRIM(Inputs!$B$24))="X"),MAX(IF(AW73="",0,AW73),IF(AX73="",0,AX73)),AW73))))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SUMIFS(CB_plan!$C:$C,CB_plan!$B:$B,$A74)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IF(A74="","",2.78E-7*IF(I74="",Inputs!$B$17,I74)*H74*K74)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IF(A74="","",IF(OR(V74&gt;1,AND(AY74&lt;&gt;"",AY74&lt;Inputs!$B$11),AND(AY74&lt;&gt;"",AY74&gt;Inputs!$B$12),AC74&lt;Inputs!$B$19,AD74&lt;Inputs!$B$19,P74&lt;Inputs!$B$7,P74&gt;Inputs!$B$8),"CHECK","OK"))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  <c r="AW74" s="7">
        <f>IF(A74="","",W74)</f>
        <v/>
      </c>
      <c r="AX74" s="7">
        <f>IF(OR(T74="",P74=""),"",(1/Inputs!$B$9)*((T74/4)^(2/3))*SQRT(P74))</f>
        <v/>
      </c>
      <c r="AY74" s="7">
        <f>IF(A74="","",IF(AND(AW74="",AX74=""),"",IF(OR(UPPER(TRIM(Inputs!$B$24))="MANNING",UPPER(TRIM(Inputs!$B$24))="M"),AX74,IF(OR(UPPER(TRIM(Inputs!$B$24))="MAX",UPPER(TRIM(Inputs!$B$24))="X"),MAX(IF(AW74="",0,AW74),IF(AX74="",0,AX74)),AW74))))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SUMIFS(CB_plan!$C:$C,CB_plan!$B:$B,$A75)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IF(A75="","",2.78E-7*IF(I75="",Inputs!$B$17,I75)*H75*K75)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IF(A75="","",IF(OR(V75&gt;1,AND(AY75&lt;&gt;"",AY75&lt;Inputs!$B$11),AND(AY75&lt;&gt;"",AY75&gt;Inputs!$B$12),AC75&lt;Inputs!$B$19,AD75&lt;Inputs!$B$19,P75&lt;Inputs!$B$7,P75&gt;Inputs!$B$8),"CHECK","OK"))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  <c r="AW75" s="7">
        <f>IF(A75="","",W75)</f>
        <v/>
      </c>
      <c r="AX75" s="7">
        <f>IF(OR(T75="",P75=""),"",(1/Inputs!$B$9)*((T75/4)^(2/3))*SQRT(P75))</f>
        <v/>
      </c>
      <c r="AY75" s="7">
        <f>IF(A75="","",IF(AND(AW75="",AX75=""),"",IF(OR(UPPER(TRIM(Inputs!$B$24))="MANNING",UPPER(TRIM(Inputs!$B$24))="M"),AX75,IF(OR(UPPER(TRIM(Inputs!$B$24))="MAX",UPPER(TRIM(Inputs!$B$24))="X"),MAX(IF(AW75="",0,AW75),IF(AX75="",0,AX75)),AW75))))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SUMIFS(CB_plan!$C:$C,CB_plan!$B:$B,$A76)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IF(A76="","",2.78E-7*IF(I76="",Inputs!$B$17,I76)*H76*K76)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IF(A76="","",IF(OR(V76&gt;1,AND(AY76&lt;&gt;"",AY76&lt;Inputs!$B$11),AND(AY76&lt;&gt;"",AY76&gt;Inputs!$B$12),AC76&lt;Inputs!$B$19,AD76&lt;Inputs!$B$19,P76&lt;Inputs!$B$7,P76&gt;Inputs!$B$8),"CHECK","OK"))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  <c r="AW76" s="7">
        <f>IF(A76="","",W76)</f>
        <v/>
      </c>
      <c r="AX76" s="7">
        <f>IF(OR(T76="",P76=""),"",(1/Inputs!$B$9)*((T76/4)^(2/3))*SQRT(P76))</f>
        <v/>
      </c>
      <c r="AY76" s="7">
        <f>IF(A76="","",IF(AND(AW76="",AX76=""),"",IF(OR(UPPER(TRIM(Inputs!$B$24))="MANNING",UPPER(TRIM(Inputs!$B$24))="M"),AX76,IF(OR(UPPER(TRIM(Inputs!$B$24))="MAX",UPPER(TRIM(Inputs!$B$24))="X"),MAX(IF(AW76="",0,AW76),IF(AX76="",0,AX76)),AW76))))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SUMIFS(CB_plan!$C:$C,CB_plan!$B:$B,$A77)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IF(A77="","",2.78E-7*IF(I77="",Inputs!$B$17,I77)*H77*K77)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IF(A77="","",IF(OR(V77&gt;1,AND(AY77&lt;&gt;"",AY77&lt;Inputs!$B$11),AND(AY77&lt;&gt;"",AY77&gt;Inputs!$B$12),AC77&lt;Inputs!$B$19,AD77&lt;Inputs!$B$19,P77&lt;Inputs!$B$7,P77&gt;Inputs!$B$8),"CHECK","OK"))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  <c r="AW77" s="7">
        <f>IF(A77="","",W77)</f>
        <v/>
      </c>
      <c r="AX77" s="7">
        <f>IF(OR(T77="",P77=""),"",(1/Inputs!$B$9)*((T77/4)^(2/3))*SQRT(P77))</f>
        <v/>
      </c>
      <c r="AY77" s="7">
        <f>IF(A77="","",IF(AND(AW77="",AX77=""),"",IF(OR(UPPER(TRIM(Inputs!$B$24))="MANNING",UPPER(TRIM(Inputs!$B$24))="M"),AX77,IF(OR(UPPER(TRIM(Inputs!$B$24))="MAX",UPPER(TRIM(Inputs!$B$24))="X"),MAX(IF(AW77="",0,AW77),IF(AX77="",0,AX77)),AW77))))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SUMIFS(CB_plan!$C:$C,CB_plan!$B:$B,$A78)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IF(A78="","",2.78E-7*IF(I78="",Inputs!$B$17,I78)*H78*K78)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IF(A78="","",IF(OR(V78&gt;1,AND(AY78&lt;&gt;"",AY78&lt;Inputs!$B$11),AND(AY78&lt;&gt;"",AY78&gt;Inputs!$B$12),AC78&lt;Inputs!$B$19,AD78&lt;Inputs!$B$19,P78&lt;Inputs!$B$7,P78&gt;Inputs!$B$8),"CHECK","OK"))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  <c r="AW78" s="7">
        <f>IF(A78="","",W78)</f>
        <v/>
      </c>
      <c r="AX78" s="7">
        <f>IF(OR(T78="",P78=""),"",(1/Inputs!$B$9)*((T78/4)^(2/3))*SQRT(P78))</f>
        <v/>
      </c>
      <c r="AY78" s="7">
        <f>IF(A78="","",IF(AND(AW78="",AX78=""),"",IF(OR(UPPER(TRIM(Inputs!$B$24))="MANNING",UPPER(TRIM(Inputs!$B$24))="M"),AX78,IF(OR(UPPER(TRIM(Inputs!$B$24))="MAX",UPPER(TRIM(Inputs!$B$24))="X"),MAX(IF(AW78="",0,AW78),IF(AX78="",0,AX78)),AW78))))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SUMIFS(CB_plan!$C:$C,CB_plan!$B:$B,$A79)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IF(A79="","",2.78E-7*IF(I79="",Inputs!$B$17,I79)*H79*K79)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IF(A79="","",IF(OR(V79&gt;1,AND(AY79&lt;&gt;"",AY79&lt;Inputs!$B$11),AND(AY79&lt;&gt;"",AY79&gt;Inputs!$B$12),AC79&lt;Inputs!$B$19,AD79&lt;Inputs!$B$19,P79&lt;Inputs!$B$7,P79&gt;Inputs!$B$8),"CHECK","OK"))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  <c r="AW79" s="7">
        <f>IF(A79="","",W79)</f>
        <v/>
      </c>
      <c r="AX79" s="7">
        <f>IF(OR(T79="",P79=""),"",(1/Inputs!$B$9)*((T79/4)^(2/3))*SQRT(P79))</f>
        <v/>
      </c>
      <c r="AY79" s="7">
        <f>IF(A79="","",IF(AND(AW79="",AX79=""),"",IF(OR(UPPER(TRIM(Inputs!$B$24))="MANNING",UPPER(TRIM(Inputs!$B$24))="M"),AX79,IF(OR(UPPER(TRIM(Inputs!$B$24))="MAX",UPPER(TRIM(Inputs!$B$24))="X"),MAX(IF(AW79="",0,AW79),IF(AX79="",0,AX79)),AW79))))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SUMIFS(CB_plan!$C:$C,CB_plan!$B:$B,$A80)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IF(A80="","",2.78E-7*IF(I80="",Inputs!$B$17,I80)*H80*K80)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IF(A80="","",IF(OR(V80&gt;1,AND(AY80&lt;&gt;"",AY80&lt;Inputs!$B$11),AND(AY80&lt;&gt;"",AY80&gt;Inputs!$B$12),AC80&lt;Inputs!$B$19,AD80&lt;Inputs!$B$19,P80&lt;Inputs!$B$7,P80&gt;Inputs!$B$8),"CHECK","OK"))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  <c r="AW80" s="7">
        <f>IF(A80="","",W80)</f>
        <v/>
      </c>
      <c r="AX80" s="7">
        <f>IF(OR(T80="",P80=""),"",(1/Inputs!$B$9)*((T80/4)^(2/3))*SQRT(P80))</f>
        <v/>
      </c>
      <c r="AY80" s="7">
        <f>IF(A80="","",IF(AND(AW80="",AX80=""),"",IF(OR(UPPER(TRIM(Inputs!$B$24))="MANNING",UPPER(TRIM(Inputs!$B$24))="M"),AX80,IF(OR(UPPER(TRIM(Inputs!$B$24))="MAX",UPPER(TRIM(Inputs!$B$24))="X"),MAX(IF(AW80="",0,AW80),IF(AX80="",0,AX80)),AW80))))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SUMIFS(CB_plan!$C:$C,CB_plan!$B:$B,$A81)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IF(A81="","",2.78E-7*IF(I81="",Inputs!$B$17,I81)*H81*K81)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IF(A81="","",IF(OR(V81&gt;1,AND(AY81&lt;&gt;"",AY81&lt;Inputs!$B$11),AND(AY81&lt;&gt;"",AY81&gt;Inputs!$B$12),AC81&lt;Inputs!$B$19,AD81&lt;Inputs!$B$19,P81&lt;Inputs!$B$7,P81&gt;Inputs!$B$8),"CHECK","OK"))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  <c r="AW81" s="7">
        <f>IF(A81="","",W81)</f>
        <v/>
      </c>
      <c r="AX81" s="7">
        <f>IF(OR(T81="",P81=""),"",(1/Inputs!$B$9)*((T81/4)^(2/3))*SQRT(P81))</f>
        <v/>
      </c>
      <c r="AY81" s="7">
        <f>IF(A81="","",IF(AND(AW81="",AX81=""),"",IF(OR(UPPER(TRIM(Inputs!$B$24))="MANNING",UPPER(TRIM(Inputs!$B$24))="M"),AX81,IF(OR(UPPER(TRIM(Inputs!$B$24))="MAX",UPPER(TRIM(Inputs!$B$24))="X"),MAX(IF(AW81="",0,AW81),IF(AX81="",0,AX81)),AW81))))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SUMIFS(CB_plan!$C:$C,CB_plan!$B:$B,$A82)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IF(A82="","",2.78E-7*IF(I82="",Inputs!$B$17,I82)*H82*K82)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IF(A82="","",IF(OR(V82&gt;1,AND(AY82&lt;&gt;"",AY82&lt;Inputs!$B$11),AND(AY82&lt;&gt;"",AY82&gt;Inputs!$B$12),AC82&lt;Inputs!$B$19,AD82&lt;Inputs!$B$19,P82&lt;Inputs!$B$7,P82&gt;Inputs!$B$8),"CHECK","OK"))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  <c r="AW82" s="7">
        <f>IF(A82="","",W82)</f>
        <v/>
      </c>
      <c r="AX82" s="7">
        <f>IF(OR(T82="",P82=""),"",(1/Inputs!$B$9)*((T82/4)^(2/3))*SQRT(P82))</f>
        <v/>
      </c>
      <c r="AY82" s="7">
        <f>IF(A82="","",IF(AND(AW82="",AX82=""),"",IF(OR(UPPER(TRIM(Inputs!$B$24))="MANNING",UPPER(TRIM(Inputs!$B$24))="M"),AX82,IF(OR(UPPER(TRIM(Inputs!$B$24))="MAX",UPPER(TRIM(Inputs!$B$24))="X"),MAX(IF(AW82="",0,AW82),IF(AX82="",0,AX82)),AW82))))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SUMIFS(CB_plan!$C:$C,CB_plan!$B:$B,$A83)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IF(A83="","",2.78E-7*IF(I83="",Inputs!$B$17,I83)*H83*K83)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IF(A83="","",IF(OR(V83&gt;1,AND(AY83&lt;&gt;"",AY83&lt;Inputs!$B$11),AND(AY83&lt;&gt;"",AY83&gt;Inputs!$B$12),AC83&lt;Inputs!$B$19,AD83&lt;Inputs!$B$19,P83&lt;Inputs!$B$7,P83&gt;Inputs!$B$8),"CHECK","OK"))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  <c r="AW83" s="7">
        <f>IF(A83="","",W83)</f>
        <v/>
      </c>
      <c r="AX83" s="7">
        <f>IF(OR(T83="",P83=""),"",(1/Inputs!$B$9)*((T83/4)^(2/3))*SQRT(P83))</f>
        <v/>
      </c>
      <c r="AY83" s="7">
        <f>IF(A83="","",IF(AND(AW83="",AX83=""),"",IF(OR(UPPER(TRIM(Inputs!$B$24))="MANNING",UPPER(TRIM(Inputs!$B$24))="M"),AX83,IF(OR(UPPER(TRIM(Inputs!$B$24))="MAX",UPPER(TRIM(Inputs!$B$24))="X"),MAX(IF(AW83="",0,AW83),IF(AX83="",0,AX83)),AW83))))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SUMIFS(CB_plan!$C:$C,CB_plan!$B:$B,$A84)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IF(A84="","",2.78E-7*IF(I84="",Inputs!$B$17,I84)*H84*K84)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IF(A84="","",IF(OR(V84&gt;1,AND(AY84&lt;&gt;"",AY84&lt;Inputs!$B$11),AND(AY84&lt;&gt;"",AY84&gt;Inputs!$B$12),AC84&lt;Inputs!$B$19,AD84&lt;Inputs!$B$19,P84&lt;Inputs!$B$7,P84&gt;Inputs!$B$8),"CHECK","OK"))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  <c r="AW84" s="7">
        <f>IF(A84="","",W84)</f>
        <v/>
      </c>
      <c r="AX84" s="7">
        <f>IF(OR(T84="",P84=""),"",(1/Inputs!$B$9)*((T84/4)^(2/3))*SQRT(P84))</f>
        <v/>
      </c>
      <c r="AY84" s="7">
        <f>IF(A84="","",IF(AND(AW84="",AX84=""),"",IF(OR(UPPER(TRIM(Inputs!$B$24))="MANNING",UPPER(TRIM(Inputs!$B$24))="M"),AX84,IF(OR(UPPER(TRIM(Inputs!$B$24))="MAX",UPPER(TRIM(Inputs!$B$24))="X"),MAX(IF(AW84="",0,AW84),IF(AX84="",0,AX84)),AW84))))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SUMIFS(CB_plan!$C:$C,CB_plan!$B:$B,$A85)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IF(A85="","",2.78E-7*IF(I85="",Inputs!$B$17,I85)*H85*K85)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IF(A85="","",IF(OR(V85&gt;1,AND(AY85&lt;&gt;"",AY85&lt;Inputs!$B$11),AND(AY85&lt;&gt;"",AY85&gt;Inputs!$B$12),AC85&lt;Inputs!$B$19,AD85&lt;Inputs!$B$19,P85&lt;Inputs!$B$7,P85&gt;Inputs!$B$8),"CHECK","OK"))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  <c r="AW85" s="7">
        <f>IF(A85="","",W85)</f>
        <v/>
      </c>
      <c r="AX85" s="7">
        <f>IF(OR(T85="",P85=""),"",(1/Inputs!$B$9)*((T85/4)^(2/3))*SQRT(P85))</f>
        <v/>
      </c>
      <c r="AY85" s="7">
        <f>IF(A85="","",IF(AND(AW85="",AX85=""),"",IF(OR(UPPER(TRIM(Inputs!$B$24))="MANNING",UPPER(TRIM(Inputs!$B$24))="M"),AX85,IF(OR(UPPER(TRIM(Inputs!$B$24))="MAX",UPPER(TRIM(Inputs!$B$24))="X"),MAX(IF(AW85="",0,AW85),IF(AX85="",0,AX85)),AW85))))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SUMIFS(CB_plan!$C:$C,CB_plan!$B:$B,$A86)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IF(A86="","",2.78E-7*IF(I86="",Inputs!$B$17,I86)*H86*K86)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IF(A86="","",IF(OR(V86&gt;1,AND(AY86&lt;&gt;"",AY86&lt;Inputs!$B$11),AND(AY86&lt;&gt;"",AY86&gt;Inputs!$B$12),AC86&lt;Inputs!$B$19,AD86&lt;Inputs!$B$19,P86&lt;Inputs!$B$7,P86&gt;Inputs!$B$8),"CHECK","OK"))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  <c r="AW86" s="7">
        <f>IF(A86="","",W86)</f>
        <v/>
      </c>
      <c r="AX86" s="7">
        <f>IF(OR(T86="",P86=""),"",(1/Inputs!$B$9)*((T86/4)^(2/3))*SQRT(P86))</f>
        <v/>
      </c>
      <c r="AY86" s="7">
        <f>IF(A86="","",IF(AND(AW86="",AX86=""),"",IF(OR(UPPER(TRIM(Inputs!$B$24))="MANNING",UPPER(TRIM(Inputs!$B$24))="M"),AX86,IF(OR(UPPER(TRIM(Inputs!$B$24))="MAX",UPPER(TRIM(Inputs!$B$24))="X"),MAX(IF(AW86="",0,AW86),IF(AX86="",0,AX86)),AW86))))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SUMIFS(CB_plan!$C:$C,CB_plan!$B:$B,$A87)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IF(A87="","",2.78E-7*IF(I87="",Inputs!$B$17,I87)*H87*K87)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IF(A87="","",IF(OR(V87&gt;1,AND(AY87&lt;&gt;"",AY87&lt;Inputs!$B$11),AND(AY87&lt;&gt;"",AY87&gt;Inputs!$B$12),AC87&lt;Inputs!$B$19,AD87&lt;Inputs!$B$19,P87&lt;Inputs!$B$7,P87&gt;Inputs!$B$8),"CHECK","OK"))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  <c r="AW87" s="7">
        <f>IF(A87="","",W87)</f>
        <v/>
      </c>
      <c r="AX87" s="7">
        <f>IF(OR(T87="",P87=""),"",(1/Inputs!$B$9)*((T87/4)^(2/3))*SQRT(P87))</f>
        <v/>
      </c>
      <c r="AY87" s="7">
        <f>IF(A87="","",IF(AND(AW87="",AX87=""),"",IF(OR(UPPER(TRIM(Inputs!$B$24))="MANNING",UPPER(TRIM(Inputs!$B$24))="M"),AX87,IF(OR(UPPER(TRIM(Inputs!$B$24))="MAX",UPPER(TRIM(Inputs!$B$24))="X"),MAX(IF(AW87="",0,AW87),IF(AX87="",0,AX87)),AW87))))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SUMIFS(CB_plan!$C:$C,CB_plan!$B:$B,$A88)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IF(A88="","",2.78E-7*IF(I88="",Inputs!$B$17,I88)*H88*K88)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IF(A88="","",IF(OR(V88&gt;1,AND(AY88&lt;&gt;"",AY88&lt;Inputs!$B$11),AND(AY88&lt;&gt;"",AY88&gt;Inputs!$B$12),AC88&lt;Inputs!$B$19,AD88&lt;Inputs!$B$19,P88&lt;Inputs!$B$7,P88&gt;Inputs!$B$8),"CHECK","OK"))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  <c r="AW88" s="7">
        <f>IF(A88="","",W88)</f>
        <v/>
      </c>
      <c r="AX88" s="7">
        <f>IF(OR(T88="",P88=""),"",(1/Inputs!$B$9)*((T88/4)^(2/3))*SQRT(P88))</f>
        <v/>
      </c>
      <c r="AY88" s="7">
        <f>IF(A88="","",IF(AND(AW88="",AX88=""),"",IF(OR(UPPER(TRIM(Inputs!$B$24))="MANNING",UPPER(TRIM(Inputs!$B$24))="M"),AX88,IF(OR(UPPER(TRIM(Inputs!$B$24))="MAX",UPPER(TRIM(Inputs!$B$24))="X"),MAX(IF(AW88="",0,AW88),IF(AX88="",0,AX88)),AW88))))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SUMIFS(CB_plan!$C:$C,CB_plan!$B:$B,$A89)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IF(A89="","",2.78E-7*IF(I89="",Inputs!$B$17,I89)*H89*K89)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IF(A89="","",IF(OR(V89&gt;1,AND(AY89&lt;&gt;"",AY89&lt;Inputs!$B$11),AND(AY89&lt;&gt;"",AY89&gt;Inputs!$B$12),AC89&lt;Inputs!$B$19,AD89&lt;Inputs!$B$19,P89&lt;Inputs!$B$7,P89&gt;Inputs!$B$8),"CHECK","OK"))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  <c r="AW89" s="7">
        <f>IF(A89="","",W89)</f>
        <v/>
      </c>
      <c r="AX89" s="7">
        <f>IF(OR(T89="",P89=""),"",(1/Inputs!$B$9)*((T89/4)^(2/3))*SQRT(P89))</f>
        <v/>
      </c>
      <c r="AY89" s="7">
        <f>IF(A89="","",IF(AND(AW89="",AX89=""),"",IF(OR(UPPER(TRIM(Inputs!$B$24))="MANNING",UPPER(TRIM(Inputs!$B$24))="M"),AX89,IF(OR(UPPER(TRIM(Inputs!$B$24))="MAX",UPPER(TRIM(Inputs!$B$24))="X"),MAX(IF(AW89="",0,AW89),IF(AX89="",0,AX89)),AW89))))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SUMIFS(CB_plan!$C:$C,CB_plan!$B:$B,$A90)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IF(A90="","",2.78E-7*IF(I90="",Inputs!$B$17,I90)*H90*K90)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IF(A90="","",IF(OR(V90&gt;1,AND(AY90&lt;&gt;"",AY90&lt;Inputs!$B$11),AND(AY90&lt;&gt;"",AY90&gt;Inputs!$B$12),AC90&lt;Inputs!$B$19,AD90&lt;Inputs!$B$19,P90&lt;Inputs!$B$7,P90&gt;Inputs!$B$8),"CHECK","OK"))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  <c r="AW90" s="7">
        <f>IF(A90="","",W90)</f>
        <v/>
      </c>
      <c r="AX90" s="7">
        <f>IF(OR(T90="",P90=""),"",(1/Inputs!$B$9)*((T90/4)^(2/3))*SQRT(P90))</f>
        <v/>
      </c>
      <c r="AY90" s="7">
        <f>IF(A90="","",IF(AND(AW90="",AX90=""),"",IF(OR(UPPER(TRIM(Inputs!$B$24))="MANNING",UPPER(TRIM(Inputs!$B$24))="M"),AX90,IF(OR(UPPER(TRIM(Inputs!$B$24))="MAX",UPPER(TRIM(Inputs!$B$24))="X"),MAX(IF(AW90="",0,AW90),IF(AX90="",0,AX90)),AW90))))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SUMIFS(CB_plan!$C:$C,CB_plan!$B:$B,$A91)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IF(A91="","",2.78E-7*IF(I91="",Inputs!$B$17,I91)*H91*K91)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IF(A91="","",IF(OR(V91&gt;1,AND(AY91&lt;&gt;"",AY91&lt;Inputs!$B$11),AND(AY91&lt;&gt;"",AY91&gt;Inputs!$B$12),AC91&lt;Inputs!$B$19,AD91&lt;Inputs!$B$19,P91&lt;Inputs!$B$7,P91&gt;Inputs!$B$8),"CHECK","OK"))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  <c r="AW91" s="7">
        <f>IF(A91="","",W91)</f>
        <v/>
      </c>
      <c r="AX91" s="7">
        <f>IF(OR(T91="",P91=""),"",(1/Inputs!$B$9)*((T91/4)^(2/3))*SQRT(P91))</f>
        <v/>
      </c>
      <c r="AY91" s="7">
        <f>IF(A91="","",IF(AND(AW91="",AX91=""),"",IF(OR(UPPER(TRIM(Inputs!$B$24))="MANNING",UPPER(TRIM(Inputs!$B$24))="M"),AX91,IF(OR(UPPER(TRIM(Inputs!$B$24))="MAX",UPPER(TRIM(Inputs!$B$24))="X"),MAX(IF(AW91="",0,AW91),IF(AX91="",0,AX91)),AW91))))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SUMIFS(CB_plan!$C:$C,CB_plan!$B:$B,$A92)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IF(A92="","",2.78E-7*IF(I92="",Inputs!$B$17,I92)*H92*K92)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IF(A92="","",IF(OR(V92&gt;1,AND(AY92&lt;&gt;"",AY92&lt;Inputs!$B$11),AND(AY92&lt;&gt;"",AY92&gt;Inputs!$B$12),AC92&lt;Inputs!$B$19,AD92&lt;Inputs!$B$19,P92&lt;Inputs!$B$7,P92&gt;Inputs!$B$8),"CHECK","OK"))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  <c r="AW92" s="7">
        <f>IF(A92="","",W92)</f>
        <v/>
      </c>
      <c r="AX92" s="7">
        <f>IF(OR(T92="",P92=""),"",(1/Inputs!$B$9)*((T92/4)^(2/3))*SQRT(P92))</f>
        <v/>
      </c>
      <c r="AY92" s="7">
        <f>IF(A92="","",IF(AND(AW92="",AX92=""),"",IF(OR(UPPER(TRIM(Inputs!$B$24))="MANNING",UPPER(TRIM(Inputs!$B$24))="M"),AX92,IF(OR(UPPER(TRIM(Inputs!$B$24))="MAX",UPPER(TRIM(Inputs!$B$24))="X"),MAX(IF(AW92="",0,AW92),IF(AX92="",0,AX92)),AW92))))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SUMIFS(CB_plan!$C:$C,CB_plan!$B:$B,$A93)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IF(A93="","",2.78E-7*IF(I93="",Inputs!$B$17,I93)*H93*K93)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IF(A93="","",IF(OR(V93&gt;1,AND(AY93&lt;&gt;"",AY93&lt;Inputs!$B$11),AND(AY93&lt;&gt;"",AY93&gt;Inputs!$B$12),AC93&lt;Inputs!$B$19,AD93&lt;Inputs!$B$19,P93&lt;Inputs!$B$7,P93&gt;Inputs!$B$8),"CHECK","OK"))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  <c r="AW93" s="7">
        <f>IF(A93="","",W93)</f>
        <v/>
      </c>
      <c r="AX93" s="7">
        <f>IF(OR(T93="",P93=""),"",(1/Inputs!$B$9)*((T93/4)^(2/3))*SQRT(P93))</f>
        <v/>
      </c>
      <c r="AY93" s="7">
        <f>IF(A93="","",IF(AND(AW93="",AX93=""),"",IF(OR(UPPER(TRIM(Inputs!$B$24))="MANNING",UPPER(TRIM(Inputs!$B$24))="M"),AX93,IF(OR(UPPER(TRIM(Inputs!$B$24))="MAX",UPPER(TRIM(Inputs!$B$24))="X"),MAX(IF(AW93="",0,AW93),IF(AX93="",0,AX93)),AW93))))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SUMIFS(CB_plan!$C:$C,CB_plan!$B:$B,$A94)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IF(A94="","",2.78E-7*IF(I94="",Inputs!$B$17,I94)*H94*K94)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IF(A94="","",IF(OR(V94&gt;1,AND(AY94&lt;&gt;"",AY94&lt;Inputs!$B$11),AND(AY94&lt;&gt;"",AY94&gt;Inputs!$B$12),AC94&lt;Inputs!$B$19,AD94&lt;Inputs!$B$19,P94&lt;Inputs!$B$7,P94&gt;Inputs!$B$8),"CHECK","OK"))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  <c r="AW94" s="7">
        <f>IF(A94="","",W94)</f>
        <v/>
      </c>
      <c r="AX94" s="7">
        <f>IF(OR(T94="",P94=""),"",(1/Inputs!$B$9)*((T94/4)^(2/3))*SQRT(P94))</f>
        <v/>
      </c>
      <c r="AY94" s="7">
        <f>IF(A94="","",IF(AND(AW94="",AX94=""),"",IF(OR(UPPER(TRIM(Inputs!$B$24))="MANNING",UPPER(TRIM(Inputs!$B$24))="M"),AX94,IF(OR(UPPER(TRIM(Inputs!$B$24))="MAX",UPPER(TRIM(Inputs!$B$24))="X"),MAX(IF(AW94="",0,AW94),IF(AX94="",0,AX94)),AW94))))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SUMIFS(CB_plan!$C:$C,CB_plan!$B:$B,$A95)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IF(A95="","",2.78E-7*IF(I95="",Inputs!$B$17,I95)*H95*K95)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IF(A95="","",IF(OR(V95&gt;1,AND(AY95&lt;&gt;"",AY95&lt;Inputs!$B$11),AND(AY95&lt;&gt;"",AY95&gt;Inputs!$B$12),AC95&lt;Inputs!$B$19,AD95&lt;Inputs!$B$19,P95&lt;Inputs!$B$7,P95&gt;Inputs!$B$8),"CHECK","OK"))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  <c r="AW95" s="7">
        <f>IF(A95="","",W95)</f>
        <v/>
      </c>
      <c r="AX95" s="7">
        <f>IF(OR(T95="",P95=""),"",(1/Inputs!$B$9)*((T95/4)^(2/3))*SQRT(P95))</f>
        <v/>
      </c>
      <c r="AY95" s="7">
        <f>IF(A95="","",IF(AND(AW95="",AX95=""),"",IF(OR(UPPER(TRIM(Inputs!$B$24))="MANNING",UPPER(TRIM(Inputs!$B$24))="M"),AX95,IF(OR(UPPER(TRIM(Inputs!$B$24))="MAX",UPPER(TRIM(Inputs!$B$24))="X"),MAX(IF(AW95="",0,AW95),IF(AX95="",0,AX95)),AW95))))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SUMIFS(CB_plan!$C:$C,CB_plan!$B:$B,$A96)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IF(A96="","",2.78E-7*IF(I96="",Inputs!$B$17,I96)*H96*K96)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IF(A96="","",IF(OR(V96&gt;1,AND(AY96&lt;&gt;"",AY96&lt;Inputs!$B$11),AND(AY96&lt;&gt;"",AY96&gt;Inputs!$B$12),AC96&lt;Inputs!$B$19,AD96&lt;Inputs!$B$19,P96&lt;Inputs!$B$7,P96&gt;Inputs!$B$8),"CHECK","OK"))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  <c r="AW96" s="7">
        <f>IF(A96="","",W96)</f>
        <v/>
      </c>
      <c r="AX96" s="7">
        <f>IF(OR(T96="",P96=""),"",(1/Inputs!$B$9)*((T96/4)^(2/3))*SQRT(P96))</f>
        <v/>
      </c>
      <c r="AY96" s="7">
        <f>IF(A96="","",IF(AND(AW96="",AX96=""),"",IF(OR(UPPER(TRIM(Inputs!$B$24))="MANNING",UPPER(TRIM(Inputs!$B$24))="M"),AX96,IF(OR(UPPER(TRIM(Inputs!$B$24))="MAX",UPPER(TRIM(Inputs!$B$24))="X"),MAX(IF(AW96="",0,AW96),IF(AX96="",0,AX96)),AW96))))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SUMIFS(CB_plan!$C:$C,CB_plan!$B:$B,$A97)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IF(A97="","",2.78E-7*IF(I97="",Inputs!$B$17,I97)*H97*K97)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IF(A97="","",IF(OR(V97&gt;1,AND(AY97&lt;&gt;"",AY97&lt;Inputs!$B$11),AND(AY97&lt;&gt;"",AY97&gt;Inputs!$B$12),AC97&lt;Inputs!$B$19,AD97&lt;Inputs!$B$19,P97&lt;Inputs!$B$7,P97&gt;Inputs!$B$8),"CHECK","OK"))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  <c r="AW97" s="7">
        <f>IF(A97="","",W97)</f>
        <v/>
      </c>
      <c r="AX97" s="7">
        <f>IF(OR(T97="",P97=""),"",(1/Inputs!$B$9)*((T97/4)^(2/3))*SQRT(P97))</f>
        <v/>
      </c>
      <c r="AY97" s="7">
        <f>IF(A97="","",IF(AND(AW97="",AX97=""),"",IF(OR(UPPER(TRIM(Inputs!$B$24))="MANNING",UPPER(TRIM(Inputs!$B$24))="M"),AX97,IF(OR(UPPER(TRIM(Inputs!$B$24))="MAX",UPPER(TRIM(Inputs!$B$24))="X"),MAX(IF(AW97="",0,AW97),IF(AX97="",0,AX97)),AW97))))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SUMIFS(CB_plan!$C:$C,CB_plan!$B:$B,$A98)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IF(A98="","",2.78E-7*IF(I98="",Inputs!$B$17,I98)*H98*K98)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IF(A98="","",IF(OR(V98&gt;1,AND(AY98&lt;&gt;"",AY98&lt;Inputs!$B$11),AND(AY98&lt;&gt;"",AY98&gt;Inputs!$B$12),AC98&lt;Inputs!$B$19,AD98&lt;Inputs!$B$19,P98&lt;Inputs!$B$7,P98&gt;Inputs!$B$8),"CHECK","OK"))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  <c r="AW98" s="7">
        <f>IF(A98="","",W98)</f>
        <v/>
      </c>
      <c r="AX98" s="7">
        <f>IF(OR(T98="",P98=""),"",(1/Inputs!$B$9)*((T98/4)^(2/3))*SQRT(P98))</f>
        <v/>
      </c>
      <c r="AY98" s="7">
        <f>IF(A98="","",IF(AND(AW98="",AX98=""),"",IF(OR(UPPER(TRIM(Inputs!$B$24))="MANNING",UPPER(TRIM(Inputs!$B$24))="M"),AX98,IF(OR(UPPER(TRIM(Inputs!$B$24))="MAX",UPPER(TRIM(Inputs!$B$24))="X"),MAX(IF(AW98="",0,AW98),IF(AX98="",0,AX98)),AW98))))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SUMIFS(CB_plan!$C:$C,CB_plan!$B:$B,$A99)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IF(A99="","",2.78E-7*IF(I99="",Inputs!$B$17,I99)*H99*K99)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IF(A99="","",IF(OR(V99&gt;1,AND(AY99&lt;&gt;"",AY99&lt;Inputs!$B$11),AND(AY99&lt;&gt;"",AY99&gt;Inputs!$B$12),AC99&lt;Inputs!$B$19,AD99&lt;Inputs!$B$19,P99&lt;Inputs!$B$7,P99&gt;Inputs!$B$8),"CHECK","OK"))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  <c r="AW99" s="7">
        <f>IF(A99="","",W99)</f>
        <v/>
      </c>
      <c r="AX99" s="7">
        <f>IF(OR(T99="",P99=""),"",(1/Inputs!$B$9)*((T99/4)^(2/3))*SQRT(P99))</f>
        <v/>
      </c>
      <c r="AY99" s="7">
        <f>IF(A99="","",IF(AND(AW99="",AX99=""),"",IF(OR(UPPER(TRIM(Inputs!$B$24))="MANNING",UPPER(TRIM(Inputs!$B$24))="M"),AX99,IF(OR(UPPER(TRIM(Inputs!$B$24))="MAX",UPPER(TRIM(Inputs!$B$24))="X"),MAX(IF(AW99="",0,AW99),IF(AX99="",0,AX99)),AW99))))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SUMIFS(CB_plan!$C:$C,CB_plan!$B:$B,$A100)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IF(A100="","",2.78E-7*IF(I100="",Inputs!$B$17,I100)*H100*K100)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IF(A100="","",IF(OR(V100&gt;1,AND(AY100&lt;&gt;"",AY100&lt;Inputs!$B$11),AND(AY100&lt;&gt;"",AY100&gt;Inputs!$B$12),AC100&lt;Inputs!$B$19,AD100&lt;Inputs!$B$19,P100&lt;Inputs!$B$7,P100&gt;Inputs!$B$8),"CHECK","OK"))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  <c r="AW100" s="7">
        <f>IF(A100="","",W100)</f>
        <v/>
      </c>
      <c r="AX100" s="7">
        <f>IF(OR(T100="",P100=""),"",(1/Inputs!$B$9)*((T100/4)^(2/3))*SQRT(P100))</f>
        <v/>
      </c>
      <c r="AY100" s="7">
        <f>IF(A100="","",IF(AND(AW100="",AX100=""),"",IF(OR(UPPER(TRIM(Inputs!$B$24))="MANNING",UPPER(TRIM(Inputs!$B$24))="M"),AX100,IF(OR(UPPER(TRIM(Inputs!$B$24))="MAX",UPPER(TRIM(Inputs!$B$24))="X"),MAX(IF(AW100="",0,AW100),IF(AX100="",0,AX100)),AW100))))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SUMIFS(CB_plan!$C:$C,CB_plan!$B:$B,$A101)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IF(A101="","",2.78E-7*IF(I101="",Inputs!$B$17,I101)*H101*K101)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IF(A101="","",IF(OR(V101&gt;1,AND(AY101&lt;&gt;"",AY101&lt;Inputs!$B$11),AND(AY101&lt;&gt;"",AY101&gt;Inputs!$B$12),AC101&lt;Inputs!$B$19,AD101&lt;Inputs!$B$19,P101&lt;Inputs!$B$7,P101&gt;Inputs!$B$8),"CHECK","OK"))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  <c r="AW101" s="7">
        <f>IF(A101="","",W101)</f>
        <v/>
      </c>
      <c r="AX101" s="7">
        <f>IF(OR(T101="",P101=""),"",(1/Inputs!$B$9)*((T101/4)^(2/3))*SQRT(P101))</f>
        <v/>
      </c>
      <c r="AY101" s="7">
        <f>IF(A101="","",IF(AND(AW101="",AX101=""),"",IF(OR(UPPER(TRIM(Inputs!$B$24))="MANNING",UPPER(TRIM(Inputs!$B$24))="M"),AX101,IF(OR(UPPER(TRIM(Inputs!$B$24))="MAX",UPPER(TRIM(Inputs!$B$24))="X"),MAX(IF(AW101="",0,AW101),IF(AX101="",0,AX101)),AW101))))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SUMIFS(CB_plan!$C:$C,CB_plan!$B:$B,$A102)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IF(A102="","",2.78E-7*IF(I102="",Inputs!$B$17,I102)*H102*K102)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IF(A102="","",IF(OR(V102&gt;1,AND(AY102&lt;&gt;"",AY102&lt;Inputs!$B$11),AND(AY102&lt;&gt;"",AY102&gt;Inputs!$B$12),AC102&lt;Inputs!$B$19,AD102&lt;Inputs!$B$19,P102&lt;Inputs!$B$7,P102&gt;Inputs!$B$8),"CHECK","OK"))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  <c r="AW102" s="7">
        <f>IF(A102="","",W102)</f>
        <v/>
      </c>
      <c r="AX102" s="7">
        <f>IF(OR(T102="",P102=""),"",(1/Inputs!$B$9)*((T102/4)^(2/3))*SQRT(P102))</f>
        <v/>
      </c>
      <c r="AY102" s="7">
        <f>IF(A102="","",IF(AND(AW102="",AX102=""),"",IF(OR(UPPER(TRIM(Inputs!$B$24))="MANNING",UPPER(TRIM(Inputs!$B$24))="M"),AX102,IF(OR(UPPER(TRIM(Inputs!$B$24))="MAX",UPPER(TRIM(Inputs!$B$24))="X"),MAX(IF(AW102="",0,AW102),IF(AX102="",0,AX102)),AW102))))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SUMIFS(CB_plan!$C:$C,CB_plan!$B:$B,$A103)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IF(A103="","",2.78E-7*IF(I103="",Inputs!$B$17,I103)*H103*K103)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IF(A103="","",IF(OR(V103&gt;1,AND(AY103&lt;&gt;"",AY103&lt;Inputs!$B$11),AND(AY103&lt;&gt;"",AY103&gt;Inputs!$B$12),AC103&lt;Inputs!$B$19,AD103&lt;Inputs!$B$19,P103&lt;Inputs!$B$7,P103&gt;Inputs!$B$8),"CHECK","OK"))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  <c r="AW103" s="7">
        <f>IF(A103="","",W103)</f>
        <v/>
      </c>
      <c r="AX103" s="7">
        <f>IF(OR(T103="",P103=""),"",(1/Inputs!$B$9)*((T103/4)^(2/3))*SQRT(P103))</f>
        <v/>
      </c>
      <c r="AY103" s="7">
        <f>IF(A103="","",IF(AND(AW103="",AX103=""),"",IF(OR(UPPER(TRIM(Inputs!$B$24))="MANNING",UPPER(TRIM(Inputs!$B$24))="M"),AX103,IF(OR(UPPER(TRIM(Inputs!$B$24))="MAX",UPPER(TRIM(Inputs!$B$24))="X"),MAX(IF(AW103="",0,AW103),IF(AX103="",0,AX103)),AW103))))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SUMIFS(CB_plan!$C:$C,CB_plan!$B:$B,$A104)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IF(A104="","",2.78E-7*IF(I104="",Inputs!$B$17,I104)*H104*K104)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IF(A104="","",IF(OR(V104&gt;1,AND(AY104&lt;&gt;"",AY104&lt;Inputs!$B$11),AND(AY104&lt;&gt;"",AY104&gt;Inputs!$B$12),AC104&lt;Inputs!$B$19,AD104&lt;Inputs!$B$19,P104&lt;Inputs!$B$7,P104&gt;Inputs!$B$8),"CHECK","OK"))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  <c r="AW104" s="7">
        <f>IF(A104="","",W104)</f>
        <v/>
      </c>
      <c r="AX104" s="7">
        <f>IF(OR(T104="",P104=""),"",(1/Inputs!$B$9)*((T104/4)^(2/3))*SQRT(P104))</f>
        <v/>
      </c>
      <c r="AY104" s="7">
        <f>IF(A104="","",IF(AND(AW104="",AX104=""),"",IF(OR(UPPER(TRIM(Inputs!$B$24))="MANNING",UPPER(TRIM(Inputs!$B$24))="M"),AX104,IF(OR(UPPER(TRIM(Inputs!$B$24))="MAX",UPPER(TRIM(Inputs!$B$24))="X"),MAX(IF(AW104="",0,AW104),IF(AX104="",0,AX104)),AW104))))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SUMIFS(CB_plan!$C:$C,CB_plan!$B:$B,$A105)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IF(A105="","",2.78E-7*IF(I105="",Inputs!$B$17,I105)*H105*K105)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IF(A105="","",IF(OR(V105&gt;1,AND(AY105&lt;&gt;"",AY105&lt;Inputs!$B$11),AND(AY105&lt;&gt;"",AY105&gt;Inputs!$B$12),AC105&lt;Inputs!$B$19,AD105&lt;Inputs!$B$19,P105&lt;Inputs!$B$7,P105&gt;Inputs!$B$8),"CHECK","OK"))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  <c r="AW105" s="7">
        <f>IF(A105="","",W105)</f>
        <v/>
      </c>
      <c r="AX105" s="7">
        <f>IF(OR(T105="",P105=""),"",(1/Inputs!$B$9)*((T105/4)^(2/3))*SQRT(P105))</f>
        <v/>
      </c>
      <c r="AY105" s="7">
        <f>IF(A105="","",IF(AND(AW105="",AX105=""),"",IF(OR(UPPER(TRIM(Inputs!$B$24))="MANNING",UPPER(TRIM(Inputs!$B$24))="M"),AX105,IF(OR(UPPER(TRIM(Inputs!$B$24))="MAX",UPPER(TRIM(Inputs!$B$24))="X"),MAX(IF(AW105="",0,AW105),IF(AX105="",0,AX105)),AW105))))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SUMIFS(CB_plan!$C:$C,CB_plan!$B:$B,$A106)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IF(A106="","",2.78E-7*IF(I106="",Inputs!$B$17,I106)*H106*K106)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IF(A106="","",IF(OR(V106&gt;1,AND(AY106&lt;&gt;"",AY106&lt;Inputs!$B$11),AND(AY106&lt;&gt;"",AY106&gt;Inputs!$B$12),AC106&lt;Inputs!$B$19,AD106&lt;Inputs!$B$19,P106&lt;Inputs!$B$7,P106&gt;Inputs!$B$8),"CHECK","OK"))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  <c r="AW106" s="7">
        <f>IF(A106="","",W106)</f>
        <v/>
      </c>
      <c r="AX106" s="7">
        <f>IF(OR(T106="",P106=""),"",(1/Inputs!$B$9)*((T106/4)^(2/3))*SQRT(P106))</f>
        <v/>
      </c>
      <c r="AY106" s="7">
        <f>IF(A106="","",IF(AND(AW106="",AX106=""),"",IF(OR(UPPER(TRIM(Inputs!$B$24))="MANNING",UPPER(TRIM(Inputs!$B$24))="M"),AX106,IF(OR(UPPER(TRIM(Inputs!$B$24))="MAX",UPPER(TRIM(Inputs!$B$24))="X"),MAX(IF(AW106="",0,AW106),IF(AX106="",0,AX106)),AW106))))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SUMIFS(CB_plan!$C:$C,CB_plan!$B:$B,$A107)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IF(A107="","",2.78E-7*IF(I107="",Inputs!$B$17,I107)*H107*K107)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IF(A107="","",IF(OR(V107&gt;1,AND(AY107&lt;&gt;"",AY107&lt;Inputs!$B$11),AND(AY107&lt;&gt;"",AY107&gt;Inputs!$B$12),AC107&lt;Inputs!$B$19,AD107&lt;Inputs!$B$19,P107&lt;Inputs!$B$7,P107&gt;Inputs!$B$8),"CHECK","OK"))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  <c r="AW107" s="7">
        <f>IF(A107="","",W107)</f>
        <v/>
      </c>
      <c r="AX107" s="7">
        <f>IF(OR(T107="",P107=""),"",(1/Inputs!$B$9)*((T107/4)^(2/3))*SQRT(P107))</f>
        <v/>
      </c>
      <c r="AY107" s="7">
        <f>IF(A107="","",IF(AND(AW107="",AX107=""),"",IF(OR(UPPER(TRIM(Inputs!$B$24))="MANNING",UPPER(TRIM(Inputs!$B$24))="M"),AX107,IF(OR(UPPER(TRIM(Inputs!$B$24))="MAX",UPPER(TRIM(Inputs!$B$24))="X"),MAX(IF(AW107="",0,AW107),IF(AX107="",0,AX107)),AW107))))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SUMIFS(CB_plan!$C:$C,CB_plan!$B:$B,$A108)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IF(A108="","",2.78E-7*IF(I108="",Inputs!$B$17,I108)*H108*K108)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IF(A108="","",IF(OR(V108&gt;1,AND(AY108&lt;&gt;"",AY108&lt;Inputs!$B$11),AND(AY108&lt;&gt;"",AY108&gt;Inputs!$B$12),AC108&lt;Inputs!$B$19,AD108&lt;Inputs!$B$19,P108&lt;Inputs!$B$7,P108&gt;Inputs!$B$8),"CHECK","OK"))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  <c r="AW108" s="7">
        <f>IF(A108="","",W108)</f>
        <v/>
      </c>
      <c r="AX108" s="7">
        <f>IF(OR(T108="",P108=""),"",(1/Inputs!$B$9)*((T108/4)^(2/3))*SQRT(P108))</f>
        <v/>
      </c>
      <c r="AY108" s="7">
        <f>IF(A108="","",IF(AND(AW108="",AX108=""),"",IF(OR(UPPER(TRIM(Inputs!$B$24))="MANNING",UPPER(TRIM(Inputs!$B$24))="M"),AX108,IF(OR(UPPER(TRIM(Inputs!$B$24))="MAX",UPPER(TRIM(Inputs!$B$24))="X"),MAX(IF(AW108="",0,AW108),IF(AX108="",0,AX108)),AW108))))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SUMIFS(CB_plan!$C:$C,CB_plan!$B:$B,$A109)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IF(A109="","",2.78E-7*IF(I109="",Inputs!$B$17,I109)*H109*K109)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IF(A109="","",IF(OR(V109&gt;1,AND(AY109&lt;&gt;"",AY109&lt;Inputs!$B$11),AND(AY109&lt;&gt;"",AY109&gt;Inputs!$B$12),AC109&lt;Inputs!$B$19,AD109&lt;Inputs!$B$19,P109&lt;Inputs!$B$7,P109&gt;Inputs!$B$8),"CHECK","OK"))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  <c r="AW109" s="7">
        <f>IF(A109="","",W109)</f>
        <v/>
      </c>
      <c r="AX109" s="7">
        <f>IF(OR(T109="",P109=""),"",(1/Inputs!$B$9)*((T109/4)^(2/3))*SQRT(P109))</f>
        <v/>
      </c>
      <c r="AY109" s="7">
        <f>IF(A109="","",IF(AND(AW109="",AX109=""),"",IF(OR(UPPER(TRIM(Inputs!$B$24))="MANNING",UPPER(TRIM(Inputs!$B$24))="M"),AX109,IF(OR(UPPER(TRIM(Inputs!$B$24))="MAX",UPPER(TRIM(Inputs!$B$24))="X"),MAX(IF(AW109="",0,AW109),IF(AX109="",0,AX109)),AW109))))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SUMIFS(CB_plan!$C:$C,CB_plan!$B:$B,$A110)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IF(A110="","",2.78E-7*IF(I110="",Inputs!$B$17,I110)*H110*K110)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IF(A110="","",IF(OR(V110&gt;1,AND(AY110&lt;&gt;"",AY110&lt;Inputs!$B$11),AND(AY110&lt;&gt;"",AY110&gt;Inputs!$B$12),AC110&lt;Inputs!$B$19,AD110&lt;Inputs!$B$19,P110&lt;Inputs!$B$7,P110&gt;Inputs!$B$8),"CHECK","OK"))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  <c r="AW110" s="7">
        <f>IF(A110="","",W110)</f>
        <v/>
      </c>
      <c r="AX110" s="7">
        <f>IF(OR(T110="",P110=""),"",(1/Inputs!$B$9)*((T110/4)^(2/3))*SQRT(P110))</f>
        <v/>
      </c>
      <c r="AY110" s="7">
        <f>IF(A110="","",IF(AND(AW110="",AX110=""),"",IF(OR(UPPER(TRIM(Inputs!$B$24))="MANNING",UPPER(TRIM(Inputs!$B$24))="M"),AX110,IF(OR(UPPER(TRIM(Inputs!$B$24))="MAX",UPPER(TRIM(Inputs!$B$24))="X"),MAX(IF(AW110="",0,AW110),IF(AX110="",0,AX110)),AW110))))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SUMIFS(CB_plan!$C:$C,CB_plan!$B:$B,$A111)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IF(A111="","",2.78E-7*IF(I111="",Inputs!$B$17,I111)*H111*K111)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IF(A111="","",IF(OR(V111&gt;1,AND(AY111&lt;&gt;"",AY111&lt;Inputs!$B$11),AND(AY111&lt;&gt;"",AY111&gt;Inputs!$B$12),AC111&lt;Inputs!$B$19,AD111&lt;Inputs!$B$19,P111&lt;Inputs!$B$7,P111&gt;Inputs!$B$8),"CHECK","OK"))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  <c r="AW111" s="7">
        <f>IF(A111="","",W111)</f>
        <v/>
      </c>
      <c r="AX111" s="7">
        <f>IF(OR(T111="",P111=""),"",(1/Inputs!$B$9)*((T111/4)^(2/3))*SQRT(P111))</f>
        <v/>
      </c>
      <c r="AY111" s="7">
        <f>IF(A111="","",IF(AND(AW111="",AX111=""),"",IF(OR(UPPER(TRIM(Inputs!$B$24))="MANNING",UPPER(TRIM(Inputs!$B$24))="M"),AX111,IF(OR(UPPER(TRIM(Inputs!$B$24))="MAX",UPPER(TRIM(Inputs!$B$24))="X"),MAX(IF(AW111="",0,AW111),IF(AX111="",0,AX111)),AW111))))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SUMIFS(CB_plan!$C:$C,CB_plan!$B:$B,$A112)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IF(A112="","",2.78E-7*IF(I112="",Inputs!$B$17,I112)*H112*K112)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IF(A112="","",IF(OR(V112&gt;1,AND(AY112&lt;&gt;"",AY112&lt;Inputs!$B$11),AND(AY112&lt;&gt;"",AY112&gt;Inputs!$B$12),AC112&lt;Inputs!$B$19,AD112&lt;Inputs!$B$19,P112&lt;Inputs!$B$7,P112&gt;Inputs!$B$8),"CHECK","OK"))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  <c r="AW112" s="7">
        <f>IF(A112="","",W112)</f>
        <v/>
      </c>
      <c r="AX112" s="7">
        <f>IF(OR(T112="",P112=""),"",(1/Inputs!$B$9)*((T112/4)^(2/3))*SQRT(P112))</f>
        <v/>
      </c>
      <c r="AY112" s="7">
        <f>IF(A112="","",IF(AND(AW112="",AX112=""),"",IF(OR(UPPER(TRIM(Inputs!$B$24))="MANNING",UPPER(TRIM(Inputs!$B$24))="M"),AX112,IF(OR(UPPER(TRIM(Inputs!$B$24))="MAX",UPPER(TRIM(Inputs!$B$24))="X"),MAX(IF(AW112="",0,AW112),IF(AX112="",0,AX112)),AW112))))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SUMIFS(CB_plan!$C:$C,CB_plan!$B:$B,$A113)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IF(A113="","",2.78E-7*IF(I113="",Inputs!$B$17,I113)*H113*K113)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IF(A113="","",IF(OR(V113&gt;1,AND(AY113&lt;&gt;"",AY113&lt;Inputs!$B$11),AND(AY113&lt;&gt;"",AY113&gt;Inputs!$B$12),AC113&lt;Inputs!$B$19,AD113&lt;Inputs!$B$19,P113&lt;Inputs!$B$7,P113&gt;Inputs!$B$8),"CHECK","OK"))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  <c r="AW113" s="7">
        <f>IF(A113="","",W113)</f>
        <v/>
      </c>
      <c r="AX113" s="7">
        <f>IF(OR(T113="",P113=""),"",(1/Inputs!$B$9)*((T113/4)^(2/3))*SQRT(P113))</f>
        <v/>
      </c>
      <c r="AY113" s="7">
        <f>IF(A113="","",IF(AND(AW113="",AX113=""),"",IF(OR(UPPER(TRIM(Inputs!$B$24))="MANNING",UPPER(TRIM(Inputs!$B$24))="M"),AX113,IF(OR(UPPER(TRIM(Inputs!$B$24))="MAX",UPPER(TRIM(Inputs!$B$24))="X"),MAX(IF(AW113="",0,AW113),IF(AX113="",0,AX113)),AW113))))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SUMIFS(CB_plan!$C:$C,CB_plan!$B:$B,$A114)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IF(A114="","",2.78E-7*IF(I114="",Inputs!$B$17,I114)*H114*K114)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IF(A114="","",IF(OR(V114&gt;1,AND(AY114&lt;&gt;"",AY114&lt;Inputs!$B$11),AND(AY114&lt;&gt;"",AY114&gt;Inputs!$B$12),AC114&lt;Inputs!$B$19,AD114&lt;Inputs!$B$19,P114&lt;Inputs!$B$7,P114&gt;Inputs!$B$8),"CHECK","OK"))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  <c r="AW114" s="7">
        <f>IF(A114="","",W114)</f>
        <v/>
      </c>
      <c r="AX114" s="7">
        <f>IF(OR(T114="",P114=""),"",(1/Inputs!$B$9)*((T114/4)^(2/3))*SQRT(P114))</f>
        <v/>
      </c>
      <c r="AY114" s="7">
        <f>IF(A114="","",IF(AND(AW114="",AX114=""),"",IF(OR(UPPER(TRIM(Inputs!$B$24))="MANNING",UPPER(TRIM(Inputs!$B$24))="M"),AX114,IF(OR(UPPER(TRIM(Inputs!$B$24))="MAX",UPPER(TRIM(Inputs!$B$24))="X"),MAX(IF(AW114="",0,AW114),IF(AX114="",0,AX114)),AW114))))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SUMIFS(CB_plan!$C:$C,CB_plan!$B:$B,$A115)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IF(A115="","",2.78E-7*IF(I115="",Inputs!$B$17,I115)*H115*K115)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IF(A115="","",IF(OR(V115&gt;1,AND(AY115&lt;&gt;"",AY115&lt;Inputs!$B$11),AND(AY115&lt;&gt;"",AY115&gt;Inputs!$B$12),AC115&lt;Inputs!$B$19,AD115&lt;Inputs!$B$19,P115&lt;Inputs!$B$7,P115&gt;Inputs!$B$8),"CHECK","OK"))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  <c r="AW115" s="7">
        <f>IF(A115="","",W115)</f>
        <v/>
      </c>
      <c r="AX115" s="7">
        <f>IF(OR(T115="",P115=""),"",(1/Inputs!$B$9)*((T115/4)^(2/3))*SQRT(P115))</f>
        <v/>
      </c>
      <c r="AY115" s="7">
        <f>IF(A115="","",IF(AND(AW115="",AX115=""),"",IF(OR(UPPER(TRIM(Inputs!$B$24))="MANNING",UPPER(TRIM(Inputs!$B$24))="M"),AX115,IF(OR(UPPER(TRIM(Inputs!$B$24))="MAX",UPPER(TRIM(Inputs!$B$24))="X"),MAX(IF(AW115="",0,AW115),IF(AX115="",0,AX115)),AW115))))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SUMIFS(CB_plan!$C:$C,CB_plan!$B:$B,$A116)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IF(A116="","",2.78E-7*IF(I116="",Inputs!$B$17,I116)*H116*K116)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IF(A116="","",IF(OR(V116&gt;1,AND(AY116&lt;&gt;"",AY116&lt;Inputs!$B$11),AND(AY116&lt;&gt;"",AY116&gt;Inputs!$B$12),AC116&lt;Inputs!$B$19,AD116&lt;Inputs!$B$19,P116&lt;Inputs!$B$7,P116&gt;Inputs!$B$8),"CHECK","OK"))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  <c r="AW116" s="7">
        <f>IF(A116="","",W116)</f>
        <v/>
      </c>
      <c r="AX116" s="7">
        <f>IF(OR(T116="",P116=""),"",(1/Inputs!$B$9)*((T116/4)^(2/3))*SQRT(P116))</f>
        <v/>
      </c>
      <c r="AY116" s="7">
        <f>IF(A116="","",IF(AND(AW116="",AX116=""),"",IF(OR(UPPER(TRIM(Inputs!$B$24))="MANNING",UPPER(TRIM(Inputs!$B$24))="M"),AX116,IF(OR(UPPER(TRIM(Inputs!$B$24))="MAX",UPPER(TRIM(Inputs!$B$24))="X"),MAX(IF(AW116="",0,AW116),IF(AX116="",0,AX116)),AW116))))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SUMIFS(CB_plan!$C:$C,CB_plan!$B:$B,$A117)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IF(A117="","",2.78E-7*IF(I117="",Inputs!$B$17,I117)*H117*K117)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IF(A117="","",IF(OR(V117&gt;1,AND(AY117&lt;&gt;"",AY117&lt;Inputs!$B$11),AND(AY117&lt;&gt;"",AY117&gt;Inputs!$B$12),AC117&lt;Inputs!$B$19,AD117&lt;Inputs!$B$19,P117&lt;Inputs!$B$7,P117&gt;Inputs!$B$8),"CHECK","OK"))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  <c r="AW117" s="7">
        <f>IF(A117="","",W117)</f>
        <v/>
      </c>
      <c r="AX117" s="7">
        <f>IF(OR(T117="",P117=""),"",(1/Inputs!$B$9)*((T117/4)^(2/3))*SQRT(P117))</f>
        <v/>
      </c>
      <c r="AY117" s="7">
        <f>IF(A117="","",IF(AND(AW117="",AX117=""),"",IF(OR(UPPER(TRIM(Inputs!$B$24))="MANNING",UPPER(TRIM(Inputs!$B$24))="M"),AX117,IF(OR(UPPER(TRIM(Inputs!$B$24))="MAX",UPPER(TRIM(Inputs!$B$24))="X"),MAX(IF(AW117="",0,AW117),IF(AX117="",0,AX117)),AW117))))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SUMIFS(CB_plan!$C:$C,CB_plan!$B:$B,$A118)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IF(A118="","",2.78E-7*IF(I118="",Inputs!$B$17,I118)*H118*K118)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IF(A118="","",IF(OR(V118&gt;1,AND(AY118&lt;&gt;"",AY118&lt;Inputs!$B$11),AND(AY118&lt;&gt;"",AY118&gt;Inputs!$B$12),AC118&lt;Inputs!$B$19,AD118&lt;Inputs!$B$19,P118&lt;Inputs!$B$7,P118&gt;Inputs!$B$8),"CHECK","OK"))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  <c r="AW118" s="7">
        <f>IF(A118="","",W118)</f>
        <v/>
      </c>
      <c r="AX118" s="7">
        <f>IF(OR(T118="",P118=""),"",(1/Inputs!$B$9)*((T118/4)^(2/3))*SQRT(P118))</f>
        <v/>
      </c>
      <c r="AY118" s="7">
        <f>IF(A118="","",IF(AND(AW118="",AX118=""),"",IF(OR(UPPER(TRIM(Inputs!$B$24))="MANNING",UPPER(TRIM(Inputs!$B$24))="M"),AX118,IF(OR(UPPER(TRIM(Inputs!$B$24))="MAX",UPPER(TRIM(Inputs!$B$24))="X"),MAX(IF(AW118="",0,AW118),IF(AX118="",0,AX118)),AW118))))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SUMIFS(CB_plan!$C:$C,CB_plan!$B:$B,$A119)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IF(A119="","",2.78E-7*IF(I119="",Inputs!$B$17,I119)*H119*K119)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IF(A119="","",IF(OR(V119&gt;1,AND(AY119&lt;&gt;"",AY119&lt;Inputs!$B$11),AND(AY119&lt;&gt;"",AY119&gt;Inputs!$B$12),AC119&lt;Inputs!$B$19,AD119&lt;Inputs!$B$19,P119&lt;Inputs!$B$7,P119&gt;Inputs!$B$8),"CHECK","OK"))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  <c r="AW119" s="7">
        <f>IF(A119="","",W119)</f>
        <v/>
      </c>
      <c r="AX119" s="7">
        <f>IF(OR(T119="",P119=""),"",(1/Inputs!$B$9)*((T119/4)^(2/3))*SQRT(P119))</f>
        <v/>
      </c>
      <c r="AY119" s="7">
        <f>IF(A119="","",IF(AND(AW119="",AX119=""),"",IF(OR(UPPER(TRIM(Inputs!$B$24))="MANNING",UPPER(TRIM(Inputs!$B$24))="M"),AX119,IF(OR(UPPER(TRIM(Inputs!$B$24))="MAX",UPPER(TRIM(Inputs!$B$24))="X"),MAX(IF(AW119="",0,AW119),IF(AX119="",0,AX119)),AW119))))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SUMIFS(CB_plan!$C:$C,CB_plan!$B:$B,$A120)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IF(A120="","",2.78E-7*IF(I120="",Inputs!$B$17,I120)*H120*K120)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IF(A120="","",IF(OR(V120&gt;1,AND(AY120&lt;&gt;"",AY120&lt;Inputs!$B$11),AND(AY120&lt;&gt;"",AY120&gt;Inputs!$B$12),AC120&lt;Inputs!$B$19,AD120&lt;Inputs!$B$19,P120&lt;Inputs!$B$7,P120&gt;Inputs!$B$8),"CHECK","OK"))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  <c r="AW120" s="7">
        <f>IF(A120="","",W120)</f>
        <v/>
      </c>
      <c r="AX120" s="7">
        <f>IF(OR(T120="",P120=""),"",(1/Inputs!$B$9)*((T120/4)^(2/3))*SQRT(P120))</f>
        <v/>
      </c>
      <c r="AY120" s="7">
        <f>IF(A120="","",IF(AND(AW120="",AX120=""),"",IF(OR(UPPER(TRIM(Inputs!$B$24))="MANNING",UPPER(TRIM(Inputs!$B$24))="M"),AX120,IF(OR(UPPER(TRIM(Inputs!$B$24))="MAX",UPPER(TRIM(Inputs!$B$24))="X"),MAX(IF(AW120="",0,AW120),IF(AX120="",0,AX120)),AW120))))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SUMIFS(CB_plan!$C:$C,CB_plan!$B:$B,$A121)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IF(A121="","",2.78E-7*IF(I121="",Inputs!$B$17,I121)*H121*K121)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IF(A121="","",IF(OR(V121&gt;1,AND(AY121&lt;&gt;"",AY121&lt;Inputs!$B$11),AND(AY121&lt;&gt;"",AY121&gt;Inputs!$B$12),AC121&lt;Inputs!$B$19,AD121&lt;Inputs!$B$19,P121&lt;Inputs!$B$7,P121&gt;Inputs!$B$8),"CHECK","OK"))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  <c r="AW121" s="7">
        <f>IF(A121="","",W121)</f>
        <v/>
      </c>
      <c r="AX121" s="7">
        <f>IF(OR(T121="",P121=""),"",(1/Inputs!$B$9)*((T121/4)^(2/3))*SQRT(P121))</f>
        <v/>
      </c>
      <c r="AY121" s="7">
        <f>IF(A121="","",IF(AND(AW121="",AX121=""),"",IF(OR(UPPER(TRIM(Inputs!$B$24))="MANNING",UPPER(TRIM(Inputs!$B$24))="M"),AX121,IF(OR(UPPER(TRIM(Inputs!$B$24))="MAX",UPPER(TRIM(Inputs!$B$24))="X"),MAX(IF(AW121="",0,AW121),IF(AX121="",0,AX121)),AW121))))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SUMIFS(CB_plan!$C:$C,CB_plan!$B:$B,$A122)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IF(A122="","",2.78E-7*IF(I122="",Inputs!$B$17,I122)*H122*K122)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IF(A122="","",IF(OR(V122&gt;1,AND(AY122&lt;&gt;"",AY122&lt;Inputs!$B$11),AND(AY122&lt;&gt;"",AY122&gt;Inputs!$B$12),AC122&lt;Inputs!$B$19,AD122&lt;Inputs!$B$19,P122&lt;Inputs!$B$7,P122&gt;Inputs!$B$8),"CHECK","OK"))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  <c r="AW122" s="7">
        <f>IF(A122="","",W122)</f>
        <v/>
      </c>
      <c r="AX122" s="7">
        <f>IF(OR(T122="",P122=""),"",(1/Inputs!$B$9)*((T122/4)^(2/3))*SQRT(P122))</f>
        <v/>
      </c>
      <c r="AY122" s="7">
        <f>IF(A122="","",IF(AND(AW122="",AX122=""),"",IF(OR(UPPER(TRIM(Inputs!$B$24))="MANNING",UPPER(TRIM(Inputs!$B$24))="M"),AX122,IF(OR(UPPER(TRIM(Inputs!$B$24))="MAX",UPPER(TRIM(Inputs!$B$24))="X"),MAX(IF(AW122="",0,AW122),IF(AX122="",0,AX122)),AW122))))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SUMIFS(CB_plan!$C:$C,CB_plan!$B:$B,$A123)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IF(A123="","",2.78E-7*IF(I123="",Inputs!$B$17,I123)*H123*K123)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IF(A123="","",IF(OR(V123&gt;1,AND(AY123&lt;&gt;"",AY123&lt;Inputs!$B$11),AND(AY123&lt;&gt;"",AY123&gt;Inputs!$B$12),AC123&lt;Inputs!$B$19,AD123&lt;Inputs!$B$19,P123&lt;Inputs!$B$7,P123&gt;Inputs!$B$8),"CHECK","OK"))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  <c r="AW123" s="7">
        <f>IF(A123="","",W123)</f>
        <v/>
      </c>
      <c r="AX123" s="7">
        <f>IF(OR(T123="",P123=""),"",(1/Inputs!$B$9)*((T123/4)^(2/3))*SQRT(P123))</f>
        <v/>
      </c>
      <c r="AY123" s="7">
        <f>IF(A123="","",IF(AND(AW123="",AX123=""),"",IF(OR(UPPER(TRIM(Inputs!$B$24))="MANNING",UPPER(TRIM(Inputs!$B$24))="M"),AX123,IF(OR(UPPER(TRIM(Inputs!$B$24))="MAX",UPPER(TRIM(Inputs!$B$24))="X"),MAX(IF(AW123="",0,AW123),IF(AX123="",0,AX123)),AW123))))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SUMIFS(CB_plan!$C:$C,CB_plan!$B:$B,$A124)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IF(A124="","",2.78E-7*IF(I124="",Inputs!$B$17,I124)*H124*K124)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IF(A124="","",IF(OR(V124&gt;1,AND(AY124&lt;&gt;"",AY124&lt;Inputs!$B$11),AND(AY124&lt;&gt;"",AY124&gt;Inputs!$B$12),AC124&lt;Inputs!$B$19,AD124&lt;Inputs!$B$19,P124&lt;Inputs!$B$7,P124&gt;Inputs!$B$8),"CHECK","OK"))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  <c r="AW124" s="7">
        <f>IF(A124="","",W124)</f>
        <v/>
      </c>
      <c r="AX124" s="7">
        <f>IF(OR(T124="",P124=""),"",(1/Inputs!$B$9)*((T124/4)^(2/3))*SQRT(P124))</f>
        <v/>
      </c>
      <c r="AY124" s="7">
        <f>IF(A124="","",IF(AND(AW124="",AX124=""),"",IF(OR(UPPER(TRIM(Inputs!$B$24))="MANNING",UPPER(TRIM(Inputs!$B$24))="M"),AX124,IF(OR(UPPER(TRIM(Inputs!$B$24))="MAX",UPPER(TRIM(Inputs!$B$24))="X"),MAX(IF(AW124="",0,AW124),IF(AX124="",0,AX124)),AW124))))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SUMIFS(CB_plan!$C:$C,CB_plan!$B:$B,$A125)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IF(A125="","",2.78E-7*IF(I125="",Inputs!$B$17,I125)*H125*K125)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IF(A125="","",IF(OR(V125&gt;1,AND(AY125&lt;&gt;"",AY125&lt;Inputs!$B$11),AND(AY125&lt;&gt;"",AY125&gt;Inputs!$B$12),AC125&lt;Inputs!$B$19,AD125&lt;Inputs!$B$19,P125&lt;Inputs!$B$7,P125&gt;Inputs!$B$8),"CHECK","OK"))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  <c r="AW125" s="7">
        <f>IF(A125="","",W125)</f>
        <v/>
      </c>
      <c r="AX125" s="7">
        <f>IF(OR(T125="",P125=""),"",(1/Inputs!$B$9)*((T125/4)^(2/3))*SQRT(P125))</f>
        <v/>
      </c>
      <c r="AY125" s="7">
        <f>IF(A125="","",IF(AND(AW125="",AX125=""),"",IF(OR(UPPER(TRIM(Inputs!$B$24))="MANNING",UPPER(TRIM(Inputs!$B$24))="M"),AX125,IF(OR(UPPER(TRIM(Inputs!$B$24))="MAX",UPPER(TRIM(Inputs!$B$24))="X"),MAX(IF(AW125="",0,AW125),IF(AX125="",0,AX125)),AW125))))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SUMIFS(CB_plan!$C:$C,CB_plan!$B:$B,$A126)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IF(A126="","",2.78E-7*IF(I126="",Inputs!$B$17,I126)*H126*K126)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IF(A126="","",IF(OR(V126&gt;1,AND(AY126&lt;&gt;"",AY126&lt;Inputs!$B$11),AND(AY126&lt;&gt;"",AY126&gt;Inputs!$B$12),AC126&lt;Inputs!$B$19,AD126&lt;Inputs!$B$19,P126&lt;Inputs!$B$7,P126&gt;Inputs!$B$8),"CHECK","OK"))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  <c r="AW126" s="7">
        <f>IF(A126="","",W126)</f>
        <v/>
      </c>
      <c r="AX126" s="7">
        <f>IF(OR(T126="",P126=""),"",(1/Inputs!$B$9)*((T126/4)^(2/3))*SQRT(P126))</f>
        <v/>
      </c>
      <c r="AY126" s="7">
        <f>IF(A126="","",IF(AND(AW126="",AX126=""),"",IF(OR(UPPER(TRIM(Inputs!$B$24))="MANNING",UPPER(TRIM(Inputs!$B$24))="M"),AX126,IF(OR(UPPER(TRIM(Inputs!$B$24))="MAX",UPPER(TRIM(Inputs!$B$24))="X"),MAX(IF(AW126="",0,AW126),IF(AX126="",0,AX126)),AW126))))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SUMIFS(CB_plan!$C:$C,CB_plan!$B:$B,$A127)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IF(A127="","",2.78E-7*IF(I127="",Inputs!$B$17,I127)*H127*K127)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IF(A127="","",IF(OR(V127&gt;1,AND(AY127&lt;&gt;"",AY127&lt;Inputs!$B$11),AND(AY127&lt;&gt;"",AY127&gt;Inputs!$B$12),AC127&lt;Inputs!$B$19,AD127&lt;Inputs!$B$19,P127&lt;Inputs!$B$7,P127&gt;Inputs!$B$8),"CHECK","OK"))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  <c r="AW127" s="7">
        <f>IF(A127="","",W127)</f>
        <v/>
      </c>
      <c r="AX127" s="7">
        <f>IF(OR(T127="",P127=""),"",(1/Inputs!$B$9)*((T127/4)^(2/3))*SQRT(P127))</f>
        <v/>
      </c>
      <c r="AY127" s="7">
        <f>IF(A127="","",IF(AND(AW127="",AX127=""),"",IF(OR(UPPER(TRIM(Inputs!$B$24))="MANNING",UPPER(TRIM(Inputs!$B$24))="M"),AX127,IF(OR(UPPER(TRIM(Inputs!$B$24))="MAX",UPPER(TRIM(Inputs!$B$24))="X"),MAX(IF(AW127="",0,AW127),IF(AX127="",0,AX127)),AW127))))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SUMIFS(CB_plan!$C:$C,CB_plan!$B:$B,$A128)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IF(A128="","",2.78E-7*IF(I128="",Inputs!$B$17,I128)*H128*K128)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IF(A128="","",IF(OR(V128&gt;1,AND(AY128&lt;&gt;"",AY128&lt;Inputs!$B$11),AND(AY128&lt;&gt;"",AY128&gt;Inputs!$B$12),AC128&lt;Inputs!$B$19,AD128&lt;Inputs!$B$19,P128&lt;Inputs!$B$7,P128&gt;Inputs!$B$8),"CHECK","OK"))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  <c r="AW128" s="7">
        <f>IF(A128="","",W128)</f>
        <v/>
      </c>
      <c r="AX128" s="7">
        <f>IF(OR(T128="",P128=""),"",(1/Inputs!$B$9)*((T128/4)^(2/3))*SQRT(P128))</f>
        <v/>
      </c>
      <c r="AY128" s="7">
        <f>IF(A128="","",IF(AND(AW128="",AX128=""),"",IF(OR(UPPER(TRIM(Inputs!$B$24))="MANNING",UPPER(TRIM(Inputs!$B$24))="M"),AX128,IF(OR(UPPER(TRIM(Inputs!$B$24))="MAX",UPPER(TRIM(Inputs!$B$24))="X"),MAX(IF(AW128="",0,AW128),IF(AX128="",0,AX128)),AW128))))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SUMIFS(CB_plan!$C:$C,CB_plan!$B:$B,$A129)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IF(A129="","",2.78E-7*IF(I129="",Inputs!$B$17,I129)*H129*K129)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IF(A129="","",IF(OR(V129&gt;1,AND(AY129&lt;&gt;"",AY129&lt;Inputs!$B$11),AND(AY129&lt;&gt;"",AY129&gt;Inputs!$B$12),AC129&lt;Inputs!$B$19,AD129&lt;Inputs!$B$19,P129&lt;Inputs!$B$7,P129&gt;Inputs!$B$8),"CHECK","OK"))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  <c r="AW129" s="7">
        <f>IF(A129="","",W129)</f>
        <v/>
      </c>
      <c r="AX129" s="7">
        <f>IF(OR(T129="",P129=""),"",(1/Inputs!$B$9)*((T129/4)^(2/3))*SQRT(P129))</f>
        <v/>
      </c>
      <c r="AY129" s="7">
        <f>IF(A129="","",IF(AND(AW129="",AX129=""),"",IF(OR(UPPER(TRIM(Inputs!$B$24))="MANNING",UPPER(TRIM(Inputs!$B$24))="M"),AX129,IF(OR(UPPER(TRIM(Inputs!$B$24))="MAX",UPPER(TRIM(Inputs!$B$24))="X"),MAX(IF(AW129="",0,AW129),IF(AX129="",0,AX129)),AW129))))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SUMIFS(CB_plan!$C:$C,CB_plan!$B:$B,$A130)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IF(A130="","",2.78E-7*IF(I130="",Inputs!$B$17,I130)*H130*K130)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IF(A130="","",IF(OR(V130&gt;1,AND(AY130&lt;&gt;"",AY130&lt;Inputs!$B$11),AND(AY130&lt;&gt;"",AY130&gt;Inputs!$B$12),AC130&lt;Inputs!$B$19,AD130&lt;Inputs!$B$19,P130&lt;Inputs!$B$7,P130&gt;Inputs!$B$8),"CHECK","OK"))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  <c r="AW130" s="7">
        <f>IF(A130="","",W130)</f>
        <v/>
      </c>
      <c r="AX130" s="7">
        <f>IF(OR(T130="",P130=""),"",(1/Inputs!$B$9)*((T130/4)^(2/3))*SQRT(P130))</f>
        <v/>
      </c>
      <c r="AY130" s="7">
        <f>IF(A130="","",IF(AND(AW130="",AX130=""),"",IF(OR(UPPER(TRIM(Inputs!$B$24))="MANNING",UPPER(TRIM(Inputs!$B$24))="M"),AX130,IF(OR(UPPER(TRIM(Inputs!$B$24))="MAX",UPPER(TRIM(Inputs!$B$24))="X"),MAX(IF(AW130="",0,AW130),IF(AX130="",0,AX130)),AW130))))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SUMIFS(CB_plan!$C:$C,CB_plan!$B:$B,$A131)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IF(A131="","",2.78E-7*IF(I131="",Inputs!$B$17,I131)*H131*K131)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IF(A131="","",IF(OR(V131&gt;1,AND(AY131&lt;&gt;"",AY131&lt;Inputs!$B$11),AND(AY131&lt;&gt;"",AY131&gt;Inputs!$B$12),AC131&lt;Inputs!$B$19,AD131&lt;Inputs!$B$19,P131&lt;Inputs!$B$7,P131&gt;Inputs!$B$8),"CHECK","OK"))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  <c r="AW131" s="7">
        <f>IF(A131="","",W131)</f>
        <v/>
      </c>
      <c r="AX131" s="7">
        <f>IF(OR(T131="",P131=""),"",(1/Inputs!$B$9)*((T131/4)^(2/3))*SQRT(P131))</f>
        <v/>
      </c>
      <c r="AY131" s="7">
        <f>IF(A131="","",IF(AND(AW131="",AX131=""),"",IF(OR(UPPER(TRIM(Inputs!$B$24))="MANNING",UPPER(TRIM(Inputs!$B$24))="M"),AX131,IF(OR(UPPER(TRIM(Inputs!$B$24))="MAX",UPPER(TRIM(Inputs!$B$24))="X"),MAX(IF(AW131="",0,AW131),IF(AX131="",0,AX131)),AW131))))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SUMIFS(CB_plan!$C:$C,CB_plan!$B:$B,$A132)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IF(A132="","",2.78E-7*IF(I132="",Inputs!$B$17,I132)*H132*K132)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IF(A132="","",IF(OR(V132&gt;1,AND(AY132&lt;&gt;"",AY132&lt;Inputs!$B$11),AND(AY132&lt;&gt;"",AY132&gt;Inputs!$B$12),AC132&lt;Inputs!$B$19,AD132&lt;Inputs!$B$19,P132&lt;Inputs!$B$7,P132&gt;Inputs!$B$8),"CHECK","OK"))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  <c r="AW132" s="7">
        <f>IF(A132="","",W132)</f>
        <v/>
      </c>
      <c r="AX132" s="7">
        <f>IF(OR(T132="",P132=""),"",(1/Inputs!$B$9)*((T132/4)^(2/3))*SQRT(P132))</f>
        <v/>
      </c>
      <c r="AY132" s="7">
        <f>IF(A132="","",IF(AND(AW132="",AX132=""),"",IF(OR(UPPER(TRIM(Inputs!$B$24))="MANNING",UPPER(TRIM(Inputs!$B$24))="M"),AX132,IF(OR(UPPER(TRIM(Inputs!$B$24))="MAX",UPPER(TRIM(Inputs!$B$24))="X"),MAX(IF(AW132="",0,AW132),IF(AX132="",0,AX132)),AW132))))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SUMIFS(CB_plan!$C:$C,CB_plan!$B:$B,$A133)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IF(A133="","",2.78E-7*IF(I133="",Inputs!$B$17,I133)*H133*K133)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IF(A133="","",IF(OR(V133&gt;1,AND(AY133&lt;&gt;"",AY133&lt;Inputs!$B$11),AND(AY133&lt;&gt;"",AY133&gt;Inputs!$B$12),AC133&lt;Inputs!$B$19,AD133&lt;Inputs!$B$19,P133&lt;Inputs!$B$7,P133&gt;Inputs!$B$8),"CHECK","OK"))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  <c r="AW133" s="7">
        <f>IF(A133="","",W133)</f>
        <v/>
      </c>
      <c r="AX133" s="7">
        <f>IF(OR(T133="",P133=""),"",(1/Inputs!$B$9)*((T133/4)^(2/3))*SQRT(P133))</f>
        <v/>
      </c>
      <c r="AY133" s="7">
        <f>IF(A133="","",IF(AND(AW133="",AX133=""),"",IF(OR(UPPER(TRIM(Inputs!$B$24))="MANNING",UPPER(TRIM(Inputs!$B$24))="M"),AX133,IF(OR(UPPER(TRIM(Inputs!$B$24))="MAX",UPPER(TRIM(Inputs!$B$24))="X"),MAX(IF(AW133="",0,AW133),IF(AX133="",0,AX133)),AW133))))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SUMIFS(CB_plan!$C:$C,CB_plan!$B:$B,$A134)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IF(A134="","",2.78E-7*IF(I134="",Inputs!$B$17,I134)*H134*K134)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IF(A134="","",IF(OR(V134&gt;1,AND(AY134&lt;&gt;"",AY134&lt;Inputs!$B$11),AND(AY134&lt;&gt;"",AY134&gt;Inputs!$B$12),AC134&lt;Inputs!$B$19,AD134&lt;Inputs!$B$19,P134&lt;Inputs!$B$7,P134&gt;Inputs!$B$8),"CHECK","OK"))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  <c r="AW134" s="7">
        <f>IF(A134="","",W134)</f>
        <v/>
      </c>
      <c r="AX134" s="7">
        <f>IF(OR(T134="",P134=""),"",(1/Inputs!$B$9)*((T134/4)^(2/3))*SQRT(P134))</f>
        <v/>
      </c>
      <c r="AY134" s="7">
        <f>IF(A134="","",IF(AND(AW134="",AX134=""),"",IF(OR(UPPER(TRIM(Inputs!$B$24))="MANNING",UPPER(TRIM(Inputs!$B$24))="M"),AX134,IF(OR(UPPER(TRIM(Inputs!$B$24))="MAX",UPPER(TRIM(Inputs!$B$24))="X"),MAX(IF(AW134="",0,AW134),IF(AX134="",0,AX134)),AW134))))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SUMIFS(CB_plan!$C:$C,CB_plan!$B:$B,$A135)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IF(A135="","",2.78E-7*IF(I135="",Inputs!$B$17,I135)*H135*K135)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IF(A135="","",IF(OR(V135&gt;1,AND(AY135&lt;&gt;"",AY135&lt;Inputs!$B$11),AND(AY135&lt;&gt;"",AY135&gt;Inputs!$B$12),AC135&lt;Inputs!$B$19,AD135&lt;Inputs!$B$19,P135&lt;Inputs!$B$7,P135&gt;Inputs!$B$8),"CHECK","OK"))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  <c r="AW135" s="7">
        <f>IF(A135="","",W135)</f>
        <v/>
      </c>
      <c r="AX135" s="7">
        <f>IF(OR(T135="",P135=""),"",(1/Inputs!$B$9)*((T135/4)^(2/3))*SQRT(P135))</f>
        <v/>
      </c>
      <c r="AY135" s="7">
        <f>IF(A135="","",IF(AND(AW135="",AX135=""),"",IF(OR(UPPER(TRIM(Inputs!$B$24))="MANNING",UPPER(TRIM(Inputs!$B$24))="M"),AX135,IF(OR(UPPER(TRIM(Inputs!$B$24))="MAX",UPPER(TRIM(Inputs!$B$24))="X"),MAX(IF(AW135="",0,AW135),IF(AX135="",0,AX135)),AW135))))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SUMIFS(CB_plan!$C:$C,CB_plan!$B:$B,$A136)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IF(A136="","",2.78E-7*IF(I136="",Inputs!$B$17,I136)*H136*K136)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IF(A136="","",IF(OR(V136&gt;1,AND(AY136&lt;&gt;"",AY136&lt;Inputs!$B$11),AND(AY136&lt;&gt;"",AY136&gt;Inputs!$B$12),AC136&lt;Inputs!$B$19,AD136&lt;Inputs!$B$19,P136&lt;Inputs!$B$7,P136&gt;Inputs!$B$8),"CHECK","OK"))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  <c r="AW136" s="7">
        <f>IF(A136="","",W136)</f>
        <v/>
      </c>
      <c r="AX136" s="7">
        <f>IF(OR(T136="",P136=""),"",(1/Inputs!$B$9)*((T136/4)^(2/3))*SQRT(P136))</f>
        <v/>
      </c>
      <c r="AY136" s="7">
        <f>IF(A136="","",IF(AND(AW136="",AX136=""),"",IF(OR(UPPER(TRIM(Inputs!$B$24))="MANNING",UPPER(TRIM(Inputs!$B$24))="M"),AX136,IF(OR(UPPER(TRIM(Inputs!$B$24))="MAX",UPPER(TRIM(Inputs!$B$24))="X"),MAX(IF(AW136="",0,AW136),IF(AX136="",0,AX136)),AW136))))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SUMIFS(CB_plan!$C:$C,CB_plan!$B:$B,$A137)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IF(A137="","",2.78E-7*IF(I137="",Inputs!$B$17,I137)*H137*K137)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IF(A137="","",IF(OR(V137&gt;1,AND(AY137&lt;&gt;"",AY137&lt;Inputs!$B$11),AND(AY137&lt;&gt;"",AY137&gt;Inputs!$B$12),AC137&lt;Inputs!$B$19,AD137&lt;Inputs!$B$19,P137&lt;Inputs!$B$7,P137&gt;Inputs!$B$8),"CHECK","OK"))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  <c r="AW137" s="7">
        <f>IF(A137="","",W137)</f>
        <v/>
      </c>
      <c r="AX137" s="7">
        <f>IF(OR(T137="",P137=""),"",(1/Inputs!$B$9)*((T137/4)^(2/3))*SQRT(P137))</f>
        <v/>
      </c>
      <c r="AY137" s="7">
        <f>IF(A137="","",IF(AND(AW137="",AX137=""),"",IF(OR(UPPER(TRIM(Inputs!$B$24))="MANNING",UPPER(TRIM(Inputs!$B$24))="M"),AX137,IF(OR(UPPER(TRIM(Inputs!$B$24))="MAX",UPPER(TRIM(Inputs!$B$24))="X"),MAX(IF(AW137="",0,AW137),IF(AX137="",0,AX137)),AW137))))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SUMIFS(CB_plan!$C:$C,CB_plan!$B:$B,$A138)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IF(A138="","",2.78E-7*IF(I138="",Inputs!$B$17,I138)*H138*K138)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IF(A138="","",IF(OR(V138&gt;1,AND(AY138&lt;&gt;"",AY138&lt;Inputs!$B$11),AND(AY138&lt;&gt;"",AY138&gt;Inputs!$B$12),AC138&lt;Inputs!$B$19,AD138&lt;Inputs!$B$19,P138&lt;Inputs!$B$7,P138&gt;Inputs!$B$8),"CHECK","OK"))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  <c r="AW138" s="7">
        <f>IF(A138="","",W138)</f>
        <v/>
      </c>
      <c r="AX138" s="7">
        <f>IF(OR(T138="",P138=""),"",(1/Inputs!$B$9)*((T138/4)^(2/3))*SQRT(P138))</f>
        <v/>
      </c>
      <c r="AY138" s="7">
        <f>IF(A138="","",IF(AND(AW138="",AX138=""),"",IF(OR(UPPER(TRIM(Inputs!$B$24))="MANNING",UPPER(TRIM(Inputs!$B$24))="M"),AX138,IF(OR(UPPER(TRIM(Inputs!$B$24))="MAX",UPPER(TRIM(Inputs!$B$24))="X"),MAX(IF(AW138="",0,AW138),IF(AX138="",0,AX138)),AW138))))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SUMIFS(CB_plan!$C:$C,CB_plan!$B:$B,$A139)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IF(A139="","",2.78E-7*IF(I139="",Inputs!$B$17,I139)*H139*K139)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IF(A139="","",IF(OR(V139&gt;1,AND(AY139&lt;&gt;"",AY139&lt;Inputs!$B$11),AND(AY139&lt;&gt;"",AY139&gt;Inputs!$B$12),AC139&lt;Inputs!$B$19,AD139&lt;Inputs!$B$19,P139&lt;Inputs!$B$7,P139&gt;Inputs!$B$8),"CHECK","OK"))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  <c r="AW139" s="7">
        <f>IF(A139="","",W139)</f>
        <v/>
      </c>
      <c r="AX139" s="7">
        <f>IF(OR(T139="",P139=""),"",(1/Inputs!$B$9)*((T139/4)^(2/3))*SQRT(P139))</f>
        <v/>
      </c>
      <c r="AY139" s="7">
        <f>IF(A139="","",IF(AND(AW139="",AX139=""),"",IF(OR(UPPER(TRIM(Inputs!$B$24))="MANNING",UPPER(TRIM(Inputs!$B$24))="M"),AX139,IF(OR(UPPER(TRIM(Inputs!$B$24))="MAX",UPPER(TRIM(Inputs!$B$24))="X"),MAX(IF(AW139="",0,AW139),IF(AX139="",0,AX139)),AW139))))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SUMIFS(CB_plan!$C:$C,CB_plan!$B:$B,$A140)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IF(A140="","",2.78E-7*IF(I140="",Inputs!$B$17,I140)*H140*K140)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IF(A140="","",IF(OR(V140&gt;1,AND(AY140&lt;&gt;"",AY140&lt;Inputs!$B$11),AND(AY140&lt;&gt;"",AY140&gt;Inputs!$B$12),AC140&lt;Inputs!$B$19,AD140&lt;Inputs!$B$19,P140&lt;Inputs!$B$7,P140&gt;Inputs!$B$8),"CHECK","OK"))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  <c r="AW140" s="7">
        <f>IF(A140="","",W140)</f>
        <v/>
      </c>
      <c r="AX140" s="7">
        <f>IF(OR(T140="",P140=""),"",(1/Inputs!$B$9)*((T140/4)^(2/3))*SQRT(P140))</f>
        <v/>
      </c>
      <c r="AY140" s="7">
        <f>IF(A140="","",IF(AND(AW140="",AX140=""),"",IF(OR(UPPER(TRIM(Inputs!$B$24))="MANNING",UPPER(TRIM(Inputs!$B$24))="M"),AX140,IF(OR(UPPER(TRIM(Inputs!$B$24))="MAX",UPPER(TRIM(Inputs!$B$24))="X"),MAX(IF(AW140="",0,AW140),IF(AX140="",0,AX140)),AW140))))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SUMIFS(CB_plan!$C:$C,CB_plan!$B:$B,$A141)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IF(A141="","",2.78E-7*IF(I141="",Inputs!$B$17,I141)*H141*K141)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IF(A141="","",IF(OR(V141&gt;1,AND(AY141&lt;&gt;"",AY141&lt;Inputs!$B$11),AND(AY141&lt;&gt;"",AY141&gt;Inputs!$B$12),AC141&lt;Inputs!$B$19,AD141&lt;Inputs!$B$19,P141&lt;Inputs!$B$7,P141&gt;Inputs!$B$8),"CHECK","OK"))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  <c r="AW141" s="7">
        <f>IF(A141="","",W141)</f>
        <v/>
      </c>
      <c r="AX141" s="7">
        <f>IF(OR(T141="",P141=""),"",(1/Inputs!$B$9)*((T141/4)^(2/3))*SQRT(P141))</f>
        <v/>
      </c>
      <c r="AY141" s="7">
        <f>IF(A141="","",IF(AND(AW141="",AX141=""),"",IF(OR(UPPER(TRIM(Inputs!$B$24))="MANNING",UPPER(TRIM(Inputs!$B$24))="M"),AX141,IF(OR(UPPER(TRIM(Inputs!$B$24))="MAX",UPPER(TRIM(Inputs!$B$24))="X"),MAX(IF(AW141="",0,AW141),IF(AX141="",0,AX141)),AW141))))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SUMIFS(CB_plan!$C:$C,CB_plan!$B:$B,$A142)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IF(A142="","",2.78E-7*IF(I142="",Inputs!$B$17,I142)*H142*K142)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IF(A142="","",IF(OR(V142&gt;1,AND(AY142&lt;&gt;"",AY142&lt;Inputs!$B$11),AND(AY142&lt;&gt;"",AY142&gt;Inputs!$B$12),AC142&lt;Inputs!$B$19,AD142&lt;Inputs!$B$19,P142&lt;Inputs!$B$7,P142&gt;Inputs!$B$8),"CHECK","OK"))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  <c r="AW142" s="7">
        <f>IF(A142="","",W142)</f>
        <v/>
      </c>
      <c r="AX142" s="7">
        <f>IF(OR(T142="",P142=""),"",(1/Inputs!$B$9)*((T142/4)^(2/3))*SQRT(P142))</f>
        <v/>
      </c>
      <c r="AY142" s="7">
        <f>IF(A142="","",IF(AND(AW142="",AX142=""),"",IF(OR(UPPER(TRIM(Inputs!$B$24))="MANNING",UPPER(TRIM(Inputs!$B$24))="M"),AX142,IF(OR(UPPER(TRIM(Inputs!$B$24))="MAX",UPPER(TRIM(Inputs!$B$24))="X"),MAX(IF(AW142="",0,AW142),IF(AX142="",0,AX142)),AW142))))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SUMIFS(CB_plan!$C:$C,CB_plan!$B:$B,$A143)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IF(A143="","",2.78E-7*IF(I143="",Inputs!$B$17,I143)*H143*K143)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IF(A143="","",IF(OR(V143&gt;1,AND(AY143&lt;&gt;"",AY143&lt;Inputs!$B$11),AND(AY143&lt;&gt;"",AY143&gt;Inputs!$B$12),AC143&lt;Inputs!$B$19,AD143&lt;Inputs!$B$19,P143&lt;Inputs!$B$7,P143&gt;Inputs!$B$8),"CHECK","OK"))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  <c r="AW143" s="7">
        <f>IF(A143="","",W143)</f>
        <v/>
      </c>
      <c r="AX143" s="7">
        <f>IF(OR(T143="",P143=""),"",(1/Inputs!$B$9)*((T143/4)^(2/3))*SQRT(P143))</f>
        <v/>
      </c>
      <c r="AY143" s="7">
        <f>IF(A143="","",IF(AND(AW143="",AX143=""),"",IF(OR(UPPER(TRIM(Inputs!$B$24))="MANNING",UPPER(TRIM(Inputs!$B$24))="M"),AX143,IF(OR(UPPER(TRIM(Inputs!$B$24))="MAX",UPPER(TRIM(Inputs!$B$24))="X"),MAX(IF(AW143="",0,AW143),IF(AX143="",0,AX143)),AW143))))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SUMIFS(CB_plan!$C:$C,CB_plan!$B:$B,$A144)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IF(A144="","",2.78E-7*IF(I144="",Inputs!$B$17,I144)*H144*K144)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IF(A144="","",IF(OR(V144&gt;1,AND(AY144&lt;&gt;"",AY144&lt;Inputs!$B$11),AND(AY144&lt;&gt;"",AY144&gt;Inputs!$B$12),AC144&lt;Inputs!$B$19,AD144&lt;Inputs!$B$19,P144&lt;Inputs!$B$7,P144&gt;Inputs!$B$8),"CHECK","OK"))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  <c r="AW144" s="7">
        <f>IF(A144="","",W144)</f>
        <v/>
      </c>
      <c r="AX144" s="7">
        <f>IF(OR(T144="",P144=""),"",(1/Inputs!$B$9)*((T144/4)^(2/3))*SQRT(P144))</f>
        <v/>
      </c>
      <c r="AY144" s="7">
        <f>IF(A144="","",IF(AND(AW144="",AX144=""),"",IF(OR(UPPER(TRIM(Inputs!$B$24))="MANNING",UPPER(TRIM(Inputs!$B$24))="M"),AX144,IF(OR(UPPER(TRIM(Inputs!$B$24))="MAX",UPPER(TRIM(Inputs!$B$24))="X"),MAX(IF(AW144="",0,AW144),IF(AX144="",0,AX144)),AW144))))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SUMIFS(CB_plan!$C:$C,CB_plan!$B:$B,$A145)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IF(A145="","",2.78E-7*IF(I145="",Inputs!$B$17,I145)*H145*K145)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IF(A145="","",IF(OR(V145&gt;1,AND(AY145&lt;&gt;"",AY145&lt;Inputs!$B$11),AND(AY145&lt;&gt;"",AY145&gt;Inputs!$B$12),AC145&lt;Inputs!$B$19,AD145&lt;Inputs!$B$19,P145&lt;Inputs!$B$7,P145&gt;Inputs!$B$8),"CHECK","OK"))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  <c r="AW145" s="7">
        <f>IF(A145="","",W145)</f>
        <v/>
      </c>
      <c r="AX145" s="7">
        <f>IF(OR(T145="",P145=""),"",(1/Inputs!$B$9)*((T145/4)^(2/3))*SQRT(P145))</f>
        <v/>
      </c>
      <c r="AY145" s="7">
        <f>IF(A145="","",IF(AND(AW145="",AX145=""),"",IF(OR(UPPER(TRIM(Inputs!$B$24))="MANNING",UPPER(TRIM(Inputs!$B$24))="M"),AX145,IF(OR(UPPER(TRIM(Inputs!$B$24))="MAX",UPPER(TRIM(Inputs!$B$24))="X"),MAX(IF(AW145="",0,AW145),IF(AX145="",0,AX145)),AW145))))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SUMIFS(CB_plan!$C:$C,CB_plan!$B:$B,$A146)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IF(A146="","",2.78E-7*IF(I146="",Inputs!$B$17,I146)*H146*K146)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IF(A146="","",IF(OR(V146&gt;1,AND(AY146&lt;&gt;"",AY146&lt;Inputs!$B$11),AND(AY146&lt;&gt;"",AY146&gt;Inputs!$B$12),AC146&lt;Inputs!$B$19,AD146&lt;Inputs!$B$19,P146&lt;Inputs!$B$7,P146&gt;Inputs!$B$8),"CHECK","OK"))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  <c r="AW146" s="7">
        <f>IF(A146="","",W146)</f>
        <v/>
      </c>
      <c r="AX146" s="7">
        <f>IF(OR(T146="",P146=""),"",(1/Inputs!$B$9)*((T146/4)^(2/3))*SQRT(P146))</f>
        <v/>
      </c>
      <c r="AY146" s="7">
        <f>IF(A146="","",IF(AND(AW146="",AX146=""),"",IF(OR(UPPER(TRIM(Inputs!$B$24))="MANNING",UPPER(TRIM(Inputs!$B$24))="M"),AX146,IF(OR(UPPER(TRIM(Inputs!$B$24))="MAX",UPPER(TRIM(Inputs!$B$24))="X"),MAX(IF(AW146="",0,AW146),IF(AX146="",0,AX146)),AW146))))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SUMIFS(CB_plan!$C:$C,CB_plan!$B:$B,$A147)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IF(A147="","",2.78E-7*IF(I147="",Inputs!$B$17,I147)*H147*K147)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IF(A147="","",IF(OR(V147&gt;1,AND(AY147&lt;&gt;"",AY147&lt;Inputs!$B$11),AND(AY147&lt;&gt;"",AY147&gt;Inputs!$B$12),AC147&lt;Inputs!$B$19,AD147&lt;Inputs!$B$19,P147&lt;Inputs!$B$7,P147&gt;Inputs!$B$8),"CHECK","OK"))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  <c r="AW147" s="7">
        <f>IF(A147="","",W147)</f>
        <v/>
      </c>
      <c r="AX147" s="7">
        <f>IF(OR(T147="",P147=""),"",(1/Inputs!$B$9)*((T147/4)^(2/3))*SQRT(P147))</f>
        <v/>
      </c>
      <c r="AY147" s="7">
        <f>IF(A147="","",IF(AND(AW147="",AX147=""),"",IF(OR(UPPER(TRIM(Inputs!$B$24))="MANNING",UPPER(TRIM(Inputs!$B$24))="M"),AX147,IF(OR(UPPER(TRIM(Inputs!$B$24))="MAX",UPPER(TRIM(Inputs!$B$24))="X"),MAX(IF(AW147="",0,AW147),IF(AX147="",0,AX147)),AW147))))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SUMIFS(CB_plan!$C:$C,CB_plan!$B:$B,$A148)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IF(A148="","",2.78E-7*IF(I148="",Inputs!$B$17,I148)*H148*K148)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IF(A148="","",IF(OR(V148&gt;1,AND(AY148&lt;&gt;"",AY148&lt;Inputs!$B$11),AND(AY148&lt;&gt;"",AY148&gt;Inputs!$B$12),AC148&lt;Inputs!$B$19,AD148&lt;Inputs!$B$19,P148&lt;Inputs!$B$7,P148&gt;Inputs!$B$8),"CHECK","OK"))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  <c r="AW148" s="7">
        <f>IF(A148="","",W148)</f>
        <v/>
      </c>
      <c r="AX148" s="7">
        <f>IF(OR(T148="",P148=""),"",(1/Inputs!$B$9)*((T148/4)^(2/3))*SQRT(P148))</f>
        <v/>
      </c>
      <c r="AY148" s="7">
        <f>IF(A148="","",IF(AND(AW148="",AX148=""),"",IF(OR(UPPER(TRIM(Inputs!$B$24))="MANNING",UPPER(TRIM(Inputs!$B$24))="M"),AX148,IF(OR(UPPER(TRIM(Inputs!$B$24))="MAX",UPPER(TRIM(Inputs!$B$24))="X"),MAX(IF(AW148="",0,AW148),IF(AX148="",0,AX148)),AW148))))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SUMIFS(CB_plan!$C:$C,CB_plan!$B:$B,$A149)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IF(A149="","",2.78E-7*IF(I149="",Inputs!$B$17,I149)*H149*K149)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IF(A149="","",IF(OR(V149&gt;1,AND(AY149&lt;&gt;"",AY149&lt;Inputs!$B$11),AND(AY149&lt;&gt;"",AY149&gt;Inputs!$B$12),AC149&lt;Inputs!$B$19,AD149&lt;Inputs!$B$19,P149&lt;Inputs!$B$7,P149&gt;Inputs!$B$8),"CHECK","OK"))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  <c r="AW149" s="7">
        <f>IF(A149="","",W149)</f>
        <v/>
      </c>
      <c r="AX149" s="7">
        <f>IF(OR(T149="",P149=""),"",(1/Inputs!$B$9)*((T149/4)^(2/3))*SQRT(P149))</f>
        <v/>
      </c>
      <c r="AY149" s="7">
        <f>IF(A149="","",IF(AND(AW149="",AX149=""),"",IF(OR(UPPER(TRIM(Inputs!$B$24))="MANNING",UPPER(TRIM(Inputs!$B$24))="M"),AX149,IF(OR(UPPER(TRIM(Inputs!$B$24))="MAX",UPPER(TRIM(Inputs!$B$24))="X"),MAX(IF(AW149="",0,AW149),IF(AX149="",0,AX149)),AW149))))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SUMIFS(CB_plan!$C:$C,CB_plan!$B:$B,$A150)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IF(A150="","",2.78E-7*IF(I150="",Inputs!$B$17,I150)*H150*K150)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IF(A150="","",IF(OR(V150&gt;1,AND(AY150&lt;&gt;"",AY150&lt;Inputs!$B$11),AND(AY150&lt;&gt;"",AY150&gt;Inputs!$B$12),AC150&lt;Inputs!$B$19,AD150&lt;Inputs!$B$19,P150&lt;Inputs!$B$7,P150&gt;Inputs!$B$8),"CHECK","OK"))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  <c r="AW150" s="7">
        <f>IF(A150="","",W150)</f>
        <v/>
      </c>
      <c r="AX150" s="7">
        <f>IF(OR(T150="",P150=""),"",(1/Inputs!$B$9)*((T150/4)^(2/3))*SQRT(P150))</f>
        <v/>
      </c>
      <c r="AY150" s="7">
        <f>IF(A150="","",IF(AND(AW150="",AX150=""),"",IF(OR(UPPER(TRIM(Inputs!$B$24))="MANNING",UPPER(TRIM(Inputs!$B$24))="M"),AX150,IF(OR(UPPER(TRIM(Inputs!$B$24))="MAX",UPPER(TRIM(Inputs!$B$24))="X"),MAX(IF(AW150="",0,AW150),IF(AX150="",0,AX150)),AW150))))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SUMIFS(CB_plan!$C:$C,CB_plan!$B:$B,$A151)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IF(A151="","",2.78E-7*IF(I151="",Inputs!$B$17,I151)*H151*K151)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IF(A151="","",IF(OR(V151&gt;1,AND(AY151&lt;&gt;"",AY151&lt;Inputs!$B$11),AND(AY151&lt;&gt;"",AY151&gt;Inputs!$B$12),AC151&lt;Inputs!$B$19,AD151&lt;Inputs!$B$19,P151&lt;Inputs!$B$7,P151&gt;Inputs!$B$8),"CHECK","OK"))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  <c r="AW151" s="7">
        <f>IF(A151="","",W151)</f>
        <v/>
      </c>
      <c r="AX151" s="7">
        <f>IF(OR(T151="",P151=""),"",(1/Inputs!$B$9)*((T151/4)^(2/3))*SQRT(P151))</f>
        <v/>
      </c>
      <c r="AY151" s="7">
        <f>IF(A151="","",IF(AND(AW151="",AX151=""),"",IF(OR(UPPER(TRIM(Inputs!$B$24))="MANNING",UPPER(TRIM(Inputs!$B$24))="M"),AX151,IF(OR(UPPER(TRIM(Inputs!$B$24))="MAX",UPPER(TRIM(Inputs!$B$24))="X"),MAX(IF(AW151="",0,AW151),IF(AX151="",0,AX151)),AW151))))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SUMIFS(CB_plan!$C:$C,CB_plan!$B:$B,$A152)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IF(A152="","",2.78E-7*IF(I152="",Inputs!$B$17,I152)*H152*K152)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IF(A152="","",IF(OR(V152&gt;1,AND(AY152&lt;&gt;"",AY152&lt;Inputs!$B$11),AND(AY152&lt;&gt;"",AY152&gt;Inputs!$B$12),AC152&lt;Inputs!$B$19,AD152&lt;Inputs!$B$19,P152&lt;Inputs!$B$7,P152&gt;Inputs!$B$8),"CHECK","OK"))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  <c r="AW152" s="7">
        <f>IF(A152="","",W152)</f>
        <v/>
      </c>
      <c r="AX152" s="7">
        <f>IF(OR(T152="",P152=""),"",(1/Inputs!$B$9)*((T152/4)^(2/3))*SQRT(P152))</f>
        <v/>
      </c>
      <c r="AY152" s="7">
        <f>IF(A152="","",IF(AND(AW152="",AX152=""),"",IF(OR(UPPER(TRIM(Inputs!$B$24))="MANNING",UPPER(TRIM(Inputs!$B$24))="M"),AX152,IF(OR(UPPER(TRIM(Inputs!$B$24))="MAX",UPPER(TRIM(Inputs!$B$24))="X"),MAX(IF(AW152="",0,AW152),IF(AX152="",0,AX152)),AW152))))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SUMIFS(CB_plan!$C:$C,CB_plan!$B:$B,$A153)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IF(A153="","",2.78E-7*IF(I153="",Inputs!$B$17,I153)*H153*K153)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IF(A153="","",IF(OR(V153&gt;1,AND(AY153&lt;&gt;"",AY153&lt;Inputs!$B$11),AND(AY153&lt;&gt;"",AY153&gt;Inputs!$B$12),AC153&lt;Inputs!$B$19,AD153&lt;Inputs!$B$19,P153&lt;Inputs!$B$7,P153&gt;Inputs!$B$8),"CHECK","OK"))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  <c r="AW153" s="7">
        <f>IF(A153="","",W153)</f>
        <v/>
      </c>
      <c r="AX153" s="7">
        <f>IF(OR(T153="",P153=""),"",(1/Inputs!$B$9)*((T153/4)^(2/3))*SQRT(P153))</f>
        <v/>
      </c>
      <c r="AY153" s="7">
        <f>IF(A153="","",IF(AND(AW153="",AX153=""),"",IF(OR(UPPER(TRIM(Inputs!$B$24))="MANNING",UPPER(TRIM(Inputs!$B$24))="M"),AX153,IF(OR(UPPER(TRIM(Inputs!$B$24))="MAX",UPPER(TRIM(Inputs!$B$24))="X"),MAX(IF(AW153="",0,AW153),IF(AX153="",0,AX153)),AW153))))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SUMIFS(CB_plan!$C:$C,CB_plan!$B:$B,$A154)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IF(A154="","",2.78E-7*IF(I154="",Inputs!$B$17,I154)*H154*K154)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IF(A154="","",IF(OR(V154&gt;1,AND(AY154&lt;&gt;"",AY154&lt;Inputs!$B$11),AND(AY154&lt;&gt;"",AY154&gt;Inputs!$B$12),AC154&lt;Inputs!$B$19,AD154&lt;Inputs!$B$19,P154&lt;Inputs!$B$7,P154&gt;Inputs!$B$8),"CHECK","OK"))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  <c r="AW154" s="7">
        <f>IF(A154="","",W154)</f>
        <v/>
      </c>
      <c r="AX154" s="7">
        <f>IF(OR(T154="",P154=""),"",(1/Inputs!$B$9)*((T154/4)^(2/3))*SQRT(P154))</f>
        <v/>
      </c>
      <c r="AY154" s="7">
        <f>IF(A154="","",IF(AND(AW154="",AX154=""),"",IF(OR(UPPER(TRIM(Inputs!$B$24))="MANNING",UPPER(TRIM(Inputs!$B$24))="M"),AX154,IF(OR(UPPER(TRIM(Inputs!$B$24))="MAX",UPPER(TRIM(Inputs!$B$24))="X"),MAX(IF(AW154="",0,AW154),IF(AX154="",0,AX154)),AW154))))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SUMIFS(CB_plan!$C:$C,CB_plan!$B:$B,$A155)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IF(A155="","",2.78E-7*IF(I155="",Inputs!$B$17,I155)*H155*K155)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IF(A155="","",IF(OR(V155&gt;1,AND(AY155&lt;&gt;"",AY155&lt;Inputs!$B$11),AND(AY155&lt;&gt;"",AY155&gt;Inputs!$B$12),AC155&lt;Inputs!$B$19,AD155&lt;Inputs!$B$19,P155&lt;Inputs!$B$7,P155&gt;Inputs!$B$8),"CHECK","OK"))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  <c r="AW155" s="7">
        <f>IF(A155="","",W155)</f>
        <v/>
      </c>
      <c r="AX155" s="7">
        <f>IF(OR(T155="",P155=""),"",(1/Inputs!$B$9)*((T155/4)^(2/3))*SQRT(P155))</f>
        <v/>
      </c>
      <c r="AY155" s="7">
        <f>IF(A155="","",IF(AND(AW155="",AX155=""),"",IF(OR(UPPER(TRIM(Inputs!$B$24))="MANNING",UPPER(TRIM(Inputs!$B$24))="M"),AX155,IF(OR(UPPER(TRIM(Inputs!$B$24))="MAX",UPPER(TRIM(Inputs!$B$24))="X"),MAX(IF(AW155="",0,AW155),IF(AX155="",0,AX155)),AW155))))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SUMIFS(CB_plan!$C:$C,CB_plan!$B:$B,$A156)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IF(A156="","",2.78E-7*IF(I156="",Inputs!$B$17,I156)*H156*K156)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IF(A156="","",IF(OR(V156&gt;1,AND(AY156&lt;&gt;"",AY156&lt;Inputs!$B$11),AND(AY156&lt;&gt;"",AY156&gt;Inputs!$B$12),AC156&lt;Inputs!$B$19,AD156&lt;Inputs!$B$19,P156&lt;Inputs!$B$7,P156&gt;Inputs!$B$8),"CHECK","OK"))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  <c r="AW156" s="7">
        <f>IF(A156="","",W156)</f>
        <v/>
      </c>
      <c r="AX156" s="7">
        <f>IF(OR(T156="",P156=""),"",(1/Inputs!$B$9)*((T156/4)^(2/3))*SQRT(P156))</f>
        <v/>
      </c>
      <c r="AY156" s="7">
        <f>IF(A156="","",IF(AND(AW156="",AX156=""),"",IF(OR(UPPER(TRIM(Inputs!$B$24))="MANNING",UPPER(TRIM(Inputs!$B$24))="M"),AX156,IF(OR(UPPER(TRIM(Inputs!$B$24))="MAX",UPPER(TRIM(Inputs!$B$24))="X"),MAX(IF(AW156="",0,AW156),IF(AX156="",0,AX156)),AW156))))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SUMIFS(CB_plan!$C:$C,CB_plan!$B:$B,$A157)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IF(A157="","",2.78E-7*IF(I157="",Inputs!$B$17,I157)*H157*K157)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IF(A157="","",IF(OR(V157&gt;1,AND(AY157&lt;&gt;"",AY157&lt;Inputs!$B$11),AND(AY157&lt;&gt;"",AY157&gt;Inputs!$B$12),AC157&lt;Inputs!$B$19,AD157&lt;Inputs!$B$19,P157&lt;Inputs!$B$7,P157&gt;Inputs!$B$8),"CHECK","OK"))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  <c r="AW157" s="7">
        <f>IF(A157="","",W157)</f>
        <v/>
      </c>
      <c r="AX157" s="7">
        <f>IF(OR(T157="",P157=""),"",(1/Inputs!$B$9)*((T157/4)^(2/3))*SQRT(P157))</f>
        <v/>
      </c>
      <c r="AY157" s="7">
        <f>IF(A157="","",IF(AND(AW157="",AX157=""),"",IF(OR(UPPER(TRIM(Inputs!$B$24))="MANNING",UPPER(TRIM(Inputs!$B$24))="M"),AX157,IF(OR(UPPER(TRIM(Inputs!$B$24))="MAX",UPPER(TRIM(Inputs!$B$24))="X"),MAX(IF(AW157="",0,AW157),IF(AX157="",0,AX157)),AW157))))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SUMIFS(CB_plan!$C:$C,CB_plan!$B:$B,$A158)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IF(A158="","",2.78E-7*IF(I158="",Inputs!$B$17,I158)*H158*K158)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IF(A158="","",IF(OR(V158&gt;1,AND(AY158&lt;&gt;"",AY158&lt;Inputs!$B$11),AND(AY158&lt;&gt;"",AY158&gt;Inputs!$B$12),AC158&lt;Inputs!$B$19,AD158&lt;Inputs!$B$19,P158&lt;Inputs!$B$7,P158&gt;Inputs!$B$8),"CHECK","OK"))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  <c r="AW158" s="7">
        <f>IF(A158="","",W158)</f>
        <v/>
      </c>
      <c r="AX158" s="7">
        <f>IF(OR(T158="",P158=""),"",(1/Inputs!$B$9)*((T158/4)^(2/3))*SQRT(P158))</f>
        <v/>
      </c>
      <c r="AY158" s="7">
        <f>IF(A158="","",IF(AND(AW158="",AX158=""),"",IF(OR(UPPER(TRIM(Inputs!$B$24))="MANNING",UPPER(TRIM(Inputs!$B$24))="M"),AX158,IF(OR(UPPER(TRIM(Inputs!$B$24))="MAX",UPPER(TRIM(Inputs!$B$24))="X"),MAX(IF(AW158="",0,AW158),IF(AX158="",0,AX158)),AW158))))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SUMIFS(CB_plan!$C:$C,CB_plan!$B:$B,$A159)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IF(A159="","",2.78E-7*IF(I159="",Inputs!$B$17,I159)*H159*K159)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IF(A159="","",IF(OR(V159&gt;1,AND(AY159&lt;&gt;"",AY159&lt;Inputs!$B$11),AND(AY159&lt;&gt;"",AY159&gt;Inputs!$B$12),AC159&lt;Inputs!$B$19,AD159&lt;Inputs!$B$19,P159&lt;Inputs!$B$7,P159&gt;Inputs!$B$8),"CHECK","OK"))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  <c r="AW159" s="7">
        <f>IF(A159="","",W159)</f>
        <v/>
      </c>
      <c r="AX159" s="7">
        <f>IF(OR(T159="",P159=""),"",(1/Inputs!$B$9)*((T159/4)^(2/3))*SQRT(P159))</f>
        <v/>
      </c>
      <c r="AY159" s="7">
        <f>IF(A159="","",IF(AND(AW159="",AX159=""),"",IF(OR(UPPER(TRIM(Inputs!$B$24))="MANNING",UPPER(TRIM(Inputs!$B$24))="M"),AX159,IF(OR(UPPER(TRIM(Inputs!$B$24))="MAX",UPPER(TRIM(Inputs!$B$24))="X"),MAX(IF(AW159="",0,AW159),IF(AX159="",0,AX159)),AW159))))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SUMIFS(CB_plan!$C:$C,CB_plan!$B:$B,$A160)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IF(A160="","",2.78E-7*IF(I160="",Inputs!$B$17,I160)*H160*K160)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IF(A160="","",IF(OR(V160&gt;1,AND(AY160&lt;&gt;"",AY160&lt;Inputs!$B$11),AND(AY160&lt;&gt;"",AY160&gt;Inputs!$B$12),AC160&lt;Inputs!$B$19,AD160&lt;Inputs!$B$19,P160&lt;Inputs!$B$7,P160&gt;Inputs!$B$8),"CHECK","OK"))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  <c r="AW160" s="7">
        <f>IF(A160="","",W160)</f>
        <v/>
      </c>
      <c r="AX160" s="7">
        <f>IF(OR(T160="",P160=""),"",(1/Inputs!$B$9)*((T160/4)^(2/3))*SQRT(P160))</f>
        <v/>
      </c>
      <c r="AY160" s="7">
        <f>IF(A160="","",IF(AND(AW160="",AX160=""),"",IF(OR(UPPER(TRIM(Inputs!$B$24))="MANNING",UPPER(TRIM(Inputs!$B$24))="M"),AX160,IF(OR(UPPER(TRIM(Inputs!$B$24))="MAX",UPPER(TRIM(Inputs!$B$24))="X"),MAX(IF(AW160="",0,AW160),IF(AX160="",0,AX160)),AW160))))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SUMIFS(CB_plan!$C:$C,CB_plan!$B:$B,$A161)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IF(A161="","",2.78E-7*IF(I161="",Inputs!$B$17,I161)*H161*K161)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IF(A161="","",IF(OR(V161&gt;1,AND(AY161&lt;&gt;"",AY161&lt;Inputs!$B$11),AND(AY161&lt;&gt;"",AY161&gt;Inputs!$B$12),AC161&lt;Inputs!$B$19,AD161&lt;Inputs!$B$19,P161&lt;Inputs!$B$7,P161&gt;Inputs!$B$8),"CHECK","OK"))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  <c r="AW161" s="7">
        <f>IF(A161="","",W161)</f>
        <v/>
      </c>
      <c r="AX161" s="7">
        <f>IF(OR(T161="",P161=""),"",(1/Inputs!$B$9)*((T161/4)^(2/3))*SQRT(P161))</f>
        <v/>
      </c>
      <c r="AY161" s="7">
        <f>IF(A161="","",IF(AND(AW161="",AX161=""),"",IF(OR(UPPER(TRIM(Inputs!$B$24))="MANNING",UPPER(TRIM(Inputs!$B$24))="M"),AX161,IF(OR(UPPER(TRIM(Inputs!$B$24))="MAX",UPPER(TRIM(Inputs!$B$24))="X"),MAX(IF(AW161="",0,AW161),IF(AX161="",0,AX161)),AW161))))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SUMIFS(CB_plan!$C:$C,CB_plan!$B:$B,$A162)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IF(A162="","",2.78E-7*IF(I162="",Inputs!$B$17,I162)*H162*K162)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IF(A162="","",IF(OR(V162&gt;1,AND(AY162&lt;&gt;"",AY162&lt;Inputs!$B$11),AND(AY162&lt;&gt;"",AY162&gt;Inputs!$B$12),AC162&lt;Inputs!$B$19,AD162&lt;Inputs!$B$19,P162&lt;Inputs!$B$7,P162&gt;Inputs!$B$8),"CHECK","OK"))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  <c r="AW162" s="7">
        <f>IF(A162="","",W162)</f>
        <v/>
      </c>
      <c r="AX162" s="7">
        <f>IF(OR(T162="",P162=""),"",(1/Inputs!$B$9)*((T162/4)^(2/3))*SQRT(P162))</f>
        <v/>
      </c>
      <c r="AY162" s="7">
        <f>IF(A162="","",IF(AND(AW162="",AX162=""),"",IF(OR(UPPER(TRIM(Inputs!$B$24))="MANNING",UPPER(TRIM(Inputs!$B$24))="M"),AX162,IF(OR(UPPER(TRIM(Inputs!$B$24))="MAX",UPPER(TRIM(Inputs!$B$24))="X"),MAX(IF(AW162="",0,AW162),IF(AX162="",0,AX162)),AW162))))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SUMIFS(CB_plan!$C:$C,CB_plan!$B:$B,$A163)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IF(A163="","",2.78E-7*IF(I163="",Inputs!$B$17,I163)*H163*K163)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IF(A163="","",IF(OR(V163&gt;1,AND(AY163&lt;&gt;"",AY163&lt;Inputs!$B$11),AND(AY163&lt;&gt;"",AY163&gt;Inputs!$B$12),AC163&lt;Inputs!$B$19,AD163&lt;Inputs!$B$19,P163&lt;Inputs!$B$7,P163&gt;Inputs!$B$8),"CHECK","OK"))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  <c r="AW163" s="7">
        <f>IF(A163="","",W163)</f>
        <v/>
      </c>
      <c r="AX163" s="7">
        <f>IF(OR(T163="",P163=""),"",(1/Inputs!$B$9)*((T163/4)^(2/3))*SQRT(P163))</f>
        <v/>
      </c>
      <c r="AY163" s="7">
        <f>IF(A163="","",IF(AND(AW163="",AX163=""),"",IF(OR(UPPER(TRIM(Inputs!$B$24))="MANNING",UPPER(TRIM(Inputs!$B$24))="M"),AX163,IF(OR(UPPER(TRIM(Inputs!$B$24))="MAX",UPPER(TRIM(Inputs!$B$24))="X"),MAX(IF(AW163="",0,AW163),IF(AX163="",0,AX163)),AW163))))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SUMIFS(CB_plan!$C:$C,CB_plan!$B:$B,$A164)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IF(A164="","",2.78E-7*IF(I164="",Inputs!$B$17,I164)*H164*K164)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IF(A164="","",IF(OR(V164&gt;1,AND(AY164&lt;&gt;"",AY164&lt;Inputs!$B$11),AND(AY164&lt;&gt;"",AY164&gt;Inputs!$B$12),AC164&lt;Inputs!$B$19,AD164&lt;Inputs!$B$19,P164&lt;Inputs!$B$7,P164&gt;Inputs!$B$8),"CHECK","OK"))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  <c r="AW164" s="7">
        <f>IF(A164="","",W164)</f>
        <v/>
      </c>
      <c r="AX164" s="7">
        <f>IF(OR(T164="",P164=""),"",(1/Inputs!$B$9)*((T164/4)^(2/3))*SQRT(P164))</f>
        <v/>
      </c>
      <c r="AY164" s="7">
        <f>IF(A164="","",IF(AND(AW164="",AX164=""),"",IF(OR(UPPER(TRIM(Inputs!$B$24))="MANNING",UPPER(TRIM(Inputs!$B$24))="M"),AX164,IF(OR(UPPER(TRIM(Inputs!$B$24))="MAX",UPPER(TRIM(Inputs!$B$24))="X"),MAX(IF(AW164="",0,AW164),IF(AX164="",0,AX164)),AW164))))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SUMIFS(CB_plan!$C:$C,CB_plan!$B:$B,$A165)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IF(A165="","",2.78E-7*IF(I165="",Inputs!$B$17,I165)*H165*K165)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IF(A165="","",IF(OR(V165&gt;1,AND(AY165&lt;&gt;"",AY165&lt;Inputs!$B$11),AND(AY165&lt;&gt;"",AY165&gt;Inputs!$B$12),AC165&lt;Inputs!$B$19,AD165&lt;Inputs!$B$19,P165&lt;Inputs!$B$7,P165&gt;Inputs!$B$8),"CHECK","OK"))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  <c r="AW165" s="7">
        <f>IF(A165="","",W165)</f>
        <v/>
      </c>
      <c r="AX165" s="7">
        <f>IF(OR(T165="",P165=""),"",(1/Inputs!$B$9)*((T165/4)^(2/3))*SQRT(P165))</f>
        <v/>
      </c>
      <c r="AY165" s="7">
        <f>IF(A165="","",IF(AND(AW165="",AX165=""),"",IF(OR(UPPER(TRIM(Inputs!$B$24))="MANNING",UPPER(TRIM(Inputs!$B$24))="M"),AX165,IF(OR(UPPER(TRIM(Inputs!$B$24))="MAX",UPPER(TRIM(Inputs!$B$24))="X"),MAX(IF(AW165="",0,AW165),IF(AX165="",0,AX165)),AW165))))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SUMIFS(CB_plan!$C:$C,CB_plan!$B:$B,$A166)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IF(A166="","",2.78E-7*IF(I166="",Inputs!$B$17,I166)*H166*K166)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IF(A166="","",IF(OR(V166&gt;1,AND(AY166&lt;&gt;"",AY166&lt;Inputs!$B$11),AND(AY166&lt;&gt;"",AY166&gt;Inputs!$B$12),AC166&lt;Inputs!$B$19,AD166&lt;Inputs!$B$19,P166&lt;Inputs!$B$7,P166&gt;Inputs!$B$8),"CHECK","OK"))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  <c r="AW166" s="7">
        <f>IF(A166="","",W166)</f>
        <v/>
      </c>
      <c r="AX166" s="7">
        <f>IF(OR(T166="",P166=""),"",(1/Inputs!$B$9)*((T166/4)^(2/3))*SQRT(P166))</f>
        <v/>
      </c>
      <c r="AY166" s="7">
        <f>IF(A166="","",IF(AND(AW166="",AX166=""),"",IF(OR(UPPER(TRIM(Inputs!$B$24))="MANNING",UPPER(TRIM(Inputs!$B$24))="M"),AX166,IF(OR(UPPER(TRIM(Inputs!$B$24))="MAX",UPPER(TRIM(Inputs!$B$24))="X"),MAX(IF(AW166="",0,AW166),IF(AX166="",0,AX166)),AW166))))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SUMIFS(CB_plan!$C:$C,CB_plan!$B:$B,$A167)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IF(A167="","",2.78E-7*IF(I167="",Inputs!$B$17,I167)*H167*K167)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IF(A167="","",IF(OR(V167&gt;1,AND(AY167&lt;&gt;"",AY167&lt;Inputs!$B$11),AND(AY167&lt;&gt;"",AY167&gt;Inputs!$B$12),AC167&lt;Inputs!$B$19,AD167&lt;Inputs!$B$19,P167&lt;Inputs!$B$7,P167&gt;Inputs!$B$8),"CHECK","OK"))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  <c r="AW167" s="7">
        <f>IF(A167="","",W167)</f>
        <v/>
      </c>
      <c r="AX167" s="7">
        <f>IF(OR(T167="",P167=""),"",(1/Inputs!$B$9)*((T167/4)^(2/3))*SQRT(P167))</f>
        <v/>
      </c>
      <c r="AY167" s="7">
        <f>IF(A167="","",IF(AND(AW167="",AX167=""),"",IF(OR(UPPER(TRIM(Inputs!$B$24))="MANNING",UPPER(TRIM(Inputs!$B$24))="M"),AX167,IF(OR(UPPER(TRIM(Inputs!$B$24))="MAX",UPPER(TRIM(Inputs!$B$24))="X"),MAX(IF(AW167="",0,AW167),IF(AX167="",0,AX167)),AW167))))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SUMIFS(CB_plan!$C:$C,CB_plan!$B:$B,$A168)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IF(A168="","",2.78E-7*IF(I168="",Inputs!$B$17,I168)*H168*K168)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IF(A168="","",IF(OR(V168&gt;1,AND(AY168&lt;&gt;"",AY168&lt;Inputs!$B$11),AND(AY168&lt;&gt;"",AY168&gt;Inputs!$B$12),AC168&lt;Inputs!$B$19,AD168&lt;Inputs!$B$19,P168&lt;Inputs!$B$7,P168&gt;Inputs!$B$8),"CHECK","OK"))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  <c r="AW168" s="7">
        <f>IF(A168="","",W168)</f>
        <v/>
      </c>
      <c r="AX168" s="7">
        <f>IF(OR(T168="",P168=""),"",(1/Inputs!$B$9)*((T168/4)^(2/3))*SQRT(P168))</f>
        <v/>
      </c>
      <c r="AY168" s="7">
        <f>IF(A168="","",IF(AND(AW168="",AX168=""),"",IF(OR(UPPER(TRIM(Inputs!$B$24))="MANNING",UPPER(TRIM(Inputs!$B$24))="M"),AX168,IF(OR(UPPER(TRIM(Inputs!$B$24))="MAX",UPPER(TRIM(Inputs!$B$24))="X"),MAX(IF(AW168="",0,AW168),IF(AX168="",0,AX168)),AW168))))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SUMIFS(CB_plan!$C:$C,CB_plan!$B:$B,$A169)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IF(A169="","",2.78E-7*IF(I169="",Inputs!$B$17,I169)*H169*K169)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IF(A169="","",IF(OR(V169&gt;1,AND(AY169&lt;&gt;"",AY169&lt;Inputs!$B$11),AND(AY169&lt;&gt;"",AY169&gt;Inputs!$B$12),AC169&lt;Inputs!$B$19,AD169&lt;Inputs!$B$19,P169&lt;Inputs!$B$7,P169&gt;Inputs!$B$8),"CHECK","OK"))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  <c r="AW169" s="7">
        <f>IF(A169="","",W169)</f>
        <v/>
      </c>
      <c r="AX169" s="7">
        <f>IF(OR(T169="",P169=""),"",(1/Inputs!$B$9)*((T169/4)^(2/3))*SQRT(P169))</f>
        <v/>
      </c>
      <c r="AY169" s="7">
        <f>IF(A169="","",IF(AND(AW169="",AX169=""),"",IF(OR(UPPER(TRIM(Inputs!$B$24))="MANNING",UPPER(TRIM(Inputs!$B$24))="M"),AX169,IF(OR(UPPER(TRIM(Inputs!$B$24))="MAX",UPPER(TRIM(Inputs!$B$24))="X"),MAX(IF(AW169="",0,AW169),IF(AX169="",0,AX169)),AW169))))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SUMIFS(CB_plan!$C:$C,CB_plan!$B:$B,$A170)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IF(A170="","",2.78E-7*IF(I170="",Inputs!$B$17,I170)*H170*K170)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IF(A170="","",IF(OR(V170&gt;1,AND(AY170&lt;&gt;"",AY170&lt;Inputs!$B$11),AND(AY170&lt;&gt;"",AY170&gt;Inputs!$B$12),AC170&lt;Inputs!$B$19,AD170&lt;Inputs!$B$19,P170&lt;Inputs!$B$7,P170&gt;Inputs!$B$8),"CHECK","OK"))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  <c r="AW170" s="7">
        <f>IF(A170="","",W170)</f>
        <v/>
      </c>
      <c r="AX170" s="7">
        <f>IF(OR(T170="",P170=""),"",(1/Inputs!$B$9)*((T170/4)^(2/3))*SQRT(P170))</f>
        <v/>
      </c>
      <c r="AY170" s="7">
        <f>IF(A170="","",IF(AND(AW170="",AX170=""),"",IF(OR(UPPER(TRIM(Inputs!$B$24))="MANNING",UPPER(TRIM(Inputs!$B$24))="M"),AX170,IF(OR(UPPER(TRIM(Inputs!$B$24))="MAX",UPPER(TRIM(Inputs!$B$24))="X"),MAX(IF(AW170="",0,AW170),IF(AX170="",0,AX170)),AW170))))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SUMIFS(CB_plan!$C:$C,CB_plan!$B:$B,$A171)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IF(A171="","",2.78E-7*IF(I171="",Inputs!$B$17,I171)*H171*K171)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IF(A171="","",IF(OR(V171&gt;1,AND(AY171&lt;&gt;"",AY171&lt;Inputs!$B$11),AND(AY171&lt;&gt;"",AY171&gt;Inputs!$B$12),AC171&lt;Inputs!$B$19,AD171&lt;Inputs!$B$19,P171&lt;Inputs!$B$7,P171&gt;Inputs!$B$8),"CHECK","OK"))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  <c r="AW171" s="7">
        <f>IF(A171="","",W171)</f>
        <v/>
      </c>
      <c r="AX171" s="7">
        <f>IF(OR(T171="",P171=""),"",(1/Inputs!$B$9)*((T171/4)^(2/3))*SQRT(P171))</f>
        <v/>
      </c>
      <c r="AY171" s="7">
        <f>IF(A171="","",IF(AND(AW171="",AX171=""),"",IF(OR(UPPER(TRIM(Inputs!$B$24))="MANNING",UPPER(TRIM(Inputs!$B$24))="M"),AX171,IF(OR(UPPER(TRIM(Inputs!$B$24))="MAX",UPPER(TRIM(Inputs!$B$24))="X"),MAX(IF(AW171="",0,AW171),IF(AX171="",0,AX171)),AW171))))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SUMIFS(CB_plan!$C:$C,CB_plan!$B:$B,$A172)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IF(A172="","",2.78E-7*IF(I172="",Inputs!$B$17,I172)*H172*K172)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IF(A172="","",IF(OR(V172&gt;1,AND(AY172&lt;&gt;"",AY172&lt;Inputs!$B$11),AND(AY172&lt;&gt;"",AY172&gt;Inputs!$B$12),AC172&lt;Inputs!$B$19,AD172&lt;Inputs!$B$19,P172&lt;Inputs!$B$7,P172&gt;Inputs!$B$8),"CHECK","OK"))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  <c r="AW172" s="7">
        <f>IF(A172="","",W172)</f>
        <v/>
      </c>
      <c r="AX172" s="7">
        <f>IF(OR(T172="",P172=""),"",(1/Inputs!$B$9)*((T172/4)^(2/3))*SQRT(P172))</f>
        <v/>
      </c>
      <c r="AY172" s="7">
        <f>IF(A172="","",IF(AND(AW172="",AX172=""),"",IF(OR(UPPER(TRIM(Inputs!$B$24))="MANNING",UPPER(TRIM(Inputs!$B$24))="M"),AX172,IF(OR(UPPER(TRIM(Inputs!$B$24))="MAX",UPPER(TRIM(Inputs!$B$24))="X"),MAX(IF(AW172="",0,AW172),IF(AX172="",0,AX172)),AW172))))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SUMIFS(CB_plan!$C:$C,CB_plan!$B:$B,$A173)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IF(A173="","",2.78E-7*IF(I173="",Inputs!$B$17,I173)*H173*K173)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IF(A173="","",IF(OR(V173&gt;1,AND(AY173&lt;&gt;"",AY173&lt;Inputs!$B$11),AND(AY173&lt;&gt;"",AY173&gt;Inputs!$B$12),AC173&lt;Inputs!$B$19,AD173&lt;Inputs!$B$19,P173&lt;Inputs!$B$7,P173&gt;Inputs!$B$8),"CHECK","OK"))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  <c r="AW173" s="7">
        <f>IF(A173="","",W173)</f>
        <v/>
      </c>
      <c r="AX173" s="7">
        <f>IF(OR(T173="",P173=""),"",(1/Inputs!$B$9)*((T173/4)^(2/3))*SQRT(P173))</f>
        <v/>
      </c>
      <c r="AY173" s="7">
        <f>IF(A173="","",IF(AND(AW173="",AX173=""),"",IF(OR(UPPER(TRIM(Inputs!$B$24))="MANNING",UPPER(TRIM(Inputs!$B$24))="M"),AX173,IF(OR(UPPER(TRIM(Inputs!$B$24))="MAX",UPPER(TRIM(Inputs!$B$24))="X"),MAX(IF(AW173="",0,AW173),IF(AX173="",0,AX173)),AW173))))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SUMIFS(CB_plan!$C:$C,CB_plan!$B:$B,$A174)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IF(A174="","",2.78E-7*IF(I174="",Inputs!$B$17,I174)*H174*K174)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IF(A174="","",IF(OR(V174&gt;1,AND(AY174&lt;&gt;"",AY174&lt;Inputs!$B$11),AND(AY174&lt;&gt;"",AY174&gt;Inputs!$B$12),AC174&lt;Inputs!$B$19,AD174&lt;Inputs!$B$19,P174&lt;Inputs!$B$7,P174&gt;Inputs!$B$8),"CHECK","OK"))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  <c r="AW174" s="7">
        <f>IF(A174="","",W174)</f>
        <v/>
      </c>
      <c r="AX174" s="7">
        <f>IF(OR(T174="",P174=""),"",(1/Inputs!$B$9)*((T174/4)^(2/3))*SQRT(P174))</f>
        <v/>
      </c>
      <c r="AY174" s="7">
        <f>IF(A174="","",IF(AND(AW174="",AX174=""),"",IF(OR(UPPER(TRIM(Inputs!$B$24))="MANNING",UPPER(TRIM(Inputs!$B$24))="M"),AX174,IF(OR(UPPER(TRIM(Inputs!$B$24))="MAX",UPPER(TRIM(Inputs!$B$24))="X"),MAX(IF(AW174="",0,AW174),IF(AX174="",0,AX174)),AW174))))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SUMIFS(CB_plan!$C:$C,CB_plan!$B:$B,$A175)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IF(A175="","",2.78E-7*IF(I175="",Inputs!$B$17,I175)*H175*K175)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IF(A175="","",IF(OR(V175&gt;1,AND(AY175&lt;&gt;"",AY175&lt;Inputs!$B$11),AND(AY175&lt;&gt;"",AY175&gt;Inputs!$B$12),AC175&lt;Inputs!$B$19,AD175&lt;Inputs!$B$19,P175&lt;Inputs!$B$7,P175&gt;Inputs!$B$8),"CHECK","OK"))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  <c r="AW175" s="7">
        <f>IF(A175="","",W175)</f>
        <v/>
      </c>
      <c r="AX175" s="7">
        <f>IF(OR(T175="",P175=""),"",(1/Inputs!$B$9)*((T175/4)^(2/3))*SQRT(P175))</f>
        <v/>
      </c>
      <c r="AY175" s="7">
        <f>IF(A175="","",IF(AND(AW175="",AX175=""),"",IF(OR(UPPER(TRIM(Inputs!$B$24))="MANNING",UPPER(TRIM(Inputs!$B$24))="M"),AX175,IF(OR(UPPER(TRIM(Inputs!$B$24))="MAX",UPPER(TRIM(Inputs!$B$24))="X"),MAX(IF(AW175="",0,AW175),IF(AX175="",0,AX175)),AW175))))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SUMIFS(CB_plan!$C:$C,CB_plan!$B:$B,$A176)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IF(A176="","",2.78E-7*IF(I176="",Inputs!$B$17,I176)*H176*K176)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IF(A176="","",IF(OR(V176&gt;1,AND(AY176&lt;&gt;"",AY176&lt;Inputs!$B$11),AND(AY176&lt;&gt;"",AY176&gt;Inputs!$B$12),AC176&lt;Inputs!$B$19,AD176&lt;Inputs!$B$19,P176&lt;Inputs!$B$7,P176&gt;Inputs!$B$8),"CHECK","OK"))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  <c r="AW176" s="7">
        <f>IF(A176="","",W176)</f>
        <v/>
      </c>
      <c r="AX176" s="7">
        <f>IF(OR(T176="",P176=""),"",(1/Inputs!$B$9)*((T176/4)^(2/3))*SQRT(P176))</f>
        <v/>
      </c>
      <c r="AY176" s="7">
        <f>IF(A176="","",IF(AND(AW176="",AX176=""),"",IF(OR(UPPER(TRIM(Inputs!$B$24))="MANNING",UPPER(TRIM(Inputs!$B$24))="M"),AX176,IF(OR(UPPER(TRIM(Inputs!$B$24))="MAX",UPPER(TRIM(Inputs!$B$24))="X"),MAX(IF(AW176="",0,AW176),IF(AX176="",0,AX176)),AW176))))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SUMIFS(CB_plan!$C:$C,CB_plan!$B:$B,$A177)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IF(A177="","",2.78E-7*IF(I177="",Inputs!$B$17,I177)*H177*K177)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IF(A177="","",IF(OR(V177&gt;1,AND(AY177&lt;&gt;"",AY177&lt;Inputs!$B$11),AND(AY177&lt;&gt;"",AY177&gt;Inputs!$B$12),AC177&lt;Inputs!$B$19,AD177&lt;Inputs!$B$19,P177&lt;Inputs!$B$7,P177&gt;Inputs!$B$8),"CHECK","OK"))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  <c r="AW177" s="7">
        <f>IF(A177="","",W177)</f>
        <v/>
      </c>
      <c r="AX177" s="7">
        <f>IF(OR(T177="",P177=""),"",(1/Inputs!$B$9)*((T177/4)^(2/3))*SQRT(P177))</f>
        <v/>
      </c>
      <c r="AY177" s="7">
        <f>IF(A177="","",IF(AND(AW177="",AX177=""),"",IF(OR(UPPER(TRIM(Inputs!$B$24))="MANNING",UPPER(TRIM(Inputs!$B$24))="M"),AX177,IF(OR(UPPER(TRIM(Inputs!$B$24))="MAX",UPPER(TRIM(Inputs!$B$24))="X"),MAX(IF(AW177="",0,AW177),IF(AX177="",0,AX177)),AW177))))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SUMIFS(CB_plan!$C:$C,CB_plan!$B:$B,$A178)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IF(A178="","",2.78E-7*IF(I178="",Inputs!$B$17,I178)*H178*K178)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IF(A178="","",IF(OR(V178&gt;1,AND(AY178&lt;&gt;"",AY178&lt;Inputs!$B$11),AND(AY178&lt;&gt;"",AY178&gt;Inputs!$B$12),AC178&lt;Inputs!$B$19,AD178&lt;Inputs!$B$19,P178&lt;Inputs!$B$7,P178&gt;Inputs!$B$8),"CHECK","OK"))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  <c r="AW178" s="7">
        <f>IF(A178="","",W178)</f>
        <v/>
      </c>
      <c r="AX178" s="7">
        <f>IF(OR(T178="",P178=""),"",(1/Inputs!$B$9)*((T178/4)^(2/3))*SQRT(P178))</f>
        <v/>
      </c>
      <c r="AY178" s="7">
        <f>IF(A178="","",IF(AND(AW178="",AX178=""),"",IF(OR(UPPER(TRIM(Inputs!$B$24))="MANNING",UPPER(TRIM(Inputs!$B$24))="M"),AX178,IF(OR(UPPER(TRIM(Inputs!$B$24))="MAX",UPPER(TRIM(Inputs!$B$24))="X"),MAX(IF(AW178="",0,AW178),IF(AX178="",0,AX178)),AW178))))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SUMIFS(CB_plan!$C:$C,CB_plan!$B:$B,$A179)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IF(A179="","",2.78E-7*IF(I179="",Inputs!$B$17,I179)*H179*K179)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IF(A179="","",IF(OR(V179&gt;1,AND(AY179&lt;&gt;"",AY179&lt;Inputs!$B$11),AND(AY179&lt;&gt;"",AY179&gt;Inputs!$B$12),AC179&lt;Inputs!$B$19,AD179&lt;Inputs!$B$19,P179&lt;Inputs!$B$7,P179&gt;Inputs!$B$8),"CHECK","OK"))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  <c r="AW179" s="7">
        <f>IF(A179="","",W179)</f>
        <v/>
      </c>
      <c r="AX179" s="7">
        <f>IF(OR(T179="",P179=""),"",(1/Inputs!$B$9)*((T179/4)^(2/3))*SQRT(P179))</f>
        <v/>
      </c>
      <c r="AY179" s="7">
        <f>IF(A179="","",IF(AND(AW179="",AX179=""),"",IF(OR(UPPER(TRIM(Inputs!$B$24))="MANNING",UPPER(TRIM(Inputs!$B$24))="M"),AX179,IF(OR(UPPER(TRIM(Inputs!$B$24))="MAX",UPPER(TRIM(Inputs!$B$24))="X"),MAX(IF(AW179="",0,AW179),IF(AX179="",0,AX179)),AW179))))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SUMIFS(CB_plan!$C:$C,CB_plan!$B:$B,$A180)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IF(A180="","",2.78E-7*IF(I180="",Inputs!$B$17,I180)*H180*K180)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IF(A180="","",IF(OR(V180&gt;1,AND(AY180&lt;&gt;"",AY180&lt;Inputs!$B$11),AND(AY180&lt;&gt;"",AY180&gt;Inputs!$B$12),AC180&lt;Inputs!$B$19,AD180&lt;Inputs!$B$19,P180&lt;Inputs!$B$7,P180&gt;Inputs!$B$8),"CHECK","OK"))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  <c r="AW180" s="7">
        <f>IF(A180="","",W180)</f>
        <v/>
      </c>
      <c r="AX180" s="7">
        <f>IF(OR(T180="",P180=""),"",(1/Inputs!$B$9)*((T180/4)^(2/3))*SQRT(P180))</f>
        <v/>
      </c>
      <c r="AY180" s="7">
        <f>IF(A180="","",IF(AND(AW180="",AX180=""),"",IF(OR(UPPER(TRIM(Inputs!$B$24))="MANNING",UPPER(TRIM(Inputs!$B$24))="M"),AX180,IF(OR(UPPER(TRIM(Inputs!$B$24))="MAX",UPPER(TRIM(Inputs!$B$24))="X"),MAX(IF(AW180="",0,AW180),IF(AX180="",0,AX180)),AW180))))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SUMIFS(CB_plan!$C:$C,CB_plan!$B:$B,$A181)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IF(A181="","",2.78E-7*IF(I181="",Inputs!$B$17,I181)*H181*K181)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IF(A181="","",IF(OR(V181&gt;1,AND(AY181&lt;&gt;"",AY181&lt;Inputs!$B$11),AND(AY181&lt;&gt;"",AY181&gt;Inputs!$B$12),AC181&lt;Inputs!$B$19,AD181&lt;Inputs!$B$19,P181&lt;Inputs!$B$7,P181&gt;Inputs!$B$8),"CHECK","OK"))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  <c r="AW181" s="7">
        <f>IF(A181="","",W181)</f>
        <v/>
      </c>
      <c r="AX181" s="7">
        <f>IF(OR(T181="",P181=""),"",(1/Inputs!$B$9)*((T181/4)^(2/3))*SQRT(P181))</f>
        <v/>
      </c>
      <c r="AY181" s="7">
        <f>IF(A181="","",IF(AND(AW181="",AX181=""),"",IF(OR(UPPER(TRIM(Inputs!$B$24))="MANNING",UPPER(TRIM(Inputs!$B$24))="M"),AX181,IF(OR(UPPER(TRIM(Inputs!$B$24))="MAX",UPPER(TRIM(Inputs!$B$24))="X"),MAX(IF(AW181="",0,AW181),IF(AX181="",0,AX181)),AW181))))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SUMIFS(CB_plan!$C:$C,CB_plan!$B:$B,$A182)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IF(A182="","",2.78E-7*IF(I182="",Inputs!$B$17,I182)*H182*K182)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IF(A182="","",IF(OR(V182&gt;1,AND(AY182&lt;&gt;"",AY182&lt;Inputs!$B$11),AND(AY182&lt;&gt;"",AY182&gt;Inputs!$B$12),AC182&lt;Inputs!$B$19,AD182&lt;Inputs!$B$19,P182&lt;Inputs!$B$7,P182&gt;Inputs!$B$8),"CHECK","OK"))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  <c r="AW182" s="7">
        <f>IF(A182="","",W182)</f>
        <v/>
      </c>
      <c r="AX182" s="7">
        <f>IF(OR(T182="",P182=""),"",(1/Inputs!$B$9)*((T182/4)^(2/3))*SQRT(P182))</f>
        <v/>
      </c>
      <c r="AY182" s="7">
        <f>IF(A182="","",IF(AND(AW182="",AX182=""),"",IF(OR(UPPER(TRIM(Inputs!$B$24))="MANNING",UPPER(TRIM(Inputs!$B$24))="M"),AX182,IF(OR(UPPER(TRIM(Inputs!$B$24))="MAX",UPPER(TRIM(Inputs!$B$24))="X"),MAX(IF(AW182="",0,AW182),IF(AX182="",0,AX182)),AW182))))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SUMIFS(CB_plan!$C:$C,CB_plan!$B:$B,$A183)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IF(A183="","",2.78E-7*IF(I183="",Inputs!$B$17,I183)*H183*K183)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IF(A183="","",IF(OR(V183&gt;1,AND(AY183&lt;&gt;"",AY183&lt;Inputs!$B$11),AND(AY183&lt;&gt;"",AY183&gt;Inputs!$B$12),AC183&lt;Inputs!$B$19,AD183&lt;Inputs!$B$19,P183&lt;Inputs!$B$7,P183&gt;Inputs!$B$8),"CHECK","OK"))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  <c r="AW183" s="7">
        <f>IF(A183="","",W183)</f>
        <v/>
      </c>
      <c r="AX183" s="7">
        <f>IF(OR(T183="",P183=""),"",(1/Inputs!$B$9)*((T183/4)^(2/3))*SQRT(P183))</f>
        <v/>
      </c>
      <c r="AY183" s="7">
        <f>IF(A183="","",IF(AND(AW183="",AX183=""),"",IF(OR(UPPER(TRIM(Inputs!$B$24))="MANNING",UPPER(TRIM(Inputs!$B$24))="M"),AX183,IF(OR(UPPER(TRIM(Inputs!$B$24))="MAX",UPPER(TRIM(Inputs!$B$24))="X"),MAX(IF(AW183="",0,AW183),IF(AX183="",0,AX183)),AW183))))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SUMIFS(CB_plan!$C:$C,CB_plan!$B:$B,$A184)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IF(A184="","",2.78E-7*IF(I184="",Inputs!$B$17,I184)*H184*K184)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IF(A184="","",IF(OR(V184&gt;1,AND(AY184&lt;&gt;"",AY184&lt;Inputs!$B$11),AND(AY184&lt;&gt;"",AY184&gt;Inputs!$B$12),AC184&lt;Inputs!$B$19,AD184&lt;Inputs!$B$19,P184&lt;Inputs!$B$7,P184&gt;Inputs!$B$8),"CHECK","OK"))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  <c r="AW184" s="7">
        <f>IF(A184="","",W184)</f>
        <v/>
      </c>
      <c r="AX184" s="7">
        <f>IF(OR(T184="",P184=""),"",(1/Inputs!$B$9)*((T184/4)^(2/3))*SQRT(P184))</f>
        <v/>
      </c>
      <c r="AY184" s="7">
        <f>IF(A184="","",IF(AND(AW184="",AX184=""),"",IF(OR(UPPER(TRIM(Inputs!$B$24))="MANNING",UPPER(TRIM(Inputs!$B$24))="M"),AX184,IF(OR(UPPER(TRIM(Inputs!$B$24))="MAX",UPPER(TRIM(Inputs!$B$24))="X"),MAX(IF(AW184="",0,AW184),IF(AX184="",0,AX184)),AW184))))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SUMIFS(CB_plan!$C:$C,CB_plan!$B:$B,$A185)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IF(A185="","",2.78E-7*IF(I185="",Inputs!$B$17,I185)*H185*K185)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IF(A185="","",IF(OR(V185&gt;1,AND(AY185&lt;&gt;"",AY185&lt;Inputs!$B$11),AND(AY185&lt;&gt;"",AY185&gt;Inputs!$B$12),AC185&lt;Inputs!$B$19,AD185&lt;Inputs!$B$19,P185&lt;Inputs!$B$7,P185&gt;Inputs!$B$8),"CHECK","OK"))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  <c r="AW185" s="7">
        <f>IF(A185="","",W185)</f>
        <v/>
      </c>
      <c r="AX185" s="7">
        <f>IF(OR(T185="",P185=""),"",(1/Inputs!$B$9)*((T185/4)^(2/3))*SQRT(P185))</f>
        <v/>
      </c>
      <c r="AY185" s="7">
        <f>IF(A185="","",IF(AND(AW185="",AX185=""),"",IF(OR(UPPER(TRIM(Inputs!$B$24))="MANNING",UPPER(TRIM(Inputs!$B$24))="M"),AX185,IF(OR(UPPER(TRIM(Inputs!$B$24))="MAX",UPPER(TRIM(Inputs!$B$24))="X"),MAX(IF(AW185="",0,AW185),IF(AX185="",0,AX185)),AW185))))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SUMIFS(CB_plan!$C:$C,CB_plan!$B:$B,$A186)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IF(A186="","",2.78E-7*IF(I186="",Inputs!$B$17,I186)*H186*K186)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IF(A186="","",IF(OR(V186&gt;1,AND(AY186&lt;&gt;"",AY186&lt;Inputs!$B$11),AND(AY186&lt;&gt;"",AY186&gt;Inputs!$B$12),AC186&lt;Inputs!$B$19,AD186&lt;Inputs!$B$19,P186&lt;Inputs!$B$7,P186&gt;Inputs!$B$8),"CHECK","OK"))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  <c r="AW186" s="7">
        <f>IF(A186="","",W186)</f>
        <v/>
      </c>
      <c r="AX186" s="7">
        <f>IF(OR(T186="",P186=""),"",(1/Inputs!$B$9)*((T186/4)^(2/3))*SQRT(P186))</f>
        <v/>
      </c>
      <c r="AY186" s="7">
        <f>IF(A186="","",IF(AND(AW186="",AX186=""),"",IF(OR(UPPER(TRIM(Inputs!$B$24))="MANNING",UPPER(TRIM(Inputs!$B$24))="M"),AX186,IF(OR(UPPER(TRIM(Inputs!$B$24))="MAX",UPPER(TRIM(Inputs!$B$24))="X"),MAX(IF(AW186="",0,AW186),IF(AX186="",0,AX186)),AW186))))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SUMIFS(CB_plan!$C:$C,CB_plan!$B:$B,$A187)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IF(A187="","",2.78E-7*IF(I187="",Inputs!$B$17,I187)*H187*K187)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IF(A187="","",IF(OR(V187&gt;1,AND(AY187&lt;&gt;"",AY187&lt;Inputs!$B$11),AND(AY187&lt;&gt;"",AY187&gt;Inputs!$B$12),AC187&lt;Inputs!$B$19,AD187&lt;Inputs!$B$19,P187&lt;Inputs!$B$7,P187&gt;Inputs!$B$8),"CHECK","OK"))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  <c r="AW187" s="7">
        <f>IF(A187="","",W187)</f>
        <v/>
      </c>
      <c r="AX187" s="7">
        <f>IF(OR(T187="",P187=""),"",(1/Inputs!$B$9)*((T187/4)^(2/3))*SQRT(P187))</f>
        <v/>
      </c>
      <c r="AY187" s="7">
        <f>IF(A187="","",IF(AND(AW187="",AX187=""),"",IF(OR(UPPER(TRIM(Inputs!$B$24))="MANNING",UPPER(TRIM(Inputs!$B$24))="M"),AX187,IF(OR(UPPER(TRIM(Inputs!$B$24))="MAX",UPPER(TRIM(Inputs!$B$24))="X"),MAX(IF(AW187="",0,AW187),IF(AX187="",0,AX187)),AW187))))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SUMIFS(CB_plan!$C:$C,CB_plan!$B:$B,$A188)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IF(A188="","",2.78E-7*IF(I188="",Inputs!$B$17,I188)*H188*K188)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IF(A188="","",IF(OR(V188&gt;1,AND(AY188&lt;&gt;"",AY188&lt;Inputs!$B$11),AND(AY188&lt;&gt;"",AY188&gt;Inputs!$B$12),AC188&lt;Inputs!$B$19,AD188&lt;Inputs!$B$19,P188&lt;Inputs!$B$7,P188&gt;Inputs!$B$8),"CHECK","OK"))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  <c r="AW188" s="7">
        <f>IF(A188="","",W188)</f>
        <v/>
      </c>
      <c r="AX188" s="7">
        <f>IF(OR(T188="",P188=""),"",(1/Inputs!$B$9)*((T188/4)^(2/3))*SQRT(P188))</f>
        <v/>
      </c>
      <c r="AY188" s="7">
        <f>IF(A188="","",IF(AND(AW188="",AX188=""),"",IF(OR(UPPER(TRIM(Inputs!$B$24))="MANNING",UPPER(TRIM(Inputs!$B$24))="M"),AX188,IF(OR(UPPER(TRIM(Inputs!$B$24))="MAX",UPPER(TRIM(Inputs!$B$24))="X"),MAX(IF(AW188="",0,AW188),IF(AX188="",0,AX188)),AW188))))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SUMIFS(CB_plan!$C:$C,CB_plan!$B:$B,$A189)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IF(A189="","",2.78E-7*IF(I189="",Inputs!$B$17,I189)*H189*K189)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IF(A189="","",IF(OR(V189&gt;1,AND(AY189&lt;&gt;"",AY189&lt;Inputs!$B$11),AND(AY189&lt;&gt;"",AY189&gt;Inputs!$B$12),AC189&lt;Inputs!$B$19,AD189&lt;Inputs!$B$19,P189&lt;Inputs!$B$7,P189&gt;Inputs!$B$8),"CHECK","OK"))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  <c r="AW189" s="7">
        <f>IF(A189="","",W189)</f>
        <v/>
      </c>
      <c r="AX189" s="7">
        <f>IF(OR(T189="",P189=""),"",(1/Inputs!$B$9)*((T189/4)^(2/3))*SQRT(P189))</f>
        <v/>
      </c>
      <c r="AY189" s="7">
        <f>IF(A189="","",IF(AND(AW189="",AX189=""),"",IF(OR(UPPER(TRIM(Inputs!$B$24))="MANNING",UPPER(TRIM(Inputs!$B$24))="M"),AX189,IF(OR(UPPER(TRIM(Inputs!$B$24))="MAX",UPPER(TRIM(Inputs!$B$24))="X"),MAX(IF(AW189="",0,AW189),IF(AX189="",0,AX189)),AW189))))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SUMIFS(CB_plan!$C:$C,CB_plan!$B:$B,$A190)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IF(A190="","",2.78E-7*IF(I190="",Inputs!$B$17,I190)*H190*K190)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IF(A190="","",IF(OR(V190&gt;1,AND(AY190&lt;&gt;"",AY190&lt;Inputs!$B$11),AND(AY190&lt;&gt;"",AY190&gt;Inputs!$B$12),AC190&lt;Inputs!$B$19,AD190&lt;Inputs!$B$19,P190&lt;Inputs!$B$7,P190&gt;Inputs!$B$8),"CHECK","OK"))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  <c r="AW190" s="7">
        <f>IF(A190="","",W190)</f>
        <v/>
      </c>
      <c r="AX190" s="7">
        <f>IF(OR(T190="",P190=""),"",(1/Inputs!$B$9)*((T190/4)^(2/3))*SQRT(P190))</f>
        <v/>
      </c>
      <c r="AY190" s="7">
        <f>IF(A190="","",IF(AND(AW190="",AX190=""),"",IF(OR(UPPER(TRIM(Inputs!$B$24))="MANNING",UPPER(TRIM(Inputs!$B$24))="M"),AX190,IF(OR(UPPER(TRIM(Inputs!$B$24))="MAX",UPPER(TRIM(Inputs!$B$24))="X"),MAX(IF(AW190="",0,AW190),IF(AX190="",0,AX190)),AW190))))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SUMIFS(CB_plan!$C:$C,CB_plan!$B:$B,$A191)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IF(A191="","",2.78E-7*IF(I191="",Inputs!$B$17,I191)*H191*K191)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IF(A191="","",IF(OR(V191&gt;1,AND(AY191&lt;&gt;"",AY191&lt;Inputs!$B$11),AND(AY191&lt;&gt;"",AY191&gt;Inputs!$B$12),AC191&lt;Inputs!$B$19,AD191&lt;Inputs!$B$19,P191&lt;Inputs!$B$7,P191&gt;Inputs!$B$8),"CHECK","OK"))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  <c r="AW191" s="7">
        <f>IF(A191="","",W191)</f>
        <v/>
      </c>
      <c r="AX191" s="7">
        <f>IF(OR(T191="",P191=""),"",(1/Inputs!$B$9)*((T191/4)^(2/3))*SQRT(P191))</f>
        <v/>
      </c>
      <c r="AY191" s="7">
        <f>IF(A191="","",IF(AND(AW191="",AX191=""),"",IF(OR(UPPER(TRIM(Inputs!$B$24))="MANNING",UPPER(TRIM(Inputs!$B$24))="M"),AX191,IF(OR(UPPER(TRIM(Inputs!$B$24))="MAX",UPPER(TRIM(Inputs!$B$24))="X"),MAX(IF(AW191="",0,AW191),IF(AX191="",0,AX191)),AW191))))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SUMIFS(CB_plan!$C:$C,CB_plan!$B:$B,$A192)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IF(A192="","",2.78E-7*IF(I192="",Inputs!$B$17,I192)*H192*K192)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IF(A192="","",IF(OR(V192&gt;1,AND(AY192&lt;&gt;"",AY192&lt;Inputs!$B$11),AND(AY192&lt;&gt;"",AY192&gt;Inputs!$B$12),AC192&lt;Inputs!$B$19,AD192&lt;Inputs!$B$19,P192&lt;Inputs!$B$7,P192&gt;Inputs!$B$8),"CHECK","OK"))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  <c r="AW192" s="7">
        <f>IF(A192="","",W192)</f>
        <v/>
      </c>
      <c r="AX192" s="7">
        <f>IF(OR(T192="",P192=""),"",(1/Inputs!$B$9)*((T192/4)^(2/3))*SQRT(P192))</f>
        <v/>
      </c>
      <c r="AY192" s="7">
        <f>IF(A192="","",IF(AND(AW192="",AX192=""),"",IF(OR(UPPER(TRIM(Inputs!$B$24))="MANNING",UPPER(TRIM(Inputs!$B$24))="M"),AX192,IF(OR(UPPER(TRIM(Inputs!$B$24))="MAX",UPPER(TRIM(Inputs!$B$24))="X"),MAX(IF(AW192="",0,AW192),IF(AX192="",0,AX192)),AW192))))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SUMIFS(CB_plan!$C:$C,CB_plan!$B:$B,$A193)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IF(A193="","",2.78E-7*IF(I193="",Inputs!$B$17,I193)*H193*K193)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IF(A193="","",IF(OR(V193&gt;1,AND(AY193&lt;&gt;"",AY193&lt;Inputs!$B$11),AND(AY193&lt;&gt;"",AY193&gt;Inputs!$B$12),AC193&lt;Inputs!$B$19,AD193&lt;Inputs!$B$19,P193&lt;Inputs!$B$7,P193&gt;Inputs!$B$8),"CHECK","OK"))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  <c r="AW193" s="7">
        <f>IF(A193="","",W193)</f>
        <v/>
      </c>
      <c r="AX193" s="7">
        <f>IF(OR(T193="",P193=""),"",(1/Inputs!$B$9)*((T193/4)^(2/3))*SQRT(P193))</f>
        <v/>
      </c>
      <c r="AY193" s="7">
        <f>IF(A193="","",IF(AND(AW193="",AX193=""),"",IF(OR(UPPER(TRIM(Inputs!$B$24))="MANNING",UPPER(TRIM(Inputs!$B$24))="M"),AX193,IF(OR(UPPER(TRIM(Inputs!$B$24))="MAX",UPPER(TRIM(Inputs!$B$24))="X"),MAX(IF(AW193="",0,AW193),IF(AX193="",0,AX193)),AW193))))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SUMIFS(CB_plan!$C:$C,CB_plan!$B:$B,$A194)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IF(A194="","",2.78E-7*IF(I194="",Inputs!$B$17,I194)*H194*K194)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IF(A194="","",IF(OR(V194&gt;1,AND(AY194&lt;&gt;"",AY194&lt;Inputs!$B$11),AND(AY194&lt;&gt;"",AY194&gt;Inputs!$B$12),AC194&lt;Inputs!$B$19,AD194&lt;Inputs!$B$19,P194&lt;Inputs!$B$7,P194&gt;Inputs!$B$8),"CHECK","OK"))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  <c r="AW194" s="7">
        <f>IF(A194="","",W194)</f>
        <v/>
      </c>
      <c r="AX194" s="7">
        <f>IF(OR(T194="",P194=""),"",(1/Inputs!$B$9)*((T194/4)^(2/3))*SQRT(P194))</f>
        <v/>
      </c>
      <c r="AY194" s="7">
        <f>IF(A194="","",IF(AND(AW194="",AX194=""),"",IF(OR(UPPER(TRIM(Inputs!$B$24))="MANNING",UPPER(TRIM(Inputs!$B$24))="M"),AX194,IF(OR(UPPER(TRIM(Inputs!$B$24))="MAX",UPPER(TRIM(Inputs!$B$24))="X"),MAX(IF(AW194="",0,AW194),IF(AX194="",0,AX194)),AW194))))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SUMIFS(CB_plan!$C:$C,CB_plan!$B:$B,$A195)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IF(A195="","",2.78E-7*IF(I195="",Inputs!$B$17,I195)*H195*K195)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IF(A195="","",IF(OR(V195&gt;1,AND(AY195&lt;&gt;"",AY195&lt;Inputs!$B$11),AND(AY195&lt;&gt;"",AY195&gt;Inputs!$B$12),AC195&lt;Inputs!$B$19,AD195&lt;Inputs!$B$19,P195&lt;Inputs!$B$7,P195&gt;Inputs!$B$8),"CHECK","OK"))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  <c r="AW195" s="7">
        <f>IF(A195="","",W195)</f>
        <v/>
      </c>
      <c r="AX195" s="7">
        <f>IF(OR(T195="",P195=""),"",(1/Inputs!$B$9)*((T195/4)^(2/3))*SQRT(P195))</f>
        <v/>
      </c>
      <c r="AY195" s="7">
        <f>IF(A195="","",IF(AND(AW195="",AX195=""),"",IF(OR(UPPER(TRIM(Inputs!$B$24))="MANNING",UPPER(TRIM(Inputs!$B$24))="M"),AX195,IF(OR(UPPER(TRIM(Inputs!$B$24))="MAX",UPPER(TRIM(Inputs!$B$24))="X"),MAX(IF(AW195="",0,AW195),IF(AX195="",0,AX195)),AW195))))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SUMIFS(CB_plan!$C:$C,CB_plan!$B:$B,$A196)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IF(A196="","",2.78E-7*IF(I196="",Inputs!$B$17,I196)*H196*K196)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IF(A196="","",IF(OR(V196&gt;1,AND(AY196&lt;&gt;"",AY196&lt;Inputs!$B$11),AND(AY196&lt;&gt;"",AY196&gt;Inputs!$B$12),AC196&lt;Inputs!$B$19,AD196&lt;Inputs!$B$19,P196&lt;Inputs!$B$7,P196&gt;Inputs!$B$8),"CHECK","OK"))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  <c r="AW196" s="7">
        <f>IF(A196="","",W196)</f>
        <v/>
      </c>
      <c r="AX196" s="7">
        <f>IF(OR(T196="",P196=""),"",(1/Inputs!$B$9)*((T196/4)^(2/3))*SQRT(P196))</f>
        <v/>
      </c>
      <c r="AY196" s="7">
        <f>IF(A196="","",IF(AND(AW196="",AX196=""),"",IF(OR(UPPER(TRIM(Inputs!$B$24))="MANNING",UPPER(TRIM(Inputs!$B$24))="M"),AX196,IF(OR(UPPER(TRIM(Inputs!$B$24))="MAX",UPPER(TRIM(Inputs!$B$24))="X"),MAX(IF(AW196="",0,AW196),IF(AX196="",0,AX196)),AW196))))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SUMIFS(CB_plan!$C:$C,CB_plan!$B:$B,$A197)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IF(A197="","",2.78E-7*IF(I197="",Inputs!$B$17,I197)*H197*K197)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IF(A197="","",IF(OR(V197&gt;1,AND(AY197&lt;&gt;"",AY197&lt;Inputs!$B$11),AND(AY197&lt;&gt;"",AY197&gt;Inputs!$B$12),AC197&lt;Inputs!$B$19,AD197&lt;Inputs!$B$19,P197&lt;Inputs!$B$7,P197&gt;Inputs!$B$8),"CHECK","OK"))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  <c r="AW197" s="7">
        <f>IF(A197="","",W197)</f>
        <v/>
      </c>
      <c r="AX197" s="7">
        <f>IF(OR(T197="",P197=""),"",(1/Inputs!$B$9)*((T197/4)^(2/3))*SQRT(P197))</f>
        <v/>
      </c>
      <c r="AY197" s="7">
        <f>IF(A197="","",IF(AND(AW197="",AX197=""),"",IF(OR(UPPER(TRIM(Inputs!$B$24))="MANNING",UPPER(TRIM(Inputs!$B$24))="M"),AX197,IF(OR(UPPER(TRIM(Inputs!$B$24))="MAX",UPPER(TRIM(Inputs!$B$24))="X"),MAX(IF(AW197="",0,AW197),IF(AX197="",0,AX197)),AW197))))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SUMIFS(CB_plan!$C:$C,CB_plan!$B:$B,$A198)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IF(A198="","",2.78E-7*IF(I198="",Inputs!$B$17,I198)*H198*K198)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IF(A198="","",IF(OR(V198&gt;1,AND(AY198&lt;&gt;"",AY198&lt;Inputs!$B$11),AND(AY198&lt;&gt;"",AY198&gt;Inputs!$B$12),AC198&lt;Inputs!$B$19,AD198&lt;Inputs!$B$19,P198&lt;Inputs!$B$7,P198&gt;Inputs!$B$8),"CHECK","OK"))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  <c r="AW198" s="7">
        <f>IF(A198="","",W198)</f>
        <v/>
      </c>
      <c r="AX198" s="7">
        <f>IF(OR(T198="",P198=""),"",(1/Inputs!$B$9)*((T198/4)^(2/3))*SQRT(P198))</f>
        <v/>
      </c>
      <c r="AY198" s="7">
        <f>IF(A198="","",IF(AND(AW198="",AX198=""),"",IF(OR(UPPER(TRIM(Inputs!$B$24))="MANNING",UPPER(TRIM(Inputs!$B$24))="M"),AX198,IF(OR(UPPER(TRIM(Inputs!$B$24))="MAX",UPPER(TRIM(Inputs!$B$24))="X"),MAX(IF(AW198="",0,AW198),IF(AX198="",0,AX198)),AW198))))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SUMIFS(CB_plan!$C:$C,CB_plan!$B:$B,$A199)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IF(A199="","",2.78E-7*IF(I199="",Inputs!$B$17,I199)*H199*K199)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IF(A199="","",IF(OR(V199&gt;1,AND(AY199&lt;&gt;"",AY199&lt;Inputs!$B$11),AND(AY199&lt;&gt;"",AY199&gt;Inputs!$B$12),AC199&lt;Inputs!$B$19,AD199&lt;Inputs!$B$19,P199&lt;Inputs!$B$7,P199&gt;Inputs!$B$8),"CHECK","OK"))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  <c r="AW199" s="7">
        <f>IF(A199="","",W199)</f>
        <v/>
      </c>
      <c r="AX199" s="7">
        <f>IF(OR(T199="",P199=""),"",(1/Inputs!$B$9)*((T199/4)^(2/3))*SQRT(P199))</f>
        <v/>
      </c>
      <c r="AY199" s="7">
        <f>IF(A199="","",IF(AND(AW199="",AX199=""),"",IF(OR(UPPER(TRIM(Inputs!$B$24))="MANNING",UPPER(TRIM(Inputs!$B$24))="M"),AX199,IF(OR(UPPER(TRIM(Inputs!$B$24))="MAX",UPPER(TRIM(Inputs!$B$24))="X"),MAX(IF(AW199="",0,AW199),IF(AX199="",0,AX199)),AW199))))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SUMIFS(CB_plan!$C:$C,CB_plan!$B:$B,$A200)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IF(A200="","",2.78E-7*IF(I200="",Inputs!$B$17,I200)*H200*K200)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IF(A200="","",IF(OR(V200&gt;1,AND(AY200&lt;&gt;"",AY200&lt;Inputs!$B$11),AND(AY200&lt;&gt;"",AY200&gt;Inputs!$B$12),AC200&lt;Inputs!$B$19,AD200&lt;Inputs!$B$19,P200&lt;Inputs!$B$7,P200&gt;Inputs!$B$8),"CHECK","OK"))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  <c r="AW200" s="7">
        <f>IF(A200="","",W200)</f>
        <v/>
      </c>
      <c r="AX200" s="7">
        <f>IF(OR(T200="",P200=""),"",(1/Inputs!$B$9)*((T200/4)^(2/3))*SQRT(P200))</f>
        <v/>
      </c>
      <c r="AY200" s="7">
        <f>IF(A200="","",IF(AND(AW200="",AX200=""),"",IF(OR(UPPER(TRIM(Inputs!$B$24))="MANNING",UPPER(TRIM(Inputs!$B$24))="M"),AX200,IF(OR(UPPER(TRIM(Inputs!$B$24))="MAX",UPPER(TRIM(Inputs!$B$24))="X"),MAX(IF(AW200="",0,AW200),IF(AX200="",0,AX200)),AW200))))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SUMIFS(CB_plan!$C:$C,CB_plan!$B:$B,$A201)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IF(A201="","",2.78E-7*IF(I201="",Inputs!$B$17,I201)*H201*K201)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IF(A201="","",IF(OR(V201&gt;1,AND(AY201&lt;&gt;"",AY201&lt;Inputs!$B$11),AND(AY201&lt;&gt;"",AY201&gt;Inputs!$B$12),AC201&lt;Inputs!$B$19,AD201&lt;Inputs!$B$19,P201&lt;Inputs!$B$7,P201&gt;Inputs!$B$8),"CHECK","OK"))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  <c r="AW201" s="7">
        <f>IF(A201="","",W201)</f>
        <v/>
      </c>
      <c r="AX201" s="7">
        <f>IF(OR(T201="",P201=""),"",(1/Inputs!$B$9)*((T201/4)^(2/3))*SQRT(P201))</f>
        <v/>
      </c>
      <c r="AY201" s="7">
        <f>IF(A201="","",IF(AND(AW201="",AX201=""),"",IF(OR(UPPER(TRIM(Inputs!$B$24))="MANNING",UPPER(TRIM(Inputs!$B$24))="M"),AX201,IF(OR(UPPER(TRIM(Inputs!$B$24))="MAX",UPPER(TRIM(Inputs!$B$24))="X"),MAX(IF(AW201="",0,AW201),IF(AX201="",0,AX201)),AW201))))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SUMIFS(CB_plan!$C:$C,CB_plan!$B:$B,$A202)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IF(A202="","",2.78E-7*IF(I202="",Inputs!$B$17,I202)*H202*K202)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IF(A202="","",IF(OR(V202&gt;1,AND(AY202&lt;&gt;"",AY202&lt;Inputs!$B$11),AND(AY202&lt;&gt;"",AY202&gt;Inputs!$B$12),AC202&lt;Inputs!$B$19,AD202&lt;Inputs!$B$19,P202&lt;Inputs!$B$7,P202&gt;Inputs!$B$8),"CHECK","OK"))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  <c r="AW202" s="7">
        <f>IF(A202="","",W202)</f>
        <v/>
      </c>
      <c r="AX202" s="7">
        <f>IF(OR(T202="",P202=""),"",(1/Inputs!$B$9)*((T202/4)^(2/3))*SQRT(P202))</f>
        <v/>
      </c>
      <c r="AY202" s="7">
        <f>IF(A202="","",IF(AND(AW202="",AX202=""),"",IF(OR(UPPER(TRIM(Inputs!$B$24))="MANNING",UPPER(TRIM(Inputs!$B$24))="M"),AX202,IF(OR(UPPER(TRIM(Inputs!$B$24))="MAX",UPPER(TRIM(Inputs!$B$24))="X"),MAX(IF(AW202="",0,AW202),IF(AX202="",0,AX202)),AW202))))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SUMIFS(CB_plan!$C:$C,CB_plan!$B:$B,$A203)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IF(A203="","",2.78E-7*IF(I203="",Inputs!$B$17,I203)*H203*K203)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IF(A203="","",IF(OR(V203&gt;1,AND(AY203&lt;&gt;"",AY203&lt;Inputs!$B$11),AND(AY203&lt;&gt;"",AY203&gt;Inputs!$B$12),AC203&lt;Inputs!$B$19,AD203&lt;Inputs!$B$19,P203&lt;Inputs!$B$7,P203&gt;Inputs!$B$8),"CHECK","OK"))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  <c r="AW203" s="7">
        <f>IF(A203="","",W203)</f>
        <v/>
      </c>
      <c r="AX203" s="7">
        <f>IF(OR(T203="",P203=""),"",(1/Inputs!$B$9)*((T203/4)^(2/3))*SQRT(P203))</f>
        <v/>
      </c>
      <c r="AY203" s="7">
        <f>IF(A203="","",IF(AND(AW203="",AX203=""),"",IF(OR(UPPER(TRIM(Inputs!$B$24))="MANNING",UPPER(TRIM(Inputs!$B$24))="M"),AX203,IF(OR(UPPER(TRIM(Inputs!$B$24))="MAX",UPPER(TRIM(Inputs!$B$24))="X"),MAX(IF(AW203="",0,AW203),IF(AX203="",0,AX203)),AW203))))</f>
        <v/>
      </c>
    </row>
  </sheetData>
  <mergeCells count="1">
    <mergeCell ref="A1:AV1"/>
  </mergeCells>
  <conditionalFormatting sqref="AE4:AE203">
    <cfRule type="expression" priority="9" dxfId="0">
      <formula>$AE4="CHECK"</formula>
    </cfRule>
  </conditionalFormatting>
  <conditionalFormatting sqref="V4:V203">
    <cfRule type="cellIs" priority="10" operator="greaterThan" dxfId="0">
      <formula>1</formula>
    </cfRule>
  </conditionalFormatting>
  <conditionalFormatting sqref="AC4:AC203">
    <cfRule type="expression" priority="11" dxfId="0">
      <formula>$AC4&lt;Inputs!$B$19</formula>
    </cfRule>
  </conditionalFormatting>
  <conditionalFormatting sqref="AD4:AD203">
    <cfRule type="expression" priority="12" dxfId="0">
      <formula>$AD4&lt;Inputs!$B$19</formula>
    </cfRule>
  </conditionalFormatting>
  <conditionalFormatting sqref="P4:P203">
    <cfRule type="expression" priority="13" dxfId="0">
      <formula>$P4&lt;Inputs!$B$7</formula>
    </cfRule>
    <cfRule type="expression" priority="14" dxfId="0">
      <formula>$P4&gt;Inputs!$B$8</formula>
    </cfRule>
  </conditionalFormatting>
  <conditionalFormatting sqref="W4:W203">
    <cfRule type="expression" priority="15" dxfId="0">
      <formula>=AND(OR(UPPER(TRIM(Inputs!$B$24))="DESIGN",UPPER(TRIM(Inputs!$B$24))="D",UPPER(TRIM(Inputs!$B$24))=""),OR($W4&lt;Inputs!$B$11,$W4&gt;Inputs!$B$12))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16" dxfId="0">
      <formula>=AND(OR(UPPER(TRIM(Inputs!$B$24))="MANNING",UPPER(TRIM(Inputs!$B$24))="M"),OR($AX4&lt;Inputs!$B$11,$AX4&gt;Inputs!$B$12))</formula>
    </cfRule>
  </conditionalFormatting>
  <conditionalFormatting sqref="AY4:AY203">
    <cfRule type="expression" priority="17" dxfId="0">
      <formula>=OR($AY4&lt;Inputs!$B$11,$AY4&gt;Inputs!$B$12)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2026-06-27T18:08:31Z</dcterms:modified>
</cp:coreProperties>
</file>